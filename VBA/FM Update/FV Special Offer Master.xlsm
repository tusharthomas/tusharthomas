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Update\"/>
    </mc:Choice>
  </mc:AlternateContent>
  <xr:revisionPtr revIDLastSave="0" documentId="13_ncr:1_{F5B655A3-3150-4815-A2C0-DB399017A67C}" xr6:coauthVersionLast="47" xr6:coauthVersionMax="47" xr10:uidLastSave="{00000000-0000-0000-0000-000000000000}"/>
  <bookViews>
    <workbookView xWindow="-110" yWindow="-110" windowWidth="25820" windowHeight="15500" tabRatio="852" firstSheet="2" activeTab="3" xr2:uid="{00000000-000D-0000-FFFF-FFFF00000000}"/>
  </bookViews>
  <sheets>
    <sheet name="Admin" sheetId="31" state="hidden" r:id="rId1"/>
    <sheet name="Store Specific Prices" sheetId="30" r:id="rId2"/>
    <sheet name="US" sheetId="29" r:id="rId3"/>
    <sheet name="Dashboard" sheetId="11" r:id="rId4"/>
    <sheet name="S.O. ALL" sheetId="1" r:id="rId5"/>
    <sheet name="P01 PYE" sheetId="2" r:id="rId6"/>
    <sheet name="P02 PYE" sheetId="3" r:id="rId7"/>
    <sheet name="P03 PYE" sheetId="4" r:id="rId8"/>
    <sheet name="P04 PYE" sheetId="5" r:id="rId9"/>
    <sheet name="P08 PYE" sheetId="32" r:id="rId10"/>
    <sheet name="SS - PYE" sheetId="28" r:id="rId11"/>
    <sheet name="P02 FRG" sheetId="18" r:id="rId12"/>
    <sheet name="P04 FRG" sheetId="6" r:id="rId13"/>
    <sheet name="P05 FRG" sheetId="7" r:id="rId14"/>
    <sheet name="EXPRESS" sheetId="19" r:id="rId15"/>
    <sheet name="SS - FRG" sheetId="24" r:id="rId16"/>
    <sheet name="P05 GRM" sheetId="8" r:id="rId17"/>
    <sheet name="P06 GRM" sheetId="9" r:id="rId18"/>
    <sheet name="P07 GRM" sheetId="10" r:id="rId19"/>
    <sheet name="SS - GRM" sheetId="27" r:id="rId20"/>
    <sheet name="Return" sheetId="35" r:id="rId21"/>
    <sheet name="P08 FRG" sheetId="36" r:id="rId22"/>
  </sheets>
  <externalReferences>
    <externalReference r:id="rId23"/>
  </externalReferences>
  <definedNames>
    <definedName name="_xlnm._FilterDatabase" localSheetId="14" hidden="1">EXPRESS!$A$3:$M$3</definedName>
    <definedName name="_xlnm._FilterDatabase" localSheetId="5" hidden="1">'P01 PYE'!#REF!</definedName>
    <definedName name="_xlnm._FilterDatabase" localSheetId="11" hidden="1">'P02 FRG'!#REF!</definedName>
    <definedName name="_xlnm._FilterDatabase" localSheetId="6" hidden="1">'P02 PYE'!#REF!</definedName>
    <definedName name="_xlnm._FilterDatabase" localSheetId="7" hidden="1">'P03 PYE'!#REF!</definedName>
    <definedName name="_xlnm._FilterDatabase" localSheetId="8" hidden="1">'P04 PYE'!#REF!</definedName>
    <definedName name="_xlnm._FilterDatabase" localSheetId="21" hidden="1">'P08 FRG'!#REF!</definedName>
    <definedName name="_xlnm._FilterDatabase" localSheetId="9" hidden="1">'P08 PYE'!#REF!</definedName>
    <definedName name="_xlnm._FilterDatabase" localSheetId="4" hidden="1">'S.O. ALL'!$A$3:$AA$108</definedName>
    <definedName name="_xlnm._FilterDatabase" localSheetId="15" hidden="1">'SS - FRG'!$A$2:$M$167</definedName>
    <definedName name="_xlnm._FilterDatabase" localSheetId="19" hidden="1">'SS - GRM'!$A$2:$M$170</definedName>
    <definedName name="_xlnm._FilterDatabase" localSheetId="10" hidden="1">'SS - PYE'!$A$2:$M$226</definedName>
    <definedName name="_xlnm._FilterDatabase" localSheetId="1" hidden="1">'Store Specific Prices'!$B$1:$B$89</definedName>
    <definedName name="_xlnm._FilterDatabase" localSheetId="2" hidden="1">US!$A$4:$AM$328</definedName>
    <definedName name="_xlnm.Print_Area" localSheetId="1">'Store Specific Prices'!$A$1:$U$139</definedName>
    <definedName name="_xlnm.Print_Area" localSheetId="2">US!$A$1:$AR$4</definedName>
    <definedName name="_xlnm.Print_Titles" localSheetId="15">'SS - FRG'!$2:$2</definedName>
    <definedName name="_xlnm.Print_Titles" localSheetId="19">'SS - GRM'!$2:$2</definedName>
    <definedName name="_xlnm.Print_Titles" localSheetId="10">'SS - PYE'!$2:$2</definedName>
    <definedName name="_xlnm.Print_Titles" localSheetId="2">US!$1:$3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3" i="27" l="1"/>
  <c r="I172" i="27"/>
  <c r="I171" i="27"/>
  <c r="I170" i="27"/>
  <c r="I169" i="27"/>
  <c r="I168" i="27"/>
  <c r="I167" i="27"/>
  <c r="I166" i="27"/>
  <c r="I165" i="27"/>
  <c r="I164" i="27"/>
  <c r="I163" i="27"/>
  <c r="I162" i="27"/>
  <c r="I161" i="27"/>
  <c r="I160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5" i="27"/>
  <c r="I144" i="27"/>
  <c r="I143" i="27"/>
  <c r="I142" i="27"/>
  <c r="I141" i="27"/>
  <c r="I140" i="27"/>
  <c r="I139" i="27"/>
  <c r="I138" i="27"/>
  <c r="I137" i="27"/>
  <c r="I136" i="27"/>
  <c r="I135" i="27"/>
  <c r="I134" i="27"/>
  <c r="I133" i="27"/>
  <c r="I132" i="27"/>
  <c r="I131" i="27"/>
  <c r="I130" i="27"/>
  <c r="I129" i="27"/>
  <c r="I128" i="27"/>
  <c r="I127" i="27"/>
  <c r="I126" i="27"/>
  <c r="I125" i="27"/>
  <c r="I124" i="27"/>
  <c r="I123" i="27"/>
  <c r="I122" i="27"/>
  <c r="I121" i="27"/>
  <c r="I120" i="27"/>
  <c r="I119" i="27"/>
  <c r="I118" i="27"/>
  <c r="I117" i="27"/>
  <c r="I116" i="27"/>
  <c r="I115" i="27"/>
  <c r="I114" i="27"/>
  <c r="I113" i="27"/>
  <c r="I112" i="27"/>
  <c r="I111" i="27"/>
  <c r="I110" i="27"/>
  <c r="I109" i="27"/>
  <c r="I108" i="27"/>
  <c r="I107" i="27"/>
  <c r="I106" i="27"/>
  <c r="I105" i="27"/>
  <c r="I104" i="27"/>
  <c r="I103" i="27"/>
  <c r="I102" i="27"/>
  <c r="I101" i="27"/>
  <c r="I100" i="27"/>
  <c r="I99" i="27"/>
  <c r="I98" i="27"/>
  <c r="I97" i="27"/>
  <c r="I96" i="27"/>
  <c r="I95" i="27"/>
  <c r="I94" i="27"/>
  <c r="I93" i="27"/>
  <c r="I92" i="27"/>
  <c r="I91" i="27"/>
  <c r="I90" i="27"/>
  <c r="I89" i="27"/>
  <c r="I88" i="27"/>
  <c r="I87" i="27"/>
  <c r="I86" i="27"/>
  <c r="I85" i="27"/>
  <c r="I84" i="27"/>
  <c r="I83" i="27"/>
  <c r="I82" i="27"/>
  <c r="I81" i="27"/>
  <c r="I80" i="27"/>
  <c r="I79" i="27"/>
  <c r="I78" i="27"/>
  <c r="I77" i="27"/>
  <c r="I76" i="27"/>
  <c r="I75" i="27"/>
  <c r="I74" i="27"/>
  <c r="I73" i="27"/>
  <c r="I72" i="27"/>
  <c r="I71" i="27"/>
  <c r="I70" i="27"/>
  <c r="I69" i="27"/>
  <c r="I68" i="27"/>
  <c r="I67" i="27"/>
  <c r="I66" i="27"/>
  <c r="I65" i="27"/>
  <c r="I64" i="27"/>
  <c r="I63" i="27"/>
  <c r="I62" i="27"/>
  <c r="I61" i="27"/>
  <c r="I60" i="27"/>
  <c r="I59" i="27"/>
  <c r="I58" i="27"/>
  <c r="I57" i="27"/>
  <c r="I56" i="27"/>
  <c r="I55" i="27"/>
  <c r="I54" i="27"/>
  <c r="I53" i="27"/>
  <c r="I52" i="27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1" i="31" a="1"/>
  <c r="I1" i="3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<sst xmlns="http://schemas.openxmlformats.org/spreadsheetml/2006/main" count="14237" uniqueCount="845">
  <si>
    <t>New Price</t>
  </si>
  <si>
    <t>Valid Until</t>
  </si>
  <si>
    <t>Comments</t>
  </si>
  <si>
    <t>Ticket Type</t>
  </si>
  <si>
    <t>Raspberries 6oz-standard</t>
  </si>
  <si>
    <t>PYE</t>
  </si>
  <si>
    <t>Lower Price</t>
  </si>
  <si>
    <t>Special Offer</t>
  </si>
  <si>
    <t>FRG</t>
  </si>
  <si>
    <t>GRM</t>
  </si>
  <si>
    <t>Apples Gala 3lb-standard</t>
  </si>
  <si>
    <t>Apples Granny Smith 3lb-standard</t>
  </si>
  <si>
    <t>Item Number</t>
  </si>
  <si>
    <t>Item Description</t>
  </si>
  <si>
    <t>BBD</t>
  </si>
  <si>
    <t>Old</t>
  </si>
  <si>
    <t>New</t>
  </si>
  <si>
    <t>Order Status</t>
  </si>
  <si>
    <t>Store Specific</t>
  </si>
  <si>
    <t>Special Offers</t>
  </si>
  <si>
    <t>RDC</t>
  </si>
  <si>
    <t>Valid From</t>
  </si>
  <si>
    <t>Mandarins 3lb-standard</t>
  </si>
  <si>
    <t>Peppers Green Bell 3ct-standard</t>
  </si>
  <si>
    <t>French Beans 1lb-standard</t>
  </si>
  <si>
    <t>Organic Carrots Baby 16oz-standard</t>
  </si>
  <si>
    <t>Organic Power Greens 5oz-standard</t>
  </si>
  <si>
    <t>Limit 5</t>
  </si>
  <si>
    <t>Apples Honeycrisp 2lb-standard</t>
  </si>
  <si>
    <t>Item Group Planogram</t>
  </si>
  <si>
    <t>Price</t>
  </si>
  <si>
    <t>Fresh Memo US</t>
  </si>
  <si>
    <t>Store 3500</t>
  </si>
  <si>
    <t>Case Content</t>
  </si>
  <si>
    <t>Price Tag US (US)
Organic (O)</t>
  </si>
  <si>
    <t>Price Express Store</t>
  </si>
  <si>
    <t>Not Orderable (x) 
Available for order again (A)
New to Assortment (N) for FRG &amp; New York</t>
  </si>
  <si>
    <t>FRG Change From Previous Fresh Memo (X for Item only, B for item + Zone B, N for item + New York, Y for Yellow Highlight)</t>
  </si>
  <si>
    <t>GRM Change From Previous Fresh Memo (X for Item only, B for item + GRM, Y for Yellow Highlight)</t>
  </si>
  <si>
    <t>Express Store Change From Previous Fresh Memo (E for Item in Express Store)</t>
  </si>
  <si>
    <t>CHILLER</t>
  </si>
  <si>
    <t>Temporary Price Change</t>
  </si>
  <si>
    <t>Organic Baby Arugula 5oz-standard</t>
  </si>
  <si>
    <t>Organic Half and Half 5oz-standard</t>
  </si>
  <si>
    <t>Broccoli Florets 12oz-standard</t>
  </si>
  <si>
    <t>Broccoli Coleslaw 12oz-standard</t>
  </si>
  <si>
    <t>Organic Baby Spring Mix 16oz-standard</t>
  </si>
  <si>
    <t>Organic Baby Spinach 16oz-standard</t>
  </si>
  <si>
    <t>Eat Smart Green Beans 12oz-standard</t>
  </si>
  <si>
    <t>Eat Smart Sugar Snap Peas 8oz-standard</t>
  </si>
  <si>
    <t>Baby Arugula 5oz-standard</t>
  </si>
  <si>
    <t>Standard</t>
  </si>
  <si>
    <t>Back to Normal</t>
  </si>
  <si>
    <t>Romaine Hearts 3ct-standard</t>
  </si>
  <si>
    <t>Lettuce Butter 1ct-standard</t>
  </si>
  <si>
    <t>Kale Greens 16oz-standard</t>
  </si>
  <si>
    <t>Garden Salad 12oz-standard</t>
  </si>
  <si>
    <t>Italian Salad 9oz-standard</t>
  </si>
  <si>
    <t>Shredded Lettuce 8oz-standard</t>
  </si>
  <si>
    <t>Chicken Caesar Salad 6.25oz-standard</t>
  </si>
  <si>
    <t>American Blend 12oz-standard</t>
  </si>
  <si>
    <t>Chopped Sunflower Crunch Kit 12.2oz-standard</t>
  </si>
  <si>
    <t>Delist</t>
  </si>
  <si>
    <t>Chopped Bacon Caesar Kit 10.2oz-standard</t>
  </si>
  <si>
    <t>Classic Coleslaw 14oz-standard</t>
  </si>
  <si>
    <t>RTE Café Style Chef Salad 7.65oz-standard</t>
  </si>
  <si>
    <t>Cantaloupe Chunks 16oz-standard</t>
  </si>
  <si>
    <t>Carrots Baby 2lb-standard</t>
  </si>
  <si>
    <t>Fennel 20oz-standard</t>
  </si>
  <si>
    <t>Mushrooms Sliced White 8oz-standard</t>
  </si>
  <si>
    <t>Asparagus 1lb-standard</t>
  </si>
  <si>
    <t>Mushrooms Portabella Caps 6oz-standard</t>
  </si>
  <si>
    <t>Mushrooms Whole Baby Bella 8oz-standard</t>
  </si>
  <si>
    <t>Mushrooms Sliced Baby Bella 8oz-standard</t>
  </si>
  <si>
    <t>Berries Golden 4.4oz-standard</t>
  </si>
  <si>
    <t>Mushrooms Whole White 8oz-standard</t>
  </si>
  <si>
    <t>Organic French Beans 1lb-standard</t>
  </si>
  <si>
    <t>Beets Baby Marinated 6.5oz-standard</t>
  </si>
  <si>
    <t>Corn 4ct-standard</t>
  </si>
  <si>
    <t>Beets 3ct-bunch</t>
  </si>
  <si>
    <t>Blackberries 6oz-standard</t>
  </si>
  <si>
    <t>Strawberries 1lb-standard</t>
  </si>
  <si>
    <t>Blueberries 1pt-standard</t>
  </si>
  <si>
    <t>Spring Mix 5oz-standard</t>
  </si>
  <si>
    <t>Cilantro 1ct-bunch</t>
  </si>
  <si>
    <t>Parsley Italian 1ct-bunch</t>
  </si>
  <si>
    <t>Fresh Chopped Salsa Pico 16oz-standard</t>
  </si>
  <si>
    <t>Mild Fresh Chopped Salsa 16oz-standard</t>
  </si>
  <si>
    <t>Grapefruit 3lb-standard</t>
  </si>
  <si>
    <t>Lemons 2lb-standard</t>
  </si>
  <si>
    <t>Lemon &amp; Lime Mix 2lb-standard</t>
  </si>
  <si>
    <t>Pears 3lb-standard</t>
  </si>
  <si>
    <t>Apples Red Delicious 3lb-standard</t>
  </si>
  <si>
    <t>Bananas 1lb-loose</t>
  </si>
  <si>
    <t>Yuca Root 1lb-loose</t>
  </si>
  <si>
    <t>Chayote Squash 1ct-loose</t>
  </si>
  <si>
    <t>Organic Bananas 1lb-loose</t>
  </si>
  <si>
    <t>Organic Limes 1lb-standard</t>
  </si>
  <si>
    <t>Organic Avocados 4ct-standard</t>
  </si>
  <si>
    <t>Organic Tomatoes Grape 1pt-standard</t>
  </si>
  <si>
    <t>Organic Peppers Sweet Bell 2ct-standard</t>
  </si>
  <si>
    <t>Cucumbers Mini 14oz-standard</t>
  </si>
  <si>
    <t>Celery 1ct-standard</t>
  </si>
  <si>
    <t>Brussels Sprouts 1lb-standard</t>
  </si>
  <si>
    <t>Carrots 2lb-standard</t>
  </si>
  <si>
    <t>Beets Cooked 8.8oz-standard</t>
  </si>
  <si>
    <t>Tomatoes Roma 1lb-standard</t>
  </si>
  <si>
    <t>Tomatoes Grape 1pt-standard</t>
  </si>
  <si>
    <t>Tomatoes Cherry on the Vine 9oz-standard</t>
  </si>
  <si>
    <t>Tomatoes Mix 12oz-standard</t>
  </si>
  <si>
    <t>Tomatoes Cocktail on the Vine 1lb-standard</t>
  </si>
  <si>
    <t>Tomatoes Sweet Pops 10oz-standard</t>
  </si>
  <si>
    <t>Tomatoes Sweet Pops 1.5lb-standard</t>
  </si>
  <si>
    <t>Peppers Red Sweet Bell 2ct-standard</t>
  </si>
  <si>
    <t>Peppers Sweet Bell 3ct-standard</t>
  </si>
  <si>
    <t>Peppers Sweet Long 14oz-standard</t>
  </si>
  <si>
    <t>Peppers Mini Sweet Bell 1lb-standard</t>
  </si>
  <si>
    <t>Garlic 3ct-standard</t>
  </si>
  <si>
    <t>Basil 0.5oz-standard</t>
  </si>
  <si>
    <t>Shallots 1lb-standard</t>
  </si>
  <si>
    <t>Onions Yellow 3lb-standard</t>
  </si>
  <si>
    <t>Onions Red 2lb-standard</t>
  </si>
  <si>
    <t>Potatoes Russet 5lb-standard</t>
  </si>
  <si>
    <t>Potatoes Yellow 5lb-standard</t>
  </si>
  <si>
    <t>Potatoes Red 5lb-standard</t>
  </si>
  <si>
    <t>Sweet Potatoes 3lb-standard</t>
  </si>
  <si>
    <t>While Supplies Last</t>
  </si>
  <si>
    <t>Farmers Choice 1ct-BUNCH</t>
  </si>
  <si>
    <t>E</t>
  </si>
  <si>
    <t>US</t>
  </si>
  <si>
    <t>O</t>
  </si>
  <si>
    <t>US / O</t>
  </si>
  <si>
    <t>Permanent</t>
  </si>
  <si>
    <t>X = Not Orderable
A = Orderable Again
N = New to Assortment</t>
  </si>
  <si>
    <t>Store Number</t>
  </si>
  <si>
    <t>Store Name</t>
  </si>
  <si>
    <t>Item</t>
  </si>
  <si>
    <t>Till Limits</t>
  </si>
  <si>
    <t>Effective Date</t>
  </si>
  <si>
    <t>F&amp;V Fresh Memo - Price Zone 1 - PYE</t>
  </si>
  <si>
    <t>F&amp;V Fresh Memo - Price Zone 2 - PYE</t>
  </si>
  <si>
    <t>F&amp;V Fresh Memo - Price Zone 3 - PYE</t>
  </si>
  <si>
    <t>F&amp;V Fresh Memo - Price Zone 4 - PYE</t>
  </si>
  <si>
    <t>F&amp;V Fresh Memo - Price Zone 2 - FRG</t>
  </si>
  <si>
    <t>F&amp;V Fresh Memo - Price Zone 4 - FRG</t>
  </si>
  <si>
    <t>F&amp;V Fresh Memo - Price Zone 5 - FRG</t>
  </si>
  <si>
    <t>F&amp;V Fresh Memo - Price Zone 5 - GRM</t>
  </si>
  <si>
    <t>F&amp;V Fresh Memo - Price Zone 6 - GRM</t>
  </si>
  <si>
    <t>F&amp;V Fresh Memo - Price Zone 7 - GRM</t>
  </si>
  <si>
    <t>Avocado Ranch Salad Kit 11.3oz-standard</t>
  </si>
  <si>
    <t>Ginger Garlic Stir Fry Kit 14oz-standard</t>
  </si>
  <si>
    <t>Teriyaki Stir Fry Kit 12.5oz-standard</t>
  </si>
  <si>
    <t>Norfolk</t>
  </si>
  <si>
    <t>Garlic Peeled 6oz-standard</t>
  </si>
  <si>
    <t>CW</t>
  </si>
  <si>
    <t>Days</t>
  </si>
  <si>
    <t>Item #</t>
  </si>
  <si>
    <t>CS</t>
  </si>
  <si>
    <t>Weight</t>
  </si>
  <si>
    <t>Limit</t>
  </si>
  <si>
    <t>Leaflet Call Out</t>
  </si>
  <si>
    <t>Type</t>
  </si>
  <si>
    <t>APT Leaflet Name</t>
  </si>
  <si>
    <t>Old Price</t>
  </si>
  <si>
    <t>$ Reduction</t>
  </si>
  <si>
    <t>% Reduction</t>
  </si>
  <si>
    <t>Promo Type</t>
  </si>
  <si>
    <t>Change from ORIGINAL 3WKS OUT</t>
  </si>
  <si>
    <t>/pk.</t>
  </si>
  <si>
    <t>Case Content / Write Off Date</t>
  </si>
  <si>
    <t>Price PYE</t>
  </si>
  <si>
    <t>Price FRG</t>
  </si>
  <si>
    <t>Price GRM</t>
  </si>
  <si>
    <t>PYE Change From Previous Fresh Memo (X for Item only, B for item + Zone B, 1 For P01, 2 For P02. Y for Yellow Highlight). Add "P" to remove Comments for NY zones, "M" to remove comments for PYE</t>
  </si>
  <si>
    <t>FRG Change From Previous Fresh Memo (X for Item only, B for item + FRG, 2 for P02, Y for Yellow Highlight)</t>
  </si>
  <si>
    <t>Limited Assortment Store Change From Previous Fresh Memo (L for Items in Limited Assortment Store) - GRM</t>
  </si>
  <si>
    <t>Pack Size</t>
  </si>
  <si>
    <t>PYE Old</t>
  </si>
  <si>
    <t>PYE New</t>
  </si>
  <si>
    <t>PYE Ticket Type</t>
  </si>
  <si>
    <t>PYE Comments</t>
  </si>
  <si>
    <t>PYE Valid Until</t>
  </si>
  <si>
    <t>P01 Price OLD</t>
  </si>
  <si>
    <t>P01 Price NEW</t>
  </si>
  <si>
    <t>P02 Price OLD</t>
  </si>
  <si>
    <t>P02 Price NEW</t>
  </si>
  <si>
    <t>Not Orderable (x) 
Available for order again (A)
New to Assortment (N) for PYE &amp; New York</t>
  </si>
  <si>
    <t>FRG Old</t>
  </si>
  <si>
    <t>FRG New</t>
  </si>
  <si>
    <t>FRG Ticket Type</t>
  </si>
  <si>
    <t>FRG Comments</t>
  </si>
  <si>
    <t>FRG Valid Until</t>
  </si>
  <si>
    <t>GRM Old</t>
  </si>
  <si>
    <t>GRM New</t>
  </si>
  <si>
    <t>GRM Ticket Type</t>
  </si>
  <si>
    <t>GRM Comments</t>
  </si>
  <si>
    <t>GRM Valid Until</t>
  </si>
  <si>
    <t>Not Orderable (x) 
Available for order again (A)
New to Assortment (N) for GRM (B+A)</t>
  </si>
  <si>
    <t>PLACE HOLDER ROW</t>
  </si>
  <si>
    <t>Planogram</t>
  </si>
  <si>
    <t>Permanent Price Change</t>
  </si>
  <si>
    <t>900 FLORAL</t>
  </si>
  <si>
    <t>On Label</t>
  </si>
  <si>
    <t>S.O. ALL</t>
  </si>
  <si>
    <t>P01 PYE</t>
  </si>
  <si>
    <t>P02 PYE</t>
  </si>
  <si>
    <t>P03 PYE</t>
  </si>
  <si>
    <t>P04 PYE</t>
  </si>
  <si>
    <t>SS - PYE</t>
  </si>
  <si>
    <t>P02 FRG</t>
  </si>
  <si>
    <t>P04 FRG</t>
  </si>
  <si>
    <t>P05 FRG</t>
  </si>
  <si>
    <t>SS - FRG</t>
  </si>
  <si>
    <t>P05 GRM</t>
  </si>
  <si>
    <t>P06 GRM</t>
  </si>
  <si>
    <t>P07 GRM</t>
  </si>
  <si>
    <t>SS - GRM</t>
  </si>
  <si>
    <t>P05 LIM</t>
  </si>
  <si>
    <t>P06 LIM</t>
  </si>
  <si>
    <t>P07 LIM</t>
  </si>
  <si>
    <t>EXPRESS</t>
  </si>
  <si>
    <t>Produce</t>
  </si>
  <si>
    <t>Go to Worksheet</t>
  </si>
  <si>
    <t>Bon Air</t>
  </si>
  <si>
    <t>Newport News, Jefferson Blvd</t>
  </si>
  <si>
    <t>Suffolk</t>
  </si>
  <si>
    <t>Greenville</t>
  </si>
  <si>
    <t>Winston Salem</t>
  </si>
  <si>
    <t>Indian Land</t>
  </si>
  <si>
    <t>Thomasville</t>
  </si>
  <si>
    <t>Rock Hill</t>
  </si>
  <si>
    <t>Charlotte-Monroe Road</t>
  </si>
  <si>
    <t>Richmond</t>
  </si>
  <si>
    <t>Aberdeen, MD</t>
  </si>
  <si>
    <t>Shelby</t>
  </si>
  <si>
    <t>Bowie</t>
  </si>
  <si>
    <t>Danville</t>
  </si>
  <si>
    <t>Woodbridge</t>
  </si>
  <si>
    <t>Wake Forest</t>
  </si>
  <si>
    <t>Philadelphia PA - Port Richmond</t>
  </si>
  <si>
    <t>Havelock</t>
  </si>
  <si>
    <t>Newport News, Warwick Blvd</t>
  </si>
  <si>
    <t>Fredericksburg</t>
  </si>
  <si>
    <t>Gastonia</t>
  </si>
  <si>
    <t>Lexington</t>
  </si>
  <si>
    <t>Spartanburg</t>
  </si>
  <si>
    <t xml:space="preserve">Raleigh, Wake Forest Road </t>
  </si>
  <si>
    <t>Hampton</t>
  </si>
  <si>
    <t>Augusta, Alexander Drive</t>
  </si>
  <si>
    <t>Culpeper</t>
  </si>
  <si>
    <t>North Augusta, East Martintown</t>
  </si>
  <si>
    <t>Virginia Beach</t>
  </si>
  <si>
    <t>Sanford</t>
  </si>
  <si>
    <t>Dumfries</t>
  </si>
  <si>
    <t>Chester</t>
  </si>
  <si>
    <t>Chesapeake</t>
  </si>
  <si>
    <t>Wilson</t>
  </si>
  <si>
    <t>York</t>
  </si>
  <si>
    <t>Morehead City</t>
  </si>
  <si>
    <t>Columbia-Hard Scrabble Road</t>
  </si>
  <si>
    <t>Waldorf MD - Promenade Pl</t>
  </si>
  <si>
    <t>Vineland</t>
  </si>
  <si>
    <t>Easton, PA</t>
  </si>
  <si>
    <t>Indian Trail</t>
  </si>
  <si>
    <t>Rocky Mount</t>
  </si>
  <si>
    <t>Orangeburg, Chestnut St NE</t>
  </si>
  <si>
    <t>Virginia Beach, General Booth Blvd</t>
  </si>
  <si>
    <t>Richmond, VA - Green Gate</t>
  </si>
  <si>
    <t>Winston Salem, Silas Creek Pky</t>
  </si>
  <si>
    <t>District Heights-Marlboro Pike</t>
  </si>
  <si>
    <t>Goose Creek</t>
  </si>
  <si>
    <t>Henrico</t>
  </si>
  <si>
    <t>Union, NJ</t>
  </si>
  <si>
    <t>Greenwood, Highway 72 W</t>
  </si>
  <si>
    <t>Middletown</t>
  </si>
  <si>
    <t>Manassas</t>
  </si>
  <si>
    <t>Hazlett</t>
  </si>
  <si>
    <t>Greensboro-W Gate City Blvd</t>
  </si>
  <si>
    <t>Royersford-E Ridge Pike</t>
  </si>
  <si>
    <t>Virginia Beach, Holland Rd</t>
  </si>
  <si>
    <t>Greenville, Woodruff Road</t>
  </si>
  <si>
    <t>Raleigh NC - Buffaloe Road</t>
  </si>
  <si>
    <t>College Park, Baltimore Ave</t>
  </si>
  <si>
    <t>400 Route 38, Cherry Hill, New Jersey</t>
  </si>
  <si>
    <t>Concord</t>
  </si>
  <si>
    <t>Mableton, GA</t>
  </si>
  <si>
    <t>Eatontown, NJ</t>
  </si>
  <si>
    <t>Florence</t>
  </si>
  <si>
    <t>Richmond, VA</t>
  </si>
  <si>
    <t>Ashburn</t>
  </si>
  <si>
    <t>Folsom, PA</t>
  </si>
  <si>
    <t>6801 Commerce Street, Springfield, VA</t>
  </si>
  <si>
    <t>Norristown - West Ridge Pike</t>
  </si>
  <si>
    <t>Powder Springs, GA</t>
  </si>
  <si>
    <t>Snellville, GA</t>
  </si>
  <si>
    <t>Hagerstown, Dual Highway</t>
  </si>
  <si>
    <t>Virginia Beach - Independence Blvd</t>
  </si>
  <si>
    <t>Staten Island (see New York tab)</t>
  </si>
  <si>
    <t>Ashburn VA - Ashbrook Marketplace</t>
  </si>
  <si>
    <t>Bergenfield - 80 New Bridge Road</t>
  </si>
  <si>
    <t>1150 Welsh Road, Lansdale, PA</t>
  </si>
  <si>
    <t>4250 U.S. 9, Howell, NJ</t>
  </si>
  <si>
    <t>Fayetteville - Skibo Rd</t>
  </si>
  <si>
    <t>Catonsville - Baltimore National Pike</t>
  </si>
  <si>
    <t>Crystal City, VA</t>
  </si>
  <si>
    <t>Huntington NY - Jericho Tpke</t>
  </si>
  <si>
    <t>Center Moriches NY - Montauk Hwy</t>
  </si>
  <si>
    <t>North Brunswick NJ - Milltown Rd</t>
  </si>
  <si>
    <t>Fairfax VA - Fairfax Centre</t>
  </si>
  <si>
    <t>Sinking Spring PA - Spring Market Shopping Center</t>
  </si>
  <si>
    <t>East Meadow NY - Hempstead Tpke</t>
  </si>
  <si>
    <t>Jonesboro GA - Tara Blvd</t>
  </si>
  <si>
    <t>East Patchogue NY - Montauk Hwy</t>
  </si>
  <si>
    <t>Dunwoody GA - Mount Vernon Rd</t>
  </si>
  <si>
    <t>Alexandria VA - Pinecrest Plaza</t>
  </si>
  <si>
    <t>Marietta GA - East Cobb</t>
  </si>
  <si>
    <t>Woodstock GA - Bells Ferry Rd</t>
  </si>
  <si>
    <t>Peachtree Corners GA - Peachtree Pkwy NW</t>
  </si>
  <si>
    <t>Suwanee GA - Peachtree Pkwy</t>
  </si>
  <si>
    <t>Lawrenceville GA - Sugarloaf Pkwy</t>
  </si>
  <si>
    <t>Atlanta GA - N Druid Hills</t>
  </si>
  <si>
    <t>Park Ridge NJ - Kinderkamack Rd</t>
  </si>
  <si>
    <t>East Northport NY Larkfield Rd</t>
  </si>
  <si>
    <t>Weehawken NJ - Tower Plaza</t>
  </si>
  <si>
    <t>Oakdale NY - Sunrise Hwy</t>
  </si>
  <si>
    <t>Burke VA - Old Keene Mill Rd</t>
  </si>
  <si>
    <t>Lake Grove NY - Middle Country Rd</t>
  </si>
  <si>
    <t>Lancaster PA - West Lancaster</t>
  </si>
  <si>
    <t>Wilmington NC - Oleander Dr</t>
  </si>
  <si>
    <t>Bayonne NJ - Harbor View Marketplace</t>
  </si>
  <si>
    <t>Philadelphia PA - Northeast Philadelphia</t>
  </si>
  <si>
    <t>Marietta GA - Whitlock Ave SW</t>
  </si>
  <si>
    <t>Brick NJ - Hooper Ave</t>
  </si>
  <si>
    <t>Timonium MD - Padonia Village Shopping Center</t>
  </si>
  <si>
    <t>Takoma Park MD - New Hampshire Ave</t>
  </si>
  <si>
    <t>Oxon Hill MD - Livingston Rd</t>
  </si>
  <si>
    <t>Brooklyn MD - Brooklyn Park</t>
  </si>
  <si>
    <t>Glen Burnie MD - Harundale Plaza</t>
  </si>
  <si>
    <t>Sandy Springs GA - Roswell Rd</t>
  </si>
  <si>
    <t>Price Tag Type</t>
  </si>
  <si>
    <t>Back to Assortment</t>
  </si>
  <si>
    <t>New to Assortment</t>
  </si>
  <si>
    <t>OS Extension</t>
  </si>
  <si>
    <t>Back to Normal Price/Back to Assortment</t>
  </si>
  <si>
    <t>Back to Normal Price/Temporarily Not Available</t>
  </si>
  <si>
    <t>Special Offer Extension</t>
  </si>
  <si>
    <t>Special Offer Further Reduction</t>
  </si>
  <si>
    <t>Permanent Price Change/Back to Assortment</t>
  </si>
  <si>
    <t>Permanent Price Change/New to Assortment</t>
  </si>
  <si>
    <t>Permanent Price Change/Temporarily Not Available</t>
  </si>
  <si>
    <t>Special Offer Extension/Back to Assortment</t>
  </si>
  <si>
    <t>Special Offer Extension/Temporarily Not Available</t>
  </si>
  <si>
    <t>Special Offer Further Reduction/Back to Assortment</t>
  </si>
  <si>
    <t>Special Offer Further Reduction/Temporarily Not Available</t>
  </si>
  <si>
    <t>Special Offer/Back to Assortment</t>
  </si>
  <si>
    <t>Special Offer/New to Assortment</t>
  </si>
  <si>
    <t>Special Offer/Temporarily Not Available</t>
  </si>
  <si>
    <t>Store Specific Price Changes/Back to Assortment</t>
  </si>
  <si>
    <t>Store Specific Price Changes/New to Assortment</t>
  </si>
  <si>
    <t>Store Specific Price Changes/Temporarily Not Available</t>
  </si>
  <si>
    <t>Temporarily Not Available</t>
  </si>
  <si>
    <t>Temporary Price Change/Back to Assortment</t>
  </si>
  <si>
    <t>Temporary Price Change/New to Assortment</t>
  </si>
  <si>
    <t>Temporary Price Change/Temporarily Not Available</t>
  </si>
  <si>
    <t>Store Specific Prices</t>
  </si>
  <si>
    <t>Foliage Hanging Basket 8 inch 1ct-POT</t>
  </si>
  <si>
    <t>Annapolis MD - Solomons Island Rd</t>
  </si>
  <si>
    <t>Asian Chopped Salad Kit 12oz-standard</t>
  </si>
  <si>
    <t>Pineapple Chunks 10oz-standard</t>
  </si>
  <si>
    <t>Mango Chunks 10oz-standard</t>
  </si>
  <si>
    <t>Apex NC - Apex Peakway</t>
  </si>
  <si>
    <t>Massapequa NY - Merrick RD</t>
  </si>
  <si>
    <t>Manassas VA - Liberia Ave</t>
  </si>
  <si>
    <t>Wheaton MD - Randolph Rd</t>
  </si>
  <si>
    <t>Merrick NY - Merrick Rd</t>
  </si>
  <si>
    <t>Selden NY - Selden Plaza</t>
  </si>
  <si>
    <t>Franklin Square NY - Dogwood Ave</t>
  </si>
  <si>
    <t>Woodbridge - St. Georges Ave</t>
  </si>
  <si>
    <t>Glassboro NJ - Delsea Dr</t>
  </si>
  <si>
    <t>Exton PA  - Bartlett Ave</t>
  </si>
  <si>
    <t>Lavender Dried 1ct-BUNCH</t>
  </si>
  <si>
    <t>ANNAPOLIS ONLY</t>
  </si>
  <si>
    <t>P08 Price OLD</t>
  </si>
  <si>
    <t>P08 Price NEW</t>
  </si>
  <si>
    <t>F&amp;V Fresh Memo - Price Zone 8 - PYE</t>
  </si>
  <si>
    <t>Case Size Change</t>
  </si>
  <si>
    <t>P08 PYE</t>
  </si>
  <si>
    <t>FRIDAY: ADD SWD &amp; FLORAL</t>
  </si>
  <si>
    <t>Category</t>
  </si>
  <si>
    <t>Adv. Media/Cover Item</t>
  </si>
  <si>
    <t>PUR CHECK</t>
  </si>
  <si>
    <t>MD CHANGE NOTE</t>
  </si>
  <si>
    <t>Same Price ALL ZONES</t>
  </si>
  <si>
    <t>REMOVE LIMITS FOR EXTENSIONS/FURTHER REDUCTIONS</t>
  </si>
  <si>
    <t>Butternut Diced 12oz-standard</t>
  </si>
  <si>
    <t>Organic Potted Parsley 1ct-POT</t>
  </si>
  <si>
    <t>Organic Potted Basil 1ct-POT</t>
  </si>
  <si>
    <t>Organic Baby Spinach &amp; Baby Kale 5oz-standard</t>
  </si>
  <si>
    <t>Organic Baby Spinach &amp; Arugula 5oz-standard</t>
  </si>
  <si>
    <t>Lettuce Mixed 1ct-standard</t>
  </si>
  <si>
    <t>CITRUS</t>
  </si>
  <si>
    <t>MELONS</t>
  </si>
  <si>
    <t>PEARS</t>
  </si>
  <si>
    <t>125 CITRUS</t>
  </si>
  <si>
    <t>150 MELONS</t>
  </si>
  <si>
    <t>200 PEARS</t>
  </si>
  <si>
    <t>225 APPLES</t>
  </si>
  <si>
    <t>250 BANANAS</t>
  </si>
  <si>
    <t>450 AVOCADOS</t>
  </si>
  <si>
    <t>300 EXOTICS</t>
  </si>
  <si>
    <t>325 CUCUMBERS</t>
  </si>
  <si>
    <t>350 GREEN VEG</t>
  </si>
  <si>
    <t>375 CARROTS</t>
  </si>
  <si>
    <t>400 SQUASH</t>
  </si>
  <si>
    <t>425 TOMATOES</t>
  </si>
  <si>
    <t>475 PEPPERS</t>
  </si>
  <si>
    <t>500 GAR/GIN/SHAL</t>
  </si>
  <si>
    <t>550 HERBS</t>
  </si>
  <si>
    <t>525 POT/ONION</t>
  </si>
  <si>
    <t>Potatoes Red Baby 1.5lb-standard</t>
  </si>
  <si>
    <t>Apples Fuji 3lb-standard</t>
  </si>
  <si>
    <t>Blueberries 18oz-standard</t>
  </si>
  <si>
    <t>Organic Baby Spinach 5oz-standard</t>
  </si>
  <si>
    <t>Sunflowers 60cm - 1ct bunch</t>
  </si>
  <si>
    <t>Fajita Blend 12oz-standard</t>
  </si>
  <si>
    <t>Diced Onion 8oz-standard</t>
  </si>
  <si>
    <t>XL Baby Spinach 16oz-standard</t>
  </si>
  <si>
    <t>Chrysanthemums Mono 55cm - 1ct bunch</t>
  </si>
  <si>
    <t>Avocado Green Skin 1ct-Loose</t>
  </si>
  <si>
    <t>Mangos* 1ct-LOOSE</t>
  </si>
  <si>
    <t>Melons* Honeydew 1ct-LOOSE</t>
  </si>
  <si>
    <t>Papayas 1lb-Loose</t>
  </si>
  <si>
    <t>Cucumbers* 1ct-LOOSE</t>
  </si>
  <si>
    <t>Spinach Baby 6oz-standard</t>
  </si>
  <si>
    <t>Sweet* Potatoes 1lb-LOOSE</t>
  </si>
  <si>
    <t>Cucumbers* Long English 1ct-LOOSE</t>
  </si>
  <si>
    <t>Apples* Honeycrisp 1lb-LOOSE</t>
  </si>
  <si>
    <t>Organic Baby Spring Mix 5oz-standard</t>
  </si>
  <si>
    <t>Limes* 1ct-LOOSE</t>
  </si>
  <si>
    <t>Potatoes Medley Bite Size 3lb-Standard</t>
  </si>
  <si>
    <t>Zucchini* 1lb-LOOSE</t>
  </si>
  <si>
    <t>Cauliflower* 1ct-LOOSE</t>
  </si>
  <si>
    <t>Pineapple Spears 16oz-standard</t>
  </si>
  <si>
    <t>Mango Chunks 16oz-standard</t>
  </si>
  <si>
    <t>Grapes* Green Seedless 1lb-LOOSE</t>
  </si>
  <si>
    <t>Grapes* Red Seedless 1lb-LOOSE</t>
  </si>
  <si>
    <t>Watermelon Chunks 16oz-standard</t>
  </si>
  <si>
    <t>Potatoes Golden Baby 1.5lb -standard</t>
  </si>
  <si>
    <t>Carrots Baby 16oz-standard</t>
  </si>
  <si>
    <t>Tropical Foliage 4 in Deco Pot 1ct-POT</t>
  </si>
  <si>
    <t>RTE Large Chicken Caesar Salad 13.1oz-standard</t>
  </si>
  <si>
    <t>Lemons* 1ct-LOOSE</t>
  </si>
  <si>
    <t>Avocados* 1ct-LOOSE</t>
  </si>
  <si>
    <t>Lettuce* Iceberg 1ct-standard</t>
  </si>
  <si>
    <t>Grapes* Black Seedless 1lb-LOOSE</t>
  </si>
  <si>
    <t>Radish 1lb-standard</t>
  </si>
  <si>
    <t>Celery Sticks 1.25lb-standard</t>
  </si>
  <si>
    <t>Organic Cucumbers Long English 1ct-LOOSE</t>
  </si>
  <si>
    <t>Organic Romaine Hearts 3ct-standard</t>
  </si>
  <si>
    <t>Organic Apples Gala 2lb-standard</t>
  </si>
  <si>
    <t>Cabbage* 1lb-LOOSE</t>
  </si>
  <si>
    <t>Ginger* 1lb-LOOSE</t>
  </si>
  <si>
    <t>Y</t>
  </si>
  <si>
    <t>Eat Smart Broccoli Florets 2lbs-standard</t>
  </si>
  <si>
    <t>Half and Half 11oz-standard</t>
  </si>
  <si>
    <t>Spring Mix 11oz-standard</t>
  </si>
  <si>
    <t>Squash* Yellow 1lb-LOOSE</t>
  </si>
  <si>
    <t>Coconuts Dry 1ct-loose</t>
  </si>
  <si>
    <t>Eggplants* 1ct-LOOSE</t>
  </si>
  <si>
    <t>Pineapples 1ct-LOOSE</t>
  </si>
  <si>
    <t>See SS-PYE for Store Specific Price</t>
  </si>
  <si>
    <t>See SS-FRG for Store Specific Price</t>
  </si>
  <si>
    <t>See SS-GRM for Store Specific Price</t>
  </si>
  <si>
    <t>New Item</t>
  </si>
  <si>
    <t>New In/Out Item</t>
  </si>
  <si>
    <t>Back to Normal (In/Out)</t>
  </si>
  <si>
    <t>New Core Item</t>
  </si>
  <si>
    <t>Reprint Core Price Tag</t>
  </si>
  <si>
    <t>Reprint In/Out Price Tag</t>
  </si>
  <si>
    <t>Not Available in RDC</t>
  </si>
  <si>
    <t>NA</t>
  </si>
  <si>
    <t>York - South Richland Avenue</t>
  </si>
  <si>
    <t>Burlington NJ - Mt Holly Rd</t>
  </si>
  <si>
    <t>Vineland NJ</t>
  </si>
  <si>
    <t>Middletown DE</t>
  </si>
  <si>
    <t>Hazlet, NJ</t>
  </si>
  <si>
    <t>Cherry Hill NJ - Route 38</t>
  </si>
  <si>
    <t>Dover DE - DuPont</t>
  </si>
  <si>
    <t>Lacey - US 9</t>
  </si>
  <si>
    <t>Staten Island</t>
  </si>
  <si>
    <t>Bergenfield NJ - New Bridge Rd</t>
  </si>
  <si>
    <t>Lansdale PA - Lansdale</t>
  </si>
  <si>
    <t>Howell NJ - Friendship Rd</t>
  </si>
  <si>
    <t>Nottingham MD - Perry Hall</t>
  </si>
  <si>
    <t>Lawrenceville NJ - Brunswick Ave</t>
  </si>
  <si>
    <t>Garwood NJ - South Ave</t>
  </si>
  <si>
    <t>Egg Harbor Township - Fire Rd</t>
  </si>
  <si>
    <t>Riverhead NY - Old Country Rd</t>
  </si>
  <si>
    <t>Islip NY - Islip Ave</t>
  </si>
  <si>
    <t>East Rockaway NY - Atlantic Ave</t>
  </si>
  <si>
    <t>Syosset NY - Jericho Tpke</t>
  </si>
  <si>
    <t>West Babylon NY - Sunrise Hwy</t>
  </si>
  <si>
    <t>Massapequa NY - Merrick Rd</t>
  </si>
  <si>
    <t>East Northport NY - Larkfield Rd</t>
  </si>
  <si>
    <t>Astoria NY - 37th St</t>
  </si>
  <si>
    <t>Westhampton Beach NY - Sunset Ave</t>
  </si>
  <si>
    <t>Plainview NY - Morton Village</t>
  </si>
  <si>
    <t>Farmingdale NY - Northwest Dr</t>
  </si>
  <si>
    <t>North Chesterfield</t>
  </si>
  <si>
    <t>Newport News VA</t>
  </si>
  <si>
    <t>Suffolk VA</t>
  </si>
  <si>
    <t>Richmond-Laburnam</t>
  </si>
  <si>
    <t>Bowie, MD</t>
  </si>
  <si>
    <t>Woodbridge VA</t>
  </si>
  <si>
    <t>Fredericksburg VA</t>
  </si>
  <si>
    <t>Culpeper VA</t>
  </si>
  <si>
    <t>Dumfries, VA</t>
  </si>
  <si>
    <t>Chesapeake VA</t>
  </si>
  <si>
    <t>Norfolk VA</t>
  </si>
  <si>
    <t>Virginia Beach VA</t>
  </si>
  <si>
    <t>Richmond-Greengate</t>
  </si>
  <si>
    <t>Henrico VA</t>
  </si>
  <si>
    <t>Manassas VA</t>
  </si>
  <si>
    <t>Lanham MD - Mission Dr</t>
  </si>
  <si>
    <t>College Park-Baltimore Avenue</t>
  </si>
  <si>
    <t>Richmond VA</t>
  </si>
  <si>
    <t>Ashburn VA</t>
  </si>
  <si>
    <t>Springfield VA - Commerce St</t>
  </si>
  <si>
    <t>Hagerstown_Dual Highway</t>
  </si>
  <si>
    <t>Virginia Beach VA - Haygood</t>
  </si>
  <si>
    <t>Catonsville MD - Baltimore National Pike</t>
  </si>
  <si>
    <t>Columbia MD - Columbia Mall</t>
  </si>
  <si>
    <t>Falls Church VA - Merrifield</t>
  </si>
  <si>
    <t>Sterling VA - Leesburg Pike</t>
  </si>
  <si>
    <t>Frederick MD - W Patrick St</t>
  </si>
  <si>
    <t>Charlottesville VA - Seminole Trail</t>
  </si>
  <si>
    <t>Greenville NC</t>
  </si>
  <si>
    <t>Winston salem</t>
  </si>
  <si>
    <t>Indian Land SC</t>
  </si>
  <si>
    <t>Thomasville NC</t>
  </si>
  <si>
    <t>Rock Hill SC</t>
  </si>
  <si>
    <t>Charlotte NC - Stonehaven</t>
  </si>
  <si>
    <t>Wake Forest NC</t>
  </si>
  <si>
    <t>Gastonia NC</t>
  </si>
  <si>
    <t>Charlotte NC - Charlotte - University</t>
  </si>
  <si>
    <t>Raleigh NC</t>
  </si>
  <si>
    <t>Augusta GA</t>
  </si>
  <si>
    <t>North Augusta SC</t>
  </si>
  <si>
    <t>Greenville SC</t>
  </si>
  <si>
    <t>Wilmington NC - Eastwood Rd</t>
  </si>
  <si>
    <t>Morehead City NC</t>
  </si>
  <si>
    <t>Indian Trail, NC</t>
  </si>
  <si>
    <t>Orangeburg SC</t>
  </si>
  <si>
    <t>Winston Salem NC</t>
  </si>
  <si>
    <t>Cary NC - N Harrison Ave</t>
  </si>
  <si>
    <t>Goose Creek SC</t>
  </si>
  <si>
    <t>Lexington SC</t>
  </si>
  <si>
    <t>Greenwood SC</t>
  </si>
  <si>
    <t>Greensboro NC - W Gate City Blvd</t>
  </si>
  <si>
    <t>Matthews NC - Idlewild</t>
  </si>
  <si>
    <t>Concord, NC</t>
  </si>
  <si>
    <t>Florence SC</t>
  </si>
  <si>
    <t>Decatur GA - Stonecrest</t>
  </si>
  <si>
    <t>Charlotte NC - Steele Creek</t>
  </si>
  <si>
    <t>Burlington - S Church St</t>
  </si>
  <si>
    <t>Roswell GA - Holcomb Bridge Rd</t>
  </si>
  <si>
    <t>Duluth GA - Peachtree Industrial Blvd</t>
  </si>
  <si>
    <t>Cary - NC-55</t>
  </si>
  <si>
    <t>Beets Pickled 8oz-standard</t>
  </si>
  <si>
    <t>Organic Blueberries 1pt-standard</t>
  </si>
  <si>
    <t>Belleville NJ - Main St</t>
  </si>
  <si>
    <t>Broccoli* Crown 1lb-LOOSE</t>
  </si>
  <si>
    <t>Tomatoes* Beefsteak 1lb-LOOSE</t>
  </si>
  <si>
    <t>Apples Fun Size 2lb-standard</t>
  </si>
  <si>
    <t>Peppers Mini Sweet Bell 8oz-standard</t>
  </si>
  <si>
    <t>MD Zone</t>
  </si>
  <si>
    <t>Pompton Lakes NJ - Wanaque Ave</t>
  </si>
  <si>
    <t>Potatoes White 5lb-standard</t>
  </si>
  <si>
    <t>Tomatoes Crimson 2ct-standard</t>
  </si>
  <si>
    <t>RTE Santa Fe Salad 6.25oz-standard</t>
  </si>
  <si>
    <t>RTE Large Santa Fe Salad 14oz-standard</t>
  </si>
  <si>
    <t>Squash* Spaghetti 1lb-LOOSE</t>
  </si>
  <si>
    <t>OLD</t>
  </si>
  <si>
    <t>Elmwood Park</t>
  </si>
  <si>
    <t>Shirley</t>
  </si>
  <si>
    <t>Organic Roma Tomatoes 1lb-standard</t>
  </si>
  <si>
    <t>Tropical Foliage in Ceramic 5 1ct-POT</t>
  </si>
  <si>
    <t>West Babylon NY - Montauk Hwy</t>
  </si>
  <si>
    <t>Tomatoes* on the Vine 1lb-LOOSE</t>
  </si>
  <si>
    <t>Mixed Bouquet Premium Seasonal - 1ct bunch</t>
  </si>
  <si>
    <t>Organic Onions Yellow 2lb-standard</t>
  </si>
  <si>
    <t>Orchids Phalaenopsis 5 inch - 1ct POT</t>
  </si>
  <si>
    <t>Cabbage Red 1lb-LOOSE</t>
  </si>
  <si>
    <t>Organic Coconut Chunks 4oz-standard</t>
  </si>
  <si>
    <t>Apples Specialty 2lb-standard</t>
  </si>
  <si>
    <t>Peppers Jalapeno 8oz-standard</t>
  </si>
  <si>
    <t xml:space="preserve">Case Content </t>
  </si>
  <si>
    <t>Lower Price (Sales Ticket) Standard (Standard Ticket) No Ticket Required</t>
  </si>
  <si>
    <t xml:space="preserve">Comments </t>
  </si>
  <si>
    <t xml:space="preserve">Astoria NY 37th St. </t>
  </si>
  <si>
    <t>Collard Greens 16oz-standard</t>
  </si>
  <si>
    <t>Vegetable Medley 12oz-standard</t>
  </si>
  <si>
    <t>Snow Peas 8oz-standard</t>
  </si>
  <si>
    <t>Watermelons* Mini Seedless 1ct-LOOSE</t>
  </si>
  <si>
    <t>Potatoes Mixed Baby 1.5lb-standard</t>
  </si>
  <si>
    <t>Pico Guacamole 14oz-standard</t>
  </si>
  <si>
    <t>Wed-Tue</t>
  </si>
  <si>
    <t>Orangeburg SC - North Rd</t>
  </si>
  <si>
    <t>Asparagus Spears 10oz-standard</t>
  </si>
  <si>
    <t>Apples Pink Lady 3lb-standard</t>
  </si>
  <si>
    <t>Squash* Butternut 1lb-LOOSE</t>
  </si>
  <si>
    <t>Apples* Seasonal 1lb-LOOSE</t>
  </si>
  <si>
    <t>Cucumbers Baby 9oz-standard</t>
  </si>
  <si>
    <t>Mushrooms Sliced Shiitake 5oz-standard</t>
  </si>
  <si>
    <t>Tomatillos 1lb-loose</t>
  </si>
  <si>
    <t>Strawberries 2lb-standard</t>
  </si>
  <si>
    <t>Dates Medjool 1lb-standard</t>
  </si>
  <si>
    <t>Roses 50cm - 1ct bunch</t>
  </si>
  <si>
    <t>Melons Cantaloupes 1ct-LOOSE</t>
  </si>
  <si>
    <t>Green Onions 1ct-bunch</t>
  </si>
  <si>
    <t>Onions White 1lb Loose</t>
  </si>
  <si>
    <t>Gaithersburg</t>
  </si>
  <si>
    <t>Rose &amp; Lily Bouquet 50cm - 1ct bunch</t>
  </si>
  <si>
    <t>Apples Cosmic Crisp 2lb-standard</t>
  </si>
  <si>
    <t>Mixed Bouquet 48cm - 1ct bunch</t>
  </si>
  <si>
    <t>Mixed Bouquet Premium 48cm - 1ct bunch</t>
  </si>
  <si>
    <t>Mini Carnations 55cm - 1ct bunch</t>
  </si>
  <si>
    <t>Harlem</t>
  </si>
  <si>
    <t>King of Prussia</t>
  </si>
  <si>
    <t>Organic Sweet Potatoes 3lb-standard</t>
  </si>
  <si>
    <t>Leeks* 3ct-BUNCH</t>
  </si>
  <si>
    <t>x</t>
  </si>
  <si>
    <t>Plums 2lb-standard</t>
  </si>
  <si>
    <t>175 STONE FRUIT</t>
  </si>
  <si>
    <t>STONE FRUIT</t>
  </si>
  <si>
    <t>Pickled Onions 12oz-standard</t>
  </si>
  <si>
    <t>Carrots Chips 16oz-standard</t>
  </si>
  <si>
    <t>Spinach 10oz-standard</t>
  </si>
  <si>
    <t>N</t>
  </si>
  <si>
    <t>Cinnaminson</t>
  </si>
  <si>
    <t>Lilies Asiatic 60cm - 1ct bunch</t>
  </si>
  <si>
    <t>P1A</t>
  </si>
  <si>
    <t>P01</t>
  </si>
  <si>
    <t>P2A</t>
  </si>
  <si>
    <t>P02</t>
  </si>
  <si>
    <t>F2N</t>
  </si>
  <si>
    <t>P3N</t>
  </si>
  <si>
    <t>P03</t>
  </si>
  <si>
    <t>P4N</t>
  </si>
  <si>
    <t>P04</t>
  </si>
  <si>
    <t>F4A, F4N</t>
  </si>
  <si>
    <t>G5A</t>
  </si>
  <si>
    <t>P05</t>
  </si>
  <si>
    <t>F5A</t>
  </si>
  <si>
    <t>G6A</t>
  </si>
  <si>
    <t>P06</t>
  </si>
  <si>
    <t>G7A, G7N</t>
  </si>
  <si>
    <t>P07</t>
  </si>
  <si>
    <t>P8A</t>
  </si>
  <si>
    <t>P08</t>
  </si>
  <si>
    <t>Avocado Ranch Salad Bowl 7.2oz-Standard</t>
  </si>
  <si>
    <t>Spicy Southwest Salad Bowl 5.9oz-standard</t>
  </si>
  <si>
    <t>Digital Coupon</t>
  </si>
  <si>
    <t>Not Orderable (x) 
Available for order again (A)
New to Assortment (N) for FRG (B+A)</t>
  </si>
  <si>
    <t>Hydrangeas 48cm 1ct-BUNCH</t>
  </si>
  <si>
    <t>12/ 15</t>
  </si>
  <si>
    <t>Organic Potted Mint 1ct-POT</t>
  </si>
  <si>
    <t>Buford, GA</t>
  </si>
  <si>
    <t>Plantains 1ct-LOOSE</t>
  </si>
  <si>
    <t>Organic Peppers Mini Sweet Bell 8oz-PK</t>
  </si>
  <si>
    <t>Baby Broccoli 12oz-standard</t>
  </si>
  <si>
    <t>English Peas 8oz-standard</t>
  </si>
  <si>
    <t>Dates Almond 12oz-standard</t>
  </si>
  <si>
    <t>Dates Coconut 12oz-standard</t>
  </si>
  <si>
    <t>APPLES</t>
  </si>
  <si>
    <t>BANANAS</t>
  </si>
  <si>
    <t>EXOTICS</t>
  </si>
  <si>
    <t>CUCUMBERS</t>
  </si>
  <si>
    <t>GREEN VEG</t>
  </si>
  <si>
    <t>CARROTS</t>
  </si>
  <si>
    <t>SQUASH</t>
  </si>
  <si>
    <t>TOMATOES</t>
  </si>
  <si>
    <t>AVOCADOS</t>
  </si>
  <si>
    <t>PEPPERS</t>
  </si>
  <si>
    <t>GAR/GIN/SHAL</t>
  </si>
  <si>
    <t>POT/ONION</t>
  </si>
  <si>
    <t>HERBS</t>
  </si>
  <si>
    <t>FLORAL</t>
  </si>
  <si>
    <t>MyLidl</t>
  </si>
  <si>
    <t>Organic Carrots and Ranch 5oz-standard</t>
  </si>
  <si>
    <t>Charlotte NC</t>
  </si>
  <si>
    <t>Crunchy Sesame 6.1oz-Standard</t>
  </si>
  <si>
    <t>Organic Potatoes Yellow 3lb-standard</t>
  </si>
  <si>
    <t>Organic Strawberries 1lb-standard</t>
  </si>
  <si>
    <t>Kiwis Gold 1ct-LOOSE</t>
  </si>
  <si>
    <t>Kiwis Gold 1lb-standard</t>
  </si>
  <si>
    <t>Pickled Jalapenos 12oz-standard</t>
  </si>
  <si>
    <t>Carrots and Hummus 5.5oz-standard</t>
  </si>
  <si>
    <t>Pineapples Super Sweet 1ct - Loose</t>
  </si>
  <si>
    <t>RTE Cranberry Walnut Salad 4.5oz-standard</t>
  </si>
  <si>
    <t>Peaches 2lb-standard</t>
  </si>
  <si>
    <t>Nectarines 1lb-LOOSE</t>
  </si>
  <si>
    <t>Nectarines 2lb-standard</t>
  </si>
  <si>
    <t>Peaches* 1lb-LOOSE</t>
  </si>
  <si>
    <t>Organic Baby Beets Box A 6.5oz-standard</t>
  </si>
  <si>
    <t>Email</t>
  </si>
  <si>
    <t>Green Beans 32oz-standard</t>
  </si>
  <si>
    <t>McLean</t>
  </si>
  <si>
    <t>Potatoes Specialty Microwavable 1lb-standard</t>
  </si>
  <si>
    <t>Cucumbers Baby 1lb-standard</t>
  </si>
  <si>
    <t>Tomatoes Grape 1.5lb-standard</t>
  </si>
  <si>
    <t>Savory Spinach Dijon Salad 4.9oz-standard</t>
  </si>
  <si>
    <t>na</t>
  </si>
  <si>
    <t>Avocados 4ct-standard</t>
  </si>
  <si>
    <t>Everything Chopped Salad Kit 11.57oz-standard</t>
  </si>
  <si>
    <t>Garden City Park, NY</t>
  </si>
  <si>
    <t>Aloe Leaves* 1ct-LOOSE</t>
  </si>
  <si>
    <t>Rambutan 12oz-standard</t>
  </si>
  <si>
    <t>Peonies 50cm - 1ct bunch</t>
  </si>
  <si>
    <t>Clifton Heights - PA</t>
  </si>
  <si>
    <t>Plums 1lb-LOOSE</t>
  </si>
  <si>
    <t>Melon Trio 16oz-standard</t>
  </si>
  <si>
    <t>Oranges Navel 3lb-standard</t>
  </si>
  <si>
    <t>Caesar Salad Kit 10oz-Standard</t>
  </si>
  <si>
    <t>Tropical Foliage 10 inch - 1ct POT</t>
  </si>
  <si>
    <t>Carrots Shredded 10oz-standard</t>
  </si>
  <si>
    <t>Kiwis Green 2lb-standard</t>
  </si>
  <si>
    <t>Hero 2/Email</t>
  </si>
  <si>
    <t>Baltimore, MD</t>
  </si>
  <si>
    <t>Baby Beets Marinated Box B 6.5oz-standard</t>
  </si>
  <si>
    <t>Hero 1/Email</t>
  </si>
  <si>
    <t>Tomatoes Cherry on the Vine 8oz-standard</t>
  </si>
  <si>
    <t>WEEK</t>
  </si>
  <si>
    <t>Eggplant Graffiti 1ct-loose</t>
  </si>
  <si>
    <t>Mini Succulents 2.5 inch - 1ct POT</t>
  </si>
  <si>
    <t>Turmeric 6oz-standard</t>
  </si>
  <si>
    <t>Salty Caramelicious Bliss 3.2oz-standard</t>
  </si>
  <si>
    <t>Berry Lemony Bliss 3.2oz-standard</t>
  </si>
  <si>
    <t>Sweet 'N Crunchy Boost Bento 5.5oz-standard</t>
  </si>
  <si>
    <t>50 CONV CHILLER</t>
  </si>
  <si>
    <t>CONV CHILLER</t>
  </si>
  <si>
    <t>B,2</t>
  </si>
  <si>
    <t>B</t>
  </si>
  <si>
    <t>MT</t>
  </si>
  <si>
    <t>Reisterstown, MD</t>
  </si>
  <si>
    <t>Pears* Bartlett 1lb-LOOSE</t>
  </si>
  <si>
    <t>Peppers Shishito 12oz-standard</t>
  </si>
  <si>
    <t>Roasted Herb Sheet Pan Meal 21.1oz-standard</t>
  </si>
  <si>
    <t>Figs 8oz-standard</t>
  </si>
  <si>
    <t>Lemon Parmesan Sheet Pan Meal 21.1oz-standard</t>
  </si>
  <si>
    <t>Country Cobb Salad Bowl 7.25oz-standard</t>
  </si>
  <si>
    <t>Butter Blend 5oz-standard</t>
  </si>
  <si>
    <t>Veggies &amp; Dip 7oz-standard</t>
  </si>
  <si>
    <t>Turkey &amp; Cheese 6oz-standard</t>
  </si>
  <si>
    <t>Atlanta GA - Memorial Dr SE</t>
  </si>
  <si>
    <t>Guava 1lb-loose</t>
  </si>
  <si>
    <t>Dragonfruits 3ct-standard</t>
  </si>
  <si>
    <t/>
  </si>
  <si>
    <t>Organic Kale Greens 12oz-standard</t>
  </si>
  <si>
    <t>Organic* Grapes Green Seedless 2lb-standard</t>
  </si>
  <si>
    <t>Organic* Grapes Red Seedless 2lb-standard</t>
  </si>
  <si>
    <t>Fall Mum 8 inch 1ct-POT</t>
  </si>
  <si>
    <t>Fleurette Mum 5 inch - 1ct POT</t>
  </si>
  <si>
    <t>Floral Mums 6 inch - 1ct POT</t>
  </si>
  <si>
    <t>Croton 6 inch - 1ct POT</t>
  </si>
  <si>
    <t>Mums Long Island 9 inch</t>
  </si>
  <si>
    <t>POT</t>
  </si>
  <si>
    <t>Long Island Mum 9 inch 1ct-POT</t>
  </si>
  <si>
    <t>3 for $12</t>
  </si>
  <si>
    <t>WK</t>
  </si>
  <si>
    <t>L3N</t>
  </si>
  <si>
    <t>L2A</t>
  </si>
  <si>
    <t>Sweet Kale Salad Kit 12oz-standard</t>
  </si>
  <si>
    <t>Apples Honeycrisp Tote* 1lb-LOOSE</t>
  </si>
  <si>
    <t>Apples* Tote 1lb-LOOSE</t>
  </si>
  <si>
    <t>Apples Ginger Gold 5lb-standard</t>
  </si>
  <si>
    <t>Gypsophila 48cm - 1ct bunch</t>
  </si>
  <si>
    <t>Oranges Cara Cara 3lb-standard</t>
  </si>
  <si>
    <t>Air Plant 2.5 inches 1ct-POT</t>
  </si>
  <si>
    <t>Mixed Greens 1ct-bunch</t>
  </si>
  <si>
    <t>Bamboo 2.5 inch</t>
  </si>
  <si>
    <t>Artichokes 2ct-standard</t>
  </si>
  <si>
    <t>Organic Half and Half 16oz-standard</t>
  </si>
  <si>
    <t>Garden Salad 24oz-standard</t>
  </si>
  <si>
    <t>Very Veggie 10oz-standard</t>
  </si>
  <si>
    <t>Commack NY - E Jericho Tpke</t>
  </si>
  <si>
    <t>Onions Yellow Sweet 3lb-standard</t>
  </si>
  <si>
    <t>Organic Onions Yellow Sweet 2lb-standard</t>
  </si>
  <si>
    <t>Apples* Ginger Gold 1lb-LOOSE</t>
  </si>
  <si>
    <t>Coconuts Young 1ct-loose</t>
  </si>
  <si>
    <t>Mini Roses 6 inch - 1ct POT</t>
  </si>
  <si>
    <t>B,1,2,8</t>
  </si>
  <si>
    <t>Scented Pine Cones - 1ct PK</t>
  </si>
  <si>
    <t>Cinnamon Broom 36 inch - 1ct PK</t>
  </si>
  <si>
    <t>Cinnamon Brooms 6 inch - 1ct PK</t>
  </si>
  <si>
    <t>Harvest Grain - 1ct bunch</t>
  </si>
  <si>
    <t>Fall Broom Bouquet - 1ct bunch</t>
  </si>
  <si>
    <t>Apple Orchard Brooms 3 inch 1ct-PK</t>
  </si>
  <si>
    <t>Pumpkin Spice Brooms 3 inch 1ct-PK</t>
  </si>
  <si>
    <t>Raspberries 12oz-standard</t>
  </si>
  <si>
    <t>Blackberries 12oz-standard</t>
  </si>
  <si>
    <t>Point Pelee Mum 6 inch - 1ct POT</t>
  </si>
  <si>
    <t>Lavender English 5 inch - 1ct POT</t>
  </si>
  <si>
    <t>Mangos 1ct-loose</t>
  </si>
  <si>
    <t>/ea.</t>
  </si>
  <si>
    <t>Limit 8</t>
  </si>
  <si>
    <t>Chopped Caesar Kit 10.6oz-standard</t>
  </si>
  <si>
    <t>Greek Chopped Salad Kit 10.3oz-standard</t>
  </si>
  <si>
    <t>BBQ Ranch Salad Kit 13oz-standard</t>
  </si>
  <si>
    <t>Pumpkins* Carving 1ct-LOOSE</t>
  </si>
  <si>
    <t>100 BINS</t>
  </si>
  <si>
    <t>BINS</t>
  </si>
  <si>
    <t>Pumpkins* Heirloom 1ct-LOOSE</t>
  </si>
  <si>
    <t>Apples Caramel 3ct-standard</t>
  </si>
  <si>
    <t>Money Tree 5 inch - 1ct POT</t>
  </si>
  <si>
    <t>Mini Roses 4 inch - 1ct POT</t>
  </si>
  <si>
    <t>Eucalyptus 6 inch 1ct-POT</t>
  </si>
  <si>
    <t>Ornamental Cabbage and Kale 9 inch 1ct-Pot</t>
  </si>
  <si>
    <t>Grapes Specialty* 1lb-LOOSE</t>
  </si>
  <si>
    <t>Lemons 1ct-loose</t>
  </si>
  <si>
    <t xml:space="preserve">Limit 8 </t>
  </si>
  <si>
    <t>Peaches 1lb-loose</t>
  </si>
  <si>
    <t>/lb.</t>
  </si>
  <si>
    <t>Limit 10lbs.</t>
  </si>
  <si>
    <t>SLP/Email</t>
  </si>
  <si>
    <t>Kiwis Gold 1lb-PK</t>
  </si>
  <si>
    <t>Cucumbers Long English 1ct-loose</t>
  </si>
  <si>
    <t>Sat-Sun</t>
  </si>
  <si>
    <t>Oranges Navel 3lb-PK, PC</t>
  </si>
  <si>
    <t>Fall Mum 12 inch 1ct-POT</t>
  </si>
  <si>
    <t>Buy 1, Get 1 50% Off</t>
  </si>
  <si>
    <t>WKND</t>
  </si>
  <si>
    <t>G7A/G7N</t>
  </si>
  <si>
    <t>F4A/F4N</t>
  </si>
  <si>
    <t>A</t>
  </si>
  <si>
    <t>Pumpkins Mini 5ct-standard</t>
  </si>
  <si>
    <t>Pumpkins Tiger Stripe 3ct-standard</t>
  </si>
  <si>
    <t>Pumpkins* Pie 1ct-LOOSE</t>
  </si>
  <si>
    <t>Gourds 5ct-standard</t>
  </si>
  <si>
    <t>X</t>
  </si>
  <si>
    <t>1 day extension</t>
  </si>
  <si>
    <t>1,2,8</t>
  </si>
  <si>
    <t>Squash* Acorn 1lb-LOOSE</t>
  </si>
  <si>
    <t>Squash Kabocha* 1lb-LOOSE</t>
  </si>
  <si>
    <t>B,2,8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</si>
</sst>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indexed="8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5"/>
      <name val="Arial"/>
      <family val="2"/>
    </font>
    <font>
      <b/>
      <sz val="14"/>
      <color rgb="FFFFFFFF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6"/>
      <color rgb="FFFFFFFF"/>
      <name val="Arial"/>
      <family val="2"/>
    </font>
    <font>
      <sz val="12"/>
      <name val="Arial"/>
      <family val="2"/>
    </font>
    <font>
      <b/>
      <sz val="16"/>
      <color indexed="8"/>
      <name val="Arial"/>
      <family val="2"/>
    </font>
    <font>
      <b/>
      <sz val="16"/>
      <color indexed="9"/>
      <name val="Arial"/>
      <family val="2"/>
    </font>
    <font>
      <b/>
      <sz val="16"/>
      <color theme="1"/>
      <name val="Arial"/>
      <family val="2"/>
    </font>
    <font>
      <sz val="8"/>
      <name val="Calibri"/>
      <family val="2"/>
      <scheme val="minor"/>
    </font>
    <font>
      <b/>
      <sz val="26"/>
      <color indexed="8"/>
      <name val="Arial"/>
      <family val="2"/>
    </font>
    <font>
      <sz val="10"/>
      <color indexed="8"/>
      <name val="Arial"/>
      <family val="2"/>
    </font>
    <font>
      <sz val="25"/>
      <color indexed="8"/>
      <name val="Arial"/>
      <family val="2"/>
    </font>
    <font>
      <b/>
      <sz val="14"/>
      <color indexed="8"/>
      <name val="Arial"/>
      <family val="2"/>
    </font>
    <font>
      <sz val="22"/>
      <color indexed="9"/>
      <name val="Arial"/>
      <family val="2"/>
    </font>
    <font>
      <sz val="14"/>
      <name val="Arial"/>
      <family val="2"/>
    </font>
    <font>
      <sz val="10"/>
      <name val="Calibri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rgb="FFFA7D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rgb="FFFF8001"/>
      </bottom>
      <diagonal/>
    </border>
  </borders>
  <cellStyleXfs count="3">
    <xf numFmtId="0" fontId="0" fillId="0" borderId="0"/>
    <xf numFmtId="0" fontId="7" fillId="0" borderId="0"/>
    <xf numFmtId="0" fontId="32" fillId="0" borderId="49" applyNumberFormat="0" applyFill="0" applyAlignment="0" applyProtection="0"/>
  </cellStyleXfs>
  <cellXfs count="354">
    <xf numFmtId="0" fontId="0" fillId="0" borderId="0" xfId="0"/>
    <xf numFmtId="0" fontId="2" fillId="0" borderId="0" xfId="0" applyFont="1"/>
    <xf numFmtId="0" fontId="3" fillId="0" borderId="0" xfId="0" applyFont="1"/>
    <xf numFmtId="14" fontId="5" fillId="3" borderId="6" xfId="0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14" fontId="5" fillId="3" borderId="3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8" fillId="0" borderId="0" xfId="0" applyFont="1"/>
    <xf numFmtId="14" fontId="9" fillId="0" borderId="0" xfId="0" applyNumberFormat="1" applyFont="1"/>
    <xf numFmtId="0" fontId="10" fillId="0" borderId="0" xfId="0" applyFont="1"/>
    <xf numFmtId="0" fontId="6" fillId="0" borderId="6" xfId="0" applyFont="1" applyBorder="1"/>
    <xf numFmtId="0" fontId="11" fillId="5" borderId="6" xfId="0" applyFont="1" applyFill="1" applyBorder="1"/>
    <xf numFmtId="0" fontId="1" fillId="0" borderId="0" xfId="0" applyFont="1"/>
    <xf numFmtId="0" fontId="6" fillId="0" borderId="8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11" xfId="0" applyBorder="1"/>
    <xf numFmtId="14" fontId="1" fillId="0" borderId="0" xfId="0" applyNumberFormat="1" applyFont="1" applyAlignment="1">
      <alignment horizontal="center" vertical="center"/>
    </xf>
    <xf numFmtId="0" fontId="11" fillId="5" borderId="0" xfId="0" applyFont="1" applyFill="1"/>
    <xf numFmtId="0" fontId="0" fillId="0" borderId="6" xfId="0" applyBorder="1"/>
    <xf numFmtId="0" fontId="19" fillId="3" borderId="8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vertical="center"/>
    </xf>
    <xf numFmtId="14" fontId="19" fillId="3" borderId="8" xfId="0" applyNumberFormat="1" applyFont="1" applyFill="1" applyBorder="1" applyAlignment="1">
      <alignment horizontal="center" vertical="center" wrapText="1"/>
    </xf>
    <xf numFmtId="0" fontId="19" fillId="3" borderId="8" xfId="0" applyFont="1" applyFill="1" applyBorder="1" applyAlignment="1">
      <alignment horizontal="center" vertical="center" wrapText="1"/>
    </xf>
    <xf numFmtId="1" fontId="20" fillId="4" borderId="8" xfId="0" applyNumberFormat="1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left" vertical="center"/>
    </xf>
    <xf numFmtId="0" fontId="20" fillId="4" borderId="8" xfId="0" applyFont="1" applyFill="1" applyBorder="1" applyAlignment="1">
      <alignment horizontal="center" vertical="center"/>
    </xf>
    <xf numFmtId="14" fontId="20" fillId="4" borderId="8" xfId="0" applyNumberFormat="1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 wrapText="1"/>
    </xf>
    <xf numFmtId="14" fontId="21" fillId="3" borderId="8" xfId="0" applyNumberFormat="1" applyFont="1" applyFill="1" applyBorder="1" applyAlignment="1">
      <alignment horizontal="center" vertical="center" wrapText="1"/>
    </xf>
    <xf numFmtId="14" fontId="23" fillId="8" borderId="3" xfId="0" applyNumberFormat="1" applyFont="1" applyFill="1" applyBorder="1" applyAlignment="1">
      <alignment vertical="center"/>
    </xf>
    <xf numFmtId="0" fontId="19" fillId="8" borderId="5" xfId="0" applyFont="1" applyFill="1" applyBorder="1" applyAlignment="1">
      <alignment horizontal="left" vertical="center"/>
    </xf>
    <xf numFmtId="14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5" fillId="0" borderId="0" xfId="0" applyFont="1" applyAlignment="1">
      <alignment horizontal="center" vertical="center"/>
    </xf>
    <xf numFmtId="2" fontId="5" fillId="9" borderId="6" xfId="0" applyNumberFormat="1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" fontId="18" fillId="0" borderId="6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horizontal="left" vertical="center"/>
    </xf>
    <xf numFmtId="0" fontId="18" fillId="0" borderId="6" xfId="0" applyFont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8" fillId="0" borderId="6" xfId="0" applyNumberFormat="1" applyFont="1" applyBorder="1" applyAlignment="1">
      <alignment horizontal="center" vertical="center"/>
    </xf>
    <xf numFmtId="14" fontId="18" fillId="0" borderId="6" xfId="0" applyNumberFormat="1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vertical="center"/>
    </xf>
    <xf numFmtId="2" fontId="18" fillId="0" borderId="3" xfId="0" applyNumberFormat="1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6" xfId="0" applyFont="1" applyBorder="1"/>
    <xf numFmtId="0" fontId="11" fillId="0" borderId="0" xfId="0" applyFont="1"/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/>
    </xf>
    <xf numFmtId="0" fontId="12" fillId="6" borderId="0" xfId="0" applyFont="1" applyFill="1"/>
    <xf numFmtId="0" fontId="6" fillId="6" borderId="8" xfId="0" applyFont="1" applyFill="1" applyBorder="1"/>
    <xf numFmtId="0" fontId="17" fillId="6" borderId="8" xfId="0" applyFont="1" applyFill="1" applyBorder="1"/>
    <xf numFmtId="1" fontId="18" fillId="0" borderId="6" xfId="0" applyNumberFormat="1" applyFont="1" applyBorder="1" applyAlignment="1">
      <alignment horizontal="left" vertical="center"/>
    </xf>
    <xf numFmtId="0" fontId="30" fillId="0" borderId="0" xfId="0" applyFont="1"/>
    <xf numFmtId="0" fontId="16" fillId="0" borderId="0" xfId="0" applyFont="1" applyAlignment="1">
      <alignment horizontal="left"/>
    </xf>
    <xf numFmtId="0" fontId="10" fillId="2" borderId="0" xfId="0" applyFont="1" applyFill="1"/>
    <xf numFmtId="14" fontId="0" fillId="0" borderId="0" xfId="0" applyNumberFormat="1"/>
    <xf numFmtId="0" fontId="11" fillId="5" borderId="14" xfId="0" applyFont="1" applyFill="1" applyBorder="1"/>
    <xf numFmtId="0" fontId="11" fillId="5" borderId="15" xfId="0" applyFont="1" applyFill="1" applyBorder="1"/>
    <xf numFmtId="0" fontId="11" fillId="5" borderId="16" xfId="0" applyFont="1" applyFill="1" applyBorder="1"/>
    <xf numFmtId="0" fontId="11" fillId="5" borderId="17" xfId="0" applyFont="1" applyFill="1" applyBorder="1"/>
    <xf numFmtId="0" fontId="18" fillId="0" borderId="0" xfId="0" applyFont="1"/>
    <xf numFmtId="0" fontId="11" fillId="5" borderId="18" xfId="0" applyFont="1" applyFill="1" applyBorder="1"/>
    <xf numFmtId="2" fontId="6" fillId="6" borderId="8" xfId="0" applyNumberFormat="1" applyFont="1" applyFill="1" applyBorder="1"/>
    <xf numFmtId="2" fontId="6" fillId="0" borderId="8" xfId="0" applyNumberFormat="1" applyFont="1" applyBorder="1" applyAlignment="1">
      <alignment wrapText="1"/>
    </xf>
    <xf numFmtId="0" fontId="11" fillId="5" borderId="20" xfId="0" applyFont="1" applyFill="1" applyBorder="1"/>
    <xf numFmtId="0" fontId="11" fillId="5" borderId="22" xfId="0" applyFont="1" applyFill="1" applyBorder="1"/>
    <xf numFmtId="0" fontId="11" fillId="5" borderId="23" xfId="0" applyFont="1" applyFill="1" applyBorder="1"/>
    <xf numFmtId="0" fontId="11" fillId="5" borderId="24" xfId="0" applyFont="1" applyFill="1" applyBorder="1"/>
    <xf numFmtId="0" fontId="11" fillId="5" borderId="25" xfId="0" applyFont="1" applyFill="1" applyBorder="1"/>
    <xf numFmtId="0" fontId="11" fillId="5" borderId="26" xfId="0" applyFont="1" applyFill="1" applyBorder="1"/>
    <xf numFmtId="0" fontId="11" fillId="5" borderId="27" xfId="0" applyFont="1" applyFill="1" applyBorder="1"/>
    <xf numFmtId="0" fontId="11" fillId="5" borderId="28" xfId="0" applyFont="1" applyFill="1" applyBorder="1"/>
    <xf numFmtId="0" fontId="11" fillId="5" borderId="29" xfId="0" applyFont="1" applyFill="1" applyBorder="1"/>
    <xf numFmtId="0" fontId="11" fillId="5" borderId="30" xfId="0" applyFont="1" applyFill="1" applyBorder="1"/>
    <xf numFmtId="0" fontId="11" fillId="5" borderId="31" xfId="0" applyFont="1" applyFill="1" applyBorder="1"/>
    <xf numFmtId="0" fontId="11" fillId="5" borderId="34" xfId="0" applyFont="1" applyFill="1" applyBorder="1"/>
    <xf numFmtId="0" fontId="11" fillId="5" borderId="35" xfId="0" applyFont="1" applyFill="1" applyBorder="1"/>
    <xf numFmtId="0" fontId="11" fillId="5" borderId="36" xfId="0" applyFont="1" applyFill="1" applyBorder="1"/>
    <xf numFmtId="0" fontId="11" fillId="5" borderId="37" xfId="0" applyFont="1" applyFill="1" applyBorder="1"/>
    <xf numFmtId="0" fontId="11" fillId="5" borderId="38" xfId="0" applyFont="1" applyFill="1" applyBorder="1"/>
    <xf numFmtId="0" fontId="11" fillId="5" borderId="39" xfId="0" applyFont="1" applyFill="1" applyBorder="1"/>
    <xf numFmtId="0" fontId="11" fillId="5" borderId="40" xfId="0" applyFont="1" applyFill="1" applyBorder="1"/>
    <xf numFmtId="0" fontId="11" fillId="5" borderId="41" xfId="0" applyFont="1" applyFill="1" applyBorder="1"/>
    <xf numFmtId="0" fontId="11" fillId="5" borderId="42" xfId="0" applyFont="1" applyFill="1" applyBorder="1"/>
    <xf numFmtId="0" fontId="11" fillId="5" borderId="43" xfId="0" applyFont="1" applyFill="1" applyBorder="1"/>
    <xf numFmtId="0" fontId="11" fillId="5" borderId="44" xfId="0" applyFont="1" applyFill="1" applyBorder="1"/>
    <xf numFmtId="0" fontId="11" fillId="5" borderId="45" xfId="0" applyFont="1" applyFill="1" applyBorder="1"/>
    <xf numFmtId="0" fontId="1" fillId="11" borderId="46" xfId="0" applyFont="1" applyFill="1" applyBorder="1" applyAlignment="1">
      <alignment horizontal="center" wrapText="1"/>
    </xf>
    <xf numFmtId="0" fontId="11" fillId="5" borderId="46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46" xfId="0" applyBorder="1"/>
    <xf numFmtId="14" fontId="19" fillId="8" borderId="4" xfId="0" applyNumberFormat="1" applyFont="1" applyFill="1" applyBorder="1" applyAlignment="1">
      <alignment horizontal="center" vertical="center"/>
    </xf>
    <xf numFmtId="0" fontId="30" fillId="0" borderId="46" xfId="0" applyFont="1" applyBorder="1"/>
    <xf numFmtId="1" fontId="31" fillId="0" borderId="6" xfId="0" applyNumberFormat="1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11" fillId="12" borderId="0" xfId="0" applyFont="1" applyFill="1"/>
    <xf numFmtId="1" fontId="18" fillId="13" borderId="46" xfId="0" applyNumberFormat="1" applyFont="1" applyFill="1" applyBorder="1" applyAlignment="1">
      <alignment horizontal="center" vertical="center"/>
    </xf>
    <xf numFmtId="0" fontId="18" fillId="13" borderId="46" xfId="0" applyFont="1" applyFill="1" applyBorder="1" applyAlignment="1">
      <alignment horizontal="left" vertical="center"/>
    </xf>
    <xf numFmtId="0" fontId="18" fillId="13" borderId="46" xfId="0" applyFont="1" applyFill="1" applyBorder="1" applyAlignment="1">
      <alignment horizontal="center" vertical="center"/>
    </xf>
    <xf numFmtId="0" fontId="6" fillId="0" borderId="46" xfId="0" applyFont="1" applyBorder="1"/>
    <xf numFmtId="0" fontId="0" fillId="0" borderId="0" xfId="0" applyAlignment="1">
      <alignment horizontal="left"/>
    </xf>
    <xf numFmtId="2" fontId="0" fillId="0" borderId="0" xfId="0" applyNumberFormat="1"/>
    <xf numFmtId="14" fontId="0" fillId="0" borderId="0" xfId="0" applyNumberFormat="1" applyAlignment="1">
      <alignment horizontal="left"/>
    </xf>
    <xf numFmtId="16" fontId="6" fillId="0" borderId="46" xfId="0" applyNumberFormat="1" applyFont="1" applyBorder="1"/>
    <xf numFmtId="14" fontId="6" fillId="0" borderId="8" xfId="0" applyNumberFormat="1" applyFont="1" applyBorder="1" applyAlignment="1">
      <alignment wrapText="1"/>
    </xf>
    <xf numFmtId="0" fontId="0" fillId="14" borderId="0" xfId="0" applyFill="1"/>
    <xf numFmtId="0" fontId="6" fillId="2" borderId="8" xfId="0" applyFont="1" applyFill="1" applyBorder="1" applyAlignment="1">
      <alignment wrapText="1"/>
    </xf>
    <xf numFmtId="2" fontId="6" fillId="2" borderId="8" xfId="0" applyNumberFormat="1" applyFont="1" applyFill="1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horizontal="left"/>
    </xf>
    <xf numFmtId="2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0" borderId="46" xfId="0" applyBorder="1" applyAlignment="1">
      <alignment horizontal="left"/>
    </xf>
    <xf numFmtId="2" fontId="0" fillId="0" borderId="46" xfId="0" applyNumberFormat="1" applyBorder="1"/>
    <xf numFmtId="14" fontId="0" fillId="0" borderId="46" xfId="0" applyNumberFormat="1" applyBorder="1" applyAlignment="1">
      <alignment horizontal="left"/>
    </xf>
    <xf numFmtId="0" fontId="0" fillId="0" borderId="47" xfId="0" applyBorder="1"/>
    <xf numFmtId="0" fontId="0" fillId="0" borderId="47" xfId="0" applyBorder="1" applyAlignment="1">
      <alignment horizontal="left"/>
    </xf>
    <xf numFmtId="2" fontId="0" fillId="0" borderId="47" xfId="0" applyNumberFormat="1" applyBorder="1"/>
    <xf numFmtId="14" fontId="0" fillId="0" borderId="47" xfId="0" applyNumberFormat="1" applyBorder="1" applyAlignment="1">
      <alignment horizontal="left"/>
    </xf>
    <xf numFmtId="0" fontId="0" fillId="2" borderId="47" xfId="0" applyFill="1" applyBorder="1"/>
    <xf numFmtId="0" fontId="0" fillId="2" borderId="47" xfId="0" applyFill="1" applyBorder="1" applyAlignment="1">
      <alignment horizontal="left"/>
    </xf>
    <xf numFmtId="2" fontId="0" fillId="2" borderId="47" xfId="0" applyNumberFormat="1" applyFill="1" applyBorder="1"/>
    <xf numFmtId="14" fontId="0" fillId="2" borderId="47" xfId="0" applyNumberFormat="1" applyFill="1" applyBorder="1" applyAlignment="1">
      <alignment horizontal="left"/>
    </xf>
    <xf numFmtId="0" fontId="0" fillId="2" borderId="46" xfId="0" applyFill="1" applyBorder="1"/>
    <xf numFmtId="0" fontId="0" fillId="2" borderId="46" xfId="0" applyFill="1" applyBorder="1" applyAlignment="1">
      <alignment horizontal="left"/>
    </xf>
    <xf numFmtId="2" fontId="0" fillId="2" borderId="46" xfId="0" applyNumberFormat="1" applyFill="1" applyBorder="1"/>
    <xf numFmtId="2" fontId="0" fillId="2" borderId="7" xfId="0" applyNumberFormat="1" applyFill="1" applyBorder="1"/>
    <xf numFmtId="14" fontId="0" fillId="2" borderId="46" xfId="0" applyNumberFormat="1" applyFill="1" applyBorder="1" applyAlignment="1">
      <alignment horizontal="left"/>
    </xf>
    <xf numFmtId="0" fontId="0" fillId="2" borderId="7" xfId="0" applyFill="1" applyBorder="1"/>
    <xf numFmtId="0" fontId="0" fillId="2" borderId="7" xfId="0" applyFill="1" applyBorder="1" applyAlignment="1">
      <alignment horizontal="left"/>
    </xf>
    <xf numFmtId="14" fontId="0" fillId="2" borderId="7" xfId="0" applyNumberFormat="1" applyFill="1" applyBorder="1" applyAlignment="1">
      <alignment horizontal="left"/>
    </xf>
    <xf numFmtId="0" fontId="11" fillId="0" borderId="46" xfId="0" applyFont="1" applyBorder="1"/>
    <xf numFmtId="0" fontId="11" fillId="0" borderId="39" xfId="0" applyFont="1" applyBorder="1"/>
    <xf numFmtId="0" fontId="18" fillId="13" borderId="14" xfId="0" applyFont="1" applyFill="1" applyBorder="1" applyAlignment="1">
      <alignment horizontal="center" vertical="center"/>
    </xf>
    <xf numFmtId="1" fontId="18" fillId="13" borderId="14" xfId="0" applyNumberFormat="1" applyFont="1" applyFill="1" applyBorder="1" applyAlignment="1">
      <alignment horizontal="center" vertical="center"/>
    </xf>
    <xf numFmtId="0" fontId="18" fillId="13" borderId="14" xfId="0" applyFont="1" applyFill="1" applyBorder="1" applyAlignment="1">
      <alignment horizontal="left" vertical="center"/>
    </xf>
    <xf numFmtId="14" fontId="6" fillId="2" borderId="8" xfId="0" applyNumberFormat="1" applyFont="1" applyFill="1" applyBorder="1" applyAlignment="1">
      <alignment wrapText="1"/>
    </xf>
    <xf numFmtId="0" fontId="6" fillId="2" borderId="8" xfId="0" applyFont="1" applyFill="1" applyBorder="1"/>
    <xf numFmtId="2" fontId="6" fillId="2" borderId="8" xfId="0" applyNumberFormat="1" applyFont="1" applyFill="1" applyBorder="1"/>
    <xf numFmtId="164" fontId="6" fillId="2" borderId="8" xfId="0" applyNumberFormat="1" applyFont="1" applyFill="1" applyBorder="1"/>
    <xf numFmtId="0" fontId="6" fillId="0" borderId="8" xfId="0" applyFont="1" applyBorder="1"/>
    <xf numFmtId="164" fontId="6" fillId="0" borderId="8" xfId="0" applyNumberFormat="1" applyFont="1" applyBorder="1"/>
    <xf numFmtId="2" fontId="6" fillId="0" borderId="8" xfId="0" applyNumberFormat="1" applyFont="1" applyBorder="1"/>
    <xf numFmtId="2" fontId="18" fillId="15" borderId="46" xfId="0" applyNumberFormat="1" applyFont="1" applyFill="1" applyBorder="1" applyAlignment="1">
      <alignment horizontal="center" vertical="center"/>
    </xf>
    <xf numFmtId="14" fontId="18" fillId="15" borderId="46" xfId="0" applyNumberFormat="1" applyFont="1" applyFill="1" applyBorder="1" applyAlignment="1">
      <alignment horizontal="center" vertical="center"/>
    </xf>
    <xf numFmtId="14" fontId="18" fillId="15" borderId="3" xfId="0" applyNumberFormat="1" applyFont="1" applyFill="1" applyBorder="1" applyAlignment="1">
      <alignment horizontal="center" vertical="center"/>
    </xf>
    <xf numFmtId="2" fontId="18" fillId="15" borderId="3" xfId="0" applyNumberFormat="1" applyFont="1" applyFill="1" applyBorder="1" applyAlignment="1">
      <alignment horizontal="center" vertical="center"/>
    </xf>
    <xf numFmtId="0" fontId="18" fillId="15" borderId="46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/>
    </xf>
    <xf numFmtId="14" fontId="18" fillId="15" borderId="39" xfId="0" applyNumberFormat="1" applyFont="1" applyFill="1" applyBorder="1" applyAlignment="1">
      <alignment horizontal="center" vertical="center"/>
    </xf>
    <xf numFmtId="14" fontId="18" fillId="15" borderId="3" xfId="0" applyNumberFormat="1" applyFont="1" applyFill="1" applyBorder="1" applyAlignment="1">
      <alignment horizontal="center" vertical="center" wrapText="1"/>
    </xf>
    <xf numFmtId="0" fontId="18" fillId="15" borderId="46" xfId="0" applyFont="1" applyFill="1" applyBorder="1" applyAlignment="1">
      <alignment vertical="center"/>
    </xf>
    <xf numFmtId="0" fontId="18" fillId="15" borderId="3" xfId="0" applyFont="1" applyFill="1" applyBorder="1" applyAlignment="1">
      <alignment vertical="center"/>
    </xf>
    <xf numFmtId="2" fontId="18" fillId="15" borderId="3" xfId="0" applyNumberFormat="1" applyFont="1" applyFill="1" applyBorder="1" applyAlignment="1">
      <alignment horizontal="center" vertical="center" wrapText="1"/>
    </xf>
    <xf numFmtId="14" fontId="18" fillId="15" borderId="33" xfId="0" applyNumberFormat="1" applyFont="1" applyFill="1" applyBorder="1" applyAlignment="1">
      <alignment horizontal="center" vertical="center"/>
    </xf>
    <xf numFmtId="0" fontId="18" fillId="15" borderId="14" xfId="0" applyFont="1" applyFill="1" applyBorder="1" applyAlignment="1">
      <alignment horizontal="center" vertical="center"/>
    </xf>
    <xf numFmtId="0" fontId="18" fillId="15" borderId="33" xfId="0" applyFont="1" applyFill="1" applyBorder="1" applyAlignment="1">
      <alignment horizontal="center" vertical="center"/>
    </xf>
    <xf numFmtId="0" fontId="18" fillId="15" borderId="41" xfId="0" applyFont="1" applyFill="1" applyBorder="1" applyAlignment="1">
      <alignment horizontal="center" vertical="center"/>
    </xf>
    <xf numFmtId="0" fontId="18" fillId="15" borderId="44" xfId="0" applyFont="1" applyFill="1" applyBorder="1" applyAlignment="1">
      <alignment horizontal="center" vertical="center"/>
    </xf>
    <xf numFmtId="2" fontId="18" fillId="15" borderId="39" xfId="0" applyNumberFormat="1" applyFont="1" applyFill="1" applyBorder="1" applyAlignment="1">
      <alignment horizontal="center" vertical="center"/>
    </xf>
    <xf numFmtId="14" fontId="18" fillId="15" borderId="0" xfId="0" applyNumberFormat="1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/>
    </xf>
    <xf numFmtId="0" fontId="18" fillId="15" borderId="42" xfId="0" applyFont="1" applyFill="1" applyBorder="1" applyAlignment="1">
      <alignment horizontal="center" vertical="center"/>
    </xf>
    <xf numFmtId="2" fontId="18" fillId="15" borderId="42" xfId="0" applyNumberFormat="1" applyFont="1" applyFill="1" applyBorder="1" applyAlignment="1">
      <alignment horizontal="center" vertical="center"/>
    </xf>
    <xf numFmtId="14" fontId="18" fillId="15" borderId="42" xfId="0" applyNumberFormat="1" applyFont="1" applyFill="1" applyBorder="1" applyAlignment="1">
      <alignment horizontal="center" vertical="center"/>
    </xf>
    <xf numFmtId="2" fontId="18" fillId="15" borderId="41" xfId="0" applyNumberFormat="1" applyFont="1" applyFill="1" applyBorder="1" applyAlignment="1">
      <alignment horizontal="center" vertical="center"/>
    </xf>
    <xf numFmtId="14" fontId="18" fillId="15" borderId="41" xfId="0" applyNumberFormat="1" applyFont="1" applyFill="1" applyBorder="1" applyAlignment="1">
      <alignment horizontal="center" vertical="center"/>
    </xf>
    <xf numFmtId="0" fontId="11" fillId="15" borderId="46" xfId="0" applyFont="1" applyFill="1" applyBorder="1"/>
    <xf numFmtId="2" fontId="18" fillId="15" borderId="30" xfId="0" applyNumberFormat="1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horizontal="center" vertical="center"/>
    </xf>
    <xf numFmtId="14" fontId="18" fillId="15" borderId="30" xfId="0" applyNumberFormat="1" applyFont="1" applyFill="1" applyBorder="1" applyAlignment="1">
      <alignment horizontal="center" vertical="center"/>
    </xf>
    <xf numFmtId="14" fontId="18" fillId="15" borderId="35" xfId="0" applyNumberFormat="1" applyFont="1" applyFill="1" applyBorder="1" applyAlignment="1">
      <alignment horizontal="center" vertical="center"/>
    </xf>
    <xf numFmtId="0" fontId="18" fillId="15" borderId="30" xfId="0" applyFont="1" applyFill="1" applyBorder="1" applyAlignment="1">
      <alignment horizontal="center" vertical="center"/>
    </xf>
    <xf numFmtId="2" fontId="18" fillId="15" borderId="4" xfId="0" applyNumberFormat="1" applyFont="1" applyFill="1" applyBorder="1" applyAlignment="1">
      <alignment horizontal="center" vertical="center"/>
    </xf>
    <xf numFmtId="2" fontId="18" fillId="15" borderId="17" xfId="0" applyNumberFormat="1" applyFont="1" applyFill="1" applyBorder="1" applyAlignment="1">
      <alignment horizontal="center" vertical="center"/>
    </xf>
    <xf numFmtId="14" fontId="18" fillId="15" borderId="17" xfId="0" applyNumberFormat="1" applyFont="1" applyFill="1" applyBorder="1" applyAlignment="1">
      <alignment horizontal="center" vertical="center"/>
    </xf>
    <xf numFmtId="2" fontId="18" fillId="15" borderId="38" xfId="0" applyNumberFormat="1" applyFont="1" applyFill="1" applyBorder="1" applyAlignment="1">
      <alignment horizontal="center" vertical="center"/>
    </xf>
    <xf numFmtId="14" fontId="18" fillId="15" borderId="38" xfId="0" applyNumberFormat="1" applyFont="1" applyFill="1" applyBorder="1" applyAlignment="1">
      <alignment horizontal="center" vertical="center"/>
    </xf>
    <xf numFmtId="0" fontId="18" fillId="15" borderId="43" xfId="0" applyFont="1" applyFill="1" applyBorder="1" applyAlignment="1">
      <alignment horizontal="center" vertical="center"/>
    </xf>
    <xf numFmtId="2" fontId="18" fillId="15" borderId="43" xfId="0" applyNumberFormat="1" applyFont="1" applyFill="1" applyBorder="1" applyAlignment="1">
      <alignment horizontal="center" vertical="center"/>
    </xf>
    <xf numFmtId="14" fontId="18" fillId="15" borderId="14" xfId="0" applyNumberFormat="1" applyFont="1" applyFill="1" applyBorder="1" applyAlignment="1">
      <alignment horizontal="center" vertical="center"/>
    </xf>
    <xf numFmtId="14" fontId="18" fillId="15" borderId="43" xfId="0" applyNumberFormat="1" applyFont="1" applyFill="1" applyBorder="1" applyAlignment="1">
      <alignment horizontal="center" vertical="center"/>
    </xf>
    <xf numFmtId="0" fontId="18" fillId="15" borderId="18" xfId="0" applyFont="1" applyFill="1" applyBorder="1" applyAlignment="1">
      <alignment horizontal="center" vertical="center"/>
    </xf>
    <xf numFmtId="2" fontId="18" fillId="15" borderId="18" xfId="0" applyNumberFormat="1" applyFont="1" applyFill="1" applyBorder="1" applyAlignment="1">
      <alignment horizontal="center" vertical="center"/>
    </xf>
    <xf numFmtId="14" fontId="18" fillId="15" borderId="18" xfId="0" applyNumberFormat="1" applyFont="1" applyFill="1" applyBorder="1" applyAlignment="1">
      <alignment horizontal="center" vertical="center"/>
    </xf>
    <xf numFmtId="14" fontId="18" fillId="15" borderId="37" xfId="0" applyNumberFormat="1" applyFont="1" applyFill="1" applyBorder="1" applyAlignment="1">
      <alignment horizontal="center" vertical="center"/>
    </xf>
    <xf numFmtId="0" fontId="18" fillId="15" borderId="40" xfId="0" applyFont="1" applyFill="1" applyBorder="1" applyAlignment="1">
      <alignment horizontal="center" vertical="center"/>
    </xf>
    <xf numFmtId="2" fontId="18" fillId="15" borderId="14" xfId="0" applyNumberFormat="1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/>
    </xf>
    <xf numFmtId="2" fontId="18" fillId="15" borderId="26" xfId="0" applyNumberFormat="1" applyFont="1" applyFill="1" applyBorder="1" applyAlignment="1">
      <alignment horizontal="center" vertical="center"/>
    </xf>
    <xf numFmtId="14" fontId="18" fillId="15" borderId="26" xfId="0" applyNumberFormat="1" applyFont="1" applyFill="1" applyBorder="1" applyAlignment="1">
      <alignment horizontal="center" vertical="center"/>
    </xf>
    <xf numFmtId="0" fontId="18" fillId="15" borderId="26" xfId="0" applyFont="1" applyFill="1" applyBorder="1" applyAlignment="1">
      <alignment horizontal="center" vertical="center"/>
    </xf>
    <xf numFmtId="2" fontId="18" fillId="15" borderId="20" xfId="0" applyNumberFormat="1" applyFont="1" applyFill="1" applyBorder="1" applyAlignment="1">
      <alignment horizontal="center" vertical="center"/>
    </xf>
    <xf numFmtId="14" fontId="18" fillId="15" borderId="20" xfId="0" applyNumberFormat="1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2" fontId="18" fillId="15" borderId="15" xfId="0" applyNumberFormat="1" applyFont="1" applyFill="1" applyBorder="1" applyAlignment="1">
      <alignment horizontal="center" vertical="center"/>
    </xf>
    <xf numFmtId="14" fontId="18" fillId="15" borderId="15" xfId="0" applyNumberFormat="1" applyFont="1" applyFill="1" applyBorder="1" applyAlignment="1">
      <alignment horizontal="center" vertical="center"/>
    </xf>
    <xf numFmtId="0" fontId="18" fillId="15" borderId="31" xfId="0" applyFont="1" applyFill="1" applyBorder="1" applyAlignment="1">
      <alignment horizontal="center" vertical="center"/>
    </xf>
    <xf numFmtId="2" fontId="18" fillId="15" borderId="31" xfId="0" applyNumberFormat="1" applyFont="1" applyFill="1" applyBorder="1" applyAlignment="1">
      <alignment horizontal="center" vertical="center"/>
    </xf>
    <xf numFmtId="14" fontId="18" fillId="15" borderId="31" xfId="0" applyNumberFormat="1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/>
    </xf>
    <xf numFmtId="2" fontId="18" fillId="15" borderId="25" xfId="0" applyNumberFormat="1" applyFont="1" applyFill="1" applyBorder="1" applyAlignment="1">
      <alignment horizontal="center" vertical="center"/>
    </xf>
    <xf numFmtId="14" fontId="18" fillId="15" borderId="25" xfId="0" applyNumberFormat="1" applyFont="1" applyFill="1" applyBorder="1" applyAlignment="1">
      <alignment horizontal="center" vertical="center"/>
    </xf>
    <xf numFmtId="0" fontId="18" fillId="15" borderId="23" xfId="0" applyFont="1" applyFill="1" applyBorder="1" applyAlignment="1">
      <alignment horizontal="center" vertical="center"/>
    </xf>
    <xf numFmtId="2" fontId="18" fillId="15" borderId="23" xfId="0" applyNumberFormat="1" applyFont="1" applyFill="1" applyBorder="1" applyAlignment="1">
      <alignment horizontal="center" vertical="center"/>
    </xf>
    <xf numFmtId="14" fontId="18" fillId="15" borderId="23" xfId="0" applyNumberFormat="1" applyFont="1" applyFill="1" applyBorder="1" applyAlignment="1">
      <alignment horizontal="center" vertical="center"/>
    </xf>
    <xf numFmtId="2" fontId="18" fillId="15" borderId="0" xfId="0" applyNumberFormat="1" applyFont="1" applyFill="1" applyAlignment="1">
      <alignment horizontal="center" vertical="center"/>
    </xf>
    <xf numFmtId="2" fontId="18" fillId="15" borderId="36" xfId="0" applyNumberFormat="1" applyFont="1" applyFill="1" applyBorder="1" applyAlignment="1">
      <alignment horizontal="center" vertical="center"/>
    </xf>
    <xf numFmtId="14" fontId="18" fillId="15" borderId="36" xfId="0" applyNumberFormat="1" applyFont="1" applyFill="1" applyBorder="1" applyAlignment="1">
      <alignment horizontal="center" vertical="center"/>
    </xf>
    <xf numFmtId="0" fontId="18" fillId="15" borderId="35" xfId="0" applyFont="1" applyFill="1" applyBorder="1" applyAlignment="1">
      <alignment horizontal="center" vertical="center"/>
    </xf>
    <xf numFmtId="2" fontId="18" fillId="15" borderId="35" xfId="0" applyNumberFormat="1" applyFont="1" applyFill="1" applyBorder="1" applyAlignment="1">
      <alignment horizontal="center" vertical="center"/>
    </xf>
    <xf numFmtId="14" fontId="18" fillId="15" borderId="28" xfId="0" applyNumberFormat="1" applyFont="1" applyFill="1" applyBorder="1" applyAlignment="1">
      <alignment horizontal="center" vertical="center"/>
    </xf>
    <xf numFmtId="2" fontId="18" fillId="15" borderId="28" xfId="0" applyNumberFormat="1" applyFont="1" applyFill="1" applyBorder="1" applyAlignment="1">
      <alignment horizontal="center" vertical="center"/>
    </xf>
    <xf numFmtId="0" fontId="18" fillId="15" borderId="45" xfId="0" applyFont="1" applyFill="1" applyBorder="1" applyAlignment="1">
      <alignment horizontal="center" vertical="center"/>
    </xf>
    <xf numFmtId="2" fontId="18" fillId="15" borderId="45" xfId="0" applyNumberFormat="1" applyFont="1" applyFill="1" applyBorder="1" applyAlignment="1">
      <alignment horizontal="center" vertical="center"/>
    </xf>
    <xf numFmtId="14" fontId="18" fillId="15" borderId="45" xfId="0" applyNumberFormat="1" applyFont="1" applyFill="1" applyBorder="1" applyAlignment="1">
      <alignment horizontal="center" vertical="center"/>
    </xf>
    <xf numFmtId="2" fontId="18" fillId="15" borderId="24" xfId="0" applyNumberFormat="1" applyFont="1" applyFill="1" applyBorder="1" applyAlignment="1">
      <alignment horizontal="center" vertical="center"/>
    </xf>
    <xf numFmtId="14" fontId="18" fillId="15" borderId="24" xfId="0" applyNumberFormat="1" applyFont="1" applyFill="1" applyBorder="1" applyAlignment="1">
      <alignment horizontal="center" vertical="center"/>
    </xf>
    <xf numFmtId="0" fontId="18" fillId="15" borderId="24" xfId="0" applyFont="1" applyFill="1" applyBorder="1" applyAlignment="1">
      <alignment horizontal="center" vertical="center"/>
    </xf>
    <xf numFmtId="0" fontId="18" fillId="15" borderId="37" xfId="0" applyFont="1" applyFill="1" applyBorder="1" applyAlignment="1">
      <alignment horizontal="center" vertical="center"/>
    </xf>
    <xf numFmtId="2" fontId="18" fillId="15" borderId="37" xfId="0" applyNumberFormat="1" applyFont="1" applyFill="1" applyBorder="1" applyAlignment="1">
      <alignment horizontal="center" vertical="center"/>
    </xf>
    <xf numFmtId="0" fontId="18" fillId="15" borderId="29" xfId="0" applyFont="1" applyFill="1" applyBorder="1" applyAlignment="1">
      <alignment horizontal="center" vertical="center"/>
    </xf>
    <xf numFmtId="2" fontId="18" fillId="15" borderId="29" xfId="0" applyNumberFormat="1" applyFont="1" applyFill="1" applyBorder="1" applyAlignment="1">
      <alignment horizontal="center" vertical="center"/>
    </xf>
    <xf numFmtId="14" fontId="18" fillId="15" borderId="29" xfId="0" applyNumberFormat="1" applyFont="1" applyFill="1" applyBorder="1" applyAlignment="1">
      <alignment horizontal="center" vertical="center"/>
    </xf>
    <xf numFmtId="0" fontId="18" fillId="15" borderId="27" xfId="0" applyFont="1" applyFill="1" applyBorder="1" applyAlignment="1">
      <alignment horizontal="center" vertical="center"/>
    </xf>
    <xf numFmtId="2" fontId="18" fillId="15" borderId="27" xfId="0" applyNumberFormat="1" applyFont="1" applyFill="1" applyBorder="1" applyAlignment="1">
      <alignment horizontal="center" vertical="center"/>
    </xf>
    <xf numFmtId="14" fontId="18" fillId="15" borderId="27" xfId="0" applyNumberFormat="1" applyFont="1" applyFill="1" applyBorder="1" applyAlignment="1">
      <alignment horizontal="center" vertical="center"/>
    </xf>
    <xf numFmtId="49" fontId="18" fillId="15" borderId="39" xfId="0" applyNumberFormat="1" applyFont="1" applyFill="1" applyBorder="1" applyAlignment="1">
      <alignment horizontal="center" vertical="center"/>
    </xf>
    <xf numFmtId="2" fontId="18" fillId="15" borderId="32" xfId="0" applyNumberFormat="1" applyFont="1" applyFill="1" applyBorder="1" applyAlignment="1">
      <alignment horizontal="center" vertical="center"/>
    </xf>
    <xf numFmtId="0" fontId="18" fillId="15" borderId="32" xfId="0" applyFont="1" applyFill="1" applyBorder="1" applyAlignment="1">
      <alignment horizontal="center" vertical="center"/>
    </xf>
    <xf numFmtId="2" fontId="18" fillId="15" borderId="22" xfId="0" applyNumberFormat="1" applyFont="1" applyFill="1" applyBorder="1" applyAlignment="1">
      <alignment horizontal="center" vertical="center"/>
    </xf>
    <xf numFmtId="14" fontId="18" fillId="15" borderId="22" xfId="0" applyNumberFormat="1" applyFont="1" applyFill="1" applyBorder="1" applyAlignment="1">
      <alignment horizontal="center" vertical="center"/>
    </xf>
    <xf numFmtId="2" fontId="18" fillId="15" borderId="34" xfId="0" applyNumberFormat="1" applyFont="1" applyFill="1" applyBorder="1" applyAlignment="1">
      <alignment horizontal="center" vertical="center"/>
    </xf>
    <xf numFmtId="0" fontId="18" fillId="15" borderId="34" xfId="0" applyFont="1" applyFill="1" applyBorder="1" applyAlignment="1">
      <alignment horizontal="center" vertical="center"/>
    </xf>
    <xf numFmtId="14" fontId="18" fillId="15" borderId="34" xfId="0" applyNumberFormat="1" applyFont="1" applyFill="1" applyBorder="1" applyAlignment="1">
      <alignment horizontal="center" vertical="center"/>
    </xf>
    <xf numFmtId="2" fontId="18" fillId="13" borderId="46" xfId="0" applyNumberFormat="1" applyFont="1" applyFill="1" applyBorder="1" applyAlignment="1">
      <alignment horizontal="center" vertical="center"/>
    </xf>
    <xf numFmtId="14" fontId="18" fillId="13" borderId="46" xfId="0" applyNumberFormat="1" applyFont="1" applyFill="1" applyBorder="1" applyAlignment="1">
      <alignment horizontal="center" vertical="center"/>
    </xf>
    <xf numFmtId="14" fontId="18" fillId="13" borderId="3" xfId="0" applyNumberFormat="1" applyFont="1" applyFill="1" applyBorder="1" applyAlignment="1">
      <alignment horizontal="center" vertical="center"/>
    </xf>
    <xf numFmtId="2" fontId="18" fillId="13" borderId="3" xfId="0" applyNumberFormat="1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/>
    </xf>
    <xf numFmtId="1" fontId="18" fillId="13" borderId="18" xfId="0" applyNumberFormat="1" applyFont="1" applyFill="1" applyBorder="1" applyAlignment="1">
      <alignment horizontal="center" vertical="center"/>
    </xf>
    <xf numFmtId="0" fontId="18" fillId="13" borderId="18" xfId="0" applyFont="1" applyFill="1" applyBorder="1" applyAlignment="1">
      <alignment horizontal="left" vertical="center"/>
    </xf>
    <xf numFmtId="0" fontId="18" fillId="13" borderId="18" xfId="0" applyFont="1" applyFill="1" applyBorder="1" applyAlignment="1">
      <alignment horizontal="center" vertical="center"/>
    </xf>
    <xf numFmtId="2" fontId="18" fillId="13" borderId="18" xfId="0" applyNumberFormat="1" applyFont="1" applyFill="1" applyBorder="1" applyAlignment="1">
      <alignment horizontal="center" vertical="center"/>
    </xf>
    <xf numFmtId="14" fontId="18" fillId="13" borderId="18" xfId="0" applyNumberFormat="1" applyFont="1" applyFill="1" applyBorder="1" applyAlignment="1">
      <alignment horizontal="center" vertical="center"/>
    </xf>
    <xf numFmtId="14" fontId="18" fillId="13" borderId="37" xfId="0" applyNumberFormat="1" applyFont="1" applyFill="1" applyBorder="1" applyAlignment="1">
      <alignment horizontal="center" vertical="center"/>
    </xf>
    <xf numFmtId="2" fontId="18" fillId="13" borderId="3" xfId="0" applyNumberFormat="1" applyFont="1" applyFill="1" applyBorder="1" applyAlignment="1">
      <alignment horizontal="center" vertical="center" wrapText="1"/>
    </xf>
    <xf numFmtId="1" fontId="18" fillId="13" borderId="40" xfId="0" applyNumberFormat="1" applyFont="1" applyFill="1" applyBorder="1" applyAlignment="1">
      <alignment horizontal="center" vertical="center"/>
    </xf>
    <xf numFmtId="0" fontId="18" fillId="13" borderId="40" xfId="0" applyFont="1" applyFill="1" applyBorder="1" applyAlignment="1">
      <alignment horizontal="left" vertical="center"/>
    </xf>
    <xf numFmtId="0" fontId="18" fillId="13" borderId="19" xfId="0" applyFont="1" applyFill="1" applyBorder="1" applyAlignment="1">
      <alignment horizontal="center" vertical="center"/>
    </xf>
    <xf numFmtId="2" fontId="18" fillId="13" borderId="40" xfId="0" applyNumberFormat="1" applyFont="1" applyFill="1" applyBorder="1" applyAlignment="1">
      <alignment horizontal="center" vertical="center"/>
    </xf>
    <xf numFmtId="14" fontId="18" fillId="13" borderId="40" xfId="0" applyNumberFormat="1" applyFont="1" applyFill="1" applyBorder="1" applyAlignment="1">
      <alignment horizontal="center" vertical="center"/>
    </xf>
    <xf numFmtId="0" fontId="18" fillId="13" borderId="40" xfId="0" applyFont="1" applyFill="1" applyBorder="1" applyAlignment="1">
      <alignment horizontal="center" vertical="center"/>
    </xf>
    <xf numFmtId="2" fontId="18" fillId="13" borderId="14" xfId="0" applyNumberFormat="1" applyFont="1" applyFill="1" applyBorder="1" applyAlignment="1">
      <alignment horizontal="center" vertical="center"/>
    </xf>
    <xf numFmtId="14" fontId="18" fillId="13" borderId="14" xfId="0" applyNumberFormat="1" applyFont="1" applyFill="1" applyBorder="1" applyAlignment="1">
      <alignment horizontal="center" vertical="center"/>
    </xf>
    <xf numFmtId="1" fontId="18" fillId="13" borderId="16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left" vertical="center"/>
    </xf>
    <xf numFmtId="0" fontId="18" fillId="13" borderId="16" xfId="0" applyFont="1" applyFill="1" applyBorder="1" applyAlignment="1">
      <alignment horizontal="center" vertical="center"/>
    </xf>
    <xf numFmtId="2" fontId="18" fillId="13" borderId="16" xfId="0" applyNumberFormat="1" applyFont="1" applyFill="1" applyBorder="1" applyAlignment="1">
      <alignment horizontal="center" vertical="center"/>
    </xf>
    <xf numFmtId="14" fontId="18" fillId="13" borderId="16" xfId="0" applyNumberFormat="1" applyFont="1" applyFill="1" applyBorder="1" applyAlignment="1">
      <alignment horizontal="center" vertical="center"/>
    </xf>
    <xf numFmtId="0" fontId="18" fillId="15" borderId="46" xfId="0" applyFont="1" applyFill="1" applyBorder="1" applyAlignment="1">
      <alignment horizontal="left" vertical="center"/>
    </xf>
    <xf numFmtId="1" fontId="18" fillId="15" borderId="46" xfId="0" applyNumberFormat="1" applyFont="1" applyFill="1" applyBorder="1" applyAlignment="1">
      <alignment horizontal="center" vertical="center"/>
    </xf>
    <xf numFmtId="1" fontId="18" fillId="15" borderId="46" xfId="0" applyNumberFormat="1" applyFont="1" applyFill="1" applyBorder="1" applyAlignment="1">
      <alignment horizontal="left" vertical="center"/>
    </xf>
    <xf numFmtId="0" fontId="27" fillId="15" borderId="0" xfId="0" applyFont="1" applyFill="1" applyAlignment="1">
      <alignment horizontal="center" vertical="center"/>
    </xf>
    <xf numFmtId="1" fontId="18" fillId="15" borderId="44" xfId="0" applyNumberFormat="1" applyFont="1" applyFill="1" applyBorder="1" applyAlignment="1">
      <alignment horizontal="center" vertical="center"/>
    </xf>
    <xf numFmtId="0" fontId="18" fillId="15" borderId="44" xfId="0" applyFont="1" applyFill="1" applyBorder="1" applyAlignment="1">
      <alignment horizontal="left" vertical="center"/>
    </xf>
    <xf numFmtId="1" fontId="18" fillId="15" borderId="42" xfId="0" applyNumberFormat="1" applyFont="1" applyFill="1" applyBorder="1" applyAlignment="1">
      <alignment horizontal="center" vertical="center"/>
    </xf>
    <xf numFmtId="0" fontId="18" fillId="15" borderId="42" xfId="0" applyFont="1" applyFill="1" applyBorder="1" applyAlignment="1">
      <alignment horizontal="left" vertical="center"/>
    </xf>
    <xf numFmtId="0" fontId="18" fillId="15" borderId="21" xfId="0" applyFont="1" applyFill="1" applyBorder="1" applyAlignment="1">
      <alignment horizontal="center" vertical="center"/>
    </xf>
    <xf numFmtId="1" fontId="18" fillId="15" borderId="41" xfId="0" applyNumberFormat="1" applyFont="1" applyFill="1" applyBorder="1" applyAlignment="1">
      <alignment horizontal="center" vertical="center"/>
    </xf>
    <xf numFmtId="0" fontId="18" fillId="15" borderId="41" xfId="0" applyFont="1" applyFill="1" applyBorder="1" applyAlignment="1">
      <alignment horizontal="left" vertical="center"/>
    </xf>
    <xf numFmtId="1" fontId="18" fillId="15" borderId="39" xfId="0" applyNumberFormat="1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horizontal="left" vertical="center"/>
    </xf>
    <xf numFmtId="1" fontId="18" fillId="15" borderId="30" xfId="0" applyNumberFormat="1" applyFont="1" applyFill="1" applyBorder="1" applyAlignment="1">
      <alignment horizontal="center" vertical="center"/>
    </xf>
    <xf numFmtId="0" fontId="18" fillId="15" borderId="30" xfId="0" applyFont="1" applyFill="1" applyBorder="1" applyAlignment="1">
      <alignment horizontal="left" vertical="center"/>
    </xf>
    <xf numFmtId="1" fontId="18" fillId="15" borderId="17" xfId="0" applyNumberFormat="1" applyFont="1" applyFill="1" applyBorder="1" applyAlignment="1">
      <alignment horizontal="center" vertical="center"/>
    </xf>
    <xf numFmtId="0" fontId="18" fillId="15" borderId="17" xfId="0" applyFont="1" applyFill="1" applyBorder="1" applyAlignment="1">
      <alignment horizontal="left" vertical="center"/>
    </xf>
    <xf numFmtId="0" fontId="18" fillId="15" borderId="17" xfId="0" applyFont="1" applyFill="1" applyBorder="1" applyAlignment="1">
      <alignment horizontal="center" vertical="center"/>
    </xf>
    <xf numFmtId="1" fontId="18" fillId="15" borderId="38" xfId="0" applyNumberFormat="1" applyFont="1" applyFill="1" applyBorder="1" applyAlignment="1">
      <alignment horizontal="center" vertical="center"/>
    </xf>
    <xf numFmtId="0" fontId="18" fillId="15" borderId="38" xfId="0" applyFont="1" applyFill="1" applyBorder="1" applyAlignment="1">
      <alignment horizontal="left" vertical="center"/>
    </xf>
    <xf numFmtId="0" fontId="18" fillId="15" borderId="38" xfId="0" applyFont="1" applyFill="1" applyBorder="1" applyAlignment="1">
      <alignment horizontal="center" vertical="center"/>
    </xf>
    <xf numFmtId="1" fontId="18" fillId="15" borderId="43" xfId="0" applyNumberFormat="1" applyFont="1" applyFill="1" applyBorder="1" applyAlignment="1">
      <alignment horizontal="center" vertical="center"/>
    </xf>
    <xf numFmtId="0" fontId="18" fillId="15" borderId="43" xfId="0" applyFont="1" applyFill="1" applyBorder="1" applyAlignment="1">
      <alignment horizontal="left" vertical="center"/>
    </xf>
    <xf numFmtId="1" fontId="18" fillId="15" borderId="18" xfId="0" applyNumberFormat="1" applyFont="1" applyFill="1" applyBorder="1" applyAlignment="1">
      <alignment horizontal="center" vertical="center"/>
    </xf>
    <xf numFmtId="0" fontId="18" fillId="15" borderId="18" xfId="0" applyFont="1" applyFill="1" applyBorder="1" applyAlignment="1">
      <alignment horizontal="left" vertical="center"/>
    </xf>
    <xf numFmtId="1" fontId="18" fillId="15" borderId="14" xfId="0" applyNumberFormat="1" applyFont="1" applyFill="1" applyBorder="1" applyAlignment="1">
      <alignment horizontal="center" vertical="center"/>
    </xf>
    <xf numFmtId="0" fontId="18" fillId="15" borderId="14" xfId="0" applyFont="1" applyFill="1" applyBorder="1" applyAlignment="1">
      <alignment horizontal="left" vertical="center"/>
    </xf>
    <xf numFmtId="1" fontId="18" fillId="15" borderId="26" xfId="0" applyNumberFormat="1" applyFont="1" applyFill="1" applyBorder="1" applyAlignment="1">
      <alignment horizontal="center" vertical="center"/>
    </xf>
    <xf numFmtId="0" fontId="18" fillId="15" borderId="26" xfId="0" applyFont="1" applyFill="1" applyBorder="1" applyAlignment="1">
      <alignment horizontal="left" vertical="center"/>
    </xf>
    <xf numFmtId="0" fontId="18" fillId="15" borderId="20" xfId="0" applyFont="1" applyFill="1" applyBorder="1" applyAlignment="1">
      <alignment horizontal="left" vertical="center"/>
    </xf>
    <xf numFmtId="1" fontId="18" fillId="15" borderId="15" xfId="0" applyNumberFormat="1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left" vertical="center"/>
    </xf>
    <xf numFmtId="1" fontId="18" fillId="15" borderId="31" xfId="0" applyNumberFormat="1" applyFont="1" applyFill="1" applyBorder="1" applyAlignment="1">
      <alignment horizontal="center" vertical="center"/>
    </xf>
    <xf numFmtId="0" fontId="18" fillId="15" borderId="31" xfId="0" applyFont="1" applyFill="1" applyBorder="1" applyAlignment="1">
      <alignment horizontal="left" vertical="center"/>
    </xf>
    <xf numFmtId="1" fontId="18" fillId="15" borderId="25" xfId="0" applyNumberFormat="1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left" vertical="center"/>
    </xf>
    <xf numFmtId="0" fontId="18" fillId="15" borderId="28" xfId="0" applyFont="1" applyFill="1" applyBorder="1" applyAlignment="1">
      <alignment horizontal="center" vertical="center"/>
    </xf>
    <xf numFmtId="0" fontId="18" fillId="15" borderId="22" xfId="0" applyFont="1" applyFill="1" applyBorder="1" applyAlignment="1">
      <alignment horizontal="center" vertical="center"/>
    </xf>
    <xf numFmtId="1" fontId="18" fillId="15" borderId="34" xfId="0" applyNumberFormat="1" applyFont="1" applyFill="1" applyBorder="1" applyAlignment="1">
      <alignment horizontal="center" vertical="center"/>
    </xf>
    <xf numFmtId="0" fontId="18" fillId="15" borderId="34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6" fillId="0" borderId="6" xfId="0" applyFont="1" applyBorder="1" applyAlignment="1">
      <alignment horizontal="center" vertical="center" wrapText="1"/>
    </xf>
    <xf numFmtId="0" fontId="29" fillId="0" borderId="6" xfId="0" applyFont="1" applyBorder="1" applyAlignment="1">
      <alignment vertical="center"/>
    </xf>
    <xf numFmtId="0" fontId="0" fillId="0" borderId="48" xfId="0" applyBorder="1" applyAlignment="1">
      <alignment horizontal="center"/>
    </xf>
    <xf numFmtId="0" fontId="0" fillId="0" borderId="0" xfId="0" applyAlignment="1">
      <alignment horizontal="center"/>
    </xf>
    <xf numFmtId="14" fontId="23" fillId="0" borderId="1" xfId="0" applyNumberFormat="1" applyFont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26" fillId="3" borderId="13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6" fillId="3" borderId="10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26" fillId="3" borderId="3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5" fillId="2" borderId="7" xfId="1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9" fillId="3" borderId="8" xfId="0" applyFont="1" applyFill="1" applyBorder="1" applyAlignment="1">
      <alignment horizontal="center" vertical="center" wrapText="1"/>
    </xf>
    <xf numFmtId="0" fontId="19" fillId="3" borderId="8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7" borderId="6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0" borderId="9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/>
    </xf>
    <xf numFmtId="0" fontId="15" fillId="7" borderId="5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10" borderId="0" xfId="0" applyFill="1" applyAlignment="1">
      <alignment horizontal="center"/>
    </xf>
  </cellXfs>
  <cellStyles count="3">
    <cellStyle name="Linked Cell 2" xfId="2" xr:uid="{00000000-0005-0000-0000-000000000000}"/>
    <cellStyle name="Normal" xfId="0" builtinId="0"/>
    <cellStyle name="Normal 2" xfId="1" xr:uid="{00000000-0005-0000-0000-000002000000}"/>
  </cellStyles>
  <dxfs count="105"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fmlaRange="$AZ$1:$AZ$21" noThreeD="1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7</xdr:row>
          <xdr:rowOff>38100</xdr:rowOff>
        </xdr:from>
        <xdr:to>
          <xdr:col>7</xdr:col>
          <xdr:colOff>304800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Create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12</xdr:row>
          <xdr:rowOff>38100</xdr:rowOff>
        </xdr:from>
        <xdr:to>
          <xdr:col>7</xdr:col>
          <xdr:colOff>304800</xdr:colOff>
          <xdr:row>16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Print PDF's +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76200</xdr:rowOff>
        </xdr:from>
        <xdr:to>
          <xdr:col>7</xdr:col>
          <xdr:colOff>342900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Load Special Offer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76200</xdr:rowOff>
        </xdr:from>
        <xdr:to>
          <xdr:col>2</xdr:col>
          <xdr:colOff>0</xdr:colOff>
          <xdr:row>17</xdr:row>
          <xdr:rowOff>76200</xdr:rowOff>
        </xdr:to>
        <xdr:sp macro="" textlink="">
          <xdr:nvSpPr>
            <xdr:cNvPr id="1030" name="List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_Administration\03_Purchasing_Contracts\1.0%20Admin%20ISM\2.0%20Master%20Data%20Request\2.1%20New\Fruit%20and%20Veg\FreshMemo_103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I31"/>
  <sheetViews>
    <sheetView workbookViewId="0">
      <selection activeCell="B18" sqref="B18"/>
    </sheetView>
  </sheetViews>
  <sheetFormatPr defaultRowHeight="14.5" x14ac:dyDescent="0.35"/>
  <cols>
    <col min="1" max="1" width="27" bestFit="1" customWidth="1"/>
    <col min="2" max="2" width="27" customWidth="1"/>
  </cols>
  <sheetData>
    <row r="1" spans="1:9" x14ac:dyDescent="0.35">
      <c r="A1" t="s">
        <v>2</v>
      </c>
      <c r="B1" t="s">
        <v>3</v>
      </c>
      <c r="G1" t="s">
        <v>339</v>
      </c>
      <c r="I1" t="str" cm="1">
        <f t="array" aca="1" ref="I1:I19" ca="1">OFFSET(Admin!$A$1, 1, 0, COUNTA(Admin!$A:$A) - 1, 1)</f>
        <v>Back to Normal</v>
      </c>
    </row>
    <row r="2" spans="1:9" x14ac:dyDescent="0.35">
      <c r="A2" t="s">
        <v>52</v>
      </c>
      <c r="B2" t="s">
        <v>51</v>
      </c>
      <c r="C2" t="s">
        <v>340</v>
      </c>
      <c r="G2" t="s">
        <v>6</v>
      </c>
      <c r="I2" t="str">
        <f ca="1"/>
        <v>Back to Normal (In/Out)</v>
      </c>
    </row>
    <row r="3" spans="1:9" x14ac:dyDescent="0.35">
      <c r="A3" t="s">
        <v>475</v>
      </c>
      <c r="B3" t="s">
        <v>126</v>
      </c>
      <c r="C3" t="s">
        <v>341</v>
      </c>
      <c r="G3" t="s">
        <v>51</v>
      </c>
      <c r="I3" t="str">
        <f ca="1"/>
        <v>Case Size Change</v>
      </c>
    </row>
    <row r="4" spans="1:9" x14ac:dyDescent="0.35">
      <c r="A4" t="s">
        <v>385</v>
      </c>
      <c r="B4" t="s">
        <v>480</v>
      </c>
      <c r="C4" t="s">
        <v>343</v>
      </c>
      <c r="G4" t="s">
        <v>16</v>
      </c>
      <c r="I4" t="str">
        <f ca="1"/>
        <v>Delist</v>
      </c>
    </row>
    <row r="5" spans="1:9" x14ac:dyDescent="0.35">
      <c r="A5" t="s">
        <v>62</v>
      </c>
      <c r="B5" t="s">
        <v>480</v>
      </c>
      <c r="C5" t="s">
        <v>344</v>
      </c>
      <c r="G5" t="s">
        <v>126</v>
      </c>
      <c r="I5" t="str">
        <f ca="1"/>
        <v>New Core Item</v>
      </c>
    </row>
    <row r="6" spans="1:9" x14ac:dyDescent="0.35">
      <c r="A6" t="s">
        <v>476</v>
      </c>
      <c r="B6" t="s">
        <v>51</v>
      </c>
      <c r="I6" t="str">
        <f ca="1"/>
        <v>New In/Out Item</v>
      </c>
    </row>
    <row r="7" spans="1:9" x14ac:dyDescent="0.35">
      <c r="A7" t="s">
        <v>474</v>
      </c>
      <c r="B7" t="s">
        <v>126</v>
      </c>
      <c r="I7" t="str">
        <f ca="1"/>
        <v>New Item</v>
      </c>
    </row>
    <row r="8" spans="1:9" x14ac:dyDescent="0.35">
      <c r="A8" t="s">
        <v>473</v>
      </c>
      <c r="B8" t="s">
        <v>16</v>
      </c>
      <c r="I8" t="str">
        <f ca="1"/>
        <v>OS Extension</v>
      </c>
    </row>
    <row r="9" spans="1:9" x14ac:dyDescent="0.35">
      <c r="A9" t="s">
        <v>342</v>
      </c>
      <c r="B9" t="s">
        <v>480</v>
      </c>
      <c r="I9" t="str">
        <f ca="1"/>
        <v>Permanent Price Change</v>
      </c>
    </row>
    <row r="10" spans="1:9" x14ac:dyDescent="0.35">
      <c r="A10" t="s">
        <v>200</v>
      </c>
      <c r="B10" t="s">
        <v>51</v>
      </c>
      <c r="C10" t="s">
        <v>347</v>
      </c>
      <c r="I10" t="str">
        <f ca="1"/>
        <v>Reprint Core Price Tag</v>
      </c>
    </row>
    <row r="11" spans="1:9" x14ac:dyDescent="0.35">
      <c r="A11" t="s">
        <v>477</v>
      </c>
      <c r="B11" t="s">
        <v>51</v>
      </c>
      <c r="C11" t="s">
        <v>348</v>
      </c>
      <c r="I11" t="str">
        <f ca="1"/>
        <v>Reprint In/Out Price Tag</v>
      </c>
    </row>
    <row r="12" spans="1:9" x14ac:dyDescent="0.35">
      <c r="A12" t="s">
        <v>478</v>
      </c>
      <c r="B12" t="s">
        <v>126</v>
      </c>
      <c r="C12" t="s">
        <v>349</v>
      </c>
      <c r="I12" t="str">
        <f ca="1"/>
        <v>Special Offer</v>
      </c>
    </row>
    <row r="13" spans="1:9" x14ac:dyDescent="0.35">
      <c r="A13" t="s">
        <v>7</v>
      </c>
      <c r="B13" t="s">
        <v>6</v>
      </c>
      <c r="I13" t="str">
        <f ca="1"/>
        <v>Special Offer Extension</v>
      </c>
    </row>
    <row r="14" spans="1:9" x14ac:dyDescent="0.35">
      <c r="A14" t="s">
        <v>345</v>
      </c>
      <c r="B14" t="s">
        <v>6</v>
      </c>
      <c r="I14" t="str">
        <f ca="1"/>
        <v>Special Offer Further Reduction</v>
      </c>
    </row>
    <row r="15" spans="1:9" x14ac:dyDescent="0.35">
      <c r="A15" t="s">
        <v>346</v>
      </c>
      <c r="B15" t="s">
        <v>6</v>
      </c>
      <c r="C15" t="s">
        <v>350</v>
      </c>
      <c r="I15" t="str">
        <f ca="1"/>
        <v>Temporary Price Change</v>
      </c>
    </row>
    <row r="16" spans="1:9" x14ac:dyDescent="0.35">
      <c r="A16" t="s">
        <v>41</v>
      </c>
      <c r="B16" t="s">
        <v>6</v>
      </c>
      <c r="C16" t="s">
        <v>351</v>
      </c>
      <c r="I16" t="str">
        <f ca="1"/>
        <v>Not Available in RDC</v>
      </c>
    </row>
    <row r="17" spans="1:9" x14ac:dyDescent="0.35">
      <c r="A17" t="s">
        <v>479</v>
      </c>
      <c r="B17" t="s">
        <v>480</v>
      </c>
      <c r="I17" t="str">
        <f ca="1"/>
        <v>See SS-PYE for Store Specific Price</v>
      </c>
    </row>
    <row r="18" spans="1:9" x14ac:dyDescent="0.35">
      <c r="A18" t="s">
        <v>470</v>
      </c>
      <c r="C18" t="s">
        <v>352</v>
      </c>
      <c r="I18" t="str">
        <f ca="1"/>
        <v>See SS-FRG for Store Specific Price</v>
      </c>
    </row>
    <row r="19" spans="1:9" x14ac:dyDescent="0.35">
      <c r="A19" t="s">
        <v>471</v>
      </c>
      <c r="C19" t="s">
        <v>353</v>
      </c>
      <c r="I19" t="str">
        <f ca="1"/>
        <v>See SS-GRM for Store Specific Price</v>
      </c>
    </row>
    <row r="20" spans="1:9" x14ac:dyDescent="0.35">
      <c r="A20" t="s">
        <v>472</v>
      </c>
      <c r="C20" t="s">
        <v>354</v>
      </c>
    </row>
    <row r="21" spans="1:9" x14ac:dyDescent="0.35">
      <c r="C21" t="s">
        <v>355</v>
      </c>
    </row>
    <row r="22" spans="1:9" x14ac:dyDescent="0.35">
      <c r="C22" t="s">
        <v>356</v>
      </c>
    </row>
    <row r="24" spans="1:9" x14ac:dyDescent="0.35">
      <c r="C24" t="s">
        <v>357</v>
      </c>
    </row>
    <row r="25" spans="1:9" x14ac:dyDescent="0.35">
      <c r="C25" t="s">
        <v>358</v>
      </c>
    </row>
    <row r="26" spans="1:9" x14ac:dyDescent="0.35">
      <c r="C26" t="s">
        <v>359</v>
      </c>
    </row>
    <row r="27" spans="1:9" x14ac:dyDescent="0.35">
      <c r="C27" t="s">
        <v>360</v>
      </c>
    </row>
    <row r="29" spans="1:9" x14ac:dyDescent="0.35">
      <c r="C29" t="s">
        <v>361</v>
      </c>
    </row>
    <row r="30" spans="1:9" x14ac:dyDescent="0.35">
      <c r="C30" t="s">
        <v>362</v>
      </c>
    </row>
    <row r="31" spans="1:9" x14ac:dyDescent="0.35">
      <c r="C31" t="s">
        <v>363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oreSpec">
    <tabColor theme="4"/>
  </sheetPr>
  <dimension ref="A1:H139"/>
  <sheetViews>
    <sheetView view="pageBreakPreview" zoomScale="70" zoomScaleNormal="40" zoomScaleSheetLayoutView="70" workbookViewId="0">
      <pane xSplit="3" ySplit="3" topLeftCell="D4" activePane="bottomRight" state="frozen"/>
      <selection activeCell="AL17" sqref="AL17"/>
      <selection pane="topRight" activeCell="AL17" sqref="AL17"/>
      <selection pane="bottomLeft" activeCell="AL17" sqref="AL17"/>
      <selection pane="bottomRight" activeCell="C2" sqref="C2:C3"/>
    </sheetView>
  </sheetViews>
  <sheetFormatPr defaultColWidth="9" defaultRowHeight="14.5" x14ac:dyDescent="0.35"/>
  <cols>
    <col min="1" max="1" width="11.7265625" bestFit="1" customWidth="1"/>
    <col min="2" max="2" width="13" style="63" bestFit="1" customWidth="1"/>
    <col min="3" max="3" width="47" style="63" bestFit="1" customWidth="1"/>
    <col min="4" max="4" width="16" customWidth="1"/>
    <col min="7" max="7" width="24" customWidth="1"/>
    <col min="8" max="8" width="26" bestFit="1" customWidth="1"/>
  </cols>
  <sheetData>
    <row r="1" spans="1:8" ht="68.25" customHeight="1" x14ac:dyDescent="0.35">
      <c r="A1" s="312" t="s">
        <v>31</v>
      </c>
      <c r="B1" s="313"/>
      <c r="C1" s="314"/>
    </row>
    <row r="2" spans="1:8" ht="15" customHeight="1" x14ac:dyDescent="0.35">
      <c r="A2" s="315" t="s">
        <v>20</v>
      </c>
      <c r="B2" s="316" t="s">
        <v>134</v>
      </c>
      <c r="C2" s="316" t="s">
        <v>135</v>
      </c>
      <c r="D2" s="318"/>
      <c r="E2" s="319"/>
      <c r="F2" s="319"/>
      <c r="G2" s="319"/>
      <c r="H2" s="319"/>
    </row>
    <row r="3" spans="1:8" ht="125.25" customHeight="1" x14ac:dyDescent="0.35">
      <c r="A3" s="315"/>
      <c r="B3" s="317"/>
      <c r="C3" s="317"/>
      <c r="D3" s="99" t="s">
        <v>596</v>
      </c>
      <c r="E3" s="99" t="s">
        <v>15</v>
      </c>
      <c r="F3" s="99" t="s">
        <v>16</v>
      </c>
      <c r="G3" s="100" t="s">
        <v>597</v>
      </c>
      <c r="H3" s="99" t="s">
        <v>598</v>
      </c>
    </row>
    <row r="4" spans="1:8" ht="15.5" x14ac:dyDescent="0.35">
      <c r="A4" s="18" t="s">
        <v>8</v>
      </c>
      <c r="B4" s="41">
        <v>1001</v>
      </c>
      <c r="C4" s="61" t="s">
        <v>223</v>
      </c>
      <c r="D4" s="101">
        <v>12</v>
      </c>
      <c r="E4" s="101"/>
      <c r="F4" s="101"/>
      <c r="G4" s="101"/>
      <c r="H4" s="101"/>
    </row>
    <row r="5" spans="1:8" ht="15.5" x14ac:dyDescent="0.35">
      <c r="A5" s="18" t="s">
        <v>8</v>
      </c>
      <c r="B5" s="41">
        <v>1003</v>
      </c>
      <c r="C5" s="61" t="s">
        <v>224</v>
      </c>
      <c r="D5" s="101">
        <v>12</v>
      </c>
      <c r="E5" s="101"/>
      <c r="F5" s="101"/>
      <c r="G5" s="101"/>
      <c r="H5" s="101"/>
    </row>
    <row r="6" spans="1:8" ht="15.5" x14ac:dyDescent="0.35">
      <c r="A6" s="18" t="s">
        <v>8</v>
      </c>
      <c r="B6" s="41">
        <v>1006</v>
      </c>
      <c r="C6" s="61" t="s">
        <v>225</v>
      </c>
      <c r="D6" s="101">
        <v>12</v>
      </c>
      <c r="E6" s="101"/>
      <c r="F6" s="101"/>
      <c r="G6" s="101"/>
      <c r="H6" s="101"/>
    </row>
    <row r="7" spans="1:8" ht="15.5" x14ac:dyDescent="0.35">
      <c r="A7" s="18" t="s">
        <v>9</v>
      </c>
      <c r="B7" s="41">
        <v>1009</v>
      </c>
      <c r="C7" s="61" t="s">
        <v>226</v>
      </c>
      <c r="D7" s="101">
        <v>12</v>
      </c>
      <c r="E7" s="101"/>
      <c r="F7" s="101"/>
      <c r="G7" s="101"/>
      <c r="H7" s="101"/>
    </row>
    <row r="8" spans="1:8" ht="15.5" x14ac:dyDescent="0.35">
      <c r="A8" s="18" t="s">
        <v>9</v>
      </c>
      <c r="B8" s="41">
        <v>1010</v>
      </c>
      <c r="C8" s="61" t="s">
        <v>227</v>
      </c>
      <c r="D8" s="101">
        <v>12</v>
      </c>
      <c r="E8" s="101"/>
      <c r="F8" s="101"/>
      <c r="G8" s="101"/>
      <c r="H8" s="101"/>
    </row>
    <row r="9" spans="1:8" ht="15.5" x14ac:dyDescent="0.35">
      <c r="A9" s="18" t="s">
        <v>9</v>
      </c>
      <c r="B9" s="41">
        <v>1015</v>
      </c>
      <c r="C9" s="61" t="s">
        <v>228</v>
      </c>
      <c r="D9" s="101">
        <v>12</v>
      </c>
      <c r="E9" s="101"/>
      <c r="F9" s="101"/>
      <c r="G9" s="101"/>
      <c r="H9" s="101"/>
    </row>
    <row r="10" spans="1:8" ht="15.5" x14ac:dyDescent="0.35">
      <c r="A10" s="18" t="s">
        <v>9</v>
      </c>
      <c r="B10" s="41">
        <v>1016</v>
      </c>
      <c r="C10" s="61" t="s">
        <v>229</v>
      </c>
      <c r="D10" s="101">
        <v>12</v>
      </c>
      <c r="E10" s="101"/>
      <c r="F10" s="101"/>
      <c r="G10" s="101"/>
      <c r="H10" s="101"/>
    </row>
    <row r="11" spans="1:8" ht="15.5" x14ac:dyDescent="0.35">
      <c r="A11" s="18" t="s">
        <v>9</v>
      </c>
      <c r="B11" s="41">
        <v>1017</v>
      </c>
      <c r="C11" s="61" t="s">
        <v>230</v>
      </c>
      <c r="D11" s="101">
        <v>12</v>
      </c>
      <c r="E11" s="101"/>
      <c r="F11" s="101"/>
      <c r="G11" s="101"/>
      <c r="H11" s="101"/>
    </row>
    <row r="12" spans="1:8" ht="15.5" x14ac:dyDescent="0.35">
      <c r="A12" s="18" t="s">
        <v>9</v>
      </c>
      <c r="B12" s="41">
        <v>1018</v>
      </c>
      <c r="C12" s="61" t="s">
        <v>231</v>
      </c>
      <c r="D12" s="101">
        <v>12</v>
      </c>
      <c r="E12" s="101"/>
      <c r="F12" s="101"/>
      <c r="G12" s="101"/>
      <c r="H12" s="101"/>
    </row>
    <row r="13" spans="1:8" ht="15.5" x14ac:dyDescent="0.35">
      <c r="A13" s="18" t="s">
        <v>8</v>
      </c>
      <c r="B13" s="41">
        <v>1019</v>
      </c>
      <c r="C13" s="61" t="s">
        <v>232</v>
      </c>
      <c r="D13" s="101">
        <v>12</v>
      </c>
      <c r="E13" s="101"/>
      <c r="F13" s="101"/>
      <c r="G13" s="101"/>
      <c r="H13" s="101"/>
    </row>
    <row r="14" spans="1:8" ht="15.5" x14ac:dyDescent="0.35">
      <c r="A14" s="18" t="s">
        <v>8</v>
      </c>
      <c r="B14" s="41">
        <v>1023</v>
      </c>
      <c r="C14" s="61" t="s">
        <v>233</v>
      </c>
      <c r="D14" s="101">
        <v>12</v>
      </c>
      <c r="E14" s="101"/>
      <c r="F14" s="101"/>
      <c r="G14" s="101"/>
      <c r="H14" s="101"/>
    </row>
    <row r="15" spans="1:8" ht="15.5" x14ac:dyDescent="0.35">
      <c r="A15" s="18" t="s">
        <v>9</v>
      </c>
      <c r="B15" s="41">
        <v>1024</v>
      </c>
      <c r="C15" s="61" t="s">
        <v>234</v>
      </c>
      <c r="D15" s="101">
        <v>12</v>
      </c>
      <c r="E15" s="101"/>
      <c r="F15" s="101"/>
      <c r="G15" s="101"/>
      <c r="H15" s="101"/>
    </row>
    <row r="16" spans="1:8" ht="15.5" x14ac:dyDescent="0.35">
      <c r="A16" s="18" t="s">
        <v>8</v>
      </c>
      <c r="B16" s="41">
        <v>1028</v>
      </c>
      <c r="C16" s="61" t="s">
        <v>235</v>
      </c>
      <c r="D16" s="101">
        <v>12</v>
      </c>
      <c r="E16" s="101"/>
      <c r="F16" s="101"/>
      <c r="G16" s="101"/>
      <c r="H16" s="101"/>
    </row>
    <row r="17" spans="1:8" ht="15.5" x14ac:dyDescent="0.35">
      <c r="A17" s="18" t="s">
        <v>9</v>
      </c>
      <c r="B17" s="41">
        <v>1029</v>
      </c>
      <c r="C17" s="61" t="s">
        <v>236</v>
      </c>
      <c r="D17" s="101">
        <v>12</v>
      </c>
      <c r="E17" s="101"/>
      <c r="F17" s="101"/>
      <c r="G17" s="101"/>
      <c r="H17" s="101"/>
    </row>
    <row r="18" spans="1:8" ht="16.5" customHeight="1" x14ac:dyDescent="0.35">
      <c r="A18" s="18" t="s">
        <v>8</v>
      </c>
      <c r="B18" s="41">
        <v>1031</v>
      </c>
      <c r="C18" s="61" t="s">
        <v>237</v>
      </c>
      <c r="D18" s="101">
        <v>12</v>
      </c>
      <c r="E18" s="101"/>
      <c r="F18" s="101"/>
      <c r="G18" s="101"/>
      <c r="H18" s="101"/>
    </row>
    <row r="19" spans="1:8" ht="15.5" x14ac:dyDescent="0.35">
      <c r="A19" s="18" t="s">
        <v>9</v>
      </c>
      <c r="B19" s="41">
        <v>1033</v>
      </c>
      <c r="C19" s="61" t="s">
        <v>238</v>
      </c>
      <c r="D19" s="101">
        <v>12</v>
      </c>
      <c r="E19" s="101"/>
      <c r="F19" s="101"/>
      <c r="G19" s="101"/>
      <c r="H19" s="101"/>
    </row>
    <row r="20" spans="1:8" ht="15.5" x14ac:dyDescent="0.35">
      <c r="A20" s="18" t="s">
        <v>8</v>
      </c>
      <c r="B20" s="41">
        <v>1035</v>
      </c>
      <c r="C20" s="61" t="s">
        <v>239</v>
      </c>
      <c r="D20" s="101">
        <v>12</v>
      </c>
      <c r="E20" s="101"/>
      <c r="F20" s="101"/>
      <c r="G20" s="101"/>
      <c r="H20" s="101"/>
    </row>
    <row r="21" spans="1:8" ht="15.5" x14ac:dyDescent="0.35">
      <c r="A21" s="18" t="s">
        <v>9</v>
      </c>
      <c r="B21" s="41">
        <v>1036</v>
      </c>
      <c r="C21" s="61" t="s">
        <v>240</v>
      </c>
      <c r="D21" s="101">
        <v>12</v>
      </c>
      <c r="E21" s="101"/>
      <c r="F21" s="101"/>
      <c r="G21" s="101"/>
      <c r="H21" s="101"/>
    </row>
    <row r="22" spans="1:8" ht="15.5" x14ac:dyDescent="0.35">
      <c r="A22" s="18" t="s">
        <v>8</v>
      </c>
      <c r="B22" s="41">
        <v>1037</v>
      </c>
      <c r="C22" s="61" t="s">
        <v>241</v>
      </c>
      <c r="D22" s="101">
        <v>12</v>
      </c>
      <c r="E22" s="101"/>
      <c r="F22" s="101"/>
      <c r="G22" s="101"/>
      <c r="H22" s="101"/>
    </row>
    <row r="23" spans="1:8" ht="15.5" x14ac:dyDescent="0.35">
      <c r="A23" s="18" t="s">
        <v>8</v>
      </c>
      <c r="B23" s="41">
        <v>1038</v>
      </c>
      <c r="C23" s="61" t="s">
        <v>242</v>
      </c>
      <c r="D23" s="101">
        <v>12</v>
      </c>
      <c r="E23" s="101"/>
      <c r="F23" s="101"/>
      <c r="G23" s="101"/>
      <c r="H23" s="101"/>
    </row>
    <row r="24" spans="1:8" ht="15.5" x14ac:dyDescent="0.35">
      <c r="A24" s="18" t="s">
        <v>8</v>
      </c>
      <c r="B24" s="41">
        <v>1039</v>
      </c>
      <c r="C24" s="61" t="s">
        <v>242</v>
      </c>
      <c r="D24" s="101">
        <v>12</v>
      </c>
      <c r="E24" s="101"/>
      <c r="F24" s="101"/>
      <c r="G24" s="101"/>
      <c r="H24" s="101"/>
    </row>
    <row r="25" spans="1:8" ht="15.5" x14ac:dyDescent="0.35">
      <c r="A25" s="18" t="s">
        <v>9</v>
      </c>
      <c r="B25" s="41">
        <v>1040</v>
      </c>
      <c r="C25" s="61" t="s">
        <v>243</v>
      </c>
      <c r="D25" s="101">
        <v>12</v>
      </c>
      <c r="E25" s="101"/>
      <c r="F25" s="101"/>
      <c r="G25" s="101"/>
      <c r="H25" s="101"/>
    </row>
    <row r="26" spans="1:8" ht="15.5" x14ac:dyDescent="0.35">
      <c r="A26" s="18" t="s">
        <v>9</v>
      </c>
      <c r="B26" s="41">
        <v>1041</v>
      </c>
      <c r="C26" s="61" t="s">
        <v>244</v>
      </c>
      <c r="D26" s="101">
        <v>12</v>
      </c>
      <c r="E26" s="101"/>
      <c r="F26" s="101"/>
      <c r="G26" s="101"/>
      <c r="H26" s="101"/>
    </row>
    <row r="27" spans="1:8" s="62" customFormat="1" ht="15.5" x14ac:dyDescent="0.35">
      <c r="A27" s="18" t="s">
        <v>9</v>
      </c>
      <c r="B27" s="41">
        <v>1042</v>
      </c>
      <c r="C27" s="61" t="s">
        <v>245</v>
      </c>
      <c r="D27" s="101">
        <v>12</v>
      </c>
      <c r="E27" s="103"/>
      <c r="F27" s="103"/>
      <c r="G27" s="103"/>
      <c r="H27" s="103"/>
    </row>
    <row r="28" spans="1:8" ht="15.5" x14ac:dyDescent="0.35">
      <c r="A28" s="18" t="s">
        <v>9</v>
      </c>
      <c r="B28" s="41">
        <v>1045</v>
      </c>
      <c r="C28" s="61" t="s">
        <v>246</v>
      </c>
      <c r="D28" s="101">
        <v>12</v>
      </c>
      <c r="E28" s="101"/>
      <c r="F28" s="101"/>
      <c r="G28" s="101"/>
      <c r="H28" s="101"/>
    </row>
    <row r="29" spans="1:8" ht="15.5" x14ac:dyDescent="0.35">
      <c r="A29" s="18" t="s">
        <v>8</v>
      </c>
      <c r="B29" s="41">
        <v>1050</v>
      </c>
      <c r="C29" s="61" t="s">
        <v>247</v>
      </c>
      <c r="D29" s="101">
        <v>12</v>
      </c>
      <c r="E29" s="101"/>
      <c r="F29" s="101"/>
      <c r="G29" s="101"/>
      <c r="H29" s="101"/>
    </row>
    <row r="30" spans="1:8" ht="15.75" customHeight="1" x14ac:dyDescent="0.35">
      <c r="A30" s="18" t="s">
        <v>9</v>
      </c>
      <c r="B30" s="104">
        <v>1052</v>
      </c>
      <c r="C30" s="61" t="s">
        <v>248</v>
      </c>
      <c r="D30" s="101">
        <v>12</v>
      </c>
      <c r="E30" s="101"/>
      <c r="F30" s="101"/>
      <c r="G30" s="101"/>
      <c r="H30" s="101"/>
    </row>
    <row r="31" spans="1:8" ht="15.5" x14ac:dyDescent="0.35">
      <c r="A31" s="18" t="s">
        <v>8</v>
      </c>
      <c r="B31" s="41">
        <v>1053</v>
      </c>
      <c r="C31" s="61" t="s">
        <v>249</v>
      </c>
      <c r="D31" s="101">
        <v>12</v>
      </c>
      <c r="E31" s="101"/>
      <c r="F31" s="101"/>
      <c r="G31" s="101"/>
      <c r="H31" s="101"/>
    </row>
    <row r="32" spans="1:8" ht="15.5" x14ac:dyDescent="0.35">
      <c r="A32" s="18" t="s">
        <v>9</v>
      </c>
      <c r="B32" s="41">
        <v>1056</v>
      </c>
      <c r="C32" s="61" t="s">
        <v>250</v>
      </c>
      <c r="D32" s="101">
        <v>12</v>
      </c>
      <c r="E32" s="101"/>
      <c r="F32" s="101"/>
      <c r="G32" s="101"/>
      <c r="H32" s="101"/>
    </row>
    <row r="33" spans="1:8" ht="15.5" x14ac:dyDescent="0.35">
      <c r="A33" s="18" t="s">
        <v>8</v>
      </c>
      <c r="B33" s="41">
        <v>1057</v>
      </c>
      <c r="C33" s="61" t="s">
        <v>251</v>
      </c>
      <c r="D33" s="101">
        <v>12</v>
      </c>
      <c r="E33" s="101"/>
      <c r="F33" s="101"/>
      <c r="G33" s="101"/>
      <c r="H33" s="101"/>
    </row>
    <row r="34" spans="1:8" ht="15.5" x14ac:dyDescent="0.35">
      <c r="A34" s="18" t="s">
        <v>9</v>
      </c>
      <c r="B34" s="41">
        <v>1058</v>
      </c>
      <c r="C34" s="61" t="s">
        <v>252</v>
      </c>
      <c r="D34" s="101">
        <v>12</v>
      </c>
      <c r="E34" s="101"/>
      <c r="F34" s="101"/>
      <c r="G34" s="101"/>
      <c r="H34" s="101"/>
    </row>
    <row r="35" spans="1:8" ht="15.5" x14ac:dyDescent="0.35">
      <c r="A35" s="18" t="s">
        <v>8</v>
      </c>
      <c r="B35" s="41">
        <v>1059</v>
      </c>
      <c r="C35" s="61" t="s">
        <v>253</v>
      </c>
      <c r="D35" s="101">
        <v>12</v>
      </c>
      <c r="E35" s="101"/>
      <c r="F35" s="101"/>
      <c r="G35" s="101"/>
      <c r="H35" s="101"/>
    </row>
    <row r="36" spans="1:8" ht="15.5" x14ac:dyDescent="0.35">
      <c r="A36" s="18" t="s">
        <v>8</v>
      </c>
      <c r="B36" s="41">
        <v>1060</v>
      </c>
      <c r="C36" s="61" t="s">
        <v>254</v>
      </c>
      <c r="D36" s="101">
        <v>12</v>
      </c>
      <c r="E36" s="101"/>
      <c r="F36" s="101"/>
      <c r="G36" s="101"/>
      <c r="H36" s="101"/>
    </row>
    <row r="37" spans="1:8" ht="15.5" x14ac:dyDescent="0.35">
      <c r="A37" s="18" t="s">
        <v>8</v>
      </c>
      <c r="B37" s="41">
        <v>1063</v>
      </c>
      <c r="C37" s="61" t="s">
        <v>255</v>
      </c>
      <c r="D37" s="101">
        <v>12</v>
      </c>
      <c r="E37" s="101"/>
      <c r="F37" s="101"/>
      <c r="G37" s="101"/>
      <c r="H37" s="101"/>
    </row>
    <row r="38" spans="1:8" ht="15.5" x14ac:dyDescent="0.35">
      <c r="A38" s="18" t="s">
        <v>9</v>
      </c>
      <c r="B38" s="41">
        <v>1064</v>
      </c>
      <c r="C38" s="61" t="s">
        <v>226</v>
      </c>
      <c r="D38" s="101">
        <v>12</v>
      </c>
      <c r="E38" s="101"/>
      <c r="F38" s="101"/>
      <c r="G38" s="101"/>
      <c r="H38" s="101"/>
    </row>
    <row r="39" spans="1:8" ht="15.5" x14ac:dyDescent="0.35">
      <c r="A39" s="18" t="s">
        <v>9</v>
      </c>
      <c r="B39" s="41">
        <v>1074</v>
      </c>
      <c r="C39" s="61" t="s">
        <v>256</v>
      </c>
      <c r="D39" s="101">
        <v>12</v>
      </c>
      <c r="E39" s="101"/>
      <c r="F39" s="101"/>
      <c r="G39" s="101"/>
      <c r="H39" s="101"/>
    </row>
    <row r="40" spans="1:8" ht="15.5" x14ac:dyDescent="0.35">
      <c r="A40" s="18" t="s">
        <v>8</v>
      </c>
      <c r="B40" s="41">
        <v>1081</v>
      </c>
      <c r="C40" s="61" t="s">
        <v>257</v>
      </c>
      <c r="D40" s="101">
        <v>12</v>
      </c>
      <c r="E40" s="101"/>
      <c r="F40" s="101"/>
      <c r="G40" s="101"/>
      <c r="H40" s="101"/>
    </row>
    <row r="41" spans="1:8" ht="15.5" x14ac:dyDescent="0.35">
      <c r="A41" s="18" t="s">
        <v>9</v>
      </c>
      <c r="B41" s="41">
        <v>1088</v>
      </c>
      <c r="C41" s="61" t="s">
        <v>245</v>
      </c>
      <c r="D41" s="101">
        <v>12</v>
      </c>
      <c r="E41" s="101"/>
      <c r="F41" s="101"/>
      <c r="G41" s="101"/>
      <c r="H41" s="101"/>
    </row>
    <row r="42" spans="1:8" ht="15.5" x14ac:dyDescent="0.35">
      <c r="A42" s="18" t="s">
        <v>9</v>
      </c>
      <c r="B42" s="41">
        <v>1089</v>
      </c>
      <c r="C42" s="61" t="s">
        <v>258</v>
      </c>
      <c r="D42" s="101">
        <v>12</v>
      </c>
      <c r="E42" s="101"/>
      <c r="F42" s="101"/>
      <c r="G42" s="101"/>
      <c r="H42" s="101"/>
    </row>
    <row r="43" spans="1:8" ht="15.5" x14ac:dyDescent="0.35">
      <c r="A43" s="18" t="s">
        <v>9</v>
      </c>
      <c r="B43" s="41">
        <v>1092</v>
      </c>
      <c r="C43" s="61" t="s">
        <v>259</v>
      </c>
      <c r="D43" s="101">
        <v>12</v>
      </c>
      <c r="E43" s="101"/>
      <c r="F43" s="101"/>
      <c r="G43" s="101"/>
      <c r="H43" s="101"/>
    </row>
    <row r="44" spans="1:8" ht="15.5" x14ac:dyDescent="0.35">
      <c r="A44" s="18" t="s">
        <v>8</v>
      </c>
      <c r="B44" s="41">
        <v>1093</v>
      </c>
      <c r="C44" s="61" t="s">
        <v>260</v>
      </c>
      <c r="D44" s="101">
        <v>12</v>
      </c>
      <c r="E44" s="101"/>
      <c r="F44" s="101"/>
      <c r="G44" s="101"/>
      <c r="H44" s="101"/>
    </row>
    <row r="45" spans="1:8" ht="15.5" x14ac:dyDescent="0.35">
      <c r="A45" s="18" t="s">
        <v>8</v>
      </c>
      <c r="B45" s="41">
        <v>1094</v>
      </c>
      <c r="C45" s="61" t="s">
        <v>261</v>
      </c>
      <c r="D45" s="101">
        <v>12</v>
      </c>
      <c r="E45" s="101"/>
      <c r="F45" s="101"/>
      <c r="G45" s="101"/>
      <c r="H45" s="101"/>
    </row>
    <row r="46" spans="1:8" ht="15.5" x14ac:dyDescent="0.35">
      <c r="A46" s="18" t="s">
        <v>8</v>
      </c>
      <c r="B46" s="41">
        <v>1096</v>
      </c>
      <c r="C46" s="61" t="s">
        <v>262</v>
      </c>
      <c r="D46" s="101">
        <v>12</v>
      </c>
      <c r="E46" s="101"/>
      <c r="F46" s="101"/>
      <c r="G46" s="101"/>
      <c r="H46" s="101"/>
    </row>
    <row r="47" spans="1:8" ht="15.5" x14ac:dyDescent="0.35">
      <c r="A47" s="18" t="s">
        <v>9</v>
      </c>
      <c r="B47" s="41">
        <v>1097</v>
      </c>
      <c r="C47" s="61" t="s">
        <v>263</v>
      </c>
      <c r="D47" s="101">
        <v>12</v>
      </c>
      <c r="E47" s="101"/>
      <c r="F47" s="101"/>
      <c r="G47" s="101"/>
      <c r="H47" s="101"/>
    </row>
    <row r="48" spans="1:8" ht="15.5" x14ac:dyDescent="0.35">
      <c r="A48" s="18" t="s">
        <v>9</v>
      </c>
      <c r="B48" s="41">
        <v>1098</v>
      </c>
      <c r="C48" s="61" t="s">
        <v>264</v>
      </c>
      <c r="D48" s="101">
        <v>12</v>
      </c>
      <c r="E48" s="101"/>
      <c r="F48" s="101"/>
      <c r="G48" s="101"/>
      <c r="H48" s="101"/>
    </row>
    <row r="49" spans="1:8" ht="15.5" x14ac:dyDescent="0.35">
      <c r="A49" s="18" t="s">
        <v>9</v>
      </c>
      <c r="B49" s="41">
        <v>1099</v>
      </c>
      <c r="C49" s="61" t="s">
        <v>265</v>
      </c>
      <c r="D49" s="101">
        <v>12</v>
      </c>
      <c r="E49" s="101"/>
      <c r="F49" s="101"/>
      <c r="G49" s="101"/>
      <c r="H49" s="101"/>
    </row>
    <row r="50" spans="1:8" ht="15.5" x14ac:dyDescent="0.35">
      <c r="A50" s="18" t="s">
        <v>8</v>
      </c>
      <c r="B50" s="41">
        <v>1103</v>
      </c>
      <c r="C50" s="61" t="s">
        <v>152</v>
      </c>
      <c r="D50" s="101">
        <v>12</v>
      </c>
      <c r="E50" s="101"/>
      <c r="F50" s="101"/>
      <c r="G50" s="101"/>
      <c r="H50" s="101"/>
    </row>
    <row r="51" spans="1:8" ht="15.5" x14ac:dyDescent="0.35">
      <c r="A51" s="18" t="s">
        <v>8</v>
      </c>
      <c r="B51" s="41">
        <v>1105</v>
      </c>
      <c r="C51" s="61" t="s">
        <v>266</v>
      </c>
      <c r="D51" s="101">
        <v>12</v>
      </c>
      <c r="E51" s="101"/>
      <c r="F51" s="101"/>
      <c r="G51" s="101"/>
      <c r="H51" s="101"/>
    </row>
    <row r="52" spans="1:8" ht="15.5" x14ac:dyDescent="0.35">
      <c r="A52" s="18" t="s">
        <v>8</v>
      </c>
      <c r="B52" s="41">
        <v>1106</v>
      </c>
      <c r="C52" s="61" t="s">
        <v>267</v>
      </c>
      <c r="D52" s="101">
        <v>12</v>
      </c>
      <c r="E52" s="101"/>
      <c r="F52" s="101"/>
      <c r="G52" s="101"/>
      <c r="H52" s="101"/>
    </row>
    <row r="53" spans="1:8" ht="15.5" x14ac:dyDescent="0.35">
      <c r="A53" s="18" t="s">
        <v>9</v>
      </c>
      <c r="B53" s="41">
        <v>1107</v>
      </c>
      <c r="C53" s="61" t="s">
        <v>268</v>
      </c>
      <c r="D53" s="101">
        <v>12</v>
      </c>
      <c r="E53" s="101"/>
      <c r="F53" s="101"/>
      <c r="G53" s="101"/>
      <c r="H53" s="101"/>
    </row>
    <row r="54" spans="1:8" ht="15.5" x14ac:dyDescent="0.35">
      <c r="A54" s="18" t="s">
        <v>8</v>
      </c>
      <c r="B54" s="41">
        <v>1108</v>
      </c>
      <c r="C54" s="61" t="s">
        <v>269</v>
      </c>
      <c r="D54" s="101">
        <v>12</v>
      </c>
      <c r="E54" s="101"/>
      <c r="F54" s="101"/>
      <c r="G54" s="101"/>
      <c r="H54" s="101"/>
    </row>
    <row r="55" spans="1:8" ht="15.5" x14ac:dyDescent="0.35">
      <c r="A55" s="18" t="s">
        <v>9</v>
      </c>
      <c r="B55" s="41">
        <v>1116</v>
      </c>
      <c r="C55" s="61" t="s">
        <v>270</v>
      </c>
      <c r="D55" s="101">
        <v>12</v>
      </c>
      <c r="E55" s="101"/>
      <c r="F55" s="101"/>
      <c r="G55" s="101"/>
      <c r="H55" s="101"/>
    </row>
    <row r="56" spans="1:8" ht="15.5" x14ac:dyDescent="0.35">
      <c r="A56" s="18" t="s">
        <v>8</v>
      </c>
      <c r="B56" s="41">
        <v>1117</v>
      </c>
      <c r="C56" s="61" t="s">
        <v>271</v>
      </c>
      <c r="D56" s="101">
        <v>12</v>
      </c>
      <c r="E56" s="101"/>
      <c r="F56" s="101"/>
      <c r="G56" s="101"/>
      <c r="H56" s="101"/>
    </row>
    <row r="57" spans="1:8" ht="15.5" x14ac:dyDescent="0.35">
      <c r="A57" s="18" t="s">
        <v>8</v>
      </c>
      <c r="B57" s="41">
        <v>1119</v>
      </c>
      <c r="C57" s="61" t="s">
        <v>272</v>
      </c>
      <c r="D57" s="101">
        <v>12</v>
      </c>
      <c r="E57" s="101"/>
      <c r="F57" s="101"/>
      <c r="G57" s="101"/>
      <c r="H57" s="101"/>
    </row>
    <row r="58" spans="1:8" ht="16.5" customHeight="1" x14ac:dyDescent="0.35">
      <c r="A58" s="18" t="s">
        <v>9</v>
      </c>
      <c r="B58" s="41">
        <v>1120</v>
      </c>
      <c r="C58" s="61" t="s">
        <v>244</v>
      </c>
      <c r="D58" s="101">
        <v>12</v>
      </c>
      <c r="E58" s="101"/>
      <c r="F58" s="101"/>
      <c r="G58" s="101"/>
      <c r="H58" s="101"/>
    </row>
    <row r="59" spans="1:8" ht="15.5" x14ac:dyDescent="0.35">
      <c r="A59" s="18" t="s">
        <v>9</v>
      </c>
      <c r="B59" s="41">
        <v>1126</v>
      </c>
      <c r="C59" s="61" t="s">
        <v>273</v>
      </c>
      <c r="D59" s="101">
        <v>12</v>
      </c>
      <c r="E59" s="101"/>
      <c r="F59" s="101"/>
      <c r="G59" s="101"/>
      <c r="H59" s="101"/>
    </row>
    <row r="60" spans="1:8" ht="15.5" x14ac:dyDescent="0.35">
      <c r="A60" s="18" t="s">
        <v>8</v>
      </c>
      <c r="B60" s="41">
        <v>1129</v>
      </c>
      <c r="C60" s="61" t="s">
        <v>274</v>
      </c>
      <c r="D60" s="101">
        <v>12</v>
      </c>
      <c r="E60" s="101"/>
      <c r="F60" s="101"/>
      <c r="G60" s="101"/>
      <c r="H60" s="101"/>
    </row>
    <row r="61" spans="1:8" ht="15.5" x14ac:dyDescent="0.35">
      <c r="A61" s="18" t="s">
        <v>8</v>
      </c>
      <c r="B61" s="41">
        <v>1132</v>
      </c>
      <c r="C61" s="61" t="s">
        <v>275</v>
      </c>
      <c r="D61" s="101">
        <v>12</v>
      </c>
      <c r="E61" s="101"/>
      <c r="F61" s="101"/>
      <c r="G61" s="101"/>
      <c r="H61" s="101"/>
    </row>
    <row r="62" spans="1:8" ht="15.5" x14ac:dyDescent="0.35">
      <c r="A62" s="18" t="s">
        <v>8</v>
      </c>
      <c r="B62" s="41">
        <v>1134</v>
      </c>
      <c r="C62" s="61" t="s">
        <v>276</v>
      </c>
      <c r="D62" s="101">
        <v>12</v>
      </c>
      <c r="E62" s="101"/>
      <c r="F62" s="101"/>
      <c r="G62" s="101"/>
      <c r="H62" s="101"/>
    </row>
    <row r="63" spans="1:8" ht="15.5" x14ac:dyDescent="0.35">
      <c r="A63" s="18" t="s">
        <v>9</v>
      </c>
      <c r="B63" s="41">
        <v>1136</v>
      </c>
      <c r="C63" s="61" t="s">
        <v>277</v>
      </c>
      <c r="D63" s="101">
        <v>12</v>
      </c>
      <c r="E63" s="101"/>
      <c r="F63" s="101"/>
      <c r="G63" s="101"/>
      <c r="H63" s="101"/>
    </row>
    <row r="64" spans="1:8" ht="15.5" x14ac:dyDescent="0.35">
      <c r="A64" s="18" t="s">
        <v>8</v>
      </c>
      <c r="B64" s="41">
        <v>1138</v>
      </c>
      <c r="C64" s="61" t="s">
        <v>278</v>
      </c>
      <c r="D64" s="101">
        <v>12</v>
      </c>
      <c r="E64" s="101"/>
      <c r="F64" s="101"/>
      <c r="G64" s="101"/>
      <c r="H64" s="101"/>
    </row>
    <row r="65" spans="1:8" ht="15.5" x14ac:dyDescent="0.35">
      <c r="A65" s="18" t="s">
        <v>8</v>
      </c>
      <c r="B65" s="41">
        <v>1140</v>
      </c>
      <c r="C65" s="61" t="s">
        <v>279</v>
      </c>
      <c r="D65" s="101">
        <v>12</v>
      </c>
      <c r="E65" s="101"/>
      <c r="F65" s="101"/>
      <c r="G65" s="101"/>
      <c r="H65" s="101"/>
    </row>
    <row r="66" spans="1:8" ht="15.5" x14ac:dyDescent="0.35">
      <c r="A66" s="18" t="s">
        <v>9</v>
      </c>
      <c r="B66" s="41">
        <v>1141</v>
      </c>
      <c r="C66" s="61" t="s">
        <v>280</v>
      </c>
      <c r="D66" s="101">
        <v>12</v>
      </c>
      <c r="E66" s="101"/>
      <c r="F66" s="101"/>
      <c r="G66" s="101"/>
      <c r="H66" s="101"/>
    </row>
    <row r="67" spans="1:8" ht="15.5" x14ac:dyDescent="0.35">
      <c r="A67" s="18" t="s">
        <v>9</v>
      </c>
      <c r="B67" s="41">
        <v>1157</v>
      </c>
      <c r="C67" s="61" t="s">
        <v>281</v>
      </c>
      <c r="D67" s="101">
        <v>12</v>
      </c>
      <c r="E67" s="101"/>
      <c r="F67" s="101"/>
      <c r="G67" s="101"/>
      <c r="H67" s="101"/>
    </row>
    <row r="68" spans="1:8" ht="15.5" x14ac:dyDescent="0.35">
      <c r="A68" s="18" t="s">
        <v>8</v>
      </c>
      <c r="B68" s="41">
        <v>1159</v>
      </c>
      <c r="C68" s="61" t="s">
        <v>282</v>
      </c>
      <c r="D68" s="101">
        <v>12</v>
      </c>
      <c r="E68" s="101"/>
      <c r="F68" s="101"/>
      <c r="G68" s="101"/>
      <c r="H68" s="101"/>
    </row>
    <row r="69" spans="1:8" ht="15.5" x14ac:dyDescent="0.35">
      <c r="A69" s="18" t="s">
        <v>8</v>
      </c>
      <c r="B69" s="41">
        <v>1162</v>
      </c>
      <c r="C69" s="61" t="s">
        <v>283</v>
      </c>
      <c r="D69" s="101">
        <v>12</v>
      </c>
      <c r="E69" s="101"/>
      <c r="F69" s="101"/>
      <c r="G69" s="101"/>
      <c r="H69" s="101"/>
    </row>
    <row r="70" spans="1:8" ht="15.5" x14ac:dyDescent="0.35">
      <c r="A70" s="18" t="s">
        <v>9</v>
      </c>
      <c r="B70" s="41">
        <v>1163</v>
      </c>
      <c r="C70" s="61" t="s">
        <v>284</v>
      </c>
      <c r="D70" s="101">
        <v>12</v>
      </c>
      <c r="E70" s="101"/>
      <c r="F70" s="101"/>
      <c r="G70" s="101"/>
      <c r="H70" s="101"/>
    </row>
    <row r="71" spans="1:8" ht="15.5" x14ac:dyDescent="0.35">
      <c r="A71" s="18" t="s">
        <v>9</v>
      </c>
      <c r="B71" s="104">
        <v>1170</v>
      </c>
      <c r="C71" s="61" t="s">
        <v>285</v>
      </c>
      <c r="D71" s="101">
        <v>12</v>
      </c>
      <c r="E71" s="101"/>
      <c r="F71" s="101"/>
      <c r="G71" s="101"/>
      <c r="H71" s="101"/>
    </row>
    <row r="72" spans="1:8" ht="15.5" x14ac:dyDescent="0.35">
      <c r="A72" s="18" t="s">
        <v>8</v>
      </c>
      <c r="B72" s="41">
        <v>1176</v>
      </c>
      <c r="C72" s="61"/>
      <c r="D72" s="101">
        <v>12</v>
      </c>
      <c r="E72" s="101"/>
      <c r="F72" s="101"/>
      <c r="G72" s="101"/>
      <c r="H72" s="101"/>
    </row>
    <row r="73" spans="1:8" ht="15.5" x14ac:dyDescent="0.35">
      <c r="A73" s="18" t="s">
        <v>8</v>
      </c>
      <c r="B73" s="41">
        <v>1177</v>
      </c>
      <c r="C73" s="61" t="s">
        <v>286</v>
      </c>
      <c r="D73" s="101">
        <v>12</v>
      </c>
      <c r="E73" s="101"/>
      <c r="F73" s="101"/>
      <c r="G73" s="101"/>
      <c r="H73" s="101"/>
    </row>
    <row r="74" spans="1:8" ht="15.5" x14ac:dyDescent="0.35">
      <c r="A74" s="18" t="s">
        <v>9</v>
      </c>
      <c r="B74" s="41">
        <v>1193</v>
      </c>
      <c r="C74" s="61" t="s">
        <v>287</v>
      </c>
      <c r="D74" s="101">
        <v>12</v>
      </c>
      <c r="E74" s="101"/>
      <c r="F74" s="101"/>
      <c r="G74" s="101"/>
      <c r="H74" s="101"/>
    </row>
    <row r="75" spans="1:8" ht="15.5" x14ac:dyDescent="0.35">
      <c r="A75" s="18" t="s">
        <v>8</v>
      </c>
      <c r="B75" s="41">
        <v>1199</v>
      </c>
      <c r="C75" s="61" t="s">
        <v>288</v>
      </c>
      <c r="D75" s="101">
        <v>12</v>
      </c>
      <c r="E75" s="101"/>
      <c r="F75" s="101"/>
      <c r="G75" s="101"/>
      <c r="H75" s="101"/>
    </row>
    <row r="76" spans="1:8" ht="15.5" x14ac:dyDescent="0.35">
      <c r="A76" s="18" t="s">
        <v>8</v>
      </c>
      <c r="B76" s="41">
        <v>1215</v>
      </c>
      <c r="C76" s="61" t="s">
        <v>289</v>
      </c>
      <c r="D76" s="101">
        <v>12</v>
      </c>
      <c r="E76" s="101"/>
      <c r="F76" s="101"/>
      <c r="G76" s="101"/>
      <c r="H76" s="101"/>
    </row>
    <row r="77" spans="1:8" ht="15.5" x14ac:dyDescent="0.35">
      <c r="A77" s="18" t="s">
        <v>8</v>
      </c>
      <c r="B77" s="41">
        <v>1203</v>
      </c>
      <c r="C77" s="61" t="s">
        <v>290</v>
      </c>
      <c r="D77" s="101">
        <v>12</v>
      </c>
      <c r="E77" s="101"/>
      <c r="F77" s="101"/>
      <c r="G77" s="101"/>
      <c r="H77" s="101"/>
    </row>
    <row r="78" spans="1:8" ht="15.5" x14ac:dyDescent="0.35">
      <c r="A78" s="18" t="s">
        <v>8</v>
      </c>
      <c r="B78" s="41">
        <v>1229</v>
      </c>
      <c r="C78" s="61" t="s">
        <v>291</v>
      </c>
      <c r="D78" s="101">
        <v>12</v>
      </c>
      <c r="E78" s="101"/>
      <c r="F78" s="101"/>
      <c r="G78" s="101"/>
      <c r="H78" s="101"/>
    </row>
    <row r="79" spans="1:8" ht="15.5" x14ac:dyDescent="0.35">
      <c r="A79" s="18" t="s">
        <v>8</v>
      </c>
      <c r="B79" s="41">
        <v>1246</v>
      </c>
      <c r="C79" s="61" t="s">
        <v>292</v>
      </c>
      <c r="D79" s="101">
        <v>12</v>
      </c>
      <c r="E79" s="101"/>
      <c r="F79" s="101"/>
      <c r="G79" s="101"/>
      <c r="H79" s="101"/>
    </row>
    <row r="80" spans="1:8" ht="15.75" customHeight="1" x14ac:dyDescent="0.35">
      <c r="A80" s="18" t="s">
        <v>9</v>
      </c>
      <c r="B80" s="104">
        <v>1248</v>
      </c>
      <c r="C80" s="61" t="s">
        <v>293</v>
      </c>
      <c r="D80" s="101">
        <v>12</v>
      </c>
      <c r="E80" s="101"/>
      <c r="F80" s="101"/>
      <c r="G80" s="101"/>
      <c r="H80" s="101"/>
    </row>
    <row r="81" spans="1:8" ht="15.75" customHeight="1" x14ac:dyDescent="0.35">
      <c r="A81" s="18" t="s">
        <v>9</v>
      </c>
      <c r="B81" s="104">
        <v>1262</v>
      </c>
      <c r="C81" s="61" t="s">
        <v>294</v>
      </c>
      <c r="D81" s="101">
        <v>12</v>
      </c>
      <c r="E81" s="101"/>
      <c r="F81" s="101"/>
      <c r="G81" s="101"/>
      <c r="H81" s="101"/>
    </row>
    <row r="82" spans="1:8" ht="15.75" customHeight="1" x14ac:dyDescent="0.35">
      <c r="A82" s="18" t="s">
        <v>8</v>
      </c>
      <c r="B82" s="41">
        <v>1285</v>
      </c>
      <c r="C82" s="61" t="s">
        <v>295</v>
      </c>
      <c r="D82" s="101">
        <v>12</v>
      </c>
      <c r="E82" s="101"/>
      <c r="F82" s="101"/>
      <c r="G82" s="101"/>
      <c r="H82" s="101"/>
    </row>
    <row r="83" spans="1:8" ht="15.75" customHeight="1" x14ac:dyDescent="0.35">
      <c r="A83" s="18" t="s">
        <v>8</v>
      </c>
      <c r="B83" s="41">
        <v>1299</v>
      </c>
      <c r="C83" s="61" t="s">
        <v>296</v>
      </c>
      <c r="D83" s="101">
        <v>12</v>
      </c>
      <c r="E83" s="101"/>
      <c r="F83" s="101"/>
      <c r="G83" s="101"/>
      <c r="H83" s="101"/>
    </row>
    <row r="84" spans="1:8" ht="15.75" customHeight="1" x14ac:dyDescent="0.35">
      <c r="A84" s="18" t="s">
        <v>8</v>
      </c>
      <c r="B84" s="41">
        <v>1372</v>
      </c>
      <c r="C84" s="61" t="s">
        <v>297</v>
      </c>
      <c r="D84" s="101">
        <v>12</v>
      </c>
      <c r="E84" s="101"/>
      <c r="F84" s="101"/>
      <c r="G84" s="101"/>
      <c r="H84" s="101"/>
    </row>
    <row r="85" spans="1:8" ht="15.75" customHeight="1" x14ac:dyDescent="0.35">
      <c r="A85" s="18" t="s">
        <v>8</v>
      </c>
      <c r="B85" s="41">
        <v>1394</v>
      </c>
      <c r="C85" s="61" t="s">
        <v>298</v>
      </c>
      <c r="D85" s="101">
        <v>12</v>
      </c>
      <c r="E85" s="101"/>
      <c r="F85" s="101"/>
      <c r="G85" s="101"/>
      <c r="H85" s="101"/>
    </row>
    <row r="86" spans="1:8" ht="15.75" customHeight="1" x14ac:dyDescent="0.35">
      <c r="A86" s="18" t="s">
        <v>8</v>
      </c>
      <c r="B86" s="41">
        <v>1410</v>
      </c>
      <c r="C86" s="61" t="s">
        <v>299</v>
      </c>
      <c r="D86" s="101">
        <v>12</v>
      </c>
      <c r="E86" s="101"/>
      <c r="F86" s="101"/>
      <c r="G86" s="101"/>
      <c r="H86" s="101"/>
    </row>
    <row r="87" spans="1:8" ht="15.75" customHeight="1" x14ac:dyDescent="0.35">
      <c r="A87" s="18" t="s">
        <v>8</v>
      </c>
      <c r="B87" s="41">
        <v>1411</v>
      </c>
      <c r="C87" s="61" t="s">
        <v>300</v>
      </c>
      <c r="D87" s="101">
        <v>12</v>
      </c>
      <c r="E87" s="101"/>
      <c r="F87" s="101"/>
      <c r="G87" s="101"/>
      <c r="H87" s="101"/>
    </row>
    <row r="88" spans="1:8" ht="15.75" customHeight="1" x14ac:dyDescent="0.35">
      <c r="A88" s="18" t="s">
        <v>8</v>
      </c>
      <c r="B88" s="41">
        <v>1414</v>
      </c>
      <c r="C88" s="61" t="s">
        <v>301</v>
      </c>
      <c r="D88" s="101">
        <v>12</v>
      </c>
      <c r="E88" s="101"/>
      <c r="F88" s="101"/>
      <c r="G88" s="101"/>
      <c r="H88" s="101"/>
    </row>
    <row r="89" spans="1:8" ht="15.75" customHeight="1" x14ac:dyDescent="0.35">
      <c r="A89" s="18" t="s">
        <v>9</v>
      </c>
      <c r="B89" s="41">
        <v>1426</v>
      </c>
      <c r="C89" s="61" t="s">
        <v>302</v>
      </c>
      <c r="D89" s="101">
        <v>12</v>
      </c>
      <c r="E89" s="101"/>
      <c r="F89" s="101"/>
      <c r="G89" s="101"/>
      <c r="H89" s="101"/>
    </row>
    <row r="90" spans="1:8" ht="15.75" customHeight="1" x14ac:dyDescent="0.35">
      <c r="A90" s="18" t="s">
        <v>8</v>
      </c>
      <c r="B90" s="41">
        <v>1413</v>
      </c>
      <c r="C90" s="61" t="s">
        <v>303</v>
      </c>
      <c r="D90" s="101">
        <v>12</v>
      </c>
      <c r="E90" s="101"/>
      <c r="F90" s="101"/>
      <c r="G90" s="101"/>
      <c r="H90" s="101"/>
    </row>
    <row r="91" spans="1:8" ht="15.75" customHeight="1" x14ac:dyDescent="0.35">
      <c r="A91" s="18" t="s">
        <v>8</v>
      </c>
      <c r="B91" s="41">
        <v>3500</v>
      </c>
      <c r="C91" s="61" t="s">
        <v>304</v>
      </c>
      <c r="D91" s="101">
        <v>12</v>
      </c>
      <c r="E91" s="101"/>
      <c r="F91" s="101"/>
      <c r="G91" s="101"/>
      <c r="H91" s="101"/>
    </row>
    <row r="92" spans="1:8" ht="15.75" customHeight="1" x14ac:dyDescent="0.35">
      <c r="A92" s="18" t="s">
        <v>8</v>
      </c>
      <c r="B92" s="41">
        <v>8003</v>
      </c>
      <c r="C92" s="61" t="s">
        <v>305</v>
      </c>
      <c r="D92" s="101">
        <v>12</v>
      </c>
      <c r="E92" s="101"/>
      <c r="F92" s="101"/>
      <c r="G92" s="101"/>
      <c r="H92" s="101"/>
    </row>
    <row r="93" spans="1:8" ht="15.75" customHeight="1" x14ac:dyDescent="0.35">
      <c r="A93" s="18" t="s">
        <v>8</v>
      </c>
      <c r="B93" s="41">
        <v>8020</v>
      </c>
      <c r="C93" s="61" t="s">
        <v>306</v>
      </c>
      <c r="D93" s="101">
        <v>12</v>
      </c>
      <c r="E93" s="101"/>
      <c r="F93" s="101"/>
      <c r="G93" s="101"/>
      <c r="H93" s="101"/>
    </row>
    <row r="94" spans="1:8" ht="15.75" customHeight="1" x14ac:dyDescent="0.35">
      <c r="A94" s="18" t="s">
        <v>5</v>
      </c>
      <c r="B94" s="41">
        <v>1434</v>
      </c>
      <c r="C94" s="61" t="s">
        <v>307</v>
      </c>
      <c r="D94" s="101">
        <v>12</v>
      </c>
      <c r="E94" s="101"/>
      <c r="F94" s="101"/>
      <c r="G94" s="101"/>
      <c r="H94" s="101"/>
    </row>
    <row r="95" spans="1:8" ht="15.75" customHeight="1" x14ac:dyDescent="0.35">
      <c r="A95" s="18" t="s">
        <v>8</v>
      </c>
      <c r="B95" s="41">
        <v>1435</v>
      </c>
      <c r="C95" s="61" t="s">
        <v>308</v>
      </c>
      <c r="D95" s="101">
        <v>12</v>
      </c>
      <c r="E95" s="101"/>
      <c r="F95" s="101"/>
      <c r="G95" s="101"/>
      <c r="H95" s="101"/>
    </row>
    <row r="96" spans="1:8" ht="15.75" customHeight="1" x14ac:dyDescent="0.35">
      <c r="A96" s="18" t="s">
        <v>5</v>
      </c>
      <c r="B96" s="41">
        <v>1442</v>
      </c>
      <c r="C96" s="61" t="s">
        <v>309</v>
      </c>
      <c r="D96" s="101">
        <v>12</v>
      </c>
      <c r="E96" s="101"/>
      <c r="F96" s="101"/>
      <c r="G96" s="101"/>
      <c r="H96" s="101"/>
    </row>
    <row r="97" spans="1:8" ht="15.75" customHeight="1" x14ac:dyDescent="0.35">
      <c r="A97" s="18" t="s">
        <v>5</v>
      </c>
      <c r="B97" s="41">
        <v>8017</v>
      </c>
      <c r="C97" s="61" t="s">
        <v>310</v>
      </c>
      <c r="D97" s="101">
        <v>12</v>
      </c>
      <c r="E97" s="101"/>
      <c r="F97" s="101"/>
      <c r="G97" s="101"/>
      <c r="H97" s="101"/>
    </row>
    <row r="98" spans="1:8" ht="15.5" x14ac:dyDescent="0.35">
      <c r="A98" s="18" t="s">
        <v>9</v>
      </c>
      <c r="B98" s="104">
        <v>1186</v>
      </c>
      <c r="C98" s="61" t="s">
        <v>311</v>
      </c>
      <c r="D98" s="101">
        <v>12</v>
      </c>
      <c r="E98" s="101"/>
      <c r="F98" s="101"/>
      <c r="G98" s="101"/>
      <c r="H98" s="101"/>
    </row>
    <row r="99" spans="1:8" ht="15.5" x14ac:dyDescent="0.35">
      <c r="A99" s="18" t="s">
        <v>5</v>
      </c>
      <c r="B99" s="41">
        <v>8013</v>
      </c>
      <c r="C99" s="61" t="s">
        <v>312</v>
      </c>
      <c r="D99" s="101">
        <v>12</v>
      </c>
      <c r="E99" s="101"/>
      <c r="F99" s="101"/>
      <c r="G99" s="101"/>
      <c r="H99" s="101"/>
    </row>
    <row r="100" spans="1:8" ht="15.5" x14ac:dyDescent="0.35">
      <c r="A100" s="18" t="s">
        <v>9</v>
      </c>
      <c r="B100" s="104">
        <v>1457</v>
      </c>
      <c r="C100" s="61" t="s">
        <v>313</v>
      </c>
      <c r="D100" s="101">
        <v>12</v>
      </c>
      <c r="E100" s="101"/>
      <c r="F100" s="101"/>
      <c r="G100" s="101"/>
      <c r="H100" s="101"/>
    </row>
    <row r="101" spans="1:8" ht="15.5" x14ac:dyDescent="0.35">
      <c r="A101" s="105" t="s">
        <v>8</v>
      </c>
      <c r="B101" s="43">
        <v>1446</v>
      </c>
      <c r="C101" s="42" t="s">
        <v>314</v>
      </c>
      <c r="D101" s="101">
        <v>12</v>
      </c>
      <c r="E101" s="101"/>
      <c r="F101" s="101"/>
      <c r="G101" s="101"/>
      <c r="H101" s="101"/>
    </row>
    <row r="102" spans="1:8" ht="15.5" x14ac:dyDescent="0.35">
      <c r="A102" s="105" t="s">
        <v>9</v>
      </c>
      <c r="B102" s="104">
        <v>1415</v>
      </c>
      <c r="C102" s="42" t="s">
        <v>315</v>
      </c>
      <c r="D102" s="101">
        <v>12</v>
      </c>
      <c r="E102" s="101"/>
      <c r="F102" s="101"/>
      <c r="G102" s="101"/>
      <c r="H102" s="101"/>
    </row>
    <row r="103" spans="1:8" ht="15.5" x14ac:dyDescent="0.35">
      <c r="A103" s="105" t="s">
        <v>9</v>
      </c>
      <c r="B103" s="104">
        <v>1445</v>
      </c>
      <c r="C103" s="42" t="s">
        <v>316</v>
      </c>
      <c r="D103" s="101">
        <v>12</v>
      </c>
      <c r="E103" s="101"/>
      <c r="F103" s="101"/>
      <c r="G103" s="101"/>
      <c r="H103" s="101"/>
    </row>
    <row r="104" spans="1:8" ht="15.5" x14ac:dyDescent="0.35">
      <c r="A104" s="105" t="s">
        <v>9</v>
      </c>
      <c r="B104" s="104">
        <v>1439</v>
      </c>
      <c r="C104" s="42" t="s">
        <v>317</v>
      </c>
      <c r="D104" s="101">
        <v>12</v>
      </c>
      <c r="E104" s="101"/>
      <c r="F104" s="101"/>
      <c r="G104" s="101"/>
      <c r="H104" s="101"/>
    </row>
    <row r="105" spans="1:8" ht="15.5" x14ac:dyDescent="0.35">
      <c r="A105" s="105" t="s">
        <v>9</v>
      </c>
      <c r="B105" s="104">
        <v>1247</v>
      </c>
      <c r="C105" s="42" t="s">
        <v>318</v>
      </c>
      <c r="D105" s="101">
        <v>12</v>
      </c>
      <c r="E105" s="101"/>
      <c r="F105" s="101"/>
      <c r="G105" s="101"/>
      <c r="H105" s="101"/>
    </row>
    <row r="106" spans="1:8" ht="15.5" x14ac:dyDescent="0.35">
      <c r="A106" s="105" t="s">
        <v>9</v>
      </c>
      <c r="B106" s="104">
        <v>1208</v>
      </c>
      <c r="C106" s="42" t="s">
        <v>319</v>
      </c>
      <c r="D106" s="101">
        <v>12</v>
      </c>
      <c r="E106" s="101"/>
      <c r="F106" s="101"/>
      <c r="G106" s="101"/>
      <c r="H106" s="101"/>
    </row>
    <row r="107" spans="1:8" ht="15.5" x14ac:dyDescent="0.35">
      <c r="A107" s="105" t="s">
        <v>9</v>
      </c>
      <c r="B107" s="104">
        <v>1444</v>
      </c>
      <c r="C107" s="42" t="s">
        <v>320</v>
      </c>
      <c r="D107" s="101">
        <v>12</v>
      </c>
      <c r="E107" s="101"/>
      <c r="F107" s="101"/>
      <c r="G107" s="101"/>
      <c r="H107" s="101"/>
    </row>
    <row r="108" spans="1:8" ht="15.5" x14ac:dyDescent="0.35">
      <c r="A108" s="105" t="s">
        <v>5</v>
      </c>
      <c r="B108" s="41">
        <v>1448</v>
      </c>
      <c r="C108" s="42" t="s">
        <v>321</v>
      </c>
      <c r="D108" s="101">
        <v>12</v>
      </c>
      <c r="E108" s="101"/>
      <c r="F108" s="101"/>
      <c r="G108" s="101"/>
      <c r="H108" s="101"/>
    </row>
    <row r="109" spans="1:8" ht="15.5" x14ac:dyDescent="0.35">
      <c r="A109" s="105" t="s">
        <v>5</v>
      </c>
      <c r="B109" s="41">
        <v>8014</v>
      </c>
      <c r="C109" s="42" t="s">
        <v>322</v>
      </c>
      <c r="D109" s="101">
        <v>12</v>
      </c>
      <c r="E109" s="101"/>
      <c r="F109" s="101"/>
      <c r="G109" s="101"/>
      <c r="H109" s="101"/>
    </row>
    <row r="110" spans="1:8" ht="15.5" x14ac:dyDescent="0.35">
      <c r="A110" s="18" t="s">
        <v>5</v>
      </c>
      <c r="B110" s="41">
        <v>1449</v>
      </c>
      <c r="C110" s="42" t="s">
        <v>323</v>
      </c>
      <c r="D110" s="101">
        <v>12</v>
      </c>
      <c r="E110" s="101"/>
      <c r="F110" s="101"/>
      <c r="G110" s="101"/>
      <c r="H110" s="101"/>
    </row>
    <row r="111" spans="1:8" ht="15.5" x14ac:dyDescent="0.35">
      <c r="A111" s="18" t="s">
        <v>5</v>
      </c>
      <c r="B111" s="41">
        <v>8012</v>
      </c>
      <c r="C111" s="42" t="s">
        <v>324</v>
      </c>
      <c r="D111" s="101">
        <v>12</v>
      </c>
      <c r="E111" s="101"/>
      <c r="F111" s="101"/>
      <c r="G111" s="101"/>
      <c r="H111" s="101"/>
    </row>
    <row r="112" spans="1:8" ht="15.5" x14ac:dyDescent="0.35">
      <c r="A112" s="18" t="s">
        <v>8</v>
      </c>
      <c r="B112" s="41">
        <v>8031</v>
      </c>
      <c r="C112" s="42" t="s">
        <v>325</v>
      </c>
      <c r="D112" s="101">
        <v>12</v>
      </c>
      <c r="E112" s="101"/>
      <c r="F112" s="101"/>
      <c r="G112" s="101"/>
      <c r="H112" s="101"/>
    </row>
    <row r="113" spans="1:8" ht="15.5" x14ac:dyDescent="0.35">
      <c r="A113" s="18" t="s">
        <v>5</v>
      </c>
      <c r="B113" s="41">
        <v>8019</v>
      </c>
      <c r="C113" s="42" t="s">
        <v>326</v>
      </c>
      <c r="D113" s="101">
        <v>12</v>
      </c>
      <c r="E113" s="101"/>
      <c r="F113" s="101"/>
      <c r="G113" s="101"/>
      <c r="H113" s="101"/>
    </row>
    <row r="114" spans="1:8" ht="15.5" x14ac:dyDescent="0.35">
      <c r="A114" s="18" t="s">
        <v>5</v>
      </c>
      <c r="B114" s="41">
        <v>1352</v>
      </c>
      <c r="C114" s="42" t="s">
        <v>327</v>
      </c>
      <c r="D114" s="101">
        <v>12</v>
      </c>
      <c r="E114" s="101"/>
      <c r="F114" s="101"/>
      <c r="G114" s="101"/>
      <c r="H114" s="101"/>
    </row>
    <row r="115" spans="1:8" ht="15.5" x14ac:dyDescent="0.35">
      <c r="A115" s="18" t="s">
        <v>9</v>
      </c>
      <c r="B115" s="41">
        <v>1412</v>
      </c>
      <c r="C115" s="42" t="s">
        <v>328</v>
      </c>
      <c r="D115" s="101">
        <v>12</v>
      </c>
      <c r="E115" s="101"/>
      <c r="F115" s="101"/>
      <c r="G115" s="101"/>
      <c r="H115" s="101"/>
    </row>
    <row r="116" spans="1:8" ht="15.5" x14ac:dyDescent="0.35">
      <c r="A116" s="18" t="s">
        <v>5</v>
      </c>
      <c r="B116" s="41">
        <v>1443</v>
      </c>
      <c r="C116" s="42" t="s">
        <v>329</v>
      </c>
      <c r="D116" s="101">
        <v>12</v>
      </c>
      <c r="E116" s="101"/>
      <c r="F116" s="101"/>
      <c r="G116" s="101"/>
      <c r="H116" s="101"/>
    </row>
    <row r="117" spans="1:8" ht="15.5" x14ac:dyDescent="0.35">
      <c r="A117" s="18" t="s">
        <v>5</v>
      </c>
      <c r="B117" s="41">
        <v>1250</v>
      </c>
      <c r="C117" s="42" t="s">
        <v>330</v>
      </c>
      <c r="D117" s="101">
        <v>12</v>
      </c>
      <c r="E117" s="101"/>
      <c r="F117" s="101"/>
      <c r="G117" s="101"/>
      <c r="H117" s="101"/>
    </row>
    <row r="118" spans="1:8" ht="15.5" x14ac:dyDescent="0.35">
      <c r="A118" s="18" t="s">
        <v>9</v>
      </c>
      <c r="B118" s="41">
        <v>1430</v>
      </c>
      <c r="C118" s="42" t="s">
        <v>331</v>
      </c>
      <c r="D118" s="101">
        <v>12</v>
      </c>
      <c r="E118" s="101"/>
      <c r="F118" s="101"/>
      <c r="G118" s="101"/>
      <c r="H118" s="101"/>
    </row>
    <row r="119" spans="1:8" ht="15.5" x14ac:dyDescent="0.35">
      <c r="A119" s="18" t="s">
        <v>5</v>
      </c>
      <c r="B119" s="41">
        <v>1425</v>
      </c>
      <c r="C119" s="42" t="s">
        <v>332</v>
      </c>
      <c r="D119" s="101">
        <v>12</v>
      </c>
      <c r="E119" s="101"/>
      <c r="F119" s="101"/>
      <c r="G119" s="101"/>
      <c r="H119" s="101"/>
    </row>
    <row r="120" spans="1:8" ht="15.5" x14ac:dyDescent="0.35">
      <c r="A120" s="18" t="s">
        <v>5</v>
      </c>
      <c r="B120" s="41">
        <v>1461</v>
      </c>
      <c r="C120" s="42" t="s">
        <v>333</v>
      </c>
      <c r="D120" s="101">
        <v>12</v>
      </c>
      <c r="E120" s="101"/>
      <c r="F120" s="101"/>
      <c r="G120" s="101"/>
      <c r="H120" s="101"/>
    </row>
    <row r="121" spans="1:8" ht="15.5" x14ac:dyDescent="0.35">
      <c r="A121" s="18" t="s">
        <v>5</v>
      </c>
      <c r="B121" s="41">
        <v>8030</v>
      </c>
      <c r="C121" s="42" t="s">
        <v>334</v>
      </c>
      <c r="D121" s="101">
        <v>12</v>
      </c>
      <c r="E121" s="101"/>
      <c r="F121" s="101"/>
      <c r="G121" s="101"/>
      <c r="H121" s="101"/>
    </row>
    <row r="122" spans="1:8" ht="15.5" x14ac:dyDescent="0.35">
      <c r="A122" s="18" t="s">
        <v>5</v>
      </c>
      <c r="B122" s="41">
        <v>8032</v>
      </c>
      <c r="C122" s="42" t="s">
        <v>335</v>
      </c>
      <c r="D122" s="101">
        <v>12</v>
      </c>
      <c r="E122" s="101"/>
      <c r="F122" s="101"/>
      <c r="G122" s="101"/>
      <c r="H122" s="101"/>
    </row>
    <row r="123" spans="1:8" ht="15.5" x14ac:dyDescent="0.35">
      <c r="A123" s="18" t="s">
        <v>5</v>
      </c>
      <c r="B123" s="41">
        <v>8036</v>
      </c>
      <c r="C123" s="42" t="s">
        <v>336</v>
      </c>
      <c r="D123" s="101">
        <v>12</v>
      </c>
      <c r="E123" s="101"/>
      <c r="F123" s="101"/>
      <c r="G123" s="101"/>
      <c r="H123" s="101"/>
    </row>
    <row r="124" spans="1:8" ht="15.5" x14ac:dyDescent="0.35">
      <c r="A124" s="18" t="s">
        <v>5</v>
      </c>
      <c r="B124" s="41">
        <v>1437</v>
      </c>
      <c r="C124" s="42" t="s">
        <v>337</v>
      </c>
      <c r="D124" s="101">
        <v>12</v>
      </c>
      <c r="E124" s="101"/>
      <c r="F124" s="101"/>
      <c r="G124" s="101"/>
      <c r="H124" s="101"/>
    </row>
    <row r="125" spans="1:8" ht="15.5" x14ac:dyDescent="0.35">
      <c r="A125" s="18" t="s">
        <v>5</v>
      </c>
      <c r="B125" s="41">
        <v>1458</v>
      </c>
      <c r="C125" s="42" t="s">
        <v>338</v>
      </c>
      <c r="D125" s="101">
        <v>12</v>
      </c>
      <c r="E125" s="101"/>
      <c r="F125" s="101"/>
      <c r="G125" s="101"/>
      <c r="H125" s="101"/>
    </row>
    <row r="126" spans="1:8" ht="15.5" x14ac:dyDescent="0.35">
      <c r="A126" s="18" t="s">
        <v>5</v>
      </c>
      <c r="B126" s="41">
        <v>8034</v>
      </c>
      <c r="C126" s="42" t="s">
        <v>366</v>
      </c>
      <c r="D126" s="101">
        <v>12</v>
      </c>
      <c r="E126" s="101"/>
      <c r="F126" s="101"/>
      <c r="G126" s="101"/>
      <c r="H126" s="101"/>
    </row>
    <row r="127" spans="1:8" ht="15.5" x14ac:dyDescent="0.35">
      <c r="A127" s="18" t="s">
        <v>5</v>
      </c>
      <c r="B127" s="41">
        <v>1416</v>
      </c>
      <c r="C127" s="42" t="s">
        <v>370</v>
      </c>
      <c r="D127" s="101">
        <v>12</v>
      </c>
      <c r="E127" s="101"/>
      <c r="F127" s="101"/>
      <c r="G127" s="101"/>
      <c r="H127" s="101"/>
    </row>
    <row r="128" spans="1:8" ht="15.5" x14ac:dyDescent="0.35">
      <c r="A128" s="18" t="s">
        <v>5</v>
      </c>
      <c r="B128" s="41">
        <v>8009</v>
      </c>
      <c r="C128" s="42" t="s">
        <v>371</v>
      </c>
      <c r="D128" s="101">
        <v>12</v>
      </c>
      <c r="E128" s="101"/>
      <c r="F128" s="101"/>
      <c r="G128" s="101"/>
      <c r="H128" s="101"/>
    </row>
    <row r="129" spans="1:8" ht="15.5" x14ac:dyDescent="0.35">
      <c r="A129" s="18" t="s">
        <v>5</v>
      </c>
      <c r="B129" s="41">
        <v>1243</v>
      </c>
      <c r="C129" s="42" t="s">
        <v>372</v>
      </c>
      <c r="D129" s="101">
        <v>12</v>
      </c>
      <c r="E129" s="101"/>
      <c r="F129" s="101"/>
      <c r="G129" s="101"/>
      <c r="H129" s="101"/>
    </row>
    <row r="130" spans="1:8" ht="15.5" x14ac:dyDescent="0.35">
      <c r="A130" s="18" t="s">
        <v>5</v>
      </c>
      <c r="B130" s="41">
        <v>8035</v>
      </c>
      <c r="C130" s="42" t="s">
        <v>373</v>
      </c>
      <c r="D130" s="101">
        <v>12</v>
      </c>
      <c r="E130" s="101"/>
      <c r="F130" s="101"/>
      <c r="G130" s="101"/>
      <c r="H130" s="101"/>
    </row>
    <row r="131" spans="1:8" ht="15.5" x14ac:dyDescent="0.35">
      <c r="A131" s="18" t="s">
        <v>5</v>
      </c>
      <c r="B131" s="41">
        <v>8006</v>
      </c>
      <c r="C131" s="42" t="s">
        <v>374</v>
      </c>
      <c r="D131" s="101">
        <v>12</v>
      </c>
      <c r="E131" s="101"/>
      <c r="F131" s="101"/>
      <c r="G131" s="101"/>
      <c r="H131" s="101"/>
    </row>
    <row r="132" spans="1:8" ht="15.5" x14ac:dyDescent="0.35">
      <c r="A132" s="18" t="s">
        <v>5</v>
      </c>
      <c r="B132" s="41">
        <v>8025</v>
      </c>
      <c r="C132" s="42" t="s">
        <v>375</v>
      </c>
      <c r="D132" s="101">
        <v>12</v>
      </c>
      <c r="E132" s="101"/>
      <c r="F132" s="101"/>
      <c r="G132" s="101"/>
      <c r="H132" s="101"/>
    </row>
    <row r="133" spans="1:8" ht="15.5" x14ac:dyDescent="0.35">
      <c r="A133" s="18" t="s">
        <v>5</v>
      </c>
      <c r="B133" s="41">
        <v>8023</v>
      </c>
      <c r="C133" s="42" t="s">
        <v>376</v>
      </c>
      <c r="D133" s="101">
        <v>12</v>
      </c>
      <c r="E133" s="101"/>
      <c r="F133" s="101"/>
      <c r="G133" s="101"/>
      <c r="H133" s="101"/>
    </row>
    <row r="134" spans="1:8" ht="15.5" x14ac:dyDescent="0.35">
      <c r="A134" s="18" t="s">
        <v>5</v>
      </c>
      <c r="B134" s="41">
        <v>1423</v>
      </c>
      <c r="C134" s="42" t="s">
        <v>377</v>
      </c>
      <c r="D134" s="101">
        <v>12</v>
      </c>
      <c r="E134" s="101"/>
      <c r="F134" s="101"/>
      <c r="G134" s="101"/>
      <c r="H134" s="101"/>
    </row>
    <row r="135" spans="1:8" ht="15.5" x14ac:dyDescent="0.35">
      <c r="A135" s="18" t="s">
        <v>5</v>
      </c>
      <c r="B135" s="41">
        <v>1431</v>
      </c>
      <c r="C135" s="42" t="s">
        <v>378</v>
      </c>
      <c r="D135" s="101">
        <v>12</v>
      </c>
      <c r="E135" s="101"/>
      <c r="F135" s="101"/>
      <c r="G135" s="101"/>
      <c r="H135" s="101"/>
    </row>
    <row r="136" spans="1:8" ht="15.5" x14ac:dyDescent="0.35">
      <c r="A136" s="18" t="s">
        <v>5</v>
      </c>
      <c r="B136" s="41">
        <v>1484</v>
      </c>
      <c r="C136" s="42" t="s">
        <v>379</v>
      </c>
      <c r="D136" s="101">
        <v>12</v>
      </c>
      <c r="E136" s="101"/>
      <c r="F136" s="101"/>
      <c r="G136" s="101"/>
      <c r="H136" s="101"/>
    </row>
    <row r="137" spans="1:8" ht="15.5" x14ac:dyDescent="0.35">
      <c r="A137" s="18" t="s">
        <v>5</v>
      </c>
      <c r="B137" s="41">
        <v>8015</v>
      </c>
      <c r="C137" s="42" t="s">
        <v>599</v>
      </c>
      <c r="D137" s="101">
        <v>12</v>
      </c>
      <c r="E137" s="18"/>
      <c r="F137" s="18"/>
      <c r="G137" s="18"/>
      <c r="H137" s="18"/>
    </row>
    <row r="138" spans="1:8" ht="15.5" x14ac:dyDescent="0.35">
      <c r="A138" s="18" t="s">
        <v>9</v>
      </c>
      <c r="B138" s="41">
        <v>1099</v>
      </c>
      <c r="C138" s="42" t="s">
        <v>607</v>
      </c>
      <c r="D138" s="101">
        <v>12</v>
      </c>
      <c r="E138" s="101"/>
      <c r="F138" s="101"/>
      <c r="G138" s="101"/>
      <c r="H138" s="101"/>
    </row>
    <row r="139" spans="1:8" ht="15.5" x14ac:dyDescent="0.35">
      <c r="A139" s="18" t="s">
        <v>8</v>
      </c>
      <c r="B139" s="41">
        <v>8032</v>
      </c>
      <c r="C139" s="42" t="s">
        <v>335</v>
      </c>
      <c r="D139" s="101">
        <v>12</v>
      </c>
      <c r="E139" s="101"/>
      <c r="F139" s="101"/>
      <c r="G139" s="101"/>
      <c r="H139" s="101"/>
    </row>
  </sheetData>
  <autoFilter ref="B1:B89" xr:uid="{00000000-0009-0000-0000-000001000000}"/>
  <mergeCells count="5">
    <mergeCell ref="A1:C1"/>
    <mergeCell ref="A2:A3"/>
    <mergeCell ref="B2:B3"/>
    <mergeCell ref="C2:C3"/>
    <mergeCell ref="D2:H2"/>
  </mergeCells>
  <pageMargins left="0.7" right="0.7" top="0.75" bottom="0.75" header="0.3" footer="0.3"/>
  <pageSetup scale="1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N">
    <tabColor theme="4"/>
    <pageSetUpPr fitToPage="1"/>
  </sheetPr>
  <dimension ref="A1:AS328"/>
  <sheetViews>
    <sheetView showGridLines="0" showWhiteSpace="0" zoomScale="55" zoomScaleNormal="55" zoomScalePageLayoutView="89" workbookViewId="0">
      <pane xSplit="3" ySplit="4" topLeftCell="AG7" activePane="bottomRight" state="frozen"/>
      <selection activeCell="C153" sqref="C153"/>
      <selection pane="topRight" activeCell="C153" sqref="C153"/>
      <selection pane="bottomLeft" activeCell="C153" sqref="C153"/>
      <selection pane="bottomRight" activeCell="J3" sqref="J1:J1048576"/>
    </sheetView>
  </sheetViews>
  <sheetFormatPr defaultColWidth="11" defaultRowHeight="12.5" x14ac:dyDescent="0.25"/>
  <cols>
    <col min="1" max="1" width="12" style="57" customWidth="1"/>
    <col min="2" max="2" width="54" style="34" customWidth="1"/>
    <col min="3" max="3" width="16" style="52" customWidth="1"/>
    <col min="4" max="4" width="20" style="52" hidden="1" customWidth="1"/>
    <col min="5" max="5" width="7.7265625" style="52" bestFit="1" customWidth="1"/>
    <col min="6" max="6" width="7.7265625" style="53" customWidth="1"/>
    <col min="7" max="7" width="8" style="53" customWidth="1"/>
    <col min="8" max="8" width="21" style="54" customWidth="1"/>
    <col min="9" max="9" width="40.7265625" style="54" bestFit="1" customWidth="1"/>
    <col min="10" max="10" width="14" style="55" customWidth="1"/>
    <col min="11" max="12" width="10.7265625" style="56" customWidth="1"/>
    <col min="13" max="13" width="10.7265625" style="55" customWidth="1"/>
    <col min="14" max="16" width="11.7265625" style="55" customWidth="1"/>
    <col min="17" max="17" width="28" style="55" customWidth="1"/>
    <col min="18" max="18" width="7.7265625" style="53" customWidth="1"/>
    <col min="19" max="19" width="8" style="53" customWidth="1"/>
    <col min="20" max="20" width="21" style="54" customWidth="1"/>
    <col min="21" max="21" width="41.26953125" style="54" bestFit="1" customWidth="1"/>
    <col min="22" max="22" width="14.7265625" style="55" customWidth="1"/>
    <col min="23" max="23" width="10" style="54" customWidth="1"/>
    <col min="24" max="24" width="8.7265625" style="54" customWidth="1"/>
    <col min="25" max="25" width="10" style="54" customWidth="1"/>
    <col min="26" max="26" width="8.7265625" style="54" customWidth="1"/>
    <col min="27" max="27" width="28" style="55" customWidth="1"/>
    <col min="28" max="28" width="10" style="53" customWidth="1"/>
    <col min="29" max="29" width="11" style="53" customWidth="1"/>
    <col min="30" max="30" width="21" style="54" customWidth="1"/>
    <col min="31" max="31" width="41.7265625" style="54" bestFit="1" customWidth="1"/>
    <col min="32" max="32" width="15.7265625" style="55" customWidth="1"/>
    <col min="33" max="33" width="28" style="55" customWidth="1"/>
    <col min="34" max="34" width="25" style="55" customWidth="1"/>
    <col min="35" max="36" width="41" style="34" customWidth="1"/>
    <col min="37" max="38" width="36.7265625" style="34" customWidth="1"/>
    <col min="39" max="39" width="36.7265625" style="34" hidden="1" customWidth="1"/>
    <col min="40" max="40" width="18" style="34" hidden="1" customWidth="1"/>
    <col min="41" max="41" width="16.81640625" style="34" bestFit="1" customWidth="1"/>
    <col min="42" max="16384" width="11" style="34"/>
  </cols>
  <sheetData>
    <row r="1" spans="1:45" ht="32.5" x14ac:dyDescent="0.6">
      <c r="A1" s="29"/>
      <c r="B1" s="30" t="s">
        <v>31</v>
      </c>
      <c r="C1" s="102">
        <v>44820</v>
      </c>
      <c r="D1" s="31"/>
      <c r="E1" s="31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"/>
      <c r="X1" s="32"/>
      <c r="Y1" s="32"/>
      <c r="Z1" s="32"/>
      <c r="AA1" s="33"/>
      <c r="AB1" s="33"/>
      <c r="AC1" s="33"/>
      <c r="AD1" s="33"/>
      <c r="AE1" s="33"/>
      <c r="AF1" s="33"/>
      <c r="AG1" s="33"/>
      <c r="AH1" s="33"/>
      <c r="AO1" s="35"/>
      <c r="AS1" s="35"/>
    </row>
    <row r="2" spans="1:45" ht="18" x14ac:dyDescent="0.25">
      <c r="A2" s="321" t="s">
        <v>12</v>
      </c>
      <c r="B2" s="323" t="s">
        <v>13</v>
      </c>
      <c r="C2" s="321" t="s">
        <v>169</v>
      </c>
      <c r="D2" s="325" t="s">
        <v>34</v>
      </c>
      <c r="E2" s="321" t="s">
        <v>14</v>
      </c>
      <c r="F2" s="326" t="s">
        <v>170</v>
      </c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8"/>
      <c r="R2" s="326" t="s">
        <v>171</v>
      </c>
      <c r="S2" s="327"/>
      <c r="T2" s="327"/>
      <c r="U2" s="327"/>
      <c r="V2" s="327"/>
      <c r="W2" s="329"/>
      <c r="X2" s="329"/>
      <c r="Y2" s="329"/>
      <c r="Z2" s="329"/>
      <c r="AA2" s="330"/>
      <c r="AB2" s="332" t="s">
        <v>172</v>
      </c>
      <c r="AC2" s="329"/>
      <c r="AD2" s="329"/>
      <c r="AE2" s="329"/>
      <c r="AF2" s="329"/>
      <c r="AG2" s="330"/>
      <c r="AH2" s="36"/>
      <c r="AI2" s="333" t="s">
        <v>173</v>
      </c>
      <c r="AJ2" s="333" t="s">
        <v>174</v>
      </c>
      <c r="AK2" s="333" t="s">
        <v>38</v>
      </c>
      <c r="AL2" s="333" t="s">
        <v>39</v>
      </c>
      <c r="AM2" s="335" t="s">
        <v>175</v>
      </c>
      <c r="AN2" s="331" t="s">
        <v>176</v>
      </c>
    </row>
    <row r="3" spans="1:45" ht="109.5" customHeight="1" x14ac:dyDescent="0.25">
      <c r="A3" s="322"/>
      <c r="B3" s="324"/>
      <c r="C3" s="322"/>
      <c r="D3" s="322"/>
      <c r="E3" s="322"/>
      <c r="F3" s="4" t="s">
        <v>177</v>
      </c>
      <c r="G3" s="4" t="s">
        <v>178</v>
      </c>
      <c r="H3" s="4" t="s">
        <v>179</v>
      </c>
      <c r="I3" s="4" t="s">
        <v>180</v>
      </c>
      <c r="J3" s="3" t="s">
        <v>181</v>
      </c>
      <c r="K3" s="37" t="s">
        <v>182</v>
      </c>
      <c r="L3" s="37" t="s">
        <v>183</v>
      </c>
      <c r="M3" s="38" t="s">
        <v>184</v>
      </c>
      <c r="N3" s="38" t="s">
        <v>185</v>
      </c>
      <c r="O3" s="38" t="s">
        <v>382</v>
      </c>
      <c r="P3" s="38" t="s">
        <v>383</v>
      </c>
      <c r="Q3" s="5" t="s">
        <v>186</v>
      </c>
      <c r="R3" s="4" t="s">
        <v>187</v>
      </c>
      <c r="S3" s="39" t="s">
        <v>188</v>
      </c>
      <c r="T3" s="4" t="s">
        <v>189</v>
      </c>
      <c r="U3" s="4" t="s">
        <v>190</v>
      </c>
      <c r="V3" s="3" t="s">
        <v>191</v>
      </c>
      <c r="W3" s="38" t="s">
        <v>184</v>
      </c>
      <c r="X3" s="38" t="s">
        <v>185</v>
      </c>
      <c r="Y3" s="38" t="s">
        <v>382</v>
      </c>
      <c r="Z3" s="38" t="s">
        <v>383</v>
      </c>
      <c r="AA3" s="3" t="s">
        <v>663</v>
      </c>
      <c r="AB3" s="4" t="s">
        <v>192</v>
      </c>
      <c r="AC3" s="39" t="s">
        <v>193</v>
      </c>
      <c r="AD3" s="4" t="s">
        <v>194</v>
      </c>
      <c r="AE3" s="4" t="s">
        <v>195</v>
      </c>
      <c r="AF3" s="3" t="s">
        <v>196</v>
      </c>
      <c r="AG3" s="3" t="s">
        <v>197</v>
      </c>
      <c r="AH3" s="40"/>
      <c r="AI3" s="334"/>
      <c r="AJ3" s="334"/>
      <c r="AK3" s="334"/>
      <c r="AL3" s="334"/>
      <c r="AM3" s="336"/>
      <c r="AN3" s="324"/>
    </row>
    <row r="4" spans="1:45" s="51" customFormat="1" ht="31" x14ac:dyDescent="0.6">
      <c r="A4" s="41"/>
      <c r="B4" s="42" t="s">
        <v>198</v>
      </c>
      <c r="C4" s="43"/>
      <c r="D4" s="44"/>
      <c r="E4" s="45"/>
      <c r="F4" s="45"/>
      <c r="G4" s="45"/>
      <c r="H4" s="46"/>
      <c r="I4" s="47"/>
      <c r="J4" s="46"/>
      <c r="K4" s="45"/>
      <c r="L4" s="45"/>
      <c r="M4" s="45"/>
      <c r="N4" s="45"/>
      <c r="O4" s="48"/>
      <c r="P4" s="48"/>
      <c r="Q4" s="48"/>
      <c r="R4" s="45"/>
      <c r="S4" s="45"/>
      <c r="T4" s="46"/>
      <c r="U4" s="47"/>
      <c r="V4" s="46"/>
      <c r="W4" s="49"/>
      <c r="X4" s="49"/>
      <c r="Y4" s="49"/>
      <c r="Z4" s="49"/>
      <c r="AA4" s="48"/>
      <c r="AB4" s="45"/>
      <c r="AC4" s="45"/>
      <c r="AD4" s="46"/>
      <c r="AE4" s="47"/>
      <c r="AF4" s="46"/>
      <c r="AG4" s="48"/>
      <c r="AH4" s="49" t="s">
        <v>199</v>
      </c>
      <c r="AI4" s="11"/>
      <c r="AJ4" s="11"/>
      <c r="AK4" s="11"/>
      <c r="AL4" s="11"/>
      <c r="AM4" s="11"/>
      <c r="AN4" s="50"/>
    </row>
    <row r="5" spans="1:45" s="51" customFormat="1" ht="31" x14ac:dyDescent="0.6">
      <c r="A5" s="158">
        <v>995076</v>
      </c>
      <c r="B5" s="272" t="s">
        <v>26</v>
      </c>
      <c r="C5" s="158">
        <v>6</v>
      </c>
      <c r="D5" s="172"/>
      <c r="E5" s="154" t="s">
        <v>462</v>
      </c>
      <c r="F5" s="154"/>
      <c r="G5" s="154">
        <v>3.13</v>
      </c>
      <c r="H5" s="155"/>
      <c r="I5" s="156"/>
      <c r="J5" s="155"/>
      <c r="K5" s="154"/>
      <c r="L5" s="154">
        <v>3.49</v>
      </c>
      <c r="M5" s="154"/>
      <c r="N5" s="154">
        <v>3.49</v>
      </c>
      <c r="O5" s="157"/>
      <c r="P5" s="157">
        <v>3.49</v>
      </c>
      <c r="Q5" s="156"/>
      <c r="R5" s="154"/>
      <c r="S5" s="154">
        <v>3.13</v>
      </c>
      <c r="T5" s="158"/>
      <c r="U5" s="156"/>
      <c r="V5" s="155"/>
      <c r="W5" s="157"/>
      <c r="X5" s="157">
        <v>3.13</v>
      </c>
      <c r="Y5" s="157"/>
      <c r="Z5" s="157">
        <v>3.13</v>
      </c>
      <c r="AA5" s="156"/>
      <c r="AB5" s="154"/>
      <c r="AC5" s="154">
        <v>3.13</v>
      </c>
      <c r="AD5" s="158"/>
      <c r="AE5" s="156"/>
      <c r="AF5" s="155"/>
      <c r="AG5" s="156"/>
      <c r="AH5" s="49">
        <v>1</v>
      </c>
      <c r="AI5" s="98"/>
      <c r="AJ5" s="98"/>
      <c r="AK5" s="98"/>
      <c r="AL5" s="98"/>
      <c r="AM5" s="98"/>
      <c r="AN5" s="70"/>
    </row>
    <row r="6" spans="1:45" s="51" customFormat="1" ht="31" x14ac:dyDescent="0.6">
      <c r="A6" s="273">
        <v>995165</v>
      </c>
      <c r="B6" s="272" t="s">
        <v>758</v>
      </c>
      <c r="C6" s="158">
        <v>8</v>
      </c>
      <c r="D6" s="218"/>
      <c r="E6" s="154" t="s">
        <v>462</v>
      </c>
      <c r="F6" s="154"/>
      <c r="G6" s="154">
        <v>3.89</v>
      </c>
      <c r="H6" s="155"/>
      <c r="I6" s="156"/>
      <c r="J6" s="155"/>
      <c r="K6" s="154"/>
      <c r="L6" s="154">
        <v>3.89</v>
      </c>
      <c r="M6" s="154"/>
      <c r="N6" s="154">
        <v>3.89</v>
      </c>
      <c r="O6" s="157"/>
      <c r="P6" s="154">
        <v>3.89</v>
      </c>
      <c r="Q6" s="157"/>
      <c r="R6" s="154"/>
      <c r="S6" s="154">
        <v>3.89</v>
      </c>
      <c r="T6" s="155"/>
      <c r="U6" s="156"/>
      <c r="V6" s="155"/>
      <c r="W6" s="159"/>
      <c r="X6" s="154">
        <v>3.89</v>
      </c>
      <c r="Y6" s="159"/>
      <c r="Z6" s="154">
        <v>3.89</v>
      </c>
      <c r="AA6" s="157"/>
      <c r="AB6" s="154"/>
      <c r="AC6" s="154">
        <v>3.89</v>
      </c>
      <c r="AD6" s="155"/>
      <c r="AE6" s="156"/>
      <c r="AF6" s="155"/>
      <c r="AG6" s="157"/>
      <c r="AH6" s="49">
        <v>2</v>
      </c>
      <c r="AI6" s="98"/>
      <c r="AJ6" s="98"/>
      <c r="AK6" s="98"/>
      <c r="AL6" s="98"/>
      <c r="AM6" s="98"/>
      <c r="AN6" s="70"/>
    </row>
    <row r="7" spans="1:45" s="51" customFormat="1" ht="31" x14ac:dyDescent="0.6">
      <c r="A7" s="273">
        <v>995035</v>
      </c>
      <c r="B7" s="272" t="s">
        <v>55</v>
      </c>
      <c r="C7" s="158">
        <v>6</v>
      </c>
      <c r="D7" s="218"/>
      <c r="E7" s="154" t="s">
        <v>462</v>
      </c>
      <c r="F7" s="154"/>
      <c r="G7" s="154">
        <v>2.99</v>
      </c>
      <c r="H7" s="158"/>
      <c r="I7" s="159"/>
      <c r="J7" s="155"/>
      <c r="K7" s="154"/>
      <c r="L7" s="154">
        <v>2.99</v>
      </c>
      <c r="M7" s="154"/>
      <c r="N7" s="154">
        <v>2.99</v>
      </c>
      <c r="O7" s="157"/>
      <c r="P7" s="157">
        <v>2.99</v>
      </c>
      <c r="Q7" s="156"/>
      <c r="R7" s="154"/>
      <c r="S7" s="154">
        <v>2.99</v>
      </c>
      <c r="T7" s="158"/>
      <c r="U7" s="159"/>
      <c r="V7" s="155"/>
      <c r="W7" s="157"/>
      <c r="X7" s="157">
        <v>2.99</v>
      </c>
      <c r="Y7" s="157"/>
      <c r="Z7" s="157">
        <v>2.99</v>
      </c>
      <c r="AA7" s="156"/>
      <c r="AB7" s="154"/>
      <c r="AC7" s="154">
        <v>2.99</v>
      </c>
      <c r="AD7" s="158"/>
      <c r="AE7" s="159"/>
      <c r="AF7" s="155"/>
      <c r="AG7" s="156"/>
      <c r="AH7" s="49">
        <v>3</v>
      </c>
      <c r="AI7" s="98"/>
      <c r="AJ7" s="98"/>
      <c r="AK7" s="98"/>
      <c r="AL7" s="98"/>
      <c r="AM7" s="98"/>
      <c r="AN7" s="70"/>
    </row>
    <row r="8" spans="1:45" s="51" customFormat="1" ht="31" x14ac:dyDescent="0.6">
      <c r="A8" s="273">
        <v>988703</v>
      </c>
      <c r="B8" s="272" t="s">
        <v>600</v>
      </c>
      <c r="C8" s="158">
        <v>6</v>
      </c>
      <c r="D8" s="218"/>
      <c r="E8" s="154" t="s">
        <v>462</v>
      </c>
      <c r="F8" s="154"/>
      <c r="G8" s="154">
        <v>2.4900000000000002</v>
      </c>
      <c r="H8" s="155"/>
      <c r="I8" s="156"/>
      <c r="J8" s="155"/>
      <c r="K8" s="154"/>
      <c r="L8" s="154">
        <v>2.79</v>
      </c>
      <c r="M8" s="154"/>
      <c r="N8" s="154">
        <v>2.79</v>
      </c>
      <c r="O8" s="157"/>
      <c r="P8" s="157">
        <v>2.79</v>
      </c>
      <c r="Q8" s="157"/>
      <c r="R8" s="154"/>
      <c r="S8" s="154">
        <v>2.4900000000000002</v>
      </c>
      <c r="T8" s="155"/>
      <c r="U8" s="156"/>
      <c r="V8" s="155"/>
      <c r="W8" s="159"/>
      <c r="X8" s="157">
        <v>2.4900000000000002</v>
      </c>
      <c r="Y8" s="159"/>
      <c r="Z8" s="157">
        <v>2.4900000000000002</v>
      </c>
      <c r="AA8" s="157"/>
      <c r="AB8" s="154"/>
      <c r="AC8" s="154">
        <v>2.4900000000000002</v>
      </c>
      <c r="AD8" s="155"/>
      <c r="AE8" s="156"/>
      <c r="AF8" s="155"/>
      <c r="AG8" s="157"/>
      <c r="AH8" s="49">
        <v>4</v>
      </c>
      <c r="AI8" s="98"/>
      <c r="AJ8" s="98"/>
      <c r="AK8" s="98"/>
      <c r="AL8" s="98"/>
      <c r="AM8" s="98"/>
      <c r="AN8" s="70"/>
    </row>
    <row r="9" spans="1:45" s="51" customFormat="1" ht="31" x14ac:dyDescent="0.6">
      <c r="A9" s="273">
        <v>995006</v>
      </c>
      <c r="B9" s="272" t="s">
        <v>57</v>
      </c>
      <c r="C9" s="158">
        <v>8</v>
      </c>
      <c r="D9" s="218"/>
      <c r="E9" s="154" t="s">
        <v>462</v>
      </c>
      <c r="F9" s="154"/>
      <c r="G9" s="154">
        <v>2.4900000000000002</v>
      </c>
      <c r="H9" s="158"/>
      <c r="I9" s="159"/>
      <c r="J9" s="155"/>
      <c r="K9" s="154"/>
      <c r="L9" s="154">
        <v>2.89</v>
      </c>
      <c r="M9" s="154"/>
      <c r="N9" s="154">
        <v>2.89</v>
      </c>
      <c r="O9" s="157"/>
      <c r="P9" s="157">
        <v>2.89</v>
      </c>
      <c r="Q9" s="156"/>
      <c r="R9" s="154"/>
      <c r="S9" s="154">
        <v>2.4900000000000002</v>
      </c>
      <c r="T9" s="158"/>
      <c r="U9" s="159"/>
      <c r="V9" s="155"/>
      <c r="W9" s="157"/>
      <c r="X9" s="157">
        <v>2.4900000000000002</v>
      </c>
      <c r="Y9" s="157"/>
      <c r="Z9" s="157">
        <v>2.4900000000000002</v>
      </c>
      <c r="AA9" s="157"/>
      <c r="AB9" s="154"/>
      <c r="AC9" s="154">
        <v>2.4900000000000002</v>
      </c>
      <c r="AD9" s="158"/>
      <c r="AE9" s="159"/>
      <c r="AF9" s="155"/>
      <c r="AG9" s="156"/>
      <c r="AH9" s="49">
        <v>5</v>
      </c>
      <c r="AI9" s="98"/>
      <c r="AJ9" s="98"/>
      <c r="AK9" s="98"/>
      <c r="AL9" s="98"/>
      <c r="AM9" s="98"/>
      <c r="AN9" s="70"/>
    </row>
    <row r="10" spans="1:45" s="51" customFormat="1" ht="31" x14ac:dyDescent="0.6">
      <c r="A10" s="273">
        <v>995154</v>
      </c>
      <c r="B10" s="272" t="s">
        <v>751</v>
      </c>
      <c r="C10" s="158">
        <v>8</v>
      </c>
      <c r="D10" s="218"/>
      <c r="E10" s="154" t="s">
        <v>462</v>
      </c>
      <c r="F10" s="154"/>
      <c r="G10" s="154">
        <v>2.98</v>
      </c>
      <c r="H10" s="155"/>
      <c r="I10" s="156"/>
      <c r="J10" s="155"/>
      <c r="K10" s="154"/>
      <c r="L10" s="154">
        <v>2.98</v>
      </c>
      <c r="M10" s="154"/>
      <c r="N10" s="154">
        <v>2.98</v>
      </c>
      <c r="O10" s="157"/>
      <c r="P10" s="157">
        <v>2.98</v>
      </c>
      <c r="Q10" s="157"/>
      <c r="R10" s="154"/>
      <c r="S10" s="154">
        <v>2.98</v>
      </c>
      <c r="T10" s="155"/>
      <c r="U10" s="156"/>
      <c r="V10" s="155"/>
      <c r="W10" s="157"/>
      <c r="X10" s="157">
        <v>2.98</v>
      </c>
      <c r="Y10" s="157"/>
      <c r="Z10" s="157">
        <v>2.98</v>
      </c>
      <c r="AA10" s="157"/>
      <c r="AB10" s="154"/>
      <c r="AC10" s="154">
        <v>2.98</v>
      </c>
      <c r="AD10" s="155"/>
      <c r="AE10" s="159"/>
      <c r="AF10" s="155"/>
      <c r="AG10" s="157"/>
      <c r="AH10" s="49">
        <v>6</v>
      </c>
      <c r="AI10" s="98"/>
      <c r="AJ10" s="98"/>
      <c r="AK10" s="98"/>
      <c r="AL10" s="98"/>
      <c r="AM10" s="98"/>
      <c r="AN10" s="70"/>
    </row>
    <row r="11" spans="1:45" s="51" customFormat="1" ht="31" x14ac:dyDescent="0.6">
      <c r="A11" s="107">
        <v>987820</v>
      </c>
      <c r="B11" s="108" t="s">
        <v>842</v>
      </c>
      <c r="C11" s="109">
        <v>30</v>
      </c>
      <c r="D11" s="218"/>
      <c r="E11" s="154"/>
      <c r="F11" s="247"/>
      <c r="G11" s="247">
        <v>1.18</v>
      </c>
      <c r="H11" s="248" t="s">
        <v>16</v>
      </c>
      <c r="I11" s="249" t="s">
        <v>473</v>
      </c>
      <c r="J11" s="248"/>
      <c r="K11" s="247"/>
      <c r="L11" s="247">
        <v>1.29</v>
      </c>
      <c r="M11" s="247"/>
      <c r="N11" s="247">
        <v>1.29</v>
      </c>
      <c r="O11" s="250"/>
      <c r="P11" s="250">
        <v>1.29</v>
      </c>
      <c r="Q11" s="250"/>
      <c r="R11" s="247"/>
      <c r="S11" s="247">
        <v>1.18</v>
      </c>
      <c r="T11" s="248" t="s">
        <v>16</v>
      </c>
      <c r="U11" s="249" t="s">
        <v>473</v>
      </c>
      <c r="V11" s="248"/>
      <c r="W11" s="250"/>
      <c r="X11" s="250">
        <v>1.18</v>
      </c>
      <c r="Y11" s="250"/>
      <c r="Z11" s="250"/>
      <c r="AA11" s="250"/>
      <c r="AB11" s="154"/>
      <c r="AC11" s="154"/>
      <c r="AD11" s="155"/>
      <c r="AE11" s="159"/>
      <c r="AF11" s="155"/>
      <c r="AG11" s="157"/>
      <c r="AH11" s="49">
        <v>7</v>
      </c>
      <c r="AI11" s="98" t="s">
        <v>841</v>
      </c>
      <c r="AJ11" s="98" t="s">
        <v>741</v>
      </c>
      <c r="AK11" s="98"/>
      <c r="AL11" s="98"/>
      <c r="AM11" s="98"/>
      <c r="AN11" s="70"/>
    </row>
    <row r="12" spans="1:45" s="51" customFormat="1" ht="31" x14ac:dyDescent="0.6">
      <c r="A12" s="273">
        <v>995022</v>
      </c>
      <c r="B12" s="272" t="s">
        <v>60</v>
      </c>
      <c r="C12" s="158">
        <v>8</v>
      </c>
      <c r="D12" s="172"/>
      <c r="E12" s="154" t="s">
        <v>462</v>
      </c>
      <c r="F12" s="154"/>
      <c r="G12" s="154">
        <v>1.99</v>
      </c>
      <c r="H12" s="158"/>
      <c r="I12" s="159"/>
      <c r="J12" s="155"/>
      <c r="K12" s="154"/>
      <c r="L12" s="154">
        <v>2.79</v>
      </c>
      <c r="M12" s="154"/>
      <c r="N12" s="154">
        <v>2.79</v>
      </c>
      <c r="O12" s="157"/>
      <c r="P12" s="157">
        <v>2.79</v>
      </c>
      <c r="Q12" s="156"/>
      <c r="R12" s="154"/>
      <c r="S12" s="154">
        <v>1.99</v>
      </c>
      <c r="T12" s="158"/>
      <c r="U12" s="159"/>
      <c r="V12" s="155"/>
      <c r="W12" s="157"/>
      <c r="X12" s="157">
        <v>1.99</v>
      </c>
      <c r="Y12" s="157"/>
      <c r="Z12" s="157">
        <v>1.99</v>
      </c>
      <c r="AA12" s="156"/>
      <c r="AB12" s="154"/>
      <c r="AC12" s="154">
        <v>1.99</v>
      </c>
      <c r="AD12" s="158"/>
      <c r="AE12" s="159"/>
      <c r="AF12" s="155"/>
      <c r="AG12" s="156"/>
      <c r="AH12" s="49">
        <v>7</v>
      </c>
      <c r="AI12" s="98"/>
      <c r="AJ12" s="98"/>
      <c r="AK12" s="98"/>
      <c r="AL12" s="98" t="s">
        <v>128</v>
      </c>
      <c r="AM12" s="98"/>
      <c r="AN12" s="70"/>
    </row>
    <row r="13" spans="1:45" s="51" customFormat="1" ht="31" x14ac:dyDescent="0.6">
      <c r="A13" s="273">
        <v>995211</v>
      </c>
      <c r="B13" s="272" t="s">
        <v>784</v>
      </c>
      <c r="C13" s="158">
        <v>8</v>
      </c>
      <c r="D13" s="218"/>
      <c r="E13" s="154" t="s">
        <v>462</v>
      </c>
      <c r="F13" s="154"/>
      <c r="G13" s="154">
        <v>2.75</v>
      </c>
      <c r="H13" s="155"/>
      <c r="I13" s="156"/>
      <c r="J13" s="155"/>
      <c r="K13" s="154"/>
      <c r="L13" s="154">
        <v>2.99</v>
      </c>
      <c r="M13" s="154"/>
      <c r="N13" s="154">
        <v>2.99</v>
      </c>
      <c r="O13" s="157"/>
      <c r="P13" s="157">
        <v>2.99</v>
      </c>
      <c r="Q13" s="157"/>
      <c r="R13" s="154"/>
      <c r="S13" s="154">
        <v>2.75</v>
      </c>
      <c r="T13" s="155"/>
      <c r="U13" s="156"/>
      <c r="V13" s="155"/>
      <c r="W13" s="159"/>
      <c r="X13" s="159">
        <v>2.75</v>
      </c>
      <c r="Y13" s="159"/>
      <c r="Z13" s="159">
        <v>2.75</v>
      </c>
      <c r="AA13" s="157"/>
      <c r="AB13" s="154"/>
      <c r="AC13" s="154">
        <v>2.75</v>
      </c>
      <c r="AD13" s="155"/>
      <c r="AE13" s="156"/>
      <c r="AF13" s="155"/>
      <c r="AG13" s="157"/>
      <c r="AH13" s="49">
        <v>8</v>
      </c>
      <c r="AI13" s="98"/>
      <c r="AJ13" s="98"/>
      <c r="AK13" s="98"/>
      <c r="AL13" s="98"/>
      <c r="AM13" s="98"/>
      <c r="AN13" s="70"/>
    </row>
    <row r="14" spans="1:45" s="51" customFormat="1" ht="31" x14ac:dyDescent="0.6">
      <c r="A14" s="273">
        <v>995195</v>
      </c>
      <c r="B14" s="272" t="s">
        <v>723</v>
      </c>
      <c r="C14" s="158">
        <v>7</v>
      </c>
      <c r="D14" s="218"/>
      <c r="E14" s="154" t="s">
        <v>462</v>
      </c>
      <c r="F14" s="154"/>
      <c r="G14" s="154">
        <v>2.99</v>
      </c>
      <c r="H14" s="155"/>
      <c r="I14" s="156"/>
      <c r="J14" s="155"/>
      <c r="K14" s="154"/>
      <c r="L14" s="154">
        <v>2.99</v>
      </c>
      <c r="M14" s="154"/>
      <c r="N14" s="154">
        <v>2.99</v>
      </c>
      <c r="O14" s="157"/>
      <c r="P14" s="157">
        <v>2.99</v>
      </c>
      <c r="Q14" s="157"/>
      <c r="R14" s="154"/>
      <c r="S14" s="154">
        <v>2.99</v>
      </c>
      <c r="T14" s="155"/>
      <c r="U14" s="156"/>
      <c r="V14" s="155"/>
      <c r="W14" s="159"/>
      <c r="X14" s="159">
        <v>2.99</v>
      </c>
      <c r="Y14" s="159"/>
      <c r="Z14" s="159">
        <v>2.99</v>
      </c>
      <c r="AA14" s="157"/>
      <c r="AB14" s="154"/>
      <c r="AC14" s="154">
        <v>2.99</v>
      </c>
      <c r="AD14" s="155"/>
      <c r="AE14" s="156"/>
      <c r="AF14" s="155"/>
      <c r="AG14" s="157"/>
      <c r="AH14" s="49">
        <v>9</v>
      </c>
      <c r="AI14" s="98"/>
      <c r="AJ14" s="98"/>
      <c r="AK14" s="98"/>
      <c r="AL14" s="98"/>
      <c r="AM14" s="98"/>
      <c r="AN14" s="70"/>
    </row>
    <row r="15" spans="1:45" s="51" customFormat="1" ht="31" x14ac:dyDescent="0.6">
      <c r="A15" s="273">
        <v>995197</v>
      </c>
      <c r="B15" s="272" t="s">
        <v>806</v>
      </c>
      <c r="C15" s="158">
        <v>9</v>
      </c>
      <c r="D15" s="218"/>
      <c r="E15" s="154" t="s">
        <v>462</v>
      </c>
      <c r="F15" s="154"/>
      <c r="G15" s="154">
        <v>3.49</v>
      </c>
      <c r="H15" s="155"/>
      <c r="I15" s="156"/>
      <c r="J15" s="155"/>
      <c r="K15" s="154"/>
      <c r="L15" s="154">
        <v>3.79</v>
      </c>
      <c r="M15" s="154"/>
      <c r="N15" s="154">
        <v>3.79</v>
      </c>
      <c r="O15" s="157"/>
      <c r="P15" s="157">
        <v>3.79</v>
      </c>
      <c r="Q15" s="157"/>
      <c r="R15" s="154"/>
      <c r="S15" s="154"/>
      <c r="T15" s="155"/>
      <c r="U15" s="156"/>
      <c r="V15" s="155"/>
      <c r="W15" s="159"/>
      <c r="X15" s="159"/>
      <c r="Y15" s="159"/>
      <c r="Z15" s="159"/>
      <c r="AA15" s="157"/>
      <c r="AB15" s="154"/>
      <c r="AC15" s="154"/>
      <c r="AD15" s="155"/>
      <c r="AE15" s="156"/>
      <c r="AF15" s="155"/>
      <c r="AG15" s="157"/>
      <c r="AH15" s="49">
        <v>10</v>
      </c>
      <c r="AI15" s="98"/>
      <c r="AJ15" s="98"/>
      <c r="AK15" s="98"/>
      <c r="AL15" s="98"/>
      <c r="AM15" s="98"/>
      <c r="AN15" s="70"/>
    </row>
    <row r="16" spans="1:45" s="51" customFormat="1" ht="31" x14ac:dyDescent="0.6">
      <c r="A16" s="273">
        <v>995198</v>
      </c>
      <c r="B16" s="272" t="s">
        <v>807</v>
      </c>
      <c r="C16" s="158">
        <v>9</v>
      </c>
      <c r="D16" s="218"/>
      <c r="E16" s="154" t="s">
        <v>462</v>
      </c>
      <c r="F16" s="154"/>
      <c r="G16" s="154">
        <v>3.49</v>
      </c>
      <c r="H16" s="155"/>
      <c r="I16" s="156"/>
      <c r="J16" s="155"/>
      <c r="K16" s="154"/>
      <c r="L16" s="154">
        <v>3.79</v>
      </c>
      <c r="M16" s="154"/>
      <c r="N16" s="154">
        <v>3.79</v>
      </c>
      <c r="O16" s="157"/>
      <c r="P16" s="154">
        <v>3.79</v>
      </c>
      <c r="Q16" s="157"/>
      <c r="R16" s="154"/>
      <c r="S16" s="154">
        <v>3.49</v>
      </c>
      <c r="T16" s="155"/>
      <c r="U16" s="156"/>
      <c r="V16" s="155"/>
      <c r="W16" s="159"/>
      <c r="X16" s="158">
        <v>3.49</v>
      </c>
      <c r="Y16" s="159"/>
      <c r="Z16" s="158">
        <v>3.49</v>
      </c>
      <c r="AA16" s="157"/>
      <c r="AB16" s="154"/>
      <c r="AC16" s="154">
        <v>3.49</v>
      </c>
      <c r="AD16" s="155"/>
      <c r="AE16" s="156"/>
      <c r="AF16" s="155"/>
      <c r="AG16" s="157"/>
      <c r="AH16" s="49">
        <v>11</v>
      </c>
      <c r="AI16" s="98"/>
      <c r="AJ16" s="98"/>
      <c r="AK16" s="98"/>
      <c r="AL16" s="98"/>
      <c r="AM16" s="98"/>
      <c r="AN16" s="70"/>
    </row>
    <row r="17" spans="1:40" s="51" customFormat="1" ht="31" x14ac:dyDescent="0.6">
      <c r="A17" s="273">
        <v>995032</v>
      </c>
      <c r="B17" s="272" t="s">
        <v>61</v>
      </c>
      <c r="C17" s="158">
        <v>9</v>
      </c>
      <c r="D17" s="172" t="s">
        <v>129</v>
      </c>
      <c r="E17" s="154" t="s">
        <v>462</v>
      </c>
      <c r="F17" s="154"/>
      <c r="G17" s="154">
        <v>3.49</v>
      </c>
      <c r="H17" s="158"/>
      <c r="I17" s="159"/>
      <c r="J17" s="155"/>
      <c r="K17" s="154"/>
      <c r="L17" s="154">
        <v>3.79</v>
      </c>
      <c r="M17" s="154"/>
      <c r="N17" s="154">
        <v>3.79</v>
      </c>
      <c r="O17" s="157"/>
      <c r="P17" s="157">
        <v>3.79</v>
      </c>
      <c r="Q17" s="156"/>
      <c r="R17" s="154"/>
      <c r="S17" s="154">
        <v>3.49</v>
      </c>
      <c r="T17" s="158"/>
      <c r="U17" s="159"/>
      <c r="V17" s="155"/>
      <c r="W17" s="157"/>
      <c r="X17" s="157">
        <v>3.49</v>
      </c>
      <c r="Y17" s="157"/>
      <c r="Z17" s="157">
        <v>3.49</v>
      </c>
      <c r="AA17" s="156"/>
      <c r="AB17" s="154"/>
      <c r="AC17" s="154">
        <v>3.49</v>
      </c>
      <c r="AD17" s="158"/>
      <c r="AE17" s="159"/>
      <c r="AF17" s="155"/>
      <c r="AG17" s="156"/>
      <c r="AH17" s="49">
        <v>12</v>
      </c>
      <c r="AI17" s="98"/>
      <c r="AJ17" s="98"/>
      <c r="AK17" s="98"/>
      <c r="AL17" s="98" t="s">
        <v>128</v>
      </c>
      <c r="AM17" s="98"/>
      <c r="AN17" s="70"/>
    </row>
    <row r="18" spans="1:40" s="51" customFormat="1" ht="31" x14ac:dyDescent="0.6">
      <c r="A18" s="158">
        <v>995070</v>
      </c>
      <c r="B18" s="272" t="s">
        <v>437</v>
      </c>
      <c r="C18" s="158">
        <v>8</v>
      </c>
      <c r="D18" s="218"/>
      <c r="E18" s="154" t="s">
        <v>462</v>
      </c>
      <c r="F18" s="154"/>
      <c r="G18" s="154">
        <v>3.13</v>
      </c>
      <c r="H18" s="155"/>
      <c r="I18" s="156"/>
      <c r="J18" s="155"/>
      <c r="K18" s="154"/>
      <c r="L18" s="154">
        <v>3.49</v>
      </c>
      <c r="M18" s="154"/>
      <c r="N18" s="154">
        <v>3.49</v>
      </c>
      <c r="O18" s="157"/>
      <c r="P18" s="157">
        <v>3.49</v>
      </c>
      <c r="Q18" s="157"/>
      <c r="R18" s="154"/>
      <c r="S18" s="154">
        <v>3.13</v>
      </c>
      <c r="T18" s="155"/>
      <c r="U18" s="159"/>
      <c r="V18" s="155"/>
      <c r="W18" s="157"/>
      <c r="X18" s="157">
        <v>3.13</v>
      </c>
      <c r="Y18" s="157"/>
      <c r="Z18" s="157">
        <v>3.13</v>
      </c>
      <c r="AA18" s="157"/>
      <c r="AB18" s="154"/>
      <c r="AC18" s="154">
        <v>3.13</v>
      </c>
      <c r="AD18" s="155"/>
      <c r="AE18" s="159"/>
      <c r="AF18" s="155"/>
      <c r="AG18" s="157"/>
      <c r="AH18" s="49">
        <v>13</v>
      </c>
      <c r="AI18" s="98"/>
      <c r="AJ18" s="98"/>
      <c r="AK18" s="98"/>
      <c r="AL18" s="98" t="s">
        <v>128</v>
      </c>
      <c r="AM18" s="98"/>
      <c r="AN18" s="70"/>
    </row>
    <row r="19" spans="1:40" s="51" customFormat="1" ht="31" x14ac:dyDescent="0.6">
      <c r="A19" s="273">
        <v>995138</v>
      </c>
      <c r="B19" s="272" t="s">
        <v>465</v>
      </c>
      <c r="C19" s="158">
        <v>6</v>
      </c>
      <c r="D19" s="218"/>
      <c r="E19" s="154" t="s">
        <v>462</v>
      </c>
      <c r="F19" s="154"/>
      <c r="G19" s="154">
        <v>3.98</v>
      </c>
      <c r="H19" s="158"/>
      <c r="I19" s="159"/>
      <c r="J19" s="155"/>
      <c r="K19" s="154"/>
      <c r="L19" s="154">
        <v>4.79</v>
      </c>
      <c r="M19" s="154"/>
      <c r="N19" s="154">
        <v>4.79</v>
      </c>
      <c r="O19" s="157"/>
      <c r="P19" s="157">
        <v>4.79</v>
      </c>
      <c r="Q19" s="156"/>
      <c r="R19" s="154"/>
      <c r="S19" s="154">
        <v>3.98</v>
      </c>
      <c r="T19" s="158"/>
      <c r="U19" s="159"/>
      <c r="V19" s="155"/>
      <c r="W19" s="157"/>
      <c r="X19" s="157">
        <v>3.98</v>
      </c>
      <c r="Y19" s="157"/>
      <c r="Z19" s="157">
        <v>3.98</v>
      </c>
      <c r="AA19" s="156"/>
      <c r="AB19" s="154"/>
      <c r="AC19" s="154">
        <v>3.98</v>
      </c>
      <c r="AD19" s="158"/>
      <c r="AE19" s="157"/>
      <c r="AF19" s="155"/>
      <c r="AG19" s="156"/>
      <c r="AH19" s="49">
        <v>14</v>
      </c>
      <c r="AI19" s="98"/>
      <c r="AJ19" s="98"/>
      <c r="AK19" s="98"/>
      <c r="AL19" s="98"/>
      <c r="AM19" s="98"/>
      <c r="AN19" s="70"/>
    </row>
    <row r="20" spans="1:40" s="51" customFormat="1" ht="31" x14ac:dyDescent="0.6">
      <c r="A20" s="107">
        <v>995000</v>
      </c>
      <c r="B20" s="108" t="s">
        <v>83</v>
      </c>
      <c r="C20" s="109">
        <v>8</v>
      </c>
      <c r="D20" s="172" t="s">
        <v>129</v>
      </c>
      <c r="E20" s="154" t="s">
        <v>462</v>
      </c>
      <c r="F20" s="154"/>
      <c r="G20" s="154">
        <v>2.73</v>
      </c>
      <c r="H20" s="158"/>
      <c r="I20" s="159"/>
      <c r="J20" s="155"/>
      <c r="K20" s="154"/>
      <c r="L20" s="154">
        <v>2.99</v>
      </c>
      <c r="M20" s="154"/>
      <c r="N20" s="154">
        <v>2.99</v>
      </c>
      <c r="O20" s="157"/>
      <c r="P20" s="157">
        <v>2.99</v>
      </c>
      <c r="Q20" s="156"/>
      <c r="R20" s="247">
        <v>2.73</v>
      </c>
      <c r="S20" s="247">
        <v>1.64</v>
      </c>
      <c r="T20" s="109" t="s">
        <v>6</v>
      </c>
      <c r="U20" s="251" t="s">
        <v>41</v>
      </c>
      <c r="V20" s="248">
        <v>44821</v>
      </c>
      <c r="W20" s="250"/>
      <c r="X20" s="250">
        <v>2.73</v>
      </c>
      <c r="Y20" s="250"/>
      <c r="Z20" s="250">
        <v>2.73</v>
      </c>
      <c r="AA20" s="249"/>
      <c r="AB20" s="154">
        <v>2.73</v>
      </c>
      <c r="AC20" s="154">
        <v>1.64</v>
      </c>
      <c r="AD20" s="158" t="s">
        <v>6</v>
      </c>
      <c r="AE20" s="159" t="s">
        <v>41</v>
      </c>
      <c r="AF20" s="155">
        <v>44820</v>
      </c>
      <c r="AG20" s="156"/>
      <c r="AH20" s="49">
        <v>15</v>
      </c>
      <c r="AI20" s="98"/>
      <c r="AJ20" s="98" t="s">
        <v>742</v>
      </c>
      <c r="AK20" s="98"/>
      <c r="AL20" s="98"/>
      <c r="AM20" s="98"/>
      <c r="AN20" s="70"/>
    </row>
    <row r="21" spans="1:40" s="51" customFormat="1" ht="31" x14ac:dyDescent="0.6">
      <c r="A21" s="273">
        <v>995005</v>
      </c>
      <c r="B21" s="272" t="s">
        <v>56</v>
      </c>
      <c r="C21" s="158">
        <v>10</v>
      </c>
      <c r="D21" s="218"/>
      <c r="E21" s="154" t="s">
        <v>462</v>
      </c>
      <c r="F21" s="154"/>
      <c r="G21" s="154">
        <v>1.78</v>
      </c>
      <c r="H21" s="158"/>
      <c r="I21" s="159"/>
      <c r="J21" s="155"/>
      <c r="K21" s="154"/>
      <c r="L21" s="154">
        <v>1.89</v>
      </c>
      <c r="M21" s="154"/>
      <c r="N21" s="154">
        <v>1.89</v>
      </c>
      <c r="O21" s="157"/>
      <c r="P21" s="157">
        <v>1.89</v>
      </c>
      <c r="Q21" s="156"/>
      <c r="R21" s="154"/>
      <c r="S21" s="154">
        <v>1.78</v>
      </c>
      <c r="T21" s="158"/>
      <c r="U21" s="159"/>
      <c r="V21" s="155"/>
      <c r="W21" s="159"/>
      <c r="X21" s="159">
        <v>1.78</v>
      </c>
      <c r="Y21" s="159"/>
      <c r="Z21" s="159">
        <v>1.78</v>
      </c>
      <c r="AA21" s="156"/>
      <c r="AB21" s="154"/>
      <c r="AC21" s="154">
        <v>1.78</v>
      </c>
      <c r="AD21" s="158"/>
      <c r="AE21" s="159"/>
      <c r="AF21" s="155"/>
      <c r="AG21" s="156"/>
      <c r="AH21" s="49">
        <v>16</v>
      </c>
      <c r="AI21" s="98"/>
      <c r="AJ21" s="98"/>
      <c r="AK21" s="98"/>
      <c r="AL21" s="98"/>
      <c r="AM21" s="98"/>
      <c r="AN21" s="70"/>
    </row>
    <row r="22" spans="1:40" s="51" customFormat="1" ht="31" x14ac:dyDescent="0.6">
      <c r="A22" s="273">
        <v>995210</v>
      </c>
      <c r="B22" s="272" t="s">
        <v>783</v>
      </c>
      <c r="C22" s="158">
        <v>12</v>
      </c>
      <c r="D22" s="218"/>
      <c r="E22" s="154" t="s">
        <v>462</v>
      </c>
      <c r="F22" s="154"/>
      <c r="G22" s="154">
        <v>2.98</v>
      </c>
      <c r="H22" s="155"/>
      <c r="I22" s="156"/>
      <c r="J22" s="155"/>
      <c r="K22" s="154"/>
      <c r="L22" s="154">
        <v>3.09</v>
      </c>
      <c r="M22" s="154"/>
      <c r="N22" s="154">
        <v>3.09</v>
      </c>
      <c r="O22" s="157"/>
      <c r="P22" s="154">
        <v>3.09</v>
      </c>
      <c r="Q22" s="157"/>
      <c r="R22" s="154"/>
      <c r="S22" s="154">
        <v>2.98</v>
      </c>
      <c r="T22" s="155"/>
      <c r="U22" s="156"/>
      <c r="V22" s="155"/>
      <c r="W22" s="158"/>
      <c r="X22" s="158">
        <v>2.98</v>
      </c>
      <c r="Y22" s="158"/>
      <c r="Z22" s="158">
        <v>2.98</v>
      </c>
      <c r="AA22" s="157"/>
      <c r="AB22" s="154"/>
      <c r="AC22" s="154">
        <v>2.98</v>
      </c>
      <c r="AD22" s="155"/>
      <c r="AE22" s="156"/>
      <c r="AF22" s="155"/>
      <c r="AG22" s="157"/>
      <c r="AH22" s="49">
        <v>17</v>
      </c>
      <c r="AI22" s="98"/>
      <c r="AJ22" s="98"/>
      <c r="AK22" s="98"/>
      <c r="AL22" s="98"/>
      <c r="AM22" s="98"/>
      <c r="AN22" s="70"/>
    </row>
    <row r="23" spans="1:40" s="51" customFormat="1" ht="31" x14ac:dyDescent="0.6">
      <c r="A23" s="158">
        <v>995100</v>
      </c>
      <c r="B23" s="272" t="s">
        <v>367</v>
      </c>
      <c r="C23" s="158">
        <v>9</v>
      </c>
      <c r="D23" s="172"/>
      <c r="E23" s="154" t="s">
        <v>462</v>
      </c>
      <c r="F23" s="154"/>
      <c r="G23" s="154">
        <v>3.49</v>
      </c>
      <c r="H23" s="158"/>
      <c r="I23" s="159"/>
      <c r="J23" s="155"/>
      <c r="K23" s="154"/>
      <c r="L23" s="154">
        <v>3.79</v>
      </c>
      <c r="M23" s="154"/>
      <c r="N23" s="154">
        <v>3.79</v>
      </c>
      <c r="O23" s="157"/>
      <c r="P23" s="154">
        <v>3.79</v>
      </c>
      <c r="Q23" s="156"/>
      <c r="R23" s="154"/>
      <c r="S23" s="154">
        <v>3.49</v>
      </c>
      <c r="T23" s="158"/>
      <c r="U23" s="159"/>
      <c r="V23" s="155"/>
      <c r="W23" s="154"/>
      <c r="X23" s="154">
        <v>3.49</v>
      </c>
      <c r="Y23" s="154"/>
      <c r="Z23" s="154">
        <v>3.49</v>
      </c>
      <c r="AA23" s="156"/>
      <c r="AB23" s="154"/>
      <c r="AC23" s="154">
        <v>3.49</v>
      </c>
      <c r="AD23" s="158"/>
      <c r="AE23" s="159"/>
      <c r="AF23" s="155"/>
      <c r="AG23" s="156"/>
      <c r="AH23" s="49">
        <v>18</v>
      </c>
      <c r="AI23" s="98"/>
      <c r="AJ23" s="98"/>
      <c r="AK23" s="98"/>
      <c r="AL23" s="98"/>
      <c r="AM23" s="98"/>
      <c r="AN23" s="70"/>
    </row>
    <row r="24" spans="1:40" s="51" customFormat="1" ht="31" x14ac:dyDescent="0.6">
      <c r="A24" s="273">
        <v>995180</v>
      </c>
      <c r="B24" s="272" t="s">
        <v>691</v>
      </c>
      <c r="C24" s="158">
        <v>4</v>
      </c>
      <c r="D24" s="218"/>
      <c r="E24" s="154" t="s">
        <v>462</v>
      </c>
      <c r="F24" s="154"/>
      <c r="G24" s="154">
        <v>4.49</v>
      </c>
      <c r="H24" s="155"/>
      <c r="I24" s="156"/>
      <c r="J24" s="155"/>
      <c r="K24" s="154"/>
      <c r="L24" s="154">
        <v>4.99</v>
      </c>
      <c r="M24" s="154"/>
      <c r="N24" s="154">
        <v>4.99</v>
      </c>
      <c r="O24" s="157"/>
      <c r="P24" s="154">
        <v>4.99</v>
      </c>
      <c r="Q24" s="157" t="s">
        <v>839</v>
      </c>
      <c r="R24" s="154"/>
      <c r="S24" s="154">
        <v>4.49</v>
      </c>
      <c r="T24" s="155"/>
      <c r="U24" s="156"/>
      <c r="V24" s="155"/>
      <c r="W24" s="158"/>
      <c r="X24" s="158">
        <v>4.99</v>
      </c>
      <c r="Y24" s="158"/>
      <c r="Z24" s="158">
        <v>4.99</v>
      </c>
      <c r="AA24" s="157"/>
      <c r="AB24" s="154"/>
      <c r="AC24" s="154">
        <v>4.49</v>
      </c>
      <c r="AD24" s="155"/>
      <c r="AE24" s="156"/>
      <c r="AF24" s="155"/>
      <c r="AG24" s="157"/>
      <c r="AH24" s="49">
        <v>19</v>
      </c>
      <c r="AI24" s="98"/>
      <c r="AJ24" s="98"/>
      <c r="AK24" s="98"/>
      <c r="AL24" s="98" t="s">
        <v>128</v>
      </c>
      <c r="AM24" s="98"/>
      <c r="AN24" s="70"/>
    </row>
    <row r="25" spans="1:40" s="51" customFormat="1" ht="31" x14ac:dyDescent="0.6">
      <c r="A25" s="273">
        <v>995021</v>
      </c>
      <c r="B25" s="272" t="s">
        <v>63</v>
      </c>
      <c r="C25" s="158">
        <v>9</v>
      </c>
      <c r="D25" s="172"/>
      <c r="E25" s="154"/>
      <c r="F25" s="154"/>
      <c r="G25" s="154">
        <v>3.49</v>
      </c>
      <c r="H25" s="158"/>
      <c r="I25" s="159"/>
      <c r="J25" s="155"/>
      <c r="K25" s="154"/>
      <c r="L25" s="154">
        <v>3.79</v>
      </c>
      <c r="M25" s="154"/>
      <c r="N25" s="154">
        <v>3.79</v>
      </c>
      <c r="O25" s="157"/>
      <c r="P25" s="157">
        <v>3.79</v>
      </c>
      <c r="Q25" s="156"/>
      <c r="R25" s="154"/>
      <c r="S25" s="154">
        <v>3.49</v>
      </c>
      <c r="T25" s="158"/>
      <c r="U25" s="159"/>
      <c r="V25" s="155"/>
      <c r="W25" s="157"/>
      <c r="X25" s="157">
        <v>3.49</v>
      </c>
      <c r="Y25" s="157"/>
      <c r="Z25" s="157">
        <v>3.49</v>
      </c>
      <c r="AA25" s="156"/>
      <c r="AB25" s="154"/>
      <c r="AC25" s="154">
        <v>3.49</v>
      </c>
      <c r="AD25" s="158"/>
      <c r="AE25" s="159"/>
      <c r="AF25" s="155"/>
      <c r="AG25" s="156"/>
      <c r="AH25" s="49">
        <v>20</v>
      </c>
      <c r="AI25" s="98"/>
      <c r="AJ25" s="98"/>
      <c r="AK25" s="98"/>
      <c r="AL25" s="98"/>
      <c r="AM25" s="98"/>
      <c r="AN25" s="70"/>
    </row>
    <row r="26" spans="1:40" s="51" customFormat="1" ht="31" x14ac:dyDescent="0.6">
      <c r="A26" s="158">
        <v>995101</v>
      </c>
      <c r="B26" s="272" t="s">
        <v>149</v>
      </c>
      <c r="C26" s="158">
        <v>9</v>
      </c>
      <c r="D26" s="172"/>
      <c r="E26" s="154" t="s">
        <v>462</v>
      </c>
      <c r="F26" s="154"/>
      <c r="G26" s="154">
        <v>3.49</v>
      </c>
      <c r="H26" s="158"/>
      <c r="I26" s="159"/>
      <c r="J26" s="155"/>
      <c r="K26" s="154"/>
      <c r="L26" s="154">
        <v>3.79</v>
      </c>
      <c r="M26" s="154"/>
      <c r="N26" s="154">
        <v>3.79</v>
      </c>
      <c r="O26" s="157"/>
      <c r="P26" s="157">
        <v>3.79</v>
      </c>
      <c r="Q26" s="156"/>
      <c r="R26" s="154"/>
      <c r="S26" s="154">
        <v>3.49</v>
      </c>
      <c r="T26" s="158"/>
      <c r="U26" s="159"/>
      <c r="V26" s="155"/>
      <c r="W26" s="157"/>
      <c r="X26" s="157">
        <v>3.49</v>
      </c>
      <c r="Y26" s="157"/>
      <c r="Z26" s="157">
        <v>3.49</v>
      </c>
      <c r="AA26" s="156"/>
      <c r="AB26" s="154"/>
      <c r="AC26" s="154">
        <v>3.49</v>
      </c>
      <c r="AD26" s="158"/>
      <c r="AE26" s="159"/>
      <c r="AF26" s="155"/>
      <c r="AG26" s="156"/>
      <c r="AH26" s="49">
        <v>21</v>
      </c>
      <c r="AI26" s="98"/>
      <c r="AJ26" s="98"/>
      <c r="AK26" s="98"/>
      <c r="AL26" s="98"/>
      <c r="AM26" s="98"/>
      <c r="AN26" s="70"/>
    </row>
    <row r="27" spans="1:40" s="51" customFormat="1" ht="31" x14ac:dyDescent="0.6">
      <c r="A27" s="273">
        <v>995207</v>
      </c>
      <c r="B27" s="272" t="s">
        <v>808</v>
      </c>
      <c r="C27" s="158">
        <v>9</v>
      </c>
      <c r="D27" s="218"/>
      <c r="E27" s="154" t="s">
        <v>462</v>
      </c>
      <c r="F27" s="154"/>
      <c r="G27" s="154">
        <v>3.49</v>
      </c>
      <c r="H27" s="155"/>
      <c r="I27" s="156"/>
      <c r="J27" s="155"/>
      <c r="K27" s="154"/>
      <c r="L27" s="154">
        <v>3.79</v>
      </c>
      <c r="M27" s="154"/>
      <c r="N27" s="154">
        <v>3.79</v>
      </c>
      <c r="O27" s="157"/>
      <c r="P27" s="157">
        <v>3.79</v>
      </c>
      <c r="Q27" s="157"/>
      <c r="R27" s="154"/>
      <c r="S27" s="154">
        <v>3.49</v>
      </c>
      <c r="T27" s="155"/>
      <c r="U27" s="156"/>
      <c r="V27" s="155"/>
      <c r="W27" s="159"/>
      <c r="X27" s="159">
        <v>3.49</v>
      </c>
      <c r="Y27" s="159"/>
      <c r="Z27" s="159">
        <v>3.49</v>
      </c>
      <c r="AA27" s="157"/>
      <c r="AB27" s="154"/>
      <c r="AC27" s="154">
        <v>3.49</v>
      </c>
      <c r="AD27" s="155"/>
      <c r="AE27" s="156"/>
      <c r="AF27" s="155"/>
      <c r="AG27" s="157"/>
      <c r="AH27" s="49">
        <v>22</v>
      </c>
      <c r="AI27" s="98"/>
      <c r="AJ27" s="98"/>
      <c r="AK27" s="98"/>
      <c r="AL27" s="98"/>
      <c r="AM27" s="98"/>
      <c r="AN27" s="70"/>
    </row>
    <row r="28" spans="1:40" s="51" customFormat="1" ht="31" x14ac:dyDescent="0.6">
      <c r="A28" s="273">
        <v>995108</v>
      </c>
      <c r="B28" s="272" t="s">
        <v>714</v>
      </c>
      <c r="C28" s="273">
        <v>6</v>
      </c>
      <c r="D28" s="218"/>
      <c r="E28" s="154"/>
      <c r="F28" s="154"/>
      <c r="G28" s="154">
        <v>3.49</v>
      </c>
      <c r="H28" s="155"/>
      <c r="I28" s="156"/>
      <c r="J28" s="155"/>
      <c r="K28" s="154"/>
      <c r="L28" s="154">
        <v>3.79</v>
      </c>
      <c r="M28" s="154"/>
      <c r="N28" s="154">
        <v>3.79</v>
      </c>
      <c r="O28" s="157"/>
      <c r="P28" s="157">
        <v>3.79</v>
      </c>
      <c r="Q28" s="156"/>
      <c r="R28" s="154"/>
      <c r="S28" s="154">
        <v>3.49</v>
      </c>
      <c r="T28" s="155"/>
      <c r="U28" s="156"/>
      <c r="V28" s="155"/>
      <c r="W28" s="159"/>
      <c r="X28" s="157">
        <v>3.49</v>
      </c>
      <c r="Y28" s="159"/>
      <c r="Z28" s="157">
        <v>3.49</v>
      </c>
      <c r="AA28" s="156"/>
      <c r="AB28" s="154">
        <v>3.49</v>
      </c>
      <c r="AC28" s="154">
        <v>2.09</v>
      </c>
      <c r="AD28" s="155" t="s">
        <v>6</v>
      </c>
      <c r="AE28" s="156" t="s">
        <v>41</v>
      </c>
      <c r="AF28" s="155">
        <v>44820</v>
      </c>
      <c r="AG28" s="156"/>
      <c r="AH28" s="49">
        <v>23</v>
      </c>
      <c r="AI28" s="98"/>
      <c r="AJ28" s="98"/>
      <c r="AK28" s="98"/>
      <c r="AL28" s="98"/>
      <c r="AM28" s="98"/>
      <c r="AN28" s="70"/>
    </row>
    <row r="29" spans="1:40" s="51" customFormat="1" ht="31" x14ac:dyDescent="0.6">
      <c r="A29" s="273">
        <v>995111</v>
      </c>
      <c r="B29" s="272" t="s">
        <v>772</v>
      </c>
      <c r="C29" s="158">
        <v>6</v>
      </c>
      <c r="D29" s="218"/>
      <c r="E29" s="154" t="s">
        <v>462</v>
      </c>
      <c r="F29" s="154"/>
      <c r="G29" s="154">
        <v>3.49</v>
      </c>
      <c r="H29" s="155"/>
      <c r="I29" s="156"/>
      <c r="J29" s="155"/>
      <c r="K29" s="154"/>
      <c r="L29" s="154">
        <v>3.79</v>
      </c>
      <c r="M29" s="154"/>
      <c r="N29" s="154">
        <v>3.79</v>
      </c>
      <c r="O29" s="157"/>
      <c r="P29" s="157">
        <v>3.79</v>
      </c>
      <c r="Q29" s="157"/>
      <c r="R29" s="154"/>
      <c r="S29" s="154">
        <v>3.49</v>
      </c>
      <c r="T29" s="155"/>
      <c r="U29" s="156"/>
      <c r="V29" s="155"/>
      <c r="W29" s="159"/>
      <c r="X29" s="159">
        <v>3.49</v>
      </c>
      <c r="Y29" s="159"/>
      <c r="Z29" s="159">
        <v>3.49</v>
      </c>
      <c r="AA29" s="157"/>
      <c r="AB29" s="154"/>
      <c r="AC29" s="154">
        <v>3.49</v>
      </c>
      <c r="AD29" s="155"/>
      <c r="AE29" s="156"/>
      <c r="AF29" s="155"/>
      <c r="AG29" s="157"/>
      <c r="AH29" s="49">
        <v>24</v>
      </c>
      <c r="AI29" s="98"/>
      <c r="AJ29" s="98"/>
      <c r="AK29" s="98"/>
      <c r="AL29" s="98"/>
      <c r="AM29" s="98"/>
      <c r="AN29" s="70"/>
    </row>
    <row r="30" spans="1:40" s="51" customFormat="1" ht="31" x14ac:dyDescent="0.6">
      <c r="A30" s="107">
        <v>995015</v>
      </c>
      <c r="B30" s="108" t="s">
        <v>711</v>
      </c>
      <c r="C30" s="109">
        <v>8</v>
      </c>
      <c r="D30" s="172"/>
      <c r="E30" s="158"/>
      <c r="F30" s="154"/>
      <c r="G30" s="154">
        <v>3.47</v>
      </c>
      <c r="H30" s="154"/>
      <c r="I30" s="157"/>
      <c r="J30" s="155"/>
      <c r="K30" s="154"/>
      <c r="L30" s="154">
        <v>3.79</v>
      </c>
      <c r="M30" s="154"/>
      <c r="N30" s="154">
        <v>3.79</v>
      </c>
      <c r="O30" s="157"/>
      <c r="P30" s="154">
        <v>3.79</v>
      </c>
      <c r="Q30" s="156"/>
      <c r="R30" s="154">
        <v>3.47</v>
      </c>
      <c r="S30" s="154">
        <v>2.08</v>
      </c>
      <c r="T30" s="154" t="s">
        <v>6</v>
      </c>
      <c r="U30" s="157" t="s">
        <v>41</v>
      </c>
      <c r="V30" s="155">
        <v>44820</v>
      </c>
      <c r="W30" s="159"/>
      <c r="X30" s="154">
        <v>3.47</v>
      </c>
      <c r="Y30" s="159"/>
      <c r="Z30" s="154">
        <v>3.47</v>
      </c>
      <c r="AA30" s="156"/>
      <c r="AB30" s="247">
        <v>2.08</v>
      </c>
      <c r="AC30" s="247">
        <v>3.47</v>
      </c>
      <c r="AD30" s="247" t="s">
        <v>51</v>
      </c>
      <c r="AE30" s="250" t="s">
        <v>52</v>
      </c>
      <c r="AF30" s="248"/>
      <c r="AG30" s="249"/>
      <c r="AH30" s="49">
        <v>25</v>
      </c>
      <c r="AI30" s="98"/>
      <c r="AJ30" s="98"/>
      <c r="AK30" s="98" t="s">
        <v>742</v>
      </c>
      <c r="AL30" s="98"/>
      <c r="AM30" s="98"/>
      <c r="AN30" s="70"/>
    </row>
    <row r="31" spans="1:40" s="51" customFormat="1" ht="31" x14ac:dyDescent="0.6">
      <c r="A31" s="273">
        <v>995012</v>
      </c>
      <c r="B31" s="272" t="s">
        <v>699</v>
      </c>
      <c r="C31" s="158">
        <v>8</v>
      </c>
      <c r="D31" s="218"/>
      <c r="E31" s="154"/>
      <c r="F31" s="154"/>
      <c r="G31" s="154">
        <v>3.47</v>
      </c>
      <c r="H31" s="155"/>
      <c r="I31" s="156"/>
      <c r="J31" s="155"/>
      <c r="K31" s="154"/>
      <c r="L31" s="154">
        <v>3.79</v>
      </c>
      <c r="M31" s="154"/>
      <c r="N31" s="154">
        <v>3.79</v>
      </c>
      <c r="O31" s="157"/>
      <c r="P31" s="157">
        <v>3.79</v>
      </c>
      <c r="Q31" s="157"/>
      <c r="R31" s="154"/>
      <c r="S31" s="154">
        <v>3.47</v>
      </c>
      <c r="T31" s="155"/>
      <c r="U31" s="156"/>
      <c r="V31" s="155"/>
      <c r="W31" s="159"/>
      <c r="X31" s="157">
        <v>3.47</v>
      </c>
      <c r="Y31" s="159"/>
      <c r="Z31" s="157">
        <v>3.47</v>
      </c>
      <c r="AA31" s="157"/>
      <c r="AB31" s="154"/>
      <c r="AC31" s="154">
        <v>3.47</v>
      </c>
      <c r="AD31" s="160"/>
      <c r="AE31" s="156"/>
      <c r="AF31" s="155"/>
      <c r="AG31" s="157"/>
      <c r="AH31" s="49">
        <v>26</v>
      </c>
      <c r="AI31" s="98"/>
      <c r="AJ31" s="98"/>
      <c r="AK31" s="98"/>
      <c r="AL31" s="98"/>
      <c r="AM31" s="98"/>
      <c r="AN31" s="70"/>
    </row>
    <row r="32" spans="1:40" s="51" customFormat="1" ht="31" x14ac:dyDescent="0.6">
      <c r="A32" s="158">
        <v>995067</v>
      </c>
      <c r="B32" s="272" t="s">
        <v>42</v>
      </c>
      <c r="C32" s="158">
        <v>8</v>
      </c>
      <c r="D32" s="218"/>
      <c r="E32" s="154" t="s">
        <v>462</v>
      </c>
      <c r="F32" s="154"/>
      <c r="G32" s="154">
        <v>3.13</v>
      </c>
      <c r="H32" s="155"/>
      <c r="I32" s="156"/>
      <c r="J32" s="155"/>
      <c r="K32" s="154"/>
      <c r="L32" s="154">
        <v>3.49</v>
      </c>
      <c r="M32" s="154"/>
      <c r="N32" s="154">
        <v>3.49</v>
      </c>
      <c r="O32" s="157"/>
      <c r="P32" s="157">
        <v>3.49</v>
      </c>
      <c r="Q32" s="157"/>
      <c r="R32" s="158"/>
      <c r="S32" s="158">
        <v>3.13</v>
      </c>
      <c r="T32" s="155"/>
      <c r="U32" s="156"/>
      <c r="V32" s="155"/>
      <c r="W32" s="159"/>
      <c r="X32" s="159">
        <v>3.13</v>
      </c>
      <c r="Y32" s="159"/>
      <c r="Z32" s="159">
        <v>3.13</v>
      </c>
      <c r="AA32" s="157"/>
      <c r="AB32" s="154"/>
      <c r="AC32" s="154">
        <v>3.13</v>
      </c>
      <c r="AD32" s="155"/>
      <c r="AE32" s="157"/>
      <c r="AF32" s="155"/>
      <c r="AG32" s="157"/>
      <c r="AH32" s="49">
        <v>27</v>
      </c>
      <c r="AI32" s="98"/>
      <c r="AJ32" s="98"/>
      <c r="AK32" s="98"/>
      <c r="AL32" s="98" t="s">
        <v>128</v>
      </c>
      <c r="AM32" s="98"/>
      <c r="AN32" s="70"/>
    </row>
    <row r="33" spans="1:40" s="51" customFormat="1" ht="31" x14ac:dyDescent="0.6">
      <c r="A33" s="158">
        <v>995068</v>
      </c>
      <c r="B33" s="272" t="s">
        <v>43</v>
      </c>
      <c r="C33" s="158">
        <v>8</v>
      </c>
      <c r="D33" s="218"/>
      <c r="E33" s="154" t="s">
        <v>462</v>
      </c>
      <c r="F33" s="154"/>
      <c r="G33" s="154">
        <v>2.85</v>
      </c>
      <c r="H33" s="155"/>
      <c r="I33" s="156"/>
      <c r="J33" s="155"/>
      <c r="K33" s="154"/>
      <c r="L33" s="154">
        <v>3.49</v>
      </c>
      <c r="M33" s="154"/>
      <c r="N33" s="154">
        <v>3.49</v>
      </c>
      <c r="O33" s="157"/>
      <c r="P33" s="157">
        <v>3.49</v>
      </c>
      <c r="Q33" s="157"/>
      <c r="R33" s="154"/>
      <c r="S33" s="154">
        <v>2.85</v>
      </c>
      <c r="T33" s="155"/>
      <c r="U33" s="156"/>
      <c r="V33" s="155"/>
      <c r="W33" s="157"/>
      <c r="X33" s="157">
        <v>2.85</v>
      </c>
      <c r="Y33" s="157"/>
      <c r="Z33" s="157">
        <v>2.85</v>
      </c>
      <c r="AA33" s="157"/>
      <c r="AB33" s="154"/>
      <c r="AC33" s="154">
        <v>2.85</v>
      </c>
      <c r="AD33" s="155"/>
      <c r="AE33" s="157"/>
      <c r="AF33" s="155"/>
      <c r="AG33" s="157"/>
      <c r="AH33" s="49">
        <v>28</v>
      </c>
      <c r="AI33" s="98"/>
      <c r="AJ33" s="98"/>
      <c r="AK33" s="98"/>
      <c r="AL33" s="98"/>
      <c r="AM33" s="98"/>
      <c r="AN33" s="70"/>
    </row>
    <row r="34" spans="1:40" s="51" customFormat="1" ht="31" x14ac:dyDescent="0.6">
      <c r="A34" s="273">
        <v>995140</v>
      </c>
      <c r="B34" s="272" t="s">
        <v>782</v>
      </c>
      <c r="C34" s="158">
        <v>6</v>
      </c>
      <c r="D34" s="218"/>
      <c r="E34" s="154" t="s">
        <v>462</v>
      </c>
      <c r="F34" s="154"/>
      <c r="G34" s="154">
        <v>5.13</v>
      </c>
      <c r="H34" s="155"/>
      <c r="I34" s="156"/>
      <c r="J34" s="155"/>
      <c r="K34" s="154"/>
      <c r="L34" s="154">
        <v>5.79</v>
      </c>
      <c r="M34" s="154"/>
      <c r="N34" s="154">
        <v>5.79</v>
      </c>
      <c r="O34" s="157"/>
      <c r="P34" s="157">
        <v>5.79</v>
      </c>
      <c r="Q34" s="157"/>
      <c r="R34" s="154"/>
      <c r="S34" s="154">
        <v>5.13</v>
      </c>
      <c r="T34" s="155"/>
      <c r="U34" s="156"/>
      <c r="V34" s="155"/>
      <c r="W34" s="159"/>
      <c r="X34" s="159">
        <v>5.13</v>
      </c>
      <c r="Y34" s="159"/>
      <c r="Z34" s="159">
        <v>5.13</v>
      </c>
      <c r="AA34" s="157"/>
      <c r="AB34" s="154"/>
      <c r="AC34" s="154">
        <v>5.13</v>
      </c>
      <c r="AD34" s="155"/>
      <c r="AE34" s="156"/>
      <c r="AF34" s="155"/>
      <c r="AG34" s="157"/>
      <c r="AH34" s="49">
        <v>29</v>
      </c>
      <c r="AI34" s="98"/>
      <c r="AJ34" s="98"/>
      <c r="AK34" s="98"/>
      <c r="AL34" s="98"/>
      <c r="AM34" s="98"/>
      <c r="AN34" s="70"/>
    </row>
    <row r="35" spans="1:40" s="51" customFormat="1" ht="31" x14ac:dyDescent="0.6">
      <c r="A35" s="158">
        <v>995137</v>
      </c>
      <c r="B35" s="272" t="s">
        <v>464</v>
      </c>
      <c r="C35" s="158">
        <v>6</v>
      </c>
      <c r="D35" s="172"/>
      <c r="E35" s="154" t="s">
        <v>462</v>
      </c>
      <c r="F35" s="154"/>
      <c r="G35" s="154">
        <v>3.98</v>
      </c>
      <c r="H35" s="155"/>
      <c r="I35" s="156"/>
      <c r="J35" s="155"/>
      <c r="K35" s="154"/>
      <c r="L35" s="154">
        <v>4.79</v>
      </c>
      <c r="M35" s="154"/>
      <c r="N35" s="154">
        <v>4.79</v>
      </c>
      <c r="O35" s="157"/>
      <c r="P35" s="157">
        <v>4.79</v>
      </c>
      <c r="Q35" s="156"/>
      <c r="R35" s="154"/>
      <c r="S35" s="154">
        <v>3.98</v>
      </c>
      <c r="T35" s="158"/>
      <c r="U35" s="159"/>
      <c r="V35" s="155"/>
      <c r="W35" s="157"/>
      <c r="X35" s="157">
        <v>3.98</v>
      </c>
      <c r="Y35" s="157"/>
      <c r="Z35" s="157">
        <v>3.98</v>
      </c>
      <c r="AA35" s="156"/>
      <c r="AB35" s="154"/>
      <c r="AC35" s="154">
        <v>3.98</v>
      </c>
      <c r="AD35" s="158"/>
      <c r="AE35" s="157"/>
      <c r="AF35" s="155"/>
      <c r="AG35" s="156"/>
      <c r="AH35" s="49">
        <v>30</v>
      </c>
      <c r="AI35" s="98"/>
      <c r="AJ35" s="98"/>
      <c r="AK35" s="98"/>
      <c r="AL35" s="98"/>
      <c r="AM35" s="98"/>
      <c r="AN35" s="70"/>
    </row>
    <row r="36" spans="1:40" s="51" customFormat="1" ht="31" x14ac:dyDescent="0.6">
      <c r="A36" s="273">
        <v>995026</v>
      </c>
      <c r="B36" s="272" t="s">
        <v>50</v>
      </c>
      <c r="C36" s="158">
        <v>8</v>
      </c>
      <c r="D36" s="218"/>
      <c r="E36" s="154" t="s">
        <v>462</v>
      </c>
      <c r="F36" s="154"/>
      <c r="G36" s="154">
        <v>2.29</v>
      </c>
      <c r="H36" s="155"/>
      <c r="I36" s="156"/>
      <c r="J36" s="155"/>
      <c r="K36" s="154"/>
      <c r="L36" s="154">
        <v>2.69</v>
      </c>
      <c r="M36" s="154"/>
      <c r="N36" s="154">
        <v>2.69</v>
      </c>
      <c r="O36" s="157"/>
      <c r="P36" s="157">
        <v>2.69</v>
      </c>
      <c r="Q36" s="157"/>
      <c r="R36" s="154"/>
      <c r="S36" s="154">
        <v>2.29</v>
      </c>
      <c r="T36" s="155"/>
      <c r="U36" s="156"/>
      <c r="V36" s="155"/>
      <c r="W36" s="159"/>
      <c r="X36" s="159">
        <v>2.29</v>
      </c>
      <c r="Y36" s="159"/>
      <c r="Z36" s="159">
        <v>2.29</v>
      </c>
      <c r="AA36" s="157"/>
      <c r="AB36" s="154"/>
      <c r="AC36" s="154">
        <v>2.29</v>
      </c>
      <c r="AD36" s="155"/>
      <c r="AE36" s="156"/>
      <c r="AF36" s="155"/>
      <c r="AG36" s="157"/>
      <c r="AH36" s="49">
        <v>31</v>
      </c>
      <c r="AI36" s="98"/>
      <c r="AJ36" s="98"/>
      <c r="AK36" s="98"/>
      <c r="AL36" s="98"/>
      <c r="AM36" s="98"/>
      <c r="AN36" s="70"/>
    </row>
    <row r="37" spans="1:40" s="51" customFormat="1" ht="31" x14ac:dyDescent="0.6">
      <c r="A37" s="273">
        <v>995008</v>
      </c>
      <c r="B37" s="272" t="s">
        <v>58</v>
      </c>
      <c r="C37" s="158">
        <v>12</v>
      </c>
      <c r="D37" s="218"/>
      <c r="E37" s="154"/>
      <c r="F37" s="154"/>
      <c r="G37" s="154">
        <v>1.98</v>
      </c>
      <c r="H37" s="158"/>
      <c r="I37" s="159"/>
      <c r="J37" s="155"/>
      <c r="K37" s="154"/>
      <c r="L37" s="154">
        <v>2.19</v>
      </c>
      <c r="M37" s="154"/>
      <c r="N37" s="154">
        <v>2.19</v>
      </c>
      <c r="O37" s="157"/>
      <c r="P37" s="154">
        <v>2.19</v>
      </c>
      <c r="Q37" s="156"/>
      <c r="R37" s="154"/>
      <c r="S37" s="154">
        <v>1.98</v>
      </c>
      <c r="T37" s="158"/>
      <c r="U37" s="159"/>
      <c r="V37" s="155"/>
      <c r="W37" s="159"/>
      <c r="X37" s="158">
        <v>1.98</v>
      </c>
      <c r="Y37" s="159"/>
      <c r="Z37" s="158">
        <v>1.98</v>
      </c>
      <c r="AA37" s="156"/>
      <c r="AB37" s="154"/>
      <c r="AC37" s="154">
        <v>1.98</v>
      </c>
      <c r="AD37" s="158"/>
      <c r="AE37" s="159"/>
      <c r="AF37" s="155"/>
      <c r="AG37" s="156"/>
      <c r="AH37" s="49">
        <v>32</v>
      </c>
      <c r="AI37" s="98"/>
      <c r="AJ37" s="98"/>
      <c r="AK37" s="98"/>
      <c r="AL37" s="98"/>
      <c r="AM37" s="98"/>
      <c r="AN37" s="70"/>
    </row>
    <row r="38" spans="1:40" s="51" customFormat="1" ht="31" x14ac:dyDescent="0.6">
      <c r="A38" s="273">
        <v>995004</v>
      </c>
      <c r="B38" s="272" t="s">
        <v>59</v>
      </c>
      <c r="C38" s="158">
        <v>8</v>
      </c>
      <c r="D38" s="172" t="s">
        <v>129</v>
      </c>
      <c r="E38" s="154" t="s">
        <v>462</v>
      </c>
      <c r="F38" s="154"/>
      <c r="G38" s="154">
        <v>3.47</v>
      </c>
      <c r="H38" s="158"/>
      <c r="I38" s="159"/>
      <c r="J38" s="155"/>
      <c r="K38" s="154"/>
      <c r="L38" s="154">
        <v>3.79</v>
      </c>
      <c r="M38" s="154"/>
      <c r="N38" s="154">
        <v>3.79</v>
      </c>
      <c r="O38" s="157"/>
      <c r="P38" s="157">
        <v>3.79</v>
      </c>
      <c r="Q38" s="156"/>
      <c r="R38" s="154"/>
      <c r="S38" s="154">
        <v>3.47</v>
      </c>
      <c r="T38" s="158"/>
      <c r="U38" s="159"/>
      <c r="V38" s="155"/>
      <c r="W38" s="159"/>
      <c r="X38" s="159">
        <v>3.47</v>
      </c>
      <c r="Y38" s="159"/>
      <c r="Z38" s="159">
        <v>3.47</v>
      </c>
      <c r="AA38" s="156"/>
      <c r="AB38" s="154"/>
      <c r="AC38" s="154">
        <v>3.47</v>
      </c>
      <c r="AD38" s="158"/>
      <c r="AE38" s="159"/>
      <c r="AF38" s="155"/>
      <c r="AG38" s="156"/>
      <c r="AH38" s="49">
        <v>33</v>
      </c>
      <c r="AI38" s="98"/>
      <c r="AJ38" s="98"/>
      <c r="AK38" s="98"/>
      <c r="AL38" s="98" t="s">
        <v>128</v>
      </c>
      <c r="AM38" s="98"/>
      <c r="AN38" s="70"/>
    </row>
    <row r="39" spans="1:40" s="51" customFormat="1" ht="31" x14ac:dyDescent="0.6">
      <c r="A39" s="273">
        <v>995018</v>
      </c>
      <c r="B39" s="272" t="s">
        <v>450</v>
      </c>
      <c r="C39" s="158">
        <v>4</v>
      </c>
      <c r="D39" s="218"/>
      <c r="E39" s="154" t="s">
        <v>462</v>
      </c>
      <c r="F39" s="154"/>
      <c r="G39" s="154">
        <v>5.34</v>
      </c>
      <c r="H39" s="158"/>
      <c r="I39" s="159"/>
      <c r="J39" s="155"/>
      <c r="K39" s="154"/>
      <c r="L39" s="154">
        <v>5.79</v>
      </c>
      <c r="M39" s="154"/>
      <c r="N39" s="154">
        <v>5.79</v>
      </c>
      <c r="O39" s="157"/>
      <c r="P39" s="157">
        <v>5.79</v>
      </c>
      <c r="Q39" s="156"/>
      <c r="R39" s="154"/>
      <c r="S39" s="154">
        <v>5.34</v>
      </c>
      <c r="T39" s="158"/>
      <c r="U39" s="159"/>
      <c r="V39" s="155"/>
      <c r="W39" s="157"/>
      <c r="X39" s="157">
        <v>5.34</v>
      </c>
      <c r="Y39" s="157"/>
      <c r="Z39" s="157">
        <v>5.34</v>
      </c>
      <c r="AA39" s="156"/>
      <c r="AB39" s="154"/>
      <c r="AC39" s="154">
        <v>5.34</v>
      </c>
      <c r="AD39" s="158"/>
      <c r="AE39" s="159"/>
      <c r="AF39" s="155"/>
      <c r="AG39" s="156" t="s">
        <v>839</v>
      </c>
      <c r="AH39" s="49">
        <v>34</v>
      </c>
      <c r="AI39" s="98"/>
      <c r="AJ39" s="98"/>
      <c r="AK39" s="98"/>
      <c r="AL39" s="98" t="s">
        <v>128</v>
      </c>
      <c r="AM39" s="98"/>
      <c r="AN39" s="70"/>
    </row>
    <row r="40" spans="1:40" s="51" customFormat="1" ht="31" x14ac:dyDescent="0.6">
      <c r="A40" s="158">
        <v>995011</v>
      </c>
      <c r="B40" s="272" t="s">
        <v>579</v>
      </c>
      <c r="C40" s="158">
        <v>8</v>
      </c>
      <c r="D40" s="172"/>
      <c r="E40" s="154" t="s">
        <v>462</v>
      </c>
      <c r="F40" s="154"/>
      <c r="G40" s="154">
        <v>3.47</v>
      </c>
      <c r="H40" s="155"/>
      <c r="I40" s="156"/>
      <c r="J40" s="155"/>
      <c r="K40" s="154"/>
      <c r="L40" s="154">
        <v>3.79</v>
      </c>
      <c r="M40" s="154"/>
      <c r="N40" s="154">
        <v>3.79</v>
      </c>
      <c r="O40" s="157"/>
      <c r="P40" s="157">
        <v>3.79</v>
      </c>
      <c r="Q40" s="156"/>
      <c r="R40" s="154"/>
      <c r="S40" s="154">
        <v>3.47</v>
      </c>
      <c r="T40" s="158"/>
      <c r="U40" s="156"/>
      <c r="V40" s="155"/>
      <c r="W40" s="157"/>
      <c r="X40" s="157">
        <v>3.47</v>
      </c>
      <c r="Y40" s="157"/>
      <c r="Z40" s="157">
        <v>3.47</v>
      </c>
      <c r="AA40" s="156"/>
      <c r="AB40" s="154"/>
      <c r="AC40" s="154">
        <v>3.47</v>
      </c>
      <c r="AD40" s="158"/>
      <c r="AE40" s="156"/>
      <c r="AF40" s="155"/>
      <c r="AG40" s="156"/>
      <c r="AH40" s="49">
        <v>35</v>
      </c>
      <c r="AI40" s="98"/>
      <c r="AJ40" s="98"/>
      <c r="AK40" s="98"/>
      <c r="AL40" s="98" t="s">
        <v>128</v>
      </c>
      <c r="AM40" s="98"/>
      <c r="AN40" s="70"/>
    </row>
    <row r="41" spans="1:40" s="51" customFormat="1" ht="31" x14ac:dyDescent="0.6">
      <c r="A41" s="273">
        <v>995019</v>
      </c>
      <c r="B41" s="272" t="s">
        <v>580</v>
      </c>
      <c r="C41" s="158">
        <v>4</v>
      </c>
      <c r="D41" s="218"/>
      <c r="E41" s="154" t="s">
        <v>462</v>
      </c>
      <c r="F41" s="154"/>
      <c r="G41" s="154">
        <v>5.34</v>
      </c>
      <c r="H41" s="158"/>
      <c r="I41" s="159"/>
      <c r="J41" s="155"/>
      <c r="K41" s="154"/>
      <c r="L41" s="154">
        <v>5.79</v>
      </c>
      <c r="M41" s="154"/>
      <c r="N41" s="154">
        <v>5.79</v>
      </c>
      <c r="O41" s="157"/>
      <c r="P41" s="154">
        <v>5.79</v>
      </c>
      <c r="Q41" s="156"/>
      <c r="R41" s="154"/>
      <c r="S41" s="154">
        <v>5.34</v>
      </c>
      <c r="T41" s="158"/>
      <c r="U41" s="159"/>
      <c r="V41" s="155"/>
      <c r="W41" s="157"/>
      <c r="X41" s="154">
        <v>5.34</v>
      </c>
      <c r="Y41" s="157"/>
      <c r="Z41" s="154">
        <v>5.34</v>
      </c>
      <c r="AA41" s="156"/>
      <c r="AB41" s="154"/>
      <c r="AC41" s="154">
        <v>5.34</v>
      </c>
      <c r="AD41" s="158"/>
      <c r="AE41" s="159"/>
      <c r="AF41" s="155"/>
      <c r="AG41" s="156"/>
      <c r="AH41" s="49">
        <v>36</v>
      </c>
      <c r="AI41" s="98"/>
      <c r="AJ41" s="98"/>
      <c r="AK41" s="98"/>
      <c r="AL41" s="98" t="s">
        <v>128</v>
      </c>
      <c r="AM41" s="98"/>
      <c r="AN41" s="70"/>
    </row>
    <row r="42" spans="1:40" s="51" customFormat="1" ht="31" x14ac:dyDescent="0.6">
      <c r="A42" s="273">
        <v>995212</v>
      </c>
      <c r="B42" s="272" t="s">
        <v>750</v>
      </c>
      <c r="C42" s="158">
        <v>8</v>
      </c>
      <c r="D42" s="218"/>
      <c r="E42" s="154" t="s">
        <v>462</v>
      </c>
      <c r="F42" s="154"/>
      <c r="G42" s="154">
        <v>3.47</v>
      </c>
      <c r="H42" s="155"/>
      <c r="I42" s="156"/>
      <c r="J42" s="155"/>
      <c r="K42" s="154"/>
      <c r="L42" s="154">
        <v>3.79</v>
      </c>
      <c r="M42" s="154"/>
      <c r="N42" s="154">
        <v>3.79</v>
      </c>
      <c r="O42" s="157"/>
      <c r="P42" s="154">
        <v>3.79</v>
      </c>
      <c r="Q42" s="157"/>
      <c r="R42" s="154"/>
      <c r="S42" s="154">
        <v>3.47</v>
      </c>
      <c r="T42" s="155"/>
      <c r="U42" s="156"/>
      <c r="V42" s="155"/>
      <c r="W42" s="159"/>
      <c r="X42" s="158">
        <v>3.47</v>
      </c>
      <c r="Y42" s="159"/>
      <c r="Z42" s="158">
        <v>3.47</v>
      </c>
      <c r="AA42" s="157"/>
      <c r="AB42" s="154"/>
      <c r="AC42" s="154">
        <v>3.47</v>
      </c>
      <c r="AD42" s="155"/>
      <c r="AE42" s="156"/>
      <c r="AF42" s="155"/>
      <c r="AG42" s="157"/>
      <c r="AH42" s="49">
        <v>37</v>
      </c>
      <c r="AI42" s="98"/>
      <c r="AJ42" s="98"/>
      <c r="AK42" s="98"/>
      <c r="AL42" s="98"/>
      <c r="AM42" s="98"/>
      <c r="AN42" s="70"/>
    </row>
    <row r="43" spans="1:40" s="51" customFormat="1" ht="31" x14ac:dyDescent="0.6">
      <c r="A43" s="273">
        <v>995181</v>
      </c>
      <c r="B43" s="272" t="s">
        <v>661</v>
      </c>
      <c r="C43" s="158">
        <v>4</v>
      </c>
      <c r="D43" s="218"/>
      <c r="E43" s="154" t="s">
        <v>462</v>
      </c>
      <c r="F43" s="154"/>
      <c r="G43" s="154">
        <v>4.49</v>
      </c>
      <c r="H43" s="155"/>
      <c r="I43" s="156"/>
      <c r="J43" s="155"/>
      <c r="K43" s="154"/>
      <c r="L43" s="154">
        <v>4.99</v>
      </c>
      <c r="M43" s="154"/>
      <c r="N43" s="154">
        <v>4.99</v>
      </c>
      <c r="O43" s="157"/>
      <c r="P43" s="154">
        <v>4.99</v>
      </c>
      <c r="Q43" s="157" t="s">
        <v>839</v>
      </c>
      <c r="R43" s="154"/>
      <c r="S43" s="154">
        <v>4.49</v>
      </c>
      <c r="T43" s="155"/>
      <c r="U43" s="156"/>
      <c r="V43" s="155"/>
      <c r="W43" s="159"/>
      <c r="X43" s="158">
        <v>4.99</v>
      </c>
      <c r="Y43" s="159"/>
      <c r="Z43" s="158">
        <v>4.99</v>
      </c>
      <c r="AA43" s="157"/>
      <c r="AB43" s="154"/>
      <c r="AC43" s="154">
        <v>4.49</v>
      </c>
      <c r="AD43" s="155"/>
      <c r="AE43" s="156"/>
      <c r="AF43" s="155"/>
      <c r="AG43" s="157" t="s">
        <v>839</v>
      </c>
      <c r="AH43" s="49">
        <v>38</v>
      </c>
      <c r="AI43" s="98"/>
      <c r="AJ43" s="98"/>
      <c r="AK43" s="98"/>
      <c r="AL43" s="98" t="s">
        <v>128</v>
      </c>
      <c r="AM43" s="98"/>
      <c r="AN43" s="70"/>
    </row>
    <row r="44" spans="1:40" s="51" customFormat="1" ht="31" x14ac:dyDescent="0.6">
      <c r="A44" s="273">
        <v>995179</v>
      </c>
      <c r="B44" s="272" t="s">
        <v>660</v>
      </c>
      <c r="C44" s="158">
        <v>4</v>
      </c>
      <c r="D44" s="218"/>
      <c r="E44" s="154" t="s">
        <v>462</v>
      </c>
      <c r="F44" s="154"/>
      <c r="G44" s="154">
        <v>4.49</v>
      </c>
      <c r="H44" s="155"/>
      <c r="I44" s="156"/>
      <c r="J44" s="155"/>
      <c r="K44" s="154"/>
      <c r="L44" s="154">
        <v>4.99</v>
      </c>
      <c r="M44" s="154"/>
      <c r="N44" s="154">
        <v>4.99</v>
      </c>
      <c r="O44" s="157"/>
      <c r="P44" s="154">
        <v>4.99</v>
      </c>
      <c r="Q44" s="157"/>
      <c r="R44" s="154"/>
      <c r="S44" s="154">
        <v>4.49</v>
      </c>
      <c r="T44" s="155"/>
      <c r="U44" s="156"/>
      <c r="V44" s="155"/>
      <c r="W44" s="159"/>
      <c r="X44" s="158">
        <v>4.99</v>
      </c>
      <c r="Y44" s="159"/>
      <c r="Z44" s="158">
        <v>4.99</v>
      </c>
      <c r="AA44" s="157"/>
      <c r="AB44" s="154"/>
      <c r="AC44" s="154">
        <v>4.49</v>
      </c>
      <c r="AD44" s="155"/>
      <c r="AE44" s="156"/>
      <c r="AF44" s="155"/>
      <c r="AG44" s="157"/>
      <c r="AH44" s="49">
        <v>39</v>
      </c>
      <c r="AI44" s="98"/>
      <c r="AJ44" s="98"/>
      <c r="AK44" s="98"/>
      <c r="AL44" s="98" t="s">
        <v>128</v>
      </c>
      <c r="AM44" s="98"/>
      <c r="AN44" s="70"/>
    </row>
    <row r="45" spans="1:40" s="51" customFormat="1" ht="31" x14ac:dyDescent="0.6">
      <c r="A45" s="158">
        <v>995069</v>
      </c>
      <c r="B45" s="272" t="s">
        <v>422</v>
      </c>
      <c r="C45" s="158">
        <v>8</v>
      </c>
      <c r="D45" s="218"/>
      <c r="E45" s="154" t="s">
        <v>462</v>
      </c>
      <c r="F45" s="154"/>
      <c r="G45" s="154">
        <v>3.13</v>
      </c>
      <c r="H45" s="155"/>
      <c r="I45" s="156"/>
      <c r="J45" s="155"/>
      <c r="K45" s="154"/>
      <c r="L45" s="154">
        <v>3.49</v>
      </c>
      <c r="M45" s="154"/>
      <c r="N45" s="154">
        <v>3.49</v>
      </c>
      <c r="O45" s="157"/>
      <c r="P45" s="154">
        <v>3.49</v>
      </c>
      <c r="Q45" s="157"/>
      <c r="R45" s="154"/>
      <c r="S45" s="154">
        <v>3.13</v>
      </c>
      <c r="T45" s="155"/>
      <c r="U45" s="156"/>
      <c r="V45" s="155"/>
      <c r="W45" s="159"/>
      <c r="X45" s="157">
        <v>3.13</v>
      </c>
      <c r="Y45" s="159"/>
      <c r="Z45" s="157">
        <v>3.13</v>
      </c>
      <c r="AA45" s="157"/>
      <c r="AB45" s="154"/>
      <c r="AC45" s="154">
        <v>3.13</v>
      </c>
      <c r="AD45" s="155"/>
      <c r="AE45" s="156"/>
      <c r="AF45" s="155"/>
      <c r="AG45" s="157"/>
      <c r="AH45" s="49">
        <v>40</v>
      </c>
      <c r="AI45" s="98"/>
      <c r="AJ45" s="98"/>
      <c r="AK45" s="98"/>
      <c r="AL45" s="98"/>
      <c r="AM45" s="98"/>
      <c r="AN45" s="70"/>
    </row>
    <row r="46" spans="1:40" s="51" customFormat="1" ht="31" x14ac:dyDescent="0.6">
      <c r="A46" s="158">
        <v>995131</v>
      </c>
      <c r="B46" s="272" t="s">
        <v>397</v>
      </c>
      <c r="C46" s="158">
        <v>8</v>
      </c>
      <c r="D46" s="172"/>
      <c r="E46" s="154"/>
      <c r="F46" s="154"/>
      <c r="G46" s="154">
        <v>3.13</v>
      </c>
      <c r="H46" s="155"/>
      <c r="I46" s="156"/>
      <c r="J46" s="155"/>
      <c r="K46" s="154"/>
      <c r="L46" s="154">
        <v>3.49</v>
      </c>
      <c r="M46" s="154"/>
      <c r="N46" s="154">
        <v>3.49</v>
      </c>
      <c r="O46" s="157"/>
      <c r="P46" s="157">
        <v>3.49</v>
      </c>
      <c r="Q46" s="161"/>
      <c r="R46" s="154">
        <v>3.13</v>
      </c>
      <c r="S46" s="154">
        <v>1.88</v>
      </c>
      <c r="T46" s="158" t="s">
        <v>6</v>
      </c>
      <c r="U46" s="156" t="s">
        <v>41</v>
      </c>
      <c r="V46" s="155">
        <v>44820</v>
      </c>
      <c r="W46" s="157"/>
      <c r="X46" s="157">
        <v>3.13</v>
      </c>
      <c r="Y46" s="157"/>
      <c r="Z46" s="157">
        <v>3.13</v>
      </c>
      <c r="AA46" s="161"/>
      <c r="AB46" s="154"/>
      <c r="AC46" s="154">
        <v>3.13</v>
      </c>
      <c r="AD46" s="158"/>
      <c r="AE46" s="156"/>
      <c r="AF46" s="155"/>
      <c r="AG46" s="161"/>
      <c r="AH46" s="49">
        <v>41</v>
      </c>
      <c r="AI46" s="98"/>
      <c r="AJ46" s="98"/>
      <c r="AK46" s="98"/>
      <c r="AL46" s="98"/>
      <c r="AM46" s="98"/>
      <c r="AN46" s="70"/>
    </row>
    <row r="47" spans="1:40" s="51" customFormat="1" ht="31" x14ac:dyDescent="0.6">
      <c r="A47" s="158">
        <v>995133</v>
      </c>
      <c r="B47" s="272" t="s">
        <v>398</v>
      </c>
      <c r="C47" s="158">
        <v>8</v>
      </c>
      <c r="D47" s="172"/>
      <c r="E47" s="154" t="s">
        <v>462</v>
      </c>
      <c r="F47" s="154"/>
      <c r="G47" s="154">
        <v>2.89</v>
      </c>
      <c r="H47" s="155"/>
      <c r="I47" s="156"/>
      <c r="J47" s="155"/>
      <c r="K47" s="154"/>
      <c r="L47" s="154">
        <v>3.19</v>
      </c>
      <c r="M47" s="154"/>
      <c r="N47" s="154">
        <v>3.19</v>
      </c>
      <c r="O47" s="157"/>
      <c r="P47" s="157">
        <v>3.19</v>
      </c>
      <c r="Q47" s="156"/>
      <c r="R47" s="154"/>
      <c r="S47" s="154">
        <v>2.89</v>
      </c>
      <c r="T47" s="155"/>
      <c r="U47" s="156"/>
      <c r="V47" s="155"/>
      <c r="W47" s="157"/>
      <c r="X47" s="157">
        <v>2.89</v>
      </c>
      <c r="Y47" s="157"/>
      <c r="Z47" s="157">
        <v>2.89</v>
      </c>
      <c r="AA47" s="156"/>
      <c r="AB47" s="154"/>
      <c r="AC47" s="154">
        <v>2.89</v>
      </c>
      <c r="AD47" s="155"/>
      <c r="AE47" s="156"/>
      <c r="AF47" s="155"/>
      <c r="AG47" s="156"/>
      <c r="AH47" s="49">
        <v>42</v>
      </c>
      <c r="AI47" s="98"/>
      <c r="AJ47" s="98"/>
      <c r="AK47" s="98"/>
      <c r="AL47" s="98"/>
      <c r="AM47" s="98"/>
      <c r="AN47" s="70"/>
    </row>
    <row r="48" spans="1:40" s="51" customFormat="1" ht="31" x14ac:dyDescent="0.6">
      <c r="A48" s="273">
        <v>995027</v>
      </c>
      <c r="B48" s="272" t="s">
        <v>426</v>
      </c>
      <c r="C48" s="158">
        <v>6</v>
      </c>
      <c r="D48" s="218"/>
      <c r="E48" s="154" t="s">
        <v>462</v>
      </c>
      <c r="F48" s="154"/>
      <c r="G48" s="154">
        <v>4.49</v>
      </c>
      <c r="H48" s="158"/>
      <c r="I48" s="159"/>
      <c r="J48" s="155"/>
      <c r="K48" s="154"/>
      <c r="L48" s="154">
        <v>4.99</v>
      </c>
      <c r="M48" s="154"/>
      <c r="N48" s="154">
        <v>4.99</v>
      </c>
      <c r="O48" s="157"/>
      <c r="P48" s="157">
        <v>4.99</v>
      </c>
      <c r="Q48" s="156"/>
      <c r="R48" s="154"/>
      <c r="S48" s="154">
        <v>4.49</v>
      </c>
      <c r="T48" s="158"/>
      <c r="U48" s="156"/>
      <c r="V48" s="155"/>
      <c r="W48" s="157"/>
      <c r="X48" s="157">
        <v>4.49</v>
      </c>
      <c r="Y48" s="157"/>
      <c r="Z48" s="157">
        <v>4.49</v>
      </c>
      <c r="AA48" s="156"/>
      <c r="AB48" s="154"/>
      <c r="AC48" s="154">
        <v>4.49</v>
      </c>
      <c r="AD48" s="155"/>
      <c r="AE48" s="156"/>
      <c r="AF48" s="155"/>
      <c r="AG48" s="156"/>
      <c r="AH48" s="49">
        <v>43</v>
      </c>
      <c r="AI48" s="98"/>
      <c r="AJ48" s="98"/>
      <c r="AK48" s="98"/>
      <c r="AL48" s="98"/>
      <c r="AM48" s="98"/>
      <c r="AN48" s="70"/>
    </row>
    <row r="49" spans="1:45" s="51" customFormat="1" ht="31" x14ac:dyDescent="0.6">
      <c r="A49" s="273">
        <v>995001</v>
      </c>
      <c r="B49" s="272" t="s">
        <v>433</v>
      </c>
      <c r="C49" s="158">
        <v>8</v>
      </c>
      <c r="D49" s="172" t="s">
        <v>129</v>
      </c>
      <c r="E49" s="154" t="s">
        <v>462</v>
      </c>
      <c r="F49" s="154"/>
      <c r="G49" s="154">
        <v>2.72</v>
      </c>
      <c r="H49" s="158"/>
      <c r="I49" s="159"/>
      <c r="J49" s="155"/>
      <c r="K49" s="154"/>
      <c r="L49" s="154">
        <v>2.89</v>
      </c>
      <c r="M49" s="154"/>
      <c r="N49" s="154">
        <v>2.89</v>
      </c>
      <c r="O49" s="157"/>
      <c r="P49" s="157">
        <v>2.89</v>
      </c>
      <c r="Q49" s="156"/>
      <c r="R49" s="154"/>
      <c r="S49" s="154">
        <v>2.72</v>
      </c>
      <c r="T49" s="158"/>
      <c r="U49" s="159"/>
      <c r="V49" s="155"/>
      <c r="W49" s="157"/>
      <c r="X49" s="157">
        <v>2.72</v>
      </c>
      <c r="Y49" s="157"/>
      <c r="Z49" s="157">
        <v>2.72</v>
      </c>
      <c r="AA49" s="156"/>
      <c r="AB49" s="154"/>
      <c r="AC49" s="154">
        <v>2.72</v>
      </c>
      <c r="AD49" s="158"/>
      <c r="AE49" s="157"/>
      <c r="AF49" s="155"/>
      <c r="AG49" s="156"/>
      <c r="AH49" s="49">
        <v>44</v>
      </c>
      <c r="AI49" s="98"/>
      <c r="AJ49" s="98"/>
      <c r="AK49" s="98"/>
      <c r="AL49" s="98" t="s">
        <v>128</v>
      </c>
      <c r="AM49" s="98"/>
      <c r="AN49" s="70"/>
    </row>
    <row r="50" spans="1:45" s="51" customFormat="1" ht="31" x14ac:dyDescent="0.6">
      <c r="A50" s="273">
        <v>995164</v>
      </c>
      <c r="B50" s="272" t="s">
        <v>637</v>
      </c>
      <c r="C50" s="158">
        <v>12</v>
      </c>
      <c r="D50" s="218"/>
      <c r="E50" s="154" t="s">
        <v>462</v>
      </c>
      <c r="F50" s="154"/>
      <c r="G50" s="154">
        <v>2.2799999999999998</v>
      </c>
      <c r="H50" s="155"/>
      <c r="I50" s="156"/>
      <c r="J50" s="155"/>
      <c r="K50" s="154"/>
      <c r="L50" s="154">
        <v>2.29</v>
      </c>
      <c r="M50" s="154"/>
      <c r="N50" s="154">
        <v>2.29</v>
      </c>
      <c r="O50" s="157"/>
      <c r="P50" s="157">
        <v>2.29</v>
      </c>
      <c r="Q50" s="157"/>
      <c r="R50" s="154"/>
      <c r="S50" s="154">
        <v>2.2799999999999998</v>
      </c>
      <c r="T50" s="155"/>
      <c r="U50" s="156"/>
      <c r="V50" s="155"/>
      <c r="W50" s="159"/>
      <c r="X50" s="159">
        <v>2.2799999999999998</v>
      </c>
      <c r="Y50" s="159"/>
      <c r="Z50" s="159">
        <v>2.2799999999999998</v>
      </c>
      <c r="AA50" s="157"/>
      <c r="AB50" s="154"/>
      <c r="AC50" s="154">
        <v>2.2799999999999998</v>
      </c>
      <c r="AD50" s="155"/>
      <c r="AE50" s="156"/>
      <c r="AF50" s="155"/>
      <c r="AG50" s="157"/>
      <c r="AH50" s="49">
        <v>45</v>
      </c>
      <c r="AI50" s="98"/>
      <c r="AJ50" s="98"/>
      <c r="AK50" s="98"/>
      <c r="AL50" s="98"/>
      <c r="AM50" s="98"/>
      <c r="AN50" s="70"/>
    </row>
    <row r="51" spans="1:45" s="51" customFormat="1" ht="31" x14ac:dyDescent="0.6">
      <c r="A51" s="273">
        <v>995014</v>
      </c>
      <c r="B51" s="272" t="s">
        <v>65</v>
      </c>
      <c r="C51" s="158">
        <v>8</v>
      </c>
      <c r="D51" s="218"/>
      <c r="E51" s="154" t="s">
        <v>462</v>
      </c>
      <c r="F51" s="154"/>
      <c r="G51" s="154">
        <v>3.47</v>
      </c>
      <c r="H51" s="155"/>
      <c r="I51" s="156"/>
      <c r="J51" s="155"/>
      <c r="K51" s="154"/>
      <c r="L51" s="154">
        <v>3.79</v>
      </c>
      <c r="M51" s="154"/>
      <c r="N51" s="154">
        <v>3.79</v>
      </c>
      <c r="O51" s="157"/>
      <c r="P51" s="157">
        <v>3.79</v>
      </c>
      <c r="Q51" s="156"/>
      <c r="R51" s="154"/>
      <c r="S51" s="154">
        <v>3.47</v>
      </c>
      <c r="T51" s="155"/>
      <c r="U51" s="156"/>
      <c r="V51" s="155"/>
      <c r="W51" s="159"/>
      <c r="X51" s="159">
        <v>3.47</v>
      </c>
      <c r="Y51" s="159"/>
      <c r="Z51" s="159">
        <v>3.47</v>
      </c>
      <c r="AA51" s="156"/>
      <c r="AB51" s="154"/>
      <c r="AC51" s="154">
        <v>3.47</v>
      </c>
      <c r="AD51" s="155"/>
      <c r="AE51" s="156"/>
      <c r="AF51" s="155"/>
      <c r="AG51" s="156"/>
      <c r="AH51" s="49">
        <v>46</v>
      </c>
      <c r="AI51" s="98"/>
      <c r="AJ51" s="98"/>
      <c r="AK51" s="98"/>
      <c r="AL51" s="98" t="s">
        <v>128</v>
      </c>
      <c r="AM51" s="98"/>
      <c r="AN51" s="70"/>
    </row>
    <row r="52" spans="1:45" s="51" customFormat="1" ht="31" x14ac:dyDescent="0.6">
      <c r="A52" s="109">
        <v>995077</v>
      </c>
      <c r="B52" s="108" t="s">
        <v>46</v>
      </c>
      <c r="C52" s="109">
        <v>6</v>
      </c>
      <c r="D52" s="218"/>
      <c r="E52" s="154" t="s">
        <v>462</v>
      </c>
      <c r="F52" s="154"/>
      <c r="G52" s="154">
        <v>5.13</v>
      </c>
      <c r="H52" s="155"/>
      <c r="I52" s="156"/>
      <c r="J52" s="155"/>
      <c r="K52" s="154"/>
      <c r="L52" s="154">
        <v>5.79</v>
      </c>
      <c r="M52" s="154"/>
      <c r="N52" s="154">
        <v>5.79</v>
      </c>
      <c r="O52" s="157"/>
      <c r="P52" s="157">
        <v>5.79</v>
      </c>
      <c r="Q52" s="157"/>
      <c r="R52" s="154"/>
      <c r="S52" s="154">
        <v>5.13</v>
      </c>
      <c r="T52" s="155"/>
      <c r="U52" s="156"/>
      <c r="V52" s="155"/>
      <c r="W52" s="157"/>
      <c r="X52" s="157">
        <v>5.13</v>
      </c>
      <c r="Y52" s="157"/>
      <c r="Z52" s="157">
        <v>5.13</v>
      </c>
      <c r="AA52" s="157"/>
      <c r="AB52" s="247">
        <v>5.13</v>
      </c>
      <c r="AC52" s="247">
        <v>3.08</v>
      </c>
      <c r="AD52" s="248" t="s">
        <v>6</v>
      </c>
      <c r="AE52" s="249" t="s">
        <v>41</v>
      </c>
      <c r="AF52" s="248">
        <v>44821</v>
      </c>
      <c r="AG52" s="250"/>
      <c r="AH52" s="49">
        <v>47</v>
      </c>
      <c r="AI52" s="98"/>
      <c r="AJ52" s="98"/>
      <c r="AK52" s="98" t="s">
        <v>742</v>
      </c>
      <c r="AL52" s="98"/>
      <c r="AM52" s="98"/>
      <c r="AN52" s="70"/>
    </row>
    <row r="53" spans="1:45" s="51" customFormat="1" ht="31" x14ac:dyDescent="0.6">
      <c r="A53" s="158">
        <v>995078</v>
      </c>
      <c r="B53" s="272" t="s">
        <v>47</v>
      </c>
      <c r="C53" s="158">
        <v>6</v>
      </c>
      <c r="D53" s="218"/>
      <c r="E53" s="154" t="s">
        <v>462</v>
      </c>
      <c r="F53" s="154"/>
      <c r="G53" s="154">
        <v>5.13</v>
      </c>
      <c r="H53" s="155"/>
      <c r="I53" s="157"/>
      <c r="J53" s="155"/>
      <c r="K53" s="154"/>
      <c r="L53" s="154">
        <v>5.79</v>
      </c>
      <c r="M53" s="154"/>
      <c r="N53" s="154">
        <v>5.79</v>
      </c>
      <c r="O53" s="157"/>
      <c r="P53" s="157">
        <v>5.79</v>
      </c>
      <c r="Q53" s="156"/>
      <c r="R53" s="154"/>
      <c r="S53" s="154">
        <v>5.13</v>
      </c>
      <c r="T53" s="158"/>
      <c r="U53" s="159"/>
      <c r="V53" s="155"/>
      <c r="W53" s="157"/>
      <c r="X53" s="157">
        <v>5.13</v>
      </c>
      <c r="Y53" s="157"/>
      <c r="Z53" s="157">
        <v>5.13</v>
      </c>
      <c r="AA53" s="156"/>
      <c r="AB53" s="154"/>
      <c r="AC53" s="154">
        <v>5.13</v>
      </c>
      <c r="AD53" s="158"/>
      <c r="AE53" s="159"/>
      <c r="AF53" s="155"/>
      <c r="AG53" s="157"/>
      <c r="AH53" s="49">
        <v>48</v>
      </c>
      <c r="AI53" s="98"/>
      <c r="AJ53" s="98"/>
      <c r="AK53" s="98"/>
      <c r="AL53" s="98"/>
      <c r="AM53" s="98"/>
      <c r="AN53" s="70"/>
    </row>
    <row r="54" spans="1:45" s="51" customFormat="1" ht="31" x14ac:dyDescent="0.6">
      <c r="A54" s="107">
        <v>985160</v>
      </c>
      <c r="B54" s="108" t="s">
        <v>53</v>
      </c>
      <c r="C54" s="109">
        <v>12</v>
      </c>
      <c r="D54" s="218"/>
      <c r="E54" s="158"/>
      <c r="F54" s="154"/>
      <c r="G54" s="154">
        <v>2.98</v>
      </c>
      <c r="H54" s="155"/>
      <c r="I54" s="156"/>
      <c r="J54" s="155"/>
      <c r="K54" s="154"/>
      <c r="L54" s="154">
        <v>3.29</v>
      </c>
      <c r="M54" s="154"/>
      <c r="N54" s="154">
        <v>3.29</v>
      </c>
      <c r="O54" s="157"/>
      <c r="P54" s="157">
        <v>3.29</v>
      </c>
      <c r="Q54" s="156"/>
      <c r="R54" s="154"/>
      <c r="S54" s="154">
        <v>2.98</v>
      </c>
      <c r="T54" s="155"/>
      <c r="U54" s="155"/>
      <c r="V54" s="155"/>
      <c r="W54" s="158"/>
      <c r="X54" s="158">
        <v>2.98</v>
      </c>
      <c r="Y54" s="158"/>
      <c r="Z54" s="158">
        <v>2.98</v>
      </c>
      <c r="AA54" s="156"/>
      <c r="AB54" s="247">
        <v>2.98</v>
      </c>
      <c r="AC54" s="247">
        <v>1.79</v>
      </c>
      <c r="AD54" s="248" t="s">
        <v>6</v>
      </c>
      <c r="AE54" s="249" t="s">
        <v>41</v>
      </c>
      <c r="AF54" s="248">
        <v>44821</v>
      </c>
      <c r="AG54" s="249"/>
      <c r="AH54" s="49">
        <v>49</v>
      </c>
      <c r="AI54" s="98"/>
      <c r="AJ54" s="98"/>
      <c r="AK54" s="98" t="s">
        <v>742</v>
      </c>
      <c r="AL54" s="98"/>
      <c r="AM54" s="98"/>
      <c r="AN54" s="70"/>
    </row>
    <row r="55" spans="1:45" s="51" customFormat="1" ht="31" x14ac:dyDescent="0.6">
      <c r="A55" s="158">
        <v>985190</v>
      </c>
      <c r="B55" s="272" t="s">
        <v>458</v>
      </c>
      <c r="C55" s="158">
        <v>8</v>
      </c>
      <c r="D55" s="172"/>
      <c r="E55" s="154"/>
      <c r="F55" s="154"/>
      <c r="G55" s="154">
        <v>3.19</v>
      </c>
      <c r="H55" s="155"/>
      <c r="I55" s="156"/>
      <c r="J55" s="155"/>
      <c r="K55" s="154"/>
      <c r="L55" s="154">
        <v>4.49</v>
      </c>
      <c r="M55" s="154"/>
      <c r="N55" s="154">
        <v>4.49</v>
      </c>
      <c r="O55" s="157"/>
      <c r="P55" s="157">
        <v>4.49</v>
      </c>
      <c r="Q55" s="156"/>
      <c r="R55" s="154"/>
      <c r="S55" s="154">
        <v>3.19</v>
      </c>
      <c r="T55" s="158"/>
      <c r="U55" s="159"/>
      <c r="V55" s="155"/>
      <c r="W55" s="157"/>
      <c r="X55" s="157">
        <v>3.96</v>
      </c>
      <c r="Y55" s="157"/>
      <c r="Z55" s="157">
        <v>3.96</v>
      </c>
      <c r="AA55" s="156"/>
      <c r="AB55" s="154"/>
      <c r="AC55" s="154">
        <v>3.19</v>
      </c>
      <c r="AD55" s="158"/>
      <c r="AE55" s="159"/>
      <c r="AF55" s="155"/>
      <c r="AG55" s="156"/>
      <c r="AH55" s="49">
        <v>50</v>
      </c>
      <c r="AI55" s="98"/>
      <c r="AJ55" s="98"/>
      <c r="AK55" s="98"/>
      <c r="AL55" s="98"/>
      <c r="AM55" s="98"/>
      <c r="AN55" s="70"/>
    </row>
    <row r="56" spans="1:45" s="51" customFormat="1" ht="31" x14ac:dyDescent="0.6">
      <c r="A56" s="273">
        <v>985060</v>
      </c>
      <c r="B56" s="274" t="s">
        <v>453</v>
      </c>
      <c r="C56" s="273">
        <v>24</v>
      </c>
      <c r="D56" s="218"/>
      <c r="E56" s="158"/>
      <c r="F56" s="154"/>
      <c r="G56" s="154">
        <v>1.55</v>
      </c>
      <c r="H56" s="155"/>
      <c r="I56" s="156"/>
      <c r="J56" s="155"/>
      <c r="K56" s="154"/>
      <c r="L56" s="154">
        <v>1.79</v>
      </c>
      <c r="M56" s="154"/>
      <c r="N56" s="154">
        <v>1.79</v>
      </c>
      <c r="O56" s="157"/>
      <c r="P56" s="157">
        <v>1.79</v>
      </c>
      <c r="Q56" s="156"/>
      <c r="R56" s="154">
        <v>1.55</v>
      </c>
      <c r="S56" s="154">
        <v>1.0900000000000001</v>
      </c>
      <c r="T56" s="155" t="s">
        <v>6</v>
      </c>
      <c r="U56" s="156" t="s">
        <v>41</v>
      </c>
      <c r="V56" s="155">
        <v>44820</v>
      </c>
      <c r="W56" s="157"/>
      <c r="X56" s="157">
        <v>1.55</v>
      </c>
      <c r="Y56" s="157"/>
      <c r="Z56" s="157">
        <v>1.55</v>
      </c>
      <c r="AA56" s="156"/>
      <c r="AB56" s="154"/>
      <c r="AC56" s="154">
        <v>1.55</v>
      </c>
      <c r="AD56" s="155"/>
      <c r="AE56" s="156"/>
      <c r="AF56" s="155"/>
      <c r="AG56" s="156"/>
      <c r="AH56" s="49">
        <v>51</v>
      </c>
      <c r="AI56" s="98"/>
      <c r="AJ56" s="98"/>
      <c r="AK56" s="98"/>
      <c r="AL56" s="98" t="s">
        <v>128</v>
      </c>
      <c r="AM56" s="98"/>
      <c r="AN56" s="70"/>
    </row>
    <row r="57" spans="1:45" s="51" customFormat="1" ht="31" x14ac:dyDescent="0.6">
      <c r="A57" s="273">
        <v>985011</v>
      </c>
      <c r="B57" s="272" t="s">
        <v>54</v>
      </c>
      <c r="C57" s="158">
        <v>12</v>
      </c>
      <c r="D57" s="218"/>
      <c r="E57" s="158"/>
      <c r="F57" s="154"/>
      <c r="G57" s="154">
        <v>2.48</v>
      </c>
      <c r="H57" s="155"/>
      <c r="I57" s="156"/>
      <c r="J57" s="155"/>
      <c r="K57" s="154"/>
      <c r="L57" s="154">
        <v>2.99</v>
      </c>
      <c r="M57" s="154"/>
      <c r="N57" s="154">
        <v>2.99</v>
      </c>
      <c r="O57" s="157"/>
      <c r="P57" s="157">
        <v>2.99</v>
      </c>
      <c r="Q57" s="156"/>
      <c r="R57" s="154"/>
      <c r="S57" s="154">
        <v>2.48</v>
      </c>
      <c r="T57" s="158"/>
      <c r="U57" s="159"/>
      <c r="V57" s="155"/>
      <c r="W57" s="157"/>
      <c r="X57" s="157">
        <v>2.48</v>
      </c>
      <c r="Y57" s="157"/>
      <c r="Z57" s="157">
        <v>2.48</v>
      </c>
      <c r="AA57" s="156"/>
      <c r="AB57" s="154"/>
      <c r="AC57" s="154">
        <v>2.48</v>
      </c>
      <c r="AD57" s="158"/>
      <c r="AE57" s="159"/>
      <c r="AF57" s="155"/>
      <c r="AG57" s="156"/>
      <c r="AH57" s="49">
        <v>52</v>
      </c>
      <c r="AI57" s="98"/>
      <c r="AJ57" s="98"/>
      <c r="AK57" s="98"/>
      <c r="AL57" s="98"/>
      <c r="AM57" s="98"/>
      <c r="AN57" s="70"/>
    </row>
    <row r="58" spans="1:45" s="51" customFormat="1" ht="31" x14ac:dyDescent="0.6">
      <c r="A58" s="158">
        <v>985111</v>
      </c>
      <c r="B58" s="272" t="s">
        <v>399</v>
      </c>
      <c r="C58" s="158">
        <v>12</v>
      </c>
      <c r="D58" s="172"/>
      <c r="E58" s="154"/>
      <c r="F58" s="154"/>
      <c r="G58" s="154">
        <v>2.48</v>
      </c>
      <c r="H58" s="155"/>
      <c r="I58" s="156"/>
      <c r="J58" s="155"/>
      <c r="K58" s="154"/>
      <c r="L58" s="154">
        <v>2.48</v>
      </c>
      <c r="M58" s="154"/>
      <c r="N58" s="154">
        <v>2.48</v>
      </c>
      <c r="O58" s="157"/>
      <c r="P58" s="157">
        <v>2.48</v>
      </c>
      <c r="Q58" s="156"/>
      <c r="R58" s="154"/>
      <c r="S58" s="154">
        <v>2.48</v>
      </c>
      <c r="T58" s="158"/>
      <c r="U58" s="159"/>
      <c r="V58" s="155"/>
      <c r="W58" s="157"/>
      <c r="X58" s="157">
        <v>2.48</v>
      </c>
      <c r="Y58" s="157"/>
      <c r="Z58" s="157">
        <v>2.48</v>
      </c>
      <c r="AA58" s="156"/>
      <c r="AB58" s="154"/>
      <c r="AC58" s="154">
        <v>2.48</v>
      </c>
      <c r="AD58" s="158"/>
      <c r="AE58" s="159"/>
      <c r="AF58" s="155"/>
      <c r="AG58" s="156"/>
      <c r="AH58" s="49">
        <v>53</v>
      </c>
      <c r="AI58" s="98"/>
      <c r="AJ58" s="98"/>
      <c r="AK58" s="98"/>
      <c r="AL58" s="98"/>
      <c r="AM58" s="98"/>
      <c r="AN58" s="70"/>
    </row>
    <row r="59" spans="1:45" s="106" customFormat="1" ht="31" x14ac:dyDescent="0.6">
      <c r="A59" s="273">
        <v>995147</v>
      </c>
      <c r="B59" s="272" t="s">
        <v>456</v>
      </c>
      <c r="C59" s="158">
        <v>12</v>
      </c>
      <c r="D59" s="218"/>
      <c r="E59" s="154" t="s">
        <v>462</v>
      </c>
      <c r="F59" s="154"/>
      <c r="G59" s="154">
        <v>2.84</v>
      </c>
      <c r="H59" s="158"/>
      <c r="I59" s="159"/>
      <c r="J59" s="155"/>
      <c r="K59" s="154"/>
      <c r="L59" s="154">
        <v>2.99</v>
      </c>
      <c r="M59" s="154"/>
      <c r="N59" s="154">
        <v>2.99</v>
      </c>
      <c r="O59" s="157"/>
      <c r="P59" s="154">
        <v>2.99</v>
      </c>
      <c r="Q59" s="156"/>
      <c r="R59" s="154"/>
      <c r="S59" s="154">
        <v>2.84</v>
      </c>
      <c r="T59" s="158"/>
      <c r="U59" s="159"/>
      <c r="V59" s="155"/>
      <c r="W59" s="157"/>
      <c r="X59" s="154">
        <v>2.84</v>
      </c>
      <c r="Y59" s="157"/>
      <c r="Z59" s="154">
        <v>2.84</v>
      </c>
      <c r="AA59" s="156"/>
      <c r="AB59" s="154"/>
      <c r="AC59" s="154">
        <v>2.84</v>
      </c>
      <c r="AD59" s="158"/>
      <c r="AE59" s="159"/>
      <c r="AF59" s="155"/>
      <c r="AG59" s="156"/>
      <c r="AH59" s="49">
        <v>54</v>
      </c>
      <c r="AI59" s="98"/>
      <c r="AJ59" s="98"/>
      <c r="AK59" s="98"/>
      <c r="AL59" s="98"/>
      <c r="AM59" s="98"/>
      <c r="AN59" s="70"/>
      <c r="AO59" s="51"/>
      <c r="AP59" s="51"/>
      <c r="AQ59" s="51"/>
      <c r="AR59" s="51"/>
      <c r="AS59" s="51"/>
    </row>
    <row r="60" spans="1:45" s="106" customFormat="1" ht="31" x14ac:dyDescent="0.6">
      <c r="A60" s="273">
        <v>987592</v>
      </c>
      <c r="B60" s="272" t="s">
        <v>636</v>
      </c>
      <c r="C60" s="158">
        <v>12</v>
      </c>
      <c r="D60" s="172"/>
      <c r="E60" s="158" t="s">
        <v>462</v>
      </c>
      <c r="F60" s="154"/>
      <c r="G60" s="154">
        <v>1.77</v>
      </c>
      <c r="H60" s="154"/>
      <c r="I60" s="157"/>
      <c r="J60" s="155"/>
      <c r="K60" s="154"/>
      <c r="L60" s="154">
        <v>2.4900000000000002</v>
      </c>
      <c r="M60" s="154"/>
      <c r="N60" s="154">
        <v>2.4900000000000002</v>
      </c>
      <c r="O60" s="157"/>
      <c r="P60" s="154">
        <v>2.4900000000000002</v>
      </c>
      <c r="Q60" s="156"/>
      <c r="R60" s="154"/>
      <c r="S60" s="154">
        <v>1.77</v>
      </c>
      <c r="T60" s="158"/>
      <c r="U60" s="159"/>
      <c r="V60" s="155"/>
      <c r="W60" s="159"/>
      <c r="X60" s="158">
        <v>1.77</v>
      </c>
      <c r="Y60" s="159"/>
      <c r="Z60" s="158">
        <v>1.77</v>
      </c>
      <c r="AA60" s="156"/>
      <c r="AB60" s="154"/>
      <c r="AC60" s="154">
        <v>1.77</v>
      </c>
      <c r="AD60" s="158"/>
      <c r="AE60" s="157"/>
      <c r="AF60" s="155"/>
      <c r="AG60" s="156"/>
      <c r="AH60" s="49">
        <v>55</v>
      </c>
      <c r="AI60" s="98"/>
      <c r="AJ60" s="98"/>
      <c r="AK60" s="98"/>
      <c r="AL60" s="98"/>
      <c r="AM60" s="98"/>
      <c r="AN60" s="70"/>
      <c r="AO60" s="51"/>
      <c r="AP60" s="51"/>
      <c r="AQ60" s="51"/>
      <c r="AR60" s="51"/>
      <c r="AS60" s="51"/>
    </row>
    <row r="61" spans="1:45" ht="31" x14ac:dyDescent="0.6">
      <c r="A61" s="273">
        <v>987594</v>
      </c>
      <c r="B61" s="272" t="s">
        <v>448</v>
      </c>
      <c r="C61" s="158">
        <v>30</v>
      </c>
      <c r="D61" s="158"/>
      <c r="E61" s="158"/>
      <c r="F61" s="154"/>
      <c r="G61" s="154"/>
      <c r="H61" s="162"/>
      <c r="I61" s="158" t="s">
        <v>470</v>
      </c>
      <c r="J61" s="155"/>
      <c r="K61" s="162"/>
      <c r="L61" s="154"/>
      <c r="M61" s="154"/>
      <c r="N61" s="154"/>
      <c r="O61" s="154"/>
      <c r="P61" s="154"/>
      <c r="Q61" s="156"/>
      <c r="R61" s="154"/>
      <c r="S61" s="154"/>
      <c r="T61" s="155"/>
      <c r="U61" s="163" t="s">
        <v>471</v>
      </c>
      <c r="V61" s="162"/>
      <c r="W61" s="163"/>
      <c r="X61" s="158"/>
      <c r="Y61" s="163"/>
      <c r="Z61" s="158"/>
      <c r="AA61" s="156"/>
      <c r="AB61" s="154"/>
      <c r="AC61" s="154"/>
      <c r="AD61" s="155"/>
      <c r="AE61" s="159" t="s">
        <v>472</v>
      </c>
      <c r="AF61" s="162"/>
      <c r="AG61" s="159"/>
      <c r="AH61" s="49">
        <v>56</v>
      </c>
      <c r="AI61" s="98"/>
      <c r="AJ61" s="98"/>
      <c r="AK61" s="98"/>
      <c r="AL61" s="98"/>
      <c r="AM61" s="98"/>
    </row>
    <row r="62" spans="1:45" s="106" customFormat="1" ht="31" x14ac:dyDescent="0.6">
      <c r="A62" s="273">
        <v>987591</v>
      </c>
      <c r="B62" s="272" t="s">
        <v>67</v>
      </c>
      <c r="C62" s="158">
        <v>15</v>
      </c>
      <c r="D62" s="172" t="s">
        <v>129</v>
      </c>
      <c r="E62" s="158"/>
      <c r="F62" s="154"/>
      <c r="G62" s="154">
        <v>1.98</v>
      </c>
      <c r="H62" s="158"/>
      <c r="I62" s="159"/>
      <c r="J62" s="155"/>
      <c r="K62" s="154"/>
      <c r="L62" s="154">
        <v>2.4900000000000002</v>
      </c>
      <c r="M62" s="154"/>
      <c r="N62" s="154">
        <v>2.4900000000000002</v>
      </c>
      <c r="O62" s="157"/>
      <c r="P62" s="154">
        <v>2.4900000000000002</v>
      </c>
      <c r="Q62" s="156"/>
      <c r="R62" s="154"/>
      <c r="S62" s="154">
        <v>1.98</v>
      </c>
      <c r="T62" s="154"/>
      <c r="U62" s="159"/>
      <c r="V62" s="155"/>
      <c r="W62" s="157"/>
      <c r="X62" s="154">
        <v>1.98</v>
      </c>
      <c r="Y62" s="157"/>
      <c r="Z62" s="154">
        <v>1.98</v>
      </c>
      <c r="AA62" s="156"/>
      <c r="AB62" s="154"/>
      <c r="AC62" s="154">
        <v>1.98</v>
      </c>
      <c r="AD62" s="154"/>
      <c r="AE62" s="159"/>
      <c r="AF62" s="155"/>
      <c r="AG62" s="156"/>
      <c r="AH62" s="49">
        <v>57</v>
      </c>
      <c r="AI62" s="98"/>
      <c r="AJ62" s="98"/>
      <c r="AK62" s="98"/>
      <c r="AL62" s="98" t="s">
        <v>128</v>
      </c>
      <c r="AM62" s="98"/>
      <c r="AN62" s="70"/>
      <c r="AO62" s="51"/>
      <c r="AP62" s="51"/>
      <c r="AQ62" s="51"/>
      <c r="AR62" s="51"/>
      <c r="AS62" s="51"/>
    </row>
    <row r="63" spans="1:45" s="106" customFormat="1" ht="31" x14ac:dyDescent="0.6">
      <c r="A63" s="273">
        <v>987614</v>
      </c>
      <c r="B63" s="272" t="s">
        <v>25</v>
      </c>
      <c r="C63" s="158">
        <v>24</v>
      </c>
      <c r="D63" s="172"/>
      <c r="E63" s="158"/>
      <c r="F63" s="154"/>
      <c r="G63" s="154">
        <v>1.39</v>
      </c>
      <c r="H63" s="158"/>
      <c r="I63" s="159"/>
      <c r="J63" s="155"/>
      <c r="K63" s="154"/>
      <c r="L63" s="154">
        <v>1.99</v>
      </c>
      <c r="M63" s="154"/>
      <c r="N63" s="154">
        <v>1.99</v>
      </c>
      <c r="O63" s="157"/>
      <c r="P63" s="154">
        <v>1.99</v>
      </c>
      <c r="Q63" s="156"/>
      <c r="R63" s="154"/>
      <c r="S63" s="154">
        <v>1.39</v>
      </c>
      <c r="T63" s="158"/>
      <c r="U63" s="159"/>
      <c r="V63" s="155"/>
      <c r="W63" s="159"/>
      <c r="X63" s="158">
        <v>1.39</v>
      </c>
      <c r="Y63" s="159"/>
      <c r="Z63" s="158">
        <v>1.39</v>
      </c>
      <c r="AA63" s="156"/>
      <c r="AB63" s="154"/>
      <c r="AC63" s="154">
        <v>1.39</v>
      </c>
      <c r="AD63" s="158"/>
      <c r="AE63" s="159"/>
      <c r="AF63" s="155"/>
      <c r="AG63" s="156"/>
      <c r="AH63" s="49">
        <v>58</v>
      </c>
      <c r="AI63" s="98"/>
      <c r="AJ63" s="98"/>
      <c r="AK63" s="98"/>
      <c r="AL63" s="98"/>
      <c r="AM63" s="98"/>
      <c r="AN63" s="70"/>
      <c r="AO63" s="51"/>
      <c r="AP63" s="51"/>
      <c r="AQ63" s="51"/>
      <c r="AR63" s="51"/>
      <c r="AS63" s="51"/>
    </row>
    <row r="64" spans="1:45" s="106" customFormat="1" ht="31" x14ac:dyDescent="0.6">
      <c r="A64" s="273">
        <v>995045</v>
      </c>
      <c r="B64" s="272" t="s">
        <v>424</v>
      </c>
      <c r="C64" s="158">
        <v>4</v>
      </c>
      <c r="D64" s="172"/>
      <c r="E64" s="154"/>
      <c r="F64" s="154"/>
      <c r="G64" s="154">
        <v>4.17</v>
      </c>
      <c r="H64" s="154"/>
      <c r="I64" s="157"/>
      <c r="J64" s="155"/>
      <c r="K64" s="154"/>
      <c r="L64" s="154">
        <v>4.79</v>
      </c>
      <c r="M64" s="154"/>
      <c r="N64" s="154">
        <v>4.79</v>
      </c>
      <c r="O64" s="157"/>
      <c r="P64" s="154">
        <v>4.79</v>
      </c>
      <c r="Q64" s="157"/>
      <c r="R64" s="154"/>
      <c r="S64" s="154">
        <v>4.17</v>
      </c>
      <c r="T64" s="154"/>
      <c r="U64" s="156"/>
      <c r="V64" s="155"/>
      <c r="W64" s="159"/>
      <c r="X64" s="157">
        <v>4.17</v>
      </c>
      <c r="Y64" s="159"/>
      <c r="Z64" s="157">
        <v>4.17</v>
      </c>
      <c r="AA64" s="157"/>
      <c r="AB64" s="154"/>
      <c r="AC64" s="154">
        <v>4.17</v>
      </c>
      <c r="AD64" s="154"/>
      <c r="AE64" s="156"/>
      <c r="AF64" s="155"/>
      <c r="AG64" s="157"/>
      <c r="AH64" s="49">
        <v>59</v>
      </c>
      <c r="AI64" s="98"/>
      <c r="AJ64" s="98"/>
      <c r="AK64" s="98"/>
      <c r="AL64" s="98"/>
      <c r="AM64" s="98"/>
      <c r="AN64" s="70"/>
      <c r="AO64" s="51"/>
      <c r="AP64" s="51"/>
      <c r="AQ64" s="51"/>
      <c r="AR64" s="51"/>
      <c r="AS64" s="51"/>
    </row>
    <row r="65" spans="1:45" s="106" customFormat="1" ht="31" x14ac:dyDescent="0.6">
      <c r="A65" s="273">
        <v>995051</v>
      </c>
      <c r="B65" s="272" t="s">
        <v>87</v>
      </c>
      <c r="C65" s="158">
        <v>6</v>
      </c>
      <c r="D65" s="172" t="s">
        <v>129</v>
      </c>
      <c r="E65" s="154"/>
      <c r="F65" s="154"/>
      <c r="G65" s="154">
        <v>5.19</v>
      </c>
      <c r="H65" s="155"/>
      <c r="I65" s="156"/>
      <c r="J65" s="155"/>
      <c r="K65" s="154"/>
      <c r="L65" s="154">
        <v>5.19</v>
      </c>
      <c r="M65" s="154"/>
      <c r="N65" s="154">
        <v>5.19</v>
      </c>
      <c r="O65" s="157"/>
      <c r="P65" s="157">
        <v>5.19</v>
      </c>
      <c r="Q65" s="157"/>
      <c r="R65" s="154"/>
      <c r="S65" s="154">
        <v>5.19</v>
      </c>
      <c r="T65" s="155"/>
      <c r="U65" s="156"/>
      <c r="V65" s="155"/>
      <c r="W65" s="159"/>
      <c r="X65" s="158">
        <v>5.19</v>
      </c>
      <c r="Y65" s="159"/>
      <c r="Z65" s="158">
        <v>5.19</v>
      </c>
      <c r="AA65" s="157"/>
      <c r="AB65" s="154"/>
      <c r="AC65" s="154">
        <v>5.19</v>
      </c>
      <c r="AD65" s="155"/>
      <c r="AE65" s="156"/>
      <c r="AF65" s="155"/>
      <c r="AG65" s="157"/>
      <c r="AH65" s="49">
        <v>60</v>
      </c>
      <c r="AI65" s="98"/>
      <c r="AJ65" s="98"/>
      <c r="AK65" s="98"/>
      <c r="AL65" s="98" t="s">
        <v>128</v>
      </c>
      <c r="AM65" s="98"/>
      <c r="AN65" s="70"/>
      <c r="AO65" s="51"/>
      <c r="AP65" s="51"/>
      <c r="AQ65" s="51"/>
      <c r="AR65" s="51"/>
      <c r="AS65" s="51"/>
    </row>
    <row r="66" spans="1:45" s="106" customFormat="1" ht="31" x14ac:dyDescent="0.6">
      <c r="A66" s="273">
        <v>995053</v>
      </c>
      <c r="B66" s="272" t="s">
        <v>86</v>
      </c>
      <c r="C66" s="158">
        <v>6</v>
      </c>
      <c r="D66" s="172" t="s">
        <v>130</v>
      </c>
      <c r="E66" s="154"/>
      <c r="F66" s="154"/>
      <c r="G66" s="154">
        <v>5.19</v>
      </c>
      <c r="H66" s="158"/>
      <c r="I66" s="159"/>
      <c r="J66" s="155"/>
      <c r="K66" s="154"/>
      <c r="L66" s="154">
        <v>5.39</v>
      </c>
      <c r="M66" s="154"/>
      <c r="N66" s="154">
        <v>5.39</v>
      </c>
      <c r="O66" s="157"/>
      <c r="P66" s="157">
        <v>5.39</v>
      </c>
      <c r="Q66" s="157"/>
      <c r="R66" s="154"/>
      <c r="S66" s="154">
        <v>5.19</v>
      </c>
      <c r="T66" s="158"/>
      <c r="U66" s="159"/>
      <c r="V66" s="155"/>
      <c r="W66" s="157"/>
      <c r="X66" s="158">
        <v>5.19</v>
      </c>
      <c r="Y66" s="157"/>
      <c r="Z66" s="158">
        <v>5.19</v>
      </c>
      <c r="AA66" s="157"/>
      <c r="AB66" s="154"/>
      <c r="AC66" s="154">
        <v>5.19</v>
      </c>
      <c r="AD66" s="158"/>
      <c r="AE66" s="159"/>
      <c r="AF66" s="155"/>
      <c r="AG66" s="157"/>
      <c r="AH66" s="49">
        <v>61</v>
      </c>
      <c r="AI66" s="98"/>
      <c r="AJ66" s="98"/>
      <c r="AK66" s="98"/>
      <c r="AL66" s="98" t="s">
        <v>128</v>
      </c>
      <c r="AM66" s="98"/>
      <c r="AN66" s="70"/>
      <c r="AO66" s="51"/>
      <c r="AP66" s="51"/>
      <c r="AQ66" s="51"/>
      <c r="AR66" s="51"/>
      <c r="AS66" s="51"/>
    </row>
    <row r="67" spans="1:45" s="106" customFormat="1" ht="31" x14ac:dyDescent="0.6">
      <c r="A67" s="273">
        <v>995158</v>
      </c>
      <c r="B67" s="272" t="s">
        <v>605</v>
      </c>
      <c r="C67" s="158">
        <v>6</v>
      </c>
      <c r="D67" s="218"/>
      <c r="E67" s="154"/>
      <c r="F67" s="154"/>
      <c r="G67" s="154">
        <v>4.49</v>
      </c>
      <c r="H67" s="155"/>
      <c r="I67" s="156"/>
      <c r="J67" s="155"/>
      <c r="K67" s="154"/>
      <c r="L67" s="154">
        <v>4.79</v>
      </c>
      <c r="M67" s="154"/>
      <c r="N67" s="154">
        <v>4.79</v>
      </c>
      <c r="O67" s="157"/>
      <c r="P67" s="154">
        <v>4.79</v>
      </c>
      <c r="Q67" s="157"/>
      <c r="R67" s="154"/>
      <c r="S67" s="154">
        <v>4.49</v>
      </c>
      <c r="T67" s="156"/>
      <c r="U67" s="156"/>
      <c r="V67" s="155"/>
      <c r="W67" s="159"/>
      <c r="X67" s="159">
        <v>4.49</v>
      </c>
      <c r="Y67" s="159"/>
      <c r="Z67" s="159">
        <v>4.49</v>
      </c>
      <c r="AA67" s="157"/>
      <c r="AB67" s="154"/>
      <c r="AC67" s="154">
        <v>4.49</v>
      </c>
      <c r="AD67" s="155"/>
      <c r="AE67" s="156"/>
      <c r="AF67" s="155"/>
      <c r="AG67" s="157"/>
      <c r="AH67" s="49">
        <v>62</v>
      </c>
      <c r="AI67" s="98"/>
      <c r="AJ67" s="98"/>
      <c r="AK67" s="98"/>
      <c r="AL67" s="98"/>
      <c r="AM67" s="98"/>
      <c r="AN67" s="70"/>
      <c r="AO67" s="51"/>
      <c r="AP67" s="51"/>
      <c r="AQ67" s="51"/>
      <c r="AR67" s="51"/>
      <c r="AS67" s="51"/>
    </row>
    <row r="68" spans="1:45" s="51" customFormat="1" ht="31" x14ac:dyDescent="0.6">
      <c r="A68" s="273">
        <v>989088</v>
      </c>
      <c r="B68" s="272" t="s">
        <v>85</v>
      </c>
      <c r="C68" s="158">
        <v>12</v>
      </c>
      <c r="D68" s="172" t="s">
        <v>130</v>
      </c>
      <c r="E68" s="158"/>
      <c r="F68" s="154"/>
      <c r="G68" s="154">
        <v>0.88</v>
      </c>
      <c r="H68" s="158"/>
      <c r="I68" s="159"/>
      <c r="J68" s="155"/>
      <c r="K68" s="154"/>
      <c r="L68" s="154">
        <v>0.99</v>
      </c>
      <c r="M68" s="154"/>
      <c r="N68" s="154">
        <v>0.99</v>
      </c>
      <c r="O68" s="157"/>
      <c r="P68" s="154">
        <v>0.99</v>
      </c>
      <c r="Q68" s="156"/>
      <c r="R68" s="157"/>
      <c r="S68" s="157">
        <v>0.88</v>
      </c>
      <c r="T68" s="155"/>
      <c r="U68" s="156"/>
      <c r="V68" s="155"/>
      <c r="W68" s="159"/>
      <c r="X68" s="159">
        <v>0.88</v>
      </c>
      <c r="Y68" s="159"/>
      <c r="Z68" s="159">
        <v>0.88</v>
      </c>
      <c r="AA68" s="156"/>
      <c r="AB68" s="157"/>
      <c r="AC68" s="157">
        <v>0.88</v>
      </c>
      <c r="AD68" s="155"/>
      <c r="AE68" s="156"/>
      <c r="AF68" s="155"/>
      <c r="AG68" s="156"/>
      <c r="AH68" s="49">
        <v>63</v>
      </c>
      <c r="AI68" s="98"/>
      <c r="AJ68" s="98"/>
      <c r="AK68" s="98"/>
      <c r="AL68" s="98"/>
      <c r="AM68" s="98"/>
      <c r="AN68" s="70"/>
    </row>
    <row r="69" spans="1:45" s="51" customFormat="1" ht="31" x14ac:dyDescent="0.6">
      <c r="A69" s="273">
        <v>989089</v>
      </c>
      <c r="B69" s="272" t="s">
        <v>84</v>
      </c>
      <c r="C69" s="158">
        <v>30</v>
      </c>
      <c r="D69" s="218"/>
      <c r="E69" s="158"/>
      <c r="F69" s="154"/>
      <c r="G69" s="154">
        <v>0.85</v>
      </c>
      <c r="H69" s="158"/>
      <c r="I69" s="159"/>
      <c r="J69" s="155"/>
      <c r="K69" s="154"/>
      <c r="L69" s="154">
        <v>0.99</v>
      </c>
      <c r="M69" s="154"/>
      <c r="N69" s="154">
        <v>0.99</v>
      </c>
      <c r="O69" s="157"/>
      <c r="P69" s="154">
        <v>0.99</v>
      </c>
      <c r="Q69" s="156"/>
      <c r="R69" s="154"/>
      <c r="S69" s="154">
        <v>0.85</v>
      </c>
      <c r="T69" s="158"/>
      <c r="U69" s="159"/>
      <c r="V69" s="155"/>
      <c r="W69" s="157"/>
      <c r="X69" s="154">
        <v>0.85</v>
      </c>
      <c r="Y69" s="157"/>
      <c r="Z69" s="154">
        <v>0.85</v>
      </c>
      <c r="AA69" s="156"/>
      <c r="AB69" s="154"/>
      <c r="AC69" s="154">
        <v>0.85</v>
      </c>
      <c r="AD69" s="158"/>
      <c r="AE69" s="159"/>
      <c r="AF69" s="155"/>
      <c r="AG69" s="156"/>
      <c r="AH69" s="49">
        <v>64</v>
      </c>
      <c r="AI69" s="98"/>
      <c r="AJ69" s="98"/>
      <c r="AK69" s="98"/>
      <c r="AL69" s="98" t="s">
        <v>128</v>
      </c>
      <c r="AM69" s="98"/>
      <c r="AN69" s="70"/>
    </row>
    <row r="70" spans="1:45" s="51" customFormat="1" ht="31" x14ac:dyDescent="0.6">
      <c r="A70" s="273">
        <v>995106</v>
      </c>
      <c r="B70" s="272" t="s">
        <v>153</v>
      </c>
      <c r="C70" s="158">
        <v>12</v>
      </c>
      <c r="D70" s="218"/>
      <c r="E70" s="154"/>
      <c r="F70" s="154"/>
      <c r="G70" s="154">
        <v>2.98</v>
      </c>
      <c r="H70" s="155"/>
      <c r="I70" s="156"/>
      <c r="J70" s="155"/>
      <c r="K70" s="154"/>
      <c r="L70" s="154">
        <v>2.99</v>
      </c>
      <c r="M70" s="154"/>
      <c r="N70" s="154">
        <v>2.99</v>
      </c>
      <c r="O70" s="157"/>
      <c r="P70" s="154">
        <v>2.99</v>
      </c>
      <c r="Q70" s="157"/>
      <c r="R70" s="154"/>
      <c r="S70" s="154">
        <v>2.98</v>
      </c>
      <c r="T70" s="155"/>
      <c r="U70" s="156"/>
      <c r="V70" s="155"/>
      <c r="W70" s="157"/>
      <c r="X70" s="154">
        <v>2.98</v>
      </c>
      <c r="Y70" s="157"/>
      <c r="Z70" s="154">
        <v>2.98</v>
      </c>
      <c r="AA70" s="157"/>
      <c r="AB70" s="154"/>
      <c r="AC70" s="154">
        <v>2.98</v>
      </c>
      <c r="AD70" s="155"/>
      <c r="AE70" s="156"/>
      <c r="AF70" s="155"/>
      <c r="AG70" s="164"/>
      <c r="AH70" s="49">
        <v>65</v>
      </c>
      <c r="AI70" s="98"/>
      <c r="AJ70" s="98"/>
      <c r="AK70" s="98"/>
      <c r="AL70" s="98"/>
      <c r="AM70" s="98"/>
      <c r="AN70" s="70"/>
    </row>
    <row r="71" spans="1:45" s="51" customFormat="1" ht="31" x14ac:dyDescent="0.6">
      <c r="A71" s="158">
        <v>995084</v>
      </c>
      <c r="B71" s="272" t="s">
        <v>48</v>
      </c>
      <c r="C71" s="158">
        <v>6</v>
      </c>
      <c r="D71" s="172"/>
      <c r="E71" s="154"/>
      <c r="F71" s="154"/>
      <c r="G71" s="154">
        <v>2.78</v>
      </c>
      <c r="H71" s="155"/>
      <c r="I71" s="156"/>
      <c r="J71" s="155"/>
      <c r="K71" s="154"/>
      <c r="L71" s="154">
        <v>3.29</v>
      </c>
      <c r="M71" s="154"/>
      <c r="N71" s="154">
        <v>3.29</v>
      </c>
      <c r="O71" s="157"/>
      <c r="P71" s="154">
        <v>3.29</v>
      </c>
      <c r="Q71" s="157"/>
      <c r="R71" s="154"/>
      <c r="S71" s="154">
        <v>2.78</v>
      </c>
      <c r="T71" s="155"/>
      <c r="U71" s="156"/>
      <c r="V71" s="155"/>
      <c r="W71" s="159"/>
      <c r="X71" s="158">
        <v>2.78</v>
      </c>
      <c r="Y71" s="159"/>
      <c r="Z71" s="158">
        <v>2.78</v>
      </c>
      <c r="AA71" s="157"/>
      <c r="AB71" s="154"/>
      <c r="AC71" s="154">
        <v>2.78</v>
      </c>
      <c r="AD71" s="155"/>
      <c r="AE71" s="156"/>
      <c r="AF71" s="155"/>
      <c r="AG71" s="157"/>
      <c r="AH71" s="49">
        <v>66</v>
      </c>
      <c r="AI71" s="98"/>
      <c r="AJ71" s="98"/>
      <c r="AK71" s="98"/>
      <c r="AL71" s="98"/>
      <c r="AM71" s="98"/>
      <c r="AN71" s="70"/>
    </row>
    <row r="72" spans="1:45" s="51" customFormat="1" ht="31" x14ac:dyDescent="0.6">
      <c r="A72" s="273">
        <v>995192</v>
      </c>
      <c r="B72" s="272" t="s">
        <v>706</v>
      </c>
      <c r="C72" s="158">
        <v>5</v>
      </c>
      <c r="D72" s="218"/>
      <c r="E72" s="154" t="s">
        <v>462</v>
      </c>
      <c r="F72" s="154"/>
      <c r="G72" s="154">
        <v>6.18</v>
      </c>
      <c r="H72" s="155"/>
      <c r="I72" s="156"/>
      <c r="J72" s="155"/>
      <c r="K72" s="154"/>
      <c r="L72" s="154">
        <v>6.69</v>
      </c>
      <c r="M72" s="154"/>
      <c r="N72" s="154">
        <v>6.69</v>
      </c>
      <c r="O72" s="157"/>
      <c r="P72" s="154">
        <v>6.69</v>
      </c>
      <c r="Q72" s="157"/>
      <c r="R72" s="154"/>
      <c r="S72" s="154">
        <v>6.18</v>
      </c>
      <c r="T72" s="155"/>
      <c r="U72" s="156"/>
      <c r="V72" s="155"/>
      <c r="W72" s="159"/>
      <c r="X72" s="158">
        <v>6.18</v>
      </c>
      <c r="Y72" s="159"/>
      <c r="Z72" s="158">
        <v>6.18</v>
      </c>
      <c r="AA72" s="157"/>
      <c r="AB72" s="154"/>
      <c r="AC72" s="154">
        <v>6.18</v>
      </c>
      <c r="AD72" s="155"/>
      <c r="AE72" s="156"/>
      <c r="AF72" s="155"/>
      <c r="AG72" s="157"/>
      <c r="AH72" s="49">
        <v>67</v>
      </c>
      <c r="AI72" s="98"/>
      <c r="AJ72" s="98"/>
      <c r="AK72" s="98"/>
      <c r="AL72" s="98"/>
      <c r="AM72" s="98"/>
      <c r="AN72" s="70"/>
    </row>
    <row r="73" spans="1:45" s="51" customFormat="1" ht="31" x14ac:dyDescent="0.6">
      <c r="A73" s="273">
        <v>995046</v>
      </c>
      <c r="B73" s="272" t="s">
        <v>425</v>
      </c>
      <c r="C73" s="158">
        <v>4</v>
      </c>
      <c r="D73" s="172"/>
      <c r="E73" s="154"/>
      <c r="F73" s="154"/>
      <c r="G73" s="154">
        <v>2.78</v>
      </c>
      <c r="H73" s="154"/>
      <c r="I73" s="157"/>
      <c r="J73" s="155"/>
      <c r="K73" s="154"/>
      <c r="L73" s="154">
        <v>2.78</v>
      </c>
      <c r="M73" s="154"/>
      <c r="N73" s="154">
        <v>2.78</v>
      </c>
      <c r="O73" s="157"/>
      <c r="P73" s="154">
        <v>2.78</v>
      </c>
      <c r="Q73" s="157"/>
      <c r="R73" s="154"/>
      <c r="S73" s="154">
        <v>2.78</v>
      </c>
      <c r="T73" s="154"/>
      <c r="U73" s="156"/>
      <c r="V73" s="155"/>
      <c r="W73" s="159"/>
      <c r="X73" s="158">
        <v>2.78</v>
      </c>
      <c r="Y73" s="159"/>
      <c r="Z73" s="158">
        <v>2.78</v>
      </c>
      <c r="AA73" s="157"/>
      <c r="AB73" s="154"/>
      <c r="AC73" s="154">
        <v>2.78</v>
      </c>
      <c r="AD73" s="154"/>
      <c r="AE73" s="156"/>
      <c r="AF73" s="155"/>
      <c r="AG73" s="157"/>
      <c r="AH73" s="49">
        <v>68</v>
      </c>
      <c r="AI73" s="98"/>
      <c r="AJ73" s="98"/>
      <c r="AK73" s="98"/>
      <c r="AL73" s="98"/>
      <c r="AM73" s="98"/>
      <c r="AN73" s="70"/>
    </row>
    <row r="74" spans="1:45" s="51" customFormat="1" ht="31" x14ac:dyDescent="0.6">
      <c r="A74" s="158">
        <v>995177</v>
      </c>
      <c r="B74" s="272" t="s">
        <v>635</v>
      </c>
      <c r="C74" s="158">
        <v>6</v>
      </c>
      <c r="D74" s="172"/>
      <c r="E74" s="154" t="s">
        <v>462</v>
      </c>
      <c r="F74" s="154"/>
      <c r="G74" s="154">
        <v>4.49</v>
      </c>
      <c r="H74" s="155"/>
      <c r="I74" s="156"/>
      <c r="J74" s="155"/>
      <c r="K74" s="154"/>
      <c r="L74" s="154">
        <v>4.49</v>
      </c>
      <c r="M74" s="154"/>
      <c r="N74" s="154">
        <v>4.49</v>
      </c>
      <c r="O74" s="157"/>
      <c r="P74" s="154">
        <v>4.49</v>
      </c>
      <c r="Q74" s="157"/>
      <c r="R74" s="154"/>
      <c r="S74" s="154">
        <v>4.49</v>
      </c>
      <c r="T74" s="155"/>
      <c r="U74" s="156"/>
      <c r="V74" s="155"/>
      <c r="W74" s="157"/>
      <c r="X74" s="158">
        <v>4.49</v>
      </c>
      <c r="Y74" s="157"/>
      <c r="Z74" s="158">
        <v>4.49</v>
      </c>
      <c r="AA74" s="157"/>
      <c r="AB74" s="154"/>
      <c r="AC74" s="154">
        <v>4.49</v>
      </c>
      <c r="AD74" s="155"/>
      <c r="AE74" s="156"/>
      <c r="AF74" s="155"/>
      <c r="AG74" s="157"/>
      <c r="AH74" s="49">
        <v>69</v>
      </c>
      <c r="AI74" s="98"/>
      <c r="AJ74" s="98"/>
      <c r="AK74" s="98"/>
      <c r="AL74" s="98"/>
      <c r="AM74" s="98"/>
      <c r="AN74" s="70"/>
    </row>
    <row r="75" spans="1:45" s="51" customFormat="1" ht="31" x14ac:dyDescent="0.6">
      <c r="A75" s="273">
        <v>995194</v>
      </c>
      <c r="B75" s="272" t="s">
        <v>696</v>
      </c>
      <c r="C75" s="158">
        <v>6</v>
      </c>
      <c r="D75" s="218"/>
      <c r="E75" s="154" t="s">
        <v>462</v>
      </c>
      <c r="F75" s="154"/>
      <c r="G75" s="154">
        <v>4.49</v>
      </c>
      <c r="H75" s="155"/>
      <c r="I75" s="156"/>
      <c r="J75" s="155"/>
      <c r="K75" s="154"/>
      <c r="L75" s="154">
        <v>4.49</v>
      </c>
      <c r="M75" s="154"/>
      <c r="N75" s="154">
        <v>4.49</v>
      </c>
      <c r="O75" s="157"/>
      <c r="P75" s="157">
        <v>4.49</v>
      </c>
      <c r="Q75" s="157"/>
      <c r="R75" s="154"/>
      <c r="S75" s="154">
        <v>4.49</v>
      </c>
      <c r="T75" s="155"/>
      <c r="U75" s="156"/>
      <c r="V75" s="155"/>
      <c r="W75" s="159"/>
      <c r="X75" s="159">
        <v>4.49</v>
      </c>
      <c r="Y75" s="159"/>
      <c r="Z75" s="159">
        <v>4.49</v>
      </c>
      <c r="AA75" s="157"/>
      <c r="AB75" s="154"/>
      <c r="AC75" s="154">
        <v>4.49</v>
      </c>
      <c r="AD75" s="155"/>
      <c r="AE75" s="156"/>
      <c r="AF75" s="155"/>
      <c r="AG75" s="157"/>
      <c r="AH75" s="49">
        <v>70</v>
      </c>
      <c r="AI75" s="98"/>
      <c r="AJ75" s="98"/>
      <c r="AK75" s="98"/>
      <c r="AL75" s="98"/>
      <c r="AM75" s="98"/>
      <c r="AN75" s="70"/>
    </row>
    <row r="76" spans="1:45" s="51" customFormat="1" ht="31" x14ac:dyDescent="0.6">
      <c r="A76" s="273">
        <v>995123</v>
      </c>
      <c r="B76" s="272" t="s">
        <v>601</v>
      </c>
      <c r="C76" s="158">
        <v>6</v>
      </c>
      <c r="D76" s="218"/>
      <c r="E76" s="154" t="s">
        <v>462</v>
      </c>
      <c r="F76" s="154"/>
      <c r="G76" s="154">
        <v>2.78</v>
      </c>
      <c r="H76" s="155"/>
      <c r="I76" s="156"/>
      <c r="J76" s="155"/>
      <c r="K76" s="154"/>
      <c r="L76" s="154">
        <v>2.99</v>
      </c>
      <c r="M76" s="154"/>
      <c r="N76" s="154">
        <v>2.99</v>
      </c>
      <c r="O76" s="157"/>
      <c r="P76" s="157">
        <v>2.99</v>
      </c>
      <c r="Q76" s="157"/>
      <c r="R76" s="154"/>
      <c r="S76" s="154">
        <v>2.78</v>
      </c>
      <c r="T76" s="155"/>
      <c r="U76" s="156"/>
      <c r="V76" s="155"/>
      <c r="W76" s="159"/>
      <c r="X76" s="159">
        <v>2.78</v>
      </c>
      <c r="Y76" s="159"/>
      <c r="Z76" s="159">
        <v>2.78</v>
      </c>
      <c r="AA76" s="157"/>
      <c r="AB76" s="154"/>
      <c r="AC76" s="154">
        <v>2.78</v>
      </c>
      <c r="AD76" s="155"/>
      <c r="AE76" s="156"/>
      <c r="AF76" s="155"/>
      <c r="AG76" s="157" t="s">
        <v>839</v>
      </c>
      <c r="AH76" s="49">
        <v>71</v>
      </c>
      <c r="AI76" s="98"/>
      <c r="AJ76" s="98"/>
      <c r="AK76" s="98"/>
      <c r="AL76" s="98"/>
      <c r="AM76" s="98"/>
      <c r="AN76" s="70"/>
    </row>
    <row r="77" spans="1:45" s="51" customFormat="1" ht="31" x14ac:dyDescent="0.6">
      <c r="A77" s="273">
        <v>995097</v>
      </c>
      <c r="B77" s="272" t="s">
        <v>394</v>
      </c>
      <c r="C77" s="158">
        <v>4</v>
      </c>
      <c r="D77" s="218"/>
      <c r="E77" s="154"/>
      <c r="F77" s="154"/>
      <c r="G77" s="154">
        <v>2.39</v>
      </c>
      <c r="H77" s="155"/>
      <c r="I77" s="156"/>
      <c r="J77" s="155"/>
      <c r="K77" s="154"/>
      <c r="L77" s="154">
        <v>2.69</v>
      </c>
      <c r="M77" s="154"/>
      <c r="N77" s="154">
        <v>2.69</v>
      </c>
      <c r="O77" s="157"/>
      <c r="P77" s="157">
        <v>2.69</v>
      </c>
      <c r="Q77" s="156"/>
      <c r="R77" s="154"/>
      <c r="S77" s="154">
        <v>2.39</v>
      </c>
      <c r="T77" s="155"/>
      <c r="U77" s="156"/>
      <c r="V77" s="155"/>
      <c r="W77" s="159"/>
      <c r="X77" s="157">
        <v>2.39</v>
      </c>
      <c r="Y77" s="159"/>
      <c r="Z77" s="157">
        <v>2.39</v>
      </c>
      <c r="AA77" s="156"/>
      <c r="AB77" s="154"/>
      <c r="AC77" s="154">
        <v>2.39</v>
      </c>
      <c r="AD77" s="155"/>
      <c r="AE77" s="156"/>
      <c r="AF77" s="155"/>
      <c r="AG77" s="156"/>
      <c r="AH77" s="49">
        <v>72</v>
      </c>
      <c r="AI77" s="98"/>
      <c r="AJ77" s="98"/>
      <c r="AK77" s="98"/>
      <c r="AL77" s="98"/>
      <c r="AM77" s="98"/>
      <c r="AN77" s="70"/>
    </row>
    <row r="78" spans="1:45" s="51" customFormat="1" ht="31" x14ac:dyDescent="0.6">
      <c r="A78" s="273">
        <v>987691</v>
      </c>
      <c r="B78" s="272" t="s">
        <v>77</v>
      </c>
      <c r="C78" s="158">
        <v>6</v>
      </c>
      <c r="D78" s="172"/>
      <c r="E78" s="158" t="s">
        <v>462</v>
      </c>
      <c r="F78" s="154"/>
      <c r="G78" s="154">
        <v>3.69</v>
      </c>
      <c r="H78" s="158"/>
      <c r="I78" s="159"/>
      <c r="J78" s="155"/>
      <c r="K78" s="154"/>
      <c r="L78" s="154">
        <v>3.99</v>
      </c>
      <c r="M78" s="154"/>
      <c r="N78" s="154">
        <v>3.99</v>
      </c>
      <c r="O78" s="157"/>
      <c r="P78" s="157">
        <v>3.99</v>
      </c>
      <c r="Q78" s="156"/>
      <c r="R78" s="154"/>
      <c r="S78" s="154">
        <v>3.69</v>
      </c>
      <c r="T78" s="158"/>
      <c r="U78" s="159"/>
      <c r="V78" s="155"/>
      <c r="W78" s="159"/>
      <c r="X78" s="159">
        <v>3.69</v>
      </c>
      <c r="Y78" s="159"/>
      <c r="Z78" s="159">
        <v>3.69</v>
      </c>
      <c r="AA78" s="156"/>
      <c r="AB78" s="154"/>
      <c r="AC78" s="154">
        <v>3.69</v>
      </c>
      <c r="AD78" s="158"/>
      <c r="AE78" s="159"/>
      <c r="AF78" s="155"/>
      <c r="AG78" s="156"/>
      <c r="AH78" s="49">
        <v>73</v>
      </c>
      <c r="AI78" s="98"/>
      <c r="AJ78" s="98"/>
      <c r="AK78" s="98"/>
      <c r="AL78" s="98"/>
      <c r="AM78" s="98"/>
      <c r="AN78" s="70"/>
    </row>
    <row r="79" spans="1:45" s="51" customFormat="1" ht="31" x14ac:dyDescent="0.6">
      <c r="A79" s="273">
        <v>987690</v>
      </c>
      <c r="B79" s="272" t="s">
        <v>105</v>
      </c>
      <c r="C79" s="158">
        <v>16</v>
      </c>
      <c r="D79" s="172"/>
      <c r="E79" s="158" t="s">
        <v>462</v>
      </c>
      <c r="F79" s="154"/>
      <c r="G79" s="154">
        <v>3.29</v>
      </c>
      <c r="H79" s="154"/>
      <c r="I79" s="157"/>
      <c r="J79" s="155"/>
      <c r="K79" s="154"/>
      <c r="L79" s="154">
        <v>3.29</v>
      </c>
      <c r="M79" s="154"/>
      <c r="N79" s="154">
        <v>3.29</v>
      </c>
      <c r="O79" s="154"/>
      <c r="P79" s="154">
        <v>3.29</v>
      </c>
      <c r="Q79" s="156"/>
      <c r="R79" s="154"/>
      <c r="S79" s="154">
        <v>3.29</v>
      </c>
      <c r="T79" s="158"/>
      <c r="U79" s="159"/>
      <c r="V79" s="155"/>
      <c r="W79" s="158"/>
      <c r="X79" s="158">
        <v>3.29</v>
      </c>
      <c r="Y79" s="158"/>
      <c r="Z79" s="158">
        <v>3.29</v>
      </c>
      <c r="AA79" s="156"/>
      <c r="AB79" s="154"/>
      <c r="AC79" s="154">
        <v>3.29</v>
      </c>
      <c r="AD79" s="158"/>
      <c r="AE79" s="159"/>
      <c r="AF79" s="155"/>
      <c r="AG79" s="156"/>
      <c r="AH79" s="49">
        <v>74</v>
      </c>
      <c r="AI79" s="98"/>
      <c r="AJ79" s="98"/>
      <c r="AK79" s="98"/>
      <c r="AL79" s="98"/>
      <c r="AM79" s="98"/>
      <c r="AN79" s="70"/>
    </row>
    <row r="80" spans="1:45" s="51" customFormat="1" ht="31" x14ac:dyDescent="0.6">
      <c r="A80" s="158">
        <v>995085</v>
      </c>
      <c r="B80" s="272" t="s">
        <v>49</v>
      </c>
      <c r="C80" s="158">
        <v>6</v>
      </c>
      <c r="D80" s="218"/>
      <c r="E80" s="154" t="s">
        <v>462</v>
      </c>
      <c r="F80" s="154"/>
      <c r="G80" s="154">
        <v>2.78</v>
      </c>
      <c r="H80" s="155"/>
      <c r="I80" s="156"/>
      <c r="J80" s="155"/>
      <c r="K80" s="154"/>
      <c r="L80" s="154">
        <v>3.29</v>
      </c>
      <c r="M80" s="154"/>
      <c r="N80" s="154">
        <v>3.29</v>
      </c>
      <c r="O80" s="157"/>
      <c r="P80" s="154">
        <v>3.29</v>
      </c>
      <c r="Q80" s="157"/>
      <c r="R80" s="154"/>
      <c r="S80" s="154">
        <v>2.78</v>
      </c>
      <c r="T80" s="155"/>
      <c r="U80" s="156"/>
      <c r="V80" s="155"/>
      <c r="W80" s="159"/>
      <c r="X80" s="158">
        <v>2.78</v>
      </c>
      <c r="Y80" s="159"/>
      <c r="Z80" s="158">
        <v>2.78</v>
      </c>
      <c r="AA80" s="157"/>
      <c r="AB80" s="154">
        <v>2.78</v>
      </c>
      <c r="AC80" s="154">
        <v>1.67</v>
      </c>
      <c r="AD80" s="155" t="s">
        <v>6</v>
      </c>
      <c r="AE80" s="156" t="s">
        <v>41</v>
      </c>
      <c r="AF80" s="155">
        <v>44820</v>
      </c>
      <c r="AG80" s="157"/>
      <c r="AH80" s="49">
        <v>75</v>
      </c>
      <c r="AI80" s="98"/>
      <c r="AJ80" s="98"/>
      <c r="AK80" s="98"/>
      <c r="AL80" s="98" t="s">
        <v>128</v>
      </c>
      <c r="AM80" s="98"/>
      <c r="AN80" s="70"/>
    </row>
    <row r="81" spans="1:40" s="51" customFormat="1" ht="31" x14ac:dyDescent="0.6">
      <c r="A81" s="273">
        <v>995166</v>
      </c>
      <c r="B81" s="272" t="s">
        <v>602</v>
      </c>
      <c r="C81" s="158">
        <v>6</v>
      </c>
      <c r="D81" s="218"/>
      <c r="E81" s="154" t="s">
        <v>462</v>
      </c>
      <c r="F81" s="154"/>
      <c r="G81" s="154">
        <v>2.78</v>
      </c>
      <c r="H81" s="155"/>
      <c r="I81" s="156"/>
      <c r="J81" s="155"/>
      <c r="K81" s="154"/>
      <c r="L81" s="154">
        <v>3.49</v>
      </c>
      <c r="M81" s="154"/>
      <c r="N81" s="154">
        <v>3.49</v>
      </c>
      <c r="O81" s="157"/>
      <c r="P81" s="154">
        <v>3.49</v>
      </c>
      <c r="Q81" s="157"/>
      <c r="R81" s="154"/>
      <c r="S81" s="154">
        <v>2.78</v>
      </c>
      <c r="T81" s="155"/>
      <c r="U81" s="156"/>
      <c r="V81" s="155"/>
      <c r="W81" s="159"/>
      <c r="X81" s="158">
        <v>2.78</v>
      </c>
      <c r="Y81" s="159"/>
      <c r="Z81" s="158">
        <v>2.78</v>
      </c>
      <c r="AA81" s="157"/>
      <c r="AB81" s="154"/>
      <c r="AC81" s="154">
        <v>2.78</v>
      </c>
      <c r="AD81" s="155"/>
      <c r="AE81" s="156"/>
      <c r="AF81" s="155"/>
      <c r="AG81" s="157"/>
      <c r="AH81" s="49">
        <v>76</v>
      </c>
      <c r="AI81" s="98"/>
      <c r="AJ81" s="98"/>
      <c r="AK81" s="98"/>
      <c r="AL81" s="98"/>
      <c r="AM81" s="98"/>
      <c r="AN81" s="70"/>
    </row>
    <row r="82" spans="1:40" s="51" customFormat="1" ht="31" x14ac:dyDescent="0.6">
      <c r="A82" s="107">
        <v>995184</v>
      </c>
      <c r="B82" s="108" t="s">
        <v>671</v>
      </c>
      <c r="C82" s="109">
        <v>6</v>
      </c>
      <c r="D82" s="218"/>
      <c r="E82" s="154" t="s">
        <v>462</v>
      </c>
      <c r="F82" s="154"/>
      <c r="G82" s="154">
        <v>2.5</v>
      </c>
      <c r="H82" s="155"/>
      <c r="I82" s="156" t="s">
        <v>62</v>
      </c>
      <c r="J82" s="155"/>
      <c r="K82" s="154"/>
      <c r="L82" s="154">
        <v>2.99</v>
      </c>
      <c r="M82" s="154"/>
      <c r="N82" s="154">
        <v>2.99</v>
      </c>
      <c r="O82" s="157"/>
      <c r="P82" s="154">
        <v>2.99</v>
      </c>
      <c r="Q82" s="157" t="s">
        <v>839</v>
      </c>
      <c r="R82" s="247"/>
      <c r="S82" s="247">
        <v>2.5</v>
      </c>
      <c r="T82" s="248"/>
      <c r="U82" s="249" t="s">
        <v>62</v>
      </c>
      <c r="V82" s="248"/>
      <c r="W82" s="251"/>
      <c r="X82" s="109">
        <v>2.5</v>
      </c>
      <c r="Y82" s="251"/>
      <c r="Z82" s="109">
        <v>2.5</v>
      </c>
      <c r="AA82" s="250"/>
      <c r="AB82" s="154"/>
      <c r="AC82" s="154">
        <v>2.5</v>
      </c>
      <c r="AD82" s="155"/>
      <c r="AE82" s="165" t="s">
        <v>62</v>
      </c>
      <c r="AF82" s="155"/>
      <c r="AG82" s="157" t="s">
        <v>839</v>
      </c>
      <c r="AH82" s="49">
        <v>77</v>
      </c>
      <c r="AI82" s="98"/>
      <c r="AJ82" s="98" t="s">
        <v>741</v>
      </c>
      <c r="AK82" s="98"/>
      <c r="AL82" s="98"/>
      <c r="AM82" s="98"/>
      <c r="AN82" s="70"/>
    </row>
    <row r="83" spans="1:40" s="51" customFormat="1" ht="31" x14ac:dyDescent="0.6">
      <c r="A83" s="273">
        <v>986250</v>
      </c>
      <c r="B83" s="272" t="s">
        <v>24</v>
      </c>
      <c r="C83" s="158">
        <v>10</v>
      </c>
      <c r="D83" s="172"/>
      <c r="E83" s="158"/>
      <c r="F83" s="154"/>
      <c r="G83" s="154">
        <v>2.99</v>
      </c>
      <c r="H83" s="158"/>
      <c r="I83" s="159"/>
      <c r="J83" s="155"/>
      <c r="K83" s="154"/>
      <c r="L83" s="154">
        <v>3.29</v>
      </c>
      <c r="M83" s="154"/>
      <c r="N83" s="154">
        <v>3.29</v>
      </c>
      <c r="O83" s="157"/>
      <c r="P83" s="154">
        <v>3.29</v>
      </c>
      <c r="Q83" s="156"/>
      <c r="R83" s="154"/>
      <c r="S83" s="154">
        <v>2.99</v>
      </c>
      <c r="T83" s="158"/>
      <c r="U83" s="159"/>
      <c r="V83" s="155"/>
      <c r="W83" s="157"/>
      <c r="X83" s="154">
        <v>2.99</v>
      </c>
      <c r="Y83" s="157"/>
      <c r="Z83" s="154">
        <v>2.99</v>
      </c>
      <c r="AA83" s="156"/>
      <c r="AB83" s="154"/>
      <c r="AC83" s="154">
        <v>2.99</v>
      </c>
      <c r="AD83" s="166"/>
      <c r="AE83" s="167"/>
      <c r="AF83" s="155"/>
      <c r="AG83" s="156"/>
      <c r="AH83" s="49">
        <v>78</v>
      </c>
      <c r="AI83" s="98"/>
      <c r="AJ83" s="98"/>
      <c r="AK83" s="98"/>
      <c r="AL83" s="98"/>
      <c r="AM83" s="98"/>
      <c r="AN83" s="70"/>
    </row>
    <row r="84" spans="1:40" s="51" customFormat="1" ht="31" x14ac:dyDescent="0.6">
      <c r="A84" s="273">
        <v>986270</v>
      </c>
      <c r="B84" s="272" t="s">
        <v>76</v>
      </c>
      <c r="C84" s="158">
        <v>10</v>
      </c>
      <c r="D84" s="172"/>
      <c r="E84" s="158"/>
      <c r="F84" s="154"/>
      <c r="G84" s="154">
        <v>3.99</v>
      </c>
      <c r="H84" s="158"/>
      <c r="I84" s="159"/>
      <c r="J84" s="155"/>
      <c r="K84" s="154"/>
      <c r="L84" s="154">
        <v>4.29</v>
      </c>
      <c r="M84" s="154"/>
      <c r="N84" s="154">
        <v>4.29</v>
      </c>
      <c r="O84" s="157"/>
      <c r="P84" s="157">
        <v>4.29</v>
      </c>
      <c r="Q84" s="156"/>
      <c r="R84" s="154"/>
      <c r="S84" s="154">
        <v>3.99</v>
      </c>
      <c r="T84" s="158"/>
      <c r="U84" s="159"/>
      <c r="V84" s="155"/>
      <c r="W84" s="159"/>
      <c r="X84" s="159">
        <v>3.99</v>
      </c>
      <c r="Y84" s="159"/>
      <c r="Z84" s="159">
        <v>3.99</v>
      </c>
      <c r="AA84" s="156"/>
      <c r="AB84" s="154"/>
      <c r="AC84" s="154">
        <v>3.99</v>
      </c>
      <c r="AD84" s="158"/>
      <c r="AE84" s="159"/>
      <c r="AF84" s="155"/>
      <c r="AG84" s="156"/>
      <c r="AH84" s="49">
        <v>79</v>
      </c>
      <c r="AI84" s="98"/>
      <c r="AJ84" s="98"/>
      <c r="AK84" s="98"/>
      <c r="AL84" s="98"/>
      <c r="AM84" s="98"/>
      <c r="AN84" s="70"/>
    </row>
    <row r="85" spans="1:40" s="51" customFormat="1" ht="31" x14ac:dyDescent="0.6">
      <c r="A85" s="273">
        <v>995200</v>
      </c>
      <c r="B85" s="272" t="s">
        <v>749</v>
      </c>
      <c r="C85" s="158">
        <v>6</v>
      </c>
      <c r="D85" s="172"/>
      <c r="E85" s="158"/>
      <c r="F85" s="154"/>
      <c r="G85" s="154">
        <v>4.99</v>
      </c>
      <c r="H85" s="154"/>
      <c r="I85" s="157"/>
      <c r="J85" s="155"/>
      <c r="K85" s="154"/>
      <c r="L85" s="154">
        <v>4.99</v>
      </c>
      <c r="M85" s="154"/>
      <c r="N85" s="154">
        <v>4.99</v>
      </c>
      <c r="O85" s="157"/>
      <c r="P85" s="154">
        <v>4.99</v>
      </c>
      <c r="Q85" s="157"/>
      <c r="R85" s="154"/>
      <c r="S85" s="154">
        <v>4.99</v>
      </c>
      <c r="T85" s="154"/>
      <c r="U85" s="157"/>
      <c r="V85" s="155"/>
      <c r="W85" s="159"/>
      <c r="X85" s="154">
        <v>4.99</v>
      </c>
      <c r="Y85" s="159"/>
      <c r="Z85" s="154">
        <v>4.99</v>
      </c>
      <c r="AA85" s="157"/>
      <c r="AB85" s="154"/>
      <c r="AC85" s="154">
        <v>4.99</v>
      </c>
      <c r="AD85" s="154"/>
      <c r="AE85" s="157"/>
      <c r="AF85" s="155"/>
      <c r="AG85" s="156"/>
      <c r="AH85" s="49">
        <v>80</v>
      </c>
      <c r="AI85" s="98"/>
      <c r="AJ85" s="98"/>
      <c r="AK85" s="98"/>
      <c r="AL85" s="98"/>
      <c r="AM85" s="98"/>
      <c r="AN85" s="70"/>
    </row>
    <row r="86" spans="1:40" s="51" customFormat="1" ht="31" x14ac:dyDescent="0.6">
      <c r="A86" s="273">
        <v>995201</v>
      </c>
      <c r="B86" s="272" t="s">
        <v>747</v>
      </c>
      <c r="C86" s="158">
        <v>6</v>
      </c>
      <c r="D86" s="172"/>
      <c r="E86" s="158"/>
      <c r="F86" s="154"/>
      <c r="G86" s="154">
        <v>4.99</v>
      </c>
      <c r="H86" s="154"/>
      <c r="I86" s="157"/>
      <c r="J86" s="155"/>
      <c r="K86" s="154"/>
      <c r="L86" s="154">
        <v>4.99</v>
      </c>
      <c r="M86" s="154"/>
      <c r="N86" s="154">
        <v>4.99</v>
      </c>
      <c r="O86" s="157"/>
      <c r="P86" s="157">
        <v>4.99</v>
      </c>
      <c r="Q86" s="157"/>
      <c r="R86" s="154"/>
      <c r="S86" s="154">
        <v>4.99</v>
      </c>
      <c r="T86" s="154"/>
      <c r="U86" s="157"/>
      <c r="V86" s="155"/>
      <c r="W86" s="159"/>
      <c r="X86" s="157">
        <v>4.99</v>
      </c>
      <c r="Y86" s="159"/>
      <c r="Z86" s="157">
        <v>4.99</v>
      </c>
      <c r="AA86" s="157"/>
      <c r="AB86" s="154"/>
      <c r="AC86" s="154">
        <v>4.99</v>
      </c>
      <c r="AD86" s="154"/>
      <c r="AE86" s="157"/>
      <c r="AF86" s="155"/>
      <c r="AG86" s="156"/>
      <c r="AH86" s="49">
        <v>81</v>
      </c>
      <c r="AI86" s="98"/>
      <c r="AJ86" s="98"/>
      <c r="AK86" s="98"/>
      <c r="AL86" s="98"/>
      <c r="AM86" s="98"/>
      <c r="AN86" s="70"/>
    </row>
    <row r="87" spans="1:40" s="51" customFormat="1" ht="31" x14ac:dyDescent="0.6">
      <c r="A87" s="273">
        <v>995104</v>
      </c>
      <c r="B87" s="272" t="s">
        <v>150</v>
      </c>
      <c r="C87" s="158">
        <v>6</v>
      </c>
      <c r="D87" s="218"/>
      <c r="E87" s="154" t="s">
        <v>462</v>
      </c>
      <c r="F87" s="154"/>
      <c r="G87" s="154">
        <v>2.98</v>
      </c>
      <c r="H87" s="155"/>
      <c r="I87" s="156"/>
      <c r="J87" s="155"/>
      <c r="K87" s="154"/>
      <c r="L87" s="154">
        <v>3.69</v>
      </c>
      <c r="M87" s="154"/>
      <c r="N87" s="154">
        <v>3.69</v>
      </c>
      <c r="O87" s="157"/>
      <c r="P87" s="154">
        <v>3.69</v>
      </c>
      <c r="Q87" s="157"/>
      <c r="R87" s="154"/>
      <c r="S87" s="154">
        <v>2.98</v>
      </c>
      <c r="T87" s="155"/>
      <c r="U87" s="156"/>
      <c r="V87" s="155"/>
      <c r="W87" s="157"/>
      <c r="X87" s="154">
        <v>2.98</v>
      </c>
      <c r="Y87" s="157"/>
      <c r="Z87" s="154">
        <v>2.98</v>
      </c>
      <c r="AA87" s="157"/>
      <c r="AB87" s="154"/>
      <c r="AC87" s="154">
        <v>2.98</v>
      </c>
      <c r="AD87" s="155"/>
      <c r="AE87" s="156"/>
      <c r="AF87" s="155"/>
      <c r="AG87" s="157"/>
      <c r="AH87" s="49">
        <v>82</v>
      </c>
      <c r="AI87" s="98"/>
      <c r="AJ87" s="98"/>
      <c r="AK87" s="98"/>
      <c r="AL87" s="98"/>
      <c r="AM87" s="98"/>
      <c r="AN87" s="70"/>
    </row>
    <row r="88" spans="1:40" s="51" customFormat="1" ht="31" x14ac:dyDescent="0.6">
      <c r="A88" s="273">
        <v>995103</v>
      </c>
      <c r="B88" s="272" t="s">
        <v>151</v>
      </c>
      <c r="C88" s="158">
        <v>6</v>
      </c>
      <c r="D88" s="218"/>
      <c r="E88" s="154" t="s">
        <v>462</v>
      </c>
      <c r="F88" s="154"/>
      <c r="G88" s="154">
        <v>2.98</v>
      </c>
      <c r="H88" s="158"/>
      <c r="I88" s="159"/>
      <c r="J88" s="155"/>
      <c r="K88" s="154"/>
      <c r="L88" s="154">
        <v>3.69</v>
      </c>
      <c r="M88" s="154"/>
      <c r="N88" s="154">
        <v>3.69</v>
      </c>
      <c r="O88" s="157"/>
      <c r="P88" s="154">
        <v>3.69</v>
      </c>
      <c r="Q88" s="156"/>
      <c r="R88" s="154"/>
      <c r="S88" s="154">
        <v>2.98</v>
      </c>
      <c r="T88" s="158"/>
      <c r="U88" s="159"/>
      <c r="V88" s="155"/>
      <c r="W88" s="157"/>
      <c r="X88" s="154">
        <v>2.98</v>
      </c>
      <c r="Y88" s="157"/>
      <c r="Z88" s="154">
        <v>2.98</v>
      </c>
      <c r="AA88" s="156"/>
      <c r="AB88" s="154"/>
      <c r="AC88" s="154">
        <v>2.98</v>
      </c>
      <c r="AD88" s="158"/>
      <c r="AE88" s="159"/>
      <c r="AF88" s="155"/>
      <c r="AG88" s="156"/>
      <c r="AH88" s="49">
        <v>83</v>
      </c>
      <c r="AI88" s="98"/>
      <c r="AJ88" s="98"/>
      <c r="AK88" s="98"/>
      <c r="AL88" s="98"/>
      <c r="AM88" s="98"/>
      <c r="AN88" s="70"/>
    </row>
    <row r="89" spans="1:40" s="51" customFormat="1" ht="31" x14ac:dyDescent="0.6">
      <c r="A89" s="273">
        <v>995009</v>
      </c>
      <c r="B89" s="272" t="s">
        <v>64</v>
      </c>
      <c r="C89" s="158">
        <v>9</v>
      </c>
      <c r="D89" s="172"/>
      <c r="E89" s="154" t="s">
        <v>462</v>
      </c>
      <c r="F89" s="154"/>
      <c r="G89" s="154">
        <v>1.59</v>
      </c>
      <c r="H89" s="158"/>
      <c r="I89" s="159"/>
      <c r="J89" s="155"/>
      <c r="K89" s="154"/>
      <c r="L89" s="154">
        <v>1.89</v>
      </c>
      <c r="M89" s="154"/>
      <c r="N89" s="154">
        <v>1.89</v>
      </c>
      <c r="O89" s="157"/>
      <c r="P89" s="157">
        <v>1.89</v>
      </c>
      <c r="Q89" s="156"/>
      <c r="R89" s="154"/>
      <c r="S89" s="154">
        <v>1.59</v>
      </c>
      <c r="T89" s="158"/>
      <c r="U89" s="159"/>
      <c r="V89" s="155"/>
      <c r="W89" s="159"/>
      <c r="X89" s="157">
        <v>1.59</v>
      </c>
      <c r="Y89" s="159"/>
      <c r="Z89" s="157">
        <v>1.59</v>
      </c>
      <c r="AA89" s="156"/>
      <c r="AB89" s="154"/>
      <c r="AC89" s="154">
        <v>1.59</v>
      </c>
      <c r="AD89" s="158"/>
      <c r="AE89" s="159"/>
      <c r="AF89" s="155"/>
      <c r="AG89" s="156"/>
      <c r="AH89" s="49">
        <v>84</v>
      </c>
      <c r="AI89" s="98"/>
      <c r="AJ89" s="98"/>
      <c r="AK89" s="98"/>
      <c r="AL89" s="98"/>
      <c r="AM89" s="98"/>
      <c r="AN89" s="70"/>
    </row>
    <row r="90" spans="1:40" s="51" customFormat="1" ht="31" x14ac:dyDescent="0.6">
      <c r="A90" s="158">
        <v>995072</v>
      </c>
      <c r="B90" s="272" t="s">
        <v>45</v>
      </c>
      <c r="C90" s="158">
        <v>6</v>
      </c>
      <c r="D90" s="172" t="s">
        <v>129</v>
      </c>
      <c r="E90" s="154" t="s">
        <v>462</v>
      </c>
      <c r="F90" s="154"/>
      <c r="G90" s="154">
        <v>2.09</v>
      </c>
      <c r="H90" s="155"/>
      <c r="I90" s="156"/>
      <c r="J90" s="155"/>
      <c r="K90" s="154"/>
      <c r="L90" s="154">
        <v>2.59</v>
      </c>
      <c r="M90" s="154"/>
      <c r="N90" s="154">
        <v>2.59</v>
      </c>
      <c r="O90" s="157"/>
      <c r="P90" s="157">
        <v>2.59</v>
      </c>
      <c r="Q90" s="157"/>
      <c r="R90" s="154"/>
      <c r="S90" s="154">
        <v>2.09</v>
      </c>
      <c r="T90" s="155"/>
      <c r="U90" s="156"/>
      <c r="V90" s="155"/>
      <c r="W90" s="157"/>
      <c r="X90" s="159">
        <v>2.09</v>
      </c>
      <c r="Y90" s="157"/>
      <c r="Z90" s="159">
        <v>2.09</v>
      </c>
      <c r="AA90" s="157"/>
      <c r="AB90" s="154"/>
      <c r="AC90" s="154">
        <v>2.09</v>
      </c>
      <c r="AD90" s="155"/>
      <c r="AE90" s="156"/>
      <c r="AF90" s="155"/>
      <c r="AG90" s="157"/>
      <c r="AH90" s="49">
        <v>85</v>
      </c>
      <c r="AI90" s="98"/>
      <c r="AJ90" s="98"/>
      <c r="AK90" s="98"/>
      <c r="AL90" s="98"/>
      <c r="AM90" s="98"/>
      <c r="AN90" s="70"/>
    </row>
    <row r="91" spans="1:40" s="51" customFormat="1" ht="31" x14ac:dyDescent="0.6">
      <c r="A91" s="158">
        <v>995071</v>
      </c>
      <c r="B91" s="272" t="s">
        <v>44</v>
      </c>
      <c r="C91" s="158">
        <v>6</v>
      </c>
      <c r="D91" s="172" t="s">
        <v>129</v>
      </c>
      <c r="E91" s="154" t="s">
        <v>462</v>
      </c>
      <c r="F91" s="154"/>
      <c r="G91" s="154">
        <v>2.78</v>
      </c>
      <c r="H91" s="158"/>
      <c r="I91" s="159"/>
      <c r="J91" s="155"/>
      <c r="K91" s="154"/>
      <c r="L91" s="154">
        <v>2.99</v>
      </c>
      <c r="M91" s="154"/>
      <c r="N91" s="154">
        <v>2.99</v>
      </c>
      <c r="O91" s="157"/>
      <c r="P91" s="157">
        <v>2.99</v>
      </c>
      <c r="Q91" s="156"/>
      <c r="R91" s="154"/>
      <c r="S91" s="154">
        <v>2.78</v>
      </c>
      <c r="T91" s="158"/>
      <c r="U91" s="159"/>
      <c r="V91" s="155"/>
      <c r="W91" s="157"/>
      <c r="X91" s="157">
        <v>2.78</v>
      </c>
      <c r="Y91" s="157"/>
      <c r="Z91" s="157">
        <v>2.78</v>
      </c>
      <c r="AA91" s="156"/>
      <c r="AB91" s="154"/>
      <c r="AC91" s="154">
        <v>2.78</v>
      </c>
      <c r="AD91" s="158"/>
      <c r="AE91" s="159"/>
      <c r="AF91" s="155"/>
      <c r="AG91" s="156"/>
      <c r="AH91" s="49">
        <v>86</v>
      </c>
      <c r="AI91" s="98"/>
      <c r="AJ91" s="98"/>
      <c r="AK91" s="98"/>
      <c r="AL91" s="98" t="s">
        <v>128</v>
      </c>
      <c r="AM91" s="98"/>
      <c r="AN91" s="70"/>
    </row>
    <row r="92" spans="1:40" s="51" customFormat="1" ht="31" x14ac:dyDescent="0.6">
      <c r="A92" s="273">
        <v>988545</v>
      </c>
      <c r="B92" s="272" t="s">
        <v>670</v>
      </c>
      <c r="C92" s="158">
        <v>6</v>
      </c>
      <c r="D92" s="218"/>
      <c r="E92" s="154" t="s">
        <v>462</v>
      </c>
      <c r="F92" s="154"/>
      <c r="G92" s="154">
        <v>3.29</v>
      </c>
      <c r="H92" s="155"/>
      <c r="I92" s="156"/>
      <c r="J92" s="155"/>
      <c r="K92" s="154"/>
      <c r="L92" s="154">
        <v>3.29</v>
      </c>
      <c r="M92" s="154"/>
      <c r="N92" s="154">
        <v>3.29</v>
      </c>
      <c r="O92" s="157"/>
      <c r="P92" s="157">
        <v>3.29</v>
      </c>
      <c r="Q92" s="157"/>
      <c r="R92" s="154"/>
      <c r="S92" s="154">
        <v>3.29</v>
      </c>
      <c r="T92" s="155"/>
      <c r="U92" s="156"/>
      <c r="V92" s="155"/>
      <c r="W92" s="159"/>
      <c r="X92" s="159">
        <v>3.29</v>
      </c>
      <c r="Y92" s="159"/>
      <c r="Z92" s="159">
        <v>3.29</v>
      </c>
      <c r="AA92" s="157"/>
      <c r="AB92" s="154"/>
      <c r="AC92" s="154">
        <v>3.29</v>
      </c>
      <c r="AD92" s="155"/>
      <c r="AE92" s="156"/>
      <c r="AF92" s="155"/>
      <c r="AG92" s="157"/>
      <c r="AH92" s="49">
        <v>87</v>
      </c>
      <c r="AI92" s="98"/>
      <c r="AJ92" s="98"/>
      <c r="AK92" s="98"/>
      <c r="AL92" s="98"/>
      <c r="AM92" s="98"/>
      <c r="AN92" s="70"/>
    </row>
    <row r="93" spans="1:40" s="51" customFormat="1" ht="31" x14ac:dyDescent="0.6">
      <c r="A93" s="158">
        <v>995086</v>
      </c>
      <c r="B93" s="272" t="s">
        <v>463</v>
      </c>
      <c r="C93" s="158">
        <v>6</v>
      </c>
      <c r="D93" s="218"/>
      <c r="E93" s="154" t="s">
        <v>462</v>
      </c>
      <c r="F93" s="154"/>
      <c r="G93" s="154">
        <v>6.18</v>
      </c>
      <c r="H93" s="155"/>
      <c r="I93" s="156"/>
      <c r="J93" s="155"/>
      <c r="K93" s="154"/>
      <c r="L93" s="154">
        <v>6.19</v>
      </c>
      <c r="M93" s="154"/>
      <c r="N93" s="154">
        <v>6.19</v>
      </c>
      <c r="O93" s="157"/>
      <c r="P93" s="154">
        <v>6.19</v>
      </c>
      <c r="Q93" s="157"/>
      <c r="R93" s="154"/>
      <c r="S93" s="154">
        <v>6.18</v>
      </c>
      <c r="T93" s="155"/>
      <c r="U93" s="156"/>
      <c r="V93" s="155"/>
      <c r="W93" s="157"/>
      <c r="X93" s="157">
        <v>6.18</v>
      </c>
      <c r="Y93" s="157"/>
      <c r="Z93" s="157">
        <v>6.18</v>
      </c>
      <c r="AA93" s="157"/>
      <c r="AB93" s="154"/>
      <c r="AC93" s="154">
        <v>6.18</v>
      </c>
      <c r="AD93" s="155"/>
      <c r="AE93" s="156"/>
      <c r="AF93" s="155"/>
      <c r="AG93" s="157"/>
      <c r="AH93" s="49">
        <v>88</v>
      </c>
      <c r="AI93" s="98"/>
      <c r="AJ93" s="98"/>
      <c r="AK93" s="98"/>
      <c r="AL93" s="98"/>
      <c r="AM93" s="98"/>
      <c r="AN93" s="70"/>
    </row>
    <row r="94" spans="1:40" s="51" customFormat="1" ht="31" x14ac:dyDescent="0.6">
      <c r="A94" s="273">
        <v>985861</v>
      </c>
      <c r="B94" s="272" t="s">
        <v>619</v>
      </c>
      <c r="C94" s="158">
        <v>48</v>
      </c>
      <c r="D94" s="218"/>
      <c r="E94" s="154"/>
      <c r="F94" s="154"/>
      <c r="G94" s="154">
        <v>0.85</v>
      </c>
      <c r="H94" s="155"/>
      <c r="I94" s="156"/>
      <c r="J94" s="155"/>
      <c r="K94" s="154"/>
      <c r="L94" s="154">
        <v>0.99</v>
      </c>
      <c r="M94" s="154"/>
      <c r="N94" s="154">
        <v>0.99</v>
      </c>
      <c r="O94" s="157"/>
      <c r="P94" s="154">
        <v>0.99</v>
      </c>
      <c r="Q94" s="157"/>
      <c r="R94" s="154"/>
      <c r="S94" s="154">
        <v>0.85</v>
      </c>
      <c r="T94" s="155"/>
      <c r="U94" s="156"/>
      <c r="V94" s="155"/>
      <c r="W94" s="159"/>
      <c r="X94" s="158">
        <v>0.85</v>
      </c>
      <c r="Y94" s="159"/>
      <c r="Z94" s="158">
        <v>0.85</v>
      </c>
      <c r="AA94" s="157"/>
      <c r="AB94" s="154"/>
      <c r="AC94" s="154">
        <v>0.85</v>
      </c>
      <c r="AD94" s="155"/>
      <c r="AE94" s="156"/>
      <c r="AF94" s="155"/>
      <c r="AG94" s="157"/>
      <c r="AH94" s="49">
        <v>89</v>
      </c>
      <c r="AI94" s="98"/>
      <c r="AJ94" s="98"/>
      <c r="AK94" s="98"/>
      <c r="AL94" s="98"/>
      <c r="AM94" s="98"/>
      <c r="AN94" s="70"/>
    </row>
    <row r="95" spans="1:40" s="51" customFormat="1" ht="31" x14ac:dyDescent="0.6">
      <c r="A95" s="273">
        <v>988020</v>
      </c>
      <c r="B95" s="272" t="s">
        <v>78</v>
      </c>
      <c r="C95" s="158">
        <v>12</v>
      </c>
      <c r="D95" s="172"/>
      <c r="E95" s="158"/>
      <c r="F95" s="154"/>
      <c r="G95" s="154"/>
      <c r="H95" s="158" t="s">
        <v>6</v>
      </c>
      <c r="I95" s="159" t="s">
        <v>7</v>
      </c>
      <c r="J95" s="155">
        <v>44819</v>
      </c>
      <c r="K95" s="154"/>
      <c r="L95" s="154"/>
      <c r="M95" s="154"/>
      <c r="N95" s="154"/>
      <c r="O95" s="157"/>
      <c r="P95" s="157"/>
      <c r="Q95" s="156"/>
      <c r="R95" s="154"/>
      <c r="S95" s="154"/>
      <c r="T95" s="158" t="s">
        <v>6</v>
      </c>
      <c r="U95" s="159" t="s">
        <v>7</v>
      </c>
      <c r="V95" s="155">
        <v>44819</v>
      </c>
      <c r="W95" s="159"/>
      <c r="X95" s="159"/>
      <c r="Y95" s="159"/>
      <c r="Z95" s="159"/>
      <c r="AA95" s="156"/>
      <c r="AB95" s="154"/>
      <c r="AC95" s="154"/>
      <c r="AD95" s="158" t="s">
        <v>6</v>
      </c>
      <c r="AE95" s="159" t="s">
        <v>7</v>
      </c>
      <c r="AF95" s="155">
        <v>44819</v>
      </c>
      <c r="AG95" s="156"/>
      <c r="AH95" s="49">
        <v>90</v>
      </c>
      <c r="AI95" s="98"/>
      <c r="AJ95" s="98"/>
      <c r="AK95" s="98"/>
      <c r="AL95" s="98"/>
      <c r="AM95" s="98"/>
      <c r="AN95" s="70"/>
    </row>
    <row r="96" spans="1:40" s="51" customFormat="1" ht="31" x14ac:dyDescent="0.6">
      <c r="A96" s="273">
        <v>988760</v>
      </c>
      <c r="B96" s="272" t="s">
        <v>68</v>
      </c>
      <c r="C96" s="158">
        <v>12</v>
      </c>
      <c r="D96" s="172"/>
      <c r="E96" s="158"/>
      <c r="F96" s="154"/>
      <c r="G96" s="154">
        <v>3.29</v>
      </c>
      <c r="H96" s="158"/>
      <c r="I96" s="159"/>
      <c r="J96" s="155"/>
      <c r="K96" s="154"/>
      <c r="L96" s="154">
        <v>3.29</v>
      </c>
      <c r="M96" s="154"/>
      <c r="N96" s="154">
        <v>3.29</v>
      </c>
      <c r="O96" s="157"/>
      <c r="P96" s="157">
        <v>3.29</v>
      </c>
      <c r="Q96" s="156"/>
      <c r="R96" s="154"/>
      <c r="S96" s="154">
        <v>2.99</v>
      </c>
      <c r="T96" s="158"/>
      <c r="U96" s="159"/>
      <c r="V96" s="155"/>
      <c r="W96" s="157"/>
      <c r="X96" s="159">
        <v>2.99</v>
      </c>
      <c r="Y96" s="157"/>
      <c r="Z96" s="159">
        <v>2.99</v>
      </c>
      <c r="AA96" s="156"/>
      <c r="AB96" s="154"/>
      <c r="AC96" s="154">
        <v>2.99</v>
      </c>
      <c r="AD96" s="158"/>
      <c r="AE96" s="159"/>
      <c r="AF96" s="155"/>
      <c r="AG96" s="161"/>
      <c r="AH96" s="49">
        <v>91</v>
      </c>
      <c r="AI96" s="98"/>
      <c r="AJ96" s="98"/>
      <c r="AK96" s="98"/>
      <c r="AL96" s="98"/>
      <c r="AM96" s="98"/>
      <c r="AN96" s="70"/>
    </row>
    <row r="97" spans="1:40" s="51" customFormat="1" ht="31" x14ac:dyDescent="0.6">
      <c r="A97" s="273">
        <v>986293</v>
      </c>
      <c r="B97" s="272" t="s">
        <v>630</v>
      </c>
      <c r="C97" s="158">
        <v>12</v>
      </c>
      <c r="D97" s="172"/>
      <c r="E97" s="158"/>
      <c r="F97" s="154"/>
      <c r="G97" s="154">
        <v>3.72</v>
      </c>
      <c r="H97" s="155"/>
      <c r="I97" s="156"/>
      <c r="J97" s="155"/>
      <c r="K97" s="154"/>
      <c r="L97" s="154">
        <v>3.79</v>
      </c>
      <c r="M97" s="154"/>
      <c r="N97" s="154">
        <v>3.79</v>
      </c>
      <c r="O97" s="157"/>
      <c r="P97" s="157">
        <v>3.79</v>
      </c>
      <c r="Q97" s="156"/>
      <c r="R97" s="154"/>
      <c r="S97" s="154">
        <v>3.72</v>
      </c>
      <c r="T97" s="154"/>
      <c r="U97" s="159"/>
      <c r="V97" s="155"/>
      <c r="W97" s="159"/>
      <c r="X97" s="157">
        <v>3.72</v>
      </c>
      <c r="Y97" s="159"/>
      <c r="Z97" s="157">
        <v>3.72</v>
      </c>
      <c r="AA97" s="156"/>
      <c r="AB97" s="154"/>
      <c r="AC97" s="154">
        <v>3.72</v>
      </c>
      <c r="AD97" s="154"/>
      <c r="AE97" s="159"/>
      <c r="AF97" s="155"/>
      <c r="AG97" s="156"/>
      <c r="AH97" s="49">
        <v>92</v>
      </c>
      <c r="AI97" s="98"/>
      <c r="AJ97" s="98"/>
      <c r="AK97" s="98"/>
      <c r="AL97" s="98"/>
      <c r="AM97" s="98"/>
      <c r="AN97" s="70"/>
    </row>
    <row r="98" spans="1:40" s="51" customFormat="1" ht="31" x14ac:dyDescent="0.6">
      <c r="A98" s="273">
        <v>986231</v>
      </c>
      <c r="B98" s="272" t="s">
        <v>781</v>
      </c>
      <c r="C98" s="158">
        <v>12</v>
      </c>
      <c r="D98" s="218"/>
      <c r="E98" s="154"/>
      <c r="F98" s="154"/>
      <c r="G98" s="154">
        <v>3.98</v>
      </c>
      <c r="H98" s="155"/>
      <c r="I98" s="156"/>
      <c r="J98" s="155"/>
      <c r="K98" s="154"/>
      <c r="L98" s="154">
        <v>3.98</v>
      </c>
      <c r="M98" s="154"/>
      <c r="N98" s="154">
        <v>3.98</v>
      </c>
      <c r="O98" s="157"/>
      <c r="P98" s="157">
        <v>3.98</v>
      </c>
      <c r="Q98" s="157"/>
      <c r="R98" s="154"/>
      <c r="S98" s="157">
        <v>3.98</v>
      </c>
      <c r="T98" s="155"/>
      <c r="U98" s="156"/>
      <c r="V98" s="155"/>
      <c r="W98" s="159"/>
      <c r="X98" s="159">
        <v>3.98</v>
      </c>
      <c r="Y98" s="159"/>
      <c r="Z98" s="159">
        <v>3.98</v>
      </c>
      <c r="AA98" s="157"/>
      <c r="AB98" s="154"/>
      <c r="AC98" s="157">
        <v>3.98</v>
      </c>
      <c r="AD98" s="155"/>
      <c r="AE98" s="156"/>
      <c r="AF98" s="155"/>
      <c r="AG98" s="157"/>
      <c r="AH98" s="49">
        <v>93</v>
      </c>
      <c r="AI98" s="98"/>
      <c r="AJ98" s="98"/>
      <c r="AK98" s="98"/>
      <c r="AL98" s="98"/>
      <c r="AM98" s="98"/>
      <c r="AN98" s="70"/>
    </row>
    <row r="99" spans="1:40" s="51" customFormat="1" ht="31" x14ac:dyDescent="0.6">
      <c r="A99" s="273">
        <v>987692</v>
      </c>
      <c r="B99" s="272" t="s">
        <v>79</v>
      </c>
      <c r="C99" s="158">
        <v>12</v>
      </c>
      <c r="D99" s="172" t="s">
        <v>129</v>
      </c>
      <c r="E99" s="158"/>
      <c r="F99" s="154"/>
      <c r="G99" s="154">
        <v>1.94</v>
      </c>
      <c r="H99" s="155"/>
      <c r="I99" s="159"/>
      <c r="J99" s="155"/>
      <c r="K99" s="154"/>
      <c r="L99" s="154">
        <v>2.4900000000000002</v>
      </c>
      <c r="M99" s="154"/>
      <c r="N99" s="154">
        <v>2.4900000000000002</v>
      </c>
      <c r="O99" s="157"/>
      <c r="P99" s="154">
        <v>2.4900000000000002</v>
      </c>
      <c r="Q99" s="156"/>
      <c r="R99" s="154"/>
      <c r="S99" s="154">
        <v>1.94</v>
      </c>
      <c r="T99" s="155"/>
      <c r="U99" s="159"/>
      <c r="V99" s="155"/>
      <c r="W99" s="159"/>
      <c r="X99" s="158">
        <v>1.94</v>
      </c>
      <c r="Y99" s="159"/>
      <c r="Z99" s="158">
        <v>1.94</v>
      </c>
      <c r="AA99" s="156"/>
      <c r="AB99" s="154"/>
      <c r="AC99" s="154">
        <v>1.94</v>
      </c>
      <c r="AD99" s="155"/>
      <c r="AE99" s="159"/>
      <c r="AF99" s="155"/>
      <c r="AG99" s="156"/>
      <c r="AH99" s="49">
        <v>94</v>
      </c>
      <c r="AI99" s="98"/>
      <c r="AJ99" s="98"/>
      <c r="AK99" s="98"/>
      <c r="AL99" s="98"/>
      <c r="AM99" s="98"/>
      <c r="AN99" s="70"/>
    </row>
    <row r="100" spans="1:40" s="51" customFormat="1" ht="31" x14ac:dyDescent="0.6">
      <c r="A100" s="158">
        <v>995176</v>
      </c>
      <c r="B100" s="272" t="s">
        <v>729</v>
      </c>
      <c r="C100" s="158">
        <v>6</v>
      </c>
      <c r="D100" s="172"/>
      <c r="E100" s="154" t="s">
        <v>462</v>
      </c>
      <c r="F100" s="154"/>
      <c r="G100" s="154">
        <v>3.69</v>
      </c>
      <c r="H100" s="155"/>
      <c r="I100" s="156"/>
      <c r="J100" s="155"/>
      <c r="K100" s="154"/>
      <c r="L100" s="154">
        <v>3.69</v>
      </c>
      <c r="M100" s="154"/>
      <c r="N100" s="154">
        <v>3.69</v>
      </c>
      <c r="O100" s="154"/>
      <c r="P100" s="154">
        <v>3.69</v>
      </c>
      <c r="Q100" s="157"/>
      <c r="R100" s="154"/>
      <c r="S100" s="154">
        <v>3.69</v>
      </c>
      <c r="T100" s="155"/>
      <c r="U100" s="156"/>
      <c r="V100" s="155"/>
      <c r="W100" s="157"/>
      <c r="X100" s="158">
        <v>3.69</v>
      </c>
      <c r="Y100" s="157"/>
      <c r="Z100" s="158">
        <v>3.69</v>
      </c>
      <c r="AA100" s="157"/>
      <c r="AB100" s="154"/>
      <c r="AC100" s="154">
        <v>3.69</v>
      </c>
      <c r="AD100" s="155"/>
      <c r="AE100" s="156"/>
      <c r="AF100" s="155"/>
      <c r="AG100" s="157"/>
      <c r="AH100" s="49">
        <v>95</v>
      </c>
      <c r="AI100" s="98"/>
      <c r="AJ100" s="98"/>
      <c r="AK100" s="98"/>
      <c r="AL100" s="98"/>
      <c r="AM100" s="98"/>
      <c r="AN100" s="70"/>
    </row>
    <row r="101" spans="1:40" s="51" customFormat="1" ht="31" x14ac:dyDescent="0.6">
      <c r="A101" s="158">
        <v>995178</v>
      </c>
      <c r="B101" s="272" t="s">
        <v>704</v>
      </c>
      <c r="C101" s="158">
        <v>6</v>
      </c>
      <c r="D101" s="172"/>
      <c r="E101" s="154" t="s">
        <v>462</v>
      </c>
      <c r="F101" s="154"/>
      <c r="G101" s="154">
        <v>4.6900000000000004</v>
      </c>
      <c r="H101" s="155"/>
      <c r="I101" s="156"/>
      <c r="J101" s="155"/>
      <c r="K101" s="154"/>
      <c r="L101" s="154">
        <v>4.6900000000000004</v>
      </c>
      <c r="M101" s="154"/>
      <c r="N101" s="154">
        <v>4.6900000000000004</v>
      </c>
      <c r="O101" s="157"/>
      <c r="P101" s="154">
        <v>4.6900000000000004</v>
      </c>
      <c r="Q101" s="157"/>
      <c r="R101" s="154"/>
      <c r="S101" s="154">
        <v>4.6900000000000004</v>
      </c>
      <c r="T101" s="155"/>
      <c r="U101" s="156"/>
      <c r="V101" s="155"/>
      <c r="W101" s="157"/>
      <c r="X101" s="158">
        <v>4.6900000000000004</v>
      </c>
      <c r="Y101" s="157"/>
      <c r="Z101" s="158">
        <v>4.6900000000000004</v>
      </c>
      <c r="AA101" s="157"/>
      <c r="AB101" s="154"/>
      <c r="AC101" s="154">
        <v>4.6900000000000004</v>
      </c>
      <c r="AD101" s="155"/>
      <c r="AE101" s="156"/>
      <c r="AF101" s="155"/>
      <c r="AG101" s="157"/>
      <c r="AH101" s="49">
        <v>96</v>
      </c>
      <c r="AI101" s="98"/>
      <c r="AJ101" s="98"/>
      <c r="AK101" s="98"/>
      <c r="AL101" s="98"/>
      <c r="AM101" s="98"/>
      <c r="AN101" s="70"/>
    </row>
    <row r="102" spans="1:40" s="51" customFormat="1" ht="31" x14ac:dyDescent="0.6">
      <c r="A102" s="158">
        <v>995152</v>
      </c>
      <c r="B102" s="272" t="s">
        <v>568</v>
      </c>
      <c r="C102" s="158">
        <v>6</v>
      </c>
      <c r="D102" s="172"/>
      <c r="E102" s="154" t="s">
        <v>462</v>
      </c>
      <c r="F102" s="154"/>
      <c r="G102" s="154">
        <v>2.99</v>
      </c>
      <c r="H102" s="155"/>
      <c r="I102" s="156"/>
      <c r="J102" s="155"/>
      <c r="K102" s="154"/>
      <c r="L102" s="154">
        <v>2.99</v>
      </c>
      <c r="M102" s="154"/>
      <c r="N102" s="154">
        <v>2.99</v>
      </c>
      <c r="O102" s="157"/>
      <c r="P102" s="154">
        <v>2.99</v>
      </c>
      <c r="Q102" s="156"/>
      <c r="R102" s="154"/>
      <c r="S102" s="154">
        <v>2.99</v>
      </c>
      <c r="T102" s="158"/>
      <c r="U102" s="159"/>
      <c r="V102" s="155"/>
      <c r="W102" s="157"/>
      <c r="X102" s="154">
        <v>2.99</v>
      </c>
      <c r="Y102" s="157"/>
      <c r="Z102" s="154">
        <v>2.99</v>
      </c>
      <c r="AA102" s="156"/>
      <c r="AB102" s="154"/>
      <c r="AC102" s="154">
        <v>2.99</v>
      </c>
      <c r="AD102" s="158"/>
      <c r="AE102" s="159"/>
      <c r="AF102" s="155"/>
      <c r="AG102" s="156"/>
      <c r="AH102" s="49">
        <v>97</v>
      </c>
      <c r="AI102" s="98"/>
      <c r="AJ102" s="98"/>
      <c r="AK102" s="98"/>
      <c r="AL102" s="98"/>
      <c r="AM102" s="98"/>
      <c r="AN102" s="70"/>
    </row>
    <row r="103" spans="1:40" s="51" customFormat="1" ht="31" x14ac:dyDescent="0.6">
      <c r="A103" s="273">
        <v>988970</v>
      </c>
      <c r="B103" s="272" t="s">
        <v>71</v>
      </c>
      <c r="C103" s="158">
        <v>6</v>
      </c>
      <c r="D103" s="172"/>
      <c r="E103" s="158" t="s">
        <v>462</v>
      </c>
      <c r="F103" s="154"/>
      <c r="G103" s="154">
        <v>2.33</v>
      </c>
      <c r="H103" s="155"/>
      <c r="I103" s="156"/>
      <c r="J103" s="155"/>
      <c r="K103" s="154"/>
      <c r="L103" s="154">
        <v>2.69</v>
      </c>
      <c r="M103" s="154"/>
      <c r="N103" s="154">
        <v>2.69</v>
      </c>
      <c r="O103" s="154"/>
      <c r="P103" s="154">
        <v>2.69</v>
      </c>
      <c r="Q103" s="161"/>
      <c r="R103" s="154"/>
      <c r="S103" s="154">
        <v>2.33</v>
      </c>
      <c r="T103" s="158"/>
      <c r="U103" s="159"/>
      <c r="V103" s="155"/>
      <c r="W103" s="158"/>
      <c r="X103" s="158">
        <v>2.33</v>
      </c>
      <c r="Y103" s="158"/>
      <c r="Z103" s="158">
        <v>2.33</v>
      </c>
      <c r="AA103" s="156"/>
      <c r="AB103" s="154"/>
      <c r="AC103" s="158">
        <v>2.33</v>
      </c>
      <c r="AD103" s="158"/>
      <c r="AE103" s="159"/>
      <c r="AF103" s="155"/>
      <c r="AG103" s="157"/>
      <c r="AH103" s="49">
        <v>98</v>
      </c>
      <c r="AI103" s="98"/>
      <c r="AJ103" s="98"/>
      <c r="AK103" s="98"/>
      <c r="AL103" s="98"/>
      <c r="AM103" s="98"/>
      <c r="AN103" s="70"/>
    </row>
    <row r="104" spans="1:40" s="51" customFormat="1" ht="31" x14ac:dyDescent="0.6">
      <c r="A104" s="273">
        <v>988810</v>
      </c>
      <c r="B104" s="272" t="s">
        <v>75</v>
      </c>
      <c r="C104" s="158">
        <v>12</v>
      </c>
      <c r="D104" s="172"/>
      <c r="E104" s="158" t="s">
        <v>462</v>
      </c>
      <c r="F104" s="154"/>
      <c r="G104" s="154">
        <v>2.08</v>
      </c>
      <c r="H104" s="155"/>
      <c r="I104" s="156"/>
      <c r="J104" s="155"/>
      <c r="K104" s="154"/>
      <c r="L104" s="154">
        <v>2.29</v>
      </c>
      <c r="M104" s="154"/>
      <c r="N104" s="154">
        <v>2.29</v>
      </c>
      <c r="O104" s="157"/>
      <c r="P104" s="157">
        <v>2.29</v>
      </c>
      <c r="Q104" s="156"/>
      <c r="R104" s="154"/>
      <c r="S104" s="154">
        <v>2.08</v>
      </c>
      <c r="T104" s="158"/>
      <c r="U104" s="159"/>
      <c r="V104" s="155"/>
      <c r="W104" s="159"/>
      <c r="X104" s="159">
        <v>2.08</v>
      </c>
      <c r="Y104" s="159"/>
      <c r="Z104" s="159">
        <v>2.08</v>
      </c>
      <c r="AA104" s="156"/>
      <c r="AB104" s="154"/>
      <c r="AC104" s="154">
        <v>2.08</v>
      </c>
      <c r="AD104" s="158"/>
      <c r="AE104" s="168"/>
      <c r="AF104" s="155"/>
      <c r="AG104" s="156"/>
      <c r="AH104" s="49">
        <v>99</v>
      </c>
      <c r="AI104" s="98"/>
      <c r="AJ104" s="98"/>
      <c r="AK104" s="98"/>
      <c r="AL104" s="98" t="s">
        <v>128</v>
      </c>
      <c r="AM104" s="98"/>
      <c r="AN104" s="70"/>
    </row>
    <row r="105" spans="1:40" s="51" customFormat="1" ht="31" x14ac:dyDescent="0.6">
      <c r="A105" s="273">
        <v>988850</v>
      </c>
      <c r="B105" s="272" t="s">
        <v>69</v>
      </c>
      <c r="C105" s="158">
        <v>12</v>
      </c>
      <c r="D105" s="172"/>
      <c r="E105" s="158" t="s">
        <v>462</v>
      </c>
      <c r="F105" s="154"/>
      <c r="G105" s="154">
        <v>2.1800000000000002</v>
      </c>
      <c r="H105" s="155"/>
      <c r="I105" s="156"/>
      <c r="J105" s="155"/>
      <c r="K105" s="154"/>
      <c r="L105" s="154">
        <v>2.39</v>
      </c>
      <c r="M105" s="154"/>
      <c r="N105" s="154">
        <v>2.39</v>
      </c>
      <c r="O105" s="157"/>
      <c r="P105" s="157">
        <v>2.39</v>
      </c>
      <c r="Q105" s="156"/>
      <c r="R105" s="154"/>
      <c r="S105" s="154">
        <v>2.1800000000000002</v>
      </c>
      <c r="T105" s="155"/>
      <c r="U105" s="156"/>
      <c r="V105" s="155"/>
      <c r="W105" s="159"/>
      <c r="X105" s="159">
        <v>2.1800000000000002</v>
      </c>
      <c r="Y105" s="159"/>
      <c r="Z105" s="159">
        <v>2.1800000000000002</v>
      </c>
      <c r="AA105" s="156"/>
      <c r="AB105" s="154"/>
      <c r="AC105" s="154">
        <v>2.1800000000000002</v>
      </c>
      <c r="AD105" s="155"/>
      <c r="AE105" s="156"/>
      <c r="AF105" s="155"/>
      <c r="AG105" s="156"/>
      <c r="AH105" s="49">
        <v>100</v>
      </c>
      <c r="AI105" s="98"/>
      <c r="AJ105" s="98"/>
      <c r="AK105" s="98"/>
      <c r="AL105" s="98" t="s">
        <v>128</v>
      </c>
      <c r="AM105" s="98"/>
      <c r="AN105" s="70"/>
    </row>
    <row r="106" spans="1:40" s="51" customFormat="1" ht="31" x14ac:dyDescent="0.6">
      <c r="A106" s="273">
        <v>988890</v>
      </c>
      <c r="B106" s="272" t="s">
        <v>72</v>
      </c>
      <c r="C106" s="158">
        <v>12</v>
      </c>
      <c r="D106" s="172" t="s">
        <v>129</v>
      </c>
      <c r="E106" s="158"/>
      <c r="F106" s="154"/>
      <c r="G106" s="154">
        <v>2.54</v>
      </c>
      <c r="H106" s="158"/>
      <c r="I106" s="159"/>
      <c r="J106" s="155"/>
      <c r="K106" s="154"/>
      <c r="L106" s="154">
        <v>2.79</v>
      </c>
      <c r="M106" s="154"/>
      <c r="N106" s="154">
        <v>2.79</v>
      </c>
      <c r="O106" s="157"/>
      <c r="P106" s="157">
        <v>2.79</v>
      </c>
      <c r="Q106" s="156"/>
      <c r="R106" s="154"/>
      <c r="S106" s="154">
        <v>2.54</v>
      </c>
      <c r="T106" s="158"/>
      <c r="U106" s="159"/>
      <c r="V106" s="155"/>
      <c r="W106" s="157"/>
      <c r="X106" s="157">
        <v>2.54</v>
      </c>
      <c r="Y106" s="157"/>
      <c r="Z106" s="157">
        <v>2.54</v>
      </c>
      <c r="AA106" s="156"/>
      <c r="AB106" s="154"/>
      <c r="AC106" s="154">
        <v>2.54</v>
      </c>
      <c r="AD106" s="158"/>
      <c r="AE106" s="159"/>
      <c r="AF106" s="155"/>
      <c r="AG106" s="156"/>
      <c r="AH106" s="49">
        <v>101</v>
      </c>
      <c r="AI106" s="98"/>
      <c r="AJ106" s="98"/>
      <c r="AK106" s="98"/>
      <c r="AL106" s="98"/>
      <c r="AM106" s="98"/>
      <c r="AN106" s="70"/>
    </row>
    <row r="107" spans="1:40" s="51" customFormat="1" ht="31" x14ac:dyDescent="0.6">
      <c r="A107" s="273">
        <v>988930</v>
      </c>
      <c r="B107" s="272" t="s">
        <v>73</v>
      </c>
      <c r="C107" s="158">
        <v>12</v>
      </c>
      <c r="D107" s="275"/>
      <c r="E107" s="158" t="s">
        <v>462</v>
      </c>
      <c r="F107" s="154"/>
      <c r="G107" s="154">
        <v>2.67</v>
      </c>
      <c r="H107" s="158"/>
      <c r="I107" s="159"/>
      <c r="J107" s="155"/>
      <c r="K107" s="154"/>
      <c r="L107" s="154">
        <v>2.89</v>
      </c>
      <c r="M107" s="154"/>
      <c r="N107" s="154">
        <v>2.89</v>
      </c>
      <c r="O107" s="157"/>
      <c r="P107" s="154">
        <v>2.89</v>
      </c>
      <c r="Q107" s="156"/>
      <c r="R107" s="154"/>
      <c r="S107" s="154">
        <v>2.67</v>
      </c>
      <c r="T107" s="158"/>
      <c r="U107" s="159"/>
      <c r="V107" s="155"/>
      <c r="W107" s="159"/>
      <c r="X107" s="158">
        <v>2.67</v>
      </c>
      <c r="Y107" s="159"/>
      <c r="Z107" s="158">
        <v>2.67</v>
      </c>
      <c r="AA107" s="156"/>
      <c r="AB107" s="154"/>
      <c r="AC107" s="154">
        <v>2.67</v>
      </c>
      <c r="AD107" s="158"/>
      <c r="AE107" s="159"/>
      <c r="AF107" s="155"/>
      <c r="AG107" s="156"/>
      <c r="AH107" s="49">
        <v>102</v>
      </c>
      <c r="AI107" s="98"/>
      <c r="AJ107" s="98"/>
      <c r="AK107" s="98"/>
      <c r="AL107" s="98" t="s">
        <v>128</v>
      </c>
      <c r="AM107" s="98"/>
      <c r="AN107" s="70"/>
    </row>
    <row r="108" spans="1:40" s="51" customFormat="1" ht="31" x14ac:dyDescent="0.6">
      <c r="A108" s="273">
        <v>989007</v>
      </c>
      <c r="B108" s="272" t="s">
        <v>613</v>
      </c>
      <c r="C108" s="158">
        <v>6</v>
      </c>
      <c r="D108" s="218"/>
      <c r="E108" s="154" t="s">
        <v>462</v>
      </c>
      <c r="F108" s="154"/>
      <c r="G108" s="154">
        <v>3.99</v>
      </c>
      <c r="H108" s="155"/>
      <c r="I108" s="156"/>
      <c r="J108" s="155"/>
      <c r="K108" s="154"/>
      <c r="L108" s="154">
        <v>3.99</v>
      </c>
      <c r="M108" s="154"/>
      <c r="N108" s="154">
        <v>3.99</v>
      </c>
      <c r="O108" s="157"/>
      <c r="P108" s="154">
        <v>3.99</v>
      </c>
      <c r="Q108" s="157"/>
      <c r="R108" s="154"/>
      <c r="S108" s="154">
        <v>3.79</v>
      </c>
      <c r="T108" s="155"/>
      <c r="U108" s="156"/>
      <c r="V108" s="155"/>
      <c r="W108" s="159"/>
      <c r="X108" s="158">
        <v>3.79</v>
      </c>
      <c r="Y108" s="159"/>
      <c r="Z108" s="158">
        <v>3.79</v>
      </c>
      <c r="AA108" s="157"/>
      <c r="AB108" s="154"/>
      <c r="AC108" s="154">
        <v>3.79</v>
      </c>
      <c r="AD108" s="155"/>
      <c r="AE108" s="156"/>
      <c r="AF108" s="155"/>
      <c r="AG108" s="157"/>
      <c r="AH108" s="49">
        <v>103</v>
      </c>
      <c r="AI108" s="98"/>
      <c r="AJ108" s="98"/>
      <c r="AK108" s="98"/>
      <c r="AL108" s="98"/>
      <c r="AM108" s="98"/>
      <c r="AN108" s="70"/>
    </row>
    <row r="109" spans="1:40" s="51" customFormat="1" ht="31" x14ac:dyDescent="0.6">
      <c r="A109" s="273">
        <v>985760</v>
      </c>
      <c r="B109" s="272" t="s">
        <v>70</v>
      </c>
      <c r="C109" s="158">
        <v>11</v>
      </c>
      <c r="D109" s="172"/>
      <c r="E109" s="158"/>
      <c r="F109" s="154"/>
      <c r="G109" s="154">
        <v>2.99</v>
      </c>
      <c r="H109" s="158"/>
      <c r="I109" s="159"/>
      <c r="J109" s="155"/>
      <c r="K109" s="154"/>
      <c r="L109" s="154">
        <v>3.49</v>
      </c>
      <c r="M109" s="154"/>
      <c r="N109" s="154">
        <v>3.49</v>
      </c>
      <c r="O109" s="157"/>
      <c r="P109" s="154">
        <v>3.49</v>
      </c>
      <c r="Q109" s="156"/>
      <c r="R109" s="158"/>
      <c r="S109" s="158">
        <v>2.99</v>
      </c>
      <c r="T109" s="158"/>
      <c r="U109" s="159"/>
      <c r="V109" s="155"/>
      <c r="W109" s="159"/>
      <c r="X109" s="158">
        <v>2.99</v>
      </c>
      <c r="Y109" s="159"/>
      <c r="Z109" s="158">
        <v>2.99</v>
      </c>
      <c r="AA109" s="156"/>
      <c r="AB109" s="154"/>
      <c r="AC109" s="154">
        <v>2.99</v>
      </c>
      <c r="AD109" s="158"/>
      <c r="AE109" s="159"/>
      <c r="AF109" s="155"/>
      <c r="AG109" s="156"/>
      <c r="AH109" s="49">
        <v>104</v>
      </c>
      <c r="AI109" s="98"/>
      <c r="AJ109" s="98"/>
      <c r="AK109" s="98"/>
      <c r="AL109" s="98" t="s">
        <v>128</v>
      </c>
      <c r="AM109" s="98"/>
      <c r="AN109" s="70"/>
    </row>
    <row r="110" spans="1:40" s="51" customFormat="1" ht="31" x14ac:dyDescent="0.6">
      <c r="A110" s="273">
        <v>995144</v>
      </c>
      <c r="B110" s="272" t="s">
        <v>608</v>
      </c>
      <c r="C110" s="158">
        <v>16</v>
      </c>
      <c r="D110" s="218"/>
      <c r="E110" s="154"/>
      <c r="F110" s="154"/>
      <c r="G110" s="154">
        <v>4.18</v>
      </c>
      <c r="H110" s="155"/>
      <c r="I110" s="156"/>
      <c r="J110" s="155"/>
      <c r="K110" s="154"/>
      <c r="L110" s="154">
        <v>4.17</v>
      </c>
      <c r="M110" s="154"/>
      <c r="N110" s="154">
        <v>4.17</v>
      </c>
      <c r="O110" s="157"/>
      <c r="P110" s="157">
        <v>4.17</v>
      </c>
      <c r="Q110" s="157"/>
      <c r="R110" s="154"/>
      <c r="S110" s="154">
        <v>4.18</v>
      </c>
      <c r="T110" s="155"/>
      <c r="U110" s="156"/>
      <c r="V110" s="155"/>
      <c r="W110" s="157"/>
      <c r="X110" s="157">
        <v>4.18</v>
      </c>
      <c r="Y110" s="157"/>
      <c r="Z110" s="157">
        <v>4.18</v>
      </c>
      <c r="AA110" s="157"/>
      <c r="AB110" s="154"/>
      <c r="AC110" s="154">
        <v>4.18</v>
      </c>
      <c r="AD110" s="155"/>
      <c r="AE110" s="156"/>
      <c r="AF110" s="155"/>
      <c r="AG110" s="164"/>
      <c r="AH110" s="49">
        <v>105</v>
      </c>
      <c r="AI110" s="98"/>
      <c r="AJ110" s="98"/>
      <c r="AK110" s="98"/>
      <c r="AL110" s="98"/>
      <c r="AM110" s="98"/>
      <c r="AN110" s="70"/>
    </row>
    <row r="111" spans="1:40" s="51" customFormat="1" ht="31" x14ac:dyDescent="0.6">
      <c r="A111" s="276">
        <v>988532</v>
      </c>
      <c r="B111" s="277" t="s">
        <v>571</v>
      </c>
      <c r="C111" s="169">
        <v>20</v>
      </c>
      <c r="D111" s="172" t="s">
        <v>129</v>
      </c>
      <c r="E111" s="169"/>
      <c r="F111" s="170"/>
      <c r="G111" s="170">
        <v>1.99</v>
      </c>
      <c r="H111" s="160"/>
      <c r="I111" s="171"/>
      <c r="J111" s="160"/>
      <c r="K111" s="170"/>
      <c r="L111" s="170">
        <v>1.99</v>
      </c>
      <c r="M111" s="170"/>
      <c r="N111" s="170">
        <v>1.99</v>
      </c>
      <c r="O111" s="157"/>
      <c r="P111" s="157">
        <v>1.99</v>
      </c>
      <c r="Q111" s="156"/>
      <c r="R111" s="170"/>
      <c r="S111" s="170">
        <v>1.99</v>
      </c>
      <c r="T111" s="154"/>
      <c r="U111" s="172"/>
      <c r="V111" s="160"/>
      <c r="W111" s="157"/>
      <c r="X111" s="157">
        <v>1.99</v>
      </c>
      <c r="Y111" s="157"/>
      <c r="Z111" s="157">
        <v>1.99</v>
      </c>
      <c r="AA111" s="156"/>
      <c r="AB111" s="170"/>
      <c r="AC111" s="170">
        <v>1.99</v>
      </c>
      <c r="AD111" s="170"/>
      <c r="AE111" s="172"/>
      <c r="AF111" s="160"/>
      <c r="AG111" s="156"/>
      <c r="AH111" s="49">
        <v>106</v>
      </c>
      <c r="AI111" s="95"/>
      <c r="AJ111" s="95"/>
      <c r="AK111" s="95"/>
      <c r="AL111" s="95" t="s">
        <v>128</v>
      </c>
      <c r="AM111" s="95"/>
      <c r="AN111" s="70"/>
    </row>
    <row r="112" spans="1:40" s="51" customFormat="1" ht="31" x14ac:dyDescent="0.6">
      <c r="A112" s="278">
        <v>984831</v>
      </c>
      <c r="B112" s="279" t="s">
        <v>74</v>
      </c>
      <c r="C112" s="173">
        <v>12</v>
      </c>
      <c r="D112" s="172"/>
      <c r="E112" s="173"/>
      <c r="F112" s="174"/>
      <c r="G112" s="174">
        <v>2.99</v>
      </c>
      <c r="H112" s="168"/>
      <c r="I112" s="159"/>
      <c r="J112" s="175"/>
      <c r="K112" s="174"/>
      <c r="L112" s="174">
        <v>3.59</v>
      </c>
      <c r="M112" s="174"/>
      <c r="N112" s="174">
        <v>3.59</v>
      </c>
      <c r="O112" s="157"/>
      <c r="P112" s="174">
        <v>3.59</v>
      </c>
      <c r="Q112" s="156"/>
      <c r="R112" s="174"/>
      <c r="S112" s="174">
        <v>2.99</v>
      </c>
      <c r="T112" s="168"/>
      <c r="U112" s="159"/>
      <c r="V112" s="175"/>
      <c r="W112" s="159"/>
      <c r="X112" s="173">
        <v>2.99</v>
      </c>
      <c r="Y112" s="159"/>
      <c r="Z112" s="173">
        <v>2.99</v>
      </c>
      <c r="AA112" s="156"/>
      <c r="AB112" s="174"/>
      <c r="AC112" s="174">
        <v>2.99</v>
      </c>
      <c r="AD112" s="176"/>
      <c r="AE112" s="157"/>
      <c r="AF112" s="175"/>
      <c r="AG112" s="156"/>
      <c r="AH112" s="49">
        <v>107</v>
      </c>
      <c r="AI112" s="93"/>
      <c r="AJ112" s="93"/>
      <c r="AK112" s="93"/>
      <c r="AL112" s="93"/>
      <c r="AM112" s="93"/>
      <c r="AN112" s="70"/>
    </row>
    <row r="113" spans="1:40" s="51" customFormat="1" ht="31" x14ac:dyDescent="0.6">
      <c r="A113" s="273">
        <v>983810</v>
      </c>
      <c r="B113" s="272" t="s">
        <v>748</v>
      </c>
      <c r="C113" s="280">
        <v>12</v>
      </c>
      <c r="D113" s="218"/>
      <c r="E113" s="154" t="s">
        <v>638</v>
      </c>
      <c r="F113" s="154"/>
      <c r="G113" s="154">
        <v>3.99</v>
      </c>
      <c r="H113" s="155"/>
      <c r="I113" s="156"/>
      <c r="J113" s="155"/>
      <c r="K113" s="154"/>
      <c r="L113" s="154">
        <v>4.29</v>
      </c>
      <c r="M113" s="154"/>
      <c r="N113" s="154">
        <v>4.29</v>
      </c>
      <c r="O113" s="157"/>
      <c r="P113" s="154">
        <v>4.29</v>
      </c>
      <c r="Q113" s="157"/>
      <c r="R113" s="154"/>
      <c r="S113" s="154">
        <v>3.99</v>
      </c>
      <c r="T113" s="155"/>
      <c r="U113" s="156"/>
      <c r="V113" s="155"/>
      <c r="W113" s="159"/>
      <c r="X113" s="158">
        <v>3.99</v>
      </c>
      <c r="Y113" s="159"/>
      <c r="Z113" s="158">
        <v>3.99</v>
      </c>
      <c r="AA113" s="157"/>
      <c r="AB113" s="154"/>
      <c r="AC113" s="154">
        <v>3.99</v>
      </c>
      <c r="AD113" s="155"/>
      <c r="AE113" s="156"/>
      <c r="AF113" s="155"/>
      <c r="AG113" s="157"/>
      <c r="AH113" s="49">
        <v>108</v>
      </c>
      <c r="AI113" s="98"/>
      <c r="AJ113" s="98"/>
      <c r="AK113" s="98"/>
      <c r="AL113" s="98"/>
      <c r="AM113" s="98"/>
      <c r="AN113" s="70"/>
    </row>
    <row r="114" spans="1:40" s="51" customFormat="1" ht="31" x14ac:dyDescent="0.6">
      <c r="A114" s="273">
        <v>984080</v>
      </c>
      <c r="B114" s="272" t="s">
        <v>717</v>
      </c>
      <c r="C114" s="280">
        <v>6</v>
      </c>
      <c r="D114" s="172"/>
      <c r="E114" s="158"/>
      <c r="F114" s="154"/>
      <c r="G114" s="154">
        <v>4.9800000000000004</v>
      </c>
      <c r="H114" s="155"/>
      <c r="I114" s="159"/>
      <c r="J114" s="155"/>
      <c r="K114" s="154"/>
      <c r="L114" s="154">
        <v>5.33</v>
      </c>
      <c r="M114" s="154"/>
      <c r="N114" s="154">
        <v>5.33</v>
      </c>
      <c r="O114" s="157"/>
      <c r="P114" s="154">
        <v>5.33</v>
      </c>
      <c r="Q114" s="156"/>
      <c r="R114" s="154"/>
      <c r="S114" s="154">
        <v>4.9800000000000004</v>
      </c>
      <c r="T114" s="155"/>
      <c r="U114" s="159"/>
      <c r="V114" s="155"/>
      <c r="W114" s="159"/>
      <c r="X114" s="158">
        <v>4.9800000000000004</v>
      </c>
      <c r="Y114" s="159"/>
      <c r="Z114" s="158">
        <v>4.9800000000000004</v>
      </c>
      <c r="AA114" s="156"/>
      <c r="AB114" s="154"/>
      <c r="AC114" s="154">
        <v>4.9800000000000004</v>
      </c>
      <c r="AD114" s="155"/>
      <c r="AE114" s="159"/>
      <c r="AF114" s="155"/>
      <c r="AG114" s="156"/>
      <c r="AH114" s="49">
        <v>109</v>
      </c>
      <c r="AI114" s="98"/>
      <c r="AJ114" s="98"/>
      <c r="AK114" s="98"/>
      <c r="AL114" s="98"/>
      <c r="AM114" s="98"/>
      <c r="AN114" s="70"/>
    </row>
    <row r="115" spans="1:40" s="51" customFormat="1" ht="31" x14ac:dyDescent="0.6">
      <c r="A115" s="273">
        <v>985997</v>
      </c>
      <c r="B115" s="272" t="s">
        <v>735</v>
      </c>
      <c r="C115" s="280">
        <v>12</v>
      </c>
      <c r="D115" s="218"/>
      <c r="E115" s="154" t="s">
        <v>462</v>
      </c>
      <c r="F115" s="154"/>
      <c r="G115" s="154">
        <v>3.99</v>
      </c>
      <c r="H115" s="155"/>
      <c r="I115" s="156"/>
      <c r="J115" s="155"/>
      <c r="K115" s="154"/>
      <c r="L115" s="154">
        <v>3.99</v>
      </c>
      <c r="M115" s="154"/>
      <c r="N115" s="154">
        <v>3.99</v>
      </c>
      <c r="O115" s="157"/>
      <c r="P115" s="154">
        <v>3.99</v>
      </c>
      <c r="Q115" s="157"/>
      <c r="R115" s="154"/>
      <c r="S115" s="154">
        <v>3.99</v>
      </c>
      <c r="T115" s="155"/>
      <c r="U115" s="156"/>
      <c r="V115" s="155"/>
      <c r="W115" s="159"/>
      <c r="X115" s="158">
        <v>3.99</v>
      </c>
      <c r="Y115" s="159"/>
      <c r="Z115" s="158">
        <v>3.99</v>
      </c>
      <c r="AA115" s="157"/>
      <c r="AB115" s="154"/>
      <c r="AC115" s="154">
        <v>3.99</v>
      </c>
      <c r="AD115" s="155"/>
      <c r="AE115" s="156"/>
      <c r="AF115" s="155"/>
      <c r="AG115" s="157"/>
      <c r="AH115" s="49">
        <v>110</v>
      </c>
      <c r="AI115" s="98"/>
      <c r="AJ115" s="98"/>
      <c r="AK115" s="98"/>
      <c r="AL115" s="98"/>
      <c r="AM115" s="98"/>
      <c r="AN115" s="70"/>
    </row>
    <row r="116" spans="1:40" s="51" customFormat="1" ht="31" x14ac:dyDescent="0.6">
      <c r="A116" s="273">
        <v>995042</v>
      </c>
      <c r="B116" s="272" t="s">
        <v>443</v>
      </c>
      <c r="C116" s="158">
        <v>4</v>
      </c>
      <c r="D116" s="154"/>
      <c r="E116" s="154" t="s">
        <v>462</v>
      </c>
      <c r="F116" s="154"/>
      <c r="G116" s="154">
        <v>5.48</v>
      </c>
      <c r="H116" s="154"/>
      <c r="I116" s="157"/>
      <c r="J116" s="155"/>
      <c r="K116" s="154"/>
      <c r="L116" s="154">
        <v>6.29</v>
      </c>
      <c r="M116" s="154"/>
      <c r="N116" s="154">
        <v>6.29</v>
      </c>
      <c r="O116" s="154"/>
      <c r="P116" s="154">
        <v>6.29</v>
      </c>
      <c r="Q116" s="154"/>
      <c r="R116" s="154"/>
      <c r="S116" s="154">
        <v>5.48</v>
      </c>
      <c r="T116" s="154"/>
      <c r="U116" s="157"/>
      <c r="V116" s="156"/>
      <c r="W116" s="158"/>
      <c r="X116" s="158">
        <v>5.48</v>
      </c>
      <c r="Y116" s="158"/>
      <c r="Z116" s="158">
        <v>5.48</v>
      </c>
      <c r="AA116" s="156"/>
      <c r="AB116" s="154"/>
      <c r="AC116" s="154">
        <v>5.48</v>
      </c>
      <c r="AD116" s="157"/>
      <c r="AE116" s="154"/>
      <c r="AF116" s="156"/>
      <c r="AG116" s="156"/>
      <c r="AH116" s="49">
        <v>111</v>
      </c>
      <c r="AI116" s="98"/>
      <c r="AJ116" s="98"/>
      <c r="AK116" s="98"/>
      <c r="AL116" s="17" t="s">
        <v>128</v>
      </c>
      <c r="AM116" s="17"/>
    </row>
    <row r="117" spans="1:40" s="51" customFormat="1" ht="31" x14ac:dyDescent="0.6">
      <c r="A117" s="158">
        <v>995116</v>
      </c>
      <c r="B117" s="272" t="s">
        <v>369</v>
      </c>
      <c r="C117" s="158">
        <v>4</v>
      </c>
      <c r="D117" s="172"/>
      <c r="E117" s="154" t="s">
        <v>462</v>
      </c>
      <c r="F117" s="154"/>
      <c r="G117" s="154">
        <v>3.97</v>
      </c>
      <c r="H117" s="158"/>
      <c r="I117" s="159"/>
      <c r="J117" s="155"/>
      <c r="K117" s="154"/>
      <c r="L117" s="154">
        <v>3.97</v>
      </c>
      <c r="M117" s="154"/>
      <c r="N117" s="154">
        <v>3.97</v>
      </c>
      <c r="O117" s="157"/>
      <c r="P117" s="154">
        <v>3.97</v>
      </c>
      <c r="Q117" s="156"/>
      <c r="R117" s="154"/>
      <c r="S117" s="154">
        <v>3.97</v>
      </c>
      <c r="T117" s="158"/>
      <c r="U117" s="159"/>
      <c r="V117" s="156"/>
      <c r="W117" s="157"/>
      <c r="X117" s="154">
        <v>3.97</v>
      </c>
      <c r="Y117" s="157"/>
      <c r="Z117" s="154">
        <v>3.97</v>
      </c>
      <c r="AA117" s="156"/>
      <c r="AB117" s="154"/>
      <c r="AC117" s="154">
        <v>2.99</v>
      </c>
      <c r="AD117" s="159" t="s">
        <v>480</v>
      </c>
      <c r="AE117" s="159" t="s">
        <v>479</v>
      </c>
      <c r="AF117" s="156"/>
      <c r="AG117" s="156"/>
      <c r="AH117" s="49">
        <v>112</v>
      </c>
      <c r="AI117" s="98"/>
      <c r="AJ117" s="98"/>
      <c r="AK117" s="98"/>
      <c r="AL117" s="17" t="s">
        <v>128</v>
      </c>
      <c r="AM117" s="17"/>
    </row>
    <row r="118" spans="1:40" s="51" customFormat="1" ht="31" x14ac:dyDescent="0.6">
      <c r="A118" s="273">
        <v>995102</v>
      </c>
      <c r="B118" s="272" t="s">
        <v>66</v>
      </c>
      <c r="C118" s="158">
        <v>4</v>
      </c>
      <c r="D118" s="172"/>
      <c r="E118" s="154" t="s">
        <v>462</v>
      </c>
      <c r="F118" s="154"/>
      <c r="G118" s="154">
        <v>3.97</v>
      </c>
      <c r="H118" s="155"/>
      <c r="I118" s="156"/>
      <c r="J118" s="155"/>
      <c r="K118" s="154"/>
      <c r="L118" s="154">
        <v>5.29</v>
      </c>
      <c r="M118" s="154"/>
      <c r="N118" s="154">
        <v>5.29</v>
      </c>
      <c r="O118" s="157"/>
      <c r="P118" s="154">
        <v>5.29</v>
      </c>
      <c r="Q118" s="164"/>
      <c r="R118" s="154"/>
      <c r="S118" s="154">
        <v>3.97</v>
      </c>
      <c r="T118" s="155"/>
      <c r="U118" s="156"/>
      <c r="V118" s="155"/>
      <c r="W118" s="157"/>
      <c r="X118" s="154">
        <v>3.97</v>
      </c>
      <c r="Y118" s="157"/>
      <c r="Z118" s="154">
        <v>3.97</v>
      </c>
      <c r="AA118" s="164"/>
      <c r="AB118" s="154"/>
      <c r="AC118" s="154">
        <v>3.97</v>
      </c>
      <c r="AD118" s="155"/>
      <c r="AE118" s="156"/>
      <c r="AF118" s="155"/>
      <c r="AG118" s="164"/>
      <c r="AH118" s="49">
        <v>113</v>
      </c>
      <c r="AI118" s="98"/>
      <c r="AJ118" s="98"/>
      <c r="AK118" s="98"/>
      <c r="AL118" s="98" t="s">
        <v>128</v>
      </c>
      <c r="AM118" s="98"/>
      <c r="AN118" s="70"/>
    </row>
    <row r="119" spans="1:40" s="51" customFormat="1" ht="31" x14ac:dyDescent="0.6">
      <c r="A119" s="281">
        <v>995043</v>
      </c>
      <c r="B119" s="282" t="s">
        <v>446</v>
      </c>
      <c r="C119" s="168">
        <v>4</v>
      </c>
      <c r="D119" s="172"/>
      <c r="E119" s="176" t="s">
        <v>462</v>
      </c>
      <c r="F119" s="176"/>
      <c r="G119" s="176">
        <v>4.4800000000000004</v>
      </c>
      <c r="H119" s="176"/>
      <c r="I119" s="157"/>
      <c r="J119" s="177"/>
      <c r="K119" s="176"/>
      <c r="L119" s="176">
        <v>4.99</v>
      </c>
      <c r="M119" s="176"/>
      <c r="N119" s="176">
        <v>4.99</v>
      </c>
      <c r="O119" s="157"/>
      <c r="P119" s="176">
        <v>4.99</v>
      </c>
      <c r="Q119" s="157"/>
      <c r="R119" s="176"/>
      <c r="S119" s="176">
        <v>4.4800000000000004</v>
      </c>
      <c r="T119" s="176"/>
      <c r="U119" s="156"/>
      <c r="V119" s="177"/>
      <c r="W119" s="159"/>
      <c r="X119" s="168">
        <v>4.4800000000000004</v>
      </c>
      <c r="Y119" s="159"/>
      <c r="Z119" s="168">
        <v>4.4800000000000004</v>
      </c>
      <c r="AA119" s="157"/>
      <c r="AB119" s="176"/>
      <c r="AC119" s="176">
        <v>4.4800000000000004</v>
      </c>
      <c r="AD119" s="178"/>
      <c r="AE119" s="156"/>
      <c r="AF119" s="177"/>
      <c r="AG119" s="157"/>
      <c r="AH119" s="49">
        <v>114</v>
      </c>
      <c r="AI119" s="92"/>
      <c r="AJ119" s="92"/>
      <c r="AK119" s="92"/>
      <c r="AL119" s="92" t="s">
        <v>128</v>
      </c>
      <c r="AM119" s="92"/>
      <c r="AN119" s="70"/>
    </row>
    <row r="120" spans="1:40" s="51" customFormat="1" ht="31" x14ac:dyDescent="0.6">
      <c r="A120" s="283">
        <v>995041</v>
      </c>
      <c r="B120" s="284" t="s">
        <v>442</v>
      </c>
      <c r="C120" s="180">
        <v>4</v>
      </c>
      <c r="D120" s="172"/>
      <c r="E120" s="170"/>
      <c r="F120" s="170"/>
      <c r="G120" s="170">
        <v>4.4800000000000004</v>
      </c>
      <c r="H120" s="170"/>
      <c r="I120" s="157"/>
      <c r="J120" s="160"/>
      <c r="K120" s="170"/>
      <c r="L120" s="170">
        <v>4.99</v>
      </c>
      <c r="M120" s="170"/>
      <c r="N120" s="170">
        <v>4.99</v>
      </c>
      <c r="O120" s="157"/>
      <c r="P120" s="170">
        <v>4.99</v>
      </c>
      <c r="Q120" s="157"/>
      <c r="R120" s="170"/>
      <c r="S120" s="170">
        <v>4.4800000000000004</v>
      </c>
      <c r="T120" s="179"/>
      <c r="U120" s="156"/>
      <c r="V120" s="160"/>
      <c r="W120" s="159"/>
      <c r="X120" s="180">
        <v>4.4800000000000004</v>
      </c>
      <c r="Y120" s="159"/>
      <c r="Z120" s="180">
        <v>4.4800000000000004</v>
      </c>
      <c r="AA120" s="156"/>
      <c r="AB120" s="170"/>
      <c r="AC120" s="170">
        <v>4.4800000000000004</v>
      </c>
      <c r="AD120" s="179"/>
      <c r="AE120" s="156"/>
      <c r="AF120" s="160"/>
      <c r="AG120" s="160"/>
      <c r="AH120" s="49">
        <v>115</v>
      </c>
      <c r="AI120" s="143"/>
      <c r="AJ120" s="90"/>
      <c r="AK120" s="90"/>
      <c r="AL120" s="90" t="s">
        <v>128</v>
      </c>
      <c r="AM120" s="90"/>
      <c r="AN120" s="70"/>
    </row>
    <row r="121" spans="1:40" s="51" customFormat="1" ht="31" x14ac:dyDescent="0.6">
      <c r="A121" s="285">
        <v>995115</v>
      </c>
      <c r="B121" s="286" t="s">
        <v>368</v>
      </c>
      <c r="C121" s="183">
        <v>4</v>
      </c>
      <c r="D121" s="172"/>
      <c r="E121" s="179" t="s">
        <v>462</v>
      </c>
      <c r="F121" s="179"/>
      <c r="G121" s="179">
        <v>3.24</v>
      </c>
      <c r="H121" s="179"/>
      <c r="I121" s="157"/>
      <c r="J121" s="181"/>
      <c r="K121" s="179"/>
      <c r="L121" s="179">
        <v>3.29</v>
      </c>
      <c r="M121" s="179"/>
      <c r="N121" s="179">
        <v>3.29</v>
      </c>
      <c r="O121" s="157"/>
      <c r="P121" s="157">
        <v>3.29</v>
      </c>
      <c r="Q121" s="156"/>
      <c r="R121" s="179"/>
      <c r="S121" s="179">
        <v>3.24</v>
      </c>
      <c r="T121" s="179"/>
      <c r="U121" s="157"/>
      <c r="V121" s="181"/>
      <c r="W121" s="157"/>
      <c r="X121" s="157">
        <v>3.24</v>
      </c>
      <c r="Y121" s="157"/>
      <c r="Z121" s="157">
        <v>3.24</v>
      </c>
      <c r="AA121" s="156"/>
      <c r="AB121" s="179"/>
      <c r="AC121" s="179">
        <v>3.24</v>
      </c>
      <c r="AD121" s="179"/>
      <c r="AE121" s="157"/>
      <c r="AF121" s="181"/>
      <c r="AG121" s="156"/>
      <c r="AH121" s="49">
        <v>116</v>
      </c>
      <c r="AI121" s="83"/>
      <c r="AJ121" s="83"/>
      <c r="AK121" s="83"/>
      <c r="AL121" s="83" t="s">
        <v>128</v>
      </c>
      <c r="AM121" s="83"/>
      <c r="AN121" s="70"/>
    </row>
    <row r="122" spans="1:40" s="51" customFormat="1" ht="31" x14ac:dyDescent="0.6">
      <c r="A122" s="285">
        <v>995150</v>
      </c>
      <c r="B122" s="286" t="s">
        <v>593</v>
      </c>
      <c r="C122" s="183">
        <v>12</v>
      </c>
      <c r="D122" s="218"/>
      <c r="E122" s="179" t="s">
        <v>462</v>
      </c>
      <c r="F122" s="179"/>
      <c r="G122" s="179">
        <v>2.98</v>
      </c>
      <c r="H122" s="156"/>
      <c r="I122" s="156"/>
      <c r="J122" s="182"/>
      <c r="K122" s="179"/>
      <c r="L122" s="179">
        <v>2.98</v>
      </c>
      <c r="M122" s="179"/>
      <c r="N122" s="179">
        <v>2.98</v>
      </c>
      <c r="O122" s="179"/>
      <c r="P122" s="179">
        <v>2.98</v>
      </c>
      <c r="Q122" s="157"/>
      <c r="R122" s="179"/>
      <c r="S122" s="179">
        <v>2.98</v>
      </c>
      <c r="T122" s="181"/>
      <c r="U122" s="156"/>
      <c r="V122" s="155"/>
      <c r="W122" s="183"/>
      <c r="X122" s="183">
        <v>2.98</v>
      </c>
      <c r="Y122" s="183"/>
      <c r="Z122" s="183">
        <v>2.98</v>
      </c>
      <c r="AA122" s="157"/>
      <c r="AB122" s="179"/>
      <c r="AC122" s="179">
        <v>2.98</v>
      </c>
      <c r="AD122" s="181"/>
      <c r="AE122" s="156"/>
      <c r="AF122" s="155"/>
      <c r="AG122" s="184"/>
      <c r="AH122" s="49">
        <v>117</v>
      </c>
      <c r="AI122" s="17"/>
      <c r="AJ122" s="83"/>
      <c r="AK122" s="83"/>
      <c r="AL122" s="83"/>
      <c r="AM122" s="83"/>
      <c r="AN122" s="70"/>
    </row>
    <row r="123" spans="1:40" s="51" customFormat="1" ht="31" x14ac:dyDescent="0.6">
      <c r="A123" s="287">
        <v>983762</v>
      </c>
      <c r="B123" s="288" t="s">
        <v>789</v>
      </c>
      <c r="C123" s="289">
        <v>12</v>
      </c>
      <c r="D123" s="218"/>
      <c r="E123" s="185"/>
      <c r="F123" s="185"/>
      <c r="G123" s="185">
        <v>3.49</v>
      </c>
      <c r="H123" s="186"/>
      <c r="I123" s="156"/>
      <c r="J123" s="186"/>
      <c r="K123" s="185"/>
      <c r="L123" s="185">
        <v>3.49</v>
      </c>
      <c r="M123" s="185"/>
      <c r="N123" s="185">
        <v>3.49</v>
      </c>
      <c r="O123" s="157"/>
      <c r="P123" s="157">
        <v>3.49</v>
      </c>
      <c r="Q123" s="157"/>
      <c r="R123" s="185"/>
      <c r="S123" s="185">
        <v>3.49</v>
      </c>
      <c r="T123" s="186"/>
      <c r="U123" s="156"/>
      <c r="V123" s="186"/>
      <c r="W123" s="159"/>
      <c r="X123" s="157">
        <v>3.49</v>
      </c>
      <c r="Y123" s="159"/>
      <c r="Z123" s="157">
        <v>3.49</v>
      </c>
      <c r="AA123" s="157"/>
      <c r="AB123" s="185"/>
      <c r="AC123" s="185">
        <v>3.49</v>
      </c>
      <c r="AD123" s="186"/>
      <c r="AE123" s="156"/>
      <c r="AF123" s="186"/>
      <c r="AG123" s="157"/>
      <c r="AH123" s="49">
        <v>118</v>
      </c>
      <c r="AI123" s="69"/>
      <c r="AJ123" s="69"/>
      <c r="AK123" s="69"/>
      <c r="AL123" s="69"/>
      <c r="AM123" s="69"/>
      <c r="AN123" s="70"/>
    </row>
    <row r="124" spans="1:40" s="51" customFormat="1" ht="31" x14ac:dyDescent="0.6">
      <c r="A124" s="290">
        <v>984582</v>
      </c>
      <c r="B124" s="291" t="s">
        <v>569</v>
      </c>
      <c r="C124" s="292">
        <v>12</v>
      </c>
      <c r="D124" s="172"/>
      <c r="E124" s="187"/>
      <c r="F124" s="187"/>
      <c r="G124" s="187">
        <v>4.8600000000000003</v>
      </c>
      <c r="H124" s="155"/>
      <c r="I124" s="159"/>
      <c r="J124" s="188"/>
      <c r="K124" s="187"/>
      <c r="L124" s="187">
        <v>5.39</v>
      </c>
      <c r="M124" s="187"/>
      <c r="N124" s="187">
        <v>5.39</v>
      </c>
      <c r="O124" s="157"/>
      <c r="P124" s="187">
        <v>5.39</v>
      </c>
      <c r="Q124" s="156"/>
      <c r="R124" s="187"/>
      <c r="S124" s="187">
        <v>4.8600000000000003</v>
      </c>
      <c r="T124" s="155"/>
      <c r="U124" s="159"/>
      <c r="V124" s="188"/>
      <c r="W124" s="159"/>
      <c r="X124" s="187">
        <v>4.8600000000000003</v>
      </c>
      <c r="Y124" s="159"/>
      <c r="Z124" s="187">
        <v>4.8600000000000003</v>
      </c>
      <c r="AA124" s="156"/>
      <c r="AB124" s="187"/>
      <c r="AC124" s="187">
        <v>4.8600000000000003</v>
      </c>
      <c r="AD124" s="155"/>
      <c r="AE124" s="159"/>
      <c r="AF124" s="188"/>
      <c r="AG124" s="156"/>
      <c r="AH124" s="49">
        <v>119</v>
      </c>
      <c r="AI124" s="98"/>
      <c r="AJ124" s="98"/>
      <c r="AK124" s="98"/>
      <c r="AL124" s="89"/>
      <c r="AM124" s="89"/>
      <c r="AN124" s="70"/>
    </row>
    <row r="125" spans="1:40" s="51" customFormat="1" ht="31" x14ac:dyDescent="0.6">
      <c r="A125" s="293">
        <v>984541</v>
      </c>
      <c r="B125" s="294" t="s">
        <v>82</v>
      </c>
      <c r="C125" s="166">
        <v>12</v>
      </c>
      <c r="D125" s="218"/>
      <c r="E125" s="189"/>
      <c r="F125" s="190"/>
      <c r="G125" s="190">
        <v>3.18</v>
      </c>
      <c r="H125" s="191"/>
      <c r="I125" s="191"/>
      <c r="J125" s="192"/>
      <c r="K125" s="190"/>
      <c r="L125" s="190">
        <v>3.99</v>
      </c>
      <c r="M125" s="190"/>
      <c r="N125" s="190">
        <v>3.99</v>
      </c>
      <c r="O125" s="157"/>
      <c r="P125" s="190">
        <v>3.99</v>
      </c>
      <c r="Q125" s="156"/>
      <c r="R125" s="190"/>
      <c r="S125" s="190">
        <v>3.18</v>
      </c>
      <c r="T125" s="166"/>
      <c r="U125" s="166"/>
      <c r="V125" s="192"/>
      <c r="W125" s="157"/>
      <c r="X125" s="190">
        <v>3.18</v>
      </c>
      <c r="Y125" s="157"/>
      <c r="Z125" s="190">
        <v>3.18</v>
      </c>
      <c r="AA125" s="156"/>
      <c r="AB125" s="190"/>
      <c r="AC125" s="190">
        <v>3.18</v>
      </c>
      <c r="AD125" s="166"/>
      <c r="AE125" s="166"/>
      <c r="AF125" s="192"/>
      <c r="AG125" s="156"/>
      <c r="AH125" s="49">
        <v>120</v>
      </c>
      <c r="AI125" s="94"/>
      <c r="AJ125" s="94"/>
      <c r="AK125" s="94"/>
      <c r="AL125" s="94"/>
      <c r="AM125" s="94"/>
      <c r="AN125" s="70"/>
    </row>
    <row r="126" spans="1:40" s="51" customFormat="1" ht="31" x14ac:dyDescent="0.6">
      <c r="A126" s="295">
        <v>984542</v>
      </c>
      <c r="B126" s="296" t="s">
        <v>421</v>
      </c>
      <c r="C126" s="193">
        <v>8</v>
      </c>
      <c r="D126" s="218"/>
      <c r="E126" s="193"/>
      <c r="F126" s="194"/>
      <c r="G126" s="194">
        <v>5.09</v>
      </c>
      <c r="H126" s="193"/>
      <c r="I126" s="159"/>
      <c r="J126" s="195"/>
      <c r="K126" s="194"/>
      <c r="L126" s="194">
        <v>5.59</v>
      </c>
      <c r="M126" s="194"/>
      <c r="N126" s="194">
        <v>5.59</v>
      </c>
      <c r="O126" s="194"/>
      <c r="P126" s="194">
        <v>5.59</v>
      </c>
      <c r="Q126" s="156"/>
      <c r="R126" s="194"/>
      <c r="S126" s="194">
        <v>5.09</v>
      </c>
      <c r="T126" s="193"/>
      <c r="U126" s="159"/>
      <c r="V126" s="195"/>
      <c r="W126" s="194"/>
      <c r="X126" s="194">
        <v>5.09</v>
      </c>
      <c r="Y126" s="194"/>
      <c r="Z126" s="194">
        <v>5.09</v>
      </c>
      <c r="AA126" s="156"/>
      <c r="AB126" s="194"/>
      <c r="AC126" s="194">
        <v>5.09</v>
      </c>
      <c r="AD126" s="193"/>
      <c r="AE126" s="159"/>
      <c r="AF126" s="195"/>
      <c r="AG126" s="156"/>
      <c r="AH126" s="49">
        <v>121</v>
      </c>
      <c r="AI126" s="71"/>
      <c r="AJ126" s="71"/>
      <c r="AK126" s="71"/>
      <c r="AL126" s="71"/>
      <c r="AM126" s="71"/>
      <c r="AN126" s="70"/>
    </row>
    <row r="127" spans="1:40" s="51" customFormat="1" ht="31" x14ac:dyDescent="0.6">
      <c r="A127" s="252">
        <v>984500</v>
      </c>
      <c r="B127" s="253" t="s">
        <v>693</v>
      </c>
      <c r="C127" s="254">
        <v>8</v>
      </c>
      <c r="D127" s="218"/>
      <c r="E127" s="194" t="s">
        <v>638</v>
      </c>
      <c r="F127" s="255">
        <v>3.86</v>
      </c>
      <c r="G127" s="255">
        <v>4.24</v>
      </c>
      <c r="H127" s="256" t="s">
        <v>51</v>
      </c>
      <c r="I127" s="249" t="s">
        <v>200</v>
      </c>
      <c r="J127" s="256"/>
      <c r="K127" s="255">
        <v>4.99</v>
      </c>
      <c r="L127" s="255">
        <v>5.29</v>
      </c>
      <c r="M127" s="255">
        <v>4.99</v>
      </c>
      <c r="N127" s="255">
        <v>5.29</v>
      </c>
      <c r="O127" s="250">
        <v>4.99</v>
      </c>
      <c r="P127" s="255">
        <v>5.29</v>
      </c>
      <c r="Q127" s="250"/>
      <c r="R127" s="255">
        <v>3.86</v>
      </c>
      <c r="S127" s="255">
        <v>4.24</v>
      </c>
      <c r="T127" s="256" t="s">
        <v>51</v>
      </c>
      <c r="U127" s="249" t="s">
        <v>200</v>
      </c>
      <c r="V127" s="256"/>
      <c r="W127" s="254">
        <v>3.86</v>
      </c>
      <c r="X127" s="254">
        <v>4.24</v>
      </c>
      <c r="Y127" s="254"/>
      <c r="Z127" s="254">
        <v>3.86</v>
      </c>
      <c r="AA127" s="250"/>
      <c r="AB127" s="255">
        <v>3.86</v>
      </c>
      <c r="AC127" s="255">
        <v>4.24</v>
      </c>
      <c r="AD127" s="256" t="s">
        <v>51</v>
      </c>
      <c r="AE127" s="249" t="s">
        <v>200</v>
      </c>
      <c r="AF127" s="256"/>
      <c r="AG127" s="250"/>
      <c r="AH127" s="49">
        <v>122</v>
      </c>
      <c r="AI127" s="71" t="s">
        <v>841</v>
      </c>
      <c r="AJ127" s="71">
        <v>2</v>
      </c>
      <c r="AK127" s="71" t="s">
        <v>742</v>
      </c>
      <c r="AL127" s="71"/>
      <c r="AM127" s="71"/>
      <c r="AN127" s="70"/>
    </row>
    <row r="128" spans="1:40" s="51" customFormat="1" ht="31" x14ac:dyDescent="0.6">
      <c r="A128" s="107">
        <v>984461</v>
      </c>
      <c r="B128" s="108" t="s">
        <v>615</v>
      </c>
      <c r="C128" s="109">
        <v>4</v>
      </c>
      <c r="D128" s="218"/>
      <c r="E128" s="154"/>
      <c r="F128" s="247">
        <v>5.12</v>
      </c>
      <c r="G128" s="247">
        <v>6.14</v>
      </c>
      <c r="H128" s="257" t="s">
        <v>51</v>
      </c>
      <c r="I128" s="249" t="s">
        <v>200</v>
      </c>
      <c r="J128" s="248"/>
      <c r="K128" s="247">
        <v>5.99</v>
      </c>
      <c r="L128" s="247">
        <v>6.99</v>
      </c>
      <c r="M128" s="247">
        <v>5.99</v>
      </c>
      <c r="N128" s="247">
        <v>6.99</v>
      </c>
      <c r="O128" s="250">
        <v>5.99</v>
      </c>
      <c r="P128" s="247">
        <v>6.99</v>
      </c>
      <c r="Q128" s="258"/>
      <c r="R128" s="247">
        <v>5.12</v>
      </c>
      <c r="S128" s="247">
        <v>6.14</v>
      </c>
      <c r="T128" s="257" t="s">
        <v>51</v>
      </c>
      <c r="U128" s="249" t="s">
        <v>200</v>
      </c>
      <c r="V128" s="248"/>
      <c r="W128" s="250">
        <v>5.12</v>
      </c>
      <c r="X128" s="247">
        <v>6.14</v>
      </c>
      <c r="Y128" s="250"/>
      <c r="Z128" s="247">
        <v>5.12</v>
      </c>
      <c r="AA128" s="258"/>
      <c r="AB128" s="247">
        <v>5.12</v>
      </c>
      <c r="AC128" s="247">
        <v>6.14</v>
      </c>
      <c r="AD128" s="257" t="s">
        <v>51</v>
      </c>
      <c r="AE128" s="249" t="s">
        <v>200</v>
      </c>
      <c r="AF128" s="248"/>
      <c r="AG128" s="258"/>
      <c r="AH128" s="49">
        <v>123</v>
      </c>
      <c r="AI128" s="98" t="s">
        <v>841</v>
      </c>
      <c r="AJ128" s="98">
        <v>2</v>
      </c>
      <c r="AK128" s="98" t="s">
        <v>742</v>
      </c>
      <c r="AL128" s="98"/>
      <c r="AM128" s="98"/>
      <c r="AN128" s="70"/>
    </row>
    <row r="129" spans="1:41" s="51" customFormat="1" ht="31" x14ac:dyDescent="0.6">
      <c r="A129" s="107">
        <v>984460</v>
      </c>
      <c r="B129" s="108" t="s">
        <v>81</v>
      </c>
      <c r="C129" s="109">
        <v>8</v>
      </c>
      <c r="D129" s="172"/>
      <c r="E129" s="158"/>
      <c r="F129" s="247">
        <v>2.58</v>
      </c>
      <c r="G129" s="109">
        <v>3.12</v>
      </c>
      <c r="H129" s="248" t="s">
        <v>51</v>
      </c>
      <c r="I129" s="251" t="s">
        <v>200</v>
      </c>
      <c r="J129" s="248"/>
      <c r="K129" s="247">
        <v>3.49</v>
      </c>
      <c r="L129" s="247">
        <v>3.79</v>
      </c>
      <c r="M129" s="247">
        <v>3.49</v>
      </c>
      <c r="N129" s="247">
        <v>3.79</v>
      </c>
      <c r="O129" s="250">
        <v>3.49</v>
      </c>
      <c r="P129" s="247">
        <v>3.79</v>
      </c>
      <c r="Q129" s="249"/>
      <c r="R129" s="247">
        <v>2.58</v>
      </c>
      <c r="S129" s="109">
        <v>3.12</v>
      </c>
      <c r="T129" s="248" t="s">
        <v>51</v>
      </c>
      <c r="U129" s="251" t="s">
        <v>200</v>
      </c>
      <c r="V129" s="248"/>
      <c r="W129" s="251">
        <v>2.58</v>
      </c>
      <c r="X129" s="109">
        <v>3.12</v>
      </c>
      <c r="Y129" s="251"/>
      <c r="Z129" s="109">
        <v>2.58</v>
      </c>
      <c r="AA129" s="249"/>
      <c r="AB129" s="247">
        <v>2.58</v>
      </c>
      <c r="AC129" s="109">
        <v>3.12</v>
      </c>
      <c r="AD129" s="248" t="s">
        <v>51</v>
      </c>
      <c r="AE129" s="251" t="s">
        <v>200</v>
      </c>
      <c r="AF129" s="248"/>
      <c r="AG129" s="249"/>
      <c r="AH129" s="49">
        <v>124</v>
      </c>
      <c r="AI129" s="98" t="s">
        <v>841</v>
      </c>
      <c r="AJ129" s="98">
        <v>2</v>
      </c>
      <c r="AK129" s="98" t="s">
        <v>742</v>
      </c>
      <c r="AL129" s="98" t="s">
        <v>128</v>
      </c>
      <c r="AM129" s="142"/>
      <c r="AN129" s="70"/>
    </row>
    <row r="130" spans="1:41" s="51" customFormat="1" ht="31" x14ac:dyDescent="0.6">
      <c r="A130" s="259">
        <v>984620</v>
      </c>
      <c r="B130" s="260" t="s">
        <v>4</v>
      </c>
      <c r="C130" s="261">
        <v>12</v>
      </c>
      <c r="D130" s="172"/>
      <c r="E130" s="197"/>
      <c r="F130" s="262">
        <v>3.48</v>
      </c>
      <c r="G130" s="262">
        <v>2.78</v>
      </c>
      <c r="H130" s="263" t="s">
        <v>51</v>
      </c>
      <c r="I130" s="249" t="s">
        <v>200</v>
      </c>
      <c r="J130" s="263"/>
      <c r="K130" s="262"/>
      <c r="L130" s="262">
        <v>3.79</v>
      </c>
      <c r="M130" s="262"/>
      <c r="N130" s="262">
        <v>3.79</v>
      </c>
      <c r="O130" s="250"/>
      <c r="P130" s="262">
        <v>3.79</v>
      </c>
      <c r="Q130" s="249"/>
      <c r="R130" s="262">
        <v>3.48</v>
      </c>
      <c r="S130" s="262">
        <v>2.78</v>
      </c>
      <c r="T130" s="264" t="s">
        <v>51</v>
      </c>
      <c r="U130" s="251" t="s">
        <v>200</v>
      </c>
      <c r="V130" s="263"/>
      <c r="W130" s="250">
        <v>3.48</v>
      </c>
      <c r="X130" s="262">
        <v>2.78</v>
      </c>
      <c r="Y130" s="250"/>
      <c r="Z130" s="262">
        <v>3.48</v>
      </c>
      <c r="AA130" s="249"/>
      <c r="AB130" s="262">
        <v>3.48</v>
      </c>
      <c r="AC130" s="262">
        <v>2.78</v>
      </c>
      <c r="AD130" s="264" t="s">
        <v>51</v>
      </c>
      <c r="AE130" s="251" t="s">
        <v>200</v>
      </c>
      <c r="AF130" s="263"/>
      <c r="AG130" s="249"/>
      <c r="AH130" s="49">
        <v>125</v>
      </c>
      <c r="AI130" s="91" t="s">
        <v>742</v>
      </c>
      <c r="AJ130" s="91">
        <v>2</v>
      </c>
      <c r="AK130" s="91" t="s">
        <v>742</v>
      </c>
      <c r="AL130" s="91" t="s">
        <v>128</v>
      </c>
      <c r="AM130" s="91"/>
      <c r="AN130" s="70"/>
    </row>
    <row r="131" spans="1:41" ht="31" x14ac:dyDescent="0.6">
      <c r="A131" s="145">
        <v>984621</v>
      </c>
      <c r="B131" s="146" t="s">
        <v>799</v>
      </c>
      <c r="C131" s="144">
        <v>6</v>
      </c>
      <c r="D131" s="218"/>
      <c r="E131" s="198"/>
      <c r="F131" s="265">
        <v>5.94</v>
      </c>
      <c r="G131" s="265">
        <v>5.38</v>
      </c>
      <c r="H131" s="266" t="s">
        <v>51</v>
      </c>
      <c r="I131" s="249" t="s">
        <v>200</v>
      </c>
      <c r="J131" s="266"/>
      <c r="K131" s="265"/>
      <c r="L131" s="265">
        <v>6.49</v>
      </c>
      <c r="M131" s="265"/>
      <c r="N131" s="265">
        <v>6.49</v>
      </c>
      <c r="O131" s="265"/>
      <c r="P131" s="265">
        <v>6.49</v>
      </c>
      <c r="Q131" s="250"/>
      <c r="R131" s="265">
        <v>5.94</v>
      </c>
      <c r="S131" s="250">
        <v>5.38</v>
      </c>
      <c r="T131" s="266" t="s">
        <v>51</v>
      </c>
      <c r="U131" s="249" t="s">
        <v>200</v>
      </c>
      <c r="V131" s="266"/>
      <c r="W131" s="144">
        <v>5.94</v>
      </c>
      <c r="X131" s="251">
        <v>5.38</v>
      </c>
      <c r="Y131" s="144"/>
      <c r="Z131" s="251">
        <v>5.94</v>
      </c>
      <c r="AA131" s="250"/>
      <c r="AB131" s="265">
        <v>5.94</v>
      </c>
      <c r="AC131" s="250">
        <v>5.38</v>
      </c>
      <c r="AD131" s="266" t="s">
        <v>51</v>
      </c>
      <c r="AE131" s="249" t="s">
        <v>200</v>
      </c>
      <c r="AF131" s="266"/>
      <c r="AG131" s="250"/>
      <c r="AH131" s="49">
        <v>126</v>
      </c>
      <c r="AI131" s="66" t="s">
        <v>742</v>
      </c>
      <c r="AJ131" s="66">
        <v>2</v>
      </c>
      <c r="AK131" s="66" t="s">
        <v>742</v>
      </c>
      <c r="AL131" s="68"/>
      <c r="AM131" s="66"/>
      <c r="AO131" s="51"/>
    </row>
    <row r="132" spans="1:41" ht="31" x14ac:dyDescent="0.6">
      <c r="A132" s="267">
        <v>984700</v>
      </c>
      <c r="B132" s="268" t="s">
        <v>80</v>
      </c>
      <c r="C132" s="269">
        <v>12</v>
      </c>
      <c r="D132" s="172"/>
      <c r="E132" s="199"/>
      <c r="F132" s="270">
        <v>2.88</v>
      </c>
      <c r="G132" s="270">
        <v>2.98</v>
      </c>
      <c r="H132" s="269" t="s">
        <v>51</v>
      </c>
      <c r="I132" s="251" t="s">
        <v>200</v>
      </c>
      <c r="J132" s="271"/>
      <c r="K132" s="270"/>
      <c r="L132" s="270">
        <v>3.49</v>
      </c>
      <c r="M132" s="270"/>
      <c r="N132" s="270">
        <v>3.49</v>
      </c>
      <c r="O132" s="270"/>
      <c r="P132" s="270">
        <v>3.49</v>
      </c>
      <c r="Q132" s="249"/>
      <c r="R132" s="270">
        <v>2.88</v>
      </c>
      <c r="S132" s="250">
        <v>2.98</v>
      </c>
      <c r="T132" s="269" t="s">
        <v>51</v>
      </c>
      <c r="U132" s="251" t="s">
        <v>200</v>
      </c>
      <c r="V132" s="271"/>
      <c r="W132" s="270">
        <v>2.88</v>
      </c>
      <c r="X132" s="250">
        <v>2.98</v>
      </c>
      <c r="Y132" s="270"/>
      <c r="Z132" s="250">
        <v>2.88</v>
      </c>
      <c r="AA132" s="249"/>
      <c r="AB132" s="270">
        <v>2.88</v>
      </c>
      <c r="AC132" s="270">
        <v>2.98</v>
      </c>
      <c r="AD132" s="269" t="s">
        <v>51</v>
      </c>
      <c r="AE132" s="251" t="s">
        <v>200</v>
      </c>
      <c r="AF132" s="271"/>
      <c r="AG132" s="249"/>
      <c r="AH132" s="49">
        <v>127</v>
      </c>
      <c r="AI132" s="68" t="s">
        <v>742</v>
      </c>
      <c r="AJ132" s="68">
        <v>2</v>
      </c>
      <c r="AK132" s="68" t="s">
        <v>742</v>
      </c>
      <c r="AL132" s="68" t="s">
        <v>128</v>
      </c>
      <c r="AM132" s="68"/>
      <c r="AO132" s="51"/>
    </row>
    <row r="133" spans="1:41" ht="31" x14ac:dyDescent="0.6">
      <c r="A133" s="299">
        <v>984702</v>
      </c>
      <c r="B133" s="300" t="s">
        <v>800</v>
      </c>
      <c r="C133" s="202">
        <v>8</v>
      </c>
      <c r="D133" s="218"/>
      <c r="E133" s="200"/>
      <c r="F133" s="200"/>
      <c r="G133" s="200">
        <v>4.9800000000000004</v>
      </c>
      <c r="H133" s="201"/>
      <c r="I133" s="156"/>
      <c r="J133" s="201"/>
      <c r="K133" s="200"/>
      <c r="L133" s="200">
        <v>5.48</v>
      </c>
      <c r="M133" s="200"/>
      <c r="N133" s="200">
        <v>5.48</v>
      </c>
      <c r="O133" s="200"/>
      <c r="P133" s="200">
        <v>5.48</v>
      </c>
      <c r="Q133" s="157"/>
      <c r="R133" s="200"/>
      <c r="S133" s="157">
        <v>4.9800000000000004</v>
      </c>
      <c r="T133" s="201"/>
      <c r="U133" s="156"/>
      <c r="V133" s="201"/>
      <c r="W133" s="202"/>
      <c r="X133" s="202">
        <v>4.9800000000000004</v>
      </c>
      <c r="Y133" s="202"/>
      <c r="Z133" s="202">
        <v>4.9800000000000004</v>
      </c>
      <c r="AA133" s="157"/>
      <c r="AB133" s="200"/>
      <c r="AC133" s="200">
        <v>4.9800000000000004</v>
      </c>
      <c r="AD133" s="201"/>
      <c r="AE133" s="156"/>
      <c r="AF133" s="201"/>
      <c r="AG133" s="157"/>
      <c r="AH133" s="49">
        <v>128</v>
      </c>
      <c r="AI133" s="79"/>
      <c r="AJ133" s="79"/>
      <c r="AK133" s="79"/>
      <c r="AL133" s="79"/>
      <c r="AM133" s="79"/>
    </row>
    <row r="134" spans="1:41" ht="31" x14ac:dyDescent="0.6">
      <c r="A134" s="107">
        <v>982960</v>
      </c>
      <c r="B134" s="108" t="s">
        <v>818</v>
      </c>
      <c r="C134" s="109">
        <v>16</v>
      </c>
      <c r="D134" s="218"/>
      <c r="E134" s="154"/>
      <c r="F134" s="247"/>
      <c r="G134" s="247">
        <v>3.99</v>
      </c>
      <c r="H134" s="248" t="s">
        <v>16</v>
      </c>
      <c r="I134" s="249" t="s">
        <v>473</v>
      </c>
      <c r="J134" s="248"/>
      <c r="K134" s="247"/>
      <c r="L134" s="247">
        <v>4.49</v>
      </c>
      <c r="M134" s="247"/>
      <c r="N134" s="247">
        <v>4.49</v>
      </c>
      <c r="O134" s="247"/>
      <c r="P134" s="247">
        <v>4.49</v>
      </c>
      <c r="Q134" s="250"/>
      <c r="R134" s="154"/>
      <c r="S134" s="157">
        <v>3.99</v>
      </c>
      <c r="T134" s="155" t="s">
        <v>16</v>
      </c>
      <c r="U134" s="156" t="s">
        <v>473</v>
      </c>
      <c r="V134" s="155"/>
      <c r="W134" s="159"/>
      <c r="X134" s="158">
        <v>3.99</v>
      </c>
      <c r="Y134" s="159"/>
      <c r="Z134" s="158">
        <v>3.99</v>
      </c>
      <c r="AA134" s="157"/>
      <c r="AB134" s="247"/>
      <c r="AC134" s="247">
        <v>3.99</v>
      </c>
      <c r="AD134" s="248" t="s">
        <v>16</v>
      </c>
      <c r="AE134" s="249" t="s">
        <v>473</v>
      </c>
      <c r="AF134" s="248"/>
      <c r="AG134" s="250"/>
      <c r="AH134" s="49">
        <v>129</v>
      </c>
      <c r="AI134" s="98" t="s">
        <v>841</v>
      </c>
      <c r="AJ134" s="98"/>
      <c r="AK134" s="98" t="s">
        <v>742</v>
      </c>
      <c r="AL134" s="98"/>
      <c r="AM134" s="98"/>
      <c r="AO134" s="51"/>
    </row>
    <row r="135" spans="1:41" ht="31" x14ac:dyDescent="0.6">
      <c r="A135" s="297">
        <v>982830</v>
      </c>
      <c r="B135" s="298" t="s">
        <v>454</v>
      </c>
      <c r="C135" s="166">
        <v>19</v>
      </c>
      <c r="D135" s="172"/>
      <c r="E135" s="198"/>
      <c r="F135" s="198"/>
      <c r="G135" s="198">
        <v>1.78</v>
      </c>
      <c r="H135" s="191"/>
      <c r="I135" s="156"/>
      <c r="J135" s="191"/>
      <c r="K135" s="198"/>
      <c r="L135" s="198">
        <v>2.29</v>
      </c>
      <c r="M135" s="198"/>
      <c r="N135" s="198">
        <v>2.29</v>
      </c>
      <c r="O135" s="198"/>
      <c r="P135" s="198">
        <v>2.29</v>
      </c>
      <c r="Q135" s="157"/>
      <c r="R135" s="198"/>
      <c r="S135" s="198">
        <v>1.78</v>
      </c>
      <c r="T135" s="191"/>
      <c r="U135" s="156"/>
      <c r="V135" s="191"/>
      <c r="W135" s="157"/>
      <c r="X135" s="198">
        <v>1.78</v>
      </c>
      <c r="Y135" s="157"/>
      <c r="Z135" s="198">
        <v>1.78</v>
      </c>
      <c r="AA135" s="157"/>
      <c r="AB135" s="198"/>
      <c r="AC135" s="198">
        <v>1.78</v>
      </c>
      <c r="AD135" s="191"/>
      <c r="AE135" s="156"/>
      <c r="AF135" s="191"/>
      <c r="AG135" s="156"/>
      <c r="AH135" s="49">
        <v>130</v>
      </c>
      <c r="AI135" s="66"/>
      <c r="AJ135" s="66"/>
      <c r="AK135" s="66"/>
      <c r="AL135" s="66"/>
      <c r="AM135" s="66"/>
    </row>
    <row r="136" spans="1:41" ht="31" x14ac:dyDescent="0.6">
      <c r="A136" s="166">
        <v>982800</v>
      </c>
      <c r="B136" s="298" t="s">
        <v>760</v>
      </c>
      <c r="C136" s="166">
        <v>10</v>
      </c>
      <c r="D136" s="172"/>
      <c r="E136" s="198"/>
      <c r="F136" s="198"/>
      <c r="G136" s="198">
        <v>4.99</v>
      </c>
      <c r="H136" s="166"/>
      <c r="I136" s="191"/>
      <c r="J136" s="191"/>
      <c r="K136" s="198"/>
      <c r="L136" s="198">
        <v>5.98</v>
      </c>
      <c r="M136" s="198"/>
      <c r="N136" s="198">
        <v>5.98</v>
      </c>
      <c r="O136" s="198"/>
      <c r="P136" s="198">
        <v>5.98</v>
      </c>
      <c r="Q136" s="156"/>
      <c r="R136" s="198"/>
      <c r="S136" s="198">
        <v>4.99</v>
      </c>
      <c r="T136" s="166"/>
      <c r="U136" s="191"/>
      <c r="V136" s="191"/>
      <c r="W136" s="198"/>
      <c r="X136" s="198">
        <v>4.99</v>
      </c>
      <c r="Y136" s="198"/>
      <c r="Z136" s="198">
        <v>4.99</v>
      </c>
      <c r="AA136" s="156"/>
      <c r="AB136" s="198"/>
      <c r="AC136" s="198">
        <v>4.99</v>
      </c>
      <c r="AD136" s="166"/>
      <c r="AE136" s="191"/>
      <c r="AF136" s="191"/>
      <c r="AG136" s="156"/>
      <c r="AH136" s="49">
        <v>131</v>
      </c>
      <c r="AI136" s="66"/>
      <c r="AJ136" s="66"/>
      <c r="AK136" s="66"/>
      <c r="AL136" s="66"/>
      <c r="AM136" s="66"/>
    </row>
    <row r="137" spans="1:41" ht="31" x14ac:dyDescent="0.6">
      <c r="A137" s="297">
        <v>982740</v>
      </c>
      <c r="B137" s="298" t="s">
        <v>445</v>
      </c>
      <c r="C137" s="166">
        <v>19</v>
      </c>
      <c r="D137" s="172"/>
      <c r="E137" s="166"/>
      <c r="F137" s="198"/>
      <c r="G137" s="198">
        <v>1.68</v>
      </c>
      <c r="H137" s="166"/>
      <c r="I137" s="166"/>
      <c r="J137" s="191"/>
      <c r="K137" s="198"/>
      <c r="L137" s="198">
        <v>2.29</v>
      </c>
      <c r="M137" s="198"/>
      <c r="N137" s="198">
        <v>2.29</v>
      </c>
      <c r="O137" s="198"/>
      <c r="P137" s="198">
        <v>2.29</v>
      </c>
      <c r="Q137" s="156"/>
      <c r="R137" s="198"/>
      <c r="S137" s="198">
        <v>1.68</v>
      </c>
      <c r="T137" s="166"/>
      <c r="U137" s="166"/>
      <c r="V137" s="191"/>
      <c r="W137" s="157"/>
      <c r="X137" s="198">
        <v>1.68</v>
      </c>
      <c r="Y137" s="157"/>
      <c r="Z137" s="198">
        <v>1.68</v>
      </c>
      <c r="AA137" s="156"/>
      <c r="AB137" s="198"/>
      <c r="AC137" s="198">
        <v>1.68</v>
      </c>
      <c r="AD137" s="166"/>
      <c r="AE137" s="159"/>
      <c r="AF137" s="156"/>
      <c r="AG137" s="156"/>
      <c r="AH137" s="49">
        <v>132</v>
      </c>
      <c r="AI137" s="66"/>
      <c r="AJ137" s="66"/>
      <c r="AK137" s="66"/>
      <c r="AL137" s="66" t="s">
        <v>128</v>
      </c>
      <c r="AM137" s="66"/>
    </row>
    <row r="138" spans="1:41" ht="31" x14ac:dyDescent="0.6">
      <c r="A138" s="205">
        <v>982710</v>
      </c>
      <c r="B138" s="301" t="s">
        <v>759</v>
      </c>
      <c r="C138" s="205">
        <v>10</v>
      </c>
      <c r="D138" s="172"/>
      <c r="E138" s="203"/>
      <c r="F138" s="203"/>
      <c r="G138" s="203">
        <v>4.99</v>
      </c>
      <c r="H138" s="204"/>
      <c r="I138" s="156"/>
      <c r="J138" s="204"/>
      <c r="K138" s="203"/>
      <c r="L138" s="203">
        <v>5.98</v>
      </c>
      <c r="M138" s="203"/>
      <c r="N138" s="203">
        <v>5.98</v>
      </c>
      <c r="O138" s="203"/>
      <c r="P138" s="203">
        <v>5.98</v>
      </c>
      <c r="Q138" s="156" t="s">
        <v>839</v>
      </c>
      <c r="R138" s="203"/>
      <c r="S138" s="203">
        <v>4.99</v>
      </c>
      <c r="T138" s="205"/>
      <c r="U138" s="156"/>
      <c r="V138" s="204"/>
      <c r="W138" s="157"/>
      <c r="X138" s="203">
        <v>4.99</v>
      </c>
      <c r="Y138" s="157"/>
      <c r="Z138" s="203">
        <v>4.99</v>
      </c>
      <c r="AA138" s="156"/>
      <c r="AB138" s="203"/>
      <c r="AC138" s="203">
        <v>4.99</v>
      </c>
      <c r="AD138" s="205"/>
      <c r="AE138" s="156"/>
      <c r="AF138" s="204"/>
      <c r="AG138" s="156"/>
      <c r="AH138" s="49">
        <v>133</v>
      </c>
      <c r="AI138" s="74"/>
      <c r="AJ138" s="74"/>
      <c r="AK138" s="74"/>
      <c r="AL138" s="74"/>
      <c r="AM138" s="74"/>
      <c r="AO138" s="51"/>
    </row>
    <row r="139" spans="1:41" ht="31" x14ac:dyDescent="0.6">
      <c r="A139" s="302">
        <v>982650</v>
      </c>
      <c r="B139" s="303" t="s">
        <v>444</v>
      </c>
      <c r="C139" s="166">
        <v>19</v>
      </c>
      <c r="D139" s="172"/>
      <c r="E139" s="206"/>
      <c r="F139" s="207"/>
      <c r="G139" s="207">
        <v>1.78</v>
      </c>
      <c r="H139" s="206"/>
      <c r="I139" s="159"/>
      <c r="J139" s="208"/>
      <c r="K139" s="207"/>
      <c r="L139" s="207">
        <v>2.29</v>
      </c>
      <c r="M139" s="207"/>
      <c r="N139" s="207">
        <v>2.29</v>
      </c>
      <c r="O139" s="207"/>
      <c r="P139" s="207">
        <v>2.29</v>
      </c>
      <c r="Q139" s="156"/>
      <c r="R139" s="207"/>
      <c r="S139" s="207">
        <v>1.78</v>
      </c>
      <c r="T139" s="206"/>
      <c r="U139" s="159"/>
      <c r="V139" s="208"/>
      <c r="W139" s="207"/>
      <c r="X139" s="207">
        <v>1.78</v>
      </c>
      <c r="Y139" s="207"/>
      <c r="Z139" s="207">
        <v>1.78</v>
      </c>
      <c r="AA139" s="156"/>
      <c r="AB139" s="207"/>
      <c r="AC139" s="207">
        <v>1.78</v>
      </c>
      <c r="AD139" s="206"/>
      <c r="AE139" s="159"/>
      <c r="AF139" s="208"/>
      <c r="AG139" s="156"/>
      <c r="AH139" s="49">
        <v>134</v>
      </c>
      <c r="AI139" s="66"/>
      <c r="AJ139" s="66"/>
      <c r="AK139" s="66"/>
      <c r="AL139" s="67" t="s">
        <v>128</v>
      </c>
      <c r="AM139" s="67"/>
    </row>
    <row r="140" spans="1:41" ht="31" x14ac:dyDescent="0.6">
      <c r="A140" s="273">
        <v>986170</v>
      </c>
      <c r="B140" s="272" t="s">
        <v>812</v>
      </c>
      <c r="C140" s="158">
        <v>40</v>
      </c>
      <c r="D140" s="172"/>
      <c r="E140" s="158"/>
      <c r="F140" s="154"/>
      <c r="G140" s="154">
        <v>6.99</v>
      </c>
      <c r="H140" s="158"/>
      <c r="I140" s="159"/>
      <c r="J140" s="155"/>
      <c r="K140" s="154"/>
      <c r="L140" s="154">
        <v>6.99</v>
      </c>
      <c r="M140" s="154"/>
      <c r="N140" s="154">
        <v>6.99</v>
      </c>
      <c r="O140" s="154"/>
      <c r="P140" s="154">
        <v>6.99</v>
      </c>
      <c r="Q140" s="156"/>
      <c r="R140" s="154"/>
      <c r="S140" s="154">
        <v>6.99</v>
      </c>
      <c r="T140" s="158"/>
      <c r="U140" s="159"/>
      <c r="V140" s="155"/>
      <c r="W140" s="154"/>
      <c r="X140" s="154">
        <v>6.99</v>
      </c>
      <c r="Y140" s="154"/>
      <c r="Z140" s="154">
        <v>6.99</v>
      </c>
      <c r="AA140" s="156"/>
      <c r="AB140" s="154"/>
      <c r="AC140" s="154">
        <v>6.99</v>
      </c>
      <c r="AD140" s="158"/>
      <c r="AE140" s="159"/>
      <c r="AF140" s="155"/>
      <c r="AG140" s="156"/>
      <c r="AH140" s="49" t="s">
        <v>810</v>
      </c>
      <c r="AI140" s="98"/>
      <c r="AJ140" s="98"/>
      <c r="AK140" s="98"/>
      <c r="AL140" s="98"/>
      <c r="AM140" s="98"/>
    </row>
    <row r="141" spans="1:41" ht="31" x14ac:dyDescent="0.6">
      <c r="A141" s="273">
        <v>986050</v>
      </c>
      <c r="B141" s="272" t="s">
        <v>809</v>
      </c>
      <c r="C141" s="158">
        <v>40</v>
      </c>
      <c r="D141" s="218"/>
      <c r="E141" s="154"/>
      <c r="F141" s="154"/>
      <c r="G141" s="154">
        <v>5.48</v>
      </c>
      <c r="H141" s="155"/>
      <c r="I141" s="156"/>
      <c r="J141" s="155"/>
      <c r="K141" s="154"/>
      <c r="L141" s="154">
        <v>5.48</v>
      </c>
      <c r="M141" s="154"/>
      <c r="N141" s="154">
        <v>5.48</v>
      </c>
      <c r="O141" s="154"/>
      <c r="P141" s="154">
        <v>5.48</v>
      </c>
      <c r="Q141" s="157"/>
      <c r="R141" s="154"/>
      <c r="S141" s="154">
        <v>5.48</v>
      </c>
      <c r="T141" s="155"/>
      <c r="U141" s="156"/>
      <c r="V141" s="155"/>
      <c r="W141" s="158"/>
      <c r="X141" s="154">
        <v>5.48</v>
      </c>
      <c r="Y141" s="158"/>
      <c r="Z141" s="154">
        <v>5.48</v>
      </c>
      <c r="AA141" s="157"/>
      <c r="AB141" s="154"/>
      <c r="AC141" s="154">
        <v>5.48</v>
      </c>
      <c r="AD141" s="155"/>
      <c r="AE141" s="156"/>
      <c r="AF141" s="155"/>
      <c r="AG141" s="157"/>
      <c r="AH141" s="49" t="s">
        <v>810</v>
      </c>
      <c r="AI141" s="98"/>
      <c r="AJ141" s="98"/>
      <c r="AK141" s="98"/>
      <c r="AL141" s="98"/>
      <c r="AM141" s="98"/>
    </row>
    <row r="142" spans="1:41" ht="31" x14ac:dyDescent="0.6">
      <c r="A142" s="304">
        <v>980211</v>
      </c>
      <c r="B142" s="305" t="s">
        <v>722</v>
      </c>
      <c r="C142" s="209">
        <v>9</v>
      </c>
      <c r="D142" s="172"/>
      <c r="E142" s="209"/>
      <c r="F142" s="210"/>
      <c r="G142" s="210">
        <v>3.99</v>
      </c>
      <c r="H142" s="211"/>
      <c r="I142" s="159"/>
      <c r="J142" s="211"/>
      <c r="K142" s="210"/>
      <c r="L142" s="210">
        <v>4.99</v>
      </c>
      <c r="M142" s="210"/>
      <c r="N142" s="210">
        <v>4.99</v>
      </c>
      <c r="O142" s="210"/>
      <c r="P142" s="210">
        <v>4.99</v>
      </c>
      <c r="Q142" s="156"/>
      <c r="R142" s="154"/>
      <c r="S142" s="154">
        <v>3.99</v>
      </c>
      <c r="T142" s="155"/>
      <c r="U142" s="159"/>
      <c r="V142" s="155"/>
      <c r="W142" s="158"/>
      <c r="X142" s="158">
        <v>3.99</v>
      </c>
      <c r="Y142" s="158"/>
      <c r="Z142" s="158">
        <v>3.99</v>
      </c>
      <c r="AA142" s="156"/>
      <c r="AB142" s="154"/>
      <c r="AC142" s="154">
        <v>3.99</v>
      </c>
      <c r="AD142" s="155"/>
      <c r="AE142" s="159"/>
      <c r="AF142" s="155"/>
      <c r="AG142" s="156"/>
      <c r="AH142" s="49" t="s">
        <v>403</v>
      </c>
      <c r="AI142" s="84"/>
      <c r="AJ142" s="84"/>
      <c r="AK142" s="84"/>
      <c r="AL142" s="84"/>
      <c r="AM142" s="84"/>
      <c r="AO142" s="51"/>
    </row>
    <row r="143" spans="1:41" ht="31" x14ac:dyDescent="0.6">
      <c r="A143" s="304">
        <v>980220</v>
      </c>
      <c r="B143" s="305" t="s">
        <v>777</v>
      </c>
      <c r="C143" s="209">
        <v>9</v>
      </c>
      <c r="D143" s="172"/>
      <c r="E143" s="209"/>
      <c r="F143" s="210"/>
      <c r="G143" s="210">
        <v>4.99</v>
      </c>
      <c r="H143" s="209"/>
      <c r="I143" s="159"/>
      <c r="J143" s="211"/>
      <c r="K143" s="210"/>
      <c r="L143" s="210">
        <v>5.49</v>
      </c>
      <c r="M143" s="210"/>
      <c r="N143" s="210">
        <v>5.49</v>
      </c>
      <c r="O143" s="210"/>
      <c r="P143" s="210">
        <v>5.49</v>
      </c>
      <c r="Q143" s="156" t="s">
        <v>839</v>
      </c>
      <c r="R143" s="210"/>
      <c r="S143" s="210">
        <v>4.99</v>
      </c>
      <c r="T143" s="209"/>
      <c r="U143" s="159"/>
      <c r="V143" s="211"/>
      <c r="W143" s="157"/>
      <c r="X143" s="210">
        <v>4.99</v>
      </c>
      <c r="Y143" s="157"/>
      <c r="Z143" s="210">
        <v>4.99</v>
      </c>
      <c r="AA143" s="156"/>
      <c r="AB143" s="210"/>
      <c r="AC143" s="210">
        <v>4.99</v>
      </c>
      <c r="AD143" s="209"/>
      <c r="AE143" s="159"/>
      <c r="AF143" s="211"/>
      <c r="AG143" s="156"/>
      <c r="AH143" s="49" t="s">
        <v>403</v>
      </c>
      <c r="AI143" s="84"/>
      <c r="AJ143" s="84"/>
      <c r="AK143" s="84"/>
      <c r="AL143" s="84"/>
      <c r="AM143" s="84"/>
      <c r="AO143" s="51"/>
    </row>
    <row r="144" spans="1:41" ht="31" x14ac:dyDescent="0.6">
      <c r="A144" s="306">
        <v>980500</v>
      </c>
      <c r="B144" s="307" t="s">
        <v>22</v>
      </c>
      <c r="C144" s="212">
        <v>10</v>
      </c>
      <c r="D144" s="172"/>
      <c r="E144" s="212"/>
      <c r="F144" s="213"/>
      <c r="G144" s="213">
        <v>3.98</v>
      </c>
      <c r="H144" s="212"/>
      <c r="I144" s="159"/>
      <c r="J144" s="214"/>
      <c r="K144" s="213"/>
      <c r="L144" s="213">
        <v>4.99</v>
      </c>
      <c r="M144" s="213"/>
      <c r="N144" s="213">
        <v>4.99</v>
      </c>
      <c r="O144" s="213"/>
      <c r="P144" s="213">
        <v>4.99</v>
      </c>
      <c r="Q144" s="156"/>
      <c r="R144" s="213"/>
      <c r="S144" s="213">
        <v>3.09</v>
      </c>
      <c r="T144" s="212"/>
      <c r="U144" s="159"/>
      <c r="V144" s="214"/>
      <c r="W144" s="157"/>
      <c r="X144" s="213">
        <v>3.09</v>
      </c>
      <c r="Y144" s="157"/>
      <c r="Z144" s="213">
        <v>3.09</v>
      </c>
      <c r="AA144" s="156"/>
      <c r="AB144" s="154"/>
      <c r="AC144" s="213">
        <v>3.09</v>
      </c>
      <c r="AD144" s="212"/>
      <c r="AE144" s="159"/>
      <c r="AF144" s="214"/>
      <c r="AG144" s="214"/>
      <c r="AH144" s="49" t="s">
        <v>403</v>
      </c>
      <c r="AI144" s="78"/>
      <c r="AJ144" s="78"/>
      <c r="AK144" s="78"/>
      <c r="AL144" s="78" t="s">
        <v>128</v>
      </c>
      <c r="AM144" s="78"/>
    </row>
    <row r="145" spans="1:41" ht="31" x14ac:dyDescent="0.6">
      <c r="A145" s="302">
        <v>980730</v>
      </c>
      <c r="B145" s="303" t="s">
        <v>88</v>
      </c>
      <c r="C145" s="166">
        <v>9</v>
      </c>
      <c r="D145" s="172"/>
      <c r="E145" s="206"/>
      <c r="F145" s="207"/>
      <c r="G145" s="207">
        <v>4.1900000000000004</v>
      </c>
      <c r="H145" s="208"/>
      <c r="I145" s="156"/>
      <c r="J145" s="208"/>
      <c r="K145" s="207"/>
      <c r="L145" s="207">
        <v>4.99</v>
      </c>
      <c r="M145" s="207"/>
      <c r="N145" s="207">
        <v>4.99</v>
      </c>
      <c r="O145" s="207"/>
      <c r="P145" s="207">
        <v>4.99</v>
      </c>
      <c r="Q145" s="156"/>
      <c r="R145" s="207"/>
      <c r="S145" s="207">
        <v>4.1900000000000004</v>
      </c>
      <c r="T145" s="206"/>
      <c r="U145" s="159"/>
      <c r="V145" s="208"/>
      <c r="W145" s="206"/>
      <c r="X145" s="206">
        <v>4.1900000000000004</v>
      </c>
      <c r="Y145" s="206"/>
      <c r="Z145" s="206">
        <v>4.1900000000000004</v>
      </c>
      <c r="AA145" s="156"/>
      <c r="AB145" s="207"/>
      <c r="AC145" s="207">
        <v>4.1900000000000004</v>
      </c>
      <c r="AD145" s="206"/>
      <c r="AE145" s="159"/>
      <c r="AF145" s="208"/>
      <c r="AG145" s="208"/>
      <c r="AH145" s="49" t="s">
        <v>403</v>
      </c>
      <c r="AI145" s="66"/>
      <c r="AJ145" s="66"/>
      <c r="AK145" s="66"/>
      <c r="AL145" s="67"/>
      <c r="AM145" s="67"/>
    </row>
    <row r="146" spans="1:41" ht="31" x14ac:dyDescent="0.6">
      <c r="A146" s="302">
        <v>980821</v>
      </c>
      <c r="B146" s="303" t="s">
        <v>451</v>
      </c>
      <c r="C146" s="166">
        <v>115</v>
      </c>
      <c r="D146" s="172"/>
      <c r="E146" s="206"/>
      <c r="F146" s="207"/>
      <c r="G146" s="207"/>
      <c r="H146" s="208" t="s">
        <v>6</v>
      </c>
      <c r="I146" s="156" t="s">
        <v>7</v>
      </c>
      <c r="J146" s="208">
        <v>44819</v>
      </c>
      <c r="K146" s="207"/>
      <c r="L146" s="207"/>
      <c r="M146" s="207"/>
      <c r="N146" s="207"/>
      <c r="O146" s="207"/>
      <c r="P146" s="207"/>
      <c r="Q146" s="156"/>
      <c r="R146" s="207"/>
      <c r="S146" s="207"/>
      <c r="T146" s="208" t="s">
        <v>6</v>
      </c>
      <c r="U146" s="156" t="s">
        <v>7</v>
      </c>
      <c r="V146" s="208">
        <v>44819</v>
      </c>
      <c r="W146" s="157"/>
      <c r="X146" s="207"/>
      <c r="Y146" s="157"/>
      <c r="Z146" s="207"/>
      <c r="AA146" s="156"/>
      <c r="AB146" s="207"/>
      <c r="AC146" s="207"/>
      <c r="AD146" s="208" t="s">
        <v>6</v>
      </c>
      <c r="AE146" s="156" t="s">
        <v>7</v>
      </c>
      <c r="AF146" s="208">
        <v>44819</v>
      </c>
      <c r="AG146" s="156"/>
      <c r="AH146" s="49" t="s">
        <v>403</v>
      </c>
      <c r="AI146" s="66"/>
      <c r="AJ146" s="66"/>
      <c r="AK146" s="66"/>
      <c r="AL146" s="67" t="s">
        <v>128</v>
      </c>
      <c r="AM146" s="67"/>
    </row>
    <row r="147" spans="1:41" ht="31" x14ac:dyDescent="0.6">
      <c r="A147" s="273">
        <v>980831</v>
      </c>
      <c r="B147" s="272" t="s">
        <v>89</v>
      </c>
      <c r="C147" s="158">
        <v>18</v>
      </c>
      <c r="D147" s="158" t="s">
        <v>129</v>
      </c>
      <c r="E147" s="158"/>
      <c r="F147" s="154"/>
      <c r="G147" s="154">
        <v>3.49</v>
      </c>
      <c r="H147" s="154"/>
      <c r="I147" s="156"/>
      <c r="J147" s="155"/>
      <c r="K147" s="154"/>
      <c r="L147" s="154">
        <v>3.99</v>
      </c>
      <c r="M147" s="154"/>
      <c r="N147" s="154">
        <v>3.99</v>
      </c>
      <c r="O147" s="154"/>
      <c r="P147" s="154">
        <v>3.99</v>
      </c>
      <c r="Q147" s="156" t="s">
        <v>839</v>
      </c>
      <c r="R147" s="154"/>
      <c r="S147" s="154">
        <v>3.49</v>
      </c>
      <c r="T147" s="154"/>
      <c r="U147" s="157"/>
      <c r="V147" s="155"/>
      <c r="W147" s="157"/>
      <c r="X147" s="154">
        <v>3.49</v>
      </c>
      <c r="Y147" s="157"/>
      <c r="Z147" s="154">
        <v>3.49</v>
      </c>
      <c r="AA147" s="156"/>
      <c r="AB147" s="154"/>
      <c r="AC147" s="154">
        <v>3.49</v>
      </c>
      <c r="AD147" s="154"/>
      <c r="AE147" s="159"/>
      <c r="AF147" s="155"/>
      <c r="AG147" s="156"/>
      <c r="AH147" s="49" t="s">
        <v>403</v>
      </c>
      <c r="AI147" s="98"/>
      <c r="AJ147" s="98"/>
      <c r="AK147" s="98"/>
      <c r="AL147" s="98"/>
      <c r="AM147" s="98"/>
      <c r="AO147" s="51"/>
    </row>
    <row r="148" spans="1:41" ht="31" x14ac:dyDescent="0.6">
      <c r="A148" s="297">
        <v>980833</v>
      </c>
      <c r="B148" s="298" t="s">
        <v>90</v>
      </c>
      <c r="C148" s="166">
        <v>17</v>
      </c>
      <c r="D148" s="172"/>
      <c r="E148" s="166"/>
      <c r="F148" s="198"/>
      <c r="G148" s="198">
        <v>4.6900000000000004</v>
      </c>
      <c r="H148" s="198"/>
      <c r="I148" s="157"/>
      <c r="J148" s="191"/>
      <c r="K148" s="198"/>
      <c r="L148" s="198">
        <v>4.6900000000000004</v>
      </c>
      <c r="M148" s="198"/>
      <c r="N148" s="198">
        <v>4.6900000000000004</v>
      </c>
      <c r="O148" s="198"/>
      <c r="P148" s="198">
        <v>4.6900000000000004</v>
      </c>
      <c r="Q148" s="156"/>
      <c r="R148" s="198"/>
      <c r="S148" s="198">
        <v>4.6900000000000004</v>
      </c>
      <c r="T148" s="166"/>
      <c r="U148" s="159"/>
      <c r="V148" s="191"/>
      <c r="W148" s="166"/>
      <c r="X148" s="166">
        <v>4.6900000000000004</v>
      </c>
      <c r="Y148" s="166"/>
      <c r="Z148" s="166">
        <v>4.6900000000000004</v>
      </c>
      <c r="AA148" s="156"/>
      <c r="AB148" s="198"/>
      <c r="AC148" s="198">
        <v>4.6900000000000004</v>
      </c>
      <c r="AD148" s="166"/>
      <c r="AE148" s="157"/>
      <c r="AF148" s="191"/>
      <c r="AG148" s="156"/>
      <c r="AH148" s="49" t="s">
        <v>403</v>
      </c>
      <c r="AI148" s="66"/>
      <c r="AJ148" s="66"/>
      <c r="AK148" s="66"/>
      <c r="AL148" s="66"/>
      <c r="AM148" s="66"/>
    </row>
    <row r="149" spans="1:41" ht="31" x14ac:dyDescent="0.6">
      <c r="A149" s="273">
        <v>980921</v>
      </c>
      <c r="B149" s="272" t="s">
        <v>438</v>
      </c>
      <c r="C149" s="158">
        <v>48</v>
      </c>
      <c r="D149" s="172" t="s">
        <v>130</v>
      </c>
      <c r="E149" s="158"/>
      <c r="F149" s="154"/>
      <c r="G149" s="154">
        <v>0.32</v>
      </c>
      <c r="H149" s="158"/>
      <c r="I149" s="159"/>
      <c r="J149" s="155"/>
      <c r="K149" s="154"/>
      <c r="L149" s="154">
        <v>0.5</v>
      </c>
      <c r="M149" s="154"/>
      <c r="N149" s="154">
        <v>0.5</v>
      </c>
      <c r="O149" s="154"/>
      <c r="P149" s="154">
        <v>0.5</v>
      </c>
      <c r="Q149" s="156"/>
      <c r="R149" s="154"/>
      <c r="S149" s="154">
        <v>0.32</v>
      </c>
      <c r="T149" s="158"/>
      <c r="U149" s="159"/>
      <c r="V149" s="155"/>
      <c r="W149" s="159"/>
      <c r="X149" s="154">
        <v>0.32</v>
      </c>
      <c r="Y149" s="159"/>
      <c r="Z149" s="154">
        <v>0.32</v>
      </c>
      <c r="AA149" s="156"/>
      <c r="AB149" s="154"/>
      <c r="AC149" s="154">
        <v>0.32</v>
      </c>
      <c r="AD149" s="158"/>
      <c r="AE149" s="159"/>
      <c r="AF149" s="155"/>
      <c r="AG149" s="156"/>
      <c r="AH149" s="49" t="s">
        <v>403</v>
      </c>
      <c r="AI149" s="98"/>
      <c r="AJ149" s="98"/>
      <c r="AK149" s="98"/>
      <c r="AL149" s="98" t="s">
        <v>128</v>
      </c>
      <c r="AM149" s="98"/>
    </row>
    <row r="150" spans="1:41" ht="31" x14ac:dyDescent="0.6">
      <c r="A150" s="297">
        <v>980990</v>
      </c>
      <c r="B150" s="298" t="s">
        <v>97</v>
      </c>
      <c r="C150" s="166">
        <v>12</v>
      </c>
      <c r="D150" s="172"/>
      <c r="E150" s="166"/>
      <c r="F150" s="154"/>
      <c r="G150" s="154">
        <v>4.38</v>
      </c>
      <c r="H150" s="154"/>
      <c r="I150" s="157"/>
      <c r="J150" s="155"/>
      <c r="K150" s="154"/>
      <c r="L150" s="154">
        <v>4.38</v>
      </c>
      <c r="M150" s="154"/>
      <c r="N150" s="154">
        <v>4.38</v>
      </c>
      <c r="O150" s="154"/>
      <c r="P150" s="154">
        <v>4.38</v>
      </c>
      <c r="Q150" s="156"/>
      <c r="R150" s="198"/>
      <c r="S150" s="198">
        <v>4.38</v>
      </c>
      <c r="T150" s="166"/>
      <c r="U150" s="159"/>
      <c r="V150" s="191"/>
      <c r="W150" s="159"/>
      <c r="X150" s="159">
        <v>4.38</v>
      </c>
      <c r="Y150" s="159"/>
      <c r="Z150" s="159">
        <v>4.38</v>
      </c>
      <c r="AA150" s="156"/>
      <c r="AB150" s="198"/>
      <c r="AC150" s="157">
        <v>4.38</v>
      </c>
      <c r="AD150" s="166"/>
      <c r="AE150" s="159"/>
      <c r="AF150" s="191"/>
      <c r="AG150" s="156"/>
      <c r="AH150" s="49" t="s">
        <v>403</v>
      </c>
      <c r="AI150" s="66"/>
      <c r="AJ150" s="66"/>
      <c r="AK150" s="66"/>
      <c r="AL150" s="66"/>
      <c r="AM150" s="66"/>
    </row>
    <row r="151" spans="1:41" ht="31" x14ac:dyDescent="0.6">
      <c r="A151" s="297">
        <v>983101</v>
      </c>
      <c r="B151" s="298" t="s">
        <v>618</v>
      </c>
      <c r="C151" s="166">
        <v>9</v>
      </c>
      <c r="D151" s="172" t="s">
        <v>129</v>
      </c>
      <c r="E151" s="166"/>
      <c r="F151" s="203"/>
      <c r="G151" s="203">
        <v>2.79</v>
      </c>
      <c r="H151" s="204"/>
      <c r="I151" s="156"/>
      <c r="J151" s="204"/>
      <c r="K151" s="203"/>
      <c r="L151" s="203">
        <v>3.19</v>
      </c>
      <c r="M151" s="203"/>
      <c r="N151" s="203">
        <v>3.19</v>
      </c>
      <c r="O151" s="203"/>
      <c r="P151" s="203">
        <v>3.19</v>
      </c>
      <c r="Q151" s="156"/>
      <c r="R151" s="203"/>
      <c r="S151" s="203">
        <v>2.79</v>
      </c>
      <c r="T151" s="205"/>
      <c r="U151" s="159"/>
      <c r="V151" s="204"/>
      <c r="W151" s="159"/>
      <c r="X151" s="205">
        <v>2.79</v>
      </c>
      <c r="Y151" s="159"/>
      <c r="Z151" s="205">
        <v>2.79</v>
      </c>
      <c r="AA151" s="156"/>
      <c r="AB151" s="203">
        <v>2.79</v>
      </c>
      <c r="AC151" s="203">
        <v>1.95</v>
      </c>
      <c r="AD151" s="205" t="s">
        <v>6</v>
      </c>
      <c r="AE151" s="159" t="s">
        <v>41</v>
      </c>
      <c r="AF151" s="204">
        <v>44820</v>
      </c>
      <c r="AG151" s="156"/>
      <c r="AH151" s="49" t="s">
        <v>404</v>
      </c>
      <c r="AI151" s="66"/>
      <c r="AJ151" s="66"/>
      <c r="AK151" s="66"/>
      <c r="AL151" s="66"/>
      <c r="AM151" s="66"/>
      <c r="AO151" s="51"/>
    </row>
    <row r="152" spans="1:41" ht="31" x14ac:dyDescent="0.6">
      <c r="A152" s="297">
        <v>983201</v>
      </c>
      <c r="B152" s="298" t="s">
        <v>430</v>
      </c>
      <c r="C152" s="166">
        <v>6</v>
      </c>
      <c r="D152" s="166" t="s">
        <v>129</v>
      </c>
      <c r="E152" s="166"/>
      <c r="F152" s="198"/>
      <c r="G152" s="198">
        <v>4.38</v>
      </c>
      <c r="H152" s="198"/>
      <c r="I152" s="198"/>
      <c r="J152" s="191"/>
      <c r="K152" s="198"/>
      <c r="L152" s="198">
        <v>4.29</v>
      </c>
      <c r="M152" s="198"/>
      <c r="N152" s="198">
        <v>4.29</v>
      </c>
      <c r="O152" s="198"/>
      <c r="P152" s="198">
        <v>4.29</v>
      </c>
      <c r="Q152" s="156"/>
      <c r="R152" s="198"/>
      <c r="S152" s="198">
        <v>4.38</v>
      </c>
      <c r="T152" s="191"/>
      <c r="U152" s="198"/>
      <c r="V152" s="191"/>
      <c r="W152" s="157"/>
      <c r="X152" s="198">
        <v>4.38</v>
      </c>
      <c r="Y152" s="157"/>
      <c r="Z152" s="198">
        <v>4.38</v>
      </c>
      <c r="AA152" s="156"/>
      <c r="AB152" s="198"/>
      <c r="AC152" s="198">
        <v>4.38</v>
      </c>
      <c r="AD152" s="191"/>
      <c r="AE152" s="198"/>
      <c r="AF152" s="191"/>
      <c r="AG152" s="157"/>
      <c r="AH152" s="49" t="s">
        <v>404</v>
      </c>
      <c r="AI152" s="66"/>
      <c r="AJ152" s="66"/>
      <c r="AK152" s="66"/>
      <c r="AL152" s="66"/>
      <c r="AM152" s="66"/>
    </row>
    <row r="153" spans="1:41" ht="31" x14ac:dyDescent="0.6">
      <c r="A153" s="273">
        <v>983301</v>
      </c>
      <c r="B153" s="272" t="s">
        <v>603</v>
      </c>
      <c r="C153" s="158">
        <v>6</v>
      </c>
      <c r="D153" s="158"/>
      <c r="E153" s="158"/>
      <c r="F153" s="154"/>
      <c r="G153" s="154">
        <v>3.98</v>
      </c>
      <c r="H153" s="157"/>
      <c r="I153" s="157"/>
      <c r="J153" s="155"/>
      <c r="K153" s="154"/>
      <c r="L153" s="154">
        <v>4.99</v>
      </c>
      <c r="M153" s="154"/>
      <c r="N153" s="154">
        <v>4.99</v>
      </c>
      <c r="O153" s="154"/>
      <c r="P153" s="154">
        <v>4.99</v>
      </c>
      <c r="Q153" s="156"/>
      <c r="R153" s="154"/>
      <c r="S153" s="154">
        <v>3.98</v>
      </c>
      <c r="T153" s="159"/>
      <c r="U153" s="159"/>
      <c r="V153" s="155"/>
      <c r="W153" s="159"/>
      <c r="X153" s="158">
        <v>3.98</v>
      </c>
      <c r="Y153" s="159"/>
      <c r="Z153" s="158">
        <v>3.98</v>
      </c>
      <c r="AA153" s="156"/>
      <c r="AB153" s="154"/>
      <c r="AC153" s="154">
        <v>3.98</v>
      </c>
      <c r="AD153" s="159"/>
      <c r="AE153" s="159"/>
      <c r="AF153" s="155"/>
      <c r="AG153" s="156"/>
      <c r="AH153" s="49" t="s">
        <v>404</v>
      </c>
      <c r="AI153" s="98"/>
      <c r="AJ153" s="98"/>
      <c r="AK153" s="98"/>
      <c r="AL153" s="98"/>
      <c r="AM153" s="98"/>
    </row>
    <row r="154" spans="1:41" ht="31" x14ac:dyDescent="0.6">
      <c r="A154" s="273">
        <v>995082</v>
      </c>
      <c r="B154" s="272" t="s">
        <v>721</v>
      </c>
      <c r="C154" s="158">
        <v>4</v>
      </c>
      <c r="D154" s="158"/>
      <c r="E154" s="158"/>
      <c r="F154" s="154"/>
      <c r="G154" s="154">
        <v>3.99</v>
      </c>
      <c r="H154" s="157"/>
      <c r="I154" s="157"/>
      <c r="J154" s="155"/>
      <c r="K154" s="154"/>
      <c r="L154" s="154">
        <v>4.49</v>
      </c>
      <c r="M154" s="154"/>
      <c r="N154" s="154">
        <v>4.49</v>
      </c>
      <c r="O154" s="154"/>
      <c r="P154" s="154">
        <v>4.49</v>
      </c>
      <c r="Q154" s="156"/>
      <c r="R154" s="154"/>
      <c r="S154" s="154">
        <v>3.99</v>
      </c>
      <c r="T154" s="159"/>
      <c r="U154" s="159"/>
      <c r="V154" s="155"/>
      <c r="W154" s="159"/>
      <c r="X154" s="154">
        <v>3.99</v>
      </c>
      <c r="Y154" s="159"/>
      <c r="Z154" s="154">
        <v>3.99</v>
      </c>
      <c r="AA154" s="156"/>
      <c r="AB154" s="154"/>
      <c r="AC154" s="154">
        <v>3.49</v>
      </c>
      <c r="AD154" s="159"/>
      <c r="AE154" s="159"/>
      <c r="AF154" s="155"/>
      <c r="AG154" s="156"/>
      <c r="AH154" s="49" t="s">
        <v>404</v>
      </c>
      <c r="AI154" s="98"/>
      <c r="AJ154" s="98"/>
      <c r="AK154" s="98"/>
      <c r="AL154" s="98"/>
      <c r="AM154" s="98"/>
    </row>
    <row r="155" spans="1:41" ht="31" x14ac:dyDescent="0.6">
      <c r="A155" s="273">
        <v>982102</v>
      </c>
      <c r="B155" s="272" t="s">
        <v>701</v>
      </c>
      <c r="C155" s="158">
        <v>15</v>
      </c>
      <c r="D155" s="158"/>
      <c r="E155" s="158"/>
      <c r="F155" s="154"/>
      <c r="G155" s="154">
        <v>2.99</v>
      </c>
      <c r="H155" s="157"/>
      <c r="I155" s="157"/>
      <c r="J155" s="155"/>
      <c r="K155" s="154"/>
      <c r="L155" s="154">
        <v>3.29</v>
      </c>
      <c r="M155" s="154"/>
      <c r="N155" s="154">
        <v>3.29</v>
      </c>
      <c r="O155" s="154"/>
      <c r="P155" s="154">
        <v>3.29</v>
      </c>
      <c r="Q155" s="156"/>
      <c r="R155" s="154"/>
      <c r="S155" s="154">
        <v>2.99</v>
      </c>
      <c r="T155" s="157"/>
      <c r="U155" s="157"/>
      <c r="V155" s="155"/>
      <c r="W155" s="154"/>
      <c r="X155" s="154">
        <v>2.99</v>
      </c>
      <c r="Y155" s="154"/>
      <c r="Z155" s="154">
        <v>2.99</v>
      </c>
      <c r="AA155" s="156"/>
      <c r="AB155" s="154"/>
      <c r="AC155" s="154">
        <v>2.99</v>
      </c>
      <c r="AD155" s="157"/>
      <c r="AE155" s="157"/>
      <c r="AF155" s="155"/>
      <c r="AG155" s="156"/>
      <c r="AH155" s="49" t="s">
        <v>633</v>
      </c>
      <c r="AI155" s="98"/>
      <c r="AJ155" s="98"/>
      <c r="AK155" s="98"/>
      <c r="AL155" s="98"/>
      <c r="AM155" s="98"/>
    </row>
    <row r="156" spans="1:41" ht="31" x14ac:dyDescent="0.6">
      <c r="A156" s="273">
        <v>982130</v>
      </c>
      <c r="B156" s="272" t="s">
        <v>702</v>
      </c>
      <c r="C156" s="158">
        <v>12</v>
      </c>
      <c r="D156" s="158"/>
      <c r="E156" s="158"/>
      <c r="F156" s="154"/>
      <c r="G156" s="154">
        <v>3.98</v>
      </c>
      <c r="H156" s="157"/>
      <c r="I156" s="157"/>
      <c r="J156" s="155"/>
      <c r="K156" s="154"/>
      <c r="L156" s="154">
        <v>4.28</v>
      </c>
      <c r="M156" s="154"/>
      <c r="N156" s="154">
        <v>4.28</v>
      </c>
      <c r="O156" s="154"/>
      <c r="P156" s="154">
        <v>4.28</v>
      </c>
      <c r="Q156" s="156"/>
      <c r="R156" s="154"/>
      <c r="S156" s="154">
        <v>3.98</v>
      </c>
      <c r="T156" s="159"/>
      <c r="U156" s="159"/>
      <c r="V156" s="155"/>
      <c r="W156" s="159"/>
      <c r="X156" s="158">
        <v>3.98</v>
      </c>
      <c r="Y156" s="159"/>
      <c r="Z156" s="158">
        <v>3.98</v>
      </c>
      <c r="AA156" s="155"/>
      <c r="AB156" s="154"/>
      <c r="AC156" s="154">
        <v>3.98</v>
      </c>
      <c r="AD156" s="159"/>
      <c r="AE156" s="159"/>
      <c r="AF156" s="155"/>
      <c r="AG156" s="155"/>
      <c r="AH156" s="49" t="s">
        <v>633</v>
      </c>
      <c r="AI156" s="98"/>
      <c r="AJ156" s="98"/>
      <c r="AK156" s="98"/>
      <c r="AL156" s="98"/>
      <c r="AM156" s="98"/>
    </row>
    <row r="157" spans="1:41" ht="31" x14ac:dyDescent="0.6">
      <c r="A157" s="297">
        <v>982202</v>
      </c>
      <c r="B157" s="298" t="s">
        <v>703</v>
      </c>
      <c r="C157" s="166">
        <v>15</v>
      </c>
      <c r="D157" s="158"/>
      <c r="E157" s="158"/>
      <c r="F157" s="154"/>
      <c r="G157" s="154"/>
      <c r="H157" s="154" t="s">
        <v>6</v>
      </c>
      <c r="I157" s="157" t="s">
        <v>7</v>
      </c>
      <c r="J157" s="155">
        <v>44824</v>
      </c>
      <c r="K157" s="154"/>
      <c r="L157" s="154"/>
      <c r="M157" s="154"/>
      <c r="N157" s="154"/>
      <c r="O157" s="154"/>
      <c r="P157" s="154"/>
      <c r="Q157" s="156"/>
      <c r="R157" s="154"/>
      <c r="S157" s="154"/>
      <c r="T157" s="157" t="s">
        <v>6</v>
      </c>
      <c r="U157" s="157" t="s">
        <v>7</v>
      </c>
      <c r="V157" s="155">
        <v>44824</v>
      </c>
      <c r="W157" s="159"/>
      <c r="X157" s="158"/>
      <c r="Y157" s="159"/>
      <c r="Z157" s="158"/>
      <c r="AA157" s="155"/>
      <c r="AB157" s="154"/>
      <c r="AC157" s="154"/>
      <c r="AD157" s="157" t="s">
        <v>6</v>
      </c>
      <c r="AE157" s="157" t="s">
        <v>7</v>
      </c>
      <c r="AF157" s="155">
        <v>44824</v>
      </c>
      <c r="AG157" s="155"/>
      <c r="AH157" s="49" t="s">
        <v>633</v>
      </c>
      <c r="AI157" s="98"/>
      <c r="AJ157" s="98"/>
      <c r="AK157" s="98"/>
      <c r="AL157" s="98"/>
      <c r="AM157" s="98"/>
    </row>
    <row r="158" spans="1:41" ht="31" x14ac:dyDescent="0.6">
      <c r="A158" s="273">
        <v>982230</v>
      </c>
      <c r="B158" s="272" t="s">
        <v>700</v>
      </c>
      <c r="C158" s="158">
        <v>12</v>
      </c>
      <c r="D158" s="158"/>
      <c r="E158" s="158"/>
      <c r="F158" s="154"/>
      <c r="G158" s="154">
        <v>3.98</v>
      </c>
      <c r="H158" s="154"/>
      <c r="I158" s="157"/>
      <c r="J158" s="155"/>
      <c r="K158" s="154"/>
      <c r="L158" s="154">
        <v>4.28</v>
      </c>
      <c r="M158" s="154"/>
      <c r="N158" s="154">
        <v>4.28</v>
      </c>
      <c r="O158" s="154"/>
      <c r="P158" s="154">
        <v>4.28</v>
      </c>
      <c r="Q158" s="156"/>
      <c r="R158" s="154"/>
      <c r="S158" s="154">
        <v>3.98</v>
      </c>
      <c r="T158" s="159"/>
      <c r="U158" s="159"/>
      <c r="V158" s="155"/>
      <c r="W158" s="159"/>
      <c r="X158" s="158">
        <v>3.98</v>
      </c>
      <c r="Y158" s="159"/>
      <c r="Z158" s="158">
        <v>3.98</v>
      </c>
      <c r="AA158" s="155"/>
      <c r="AB158" s="154"/>
      <c r="AC158" s="154">
        <v>3.98</v>
      </c>
      <c r="AD158" s="159"/>
      <c r="AE158" s="159"/>
      <c r="AF158" s="155"/>
      <c r="AG158" s="155"/>
      <c r="AH158" s="49" t="s">
        <v>633</v>
      </c>
      <c r="AI158" s="98"/>
      <c r="AJ158" s="98"/>
      <c r="AK158" s="98"/>
      <c r="AL158" s="98"/>
      <c r="AM158" s="98"/>
    </row>
    <row r="159" spans="1:41" ht="31" x14ac:dyDescent="0.6">
      <c r="A159" s="273">
        <v>982400</v>
      </c>
      <c r="B159" s="272" t="s">
        <v>720</v>
      </c>
      <c r="C159" s="158">
        <v>14</v>
      </c>
      <c r="D159" s="158"/>
      <c r="E159" s="158"/>
      <c r="F159" s="154"/>
      <c r="G159" s="154">
        <v>2.99</v>
      </c>
      <c r="H159" s="154"/>
      <c r="I159" s="157"/>
      <c r="J159" s="155"/>
      <c r="K159" s="154"/>
      <c r="L159" s="154">
        <v>3.29</v>
      </c>
      <c r="M159" s="154"/>
      <c r="N159" s="154">
        <v>3.29</v>
      </c>
      <c r="O159" s="154"/>
      <c r="P159" s="154">
        <v>3.29</v>
      </c>
      <c r="Q159" s="156"/>
      <c r="R159" s="154"/>
      <c r="S159" s="154">
        <v>2.99</v>
      </c>
      <c r="T159" s="157"/>
      <c r="U159" s="157"/>
      <c r="V159" s="155"/>
      <c r="W159" s="159"/>
      <c r="X159" s="158">
        <v>2.99</v>
      </c>
      <c r="Y159" s="159"/>
      <c r="Z159" s="158">
        <v>2.99</v>
      </c>
      <c r="AA159" s="155"/>
      <c r="AB159" s="154"/>
      <c r="AC159" s="154">
        <v>2.99</v>
      </c>
      <c r="AD159" s="159"/>
      <c r="AE159" s="159"/>
      <c r="AF159" s="155"/>
      <c r="AG159" s="155"/>
      <c r="AH159" s="49" t="s">
        <v>633</v>
      </c>
      <c r="AI159" s="98"/>
      <c r="AJ159" s="98"/>
      <c r="AK159" s="98"/>
      <c r="AL159" s="98"/>
      <c r="AM159" s="98"/>
    </row>
    <row r="160" spans="1:41" ht="31" x14ac:dyDescent="0.6">
      <c r="A160" s="273">
        <v>982430</v>
      </c>
      <c r="B160" s="272" t="s">
        <v>632</v>
      </c>
      <c r="C160" s="158">
        <v>12</v>
      </c>
      <c r="D160" s="158"/>
      <c r="E160" s="158"/>
      <c r="F160" s="154"/>
      <c r="G160" s="154">
        <v>4.28</v>
      </c>
      <c r="H160" s="155"/>
      <c r="I160" s="156"/>
      <c r="J160" s="155"/>
      <c r="K160" s="154"/>
      <c r="L160" s="154">
        <v>4.28</v>
      </c>
      <c r="M160" s="154"/>
      <c r="N160" s="154">
        <v>4.28</v>
      </c>
      <c r="O160" s="154"/>
      <c r="P160" s="154">
        <v>4.28</v>
      </c>
      <c r="Q160" s="156"/>
      <c r="R160" s="154"/>
      <c r="S160" s="154">
        <v>4.28</v>
      </c>
      <c r="T160" s="154"/>
      <c r="U160" s="159"/>
      <c r="V160" s="155"/>
      <c r="W160" s="159"/>
      <c r="X160" s="158">
        <v>4.28</v>
      </c>
      <c r="Y160" s="159"/>
      <c r="Z160" s="158">
        <v>4.28</v>
      </c>
      <c r="AA160" s="155"/>
      <c r="AB160" s="154"/>
      <c r="AC160" s="154">
        <v>4.28</v>
      </c>
      <c r="AD160" s="157"/>
      <c r="AE160" s="159"/>
      <c r="AF160" s="155"/>
      <c r="AG160" s="155"/>
      <c r="AH160" s="49" t="s">
        <v>633</v>
      </c>
      <c r="AI160" s="98"/>
      <c r="AJ160" s="98"/>
      <c r="AK160" s="98"/>
      <c r="AL160" s="98"/>
      <c r="AM160" s="98"/>
    </row>
    <row r="161" spans="1:41" ht="31" x14ac:dyDescent="0.6">
      <c r="A161" s="273">
        <v>981699</v>
      </c>
      <c r="B161" s="272" t="s">
        <v>91</v>
      </c>
      <c r="C161" s="158">
        <v>8</v>
      </c>
      <c r="D161" s="158"/>
      <c r="E161" s="158"/>
      <c r="F161" s="154"/>
      <c r="G161" s="154">
        <v>4.67</v>
      </c>
      <c r="H161" s="155"/>
      <c r="I161" s="156"/>
      <c r="J161" s="155"/>
      <c r="K161" s="154"/>
      <c r="L161" s="154">
        <v>4.8899999999999997</v>
      </c>
      <c r="M161" s="154"/>
      <c r="N161" s="154">
        <v>4.8899999999999997</v>
      </c>
      <c r="O161" s="154"/>
      <c r="P161" s="154">
        <v>4.8899999999999997</v>
      </c>
      <c r="Q161" s="156"/>
      <c r="R161" s="154"/>
      <c r="S161" s="154">
        <v>4.67</v>
      </c>
      <c r="T161" s="157"/>
      <c r="U161" s="159"/>
      <c r="V161" s="155"/>
      <c r="W161" s="159"/>
      <c r="X161" s="158">
        <v>4.67</v>
      </c>
      <c r="Y161" s="159"/>
      <c r="Z161" s="158">
        <v>4.67</v>
      </c>
      <c r="AA161" s="155"/>
      <c r="AB161" s="154"/>
      <c r="AC161" s="154">
        <v>4.67</v>
      </c>
      <c r="AD161" s="157"/>
      <c r="AE161" s="159"/>
      <c r="AF161" s="155"/>
      <c r="AG161" s="155"/>
      <c r="AH161" s="49" t="s">
        <v>405</v>
      </c>
      <c r="AI161" s="98"/>
      <c r="AJ161" s="98"/>
      <c r="AK161" s="98"/>
      <c r="AL161" s="98" t="s">
        <v>128</v>
      </c>
      <c r="AM161" s="98"/>
    </row>
    <row r="162" spans="1:41" ht="31" x14ac:dyDescent="0.6">
      <c r="A162" s="273">
        <v>981700</v>
      </c>
      <c r="B162" s="272" t="s">
        <v>745</v>
      </c>
      <c r="C162" s="158">
        <v>27</v>
      </c>
      <c r="D162" s="158"/>
      <c r="E162" s="158"/>
      <c r="F162" s="154"/>
      <c r="G162" s="154">
        <v>1.98</v>
      </c>
      <c r="H162" s="154"/>
      <c r="I162" s="157"/>
      <c r="J162" s="155"/>
      <c r="K162" s="154"/>
      <c r="L162" s="154">
        <v>1.99</v>
      </c>
      <c r="M162" s="154"/>
      <c r="N162" s="154">
        <v>1.99</v>
      </c>
      <c r="O162" s="154"/>
      <c r="P162" s="154">
        <v>1.99</v>
      </c>
      <c r="Q162" s="156"/>
      <c r="R162" s="154"/>
      <c r="S162" s="154">
        <v>1.98</v>
      </c>
      <c r="T162" s="159"/>
      <c r="U162" s="159"/>
      <c r="V162" s="155"/>
      <c r="W162" s="159"/>
      <c r="X162" s="154">
        <v>1.98</v>
      </c>
      <c r="Y162" s="159"/>
      <c r="Z162" s="154">
        <v>1.98</v>
      </c>
      <c r="AA162" s="155"/>
      <c r="AB162" s="154"/>
      <c r="AC162" s="154">
        <v>1.98</v>
      </c>
      <c r="AD162" s="159"/>
      <c r="AE162" s="159"/>
      <c r="AF162" s="155"/>
      <c r="AG162" s="155"/>
      <c r="AH162" s="49" t="s">
        <v>405</v>
      </c>
      <c r="AI162" s="98"/>
      <c r="AJ162" s="98"/>
      <c r="AK162" s="98"/>
      <c r="AL162" s="98"/>
      <c r="AM162" s="98"/>
    </row>
    <row r="163" spans="1:41" ht="31" x14ac:dyDescent="0.6">
      <c r="A163" s="107">
        <v>981101</v>
      </c>
      <c r="B163" s="108"/>
      <c r="C163" s="109">
        <v>8</v>
      </c>
      <c r="D163" s="158"/>
      <c r="E163" s="158"/>
      <c r="F163" s="247"/>
      <c r="G163" s="247">
        <v>3.99</v>
      </c>
      <c r="H163" s="247" t="s">
        <v>16</v>
      </c>
      <c r="I163" s="250" t="s">
        <v>473</v>
      </c>
      <c r="J163" s="248"/>
      <c r="K163" s="247"/>
      <c r="L163" s="247">
        <v>3.99</v>
      </c>
      <c r="M163" s="247"/>
      <c r="N163" s="247">
        <v>3.99</v>
      </c>
      <c r="O163" s="247"/>
      <c r="P163" s="247">
        <v>3.99</v>
      </c>
      <c r="Q163" s="249"/>
      <c r="R163" s="154"/>
      <c r="S163" s="154"/>
      <c r="T163" s="159"/>
      <c r="U163" s="159"/>
      <c r="V163" s="155"/>
      <c r="W163" s="159"/>
      <c r="X163" s="154"/>
      <c r="Y163" s="159"/>
      <c r="Z163" s="154"/>
      <c r="AA163" s="155"/>
      <c r="AB163" s="154"/>
      <c r="AC163" s="154"/>
      <c r="AD163" s="159"/>
      <c r="AE163" s="159"/>
      <c r="AF163" s="155"/>
      <c r="AG163" s="156"/>
      <c r="AH163" s="49" t="s">
        <v>406</v>
      </c>
      <c r="AI163" s="98" t="s">
        <v>791</v>
      </c>
      <c r="AJ163" s="98"/>
      <c r="AK163" s="98"/>
      <c r="AL163" s="98"/>
      <c r="AM163" s="98"/>
      <c r="AO163" s="51"/>
    </row>
    <row r="164" spans="1:41" ht="31" x14ac:dyDescent="0.6">
      <c r="A164" s="273">
        <v>981340</v>
      </c>
      <c r="B164" s="272" t="s">
        <v>813</v>
      </c>
      <c r="C164" s="158">
        <v>12</v>
      </c>
      <c r="D164" s="158"/>
      <c r="E164" s="158"/>
      <c r="F164" s="154"/>
      <c r="G164" s="154">
        <v>3.98</v>
      </c>
      <c r="H164" s="154"/>
      <c r="I164" s="157"/>
      <c r="J164" s="155"/>
      <c r="K164" s="154"/>
      <c r="L164" s="154">
        <v>3.98</v>
      </c>
      <c r="M164" s="154"/>
      <c r="N164" s="154">
        <v>3.98</v>
      </c>
      <c r="O164" s="154"/>
      <c r="P164" s="154">
        <v>3.98</v>
      </c>
      <c r="Q164" s="156"/>
      <c r="R164" s="154"/>
      <c r="S164" s="154">
        <v>3.98</v>
      </c>
      <c r="T164" s="154"/>
      <c r="U164" s="157"/>
      <c r="V164" s="155"/>
      <c r="W164" s="159"/>
      <c r="X164" s="154">
        <v>3.98</v>
      </c>
      <c r="Y164" s="159"/>
      <c r="Z164" s="154">
        <v>3.98</v>
      </c>
      <c r="AA164" s="155"/>
      <c r="AB164" s="154"/>
      <c r="AC164" s="154">
        <v>3.98</v>
      </c>
      <c r="AD164" s="154"/>
      <c r="AE164" s="157"/>
      <c r="AF164" s="155"/>
      <c r="AG164" s="156"/>
      <c r="AH164" s="49" t="s">
        <v>406</v>
      </c>
      <c r="AI164" s="98"/>
      <c r="AJ164" s="98"/>
      <c r="AK164" s="98"/>
      <c r="AL164" s="98"/>
      <c r="AM164" s="98"/>
    </row>
    <row r="165" spans="1:41" ht="31" x14ac:dyDescent="0.6">
      <c r="A165" s="273">
        <v>981200</v>
      </c>
      <c r="B165" s="272" t="s">
        <v>788</v>
      </c>
      <c r="C165" s="158">
        <v>27</v>
      </c>
      <c r="D165" s="158"/>
      <c r="E165" s="158"/>
      <c r="F165" s="154"/>
      <c r="G165" s="154">
        <v>1.79</v>
      </c>
      <c r="H165" s="154"/>
      <c r="I165" s="157"/>
      <c r="J165" s="155"/>
      <c r="K165" s="154"/>
      <c r="L165" s="154">
        <v>1.99</v>
      </c>
      <c r="M165" s="154"/>
      <c r="N165" s="154">
        <v>1.99</v>
      </c>
      <c r="O165" s="154"/>
      <c r="P165" s="154">
        <v>1.99</v>
      </c>
      <c r="Q165" s="156"/>
      <c r="R165" s="154"/>
      <c r="S165" s="154">
        <v>1.79</v>
      </c>
      <c r="T165" s="159"/>
      <c r="U165" s="159"/>
      <c r="V165" s="155"/>
      <c r="W165" s="159"/>
      <c r="X165" s="154">
        <v>1.79</v>
      </c>
      <c r="Y165" s="159"/>
      <c r="Z165" s="154">
        <v>1.79</v>
      </c>
      <c r="AA165" s="155"/>
      <c r="AB165" s="154"/>
      <c r="AC165" s="154">
        <v>1.79</v>
      </c>
      <c r="AD165" s="159"/>
      <c r="AE165" s="159"/>
      <c r="AF165" s="155"/>
      <c r="AG165" s="156"/>
      <c r="AH165" s="49" t="s">
        <v>406</v>
      </c>
      <c r="AI165" s="98"/>
      <c r="AJ165" s="98"/>
      <c r="AK165" s="98"/>
      <c r="AL165" s="98"/>
      <c r="AM165" s="98"/>
    </row>
    <row r="166" spans="1:41" ht="31" x14ac:dyDescent="0.6">
      <c r="A166" s="273">
        <v>981130</v>
      </c>
      <c r="B166" s="272" t="s">
        <v>436</v>
      </c>
      <c r="C166" s="158">
        <v>27</v>
      </c>
      <c r="D166" s="158" t="s">
        <v>129</v>
      </c>
      <c r="E166" s="158"/>
      <c r="F166" s="154"/>
      <c r="G166" s="154">
        <v>2.78</v>
      </c>
      <c r="H166" s="154"/>
      <c r="I166" s="157"/>
      <c r="J166" s="155"/>
      <c r="K166" s="154"/>
      <c r="L166" s="154">
        <v>2.99</v>
      </c>
      <c r="M166" s="154"/>
      <c r="N166" s="154">
        <v>2.99</v>
      </c>
      <c r="O166" s="154"/>
      <c r="P166" s="154">
        <v>2.99</v>
      </c>
      <c r="Q166" s="161"/>
      <c r="R166" s="154"/>
      <c r="S166" s="154">
        <v>2.78</v>
      </c>
      <c r="T166" s="157"/>
      <c r="U166" s="157"/>
      <c r="V166" s="155"/>
      <c r="W166" s="157"/>
      <c r="X166" s="154">
        <v>2.78</v>
      </c>
      <c r="Y166" s="157"/>
      <c r="Z166" s="154">
        <v>2.78</v>
      </c>
      <c r="AA166" s="155"/>
      <c r="AB166" s="154"/>
      <c r="AC166" s="154">
        <v>2.78</v>
      </c>
      <c r="AD166" s="157"/>
      <c r="AE166" s="157"/>
      <c r="AF166" s="155"/>
      <c r="AG166" s="156"/>
      <c r="AH166" s="49" t="s">
        <v>406</v>
      </c>
      <c r="AI166" s="98"/>
      <c r="AJ166" s="98"/>
      <c r="AK166" s="98"/>
      <c r="AL166" s="98"/>
      <c r="AM166" s="98"/>
    </row>
    <row r="167" spans="1:41" ht="31" x14ac:dyDescent="0.6">
      <c r="A167" s="273">
        <v>981131</v>
      </c>
      <c r="B167" s="272" t="s">
        <v>773</v>
      </c>
      <c r="C167" s="158">
        <v>34</v>
      </c>
      <c r="D167" s="158"/>
      <c r="E167" s="158"/>
      <c r="F167" s="154"/>
      <c r="G167" s="154">
        <v>2.29</v>
      </c>
      <c r="H167" s="154"/>
      <c r="I167" s="157"/>
      <c r="J167" s="155"/>
      <c r="K167" s="154"/>
      <c r="L167" s="154">
        <v>2.29</v>
      </c>
      <c r="M167" s="154"/>
      <c r="N167" s="154">
        <v>2.29</v>
      </c>
      <c r="O167" s="154"/>
      <c r="P167" s="154">
        <v>2.29</v>
      </c>
      <c r="Q167" s="156"/>
      <c r="R167" s="154"/>
      <c r="S167" s="154">
        <v>2.29</v>
      </c>
      <c r="T167" s="154"/>
      <c r="U167" s="157"/>
      <c r="V167" s="155"/>
      <c r="W167" s="154"/>
      <c r="X167" s="154">
        <v>2.29</v>
      </c>
      <c r="Y167" s="154"/>
      <c r="Z167" s="154">
        <v>2.29</v>
      </c>
      <c r="AA167" s="155"/>
      <c r="AB167" s="154"/>
      <c r="AC167" s="154">
        <v>2.29</v>
      </c>
      <c r="AD167" s="154"/>
      <c r="AE167" s="157"/>
      <c r="AF167" s="155"/>
      <c r="AG167" s="156"/>
      <c r="AH167" s="49" t="s">
        <v>406</v>
      </c>
      <c r="AI167" s="98"/>
      <c r="AJ167" s="98"/>
      <c r="AK167" s="98"/>
      <c r="AL167" s="98"/>
      <c r="AM167" s="98"/>
    </row>
    <row r="168" spans="1:41" ht="31" x14ac:dyDescent="0.6">
      <c r="A168" s="273">
        <v>981168</v>
      </c>
      <c r="B168" s="272" t="s">
        <v>623</v>
      </c>
      <c r="C168" s="158">
        <v>12</v>
      </c>
      <c r="D168" s="158"/>
      <c r="E168" s="158"/>
      <c r="F168" s="154"/>
      <c r="G168" s="154">
        <v>3.49</v>
      </c>
      <c r="H168" s="154"/>
      <c r="I168" s="157"/>
      <c r="J168" s="155"/>
      <c r="K168" s="154"/>
      <c r="L168" s="154">
        <v>3.88</v>
      </c>
      <c r="M168" s="154"/>
      <c r="N168" s="154">
        <v>3.88</v>
      </c>
      <c r="O168" s="154"/>
      <c r="P168" s="154">
        <v>3.88</v>
      </c>
      <c r="Q168" s="156"/>
      <c r="R168" s="154"/>
      <c r="S168" s="154">
        <v>3.49</v>
      </c>
      <c r="T168" s="159"/>
      <c r="U168" s="159"/>
      <c r="V168" s="155"/>
      <c r="W168" s="159"/>
      <c r="X168" s="158">
        <v>3.49</v>
      </c>
      <c r="Y168" s="159"/>
      <c r="Z168" s="158">
        <v>3.49</v>
      </c>
      <c r="AA168" s="155"/>
      <c r="AB168" s="154"/>
      <c r="AC168" s="154">
        <v>3.49</v>
      </c>
      <c r="AD168" s="159"/>
      <c r="AE168" s="159"/>
      <c r="AF168" s="155"/>
      <c r="AG168" s="156"/>
      <c r="AH168" s="49" t="s">
        <v>406</v>
      </c>
      <c r="AI168" s="98"/>
      <c r="AJ168" s="98"/>
      <c r="AK168" s="98"/>
      <c r="AL168" s="98"/>
      <c r="AM168" s="98"/>
    </row>
    <row r="169" spans="1:41" ht="31" x14ac:dyDescent="0.6">
      <c r="A169" s="297">
        <v>981187</v>
      </c>
      <c r="B169" s="298" t="s">
        <v>775</v>
      </c>
      <c r="C169" s="166">
        <v>5</v>
      </c>
      <c r="D169" s="158"/>
      <c r="E169" s="158"/>
      <c r="F169" s="154"/>
      <c r="G169" s="154">
        <v>5.97</v>
      </c>
      <c r="H169" s="170"/>
      <c r="I169" s="157"/>
      <c r="J169" s="155"/>
      <c r="K169" s="154"/>
      <c r="L169" s="154">
        <v>5.97</v>
      </c>
      <c r="M169" s="154"/>
      <c r="N169" s="154">
        <v>5.97</v>
      </c>
      <c r="O169" s="154"/>
      <c r="P169" s="154">
        <v>5.97</v>
      </c>
      <c r="Q169" s="155"/>
      <c r="R169" s="154"/>
      <c r="S169" s="154">
        <v>5.97</v>
      </c>
      <c r="T169" s="159"/>
      <c r="U169" s="159"/>
      <c r="V169" s="155"/>
      <c r="W169" s="159"/>
      <c r="X169" s="157">
        <v>5.97</v>
      </c>
      <c r="Y169" s="159"/>
      <c r="Z169" s="157">
        <v>5.97</v>
      </c>
      <c r="AA169" s="155"/>
      <c r="AB169" s="154"/>
      <c r="AC169" s="154">
        <v>5.97</v>
      </c>
      <c r="AD169" s="159"/>
      <c r="AE169" s="159"/>
      <c r="AF169" s="155"/>
      <c r="AG169" s="155"/>
      <c r="AH169" s="49" t="s">
        <v>406</v>
      </c>
      <c r="AI169" s="98"/>
      <c r="AJ169" s="98"/>
      <c r="AK169" s="98"/>
      <c r="AL169" s="98"/>
      <c r="AM169" s="98"/>
    </row>
    <row r="170" spans="1:41" ht="31" x14ac:dyDescent="0.6">
      <c r="A170" s="297">
        <v>981202</v>
      </c>
      <c r="B170" s="298" t="s">
        <v>611</v>
      </c>
      <c r="C170" s="166">
        <v>27</v>
      </c>
      <c r="D170" s="158"/>
      <c r="E170" s="158"/>
      <c r="F170" s="154"/>
      <c r="G170" s="154">
        <v>2.08</v>
      </c>
      <c r="H170" s="157"/>
      <c r="I170" s="157"/>
      <c r="J170" s="191"/>
      <c r="K170" s="154"/>
      <c r="L170" s="154">
        <v>2.39</v>
      </c>
      <c r="M170" s="154"/>
      <c r="N170" s="154">
        <v>2.39</v>
      </c>
      <c r="O170" s="154"/>
      <c r="P170" s="154">
        <v>2.39</v>
      </c>
      <c r="Q170" s="155"/>
      <c r="R170" s="154"/>
      <c r="S170" s="154">
        <v>2.08</v>
      </c>
      <c r="T170" s="157"/>
      <c r="U170" s="157"/>
      <c r="V170" s="191"/>
      <c r="W170" s="159"/>
      <c r="X170" s="159">
        <v>2.08</v>
      </c>
      <c r="Y170" s="159"/>
      <c r="Z170" s="159">
        <v>2.08</v>
      </c>
      <c r="AA170" s="155"/>
      <c r="AB170" s="154"/>
      <c r="AC170" s="154">
        <v>2.08</v>
      </c>
      <c r="AD170" s="159"/>
      <c r="AE170" s="159"/>
      <c r="AF170" s="191"/>
      <c r="AG170" s="155"/>
      <c r="AH170" s="49" t="s">
        <v>406</v>
      </c>
      <c r="AI170" s="98"/>
      <c r="AJ170" s="98"/>
      <c r="AK170" s="98"/>
      <c r="AL170" s="98"/>
      <c r="AM170" s="98"/>
    </row>
    <row r="171" spans="1:41" ht="31" x14ac:dyDescent="0.6">
      <c r="A171" s="297">
        <v>981203</v>
      </c>
      <c r="B171" s="298" t="s">
        <v>774</v>
      </c>
      <c r="C171" s="166">
        <v>36</v>
      </c>
      <c r="D171" s="166"/>
      <c r="E171" s="166"/>
      <c r="F171" s="198"/>
      <c r="G171" s="198">
        <v>1.19</v>
      </c>
      <c r="H171" s="198"/>
      <c r="I171" s="157"/>
      <c r="J171" s="191"/>
      <c r="K171" s="198"/>
      <c r="L171" s="198">
        <v>1.29</v>
      </c>
      <c r="M171" s="198"/>
      <c r="N171" s="198">
        <v>1.29</v>
      </c>
      <c r="O171" s="198"/>
      <c r="P171" s="198">
        <v>1.29</v>
      </c>
      <c r="Q171" s="156"/>
      <c r="R171" s="198"/>
      <c r="S171" s="198">
        <v>1.19</v>
      </c>
      <c r="T171" s="166"/>
      <c r="U171" s="159"/>
      <c r="V171" s="191"/>
      <c r="W171" s="159"/>
      <c r="X171" s="157">
        <v>1.19</v>
      </c>
      <c r="Y171" s="159"/>
      <c r="Z171" s="157">
        <v>1.19</v>
      </c>
      <c r="AA171" s="156" t="s">
        <v>839</v>
      </c>
      <c r="AB171" s="198"/>
      <c r="AC171" s="198">
        <v>1.19</v>
      </c>
      <c r="AD171" s="166"/>
      <c r="AE171" s="166"/>
      <c r="AF171" s="191"/>
      <c r="AG171" s="156"/>
      <c r="AH171" s="49" t="s">
        <v>406</v>
      </c>
      <c r="AI171" s="66"/>
      <c r="AJ171" s="66"/>
      <c r="AK171" s="66"/>
      <c r="AL171" s="66"/>
      <c r="AM171" s="66"/>
      <c r="AO171" s="51"/>
    </row>
    <row r="172" spans="1:41" ht="31" x14ac:dyDescent="0.6">
      <c r="A172" s="273">
        <v>981207</v>
      </c>
      <c r="B172" s="272" t="s">
        <v>594</v>
      </c>
      <c r="C172" s="158">
        <v>12</v>
      </c>
      <c r="D172" s="158"/>
      <c r="E172" s="158"/>
      <c r="F172" s="154"/>
      <c r="G172" s="154">
        <v>3.35</v>
      </c>
      <c r="H172" s="157"/>
      <c r="I172" s="157"/>
      <c r="J172" s="155"/>
      <c r="K172" s="154"/>
      <c r="L172" s="154">
        <v>3.35</v>
      </c>
      <c r="M172" s="154"/>
      <c r="N172" s="154">
        <v>3.35</v>
      </c>
      <c r="O172" s="154"/>
      <c r="P172" s="154">
        <v>3.35</v>
      </c>
      <c r="Q172" s="156"/>
      <c r="R172" s="154"/>
      <c r="S172" s="154">
        <v>3.35</v>
      </c>
      <c r="T172" s="159"/>
      <c r="U172" s="159"/>
      <c r="V172" s="155"/>
      <c r="W172" s="159"/>
      <c r="X172" s="159">
        <v>3.35</v>
      </c>
      <c r="Y172" s="159"/>
      <c r="Z172" s="159">
        <v>3.35</v>
      </c>
      <c r="AA172" s="156"/>
      <c r="AB172" s="154"/>
      <c r="AC172" s="154">
        <v>3.35</v>
      </c>
      <c r="AD172" s="159"/>
      <c r="AE172" s="159"/>
      <c r="AF172" s="155"/>
      <c r="AG172" s="156"/>
      <c r="AH172" s="49" t="s">
        <v>406</v>
      </c>
      <c r="AI172" s="98"/>
      <c r="AJ172" s="98"/>
      <c r="AK172" s="98"/>
      <c r="AL172" s="98"/>
      <c r="AM172" s="98"/>
    </row>
    <row r="173" spans="1:41" ht="31" x14ac:dyDescent="0.6">
      <c r="A173" s="273">
        <v>981220</v>
      </c>
      <c r="B173" s="272" t="s">
        <v>10</v>
      </c>
      <c r="C173" s="158">
        <v>8</v>
      </c>
      <c r="D173" s="158"/>
      <c r="E173" s="158"/>
      <c r="F173" s="154"/>
      <c r="G173" s="154">
        <v>4.79</v>
      </c>
      <c r="H173" s="156"/>
      <c r="I173" s="156"/>
      <c r="J173" s="155"/>
      <c r="K173" s="154"/>
      <c r="L173" s="154">
        <v>4.79</v>
      </c>
      <c r="M173" s="154"/>
      <c r="N173" s="154">
        <v>4.79</v>
      </c>
      <c r="O173" s="154"/>
      <c r="P173" s="154">
        <v>4.79</v>
      </c>
      <c r="Q173" s="156"/>
      <c r="R173" s="154"/>
      <c r="S173" s="154">
        <v>4.79</v>
      </c>
      <c r="T173" s="159"/>
      <c r="U173" s="159"/>
      <c r="V173" s="155"/>
      <c r="W173" s="159"/>
      <c r="X173" s="159">
        <v>4.79</v>
      </c>
      <c r="Y173" s="159"/>
      <c r="Z173" s="159">
        <v>4.79</v>
      </c>
      <c r="AA173" s="156"/>
      <c r="AB173" s="154"/>
      <c r="AC173" s="154">
        <v>4.79</v>
      </c>
      <c r="AD173" s="159"/>
      <c r="AE173" s="159"/>
      <c r="AF173" s="155"/>
      <c r="AG173" s="156"/>
      <c r="AH173" s="49" t="s">
        <v>406</v>
      </c>
      <c r="AI173" s="98"/>
      <c r="AJ173" s="98"/>
      <c r="AK173" s="98"/>
      <c r="AL173" s="98" t="s">
        <v>128</v>
      </c>
      <c r="AM173" s="98"/>
    </row>
    <row r="174" spans="1:41" ht="31" x14ac:dyDescent="0.6">
      <c r="A174" s="273">
        <v>981240</v>
      </c>
      <c r="B174" s="272" t="s">
        <v>420</v>
      </c>
      <c r="C174" s="158">
        <v>8</v>
      </c>
      <c r="D174" s="158"/>
      <c r="E174" s="158"/>
      <c r="F174" s="154"/>
      <c r="G174" s="154">
        <v>4.88</v>
      </c>
      <c r="H174" s="157"/>
      <c r="I174" s="157"/>
      <c r="J174" s="155"/>
      <c r="K174" s="154"/>
      <c r="L174" s="154">
        <v>4.88</v>
      </c>
      <c r="M174" s="154"/>
      <c r="N174" s="154">
        <v>4.88</v>
      </c>
      <c r="O174" s="154"/>
      <c r="P174" s="154">
        <v>4.88</v>
      </c>
      <c r="Q174" s="156"/>
      <c r="R174" s="154"/>
      <c r="S174" s="154">
        <v>4.88</v>
      </c>
      <c r="T174" s="159"/>
      <c r="U174" s="159"/>
      <c r="V174" s="155"/>
      <c r="W174" s="157"/>
      <c r="X174" s="157">
        <v>4.88</v>
      </c>
      <c r="Y174" s="157"/>
      <c r="Z174" s="157">
        <v>4.88</v>
      </c>
      <c r="AA174" s="156"/>
      <c r="AB174" s="154"/>
      <c r="AC174" s="154">
        <v>4.88</v>
      </c>
      <c r="AD174" s="159"/>
      <c r="AE174" s="159"/>
      <c r="AF174" s="155"/>
      <c r="AG174" s="156"/>
      <c r="AH174" s="49" t="s">
        <v>406</v>
      </c>
      <c r="AI174" s="98"/>
      <c r="AJ174" s="98"/>
      <c r="AK174" s="98"/>
      <c r="AL174" s="98"/>
      <c r="AM174" s="98"/>
    </row>
    <row r="175" spans="1:41" ht="31" x14ac:dyDescent="0.6">
      <c r="A175" s="273">
        <v>981260</v>
      </c>
      <c r="B175" s="272" t="s">
        <v>609</v>
      </c>
      <c r="C175" s="158">
        <v>8</v>
      </c>
      <c r="D175" s="158"/>
      <c r="E175" s="158"/>
      <c r="F175" s="154"/>
      <c r="G175" s="154">
        <v>5.24</v>
      </c>
      <c r="H175" s="157"/>
      <c r="I175" s="157"/>
      <c r="J175" s="155"/>
      <c r="K175" s="154"/>
      <c r="L175" s="154">
        <v>5.49</v>
      </c>
      <c r="M175" s="154"/>
      <c r="N175" s="154">
        <v>5.49</v>
      </c>
      <c r="O175" s="154"/>
      <c r="P175" s="154">
        <v>5.49</v>
      </c>
      <c r="Q175" s="156"/>
      <c r="R175" s="154"/>
      <c r="S175" s="154">
        <v>5.24</v>
      </c>
      <c r="T175" s="159"/>
      <c r="U175" s="159"/>
      <c r="V175" s="155"/>
      <c r="W175" s="159"/>
      <c r="X175" s="159">
        <v>5.24</v>
      </c>
      <c r="Y175" s="159"/>
      <c r="Z175" s="159">
        <v>5.24</v>
      </c>
      <c r="AA175" s="156"/>
      <c r="AB175" s="154"/>
      <c r="AC175" s="154">
        <v>5.24</v>
      </c>
      <c r="AD175" s="159"/>
      <c r="AE175" s="159"/>
      <c r="AF175" s="155"/>
      <c r="AG175" s="156"/>
      <c r="AH175" s="49" t="s">
        <v>406</v>
      </c>
      <c r="AI175" s="98"/>
      <c r="AJ175" s="98"/>
      <c r="AK175" s="98"/>
      <c r="AL175" s="98"/>
      <c r="AM175" s="98"/>
    </row>
    <row r="176" spans="1:41" ht="31" x14ac:dyDescent="0.6">
      <c r="A176" s="297">
        <v>981280</v>
      </c>
      <c r="B176" s="298" t="s">
        <v>28</v>
      </c>
      <c r="C176" s="166">
        <v>12</v>
      </c>
      <c r="D176" s="166" t="s">
        <v>129</v>
      </c>
      <c r="E176" s="166"/>
      <c r="F176" s="198"/>
      <c r="G176" s="198">
        <v>3.75</v>
      </c>
      <c r="H176" s="157"/>
      <c r="I176" s="157"/>
      <c r="J176" s="191"/>
      <c r="K176" s="198"/>
      <c r="L176" s="198">
        <v>4.99</v>
      </c>
      <c r="M176" s="198"/>
      <c r="N176" s="198">
        <v>4.99</v>
      </c>
      <c r="O176" s="198"/>
      <c r="P176" s="198">
        <v>4.99</v>
      </c>
      <c r="Q176" s="191"/>
      <c r="R176" s="198"/>
      <c r="S176" s="198">
        <v>3.75</v>
      </c>
      <c r="T176" s="157"/>
      <c r="U176" s="157"/>
      <c r="V176" s="191"/>
      <c r="W176" s="166"/>
      <c r="X176" s="166">
        <v>3.75</v>
      </c>
      <c r="Y176" s="166"/>
      <c r="Z176" s="166">
        <v>3.75</v>
      </c>
      <c r="AA176" s="191"/>
      <c r="AB176" s="198"/>
      <c r="AC176" s="198">
        <v>3.75</v>
      </c>
      <c r="AD176" s="157"/>
      <c r="AE176" s="157"/>
      <c r="AF176" s="191"/>
      <c r="AG176" s="191"/>
      <c r="AH176" s="49" t="s">
        <v>406</v>
      </c>
      <c r="AI176" s="66"/>
      <c r="AJ176" s="66"/>
      <c r="AK176" s="66"/>
      <c r="AL176" s="66"/>
      <c r="AM176" s="66"/>
    </row>
    <row r="177" spans="1:41" ht="31" x14ac:dyDescent="0.6">
      <c r="A177" s="297">
        <v>981300</v>
      </c>
      <c r="B177" s="298" t="s">
        <v>92</v>
      </c>
      <c r="C177" s="166">
        <v>8</v>
      </c>
      <c r="D177" s="158" t="s">
        <v>129</v>
      </c>
      <c r="E177" s="158"/>
      <c r="F177" s="154"/>
      <c r="G177" s="154">
        <v>4.05</v>
      </c>
      <c r="H177" s="155"/>
      <c r="I177" s="156"/>
      <c r="J177" s="155"/>
      <c r="K177" s="154"/>
      <c r="L177" s="154">
        <v>4.05</v>
      </c>
      <c r="M177" s="154"/>
      <c r="N177" s="154">
        <v>4.05</v>
      </c>
      <c r="O177" s="154"/>
      <c r="P177" s="154">
        <v>4.05</v>
      </c>
      <c r="Q177" s="155"/>
      <c r="R177" s="154"/>
      <c r="S177" s="154">
        <v>4.05</v>
      </c>
      <c r="T177" s="159"/>
      <c r="U177" s="159"/>
      <c r="V177" s="155"/>
      <c r="W177" s="159"/>
      <c r="X177" s="159">
        <v>4.05</v>
      </c>
      <c r="Y177" s="159"/>
      <c r="Z177" s="159">
        <v>4.05</v>
      </c>
      <c r="AA177" s="155"/>
      <c r="AB177" s="154"/>
      <c r="AC177" s="154">
        <v>4.05</v>
      </c>
      <c r="AD177" s="159"/>
      <c r="AE177" s="159"/>
      <c r="AF177" s="155"/>
      <c r="AG177" s="155"/>
      <c r="AH177" s="49" t="s">
        <v>406</v>
      </c>
      <c r="AI177" s="98"/>
      <c r="AJ177" s="98"/>
      <c r="AK177" s="98"/>
      <c r="AL177" s="98"/>
      <c r="AM177" s="98"/>
    </row>
    <row r="178" spans="1:41" ht="31" x14ac:dyDescent="0.6">
      <c r="A178" s="297">
        <v>981370</v>
      </c>
      <c r="B178" s="298" t="s">
        <v>573</v>
      </c>
      <c r="C178" s="166">
        <v>14</v>
      </c>
      <c r="D178" s="158"/>
      <c r="E178" s="158"/>
      <c r="F178" s="154"/>
      <c r="G178" s="154">
        <v>1.99</v>
      </c>
      <c r="H178" s="157"/>
      <c r="I178" s="157" t="s">
        <v>479</v>
      </c>
      <c r="J178" s="155"/>
      <c r="K178" s="154"/>
      <c r="L178" s="154">
        <v>1.99</v>
      </c>
      <c r="M178" s="154"/>
      <c r="N178" s="154">
        <v>1.99</v>
      </c>
      <c r="O178" s="154"/>
      <c r="P178" s="154">
        <v>1.99</v>
      </c>
      <c r="Q178" s="155"/>
      <c r="R178" s="154"/>
      <c r="S178" s="154">
        <v>1.99</v>
      </c>
      <c r="T178" s="157"/>
      <c r="U178" s="157"/>
      <c r="V178" s="155"/>
      <c r="W178" s="159"/>
      <c r="X178" s="159">
        <v>1.99</v>
      </c>
      <c r="Y178" s="159"/>
      <c r="Z178" s="159">
        <v>1.99</v>
      </c>
      <c r="AA178" s="155"/>
      <c r="AB178" s="154"/>
      <c r="AC178" s="154">
        <v>1.99</v>
      </c>
      <c r="AD178" s="157"/>
      <c r="AE178" s="157"/>
      <c r="AF178" s="155"/>
      <c r="AG178" s="155"/>
      <c r="AH178" s="49" t="s">
        <v>406</v>
      </c>
      <c r="AI178" s="98"/>
      <c r="AJ178" s="98"/>
      <c r="AK178" s="98"/>
      <c r="AL178" s="98"/>
      <c r="AM178" s="98"/>
    </row>
    <row r="179" spans="1:41" ht="31" x14ac:dyDescent="0.6">
      <c r="A179" s="297">
        <v>981400</v>
      </c>
      <c r="B179" s="298" t="s">
        <v>11</v>
      </c>
      <c r="C179" s="166">
        <v>8</v>
      </c>
      <c r="D179" s="172" t="s">
        <v>129</v>
      </c>
      <c r="E179" s="158"/>
      <c r="F179" s="154"/>
      <c r="G179" s="154">
        <v>4.12</v>
      </c>
      <c r="H179" s="157"/>
      <c r="I179" s="157"/>
      <c r="J179" s="155"/>
      <c r="K179" s="154"/>
      <c r="L179" s="154">
        <v>4.6900000000000004</v>
      </c>
      <c r="M179" s="154"/>
      <c r="N179" s="154">
        <v>4.6900000000000004</v>
      </c>
      <c r="O179" s="154"/>
      <c r="P179" s="154">
        <v>4.6900000000000004</v>
      </c>
      <c r="Q179" s="156"/>
      <c r="R179" s="154"/>
      <c r="S179" s="154">
        <v>4.12</v>
      </c>
      <c r="T179" s="159"/>
      <c r="U179" s="159"/>
      <c r="V179" s="155"/>
      <c r="W179" s="159"/>
      <c r="X179" s="159">
        <v>4.12</v>
      </c>
      <c r="Y179" s="159"/>
      <c r="Z179" s="159">
        <v>4.12</v>
      </c>
      <c r="AA179" s="156"/>
      <c r="AB179" s="154"/>
      <c r="AC179" s="154">
        <v>4.12</v>
      </c>
      <c r="AD179" s="159"/>
      <c r="AE179" s="159"/>
      <c r="AF179" s="155"/>
      <c r="AG179" s="156"/>
      <c r="AH179" s="49" t="s">
        <v>406</v>
      </c>
      <c r="AI179" s="98"/>
      <c r="AJ179" s="98"/>
      <c r="AK179" s="98"/>
      <c r="AL179" s="98" t="s">
        <v>128</v>
      </c>
      <c r="AM179" s="98"/>
    </row>
    <row r="180" spans="1:41" ht="31" x14ac:dyDescent="0.6">
      <c r="A180" s="297">
        <v>981640</v>
      </c>
      <c r="B180" s="298" t="s">
        <v>459</v>
      </c>
      <c r="C180" s="166">
        <v>12</v>
      </c>
      <c r="D180" s="172"/>
      <c r="E180" s="158"/>
      <c r="F180" s="154"/>
      <c r="G180" s="154">
        <v>3.46</v>
      </c>
      <c r="H180" s="154"/>
      <c r="I180" s="157"/>
      <c r="J180" s="155"/>
      <c r="K180" s="154"/>
      <c r="L180" s="154">
        <v>4.29</v>
      </c>
      <c r="M180" s="154"/>
      <c r="N180" s="154">
        <v>4.29</v>
      </c>
      <c r="O180" s="154"/>
      <c r="P180" s="154">
        <v>4.29</v>
      </c>
      <c r="Q180" s="156"/>
      <c r="R180" s="154"/>
      <c r="S180" s="154">
        <v>3.46</v>
      </c>
      <c r="T180" s="159"/>
      <c r="U180" s="159"/>
      <c r="V180" s="155"/>
      <c r="W180" s="158"/>
      <c r="X180" s="158">
        <v>3.46</v>
      </c>
      <c r="Y180" s="158"/>
      <c r="Z180" s="158">
        <v>3.46</v>
      </c>
      <c r="AA180" s="156"/>
      <c r="AB180" s="154"/>
      <c r="AC180" s="154">
        <v>3.46</v>
      </c>
      <c r="AD180" s="159"/>
      <c r="AE180" s="159"/>
      <c r="AF180" s="155"/>
      <c r="AG180" s="156"/>
      <c r="AH180" s="49" t="s">
        <v>406</v>
      </c>
      <c r="AI180" s="98"/>
      <c r="AJ180" s="98"/>
      <c r="AK180" s="98"/>
      <c r="AL180" s="98"/>
      <c r="AM180" s="98"/>
    </row>
    <row r="181" spans="1:41" ht="31" x14ac:dyDescent="0.6">
      <c r="A181" s="297">
        <v>980000</v>
      </c>
      <c r="B181" s="298" t="s">
        <v>93</v>
      </c>
      <c r="C181" s="166">
        <v>37.5</v>
      </c>
      <c r="D181" s="172"/>
      <c r="E181" s="158"/>
      <c r="F181" s="154"/>
      <c r="G181" s="154"/>
      <c r="H181" s="156"/>
      <c r="I181" s="159" t="s">
        <v>470</v>
      </c>
      <c r="J181" s="155"/>
      <c r="K181" s="154"/>
      <c r="L181" s="154"/>
      <c r="M181" s="154"/>
      <c r="N181" s="154"/>
      <c r="O181" s="154"/>
      <c r="P181" s="154"/>
      <c r="Q181" s="156"/>
      <c r="R181" s="154"/>
      <c r="S181" s="154"/>
      <c r="T181" s="156"/>
      <c r="U181" s="159" t="s">
        <v>471</v>
      </c>
      <c r="V181" s="155"/>
      <c r="W181" s="158"/>
      <c r="X181" s="158"/>
      <c r="Y181" s="158"/>
      <c r="Z181" s="158"/>
      <c r="AA181" s="156"/>
      <c r="AB181" s="154"/>
      <c r="AC181" s="154"/>
      <c r="AD181" s="156"/>
      <c r="AE181" s="159" t="s">
        <v>472</v>
      </c>
      <c r="AF181" s="155"/>
      <c r="AG181" s="156"/>
      <c r="AH181" s="49" t="s">
        <v>407</v>
      </c>
      <c r="AI181" s="98"/>
      <c r="AJ181" s="98"/>
      <c r="AK181" s="98"/>
      <c r="AL181" s="98" t="s">
        <v>128</v>
      </c>
      <c r="AM181" s="98"/>
    </row>
    <row r="182" spans="1:41" ht="31" x14ac:dyDescent="0.6">
      <c r="A182" s="297">
        <v>980091</v>
      </c>
      <c r="B182" s="298" t="s">
        <v>668</v>
      </c>
      <c r="C182" s="166">
        <v>70</v>
      </c>
      <c r="D182" s="172"/>
      <c r="E182" s="215"/>
      <c r="F182" s="216"/>
      <c r="G182" s="216">
        <v>0.39</v>
      </c>
      <c r="H182" s="157"/>
      <c r="I182" s="157"/>
      <c r="J182" s="217"/>
      <c r="K182" s="216"/>
      <c r="L182" s="216">
        <v>0.5</v>
      </c>
      <c r="M182" s="216"/>
      <c r="N182" s="216">
        <v>0.5</v>
      </c>
      <c r="O182" s="216"/>
      <c r="P182" s="216">
        <v>0.5</v>
      </c>
      <c r="Q182" s="156"/>
      <c r="R182" s="216"/>
      <c r="S182" s="216">
        <v>0.39</v>
      </c>
      <c r="T182" s="159"/>
      <c r="U182" s="159"/>
      <c r="V182" s="217"/>
      <c r="W182" s="159"/>
      <c r="X182" s="215">
        <v>0.39</v>
      </c>
      <c r="Y182" s="159"/>
      <c r="Z182" s="215">
        <v>0.39</v>
      </c>
      <c r="AA182" s="156"/>
      <c r="AB182" s="216"/>
      <c r="AC182" s="216">
        <v>0.39</v>
      </c>
      <c r="AD182" s="157"/>
      <c r="AE182" s="157"/>
      <c r="AF182" s="217"/>
      <c r="AG182" s="156"/>
      <c r="AH182" s="49" t="s">
        <v>407</v>
      </c>
      <c r="AI182" s="76"/>
      <c r="AJ182" s="76"/>
      <c r="AK182" s="76"/>
      <c r="AL182" s="76" t="s">
        <v>128</v>
      </c>
      <c r="AM182" s="76"/>
    </row>
    <row r="183" spans="1:41" ht="31" x14ac:dyDescent="0.6">
      <c r="A183" s="297">
        <v>980100</v>
      </c>
      <c r="B183" s="298" t="s">
        <v>96</v>
      </c>
      <c r="C183" s="166">
        <v>40</v>
      </c>
      <c r="D183" s="172"/>
      <c r="E183" s="158"/>
      <c r="F183" s="154"/>
      <c r="G183" s="154"/>
      <c r="H183" s="156"/>
      <c r="I183" s="159" t="s">
        <v>470</v>
      </c>
      <c r="J183" s="191"/>
      <c r="K183" s="154"/>
      <c r="L183" s="154"/>
      <c r="M183" s="154"/>
      <c r="N183" s="154"/>
      <c r="O183" s="154"/>
      <c r="P183" s="154"/>
      <c r="Q183" s="156"/>
      <c r="R183" s="154"/>
      <c r="S183" s="154"/>
      <c r="T183" s="156"/>
      <c r="U183" s="159" t="s">
        <v>471</v>
      </c>
      <c r="V183" s="191"/>
      <c r="W183" s="159"/>
      <c r="X183" s="159"/>
      <c r="Y183" s="159"/>
      <c r="Z183" s="159"/>
      <c r="AA183" s="156"/>
      <c r="AB183" s="154"/>
      <c r="AC183" s="154"/>
      <c r="AD183" s="156"/>
      <c r="AE183" s="159" t="s">
        <v>472</v>
      </c>
      <c r="AF183" s="191"/>
      <c r="AG183" s="156"/>
      <c r="AH183" s="49" t="s">
        <v>407</v>
      </c>
      <c r="AI183" s="98"/>
      <c r="AJ183" s="98"/>
      <c r="AK183" s="98"/>
      <c r="AL183" s="98" t="s">
        <v>128</v>
      </c>
      <c r="AM183" s="98"/>
    </row>
    <row r="184" spans="1:41" ht="31" x14ac:dyDescent="0.6">
      <c r="A184" s="297">
        <v>983513</v>
      </c>
      <c r="B184" s="298" t="s">
        <v>428</v>
      </c>
      <c r="C184" s="166">
        <v>24</v>
      </c>
      <c r="D184" s="172"/>
      <c r="E184" s="158"/>
      <c r="F184" s="154"/>
      <c r="G184" s="154">
        <v>1.98</v>
      </c>
      <c r="H184" s="157"/>
      <c r="I184" s="159"/>
      <c r="J184" s="155"/>
      <c r="K184" s="154"/>
      <c r="L184" s="154">
        <v>2.99</v>
      </c>
      <c r="M184" s="154"/>
      <c r="N184" s="154">
        <v>2.99</v>
      </c>
      <c r="O184" s="154"/>
      <c r="P184" s="154">
        <v>2.99</v>
      </c>
      <c r="Q184" s="156"/>
      <c r="R184" s="154"/>
      <c r="S184" s="154">
        <v>1.98</v>
      </c>
      <c r="T184" s="159"/>
      <c r="U184" s="159"/>
      <c r="V184" s="155"/>
      <c r="W184" s="159"/>
      <c r="X184" s="159">
        <v>1.98</v>
      </c>
      <c r="Y184" s="159"/>
      <c r="Z184" s="159">
        <v>1.98</v>
      </c>
      <c r="AA184" s="156"/>
      <c r="AB184" s="154"/>
      <c r="AC184" s="154">
        <v>1.98</v>
      </c>
      <c r="AD184" s="159"/>
      <c r="AE184" s="159"/>
      <c r="AF184" s="155"/>
      <c r="AG184" s="156"/>
      <c r="AH184" s="49" t="s">
        <v>409</v>
      </c>
      <c r="AI184" s="98"/>
      <c r="AJ184" s="98"/>
      <c r="AK184" s="98"/>
      <c r="AL184" s="98"/>
      <c r="AM184" s="98"/>
    </row>
    <row r="185" spans="1:41" ht="31" x14ac:dyDescent="0.6">
      <c r="A185" s="145">
        <v>983531</v>
      </c>
      <c r="B185" s="146" t="s">
        <v>429</v>
      </c>
      <c r="C185" s="144">
        <v>7</v>
      </c>
      <c r="D185" s="172"/>
      <c r="E185" s="158"/>
      <c r="F185" s="154"/>
      <c r="G185" s="154">
        <v>1.29</v>
      </c>
      <c r="H185" s="157"/>
      <c r="I185" s="157"/>
      <c r="J185" s="155"/>
      <c r="K185" s="154"/>
      <c r="L185" s="154">
        <v>1.39</v>
      </c>
      <c r="M185" s="154"/>
      <c r="N185" s="154">
        <v>1.39</v>
      </c>
      <c r="O185" s="154"/>
      <c r="P185" s="154">
        <v>1.39</v>
      </c>
      <c r="Q185" s="156" t="s">
        <v>839</v>
      </c>
      <c r="R185" s="154"/>
      <c r="S185" s="154">
        <v>1.29</v>
      </c>
      <c r="T185" s="157"/>
      <c r="U185" s="157"/>
      <c r="V185" s="155"/>
      <c r="W185" s="157"/>
      <c r="X185" s="157">
        <v>1.29</v>
      </c>
      <c r="Y185" s="157"/>
      <c r="Z185" s="157">
        <v>1.29</v>
      </c>
      <c r="AA185" s="156"/>
      <c r="AB185" s="247"/>
      <c r="AC185" s="247"/>
      <c r="AD185" s="250" t="s">
        <v>6</v>
      </c>
      <c r="AE185" s="250" t="s">
        <v>345</v>
      </c>
      <c r="AF185" s="248">
        <v>44820</v>
      </c>
      <c r="AG185" s="249"/>
      <c r="AH185" s="49" t="s">
        <v>409</v>
      </c>
      <c r="AI185" s="98"/>
      <c r="AJ185" s="98"/>
      <c r="AK185" s="98" t="s">
        <v>742</v>
      </c>
      <c r="AL185" s="98" t="s">
        <v>128</v>
      </c>
      <c r="AM185" s="98"/>
      <c r="AO185" s="51"/>
    </row>
    <row r="186" spans="1:41" ht="31" x14ac:dyDescent="0.6">
      <c r="A186" s="297">
        <v>983610</v>
      </c>
      <c r="B186" s="298" t="s">
        <v>431</v>
      </c>
      <c r="C186" s="166">
        <v>32</v>
      </c>
      <c r="D186" s="218"/>
      <c r="E186" s="154"/>
      <c r="F186" s="154"/>
      <c r="G186" s="154">
        <v>1.28</v>
      </c>
      <c r="H186" s="156"/>
      <c r="I186" s="156"/>
      <c r="J186" s="155"/>
      <c r="K186" s="154"/>
      <c r="L186" s="154">
        <v>1.29</v>
      </c>
      <c r="M186" s="154"/>
      <c r="N186" s="154">
        <v>1.29</v>
      </c>
      <c r="O186" s="154"/>
      <c r="P186" s="154">
        <v>1.29</v>
      </c>
      <c r="Q186" s="157"/>
      <c r="R186" s="154"/>
      <c r="S186" s="154">
        <v>1.28</v>
      </c>
      <c r="T186" s="156"/>
      <c r="U186" s="156"/>
      <c r="V186" s="155"/>
      <c r="W186" s="157"/>
      <c r="X186" s="157">
        <v>1.28</v>
      </c>
      <c r="Y186" s="157"/>
      <c r="Z186" s="157">
        <v>1.28</v>
      </c>
      <c r="AA186" s="157"/>
      <c r="AB186" s="154"/>
      <c r="AC186" s="154">
        <v>1.28</v>
      </c>
      <c r="AD186" s="156"/>
      <c r="AE186" s="156"/>
      <c r="AF186" s="155"/>
      <c r="AG186" s="157"/>
      <c r="AH186" s="49" t="s">
        <v>409</v>
      </c>
      <c r="AI186" s="98"/>
      <c r="AJ186" s="98"/>
      <c r="AK186" s="98"/>
      <c r="AL186" s="98"/>
      <c r="AM186" s="98"/>
    </row>
    <row r="187" spans="1:41" ht="31" x14ac:dyDescent="0.6">
      <c r="A187" s="297">
        <v>983651</v>
      </c>
      <c r="B187" s="298" t="s">
        <v>694</v>
      </c>
      <c r="C187" s="166">
        <v>25</v>
      </c>
      <c r="D187" s="172"/>
      <c r="E187" s="154"/>
      <c r="F187" s="154"/>
      <c r="G187" s="154">
        <v>0.99</v>
      </c>
      <c r="H187" s="159"/>
      <c r="I187" s="159"/>
      <c r="J187" s="155"/>
      <c r="K187" s="154"/>
      <c r="L187" s="154">
        <v>0.99</v>
      </c>
      <c r="M187" s="154"/>
      <c r="N187" s="154">
        <v>0.99</v>
      </c>
      <c r="O187" s="154"/>
      <c r="P187" s="154">
        <v>0.99</v>
      </c>
      <c r="Q187" s="156"/>
      <c r="R187" s="154"/>
      <c r="S187" s="154">
        <v>0.99</v>
      </c>
      <c r="T187" s="159"/>
      <c r="U187" s="159"/>
      <c r="V187" s="155"/>
      <c r="W187" s="159"/>
      <c r="X187" s="157">
        <v>0.99</v>
      </c>
      <c r="Y187" s="159"/>
      <c r="Z187" s="157">
        <v>0.99</v>
      </c>
      <c r="AA187" s="156"/>
      <c r="AB187" s="154"/>
      <c r="AC187" s="154">
        <v>0.99</v>
      </c>
      <c r="AD187" s="159"/>
      <c r="AE187" s="159"/>
      <c r="AF187" s="155"/>
      <c r="AG187" s="156" t="s">
        <v>839</v>
      </c>
      <c r="AH187" s="49" t="s">
        <v>409</v>
      </c>
      <c r="AI187" s="98"/>
      <c r="AJ187" s="98"/>
      <c r="AK187" s="98"/>
      <c r="AL187" s="98"/>
      <c r="AM187" s="98"/>
      <c r="AO187" s="51"/>
    </row>
    <row r="188" spans="1:41" ht="31" x14ac:dyDescent="0.6">
      <c r="A188" s="297">
        <v>983671</v>
      </c>
      <c r="B188" s="298" t="s">
        <v>695</v>
      </c>
      <c r="C188" s="166">
        <v>8</v>
      </c>
      <c r="D188" s="172"/>
      <c r="E188" s="154"/>
      <c r="F188" s="154"/>
      <c r="G188" s="158"/>
      <c r="H188" s="159" t="s">
        <v>6</v>
      </c>
      <c r="I188" s="159" t="s">
        <v>7</v>
      </c>
      <c r="J188" s="188">
        <v>44824</v>
      </c>
      <c r="K188" s="154"/>
      <c r="L188" s="158"/>
      <c r="M188" s="154"/>
      <c r="N188" s="158"/>
      <c r="O188" s="154"/>
      <c r="P188" s="158"/>
      <c r="Q188" s="156"/>
      <c r="R188" s="154"/>
      <c r="S188" s="158"/>
      <c r="T188" s="159" t="s">
        <v>6</v>
      </c>
      <c r="U188" s="159" t="s">
        <v>7</v>
      </c>
      <c r="V188" s="188">
        <v>44824</v>
      </c>
      <c r="W188" s="157"/>
      <c r="X188" s="159"/>
      <c r="Y188" s="157"/>
      <c r="Z188" s="159"/>
      <c r="AA188" s="156"/>
      <c r="AB188" s="154"/>
      <c r="AC188" s="158"/>
      <c r="AD188" s="159" t="s">
        <v>6</v>
      </c>
      <c r="AE188" s="159" t="s">
        <v>7</v>
      </c>
      <c r="AF188" s="155">
        <v>44824</v>
      </c>
      <c r="AG188" s="157"/>
      <c r="AH188" s="49" t="s">
        <v>409</v>
      </c>
      <c r="AI188" s="98"/>
      <c r="AJ188" s="98"/>
      <c r="AK188" s="98"/>
      <c r="AL188" s="98"/>
      <c r="AM188" s="98"/>
    </row>
    <row r="189" spans="1:41" ht="31" x14ac:dyDescent="0.6">
      <c r="A189" s="297">
        <v>983672</v>
      </c>
      <c r="B189" s="298" t="s">
        <v>726</v>
      </c>
      <c r="C189" s="166">
        <v>8</v>
      </c>
      <c r="D189" s="172"/>
      <c r="E189" s="166"/>
      <c r="F189" s="198"/>
      <c r="G189" s="198">
        <v>4.4800000000000004</v>
      </c>
      <c r="H189" s="156"/>
      <c r="I189" s="159"/>
      <c r="J189" s="191"/>
      <c r="K189" s="198"/>
      <c r="L189" s="198">
        <v>4.78</v>
      </c>
      <c r="M189" s="198"/>
      <c r="N189" s="198">
        <v>4.78</v>
      </c>
      <c r="O189" s="198"/>
      <c r="P189" s="198">
        <v>4.78</v>
      </c>
      <c r="Q189" s="156"/>
      <c r="R189" s="166"/>
      <c r="S189" s="198">
        <v>4.4800000000000004</v>
      </c>
      <c r="T189" s="156"/>
      <c r="U189" s="159"/>
      <c r="V189" s="191"/>
      <c r="W189" s="159"/>
      <c r="X189" s="157">
        <v>4.4800000000000004</v>
      </c>
      <c r="Y189" s="159"/>
      <c r="Z189" s="157">
        <v>4.4800000000000004</v>
      </c>
      <c r="AA189" s="156" t="s">
        <v>839</v>
      </c>
      <c r="AB189" s="198"/>
      <c r="AC189" s="198">
        <v>4.4800000000000004</v>
      </c>
      <c r="AD189" s="156"/>
      <c r="AE189" s="159"/>
      <c r="AF189" s="191"/>
      <c r="AG189" s="156"/>
      <c r="AH189" s="49" t="s">
        <v>409</v>
      </c>
      <c r="AI189" s="66"/>
      <c r="AJ189" s="66"/>
      <c r="AK189" s="66"/>
      <c r="AL189" s="66"/>
      <c r="AM189" s="66"/>
      <c r="AO189" s="51"/>
    </row>
    <row r="190" spans="1:41" ht="31" x14ac:dyDescent="0.6">
      <c r="A190" s="273">
        <v>983721</v>
      </c>
      <c r="B190" s="272" t="s">
        <v>469</v>
      </c>
      <c r="C190" s="158">
        <v>6</v>
      </c>
      <c r="D190" s="172"/>
      <c r="E190" s="158"/>
      <c r="F190" s="154"/>
      <c r="G190" s="154">
        <v>2.1800000000000002</v>
      </c>
      <c r="H190" s="159"/>
      <c r="I190" s="159"/>
      <c r="J190" s="155"/>
      <c r="K190" s="154"/>
      <c r="L190" s="154">
        <v>2.69</v>
      </c>
      <c r="M190" s="154"/>
      <c r="N190" s="154">
        <v>2.69</v>
      </c>
      <c r="O190" s="154"/>
      <c r="P190" s="154">
        <v>2.69</v>
      </c>
      <c r="Q190" s="156"/>
      <c r="R190" s="154"/>
      <c r="S190" s="154">
        <v>2.1800000000000002</v>
      </c>
      <c r="T190" s="159"/>
      <c r="U190" s="159"/>
      <c r="V190" s="155"/>
      <c r="W190" s="154"/>
      <c r="X190" s="154">
        <v>2.1800000000000002</v>
      </c>
      <c r="Y190" s="154"/>
      <c r="Z190" s="154">
        <v>2.1800000000000002</v>
      </c>
      <c r="AA190" s="156"/>
      <c r="AB190" s="154"/>
      <c r="AC190" s="154">
        <v>2.1800000000000002</v>
      </c>
      <c r="AD190" s="159"/>
      <c r="AE190" s="159"/>
      <c r="AF190" s="155"/>
      <c r="AG190" s="156"/>
      <c r="AH190" s="49" t="s">
        <v>409</v>
      </c>
      <c r="AI190" s="98"/>
      <c r="AJ190" s="98"/>
      <c r="AK190" s="98"/>
      <c r="AL190" s="98" t="s">
        <v>128</v>
      </c>
      <c r="AM190" s="98"/>
    </row>
    <row r="191" spans="1:41" ht="31" x14ac:dyDescent="0.6">
      <c r="A191" s="273">
        <v>983725</v>
      </c>
      <c r="B191" s="272" t="s">
        <v>698</v>
      </c>
      <c r="C191" s="158">
        <v>8</v>
      </c>
      <c r="D191" s="172"/>
      <c r="E191" s="158"/>
      <c r="F191" s="154"/>
      <c r="G191" s="154">
        <v>2.69</v>
      </c>
      <c r="H191" s="156"/>
      <c r="I191" s="159"/>
      <c r="J191" s="155"/>
      <c r="K191" s="154"/>
      <c r="L191" s="154">
        <v>2.99</v>
      </c>
      <c r="M191" s="154"/>
      <c r="N191" s="154">
        <v>2.99</v>
      </c>
      <c r="O191" s="154"/>
      <c r="P191" s="154">
        <v>2.99</v>
      </c>
      <c r="Q191" s="156"/>
      <c r="R191" s="154"/>
      <c r="S191" s="154">
        <v>2.69</v>
      </c>
      <c r="T191" s="156"/>
      <c r="U191" s="159"/>
      <c r="V191" s="155"/>
      <c r="W191" s="159"/>
      <c r="X191" s="159">
        <v>2.69</v>
      </c>
      <c r="Y191" s="159"/>
      <c r="Z191" s="159">
        <v>2.69</v>
      </c>
      <c r="AA191" s="156"/>
      <c r="AB191" s="154"/>
      <c r="AC191" s="154"/>
      <c r="AD191" s="156"/>
      <c r="AE191" s="159"/>
      <c r="AF191" s="155"/>
      <c r="AG191" s="156"/>
      <c r="AH191" s="49" t="s">
        <v>409</v>
      </c>
      <c r="AI191" s="98"/>
      <c r="AJ191" s="98"/>
      <c r="AK191" s="98"/>
      <c r="AL191" s="98"/>
      <c r="AM191" s="98"/>
    </row>
    <row r="192" spans="1:41" ht="31" x14ac:dyDescent="0.6">
      <c r="A192" s="297">
        <v>983763</v>
      </c>
      <c r="B192" s="298" t="s">
        <v>467</v>
      </c>
      <c r="C192" s="166">
        <v>12</v>
      </c>
      <c r="D192" s="172"/>
      <c r="E192" s="166"/>
      <c r="F192" s="198"/>
      <c r="G192" s="198">
        <v>2.2799999999999998</v>
      </c>
      <c r="H192" s="157"/>
      <c r="I192" s="157"/>
      <c r="J192" s="191"/>
      <c r="K192" s="198"/>
      <c r="L192" s="198">
        <v>2.2799999999999998</v>
      </c>
      <c r="M192" s="198"/>
      <c r="N192" s="198">
        <v>2.2799999999999998</v>
      </c>
      <c r="O192" s="198"/>
      <c r="P192" s="198">
        <v>2.2799999999999998</v>
      </c>
      <c r="Q192" s="156"/>
      <c r="R192" s="198"/>
      <c r="S192" s="198">
        <v>2.2799999999999998</v>
      </c>
      <c r="T192" s="159"/>
      <c r="U192" s="159"/>
      <c r="V192" s="191"/>
      <c r="W192" s="166"/>
      <c r="X192" s="166">
        <v>2.2799999999999998</v>
      </c>
      <c r="Y192" s="166"/>
      <c r="Z192" s="166">
        <v>2.2799999999999998</v>
      </c>
      <c r="AA192" s="156"/>
      <c r="AB192" s="198"/>
      <c r="AC192" s="198">
        <v>2.2799999999999998</v>
      </c>
      <c r="AD192" s="159"/>
      <c r="AE192" s="159"/>
      <c r="AF192" s="191"/>
      <c r="AG192" s="156"/>
      <c r="AH192" s="49" t="s">
        <v>409</v>
      </c>
      <c r="AI192" s="66"/>
      <c r="AJ192" s="66"/>
      <c r="AK192" s="66"/>
      <c r="AL192" s="66"/>
      <c r="AM192" s="66"/>
    </row>
    <row r="193" spans="1:39" ht="31" x14ac:dyDescent="0.6">
      <c r="A193" s="297">
        <v>984005</v>
      </c>
      <c r="B193" s="298" t="s">
        <v>755</v>
      </c>
      <c r="C193" s="166">
        <v>10</v>
      </c>
      <c r="D193" s="172"/>
      <c r="E193" s="158"/>
      <c r="F193" s="218"/>
      <c r="G193" s="154">
        <v>2.99</v>
      </c>
      <c r="H193" s="157"/>
      <c r="I193" s="155"/>
      <c r="J193" s="155"/>
      <c r="K193" s="154"/>
      <c r="L193" s="154">
        <v>2.99</v>
      </c>
      <c r="M193" s="154"/>
      <c r="N193" s="154">
        <v>2.99</v>
      </c>
      <c r="O193" s="154"/>
      <c r="P193" s="154">
        <v>2.99</v>
      </c>
      <c r="Q193" s="154"/>
      <c r="R193" s="154"/>
      <c r="S193" s="154">
        <v>2.99</v>
      </c>
      <c r="T193" s="157"/>
      <c r="U193" s="155"/>
      <c r="V193" s="155"/>
      <c r="W193" s="158"/>
      <c r="X193" s="154">
        <v>2.99</v>
      </c>
      <c r="Y193" s="158"/>
      <c r="Z193" s="154">
        <v>2.99</v>
      </c>
      <c r="AA193" s="154"/>
      <c r="AB193" s="154"/>
      <c r="AC193" s="154">
        <v>2.99</v>
      </c>
      <c r="AD193" s="157"/>
      <c r="AE193" s="155"/>
      <c r="AF193" s="155"/>
      <c r="AG193" s="154"/>
      <c r="AH193" s="49" t="s">
        <v>409</v>
      </c>
      <c r="AI193" s="98"/>
      <c r="AJ193" s="98"/>
      <c r="AK193" s="98"/>
      <c r="AL193" s="98"/>
      <c r="AM193" s="98"/>
    </row>
    <row r="194" spans="1:39" ht="31" x14ac:dyDescent="0.6">
      <c r="A194" s="297">
        <v>984032</v>
      </c>
      <c r="B194" s="298" t="s">
        <v>94</v>
      </c>
      <c r="C194" s="166">
        <v>35</v>
      </c>
      <c r="D194" s="166"/>
      <c r="E194" s="166"/>
      <c r="F194" s="198"/>
      <c r="G194" s="198">
        <v>1.47</v>
      </c>
      <c r="H194" s="198"/>
      <c r="I194" s="157"/>
      <c r="J194" s="191"/>
      <c r="K194" s="198"/>
      <c r="L194" s="198">
        <v>1.47</v>
      </c>
      <c r="M194" s="198"/>
      <c r="N194" s="198">
        <v>1.47</v>
      </c>
      <c r="O194" s="198"/>
      <c r="P194" s="198">
        <v>1.47</v>
      </c>
      <c r="Q194" s="191"/>
      <c r="R194" s="198"/>
      <c r="S194" s="198">
        <v>1.47</v>
      </c>
      <c r="T194" s="198"/>
      <c r="U194" s="166"/>
      <c r="V194" s="191"/>
      <c r="W194" s="159"/>
      <c r="X194" s="159">
        <v>1.47</v>
      </c>
      <c r="Y194" s="159"/>
      <c r="Z194" s="159">
        <v>1.47</v>
      </c>
      <c r="AA194" s="191"/>
      <c r="AB194" s="198"/>
      <c r="AC194" s="198">
        <v>1.47</v>
      </c>
      <c r="AD194" s="198"/>
      <c r="AE194" s="157"/>
      <c r="AF194" s="191"/>
      <c r="AG194" s="191"/>
      <c r="AH194" s="49" t="s">
        <v>409</v>
      </c>
      <c r="AI194" s="66"/>
      <c r="AJ194" s="66"/>
      <c r="AK194" s="66"/>
      <c r="AL194" s="66"/>
      <c r="AM194" s="66"/>
    </row>
    <row r="195" spans="1:39" ht="31" x14ac:dyDescent="0.6">
      <c r="A195" s="273">
        <v>984050</v>
      </c>
      <c r="B195" s="272" t="s">
        <v>95</v>
      </c>
      <c r="C195" s="158">
        <v>24</v>
      </c>
      <c r="D195" s="158"/>
      <c r="E195" s="158"/>
      <c r="F195" s="154"/>
      <c r="G195" s="154">
        <v>1.1299999999999999</v>
      </c>
      <c r="H195" s="154"/>
      <c r="I195" s="157"/>
      <c r="J195" s="155"/>
      <c r="K195" s="154"/>
      <c r="L195" s="154">
        <v>1.1299999999999999</v>
      </c>
      <c r="M195" s="154"/>
      <c r="N195" s="154">
        <v>1.1299999999999999</v>
      </c>
      <c r="O195" s="154"/>
      <c r="P195" s="154">
        <v>1.1299999999999999</v>
      </c>
      <c r="Q195" s="155"/>
      <c r="R195" s="154"/>
      <c r="S195" s="154">
        <v>1.1299999999999999</v>
      </c>
      <c r="T195" s="158"/>
      <c r="U195" s="158"/>
      <c r="V195" s="155"/>
      <c r="W195" s="159"/>
      <c r="X195" s="159">
        <v>1.1299999999999999</v>
      </c>
      <c r="Y195" s="159"/>
      <c r="Z195" s="159">
        <v>1.1299999999999999</v>
      </c>
      <c r="AA195" s="155"/>
      <c r="AB195" s="154"/>
      <c r="AC195" s="154">
        <v>1.1299999999999999</v>
      </c>
      <c r="AD195" s="158"/>
      <c r="AE195" s="159"/>
      <c r="AF195" s="155"/>
      <c r="AG195" s="155"/>
      <c r="AH195" s="49" t="s">
        <v>409</v>
      </c>
      <c r="AI195" s="98"/>
      <c r="AJ195" s="98"/>
      <c r="AK195" s="98"/>
      <c r="AL195" s="98"/>
      <c r="AM195" s="98"/>
    </row>
    <row r="196" spans="1:39" ht="31" x14ac:dyDescent="0.6">
      <c r="A196" s="297">
        <v>984071</v>
      </c>
      <c r="B196" s="298" t="s">
        <v>756</v>
      </c>
      <c r="C196" s="166">
        <v>12</v>
      </c>
      <c r="D196" s="158"/>
      <c r="E196" s="158"/>
      <c r="F196" s="154"/>
      <c r="G196" s="154">
        <v>5.99</v>
      </c>
      <c r="H196" s="154"/>
      <c r="I196" s="156"/>
      <c r="J196" s="155"/>
      <c r="K196" s="154"/>
      <c r="L196" s="154">
        <v>5.99</v>
      </c>
      <c r="M196" s="154"/>
      <c r="N196" s="154">
        <v>5.99</v>
      </c>
      <c r="O196" s="154"/>
      <c r="P196" s="154">
        <v>5.99</v>
      </c>
      <c r="Q196" s="154"/>
      <c r="R196" s="154"/>
      <c r="S196" s="157">
        <v>5.99</v>
      </c>
      <c r="T196" s="154"/>
      <c r="U196" s="155"/>
      <c r="V196" s="155"/>
      <c r="W196" s="159"/>
      <c r="X196" s="157">
        <v>5.99</v>
      </c>
      <c r="Y196" s="159"/>
      <c r="Z196" s="157">
        <v>5.99</v>
      </c>
      <c r="AA196" s="198"/>
      <c r="AB196" s="154"/>
      <c r="AC196" s="154">
        <v>5.99</v>
      </c>
      <c r="AD196" s="154"/>
      <c r="AE196" s="155"/>
      <c r="AF196" s="155"/>
      <c r="AG196" s="154"/>
      <c r="AH196" s="49" t="s">
        <v>409</v>
      </c>
      <c r="AI196" s="98"/>
      <c r="AJ196" s="98"/>
      <c r="AK196" s="98"/>
      <c r="AL196" s="98"/>
      <c r="AM196" s="98"/>
    </row>
    <row r="197" spans="1:39" ht="31" x14ac:dyDescent="0.6">
      <c r="A197" s="145">
        <v>984161</v>
      </c>
      <c r="B197" s="146" t="s">
        <v>716</v>
      </c>
      <c r="C197" s="144">
        <v>12</v>
      </c>
      <c r="D197" s="166"/>
      <c r="E197" s="166"/>
      <c r="F197" s="265">
        <v>2.48</v>
      </c>
      <c r="G197" s="265"/>
      <c r="H197" s="266"/>
      <c r="I197" s="144" t="s">
        <v>62</v>
      </c>
      <c r="J197" s="266"/>
      <c r="K197" s="265">
        <v>2.48</v>
      </c>
      <c r="L197" s="265"/>
      <c r="M197" s="265">
        <v>2.48</v>
      </c>
      <c r="N197" s="265"/>
      <c r="O197" s="265">
        <v>2.48</v>
      </c>
      <c r="P197" s="265"/>
      <c r="Q197" s="266"/>
      <c r="R197" s="265">
        <v>2.48</v>
      </c>
      <c r="S197" s="265"/>
      <c r="T197" s="266"/>
      <c r="U197" s="144" t="s">
        <v>62</v>
      </c>
      <c r="V197" s="266"/>
      <c r="W197" s="251">
        <v>2.48</v>
      </c>
      <c r="X197" s="144"/>
      <c r="Y197" s="251">
        <v>2.48</v>
      </c>
      <c r="Z197" s="144"/>
      <c r="AA197" s="266"/>
      <c r="AB197" s="265">
        <v>2.48</v>
      </c>
      <c r="AC197" s="265"/>
      <c r="AD197" s="266"/>
      <c r="AE197" s="251" t="s">
        <v>62</v>
      </c>
      <c r="AF197" s="266"/>
      <c r="AG197" s="266"/>
      <c r="AH197" s="49" t="s">
        <v>409</v>
      </c>
      <c r="AI197" s="66" t="s">
        <v>791</v>
      </c>
      <c r="AJ197" s="66" t="s">
        <v>844</v>
      </c>
      <c r="AK197" s="66" t="s">
        <v>742</v>
      </c>
      <c r="AL197" s="66"/>
      <c r="AM197" s="66"/>
    </row>
    <row r="198" spans="1:39" ht="31" x14ac:dyDescent="0.6">
      <c r="A198" s="297">
        <v>984910</v>
      </c>
      <c r="B198" s="298" t="s">
        <v>616</v>
      </c>
      <c r="C198" s="166">
        <v>24</v>
      </c>
      <c r="D198" s="158"/>
      <c r="E198" s="154"/>
      <c r="F198" s="154"/>
      <c r="G198" s="154">
        <v>4.99</v>
      </c>
      <c r="H198" s="155"/>
      <c r="I198" s="155"/>
      <c r="J198" s="191"/>
      <c r="K198" s="154"/>
      <c r="L198" s="154">
        <v>6.29</v>
      </c>
      <c r="M198" s="154"/>
      <c r="N198" s="154">
        <v>6.29</v>
      </c>
      <c r="O198" s="154"/>
      <c r="P198" s="154">
        <v>6.29</v>
      </c>
      <c r="Q198" s="155"/>
      <c r="R198" s="154"/>
      <c r="S198" s="154">
        <v>4.99</v>
      </c>
      <c r="T198" s="155"/>
      <c r="U198" s="155"/>
      <c r="V198" s="191"/>
      <c r="W198" s="154"/>
      <c r="X198" s="157">
        <v>4.99</v>
      </c>
      <c r="Y198" s="154"/>
      <c r="Z198" s="157">
        <v>4.99</v>
      </c>
      <c r="AA198" s="156"/>
      <c r="AB198" s="154"/>
      <c r="AC198" s="154">
        <v>4.99</v>
      </c>
      <c r="AD198" s="155"/>
      <c r="AE198" s="156"/>
      <c r="AF198" s="191"/>
      <c r="AG198" s="156"/>
      <c r="AH198" s="49" t="s">
        <v>409</v>
      </c>
      <c r="AI198" s="98"/>
      <c r="AJ198" s="98"/>
      <c r="AK198" s="98"/>
      <c r="AL198" s="98"/>
      <c r="AM198" s="98"/>
    </row>
    <row r="199" spans="1:39" ht="31" x14ac:dyDescent="0.6">
      <c r="A199" s="273">
        <v>984911</v>
      </c>
      <c r="B199" s="272" t="s">
        <v>672</v>
      </c>
      <c r="C199" s="158">
        <v>24</v>
      </c>
      <c r="D199" s="154"/>
      <c r="E199" s="154"/>
      <c r="F199" s="154"/>
      <c r="G199" s="154">
        <v>5.99</v>
      </c>
      <c r="H199" s="155"/>
      <c r="I199" s="155"/>
      <c r="J199" s="155"/>
      <c r="K199" s="154"/>
      <c r="L199" s="154">
        <v>5.99</v>
      </c>
      <c r="M199" s="154"/>
      <c r="N199" s="154">
        <v>5.99</v>
      </c>
      <c r="O199" s="154"/>
      <c r="P199" s="154">
        <v>5.99</v>
      </c>
      <c r="Q199" s="154"/>
      <c r="R199" s="154"/>
      <c r="S199" s="154">
        <v>5.99</v>
      </c>
      <c r="T199" s="155"/>
      <c r="U199" s="155"/>
      <c r="V199" s="155"/>
      <c r="W199" s="159"/>
      <c r="X199" s="157">
        <v>5.99</v>
      </c>
      <c r="Y199" s="159"/>
      <c r="Z199" s="157">
        <v>5.99</v>
      </c>
      <c r="AA199" s="157"/>
      <c r="AB199" s="154"/>
      <c r="AC199" s="154">
        <v>5.99</v>
      </c>
      <c r="AD199" s="155"/>
      <c r="AE199" s="155"/>
      <c r="AF199" s="155"/>
      <c r="AG199" s="157"/>
      <c r="AH199" s="49" t="s">
        <v>409</v>
      </c>
      <c r="AI199" s="98"/>
      <c r="AJ199" s="98"/>
      <c r="AK199" s="98"/>
      <c r="AL199" s="98"/>
      <c r="AM199" s="98"/>
    </row>
    <row r="200" spans="1:39" ht="31" x14ac:dyDescent="0.6">
      <c r="A200" s="297">
        <v>984912</v>
      </c>
      <c r="B200" s="298" t="s">
        <v>673</v>
      </c>
      <c r="C200" s="166">
        <v>24</v>
      </c>
      <c r="D200" s="219"/>
      <c r="E200" s="219"/>
      <c r="F200" s="219"/>
      <c r="G200" s="219">
        <v>5.99</v>
      </c>
      <c r="H200" s="220"/>
      <c r="I200" s="220"/>
      <c r="J200" s="220"/>
      <c r="K200" s="219"/>
      <c r="L200" s="219">
        <v>5.99</v>
      </c>
      <c r="M200" s="219"/>
      <c r="N200" s="219">
        <v>5.99</v>
      </c>
      <c r="O200" s="219"/>
      <c r="P200" s="219">
        <v>5.99</v>
      </c>
      <c r="Q200" s="220"/>
      <c r="R200" s="219"/>
      <c r="S200" s="219">
        <v>5.99</v>
      </c>
      <c r="T200" s="220"/>
      <c r="U200" s="220"/>
      <c r="V200" s="220"/>
      <c r="W200" s="157"/>
      <c r="X200" s="157">
        <v>5.99</v>
      </c>
      <c r="Y200" s="157"/>
      <c r="Z200" s="157">
        <v>5.99</v>
      </c>
      <c r="AA200" s="156"/>
      <c r="AB200" s="219"/>
      <c r="AC200" s="219">
        <v>5.99</v>
      </c>
      <c r="AD200" s="220"/>
      <c r="AE200" s="156"/>
      <c r="AF200" s="220"/>
      <c r="AG200" s="156"/>
      <c r="AH200" s="49" t="s">
        <v>409</v>
      </c>
      <c r="AI200" s="87"/>
      <c r="AJ200" s="87"/>
      <c r="AK200" s="87"/>
      <c r="AL200" s="87"/>
      <c r="AM200" s="87"/>
    </row>
    <row r="201" spans="1:39" ht="31" x14ac:dyDescent="0.6">
      <c r="A201" s="297">
        <v>985601</v>
      </c>
      <c r="B201" s="298" t="s">
        <v>432</v>
      </c>
      <c r="C201" s="166">
        <v>20</v>
      </c>
      <c r="D201" s="221" t="s">
        <v>129</v>
      </c>
      <c r="E201" s="221"/>
      <c r="F201" s="222"/>
      <c r="G201" s="222">
        <v>0.65</v>
      </c>
      <c r="H201" s="222"/>
      <c r="I201" s="222"/>
      <c r="J201" s="182"/>
      <c r="K201" s="222"/>
      <c r="L201" s="222">
        <v>0.83</v>
      </c>
      <c r="M201" s="222"/>
      <c r="N201" s="222">
        <v>0.83</v>
      </c>
      <c r="O201" s="222"/>
      <c r="P201" s="222">
        <v>0.83</v>
      </c>
      <c r="Q201" s="182"/>
      <c r="R201" s="222"/>
      <c r="S201" s="222">
        <v>0.65</v>
      </c>
      <c r="T201" s="221"/>
      <c r="U201" s="221"/>
      <c r="V201" s="182"/>
      <c r="W201" s="159"/>
      <c r="X201" s="159">
        <v>0.65</v>
      </c>
      <c r="Y201" s="159"/>
      <c r="Z201" s="159">
        <v>0.65</v>
      </c>
      <c r="AA201" s="156"/>
      <c r="AB201" s="222"/>
      <c r="AC201" s="222">
        <v>0.65</v>
      </c>
      <c r="AD201" s="222"/>
      <c r="AE201" s="159"/>
      <c r="AF201" s="182"/>
      <c r="AG201" s="156"/>
      <c r="AH201" s="49" t="s">
        <v>410</v>
      </c>
      <c r="AI201" s="86"/>
      <c r="AJ201" s="86"/>
      <c r="AK201" s="86"/>
      <c r="AL201" s="86" t="s">
        <v>128</v>
      </c>
      <c r="AM201" s="86"/>
    </row>
    <row r="202" spans="1:39" ht="31" x14ac:dyDescent="0.6">
      <c r="A202" s="297">
        <v>985605</v>
      </c>
      <c r="B202" s="298" t="s">
        <v>435</v>
      </c>
      <c r="C202" s="166">
        <v>24</v>
      </c>
      <c r="D202" s="308" t="s">
        <v>129</v>
      </c>
      <c r="E202" s="223"/>
      <c r="F202" s="224"/>
      <c r="G202" s="224"/>
      <c r="H202" s="159" t="s">
        <v>6</v>
      </c>
      <c r="I202" s="157" t="s">
        <v>7</v>
      </c>
      <c r="J202" s="223">
        <v>44824</v>
      </c>
      <c r="K202" s="224"/>
      <c r="L202" s="224"/>
      <c r="M202" s="224"/>
      <c r="N202" s="224"/>
      <c r="O202" s="224"/>
      <c r="P202" s="224"/>
      <c r="Q202" s="156"/>
      <c r="R202" s="224"/>
      <c r="S202" s="224"/>
      <c r="T202" s="159" t="s">
        <v>6</v>
      </c>
      <c r="U202" s="157" t="s">
        <v>7</v>
      </c>
      <c r="V202" s="223">
        <v>44824</v>
      </c>
      <c r="W202" s="159"/>
      <c r="X202" s="224"/>
      <c r="Y202" s="159"/>
      <c r="Z202" s="224"/>
      <c r="AA202" s="156"/>
      <c r="AB202" s="224"/>
      <c r="AC202" s="224"/>
      <c r="AD202" s="159" t="s">
        <v>6</v>
      </c>
      <c r="AE202" s="157" t="s">
        <v>7</v>
      </c>
      <c r="AF202" s="223">
        <v>44824</v>
      </c>
      <c r="AG202" s="156"/>
      <c r="AH202" s="49" t="s">
        <v>410</v>
      </c>
      <c r="AI202" s="81"/>
      <c r="AJ202" s="81"/>
      <c r="AK202" s="81"/>
      <c r="AL202" s="81" t="s">
        <v>128</v>
      </c>
      <c r="AM202" s="81"/>
    </row>
    <row r="203" spans="1:39" ht="31" x14ac:dyDescent="0.6">
      <c r="A203" s="297">
        <v>985612</v>
      </c>
      <c r="B203" s="298" t="s">
        <v>101</v>
      </c>
      <c r="C203" s="166">
        <v>12</v>
      </c>
      <c r="D203" s="225" t="s">
        <v>129</v>
      </c>
      <c r="E203" s="225"/>
      <c r="F203" s="226"/>
      <c r="G203" s="226">
        <v>2.19</v>
      </c>
      <c r="H203" s="157"/>
      <c r="I203" s="157"/>
      <c r="J203" s="227"/>
      <c r="K203" s="226"/>
      <c r="L203" s="226">
        <v>2.4900000000000002</v>
      </c>
      <c r="M203" s="226"/>
      <c r="N203" s="226">
        <v>2.4900000000000002</v>
      </c>
      <c r="O203" s="226"/>
      <c r="P203" s="226">
        <v>2.4900000000000002</v>
      </c>
      <c r="Q203" s="156"/>
      <c r="R203" s="226"/>
      <c r="S203" s="226">
        <v>2.19</v>
      </c>
      <c r="T203" s="159"/>
      <c r="U203" s="159"/>
      <c r="V203" s="227"/>
      <c r="W203" s="159"/>
      <c r="X203" s="225">
        <v>2.19</v>
      </c>
      <c r="Y203" s="159"/>
      <c r="Z203" s="225">
        <v>2.19</v>
      </c>
      <c r="AA203" s="156"/>
      <c r="AB203" s="226"/>
      <c r="AC203" s="226">
        <v>2.19</v>
      </c>
      <c r="AD203" s="159"/>
      <c r="AE203" s="159"/>
      <c r="AF203" s="227"/>
      <c r="AG203" s="156"/>
      <c r="AH203" s="49" t="s">
        <v>410</v>
      </c>
      <c r="AI203" s="96"/>
      <c r="AJ203" s="96"/>
      <c r="AK203" s="96"/>
      <c r="AL203" s="96" t="s">
        <v>128</v>
      </c>
      <c r="AM203" s="96"/>
    </row>
    <row r="204" spans="1:39" ht="31" x14ac:dyDescent="0.6">
      <c r="A204" s="297">
        <v>985613</v>
      </c>
      <c r="B204" s="298" t="s">
        <v>612</v>
      </c>
      <c r="C204" s="166">
        <v>15</v>
      </c>
      <c r="D204" s="224"/>
      <c r="E204" s="224"/>
      <c r="F204" s="224"/>
      <c r="G204" s="224">
        <v>2.99</v>
      </c>
      <c r="H204" s="156"/>
      <c r="I204" s="156"/>
      <c r="J204" s="223"/>
      <c r="K204" s="224"/>
      <c r="L204" s="224">
        <v>2.99</v>
      </c>
      <c r="M204" s="224"/>
      <c r="N204" s="224">
        <v>2.99</v>
      </c>
      <c r="O204" s="224"/>
      <c r="P204" s="224">
        <v>2.99</v>
      </c>
      <c r="Q204" s="156"/>
      <c r="R204" s="224"/>
      <c r="S204" s="224">
        <v>2.99</v>
      </c>
      <c r="T204" s="156"/>
      <c r="U204" s="156"/>
      <c r="V204" s="223"/>
      <c r="W204" s="157"/>
      <c r="X204" s="224">
        <v>2.99</v>
      </c>
      <c r="Y204" s="157"/>
      <c r="Z204" s="224">
        <v>2.99</v>
      </c>
      <c r="AA204" s="156"/>
      <c r="AB204" s="224"/>
      <c r="AC204" s="224">
        <v>2.99</v>
      </c>
      <c r="AD204" s="159" t="s">
        <v>480</v>
      </c>
      <c r="AE204" s="159" t="s">
        <v>479</v>
      </c>
      <c r="AF204" s="223"/>
      <c r="AG204" s="156"/>
      <c r="AH204" s="49" t="s">
        <v>410</v>
      </c>
      <c r="AI204" s="81"/>
      <c r="AJ204" s="81"/>
      <c r="AK204" s="81"/>
      <c r="AL204" s="81"/>
      <c r="AM204" s="81"/>
    </row>
    <row r="205" spans="1:39" ht="31" x14ac:dyDescent="0.6">
      <c r="A205" s="166">
        <v>985614</v>
      </c>
      <c r="B205" s="298" t="s">
        <v>709</v>
      </c>
      <c r="C205" s="166">
        <v>12</v>
      </c>
      <c r="D205" s="230"/>
      <c r="E205" s="228" t="s">
        <v>638</v>
      </c>
      <c r="F205" s="228"/>
      <c r="G205" s="228">
        <v>3.99</v>
      </c>
      <c r="H205" s="229"/>
      <c r="I205" s="156"/>
      <c r="J205" s="229"/>
      <c r="K205" s="228"/>
      <c r="L205" s="228">
        <v>4.29</v>
      </c>
      <c r="M205" s="228"/>
      <c r="N205" s="228">
        <v>4.29</v>
      </c>
      <c r="O205" s="228"/>
      <c r="P205" s="228">
        <v>4.29</v>
      </c>
      <c r="Q205" s="156"/>
      <c r="R205" s="228"/>
      <c r="S205" s="228">
        <v>3.99</v>
      </c>
      <c r="T205" s="230"/>
      <c r="U205" s="230"/>
      <c r="V205" s="229"/>
      <c r="W205" s="157"/>
      <c r="X205" s="228">
        <v>3.99</v>
      </c>
      <c r="Y205" s="157"/>
      <c r="Z205" s="228">
        <v>3.99</v>
      </c>
      <c r="AA205" s="156"/>
      <c r="AB205" s="228"/>
      <c r="AC205" s="228">
        <v>3.99</v>
      </c>
      <c r="AD205" s="230" t="s">
        <v>712</v>
      </c>
      <c r="AE205" s="159" t="s">
        <v>479</v>
      </c>
      <c r="AF205" s="229"/>
      <c r="AG205" s="156"/>
      <c r="AH205" s="49" t="s">
        <v>410</v>
      </c>
      <c r="AI205" s="77"/>
      <c r="AJ205" s="77"/>
      <c r="AK205" s="77"/>
      <c r="AL205" s="77"/>
      <c r="AM205" s="77"/>
    </row>
    <row r="206" spans="1:39" ht="31" x14ac:dyDescent="0.6">
      <c r="A206" s="273">
        <v>985630</v>
      </c>
      <c r="B206" s="272" t="s">
        <v>457</v>
      </c>
      <c r="C206" s="158">
        <v>12</v>
      </c>
      <c r="D206" s="158"/>
      <c r="E206" s="158"/>
      <c r="F206" s="154"/>
      <c r="G206" s="154">
        <v>2.46</v>
      </c>
      <c r="H206" s="154"/>
      <c r="I206" s="157"/>
      <c r="J206" s="155"/>
      <c r="K206" s="154"/>
      <c r="L206" s="154">
        <v>2.46</v>
      </c>
      <c r="M206" s="154"/>
      <c r="N206" s="154">
        <v>2.46</v>
      </c>
      <c r="O206" s="154"/>
      <c r="P206" s="154">
        <v>2.46</v>
      </c>
      <c r="Q206" s="156"/>
      <c r="R206" s="154"/>
      <c r="S206" s="154">
        <v>2.46</v>
      </c>
      <c r="T206" s="158"/>
      <c r="U206" s="158"/>
      <c r="V206" s="155"/>
      <c r="W206" s="159"/>
      <c r="X206" s="159">
        <v>2.46</v>
      </c>
      <c r="Y206" s="159"/>
      <c r="Z206" s="159">
        <v>2.46</v>
      </c>
      <c r="AA206" s="156"/>
      <c r="AB206" s="154"/>
      <c r="AC206" s="154">
        <v>2.46</v>
      </c>
      <c r="AD206" s="158"/>
      <c r="AE206" s="159"/>
      <c r="AF206" s="155"/>
      <c r="AG206" s="156"/>
      <c r="AH206" s="49" t="s">
        <v>410</v>
      </c>
      <c r="AI206" s="98"/>
      <c r="AJ206" s="98"/>
      <c r="AK206" s="98"/>
      <c r="AL206" s="98"/>
      <c r="AM206" s="98"/>
    </row>
    <row r="207" spans="1:39" ht="31" x14ac:dyDescent="0.6">
      <c r="A207" s="297">
        <v>985701</v>
      </c>
      <c r="B207" s="298" t="s">
        <v>468</v>
      </c>
      <c r="C207" s="166">
        <v>10</v>
      </c>
      <c r="D207" s="166"/>
      <c r="E207" s="166"/>
      <c r="F207" s="198"/>
      <c r="G207" s="198">
        <v>1.48</v>
      </c>
      <c r="H207" s="198"/>
      <c r="I207" s="157"/>
      <c r="J207" s="191"/>
      <c r="K207" s="198"/>
      <c r="L207" s="198">
        <v>1.69</v>
      </c>
      <c r="M207" s="198"/>
      <c r="N207" s="198">
        <v>1.69</v>
      </c>
      <c r="O207" s="198"/>
      <c r="P207" s="198">
        <v>1.69</v>
      </c>
      <c r="Q207" s="156"/>
      <c r="R207" s="198"/>
      <c r="S207" s="198">
        <v>1.48</v>
      </c>
      <c r="T207" s="166"/>
      <c r="U207" s="166"/>
      <c r="V207" s="191"/>
      <c r="W207" s="159"/>
      <c r="X207" s="159">
        <v>1.48</v>
      </c>
      <c r="Y207" s="159"/>
      <c r="Z207" s="159">
        <v>1.48</v>
      </c>
      <c r="AA207" s="156"/>
      <c r="AB207" s="198"/>
      <c r="AC207" s="198">
        <v>1.48</v>
      </c>
      <c r="AD207" s="198"/>
      <c r="AE207" s="166"/>
      <c r="AF207" s="191"/>
      <c r="AG207" s="156"/>
      <c r="AH207" s="49" t="s">
        <v>411</v>
      </c>
      <c r="AI207" s="66"/>
      <c r="AJ207" s="66"/>
      <c r="AK207" s="66"/>
      <c r="AL207" s="66"/>
      <c r="AM207" s="66"/>
    </row>
    <row r="208" spans="1:39" ht="31" x14ac:dyDescent="0.6">
      <c r="A208" s="297">
        <v>985702</v>
      </c>
      <c r="B208" s="298" t="s">
        <v>733</v>
      </c>
      <c r="C208" s="166">
        <v>10</v>
      </c>
      <c r="D208" s="166"/>
      <c r="E208" s="166"/>
      <c r="F208" s="198"/>
      <c r="G208" s="198">
        <v>1.99</v>
      </c>
      <c r="H208" s="198"/>
      <c r="I208" s="157"/>
      <c r="J208" s="191"/>
      <c r="K208" s="198"/>
      <c r="L208" s="198">
        <v>2.29</v>
      </c>
      <c r="M208" s="198"/>
      <c r="N208" s="198">
        <v>2.29</v>
      </c>
      <c r="O208" s="198"/>
      <c r="P208" s="198">
        <v>2.29</v>
      </c>
      <c r="Q208" s="191"/>
      <c r="R208" s="198"/>
      <c r="S208" s="198">
        <v>2.4900000000000002</v>
      </c>
      <c r="T208" s="166" t="s">
        <v>712</v>
      </c>
      <c r="U208" s="166" t="s">
        <v>479</v>
      </c>
      <c r="V208" s="191"/>
      <c r="W208" s="159"/>
      <c r="X208" s="166">
        <v>2.4900000000000002</v>
      </c>
      <c r="Y208" s="159"/>
      <c r="Z208" s="166">
        <v>2.4900000000000002</v>
      </c>
      <c r="AA208" s="191"/>
      <c r="AB208" s="198"/>
      <c r="AC208" s="198">
        <v>2.4900000000000002</v>
      </c>
      <c r="AD208" s="166" t="s">
        <v>712</v>
      </c>
      <c r="AE208" s="159" t="s">
        <v>479</v>
      </c>
      <c r="AF208" s="191"/>
      <c r="AG208" s="191"/>
      <c r="AH208" s="49" t="s">
        <v>411</v>
      </c>
      <c r="AI208" s="66"/>
      <c r="AJ208" s="66"/>
      <c r="AK208" s="66"/>
      <c r="AL208" s="66"/>
      <c r="AM208" s="66"/>
    </row>
    <row r="209" spans="1:41" ht="31" x14ac:dyDescent="0.6">
      <c r="A209" s="297">
        <v>987560</v>
      </c>
      <c r="B209" s="298" t="s">
        <v>102</v>
      </c>
      <c r="C209" s="166">
        <v>30</v>
      </c>
      <c r="D209" s="166"/>
      <c r="E209" s="166"/>
      <c r="F209" s="198"/>
      <c r="G209" s="198">
        <v>1.69</v>
      </c>
      <c r="H209" s="155"/>
      <c r="I209" s="156"/>
      <c r="J209" s="191"/>
      <c r="K209" s="198"/>
      <c r="L209" s="198">
        <v>1.89</v>
      </c>
      <c r="M209" s="198"/>
      <c r="N209" s="198">
        <v>1.89</v>
      </c>
      <c r="O209" s="198"/>
      <c r="P209" s="198">
        <v>1.89</v>
      </c>
      <c r="Q209" s="156"/>
      <c r="R209" s="198"/>
      <c r="S209" s="198">
        <v>1.69</v>
      </c>
      <c r="T209" s="166"/>
      <c r="U209" s="159"/>
      <c r="V209" s="191"/>
      <c r="W209" s="159"/>
      <c r="X209" s="159">
        <v>1.69</v>
      </c>
      <c r="Y209" s="159"/>
      <c r="Z209" s="159">
        <v>1.69</v>
      </c>
      <c r="AA209" s="156"/>
      <c r="AB209" s="198"/>
      <c r="AC209" s="198">
        <v>1.69</v>
      </c>
      <c r="AD209" s="166"/>
      <c r="AE209" s="159"/>
      <c r="AF209" s="191"/>
      <c r="AG209" s="156"/>
      <c r="AH209" s="49" t="s">
        <v>411</v>
      </c>
      <c r="AI209" s="66"/>
      <c r="AJ209" s="66"/>
      <c r="AK209" s="66"/>
      <c r="AL209" s="66" t="s">
        <v>128</v>
      </c>
      <c r="AM209" s="66"/>
    </row>
    <row r="210" spans="1:41" ht="31" x14ac:dyDescent="0.6">
      <c r="A210" s="297">
        <v>987900</v>
      </c>
      <c r="B210" s="298" t="s">
        <v>455</v>
      </c>
      <c r="C210" s="166">
        <v>14</v>
      </c>
      <c r="D210" s="166" t="s">
        <v>129</v>
      </c>
      <c r="E210" s="166"/>
      <c r="F210" s="198"/>
      <c r="G210" s="198">
        <v>1.39</v>
      </c>
      <c r="H210" s="191"/>
      <c r="I210" s="156"/>
      <c r="J210" s="191"/>
      <c r="K210" s="198"/>
      <c r="L210" s="198">
        <v>1.69</v>
      </c>
      <c r="M210" s="198"/>
      <c r="N210" s="198">
        <v>1.69</v>
      </c>
      <c r="O210" s="198"/>
      <c r="P210" s="198">
        <v>1.69</v>
      </c>
      <c r="Q210" s="156"/>
      <c r="R210" s="198"/>
      <c r="S210" s="198">
        <v>1.39</v>
      </c>
      <c r="T210" s="166"/>
      <c r="U210" s="159"/>
      <c r="V210" s="191"/>
      <c r="W210" s="159"/>
      <c r="X210" s="159">
        <v>1.39</v>
      </c>
      <c r="Y210" s="159"/>
      <c r="Z210" s="159">
        <v>1.39</v>
      </c>
      <c r="AA210" s="156"/>
      <c r="AB210" s="198"/>
      <c r="AC210" s="198">
        <v>1.39</v>
      </c>
      <c r="AD210" s="166"/>
      <c r="AE210" s="159"/>
      <c r="AF210" s="191"/>
      <c r="AG210" s="156"/>
      <c r="AH210" s="49" t="s">
        <v>411</v>
      </c>
      <c r="AI210" s="66"/>
      <c r="AJ210" s="66"/>
      <c r="AK210" s="66"/>
      <c r="AL210" s="66" t="s">
        <v>128</v>
      </c>
      <c r="AM210" s="66"/>
    </row>
    <row r="211" spans="1:41" ht="31" x14ac:dyDescent="0.6">
      <c r="A211" s="297">
        <v>988490</v>
      </c>
      <c r="B211" s="298" t="s">
        <v>460</v>
      </c>
      <c r="C211" s="166">
        <v>25</v>
      </c>
      <c r="D211" s="158"/>
      <c r="E211" s="158"/>
      <c r="F211" s="154"/>
      <c r="G211" s="154">
        <v>0.79</v>
      </c>
      <c r="H211" s="155"/>
      <c r="I211" s="156"/>
      <c r="J211" s="155"/>
      <c r="K211" s="154"/>
      <c r="L211" s="154">
        <v>0.89</v>
      </c>
      <c r="M211" s="154"/>
      <c r="N211" s="154">
        <v>0.89</v>
      </c>
      <c r="O211" s="154"/>
      <c r="P211" s="154">
        <v>0.89</v>
      </c>
      <c r="Q211" s="156"/>
      <c r="R211" s="157"/>
      <c r="S211" s="157">
        <v>0.79</v>
      </c>
      <c r="T211" s="158"/>
      <c r="U211" s="159"/>
      <c r="V211" s="155"/>
      <c r="W211" s="157"/>
      <c r="X211" s="157">
        <v>0.79</v>
      </c>
      <c r="Y211" s="157"/>
      <c r="Z211" s="157">
        <v>0.79</v>
      </c>
      <c r="AA211" s="156"/>
      <c r="AB211" s="154"/>
      <c r="AC211" s="154">
        <v>0.79</v>
      </c>
      <c r="AD211" s="158"/>
      <c r="AE211" s="159"/>
      <c r="AF211" s="155"/>
      <c r="AG211" s="156"/>
      <c r="AH211" s="49" t="s">
        <v>411</v>
      </c>
      <c r="AI211" s="98"/>
      <c r="AJ211" s="98"/>
      <c r="AK211" s="98"/>
      <c r="AL211" s="98"/>
      <c r="AM211" s="98"/>
    </row>
    <row r="212" spans="1:41" ht="31" x14ac:dyDescent="0.6">
      <c r="A212" s="273">
        <v>988571</v>
      </c>
      <c r="B212" s="272" t="s">
        <v>441</v>
      </c>
      <c r="C212" s="158">
        <v>12</v>
      </c>
      <c r="D212" s="158" t="s">
        <v>129</v>
      </c>
      <c r="E212" s="158"/>
      <c r="F212" s="154"/>
      <c r="G212" s="154">
        <v>2.4900000000000002</v>
      </c>
      <c r="H212" s="154"/>
      <c r="I212" s="157"/>
      <c r="J212" s="155"/>
      <c r="K212" s="154"/>
      <c r="L212" s="154">
        <v>2.79</v>
      </c>
      <c r="M212" s="154"/>
      <c r="N212" s="154">
        <v>2.79</v>
      </c>
      <c r="O212" s="154"/>
      <c r="P212" s="154">
        <v>2.79</v>
      </c>
      <c r="Q212" s="156"/>
      <c r="R212" s="157"/>
      <c r="S212" s="154">
        <v>2.4900000000000002</v>
      </c>
      <c r="T212" s="158"/>
      <c r="U212" s="159"/>
      <c r="V212" s="156"/>
      <c r="W212" s="159"/>
      <c r="X212" s="158">
        <v>2.4900000000000002</v>
      </c>
      <c r="Y212" s="159"/>
      <c r="Z212" s="158">
        <v>2.4900000000000002</v>
      </c>
      <c r="AA212" s="156"/>
      <c r="AB212" s="154"/>
      <c r="AC212" s="154">
        <v>2.4900000000000002</v>
      </c>
      <c r="AD212" s="159"/>
      <c r="AE212" s="158"/>
      <c r="AF212" s="156"/>
      <c r="AG212" s="156"/>
      <c r="AH212" s="49" t="s">
        <v>411</v>
      </c>
      <c r="AI212" s="98"/>
      <c r="AJ212" s="98"/>
      <c r="AK212" s="98"/>
      <c r="AL212" s="17" t="s">
        <v>128</v>
      </c>
      <c r="AM212" s="17"/>
    </row>
    <row r="213" spans="1:41" ht="31" x14ac:dyDescent="0.6">
      <c r="A213" s="273">
        <v>988620</v>
      </c>
      <c r="B213" s="272" t="s">
        <v>103</v>
      </c>
      <c r="C213" s="158">
        <v>16</v>
      </c>
      <c r="D213" s="158"/>
      <c r="E213" s="158"/>
      <c r="F213" s="154"/>
      <c r="G213" s="154">
        <v>2.59</v>
      </c>
      <c r="H213" s="154"/>
      <c r="I213" s="157"/>
      <c r="J213" s="155"/>
      <c r="K213" s="154"/>
      <c r="L213" s="154">
        <v>2.89</v>
      </c>
      <c r="M213" s="154"/>
      <c r="N213" s="154">
        <v>2.89</v>
      </c>
      <c r="O213" s="154"/>
      <c r="P213" s="154">
        <v>2.89</v>
      </c>
      <c r="Q213" s="156"/>
      <c r="R213" s="157"/>
      <c r="S213" s="157">
        <v>2.59</v>
      </c>
      <c r="T213" s="158"/>
      <c r="U213" s="157"/>
      <c r="V213" s="155"/>
      <c r="W213" s="159"/>
      <c r="X213" s="157">
        <v>2.59</v>
      </c>
      <c r="Y213" s="159"/>
      <c r="Z213" s="157">
        <v>2.59</v>
      </c>
      <c r="AA213" s="156"/>
      <c r="AB213" s="154"/>
      <c r="AC213" s="154">
        <v>2.59</v>
      </c>
      <c r="AD213" s="158"/>
      <c r="AE213" s="157"/>
      <c r="AF213" s="155"/>
      <c r="AG213" s="156"/>
      <c r="AH213" s="49" t="s">
        <v>411</v>
      </c>
      <c r="AI213" s="98"/>
      <c r="AJ213" s="98"/>
      <c r="AK213" s="98"/>
      <c r="AL213" s="98" t="s">
        <v>128</v>
      </c>
      <c r="AM213" s="98"/>
    </row>
    <row r="214" spans="1:41" ht="31" x14ac:dyDescent="0.6">
      <c r="A214" s="297">
        <v>988650</v>
      </c>
      <c r="B214" s="298" t="s">
        <v>592</v>
      </c>
      <c r="C214" s="166">
        <v>25</v>
      </c>
      <c r="D214" s="158"/>
      <c r="E214" s="158"/>
      <c r="F214" s="154"/>
      <c r="G214" s="154">
        <v>0.98</v>
      </c>
      <c r="H214" s="154"/>
      <c r="I214" s="157"/>
      <c r="J214" s="155"/>
      <c r="K214" s="154"/>
      <c r="L214" s="154">
        <v>1.29</v>
      </c>
      <c r="M214" s="154"/>
      <c r="N214" s="154">
        <v>1.29</v>
      </c>
      <c r="O214" s="154"/>
      <c r="P214" s="154">
        <v>1.29</v>
      </c>
      <c r="Q214" s="156"/>
      <c r="R214" s="157"/>
      <c r="S214" s="157">
        <v>0.98</v>
      </c>
      <c r="T214" s="158"/>
      <c r="U214" s="159"/>
      <c r="V214" s="155"/>
      <c r="W214" s="159"/>
      <c r="X214" s="159">
        <v>0.98</v>
      </c>
      <c r="Y214" s="159"/>
      <c r="Z214" s="159">
        <v>0.98</v>
      </c>
      <c r="AA214" s="156"/>
      <c r="AB214" s="154"/>
      <c r="AC214" s="154">
        <v>0.98</v>
      </c>
      <c r="AD214" s="158"/>
      <c r="AE214" s="159"/>
      <c r="AF214" s="155"/>
      <c r="AG214" s="156"/>
      <c r="AH214" s="49" t="s">
        <v>411</v>
      </c>
      <c r="AI214" s="98"/>
      <c r="AJ214" s="98"/>
      <c r="AK214" s="98"/>
      <c r="AL214" s="98"/>
      <c r="AM214" s="98"/>
    </row>
    <row r="215" spans="1:41" ht="31" x14ac:dyDescent="0.6">
      <c r="A215" s="297">
        <v>987590</v>
      </c>
      <c r="B215" s="298" t="s">
        <v>104</v>
      </c>
      <c r="C215" s="166">
        <v>24</v>
      </c>
      <c r="D215" s="166"/>
      <c r="E215" s="166"/>
      <c r="F215" s="198">
        <v>1.59</v>
      </c>
      <c r="G215" s="198">
        <v>1.28</v>
      </c>
      <c r="H215" s="198" t="s">
        <v>6</v>
      </c>
      <c r="I215" s="198" t="s">
        <v>41</v>
      </c>
      <c r="J215" s="191">
        <v>44821</v>
      </c>
      <c r="K215" s="198">
        <v>1.99</v>
      </c>
      <c r="L215" s="198">
        <v>1.6</v>
      </c>
      <c r="M215" s="198">
        <v>1.99</v>
      </c>
      <c r="N215" s="198">
        <v>1.6</v>
      </c>
      <c r="O215" s="198">
        <v>1.99</v>
      </c>
      <c r="P215" s="198">
        <v>1.6</v>
      </c>
      <c r="Q215" s="156"/>
      <c r="R215" s="157"/>
      <c r="S215" s="157">
        <v>1.59</v>
      </c>
      <c r="T215" s="166"/>
      <c r="U215" s="166"/>
      <c r="V215" s="191"/>
      <c r="W215" s="159"/>
      <c r="X215" s="159">
        <v>1.59</v>
      </c>
      <c r="Y215" s="159"/>
      <c r="Z215" s="159">
        <v>1.59</v>
      </c>
      <c r="AA215" s="156"/>
      <c r="AB215" s="198"/>
      <c r="AC215" s="198">
        <v>1.59</v>
      </c>
      <c r="AD215" s="166"/>
      <c r="AE215" s="166"/>
      <c r="AF215" s="191"/>
      <c r="AG215" s="156"/>
      <c r="AH215" s="49" t="s">
        <v>412</v>
      </c>
      <c r="AI215" s="66"/>
      <c r="AJ215" s="66"/>
      <c r="AK215" s="66"/>
      <c r="AL215" s="66" t="s">
        <v>128</v>
      </c>
      <c r="AM215" s="66"/>
      <c r="AO215" s="51"/>
    </row>
    <row r="216" spans="1:41" ht="31" x14ac:dyDescent="0.6">
      <c r="A216" s="297">
        <v>987593</v>
      </c>
      <c r="B216" s="298" t="s">
        <v>725</v>
      </c>
      <c r="C216" s="166">
        <v>12</v>
      </c>
      <c r="D216" s="158"/>
      <c r="E216" s="158" t="s">
        <v>462</v>
      </c>
      <c r="F216" s="154"/>
      <c r="G216" s="154">
        <v>1.77</v>
      </c>
      <c r="H216" s="154"/>
      <c r="I216" s="154"/>
      <c r="J216" s="155"/>
      <c r="K216" s="154"/>
      <c r="L216" s="154">
        <v>2.69</v>
      </c>
      <c r="M216" s="154"/>
      <c r="N216" s="154">
        <v>2.69</v>
      </c>
      <c r="O216" s="154"/>
      <c r="P216" s="154">
        <v>2.69</v>
      </c>
      <c r="Q216" s="156"/>
      <c r="R216" s="157"/>
      <c r="S216" s="157">
        <v>1.77</v>
      </c>
      <c r="T216" s="158"/>
      <c r="U216" s="158"/>
      <c r="V216" s="155"/>
      <c r="W216" s="159"/>
      <c r="X216" s="159">
        <v>1.77</v>
      </c>
      <c r="Y216" s="159"/>
      <c r="Z216" s="159">
        <v>1.77</v>
      </c>
      <c r="AA216" s="156"/>
      <c r="AB216" s="154"/>
      <c r="AC216" s="154">
        <v>1.77</v>
      </c>
      <c r="AD216" s="158"/>
      <c r="AE216" s="158"/>
      <c r="AF216" s="155"/>
      <c r="AG216" s="156"/>
      <c r="AH216" s="49" t="s">
        <v>412</v>
      </c>
      <c r="AI216" s="98"/>
      <c r="AJ216" s="98"/>
      <c r="AK216" s="98"/>
      <c r="AL216" s="98"/>
      <c r="AM216" s="98"/>
    </row>
    <row r="217" spans="1:41" ht="31" x14ac:dyDescent="0.6">
      <c r="A217" s="107">
        <v>987822</v>
      </c>
      <c r="B217" s="108" t="s">
        <v>843</v>
      </c>
      <c r="C217" s="109">
        <v>30</v>
      </c>
      <c r="D217" s="158"/>
      <c r="E217" s="158"/>
      <c r="F217" s="247"/>
      <c r="G217" s="247">
        <v>1.29</v>
      </c>
      <c r="H217" s="247" t="s">
        <v>16</v>
      </c>
      <c r="I217" s="247" t="s">
        <v>473</v>
      </c>
      <c r="J217" s="248"/>
      <c r="K217" s="247"/>
      <c r="L217" s="247">
        <v>1.39</v>
      </c>
      <c r="M217" s="247"/>
      <c r="N217" s="247">
        <v>1.39</v>
      </c>
      <c r="O217" s="247"/>
      <c r="P217" s="247">
        <v>1.39</v>
      </c>
      <c r="Q217" s="249"/>
      <c r="R217" s="250"/>
      <c r="S217" s="250">
        <v>1.29</v>
      </c>
      <c r="T217" s="109" t="s">
        <v>16</v>
      </c>
      <c r="U217" s="109" t="s">
        <v>473</v>
      </c>
      <c r="V217" s="248"/>
      <c r="W217" s="251"/>
      <c r="X217" s="251">
        <v>1.29</v>
      </c>
      <c r="Y217" s="251"/>
      <c r="Z217" s="251"/>
      <c r="AA217" s="249"/>
      <c r="AB217" s="154"/>
      <c r="AC217" s="154"/>
      <c r="AD217" s="158"/>
      <c r="AE217" s="158"/>
      <c r="AF217" s="155"/>
      <c r="AG217" s="156"/>
      <c r="AH217" s="49" t="s">
        <v>413</v>
      </c>
      <c r="AI217" s="98" t="s">
        <v>841</v>
      </c>
      <c r="AJ217" s="98" t="s">
        <v>741</v>
      </c>
      <c r="AK217" s="98"/>
      <c r="AL217" s="98"/>
      <c r="AM217" s="98"/>
      <c r="AO217" s="51"/>
    </row>
    <row r="218" spans="1:41" ht="31" x14ac:dyDescent="0.6">
      <c r="A218" s="273">
        <v>986211</v>
      </c>
      <c r="B218" s="272" t="s">
        <v>838</v>
      </c>
      <c r="C218" s="158">
        <v>14</v>
      </c>
      <c r="D218" s="158"/>
      <c r="E218" s="158"/>
      <c r="F218" s="154"/>
      <c r="G218" s="154">
        <v>3.68</v>
      </c>
      <c r="H218" s="154" t="s">
        <v>16</v>
      </c>
      <c r="I218" s="154" t="s">
        <v>473</v>
      </c>
      <c r="J218" s="155"/>
      <c r="K218" s="154"/>
      <c r="L218" s="154">
        <v>3.79</v>
      </c>
      <c r="M218" s="154"/>
      <c r="N218" s="154">
        <v>3.79</v>
      </c>
      <c r="O218" s="154"/>
      <c r="P218" s="154">
        <v>3.79</v>
      </c>
      <c r="Q218" s="156"/>
      <c r="R218" s="157"/>
      <c r="S218" s="157">
        <v>3.68</v>
      </c>
      <c r="T218" s="158" t="s">
        <v>16</v>
      </c>
      <c r="U218" s="158" t="s">
        <v>473</v>
      </c>
      <c r="V218" s="155"/>
      <c r="W218" s="159"/>
      <c r="X218" s="159">
        <v>3.68</v>
      </c>
      <c r="Y218" s="159"/>
      <c r="Z218" s="159">
        <v>3.68</v>
      </c>
      <c r="AA218" s="156"/>
      <c r="AB218" s="154"/>
      <c r="AC218" s="154">
        <v>3.68</v>
      </c>
      <c r="AD218" s="158" t="s">
        <v>16</v>
      </c>
      <c r="AE218" s="158" t="s">
        <v>473</v>
      </c>
      <c r="AF218" s="155"/>
      <c r="AG218" s="156"/>
      <c r="AH218" s="49" t="s">
        <v>413</v>
      </c>
      <c r="AI218" s="98"/>
      <c r="AJ218" s="98"/>
      <c r="AK218" s="98"/>
      <c r="AL218" s="98"/>
      <c r="AM218" s="98"/>
      <c r="AO218" s="51"/>
    </row>
    <row r="219" spans="1:41" ht="31" x14ac:dyDescent="0.6">
      <c r="A219" s="273">
        <v>986140</v>
      </c>
      <c r="B219" s="272" t="s">
        <v>837</v>
      </c>
      <c r="C219" s="158">
        <v>12</v>
      </c>
      <c r="D219" s="158"/>
      <c r="E219" s="158"/>
      <c r="F219" s="154"/>
      <c r="G219" s="154">
        <v>2.98</v>
      </c>
      <c r="H219" s="154" t="s">
        <v>16</v>
      </c>
      <c r="I219" s="154" t="s">
        <v>473</v>
      </c>
      <c r="J219" s="155"/>
      <c r="K219" s="154"/>
      <c r="L219" s="154">
        <v>2.98</v>
      </c>
      <c r="M219" s="154"/>
      <c r="N219" s="154">
        <v>2.98</v>
      </c>
      <c r="O219" s="154"/>
      <c r="P219" s="154">
        <v>2.98</v>
      </c>
      <c r="Q219" s="156"/>
      <c r="R219" s="157"/>
      <c r="S219" s="157">
        <v>2.98</v>
      </c>
      <c r="T219" s="158" t="s">
        <v>16</v>
      </c>
      <c r="U219" s="158" t="s">
        <v>473</v>
      </c>
      <c r="V219" s="155"/>
      <c r="W219" s="159"/>
      <c r="X219" s="159">
        <v>2.98</v>
      </c>
      <c r="Y219" s="159"/>
      <c r="Z219" s="159">
        <v>2.98</v>
      </c>
      <c r="AA219" s="156"/>
      <c r="AB219" s="154"/>
      <c r="AC219" s="154">
        <v>2.98</v>
      </c>
      <c r="AD219" s="158" t="s">
        <v>16</v>
      </c>
      <c r="AE219" s="158" t="s">
        <v>473</v>
      </c>
      <c r="AF219" s="155"/>
      <c r="AG219" s="156"/>
      <c r="AH219" s="49" t="s">
        <v>413</v>
      </c>
      <c r="AI219" s="98"/>
      <c r="AJ219" s="98"/>
      <c r="AK219" s="98"/>
      <c r="AL219" s="98"/>
      <c r="AM219" s="98"/>
      <c r="AO219" s="51"/>
    </row>
    <row r="220" spans="1:41" ht="31" x14ac:dyDescent="0.6">
      <c r="A220" s="273">
        <v>986120</v>
      </c>
      <c r="B220" s="272" t="s">
        <v>836</v>
      </c>
      <c r="C220" s="158">
        <v>14</v>
      </c>
      <c r="D220" s="158"/>
      <c r="E220" s="158"/>
      <c r="F220" s="154"/>
      <c r="G220" s="154">
        <v>3.68</v>
      </c>
      <c r="H220" s="154" t="s">
        <v>16</v>
      </c>
      <c r="I220" s="154" t="s">
        <v>473</v>
      </c>
      <c r="J220" s="155"/>
      <c r="K220" s="154"/>
      <c r="L220" s="154">
        <v>3.79</v>
      </c>
      <c r="M220" s="154"/>
      <c r="N220" s="154">
        <v>3.79</v>
      </c>
      <c r="O220" s="154"/>
      <c r="P220" s="154">
        <v>3.79</v>
      </c>
      <c r="Q220" s="156"/>
      <c r="R220" s="157"/>
      <c r="S220" s="157">
        <v>3.68</v>
      </c>
      <c r="T220" s="158" t="s">
        <v>16</v>
      </c>
      <c r="U220" s="158" t="s">
        <v>473</v>
      </c>
      <c r="V220" s="155"/>
      <c r="W220" s="159"/>
      <c r="X220" s="159">
        <v>3.68</v>
      </c>
      <c r="Y220" s="159"/>
      <c r="Z220" s="159">
        <v>3.68</v>
      </c>
      <c r="AA220" s="156"/>
      <c r="AB220" s="154"/>
      <c r="AC220" s="154">
        <v>3.68</v>
      </c>
      <c r="AD220" s="158" t="s">
        <v>16</v>
      </c>
      <c r="AE220" s="158" t="s">
        <v>473</v>
      </c>
      <c r="AF220" s="155"/>
      <c r="AG220" s="156"/>
      <c r="AH220" s="49" t="s">
        <v>413</v>
      </c>
      <c r="AI220" s="98"/>
      <c r="AJ220" s="98"/>
      <c r="AK220" s="98"/>
      <c r="AL220" s="98"/>
      <c r="AM220" s="98"/>
      <c r="AO220" s="51"/>
    </row>
    <row r="221" spans="1:41" ht="31" x14ac:dyDescent="0.6">
      <c r="A221" s="273">
        <v>986090</v>
      </c>
      <c r="B221" s="272" t="s">
        <v>835</v>
      </c>
      <c r="C221" s="158">
        <v>14</v>
      </c>
      <c r="D221" s="158"/>
      <c r="E221" s="158"/>
      <c r="F221" s="154"/>
      <c r="G221" s="154">
        <v>3.68</v>
      </c>
      <c r="H221" s="154" t="s">
        <v>16</v>
      </c>
      <c r="I221" s="154" t="s">
        <v>473</v>
      </c>
      <c r="J221" s="155"/>
      <c r="K221" s="154"/>
      <c r="L221" s="154">
        <v>3.79</v>
      </c>
      <c r="M221" s="154"/>
      <c r="N221" s="154">
        <v>3.79</v>
      </c>
      <c r="O221" s="154"/>
      <c r="P221" s="154">
        <v>3.79</v>
      </c>
      <c r="Q221" s="156"/>
      <c r="R221" s="157"/>
      <c r="S221" s="157">
        <v>3.68</v>
      </c>
      <c r="T221" s="158" t="s">
        <v>16</v>
      </c>
      <c r="U221" s="158" t="s">
        <v>473</v>
      </c>
      <c r="V221" s="155"/>
      <c r="W221" s="159"/>
      <c r="X221" s="159">
        <v>3.68</v>
      </c>
      <c r="Y221" s="159"/>
      <c r="Z221" s="159">
        <v>3.68</v>
      </c>
      <c r="AA221" s="156"/>
      <c r="AB221" s="154"/>
      <c r="AC221" s="154">
        <v>3.68</v>
      </c>
      <c r="AD221" s="158" t="s">
        <v>16</v>
      </c>
      <c r="AE221" s="158" t="s">
        <v>473</v>
      </c>
      <c r="AF221" s="155"/>
      <c r="AG221" s="156"/>
      <c r="AH221" s="49" t="s">
        <v>413</v>
      </c>
      <c r="AI221" s="98"/>
      <c r="AJ221" s="98"/>
      <c r="AK221" s="98"/>
      <c r="AL221" s="98"/>
      <c r="AM221" s="98"/>
      <c r="AO221" s="51"/>
    </row>
    <row r="222" spans="1:41" ht="31" x14ac:dyDescent="0.6">
      <c r="A222" s="297">
        <v>985650</v>
      </c>
      <c r="B222" s="298" t="s">
        <v>440</v>
      </c>
      <c r="C222" s="166">
        <v>16</v>
      </c>
      <c r="D222" s="158" t="s">
        <v>131</v>
      </c>
      <c r="E222" s="158"/>
      <c r="F222" s="154"/>
      <c r="G222" s="154">
        <v>1.47</v>
      </c>
      <c r="H222" s="158"/>
      <c r="I222" s="158"/>
      <c r="J222" s="155"/>
      <c r="K222" s="154"/>
      <c r="L222" s="154">
        <v>1.69</v>
      </c>
      <c r="M222" s="154"/>
      <c r="N222" s="154">
        <v>1.69</v>
      </c>
      <c r="O222" s="154"/>
      <c r="P222" s="154">
        <v>1.69</v>
      </c>
      <c r="Q222" s="156"/>
      <c r="R222" s="157"/>
      <c r="S222" s="154">
        <v>1.47</v>
      </c>
      <c r="T222" s="158"/>
      <c r="U222" s="158"/>
      <c r="V222" s="155"/>
      <c r="W222" s="159"/>
      <c r="X222" s="158">
        <v>1.47</v>
      </c>
      <c r="Y222" s="159"/>
      <c r="Z222" s="158">
        <v>1.47</v>
      </c>
      <c r="AA222" s="156"/>
      <c r="AB222" s="154"/>
      <c r="AC222" s="154">
        <v>1.47</v>
      </c>
      <c r="AD222" s="158"/>
      <c r="AE222" s="158"/>
      <c r="AF222" s="155"/>
      <c r="AG222" s="156"/>
      <c r="AH222" s="49" t="s">
        <v>413</v>
      </c>
      <c r="AI222" s="98"/>
      <c r="AJ222" s="98"/>
      <c r="AK222" s="98"/>
      <c r="AL222" s="98" t="s">
        <v>128</v>
      </c>
      <c r="AM222" s="98"/>
    </row>
    <row r="223" spans="1:41" ht="31" x14ac:dyDescent="0.6">
      <c r="A223" s="297">
        <v>987730</v>
      </c>
      <c r="B223" s="298" t="s">
        <v>610</v>
      </c>
      <c r="C223" s="166">
        <v>30</v>
      </c>
      <c r="D223" s="158" t="s">
        <v>129</v>
      </c>
      <c r="E223" s="158"/>
      <c r="F223" s="154"/>
      <c r="G223" s="154">
        <v>1.18</v>
      </c>
      <c r="H223" s="158"/>
      <c r="I223" s="158"/>
      <c r="J223" s="155"/>
      <c r="K223" s="154"/>
      <c r="L223" s="154">
        <v>1.29</v>
      </c>
      <c r="M223" s="154"/>
      <c r="N223" s="154">
        <v>1.29</v>
      </c>
      <c r="O223" s="154"/>
      <c r="P223" s="154">
        <v>1.29</v>
      </c>
      <c r="Q223" s="156"/>
      <c r="R223" s="157"/>
      <c r="S223" s="154">
        <v>1.18</v>
      </c>
      <c r="T223" s="158"/>
      <c r="U223" s="158"/>
      <c r="V223" s="155"/>
      <c r="W223" s="159"/>
      <c r="X223" s="158">
        <v>1.18</v>
      </c>
      <c r="Y223" s="159"/>
      <c r="Z223" s="158">
        <v>1.18</v>
      </c>
      <c r="AA223" s="156"/>
      <c r="AB223" s="154"/>
      <c r="AC223" s="154">
        <v>1.18</v>
      </c>
      <c r="AD223" s="155"/>
      <c r="AE223" s="155"/>
      <c r="AF223" s="155"/>
      <c r="AG223" s="156"/>
      <c r="AH223" s="49" t="s">
        <v>413</v>
      </c>
      <c r="AI223" s="98"/>
      <c r="AJ223" s="98"/>
      <c r="AK223" s="98"/>
      <c r="AL223" s="98"/>
      <c r="AM223" s="98"/>
    </row>
    <row r="224" spans="1:41" ht="31" x14ac:dyDescent="0.6">
      <c r="A224" s="297">
        <v>987760</v>
      </c>
      <c r="B224" s="298" t="s">
        <v>581</v>
      </c>
      <c r="C224" s="166">
        <v>30</v>
      </c>
      <c r="D224" s="158" t="s">
        <v>129</v>
      </c>
      <c r="E224" s="158"/>
      <c r="F224" s="154"/>
      <c r="G224" s="154">
        <v>1.18</v>
      </c>
      <c r="H224" s="158"/>
      <c r="I224" s="158"/>
      <c r="J224" s="155"/>
      <c r="K224" s="154"/>
      <c r="L224" s="154">
        <v>1.29</v>
      </c>
      <c r="M224" s="154"/>
      <c r="N224" s="154">
        <v>1.29</v>
      </c>
      <c r="O224" s="154"/>
      <c r="P224" s="154">
        <v>1.29</v>
      </c>
      <c r="Q224" s="156"/>
      <c r="R224" s="157"/>
      <c r="S224" s="157">
        <v>1.18</v>
      </c>
      <c r="T224" s="158"/>
      <c r="U224" s="158"/>
      <c r="V224" s="155"/>
      <c r="W224" s="159"/>
      <c r="X224" s="159">
        <v>1.18</v>
      </c>
      <c r="Y224" s="159"/>
      <c r="Z224" s="159">
        <v>1.18</v>
      </c>
      <c r="AA224" s="156"/>
      <c r="AB224" s="154"/>
      <c r="AC224" s="154">
        <v>1.18</v>
      </c>
      <c r="AD224" s="158"/>
      <c r="AE224" s="158"/>
      <c r="AF224" s="155"/>
      <c r="AG224" s="156"/>
      <c r="AH224" s="49" t="s">
        <v>413</v>
      </c>
      <c r="AI224" s="98"/>
      <c r="AJ224" s="98"/>
      <c r="AK224" s="98"/>
      <c r="AL224" s="98"/>
      <c r="AM224" s="98"/>
    </row>
    <row r="225" spans="1:41" ht="31" x14ac:dyDescent="0.6">
      <c r="A225" s="297">
        <v>987790</v>
      </c>
      <c r="B225" s="298" t="s">
        <v>466</v>
      </c>
      <c r="C225" s="166">
        <v>16</v>
      </c>
      <c r="D225" s="158"/>
      <c r="E225" s="158"/>
      <c r="F225" s="198"/>
      <c r="G225" s="198">
        <v>1.48</v>
      </c>
      <c r="H225" s="198"/>
      <c r="I225" s="166"/>
      <c r="J225" s="191"/>
      <c r="K225" s="198"/>
      <c r="L225" s="198">
        <v>1.69</v>
      </c>
      <c r="M225" s="198"/>
      <c r="N225" s="198">
        <v>1.69</v>
      </c>
      <c r="O225" s="198"/>
      <c r="P225" s="198">
        <v>1.69</v>
      </c>
      <c r="Q225" s="156"/>
      <c r="R225" s="166"/>
      <c r="S225" s="166">
        <v>1.48</v>
      </c>
      <c r="T225" s="198"/>
      <c r="U225" s="166"/>
      <c r="V225" s="191"/>
      <c r="W225" s="166"/>
      <c r="X225" s="166">
        <v>1.48</v>
      </c>
      <c r="Y225" s="166"/>
      <c r="Z225" s="166">
        <v>1.48</v>
      </c>
      <c r="AA225" s="156"/>
      <c r="AB225" s="198"/>
      <c r="AC225" s="198">
        <v>1.48</v>
      </c>
      <c r="AD225" s="198"/>
      <c r="AE225" s="166"/>
      <c r="AF225" s="191"/>
      <c r="AG225" s="156"/>
      <c r="AH225" s="49" t="s">
        <v>413</v>
      </c>
      <c r="AI225" s="98"/>
      <c r="AJ225" s="98"/>
      <c r="AK225" s="98"/>
      <c r="AL225" s="98" t="s">
        <v>128</v>
      </c>
      <c r="AM225" s="98"/>
    </row>
    <row r="226" spans="1:41" ht="31" x14ac:dyDescent="0.6">
      <c r="A226" s="145">
        <v>986400</v>
      </c>
      <c r="B226" s="146" t="s">
        <v>588</v>
      </c>
      <c r="C226" s="144">
        <v>13</v>
      </c>
      <c r="D226" s="158"/>
      <c r="E226" s="158"/>
      <c r="F226" s="247">
        <v>1.59</v>
      </c>
      <c r="G226" s="247">
        <v>1.98</v>
      </c>
      <c r="H226" s="266" t="s">
        <v>51</v>
      </c>
      <c r="I226" s="248" t="s">
        <v>52</v>
      </c>
      <c r="J226" s="248"/>
      <c r="K226" s="247">
        <v>1.59</v>
      </c>
      <c r="L226" s="247">
        <v>1.98</v>
      </c>
      <c r="M226" s="247">
        <v>1.59</v>
      </c>
      <c r="N226" s="247">
        <v>1.98</v>
      </c>
      <c r="O226" s="247">
        <v>1.59</v>
      </c>
      <c r="P226" s="247">
        <v>1.98</v>
      </c>
      <c r="Q226" s="249"/>
      <c r="R226" s="157"/>
      <c r="S226" s="157">
        <v>1.98</v>
      </c>
      <c r="T226" s="166"/>
      <c r="U226" s="158"/>
      <c r="V226" s="155"/>
      <c r="W226" s="157"/>
      <c r="X226" s="157">
        <v>1.98</v>
      </c>
      <c r="Y226" s="157"/>
      <c r="Z226" s="157">
        <v>1.98</v>
      </c>
      <c r="AA226" s="156"/>
      <c r="AB226" s="154"/>
      <c r="AC226" s="154">
        <v>1.98</v>
      </c>
      <c r="AD226" s="166"/>
      <c r="AE226" s="158"/>
      <c r="AF226" s="155"/>
      <c r="AG226" s="156"/>
      <c r="AH226" s="49" t="s">
        <v>414</v>
      </c>
      <c r="AI226" s="98" t="s">
        <v>791</v>
      </c>
      <c r="AJ226" s="98"/>
      <c r="AK226" s="98"/>
      <c r="AL226" s="98" t="s">
        <v>128</v>
      </c>
      <c r="AM226" s="98"/>
      <c r="AO226" s="51"/>
    </row>
    <row r="227" spans="1:41" ht="31" x14ac:dyDescent="0.6">
      <c r="A227" s="297">
        <v>986405</v>
      </c>
      <c r="B227" s="298" t="s">
        <v>710</v>
      </c>
      <c r="C227" s="166">
        <v>6</v>
      </c>
      <c r="D227" s="158"/>
      <c r="E227" s="158"/>
      <c r="F227" s="154"/>
      <c r="G227" s="154">
        <v>3.98</v>
      </c>
      <c r="H227" s="191"/>
      <c r="I227" s="155"/>
      <c r="J227" s="155"/>
      <c r="K227" s="154"/>
      <c r="L227" s="154">
        <v>4.99</v>
      </c>
      <c r="M227" s="154"/>
      <c r="N227" s="154">
        <v>4.99</v>
      </c>
      <c r="O227" s="154"/>
      <c r="P227" s="154">
        <v>4.99</v>
      </c>
      <c r="Q227" s="156"/>
      <c r="R227" s="157"/>
      <c r="S227" s="157">
        <v>3.98</v>
      </c>
      <c r="T227" s="198"/>
      <c r="U227" s="158"/>
      <c r="V227" s="155"/>
      <c r="W227" s="159"/>
      <c r="X227" s="157">
        <v>3.98</v>
      </c>
      <c r="Y227" s="159"/>
      <c r="Z227" s="157">
        <v>3.98</v>
      </c>
      <c r="AA227" s="156"/>
      <c r="AB227" s="154"/>
      <c r="AC227" s="154">
        <v>3.98</v>
      </c>
      <c r="AD227" s="198" t="s">
        <v>712</v>
      </c>
      <c r="AE227" s="158" t="s">
        <v>479</v>
      </c>
      <c r="AF227" s="155"/>
      <c r="AG227" s="156"/>
      <c r="AH227" s="49" t="s">
        <v>414</v>
      </c>
      <c r="AI227" s="98"/>
      <c r="AJ227" s="98"/>
      <c r="AK227" s="98"/>
      <c r="AL227" s="98"/>
      <c r="AM227" s="98"/>
    </row>
    <row r="228" spans="1:41" ht="31" x14ac:dyDescent="0.6">
      <c r="A228" s="297">
        <v>986480</v>
      </c>
      <c r="B228" s="298" t="s">
        <v>572</v>
      </c>
      <c r="C228" s="166">
        <v>15</v>
      </c>
      <c r="D228" s="158" t="s">
        <v>130</v>
      </c>
      <c r="E228" s="158"/>
      <c r="F228" s="154"/>
      <c r="G228" s="154">
        <v>2.89</v>
      </c>
      <c r="H228" s="191"/>
      <c r="I228" s="155"/>
      <c r="J228" s="155"/>
      <c r="K228" s="154"/>
      <c r="L228" s="154">
        <v>3.19</v>
      </c>
      <c r="M228" s="154"/>
      <c r="N228" s="154">
        <v>3.19</v>
      </c>
      <c r="O228" s="154"/>
      <c r="P228" s="154">
        <v>3.19</v>
      </c>
      <c r="Q228" s="161"/>
      <c r="R228" s="157"/>
      <c r="S228" s="157">
        <v>2.89</v>
      </c>
      <c r="T228" s="166"/>
      <c r="U228" s="158"/>
      <c r="V228" s="155"/>
      <c r="W228" s="159"/>
      <c r="X228" s="157">
        <v>2.89</v>
      </c>
      <c r="Y228" s="159"/>
      <c r="Z228" s="157">
        <v>2.89</v>
      </c>
      <c r="AA228" s="161"/>
      <c r="AB228" s="154"/>
      <c r="AC228" s="154">
        <v>2.89</v>
      </c>
      <c r="AD228" s="166"/>
      <c r="AE228" s="158"/>
      <c r="AF228" s="155"/>
      <c r="AG228" s="156"/>
      <c r="AH228" s="49" t="s">
        <v>414</v>
      </c>
      <c r="AI228" s="98"/>
      <c r="AJ228" s="98"/>
      <c r="AK228" s="98"/>
      <c r="AL228" s="98"/>
      <c r="AM228" s="98"/>
    </row>
    <row r="229" spans="1:41" ht="31" x14ac:dyDescent="0.6">
      <c r="A229" s="297">
        <v>986650</v>
      </c>
      <c r="B229" s="298" t="s">
        <v>106</v>
      </c>
      <c r="C229" s="166">
        <v>12</v>
      </c>
      <c r="D229" s="158" t="s">
        <v>129</v>
      </c>
      <c r="E229" s="158"/>
      <c r="F229" s="154"/>
      <c r="G229" s="154">
        <v>1.39</v>
      </c>
      <c r="H229" s="155"/>
      <c r="I229" s="155"/>
      <c r="J229" s="155"/>
      <c r="K229" s="154"/>
      <c r="L229" s="154">
        <v>1.49</v>
      </c>
      <c r="M229" s="154"/>
      <c r="N229" s="154">
        <v>1.49</v>
      </c>
      <c r="O229" s="154"/>
      <c r="P229" s="154">
        <v>1.49</v>
      </c>
      <c r="Q229" s="156"/>
      <c r="R229" s="157"/>
      <c r="S229" s="157">
        <v>1.39</v>
      </c>
      <c r="T229" s="158"/>
      <c r="U229" s="158"/>
      <c r="V229" s="155"/>
      <c r="W229" s="159"/>
      <c r="X229" s="159">
        <v>1.39</v>
      </c>
      <c r="Y229" s="159"/>
      <c r="Z229" s="159">
        <v>1.39</v>
      </c>
      <c r="AA229" s="156"/>
      <c r="AB229" s="154"/>
      <c r="AC229" s="154">
        <v>1.39</v>
      </c>
      <c r="AD229" s="158"/>
      <c r="AE229" s="158"/>
      <c r="AF229" s="155"/>
      <c r="AG229" s="156"/>
      <c r="AH229" s="49" t="s">
        <v>414</v>
      </c>
      <c r="AI229" s="98"/>
      <c r="AJ229" s="98"/>
      <c r="AK229" s="98"/>
      <c r="AL229" s="98" t="s">
        <v>128</v>
      </c>
      <c r="AM229" s="98"/>
    </row>
    <row r="230" spans="1:41" ht="31" x14ac:dyDescent="0.6">
      <c r="A230" s="297">
        <v>986678</v>
      </c>
      <c r="B230" s="298" t="s">
        <v>585</v>
      </c>
      <c r="C230" s="166">
        <v>12</v>
      </c>
      <c r="D230" s="158"/>
      <c r="E230" s="158"/>
      <c r="F230" s="154"/>
      <c r="G230" s="154">
        <v>2.39</v>
      </c>
      <c r="H230" s="198"/>
      <c r="I230" s="154"/>
      <c r="J230" s="155"/>
      <c r="K230" s="154"/>
      <c r="L230" s="154">
        <v>2.4900000000000002</v>
      </c>
      <c r="M230" s="154"/>
      <c r="N230" s="154">
        <v>2.4900000000000002</v>
      </c>
      <c r="O230" s="154"/>
      <c r="P230" s="154">
        <v>2.4900000000000002</v>
      </c>
      <c r="Q230" s="156"/>
      <c r="R230" s="157"/>
      <c r="S230" s="157">
        <v>2.39</v>
      </c>
      <c r="T230" s="166"/>
      <c r="U230" s="158"/>
      <c r="V230" s="155"/>
      <c r="W230" s="159"/>
      <c r="X230" s="159">
        <v>2.39</v>
      </c>
      <c r="Y230" s="159"/>
      <c r="Z230" s="159">
        <v>2.39</v>
      </c>
      <c r="AA230" s="156"/>
      <c r="AB230" s="154"/>
      <c r="AC230" s="154">
        <v>2.39</v>
      </c>
      <c r="AD230" s="166"/>
      <c r="AE230" s="158"/>
      <c r="AF230" s="155"/>
      <c r="AG230" s="156"/>
      <c r="AH230" s="49" t="s">
        <v>414</v>
      </c>
      <c r="AI230" s="98"/>
      <c r="AJ230" s="98"/>
      <c r="AK230" s="98"/>
      <c r="AL230" s="98"/>
      <c r="AM230" s="98"/>
    </row>
    <row r="231" spans="1:41" ht="31" x14ac:dyDescent="0.6">
      <c r="A231" s="273">
        <v>986730</v>
      </c>
      <c r="B231" s="272" t="s">
        <v>107</v>
      </c>
      <c r="C231" s="158">
        <v>15</v>
      </c>
      <c r="D231" s="158"/>
      <c r="E231" s="158"/>
      <c r="F231" s="154"/>
      <c r="G231" s="154">
        <v>2.4900000000000002</v>
      </c>
      <c r="H231" s="155"/>
      <c r="I231" s="155"/>
      <c r="J231" s="155"/>
      <c r="K231" s="154"/>
      <c r="L231" s="154">
        <v>2.79</v>
      </c>
      <c r="M231" s="154"/>
      <c r="N231" s="154">
        <v>2.79</v>
      </c>
      <c r="O231" s="154"/>
      <c r="P231" s="154">
        <v>2.79</v>
      </c>
      <c r="Q231" s="156"/>
      <c r="R231" s="157"/>
      <c r="S231" s="157">
        <v>2.4900000000000002</v>
      </c>
      <c r="T231" s="158"/>
      <c r="U231" s="158"/>
      <c r="V231" s="155"/>
      <c r="W231" s="159"/>
      <c r="X231" s="159">
        <v>2.4900000000000002</v>
      </c>
      <c r="Y231" s="159"/>
      <c r="Z231" s="159">
        <v>2.4900000000000002</v>
      </c>
      <c r="AA231" s="156"/>
      <c r="AB231" s="154"/>
      <c r="AC231" s="154">
        <v>2.4900000000000002</v>
      </c>
      <c r="AD231" s="158"/>
      <c r="AE231" s="158"/>
      <c r="AF231" s="155"/>
      <c r="AG231" s="156"/>
      <c r="AH231" s="49" t="s">
        <v>414</v>
      </c>
      <c r="AI231" s="98"/>
      <c r="AJ231" s="98"/>
      <c r="AK231" s="98"/>
      <c r="AL231" s="98"/>
      <c r="AM231" s="98"/>
    </row>
    <row r="232" spans="1:41" ht="31" x14ac:dyDescent="0.6">
      <c r="A232" s="297">
        <v>986785</v>
      </c>
      <c r="B232" s="298" t="s">
        <v>99</v>
      </c>
      <c r="C232" s="166">
        <v>12</v>
      </c>
      <c r="D232" s="166"/>
      <c r="E232" s="166"/>
      <c r="F232" s="198"/>
      <c r="G232" s="198">
        <v>3.49</v>
      </c>
      <c r="H232" s="198"/>
      <c r="I232" s="198"/>
      <c r="J232" s="191"/>
      <c r="K232" s="198"/>
      <c r="L232" s="198">
        <v>3.49</v>
      </c>
      <c r="M232" s="198"/>
      <c r="N232" s="198">
        <v>3.49</v>
      </c>
      <c r="O232" s="198"/>
      <c r="P232" s="198">
        <v>3.49</v>
      </c>
      <c r="Q232" s="156"/>
      <c r="R232" s="198"/>
      <c r="S232" s="198">
        <v>3.49</v>
      </c>
      <c r="T232" s="198"/>
      <c r="U232" s="166"/>
      <c r="V232" s="191"/>
      <c r="W232" s="159"/>
      <c r="X232" s="159">
        <v>3.49</v>
      </c>
      <c r="Y232" s="159"/>
      <c r="Z232" s="159">
        <v>3.49</v>
      </c>
      <c r="AA232" s="156"/>
      <c r="AB232" s="198"/>
      <c r="AC232" s="198">
        <v>3.49</v>
      </c>
      <c r="AD232" s="198"/>
      <c r="AE232" s="166"/>
      <c r="AF232" s="191"/>
      <c r="AG232" s="156"/>
      <c r="AH232" s="49" t="s">
        <v>414</v>
      </c>
      <c r="AI232" s="66"/>
      <c r="AJ232" s="66"/>
      <c r="AK232" s="66"/>
      <c r="AL232" s="66"/>
      <c r="AM232" s="66"/>
    </row>
    <row r="233" spans="1:41" ht="31" x14ac:dyDescent="0.6">
      <c r="A233" s="297">
        <v>986810</v>
      </c>
      <c r="B233" s="298" t="s">
        <v>108</v>
      </c>
      <c r="C233" s="166">
        <v>9</v>
      </c>
      <c r="D233" s="158"/>
      <c r="E233" s="158"/>
      <c r="F233" s="154"/>
      <c r="G233" s="154">
        <v>3.98</v>
      </c>
      <c r="H233" s="155"/>
      <c r="I233" s="156"/>
      <c r="J233" s="155"/>
      <c r="K233" s="154"/>
      <c r="L233" s="154">
        <v>4.1900000000000004</v>
      </c>
      <c r="M233" s="154"/>
      <c r="N233" s="154">
        <v>4.1900000000000004</v>
      </c>
      <c r="O233" s="154"/>
      <c r="P233" s="154">
        <v>4.1900000000000004</v>
      </c>
      <c r="Q233" s="156"/>
      <c r="R233" s="154"/>
      <c r="S233" s="154">
        <v>3.98</v>
      </c>
      <c r="T233" s="158"/>
      <c r="U233" s="159"/>
      <c r="V233" s="155"/>
      <c r="W233" s="159"/>
      <c r="X233" s="157">
        <v>3.98</v>
      </c>
      <c r="Y233" s="159"/>
      <c r="Z233" s="157">
        <v>3.98</v>
      </c>
      <c r="AA233" s="156"/>
      <c r="AB233" s="154"/>
      <c r="AC233" s="154">
        <v>3.98</v>
      </c>
      <c r="AD233" s="158"/>
      <c r="AE233" s="159"/>
      <c r="AF233" s="155"/>
      <c r="AG233" s="156"/>
      <c r="AH233" s="49" t="s">
        <v>414</v>
      </c>
      <c r="AI233" s="98"/>
      <c r="AJ233" s="98"/>
      <c r="AK233" s="98"/>
      <c r="AL233" s="98"/>
      <c r="AM233" s="98"/>
    </row>
    <row r="234" spans="1:41" ht="31" x14ac:dyDescent="0.6">
      <c r="A234" s="297">
        <v>986811</v>
      </c>
      <c r="B234" s="298" t="s">
        <v>731</v>
      </c>
      <c r="C234" s="166">
        <v>20</v>
      </c>
      <c r="D234" s="166"/>
      <c r="E234" s="166"/>
      <c r="F234" s="198"/>
      <c r="G234" s="198">
        <v>2.99</v>
      </c>
      <c r="H234" s="198"/>
      <c r="I234" s="159"/>
      <c r="J234" s="191"/>
      <c r="K234" s="198"/>
      <c r="L234" s="198">
        <v>2.99</v>
      </c>
      <c r="M234" s="198"/>
      <c r="N234" s="198">
        <v>2.99</v>
      </c>
      <c r="O234" s="198"/>
      <c r="P234" s="198">
        <v>2.99</v>
      </c>
      <c r="Q234" s="156"/>
      <c r="R234" s="166"/>
      <c r="S234" s="166">
        <v>2.99</v>
      </c>
      <c r="T234" s="198" t="s">
        <v>712</v>
      </c>
      <c r="U234" s="159" t="s">
        <v>479</v>
      </c>
      <c r="V234" s="191"/>
      <c r="W234" s="166"/>
      <c r="X234" s="159">
        <v>2.99</v>
      </c>
      <c r="Y234" s="166"/>
      <c r="Z234" s="159">
        <v>2.99</v>
      </c>
      <c r="AA234" s="156"/>
      <c r="AB234" s="198"/>
      <c r="AC234" s="198">
        <v>2.99</v>
      </c>
      <c r="AD234" s="157" t="s">
        <v>712</v>
      </c>
      <c r="AE234" s="159" t="s">
        <v>479</v>
      </c>
      <c r="AF234" s="191"/>
      <c r="AG234" s="156"/>
      <c r="AH234" s="49" t="s">
        <v>414</v>
      </c>
      <c r="AI234" s="66"/>
      <c r="AJ234" s="66"/>
      <c r="AK234" s="66"/>
      <c r="AL234" s="66"/>
      <c r="AM234" s="66"/>
    </row>
    <row r="235" spans="1:41" ht="31" x14ac:dyDescent="0.6">
      <c r="A235" s="297">
        <v>986890</v>
      </c>
      <c r="B235" s="298" t="s">
        <v>109</v>
      </c>
      <c r="C235" s="166">
        <v>10</v>
      </c>
      <c r="D235" s="231"/>
      <c r="E235" s="231"/>
      <c r="F235" s="198"/>
      <c r="G235" s="198">
        <v>3.28</v>
      </c>
      <c r="H235" s="166"/>
      <c r="I235" s="166"/>
      <c r="J235" s="191"/>
      <c r="K235" s="198"/>
      <c r="L235" s="198">
        <v>3.59</v>
      </c>
      <c r="M235" s="198"/>
      <c r="N235" s="198">
        <v>3.59</v>
      </c>
      <c r="O235" s="198"/>
      <c r="P235" s="198">
        <v>3.59</v>
      </c>
      <c r="Q235" s="156"/>
      <c r="R235" s="198"/>
      <c r="S235" s="166">
        <v>3.28</v>
      </c>
      <c r="T235" s="166"/>
      <c r="U235" s="166"/>
      <c r="V235" s="191"/>
      <c r="W235" s="198"/>
      <c r="X235" s="166">
        <v>3.28</v>
      </c>
      <c r="Y235" s="198"/>
      <c r="Z235" s="166">
        <v>3.28</v>
      </c>
      <c r="AA235" s="156"/>
      <c r="AB235" s="198"/>
      <c r="AC235" s="198">
        <v>3.28</v>
      </c>
      <c r="AD235" s="166"/>
      <c r="AE235" s="166"/>
      <c r="AF235" s="191"/>
      <c r="AG235" s="156"/>
      <c r="AH235" s="49" t="s">
        <v>414</v>
      </c>
      <c r="AI235" s="88"/>
      <c r="AJ235" s="88"/>
      <c r="AK235" s="88"/>
      <c r="AL235" s="88"/>
      <c r="AM235" s="88"/>
    </row>
    <row r="236" spans="1:41" ht="31" x14ac:dyDescent="0.6">
      <c r="A236" s="297">
        <v>986915</v>
      </c>
      <c r="B236" s="298" t="s">
        <v>110</v>
      </c>
      <c r="C236" s="166">
        <v>10</v>
      </c>
      <c r="D236" s="231"/>
      <c r="E236" s="231"/>
      <c r="F236" s="232"/>
      <c r="G236" s="232">
        <v>2.98</v>
      </c>
      <c r="H236" s="231"/>
      <c r="I236" s="159"/>
      <c r="J236" s="196"/>
      <c r="K236" s="232"/>
      <c r="L236" s="232">
        <v>3.19</v>
      </c>
      <c r="M236" s="232"/>
      <c r="N236" s="232">
        <v>3.19</v>
      </c>
      <c r="O236" s="232"/>
      <c r="P236" s="232">
        <v>3.19</v>
      </c>
      <c r="Q236" s="156"/>
      <c r="R236" s="232"/>
      <c r="S236" s="232">
        <v>2.98</v>
      </c>
      <c r="T236" s="231"/>
      <c r="U236" s="159"/>
      <c r="V236" s="196"/>
      <c r="W236" s="159"/>
      <c r="X236" s="159">
        <v>2.98</v>
      </c>
      <c r="Y236" s="159"/>
      <c r="Z236" s="159">
        <v>2.98</v>
      </c>
      <c r="AA236" s="156"/>
      <c r="AB236" s="154"/>
      <c r="AC236" s="154">
        <v>2.98</v>
      </c>
      <c r="AD236" s="231"/>
      <c r="AE236" s="159"/>
      <c r="AF236" s="155"/>
      <c r="AG236" s="156"/>
      <c r="AH236" s="49" t="s">
        <v>414</v>
      </c>
      <c r="AI236" s="88"/>
      <c r="AJ236" s="88"/>
      <c r="AK236" s="88"/>
      <c r="AL236" s="88"/>
      <c r="AM236" s="88"/>
    </row>
    <row r="237" spans="1:41" ht="31" x14ac:dyDescent="0.6">
      <c r="A237" s="297">
        <v>986973</v>
      </c>
      <c r="B237" s="298" t="s">
        <v>111</v>
      </c>
      <c r="C237" s="166">
        <v>15</v>
      </c>
      <c r="D237" s="166" t="s">
        <v>130</v>
      </c>
      <c r="E237" s="166"/>
      <c r="F237" s="198"/>
      <c r="G237" s="198"/>
      <c r="H237" s="166" t="s">
        <v>6</v>
      </c>
      <c r="I237" s="159" t="s">
        <v>7</v>
      </c>
      <c r="J237" s="191">
        <v>44824</v>
      </c>
      <c r="K237" s="198"/>
      <c r="L237" s="198"/>
      <c r="M237" s="198"/>
      <c r="N237" s="198"/>
      <c r="O237" s="198"/>
      <c r="P237" s="198"/>
      <c r="Q237" s="156"/>
      <c r="R237" s="198"/>
      <c r="S237" s="198"/>
      <c r="T237" s="166" t="s">
        <v>6</v>
      </c>
      <c r="U237" s="159" t="s">
        <v>7</v>
      </c>
      <c r="V237" s="191">
        <v>44824</v>
      </c>
      <c r="W237" s="159"/>
      <c r="X237" s="159"/>
      <c r="Y237" s="159"/>
      <c r="Z237" s="159"/>
      <c r="AA237" s="191"/>
      <c r="AB237" s="198"/>
      <c r="AC237" s="198"/>
      <c r="AD237" s="166" t="s">
        <v>6</v>
      </c>
      <c r="AE237" s="159" t="s">
        <v>7</v>
      </c>
      <c r="AF237" s="191">
        <v>44824</v>
      </c>
      <c r="AG237" s="191"/>
      <c r="AH237" s="49" t="s">
        <v>414</v>
      </c>
      <c r="AI237" s="66"/>
      <c r="AJ237" s="66"/>
      <c r="AK237" s="66"/>
      <c r="AL237" s="66" t="s">
        <v>128</v>
      </c>
      <c r="AM237" s="66"/>
    </row>
    <row r="238" spans="1:41" ht="31" x14ac:dyDescent="0.6">
      <c r="A238" s="297">
        <v>986974</v>
      </c>
      <c r="B238" s="298" t="s">
        <v>578</v>
      </c>
      <c r="C238" s="166">
        <v>12</v>
      </c>
      <c r="D238" s="233"/>
      <c r="E238" s="233"/>
      <c r="F238" s="234"/>
      <c r="G238" s="234">
        <v>3.29</v>
      </c>
      <c r="H238" s="234"/>
      <c r="I238" s="159"/>
      <c r="J238" s="235"/>
      <c r="K238" s="234"/>
      <c r="L238" s="234">
        <v>3.29</v>
      </c>
      <c r="M238" s="234"/>
      <c r="N238" s="234">
        <v>3.29</v>
      </c>
      <c r="O238" s="234"/>
      <c r="P238" s="234">
        <v>3.29</v>
      </c>
      <c r="Q238" s="156"/>
      <c r="R238" s="233"/>
      <c r="S238" s="233">
        <v>3.29</v>
      </c>
      <c r="T238" s="234"/>
      <c r="U238" s="233"/>
      <c r="V238" s="235"/>
      <c r="W238" s="159"/>
      <c r="X238" s="233">
        <v>3.29</v>
      </c>
      <c r="Y238" s="159"/>
      <c r="Z238" s="233">
        <v>3.29</v>
      </c>
      <c r="AA238" s="156"/>
      <c r="AB238" s="234"/>
      <c r="AC238" s="234">
        <v>3.29</v>
      </c>
      <c r="AD238" s="234"/>
      <c r="AE238" s="233"/>
      <c r="AF238" s="235"/>
      <c r="AG238" s="156"/>
      <c r="AH238" s="49" t="s">
        <v>414</v>
      </c>
      <c r="AI238" s="82"/>
      <c r="AJ238" s="82"/>
      <c r="AK238" s="82"/>
      <c r="AL238" s="82"/>
      <c r="AM238" s="82"/>
    </row>
    <row r="239" spans="1:41" ht="31" x14ac:dyDescent="0.6">
      <c r="A239" s="297">
        <v>986975</v>
      </c>
      <c r="B239" s="298" t="s">
        <v>112</v>
      </c>
      <c r="C239" s="166">
        <v>6</v>
      </c>
      <c r="D239" s="236"/>
      <c r="E239" s="236"/>
      <c r="F239" s="237"/>
      <c r="G239" s="237">
        <v>6.49</v>
      </c>
      <c r="H239" s="236"/>
      <c r="I239" s="159"/>
      <c r="J239" s="238"/>
      <c r="K239" s="237"/>
      <c r="L239" s="237">
        <v>6.49</v>
      </c>
      <c r="M239" s="237"/>
      <c r="N239" s="237">
        <v>6.49</v>
      </c>
      <c r="O239" s="237"/>
      <c r="P239" s="237">
        <v>6.49</v>
      </c>
      <c r="Q239" s="156"/>
      <c r="R239" s="237"/>
      <c r="S239" s="237">
        <v>5.99</v>
      </c>
      <c r="T239" s="236"/>
      <c r="U239" s="236"/>
      <c r="V239" s="238"/>
      <c r="W239" s="159"/>
      <c r="X239" s="236">
        <v>5.99</v>
      </c>
      <c r="Y239" s="159"/>
      <c r="Z239" s="236">
        <v>5.99</v>
      </c>
      <c r="AA239" s="156"/>
      <c r="AB239" s="237"/>
      <c r="AC239" s="237">
        <v>5.99</v>
      </c>
      <c r="AD239" s="236"/>
      <c r="AE239" s="236"/>
      <c r="AF239" s="238"/>
      <c r="AG239" s="156"/>
      <c r="AH239" s="49" t="s">
        <v>414</v>
      </c>
      <c r="AI239" s="80"/>
      <c r="AJ239" s="80"/>
      <c r="AK239" s="80"/>
      <c r="AL239" s="80"/>
      <c r="AM239" s="80"/>
    </row>
    <row r="240" spans="1:41" ht="31" x14ac:dyDescent="0.6">
      <c r="A240" s="297">
        <v>987060</v>
      </c>
      <c r="B240" s="298" t="s">
        <v>614</v>
      </c>
      <c r="C240" s="166">
        <v>15</v>
      </c>
      <c r="D240" s="158"/>
      <c r="E240" s="158"/>
      <c r="F240" s="154"/>
      <c r="G240" s="154">
        <v>1.88</v>
      </c>
      <c r="H240" s="154" t="s">
        <v>712</v>
      </c>
      <c r="I240" s="157" t="s">
        <v>479</v>
      </c>
      <c r="J240" s="155"/>
      <c r="K240" s="154"/>
      <c r="L240" s="154">
        <v>1.88</v>
      </c>
      <c r="M240" s="154"/>
      <c r="N240" s="154">
        <v>1.88</v>
      </c>
      <c r="O240" s="154"/>
      <c r="P240" s="154">
        <v>1.88</v>
      </c>
      <c r="Q240" s="156"/>
      <c r="R240" s="154"/>
      <c r="S240" s="154">
        <v>1.88</v>
      </c>
      <c r="T240" s="158" t="s">
        <v>712</v>
      </c>
      <c r="U240" s="158" t="s">
        <v>479</v>
      </c>
      <c r="V240" s="155"/>
      <c r="W240" s="159"/>
      <c r="X240" s="158">
        <v>1.88</v>
      </c>
      <c r="Y240" s="159"/>
      <c r="Z240" s="158">
        <v>1.88</v>
      </c>
      <c r="AA240" s="156"/>
      <c r="AB240" s="154"/>
      <c r="AC240" s="154">
        <v>1.88</v>
      </c>
      <c r="AD240" s="166"/>
      <c r="AE240" s="158"/>
      <c r="AF240" s="155"/>
      <c r="AG240" s="156"/>
      <c r="AH240" s="49" t="s">
        <v>414</v>
      </c>
      <c r="AI240" s="98"/>
      <c r="AJ240" s="98"/>
      <c r="AK240" s="98"/>
      <c r="AL240" s="98"/>
      <c r="AM240" s="98"/>
    </row>
    <row r="241" spans="1:41" ht="31" x14ac:dyDescent="0.6">
      <c r="A241" s="273">
        <v>983451</v>
      </c>
      <c r="B241" s="272" t="s">
        <v>452</v>
      </c>
      <c r="C241" s="158">
        <v>40</v>
      </c>
      <c r="D241" s="158"/>
      <c r="E241" s="158"/>
      <c r="F241" s="154"/>
      <c r="G241" s="198">
        <v>0.92</v>
      </c>
      <c r="H241" s="191"/>
      <c r="I241" s="166"/>
      <c r="J241" s="155"/>
      <c r="K241" s="154"/>
      <c r="L241" s="198">
        <v>1.29</v>
      </c>
      <c r="M241" s="198"/>
      <c r="N241" s="198">
        <v>1.29</v>
      </c>
      <c r="O241" s="198"/>
      <c r="P241" s="198">
        <v>1.29</v>
      </c>
      <c r="Q241" s="156"/>
      <c r="R241" s="154"/>
      <c r="S241" s="198">
        <v>0.92</v>
      </c>
      <c r="T241" s="191"/>
      <c r="U241" s="166"/>
      <c r="V241" s="155"/>
      <c r="W241" s="159"/>
      <c r="X241" s="159">
        <v>0.92</v>
      </c>
      <c r="Y241" s="159"/>
      <c r="Z241" s="159">
        <v>0.92</v>
      </c>
      <c r="AA241" s="156"/>
      <c r="AB241" s="154"/>
      <c r="AC241" s="198">
        <v>0.92</v>
      </c>
      <c r="AD241" s="191"/>
      <c r="AE241" s="166"/>
      <c r="AF241" s="155"/>
      <c r="AG241" s="156"/>
      <c r="AH241" s="49" t="s">
        <v>408</v>
      </c>
      <c r="AI241" s="98"/>
      <c r="AJ241" s="98"/>
      <c r="AK241" s="98"/>
      <c r="AL241" s="98" t="s">
        <v>128</v>
      </c>
      <c r="AM241" s="98"/>
    </row>
    <row r="242" spans="1:41" ht="31" x14ac:dyDescent="0.6">
      <c r="A242" s="273">
        <v>983470</v>
      </c>
      <c r="B242" s="272" t="s">
        <v>713</v>
      </c>
      <c r="C242" s="158">
        <v>15</v>
      </c>
      <c r="D242" s="154"/>
      <c r="E242" s="154"/>
      <c r="F242" s="154"/>
      <c r="G242" s="198">
        <v>3.98</v>
      </c>
      <c r="H242" s="191"/>
      <c r="I242" s="191"/>
      <c r="J242" s="155"/>
      <c r="K242" s="154"/>
      <c r="L242" s="198">
        <v>4.49</v>
      </c>
      <c r="M242" s="198"/>
      <c r="N242" s="198">
        <v>4.49</v>
      </c>
      <c r="O242" s="198"/>
      <c r="P242" s="198">
        <v>4.49</v>
      </c>
      <c r="Q242" s="157"/>
      <c r="R242" s="154"/>
      <c r="S242" s="198">
        <v>3.98</v>
      </c>
      <c r="T242" s="191"/>
      <c r="U242" s="191"/>
      <c r="V242" s="155"/>
      <c r="W242" s="159"/>
      <c r="X242" s="157">
        <v>3.98</v>
      </c>
      <c r="Y242" s="159"/>
      <c r="Z242" s="157">
        <v>3.98</v>
      </c>
      <c r="AA242" s="157"/>
      <c r="AB242" s="154"/>
      <c r="AC242" s="198">
        <v>3.98</v>
      </c>
      <c r="AD242" s="191"/>
      <c r="AE242" s="191"/>
      <c r="AF242" s="155"/>
      <c r="AG242" s="157"/>
      <c r="AH242" s="49" t="s">
        <v>408</v>
      </c>
      <c r="AI242" s="98"/>
      <c r="AJ242" s="98"/>
      <c r="AK242" s="98"/>
      <c r="AL242" s="98"/>
      <c r="AM242" s="98"/>
    </row>
    <row r="243" spans="1:41" ht="31" x14ac:dyDescent="0.6">
      <c r="A243" s="297">
        <v>983501</v>
      </c>
      <c r="B243" s="298" t="s">
        <v>98</v>
      </c>
      <c r="C243" s="166">
        <v>9</v>
      </c>
      <c r="D243" s="166"/>
      <c r="E243" s="166"/>
      <c r="F243" s="198"/>
      <c r="G243" s="198">
        <v>4.6900000000000004</v>
      </c>
      <c r="H243" s="198"/>
      <c r="I243" s="191"/>
      <c r="J243" s="191"/>
      <c r="K243" s="198"/>
      <c r="L243" s="198">
        <v>5.99</v>
      </c>
      <c r="M243" s="198"/>
      <c r="N243" s="198">
        <v>5.99</v>
      </c>
      <c r="O243" s="198"/>
      <c r="P243" s="198">
        <v>5.99</v>
      </c>
      <c r="Q243" s="157"/>
      <c r="R243" s="198"/>
      <c r="S243" s="198">
        <v>4.6900000000000004</v>
      </c>
      <c r="T243" s="198"/>
      <c r="U243" s="156"/>
      <c r="V243" s="191"/>
      <c r="W243" s="159"/>
      <c r="X243" s="157">
        <v>4.6900000000000004</v>
      </c>
      <c r="Y243" s="159"/>
      <c r="Z243" s="157">
        <v>4.6900000000000004</v>
      </c>
      <c r="AA243" s="157"/>
      <c r="AB243" s="198"/>
      <c r="AC243" s="198">
        <v>4.6900000000000004</v>
      </c>
      <c r="AD243" s="198"/>
      <c r="AE243" s="156"/>
      <c r="AF243" s="191"/>
      <c r="AG243" s="157"/>
      <c r="AH243" s="49" t="s">
        <v>408</v>
      </c>
      <c r="AI243" s="66"/>
      <c r="AJ243" s="66"/>
      <c r="AK243" s="66"/>
      <c r="AL243" s="66" t="s">
        <v>128</v>
      </c>
      <c r="AM243" s="66"/>
    </row>
    <row r="244" spans="1:41" ht="31" x14ac:dyDescent="0.6">
      <c r="A244" s="297">
        <v>987110</v>
      </c>
      <c r="B244" s="298" t="s">
        <v>113</v>
      </c>
      <c r="C244" s="166">
        <v>12</v>
      </c>
      <c r="D244" s="166"/>
      <c r="E244" s="166"/>
      <c r="F244" s="198"/>
      <c r="G244" s="198">
        <v>2.99</v>
      </c>
      <c r="H244" s="198"/>
      <c r="I244" s="157"/>
      <c r="J244" s="191"/>
      <c r="K244" s="198"/>
      <c r="L244" s="198">
        <v>3.19</v>
      </c>
      <c r="M244" s="198"/>
      <c r="N244" s="198">
        <v>3.19</v>
      </c>
      <c r="O244" s="198"/>
      <c r="P244" s="198">
        <v>3.19</v>
      </c>
      <c r="Q244" s="156"/>
      <c r="R244" s="198"/>
      <c r="S244" s="198">
        <v>2.99</v>
      </c>
      <c r="T244" s="166"/>
      <c r="U244" s="159"/>
      <c r="V244" s="191"/>
      <c r="W244" s="159"/>
      <c r="X244" s="159">
        <v>2.99</v>
      </c>
      <c r="Y244" s="159"/>
      <c r="Z244" s="159">
        <v>2.99</v>
      </c>
      <c r="AA244" s="156"/>
      <c r="AB244" s="198"/>
      <c r="AC244" s="198">
        <v>2.99</v>
      </c>
      <c r="AD244" s="166"/>
      <c r="AE244" s="159"/>
      <c r="AF244" s="191"/>
      <c r="AG244" s="156"/>
      <c r="AH244" s="49" t="s">
        <v>415</v>
      </c>
      <c r="AI244" s="66"/>
      <c r="AJ244" s="66"/>
      <c r="AK244" s="66"/>
      <c r="AL244" s="66"/>
      <c r="AM244" s="66"/>
    </row>
    <row r="245" spans="1:41" ht="31" x14ac:dyDescent="0.6">
      <c r="A245" s="297">
        <v>987211</v>
      </c>
      <c r="B245" s="298" t="s">
        <v>23</v>
      </c>
      <c r="C245" s="166">
        <v>8</v>
      </c>
      <c r="D245" s="166"/>
      <c r="E245" s="166"/>
      <c r="F245" s="198"/>
      <c r="G245" s="198">
        <v>2.39</v>
      </c>
      <c r="H245" s="166"/>
      <c r="I245" s="166"/>
      <c r="J245" s="191"/>
      <c r="K245" s="198"/>
      <c r="L245" s="198">
        <v>2.69</v>
      </c>
      <c r="M245" s="198"/>
      <c r="N245" s="198">
        <v>2.69</v>
      </c>
      <c r="O245" s="198"/>
      <c r="P245" s="198">
        <v>2.69</v>
      </c>
      <c r="Q245" s="191"/>
      <c r="R245" s="198"/>
      <c r="S245" s="198">
        <v>2.39</v>
      </c>
      <c r="T245" s="166"/>
      <c r="U245" s="166"/>
      <c r="V245" s="191"/>
      <c r="W245" s="159"/>
      <c r="X245" s="159">
        <v>2.39</v>
      </c>
      <c r="Y245" s="159"/>
      <c r="Z245" s="159">
        <v>2.39</v>
      </c>
      <c r="AA245" s="191"/>
      <c r="AB245" s="198"/>
      <c r="AC245" s="198">
        <v>2.39</v>
      </c>
      <c r="AD245" s="166"/>
      <c r="AE245" s="166"/>
      <c r="AF245" s="191"/>
      <c r="AG245" s="191"/>
      <c r="AH245" s="49" t="s">
        <v>415</v>
      </c>
      <c r="AI245" s="66"/>
      <c r="AJ245" s="66"/>
      <c r="AK245" s="66"/>
      <c r="AL245" s="66" t="s">
        <v>128</v>
      </c>
      <c r="AM245" s="66"/>
    </row>
    <row r="246" spans="1:41" ht="31" x14ac:dyDescent="0.6">
      <c r="A246" s="297">
        <v>987260</v>
      </c>
      <c r="B246" s="298" t="s">
        <v>114</v>
      </c>
      <c r="C246" s="166">
        <v>8</v>
      </c>
      <c r="D246" s="166"/>
      <c r="E246" s="166"/>
      <c r="F246" s="198"/>
      <c r="G246" s="198">
        <v>3.52</v>
      </c>
      <c r="H246" s="166"/>
      <c r="I246" s="159"/>
      <c r="J246" s="191"/>
      <c r="K246" s="198"/>
      <c r="L246" s="198">
        <v>3.99</v>
      </c>
      <c r="M246" s="198"/>
      <c r="N246" s="198">
        <v>3.99</v>
      </c>
      <c r="O246" s="198"/>
      <c r="P246" s="198">
        <v>3.99</v>
      </c>
      <c r="Q246" s="156"/>
      <c r="R246" s="198"/>
      <c r="S246" s="198">
        <v>3.52</v>
      </c>
      <c r="T246" s="166"/>
      <c r="U246" s="159"/>
      <c r="V246" s="191"/>
      <c r="W246" s="159"/>
      <c r="X246" s="159">
        <v>3.52</v>
      </c>
      <c r="Y246" s="159"/>
      <c r="Z246" s="159">
        <v>3.52</v>
      </c>
      <c r="AA246" s="191"/>
      <c r="AB246" s="198"/>
      <c r="AC246" s="198">
        <v>3.52</v>
      </c>
      <c r="AD246" s="166"/>
      <c r="AE246" s="159"/>
      <c r="AF246" s="191"/>
      <c r="AG246" s="156"/>
      <c r="AH246" s="49" t="s">
        <v>415</v>
      </c>
      <c r="AI246" s="66"/>
      <c r="AJ246" s="66"/>
      <c r="AK246" s="66"/>
      <c r="AL246" s="66" t="s">
        <v>128</v>
      </c>
      <c r="AM246" s="66"/>
      <c r="AO246" s="51"/>
    </row>
    <row r="247" spans="1:41" ht="31" x14ac:dyDescent="0.6">
      <c r="A247" s="297">
        <v>987261</v>
      </c>
      <c r="B247" s="298" t="s">
        <v>115</v>
      </c>
      <c r="C247" s="166">
        <v>10</v>
      </c>
      <c r="D247" s="158"/>
      <c r="E247" s="158"/>
      <c r="F247" s="154"/>
      <c r="G247" s="154">
        <v>3.49</v>
      </c>
      <c r="H247" s="191"/>
      <c r="I247" s="156"/>
      <c r="J247" s="155"/>
      <c r="K247" s="154"/>
      <c r="L247" s="154">
        <v>3.79</v>
      </c>
      <c r="M247" s="154"/>
      <c r="N247" s="154">
        <v>3.79</v>
      </c>
      <c r="O247" s="154"/>
      <c r="P247" s="154">
        <v>3.79</v>
      </c>
      <c r="Q247" s="156"/>
      <c r="R247" s="154"/>
      <c r="S247" s="154">
        <v>3.49</v>
      </c>
      <c r="T247" s="166"/>
      <c r="U247" s="159"/>
      <c r="V247" s="155"/>
      <c r="W247" s="159"/>
      <c r="X247" s="159">
        <v>3.49</v>
      </c>
      <c r="Y247" s="159"/>
      <c r="Z247" s="159">
        <v>3.49</v>
      </c>
      <c r="AA247" s="156"/>
      <c r="AB247" s="154"/>
      <c r="AC247" s="154">
        <v>3.49</v>
      </c>
      <c r="AD247" s="166"/>
      <c r="AE247" s="159"/>
      <c r="AF247" s="155"/>
      <c r="AG247" s="156"/>
      <c r="AH247" s="49" t="s">
        <v>415</v>
      </c>
      <c r="AI247" s="98"/>
      <c r="AJ247" s="98"/>
      <c r="AK247" s="98"/>
      <c r="AL247" s="98"/>
      <c r="AM247" s="98"/>
    </row>
    <row r="248" spans="1:41" ht="31" x14ac:dyDescent="0.6">
      <c r="A248" s="297">
        <v>987268</v>
      </c>
      <c r="B248" s="298" t="s">
        <v>574</v>
      </c>
      <c r="C248" s="166" t="s">
        <v>665</v>
      </c>
      <c r="D248" s="166"/>
      <c r="E248" s="166"/>
      <c r="F248" s="198"/>
      <c r="G248" s="198">
        <v>1.99</v>
      </c>
      <c r="H248" s="166"/>
      <c r="I248" s="159"/>
      <c r="J248" s="191"/>
      <c r="K248" s="198"/>
      <c r="L248" s="198">
        <v>1.99</v>
      </c>
      <c r="M248" s="198"/>
      <c r="N248" s="198">
        <v>1.99</v>
      </c>
      <c r="O248" s="198"/>
      <c r="P248" s="198">
        <v>1.99</v>
      </c>
      <c r="Q248" s="156"/>
      <c r="R248" s="198"/>
      <c r="S248" s="198">
        <v>1.99</v>
      </c>
      <c r="T248" s="166"/>
      <c r="U248" s="159"/>
      <c r="V248" s="191"/>
      <c r="W248" s="159"/>
      <c r="X248" s="159">
        <v>1.99</v>
      </c>
      <c r="Y248" s="159"/>
      <c r="Z248" s="159">
        <v>1.99</v>
      </c>
      <c r="AA248" s="156"/>
      <c r="AB248" s="198"/>
      <c r="AC248" s="198">
        <v>1.99</v>
      </c>
      <c r="AD248" s="166"/>
      <c r="AE248" s="159"/>
      <c r="AF248" s="191"/>
      <c r="AG248" s="156"/>
      <c r="AH248" s="49" t="s">
        <v>415</v>
      </c>
      <c r="AI248" s="66"/>
      <c r="AJ248" s="66"/>
      <c r="AK248" s="66"/>
      <c r="AL248" s="66" t="s">
        <v>128</v>
      </c>
      <c r="AM248" s="66"/>
    </row>
    <row r="249" spans="1:41" ht="31" x14ac:dyDescent="0.6">
      <c r="A249" s="297">
        <v>987290</v>
      </c>
      <c r="B249" s="298" t="s">
        <v>100</v>
      </c>
      <c r="C249" s="166">
        <v>12</v>
      </c>
      <c r="D249" s="231" t="s">
        <v>129</v>
      </c>
      <c r="E249" s="231"/>
      <c r="F249" s="232"/>
      <c r="G249" s="232">
        <v>3.46</v>
      </c>
      <c r="H249" s="191"/>
      <c r="I249" s="156"/>
      <c r="J249" s="196"/>
      <c r="K249" s="232"/>
      <c r="L249" s="232">
        <v>3.89</v>
      </c>
      <c r="M249" s="232"/>
      <c r="N249" s="232">
        <v>3.89</v>
      </c>
      <c r="O249" s="232"/>
      <c r="P249" s="232">
        <v>3.89</v>
      </c>
      <c r="Q249" s="156"/>
      <c r="R249" s="157"/>
      <c r="S249" s="157">
        <v>3.46</v>
      </c>
      <c r="T249" s="166"/>
      <c r="U249" s="159"/>
      <c r="V249" s="196"/>
      <c r="W249" s="159"/>
      <c r="X249" s="157">
        <v>3.46</v>
      </c>
      <c r="Y249" s="159"/>
      <c r="Z249" s="157">
        <v>3.46</v>
      </c>
      <c r="AA249" s="156"/>
      <c r="AB249" s="232"/>
      <c r="AC249" s="232">
        <v>3.46</v>
      </c>
      <c r="AD249" s="166"/>
      <c r="AE249" s="159"/>
      <c r="AF249" s="196"/>
      <c r="AG249" s="156"/>
      <c r="AH249" s="49" t="s">
        <v>415</v>
      </c>
      <c r="AI249" s="66"/>
      <c r="AJ249" s="88"/>
      <c r="AK249" s="88"/>
      <c r="AL249" s="88"/>
      <c r="AM249" s="88"/>
    </row>
    <row r="250" spans="1:41" ht="31" x14ac:dyDescent="0.6">
      <c r="A250" s="297">
        <v>987310</v>
      </c>
      <c r="B250" s="298" t="s">
        <v>116</v>
      </c>
      <c r="C250" s="166">
        <v>12</v>
      </c>
      <c r="D250" s="166"/>
      <c r="E250" s="166"/>
      <c r="F250" s="198"/>
      <c r="G250" s="198">
        <v>2.98</v>
      </c>
      <c r="H250" s="166"/>
      <c r="I250" s="166"/>
      <c r="J250" s="191"/>
      <c r="K250" s="198"/>
      <c r="L250" s="198">
        <v>3.29</v>
      </c>
      <c r="M250" s="198"/>
      <c r="N250" s="198">
        <v>3.29</v>
      </c>
      <c r="O250" s="198"/>
      <c r="P250" s="198">
        <v>3.29</v>
      </c>
      <c r="Q250" s="156"/>
      <c r="R250" s="157"/>
      <c r="S250" s="157">
        <v>2.98</v>
      </c>
      <c r="T250" s="166"/>
      <c r="U250" s="166"/>
      <c r="V250" s="191"/>
      <c r="W250" s="159"/>
      <c r="X250" s="159">
        <v>2.98</v>
      </c>
      <c r="Y250" s="159"/>
      <c r="Z250" s="159">
        <v>2.98</v>
      </c>
      <c r="AA250" s="156"/>
      <c r="AB250" s="198"/>
      <c r="AC250" s="198">
        <v>2.98</v>
      </c>
      <c r="AD250" s="166"/>
      <c r="AE250" s="166"/>
      <c r="AF250" s="191"/>
      <c r="AG250" s="156"/>
      <c r="AH250" s="49" t="s">
        <v>415</v>
      </c>
      <c r="AI250" s="66"/>
      <c r="AJ250" s="66"/>
      <c r="AK250" s="66"/>
      <c r="AL250" s="66"/>
      <c r="AM250" s="66"/>
    </row>
    <row r="251" spans="1:41" ht="31" x14ac:dyDescent="0.6">
      <c r="A251" s="297">
        <v>987345</v>
      </c>
      <c r="B251" s="298" t="s">
        <v>669</v>
      </c>
      <c r="C251" s="166">
        <v>12</v>
      </c>
      <c r="D251" s="158"/>
      <c r="E251" s="158"/>
      <c r="F251" s="154"/>
      <c r="G251" s="154">
        <v>3.46</v>
      </c>
      <c r="H251" s="198"/>
      <c r="I251" s="154"/>
      <c r="J251" s="155"/>
      <c r="K251" s="154"/>
      <c r="L251" s="154">
        <v>3.46</v>
      </c>
      <c r="M251" s="154"/>
      <c r="N251" s="154">
        <v>3.46</v>
      </c>
      <c r="O251" s="154"/>
      <c r="P251" s="154">
        <v>3.46</v>
      </c>
      <c r="Q251" s="157"/>
      <c r="R251" s="157"/>
      <c r="S251" s="157">
        <v>3.46</v>
      </c>
      <c r="T251" s="198" t="s">
        <v>480</v>
      </c>
      <c r="U251" s="155" t="s">
        <v>479</v>
      </c>
      <c r="V251" s="155"/>
      <c r="W251" s="159"/>
      <c r="X251" s="157">
        <v>3.46</v>
      </c>
      <c r="Y251" s="159"/>
      <c r="Z251" s="157">
        <v>3.46</v>
      </c>
      <c r="AA251" s="157"/>
      <c r="AB251" s="154"/>
      <c r="AC251" s="154">
        <v>3.46</v>
      </c>
      <c r="AD251" s="198" t="s">
        <v>480</v>
      </c>
      <c r="AE251" s="155" t="s">
        <v>479</v>
      </c>
      <c r="AF251" s="155"/>
      <c r="AG251" s="157"/>
      <c r="AH251" s="49" t="s">
        <v>415</v>
      </c>
      <c r="AI251" s="98"/>
      <c r="AJ251" s="98"/>
      <c r="AK251" s="98"/>
      <c r="AL251" s="98"/>
      <c r="AM251" s="98"/>
    </row>
    <row r="252" spans="1:41" ht="31" x14ac:dyDescent="0.6">
      <c r="A252" s="297">
        <v>987360</v>
      </c>
      <c r="B252" s="298" t="s">
        <v>595</v>
      </c>
      <c r="C252" s="166">
        <v>12</v>
      </c>
      <c r="D252" s="166" t="s">
        <v>129</v>
      </c>
      <c r="E252" s="166"/>
      <c r="F252" s="198"/>
      <c r="G252" s="198">
        <v>0.79</v>
      </c>
      <c r="H252" s="166"/>
      <c r="I252" s="166"/>
      <c r="J252" s="191"/>
      <c r="K252" s="198"/>
      <c r="L252" s="198">
        <v>0.99</v>
      </c>
      <c r="M252" s="198"/>
      <c r="N252" s="198">
        <v>0.99</v>
      </c>
      <c r="O252" s="198"/>
      <c r="P252" s="198">
        <v>0.99</v>
      </c>
      <c r="Q252" s="156"/>
      <c r="R252" s="198"/>
      <c r="S252" s="198">
        <v>0.79</v>
      </c>
      <c r="T252" s="166"/>
      <c r="U252" s="166"/>
      <c r="V252" s="191"/>
      <c r="W252" s="159"/>
      <c r="X252" s="159">
        <v>0.79</v>
      </c>
      <c r="Y252" s="159"/>
      <c r="Z252" s="159">
        <v>0.79</v>
      </c>
      <c r="AA252" s="156"/>
      <c r="AB252" s="198"/>
      <c r="AC252" s="198">
        <v>0.79</v>
      </c>
      <c r="AD252" s="166"/>
      <c r="AE252" s="159"/>
      <c r="AF252" s="191"/>
      <c r="AG252" s="156"/>
      <c r="AH252" s="49" t="s">
        <v>415</v>
      </c>
      <c r="AI252" s="66"/>
      <c r="AJ252" s="66"/>
      <c r="AK252" s="66"/>
      <c r="AL252" s="66"/>
      <c r="AM252" s="66"/>
    </row>
    <row r="253" spans="1:41" ht="31" x14ac:dyDescent="0.6">
      <c r="A253" s="273">
        <v>987361</v>
      </c>
      <c r="B253" s="272" t="s">
        <v>746</v>
      </c>
      <c r="C253" s="158">
        <v>9</v>
      </c>
      <c r="D253" s="158"/>
      <c r="E253" s="158"/>
      <c r="F253" s="154"/>
      <c r="G253" s="154">
        <v>4.99</v>
      </c>
      <c r="H253" s="154"/>
      <c r="I253" s="157"/>
      <c r="J253" s="155"/>
      <c r="K253" s="154"/>
      <c r="L253" s="154">
        <v>4.99</v>
      </c>
      <c r="M253" s="154"/>
      <c r="N253" s="154">
        <v>4.99</v>
      </c>
      <c r="O253" s="154"/>
      <c r="P253" s="154">
        <v>4.99</v>
      </c>
      <c r="Q253" s="156"/>
      <c r="R253" s="154"/>
      <c r="S253" s="154">
        <v>4.99</v>
      </c>
      <c r="T253" s="158"/>
      <c r="U253" s="159"/>
      <c r="V253" s="155"/>
      <c r="W253" s="159"/>
      <c r="X253" s="157">
        <v>4.99</v>
      </c>
      <c r="Y253" s="159"/>
      <c r="Z253" s="157">
        <v>4.99</v>
      </c>
      <c r="AA253" s="156"/>
      <c r="AB253" s="154"/>
      <c r="AC253" s="154">
        <v>4.99</v>
      </c>
      <c r="AD253" s="158" t="s">
        <v>480</v>
      </c>
      <c r="AE253" s="159" t="s">
        <v>479</v>
      </c>
      <c r="AF253" s="155"/>
      <c r="AG253" s="159"/>
      <c r="AH253" s="49" t="s">
        <v>415</v>
      </c>
      <c r="AI253" s="98"/>
      <c r="AJ253" s="98"/>
      <c r="AK253" s="98"/>
      <c r="AL253" s="98"/>
      <c r="AM253" s="98"/>
    </row>
    <row r="254" spans="1:41" ht="31" x14ac:dyDescent="0.6">
      <c r="A254" s="273">
        <v>995186</v>
      </c>
      <c r="B254" s="272" t="s">
        <v>689</v>
      </c>
      <c r="C254" s="158">
        <v>6</v>
      </c>
      <c r="D254" s="154"/>
      <c r="E254" s="154" t="s">
        <v>462</v>
      </c>
      <c r="F254" s="154"/>
      <c r="G254" s="154">
        <v>2.99</v>
      </c>
      <c r="H254" s="155"/>
      <c r="I254" s="156"/>
      <c r="J254" s="155"/>
      <c r="K254" s="154"/>
      <c r="L254" s="154">
        <v>2.99</v>
      </c>
      <c r="M254" s="154"/>
      <c r="N254" s="154">
        <v>2.99</v>
      </c>
      <c r="O254" s="154"/>
      <c r="P254" s="154">
        <v>2.99</v>
      </c>
      <c r="Q254" s="157"/>
      <c r="R254" s="154">
        <v>2.99</v>
      </c>
      <c r="S254" s="154">
        <v>1.79</v>
      </c>
      <c r="T254" s="155" t="s">
        <v>6</v>
      </c>
      <c r="U254" s="156" t="s">
        <v>41</v>
      </c>
      <c r="V254" s="155">
        <v>44820</v>
      </c>
      <c r="W254" s="159">
        <v>2.99</v>
      </c>
      <c r="X254" s="159">
        <v>1.79</v>
      </c>
      <c r="Y254" s="159">
        <v>2.99</v>
      </c>
      <c r="Z254" s="159">
        <v>1.79</v>
      </c>
      <c r="AA254" s="157"/>
      <c r="AB254" s="154"/>
      <c r="AC254" s="154">
        <v>2.99</v>
      </c>
      <c r="AD254" s="155"/>
      <c r="AE254" s="156"/>
      <c r="AF254" s="155"/>
      <c r="AG254" s="157"/>
      <c r="AH254" s="49" t="s">
        <v>739</v>
      </c>
      <c r="AI254" s="98"/>
      <c r="AJ254" s="98"/>
      <c r="AK254" s="98"/>
      <c r="AL254" s="98" t="s">
        <v>128</v>
      </c>
      <c r="AM254" s="98"/>
      <c r="AO254" s="51"/>
    </row>
    <row r="255" spans="1:41" ht="31" x14ac:dyDescent="0.6">
      <c r="A255" s="297">
        <v>995188</v>
      </c>
      <c r="B255" s="298" t="s">
        <v>697</v>
      </c>
      <c r="C255" s="166">
        <v>6</v>
      </c>
      <c r="D255" s="198"/>
      <c r="E255" s="198" t="s">
        <v>462</v>
      </c>
      <c r="F255" s="198"/>
      <c r="G255" s="198">
        <v>2.99</v>
      </c>
      <c r="H255" s="191"/>
      <c r="I255" s="191"/>
      <c r="J255" s="191"/>
      <c r="K255" s="198"/>
      <c r="L255" s="198">
        <v>2.99</v>
      </c>
      <c r="M255" s="198"/>
      <c r="N255" s="198">
        <v>2.99</v>
      </c>
      <c r="O255" s="198"/>
      <c r="P255" s="198">
        <v>2.99</v>
      </c>
      <c r="Q255" s="198" t="s">
        <v>839</v>
      </c>
      <c r="R255" s="198"/>
      <c r="S255" s="198">
        <v>2.99</v>
      </c>
      <c r="T255" s="191"/>
      <c r="U255" s="191"/>
      <c r="V255" s="191"/>
      <c r="W255" s="159"/>
      <c r="X255" s="166">
        <v>2.99</v>
      </c>
      <c r="Y255" s="159"/>
      <c r="Z255" s="166">
        <v>2.99</v>
      </c>
      <c r="AA255" s="198"/>
      <c r="AB255" s="198"/>
      <c r="AC255" s="198">
        <v>2.99</v>
      </c>
      <c r="AD255" s="191"/>
      <c r="AE255" s="156"/>
      <c r="AF255" s="191"/>
      <c r="AG255" s="198" t="s">
        <v>839</v>
      </c>
      <c r="AH255" s="49" t="s">
        <v>739</v>
      </c>
      <c r="AI255" s="66"/>
      <c r="AJ255" s="66"/>
      <c r="AK255" s="66"/>
      <c r="AL255" s="66" t="s">
        <v>128</v>
      </c>
      <c r="AM255" s="66"/>
      <c r="AO255" s="51"/>
    </row>
    <row r="256" spans="1:41" ht="31" x14ac:dyDescent="0.6">
      <c r="A256" s="297">
        <v>995202</v>
      </c>
      <c r="B256" s="298" t="s">
        <v>736</v>
      </c>
      <c r="C256" s="166">
        <v>6</v>
      </c>
      <c r="D256" s="198"/>
      <c r="E256" s="198"/>
      <c r="F256" s="198"/>
      <c r="G256" s="198">
        <v>2.99</v>
      </c>
      <c r="H256" s="191"/>
      <c r="I256" s="191"/>
      <c r="J256" s="191"/>
      <c r="K256" s="198"/>
      <c r="L256" s="198">
        <v>2.99</v>
      </c>
      <c r="M256" s="198"/>
      <c r="N256" s="198">
        <v>2.99</v>
      </c>
      <c r="O256" s="198"/>
      <c r="P256" s="198">
        <v>2.99</v>
      </c>
      <c r="Q256" s="198"/>
      <c r="R256" s="198"/>
      <c r="S256" s="198">
        <v>2.99</v>
      </c>
      <c r="T256" s="191"/>
      <c r="U256" s="191"/>
      <c r="V256" s="191"/>
      <c r="W256" s="157"/>
      <c r="X256" s="157">
        <v>2.99</v>
      </c>
      <c r="Y256" s="157"/>
      <c r="Z256" s="157">
        <v>2.99</v>
      </c>
      <c r="AA256" s="198"/>
      <c r="AB256" s="191"/>
      <c r="AC256" s="198">
        <v>2.99</v>
      </c>
      <c r="AD256" s="191"/>
      <c r="AE256" s="156"/>
      <c r="AF256" s="191"/>
      <c r="AG256" s="157"/>
      <c r="AH256" s="49" t="s">
        <v>739</v>
      </c>
      <c r="AI256" s="66"/>
      <c r="AJ256" s="66"/>
      <c r="AK256" s="66"/>
      <c r="AL256" s="66"/>
      <c r="AM256" s="66"/>
    </row>
    <row r="257" spans="1:41" ht="31" x14ac:dyDescent="0.6">
      <c r="A257" s="297">
        <v>995203</v>
      </c>
      <c r="B257" s="298" t="s">
        <v>737</v>
      </c>
      <c r="C257" s="166">
        <v>6</v>
      </c>
      <c r="D257" s="170"/>
      <c r="E257" s="170"/>
      <c r="F257" s="170"/>
      <c r="G257" s="170">
        <v>2.99</v>
      </c>
      <c r="H257" s="160"/>
      <c r="I257" s="160"/>
      <c r="J257" s="160"/>
      <c r="K257" s="170"/>
      <c r="L257" s="170">
        <v>2.99</v>
      </c>
      <c r="M257" s="170"/>
      <c r="N257" s="170">
        <v>2.99</v>
      </c>
      <c r="O257" s="170"/>
      <c r="P257" s="170">
        <v>2.99</v>
      </c>
      <c r="Q257" s="157"/>
      <c r="R257" s="170"/>
      <c r="S257" s="170">
        <v>2.99</v>
      </c>
      <c r="T257" s="160"/>
      <c r="U257" s="160"/>
      <c r="V257" s="160"/>
      <c r="W257" s="157"/>
      <c r="X257" s="170">
        <v>2.99</v>
      </c>
      <c r="Y257" s="157"/>
      <c r="Z257" s="170">
        <v>2.99</v>
      </c>
      <c r="AA257" s="157"/>
      <c r="AB257" s="160"/>
      <c r="AC257" s="170">
        <v>2.99</v>
      </c>
      <c r="AD257" s="160"/>
      <c r="AE257" s="160"/>
      <c r="AF257" s="160"/>
      <c r="AG257" s="157"/>
      <c r="AH257" s="49" t="s">
        <v>739</v>
      </c>
      <c r="AI257" s="90"/>
      <c r="AJ257" s="90"/>
      <c r="AK257" s="90"/>
      <c r="AL257" s="90"/>
      <c r="AM257" s="90"/>
    </row>
    <row r="258" spans="1:41" ht="31" x14ac:dyDescent="0.6">
      <c r="A258" s="297">
        <v>995206</v>
      </c>
      <c r="B258" s="298" t="s">
        <v>738</v>
      </c>
      <c r="C258" s="166">
        <v>6</v>
      </c>
      <c r="D258" s="170"/>
      <c r="E258" s="170"/>
      <c r="F258" s="170"/>
      <c r="G258" s="170">
        <v>3.99</v>
      </c>
      <c r="H258" s="160"/>
      <c r="I258" s="160"/>
      <c r="J258" s="160"/>
      <c r="K258" s="170"/>
      <c r="L258" s="170">
        <v>3.99</v>
      </c>
      <c r="M258" s="170"/>
      <c r="N258" s="170">
        <v>3.99</v>
      </c>
      <c r="O258" s="170"/>
      <c r="P258" s="170">
        <v>3.99</v>
      </c>
      <c r="Q258" s="157"/>
      <c r="R258" s="170">
        <v>3.99</v>
      </c>
      <c r="S258" s="170">
        <v>2.39</v>
      </c>
      <c r="T258" s="160" t="s">
        <v>6</v>
      </c>
      <c r="U258" s="160" t="s">
        <v>41</v>
      </c>
      <c r="V258" s="160">
        <v>44820</v>
      </c>
      <c r="W258" s="157">
        <v>3.99</v>
      </c>
      <c r="X258" s="170">
        <v>2.39</v>
      </c>
      <c r="Y258" s="157">
        <v>3.99</v>
      </c>
      <c r="Z258" s="170">
        <v>2.39</v>
      </c>
      <c r="AA258" s="157"/>
      <c r="AB258" s="239" t="s">
        <v>757</v>
      </c>
      <c r="AC258" s="170">
        <v>3.99</v>
      </c>
      <c r="AD258" s="160"/>
      <c r="AE258" s="160"/>
      <c r="AF258" s="160"/>
      <c r="AG258" s="157"/>
      <c r="AH258" s="49" t="s">
        <v>739</v>
      </c>
      <c r="AI258" s="90"/>
      <c r="AJ258" s="90"/>
      <c r="AK258" s="90"/>
      <c r="AL258" s="90"/>
      <c r="AM258" s="90"/>
      <c r="AO258" s="51"/>
    </row>
    <row r="259" spans="1:41" ht="31" x14ac:dyDescent="0.6">
      <c r="A259" s="297">
        <v>995208</v>
      </c>
      <c r="B259" s="298" t="s">
        <v>752</v>
      </c>
      <c r="C259" s="166">
        <v>6</v>
      </c>
      <c r="D259" s="166"/>
      <c r="E259" s="166" t="s">
        <v>462</v>
      </c>
      <c r="F259" s="198"/>
      <c r="G259" s="198">
        <v>2.97</v>
      </c>
      <c r="H259" s="198"/>
      <c r="I259" s="198"/>
      <c r="J259" s="191"/>
      <c r="K259" s="198"/>
      <c r="L259" s="198">
        <v>3.27</v>
      </c>
      <c r="M259" s="198"/>
      <c r="N259" s="198">
        <v>3.27</v>
      </c>
      <c r="O259" s="198"/>
      <c r="P259" s="198">
        <v>3.27</v>
      </c>
      <c r="Q259" s="156"/>
      <c r="R259" s="198"/>
      <c r="S259" s="198">
        <v>2.97</v>
      </c>
      <c r="T259" s="166"/>
      <c r="U259" s="159"/>
      <c r="V259" s="191"/>
      <c r="W259" s="159"/>
      <c r="X259" s="157">
        <v>2.97</v>
      </c>
      <c r="Y259" s="159"/>
      <c r="Z259" s="157">
        <v>2.97</v>
      </c>
      <c r="AA259" s="156"/>
      <c r="AB259" s="198"/>
      <c r="AC259" s="198">
        <v>2.97</v>
      </c>
      <c r="AD259" s="159"/>
      <c r="AE259" s="159"/>
      <c r="AF259" s="191"/>
      <c r="AG259" s="159"/>
      <c r="AH259" s="49" t="s">
        <v>739</v>
      </c>
      <c r="AI259" s="66"/>
      <c r="AJ259" s="66"/>
      <c r="AK259" s="66"/>
      <c r="AL259" s="66"/>
      <c r="AM259" s="66"/>
    </row>
    <row r="260" spans="1:41" ht="31" x14ac:dyDescent="0.6">
      <c r="A260" s="297">
        <v>995209</v>
      </c>
      <c r="B260" s="298" t="s">
        <v>753</v>
      </c>
      <c r="C260" s="166">
        <v>6</v>
      </c>
      <c r="D260" s="166"/>
      <c r="E260" s="166" t="s">
        <v>462</v>
      </c>
      <c r="F260" s="198"/>
      <c r="G260" s="198">
        <v>2.97</v>
      </c>
      <c r="H260" s="198"/>
      <c r="I260" s="157"/>
      <c r="J260" s="191"/>
      <c r="K260" s="198"/>
      <c r="L260" s="198">
        <v>3.27</v>
      </c>
      <c r="M260" s="198"/>
      <c r="N260" s="198">
        <v>3.27</v>
      </c>
      <c r="O260" s="198"/>
      <c r="P260" s="198">
        <v>3.27</v>
      </c>
      <c r="Q260" s="156"/>
      <c r="R260" s="198"/>
      <c r="S260" s="198">
        <v>2.97</v>
      </c>
      <c r="T260" s="159"/>
      <c r="U260" s="159"/>
      <c r="V260" s="191"/>
      <c r="W260" s="159"/>
      <c r="X260" s="157">
        <v>2.97</v>
      </c>
      <c r="Y260" s="159"/>
      <c r="Z260" s="157">
        <v>2.97</v>
      </c>
      <c r="AA260" s="156"/>
      <c r="AB260" s="198"/>
      <c r="AC260" s="198">
        <v>2.97</v>
      </c>
      <c r="AD260" s="159"/>
      <c r="AE260" s="159"/>
      <c r="AF260" s="191"/>
      <c r="AG260" s="159"/>
      <c r="AH260" s="49" t="s">
        <v>739</v>
      </c>
      <c r="AI260" s="66"/>
      <c r="AJ260" s="66"/>
      <c r="AK260" s="66"/>
      <c r="AL260" s="66"/>
      <c r="AM260" s="66"/>
    </row>
    <row r="261" spans="1:41" ht="31" x14ac:dyDescent="0.6">
      <c r="A261" s="297">
        <v>985950</v>
      </c>
      <c r="B261" s="298" t="s">
        <v>117</v>
      </c>
      <c r="C261" s="166">
        <v>24</v>
      </c>
      <c r="D261" s="166" t="s">
        <v>129</v>
      </c>
      <c r="E261" s="166"/>
      <c r="F261" s="198"/>
      <c r="G261" s="198">
        <v>1.49</v>
      </c>
      <c r="H261" s="191"/>
      <c r="I261" s="156"/>
      <c r="J261" s="191"/>
      <c r="K261" s="198"/>
      <c r="L261" s="198">
        <v>1.65</v>
      </c>
      <c r="M261" s="198"/>
      <c r="N261" s="198">
        <v>1.65</v>
      </c>
      <c r="O261" s="198"/>
      <c r="P261" s="198">
        <v>1.65</v>
      </c>
      <c r="Q261" s="191"/>
      <c r="R261" s="198"/>
      <c r="S261" s="198">
        <v>1.49</v>
      </c>
      <c r="T261" s="166"/>
      <c r="U261" s="159"/>
      <c r="V261" s="191"/>
      <c r="W261" s="159"/>
      <c r="X261" s="159">
        <v>1.49</v>
      </c>
      <c r="Y261" s="159"/>
      <c r="Z261" s="159">
        <v>1.49</v>
      </c>
      <c r="AA261" s="156"/>
      <c r="AB261" s="198"/>
      <c r="AC261" s="198">
        <v>1.49</v>
      </c>
      <c r="AD261" s="159"/>
      <c r="AE261" s="159"/>
      <c r="AF261" s="191"/>
      <c r="AG261" s="156"/>
      <c r="AH261" s="49" t="s">
        <v>416</v>
      </c>
      <c r="AI261" s="66"/>
      <c r="AJ261" s="66"/>
      <c r="AK261" s="66"/>
      <c r="AL261" s="66" t="s">
        <v>128</v>
      </c>
      <c r="AM261" s="66"/>
    </row>
    <row r="262" spans="1:41" ht="30.75" customHeight="1" x14ac:dyDescent="0.6">
      <c r="A262" s="297">
        <v>985990</v>
      </c>
      <c r="B262" s="298" t="s">
        <v>461</v>
      </c>
      <c r="C262" s="166">
        <v>10</v>
      </c>
      <c r="D262" s="166"/>
      <c r="E262" s="166"/>
      <c r="F262" s="240"/>
      <c r="G262" s="240">
        <v>2.98</v>
      </c>
      <c r="H262" s="222"/>
      <c r="I262" s="221"/>
      <c r="J262" s="182"/>
      <c r="K262" s="240"/>
      <c r="L262" s="240">
        <v>2.99</v>
      </c>
      <c r="M262" s="240"/>
      <c r="N262" s="240">
        <v>2.99</v>
      </c>
      <c r="O262" s="240"/>
      <c r="P262" s="240">
        <v>2.99</v>
      </c>
      <c r="Q262" s="156"/>
      <c r="R262" s="240"/>
      <c r="S262" s="240">
        <v>2.98</v>
      </c>
      <c r="T262" s="222"/>
      <c r="U262" s="221"/>
      <c r="V262" s="182"/>
      <c r="W262" s="159"/>
      <c r="X262" s="241">
        <v>2.98</v>
      </c>
      <c r="Y262" s="159"/>
      <c r="Z262" s="241">
        <v>2.98</v>
      </c>
      <c r="AA262" s="156"/>
      <c r="AB262" s="240"/>
      <c r="AC262" s="240">
        <v>2.98</v>
      </c>
      <c r="AD262" s="222"/>
      <c r="AE262" s="221"/>
      <c r="AF262" s="182"/>
      <c r="AG262" s="156" t="s">
        <v>839</v>
      </c>
      <c r="AH262" s="49" t="s">
        <v>416</v>
      </c>
      <c r="AI262" s="86"/>
      <c r="AJ262" s="66"/>
      <c r="AK262" s="66"/>
      <c r="AL262" s="66" t="s">
        <v>128</v>
      </c>
      <c r="AM262" s="66"/>
      <c r="AO262" s="51"/>
    </row>
    <row r="263" spans="1:41" ht="31" x14ac:dyDescent="0.6">
      <c r="A263" s="297">
        <v>989461</v>
      </c>
      <c r="B263" s="298" t="s">
        <v>119</v>
      </c>
      <c r="C263" s="166">
        <v>22</v>
      </c>
      <c r="D263" s="166"/>
      <c r="E263" s="166"/>
      <c r="F263" s="198"/>
      <c r="G263" s="198">
        <v>3.29</v>
      </c>
      <c r="H263" s="159"/>
      <c r="I263" s="159"/>
      <c r="J263" s="191"/>
      <c r="K263" s="198"/>
      <c r="L263" s="198">
        <v>3.49</v>
      </c>
      <c r="M263" s="198"/>
      <c r="N263" s="198">
        <v>3.49</v>
      </c>
      <c r="O263" s="198"/>
      <c r="P263" s="198">
        <v>3.49</v>
      </c>
      <c r="Q263" s="156"/>
      <c r="R263" s="198"/>
      <c r="S263" s="198">
        <v>3.29</v>
      </c>
      <c r="T263" s="159"/>
      <c r="U263" s="159"/>
      <c r="V263" s="191"/>
      <c r="W263" s="166"/>
      <c r="X263" s="166">
        <v>3.29</v>
      </c>
      <c r="Y263" s="166"/>
      <c r="Z263" s="166">
        <v>3.29</v>
      </c>
      <c r="AA263" s="156"/>
      <c r="AB263" s="198"/>
      <c r="AC263" s="198">
        <v>3.29</v>
      </c>
      <c r="AD263" s="166"/>
      <c r="AE263" s="159"/>
      <c r="AF263" s="191"/>
      <c r="AG263" s="156"/>
      <c r="AH263" s="49" t="s">
        <v>416</v>
      </c>
      <c r="AI263" s="66"/>
      <c r="AJ263" s="66"/>
      <c r="AK263" s="66"/>
      <c r="AL263" s="66"/>
      <c r="AM263" s="66"/>
    </row>
    <row r="264" spans="1:41" ht="31" x14ac:dyDescent="0.6">
      <c r="A264" s="273">
        <v>989330</v>
      </c>
      <c r="B264" s="272" t="s">
        <v>787</v>
      </c>
      <c r="C264" s="158">
        <v>18</v>
      </c>
      <c r="D264" s="158"/>
      <c r="E264" s="158"/>
      <c r="F264" s="154"/>
      <c r="G264" s="154">
        <v>3.35</v>
      </c>
      <c r="H264" s="159"/>
      <c r="I264" s="159"/>
      <c r="J264" s="155"/>
      <c r="K264" s="154"/>
      <c r="L264" s="154">
        <v>3.49</v>
      </c>
      <c r="M264" s="154"/>
      <c r="N264" s="154">
        <v>3.49</v>
      </c>
      <c r="O264" s="154"/>
      <c r="P264" s="154">
        <v>3.49</v>
      </c>
      <c r="Q264" s="156"/>
      <c r="R264" s="154"/>
      <c r="S264" s="154">
        <v>3.35</v>
      </c>
      <c r="T264" s="159"/>
      <c r="U264" s="159"/>
      <c r="V264" s="155"/>
      <c r="W264" s="159"/>
      <c r="X264" s="159">
        <v>3.35</v>
      </c>
      <c r="Y264" s="159"/>
      <c r="Z264" s="159">
        <v>3.35</v>
      </c>
      <c r="AA264" s="156"/>
      <c r="AB264" s="154"/>
      <c r="AC264" s="157">
        <v>3.35</v>
      </c>
      <c r="AD264" s="159"/>
      <c r="AE264" s="159"/>
      <c r="AF264" s="155"/>
      <c r="AG264" s="156"/>
      <c r="AH264" s="49" t="s">
        <v>418</v>
      </c>
      <c r="AI264" s="98"/>
      <c r="AJ264" s="98"/>
      <c r="AK264" s="98"/>
      <c r="AL264" s="98"/>
      <c r="AM264" s="98"/>
    </row>
    <row r="265" spans="1:41" ht="31" x14ac:dyDescent="0.6">
      <c r="A265" s="273">
        <v>989301</v>
      </c>
      <c r="B265" s="272" t="s">
        <v>786</v>
      </c>
      <c r="C265" s="158">
        <v>12</v>
      </c>
      <c r="D265" s="158"/>
      <c r="E265" s="158"/>
      <c r="F265" s="154"/>
      <c r="G265" s="154">
        <v>4.28</v>
      </c>
      <c r="H265" s="159"/>
      <c r="I265" s="159"/>
      <c r="J265" s="155"/>
      <c r="K265" s="154"/>
      <c r="L265" s="154">
        <v>4.28</v>
      </c>
      <c r="M265" s="154"/>
      <c r="N265" s="154">
        <v>4.28</v>
      </c>
      <c r="O265" s="154"/>
      <c r="P265" s="154">
        <v>4.28</v>
      </c>
      <c r="Q265" s="156"/>
      <c r="R265" s="154"/>
      <c r="S265" s="154">
        <v>4.28</v>
      </c>
      <c r="T265" s="159"/>
      <c r="U265" s="159"/>
      <c r="V265" s="155"/>
      <c r="W265" s="159"/>
      <c r="X265" s="159">
        <v>4.28</v>
      </c>
      <c r="Y265" s="159"/>
      <c r="Z265" s="159">
        <v>4.28</v>
      </c>
      <c r="AA265" s="156"/>
      <c r="AB265" s="154"/>
      <c r="AC265" s="157">
        <v>4.28</v>
      </c>
      <c r="AD265" s="159"/>
      <c r="AE265" s="159"/>
      <c r="AF265" s="155"/>
      <c r="AG265" s="156"/>
      <c r="AH265" s="49" t="s">
        <v>418</v>
      </c>
      <c r="AI265" s="98"/>
      <c r="AJ265" s="98"/>
      <c r="AK265" s="98"/>
      <c r="AL265" s="98"/>
      <c r="AM265" s="98"/>
    </row>
    <row r="266" spans="1:41" ht="31" x14ac:dyDescent="0.6">
      <c r="A266" s="297">
        <v>989260</v>
      </c>
      <c r="B266" s="298" t="s">
        <v>120</v>
      </c>
      <c r="C266" s="166">
        <v>16</v>
      </c>
      <c r="D266" s="231"/>
      <c r="E266" s="231"/>
      <c r="F266" s="232"/>
      <c r="G266" s="232">
        <v>4.38</v>
      </c>
      <c r="H266" s="196"/>
      <c r="I266" s="156"/>
      <c r="J266" s="196"/>
      <c r="K266" s="232"/>
      <c r="L266" s="232">
        <v>4.38</v>
      </c>
      <c r="M266" s="232"/>
      <c r="N266" s="232">
        <v>4.38</v>
      </c>
      <c r="O266" s="232"/>
      <c r="P266" s="232">
        <v>4.38</v>
      </c>
      <c r="Q266" s="156"/>
      <c r="R266" s="232"/>
      <c r="S266" s="232">
        <v>4.38</v>
      </c>
      <c r="T266" s="231"/>
      <c r="U266" s="159"/>
      <c r="V266" s="196"/>
      <c r="W266" s="159"/>
      <c r="X266" s="159">
        <v>4.38</v>
      </c>
      <c r="Y266" s="159"/>
      <c r="Z266" s="159">
        <v>4.38</v>
      </c>
      <c r="AA266" s="156"/>
      <c r="AB266" s="232"/>
      <c r="AC266" s="157">
        <v>4.38</v>
      </c>
      <c r="AD266" s="159"/>
      <c r="AE266" s="159"/>
      <c r="AF266" s="196"/>
      <c r="AG266" s="156"/>
      <c r="AH266" s="49" t="s">
        <v>418</v>
      </c>
      <c r="AI266" s="88"/>
      <c r="AJ266" s="88"/>
      <c r="AK266" s="88"/>
      <c r="AL266" s="88"/>
      <c r="AM266" s="88"/>
    </row>
    <row r="267" spans="1:41" ht="31" x14ac:dyDescent="0.6">
      <c r="A267" s="297">
        <v>989280</v>
      </c>
      <c r="B267" s="298" t="s">
        <v>590</v>
      </c>
      <c r="C267" s="166">
        <v>24</v>
      </c>
      <c r="D267" s="166"/>
      <c r="E267" s="166"/>
      <c r="F267" s="198"/>
      <c r="G267" s="198">
        <v>3.35</v>
      </c>
      <c r="H267" s="166"/>
      <c r="I267" s="159"/>
      <c r="J267" s="191"/>
      <c r="K267" s="198"/>
      <c r="L267" s="198">
        <v>3.49</v>
      </c>
      <c r="M267" s="198"/>
      <c r="N267" s="198">
        <v>3.49</v>
      </c>
      <c r="O267" s="198"/>
      <c r="P267" s="198">
        <v>3.49</v>
      </c>
      <c r="Q267" s="156"/>
      <c r="R267" s="198"/>
      <c r="S267" s="198">
        <v>3.25</v>
      </c>
      <c r="T267" s="166"/>
      <c r="U267" s="159"/>
      <c r="V267" s="191"/>
      <c r="W267" s="159"/>
      <c r="X267" s="166">
        <v>3.25</v>
      </c>
      <c r="Y267" s="159"/>
      <c r="Z267" s="166">
        <v>3.25</v>
      </c>
      <c r="AA267" s="156"/>
      <c r="AB267" s="198"/>
      <c r="AC267" s="198">
        <v>3.35</v>
      </c>
      <c r="AD267" s="159"/>
      <c r="AE267" s="159"/>
      <c r="AF267" s="191"/>
      <c r="AG267" s="156"/>
      <c r="AH267" s="49" t="s">
        <v>418</v>
      </c>
      <c r="AI267" s="66"/>
      <c r="AJ267" s="66"/>
      <c r="AK267" s="66"/>
      <c r="AL267" s="66"/>
      <c r="AM267" s="66"/>
    </row>
    <row r="268" spans="1:41" ht="31" x14ac:dyDescent="0.6">
      <c r="A268" s="297">
        <v>989360</v>
      </c>
      <c r="B268" s="298" t="s">
        <v>121</v>
      </c>
      <c r="C268" s="166">
        <v>24</v>
      </c>
      <c r="D268" s="202" t="s">
        <v>129</v>
      </c>
      <c r="E268" s="202"/>
      <c r="F268" s="200"/>
      <c r="G268" s="200">
        <v>2.89</v>
      </c>
      <c r="H268" s="202"/>
      <c r="I268" s="159"/>
      <c r="J268" s="201"/>
      <c r="K268" s="200"/>
      <c r="L268" s="200">
        <v>3.19</v>
      </c>
      <c r="M268" s="200"/>
      <c r="N268" s="200">
        <v>3.19</v>
      </c>
      <c r="O268" s="200"/>
      <c r="P268" s="200">
        <v>3.19</v>
      </c>
      <c r="Q268" s="156"/>
      <c r="R268" s="200"/>
      <c r="S268" s="200">
        <v>2.89</v>
      </c>
      <c r="T268" s="202"/>
      <c r="U268" s="159"/>
      <c r="V268" s="201"/>
      <c r="W268" s="159"/>
      <c r="X268" s="159">
        <v>2.89</v>
      </c>
      <c r="Y268" s="159"/>
      <c r="Z268" s="159">
        <v>2.89</v>
      </c>
      <c r="AA268" s="156"/>
      <c r="AB268" s="200"/>
      <c r="AC268" s="200">
        <v>2.89</v>
      </c>
      <c r="AD268" s="159"/>
      <c r="AE268" s="159"/>
      <c r="AF268" s="201"/>
      <c r="AG268" s="156"/>
      <c r="AH268" s="49" t="s">
        <v>418</v>
      </c>
      <c r="AI268" s="79"/>
      <c r="AJ268" s="79"/>
      <c r="AK268" s="79"/>
      <c r="AL268" s="79" t="s">
        <v>128</v>
      </c>
      <c r="AM268" s="79"/>
    </row>
    <row r="269" spans="1:41" ht="31" x14ac:dyDescent="0.6">
      <c r="A269" s="297">
        <v>989489</v>
      </c>
      <c r="B269" s="298" t="s">
        <v>620</v>
      </c>
      <c r="C269" s="166">
        <v>50</v>
      </c>
      <c r="D269" s="166"/>
      <c r="E269" s="166"/>
      <c r="F269" s="198"/>
      <c r="G269" s="198">
        <v>1.58</v>
      </c>
      <c r="H269" s="166"/>
      <c r="I269" s="166"/>
      <c r="J269" s="191"/>
      <c r="K269" s="198"/>
      <c r="L269" s="198">
        <v>1.69</v>
      </c>
      <c r="M269" s="198"/>
      <c r="N269" s="198">
        <v>1.69</v>
      </c>
      <c r="O269" s="198"/>
      <c r="P269" s="198">
        <v>1.69</v>
      </c>
      <c r="Q269" s="156"/>
      <c r="R269" s="198"/>
      <c r="S269" s="198">
        <v>1.58</v>
      </c>
      <c r="T269" s="166"/>
      <c r="U269" s="159"/>
      <c r="V269" s="191"/>
      <c r="W269" s="159"/>
      <c r="X269" s="159">
        <v>1.58</v>
      </c>
      <c r="Y269" s="159"/>
      <c r="Z269" s="159">
        <v>1.58</v>
      </c>
      <c r="AA269" s="156"/>
      <c r="AB269" s="198"/>
      <c r="AC269" s="198">
        <v>1.58</v>
      </c>
      <c r="AD269" s="166"/>
      <c r="AE269" s="159"/>
      <c r="AF269" s="191"/>
      <c r="AG269" s="156"/>
      <c r="AH269" s="49" t="s">
        <v>418</v>
      </c>
      <c r="AI269" s="66"/>
      <c r="AJ269" s="66"/>
      <c r="AK269" s="66"/>
      <c r="AL269" s="66"/>
      <c r="AM269" s="66"/>
    </row>
    <row r="270" spans="1:41" ht="31" x14ac:dyDescent="0.6">
      <c r="A270" s="297">
        <v>989560</v>
      </c>
      <c r="B270" s="298" t="s">
        <v>122</v>
      </c>
      <c r="C270" s="166">
        <v>10</v>
      </c>
      <c r="D270" s="309"/>
      <c r="E270" s="166"/>
      <c r="F270" s="242"/>
      <c r="G270" s="242">
        <v>4.97</v>
      </c>
      <c r="H270" s="243"/>
      <c r="I270" s="156"/>
      <c r="J270" s="243"/>
      <c r="K270" s="242"/>
      <c r="L270" s="242">
        <v>4.67</v>
      </c>
      <c r="M270" s="242"/>
      <c r="N270" s="242">
        <v>4.67</v>
      </c>
      <c r="O270" s="242"/>
      <c r="P270" s="242">
        <v>4.67</v>
      </c>
      <c r="Q270" s="156"/>
      <c r="R270" s="242"/>
      <c r="S270" s="242">
        <v>4.97</v>
      </c>
      <c r="T270" s="180"/>
      <c r="U270" s="159"/>
      <c r="V270" s="243"/>
      <c r="W270" s="159"/>
      <c r="X270" s="242">
        <v>4.97</v>
      </c>
      <c r="Y270" s="159"/>
      <c r="Z270" s="242">
        <v>4.97</v>
      </c>
      <c r="AA270" s="156"/>
      <c r="AB270" s="242"/>
      <c r="AC270" s="242">
        <v>4.97</v>
      </c>
      <c r="AD270" s="180"/>
      <c r="AE270" s="159"/>
      <c r="AF270" s="243"/>
      <c r="AG270" s="156"/>
      <c r="AH270" s="49" t="s">
        <v>418</v>
      </c>
      <c r="AI270" s="75"/>
      <c r="AJ270" s="75"/>
      <c r="AK270" s="75"/>
      <c r="AL270" s="75" t="s">
        <v>128</v>
      </c>
      <c r="AM270" s="75"/>
    </row>
    <row r="271" spans="1:41" ht="31" x14ac:dyDescent="0.6">
      <c r="A271" s="297">
        <v>989562</v>
      </c>
      <c r="B271" s="298" t="s">
        <v>577</v>
      </c>
      <c r="C271" s="166">
        <v>10</v>
      </c>
      <c r="D271" s="166"/>
      <c r="E271" s="166"/>
      <c r="F271" s="198"/>
      <c r="G271" s="198">
        <v>4.9800000000000004</v>
      </c>
      <c r="H271" s="166"/>
      <c r="I271" s="166"/>
      <c r="J271" s="191"/>
      <c r="K271" s="198"/>
      <c r="L271" s="198">
        <v>4.9800000000000004</v>
      </c>
      <c r="M271" s="198"/>
      <c r="N271" s="198">
        <v>4.9800000000000004</v>
      </c>
      <c r="O271" s="198"/>
      <c r="P271" s="198">
        <v>4.9800000000000004</v>
      </c>
      <c r="Q271" s="156"/>
      <c r="R271" s="198"/>
      <c r="S271" s="198"/>
      <c r="T271" s="198" t="s">
        <v>480</v>
      </c>
      <c r="U271" s="166" t="s">
        <v>479</v>
      </c>
      <c r="V271" s="191"/>
      <c r="W271" s="159"/>
      <c r="X271" s="159"/>
      <c r="Y271" s="159"/>
      <c r="Z271" s="159"/>
      <c r="AA271" s="156"/>
      <c r="AB271" s="198"/>
      <c r="AC271" s="198"/>
      <c r="AD271" s="198" t="s">
        <v>480</v>
      </c>
      <c r="AE271" s="166" t="s">
        <v>479</v>
      </c>
      <c r="AF271" s="191"/>
      <c r="AG271" s="156"/>
      <c r="AH271" s="49" t="s">
        <v>418</v>
      </c>
      <c r="AI271" s="66"/>
      <c r="AJ271" s="66"/>
      <c r="AK271" s="66"/>
      <c r="AL271" s="66"/>
      <c r="AM271" s="66"/>
    </row>
    <row r="272" spans="1:41" ht="31" x14ac:dyDescent="0.6">
      <c r="A272" s="297">
        <v>989623</v>
      </c>
      <c r="B272" s="298" t="s">
        <v>447</v>
      </c>
      <c r="C272" s="166">
        <v>12</v>
      </c>
      <c r="D272" s="166"/>
      <c r="E272" s="166"/>
      <c r="F272" s="198"/>
      <c r="G272" s="198">
        <v>3.29</v>
      </c>
      <c r="H272" s="166"/>
      <c r="I272" s="159"/>
      <c r="J272" s="191"/>
      <c r="K272" s="198"/>
      <c r="L272" s="198">
        <v>3.99</v>
      </c>
      <c r="M272" s="198"/>
      <c r="N272" s="198">
        <v>3.99</v>
      </c>
      <c r="O272" s="198"/>
      <c r="P272" s="198">
        <v>3.99</v>
      </c>
      <c r="Q272" s="156"/>
      <c r="R272" s="198"/>
      <c r="S272" s="198">
        <v>3.29</v>
      </c>
      <c r="T272" s="159"/>
      <c r="U272" s="159"/>
      <c r="V272" s="191"/>
      <c r="W272" s="166"/>
      <c r="X272" s="198">
        <v>3.29</v>
      </c>
      <c r="Y272" s="166"/>
      <c r="Z272" s="198">
        <v>3.29</v>
      </c>
      <c r="AA272" s="156"/>
      <c r="AB272" s="198"/>
      <c r="AC272" s="198">
        <v>3.29</v>
      </c>
      <c r="AD272" s="159"/>
      <c r="AE272" s="166"/>
      <c r="AF272" s="191"/>
      <c r="AG272" s="156"/>
      <c r="AH272" s="49" t="s">
        <v>418</v>
      </c>
      <c r="AI272" s="66"/>
      <c r="AJ272" s="66"/>
      <c r="AK272" s="66"/>
      <c r="AL272" s="66" t="s">
        <v>128</v>
      </c>
      <c r="AM272" s="66"/>
    </row>
    <row r="273" spans="1:41" ht="31" x14ac:dyDescent="0.6">
      <c r="A273" s="297">
        <v>989660</v>
      </c>
      <c r="B273" s="298" t="s">
        <v>123</v>
      </c>
      <c r="C273" s="166">
        <v>10</v>
      </c>
      <c r="D273" s="166" t="s">
        <v>129</v>
      </c>
      <c r="E273" s="166"/>
      <c r="F273" s="198"/>
      <c r="G273" s="198">
        <v>7.48</v>
      </c>
      <c r="H273" s="156"/>
      <c r="I273" s="156"/>
      <c r="J273" s="191"/>
      <c r="K273" s="198"/>
      <c r="L273" s="198">
        <v>6.68</v>
      </c>
      <c r="M273" s="198"/>
      <c r="N273" s="198">
        <v>6.68</v>
      </c>
      <c r="O273" s="198"/>
      <c r="P273" s="198">
        <v>6.68</v>
      </c>
      <c r="Q273" s="156"/>
      <c r="R273" s="198"/>
      <c r="S273" s="198">
        <v>7.48</v>
      </c>
      <c r="T273" s="159"/>
      <c r="U273" s="159"/>
      <c r="V273" s="191"/>
      <c r="W273" s="198"/>
      <c r="X273" s="157">
        <v>7.48</v>
      </c>
      <c r="Y273" s="198"/>
      <c r="Z273" s="157">
        <v>7.48</v>
      </c>
      <c r="AA273" s="156"/>
      <c r="AB273" s="198"/>
      <c r="AC273" s="198">
        <v>7.48</v>
      </c>
      <c r="AD273" s="159"/>
      <c r="AE273" s="159"/>
      <c r="AF273" s="191"/>
      <c r="AG273" s="156"/>
      <c r="AH273" s="49" t="s">
        <v>418</v>
      </c>
      <c r="AI273" s="66"/>
      <c r="AJ273" s="66"/>
      <c r="AK273" s="66"/>
      <c r="AL273" s="66" t="s">
        <v>128</v>
      </c>
      <c r="AM273" s="66"/>
    </row>
    <row r="274" spans="1:41" ht="31" x14ac:dyDescent="0.6">
      <c r="A274" s="297">
        <v>989680</v>
      </c>
      <c r="B274" s="298" t="s">
        <v>692</v>
      </c>
      <c r="C274" s="166">
        <v>16</v>
      </c>
      <c r="D274" s="154"/>
      <c r="E274" s="154"/>
      <c r="F274" s="154"/>
      <c r="G274" s="154">
        <v>5.68</v>
      </c>
      <c r="H274" s="156"/>
      <c r="I274" s="156"/>
      <c r="J274" s="155"/>
      <c r="K274" s="154"/>
      <c r="L274" s="154">
        <v>5.68</v>
      </c>
      <c r="M274" s="154"/>
      <c r="N274" s="154">
        <v>5.68</v>
      </c>
      <c r="O274" s="154"/>
      <c r="P274" s="154">
        <v>5.68</v>
      </c>
      <c r="Q274" s="157"/>
      <c r="R274" s="154"/>
      <c r="S274" s="154">
        <v>5.68</v>
      </c>
      <c r="T274" s="156"/>
      <c r="U274" s="156"/>
      <c r="V274" s="155"/>
      <c r="W274" s="159"/>
      <c r="X274" s="157">
        <v>5.68</v>
      </c>
      <c r="Y274" s="159"/>
      <c r="Z274" s="157">
        <v>5.68</v>
      </c>
      <c r="AA274" s="157"/>
      <c r="AB274" s="154"/>
      <c r="AC274" s="154">
        <v>5.68</v>
      </c>
      <c r="AD274" s="156"/>
      <c r="AE274" s="156"/>
      <c r="AF274" s="155"/>
      <c r="AG274" s="157"/>
      <c r="AH274" s="49" t="s">
        <v>418</v>
      </c>
      <c r="AI274" s="98"/>
      <c r="AJ274" s="98"/>
      <c r="AK274" s="98"/>
      <c r="AL274" s="98"/>
      <c r="AM274" s="98"/>
    </row>
    <row r="275" spans="1:41" ht="31" x14ac:dyDescent="0.6">
      <c r="A275" s="297">
        <v>989710</v>
      </c>
      <c r="B275" s="298" t="s">
        <v>124</v>
      </c>
      <c r="C275" s="166">
        <v>10</v>
      </c>
      <c r="D275" s="166" t="s">
        <v>129</v>
      </c>
      <c r="E275" s="166"/>
      <c r="F275" s="198"/>
      <c r="G275" s="198">
        <v>5.98</v>
      </c>
      <c r="H275" s="191"/>
      <c r="I275" s="191"/>
      <c r="J275" s="191"/>
      <c r="K275" s="198"/>
      <c r="L275" s="198">
        <v>5.98</v>
      </c>
      <c r="M275" s="198"/>
      <c r="N275" s="198">
        <v>5.98</v>
      </c>
      <c r="O275" s="198"/>
      <c r="P275" s="198">
        <v>5.98</v>
      </c>
      <c r="Q275" s="198"/>
      <c r="R275" s="198"/>
      <c r="S275" s="198">
        <v>5.98</v>
      </c>
      <c r="T275" s="166"/>
      <c r="U275" s="166"/>
      <c r="V275" s="191"/>
      <c r="W275" s="157"/>
      <c r="X275" s="157">
        <v>5.98</v>
      </c>
      <c r="Y275" s="157"/>
      <c r="Z275" s="157">
        <v>5.98</v>
      </c>
      <c r="AA275" s="198"/>
      <c r="AB275" s="198"/>
      <c r="AC275" s="198">
        <v>5.98</v>
      </c>
      <c r="AD275" s="166"/>
      <c r="AE275" s="166"/>
      <c r="AF275" s="191"/>
      <c r="AG275" s="198"/>
      <c r="AH275" s="49" t="s">
        <v>418</v>
      </c>
      <c r="AI275" s="66"/>
      <c r="AJ275" s="66"/>
      <c r="AK275" s="66"/>
      <c r="AL275" s="66"/>
      <c r="AM275" s="66"/>
    </row>
    <row r="276" spans="1:41" ht="31" x14ac:dyDescent="0.6">
      <c r="A276" s="297">
        <v>989722</v>
      </c>
      <c r="B276" s="298" t="s">
        <v>419</v>
      </c>
      <c r="C276" s="166">
        <v>12</v>
      </c>
      <c r="D276" s="158"/>
      <c r="E276" s="158"/>
      <c r="F276" s="154"/>
      <c r="G276" s="154">
        <v>3.77</v>
      </c>
      <c r="H276" s="158"/>
      <c r="I276" s="159"/>
      <c r="J276" s="155"/>
      <c r="K276" s="154"/>
      <c r="L276" s="154">
        <v>3.99</v>
      </c>
      <c r="M276" s="154"/>
      <c r="N276" s="154">
        <v>3.99</v>
      </c>
      <c r="O276" s="154"/>
      <c r="P276" s="154">
        <v>3.99</v>
      </c>
      <c r="Q276" s="155"/>
      <c r="R276" s="154"/>
      <c r="S276" s="154">
        <v>3.77</v>
      </c>
      <c r="T276" s="158"/>
      <c r="U276" s="159"/>
      <c r="V276" s="155"/>
      <c r="W276" s="158"/>
      <c r="X276" s="154">
        <v>3.77</v>
      </c>
      <c r="Y276" s="158"/>
      <c r="Z276" s="154">
        <v>3.77</v>
      </c>
      <c r="AA276" s="155"/>
      <c r="AB276" s="154"/>
      <c r="AC276" s="154">
        <v>3.77</v>
      </c>
      <c r="AD276" s="158"/>
      <c r="AE276" s="159"/>
      <c r="AF276" s="155"/>
      <c r="AG276" s="155"/>
      <c r="AH276" s="49" t="s">
        <v>418</v>
      </c>
      <c r="AI276" s="98"/>
      <c r="AJ276" s="98"/>
      <c r="AK276" s="98"/>
      <c r="AL276" s="98"/>
      <c r="AM276" s="98"/>
    </row>
    <row r="277" spans="1:41" ht="31" x14ac:dyDescent="0.6">
      <c r="A277" s="297">
        <v>989760</v>
      </c>
      <c r="B277" s="298" t="s">
        <v>604</v>
      </c>
      <c r="C277" s="166">
        <v>16</v>
      </c>
      <c r="D277" s="158" t="s">
        <v>129</v>
      </c>
      <c r="E277" s="158"/>
      <c r="F277" s="158"/>
      <c r="G277" s="158">
        <v>3.77</v>
      </c>
      <c r="H277" s="158"/>
      <c r="I277" s="159"/>
      <c r="J277" s="155"/>
      <c r="K277" s="158"/>
      <c r="L277" s="158">
        <v>3.97</v>
      </c>
      <c r="M277" s="158"/>
      <c r="N277" s="158">
        <v>3.97</v>
      </c>
      <c r="O277" s="158"/>
      <c r="P277" s="158">
        <v>3.97</v>
      </c>
      <c r="Q277" s="158"/>
      <c r="R277" s="158"/>
      <c r="S277" s="158">
        <v>3.77</v>
      </c>
      <c r="T277" s="158"/>
      <c r="U277" s="159"/>
      <c r="V277" s="155"/>
      <c r="W277" s="159"/>
      <c r="X277" s="159">
        <v>3.77</v>
      </c>
      <c r="Y277" s="159"/>
      <c r="Z277" s="159">
        <v>3.77</v>
      </c>
      <c r="AA277" s="158"/>
      <c r="AB277" s="158"/>
      <c r="AC277" s="158">
        <v>3.77</v>
      </c>
      <c r="AD277" s="158"/>
      <c r="AE277" s="159"/>
      <c r="AF277" s="155"/>
      <c r="AG277" s="155"/>
      <c r="AH277" s="49" t="s">
        <v>418</v>
      </c>
      <c r="AI277" s="98"/>
      <c r="AJ277" s="98"/>
      <c r="AK277" s="98"/>
      <c r="AL277" s="98" t="s">
        <v>128</v>
      </c>
      <c r="AM277" s="98"/>
    </row>
    <row r="278" spans="1:41" ht="31" x14ac:dyDescent="0.6">
      <c r="A278" s="297">
        <v>989765</v>
      </c>
      <c r="B278" s="298" t="s">
        <v>439</v>
      </c>
      <c r="C278" s="166">
        <v>8</v>
      </c>
      <c r="D278" s="158"/>
      <c r="E278" s="166"/>
      <c r="F278" s="154"/>
      <c r="G278" s="154">
        <v>6.58</v>
      </c>
      <c r="H278" s="158"/>
      <c r="I278" s="159"/>
      <c r="J278" s="155"/>
      <c r="K278" s="154"/>
      <c r="L278" s="154">
        <v>6.99</v>
      </c>
      <c r="M278" s="154"/>
      <c r="N278" s="154">
        <v>6.99</v>
      </c>
      <c r="O278" s="154"/>
      <c r="P278" s="154">
        <v>6.99</v>
      </c>
      <c r="Q278" s="155"/>
      <c r="R278" s="154"/>
      <c r="S278" s="154">
        <v>6.58</v>
      </c>
      <c r="T278" s="158"/>
      <c r="U278" s="159"/>
      <c r="V278" s="155"/>
      <c r="W278" s="159"/>
      <c r="X278" s="157">
        <v>6.58</v>
      </c>
      <c r="Y278" s="159"/>
      <c r="Z278" s="157">
        <v>6.58</v>
      </c>
      <c r="AA278" s="155"/>
      <c r="AB278" s="154"/>
      <c r="AC278" s="154">
        <v>6.58</v>
      </c>
      <c r="AD278" s="158"/>
      <c r="AE278" s="159"/>
      <c r="AF278" s="155"/>
      <c r="AG278" s="155"/>
      <c r="AH278" s="49" t="s">
        <v>418</v>
      </c>
      <c r="AI278" s="98"/>
      <c r="AJ278" s="98"/>
      <c r="AK278" s="98"/>
      <c r="AL278" s="98"/>
      <c r="AM278" s="98"/>
    </row>
    <row r="279" spans="1:41" ht="31" x14ac:dyDescent="0.6">
      <c r="A279" s="297">
        <v>989800</v>
      </c>
      <c r="B279" s="298" t="s">
        <v>434</v>
      </c>
      <c r="C279" s="166">
        <v>40</v>
      </c>
      <c r="D279" s="158"/>
      <c r="E279" s="166"/>
      <c r="F279" s="154"/>
      <c r="G279" s="154">
        <v>0.88</v>
      </c>
      <c r="H279" s="155"/>
      <c r="I279" s="156"/>
      <c r="J279" s="155"/>
      <c r="K279" s="154"/>
      <c r="L279" s="154">
        <v>0.99</v>
      </c>
      <c r="M279" s="154"/>
      <c r="N279" s="154">
        <v>0.99</v>
      </c>
      <c r="O279" s="154"/>
      <c r="P279" s="154">
        <v>0.99</v>
      </c>
      <c r="Q279" s="155"/>
      <c r="R279" s="154"/>
      <c r="S279" s="154">
        <v>0.88</v>
      </c>
      <c r="T279" s="158"/>
      <c r="U279" s="159"/>
      <c r="V279" s="155"/>
      <c r="W279" s="154"/>
      <c r="X279" s="154">
        <v>0.88</v>
      </c>
      <c r="Y279" s="154"/>
      <c r="Z279" s="154">
        <v>0.88</v>
      </c>
      <c r="AA279" s="155"/>
      <c r="AB279" s="154"/>
      <c r="AC279" s="154">
        <v>0.88</v>
      </c>
      <c r="AD279" s="158"/>
      <c r="AE279" s="159"/>
      <c r="AF279" s="155"/>
      <c r="AG279" s="155"/>
      <c r="AH279" s="49" t="s">
        <v>418</v>
      </c>
      <c r="AI279" s="98"/>
      <c r="AJ279" s="98"/>
      <c r="AK279" s="98"/>
      <c r="AL279" s="98" t="s">
        <v>128</v>
      </c>
      <c r="AM279" s="98"/>
    </row>
    <row r="280" spans="1:41" ht="31" x14ac:dyDescent="0.6">
      <c r="A280" s="297">
        <v>989810</v>
      </c>
      <c r="B280" s="298" t="s">
        <v>125</v>
      </c>
      <c r="C280" s="166">
        <v>12</v>
      </c>
      <c r="D280" s="158"/>
      <c r="E280" s="166"/>
      <c r="F280" s="198"/>
      <c r="G280" s="198">
        <v>2.44</v>
      </c>
      <c r="H280" s="191"/>
      <c r="I280" s="191"/>
      <c r="J280" s="191"/>
      <c r="K280" s="198"/>
      <c r="L280" s="198">
        <v>3.29</v>
      </c>
      <c r="M280" s="198"/>
      <c r="N280" s="198">
        <v>3.29</v>
      </c>
      <c r="O280" s="198"/>
      <c r="P280" s="198">
        <v>3.29</v>
      </c>
      <c r="Q280" s="156"/>
      <c r="R280" s="198"/>
      <c r="S280" s="198">
        <v>2.44</v>
      </c>
      <c r="T280" s="166"/>
      <c r="U280" s="166"/>
      <c r="V280" s="191"/>
      <c r="W280" s="166"/>
      <c r="X280" s="166">
        <v>2.44</v>
      </c>
      <c r="Y280" s="166"/>
      <c r="Z280" s="166">
        <v>2.44</v>
      </c>
      <c r="AA280" s="156"/>
      <c r="AB280" s="198"/>
      <c r="AC280" s="198">
        <v>2.44</v>
      </c>
      <c r="AD280" s="166"/>
      <c r="AE280" s="166"/>
      <c r="AF280" s="191"/>
      <c r="AG280" s="156"/>
      <c r="AH280" s="49" t="s">
        <v>418</v>
      </c>
      <c r="AI280" s="98"/>
      <c r="AJ280" s="98"/>
      <c r="AK280" s="98"/>
      <c r="AL280" s="98"/>
      <c r="AM280" s="98"/>
    </row>
    <row r="281" spans="1:41" ht="31" x14ac:dyDescent="0.6">
      <c r="A281" s="297">
        <v>989813</v>
      </c>
      <c r="B281" s="298" t="s">
        <v>708</v>
      </c>
      <c r="C281" s="166">
        <v>6</v>
      </c>
      <c r="D281" s="166"/>
      <c r="E281" s="166"/>
      <c r="F281" s="198"/>
      <c r="G281" s="198">
        <v>4.78</v>
      </c>
      <c r="H281" s="166"/>
      <c r="I281" s="166"/>
      <c r="J281" s="191"/>
      <c r="K281" s="198"/>
      <c r="L281" s="198">
        <v>4.78</v>
      </c>
      <c r="M281" s="198"/>
      <c r="N281" s="198">
        <v>4.78</v>
      </c>
      <c r="O281" s="198"/>
      <c r="P281" s="198">
        <v>4.78</v>
      </c>
      <c r="Q281" s="191"/>
      <c r="R281" s="198"/>
      <c r="S281" s="198">
        <v>4.78</v>
      </c>
      <c r="T281" s="166"/>
      <c r="U281" s="159"/>
      <c r="V281" s="191"/>
      <c r="W281" s="157"/>
      <c r="X281" s="157">
        <v>4.78</v>
      </c>
      <c r="Y281" s="157"/>
      <c r="Z281" s="157">
        <v>4.78</v>
      </c>
      <c r="AA281" s="191"/>
      <c r="AB281" s="198"/>
      <c r="AC281" s="198">
        <v>4.78</v>
      </c>
      <c r="AD281" s="166"/>
      <c r="AE281" s="159"/>
      <c r="AF281" s="191"/>
      <c r="AG281" s="191"/>
      <c r="AH281" s="49" t="s">
        <v>418</v>
      </c>
      <c r="AI281" s="66"/>
      <c r="AJ281" s="66"/>
      <c r="AK281" s="66"/>
      <c r="AL281" s="66"/>
      <c r="AM281" s="66"/>
    </row>
    <row r="282" spans="1:41" ht="31" x14ac:dyDescent="0.6">
      <c r="A282" s="297">
        <v>989830</v>
      </c>
      <c r="B282" s="298" t="s">
        <v>629</v>
      </c>
      <c r="C282" s="166">
        <v>12</v>
      </c>
      <c r="D282" s="166"/>
      <c r="E282" s="166"/>
      <c r="F282" s="198"/>
      <c r="G282" s="198">
        <v>5.68</v>
      </c>
      <c r="H282" s="166"/>
      <c r="I282" s="166"/>
      <c r="J282" s="191"/>
      <c r="K282" s="198"/>
      <c r="L282" s="198">
        <v>5.68</v>
      </c>
      <c r="M282" s="198"/>
      <c r="N282" s="198">
        <v>5.68</v>
      </c>
      <c r="O282" s="198"/>
      <c r="P282" s="198">
        <v>5.68</v>
      </c>
      <c r="Q282" s="156"/>
      <c r="R282" s="198"/>
      <c r="S282" s="198">
        <v>5.68</v>
      </c>
      <c r="T282" s="166"/>
      <c r="U282" s="166"/>
      <c r="V282" s="191"/>
      <c r="W282" s="166"/>
      <c r="X282" s="166">
        <v>5.68</v>
      </c>
      <c r="Y282" s="166"/>
      <c r="Z282" s="166">
        <v>5.68</v>
      </c>
      <c r="AA282" s="156"/>
      <c r="AB282" s="198"/>
      <c r="AC282" s="198">
        <v>5.68</v>
      </c>
      <c r="AD282" s="166"/>
      <c r="AE282" s="166"/>
      <c r="AF282" s="191"/>
      <c r="AG282" s="191"/>
      <c r="AH282" s="49" t="s">
        <v>418</v>
      </c>
      <c r="AI282" s="66"/>
      <c r="AJ282" s="66"/>
      <c r="AK282" s="66"/>
      <c r="AL282" s="66"/>
      <c r="AM282" s="66"/>
    </row>
    <row r="283" spans="1:41" ht="31" x14ac:dyDescent="0.6">
      <c r="A283" s="107">
        <v>989086</v>
      </c>
      <c r="B283" s="108" t="s">
        <v>118</v>
      </c>
      <c r="C283" s="109">
        <v>12</v>
      </c>
      <c r="D283" s="158" t="s">
        <v>131</v>
      </c>
      <c r="E283" s="158"/>
      <c r="F283" s="247">
        <v>2.08</v>
      </c>
      <c r="G283" s="247">
        <v>1.98</v>
      </c>
      <c r="H283" s="109" t="s">
        <v>51</v>
      </c>
      <c r="I283" s="109" t="s">
        <v>200</v>
      </c>
      <c r="J283" s="266"/>
      <c r="K283" s="247">
        <v>2.08</v>
      </c>
      <c r="L283" s="247">
        <v>1.98</v>
      </c>
      <c r="M283" s="247">
        <v>2.08</v>
      </c>
      <c r="N283" s="247">
        <v>1.98</v>
      </c>
      <c r="O283" s="247">
        <v>2.08</v>
      </c>
      <c r="P283" s="247">
        <v>1.98</v>
      </c>
      <c r="Q283" s="249"/>
      <c r="R283" s="247">
        <v>2.08</v>
      </c>
      <c r="S283" s="247">
        <v>1.98</v>
      </c>
      <c r="T283" s="109" t="s">
        <v>51</v>
      </c>
      <c r="U283" s="251" t="s">
        <v>200</v>
      </c>
      <c r="V283" s="266"/>
      <c r="W283" s="247">
        <v>2.08</v>
      </c>
      <c r="X283" s="247">
        <v>1.98</v>
      </c>
      <c r="Y283" s="247"/>
      <c r="Z283" s="247">
        <v>2.08</v>
      </c>
      <c r="AA283" s="249"/>
      <c r="AB283" s="247">
        <v>2.08</v>
      </c>
      <c r="AC283" s="247">
        <v>1.98</v>
      </c>
      <c r="AD283" s="109" t="s">
        <v>51</v>
      </c>
      <c r="AE283" s="251" t="s">
        <v>200</v>
      </c>
      <c r="AF283" s="266"/>
      <c r="AG283" s="249"/>
      <c r="AH283" s="49" t="s">
        <v>417</v>
      </c>
      <c r="AI283" s="98" t="s">
        <v>841</v>
      </c>
      <c r="AJ283" s="98" t="s">
        <v>741</v>
      </c>
      <c r="AK283" s="98" t="s">
        <v>742</v>
      </c>
      <c r="AL283" s="98"/>
      <c r="AM283" s="98"/>
      <c r="AO283" s="51"/>
    </row>
    <row r="284" spans="1:41" ht="31" x14ac:dyDescent="0.6">
      <c r="A284" s="158">
        <v>989210</v>
      </c>
      <c r="B284" s="272" t="s">
        <v>396</v>
      </c>
      <c r="C284" s="158">
        <v>6</v>
      </c>
      <c r="D284" s="158"/>
      <c r="E284" s="154"/>
      <c r="F284" s="154"/>
      <c r="G284" s="154">
        <v>3.49</v>
      </c>
      <c r="H284" s="155"/>
      <c r="I284" s="155"/>
      <c r="J284" s="155"/>
      <c r="K284" s="154"/>
      <c r="L284" s="154">
        <v>3.49</v>
      </c>
      <c r="M284" s="154"/>
      <c r="N284" s="154">
        <v>3.49</v>
      </c>
      <c r="O284" s="154"/>
      <c r="P284" s="154">
        <v>3.49</v>
      </c>
      <c r="Q284" s="161"/>
      <c r="R284" s="154"/>
      <c r="S284" s="154">
        <v>3.49</v>
      </c>
      <c r="T284" s="155"/>
      <c r="U284" s="156"/>
      <c r="V284" s="155"/>
      <c r="W284" s="154"/>
      <c r="X284" s="154">
        <v>3.49</v>
      </c>
      <c r="Y284" s="154"/>
      <c r="Z284" s="154">
        <v>3.49</v>
      </c>
      <c r="AA284" s="156"/>
      <c r="AB284" s="154"/>
      <c r="AC284" s="154">
        <v>3.49</v>
      </c>
      <c r="AD284" s="155"/>
      <c r="AE284" s="156"/>
      <c r="AF284" s="155"/>
      <c r="AG284" s="156"/>
      <c r="AH284" s="49" t="s">
        <v>417</v>
      </c>
      <c r="AI284" s="98"/>
      <c r="AJ284" s="98"/>
      <c r="AK284" s="98"/>
      <c r="AL284" s="98" t="s">
        <v>128</v>
      </c>
      <c r="AM284" s="98"/>
    </row>
    <row r="285" spans="1:41" ht="31" x14ac:dyDescent="0.6">
      <c r="A285" s="273">
        <v>989211</v>
      </c>
      <c r="B285" s="272" t="s">
        <v>666</v>
      </c>
      <c r="C285" s="158">
        <v>6</v>
      </c>
      <c r="D285" s="158"/>
      <c r="E285" s="158"/>
      <c r="F285" s="154"/>
      <c r="G285" s="154">
        <v>3.49</v>
      </c>
      <c r="H285" s="158"/>
      <c r="I285" s="158"/>
      <c r="J285" s="155"/>
      <c r="K285" s="154"/>
      <c r="L285" s="154">
        <v>3.49</v>
      </c>
      <c r="M285" s="154"/>
      <c r="N285" s="154">
        <v>3.49</v>
      </c>
      <c r="O285" s="154"/>
      <c r="P285" s="154">
        <v>3.49</v>
      </c>
      <c r="Q285" s="156"/>
      <c r="R285" s="154"/>
      <c r="S285" s="154">
        <v>3.49</v>
      </c>
      <c r="T285" s="158"/>
      <c r="U285" s="159"/>
      <c r="V285" s="155"/>
      <c r="W285" s="158"/>
      <c r="X285" s="158">
        <v>3.49</v>
      </c>
      <c r="Y285" s="158"/>
      <c r="Z285" s="158">
        <v>3.49</v>
      </c>
      <c r="AA285" s="156"/>
      <c r="AB285" s="154"/>
      <c r="AC285" s="154">
        <v>3.49</v>
      </c>
      <c r="AD285" s="158"/>
      <c r="AE285" s="159"/>
      <c r="AF285" s="155"/>
      <c r="AG285" s="156"/>
      <c r="AH285" s="49" t="s">
        <v>417</v>
      </c>
      <c r="AI285" s="98"/>
      <c r="AJ285" s="98"/>
      <c r="AK285" s="98"/>
      <c r="AL285" s="98"/>
      <c r="AM285" s="98"/>
    </row>
    <row r="286" spans="1:41" ht="31" x14ac:dyDescent="0.6">
      <c r="A286" s="158">
        <v>989212</v>
      </c>
      <c r="B286" s="272" t="s">
        <v>395</v>
      </c>
      <c r="C286" s="158">
        <v>6</v>
      </c>
      <c r="D286" s="158"/>
      <c r="E286" s="154"/>
      <c r="F286" s="154"/>
      <c r="G286" s="154">
        <v>3.49</v>
      </c>
      <c r="H286" s="155"/>
      <c r="I286" s="155"/>
      <c r="J286" s="155"/>
      <c r="K286" s="154"/>
      <c r="L286" s="154">
        <v>3.49</v>
      </c>
      <c r="M286" s="154"/>
      <c r="N286" s="154">
        <v>3.49</v>
      </c>
      <c r="O286" s="154"/>
      <c r="P286" s="154">
        <v>3.49</v>
      </c>
      <c r="Q286" s="161"/>
      <c r="R286" s="154"/>
      <c r="S286" s="154">
        <v>3.49</v>
      </c>
      <c r="T286" s="155"/>
      <c r="U286" s="156"/>
      <c r="V286" s="155"/>
      <c r="W286" s="154"/>
      <c r="X286" s="154">
        <v>3.49</v>
      </c>
      <c r="Y286" s="154"/>
      <c r="Z286" s="154">
        <v>3.49</v>
      </c>
      <c r="AA286" s="156"/>
      <c r="AB286" s="154"/>
      <c r="AC286" s="154">
        <v>3.49</v>
      </c>
      <c r="AD286" s="155"/>
      <c r="AE286" s="156"/>
      <c r="AF286" s="155"/>
      <c r="AG286" s="156"/>
      <c r="AH286" s="49" t="s">
        <v>417</v>
      </c>
      <c r="AI286" s="98"/>
      <c r="AJ286" s="98"/>
      <c r="AK286" s="98"/>
      <c r="AL286" s="98" t="s">
        <v>631</v>
      </c>
      <c r="AM286" s="98"/>
    </row>
    <row r="287" spans="1:41" ht="31" x14ac:dyDescent="0.6">
      <c r="A287" s="158">
        <v>264409</v>
      </c>
      <c r="B287" s="272" t="s">
        <v>817</v>
      </c>
      <c r="C287" s="155">
        <v>44864</v>
      </c>
      <c r="D287" s="158"/>
      <c r="E287" s="154"/>
      <c r="F287" s="154"/>
      <c r="G287" s="154"/>
      <c r="H287" s="155"/>
      <c r="I287" s="155"/>
      <c r="J287" s="155"/>
      <c r="K287" s="154"/>
      <c r="L287" s="154">
        <v>4.99</v>
      </c>
      <c r="M287" s="154"/>
      <c r="N287" s="154">
        <v>4.99</v>
      </c>
      <c r="O287" s="154"/>
      <c r="P287" s="154">
        <v>4.99</v>
      </c>
      <c r="Q287" s="161"/>
      <c r="R287" s="154"/>
      <c r="S287" s="154"/>
      <c r="T287" s="155"/>
      <c r="U287" s="156"/>
      <c r="V287" s="155"/>
      <c r="W287" s="154"/>
      <c r="X287" s="154"/>
      <c r="Y287" s="154"/>
      <c r="Z287" s="154"/>
      <c r="AA287" s="156"/>
      <c r="AB287" s="154"/>
      <c r="AC287" s="154"/>
      <c r="AD287" s="155"/>
      <c r="AE287" s="156"/>
      <c r="AF287" s="155"/>
      <c r="AG287" s="156"/>
      <c r="AH287" s="49" t="s">
        <v>201</v>
      </c>
      <c r="AI287" s="98"/>
      <c r="AJ287" s="98"/>
      <c r="AK287" s="98"/>
      <c r="AL287" s="98"/>
      <c r="AM287" s="98"/>
    </row>
    <row r="288" spans="1:41" ht="31" x14ac:dyDescent="0.6">
      <c r="A288" s="158">
        <v>990083</v>
      </c>
      <c r="B288" s="272" t="s">
        <v>816</v>
      </c>
      <c r="C288" s="155">
        <v>44839</v>
      </c>
      <c r="D288" s="158"/>
      <c r="E288" s="154"/>
      <c r="F288" s="154"/>
      <c r="G288" s="154">
        <v>12.99</v>
      </c>
      <c r="H288" s="155"/>
      <c r="I288" s="155"/>
      <c r="J288" s="155"/>
      <c r="K288" s="154"/>
      <c r="L288" s="154">
        <v>12.99</v>
      </c>
      <c r="M288" s="154"/>
      <c r="N288" s="154">
        <v>12.99</v>
      </c>
      <c r="O288" s="154"/>
      <c r="P288" s="154">
        <v>12.99</v>
      </c>
      <c r="Q288" s="161"/>
      <c r="R288" s="154"/>
      <c r="S288" s="154">
        <v>12.99</v>
      </c>
      <c r="T288" s="155"/>
      <c r="U288" s="156"/>
      <c r="V288" s="155"/>
      <c r="W288" s="154"/>
      <c r="X288" s="154">
        <v>12.99</v>
      </c>
      <c r="Y288" s="154"/>
      <c r="Z288" s="154">
        <v>12.99</v>
      </c>
      <c r="AA288" s="156"/>
      <c r="AB288" s="154"/>
      <c r="AC288" s="154">
        <v>12.99</v>
      </c>
      <c r="AD288" s="155"/>
      <c r="AE288" s="156"/>
      <c r="AF288" s="155"/>
      <c r="AG288" s="156"/>
      <c r="AH288" s="49" t="s">
        <v>201</v>
      </c>
      <c r="AI288" s="98"/>
      <c r="AJ288" s="98"/>
      <c r="AK288" s="98"/>
      <c r="AL288" s="98"/>
      <c r="AM288" s="98"/>
    </row>
    <row r="289" spans="1:39" ht="31" x14ac:dyDescent="0.6">
      <c r="A289" s="158">
        <v>992951</v>
      </c>
      <c r="B289" s="272" t="s">
        <v>815</v>
      </c>
      <c r="C289" s="155">
        <v>44839</v>
      </c>
      <c r="D289" s="158"/>
      <c r="E289" s="154"/>
      <c r="F289" s="154"/>
      <c r="G289" s="154">
        <v>3.99</v>
      </c>
      <c r="H289" s="155"/>
      <c r="I289" s="155"/>
      <c r="J289" s="155"/>
      <c r="K289" s="154"/>
      <c r="L289" s="154">
        <v>3.99</v>
      </c>
      <c r="M289" s="154"/>
      <c r="N289" s="154">
        <v>3.99</v>
      </c>
      <c r="O289" s="154"/>
      <c r="P289" s="154">
        <v>3.99</v>
      </c>
      <c r="Q289" s="161"/>
      <c r="R289" s="154"/>
      <c r="S289" s="154">
        <v>3.99</v>
      </c>
      <c r="T289" s="155"/>
      <c r="U289" s="156"/>
      <c r="V289" s="155"/>
      <c r="W289" s="154"/>
      <c r="X289" s="154">
        <v>3.99</v>
      </c>
      <c r="Y289" s="154"/>
      <c r="Z289" s="154">
        <v>3.99</v>
      </c>
      <c r="AA289" s="156"/>
      <c r="AB289" s="154"/>
      <c r="AC289" s="154">
        <v>3.99</v>
      </c>
      <c r="AD289" s="155"/>
      <c r="AE289" s="156"/>
      <c r="AF289" s="155"/>
      <c r="AG289" s="156"/>
      <c r="AH289" s="49" t="s">
        <v>201</v>
      </c>
      <c r="AI289" s="98"/>
      <c r="AJ289" s="98"/>
      <c r="AK289" s="98"/>
      <c r="AL289" s="98"/>
      <c r="AM289" s="98"/>
    </row>
    <row r="290" spans="1:39" ht="31" x14ac:dyDescent="0.6">
      <c r="A290" s="158">
        <v>992956</v>
      </c>
      <c r="B290" s="272" t="s">
        <v>814</v>
      </c>
      <c r="C290" s="155">
        <v>44839</v>
      </c>
      <c r="D290" s="158"/>
      <c r="E290" s="154"/>
      <c r="F290" s="154"/>
      <c r="G290" s="154">
        <v>8.99</v>
      </c>
      <c r="H290" s="155"/>
      <c r="I290" s="155"/>
      <c r="J290" s="155"/>
      <c r="K290" s="154"/>
      <c r="L290" s="154">
        <v>8.99</v>
      </c>
      <c r="M290" s="154"/>
      <c r="N290" s="154">
        <v>8.99</v>
      </c>
      <c r="O290" s="154"/>
      <c r="P290" s="154">
        <v>8.99</v>
      </c>
      <c r="Q290" s="161"/>
      <c r="R290" s="154"/>
      <c r="S290" s="154">
        <v>8.99</v>
      </c>
      <c r="T290" s="155"/>
      <c r="U290" s="156"/>
      <c r="V290" s="155"/>
      <c r="W290" s="154"/>
      <c r="X290" s="154">
        <v>8.99</v>
      </c>
      <c r="Y290" s="154"/>
      <c r="Z290" s="154">
        <v>8.99</v>
      </c>
      <c r="AA290" s="156"/>
      <c r="AB290" s="154"/>
      <c r="AC290" s="154">
        <v>8.99</v>
      </c>
      <c r="AD290" s="155"/>
      <c r="AE290" s="156"/>
      <c r="AF290" s="155"/>
      <c r="AG290" s="156"/>
      <c r="AH290" s="49" t="s">
        <v>201</v>
      </c>
      <c r="AI290" s="98"/>
      <c r="AJ290" s="98"/>
      <c r="AK290" s="98"/>
      <c r="AL290" s="98"/>
      <c r="AM290" s="98"/>
    </row>
    <row r="291" spans="1:39" ht="31" x14ac:dyDescent="0.6">
      <c r="A291" s="158">
        <v>992994</v>
      </c>
      <c r="B291" s="272" t="s">
        <v>802</v>
      </c>
      <c r="C291" s="155">
        <v>44832</v>
      </c>
      <c r="D291" s="158"/>
      <c r="E291" s="154"/>
      <c r="F291" s="154"/>
      <c r="G291" s="154">
        <v>5.99</v>
      </c>
      <c r="H291" s="155"/>
      <c r="I291" s="155"/>
      <c r="J291" s="155"/>
      <c r="K291" s="154"/>
      <c r="L291" s="154">
        <v>5.99</v>
      </c>
      <c r="M291" s="154"/>
      <c r="N291" s="154">
        <v>5.99</v>
      </c>
      <c r="O291" s="154"/>
      <c r="P291" s="154">
        <v>5.99</v>
      </c>
      <c r="Q291" s="161"/>
      <c r="R291" s="154"/>
      <c r="S291" s="154">
        <v>5.99</v>
      </c>
      <c r="T291" s="155"/>
      <c r="U291" s="156"/>
      <c r="V291" s="155"/>
      <c r="W291" s="154"/>
      <c r="X291" s="154">
        <v>5.99</v>
      </c>
      <c r="Y291" s="154"/>
      <c r="Z291" s="154">
        <v>5.99</v>
      </c>
      <c r="AA291" s="156"/>
      <c r="AB291" s="154"/>
      <c r="AC291" s="154">
        <v>5.99</v>
      </c>
      <c r="AD291" s="155"/>
      <c r="AE291" s="156"/>
      <c r="AF291" s="155"/>
      <c r="AG291" s="156"/>
      <c r="AH291" s="49" t="s">
        <v>201</v>
      </c>
      <c r="AI291" s="98"/>
      <c r="AJ291" s="98"/>
      <c r="AK291" s="98"/>
      <c r="AL291" s="98"/>
      <c r="AM291" s="98"/>
    </row>
    <row r="292" spans="1:39" ht="31" x14ac:dyDescent="0.6">
      <c r="A292" s="158">
        <v>992992</v>
      </c>
      <c r="B292" s="272" t="s">
        <v>801</v>
      </c>
      <c r="C292" s="155">
        <v>44925</v>
      </c>
      <c r="D292" s="158"/>
      <c r="E292" s="154"/>
      <c r="F292" s="154"/>
      <c r="G292" s="154">
        <v>6.99</v>
      </c>
      <c r="H292" s="155"/>
      <c r="I292" s="155"/>
      <c r="J292" s="155"/>
      <c r="K292" s="154"/>
      <c r="L292" s="154">
        <v>6.99</v>
      </c>
      <c r="M292" s="154"/>
      <c r="N292" s="154">
        <v>6.99</v>
      </c>
      <c r="O292" s="154"/>
      <c r="P292" s="154">
        <v>6.99</v>
      </c>
      <c r="Q292" s="161"/>
      <c r="R292" s="154"/>
      <c r="S292" s="154">
        <v>6.99</v>
      </c>
      <c r="T292" s="155"/>
      <c r="U292" s="156"/>
      <c r="V292" s="155"/>
      <c r="W292" s="154"/>
      <c r="X292" s="154">
        <v>6.99</v>
      </c>
      <c r="Y292" s="154"/>
      <c r="Z292" s="154">
        <v>6.99</v>
      </c>
      <c r="AA292" s="156"/>
      <c r="AB292" s="154"/>
      <c r="AC292" s="154">
        <v>6.99</v>
      </c>
      <c r="AD292" s="155"/>
      <c r="AE292" s="156"/>
      <c r="AF292" s="155"/>
      <c r="AG292" s="156"/>
      <c r="AH292" s="49" t="s">
        <v>201</v>
      </c>
      <c r="AI292" s="98"/>
      <c r="AJ292" s="98"/>
      <c r="AK292" s="98"/>
      <c r="AL292" s="98"/>
      <c r="AM292" s="98"/>
    </row>
    <row r="293" spans="1:39" ht="31" x14ac:dyDescent="0.6">
      <c r="A293" s="158">
        <v>994161</v>
      </c>
      <c r="B293" s="272" t="s">
        <v>798</v>
      </c>
      <c r="C293" s="155">
        <v>44925</v>
      </c>
      <c r="D293" s="158"/>
      <c r="E293" s="154"/>
      <c r="F293" s="154"/>
      <c r="G293" s="154">
        <v>0.99</v>
      </c>
      <c r="H293" s="155"/>
      <c r="I293" s="155"/>
      <c r="J293" s="155"/>
      <c r="K293" s="154"/>
      <c r="L293" s="154">
        <v>0.99</v>
      </c>
      <c r="M293" s="154"/>
      <c r="N293" s="154">
        <v>0.99</v>
      </c>
      <c r="O293" s="154"/>
      <c r="P293" s="154">
        <v>0.99</v>
      </c>
      <c r="Q293" s="161"/>
      <c r="R293" s="154"/>
      <c r="S293" s="154">
        <v>0.99</v>
      </c>
      <c r="T293" s="155"/>
      <c r="U293" s="156"/>
      <c r="V293" s="155"/>
      <c r="W293" s="154"/>
      <c r="X293" s="154">
        <v>0.99</v>
      </c>
      <c r="Y293" s="154"/>
      <c r="Z293" s="154">
        <v>0.99</v>
      </c>
      <c r="AA293" s="156"/>
      <c r="AB293" s="154"/>
      <c r="AC293" s="154">
        <v>0.99</v>
      </c>
      <c r="AD293" s="155"/>
      <c r="AE293" s="156"/>
      <c r="AF293" s="155"/>
      <c r="AG293" s="156"/>
      <c r="AH293" s="49" t="s">
        <v>201</v>
      </c>
      <c r="AI293" s="98"/>
      <c r="AJ293" s="98"/>
      <c r="AK293" s="98"/>
      <c r="AL293" s="98"/>
      <c r="AM293" s="98"/>
    </row>
    <row r="294" spans="1:39" ht="31" x14ac:dyDescent="0.6">
      <c r="A294" s="158">
        <v>994163</v>
      </c>
      <c r="B294" s="272" t="s">
        <v>797</v>
      </c>
      <c r="C294" s="155">
        <v>44925</v>
      </c>
      <c r="D294" s="158"/>
      <c r="E294" s="154"/>
      <c r="F294" s="154"/>
      <c r="G294" s="154">
        <v>0.99</v>
      </c>
      <c r="H294" s="155"/>
      <c r="I294" s="155"/>
      <c r="J294" s="155"/>
      <c r="K294" s="154"/>
      <c r="L294" s="154">
        <v>0.99</v>
      </c>
      <c r="M294" s="154"/>
      <c r="N294" s="154">
        <v>0.99</v>
      </c>
      <c r="O294" s="154"/>
      <c r="P294" s="154">
        <v>0.99</v>
      </c>
      <c r="Q294" s="161"/>
      <c r="R294" s="154"/>
      <c r="S294" s="154">
        <v>0.99</v>
      </c>
      <c r="T294" s="155"/>
      <c r="U294" s="156"/>
      <c r="V294" s="155"/>
      <c r="W294" s="154"/>
      <c r="X294" s="154">
        <v>0.99</v>
      </c>
      <c r="Y294" s="154"/>
      <c r="Z294" s="154">
        <v>0.99</v>
      </c>
      <c r="AA294" s="156"/>
      <c r="AB294" s="154"/>
      <c r="AC294" s="154">
        <v>0.99</v>
      </c>
      <c r="AD294" s="155"/>
      <c r="AE294" s="156"/>
      <c r="AF294" s="155"/>
      <c r="AG294" s="156"/>
      <c r="AH294" s="49" t="s">
        <v>201</v>
      </c>
      <c r="AI294" s="98"/>
      <c r="AJ294" s="98"/>
      <c r="AK294" s="98"/>
      <c r="AL294" s="98"/>
      <c r="AM294" s="98"/>
    </row>
    <row r="295" spans="1:39" ht="31" x14ac:dyDescent="0.6">
      <c r="A295" s="158">
        <v>994155</v>
      </c>
      <c r="B295" s="272" t="s">
        <v>796</v>
      </c>
      <c r="C295" s="155">
        <v>44925</v>
      </c>
      <c r="D295" s="158"/>
      <c r="E295" s="154"/>
      <c r="F295" s="154"/>
      <c r="G295" s="154">
        <v>9.99</v>
      </c>
      <c r="H295" s="155"/>
      <c r="I295" s="155"/>
      <c r="J295" s="155"/>
      <c r="K295" s="154"/>
      <c r="L295" s="154">
        <v>9.99</v>
      </c>
      <c r="M295" s="154"/>
      <c r="N295" s="154">
        <v>9.99</v>
      </c>
      <c r="O295" s="154"/>
      <c r="P295" s="154">
        <v>9.99</v>
      </c>
      <c r="Q295" s="161"/>
      <c r="R295" s="154"/>
      <c r="S295" s="154">
        <v>9.99</v>
      </c>
      <c r="T295" s="155"/>
      <c r="U295" s="156"/>
      <c r="V295" s="155"/>
      <c r="W295" s="154"/>
      <c r="X295" s="154">
        <v>9.99</v>
      </c>
      <c r="Y295" s="154"/>
      <c r="Z295" s="154">
        <v>9.99</v>
      </c>
      <c r="AA295" s="156"/>
      <c r="AB295" s="154"/>
      <c r="AC295" s="154">
        <v>9.99</v>
      </c>
      <c r="AD295" s="155"/>
      <c r="AE295" s="156"/>
      <c r="AF295" s="155"/>
      <c r="AG295" s="156"/>
      <c r="AH295" s="49" t="s">
        <v>201</v>
      </c>
      <c r="AI295" s="98"/>
      <c r="AJ295" s="98"/>
      <c r="AK295" s="98"/>
      <c r="AL295" s="98"/>
      <c r="AM295" s="98"/>
    </row>
    <row r="296" spans="1:39" ht="31" x14ac:dyDescent="0.6">
      <c r="A296" s="158">
        <v>994156</v>
      </c>
      <c r="B296" s="272" t="s">
        <v>795</v>
      </c>
      <c r="C296" s="155">
        <v>44925</v>
      </c>
      <c r="D296" s="158"/>
      <c r="E296" s="154"/>
      <c r="F296" s="154"/>
      <c r="G296" s="154">
        <v>3.99</v>
      </c>
      <c r="H296" s="155"/>
      <c r="I296" s="155"/>
      <c r="J296" s="155"/>
      <c r="K296" s="154"/>
      <c r="L296" s="154">
        <v>3.99</v>
      </c>
      <c r="M296" s="154"/>
      <c r="N296" s="154">
        <v>3.99</v>
      </c>
      <c r="O296" s="154"/>
      <c r="P296" s="154">
        <v>3.99</v>
      </c>
      <c r="Q296" s="161"/>
      <c r="R296" s="154"/>
      <c r="S296" s="154">
        <v>3.99</v>
      </c>
      <c r="T296" s="155"/>
      <c r="U296" s="156"/>
      <c r="V296" s="155"/>
      <c r="W296" s="154"/>
      <c r="X296" s="154">
        <v>3.99</v>
      </c>
      <c r="Y296" s="154"/>
      <c r="Z296" s="154">
        <v>3.99</v>
      </c>
      <c r="AA296" s="156"/>
      <c r="AB296" s="154"/>
      <c r="AC296" s="154">
        <v>3.99</v>
      </c>
      <c r="AD296" s="155"/>
      <c r="AE296" s="156"/>
      <c r="AF296" s="155"/>
      <c r="AG296" s="156"/>
      <c r="AH296" s="49" t="s">
        <v>201</v>
      </c>
      <c r="AI296" s="98"/>
      <c r="AJ296" s="98"/>
      <c r="AK296" s="98"/>
      <c r="AL296" s="98"/>
      <c r="AM296" s="98"/>
    </row>
    <row r="297" spans="1:39" ht="31" x14ac:dyDescent="0.6">
      <c r="A297" s="158">
        <v>994154</v>
      </c>
      <c r="B297" s="272" t="s">
        <v>794</v>
      </c>
      <c r="C297" s="155">
        <v>44925</v>
      </c>
      <c r="D297" s="158"/>
      <c r="E297" s="154"/>
      <c r="F297" s="154"/>
      <c r="G297" s="154">
        <v>0.99</v>
      </c>
      <c r="H297" s="155"/>
      <c r="I297" s="155"/>
      <c r="J297" s="155"/>
      <c r="K297" s="154"/>
      <c r="L297" s="154">
        <v>0.99</v>
      </c>
      <c r="M297" s="154"/>
      <c r="N297" s="154">
        <v>0.99</v>
      </c>
      <c r="O297" s="154"/>
      <c r="P297" s="154">
        <v>0.99</v>
      </c>
      <c r="Q297" s="161"/>
      <c r="R297" s="154"/>
      <c r="S297" s="154">
        <v>0.99</v>
      </c>
      <c r="T297" s="155"/>
      <c r="U297" s="156"/>
      <c r="V297" s="155"/>
      <c r="W297" s="154"/>
      <c r="X297" s="154">
        <v>0.99</v>
      </c>
      <c r="Y297" s="154"/>
      <c r="Z297" s="154">
        <v>0.99</v>
      </c>
      <c r="AA297" s="156"/>
      <c r="AB297" s="154"/>
      <c r="AC297" s="154">
        <v>0.99</v>
      </c>
      <c r="AD297" s="155"/>
      <c r="AE297" s="156"/>
      <c r="AF297" s="155"/>
      <c r="AG297" s="156"/>
      <c r="AH297" s="49" t="s">
        <v>201</v>
      </c>
      <c r="AI297" s="98"/>
      <c r="AJ297" s="98"/>
      <c r="AK297" s="98"/>
      <c r="AL297" s="98"/>
      <c r="AM297" s="98"/>
    </row>
    <row r="298" spans="1:39" ht="31" x14ac:dyDescent="0.6">
      <c r="A298" s="158">
        <v>994153</v>
      </c>
      <c r="B298" s="272" t="s">
        <v>793</v>
      </c>
      <c r="C298" s="155">
        <v>44925</v>
      </c>
      <c r="D298" s="158"/>
      <c r="E298" s="154"/>
      <c r="F298" s="154"/>
      <c r="G298" s="154">
        <v>3.99</v>
      </c>
      <c r="H298" s="155"/>
      <c r="I298" s="155"/>
      <c r="J298" s="155"/>
      <c r="K298" s="154"/>
      <c r="L298" s="154">
        <v>3.99</v>
      </c>
      <c r="M298" s="154"/>
      <c r="N298" s="154">
        <v>3.99</v>
      </c>
      <c r="O298" s="154"/>
      <c r="P298" s="154">
        <v>3.99</v>
      </c>
      <c r="Q298" s="161"/>
      <c r="R298" s="154"/>
      <c r="S298" s="154">
        <v>3.99</v>
      </c>
      <c r="T298" s="155"/>
      <c r="U298" s="156"/>
      <c r="V298" s="155"/>
      <c r="W298" s="154"/>
      <c r="X298" s="154">
        <v>3.99</v>
      </c>
      <c r="Y298" s="154"/>
      <c r="Z298" s="154">
        <v>3.99</v>
      </c>
      <c r="AA298" s="156"/>
      <c r="AB298" s="154"/>
      <c r="AC298" s="154">
        <v>3.99</v>
      </c>
      <c r="AD298" s="155"/>
      <c r="AE298" s="156"/>
      <c r="AF298" s="155"/>
      <c r="AG298" s="156"/>
      <c r="AH298" s="49" t="s">
        <v>201</v>
      </c>
      <c r="AI298" s="98"/>
      <c r="AJ298" s="98"/>
      <c r="AK298" s="98"/>
      <c r="AL298" s="98"/>
      <c r="AM298" s="98"/>
    </row>
    <row r="299" spans="1:39" ht="31" x14ac:dyDescent="0.6">
      <c r="A299" s="158">
        <v>994150</v>
      </c>
      <c r="B299" s="272" t="s">
        <v>792</v>
      </c>
      <c r="C299" s="155">
        <v>44925</v>
      </c>
      <c r="D299" s="158"/>
      <c r="E299" s="154"/>
      <c r="F299" s="154"/>
      <c r="G299" s="154">
        <v>3.99</v>
      </c>
      <c r="H299" s="155"/>
      <c r="I299" s="155"/>
      <c r="J299" s="155"/>
      <c r="K299" s="154"/>
      <c r="L299" s="154">
        <v>3.99</v>
      </c>
      <c r="M299" s="154"/>
      <c r="N299" s="154">
        <v>3.99</v>
      </c>
      <c r="O299" s="154"/>
      <c r="P299" s="154">
        <v>3.99</v>
      </c>
      <c r="Q299" s="161"/>
      <c r="R299" s="154"/>
      <c r="S299" s="154">
        <v>3.99</v>
      </c>
      <c r="T299" s="155"/>
      <c r="U299" s="156"/>
      <c r="V299" s="155"/>
      <c r="W299" s="154"/>
      <c r="X299" s="154">
        <v>3.99</v>
      </c>
      <c r="Y299" s="154"/>
      <c r="Z299" s="154">
        <v>3.99</v>
      </c>
      <c r="AA299" s="156"/>
      <c r="AB299" s="154"/>
      <c r="AC299" s="154">
        <v>3.99</v>
      </c>
      <c r="AD299" s="155"/>
      <c r="AE299" s="156"/>
      <c r="AF299" s="155"/>
      <c r="AG299" s="156"/>
      <c r="AH299" s="49" t="s">
        <v>201</v>
      </c>
      <c r="AI299" s="98"/>
      <c r="AJ299" s="98"/>
      <c r="AK299" s="98"/>
      <c r="AL299" s="98"/>
      <c r="AM299" s="98"/>
    </row>
    <row r="300" spans="1:39" ht="31" x14ac:dyDescent="0.6">
      <c r="A300" s="158">
        <v>992973</v>
      </c>
      <c r="B300" s="272" t="s">
        <v>790</v>
      </c>
      <c r="C300" s="155">
        <v>44828</v>
      </c>
      <c r="D300" s="158"/>
      <c r="E300" s="154"/>
      <c r="F300" s="154"/>
      <c r="G300" s="154">
        <v>5.99</v>
      </c>
      <c r="H300" s="155"/>
      <c r="I300" s="155"/>
      <c r="J300" s="155"/>
      <c r="K300" s="154"/>
      <c r="L300" s="154">
        <v>5.99</v>
      </c>
      <c r="M300" s="154"/>
      <c r="N300" s="154">
        <v>5.99</v>
      </c>
      <c r="O300" s="154"/>
      <c r="P300" s="154">
        <v>5.99</v>
      </c>
      <c r="Q300" s="161"/>
      <c r="R300" s="154"/>
      <c r="S300" s="154">
        <v>5.99</v>
      </c>
      <c r="T300" s="155"/>
      <c r="U300" s="156"/>
      <c r="V300" s="155"/>
      <c r="W300" s="154"/>
      <c r="X300" s="154">
        <v>5.99</v>
      </c>
      <c r="Y300" s="154"/>
      <c r="Z300" s="154">
        <v>5.99</v>
      </c>
      <c r="AA300" s="156"/>
      <c r="AB300" s="154"/>
      <c r="AC300" s="154">
        <v>5.99</v>
      </c>
      <c r="AD300" s="155"/>
      <c r="AE300" s="156"/>
      <c r="AF300" s="155"/>
      <c r="AG300" s="156"/>
      <c r="AH300" s="49" t="s">
        <v>201</v>
      </c>
      <c r="AI300" s="98"/>
      <c r="AJ300" s="98"/>
      <c r="AK300" s="98"/>
      <c r="AL300" s="98"/>
      <c r="AM300" s="98"/>
    </row>
    <row r="301" spans="1:39" ht="31" x14ac:dyDescent="0.6">
      <c r="A301" s="158">
        <v>990840</v>
      </c>
      <c r="B301" s="272" t="s">
        <v>779</v>
      </c>
      <c r="C301" s="158" t="s">
        <v>202</v>
      </c>
      <c r="D301" s="158"/>
      <c r="E301" s="154"/>
      <c r="F301" s="154"/>
      <c r="G301" s="154">
        <v>4.99</v>
      </c>
      <c r="H301" s="155"/>
      <c r="I301" s="155"/>
      <c r="J301" s="155"/>
      <c r="K301" s="154"/>
      <c r="L301" s="154">
        <v>4.99</v>
      </c>
      <c r="M301" s="154"/>
      <c r="N301" s="154">
        <v>4.99</v>
      </c>
      <c r="O301" s="154"/>
      <c r="P301" s="154">
        <v>4.99</v>
      </c>
      <c r="Q301" s="161"/>
      <c r="R301" s="154"/>
      <c r="S301" s="154">
        <v>4.99</v>
      </c>
      <c r="T301" s="155" t="s">
        <v>51</v>
      </c>
      <c r="U301" s="156"/>
      <c r="V301" s="155"/>
      <c r="W301" s="154"/>
      <c r="X301" s="154">
        <v>4.99</v>
      </c>
      <c r="Y301" s="154"/>
      <c r="Z301" s="154">
        <v>4.99</v>
      </c>
      <c r="AA301" s="156" t="s">
        <v>638</v>
      </c>
      <c r="AB301" s="154"/>
      <c r="AC301" s="154">
        <v>3.99</v>
      </c>
      <c r="AD301" s="155"/>
      <c r="AE301" s="156"/>
      <c r="AF301" s="155"/>
      <c r="AG301" s="156"/>
      <c r="AH301" s="49" t="s">
        <v>201</v>
      </c>
      <c r="AI301" s="98"/>
      <c r="AJ301" s="98"/>
      <c r="AK301" s="98"/>
      <c r="AL301" s="98"/>
      <c r="AM301" s="98"/>
    </row>
    <row r="302" spans="1:39" ht="31" x14ac:dyDescent="0.6">
      <c r="A302" s="158">
        <v>248459</v>
      </c>
      <c r="B302" s="272" t="s">
        <v>765</v>
      </c>
      <c r="C302" s="155">
        <v>44864</v>
      </c>
      <c r="D302" s="158"/>
      <c r="E302" s="154"/>
      <c r="F302" s="154"/>
      <c r="G302" s="154"/>
      <c r="H302" s="155" t="s">
        <v>6</v>
      </c>
      <c r="I302" s="155" t="s">
        <v>7</v>
      </c>
      <c r="J302" s="155">
        <v>44824</v>
      </c>
      <c r="K302" s="154"/>
      <c r="L302" s="154">
        <v>4.99</v>
      </c>
      <c r="M302" s="154"/>
      <c r="N302" s="154">
        <v>4.99</v>
      </c>
      <c r="O302" s="154"/>
      <c r="P302" s="154">
        <v>4.99</v>
      </c>
      <c r="Q302" s="161"/>
      <c r="R302" s="154"/>
      <c r="S302" s="154"/>
      <c r="T302" s="155"/>
      <c r="U302" s="156"/>
      <c r="V302" s="155"/>
      <c r="W302" s="154"/>
      <c r="X302" s="154"/>
      <c r="Y302" s="154"/>
      <c r="Z302" s="154"/>
      <c r="AA302" s="156"/>
      <c r="AB302" s="154"/>
      <c r="AC302" s="154"/>
      <c r="AD302" s="155"/>
      <c r="AE302" s="156"/>
      <c r="AF302" s="155"/>
      <c r="AG302" s="156"/>
      <c r="AH302" s="49" t="s">
        <v>201</v>
      </c>
      <c r="AI302" s="98"/>
      <c r="AJ302" s="98"/>
      <c r="AK302" s="98"/>
      <c r="AL302" s="98"/>
      <c r="AM302" s="98"/>
    </row>
    <row r="303" spans="1:39" ht="31" x14ac:dyDescent="0.6">
      <c r="A303" s="273">
        <v>990000</v>
      </c>
      <c r="B303" s="272" t="s">
        <v>591</v>
      </c>
      <c r="C303" s="158" t="s">
        <v>202</v>
      </c>
      <c r="D303" s="158"/>
      <c r="E303" s="158"/>
      <c r="F303" s="154"/>
      <c r="G303" s="154">
        <v>9.99</v>
      </c>
      <c r="H303" s="158"/>
      <c r="I303" s="154"/>
      <c r="J303" s="155"/>
      <c r="K303" s="154"/>
      <c r="L303" s="154">
        <v>9.99</v>
      </c>
      <c r="M303" s="154"/>
      <c r="N303" s="154">
        <v>9.99</v>
      </c>
      <c r="O303" s="154"/>
      <c r="P303" s="154">
        <v>9.99</v>
      </c>
      <c r="Q303" s="156"/>
      <c r="R303" s="154"/>
      <c r="S303" s="154">
        <v>9.99</v>
      </c>
      <c r="T303" s="158"/>
      <c r="U303" s="157"/>
      <c r="V303" s="155"/>
      <c r="W303" s="158"/>
      <c r="X303" s="154">
        <v>9.99</v>
      </c>
      <c r="Y303" s="158"/>
      <c r="Z303" s="154">
        <v>9.99</v>
      </c>
      <c r="AA303" s="156"/>
      <c r="AB303" s="154"/>
      <c r="AC303" s="154">
        <v>9.99</v>
      </c>
      <c r="AD303" s="158"/>
      <c r="AE303" s="157"/>
      <c r="AF303" s="155"/>
      <c r="AG303" s="156"/>
      <c r="AH303" s="49" t="s">
        <v>201</v>
      </c>
      <c r="AI303" s="98"/>
      <c r="AJ303" s="98"/>
      <c r="AK303" s="98"/>
      <c r="AL303" s="98"/>
      <c r="AM303" s="98"/>
    </row>
    <row r="304" spans="1:39" ht="31" x14ac:dyDescent="0.6">
      <c r="A304" s="158">
        <v>990003</v>
      </c>
      <c r="B304" s="272" t="s">
        <v>762</v>
      </c>
      <c r="C304" s="155">
        <v>44832</v>
      </c>
      <c r="D304" s="158"/>
      <c r="E304" s="154"/>
      <c r="F304" s="154"/>
      <c r="G304" s="154">
        <v>3.99</v>
      </c>
      <c r="H304" s="155"/>
      <c r="I304" s="155"/>
      <c r="J304" s="155"/>
      <c r="K304" s="154"/>
      <c r="L304" s="154">
        <v>3.99</v>
      </c>
      <c r="M304" s="154"/>
      <c r="N304" s="154">
        <v>3.99</v>
      </c>
      <c r="O304" s="154"/>
      <c r="P304" s="154">
        <v>3.99</v>
      </c>
      <c r="Q304" s="161"/>
      <c r="R304" s="154"/>
      <c r="S304" s="154">
        <v>3.99</v>
      </c>
      <c r="T304" s="155"/>
      <c r="U304" s="156"/>
      <c r="V304" s="155"/>
      <c r="W304" s="154"/>
      <c r="X304" s="154">
        <v>3.99</v>
      </c>
      <c r="Y304" s="154"/>
      <c r="Z304" s="154">
        <v>3.99</v>
      </c>
      <c r="AA304" s="156"/>
      <c r="AB304" s="154"/>
      <c r="AC304" s="154">
        <v>3.99</v>
      </c>
      <c r="AD304" s="155"/>
      <c r="AE304" s="156"/>
      <c r="AF304" s="155"/>
      <c r="AG304" s="156"/>
      <c r="AH304" s="49" t="s">
        <v>201</v>
      </c>
      <c r="AI304" s="98"/>
      <c r="AJ304" s="98"/>
      <c r="AK304" s="98"/>
      <c r="AL304" s="98"/>
      <c r="AM304" s="98"/>
    </row>
    <row r="305" spans="1:39" ht="31" x14ac:dyDescent="0.6">
      <c r="A305" s="273">
        <v>990062</v>
      </c>
      <c r="B305" s="272" t="s">
        <v>586</v>
      </c>
      <c r="C305" s="155" t="s">
        <v>202</v>
      </c>
      <c r="D305" s="158"/>
      <c r="E305" s="158"/>
      <c r="F305" s="154"/>
      <c r="G305" s="154">
        <v>7.99</v>
      </c>
      <c r="H305" s="158"/>
      <c r="I305" s="158"/>
      <c r="J305" s="155"/>
      <c r="K305" s="154"/>
      <c r="L305" s="154">
        <v>7.99</v>
      </c>
      <c r="M305" s="154"/>
      <c r="N305" s="154">
        <v>7.99</v>
      </c>
      <c r="O305" s="154"/>
      <c r="P305" s="154">
        <v>7.99</v>
      </c>
      <c r="Q305" s="156"/>
      <c r="R305" s="154"/>
      <c r="S305" s="154">
        <v>7.99</v>
      </c>
      <c r="T305" s="158"/>
      <c r="U305" s="158"/>
      <c r="V305" s="155"/>
      <c r="W305" s="158"/>
      <c r="X305" s="158">
        <v>7.99</v>
      </c>
      <c r="Y305" s="158"/>
      <c r="Z305" s="158">
        <v>7.99</v>
      </c>
      <c r="AA305" s="156"/>
      <c r="AB305" s="154"/>
      <c r="AC305" s="154">
        <v>7.99</v>
      </c>
      <c r="AD305" s="155"/>
      <c r="AE305" s="158"/>
      <c r="AF305" s="155"/>
      <c r="AG305" s="156"/>
      <c r="AH305" s="49" t="s">
        <v>201</v>
      </c>
      <c r="AI305" s="98"/>
      <c r="AJ305" s="98"/>
      <c r="AK305" s="98"/>
      <c r="AL305" s="98"/>
      <c r="AM305" s="98"/>
    </row>
    <row r="306" spans="1:39" ht="31" x14ac:dyDescent="0.6">
      <c r="A306" s="158">
        <v>990066</v>
      </c>
      <c r="B306" s="272" t="s">
        <v>780</v>
      </c>
      <c r="C306" s="155">
        <v>44825</v>
      </c>
      <c r="D306" s="158"/>
      <c r="E306" s="154"/>
      <c r="F306" s="154">
        <v>3.99</v>
      </c>
      <c r="G306" s="154">
        <v>2.99</v>
      </c>
      <c r="H306" s="155"/>
      <c r="I306" s="155"/>
      <c r="J306" s="155">
        <v>44826</v>
      </c>
      <c r="K306" s="154">
        <v>3.99</v>
      </c>
      <c r="L306" s="154">
        <v>2.99</v>
      </c>
      <c r="M306" s="154">
        <v>3.99</v>
      </c>
      <c r="N306" s="154">
        <v>2.99</v>
      </c>
      <c r="O306" s="154">
        <v>3.99</v>
      </c>
      <c r="P306" s="154">
        <v>2.99</v>
      </c>
      <c r="Q306" s="161"/>
      <c r="R306" s="154">
        <v>3.99</v>
      </c>
      <c r="S306" s="154">
        <v>2.99</v>
      </c>
      <c r="T306" s="155"/>
      <c r="U306" s="156"/>
      <c r="V306" s="155">
        <v>44826</v>
      </c>
      <c r="W306" s="154">
        <v>3.99</v>
      </c>
      <c r="X306" s="154">
        <v>2.99</v>
      </c>
      <c r="Y306" s="154">
        <v>3.99</v>
      </c>
      <c r="Z306" s="154">
        <v>2.99</v>
      </c>
      <c r="AA306" s="156"/>
      <c r="AB306" s="154">
        <v>3.99</v>
      </c>
      <c r="AC306" s="154">
        <v>2.99</v>
      </c>
      <c r="AD306" s="155"/>
      <c r="AE306" s="156"/>
      <c r="AF306" s="155">
        <v>44826</v>
      </c>
      <c r="AG306" s="156"/>
      <c r="AH306" s="49" t="s">
        <v>201</v>
      </c>
      <c r="AI306" s="98"/>
      <c r="AJ306" s="98"/>
      <c r="AK306" s="98"/>
      <c r="AL306" s="98"/>
      <c r="AM306" s="98"/>
    </row>
    <row r="307" spans="1:39" ht="31" x14ac:dyDescent="0.6">
      <c r="A307" s="273">
        <v>990800</v>
      </c>
      <c r="B307" s="272" t="s">
        <v>617</v>
      </c>
      <c r="C307" s="155" t="s">
        <v>202</v>
      </c>
      <c r="D307" s="158" t="s">
        <v>129</v>
      </c>
      <c r="E307" s="155"/>
      <c r="F307" s="154"/>
      <c r="G307" s="154">
        <v>8.99</v>
      </c>
      <c r="H307" s="158"/>
      <c r="I307" s="158"/>
      <c r="J307" s="155"/>
      <c r="K307" s="154"/>
      <c r="L307" s="154">
        <v>8.99</v>
      </c>
      <c r="M307" s="154"/>
      <c r="N307" s="154">
        <v>8.99</v>
      </c>
      <c r="O307" s="154"/>
      <c r="P307" s="154">
        <v>8.99</v>
      </c>
      <c r="Q307" s="156"/>
      <c r="R307" s="154"/>
      <c r="S307" s="154">
        <v>8.99</v>
      </c>
      <c r="T307" s="158"/>
      <c r="U307" s="158"/>
      <c r="V307" s="155"/>
      <c r="W307" s="158"/>
      <c r="X307" s="154">
        <v>8.99</v>
      </c>
      <c r="Y307" s="158"/>
      <c r="Z307" s="154">
        <v>8.99</v>
      </c>
      <c r="AA307" s="156"/>
      <c r="AB307" s="154"/>
      <c r="AC307" s="154">
        <v>8.99</v>
      </c>
      <c r="AD307" s="158"/>
      <c r="AE307" s="158"/>
      <c r="AF307" s="155"/>
      <c r="AG307" s="156"/>
      <c r="AH307" s="49" t="s">
        <v>201</v>
      </c>
      <c r="AI307" s="98"/>
      <c r="AJ307" s="98"/>
      <c r="AK307" s="98"/>
      <c r="AL307" s="98" t="s">
        <v>128</v>
      </c>
      <c r="AM307" s="98"/>
    </row>
    <row r="308" spans="1:39" ht="31" x14ac:dyDescent="0.6">
      <c r="A308" s="158">
        <v>990802</v>
      </c>
      <c r="B308" s="272" t="s">
        <v>427</v>
      </c>
      <c r="C308" s="158" t="s">
        <v>202</v>
      </c>
      <c r="D308" s="158"/>
      <c r="E308" s="154"/>
      <c r="F308" s="154"/>
      <c r="G308" s="154">
        <v>4.99</v>
      </c>
      <c r="H308" s="155"/>
      <c r="I308" s="155"/>
      <c r="J308" s="155"/>
      <c r="K308" s="154"/>
      <c r="L308" s="154">
        <v>4.99</v>
      </c>
      <c r="M308" s="154"/>
      <c r="N308" s="154">
        <v>4.99</v>
      </c>
      <c r="O308" s="154"/>
      <c r="P308" s="154">
        <v>4.99</v>
      </c>
      <c r="Q308" s="161"/>
      <c r="R308" s="154"/>
      <c r="S308" s="154">
        <v>4.99</v>
      </c>
      <c r="T308" s="155"/>
      <c r="U308" s="155"/>
      <c r="V308" s="155"/>
      <c r="W308" s="154"/>
      <c r="X308" s="154">
        <v>4.99</v>
      </c>
      <c r="Y308" s="154"/>
      <c r="Z308" s="154">
        <v>4.99</v>
      </c>
      <c r="AA308" s="156"/>
      <c r="AB308" s="154"/>
      <c r="AC308" s="154">
        <v>4.99</v>
      </c>
      <c r="AD308" s="155"/>
      <c r="AE308" s="155"/>
      <c r="AF308" s="155"/>
      <c r="AG308" s="156"/>
      <c r="AH308" s="49" t="s">
        <v>201</v>
      </c>
      <c r="AI308" s="98"/>
      <c r="AJ308" s="98"/>
      <c r="AK308" s="98"/>
      <c r="AL308" s="98"/>
      <c r="AM308" s="98"/>
    </row>
    <row r="309" spans="1:39" ht="31" x14ac:dyDescent="0.6">
      <c r="A309" s="273">
        <v>990804</v>
      </c>
      <c r="B309" s="272" t="s">
        <v>626</v>
      </c>
      <c r="C309" s="158" t="s">
        <v>202</v>
      </c>
      <c r="D309" s="158"/>
      <c r="E309" s="158"/>
      <c r="F309" s="154"/>
      <c r="G309" s="154">
        <v>4.99</v>
      </c>
      <c r="H309" s="155"/>
      <c r="I309" s="154"/>
      <c r="J309" s="155"/>
      <c r="K309" s="154"/>
      <c r="L309" s="154">
        <v>4.99</v>
      </c>
      <c r="M309" s="154"/>
      <c r="N309" s="154">
        <v>4.99</v>
      </c>
      <c r="O309" s="154"/>
      <c r="P309" s="154">
        <v>4.99</v>
      </c>
      <c r="Q309" s="156"/>
      <c r="R309" s="154"/>
      <c r="S309" s="154">
        <v>4.99</v>
      </c>
      <c r="T309" s="155"/>
      <c r="U309" s="159"/>
      <c r="V309" s="155"/>
      <c r="W309" s="154"/>
      <c r="X309" s="154">
        <v>4.99</v>
      </c>
      <c r="Y309" s="154"/>
      <c r="Z309" s="154">
        <v>4.99</v>
      </c>
      <c r="AA309" s="156"/>
      <c r="AB309" s="154"/>
      <c r="AC309" s="154">
        <v>4.99</v>
      </c>
      <c r="AD309" s="155"/>
      <c r="AE309" s="159"/>
      <c r="AF309" s="155"/>
      <c r="AG309" s="156"/>
      <c r="AH309" s="49" t="s">
        <v>201</v>
      </c>
      <c r="AI309" s="98"/>
      <c r="AJ309" s="98"/>
      <c r="AK309" s="98"/>
      <c r="AL309" s="98"/>
      <c r="AM309" s="98"/>
    </row>
    <row r="310" spans="1:39" ht="31" x14ac:dyDescent="0.6">
      <c r="A310" s="273">
        <v>990805</v>
      </c>
      <c r="B310" s="272" t="s">
        <v>624</v>
      </c>
      <c r="C310" s="158" t="s">
        <v>202</v>
      </c>
      <c r="D310" s="158"/>
      <c r="E310" s="155"/>
      <c r="F310" s="154"/>
      <c r="G310" s="154">
        <v>5.99</v>
      </c>
      <c r="H310" s="158"/>
      <c r="I310" s="158"/>
      <c r="J310" s="155"/>
      <c r="K310" s="154"/>
      <c r="L310" s="154">
        <v>5.99</v>
      </c>
      <c r="M310" s="154"/>
      <c r="N310" s="154">
        <v>5.99</v>
      </c>
      <c r="O310" s="154"/>
      <c r="P310" s="154">
        <v>5.99</v>
      </c>
      <c r="Q310" s="156"/>
      <c r="R310" s="154"/>
      <c r="S310" s="154">
        <v>5.99</v>
      </c>
      <c r="T310" s="158"/>
      <c r="U310" s="159"/>
      <c r="V310" s="155"/>
      <c r="W310" s="154"/>
      <c r="X310" s="154">
        <v>5.99</v>
      </c>
      <c r="Y310" s="154"/>
      <c r="Z310" s="154">
        <v>5.99</v>
      </c>
      <c r="AA310" s="156"/>
      <c r="AB310" s="154"/>
      <c r="AC310" s="154">
        <v>5.99</v>
      </c>
      <c r="AD310" s="158"/>
      <c r="AE310" s="159"/>
      <c r="AF310" s="155"/>
      <c r="AG310" s="156"/>
      <c r="AH310" s="49" t="s">
        <v>201</v>
      </c>
      <c r="AI310" s="98"/>
      <c r="AJ310" s="98"/>
      <c r="AK310" s="98"/>
      <c r="AL310" s="98"/>
      <c r="AM310" s="98"/>
    </row>
    <row r="311" spans="1:39" ht="31" x14ac:dyDescent="0.6">
      <c r="A311" s="273">
        <v>990807</v>
      </c>
      <c r="B311" s="272" t="s">
        <v>625</v>
      </c>
      <c r="C311" s="155" t="s">
        <v>202</v>
      </c>
      <c r="D311" s="158"/>
      <c r="E311" s="155"/>
      <c r="F311" s="154"/>
      <c r="G311" s="154">
        <v>12.99</v>
      </c>
      <c r="H311" s="158"/>
      <c r="I311" s="158"/>
      <c r="J311" s="155"/>
      <c r="K311" s="154"/>
      <c r="L311" s="154">
        <v>12.99</v>
      </c>
      <c r="M311" s="154"/>
      <c r="N311" s="154">
        <v>12.99</v>
      </c>
      <c r="O311" s="154"/>
      <c r="P311" s="154">
        <v>12.99</v>
      </c>
      <c r="Q311" s="156"/>
      <c r="R311" s="154"/>
      <c r="S311" s="154">
        <v>12.99</v>
      </c>
      <c r="T311" s="158"/>
      <c r="U311" s="159"/>
      <c r="V311" s="155"/>
      <c r="W311" s="158"/>
      <c r="X311" s="158">
        <v>12.99</v>
      </c>
      <c r="Y311" s="158"/>
      <c r="Z311" s="158">
        <v>12.99</v>
      </c>
      <c r="AA311" s="156"/>
      <c r="AB311" s="154"/>
      <c r="AC311" s="154">
        <v>12.99</v>
      </c>
      <c r="AD311" s="158"/>
      <c r="AE311" s="159"/>
      <c r="AF311" s="155"/>
      <c r="AG311" s="156"/>
      <c r="AH311" s="49" t="s">
        <v>201</v>
      </c>
      <c r="AI311" s="98"/>
      <c r="AJ311" s="98"/>
      <c r="AK311" s="98"/>
      <c r="AL311" s="98" t="s">
        <v>128</v>
      </c>
      <c r="AM311" s="98"/>
    </row>
    <row r="312" spans="1:39" ht="31" x14ac:dyDescent="0.6">
      <c r="A312" s="273">
        <v>990808</v>
      </c>
      <c r="B312" s="272" t="s">
        <v>589</v>
      </c>
      <c r="C312" s="158" t="s">
        <v>202</v>
      </c>
      <c r="D312" s="158"/>
      <c r="E312" s="158"/>
      <c r="F312" s="158"/>
      <c r="G312" s="154">
        <v>19.989999999999998</v>
      </c>
      <c r="H312" s="158"/>
      <c r="I312" s="158"/>
      <c r="J312" s="155"/>
      <c r="K312" s="154"/>
      <c r="L312" s="154">
        <v>19.989999999999998</v>
      </c>
      <c r="M312" s="154"/>
      <c r="N312" s="154">
        <v>19.989999999999998</v>
      </c>
      <c r="O312" s="154"/>
      <c r="P312" s="154">
        <v>19.989999999999998</v>
      </c>
      <c r="Q312" s="156"/>
      <c r="R312" s="158"/>
      <c r="S312" s="158">
        <v>19.989999999999998</v>
      </c>
      <c r="T312" s="158"/>
      <c r="U312" s="159"/>
      <c r="V312" s="155"/>
      <c r="W312" s="158"/>
      <c r="X312" s="158">
        <v>19.989999999999998</v>
      </c>
      <c r="Y312" s="158"/>
      <c r="Z312" s="158">
        <v>19.989999999999998</v>
      </c>
      <c r="AA312" s="156"/>
      <c r="AB312" s="158"/>
      <c r="AC312" s="158">
        <v>19.989999999999998</v>
      </c>
      <c r="AD312" s="158"/>
      <c r="AE312" s="159"/>
      <c r="AF312" s="155"/>
      <c r="AG312" s="156"/>
      <c r="AH312" s="49" t="s">
        <v>201</v>
      </c>
      <c r="AI312" s="98"/>
      <c r="AJ312" s="98"/>
      <c r="AK312" s="98"/>
      <c r="AL312" s="98"/>
      <c r="AM312" s="98"/>
    </row>
    <row r="313" spans="1:39" ht="31" x14ac:dyDescent="0.6">
      <c r="A313" s="158">
        <v>990810</v>
      </c>
      <c r="B313" s="272" t="s">
        <v>423</v>
      </c>
      <c r="C313" s="155" t="s">
        <v>202</v>
      </c>
      <c r="D313" s="154"/>
      <c r="E313" s="154"/>
      <c r="F313" s="154"/>
      <c r="G313" s="154">
        <v>4.99</v>
      </c>
      <c r="H313" s="155"/>
      <c r="I313" s="155"/>
      <c r="J313" s="155"/>
      <c r="K313" s="154"/>
      <c r="L313" s="154">
        <v>4.99</v>
      </c>
      <c r="M313" s="154"/>
      <c r="N313" s="154">
        <v>4.99</v>
      </c>
      <c r="O313" s="154"/>
      <c r="P313" s="154">
        <v>4.99</v>
      </c>
      <c r="Q313" s="157"/>
      <c r="R313" s="154"/>
      <c r="S313" s="154">
        <v>4.99</v>
      </c>
      <c r="T313" s="155"/>
      <c r="U313" s="156"/>
      <c r="V313" s="155"/>
      <c r="W313" s="154"/>
      <c r="X313" s="154">
        <v>4.99</v>
      </c>
      <c r="Y313" s="154"/>
      <c r="Z313" s="154">
        <v>4.99</v>
      </c>
      <c r="AA313" s="157"/>
      <c r="AB313" s="154"/>
      <c r="AC313" s="154">
        <v>4.99</v>
      </c>
      <c r="AD313" s="191"/>
      <c r="AE313" s="156"/>
      <c r="AF313" s="155"/>
      <c r="AG313" s="157"/>
      <c r="AH313" s="49" t="s">
        <v>201</v>
      </c>
      <c r="AI313" s="98"/>
      <c r="AJ313" s="98"/>
      <c r="AK313" s="98"/>
      <c r="AL313" s="98"/>
      <c r="AM313" s="98"/>
    </row>
    <row r="314" spans="1:39" ht="31" x14ac:dyDescent="0.6">
      <c r="A314" s="273">
        <v>990820</v>
      </c>
      <c r="B314" s="272" t="s">
        <v>640</v>
      </c>
      <c r="C314" s="155" t="s">
        <v>202</v>
      </c>
      <c r="D314" s="158"/>
      <c r="E314" s="158"/>
      <c r="F314" s="154"/>
      <c r="G314" s="154">
        <v>3.99</v>
      </c>
      <c r="H314" s="158"/>
      <c r="I314" s="158"/>
      <c r="J314" s="155"/>
      <c r="K314" s="154"/>
      <c r="L314" s="154">
        <v>3.99</v>
      </c>
      <c r="M314" s="154"/>
      <c r="N314" s="154">
        <v>3.99</v>
      </c>
      <c r="O314" s="154"/>
      <c r="P314" s="154">
        <v>3.99</v>
      </c>
      <c r="Q314" s="156"/>
      <c r="R314" s="154"/>
      <c r="S314" s="154">
        <v>3.99</v>
      </c>
      <c r="T314" s="158"/>
      <c r="U314" s="159"/>
      <c r="V314" s="155"/>
      <c r="W314" s="158"/>
      <c r="X314" s="158">
        <v>3.99</v>
      </c>
      <c r="Y314" s="158"/>
      <c r="Z314" s="158">
        <v>3.99</v>
      </c>
      <c r="AA314" s="156"/>
      <c r="AB314" s="154"/>
      <c r="AC314" s="154">
        <v>3.99</v>
      </c>
      <c r="AD314" s="158"/>
      <c r="AE314" s="159"/>
      <c r="AF314" s="155"/>
      <c r="AG314" s="156"/>
      <c r="AH314" s="49" t="s">
        <v>201</v>
      </c>
      <c r="AI314" s="98"/>
      <c r="AJ314" s="98"/>
      <c r="AK314" s="98"/>
      <c r="AL314" s="98"/>
      <c r="AM314" s="98"/>
    </row>
    <row r="315" spans="1:39" ht="31" x14ac:dyDescent="0.6">
      <c r="A315" s="158">
        <v>990822</v>
      </c>
      <c r="B315" s="272" t="s">
        <v>718</v>
      </c>
      <c r="C315" s="158" t="s">
        <v>202</v>
      </c>
      <c r="D315" s="158"/>
      <c r="E315" s="154"/>
      <c r="F315" s="154"/>
      <c r="G315" s="154">
        <v>7.99</v>
      </c>
      <c r="H315" s="155"/>
      <c r="I315" s="155"/>
      <c r="J315" s="155"/>
      <c r="K315" s="154"/>
      <c r="L315" s="154">
        <v>7.99</v>
      </c>
      <c r="M315" s="154"/>
      <c r="N315" s="154">
        <v>7.99</v>
      </c>
      <c r="O315" s="154"/>
      <c r="P315" s="154">
        <v>7.99</v>
      </c>
      <c r="Q315" s="161"/>
      <c r="R315" s="154"/>
      <c r="S315" s="154">
        <v>7.99</v>
      </c>
      <c r="T315" s="155"/>
      <c r="U315" s="156"/>
      <c r="V315" s="155"/>
      <c r="W315" s="154"/>
      <c r="X315" s="154">
        <v>7.99</v>
      </c>
      <c r="Y315" s="154"/>
      <c r="Z315" s="154">
        <v>7.99</v>
      </c>
      <c r="AA315" s="156"/>
      <c r="AB315" s="154"/>
      <c r="AC315" s="154">
        <v>7.99</v>
      </c>
      <c r="AD315" s="155"/>
      <c r="AE315" s="156"/>
      <c r="AF315" s="155"/>
      <c r="AG315" s="156"/>
      <c r="AH315" s="49" t="s">
        <v>201</v>
      </c>
      <c r="AI315" s="98"/>
      <c r="AJ315" s="98"/>
      <c r="AK315" s="98"/>
      <c r="AL315" s="98"/>
      <c r="AM315" s="98"/>
    </row>
    <row r="316" spans="1:39" ht="31" x14ac:dyDescent="0.6">
      <c r="A316" s="273">
        <v>990823</v>
      </c>
      <c r="B316" s="272" t="s">
        <v>664</v>
      </c>
      <c r="C316" s="158" t="s">
        <v>202</v>
      </c>
      <c r="D316" s="158"/>
      <c r="E316" s="158"/>
      <c r="F316" s="154"/>
      <c r="G316" s="154">
        <v>5.99</v>
      </c>
      <c r="H316" s="154"/>
      <c r="I316" s="154"/>
      <c r="J316" s="155"/>
      <c r="K316" s="154"/>
      <c r="L316" s="154">
        <v>5.99</v>
      </c>
      <c r="M316" s="154"/>
      <c r="N316" s="154">
        <v>5.99</v>
      </c>
      <c r="O316" s="154"/>
      <c r="P316" s="154">
        <v>5.99</v>
      </c>
      <c r="Q316" s="156"/>
      <c r="R316" s="154"/>
      <c r="S316" s="154">
        <v>5.99</v>
      </c>
      <c r="T316" s="158"/>
      <c r="U316" s="159"/>
      <c r="V316" s="155"/>
      <c r="W316" s="154"/>
      <c r="X316" s="154">
        <v>5.99</v>
      </c>
      <c r="Y316" s="154"/>
      <c r="Z316" s="154">
        <v>5.99</v>
      </c>
      <c r="AA316" s="156"/>
      <c r="AB316" s="154"/>
      <c r="AC316" s="154">
        <v>5.99</v>
      </c>
      <c r="AD316" s="158"/>
      <c r="AE316" s="159"/>
      <c r="AF316" s="155"/>
      <c r="AG316" s="156"/>
      <c r="AH316" s="49" t="s">
        <v>201</v>
      </c>
      <c r="AI316" s="98"/>
      <c r="AJ316" s="98"/>
      <c r="AK316" s="98"/>
      <c r="AL316" s="98"/>
      <c r="AM316" s="98"/>
    </row>
    <row r="317" spans="1:39" ht="31" x14ac:dyDescent="0.6">
      <c r="A317" s="273">
        <v>990824</v>
      </c>
      <c r="B317" s="272" t="s">
        <v>127</v>
      </c>
      <c r="C317" s="155" t="s">
        <v>202</v>
      </c>
      <c r="D317" s="158"/>
      <c r="E317" s="155"/>
      <c r="F317" s="154"/>
      <c r="G317" s="154">
        <v>9.99</v>
      </c>
      <c r="H317" s="158"/>
      <c r="I317" s="158"/>
      <c r="J317" s="155"/>
      <c r="K317" s="154"/>
      <c r="L317" s="154">
        <v>9.99</v>
      </c>
      <c r="M317" s="154"/>
      <c r="N317" s="154">
        <v>9.99</v>
      </c>
      <c r="O317" s="154"/>
      <c r="P317" s="154">
        <v>9.99</v>
      </c>
      <c r="Q317" s="156"/>
      <c r="R317" s="154"/>
      <c r="S317" s="154">
        <v>9.99</v>
      </c>
      <c r="T317" s="158"/>
      <c r="U317" s="159"/>
      <c r="V317" s="155"/>
      <c r="W317" s="154"/>
      <c r="X317" s="154">
        <v>9.99</v>
      </c>
      <c r="Y317" s="154"/>
      <c r="Z317" s="154">
        <v>9.99</v>
      </c>
      <c r="AA317" s="156"/>
      <c r="AB317" s="154"/>
      <c r="AC317" s="154">
        <v>9.99</v>
      </c>
      <c r="AD317" s="158"/>
      <c r="AE317" s="159"/>
      <c r="AF317" s="155"/>
      <c r="AG317" s="156"/>
      <c r="AH317" s="49" t="s">
        <v>201</v>
      </c>
      <c r="AI317" s="98"/>
      <c r="AJ317" s="98"/>
      <c r="AK317" s="98"/>
      <c r="AL317" s="98" t="s">
        <v>128</v>
      </c>
      <c r="AM317" s="98"/>
    </row>
    <row r="318" spans="1:39" ht="31" x14ac:dyDescent="0.6">
      <c r="A318" s="273">
        <v>990827</v>
      </c>
      <c r="B318" s="272" t="s">
        <v>622</v>
      </c>
      <c r="C318" s="155" t="s">
        <v>202</v>
      </c>
      <c r="D318" s="158"/>
      <c r="E318" s="155"/>
      <c r="F318" s="154"/>
      <c r="G318" s="154">
        <v>6.99</v>
      </c>
      <c r="H318" s="158"/>
      <c r="I318" s="158"/>
      <c r="J318" s="155"/>
      <c r="K318" s="154"/>
      <c r="L318" s="154">
        <v>6.99</v>
      </c>
      <c r="M318" s="154"/>
      <c r="N318" s="154">
        <v>6.99</v>
      </c>
      <c r="O318" s="154"/>
      <c r="P318" s="154">
        <v>6.99</v>
      </c>
      <c r="Q318" s="156"/>
      <c r="R318" s="154"/>
      <c r="S318" s="154">
        <v>6.99</v>
      </c>
      <c r="T318" s="158"/>
      <c r="U318" s="159"/>
      <c r="V318" s="155"/>
      <c r="W318" s="158"/>
      <c r="X318" s="154">
        <v>6.99</v>
      </c>
      <c r="Y318" s="158"/>
      <c r="Z318" s="154">
        <v>6.99</v>
      </c>
      <c r="AA318" s="156"/>
      <c r="AB318" s="154"/>
      <c r="AC318" s="154">
        <v>6.99</v>
      </c>
      <c r="AD318" s="158"/>
      <c r="AE318" s="159"/>
      <c r="AF318" s="155"/>
      <c r="AG318" s="156"/>
      <c r="AH318" s="49" t="s">
        <v>201</v>
      </c>
      <c r="AI318" s="98"/>
      <c r="AJ318" s="98"/>
      <c r="AK318" s="98"/>
      <c r="AL318" s="98"/>
      <c r="AM318" s="98"/>
    </row>
    <row r="319" spans="1:39" ht="31" x14ac:dyDescent="0.6">
      <c r="A319" s="158">
        <v>990834</v>
      </c>
      <c r="B319" s="272" t="s">
        <v>776</v>
      </c>
      <c r="C319" s="155" t="s">
        <v>202</v>
      </c>
      <c r="D319" s="158"/>
      <c r="E319" s="154"/>
      <c r="F319" s="154"/>
      <c r="G319" s="154">
        <v>3.99</v>
      </c>
      <c r="H319" s="155"/>
      <c r="I319" s="155"/>
      <c r="J319" s="155"/>
      <c r="K319" s="154"/>
      <c r="L319" s="154">
        <v>3.99</v>
      </c>
      <c r="M319" s="154"/>
      <c r="N319" s="154">
        <v>3.99</v>
      </c>
      <c r="O319" s="154"/>
      <c r="P319" s="154">
        <v>3.99</v>
      </c>
      <c r="Q319" s="161"/>
      <c r="R319" s="154"/>
      <c r="S319" s="154">
        <v>3.99</v>
      </c>
      <c r="T319" s="155"/>
      <c r="U319" s="156"/>
      <c r="V319" s="155"/>
      <c r="W319" s="154"/>
      <c r="X319" s="154">
        <v>3.99</v>
      </c>
      <c r="Y319" s="154"/>
      <c r="Z319" s="154">
        <v>3.99</v>
      </c>
      <c r="AA319" s="156"/>
      <c r="AB319" s="154"/>
      <c r="AC319" s="154">
        <v>3.99</v>
      </c>
      <c r="AD319" s="155"/>
      <c r="AE319" s="156"/>
      <c r="AF319" s="155"/>
      <c r="AG319" s="156"/>
      <c r="AH319" s="49" t="s">
        <v>201</v>
      </c>
      <c r="AI319" s="98"/>
      <c r="AJ319" s="98"/>
      <c r="AK319" s="98"/>
      <c r="AL319" s="98"/>
      <c r="AM319" s="98"/>
    </row>
    <row r="320" spans="1:39" ht="31" x14ac:dyDescent="0.6">
      <c r="A320" s="158">
        <v>991204</v>
      </c>
      <c r="B320" s="272" t="s">
        <v>761</v>
      </c>
      <c r="C320" s="155">
        <v>44864</v>
      </c>
      <c r="D320" s="158"/>
      <c r="E320" s="154"/>
      <c r="F320" s="154"/>
      <c r="G320" s="154">
        <v>4.8899999999999997</v>
      </c>
      <c r="H320" s="155"/>
      <c r="I320" s="155"/>
      <c r="J320" s="155"/>
      <c r="K320" s="154"/>
      <c r="L320" s="154"/>
      <c r="M320" s="154"/>
      <c r="N320" s="154"/>
      <c r="O320" s="154"/>
      <c r="P320" s="154"/>
      <c r="Q320" s="161"/>
      <c r="R320" s="154"/>
      <c r="S320" s="154">
        <v>4.8899999999999997</v>
      </c>
      <c r="T320" s="155"/>
      <c r="U320" s="156"/>
      <c r="V320" s="155"/>
      <c r="W320" s="154"/>
      <c r="X320" s="154">
        <v>4.8899999999999997</v>
      </c>
      <c r="Y320" s="154"/>
      <c r="Z320" s="154">
        <v>4.8899999999999997</v>
      </c>
      <c r="AA320" s="156"/>
      <c r="AB320" s="154"/>
      <c r="AC320" s="154">
        <v>4.8899999999999997</v>
      </c>
      <c r="AD320" s="155"/>
      <c r="AE320" s="156"/>
      <c r="AF320" s="155"/>
      <c r="AG320" s="156"/>
      <c r="AH320" s="49" t="s">
        <v>201</v>
      </c>
      <c r="AI320" s="98"/>
      <c r="AJ320" s="98"/>
      <c r="AK320" s="98"/>
      <c r="AL320" s="98"/>
      <c r="AM320" s="98"/>
    </row>
    <row r="321" spans="1:39" ht="31" x14ac:dyDescent="0.6">
      <c r="A321" s="273">
        <v>991248</v>
      </c>
      <c r="B321" s="272" t="s">
        <v>365</v>
      </c>
      <c r="C321" s="155" t="s">
        <v>202</v>
      </c>
      <c r="D321" s="158"/>
      <c r="E321" s="158"/>
      <c r="F321" s="158"/>
      <c r="G321" s="154">
        <v>9.99</v>
      </c>
      <c r="H321" s="158"/>
      <c r="I321" s="158"/>
      <c r="J321" s="155"/>
      <c r="K321" s="154"/>
      <c r="L321" s="154">
        <v>9.99</v>
      </c>
      <c r="M321" s="154"/>
      <c r="N321" s="154">
        <v>9.99</v>
      </c>
      <c r="O321" s="154"/>
      <c r="P321" s="154">
        <v>9.99</v>
      </c>
      <c r="Q321" s="156"/>
      <c r="R321" s="158"/>
      <c r="S321" s="154">
        <v>9.99</v>
      </c>
      <c r="T321" s="158"/>
      <c r="U321" s="159"/>
      <c r="V321" s="155"/>
      <c r="W321" s="158"/>
      <c r="X321" s="158">
        <v>9.99</v>
      </c>
      <c r="Y321" s="158"/>
      <c r="Z321" s="158">
        <v>9.99</v>
      </c>
      <c r="AA321" s="156"/>
      <c r="AB321" s="158"/>
      <c r="AC321" s="154">
        <v>9.99</v>
      </c>
      <c r="AD321" s="158"/>
      <c r="AE321" s="159"/>
      <c r="AF321" s="155"/>
      <c r="AG321" s="156"/>
      <c r="AH321" s="49" t="s">
        <v>201</v>
      </c>
      <c r="AI321" s="98"/>
      <c r="AJ321" s="98"/>
      <c r="AK321" s="98"/>
      <c r="AL321" s="98"/>
      <c r="AM321" s="98"/>
    </row>
    <row r="322" spans="1:39" ht="31" x14ac:dyDescent="0.6">
      <c r="A322" s="158">
        <v>992961</v>
      </c>
      <c r="B322" s="272" t="s">
        <v>764</v>
      </c>
      <c r="C322" s="155">
        <v>44825</v>
      </c>
      <c r="D322" s="158"/>
      <c r="E322" s="154"/>
      <c r="F322" s="154"/>
      <c r="G322" s="154">
        <v>6.99</v>
      </c>
      <c r="H322" s="155"/>
      <c r="I322" s="155"/>
      <c r="J322" s="155"/>
      <c r="K322" s="154"/>
      <c r="L322" s="154">
        <v>6.99</v>
      </c>
      <c r="M322" s="154"/>
      <c r="N322" s="154">
        <v>6.99</v>
      </c>
      <c r="O322" s="154"/>
      <c r="P322" s="154">
        <v>6.99</v>
      </c>
      <c r="Q322" s="161"/>
      <c r="R322" s="154"/>
      <c r="S322" s="154">
        <v>6.99</v>
      </c>
      <c r="T322" s="155"/>
      <c r="U322" s="156"/>
      <c r="V322" s="155"/>
      <c r="W322" s="154"/>
      <c r="X322" s="154">
        <v>6.99</v>
      </c>
      <c r="Y322" s="154"/>
      <c r="Z322" s="154">
        <v>6.99</v>
      </c>
      <c r="AA322" s="156"/>
      <c r="AB322" s="154"/>
      <c r="AC322" s="154">
        <v>6.99</v>
      </c>
      <c r="AD322" s="155"/>
      <c r="AE322" s="156"/>
      <c r="AF322" s="155"/>
      <c r="AG322" s="156"/>
      <c r="AH322" s="49" t="s">
        <v>201</v>
      </c>
      <c r="AI322" s="98"/>
      <c r="AJ322" s="98"/>
      <c r="AK322" s="98"/>
      <c r="AL322" s="98"/>
      <c r="AM322" s="98"/>
    </row>
    <row r="323" spans="1:39" ht="31" x14ac:dyDescent="0.6">
      <c r="A323" s="158">
        <v>992978</v>
      </c>
      <c r="B323" s="272" t="s">
        <v>763</v>
      </c>
      <c r="C323" s="155">
        <v>44825</v>
      </c>
      <c r="D323" s="158"/>
      <c r="E323" s="154"/>
      <c r="F323" s="154"/>
      <c r="G323" s="154">
        <v>6.99</v>
      </c>
      <c r="H323" s="155"/>
      <c r="I323" s="155"/>
      <c r="J323" s="155"/>
      <c r="K323" s="154"/>
      <c r="L323" s="154">
        <v>6.99</v>
      </c>
      <c r="M323" s="154"/>
      <c r="N323" s="154">
        <v>6.99</v>
      </c>
      <c r="O323" s="154"/>
      <c r="P323" s="154">
        <v>6.99</v>
      </c>
      <c r="Q323" s="161"/>
      <c r="R323" s="154"/>
      <c r="S323" s="154">
        <v>6.99</v>
      </c>
      <c r="T323" s="155"/>
      <c r="U323" s="156"/>
      <c r="V323" s="155"/>
      <c r="W323" s="154"/>
      <c r="X323" s="154">
        <v>6.99</v>
      </c>
      <c r="Y323" s="154"/>
      <c r="Z323" s="154">
        <v>6.99</v>
      </c>
      <c r="AA323" s="156"/>
      <c r="AB323" s="154"/>
      <c r="AC323" s="154">
        <v>6.99</v>
      </c>
      <c r="AD323" s="155"/>
      <c r="AE323" s="156"/>
      <c r="AF323" s="155"/>
      <c r="AG323" s="156"/>
      <c r="AH323" s="49" t="s">
        <v>201</v>
      </c>
      <c r="AI323" s="98"/>
      <c r="AJ323" s="98"/>
      <c r="AK323" s="98"/>
      <c r="AL323" s="98"/>
      <c r="AM323" s="98"/>
    </row>
    <row r="324" spans="1:39" ht="31" x14ac:dyDescent="0.6">
      <c r="A324" s="158">
        <v>992987</v>
      </c>
      <c r="B324" s="272" t="s">
        <v>724</v>
      </c>
      <c r="C324" s="155">
        <v>44821</v>
      </c>
      <c r="D324" s="158"/>
      <c r="E324" s="154"/>
      <c r="F324" s="154"/>
      <c r="G324" s="154">
        <v>12.99</v>
      </c>
      <c r="H324" s="155"/>
      <c r="I324" s="156"/>
      <c r="J324" s="155"/>
      <c r="K324" s="154"/>
      <c r="L324" s="154">
        <v>12.99</v>
      </c>
      <c r="M324" s="154"/>
      <c r="N324" s="154">
        <v>12.99</v>
      </c>
      <c r="O324" s="154"/>
      <c r="P324" s="154">
        <v>12.99</v>
      </c>
      <c r="Q324" s="161"/>
      <c r="R324" s="154"/>
      <c r="S324" s="154">
        <v>12.99</v>
      </c>
      <c r="T324" s="155"/>
      <c r="U324" s="156"/>
      <c r="V324" s="155"/>
      <c r="W324" s="154"/>
      <c r="X324" s="154">
        <v>12.99</v>
      </c>
      <c r="Y324" s="154"/>
      <c r="Z324" s="154">
        <v>12.99</v>
      </c>
      <c r="AA324" s="156"/>
      <c r="AB324" s="154"/>
      <c r="AC324" s="154">
        <v>12.99</v>
      </c>
      <c r="AD324" s="155"/>
      <c r="AE324" s="156"/>
      <c r="AF324" s="155"/>
      <c r="AG324" s="156"/>
      <c r="AH324" s="49" t="s">
        <v>201</v>
      </c>
      <c r="AI324" s="98"/>
      <c r="AJ324" s="98"/>
      <c r="AK324" s="98"/>
      <c r="AL324" s="98"/>
      <c r="AM324" s="98"/>
    </row>
    <row r="325" spans="1:39" ht="31" x14ac:dyDescent="0.6">
      <c r="A325" s="158">
        <v>993001</v>
      </c>
      <c r="B325" s="272" t="s">
        <v>734</v>
      </c>
      <c r="C325" s="158" t="s">
        <v>202</v>
      </c>
      <c r="D325" s="158"/>
      <c r="E325" s="154"/>
      <c r="F325" s="154"/>
      <c r="G325" s="154">
        <v>2.99</v>
      </c>
      <c r="H325" s="155"/>
      <c r="I325" s="155"/>
      <c r="J325" s="155"/>
      <c r="K325" s="154"/>
      <c r="L325" s="154">
        <v>2.99</v>
      </c>
      <c r="M325" s="154"/>
      <c r="N325" s="154">
        <v>2.99</v>
      </c>
      <c r="O325" s="154"/>
      <c r="P325" s="154">
        <v>2.99</v>
      </c>
      <c r="Q325" s="161"/>
      <c r="R325" s="154"/>
      <c r="S325" s="154">
        <v>2.99</v>
      </c>
      <c r="T325" s="155"/>
      <c r="U325" s="156"/>
      <c r="V325" s="155"/>
      <c r="W325" s="154"/>
      <c r="X325" s="154">
        <v>2.99</v>
      </c>
      <c r="Y325" s="154"/>
      <c r="Z325" s="154">
        <v>2.99</v>
      </c>
      <c r="AA325" s="156"/>
      <c r="AB325" s="154"/>
      <c r="AC325" s="154">
        <v>2.99</v>
      </c>
      <c r="AD325" s="155"/>
      <c r="AE325" s="156"/>
      <c r="AF325" s="155"/>
      <c r="AG325" s="156"/>
      <c r="AH325" s="49" t="s">
        <v>201</v>
      </c>
      <c r="AI325" s="98"/>
      <c r="AJ325" s="98"/>
      <c r="AK325" s="98"/>
      <c r="AL325" s="98"/>
      <c r="AM325" s="98"/>
    </row>
    <row r="326" spans="1:39" ht="31" x14ac:dyDescent="0.6">
      <c r="A326" s="158">
        <v>993015</v>
      </c>
      <c r="B326" s="272" t="s">
        <v>449</v>
      </c>
      <c r="C326" s="155" t="s">
        <v>202</v>
      </c>
      <c r="D326" s="158"/>
      <c r="E326" s="154"/>
      <c r="F326" s="154"/>
      <c r="G326" s="154">
        <v>5.99</v>
      </c>
      <c r="H326" s="154"/>
      <c r="I326" s="155"/>
      <c r="J326" s="155"/>
      <c r="K326" s="154"/>
      <c r="L326" s="154">
        <v>5.99</v>
      </c>
      <c r="M326" s="154"/>
      <c r="N326" s="154">
        <v>5.99</v>
      </c>
      <c r="O326" s="154"/>
      <c r="P326" s="154">
        <v>5.99</v>
      </c>
      <c r="Q326" s="156"/>
      <c r="R326" s="154"/>
      <c r="S326" s="154">
        <v>5.99</v>
      </c>
      <c r="T326" s="154"/>
      <c r="U326" s="155"/>
      <c r="V326" s="155"/>
      <c r="W326" s="157"/>
      <c r="X326" s="154">
        <v>5.99</v>
      </c>
      <c r="Y326" s="157"/>
      <c r="Z326" s="154">
        <v>5.99</v>
      </c>
      <c r="AA326" s="156"/>
      <c r="AB326" s="154"/>
      <c r="AC326" s="154">
        <v>5.99</v>
      </c>
      <c r="AD326" s="154"/>
      <c r="AE326" s="155"/>
      <c r="AF326" s="155"/>
      <c r="AG326" s="156"/>
      <c r="AH326" s="49" t="s">
        <v>201</v>
      </c>
      <c r="AI326" s="98"/>
      <c r="AJ326" s="98"/>
      <c r="AK326" s="98"/>
      <c r="AL326" s="98"/>
      <c r="AM326" s="98"/>
    </row>
    <row r="327" spans="1:39" ht="31" x14ac:dyDescent="0.6">
      <c r="A327" s="158">
        <v>993031</v>
      </c>
      <c r="B327" s="272" t="s">
        <v>778</v>
      </c>
      <c r="C327" s="155">
        <v>44835</v>
      </c>
      <c r="D327" s="158"/>
      <c r="E327" s="154"/>
      <c r="F327" s="154">
        <v>7.99</v>
      </c>
      <c r="G327" s="154">
        <v>3.99</v>
      </c>
      <c r="H327" s="155"/>
      <c r="I327" s="155"/>
      <c r="J327" s="155">
        <v>44836</v>
      </c>
      <c r="K327" s="154">
        <v>7.99</v>
      </c>
      <c r="L327" s="154">
        <v>3.99</v>
      </c>
      <c r="M327" s="154">
        <v>7.99</v>
      </c>
      <c r="N327" s="154">
        <v>3.99</v>
      </c>
      <c r="O327" s="154">
        <v>7.99</v>
      </c>
      <c r="P327" s="154">
        <v>3.99</v>
      </c>
      <c r="Q327" s="161"/>
      <c r="R327" s="154">
        <v>7.99</v>
      </c>
      <c r="S327" s="154">
        <v>3.99</v>
      </c>
      <c r="T327" s="155"/>
      <c r="U327" s="156"/>
      <c r="V327" s="155">
        <v>44836</v>
      </c>
      <c r="W327" s="157">
        <v>7.99</v>
      </c>
      <c r="X327" s="154">
        <v>3.99</v>
      </c>
      <c r="Y327" s="157">
        <v>7.99</v>
      </c>
      <c r="Z327" s="154">
        <v>3.99</v>
      </c>
      <c r="AA327" s="156"/>
      <c r="AB327" s="154">
        <v>7.99</v>
      </c>
      <c r="AC327" s="154">
        <v>3.99</v>
      </c>
      <c r="AD327" s="155"/>
      <c r="AE327" s="156"/>
      <c r="AF327" s="155">
        <v>44836</v>
      </c>
      <c r="AG327" s="156"/>
      <c r="AH327" s="49" t="s">
        <v>201</v>
      </c>
      <c r="AI327" s="98"/>
      <c r="AJ327" s="98"/>
      <c r="AK327" s="98"/>
      <c r="AL327" s="98"/>
      <c r="AM327" s="98"/>
    </row>
    <row r="328" spans="1:39" ht="31" x14ac:dyDescent="0.6">
      <c r="A328" s="310">
        <v>994159</v>
      </c>
      <c r="B328" s="311" t="s">
        <v>380</v>
      </c>
      <c r="C328" s="245" t="s">
        <v>202</v>
      </c>
      <c r="D328" s="245"/>
      <c r="E328" s="166"/>
      <c r="F328" s="244"/>
      <c r="G328" s="244">
        <v>7.99</v>
      </c>
      <c r="H328" s="245"/>
      <c r="I328" s="245"/>
      <c r="J328" s="246"/>
      <c r="K328" s="244"/>
      <c r="L328" s="244">
        <v>7.99</v>
      </c>
      <c r="M328" s="244"/>
      <c r="N328" s="244">
        <v>7.99</v>
      </c>
      <c r="O328" s="244"/>
      <c r="P328" s="244">
        <v>7.99</v>
      </c>
      <c r="Q328" s="156"/>
      <c r="R328" s="244"/>
      <c r="S328" s="244">
        <v>7.99</v>
      </c>
      <c r="T328" s="245"/>
      <c r="U328" s="245"/>
      <c r="V328" s="246"/>
      <c r="W328" s="159"/>
      <c r="X328" s="245">
        <v>7.99</v>
      </c>
      <c r="Y328" s="159"/>
      <c r="Z328" s="245">
        <v>7.99</v>
      </c>
      <c r="AA328" s="156"/>
      <c r="AB328" s="244"/>
      <c r="AC328" s="244">
        <v>7.99</v>
      </c>
      <c r="AD328" s="245"/>
      <c r="AE328" s="245"/>
      <c r="AF328" s="246"/>
      <c r="AG328" s="156"/>
      <c r="AH328" s="49" t="s">
        <v>201</v>
      </c>
      <c r="AI328" s="85"/>
      <c r="AJ328" s="85"/>
      <c r="AK328" s="85"/>
      <c r="AL328" s="85"/>
      <c r="AM328" s="85"/>
    </row>
  </sheetData>
  <autoFilter ref="A4:AM328" xr:uid="{00000000-0009-0000-0000-000002000000}"/>
  <mergeCells count="15">
    <mergeCell ref="AN2:AN3"/>
    <mergeCell ref="AB2:AG2"/>
    <mergeCell ref="AI2:AI3"/>
    <mergeCell ref="AJ2:AJ3"/>
    <mergeCell ref="AK2:AK3"/>
    <mergeCell ref="AL2:AL3"/>
    <mergeCell ref="AM2:AM3"/>
    <mergeCell ref="F1:V1"/>
    <mergeCell ref="A2:A3"/>
    <mergeCell ref="B2:B3"/>
    <mergeCell ref="C2:C3"/>
    <mergeCell ref="D2:D3"/>
    <mergeCell ref="E2:E3"/>
    <mergeCell ref="F2:Q2"/>
    <mergeCell ref="R2:AA2"/>
  </mergeCells>
  <phoneticPr fontId="22" type="noConversion"/>
  <dataValidations count="1">
    <dataValidation allowBlank="1" showInputMessage="1" sqref="Q329:Q1048576" xr:uid="{00000000-0002-0000-0200-000000000000}"/>
  </dataValidations>
  <printOptions horizontalCentered="1"/>
  <pageMargins left="0.25" right="0.25" top="0.75" bottom="0.75" header="0.3" footer="0.3"/>
  <pageSetup paperSize="9" scale="18" fitToHeight="0" orientation="landscape" r:id="rId1"/>
  <headerFooter>
    <oddHeader>&amp;L2/26/2020&amp;RPage &amp;P of &amp;N</oddHead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1000000}">
          <x14:formula1>
            <xm:f>OFFSET(Admin!$A$1, 1, 0, COUNTA(Admin!$A:$A) - 1, 1)</xm:f>
          </x14:formula1>
          <xm:sqref>I123 I79 U123 U79 AE123 AE74 I74 U59 AE59 AE82:AE83 I99:I105 I148:I149 U143:U146 AE143:AE146 AE125:AE141 I125:I146 U125:U141 AE148:AE157 U148:U277 I107:I121 AE99:AE121 U99:U121 U279:U1048576 AE161:AE1048576 I151:I1048576</xm:sqref>
        </x14:dataValidation>
        <x14:dataValidation type="list" allowBlank="1" showInputMessage="1" showErrorMessage="1" xr:uid="{00000000-0002-0000-0200-000002000000}">
          <x14:formula1>
            <xm:f>'K:\Purchasing_Administration\03_Purchasing_Contracts\1.0 Admin ISM\2.0 Master Data Request\2.1 New\Fruit and Veg\[FreshMemo_103020.xlsm]FM Changes'!#REF!</xm:f>
          </x14:formula1>
          <xm:sqref>AD4:AD21 T77 T84 AD77 T91 T80 AD79:AD80 AD88:AD89 T88:T89 AD91:AD92 T82 AD84 T38:T42 T4:T21 AD32:AD42 H16 AD46:AD58 AD86 T86 T46:T58 T95:T98 AD95:AD98 T25:T36 AD25:AD30</xm:sqref>
        </x14:dataValidation>
        <x14:dataValidation type="list" allowBlank="1" showInputMessage="1" showErrorMessage="1" xr:uid="{00000000-0002-0000-0200-000003000000}">
          <x14:formula1>
            <xm:f>OFFSET(Admin!$G$1, 1, 0, COUNTA(Admin!$G:$G) - 1, 1)</xm:f>
          </x14:formula1>
          <xm:sqref>AD119 T92:T94 AD93:AD94 H124 T85 T124 AD85 AD124 T81 AD81 T90 AD90 H209 AD59:AD60 AD87 T87 AD62:AD76 T62:T76 AD43:AD44 T43:T44 T37 AD78 T22:T24 AD22:AD24 T59:T60 H46:H60 T78:T79 H17:H44 H4:H15 H62:H81 H83:H99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4"/>
  </sheetPr>
  <dimension ref="A1:AZ21"/>
  <sheetViews>
    <sheetView showGridLines="0" tabSelected="1" workbookViewId="0">
      <selection activeCell="E21" sqref="E21"/>
    </sheetView>
  </sheetViews>
  <sheetFormatPr defaultRowHeight="14.5" x14ac:dyDescent="0.35"/>
  <cols>
    <col min="3" max="3" width="11.7265625" bestFit="1" customWidth="1"/>
    <col min="52" max="52" width="17" bestFit="1" customWidth="1"/>
  </cols>
  <sheetData>
    <row r="1" spans="1:52" x14ac:dyDescent="0.35">
      <c r="A1" t="s">
        <v>222</v>
      </c>
      <c r="AZ1" t="s">
        <v>129</v>
      </c>
    </row>
    <row r="2" spans="1:52" x14ac:dyDescent="0.35">
      <c r="AZ2" t="s">
        <v>364</v>
      </c>
    </row>
    <row r="3" spans="1:52" x14ac:dyDescent="0.35">
      <c r="AZ3" t="s">
        <v>203</v>
      </c>
    </row>
    <row r="4" spans="1:52" x14ac:dyDescent="0.35">
      <c r="AZ4" t="s">
        <v>204</v>
      </c>
    </row>
    <row r="5" spans="1:52" x14ac:dyDescent="0.35">
      <c r="AZ5" t="s">
        <v>205</v>
      </c>
    </row>
    <row r="6" spans="1:52" x14ac:dyDescent="0.35">
      <c r="AZ6" t="s">
        <v>206</v>
      </c>
    </row>
    <row r="7" spans="1:52" x14ac:dyDescent="0.35">
      <c r="AZ7" t="s">
        <v>207</v>
      </c>
    </row>
    <row r="8" spans="1:52" x14ac:dyDescent="0.35">
      <c r="AZ8" t="s">
        <v>386</v>
      </c>
    </row>
    <row r="9" spans="1:52" x14ac:dyDescent="0.35">
      <c r="AZ9" t="s">
        <v>208</v>
      </c>
    </row>
    <row r="10" spans="1:52" x14ac:dyDescent="0.35">
      <c r="AZ10" t="s">
        <v>209</v>
      </c>
    </row>
    <row r="11" spans="1:52" x14ac:dyDescent="0.35">
      <c r="AZ11" t="s">
        <v>210</v>
      </c>
    </row>
    <row r="12" spans="1:52" x14ac:dyDescent="0.35">
      <c r="AZ12" t="s">
        <v>211</v>
      </c>
    </row>
    <row r="13" spans="1:52" x14ac:dyDescent="0.35">
      <c r="AZ13" t="s">
        <v>217</v>
      </c>
    </row>
    <row r="14" spans="1:52" x14ac:dyDescent="0.35">
      <c r="AZ14" t="s">
        <v>218</v>
      </c>
    </row>
    <row r="15" spans="1:52" x14ac:dyDescent="0.35">
      <c r="AZ15" t="s">
        <v>219</v>
      </c>
    </row>
    <row r="16" spans="1:52" x14ac:dyDescent="0.35">
      <c r="AZ16" t="s">
        <v>220</v>
      </c>
    </row>
    <row r="17" spans="3:52" x14ac:dyDescent="0.35">
      <c r="AZ17" t="s">
        <v>212</v>
      </c>
    </row>
    <row r="18" spans="3:52" x14ac:dyDescent="0.35">
      <c r="C18" s="12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8"/>
      <c r="AZ18" t="s">
        <v>213</v>
      </c>
    </row>
    <row r="19" spans="3:52" x14ac:dyDescent="0.35">
      <c r="AZ19" t="s">
        <v>214</v>
      </c>
    </row>
    <row r="20" spans="3:52" x14ac:dyDescent="0.35">
      <c r="AZ20" t="s">
        <v>215</v>
      </c>
    </row>
    <row r="21" spans="3:52" x14ac:dyDescent="0.35">
      <c r="AZ21" t="s">
        <v>216</v>
      </c>
    </row>
  </sheetData>
  <mergeCells count="1">
    <mergeCell ref="D18:U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intSheets">
                <anchor moveWithCells="1" sizeWithCells="1">
                  <from>
                    <xdr:col>2</xdr:col>
                    <xdr:colOff>228600</xdr:colOff>
                    <xdr:row>7</xdr:row>
                    <xdr:rowOff>38100</xdr:rowOff>
                  </from>
                  <to>
                    <xdr:col>7</xdr:col>
                    <xdr:colOff>304800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AndFinish">
                <anchor moveWithCells="1" sizeWithCells="1">
                  <from>
                    <xdr:col>2</xdr:col>
                    <xdr:colOff>228600</xdr:colOff>
                    <xdr:row>12</xdr:row>
                    <xdr:rowOff>38100</xdr:rowOff>
                  </from>
                  <to>
                    <xdr:col>7</xdr:col>
                    <xdr:colOff>304800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SOFile">
                <anchor moveWithCells="1" sizeWithCells="1">
                  <from>
                    <xdr:col>2</xdr:col>
                    <xdr:colOff>228600</xdr:colOff>
                    <xdr:row>2</xdr:row>
                    <xdr:rowOff>76200</xdr:rowOff>
                  </from>
                  <to>
                    <xdr:col>7</xdr:col>
                    <xdr:colOff>342900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List Box 6">
              <controlPr defaultSize="0" autoLine="0" autoPict="0" macro="[0]!ListBox6_Change">
                <anchor moveWithCells="1">
                  <from>
                    <xdr:col>0</xdr:col>
                    <xdr:colOff>114300</xdr:colOff>
                    <xdr:row>1</xdr:row>
                    <xdr:rowOff>76200</xdr:rowOff>
                  </from>
                  <to>
                    <xdr:col>2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5"/>
  </sheetPr>
  <dimension ref="A1:AA105"/>
  <sheetViews>
    <sheetView topLeftCell="H1" zoomScale="90" zoomScaleNormal="90" workbookViewId="0">
      <pane ySplit="3" topLeftCell="A4" activePane="bottomLeft" state="frozen"/>
      <selection pane="bottomLeft" activeCell="N3" sqref="N3"/>
    </sheetView>
  </sheetViews>
  <sheetFormatPr defaultRowHeight="14.5" x14ac:dyDescent="0.35"/>
  <cols>
    <col min="2" max="3" width="13" customWidth="1"/>
    <col min="6" max="6" width="43.7265625" bestFit="1" customWidth="1"/>
    <col min="7" max="9" width="8.7265625" customWidth="1"/>
    <col min="10" max="10" width="20" bestFit="1" customWidth="1"/>
    <col min="11" max="13" width="8.7265625" customWidth="1"/>
    <col min="16" max="16" width="12.7265625" customWidth="1"/>
    <col min="19" max="19" width="12.7265625" bestFit="1" customWidth="1"/>
    <col min="20" max="20" width="10.7265625" customWidth="1"/>
    <col min="21" max="21" width="18.26953125" bestFit="1" customWidth="1"/>
    <col min="22" max="22" width="31.7265625" bestFit="1" customWidth="1"/>
    <col min="24" max="24" width="26" bestFit="1" customWidth="1"/>
    <col min="25" max="25" width="29.7265625" bestFit="1" customWidth="1"/>
    <col min="26" max="26" width="16.7265625" customWidth="1"/>
  </cols>
  <sheetData>
    <row r="1" spans="1:26" x14ac:dyDescent="0.35">
      <c r="B1" s="65" t="s">
        <v>387</v>
      </c>
      <c r="C1" s="65"/>
    </row>
    <row r="2" spans="1:26" x14ac:dyDescent="0.35">
      <c r="B2" s="65"/>
      <c r="C2" s="65">
        <v>44819</v>
      </c>
      <c r="D2" t="s">
        <v>393</v>
      </c>
    </row>
    <row r="3" spans="1:26" x14ac:dyDescent="0.35">
      <c r="A3" t="s">
        <v>154</v>
      </c>
      <c r="B3" t="s">
        <v>21</v>
      </c>
      <c r="C3" t="s">
        <v>1</v>
      </c>
      <c r="D3" t="s">
        <v>155</v>
      </c>
      <c r="E3" t="s">
        <v>156</v>
      </c>
      <c r="F3" t="s">
        <v>13</v>
      </c>
      <c r="G3" t="s">
        <v>157</v>
      </c>
      <c r="H3" t="s">
        <v>388</v>
      </c>
      <c r="I3" t="s">
        <v>158</v>
      </c>
      <c r="J3" t="s">
        <v>159</v>
      </c>
      <c r="K3" t="s">
        <v>160</v>
      </c>
      <c r="L3" t="s">
        <v>161</v>
      </c>
      <c r="M3" t="s">
        <v>162</v>
      </c>
      <c r="N3" t="s">
        <v>575</v>
      </c>
      <c r="O3" t="s">
        <v>20</v>
      </c>
      <c r="P3" t="s">
        <v>389</v>
      </c>
      <c r="Q3" t="s">
        <v>163</v>
      </c>
      <c r="R3" t="s">
        <v>0</v>
      </c>
      <c r="S3" t="s">
        <v>164</v>
      </c>
      <c r="T3" t="s">
        <v>165</v>
      </c>
      <c r="U3" t="s">
        <v>3</v>
      </c>
      <c r="V3" t="s">
        <v>166</v>
      </c>
      <c r="W3" t="s">
        <v>390</v>
      </c>
      <c r="X3" t="s">
        <v>167</v>
      </c>
      <c r="Y3" t="s">
        <v>391</v>
      </c>
      <c r="Z3" t="s">
        <v>392</v>
      </c>
    </row>
    <row r="4" spans="1:26" x14ac:dyDescent="0.35">
      <c r="A4">
        <v>36</v>
      </c>
      <c r="B4">
        <v>44819</v>
      </c>
      <c r="C4">
        <v>44819</v>
      </c>
      <c r="D4" t="s">
        <v>606</v>
      </c>
      <c r="E4">
        <v>983531</v>
      </c>
      <c r="F4" t="s">
        <v>803</v>
      </c>
      <c r="G4">
        <v>7</v>
      </c>
      <c r="H4">
        <v>10</v>
      </c>
      <c r="I4" t="s">
        <v>804</v>
      </c>
      <c r="L4" t="s">
        <v>732</v>
      </c>
      <c r="M4" t="s">
        <v>651</v>
      </c>
      <c r="N4" t="s">
        <v>652</v>
      </c>
      <c r="O4" t="s">
        <v>9</v>
      </c>
      <c r="P4" t="s">
        <v>705</v>
      </c>
      <c r="Q4">
        <v>1.29</v>
      </c>
      <c r="R4">
        <v>0.89</v>
      </c>
      <c r="S4">
        <v>0.4</v>
      </c>
      <c r="T4">
        <v>-0.31007751937984496</v>
      </c>
      <c r="U4" t="s">
        <v>6</v>
      </c>
      <c r="V4" t="s">
        <v>345</v>
      </c>
      <c r="W4" t="s">
        <v>743</v>
      </c>
      <c r="X4" t="s">
        <v>631</v>
      </c>
      <c r="Y4" t="s">
        <v>840</v>
      </c>
    </row>
    <row r="5" spans="1:26" x14ac:dyDescent="0.35">
      <c r="A5">
        <v>36</v>
      </c>
      <c r="B5">
        <v>44819</v>
      </c>
      <c r="C5">
        <v>44819</v>
      </c>
      <c r="D5" t="s">
        <v>606</v>
      </c>
      <c r="E5">
        <v>983531</v>
      </c>
      <c r="F5" t="s">
        <v>803</v>
      </c>
      <c r="G5">
        <v>7</v>
      </c>
      <c r="H5">
        <v>10</v>
      </c>
      <c r="I5" t="s">
        <v>804</v>
      </c>
      <c r="L5" t="s">
        <v>732</v>
      </c>
      <c r="M5" t="s">
        <v>654</v>
      </c>
      <c r="N5" t="s">
        <v>655</v>
      </c>
      <c r="O5" t="s">
        <v>9</v>
      </c>
      <c r="P5" t="s">
        <v>705</v>
      </c>
      <c r="Q5">
        <v>1.29</v>
      </c>
      <c r="R5">
        <v>0.89</v>
      </c>
      <c r="S5">
        <v>0.4</v>
      </c>
      <c r="T5">
        <v>-0.31007751937984496</v>
      </c>
      <c r="U5" t="s">
        <v>6</v>
      </c>
      <c r="V5" t="s">
        <v>345</v>
      </c>
      <c r="W5" t="s">
        <v>743</v>
      </c>
      <c r="X5" t="s">
        <v>631</v>
      </c>
      <c r="Y5" t="s">
        <v>840</v>
      </c>
    </row>
    <row r="6" spans="1:26" x14ac:dyDescent="0.35">
      <c r="A6">
        <v>36</v>
      </c>
      <c r="B6">
        <v>44819</v>
      </c>
      <c r="C6">
        <v>44819</v>
      </c>
      <c r="D6" t="s">
        <v>606</v>
      </c>
      <c r="E6">
        <v>983531</v>
      </c>
      <c r="F6" t="s">
        <v>803</v>
      </c>
      <c r="G6">
        <v>7</v>
      </c>
      <c r="H6">
        <v>10</v>
      </c>
      <c r="I6" t="s">
        <v>804</v>
      </c>
      <c r="L6" t="s">
        <v>732</v>
      </c>
      <c r="M6" t="s">
        <v>656</v>
      </c>
      <c r="N6" t="s">
        <v>657</v>
      </c>
      <c r="O6" t="s">
        <v>9</v>
      </c>
      <c r="P6" t="s">
        <v>705</v>
      </c>
      <c r="Q6">
        <v>1.29</v>
      </c>
      <c r="R6">
        <v>0.89</v>
      </c>
      <c r="S6">
        <v>0.4</v>
      </c>
      <c r="T6">
        <v>-0.31007751937984496</v>
      </c>
      <c r="U6" t="s">
        <v>6</v>
      </c>
      <c r="V6" t="s">
        <v>345</v>
      </c>
      <c r="W6" t="s">
        <v>743</v>
      </c>
      <c r="X6" t="s">
        <v>631</v>
      </c>
      <c r="Y6" t="s">
        <v>840</v>
      </c>
    </row>
    <row r="7" spans="1:26" x14ac:dyDescent="0.35">
      <c r="A7">
        <v>37</v>
      </c>
      <c r="B7">
        <v>44818</v>
      </c>
      <c r="C7">
        <v>44824</v>
      </c>
      <c r="D7" t="s">
        <v>606</v>
      </c>
      <c r="E7">
        <v>980821</v>
      </c>
      <c r="F7" t="s">
        <v>819</v>
      </c>
      <c r="G7">
        <v>115</v>
      </c>
      <c r="H7">
        <v>10</v>
      </c>
      <c r="I7" t="s">
        <v>804</v>
      </c>
      <c r="J7" t="s">
        <v>820</v>
      </c>
      <c r="L7" t="s">
        <v>732</v>
      </c>
      <c r="M7" t="s">
        <v>641</v>
      </c>
      <c r="N7" t="s">
        <v>642</v>
      </c>
      <c r="O7" t="s">
        <v>5</v>
      </c>
      <c r="P7" t="s">
        <v>705</v>
      </c>
      <c r="Q7">
        <v>0.66</v>
      </c>
      <c r="R7">
        <v>0.45</v>
      </c>
      <c r="S7">
        <v>0.21000000000000002</v>
      </c>
      <c r="T7">
        <v>-0.31818181818181818</v>
      </c>
      <c r="U7" t="s">
        <v>6</v>
      </c>
      <c r="V7" t="s">
        <v>7</v>
      </c>
      <c r="W7" t="s">
        <v>743</v>
      </c>
    </row>
    <row r="8" spans="1:26" x14ac:dyDescent="0.35">
      <c r="A8">
        <v>37</v>
      </c>
      <c r="B8">
        <v>44818</v>
      </c>
      <c r="C8">
        <v>44824</v>
      </c>
      <c r="D8" t="s">
        <v>606</v>
      </c>
      <c r="E8">
        <v>980821</v>
      </c>
      <c r="F8" t="s">
        <v>819</v>
      </c>
      <c r="G8">
        <v>115</v>
      </c>
      <c r="H8">
        <v>10</v>
      </c>
      <c r="I8" t="s">
        <v>804</v>
      </c>
      <c r="J8" t="s">
        <v>820</v>
      </c>
      <c r="L8" t="s">
        <v>732</v>
      </c>
      <c r="M8" t="s">
        <v>643</v>
      </c>
      <c r="N8" t="s">
        <v>644</v>
      </c>
      <c r="O8" t="s">
        <v>5</v>
      </c>
      <c r="P8" t="s">
        <v>705</v>
      </c>
      <c r="Q8">
        <v>0.66</v>
      </c>
      <c r="R8">
        <v>0.45</v>
      </c>
      <c r="S8">
        <v>0.21000000000000002</v>
      </c>
      <c r="T8">
        <v>-0.31818181818181818</v>
      </c>
      <c r="U8" t="s">
        <v>6</v>
      </c>
      <c r="V8" t="s">
        <v>7</v>
      </c>
      <c r="W8" t="s">
        <v>743</v>
      </c>
    </row>
    <row r="9" spans="1:26" x14ac:dyDescent="0.35">
      <c r="A9">
        <v>37</v>
      </c>
      <c r="B9">
        <v>44818</v>
      </c>
      <c r="C9">
        <v>44824</v>
      </c>
      <c r="D9" t="s">
        <v>606</v>
      </c>
      <c r="E9">
        <v>980821</v>
      </c>
      <c r="F9" t="s">
        <v>819</v>
      </c>
      <c r="G9">
        <v>115</v>
      </c>
      <c r="H9">
        <v>10</v>
      </c>
      <c r="I9" t="s">
        <v>804</v>
      </c>
      <c r="J9" t="s">
        <v>820</v>
      </c>
      <c r="L9" t="s">
        <v>732</v>
      </c>
      <c r="M9" t="s">
        <v>645</v>
      </c>
      <c r="N9" t="s">
        <v>644</v>
      </c>
      <c r="O9" t="s">
        <v>8</v>
      </c>
      <c r="P9" t="s">
        <v>705</v>
      </c>
      <c r="Q9">
        <v>0.62</v>
      </c>
      <c r="R9">
        <v>0.39</v>
      </c>
      <c r="S9">
        <v>0.22999999999999998</v>
      </c>
      <c r="T9">
        <v>-0.37096774193548382</v>
      </c>
      <c r="U9" t="s">
        <v>6</v>
      </c>
      <c r="V9" t="s">
        <v>7</v>
      </c>
      <c r="W9" t="s">
        <v>743</v>
      </c>
    </row>
    <row r="10" spans="1:26" x14ac:dyDescent="0.35">
      <c r="A10">
        <v>37</v>
      </c>
      <c r="B10">
        <v>44818</v>
      </c>
      <c r="C10">
        <v>44824</v>
      </c>
      <c r="D10" t="s">
        <v>606</v>
      </c>
      <c r="E10">
        <v>980821</v>
      </c>
      <c r="F10" t="s">
        <v>819</v>
      </c>
      <c r="G10">
        <v>115</v>
      </c>
      <c r="H10">
        <v>10</v>
      </c>
      <c r="I10" t="s">
        <v>804</v>
      </c>
      <c r="J10" t="s">
        <v>820</v>
      </c>
      <c r="L10" t="s">
        <v>732</v>
      </c>
      <c r="M10" t="s">
        <v>646</v>
      </c>
      <c r="N10" t="s">
        <v>647</v>
      </c>
      <c r="O10" t="s">
        <v>5</v>
      </c>
      <c r="P10" t="s">
        <v>705</v>
      </c>
      <c r="Q10">
        <v>0.62</v>
      </c>
      <c r="R10">
        <v>0.39</v>
      </c>
      <c r="S10">
        <v>0.22999999999999998</v>
      </c>
      <c r="T10">
        <v>-0.37096774193548382</v>
      </c>
      <c r="U10" t="s">
        <v>6</v>
      </c>
      <c r="V10" t="s">
        <v>7</v>
      </c>
      <c r="W10" t="s">
        <v>743</v>
      </c>
    </row>
    <row r="11" spans="1:26" x14ac:dyDescent="0.35">
      <c r="A11">
        <v>37</v>
      </c>
      <c r="B11">
        <v>44818</v>
      </c>
      <c r="C11">
        <v>44824</v>
      </c>
      <c r="D11" t="s">
        <v>606</v>
      </c>
      <c r="E11">
        <v>980821</v>
      </c>
      <c r="F11" t="s">
        <v>819</v>
      </c>
      <c r="G11">
        <v>115</v>
      </c>
      <c r="H11">
        <v>10</v>
      </c>
      <c r="I11" t="s">
        <v>804</v>
      </c>
      <c r="J11" t="s">
        <v>820</v>
      </c>
      <c r="L11" t="s">
        <v>732</v>
      </c>
      <c r="M11" t="s">
        <v>648</v>
      </c>
      <c r="N11" t="s">
        <v>649</v>
      </c>
      <c r="O11" t="s">
        <v>5</v>
      </c>
      <c r="P11" t="s">
        <v>705</v>
      </c>
      <c r="Q11">
        <v>0.62</v>
      </c>
      <c r="R11">
        <v>0.39</v>
      </c>
      <c r="S11">
        <v>0.22999999999999998</v>
      </c>
      <c r="T11">
        <v>-0.37096774193548382</v>
      </c>
      <c r="U11" t="s">
        <v>6</v>
      </c>
      <c r="V11" t="s">
        <v>7</v>
      </c>
      <c r="W11" t="s">
        <v>743</v>
      </c>
    </row>
    <row r="12" spans="1:26" x14ac:dyDescent="0.35">
      <c r="A12">
        <v>37</v>
      </c>
      <c r="B12">
        <v>44818</v>
      </c>
      <c r="C12">
        <v>44824</v>
      </c>
      <c r="D12" t="s">
        <v>606</v>
      </c>
      <c r="E12">
        <v>980821</v>
      </c>
      <c r="F12" t="s">
        <v>819</v>
      </c>
      <c r="G12">
        <v>115</v>
      </c>
      <c r="H12">
        <v>10</v>
      </c>
      <c r="I12" t="s">
        <v>804</v>
      </c>
      <c r="J12" t="s">
        <v>820</v>
      </c>
      <c r="L12" t="s">
        <v>732</v>
      </c>
      <c r="M12" t="s">
        <v>650</v>
      </c>
      <c r="N12" t="s">
        <v>649</v>
      </c>
      <c r="O12" t="s">
        <v>8</v>
      </c>
      <c r="P12" t="s">
        <v>705</v>
      </c>
      <c r="Q12">
        <v>0.62</v>
      </c>
      <c r="R12">
        <v>0.39</v>
      </c>
      <c r="S12">
        <v>0.22999999999999998</v>
      </c>
      <c r="T12">
        <v>-0.37096774193548382</v>
      </c>
      <c r="U12" t="s">
        <v>6</v>
      </c>
      <c r="V12" t="s">
        <v>7</v>
      </c>
      <c r="W12" t="s">
        <v>743</v>
      </c>
    </row>
    <row r="13" spans="1:26" x14ac:dyDescent="0.35">
      <c r="A13">
        <v>37</v>
      </c>
      <c r="B13">
        <v>44818</v>
      </c>
      <c r="C13">
        <v>44824</v>
      </c>
      <c r="D13" t="s">
        <v>606</v>
      </c>
      <c r="E13">
        <v>980821</v>
      </c>
      <c r="F13" t="s">
        <v>819</v>
      </c>
      <c r="G13">
        <v>115</v>
      </c>
      <c r="H13">
        <v>10</v>
      </c>
      <c r="I13" t="s">
        <v>804</v>
      </c>
      <c r="J13" t="s">
        <v>820</v>
      </c>
      <c r="L13" t="s">
        <v>732</v>
      </c>
      <c r="M13" t="s">
        <v>651</v>
      </c>
      <c r="N13" t="s">
        <v>652</v>
      </c>
      <c r="O13" t="s">
        <v>9</v>
      </c>
      <c r="P13" t="s">
        <v>705</v>
      </c>
      <c r="Q13">
        <v>0.62</v>
      </c>
      <c r="R13">
        <v>0.39</v>
      </c>
      <c r="S13">
        <v>0.22999999999999998</v>
      </c>
      <c r="T13">
        <v>-0.37096774193548382</v>
      </c>
      <c r="U13" t="s">
        <v>6</v>
      </c>
      <c r="V13" t="s">
        <v>7</v>
      </c>
      <c r="W13" t="s">
        <v>743</v>
      </c>
    </row>
    <row r="14" spans="1:26" x14ac:dyDescent="0.35">
      <c r="A14">
        <v>37</v>
      </c>
      <c r="B14">
        <v>44818</v>
      </c>
      <c r="C14">
        <v>44824</v>
      </c>
      <c r="D14" t="s">
        <v>606</v>
      </c>
      <c r="E14">
        <v>980821</v>
      </c>
      <c r="F14" t="s">
        <v>819</v>
      </c>
      <c r="G14">
        <v>115</v>
      </c>
      <c r="H14">
        <v>10</v>
      </c>
      <c r="I14" t="s">
        <v>804</v>
      </c>
      <c r="J14" t="s">
        <v>820</v>
      </c>
      <c r="L14" t="s">
        <v>732</v>
      </c>
      <c r="M14" t="s">
        <v>653</v>
      </c>
      <c r="N14" t="s">
        <v>652</v>
      </c>
      <c r="O14" t="s">
        <v>8</v>
      </c>
      <c r="P14" t="s">
        <v>705</v>
      </c>
      <c r="Q14">
        <v>0.62</v>
      </c>
      <c r="R14">
        <v>0.39</v>
      </c>
      <c r="S14">
        <v>0.22999999999999998</v>
      </c>
      <c r="T14">
        <v>-0.37096774193548382</v>
      </c>
      <c r="U14" t="s">
        <v>6</v>
      </c>
      <c r="V14" t="s">
        <v>7</v>
      </c>
      <c r="W14" t="s">
        <v>743</v>
      </c>
    </row>
    <row r="15" spans="1:26" x14ac:dyDescent="0.35">
      <c r="A15">
        <v>37</v>
      </c>
      <c r="B15">
        <v>44818</v>
      </c>
      <c r="C15">
        <v>44824</v>
      </c>
      <c r="D15" t="s">
        <v>606</v>
      </c>
      <c r="E15">
        <v>980821</v>
      </c>
      <c r="F15" t="s">
        <v>819</v>
      </c>
      <c r="G15">
        <v>115</v>
      </c>
      <c r="H15">
        <v>10</v>
      </c>
      <c r="I15" t="s">
        <v>804</v>
      </c>
      <c r="J15" t="s">
        <v>820</v>
      </c>
      <c r="L15" t="s">
        <v>732</v>
      </c>
      <c r="M15" t="s">
        <v>654</v>
      </c>
      <c r="N15" t="s">
        <v>655</v>
      </c>
      <c r="O15" t="s">
        <v>9</v>
      </c>
      <c r="P15" t="s">
        <v>705</v>
      </c>
      <c r="Q15">
        <v>0.62</v>
      </c>
      <c r="R15">
        <v>0.39</v>
      </c>
      <c r="S15">
        <v>0.22999999999999998</v>
      </c>
      <c r="T15">
        <v>-0.37096774193548382</v>
      </c>
      <c r="U15" t="s">
        <v>6</v>
      </c>
      <c r="V15" t="s">
        <v>7</v>
      </c>
      <c r="W15" t="s">
        <v>743</v>
      </c>
    </row>
    <row r="16" spans="1:26" x14ac:dyDescent="0.35">
      <c r="A16">
        <v>37</v>
      </c>
      <c r="B16">
        <v>44818</v>
      </c>
      <c r="C16">
        <v>44824</v>
      </c>
      <c r="D16" t="s">
        <v>606</v>
      </c>
      <c r="E16">
        <v>980821</v>
      </c>
      <c r="F16" t="s">
        <v>819</v>
      </c>
      <c r="G16">
        <v>115</v>
      </c>
      <c r="H16">
        <v>10</v>
      </c>
      <c r="I16" t="s">
        <v>804</v>
      </c>
      <c r="J16" t="s">
        <v>820</v>
      </c>
      <c r="L16" t="s">
        <v>732</v>
      </c>
      <c r="M16" t="s">
        <v>656</v>
      </c>
      <c r="N16" t="s">
        <v>657</v>
      </c>
      <c r="O16" t="s">
        <v>9</v>
      </c>
      <c r="P16" t="s">
        <v>705</v>
      </c>
      <c r="Q16">
        <v>0.62</v>
      </c>
      <c r="R16">
        <v>0.39</v>
      </c>
      <c r="S16">
        <v>0.22999999999999998</v>
      </c>
      <c r="T16">
        <v>-0.37096774193548382</v>
      </c>
      <c r="U16" t="s">
        <v>6</v>
      </c>
      <c r="V16" t="s">
        <v>7</v>
      </c>
      <c r="W16" t="s">
        <v>743</v>
      </c>
    </row>
    <row r="17" spans="1:23" x14ac:dyDescent="0.35">
      <c r="A17">
        <v>37</v>
      </c>
      <c r="B17">
        <v>44818</v>
      </c>
      <c r="C17">
        <v>44824</v>
      </c>
      <c r="D17" t="s">
        <v>606</v>
      </c>
      <c r="E17">
        <v>980821</v>
      </c>
      <c r="F17" t="s">
        <v>819</v>
      </c>
      <c r="G17">
        <v>115</v>
      </c>
      <c r="H17">
        <v>10</v>
      </c>
      <c r="I17" t="s">
        <v>804</v>
      </c>
      <c r="J17" t="s">
        <v>820</v>
      </c>
      <c r="L17" t="s">
        <v>732</v>
      </c>
      <c r="M17" t="s">
        <v>658</v>
      </c>
      <c r="N17" t="s">
        <v>659</v>
      </c>
      <c r="O17" t="s">
        <v>5</v>
      </c>
      <c r="P17" t="s">
        <v>705</v>
      </c>
      <c r="Q17">
        <v>0.66</v>
      </c>
      <c r="R17">
        <v>0.45</v>
      </c>
      <c r="S17">
        <v>0.21000000000000002</v>
      </c>
      <c r="T17">
        <v>-0.31818181818181818</v>
      </c>
      <c r="U17" t="s">
        <v>6</v>
      </c>
      <c r="V17" t="s">
        <v>7</v>
      </c>
      <c r="W17" t="s">
        <v>743</v>
      </c>
    </row>
    <row r="18" spans="1:23" x14ac:dyDescent="0.35">
      <c r="A18">
        <v>37</v>
      </c>
      <c r="B18">
        <v>44818</v>
      </c>
      <c r="C18">
        <v>44824</v>
      </c>
      <c r="D18" t="s">
        <v>606</v>
      </c>
      <c r="E18">
        <v>986973</v>
      </c>
      <c r="F18" t="s">
        <v>111</v>
      </c>
      <c r="G18">
        <v>15</v>
      </c>
      <c r="H18">
        <v>11</v>
      </c>
      <c r="I18" t="s">
        <v>168</v>
      </c>
      <c r="J18" t="s">
        <v>27</v>
      </c>
      <c r="L18" t="s">
        <v>662</v>
      </c>
      <c r="M18" t="s">
        <v>641</v>
      </c>
      <c r="N18" t="s">
        <v>642</v>
      </c>
      <c r="O18" t="s">
        <v>5</v>
      </c>
      <c r="P18" t="s">
        <v>730</v>
      </c>
      <c r="Q18">
        <v>3.29</v>
      </c>
      <c r="R18">
        <v>2.29</v>
      </c>
      <c r="S18">
        <v>1</v>
      </c>
      <c r="T18">
        <v>-0.303951367781155</v>
      </c>
      <c r="U18" t="s">
        <v>688</v>
      </c>
      <c r="V18" t="s">
        <v>662</v>
      </c>
      <c r="W18" t="s">
        <v>743</v>
      </c>
    </row>
    <row r="19" spans="1:23" x14ac:dyDescent="0.35">
      <c r="A19">
        <v>37</v>
      </c>
      <c r="B19">
        <v>44818</v>
      </c>
      <c r="C19">
        <v>44824</v>
      </c>
      <c r="D19" t="s">
        <v>606</v>
      </c>
      <c r="E19">
        <v>986973</v>
      </c>
      <c r="F19" t="s">
        <v>111</v>
      </c>
      <c r="G19">
        <v>15</v>
      </c>
      <c r="H19">
        <v>11</v>
      </c>
      <c r="I19" t="s">
        <v>168</v>
      </c>
      <c r="J19" t="s">
        <v>27</v>
      </c>
      <c r="L19" t="s">
        <v>662</v>
      </c>
      <c r="M19" t="s">
        <v>643</v>
      </c>
      <c r="N19" t="s">
        <v>644</v>
      </c>
      <c r="O19" t="s">
        <v>5</v>
      </c>
      <c r="P19" t="s">
        <v>730</v>
      </c>
      <c r="Q19">
        <v>3.29</v>
      </c>
      <c r="R19">
        <v>2.29</v>
      </c>
      <c r="S19">
        <v>1</v>
      </c>
      <c r="T19">
        <v>-0.303951367781155</v>
      </c>
      <c r="U19" t="s">
        <v>688</v>
      </c>
      <c r="V19" t="s">
        <v>662</v>
      </c>
      <c r="W19" t="s">
        <v>743</v>
      </c>
    </row>
    <row r="20" spans="1:23" x14ac:dyDescent="0.35">
      <c r="A20">
        <v>37</v>
      </c>
      <c r="B20">
        <v>44818</v>
      </c>
      <c r="C20">
        <v>44824</v>
      </c>
      <c r="D20" t="s">
        <v>606</v>
      </c>
      <c r="E20">
        <v>986973</v>
      </c>
      <c r="F20" t="s">
        <v>111</v>
      </c>
      <c r="G20">
        <v>15</v>
      </c>
      <c r="H20">
        <v>11</v>
      </c>
      <c r="I20" t="s">
        <v>168</v>
      </c>
      <c r="J20" t="s">
        <v>27</v>
      </c>
      <c r="L20" t="s">
        <v>662</v>
      </c>
      <c r="M20" t="s">
        <v>645</v>
      </c>
      <c r="N20" t="s">
        <v>644</v>
      </c>
      <c r="O20" t="s">
        <v>8</v>
      </c>
      <c r="P20" t="s">
        <v>730</v>
      </c>
      <c r="Q20">
        <v>2.99</v>
      </c>
      <c r="R20">
        <v>1.99</v>
      </c>
      <c r="S20">
        <v>1.0000000000000002</v>
      </c>
      <c r="T20">
        <v>-0.33444816053511711</v>
      </c>
      <c r="U20" t="s">
        <v>688</v>
      </c>
      <c r="V20" t="s">
        <v>662</v>
      </c>
      <c r="W20" t="s">
        <v>743</v>
      </c>
    </row>
    <row r="21" spans="1:23" x14ac:dyDescent="0.35">
      <c r="A21">
        <v>37</v>
      </c>
      <c r="B21">
        <v>44818</v>
      </c>
      <c r="C21">
        <v>44824</v>
      </c>
      <c r="D21" t="s">
        <v>606</v>
      </c>
      <c r="E21">
        <v>986973</v>
      </c>
      <c r="F21" t="s">
        <v>111</v>
      </c>
      <c r="G21">
        <v>15</v>
      </c>
      <c r="H21">
        <v>11</v>
      </c>
      <c r="I21" t="s">
        <v>168</v>
      </c>
      <c r="J21" t="s">
        <v>27</v>
      </c>
      <c r="L21" t="s">
        <v>662</v>
      </c>
      <c r="M21" t="s">
        <v>646</v>
      </c>
      <c r="N21" t="s">
        <v>647</v>
      </c>
      <c r="O21" t="s">
        <v>5</v>
      </c>
      <c r="P21" t="s">
        <v>730</v>
      </c>
      <c r="Q21">
        <v>2.99</v>
      </c>
      <c r="R21">
        <v>1.99</v>
      </c>
      <c r="S21">
        <v>1.0000000000000002</v>
      </c>
      <c r="T21">
        <v>-0.33444816053511711</v>
      </c>
      <c r="U21" t="s">
        <v>688</v>
      </c>
      <c r="V21" t="s">
        <v>662</v>
      </c>
      <c r="W21" t="s">
        <v>743</v>
      </c>
    </row>
    <row r="22" spans="1:23" x14ac:dyDescent="0.35">
      <c r="A22">
        <v>37</v>
      </c>
      <c r="B22">
        <v>44818</v>
      </c>
      <c r="C22">
        <v>44824</v>
      </c>
      <c r="D22" t="s">
        <v>606</v>
      </c>
      <c r="E22">
        <v>986973</v>
      </c>
      <c r="F22" t="s">
        <v>111</v>
      </c>
      <c r="G22">
        <v>15</v>
      </c>
      <c r="H22">
        <v>11</v>
      </c>
      <c r="I22" t="s">
        <v>168</v>
      </c>
      <c r="J22" t="s">
        <v>27</v>
      </c>
      <c r="L22" t="s">
        <v>662</v>
      </c>
      <c r="M22" t="s">
        <v>648</v>
      </c>
      <c r="N22" t="s">
        <v>649</v>
      </c>
      <c r="O22" t="s">
        <v>5</v>
      </c>
      <c r="P22" t="s">
        <v>730</v>
      </c>
      <c r="Q22">
        <v>2.99</v>
      </c>
      <c r="R22">
        <v>1.99</v>
      </c>
      <c r="S22">
        <v>1.0000000000000002</v>
      </c>
      <c r="T22">
        <v>-0.33444816053511711</v>
      </c>
      <c r="U22" t="s">
        <v>688</v>
      </c>
      <c r="V22" t="s">
        <v>662</v>
      </c>
      <c r="W22" t="s">
        <v>743</v>
      </c>
    </row>
    <row r="23" spans="1:23" x14ac:dyDescent="0.35">
      <c r="A23">
        <v>37</v>
      </c>
      <c r="B23">
        <v>44818</v>
      </c>
      <c r="C23">
        <v>44824</v>
      </c>
      <c r="D23" t="s">
        <v>606</v>
      </c>
      <c r="E23">
        <v>986973</v>
      </c>
      <c r="F23" t="s">
        <v>111</v>
      </c>
      <c r="G23">
        <v>15</v>
      </c>
      <c r="H23">
        <v>11</v>
      </c>
      <c r="I23" t="s">
        <v>168</v>
      </c>
      <c r="J23" t="s">
        <v>27</v>
      </c>
      <c r="L23" t="s">
        <v>662</v>
      </c>
      <c r="M23" t="s">
        <v>650</v>
      </c>
      <c r="N23" t="s">
        <v>649</v>
      </c>
      <c r="O23" t="s">
        <v>8</v>
      </c>
      <c r="P23" t="s">
        <v>730</v>
      </c>
      <c r="Q23">
        <v>2.99</v>
      </c>
      <c r="R23">
        <v>1.99</v>
      </c>
      <c r="S23">
        <v>1.0000000000000002</v>
      </c>
      <c r="T23">
        <v>-0.33444816053511711</v>
      </c>
      <c r="U23" t="s">
        <v>688</v>
      </c>
      <c r="V23" t="s">
        <v>662</v>
      </c>
      <c r="W23" t="s">
        <v>743</v>
      </c>
    </row>
    <row r="24" spans="1:23" x14ac:dyDescent="0.35">
      <c r="A24">
        <v>37</v>
      </c>
      <c r="B24">
        <v>44818</v>
      </c>
      <c r="C24">
        <v>44824</v>
      </c>
      <c r="D24" t="s">
        <v>606</v>
      </c>
      <c r="E24">
        <v>986973</v>
      </c>
      <c r="F24" t="s">
        <v>111</v>
      </c>
      <c r="G24">
        <v>15</v>
      </c>
      <c r="H24">
        <v>11</v>
      </c>
      <c r="I24" t="s">
        <v>168</v>
      </c>
      <c r="J24" t="s">
        <v>27</v>
      </c>
      <c r="L24" t="s">
        <v>662</v>
      </c>
      <c r="M24" t="s">
        <v>651</v>
      </c>
      <c r="N24" t="s">
        <v>652</v>
      </c>
      <c r="O24" t="s">
        <v>9</v>
      </c>
      <c r="P24" t="s">
        <v>730</v>
      </c>
      <c r="Q24">
        <v>2.99</v>
      </c>
      <c r="R24">
        <v>1.99</v>
      </c>
      <c r="S24">
        <v>1.0000000000000002</v>
      </c>
      <c r="T24">
        <v>-0.33444816053511711</v>
      </c>
      <c r="U24" t="s">
        <v>688</v>
      </c>
      <c r="V24" t="s">
        <v>662</v>
      </c>
      <c r="W24" t="s">
        <v>743</v>
      </c>
    </row>
    <row r="25" spans="1:23" x14ac:dyDescent="0.35">
      <c r="A25">
        <v>37</v>
      </c>
      <c r="B25">
        <v>44818</v>
      </c>
      <c r="C25">
        <v>44824</v>
      </c>
      <c r="D25" t="s">
        <v>606</v>
      </c>
      <c r="E25">
        <v>986973</v>
      </c>
      <c r="F25" t="s">
        <v>111</v>
      </c>
      <c r="G25">
        <v>15</v>
      </c>
      <c r="H25">
        <v>11</v>
      </c>
      <c r="I25" t="s">
        <v>168</v>
      </c>
      <c r="J25" t="s">
        <v>27</v>
      </c>
      <c r="L25" t="s">
        <v>662</v>
      </c>
      <c r="M25" t="s">
        <v>653</v>
      </c>
      <c r="N25" t="s">
        <v>652</v>
      </c>
      <c r="O25" t="s">
        <v>8</v>
      </c>
      <c r="P25" t="s">
        <v>730</v>
      </c>
      <c r="Q25">
        <v>2.99</v>
      </c>
      <c r="R25">
        <v>1.99</v>
      </c>
      <c r="S25">
        <v>1.0000000000000002</v>
      </c>
      <c r="T25">
        <v>-0.33444816053511711</v>
      </c>
      <c r="U25" t="s">
        <v>688</v>
      </c>
      <c r="V25" t="s">
        <v>662</v>
      </c>
      <c r="W25" t="s">
        <v>743</v>
      </c>
    </row>
    <row r="26" spans="1:23" x14ac:dyDescent="0.35">
      <c r="A26">
        <v>37</v>
      </c>
      <c r="B26">
        <v>44818</v>
      </c>
      <c r="C26">
        <v>44824</v>
      </c>
      <c r="D26" t="s">
        <v>606</v>
      </c>
      <c r="E26">
        <v>986973</v>
      </c>
      <c r="F26" t="s">
        <v>111</v>
      </c>
      <c r="G26">
        <v>15</v>
      </c>
      <c r="H26">
        <v>11</v>
      </c>
      <c r="I26" t="s">
        <v>168</v>
      </c>
      <c r="J26" t="s">
        <v>27</v>
      </c>
      <c r="L26" t="s">
        <v>662</v>
      </c>
      <c r="M26" t="s">
        <v>654</v>
      </c>
      <c r="N26" t="s">
        <v>655</v>
      </c>
      <c r="O26" t="s">
        <v>9</v>
      </c>
      <c r="P26" t="s">
        <v>730</v>
      </c>
      <c r="Q26">
        <v>2.99</v>
      </c>
      <c r="R26">
        <v>1.99</v>
      </c>
      <c r="S26">
        <v>1.0000000000000002</v>
      </c>
      <c r="T26">
        <v>-0.33444816053511711</v>
      </c>
      <c r="U26" t="s">
        <v>688</v>
      </c>
      <c r="V26" t="s">
        <v>662</v>
      </c>
      <c r="W26" t="s">
        <v>743</v>
      </c>
    </row>
    <row r="27" spans="1:23" x14ac:dyDescent="0.35">
      <c r="A27">
        <v>37</v>
      </c>
      <c r="B27">
        <v>44818</v>
      </c>
      <c r="C27">
        <v>44824</v>
      </c>
      <c r="D27" t="s">
        <v>606</v>
      </c>
      <c r="E27">
        <v>986973</v>
      </c>
      <c r="F27" t="s">
        <v>111</v>
      </c>
      <c r="G27">
        <v>15</v>
      </c>
      <c r="H27">
        <v>11</v>
      </c>
      <c r="I27" t="s">
        <v>168</v>
      </c>
      <c r="J27" t="s">
        <v>27</v>
      </c>
      <c r="L27" t="s">
        <v>662</v>
      </c>
      <c r="M27" t="s">
        <v>656</v>
      </c>
      <c r="N27" t="s">
        <v>657</v>
      </c>
      <c r="O27" t="s">
        <v>9</v>
      </c>
      <c r="P27" t="s">
        <v>730</v>
      </c>
      <c r="Q27">
        <v>2.99</v>
      </c>
      <c r="R27">
        <v>1.99</v>
      </c>
      <c r="S27">
        <v>1.0000000000000002</v>
      </c>
      <c r="T27">
        <v>-0.33444816053511711</v>
      </c>
      <c r="U27" t="s">
        <v>688</v>
      </c>
      <c r="V27" t="s">
        <v>662</v>
      </c>
      <c r="W27" t="s">
        <v>743</v>
      </c>
    </row>
    <row r="28" spans="1:23" x14ac:dyDescent="0.35">
      <c r="A28">
        <v>37</v>
      </c>
      <c r="B28">
        <v>44818</v>
      </c>
      <c r="C28">
        <v>44824</v>
      </c>
      <c r="D28" t="s">
        <v>606</v>
      </c>
      <c r="E28">
        <v>986973</v>
      </c>
      <c r="F28" t="s">
        <v>111</v>
      </c>
      <c r="G28">
        <v>15</v>
      </c>
      <c r="H28">
        <v>11</v>
      </c>
      <c r="I28" t="s">
        <v>168</v>
      </c>
      <c r="J28" t="s">
        <v>27</v>
      </c>
      <c r="L28" t="s">
        <v>662</v>
      </c>
      <c r="M28" t="s">
        <v>658</v>
      </c>
      <c r="N28" t="s">
        <v>659</v>
      </c>
      <c r="O28" t="s">
        <v>5</v>
      </c>
      <c r="P28" t="s">
        <v>730</v>
      </c>
      <c r="Q28">
        <v>3.29</v>
      </c>
      <c r="R28">
        <v>2.29</v>
      </c>
      <c r="S28">
        <v>1</v>
      </c>
      <c r="T28">
        <v>-0.303951367781155</v>
      </c>
      <c r="U28" t="s">
        <v>688</v>
      </c>
      <c r="V28" t="s">
        <v>662</v>
      </c>
      <c r="W28" t="s">
        <v>743</v>
      </c>
    </row>
    <row r="29" spans="1:23" x14ac:dyDescent="0.35">
      <c r="A29">
        <v>37</v>
      </c>
      <c r="B29">
        <v>44818</v>
      </c>
      <c r="C29">
        <v>44824</v>
      </c>
      <c r="D29" t="s">
        <v>606</v>
      </c>
      <c r="E29">
        <v>982202</v>
      </c>
      <c r="F29" t="s">
        <v>821</v>
      </c>
      <c r="G29">
        <v>15</v>
      </c>
      <c r="H29">
        <v>10</v>
      </c>
      <c r="I29" t="s">
        <v>822</v>
      </c>
      <c r="J29" t="s">
        <v>823</v>
      </c>
      <c r="L29" t="s">
        <v>662</v>
      </c>
      <c r="M29" t="s">
        <v>641</v>
      </c>
      <c r="N29" t="s">
        <v>642</v>
      </c>
      <c r="O29" t="s">
        <v>5</v>
      </c>
      <c r="P29" t="s">
        <v>824</v>
      </c>
      <c r="Q29">
        <v>3.29</v>
      </c>
      <c r="R29">
        <v>1.69</v>
      </c>
      <c r="S29">
        <v>1.6</v>
      </c>
      <c r="T29">
        <v>-0.48632218844984804</v>
      </c>
      <c r="U29" t="s">
        <v>688</v>
      </c>
      <c r="V29" t="s">
        <v>662</v>
      </c>
      <c r="W29" t="s">
        <v>743</v>
      </c>
    </row>
    <row r="30" spans="1:23" x14ac:dyDescent="0.35">
      <c r="A30">
        <v>37</v>
      </c>
      <c r="B30">
        <v>44818</v>
      </c>
      <c r="C30">
        <v>44824</v>
      </c>
      <c r="D30" t="s">
        <v>606</v>
      </c>
      <c r="E30">
        <v>982202</v>
      </c>
      <c r="F30" t="s">
        <v>821</v>
      </c>
      <c r="G30">
        <v>15</v>
      </c>
      <c r="H30">
        <v>10</v>
      </c>
      <c r="I30" t="s">
        <v>822</v>
      </c>
      <c r="J30" t="s">
        <v>823</v>
      </c>
      <c r="L30" t="s">
        <v>662</v>
      </c>
      <c r="M30" t="s">
        <v>643</v>
      </c>
      <c r="N30" t="s">
        <v>644</v>
      </c>
      <c r="O30" t="s">
        <v>5</v>
      </c>
      <c r="P30" t="s">
        <v>824</v>
      </c>
      <c r="Q30">
        <v>3.29</v>
      </c>
      <c r="R30">
        <v>1.69</v>
      </c>
      <c r="S30">
        <v>1.6</v>
      </c>
      <c r="T30">
        <v>-0.48632218844984804</v>
      </c>
      <c r="U30" t="s">
        <v>688</v>
      </c>
      <c r="V30" t="s">
        <v>662</v>
      </c>
      <c r="W30" t="s">
        <v>743</v>
      </c>
    </row>
    <row r="31" spans="1:23" x14ac:dyDescent="0.35">
      <c r="A31">
        <v>37</v>
      </c>
      <c r="B31">
        <v>44818</v>
      </c>
      <c r="C31">
        <v>44824</v>
      </c>
      <c r="D31" t="s">
        <v>606</v>
      </c>
      <c r="E31">
        <v>982202</v>
      </c>
      <c r="F31" t="s">
        <v>821</v>
      </c>
      <c r="G31">
        <v>15</v>
      </c>
      <c r="H31">
        <v>10</v>
      </c>
      <c r="I31" t="s">
        <v>822</v>
      </c>
      <c r="J31" t="s">
        <v>823</v>
      </c>
      <c r="L31" t="s">
        <v>662</v>
      </c>
      <c r="M31" t="s">
        <v>645</v>
      </c>
      <c r="N31" t="s">
        <v>644</v>
      </c>
      <c r="O31" t="s">
        <v>8</v>
      </c>
      <c r="P31" t="s">
        <v>824</v>
      </c>
      <c r="Q31">
        <v>2.99</v>
      </c>
      <c r="R31">
        <v>1.49</v>
      </c>
      <c r="S31">
        <v>1.5000000000000002</v>
      </c>
      <c r="T31">
        <v>-0.50167224080267558</v>
      </c>
      <c r="U31" t="s">
        <v>688</v>
      </c>
      <c r="V31" t="s">
        <v>662</v>
      </c>
      <c r="W31" t="s">
        <v>743</v>
      </c>
    </row>
    <row r="32" spans="1:23" x14ac:dyDescent="0.35">
      <c r="A32">
        <v>37</v>
      </c>
      <c r="B32">
        <v>44818</v>
      </c>
      <c r="C32">
        <v>44824</v>
      </c>
      <c r="D32" t="s">
        <v>606</v>
      </c>
      <c r="E32">
        <v>982202</v>
      </c>
      <c r="F32" t="s">
        <v>821</v>
      </c>
      <c r="G32">
        <v>15</v>
      </c>
      <c r="H32">
        <v>10</v>
      </c>
      <c r="I32" t="s">
        <v>822</v>
      </c>
      <c r="J32" t="s">
        <v>823</v>
      </c>
      <c r="L32" t="s">
        <v>662</v>
      </c>
      <c r="M32" t="s">
        <v>646</v>
      </c>
      <c r="N32" t="s">
        <v>647</v>
      </c>
      <c r="O32" t="s">
        <v>5</v>
      </c>
      <c r="P32" t="s">
        <v>824</v>
      </c>
      <c r="Q32">
        <v>2.99</v>
      </c>
      <c r="R32">
        <v>1.49</v>
      </c>
      <c r="S32">
        <v>1.5000000000000002</v>
      </c>
      <c r="T32">
        <v>-0.50167224080267558</v>
      </c>
      <c r="U32" t="s">
        <v>688</v>
      </c>
      <c r="V32" t="s">
        <v>662</v>
      </c>
      <c r="W32" t="s">
        <v>743</v>
      </c>
    </row>
    <row r="33" spans="1:23" x14ac:dyDescent="0.35">
      <c r="A33">
        <v>37</v>
      </c>
      <c r="B33">
        <v>44818</v>
      </c>
      <c r="C33">
        <v>44824</v>
      </c>
      <c r="D33" t="s">
        <v>606</v>
      </c>
      <c r="E33">
        <v>982202</v>
      </c>
      <c r="F33" t="s">
        <v>821</v>
      </c>
      <c r="G33">
        <v>15</v>
      </c>
      <c r="H33">
        <v>10</v>
      </c>
      <c r="I33" t="s">
        <v>822</v>
      </c>
      <c r="J33" t="s">
        <v>823</v>
      </c>
      <c r="L33" t="s">
        <v>662</v>
      </c>
      <c r="M33" t="s">
        <v>648</v>
      </c>
      <c r="N33" t="s">
        <v>649</v>
      </c>
      <c r="O33" t="s">
        <v>5</v>
      </c>
      <c r="P33" t="s">
        <v>824</v>
      </c>
      <c r="Q33">
        <v>2.99</v>
      </c>
      <c r="R33">
        <v>1.49</v>
      </c>
      <c r="S33">
        <v>1.5000000000000002</v>
      </c>
      <c r="T33">
        <v>-0.50167224080267558</v>
      </c>
      <c r="U33" t="s">
        <v>688</v>
      </c>
      <c r="V33" t="s">
        <v>662</v>
      </c>
      <c r="W33" t="s">
        <v>743</v>
      </c>
    </row>
    <row r="34" spans="1:23" x14ac:dyDescent="0.35">
      <c r="A34">
        <v>37</v>
      </c>
      <c r="B34">
        <v>44818</v>
      </c>
      <c r="C34">
        <v>44824</v>
      </c>
      <c r="D34" t="s">
        <v>606</v>
      </c>
      <c r="E34">
        <v>982202</v>
      </c>
      <c r="F34" t="s">
        <v>821</v>
      </c>
      <c r="G34">
        <v>15</v>
      </c>
      <c r="H34">
        <v>10</v>
      </c>
      <c r="I34" t="s">
        <v>822</v>
      </c>
      <c r="J34" t="s">
        <v>823</v>
      </c>
      <c r="L34" t="s">
        <v>662</v>
      </c>
      <c r="M34" t="s">
        <v>650</v>
      </c>
      <c r="N34" t="s">
        <v>649</v>
      </c>
      <c r="O34" t="s">
        <v>8</v>
      </c>
      <c r="P34" t="s">
        <v>824</v>
      </c>
      <c r="Q34">
        <v>2.99</v>
      </c>
      <c r="R34">
        <v>1.49</v>
      </c>
      <c r="S34">
        <v>1.5000000000000002</v>
      </c>
      <c r="T34">
        <v>-0.50167224080267558</v>
      </c>
      <c r="U34" t="s">
        <v>688</v>
      </c>
      <c r="V34" t="s">
        <v>662</v>
      </c>
      <c r="W34" t="s">
        <v>743</v>
      </c>
    </row>
    <row r="35" spans="1:23" x14ac:dyDescent="0.35">
      <c r="A35">
        <v>37</v>
      </c>
      <c r="B35">
        <v>44818</v>
      </c>
      <c r="C35">
        <v>44824</v>
      </c>
      <c r="D35" t="s">
        <v>606</v>
      </c>
      <c r="E35">
        <v>982202</v>
      </c>
      <c r="F35" t="s">
        <v>821</v>
      </c>
      <c r="G35">
        <v>15</v>
      </c>
      <c r="H35">
        <v>10</v>
      </c>
      <c r="I35" t="s">
        <v>822</v>
      </c>
      <c r="J35" t="s">
        <v>823</v>
      </c>
      <c r="L35" t="s">
        <v>662</v>
      </c>
      <c r="M35" t="s">
        <v>651</v>
      </c>
      <c r="N35" t="s">
        <v>652</v>
      </c>
      <c r="O35" t="s">
        <v>9</v>
      </c>
      <c r="P35" t="s">
        <v>824</v>
      </c>
      <c r="Q35">
        <v>2.99</v>
      </c>
      <c r="R35">
        <v>1.49</v>
      </c>
      <c r="S35">
        <v>1.5000000000000002</v>
      </c>
      <c r="T35">
        <v>-0.50167224080267558</v>
      </c>
      <c r="U35" t="s">
        <v>688</v>
      </c>
      <c r="V35" t="s">
        <v>662</v>
      </c>
      <c r="W35" t="s">
        <v>743</v>
      </c>
    </row>
    <row r="36" spans="1:23" x14ac:dyDescent="0.35">
      <c r="A36">
        <v>37</v>
      </c>
      <c r="B36">
        <v>44818</v>
      </c>
      <c r="C36">
        <v>44824</v>
      </c>
      <c r="D36" t="s">
        <v>606</v>
      </c>
      <c r="E36">
        <v>982202</v>
      </c>
      <c r="F36" t="s">
        <v>821</v>
      </c>
      <c r="G36">
        <v>15</v>
      </c>
      <c r="H36">
        <v>10</v>
      </c>
      <c r="I36" t="s">
        <v>822</v>
      </c>
      <c r="J36" t="s">
        <v>823</v>
      </c>
      <c r="L36" t="s">
        <v>662</v>
      </c>
      <c r="M36" t="s">
        <v>653</v>
      </c>
      <c r="N36" t="s">
        <v>652</v>
      </c>
      <c r="O36" t="s">
        <v>8</v>
      </c>
      <c r="P36" t="s">
        <v>824</v>
      </c>
      <c r="Q36">
        <v>2.99</v>
      </c>
      <c r="R36">
        <v>1.49</v>
      </c>
      <c r="S36">
        <v>1.5000000000000002</v>
      </c>
      <c r="T36">
        <v>-0.50167224080267558</v>
      </c>
      <c r="U36" t="s">
        <v>688</v>
      </c>
      <c r="V36" t="s">
        <v>662</v>
      </c>
      <c r="W36" t="s">
        <v>743</v>
      </c>
    </row>
    <row r="37" spans="1:23" x14ac:dyDescent="0.35">
      <c r="A37">
        <v>37</v>
      </c>
      <c r="B37">
        <v>44818</v>
      </c>
      <c r="C37">
        <v>44824</v>
      </c>
      <c r="D37" t="s">
        <v>606</v>
      </c>
      <c r="E37">
        <v>982202</v>
      </c>
      <c r="F37" t="s">
        <v>821</v>
      </c>
      <c r="G37">
        <v>15</v>
      </c>
      <c r="H37">
        <v>10</v>
      </c>
      <c r="I37" t="s">
        <v>822</v>
      </c>
      <c r="J37" t="s">
        <v>823</v>
      </c>
      <c r="L37" t="s">
        <v>662</v>
      </c>
      <c r="M37" t="s">
        <v>654</v>
      </c>
      <c r="N37" t="s">
        <v>655</v>
      </c>
      <c r="O37" t="s">
        <v>9</v>
      </c>
      <c r="P37" t="s">
        <v>824</v>
      </c>
      <c r="Q37">
        <v>2.99</v>
      </c>
      <c r="R37">
        <v>1.49</v>
      </c>
      <c r="S37">
        <v>1.5000000000000002</v>
      </c>
      <c r="T37">
        <v>-0.50167224080267558</v>
      </c>
      <c r="U37" t="s">
        <v>688</v>
      </c>
      <c r="V37" t="s">
        <v>662</v>
      </c>
      <c r="W37" t="s">
        <v>743</v>
      </c>
    </row>
    <row r="38" spans="1:23" x14ac:dyDescent="0.35">
      <c r="A38">
        <v>37</v>
      </c>
      <c r="B38">
        <v>44818</v>
      </c>
      <c r="C38">
        <v>44824</v>
      </c>
      <c r="D38" t="s">
        <v>606</v>
      </c>
      <c r="E38">
        <v>982202</v>
      </c>
      <c r="F38" t="s">
        <v>821</v>
      </c>
      <c r="G38">
        <v>15</v>
      </c>
      <c r="H38">
        <v>10</v>
      </c>
      <c r="I38" t="s">
        <v>822</v>
      </c>
      <c r="J38" t="s">
        <v>823</v>
      </c>
      <c r="L38" t="s">
        <v>662</v>
      </c>
      <c r="M38" t="s">
        <v>656</v>
      </c>
      <c r="N38" t="s">
        <v>657</v>
      </c>
      <c r="O38" t="s">
        <v>9</v>
      </c>
      <c r="P38" t="s">
        <v>824</v>
      </c>
      <c r="Q38">
        <v>2.99</v>
      </c>
      <c r="R38">
        <v>1.49</v>
      </c>
      <c r="S38">
        <v>1.5000000000000002</v>
      </c>
      <c r="T38">
        <v>-0.50167224080267558</v>
      </c>
      <c r="U38" t="s">
        <v>688</v>
      </c>
      <c r="V38" t="s">
        <v>662</v>
      </c>
      <c r="W38" t="s">
        <v>743</v>
      </c>
    </row>
    <row r="39" spans="1:23" x14ac:dyDescent="0.35">
      <c r="A39">
        <v>37</v>
      </c>
      <c r="B39">
        <v>44818</v>
      </c>
      <c r="C39">
        <v>44824</v>
      </c>
      <c r="D39" t="s">
        <v>606</v>
      </c>
      <c r="E39">
        <v>982202</v>
      </c>
      <c r="F39" t="s">
        <v>821</v>
      </c>
      <c r="G39">
        <v>15</v>
      </c>
      <c r="H39">
        <v>10</v>
      </c>
      <c r="I39" t="s">
        <v>822</v>
      </c>
      <c r="J39" t="s">
        <v>823</v>
      </c>
      <c r="L39" t="s">
        <v>662</v>
      </c>
      <c r="M39" t="s">
        <v>658</v>
      </c>
      <c r="N39" t="s">
        <v>659</v>
      </c>
      <c r="O39" t="s">
        <v>5</v>
      </c>
      <c r="P39" t="s">
        <v>824</v>
      </c>
      <c r="Q39">
        <v>3.29</v>
      </c>
      <c r="R39">
        <v>1.69</v>
      </c>
      <c r="S39">
        <v>1.6</v>
      </c>
      <c r="T39">
        <v>-0.48632218844984804</v>
      </c>
      <c r="U39" t="s">
        <v>688</v>
      </c>
      <c r="V39" t="s">
        <v>662</v>
      </c>
      <c r="W39" t="s">
        <v>743</v>
      </c>
    </row>
    <row r="40" spans="1:23" x14ac:dyDescent="0.35">
      <c r="A40">
        <v>37</v>
      </c>
      <c r="B40">
        <v>44818</v>
      </c>
      <c r="C40">
        <v>44824</v>
      </c>
      <c r="D40" t="s">
        <v>606</v>
      </c>
      <c r="E40">
        <v>983671</v>
      </c>
      <c r="F40" t="s">
        <v>825</v>
      </c>
      <c r="G40">
        <v>8</v>
      </c>
      <c r="H40">
        <v>10</v>
      </c>
      <c r="I40" t="s">
        <v>168</v>
      </c>
      <c r="J40" t="s">
        <v>27</v>
      </c>
      <c r="L40" t="s">
        <v>662</v>
      </c>
      <c r="M40" t="s">
        <v>641</v>
      </c>
      <c r="N40" t="s">
        <v>642</v>
      </c>
      <c r="O40" t="s">
        <v>5</v>
      </c>
      <c r="P40" t="s">
        <v>727</v>
      </c>
      <c r="Q40">
        <v>4.49</v>
      </c>
      <c r="R40">
        <v>2.99</v>
      </c>
      <c r="S40">
        <v>1.5</v>
      </c>
      <c r="T40">
        <v>-0.33407572383073497</v>
      </c>
      <c r="U40" t="s">
        <v>688</v>
      </c>
      <c r="V40" t="s">
        <v>662</v>
      </c>
      <c r="W40" t="s">
        <v>743</v>
      </c>
    </row>
    <row r="41" spans="1:23" x14ac:dyDescent="0.35">
      <c r="A41">
        <v>37</v>
      </c>
      <c r="B41">
        <v>44818</v>
      </c>
      <c r="C41">
        <v>44824</v>
      </c>
      <c r="D41" t="s">
        <v>606</v>
      </c>
      <c r="E41">
        <v>983671</v>
      </c>
      <c r="F41" t="s">
        <v>825</v>
      </c>
      <c r="G41">
        <v>8</v>
      </c>
      <c r="H41">
        <v>10</v>
      </c>
      <c r="I41" t="s">
        <v>168</v>
      </c>
      <c r="J41" t="s">
        <v>27</v>
      </c>
      <c r="L41" t="s">
        <v>662</v>
      </c>
      <c r="M41" t="s">
        <v>643</v>
      </c>
      <c r="N41" t="s">
        <v>644</v>
      </c>
      <c r="O41" t="s">
        <v>5</v>
      </c>
      <c r="P41" t="s">
        <v>727</v>
      </c>
      <c r="Q41">
        <v>4.49</v>
      </c>
      <c r="R41">
        <v>2.99</v>
      </c>
      <c r="S41">
        <v>1.5</v>
      </c>
      <c r="T41">
        <v>-0.33407572383073497</v>
      </c>
      <c r="U41" t="s">
        <v>688</v>
      </c>
      <c r="V41" t="s">
        <v>662</v>
      </c>
      <c r="W41" t="s">
        <v>743</v>
      </c>
    </row>
    <row r="42" spans="1:23" x14ac:dyDescent="0.35">
      <c r="A42">
        <v>37</v>
      </c>
      <c r="B42">
        <v>44818</v>
      </c>
      <c r="C42">
        <v>44824</v>
      </c>
      <c r="D42" t="s">
        <v>606</v>
      </c>
      <c r="E42">
        <v>983671</v>
      </c>
      <c r="F42" t="s">
        <v>825</v>
      </c>
      <c r="G42">
        <v>8</v>
      </c>
      <c r="H42">
        <v>10</v>
      </c>
      <c r="I42" t="s">
        <v>168</v>
      </c>
      <c r="J42" t="s">
        <v>27</v>
      </c>
      <c r="L42" t="s">
        <v>662</v>
      </c>
      <c r="M42" t="s">
        <v>645</v>
      </c>
      <c r="N42" t="s">
        <v>644</v>
      </c>
      <c r="O42" t="s">
        <v>8</v>
      </c>
      <c r="P42" t="s">
        <v>727</v>
      </c>
      <c r="Q42">
        <v>4.49</v>
      </c>
      <c r="R42">
        <v>2.99</v>
      </c>
      <c r="S42">
        <v>1.5</v>
      </c>
      <c r="T42">
        <v>-0.33407572383073497</v>
      </c>
      <c r="U42" t="s">
        <v>688</v>
      </c>
      <c r="V42" t="s">
        <v>662</v>
      </c>
      <c r="W42" t="s">
        <v>743</v>
      </c>
    </row>
    <row r="43" spans="1:23" x14ac:dyDescent="0.35">
      <c r="A43">
        <v>37</v>
      </c>
      <c r="B43">
        <v>44818</v>
      </c>
      <c r="C43">
        <v>44824</v>
      </c>
      <c r="D43" t="s">
        <v>606</v>
      </c>
      <c r="E43">
        <v>983671</v>
      </c>
      <c r="F43" t="s">
        <v>825</v>
      </c>
      <c r="G43">
        <v>8</v>
      </c>
      <c r="H43">
        <v>10</v>
      </c>
      <c r="I43" t="s">
        <v>168</v>
      </c>
      <c r="J43" t="s">
        <v>27</v>
      </c>
      <c r="L43" t="s">
        <v>662</v>
      </c>
      <c r="M43" t="s">
        <v>646</v>
      </c>
      <c r="N43" t="s">
        <v>647</v>
      </c>
      <c r="O43" t="s">
        <v>5</v>
      </c>
      <c r="P43" t="s">
        <v>727</v>
      </c>
      <c r="Q43">
        <v>4.49</v>
      </c>
      <c r="R43">
        <v>2.99</v>
      </c>
      <c r="S43">
        <v>1.5</v>
      </c>
      <c r="T43">
        <v>-0.33407572383073497</v>
      </c>
      <c r="U43" t="s">
        <v>688</v>
      </c>
      <c r="V43" t="s">
        <v>662</v>
      </c>
      <c r="W43" t="s">
        <v>743</v>
      </c>
    </row>
    <row r="44" spans="1:23" x14ac:dyDescent="0.35">
      <c r="A44">
        <v>37</v>
      </c>
      <c r="B44">
        <v>44818</v>
      </c>
      <c r="C44">
        <v>44824</v>
      </c>
      <c r="D44" t="s">
        <v>606</v>
      </c>
      <c r="E44">
        <v>983671</v>
      </c>
      <c r="F44" t="s">
        <v>825</v>
      </c>
      <c r="G44">
        <v>8</v>
      </c>
      <c r="H44">
        <v>10</v>
      </c>
      <c r="I44" t="s">
        <v>168</v>
      </c>
      <c r="J44" t="s">
        <v>27</v>
      </c>
      <c r="L44" t="s">
        <v>662</v>
      </c>
      <c r="M44" t="s">
        <v>648</v>
      </c>
      <c r="N44" t="s">
        <v>649</v>
      </c>
      <c r="O44" t="s">
        <v>5</v>
      </c>
      <c r="P44" t="s">
        <v>727</v>
      </c>
      <c r="Q44">
        <v>4.49</v>
      </c>
      <c r="R44">
        <v>2.99</v>
      </c>
      <c r="S44">
        <v>1.5</v>
      </c>
      <c r="T44">
        <v>-0.33407572383073497</v>
      </c>
      <c r="U44" t="s">
        <v>688</v>
      </c>
      <c r="V44" t="s">
        <v>662</v>
      </c>
      <c r="W44" t="s">
        <v>743</v>
      </c>
    </row>
    <row r="45" spans="1:23" x14ac:dyDescent="0.35">
      <c r="A45">
        <v>37</v>
      </c>
      <c r="B45">
        <v>44818</v>
      </c>
      <c r="C45">
        <v>44824</v>
      </c>
      <c r="D45" t="s">
        <v>606</v>
      </c>
      <c r="E45">
        <v>983671</v>
      </c>
      <c r="F45" t="s">
        <v>825</v>
      </c>
      <c r="G45">
        <v>8</v>
      </c>
      <c r="H45">
        <v>10</v>
      </c>
      <c r="I45" t="s">
        <v>168</v>
      </c>
      <c r="J45" t="s">
        <v>27</v>
      </c>
      <c r="L45" t="s">
        <v>662</v>
      </c>
      <c r="M45" t="s">
        <v>650</v>
      </c>
      <c r="N45" t="s">
        <v>649</v>
      </c>
      <c r="O45" t="s">
        <v>8</v>
      </c>
      <c r="P45" t="s">
        <v>727</v>
      </c>
      <c r="Q45">
        <v>4.49</v>
      </c>
      <c r="R45">
        <v>2.99</v>
      </c>
      <c r="S45">
        <v>1.5</v>
      </c>
      <c r="T45">
        <v>-0.33407572383073497</v>
      </c>
      <c r="U45" t="s">
        <v>688</v>
      </c>
      <c r="V45" t="s">
        <v>662</v>
      </c>
      <c r="W45" t="s">
        <v>743</v>
      </c>
    </row>
    <row r="46" spans="1:23" x14ac:dyDescent="0.35">
      <c r="A46">
        <v>37</v>
      </c>
      <c r="B46">
        <v>44818</v>
      </c>
      <c r="C46">
        <v>44824</v>
      </c>
      <c r="D46" t="s">
        <v>606</v>
      </c>
      <c r="E46">
        <v>983671</v>
      </c>
      <c r="F46" t="s">
        <v>825</v>
      </c>
      <c r="G46">
        <v>8</v>
      </c>
      <c r="H46">
        <v>10</v>
      </c>
      <c r="I46" t="s">
        <v>168</v>
      </c>
      <c r="J46" t="s">
        <v>27</v>
      </c>
      <c r="L46" t="s">
        <v>662</v>
      </c>
      <c r="M46" t="s">
        <v>651</v>
      </c>
      <c r="N46" t="s">
        <v>652</v>
      </c>
      <c r="O46" t="s">
        <v>9</v>
      </c>
      <c r="P46" t="s">
        <v>727</v>
      </c>
      <c r="Q46">
        <v>4.49</v>
      </c>
      <c r="R46">
        <v>2.99</v>
      </c>
      <c r="S46">
        <v>1.5</v>
      </c>
      <c r="T46">
        <v>-0.33407572383073497</v>
      </c>
      <c r="U46" t="s">
        <v>688</v>
      </c>
      <c r="V46" t="s">
        <v>662</v>
      </c>
      <c r="W46" t="s">
        <v>743</v>
      </c>
    </row>
    <row r="47" spans="1:23" x14ac:dyDescent="0.35">
      <c r="A47">
        <v>37</v>
      </c>
      <c r="B47">
        <v>44818</v>
      </c>
      <c r="C47">
        <v>44824</v>
      </c>
      <c r="D47" t="s">
        <v>606</v>
      </c>
      <c r="E47">
        <v>983671</v>
      </c>
      <c r="F47" t="s">
        <v>825</v>
      </c>
      <c r="G47">
        <v>8</v>
      </c>
      <c r="H47">
        <v>10</v>
      </c>
      <c r="I47" t="s">
        <v>168</v>
      </c>
      <c r="J47" t="s">
        <v>27</v>
      </c>
      <c r="L47" t="s">
        <v>662</v>
      </c>
      <c r="M47" t="s">
        <v>653</v>
      </c>
      <c r="N47" t="s">
        <v>652</v>
      </c>
      <c r="O47" t="s">
        <v>8</v>
      </c>
      <c r="P47" t="s">
        <v>727</v>
      </c>
      <c r="Q47">
        <v>4.49</v>
      </c>
      <c r="R47">
        <v>2.99</v>
      </c>
      <c r="S47">
        <v>1.5</v>
      </c>
      <c r="T47">
        <v>-0.33407572383073497</v>
      </c>
      <c r="U47" t="s">
        <v>688</v>
      </c>
      <c r="V47" t="s">
        <v>662</v>
      </c>
      <c r="W47" t="s">
        <v>743</v>
      </c>
    </row>
    <row r="48" spans="1:23" x14ac:dyDescent="0.35">
      <c r="A48">
        <v>37</v>
      </c>
      <c r="B48">
        <v>44818</v>
      </c>
      <c r="C48">
        <v>44824</v>
      </c>
      <c r="D48" t="s">
        <v>606</v>
      </c>
      <c r="E48">
        <v>983671</v>
      </c>
      <c r="F48" t="s">
        <v>825</v>
      </c>
      <c r="G48">
        <v>8</v>
      </c>
      <c r="H48">
        <v>10</v>
      </c>
      <c r="I48" t="s">
        <v>168</v>
      </c>
      <c r="J48" t="s">
        <v>27</v>
      </c>
      <c r="L48" t="s">
        <v>662</v>
      </c>
      <c r="M48" t="s">
        <v>654</v>
      </c>
      <c r="N48" t="s">
        <v>655</v>
      </c>
      <c r="O48" t="s">
        <v>9</v>
      </c>
      <c r="P48" t="s">
        <v>727</v>
      </c>
      <c r="Q48">
        <v>4.49</v>
      </c>
      <c r="R48">
        <v>2.99</v>
      </c>
      <c r="S48">
        <v>1.5</v>
      </c>
      <c r="T48">
        <v>-0.33407572383073497</v>
      </c>
      <c r="U48" t="s">
        <v>688</v>
      </c>
      <c r="V48" t="s">
        <v>662</v>
      </c>
      <c r="W48" t="s">
        <v>743</v>
      </c>
    </row>
    <row r="49" spans="1:23" x14ac:dyDescent="0.35">
      <c r="A49">
        <v>37</v>
      </c>
      <c r="B49">
        <v>44818</v>
      </c>
      <c r="C49">
        <v>44824</v>
      </c>
      <c r="D49" t="s">
        <v>606</v>
      </c>
      <c r="E49">
        <v>983671</v>
      </c>
      <c r="F49" t="s">
        <v>825</v>
      </c>
      <c r="G49">
        <v>8</v>
      </c>
      <c r="H49">
        <v>10</v>
      </c>
      <c r="I49" t="s">
        <v>168</v>
      </c>
      <c r="J49" t="s">
        <v>27</v>
      </c>
      <c r="L49" t="s">
        <v>662</v>
      </c>
      <c r="M49" t="s">
        <v>656</v>
      </c>
      <c r="N49" t="s">
        <v>657</v>
      </c>
      <c r="O49" t="s">
        <v>9</v>
      </c>
      <c r="P49" t="s">
        <v>727</v>
      </c>
      <c r="Q49">
        <v>4.49</v>
      </c>
      <c r="R49">
        <v>2.99</v>
      </c>
      <c r="S49">
        <v>1.5</v>
      </c>
      <c r="T49">
        <v>-0.33407572383073497</v>
      </c>
      <c r="U49" t="s">
        <v>688</v>
      </c>
      <c r="V49" t="s">
        <v>662</v>
      </c>
      <c r="W49" t="s">
        <v>743</v>
      </c>
    </row>
    <row r="50" spans="1:23" x14ac:dyDescent="0.35">
      <c r="A50">
        <v>37</v>
      </c>
      <c r="B50">
        <v>44818</v>
      </c>
      <c r="C50">
        <v>44824</v>
      </c>
      <c r="D50" t="s">
        <v>606</v>
      </c>
      <c r="E50">
        <v>983671</v>
      </c>
      <c r="F50" t="s">
        <v>825</v>
      </c>
      <c r="G50">
        <v>8</v>
      </c>
      <c r="H50">
        <v>10</v>
      </c>
      <c r="I50" t="s">
        <v>168</v>
      </c>
      <c r="J50" t="s">
        <v>27</v>
      </c>
      <c r="L50" t="s">
        <v>662</v>
      </c>
      <c r="M50" t="s">
        <v>658</v>
      </c>
      <c r="N50" t="s">
        <v>659</v>
      </c>
      <c r="O50" t="s">
        <v>5</v>
      </c>
      <c r="P50" t="s">
        <v>727</v>
      </c>
      <c r="Q50">
        <v>4.49</v>
      </c>
      <c r="R50">
        <v>2.99</v>
      </c>
      <c r="S50">
        <v>1.5</v>
      </c>
      <c r="T50">
        <v>-0.33407572383073497</v>
      </c>
      <c r="U50" t="s">
        <v>688</v>
      </c>
      <c r="V50" t="s">
        <v>662</v>
      </c>
      <c r="W50" t="s">
        <v>743</v>
      </c>
    </row>
    <row r="51" spans="1:23" x14ac:dyDescent="0.35">
      <c r="A51">
        <v>37</v>
      </c>
      <c r="B51">
        <v>44818</v>
      </c>
      <c r="C51">
        <v>44824</v>
      </c>
      <c r="D51" t="s">
        <v>606</v>
      </c>
      <c r="E51">
        <v>988020</v>
      </c>
      <c r="F51" t="s">
        <v>78</v>
      </c>
      <c r="G51">
        <v>12</v>
      </c>
      <c r="H51">
        <v>11</v>
      </c>
      <c r="I51" t="s">
        <v>168</v>
      </c>
      <c r="J51" t="s">
        <v>27</v>
      </c>
      <c r="L51" t="s">
        <v>732</v>
      </c>
      <c r="M51" t="s">
        <v>641</v>
      </c>
      <c r="N51" t="s">
        <v>642</v>
      </c>
      <c r="O51" t="s">
        <v>5</v>
      </c>
      <c r="P51" t="s">
        <v>705</v>
      </c>
      <c r="Q51">
        <v>4.09</v>
      </c>
      <c r="R51">
        <v>2.99</v>
      </c>
      <c r="S51">
        <v>1.0999999999999996</v>
      </c>
      <c r="T51">
        <v>-0.26894865525672362</v>
      </c>
      <c r="U51" t="s">
        <v>6</v>
      </c>
      <c r="V51" t="s">
        <v>7</v>
      </c>
      <c r="W51" t="s">
        <v>743</v>
      </c>
    </row>
    <row r="52" spans="1:23" x14ac:dyDescent="0.35">
      <c r="A52">
        <v>37</v>
      </c>
      <c r="B52">
        <v>44818</v>
      </c>
      <c r="C52">
        <v>44824</v>
      </c>
      <c r="D52" t="s">
        <v>606</v>
      </c>
      <c r="E52">
        <v>988020</v>
      </c>
      <c r="F52" t="s">
        <v>78</v>
      </c>
      <c r="G52">
        <v>12</v>
      </c>
      <c r="H52">
        <v>11</v>
      </c>
      <c r="I52" t="s">
        <v>168</v>
      </c>
      <c r="J52" t="s">
        <v>27</v>
      </c>
      <c r="L52" t="s">
        <v>732</v>
      </c>
      <c r="M52" t="s">
        <v>643</v>
      </c>
      <c r="N52" t="s">
        <v>644</v>
      </c>
      <c r="O52" t="s">
        <v>5</v>
      </c>
      <c r="P52" t="s">
        <v>705</v>
      </c>
      <c r="Q52">
        <v>4.09</v>
      </c>
      <c r="R52">
        <v>2.99</v>
      </c>
      <c r="S52">
        <v>1.0999999999999996</v>
      </c>
      <c r="T52">
        <v>-0.26894865525672362</v>
      </c>
      <c r="U52" t="s">
        <v>6</v>
      </c>
      <c r="V52" t="s">
        <v>7</v>
      </c>
      <c r="W52" t="s">
        <v>743</v>
      </c>
    </row>
    <row r="53" spans="1:23" x14ac:dyDescent="0.35">
      <c r="A53">
        <v>37</v>
      </c>
      <c r="B53">
        <v>44818</v>
      </c>
      <c r="C53">
        <v>44824</v>
      </c>
      <c r="D53" t="s">
        <v>606</v>
      </c>
      <c r="E53">
        <v>988020</v>
      </c>
      <c r="F53" t="s">
        <v>78</v>
      </c>
      <c r="G53">
        <v>12</v>
      </c>
      <c r="H53">
        <v>11</v>
      </c>
      <c r="I53" t="s">
        <v>168</v>
      </c>
      <c r="J53" t="s">
        <v>27</v>
      </c>
      <c r="L53" t="s">
        <v>732</v>
      </c>
      <c r="M53" t="s">
        <v>645</v>
      </c>
      <c r="N53" t="s">
        <v>644</v>
      </c>
      <c r="O53" t="s">
        <v>8</v>
      </c>
      <c r="P53" t="s">
        <v>705</v>
      </c>
      <c r="Q53">
        <v>3.49</v>
      </c>
      <c r="R53">
        <v>2.4900000000000002</v>
      </c>
      <c r="S53">
        <v>1</v>
      </c>
      <c r="T53">
        <v>-0.28653295128939826</v>
      </c>
      <c r="U53" t="s">
        <v>6</v>
      </c>
      <c r="V53" t="s">
        <v>7</v>
      </c>
      <c r="W53" t="s">
        <v>743</v>
      </c>
    </row>
    <row r="54" spans="1:23" x14ac:dyDescent="0.35">
      <c r="A54">
        <v>37</v>
      </c>
      <c r="B54">
        <v>44818</v>
      </c>
      <c r="C54">
        <v>44824</v>
      </c>
      <c r="D54" t="s">
        <v>606</v>
      </c>
      <c r="E54">
        <v>988020</v>
      </c>
      <c r="F54" t="s">
        <v>78</v>
      </c>
      <c r="G54">
        <v>12</v>
      </c>
      <c r="H54">
        <v>11</v>
      </c>
      <c r="I54" t="s">
        <v>168</v>
      </c>
      <c r="J54" t="s">
        <v>27</v>
      </c>
      <c r="L54" t="s">
        <v>732</v>
      </c>
      <c r="M54" t="s">
        <v>646</v>
      </c>
      <c r="N54" t="s">
        <v>647</v>
      </c>
      <c r="O54" t="s">
        <v>5</v>
      </c>
      <c r="P54" t="s">
        <v>705</v>
      </c>
      <c r="Q54">
        <v>3.49</v>
      </c>
      <c r="R54">
        <v>2.4900000000000002</v>
      </c>
      <c r="S54">
        <v>1</v>
      </c>
      <c r="T54">
        <v>-0.28653295128939826</v>
      </c>
      <c r="U54" t="s">
        <v>6</v>
      </c>
      <c r="V54" t="s">
        <v>7</v>
      </c>
      <c r="W54" t="s">
        <v>743</v>
      </c>
    </row>
    <row r="55" spans="1:23" x14ac:dyDescent="0.35">
      <c r="A55">
        <v>37</v>
      </c>
      <c r="B55">
        <v>44818</v>
      </c>
      <c r="C55">
        <v>44824</v>
      </c>
      <c r="D55" t="s">
        <v>606</v>
      </c>
      <c r="E55">
        <v>988020</v>
      </c>
      <c r="F55" t="s">
        <v>78</v>
      </c>
      <c r="G55">
        <v>12</v>
      </c>
      <c r="H55">
        <v>11</v>
      </c>
      <c r="I55" t="s">
        <v>168</v>
      </c>
      <c r="J55" t="s">
        <v>27</v>
      </c>
      <c r="L55" t="s">
        <v>732</v>
      </c>
      <c r="M55" t="s">
        <v>648</v>
      </c>
      <c r="N55" t="s">
        <v>649</v>
      </c>
      <c r="O55" t="s">
        <v>5</v>
      </c>
      <c r="P55" t="s">
        <v>705</v>
      </c>
      <c r="Q55">
        <v>3.49</v>
      </c>
      <c r="R55">
        <v>2.4900000000000002</v>
      </c>
      <c r="S55">
        <v>1</v>
      </c>
      <c r="T55">
        <v>-0.28653295128939826</v>
      </c>
      <c r="U55" t="s">
        <v>6</v>
      </c>
      <c r="V55" t="s">
        <v>7</v>
      </c>
      <c r="W55" t="s">
        <v>743</v>
      </c>
    </row>
    <row r="56" spans="1:23" x14ac:dyDescent="0.35">
      <c r="A56">
        <v>37</v>
      </c>
      <c r="B56">
        <v>44818</v>
      </c>
      <c r="C56">
        <v>44824</v>
      </c>
      <c r="D56" t="s">
        <v>606</v>
      </c>
      <c r="E56">
        <v>988020</v>
      </c>
      <c r="F56" t="s">
        <v>78</v>
      </c>
      <c r="G56">
        <v>12</v>
      </c>
      <c r="H56">
        <v>11</v>
      </c>
      <c r="I56" t="s">
        <v>168</v>
      </c>
      <c r="J56" t="s">
        <v>27</v>
      </c>
      <c r="L56" t="s">
        <v>732</v>
      </c>
      <c r="M56" t="s">
        <v>650</v>
      </c>
      <c r="N56" t="s">
        <v>649</v>
      </c>
      <c r="O56" t="s">
        <v>8</v>
      </c>
      <c r="P56" t="s">
        <v>705</v>
      </c>
      <c r="Q56">
        <v>3.49</v>
      </c>
      <c r="R56">
        <v>2.4900000000000002</v>
      </c>
      <c r="S56">
        <v>1</v>
      </c>
      <c r="T56">
        <v>-0.28653295128939826</v>
      </c>
      <c r="U56" t="s">
        <v>6</v>
      </c>
      <c r="V56" t="s">
        <v>7</v>
      </c>
      <c r="W56" t="s">
        <v>743</v>
      </c>
    </row>
    <row r="57" spans="1:23" x14ac:dyDescent="0.35">
      <c r="A57">
        <v>37</v>
      </c>
      <c r="B57">
        <v>44818</v>
      </c>
      <c r="C57">
        <v>44824</v>
      </c>
      <c r="D57" t="s">
        <v>606</v>
      </c>
      <c r="E57">
        <v>988020</v>
      </c>
      <c r="F57" t="s">
        <v>78</v>
      </c>
      <c r="G57">
        <v>12</v>
      </c>
      <c r="H57">
        <v>11</v>
      </c>
      <c r="I57" t="s">
        <v>168</v>
      </c>
      <c r="J57" t="s">
        <v>27</v>
      </c>
      <c r="L57" t="s">
        <v>732</v>
      </c>
      <c r="M57" t="s">
        <v>651</v>
      </c>
      <c r="N57" t="s">
        <v>652</v>
      </c>
      <c r="O57" t="s">
        <v>9</v>
      </c>
      <c r="P57" t="s">
        <v>705</v>
      </c>
      <c r="Q57">
        <v>3.49</v>
      </c>
      <c r="R57">
        <v>2.4900000000000002</v>
      </c>
      <c r="S57">
        <v>1</v>
      </c>
      <c r="T57">
        <v>-0.28653295128939826</v>
      </c>
      <c r="U57" t="s">
        <v>6</v>
      </c>
      <c r="V57" t="s">
        <v>7</v>
      </c>
      <c r="W57" t="s">
        <v>743</v>
      </c>
    </row>
    <row r="58" spans="1:23" x14ac:dyDescent="0.35">
      <c r="A58">
        <v>37</v>
      </c>
      <c r="B58">
        <v>44818</v>
      </c>
      <c r="C58">
        <v>44824</v>
      </c>
      <c r="D58" t="s">
        <v>606</v>
      </c>
      <c r="E58">
        <v>988020</v>
      </c>
      <c r="F58" t="s">
        <v>78</v>
      </c>
      <c r="G58">
        <v>12</v>
      </c>
      <c r="H58">
        <v>11</v>
      </c>
      <c r="I58" t="s">
        <v>168</v>
      </c>
      <c r="J58" t="s">
        <v>27</v>
      </c>
      <c r="L58" t="s">
        <v>732</v>
      </c>
      <c r="M58" t="s">
        <v>653</v>
      </c>
      <c r="N58" t="s">
        <v>652</v>
      </c>
      <c r="O58" t="s">
        <v>8</v>
      </c>
      <c r="P58" t="s">
        <v>705</v>
      </c>
      <c r="Q58">
        <v>3.49</v>
      </c>
      <c r="R58">
        <v>2.4900000000000002</v>
      </c>
      <c r="S58">
        <v>1</v>
      </c>
      <c r="T58">
        <v>-0.28653295128939826</v>
      </c>
      <c r="U58" t="s">
        <v>6</v>
      </c>
      <c r="V58" t="s">
        <v>7</v>
      </c>
      <c r="W58" t="s">
        <v>743</v>
      </c>
    </row>
    <row r="59" spans="1:23" x14ac:dyDescent="0.35">
      <c r="A59">
        <v>37</v>
      </c>
      <c r="B59">
        <v>44818</v>
      </c>
      <c r="C59">
        <v>44824</v>
      </c>
      <c r="D59" t="s">
        <v>606</v>
      </c>
      <c r="E59">
        <v>988020</v>
      </c>
      <c r="F59" t="s">
        <v>78</v>
      </c>
      <c r="G59">
        <v>12</v>
      </c>
      <c r="H59">
        <v>11</v>
      </c>
      <c r="I59" t="s">
        <v>168</v>
      </c>
      <c r="J59" t="s">
        <v>27</v>
      </c>
      <c r="L59" t="s">
        <v>732</v>
      </c>
      <c r="M59" t="s">
        <v>654</v>
      </c>
      <c r="N59" t="s">
        <v>655</v>
      </c>
      <c r="O59" t="s">
        <v>9</v>
      </c>
      <c r="P59" t="s">
        <v>705</v>
      </c>
      <c r="Q59">
        <v>3.49</v>
      </c>
      <c r="R59">
        <v>2.4900000000000002</v>
      </c>
      <c r="S59">
        <v>1</v>
      </c>
      <c r="T59">
        <v>-0.28653295128939826</v>
      </c>
      <c r="U59" t="s">
        <v>6</v>
      </c>
      <c r="V59" t="s">
        <v>7</v>
      </c>
      <c r="W59" t="s">
        <v>743</v>
      </c>
    </row>
    <row r="60" spans="1:23" x14ac:dyDescent="0.35">
      <c r="A60">
        <v>37</v>
      </c>
      <c r="B60">
        <v>44818</v>
      </c>
      <c r="C60">
        <v>44824</v>
      </c>
      <c r="D60" t="s">
        <v>606</v>
      </c>
      <c r="E60">
        <v>988020</v>
      </c>
      <c r="F60" t="s">
        <v>78</v>
      </c>
      <c r="G60">
        <v>12</v>
      </c>
      <c r="H60">
        <v>11</v>
      </c>
      <c r="I60" t="s">
        <v>168</v>
      </c>
      <c r="J60" t="s">
        <v>27</v>
      </c>
      <c r="L60" t="s">
        <v>732</v>
      </c>
      <c r="M60" t="s">
        <v>656</v>
      </c>
      <c r="N60" t="s">
        <v>657</v>
      </c>
      <c r="O60" t="s">
        <v>9</v>
      </c>
      <c r="P60" t="s">
        <v>705</v>
      </c>
      <c r="Q60">
        <v>3.49</v>
      </c>
      <c r="R60">
        <v>2.4900000000000002</v>
      </c>
      <c r="S60">
        <v>1</v>
      </c>
      <c r="T60">
        <v>-0.28653295128939826</v>
      </c>
      <c r="U60" t="s">
        <v>6</v>
      </c>
      <c r="V60" t="s">
        <v>7</v>
      </c>
      <c r="W60" t="s">
        <v>743</v>
      </c>
    </row>
    <row r="61" spans="1:23" x14ac:dyDescent="0.35">
      <c r="A61">
        <v>37</v>
      </c>
      <c r="B61">
        <v>44818</v>
      </c>
      <c r="C61">
        <v>44824</v>
      </c>
      <c r="D61" t="s">
        <v>606</v>
      </c>
      <c r="E61">
        <v>988020</v>
      </c>
      <c r="F61" t="s">
        <v>78</v>
      </c>
      <c r="G61">
        <v>12</v>
      </c>
      <c r="H61">
        <v>11</v>
      </c>
      <c r="I61" t="s">
        <v>168</v>
      </c>
      <c r="J61" t="s">
        <v>27</v>
      </c>
      <c r="L61" t="s">
        <v>732</v>
      </c>
      <c r="M61" t="s">
        <v>658</v>
      </c>
      <c r="N61" t="s">
        <v>659</v>
      </c>
      <c r="O61" t="s">
        <v>5</v>
      </c>
      <c r="P61" t="s">
        <v>705</v>
      </c>
      <c r="Q61">
        <v>4.09</v>
      </c>
      <c r="R61">
        <v>2.99</v>
      </c>
      <c r="S61">
        <v>1.0999999999999996</v>
      </c>
      <c r="T61">
        <v>-0.26894865525672362</v>
      </c>
      <c r="U61" t="s">
        <v>6</v>
      </c>
      <c r="V61" t="s">
        <v>7</v>
      </c>
      <c r="W61" t="s">
        <v>743</v>
      </c>
    </row>
    <row r="62" spans="1:23" x14ac:dyDescent="0.35">
      <c r="A62">
        <v>37</v>
      </c>
      <c r="B62">
        <v>44818</v>
      </c>
      <c r="C62">
        <v>44824</v>
      </c>
      <c r="D62" t="s">
        <v>606</v>
      </c>
      <c r="E62">
        <v>985605</v>
      </c>
      <c r="F62" t="s">
        <v>826</v>
      </c>
      <c r="G62">
        <v>24</v>
      </c>
      <c r="H62">
        <v>11</v>
      </c>
      <c r="I62" t="s">
        <v>804</v>
      </c>
      <c r="J62" t="s">
        <v>805</v>
      </c>
      <c r="L62" t="s">
        <v>732</v>
      </c>
      <c r="M62" t="s">
        <v>641</v>
      </c>
      <c r="N62" t="s">
        <v>642</v>
      </c>
      <c r="O62" t="s">
        <v>5</v>
      </c>
      <c r="Q62">
        <v>1.39</v>
      </c>
      <c r="R62">
        <v>0.99</v>
      </c>
      <c r="S62">
        <v>0.39999999999999991</v>
      </c>
      <c r="T62">
        <v>-0.2877697841726618</v>
      </c>
      <c r="U62" t="s">
        <v>6</v>
      </c>
      <c r="V62" t="s">
        <v>7</v>
      </c>
      <c r="W62" t="s">
        <v>743</v>
      </c>
    </row>
    <row r="63" spans="1:23" x14ac:dyDescent="0.35">
      <c r="A63">
        <v>37</v>
      </c>
      <c r="B63">
        <v>44818</v>
      </c>
      <c r="C63">
        <v>44824</v>
      </c>
      <c r="D63" t="s">
        <v>606</v>
      </c>
      <c r="E63">
        <v>985605</v>
      </c>
      <c r="F63" t="s">
        <v>826</v>
      </c>
      <c r="G63">
        <v>24</v>
      </c>
      <c r="H63">
        <v>11</v>
      </c>
      <c r="I63" t="s">
        <v>804</v>
      </c>
      <c r="J63" t="s">
        <v>805</v>
      </c>
      <c r="L63" t="s">
        <v>732</v>
      </c>
      <c r="M63" t="s">
        <v>643</v>
      </c>
      <c r="N63" t="s">
        <v>644</v>
      </c>
      <c r="O63" t="s">
        <v>5</v>
      </c>
      <c r="Q63">
        <v>1.39</v>
      </c>
      <c r="R63">
        <v>0.99</v>
      </c>
      <c r="S63">
        <v>0.39999999999999991</v>
      </c>
      <c r="T63">
        <v>-0.2877697841726618</v>
      </c>
      <c r="U63" t="s">
        <v>6</v>
      </c>
      <c r="V63" t="s">
        <v>7</v>
      </c>
      <c r="W63" t="s">
        <v>743</v>
      </c>
    </row>
    <row r="64" spans="1:23" x14ac:dyDescent="0.35">
      <c r="A64">
        <v>37</v>
      </c>
      <c r="B64">
        <v>44818</v>
      </c>
      <c r="C64">
        <v>44824</v>
      </c>
      <c r="D64" t="s">
        <v>606</v>
      </c>
      <c r="E64">
        <v>985605</v>
      </c>
      <c r="F64" t="s">
        <v>826</v>
      </c>
      <c r="G64">
        <v>24</v>
      </c>
      <c r="H64">
        <v>11</v>
      </c>
      <c r="I64" t="s">
        <v>804</v>
      </c>
      <c r="J64" t="s">
        <v>805</v>
      </c>
      <c r="L64" t="s">
        <v>732</v>
      </c>
      <c r="M64" t="s">
        <v>645</v>
      </c>
      <c r="N64" t="s">
        <v>644</v>
      </c>
      <c r="O64" t="s">
        <v>8</v>
      </c>
      <c r="Q64">
        <v>1.39</v>
      </c>
      <c r="R64">
        <v>0.99</v>
      </c>
      <c r="S64">
        <v>0.39999999999999991</v>
      </c>
      <c r="T64">
        <v>-0.2877697841726618</v>
      </c>
      <c r="U64" t="s">
        <v>6</v>
      </c>
      <c r="V64" t="s">
        <v>7</v>
      </c>
      <c r="W64" t="s">
        <v>743</v>
      </c>
    </row>
    <row r="65" spans="1:27" x14ac:dyDescent="0.35">
      <c r="A65">
        <v>37</v>
      </c>
      <c r="B65">
        <v>44818</v>
      </c>
      <c r="C65">
        <v>44824</v>
      </c>
      <c r="D65" t="s">
        <v>606</v>
      </c>
      <c r="E65">
        <v>985605</v>
      </c>
      <c r="F65" t="s">
        <v>826</v>
      </c>
      <c r="G65">
        <v>24</v>
      </c>
      <c r="H65">
        <v>11</v>
      </c>
      <c r="I65" t="s">
        <v>804</v>
      </c>
      <c r="J65" t="s">
        <v>805</v>
      </c>
      <c r="L65" t="s">
        <v>732</v>
      </c>
      <c r="M65" t="s">
        <v>646</v>
      </c>
      <c r="N65" t="s">
        <v>647</v>
      </c>
      <c r="O65" t="s">
        <v>5</v>
      </c>
      <c r="Q65">
        <v>1.39</v>
      </c>
      <c r="R65">
        <v>0.99</v>
      </c>
      <c r="S65">
        <v>0.39999999999999991</v>
      </c>
      <c r="T65">
        <v>-0.2877697841726618</v>
      </c>
      <c r="U65" t="s">
        <v>6</v>
      </c>
      <c r="V65" t="s">
        <v>7</v>
      </c>
      <c r="W65" t="s">
        <v>743</v>
      </c>
    </row>
    <row r="66" spans="1:27" x14ac:dyDescent="0.35">
      <c r="A66">
        <v>37</v>
      </c>
      <c r="B66">
        <v>44818</v>
      </c>
      <c r="C66">
        <v>44824</v>
      </c>
      <c r="D66" t="s">
        <v>606</v>
      </c>
      <c r="E66">
        <v>985605</v>
      </c>
      <c r="F66" t="s">
        <v>826</v>
      </c>
      <c r="G66">
        <v>24</v>
      </c>
      <c r="H66">
        <v>11</v>
      </c>
      <c r="I66" t="s">
        <v>804</v>
      </c>
      <c r="J66" t="s">
        <v>805</v>
      </c>
      <c r="L66" t="s">
        <v>732</v>
      </c>
      <c r="M66" t="s">
        <v>648</v>
      </c>
      <c r="N66" t="s">
        <v>649</v>
      </c>
      <c r="O66" t="s">
        <v>5</v>
      </c>
      <c r="Q66">
        <v>1.39</v>
      </c>
      <c r="R66">
        <v>0.99</v>
      </c>
      <c r="S66">
        <v>0.39999999999999991</v>
      </c>
      <c r="T66">
        <v>-0.2877697841726618</v>
      </c>
      <c r="U66" t="s">
        <v>6</v>
      </c>
      <c r="V66" t="s">
        <v>7</v>
      </c>
      <c r="W66" t="s">
        <v>743</v>
      </c>
    </row>
    <row r="67" spans="1:27" x14ac:dyDescent="0.35">
      <c r="A67">
        <v>37</v>
      </c>
      <c r="B67">
        <v>44818</v>
      </c>
      <c r="C67">
        <v>44824</v>
      </c>
      <c r="D67" t="s">
        <v>606</v>
      </c>
      <c r="E67">
        <v>985605</v>
      </c>
      <c r="F67" t="s">
        <v>826</v>
      </c>
      <c r="G67">
        <v>24</v>
      </c>
      <c r="H67">
        <v>11</v>
      </c>
      <c r="I67" t="s">
        <v>804</v>
      </c>
      <c r="J67" t="s">
        <v>805</v>
      </c>
      <c r="L67" t="s">
        <v>732</v>
      </c>
      <c r="M67" t="s">
        <v>650</v>
      </c>
      <c r="N67" t="s">
        <v>649</v>
      </c>
      <c r="O67" t="s">
        <v>8</v>
      </c>
      <c r="Q67">
        <v>1.39</v>
      </c>
      <c r="R67">
        <v>0.99</v>
      </c>
      <c r="S67">
        <v>0.39999999999999991</v>
      </c>
      <c r="T67">
        <v>-0.2877697841726618</v>
      </c>
      <c r="U67" t="s">
        <v>6</v>
      </c>
      <c r="V67" t="s">
        <v>7</v>
      </c>
      <c r="W67" t="s">
        <v>743</v>
      </c>
    </row>
    <row r="68" spans="1:27" x14ac:dyDescent="0.35">
      <c r="A68">
        <v>37</v>
      </c>
      <c r="B68">
        <v>44818</v>
      </c>
      <c r="C68">
        <v>44824</v>
      </c>
      <c r="D68" t="s">
        <v>606</v>
      </c>
      <c r="E68">
        <v>985605</v>
      </c>
      <c r="F68" t="s">
        <v>826</v>
      </c>
      <c r="G68">
        <v>24</v>
      </c>
      <c r="H68">
        <v>11</v>
      </c>
      <c r="I68" t="s">
        <v>804</v>
      </c>
      <c r="J68" t="s">
        <v>805</v>
      </c>
      <c r="L68" t="s">
        <v>732</v>
      </c>
      <c r="M68" t="s">
        <v>651</v>
      </c>
      <c r="N68" t="s">
        <v>652</v>
      </c>
      <c r="O68" t="s">
        <v>9</v>
      </c>
      <c r="Q68">
        <v>1.39</v>
      </c>
      <c r="R68">
        <v>0.99</v>
      </c>
      <c r="S68">
        <v>0.39999999999999991</v>
      </c>
      <c r="T68">
        <v>-0.2877697841726618</v>
      </c>
      <c r="U68" t="s">
        <v>6</v>
      </c>
      <c r="V68" t="s">
        <v>7</v>
      </c>
      <c r="W68" t="s">
        <v>743</v>
      </c>
    </row>
    <row r="69" spans="1:27" x14ac:dyDescent="0.35">
      <c r="A69">
        <v>37</v>
      </c>
      <c r="B69">
        <v>44818</v>
      </c>
      <c r="C69">
        <v>44824</v>
      </c>
      <c r="D69" t="s">
        <v>606</v>
      </c>
      <c r="E69">
        <v>985605</v>
      </c>
      <c r="F69" t="s">
        <v>826</v>
      </c>
      <c r="G69">
        <v>24</v>
      </c>
      <c r="H69">
        <v>11</v>
      </c>
      <c r="I69" t="s">
        <v>804</v>
      </c>
      <c r="J69" t="s">
        <v>805</v>
      </c>
      <c r="L69" t="s">
        <v>732</v>
      </c>
      <c r="M69" t="s">
        <v>653</v>
      </c>
      <c r="N69" t="s">
        <v>652</v>
      </c>
      <c r="O69" t="s">
        <v>8</v>
      </c>
      <c r="Q69">
        <v>1.39</v>
      </c>
      <c r="R69">
        <v>0.99</v>
      </c>
      <c r="S69">
        <v>0.39999999999999991</v>
      </c>
      <c r="T69">
        <v>-0.2877697841726618</v>
      </c>
      <c r="U69" t="s">
        <v>6</v>
      </c>
      <c r="V69" t="s">
        <v>7</v>
      </c>
      <c r="W69" t="s">
        <v>743</v>
      </c>
    </row>
    <row r="70" spans="1:27" x14ac:dyDescent="0.35">
      <c r="A70">
        <v>37</v>
      </c>
      <c r="B70">
        <v>44818</v>
      </c>
      <c r="C70">
        <v>44824</v>
      </c>
      <c r="D70" t="s">
        <v>606</v>
      </c>
      <c r="E70">
        <v>985605</v>
      </c>
      <c r="F70" t="s">
        <v>826</v>
      </c>
      <c r="G70">
        <v>24</v>
      </c>
      <c r="H70">
        <v>11</v>
      </c>
      <c r="I70" t="s">
        <v>804</v>
      </c>
      <c r="J70" t="s">
        <v>805</v>
      </c>
      <c r="L70" t="s">
        <v>732</v>
      </c>
      <c r="M70" t="s">
        <v>654</v>
      </c>
      <c r="N70" t="s">
        <v>655</v>
      </c>
      <c r="O70" t="s">
        <v>9</v>
      </c>
      <c r="Q70">
        <v>1.39</v>
      </c>
      <c r="R70">
        <v>0.99</v>
      </c>
      <c r="S70">
        <v>0.39999999999999991</v>
      </c>
      <c r="T70">
        <v>-0.2877697841726618</v>
      </c>
      <c r="U70" t="s">
        <v>6</v>
      </c>
      <c r="V70" t="s">
        <v>7</v>
      </c>
      <c r="W70" t="s">
        <v>743</v>
      </c>
    </row>
    <row r="71" spans="1:27" s="116" customFormat="1" x14ac:dyDescent="0.35">
      <c r="A71">
        <v>37</v>
      </c>
      <c r="B71">
        <v>44818</v>
      </c>
      <c r="C71">
        <v>44824</v>
      </c>
      <c r="D71" t="s">
        <v>606</v>
      </c>
      <c r="E71">
        <v>985605</v>
      </c>
      <c r="F71" t="s">
        <v>826</v>
      </c>
      <c r="G71">
        <v>24</v>
      </c>
      <c r="H71">
        <v>11</v>
      </c>
      <c r="I71" t="s">
        <v>804</v>
      </c>
      <c r="J71" t="s">
        <v>805</v>
      </c>
      <c r="K71"/>
      <c r="L71" t="s">
        <v>732</v>
      </c>
      <c r="M71" t="s">
        <v>656</v>
      </c>
      <c r="N71" t="s">
        <v>657</v>
      </c>
      <c r="O71" t="s">
        <v>9</v>
      </c>
      <c r="P71"/>
      <c r="Q71">
        <v>1.39</v>
      </c>
      <c r="R71">
        <v>0.99</v>
      </c>
      <c r="S71">
        <v>0.39999999999999991</v>
      </c>
      <c r="T71">
        <v>-0.2877697841726618</v>
      </c>
      <c r="U71" t="s">
        <v>6</v>
      </c>
      <c r="V71" t="s">
        <v>7</v>
      </c>
      <c r="W71" t="s">
        <v>743</v>
      </c>
      <c r="X71"/>
      <c r="Y71"/>
      <c r="Z71"/>
      <c r="AA71"/>
    </row>
    <row r="72" spans="1:27" s="116" customFormat="1" x14ac:dyDescent="0.35">
      <c r="A72">
        <v>37</v>
      </c>
      <c r="B72">
        <v>44818</v>
      </c>
      <c r="C72">
        <v>44824</v>
      </c>
      <c r="D72" t="s">
        <v>606</v>
      </c>
      <c r="E72">
        <v>985605</v>
      </c>
      <c r="F72" t="s">
        <v>826</v>
      </c>
      <c r="G72">
        <v>24</v>
      </c>
      <c r="H72">
        <v>11</v>
      </c>
      <c r="I72" t="s">
        <v>804</v>
      </c>
      <c r="J72" t="s">
        <v>805</v>
      </c>
      <c r="K72"/>
      <c r="L72" t="s">
        <v>732</v>
      </c>
      <c r="M72" t="s">
        <v>658</v>
      </c>
      <c r="N72" t="s">
        <v>659</v>
      </c>
      <c r="O72" t="s">
        <v>5</v>
      </c>
      <c r="P72"/>
      <c r="Q72">
        <v>1.39</v>
      </c>
      <c r="R72">
        <v>0.99</v>
      </c>
      <c r="S72">
        <v>0.39999999999999991</v>
      </c>
      <c r="T72">
        <v>-0.2877697841726618</v>
      </c>
      <c r="U72" t="s">
        <v>6</v>
      </c>
      <c r="V72" t="s">
        <v>7</v>
      </c>
      <c r="W72" t="s">
        <v>743</v>
      </c>
      <c r="X72"/>
      <c r="Y72"/>
      <c r="Z72"/>
      <c r="AA72"/>
    </row>
    <row r="73" spans="1:27" s="116" customFormat="1" x14ac:dyDescent="0.35">
      <c r="A73">
        <v>37</v>
      </c>
      <c r="B73">
        <v>44821</v>
      </c>
      <c r="C73">
        <v>44822</v>
      </c>
      <c r="D73" t="s">
        <v>827</v>
      </c>
      <c r="E73">
        <v>980211</v>
      </c>
      <c r="F73" t="s">
        <v>828</v>
      </c>
      <c r="G73">
        <v>9</v>
      </c>
      <c r="H73">
        <v>10</v>
      </c>
      <c r="I73" t="s">
        <v>168</v>
      </c>
      <c r="J73" t="s">
        <v>27</v>
      </c>
      <c r="K73"/>
      <c r="L73" t="s">
        <v>732</v>
      </c>
      <c r="M73" t="s">
        <v>641</v>
      </c>
      <c r="N73" t="s">
        <v>642</v>
      </c>
      <c r="O73" t="s">
        <v>5</v>
      </c>
      <c r="P73"/>
      <c r="Q73">
        <v>4.99</v>
      </c>
      <c r="R73">
        <v>3.49</v>
      </c>
      <c r="S73">
        <v>1.5</v>
      </c>
      <c r="T73">
        <v>-0.30060120240480959</v>
      </c>
      <c r="U73" t="s">
        <v>6</v>
      </c>
      <c r="V73" t="s">
        <v>7</v>
      </c>
      <c r="W73" t="s">
        <v>743</v>
      </c>
      <c r="X73"/>
      <c r="Y73"/>
      <c r="Z73"/>
      <c r="AA73"/>
    </row>
    <row r="74" spans="1:27" s="116" customFormat="1" x14ac:dyDescent="0.35">
      <c r="A74">
        <v>37</v>
      </c>
      <c r="B74">
        <v>44821</v>
      </c>
      <c r="C74">
        <v>44822</v>
      </c>
      <c r="D74" t="s">
        <v>827</v>
      </c>
      <c r="E74">
        <v>980211</v>
      </c>
      <c r="F74" t="s">
        <v>828</v>
      </c>
      <c r="G74">
        <v>9</v>
      </c>
      <c r="H74">
        <v>10</v>
      </c>
      <c r="I74" t="s">
        <v>168</v>
      </c>
      <c r="J74" t="s">
        <v>27</v>
      </c>
      <c r="K74"/>
      <c r="L74" t="s">
        <v>732</v>
      </c>
      <c r="M74" t="s">
        <v>643</v>
      </c>
      <c r="N74" t="s">
        <v>644</v>
      </c>
      <c r="O74" t="s">
        <v>5</v>
      </c>
      <c r="P74"/>
      <c r="Q74">
        <v>4.99</v>
      </c>
      <c r="R74">
        <v>3.49</v>
      </c>
      <c r="S74">
        <v>1.5</v>
      </c>
      <c r="T74">
        <v>-0.30060120240480959</v>
      </c>
      <c r="U74" t="s">
        <v>6</v>
      </c>
      <c r="V74" t="s">
        <v>7</v>
      </c>
      <c r="W74" t="s">
        <v>743</v>
      </c>
      <c r="X74"/>
      <c r="Y74"/>
      <c r="Z74"/>
      <c r="AA74"/>
    </row>
    <row r="75" spans="1:27" s="116" customFormat="1" x14ac:dyDescent="0.35">
      <c r="A75">
        <v>37</v>
      </c>
      <c r="B75">
        <v>44821</v>
      </c>
      <c r="C75">
        <v>44822</v>
      </c>
      <c r="D75" t="s">
        <v>827</v>
      </c>
      <c r="E75">
        <v>980211</v>
      </c>
      <c r="F75" t="s">
        <v>828</v>
      </c>
      <c r="G75">
        <v>9</v>
      </c>
      <c r="H75">
        <v>10</v>
      </c>
      <c r="I75" t="s">
        <v>168</v>
      </c>
      <c r="J75" t="s">
        <v>27</v>
      </c>
      <c r="K75"/>
      <c r="L75" t="s">
        <v>732</v>
      </c>
      <c r="M75" t="s">
        <v>645</v>
      </c>
      <c r="N75" t="s">
        <v>644</v>
      </c>
      <c r="O75" t="s">
        <v>8</v>
      </c>
      <c r="P75"/>
      <c r="Q75">
        <v>3.99</v>
      </c>
      <c r="R75">
        <v>2.69</v>
      </c>
      <c r="S75">
        <v>1.3000000000000003</v>
      </c>
      <c r="T75">
        <v>-0.32581453634085217</v>
      </c>
      <c r="U75" t="s">
        <v>6</v>
      </c>
      <c r="V75" t="s">
        <v>7</v>
      </c>
      <c r="W75" t="s">
        <v>743</v>
      </c>
      <c r="X75"/>
      <c r="Y75"/>
      <c r="Z75"/>
      <c r="AA75"/>
    </row>
    <row r="76" spans="1:27" s="116" customFormat="1" x14ac:dyDescent="0.35">
      <c r="A76">
        <v>37</v>
      </c>
      <c r="B76">
        <v>44821</v>
      </c>
      <c r="C76">
        <v>44822</v>
      </c>
      <c r="D76" t="s">
        <v>827</v>
      </c>
      <c r="E76">
        <v>980211</v>
      </c>
      <c r="F76" t="s">
        <v>828</v>
      </c>
      <c r="G76">
        <v>9</v>
      </c>
      <c r="H76">
        <v>10</v>
      </c>
      <c r="I76" t="s">
        <v>168</v>
      </c>
      <c r="J76" t="s">
        <v>27</v>
      </c>
      <c r="K76"/>
      <c r="L76" t="s">
        <v>732</v>
      </c>
      <c r="M76" t="s">
        <v>646</v>
      </c>
      <c r="N76" t="s">
        <v>647</v>
      </c>
      <c r="O76" t="s">
        <v>5</v>
      </c>
      <c r="P76"/>
      <c r="Q76">
        <v>3.99</v>
      </c>
      <c r="R76">
        <v>2.69</v>
      </c>
      <c r="S76">
        <v>1.3000000000000003</v>
      </c>
      <c r="T76">
        <v>-0.32581453634085217</v>
      </c>
      <c r="U76" t="s">
        <v>6</v>
      </c>
      <c r="V76" t="s">
        <v>7</v>
      </c>
      <c r="W76" t="s">
        <v>743</v>
      </c>
      <c r="X76"/>
      <c r="Y76"/>
      <c r="Z76"/>
      <c r="AA76"/>
    </row>
    <row r="77" spans="1:27" s="116" customFormat="1" x14ac:dyDescent="0.35">
      <c r="A77">
        <v>37</v>
      </c>
      <c r="B77">
        <v>44821</v>
      </c>
      <c r="C77">
        <v>44822</v>
      </c>
      <c r="D77" t="s">
        <v>827</v>
      </c>
      <c r="E77">
        <v>980211</v>
      </c>
      <c r="F77" t="s">
        <v>828</v>
      </c>
      <c r="G77">
        <v>9</v>
      </c>
      <c r="H77">
        <v>10</v>
      </c>
      <c r="I77" t="s">
        <v>168</v>
      </c>
      <c r="J77" t="s">
        <v>27</v>
      </c>
      <c r="K77"/>
      <c r="L77" t="s">
        <v>732</v>
      </c>
      <c r="M77" t="s">
        <v>648</v>
      </c>
      <c r="N77" t="s">
        <v>649</v>
      </c>
      <c r="O77" t="s">
        <v>5</v>
      </c>
      <c r="P77"/>
      <c r="Q77">
        <v>3.99</v>
      </c>
      <c r="R77">
        <v>2.69</v>
      </c>
      <c r="S77">
        <v>1.3000000000000003</v>
      </c>
      <c r="T77">
        <v>-0.32581453634085217</v>
      </c>
      <c r="U77" t="s">
        <v>6</v>
      </c>
      <c r="V77" t="s">
        <v>7</v>
      </c>
      <c r="W77" t="s">
        <v>743</v>
      </c>
      <c r="X77"/>
      <c r="Y77"/>
      <c r="Z77"/>
      <c r="AA77"/>
    </row>
    <row r="78" spans="1:27" s="116" customFormat="1" x14ac:dyDescent="0.35">
      <c r="A78">
        <v>37</v>
      </c>
      <c r="B78">
        <v>44821</v>
      </c>
      <c r="C78">
        <v>44822</v>
      </c>
      <c r="D78" t="s">
        <v>827</v>
      </c>
      <c r="E78">
        <v>980211</v>
      </c>
      <c r="F78" t="s">
        <v>828</v>
      </c>
      <c r="G78">
        <v>9</v>
      </c>
      <c r="H78">
        <v>10</v>
      </c>
      <c r="I78" t="s">
        <v>168</v>
      </c>
      <c r="J78" t="s">
        <v>27</v>
      </c>
      <c r="K78"/>
      <c r="L78" t="s">
        <v>732</v>
      </c>
      <c r="M78" t="s">
        <v>650</v>
      </c>
      <c r="N78" t="s">
        <v>649</v>
      </c>
      <c r="O78" t="s">
        <v>8</v>
      </c>
      <c r="P78"/>
      <c r="Q78">
        <v>3.99</v>
      </c>
      <c r="R78">
        <v>2.69</v>
      </c>
      <c r="S78">
        <v>1.3000000000000003</v>
      </c>
      <c r="T78">
        <v>-0.32581453634085217</v>
      </c>
      <c r="U78" t="s">
        <v>6</v>
      </c>
      <c r="V78" t="s">
        <v>7</v>
      </c>
      <c r="W78" t="s">
        <v>743</v>
      </c>
      <c r="X78"/>
      <c r="Y78"/>
      <c r="Z78"/>
      <c r="AA78"/>
    </row>
    <row r="79" spans="1:27" s="116" customFormat="1" x14ac:dyDescent="0.35">
      <c r="A79">
        <v>37</v>
      </c>
      <c r="B79">
        <v>44821</v>
      </c>
      <c r="C79">
        <v>44822</v>
      </c>
      <c r="D79" t="s">
        <v>827</v>
      </c>
      <c r="E79">
        <v>980211</v>
      </c>
      <c r="F79" t="s">
        <v>828</v>
      </c>
      <c r="G79">
        <v>9</v>
      </c>
      <c r="H79">
        <v>10</v>
      </c>
      <c r="I79" t="s">
        <v>168</v>
      </c>
      <c r="J79" t="s">
        <v>27</v>
      </c>
      <c r="K79"/>
      <c r="L79" t="s">
        <v>732</v>
      </c>
      <c r="M79" t="s">
        <v>651</v>
      </c>
      <c r="N79" t="s">
        <v>652</v>
      </c>
      <c r="O79" t="s">
        <v>9</v>
      </c>
      <c r="P79"/>
      <c r="Q79">
        <v>3.99</v>
      </c>
      <c r="R79">
        <v>2.69</v>
      </c>
      <c r="S79">
        <v>1.3000000000000003</v>
      </c>
      <c r="T79">
        <v>-0.32581453634085217</v>
      </c>
      <c r="U79" t="s">
        <v>6</v>
      </c>
      <c r="V79" t="s">
        <v>7</v>
      </c>
      <c r="W79" t="s">
        <v>743</v>
      </c>
      <c r="X79"/>
      <c r="Y79"/>
      <c r="Z79"/>
      <c r="AA79"/>
    </row>
    <row r="80" spans="1:27" s="116" customFormat="1" x14ac:dyDescent="0.35">
      <c r="A80">
        <v>37</v>
      </c>
      <c r="B80">
        <v>44821</v>
      </c>
      <c r="C80">
        <v>44822</v>
      </c>
      <c r="D80" t="s">
        <v>827</v>
      </c>
      <c r="E80">
        <v>980211</v>
      </c>
      <c r="F80" t="s">
        <v>828</v>
      </c>
      <c r="G80">
        <v>9</v>
      </c>
      <c r="H80">
        <v>10</v>
      </c>
      <c r="I80" t="s">
        <v>168</v>
      </c>
      <c r="J80" t="s">
        <v>27</v>
      </c>
      <c r="K80"/>
      <c r="L80" t="s">
        <v>732</v>
      </c>
      <c r="M80" t="s">
        <v>653</v>
      </c>
      <c r="N80" t="s">
        <v>652</v>
      </c>
      <c r="O80" t="s">
        <v>8</v>
      </c>
      <c r="P80"/>
      <c r="Q80">
        <v>3.99</v>
      </c>
      <c r="R80">
        <v>2.69</v>
      </c>
      <c r="S80">
        <v>1.3000000000000003</v>
      </c>
      <c r="T80">
        <v>-0.32581453634085217</v>
      </c>
      <c r="U80" t="s">
        <v>6</v>
      </c>
      <c r="V80" t="s">
        <v>7</v>
      </c>
      <c r="W80" t="s">
        <v>743</v>
      </c>
      <c r="X80"/>
      <c r="Y80"/>
      <c r="Z80"/>
      <c r="AA80"/>
    </row>
    <row r="81" spans="1:27" s="116" customFormat="1" x14ac:dyDescent="0.35">
      <c r="A81">
        <v>37</v>
      </c>
      <c r="B81">
        <v>44821</v>
      </c>
      <c r="C81">
        <v>44822</v>
      </c>
      <c r="D81" t="s">
        <v>827</v>
      </c>
      <c r="E81">
        <v>980211</v>
      </c>
      <c r="F81" t="s">
        <v>828</v>
      </c>
      <c r="G81">
        <v>9</v>
      </c>
      <c r="H81">
        <v>10</v>
      </c>
      <c r="I81" t="s">
        <v>168</v>
      </c>
      <c r="J81" t="s">
        <v>27</v>
      </c>
      <c r="K81"/>
      <c r="L81" t="s">
        <v>732</v>
      </c>
      <c r="M81" t="s">
        <v>654</v>
      </c>
      <c r="N81" t="s">
        <v>655</v>
      </c>
      <c r="O81" t="s">
        <v>9</v>
      </c>
      <c r="P81"/>
      <c r="Q81">
        <v>3.99</v>
      </c>
      <c r="R81">
        <v>2.69</v>
      </c>
      <c r="S81">
        <v>1.3000000000000003</v>
      </c>
      <c r="T81">
        <v>-0.32581453634085217</v>
      </c>
      <c r="U81" t="s">
        <v>6</v>
      </c>
      <c r="V81" t="s">
        <v>7</v>
      </c>
      <c r="W81" t="s">
        <v>743</v>
      </c>
      <c r="X81"/>
      <c r="Y81"/>
      <c r="Z81"/>
      <c r="AA81"/>
    </row>
    <row r="82" spans="1:27" s="116" customFormat="1" x14ac:dyDescent="0.35">
      <c r="A82">
        <v>37</v>
      </c>
      <c r="B82">
        <v>44821</v>
      </c>
      <c r="C82">
        <v>44822</v>
      </c>
      <c r="D82" t="s">
        <v>827</v>
      </c>
      <c r="E82">
        <v>980211</v>
      </c>
      <c r="F82" t="s">
        <v>828</v>
      </c>
      <c r="G82">
        <v>9</v>
      </c>
      <c r="H82">
        <v>10</v>
      </c>
      <c r="I82" t="s">
        <v>168</v>
      </c>
      <c r="J82" t="s">
        <v>27</v>
      </c>
      <c r="K82"/>
      <c r="L82" t="s">
        <v>732</v>
      </c>
      <c r="M82" t="s">
        <v>656</v>
      </c>
      <c r="N82" t="s">
        <v>657</v>
      </c>
      <c r="O82" t="s">
        <v>9</v>
      </c>
      <c r="P82"/>
      <c r="Q82">
        <v>3.99</v>
      </c>
      <c r="R82">
        <v>2.69</v>
      </c>
      <c r="S82">
        <v>1.3000000000000003</v>
      </c>
      <c r="T82">
        <v>-0.32581453634085217</v>
      </c>
      <c r="U82" t="s">
        <v>6</v>
      </c>
      <c r="V82" t="s">
        <v>7</v>
      </c>
      <c r="W82" t="s">
        <v>743</v>
      </c>
      <c r="X82"/>
      <c r="Y82"/>
      <c r="Z82"/>
      <c r="AA82"/>
    </row>
    <row r="83" spans="1:27" s="116" customFormat="1" x14ac:dyDescent="0.35">
      <c r="A83">
        <v>37</v>
      </c>
      <c r="B83">
        <v>44821</v>
      </c>
      <c r="C83">
        <v>44822</v>
      </c>
      <c r="D83" t="s">
        <v>827</v>
      </c>
      <c r="E83">
        <v>980211</v>
      </c>
      <c r="F83" t="s">
        <v>828</v>
      </c>
      <c r="G83">
        <v>9</v>
      </c>
      <c r="H83">
        <v>10</v>
      </c>
      <c r="I83" t="s">
        <v>168</v>
      </c>
      <c r="J83" t="s">
        <v>27</v>
      </c>
      <c r="K83"/>
      <c r="L83" t="s">
        <v>732</v>
      </c>
      <c r="M83" t="s">
        <v>658</v>
      </c>
      <c r="N83" t="s">
        <v>659</v>
      </c>
      <c r="O83" t="s">
        <v>5</v>
      </c>
      <c r="P83"/>
      <c r="Q83">
        <v>4.99</v>
      </c>
      <c r="R83">
        <v>3.49</v>
      </c>
      <c r="S83">
        <v>1.5</v>
      </c>
      <c r="T83">
        <v>-0.30060120240480959</v>
      </c>
      <c r="U83" t="s">
        <v>6</v>
      </c>
      <c r="V83" t="s">
        <v>7</v>
      </c>
      <c r="W83" t="s">
        <v>743</v>
      </c>
      <c r="X83"/>
      <c r="Y83"/>
      <c r="Z83"/>
      <c r="AA83"/>
    </row>
    <row r="84" spans="1:27" s="116" customFormat="1" x14ac:dyDescent="0.35">
      <c r="A84">
        <v>37</v>
      </c>
      <c r="B84">
        <v>44818</v>
      </c>
      <c r="C84">
        <v>44824</v>
      </c>
      <c r="D84" t="s">
        <v>606</v>
      </c>
      <c r="E84">
        <v>248459</v>
      </c>
      <c r="F84" t="s">
        <v>767</v>
      </c>
      <c r="G84">
        <v>44864</v>
      </c>
      <c r="H84">
        <v>12</v>
      </c>
      <c r="I84" t="s">
        <v>766</v>
      </c>
      <c r="J84" t="s">
        <v>768</v>
      </c>
      <c r="K84"/>
      <c r="L84" t="s">
        <v>769</v>
      </c>
      <c r="M84" t="s">
        <v>643</v>
      </c>
      <c r="N84" t="s">
        <v>644</v>
      </c>
      <c r="O84" t="s">
        <v>5</v>
      </c>
      <c r="P84"/>
      <c r="Q84"/>
      <c r="R84">
        <v>4.99</v>
      </c>
      <c r="S84">
        <v>0.99000000000000021</v>
      </c>
      <c r="T84">
        <v>-0.2</v>
      </c>
      <c r="U84" t="s">
        <v>6</v>
      </c>
      <c r="V84" t="s">
        <v>7</v>
      </c>
      <c r="W84" t="s">
        <v>743</v>
      </c>
      <c r="X84"/>
      <c r="Y84"/>
      <c r="Z84"/>
      <c r="AA84"/>
    </row>
    <row r="85" spans="1:27" s="116" customFormat="1" x14ac:dyDescent="0.35">
      <c r="A85">
        <v>37</v>
      </c>
      <c r="B85">
        <v>44818</v>
      </c>
      <c r="C85">
        <v>44824</v>
      </c>
      <c r="D85" t="s">
        <v>606</v>
      </c>
      <c r="E85">
        <v>248459</v>
      </c>
      <c r="F85" t="s">
        <v>767</v>
      </c>
      <c r="G85">
        <v>44864</v>
      </c>
      <c r="H85">
        <v>12</v>
      </c>
      <c r="I85" t="s">
        <v>766</v>
      </c>
      <c r="J85" t="s">
        <v>768</v>
      </c>
      <c r="K85"/>
      <c r="L85" t="s">
        <v>769</v>
      </c>
      <c r="M85" t="s">
        <v>770</v>
      </c>
      <c r="N85" t="s">
        <v>655</v>
      </c>
      <c r="O85" t="s">
        <v>5</v>
      </c>
      <c r="P85"/>
      <c r="Q85"/>
      <c r="R85">
        <v>4.99</v>
      </c>
      <c r="S85">
        <v>0.99000000000000021</v>
      </c>
      <c r="T85">
        <v>-0.2</v>
      </c>
      <c r="U85" t="s">
        <v>6</v>
      </c>
      <c r="V85" t="s">
        <v>7</v>
      </c>
      <c r="W85" t="s">
        <v>743</v>
      </c>
      <c r="X85"/>
      <c r="Y85"/>
      <c r="Z85"/>
      <c r="AA85"/>
    </row>
    <row r="86" spans="1:27" s="116" customFormat="1" x14ac:dyDescent="0.35">
      <c r="A86">
        <v>37</v>
      </c>
      <c r="B86">
        <v>44818</v>
      </c>
      <c r="C86">
        <v>44824</v>
      </c>
      <c r="D86" t="s">
        <v>606</v>
      </c>
      <c r="E86">
        <v>248459</v>
      </c>
      <c r="F86" t="s">
        <v>767</v>
      </c>
      <c r="G86">
        <v>44864</v>
      </c>
      <c r="H86">
        <v>12</v>
      </c>
      <c r="I86" t="s">
        <v>766</v>
      </c>
      <c r="J86" t="s">
        <v>768</v>
      </c>
      <c r="K86"/>
      <c r="L86" t="s">
        <v>769</v>
      </c>
      <c r="M86" t="s">
        <v>771</v>
      </c>
      <c r="N86" t="s">
        <v>657</v>
      </c>
      <c r="O86" t="s">
        <v>5</v>
      </c>
      <c r="P86"/>
      <c r="Q86"/>
      <c r="R86">
        <v>4.99</v>
      </c>
      <c r="S86">
        <v>0.99000000000000021</v>
      </c>
      <c r="T86">
        <v>-0.2</v>
      </c>
      <c r="U86" t="s">
        <v>6</v>
      </c>
      <c r="V86" t="s">
        <v>7</v>
      </c>
      <c r="W86" t="s">
        <v>743</v>
      </c>
      <c r="X86"/>
      <c r="Y86"/>
      <c r="Z86"/>
      <c r="AA86"/>
    </row>
    <row r="87" spans="1:27" s="116" customFormat="1" x14ac:dyDescent="0.35">
      <c r="A87">
        <v>37</v>
      </c>
      <c r="B87">
        <v>44818</v>
      </c>
      <c r="C87">
        <v>44824</v>
      </c>
      <c r="D87" t="s">
        <v>606</v>
      </c>
      <c r="E87">
        <v>248459</v>
      </c>
      <c r="F87" t="s">
        <v>767</v>
      </c>
      <c r="G87">
        <v>44864</v>
      </c>
      <c r="H87">
        <v>12</v>
      </c>
      <c r="I87" t="s">
        <v>766</v>
      </c>
      <c r="J87" t="s">
        <v>768</v>
      </c>
      <c r="K87"/>
      <c r="L87" t="s">
        <v>769</v>
      </c>
      <c r="M87" t="s">
        <v>641</v>
      </c>
      <c r="N87" t="s">
        <v>642</v>
      </c>
      <c r="O87" t="s">
        <v>5</v>
      </c>
      <c r="P87"/>
      <c r="Q87"/>
      <c r="R87">
        <v>4.99</v>
      </c>
      <c r="S87">
        <v>0.99000000000000021</v>
      </c>
      <c r="T87">
        <v>-0.2</v>
      </c>
      <c r="U87" t="s">
        <v>6</v>
      </c>
      <c r="V87" t="s">
        <v>7</v>
      </c>
      <c r="W87" t="s">
        <v>743</v>
      </c>
      <c r="X87"/>
      <c r="Y87"/>
      <c r="Z87"/>
      <c r="AA87"/>
    </row>
    <row r="88" spans="1:27" s="116" customFormat="1" x14ac:dyDescent="0.35">
      <c r="A88">
        <v>37</v>
      </c>
      <c r="B88">
        <v>44818</v>
      </c>
      <c r="C88">
        <v>44824</v>
      </c>
      <c r="D88" t="s">
        <v>606</v>
      </c>
      <c r="E88">
        <v>248459</v>
      </c>
      <c r="F88" t="s">
        <v>767</v>
      </c>
      <c r="G88">
        <v>44864</v>
      </c>
      <c r="H88">
        <v>12</v>
      </c>
      <c r="I88" t="s">
        <v>766</v>
      </c>
      <c r="J88" t="s">
        <v>768</v>
      </c>
      <c r="K88"/>
      <c r="L88" t="s">
        <v>769</v>
      </c>
      <c r="M88" t="s">
        <v>658</v>
      </c>
      <c r="N88" t="s">
        <v>659</v>
      </c>
      <c r="O88" t="s">
        <v>5</v>
      </c>
      <c r="P88"/>
      <c r="Q88"/>
      <c r="R88">
        <v>4.99</v>
      </c>
      <c r="S88">
        <v>0.99000000000000021</v>
      </c>
      <c r="T88">
        <v>-0.2</v>
      </c>
      <c r="U88" t="s">
        <v>6</v>
      </c>
      <c r="V88" t="s">
        <v>7</v>
      </c>
      <c r="W88" t="s">
        <v>743</v>
      </c>
      <c r="X88"/>
      <c r="Y88"/>
      <c r="Z88"/>
      <c r="AA88"/>
    </row>
    <row r="89" spans="1:27" s="116" customFormat="1" x14ac:dyDescent="0.35">
      <c r="A89">
        <v>37</v>
      </c>
      <c r="B89">
        <v>44821</v>
      </c>
      <c r="C89">
        <v>44822</v>
      </c>
      <c r="D89" t="s">
        <v>827</v>
      </c>
      <c r="E89">
        <v>991223</v>
      </c>
      <c r="F89" t="s">
        <v>829</v>
      </c>
      <c r="G89">
        <v>44864</v>
      </c>
      <c r="H89">
        <v>12</v>
      </c>
      <c r="I89" t="s">
        <v>766</v>
      </c>
      <c r="J89" t="s">
        <v>830</v>
      </c>
      <c r="K89"/>
      <c r="L89" t="s">
        <v>831</v>
      </c>
      <c r="M89" t="s">
        <v>653</v>
      </c>
      <c r="N89" t="s">
        <v>652</v>
      </c>
      <c r="O89" t="s">
        <v>8</v>
      </c>
      <c r="P89"/>
      <c r="Q89"/>
      <c r="R89">
        <v>12.99</v>
      </c>
      <c r="S89">
        <v>3.25</v>
      </c>
      <c r="T89">
        <v>-0.25</v>
      </c>
      <c r="U89" t="s">
        <v>6</v>
      </c>
      <c r="V89" t="s">
        <v>7</v>
      </c>
      <c r="W89" t="s">
        <v>743</v>
      </c>
      <c r="X89"/>
      <c r="Y89"/>
      <c r="Z89"/>
      <c r="AA89"/>
    </row>
    <row r="90" spans="1:27" s="116" customFormat="1" x14ac:dyDescent="0.35">
      <c r="A90">
        <v>37</v>
      </c>
      <c r="B90">
        <v>44821</v>
      </c>
      <c r="C90">
        <v>44822</v>
      </c>
      <c r="D90" t="s">
        <v>827</v>
      </c>
      <c r="E90">
        <v>991223</v>
      </c>
      <c r="F90" t="s">
        <v>829</v>
      </c>
      <c r="G90">
        <v>44864</v>
      </c>
      <c r="H90">
        <v>12</v>
      </c>
      <c r="I90" t="s">
        <v>766</v>
      </c>
      <c r="J90" t="s">
        <v>830</v>
      </c>
      <c r="K90"/>
      <c r="L90" t="s">
        <v>831</v>
      </c>
      <c r="M90" t="s">
        <v>654</v>
      </c>
      <c r="N90" t="s">
        <v>655</v>
      </c>
      <c r="O90" t="s">
        <v>9</v>
      </c>
      <c r="P90"/>
      <c r="Q90"/>
      <c r="R90">
        <v>12.99</v>
      </c>
      <c r="S90">
        <v>3.25</v>
      </c>
      <c r="T90">
        <v>-0.25</v>
      </c>
      <c r="U90" t="s">
        <v>6</v>
      </c>
      <c r="V90" t="s">
        <v>7</v>
      </c>
      <c r="W90" t="s">
        <v>743</v>
      </c>
      <c r="X90"/>
      <c r="Y90"/>
      <c r="Z90"/>
      <c r="AA90"/>
    </row>
    <row r="91" spans="1:27" s="116" customFormat="1" x14ac:dyDescent="0.35">
      <c r="A91">
        <v>37</v>
      </c>
      <c r="B91">
        <v>44821</v>
      </c>
      <c r="C91">
        <v>44822</v>
      </c>
      <c r="D91" t="s">
        <v>827</v>
      </c>
      <c r="E91">
        <v>991223</v>
      </c>
      <c r="F91" t="s">
        <v>829</v>
      </c>
      <c r="G91">
        <v>44864</v>
      </c>
      <c r="H91">
        <v>12</v>
      </c>
      <c r="I91" t="s">
        <v>766</v>
      </c>
      <c r="J91" t="s">
        <v>830</v>
      </c>
      <c r="K91"/>
      <c r="L91" t="s">
        <v>831</v>
      </c>
      <c r="M91" t="s">
        <v>832</v>
      </c>
      <c r="N91" t="s">
        <v>657</v>
      </c>
      <c r="O91" t="s">
        <v>9</v>
      </c>
      <c r="P91"/>
      <c r="Q91"/>
      <c r="R91">
        <v>12.99</v>
      </c>
      <c r="S91">
        <v>3.25</v>
      </c>
      <c r="T91">
        <v>-0.25</v>
      </c>
      <c r="U91" t="s">
        <v>6</v>
      </c>
      <c r="V91" t="s">
        <v>7</v>
      </c>
      <c r="W91" t="s">
        <v>743</v>
      </c>
      <c r="X91"/>
      <c r="Y91"/>
      <c r="Z91"/>
      <c r="AA91"/>
    </row>
    <row r="92" spans="1:27" s="116" customFormat="1" x14ac:dyDescent="0.35">
      <c r="A92">
        <v>37</v>
      </c>
      <c r="B92">
        <v>44821</v>
      </c>
      <c r="C92">
        <v>44822</v>
      </c>
      <c r="D92" t="s">
        <v>827</v>
      </c>
      <c r="E92">
        <v>991223</v>
      </c>
      <c r="F92" t="s">
        <v>829</v>
      </c>
      <c r="G92">
        <v>44864</v>
      </c>
      <c r="H92">
        <v>12</v>
      </c>
      <c r="I92" t="s">
        <v>766</v>
      </c>
      <c r="J92" t="s">
        <v>830</v>
      </c>
      <c r="K92"/>
      <c r="L92" t="s">
        <v>831</v>
      </c>
      <c r="M92" t="s">
        <v>641</v>
      </c>
      <c r="N92" t="s">
        <v>642</v>
      </c>
      <c r="O92" t="s">
        <v>5</v>
      </c>
      <c r="P92"/>
      <c r="Q92"/>
      <c r="R92">
        <v>12.99</v>
      </c>
      <c r="S92">
        <v>3.25</v>
      </c>
      <c r="T92">
        <v>-0.25</v>
      </c>
      <c r="U92" t="s">
        <v>6</v>
      </c>
      <c r="V92" t="s">
        <v>7</v>
      </c>
      <c r="W92" t="s">
        <v>743</v>
      </c>
      <c r="X92"/>
      <c r="Y92"/>
      <c r="Z92"/>
      <c r="AA92"/>
    </row>
    <row r="93" spans="1:27" s="116" customFormat="1" x14ac:dyDescent="0.35">
      <c r="A93">
        <v>37</v>
      </c>
      <c r="B93">
        <v>44821</v>
      </c>
      <c r="C93">
        <v>44822</v>
      </c>
      <c r="D93" t="s">
        <v>827</v>
      </c>
      <c r="E93">
        <v>991223</v>
      </c>
      <c r="F93" t="s">
        <v>829</v>
      </c>
      <c r="G93">
        <v>44864</v>
      </c>
      <c r="H93">
        <v>12</v>
      </c>
      <c r="I93" t="s">
        <v>766</v>
      </c>
      <c r="J93" t="s">
        <v>830</v>
      </c>
      <c r="K93"/>
      <c r="L93" t="s">
        <v>831</v>
      </c>
      <c r="M93" t="s">
        <v>643</v>
      </c>
      <c r="N93" t="s">
        <v>644</v>
      </c>
      <c r="O93" t="s">
        <v>5</v>
      </c>
      <c r="P93"/>
      <c r="Q93"/>
      <c r="R93">
        <v>12.99</v>
      </c>
      <c r="S93">
        <v>3.25</v>
      </c>
      <c r="T93">
        <v>-0.25</v>
      </c>
      <c r="U93" t="s">
        <v>6</v>
      </c>
      <c r="V93" t="s">
        <v>7</v>
      </c>
      <c r="W93" t="s">
        <v>743</v>
      </c>
      <c r="X93"/>
      <c r="Y93"/>
      <c r="Z93"/>
      <c r="AA93"/>
    </row>
    <row r="94" spans="1:27" s="116" customFormat="1" x14ac:dyDescent="0.35">
      <c r="A94">
        <v>37</v>
      </c>
      <c r="B94">
        <v>44821</v>
      </c>
      <c r="C94">
        <v>44822</v>
      </c>
      <c r="D94" t="s">
        <v>827</v>
      </c>
      <c r="E94">
        <v>991223</v>
      </c>
      <c r="F94" t="s">
        <v>829</v>
      </c>
      <c r="G94">
        <v>44864</v>
      </c>
      <c r="H94">
        <v>12</v>
      </c>
      <c r="I94" t="s">
        <v>766</v>
      </c>
      <c r="J94" t="s">
        <v>830</v>
      </c>
      <c r="K94"/>
      <c r="L94" t="s">
        <v>831</v>
      </c>
      <c r="M94" t="s">
        <v>658</v>
      </c>
      <c r="N94" t="s">
        <v>659</v>
      </c>
      <c r="O94" t="s">
        <v>5</v>
      </c>
      <c r="P94"/>
      <c r="Q94"/>
      <c r="R94">
        <v>12.99</v>
      </c>
      <c r="S94">
        <v>3.25</v>
      </c>
      <c r="T94">
        <v>-0.25</v>
      </c>
      <c r="U94" t="s">
        <v>6</v>
      </c>
      <c r="V94" t="s">
        <v>7</v>
      </c>
      <c r="W94" t="s">
        <v>743</v>
      </c>
      <c r="X94"/>
      <c r="Y94"/>
      <c r="Z94"/>
      <c r="AA94"/>
    </row>
    <row r="95" spans="1:27" s="116" customFormat="1" x14ac:dyDescent="0.35">
      <c r="A95">
        <v>37</v>
      </c>
      <c r="B95">
        <v>44821</v>
      </c>
      <c r="C95">
        <v>44822</v>
      </c>
      <c r="D95" t="s">
        <v>827</v>
      </c>
      <c r="E95">
        <v>991223</v>
      </c>
      <c r="F95" t="s">
        <v>829</v>
      </c>
      <c r="G95">
        <v>44864</v>
      </c>
      <c r="H95">
        <v>12</v>
      </c>
      <c r="I95" t="s">
        <v>766</v>
      </c>
      <c r="J95" t="s">
        <v>830</v>
      </c>
      <c r="K95"/>
      <c r="L95" t="s">
        <v>831</v>
      </c>
      <c r="M95" t="s">
        <v>645</v>
      </c>
      <c r="N95" t="s">
        <v>644</v>
      </c>
      <c r="O95" t="s">
        <v>8</v>
      </c>
      <c r="P95"/>
      <c r="Q95"/>
      <c r="R95">
        <v>12.99</v>
      </c>
      <c r="S95">
        <v>3.25</v>
      </c>
      <c r="T95">
        <v>-0.25</v>
      </c>
      <c r="U95" t="s">
        <v>6</v>
      </c>
      <c r="V95" t="s">
        <v>7</v>
      </c>
      <c r="W95" t="s">
        <v>743</v>
      </c>
      <c r="X95"/>
      <c r="Y95"/>
      <c r="Z95"/>
      <c r="AA95"/>
    </row>
    <row r="96" spans="1:27" s="116" customFormat="1" x14ac:dyDescent="0.35">
      <c r="A96">
        <v>37</v>
      </c>
      <c r="B96">
        <v>44821</v>
      </c>
      <c r="C96">
        <v>44822</v>
      </c>
      <c r="D96" t="s">
        <v>827</v>
      </c>
      <c r="E96">
        <v>991223</v>
      </c>
      <c r="F96" t="s">
        <v>829</v>
      </c>
      <c r="G96">
        <v>44864</v>
      </c>
      <c r="H96">
        <v>12</v>
      </c>
      <c r="I96" t="s">
        <v>766</v>
      </c>
      <c r="J96" t="s">
        <v>830</v>
      </c>
      <c r="K96"/>
      <c r="L96" t="s">
        <v>831</v>
      </c>
      <c r="M96" t="s">
        <v>646</v>
      </c>
      <c r="N96" t="s">
        <v>647</v>
      </c>
      <c r="O96" t="s">
        <v>5</v>
      </c>
      <c r="P96"/>
      <c r="Q96"/>
      <c r="R96">
        <v>12.99</v>
      </c>
      <c r="S96">
        <v>3.25</v>
      </c>
      <c r="T96">
        <v>-0.25</v>
      </c>
      <c r="U96" t="s">
        <v>6</v>
      </c>
      <c r="V96" t="s">
        <v>7</v>
      </c>
      <c r="W96" t="s">
        <v>743</v>
      </c>
      <c r="X96"/>
      <c r="Y96"/>
      <c r="Z96"/>
      <c r="AA96"/>
    </row>
    <row r="97" spans="1:27" s="116" customFormat="1" x14ac:dyDescent="0.35">
      <c r="A97">
        <v>37</v>
      </c>
      <c r="B97">
        <v>44821</v>
      </c>
      <c r="C97">
        <v>44822</v>
      </c>
      <c r="D97" t="s">
        <v>827</v>
      </c>
      <c r="E97">
        <v>991223</v>
      </c>
      <c r="F97" t="s">
        <v>829</v>
      </c>
      <c r="G97">
        <v>44864</v>
      </c>
      <c r="H97">
        <v>12</v>
      </c>
      <c r="I97" t="s">
        <v>766</v>
      </c>
      <c r="J97" t="s">
        <v>830</v>
      </c>
      <c r="K97"/>
      <c r="L97" t="s">
        <v>831</v>
      </c>
      <c r="M97" t="s">
        <v>833</v>
      </c>
      <c r="N97" t="s">
        <v>649</v>
      </c>
      <c r="O97" t="s">
        <v>8</v>
      </c>
      <c r="P97"/>
      <c r="Q97"/>
      <c r="R97">
        <v>12.99</v>
      </c>
      <c r="S97">
        <v>3.25</v>
      </c>
      <c r="T97">
        <v>-0.25</v>
      </c>
      <c r="U97" t="s">
        <v>6</v>
      </c>
      <c r="V97" t="s">
        <v>7</v>
      </c>
      <c r="W97" t="s">
        <v>743</v>
      </c>
      <c r="X97"/>
      <c r="Y97"/>
      <c r="Z97"/>
      <c r="AA97"/>
    </row>
    <row r="98" spans="1:27" s="116" customFormat="1" x14ac:dyDescent="0.35">
      <c r="A98">
        <v>37</v>
      </c>
      <c r="B98">
        <v>44821</v>
      </c>
      <c r="C98">
        <v>44822</v>
      </c>
      <c r="D98" t="s">
        <v>827</v>
      </c>
      <c r="E98">
        <v>991223</v>
      </c>
      <c r="F98" t="s">
        <v>829</v>
      </c>
      <c r="G98">
        <v>44864</v>
      </c>
      <c r="H98">
        <v>12</v>
      </c>
      <c r="I98" t="s">
        <v>766</v>
      </c>
      <c r="J98" t="s">
        <v>830</v>
      </c>
      <c r="K98"/>
      <c r="L98" t="s">
        <v>831</v>
      </c>
      <c r="M98" t="s">
        <v>648</v>
      </c>
      <c r="N98" t="s">
        <v>649</v>
      </c>
      <c r="O98" t="s">
        <v>5</v>
      </c>
      <c r="P98"/>
      <c r="Q98"/>
      <c r="R98">
        <v>12.99</v>
      </c>
      <c r="S98">
        <v>3.25</v>
      </c>
      <c r="T98">
        <v>-0.25</v>
      </c>
      <c r="U98" t="s">
        <v>6</v>
      </c>
      <c r="V98" t="s">
        <v>7</v>
      </c>
      <c r="W98" t="s">
        <v>743</v>
      </c>
      <c r="X98"/>
      <c r="Y98"/>
      <c r="Z98"/>
      <c r="AA98"/>
    </row>
    <row r="99" spans="1:27" s="116" customFormat="1" x14ac:dyDescent="0.35">
      <c r="A99">
        <v>37</v>
      </c>
      <c r="B99">
        <v>44821</v>
      </c>
      <c r="C99">
        <v>44822</v>
      </c>
      <c r="D99" t="s">
        <v>827</v>
      </c>
      <c r="E99">
        <v>991223</v>
      </c>
      <c r="F99" t="s">
        <v>829</v>
      </c>
      <c r="G99">
        <v>44864</v>
      </c>
      <c r="H99">
        <v>12</v>
      </c>
      <c r="I99" t="s">
        <v>766</v>
      </c>
      <c r="J99" t="s">
        <v>830</v>
      </c>
      <c r="K99"/>
      <c r="L99" t="s">
        <v>831</v>
      </c>
      <c r="M99" t="s">
        <v>651</v>
      </c>
      <c r="N99" t="s">
        <v>652</v>
      </c>
      <c r="O99" t="s">
        <v>9</v>
      </c>
      <c r="P99"/>
      <c r="Q99"/>
      <c r="R99">
        <v>12.99</v>
      </c>
      <c r="S99">
        <v>3.25</v>
      </c>
      <c r="T99">
        <v>-0.25</v>
      </c>
      <c r="U99" t="s">
        <v>6</v>
      </c>
      <c r="V99" t="s">
        <v>7</v>
      </c>
      <c r="W99" t="s">
        <v>743</v>
      </c>
      <c r="X99"/>
      <c r="Y99"/>
      <c r="Z99"/>
      <c r="AA99"/>
    </row>
    <row r="100" spans="1:27" s="116" customFormat="1" x14ac:dyDescent="0.35">
      <c r="A100">
        <v>37</v>
      </c>
      <c r="B100">
        <v>44821</v>
      </c>
      <c r="C100">
        <v>44822</v>
      </c>
      <c r="D100" t="s">
        <v>827</v>
      </c>
      <c r="E100">
        <v>991223</v>
      </c>
      <c r="F100" t="s">
        <v>829</v>
      </c>
      <c r="G100">
        <v>44864</v>
      </c>
      <c r="H100">
        <v>12</v>
      </c>
      <c r="I100" t="s">
        <v>766</v>
      </c>
      <c r="J100" t="s">
        <v>830</v>
      </c>
      <c r="K100"/>
      <c r="L100" t="s">
        <v>831</v>
      </c>
      <c r="M100" t="s">
        <v>653</v>
      </c>
      <c r="N100" t="s">
        <v>652</v>
      </c>
      <c r="O100" t="s">
        <v>8</v>
      </c>
      <c r="P100"/>
      <c r="Q100"/>
      <c r="R100">
        <v>12.99</v>
      </c>
      <c r="S100">
        <v>3.25</v>
      </c>
      <c r="T100">
        <v>-0.25</v>
      </c>
      <c r="U100" t="s">
        <v>6</v>
      </c>
      <c r="V100" t="s">
        <v>7</v>
      </c>
      <c r="W100" t="s">
        <v>743</v>
      </c>
      <c r="X100"/>
      <c r="Y100"/>
      <c r="Z100"/>
      <c r="AA100"/>
    </row>
    <row r="101" spans="1:27" s="116" customFormat="1" x14ac:dyDescent="0.35">
      <c r="A101">
        <v>37</v>
      </c>
      <c r="B101">
        <v>44821</v>
      </c>
      <c r="C101">
        <v>44822</v>
      </c>
      <c r="D101" t="s">
        <v>827</v>
      </c>
      <c r="E101">
        <v>991223</v>
      </c>
      <c r="F101" t="s">
        <v>829</v>
      </c>
      <c r="G101">
        <v>44864</v>
      </c>
      <c r="H101">
        <v>12</v>
      </c>
      <c r="I101" t="s">
        <v>766</v>
      </c>
      <c r="J101" t="s">
        <v>830</v>
      </c>
      <c r="K101"/>
      <c r="L101" t="s">
        <v>831</v>
      </c>
      <c r="M101" t="s">
        <v>654</v>
      </c>
      <c r="N101" t="s">
        <v>655</v>
      </c>
      <c r="O101" t="s">
        <v>9</v>
      </c>
      <c r="P101"/>
      <c r="Q101"/>
      <c r="R101">
        <v>12.99</v>
      </c>
      <c r="S101">
        <v>3.25</v>
      </c>
      <c r="T101">
        <v>-0.25</v>
      </c>
      <c r="U101" t="s">
        <v>6</v>
      </c>
      <c r="V101" t="s">
        <v>7</v>
      </c>
      <c r="W101" t="s">
        <v>743</v>
      </c>
      <c r="X101"/>
      <c r="Y101"/>
      <c r="Z101"/>
      <c r="AA101"/>
    </row>
    <row r="102" spans="1:27" s="116" customFormat="1" x14ac:dyDescent="0.35">
      <c r="A102">
        <v>37</v>
      </c>
      <c r="B102">
        <v>44821</v>
      </c>
      <c r="C102">
        <v>44822</v>
      </c>
      <c r="D102" t="s">
        <v>827</v>
      </c>
      <c r="E102">
        <v>991223</v>
      </c>
      <c r="F102" t="s">
        <v>829</v>
      </c>
      <c r="G102">
        <v>44864</v>
      </c>
      <c r="H102">
        <v>12</v>
      </c>
      <c r="I102" t="s">
        <v>766</v>
      </c>
      <c r="J102" t="s">
        <v>830</v>
      </c>
      <c r="K102"/>
      <c r="L102" t="s">
        <v>831</v>
      </c>
      <c r="M102" t="s">
        <v>832</v>
      </c>
      <c r="N102" t="s">
        <v>657</v>
      </c>
      <c r="O102" t="s">
        <v>9</v>
      </c>
      <c r="P102"/>
      <c r="Q102"/>
      <c r="R102">
        <v>12.99</v>
      </c>
      <c r="S102">
        <v>3.25</v>
      </c>
      <c r="T102">
        <v>-0.25</v>
      </c>
      <c r="U102" t="s">
        <v>6</v>
      </c>
      <c r="V102" t="s">
        <v>7</v>
      </c>
      <c r="W102" t="s">
        <v>743</v>
      </c>
      <c r="X102"/>
      <c r="Y102"/>
      <c r="Z102"/>
      <c r="AA102"/>
    </row>
    <row r="103" spans="1:27" s="116" customFormat="1" x14ac:dyDescent="0.35">
      <c r="A103">
        <v>37</v>
      </c>
      <c r="B103">
        <v>44821</v>
      </c>
      <c r="C103">
        <v>44822</v>
      </c>
      <c r="D103" t="s">
        <v>827</v>
      </c>
      <c r="E103">
        <v>991223</v>
      </c>
      <c r="F103" t="s">
        <v>829</v>
      </c>
      <c r="G103">
        <v>44864</v>
      </c>
      <c r="H103">
        <v>12</v>
      </c>
      <c r="I103" t="s">
        <v>766</v>
      </c>
      <c r="J103" t="s">
        <v>830</v>
      </c>
      <c r="K103"/>
      <c r="L103" t="s">
        <v>831</v>
      </c>
      <c r="M103" t="s">
        <v>641</v>
      </c>
      <c r="N103" t="s">
        <v>642</v>
      </c>
      <c r="O103" t="s">
        <v>5</v>
      </c>
      <c r="P103"/>
      <c r="Q103"/>
      <c r="R103">
        <v>12.99</v>
      </c>
      <c r="S103">
        <v>3.25</v>
      </c>
      <c r="T103">
        <v>-0.25</v>
      </c>
      <c r="U103" t="s">
        <v>6</v>
      </c>
      <c r="V103" t="s">
        <v>7</v>
      </c>
      <c r="W103" t="s">
        <v>743</v>
      </c>
      <c r="X103"/>
      <c r="Y103"/>
      <c r="Z103"/>
      <c r="AA103"/>
    </row>
    <row r="104" spans="1:27" s="116" customForma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s="116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</sheetData>
  <autoFilter ref="A3:AA108" xr:uid="{00000000-0001-0000-0500-000000000000}"/>
  <phoneticPr fontId="2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92D05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C22" sqref="C22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139</v>
      </c>
      <c r="C1" s="1"/>
      <c r="I1" s="2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0.66</v>
      </c>
      <c r="E5" s="153">
        <v>0.45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3.29</v>
      </c>
      <c r="E6" s="153">
        <v>2.29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3.29</v>
      </c>
      <c r="E7" s="153">
        <v>1.69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4.09</v>
      </c>
      <c r="E9" s="153">
        <v>2.99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20" x14ac:dyDescent="0.4">
      <c r="A11" s="151">
        <v>248459</v>
      </c>
      <c r="B11" s="151" t="s">
        <v>767</v>
      </c>
      <c r="C11" s="151"/>
      <c r="D11" s="153"/>
      <c r="E11" s="153">
        <v>4.99</v>
      </c>
      <c r="F11" s="151"/>
      <c r="G11" s="151" t="s">
        <v>6</v>
      </c>
      <c r="H11" s="151" t="s">
        <v>7</v>
      </c>
      <c r="I11" s="152">
        <v>44824</v>
      </c>
      <c r="J11" s="151" t="s">
        <v>768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3.49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2.79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2.89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2.79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3.79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3.79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3.79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3.49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4.79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995000</v>
      </c>
      <c r="B28" s="13" t="s">
        <v>83</v>
      </c>
      <c r="C28" s="13" t="s">
        <v>462</v>
      </c>
      <c r="D28" s="73"/>
      <c r="E28" s="73">
        <v>2.99</v>
      </c>
      <c r="F28" s="13" t="s">
        <v>40</v>
      </c>
      <c r="G28" s="13"/>
      <c r="H28" s="13"/>
      <c r="I28" s="13"/>
      <c r="J28" s="13"/>
      <c r="K28" s="13"/>
    </row>
    <row r="29" spans="1:11" ht="20" x14ac:dyDescent="0.4">
      <c r="A29" s="13">
        <v>995005</v>
      </c>
      <c r="B29" s="13" t="s">
        <v>56</v>
      </c>
      <c r="C29" s="13" t="s">
        <v>462</v>
      </c>
      <c r="D29" s="73"/>
      <c r="E29" s="73">
        <v>1.89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995210</v>
      </c>
      <c r="B30" s="13" t="s">
        <v>783</v>
      </c>
      <c r="C30" s="13" t="s">
        <v>462</v>
      </c>
      <c r="D30" s="73"/>
      <c r="E30" s="73">
        <v>3.09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3.79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4.99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3.79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3.79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3.79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995108</v>
      </c>
      <c r="B36" s="13" t="s">
        <v>714</v>
      </c>
      <c r="C36" s="13"/>
      <c r="D36" s="73"/>
      <c r="E36" s="73">
        <v>3.79</v>
      </c>
      <c r="F36" s="13" t="s">
        <v>40</v>
      </c>
      <c r="G36" s="13"/>
      <c r="H36" s="13"/>
      <c r="I36" s="13"/>
      <c r="J36" s="13"/>
      <c r="K36" s="13"/>
    </row>
    <row r="37" spans="1:11" ht="20" x14ac:dyDescent="0.4">
      <c r="A37" s="13">
        <v>995111</v>
      </c>
      <c r="B37" s="13" t="s">
        <v>772</v>
      </c>
      <c r="C37" s="13" t="s">
        <v>462</v>
      </c>
      <c r="D37" s="73"/>
      <c r="E37" s="73">
        <v>3.79</v>
      </c>
      <c r="F37" s="13" t="s">
        <v>40</v>
      </c>
      <c r="G37" s="13"/>
      <c r="H37" s="13"/>
      <c r="I37" s="13"/>
      <c r="J37" s="13"/>
      <c r="K37" s="13"/>
    </row>
    <row r="38" spans="1:11" ht="20" x14ac:dyDescent="0.4">
      <c r="A38" s="13">
        <v>995015</v>
      </c>
      <c r="B38" s="13" t="s">
        <v>711</v>
      </c>
      <c r="C38" s="13"/>
      <c r="D38" s="73"/>
      <c r="E38" s="73">
        <v>3.79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3.79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3.49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3.49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5.79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4.79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2.69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2.19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3.79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3">
        <v>995018</v>
      </c>
      <c r="B47" s="13" t="s">
        <v>450</v>
      </c>
      <c r="C47" s="13" t="s">
        <v>462</v>
      </c>
      <c r="D47" s="73"/>
      <c r="E47" s="73">
        <v>5.79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3.79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5.79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3.79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4.99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4.99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3.49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3.49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3.19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995027</v>
      </c>
      <c r="B56" s="13" t="s">
        <v>426</v>
      </c>
      <c r="C56" s="13" t="s">
        <v>462</v>
      </c>
      <c r="D56" s="73"/>
      <c r="E56" s="73">
        <v>4.99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2.89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2.29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3.79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5.79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5.79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3.29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4.49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1.79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2.99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2.99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2.4900000000000002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470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2.4900000000000002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1.99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4.79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5.39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4.79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0.99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0.99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2.99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3.29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6.69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2.99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3.99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995085</v>
      </c>
      <c r="B88" s="13" t="s">
        <v>49</v>
      </c>
      <c r="C88" s="13" t="s">
        <v>462</v>
      </c>
      <c r="D88" s="73"/>
      <c r="E88" s="73">
        <v>3.29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3.49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2.99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3.29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4.29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3.69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3.69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1.89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2.59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2.99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6.19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3.29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3.79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2.4900000000000002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2.69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2.29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2.39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2.79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2.89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3.49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4.17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3.59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4.29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5.33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6.29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5.29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4.99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4.99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3.29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5.39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3.99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5.59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4.99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5.99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3.49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3.79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6.49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3.49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5.48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2.29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5.98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2.29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5.98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2.29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3.49</v>
      </c>
      <c r="E149" s="118">
        <v>4.99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5.49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4.99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4.99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3.99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0.5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20" x14ac:dyDescent="0.4">
      <c r="A157" s="13">
        <v>983101</v>
      </c>
      <c r="B157" s="13" t="s">
        <v>618</v>
      </c>
      <c r="C157" s="13"/>
      <c r="D157" s="73"/>
      <c r="E157" s="73">
        <v>3.19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4.29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4.99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4.49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3.29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4.28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4.28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3.29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4.8899999999999997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1.99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2.99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3.88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1.99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2.39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1.29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5.49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4.99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 t="s">
        <v>479</v>
      </c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4.6900000000000004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4.29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470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0.5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470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2.99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983531</v>
      </c>
      <c r="B189" s="13" t="s">
        <v>429</v>
      </c>
      <c r="C189" s="13"/>
      <c r="D189" s="73"/>
      <c r="E189" s="73">
        <v>1.39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983610</v>
      </c>
      <c r="B190" s="13" t="s">
        <v>431</v>
      </c>
      <c r="C190" s="13"/>
      <c r="D190" s="73"/>
      <c r="E190" s="73">
        <v>1.29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983651</v>
      </c>
      <c r="B191" s="13" t="s">
        <v>694</v>
      </c>
      <c r="C191" s="13"/>
      <c r="D191" s="73"/>
      <c r="E191" s="73">
        <v>0.99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983672</v>
      </c>
      <c r="B192" s="13" t="s">
        <v>726</v>
      </c>
      <c r="C192" s="13"/>
      <c r="D192" s="73"/>
      <c r="E192" s="73">
        <v>4.78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983721</v>
      </c>
      <c r="B193" s="13" t="s">
        <v>469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983725</v>
      </c>
      <c r="B194" s="13" t="s">
        <v>698</v>
      </c>
      <c r="C194" s="13"/>
      <c r="D194" s="73"/>
      <c r="E194" s="73">
        <v>2.99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983763</v>
      </c>
      <c r="B195" s="13" t="s">
        <v>467</v>
      </c>
      <c r="C195" s="13"/>
      <c r="D195" s="73"/>
      <c r="E195" s="73">
        <v>2.2799999999999998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984005</v>
      </c>
      <c r="B196" s="13" t="s">
        <v>755</v>
      </c>
      <c r="C196" s="13"/>
      <c r="D196" s="73"/>
      <c r="E196" s="73">
        <v>2.99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984032</v>
      </c>
      <c r="B197" s="13" t="s">
        <v>94</v>
      </c>
      <c r="C197" s="13"/>
      <c r="D197" s="73"/>
      <c r="E197" s="73">
        <v>1.47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984050</v>
      </c>
      <c r="B198" s="13" t="s">
        <v>95</v>
      </c>
      <c r="C198" s="13"/>
      <c r="D198" s="73"/>
      <c r="E198" s="73">
        <v>1.1299999999999999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984071</v>
      </c>
      <c r="B199" s="13" t="s">
        <v>756</v>
      </c>
      <c r="C199" s="13"/>
      <c r="D199" s="73"/>
      <c r="E199" s="73">
        <v>5.99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984161</v>
      </c>
      <c r="B200" s="13" t="s">
        <v>716</v>
      </c>
      <c r="C200" s="13"/>
      <c r="D200" s="73"/>
      <c r="E200" s="73">
        <v>2.48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984910</v>
      </c>
      <c r="B201" s="13" t="s">
        <v>616</v>
      </c>
      <c r="C201" s="13"/>
      <c r="D201" s="73"/>
      <c r="E201" s="73">
        <v>6.29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984911</v>
      </c>
      <c r="B202" s="13" t="s">
        <v>672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984912</v>
      </c>
      <c r="B203" s="13" t="s">
        <v>673</v>
      </c>
      <c r="C203" s="13"/>
      <c r="D203" s="73"/>
      <c r="E203" s="73">
        <v>5.99</v>
      </c>
      <c r="F203" s="13" t="s">
        <v>676</v>
      </c>
      <c r="G203" s="13"/>
      <c r="H203" s="13"/>
      <c r="I203" s="13"/>
      <c r="J203" s="13"/>
      <c r="K203" s="13"/>
    </row>
    <row r="204" spans="1:11" ht="20" x14ac:dyDescent="0.4">
      <c r="A204" s="13">
        <v>985601</v>
      </c>
      <c r="B204" s="13" t="s">
        <v>432</v>
      </c>
      <c r="C204" s="13"/>
      <c r="D204" s="73"/>
      <c r="E204" s="73">
        <v>0.83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985612</v>
      </c>
      <c r="B205" s="13" t="s">
        <v>101</v>
      </c>
      <c r="C205" s="13"/>
      <c r="D205" s="73"/>
      <c r="E205" s="73">
        <v>2.4900000000000002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985613</v>
      </c>
      <c r="B206" s="13" t="s">
        <v>612</v>
      </c>
      <c r="C206" s="13"/>
      <c r="D206" s="73"/>
      <c r="E206" s="73">
        <v>2.99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985614</v>
      </c>
      <c r="B207" s="13" t="s">
        <v>709</v>
      </c>
      <c r="C207" s="13"/>
      <c r="D207" s="73"/>
      <c r="E207" s="73">
        <v>4.29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985630</v>
      </c>
      <c r="B208" s="13" t="s">
        <v>457</v>
      </c>
      <c r="C208" s="13"/>
      <c r="D208" s="73"/>
      <c r="E208" s="73">
        <v>2.46</v>
      </c>
      <c r="F208" s="13" t="s">
        <v>677</v>
      </c>
      <c r="G208" s="13"/>
      <c r="H208" s="13"/>
      <c r="I208" s="13"/>
      <c r="J208" s="13"/>
      <c r="K208" s="13"/>
    </row>
    <row r="209" spans="1:11" ht="20" x14ac:dyDescent="0.4">
      <c r="A209" s="13">
        <v>985701</v>
      </c>
      <c r="B209" s="13" t="s">
        <v>468</v>
      </c>
      <c r="C209" s="13"/>
      <c r="D209" s="73"/>
      <c r="E209" s="73">
        <v>1.69</v>
      </c>
      <c r="F209" s="13" t="s">
        <v>678</v>
      </c>
      <c r="G209" s="13"/>
      <c r="H209" s="13"/>
      <c r="I209" s="13"/>
      <c r="J209" s="13"/>
      <c r="K209" s="13"/>
    </row>
    <row r="210" spans="1:11" ht="20" x14ac:dyDescent="0.4">
      <c r="A210" s="13">
        <v>985702</v>
      </c>
      <c r="B210" s="13" t="s">
        <v>733</v>
      </c>
      <c r="C210" s="13"/>
      <c r="D210" s="73"/>
      <c r="E210" s="73">
        <v>2.29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987560</v>
      </c>
      <c r="B211" s="13" t="s">
        <v>102</v>
      </c>
      <c r="C211" s="13"/>
      <c r="D211" s="73"/>
      <c r="E211" s="73">
        <v>1.89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987900</v>
      </c>
      <c r="B212" s="13" t="s">
        <v>455</v>
      </c>
      <c r="C212" s="13"/>
      <c r="D212" s="73"/>
      <c r="E212" s="73">
        <v>1.69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988490</v>
      </c>
      <c r="B213" s="13" t="s">
        <v>460</v>
      </c>
      <c r="C213" s="13"/>
      <c r="D213" s="73"/>
      <c r="E213" s="73">
        <v>0.89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988571</v>
      </c>
      <c r="B214" s="13" t="s">
        <v>441</v>
      </c>
      <c r="C214" s="13"/>
      <c r="D214" s="73"/>
      <c r="E214" s="73">
        <v>2.79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988620</v>
      </c>
      <c r="B215" s="13" t="s">
        <v>103</v>
      </c>
      <c r="C215" s="13"/>
      <c r="D215" s="73"/>
      <c r="E215" s="73">
        <v>2.89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988650</v>
      </c>
      <c r="B216" s="13" t="s">
        <v>592</v>
      </c>
      <c r="C216" s="13"/>
      <c r="D216" s="73"/>
      <c r="E216" s="73">
        <v>1.29</v>
      </c>
      <c r="F216" s="13" t="s">
        <v>678</v>
      </c>
      <c r="G216" s="13"/>
      <c r="H216" s="13"/>
      <c r="I216" s="13"/>
      <c r="J216" s="13"/>
      <c r="K216" s="13"/>
    </row>
    <row r="217" spans="1:11" ht="40" x14ac:dyDescent="0.4">
      <c r="A217" s="117">
        <v>987590</v>
      </c>
      <c r="B217" s="117" t="s">
        <v>104</v>
      </c>
      <c r="C217" s="117"/>
      <c r="D217" s="118">
        <v>1.99</v>
      </c>
      <c r="E217" s="118">
        <v>1.6</v>
      </c>
      <c r="F217" s="117" t="s">
        <v>679</v>
      </c>
      <c r="G217" s="117" t="s">
        <v>6</v>
      </c>
      <c r="H217" s="117" t="s">
        <v>41</v>
      </c>
      <c r="I217" s="147">
        <v>44821</v>
      </c>
      <c r="J217" s="117"/>
      <c r="K217" s="13"/>
    </row>
    <row r="218" spans="1:11" ht="20" x14ac:dyDescent="0.4">
      <c r="A218" s="13">
        <v>987593</v>
      </c>
      <c r="B218" s="13" t="s">
        <v>725</v>
      </c>
      <c r="C218" s="13" t="s">
        <v>462</v>
      </c>
      <c r="D218" s="73"/>
      <c r="E218" s="73">
        <v>2.69</v>
      </c>
      <c r="F218" s="13" t="s">
        <v>679</v>
      </c>
      <c r="G218" s="13"/>
      <c r="H218" s="13"/>
      <c r="I218" s="13"/>
      <c r="J218" s="13"/>
      <c r="K218" s="13"/>
    </row>
    <row r="219" spans="1:11" ht="20" x14ac:dyDescent="0.4">
      <c r="A219" s="13">
        <v>985650</v>
      </c>
      <c r="B219" s="13" t="s">
        <v>440</v>
      </c>
      <c r="C219" s="13"/>
      <c r="D219" s="73"/>
      <c r="E219" s="73">
        <v>1.69</v>
      </c>
      <c r="F219" s="13" t="s">
        <v>680</v>
      </c>
      <c r="G219" s="13"/>
      <c r="H219" s="13"/>
      <c r="I219" s="13"/>
      <c r="J219" s="13"/>
      <c r="K219" s="13"/>
    </row>
    <row r="220" spans="1:11" ht="20" x14ac:dyDescent="0.4">
      <c r="A220" s="117">
        <v>986090</v>
      </c>
      <c r="B220" s="117" t="s">
        <v>835</v>
      </c>
      <c r="C220" s="117"/>
      <c r="D220" s="118"/>
      <c r="E220" s="118">
        <v>3.79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986120</v>
      </c>
      <c r="B221" s="117" t="s">
        <v>836</v>
      </c>
      <c r="C221" s="117"/>
      <c r="D221" s="118"/>
      <c r="E221" s="118">
        <v>3.79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986140</v>
      </c>
      <c r="B222" s="117" t="s">
        <v>837</v>
      </c>
      <c r="C222" s="117"/>
      <c r="D222" s="118"/>
      <c r="E222" s="118">
        <v>2.98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17">
        <v>986211</v>
      </c>
      <c r="B223" s="117" t="s">
        <v>838</v>
      </c>
      <c r="C223" s="117"/>
      <c r="D223" s="118"/>
      <c r="E223" s="118">
        <v>3.79</v>
      </c>
      <c r="F223" s="117" t="s">
        <v>680</v>
      </c>
      <c r="G223" s="117" t="s">
        <v>16</v>
      </c>
      <c r="H223" s="117" t="s">
        <v>473</v>
      </c>
      <c r="I223" s="117"/>
      <c r="J223" s="117" t="s">
        <v>834</v>
      </c>
      <c r="K223" s="13"/>
    </row>
    <row r="224" spans="1:11" ht="20" x14ac:dyDescent="0.4">
      <c r="A224" s="13">
        <v>987730</v>
      </c>
      <c r="B224" s="13" t="s">
        <v>610</v>
      </c>
      <c r="C224" s="13"/>
      <c r="D224" s="73"/>
      <c r="E224" s="73">
        <v>1.29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987760</v>
      </c>
      <c r="B225" s="13" t="s">
        <v>581</v>
      </c>
      <c r="C225" s="13"/>
      <c r="D225" s="73"/>
      <c r="E225" s="73">
        <v>1.29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987790</v>
      </c>
      <c r="B226" s="13" t="s">
        <v>466</v>
      </c>
      <c r="C226" s="13"/>
      <c r="D226" s="73"/>
      <c r="E226" s="73">
        <v>1.69</v>
      </c>
      <c r="F226" s="13" t="s">
        <v>680</v>
      </c>
      <c r="G226" s="13"/>
      <c r="H226" s="13"/>
      <c r="I226" s="13"/>
      <c r="J226" s="13"/>
      <c r="K226" s="13"/>
    </row>
    <row r="227" spans="1:11" ht="40" x14ac:dyDescent="0.4">
      <c r="A227" s="13">
        <v>986400</v>
      </c>
      <c r="B227" s="13" t="s">
        <v>588</v>
      </c>
      <c r="C227" s="13"/>
      <c r="D227" s="73">
        <v>1.98</v>
      </c>
      <c r="E227" s="73">
        <v>1.59</v>
      </c>
      <c r="F227" s="13" t="s">
        <v>681</v>
      </c>
      <c r="G227" s="13"/>
      <c r="H227" s="13" t="s">
        <v>41</v>
      </c>
      <c r="I227" s="13"/>
      <c r="J227" s="13"/>
      <c r="K227" s="13"/>
    </row>
    <row r="228" spans="1:11" ht="20" x14ac:dyDescent="0.4">
      <c r="A228" s="13">
        <v>986405</v>
      </c>
      <c r="B228" s="13" t="s">
        <v>710</v>
      </c>
      <c r="C228" s="13"/>
      <c r="D228" s="73"/>
      <c r="E228" s="73">
        <v>4.99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986480</v>
      </c>
      <c r="B229" s="13" t="s">
        <v>572</v>
      </c>
      <c r="C229" s="13"/>
      <c r="D229" s="73"/>
      <c r="E229" s="73">
        <v>3.19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986650</v>
      </c>
      <c r="B230" s="13" t="s">
        <v>106</v>
      </c>
      <c r="C230" s="13"/>
      <c r="D230" s="73"/>
      <c r="E230" s="73">
        <v>1.49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986678</v>
      </c>
      <c r="B231" s="13" t="s">
        <v>585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986730</v>
      </c>
      <c r="B232" s="13" t="s">
        <v>107</v>
      </c>
      <c r="C232" s="13"/>
      <c r="D232" s="73"/>
      <c r="E232" s="73">
        <v>2.79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986785</v>
      </c>
      <c r="B233" s="13" t="s">
        <v>99</v>
      </c>
      <c r="C233" s="13"/>
      <c r="D233" s="73"/>
      <c r="E233" s="73">
        <v>3.49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986810</v>
      </c>
      <c r="B234" s="13" t="s">
        <v>108</v>
      </c>
      <c r="C234" s="13"/>
      <c r="D234" s="73"/>
      <c r="E234" s="73">
        <v>4.1900000000000004</v>
      </c>
      <c r="F234" s="13" t="s">
        <v>681</v>
      </c>
      <c r="G234" s="13"/>
      <c r="H234" s="13"/>
      <c r="I234" s="13"/>
      <c r="J234" s="13"/>
      <c r="K234" s="13"/>
    </row>
    <row r="235" spans="1:11" ht="20" x14ac:dyDescent="0.4">
      <c r="A235" s="13">
        <v>986811</v>
      </c>
      <c r="B235" s="13" t="s">
        <v>731</v>
      </c>
      <c r="C235" s="13"/>
      <c r="D235" s="73"/>
      <c r="E235" s="73">
        <v>2.99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986890</v>
      </c>
      <c r="B236" s="13" t="s">
        <v>109</v>
      </c>
      <c r="C236" s="13"/>
      <c r="D236" s="73"/>
      <c r="E236" s="73">
        <v>3.59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986915</v>
      </c>
      <c r="B237" s="13" t="s">
        <v>110</v>
      </c>
      <c r="C237" s="13"/>
      <c r="D237" s="73"/>
      <c r="E237" s="73">
        <v>3.19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986974</v>
      </c>
      <c r="B238" s="13" t="s">
        <v>578</v>
      </c>
      <c r="C238" s="13"/>
      <c r="D238" s="73"/>
      <c r="E238" s="73">
        <v>3.29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986975</v>
      </c>
      <c r="B239" s="13" t="s">
        <v>112</v>
      </c>
      <c r="C239" s="13"/>
      <c r="D239" s="73"/>
      <c r="E239" s="73">
        <v>6.49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987060</v>
      </c>
      <c r="B240" s="13" t="s">
        <v>614</v>
      </c>
      <c r="C240" s="13"/>
      <c r="D240" s="73"/>
      <c r="E240" s="73">
        <v>1.88</v>
      </c>
      <c r="F240" s="13" t="s">
        <v>681</v>
      </c>
      <c r="G240" s="13"/>
      <c r="H240" s="13" t="s">
        <v>479</v>
      </c>
      <c r="I240" s="13"/>
      <c r="J240" s="13"/>
      <c r="K240" s="13"/>
    </row>
    <row r="241" spans="1:11" ht="20" x14ac:dyDescent="0.4">
      <c r="A241" s="13">
        <v>983451</v>
      </c>
      <c r="B241" s="13" t="s">
        <v>452</v>
      </c>
      <c r="C241" s="13"/>
      <c r="D241" s="73"/>
      <c r="E241" s="73">
        <v>1.29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983470</v>
      </c>
      <c r="B242" s="13" t="s">
        <v>713</v>
      </c>
      <c r="C242" s="13"/>
      <c r="D242" s="73"/>
      <c r="E242" s="73">
        <v>4.49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983501</v>
      </c>
      <c r="B243" s="13" t="s">
        <v>98</v>
      </c>
      <c r="C243" s="13"/>
      <c r="D243" s="73"/>
      <c r="E243" s="73">
        <v>5.99</v>
      </c>
      <c r="F243" s="13" t="s">
        <v>682</v>
      </c>
      <c r="G243" s="13"/>
      <c r="H243" s="13"/>
      <c r="I243" s="13"/>
      <c r="J243" s="13"/>
      <c r="K243" s="13"/>
    </row>
    <row r="244" spans="1:11" ht="20" x14ac:dyDescent="0.4">
      <c r="A244" s="13">
        <v>987110</v>
      </c>
      <c r="B244" s="13" t="s">
        <v>113</v>
      </c>
      <c r="C244" s="13"/>
      <c r="D244" s="73"/>
      <c r="E244" s="73">
        <v>3.19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987211</v>
      </c>
      <c r="B245" s="13" t="s">
        <v>23</v>
      </c>
      <c r="C245" s="13"/>
      <c r="D245" s="73"/>
      <c r="E245" s="73">
        <v>2.69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17">
        <v>987260</v>
      </c>
      <c r="B246" s="117" t="s">
        <v>114</v>
      </c>
      <c r="C246" s="117"/>
      <c r="D246" s="118">
        <v>2.39</v>
      </c>
      <c r="E246" s="118">
        <v>3.99</v>
      </c>
      <c r="F246" s="117" t="s">
        <v>683</v>
      </c>
      <c r="G246" s="117" t="s">
        <v>51</v>
      </c>
      <c r="H246" s="117" t="s">
        <v>52</v>
      </c>
      <c r="I246" s="117"/>
      <c r="J246" s="117"/>
      <c r="K246" s="13"/>
    </row>
    <row r="247" spans="1:11" ht="20" x14ac:dyDescent="0.4">
      <c r="A247" s="13">
        <v>987261</v>
      </c>
      <c r="B247" s="13" t="s">
        <v>115</v>
      </c>
      <c r="C247" s="13"/>
      <c r="D247" s="73"/>
      <c r="E247" s="73">
        <v>3.79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987268</v>
      </c>
      <c r="B248" s="13" t="s">
        <v>574</v>
      </c>
      <c r="C248" s="13"/>
      <c r="D248" s="73"/>
      <c r="E248" s="73">
        <v>1.99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987290</v>
      </c>
      <c r="B249" s="13" t="s">
        <v>100</v>
      </c>
      <c r="C249" s="13"/>
      <c r="D249" s="73"/>
      <c r="E249" s="73">
        <v>3.89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987310</v>
      </c>
      <c r="B250" s="13" t="s">
        <v>116</v>
      </c>
      <c r="C250" s="13"/>
      <c r="D250" s="73"/>
      <c r="E250" s="73">
        <v>3.29</v>
      </c>
      <c r="F250" s="13" t="s">
        <v>683</v>
      </c>
      <c r="G250" s="13"/>
      <c r="H250" s="13"/>
      <c r="I250" s="13"/>
      <c r="J250" s="13"/>
      <c r="K250" s="13"/>
    </row>
    <row r="251" spans="1:11" ht="20" x14ac:dyDescent="0.4">
      <c r="A251" s="13">
        <v>987345</v>
      </c>
      <c r="B251" s="13" t="s">
        <v>669</v>
      </c>
      <c r="C251" s="13"/>
      <c r="D251" s="73"/>
      <c r="E251" s="73">
        <v>3.46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987360</v>
      </c>
      <c r="B252" s="13" t="s">
        <v>595</v>
      </c>
      <c r="C252" s="13"/>
      <c r="D252" s="73"/>
      <c r="E252" s="73">
        <v>0.99</v>
      </c>
      <c r="F252" s="13" t="s">
        <v>683</v>
      </c>
      <c r="G252" s="13"/>
      <c r="H252" s="13"/>
      <c r="I252" s="13"/>
      <c r="J252" s="13"/>
      <c r="K252" s="13"/>
    </row>
    <row r="253" spans="1:11" ht="20" x14ac:dyDescent="0.4">
      <c r="A253" s="13">
        <v>987361</v>
      </c>
      <c r="B253" s="13" t="s">
        <v>746</v>
      </c>
      <c r="C253" s="13"/>
      <c r="D253" s="73"/>
      <c r="E253" s="73">
        <v>4.99</v>
      </c>
      <c r="F253" s="13" t="s">
        <v>683</v>
      </c>
      <c r="G253" s="13"/>
      <c r="H253" s="13"/>
      <c r="I253" s="13"/>
      <c r="J253" s="13"/>
      <c r="K253" s="13"/>
    </row>
    <row r="254" spans="1:11" ht="20" x14ac:dyDescent="0.4">
      <c r="A254" s="13">
        <v>995186</v>
      </c>
      <c r="B254" s="13" t="s">
        <v>689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995188</v>
      </c>
      <c r="B255" s="13" t="s">
        <v>697</v>
      </c>
      <c r="C255" s="13" t="s">
        <v>462</v>
      </c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995202</v>
      </c>
      <c r="B256" s="13" t="s">
        <v>736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995203</v>
      </c>
      <c r="B257" s="13" t="s">
        <v>737</v>
      </c>
      <c r="C257" s="13"/>
      <c r="D257" s="73"/>
      <c r="E257" s="73">
        <v>2.99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995206</v>
      </c>
      <c r="B258" s="13" t="s">
        <v>738</v>
      </c>
      <c r="C258" s="13"/>
      <c r="D258" s="73"/>
      <c r="E258" s="73">
        <v>3.99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995208</v>
      </c>
      <c r="B259" s="13" t="s">
        <v>752</v>
      </c>
      <c r="C259" s="13" t="s">
        <v>462</v>
      </c>
      <c r="D259" s="73"/>
      <c r="E259" s="73">
        <v>3.27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995209</v>
      </c>
      <c r="B260" s="13" t="s">
        <v>753</v>
      </c>
      <c r="C260" s="13" t="s">
        <v>462</v>
      </c>
      <c r="D260" s="73"/>
      <c r="E260" s="73">
        <v>3.27</v>
      </c>
      <c r="F260" s="13" t="s">
        <v>740</v>
      </c>
      <c r="G260" s="13"/>
      <c r="H260" s="13"/>
      <c r="I260" s="13"/>
      <c r="J260" s="13"/>
      <c r="K260" s="13"/>
    </row>
    <row r="261" spans="1:11" ht="20" x14ac:dyDescent="0.4">
      <c r="A261" s="13">
        <v>985950</v>
      </c>
      <c r="B261" s="13" t="s">
        <v>117</v>
      </c>
      <c r="C261" s="13"/>
      <c r="D261" s="73"/>
      <c r="E261" s="73">
        <v>1.65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985990</v>
      </c>
      <c r="B262" s="13" t="s">
        <v>461</v>
      </c>
      <c r="C262" s="13"/>
      <c r="D262" s="73"/>
      <c r="E262" s="73">
        <v>2.99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989461</v>
      </c>
      <c r="B263" s="13" t="s">
        <v>119</v>
      </c>
      <c r="C263" s="13"/>
      <c r="D263" s="73"/>
      <c r="E263" s="73">
        <v>3.49</v>
      </c>
      <c r="F263" s="13" t="s">
        <v>684</v>
      </c>
      <c r="G263" s="13"/>
      <c r="H263" s="13"/>
      <c r="I263" s="13"/>
      <c r="J263" s="13"/>
      <c r="K263" s="13"/>
    </row>
    <row r="264" spans="1:11" ht="20" x14ac:dyDescent="0.4">
      <c r="A264" s="13">
        <v>989260</v>
      </c>
      <c r="B264" s="13" t="s">
        <v>120</v>
      </c>
      <c r="C264" s="13"/>
      <c r="D264" s="73"/>
      <c r="E264" s="73">
        <v>4.38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989280</v>
      </c>
      <c r="B265" s="13" t="s">
        <v>590</v>
      </c>
      <c r="C265" s="13"/>
      <c r="D265" s="73"/>
      <c r="E265" s="73">
        <v>3.49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989301</v>
      </c>
      <c r="B266" s="13" t="s">
        <v>786</v>
      </c>
      <c r="C266" s="13"/>
      <c r="D266" s="73"/>
      <c r="E266" s="73">
        <v>4.28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989330</v>
      </c>
      <c r="B267" s="13" t="s">
        <v>787</v>
      </c>
      <c r="C267" s="13"/>
      <c r="D267" s="73"/>
      <c r="E267" s="73">
        <v>3.49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989360</v>
      </c>
      <c r="B268" s="13" t="s">
        <v>121</v>
      </c>
      <c r="C268" s="13"/>
      <c r="D268" s="73"/>
      <c r="E268" s="73">
        <v>3.19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989489</v>
      </c>
      <c r="B269" s="13" t="s">
        <v>620</v>
      </c>
      <c r="C269" s="13"/>
      <c r="D269" s="73"/>
      <c r="E269" s="73">
        <v>1.69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989560</v>
      </c>
      <c r="B270" s="13" t="s">
        <v>122</v>
      </c>
      <c r="C270" s="13"/>
      <c r="D270" s="73"/>
      <c r="E270" s="73">
        <v>4.67</v>
      </c>
      <c r="F270" s="13" t="s">
        <v>685</v>
      </c>
      <c r="G270" s="13"/>
      <c r="H270" s="13"/>
      <c r="I270" s="13"/>
      <c r="J270" s="13"/>
      <c r="K270" s="13"/>
    </row>
    <row r="271" spans="1:11" ht="20" x14ac:dyDescent="0.4">
      <c r="A271" s="13">
        <v>989562</v>
      </c>
      <c r="B271" s="13" t="s">
        <v>577</v>
      </c>
      <c r="C271" s="13"/>
      <c r="D271" s="73"/>
      <c r="E271" s="73">
        <v>4.9800000000000004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989623</v>
      </c>
      <c r="B272" s="13" t="s">
        <v>447</v>
      </c>
      <c r="C272" s="13"/>
      <c r="D272" s="73"/>
      <c r="E272" s="73">
        <v>3.99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989660</v>
      </c>
      <c r="B273" s="13" t="s">
        <v>123</v>
      </c>
      <c r="C273" s="13"/>
      <c r="D273" s="73"/>
      <c r="E273" s="73">
        <v>6.68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989680</v>
      </c>
      <c r="B274" s="13" t="s">
        <v>692</v>
      </c>
      <c r="C274" s="13"/>
      <c r="D274" s="73"/>
      <c r="E274" s="73">
        <v>5.68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989710</v>
      </c>
      <c r="B275" s="13" t="s">
        <v>124</v>
      </c>
      <c r="C275" s="13"/>
      <c r="D275" s="73"/>
      <c r="E275" s="73">
        <v>5.98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989722</v>
      </c>
      <c r="B276" s="13" t="s">
        <v>419</v>
      </c>
      <c r="C276" s="13"/>
      <c r="D276" s="73"/>
      <c r="E276" s="73">
        <v>3.99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989760</v>
      </c>
      <c r="B277" s="13" t="s">
        <v>604</v>
      </c>
      <c r="C277" s="13"/>
      <c r="D277" s="73"/>
      <c r="E277" s="73">
        <v>3.97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989765</v>
      </c>
      <c r="B278" s="13" t="s">
        <v>439</v>
      </c>
      <c r="C278" s="13"/>
      <c r="D278" s="73"/>
      <c r="E278" s="73">
        <v>6.99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989800</v>
      </c>
      <c r="B279" s="13" t="s">
        <v>434</v>
      </c>
      <c r="C279" s="13"/>
      <c r="D279" s="73"/>
      <c r="E279" s="73">
        <v>0.99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989810</v>
      </c>
      <c r="B280" s="13" t="s">
        <v>125</v>
      </c>
      <c r="C280" s="13"/>
      <c r="D280" s="73"/>
      <c r="E280" s="73">
        <v>3.29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989813</v>
      </c>
      <c r="B281" s="13" t="s">
        <v>708</v>
      </c>
      <c r="C281" s="13"/>
      <c r="D281" s="73"/>
      <c r="E281" s="73">
        <v>4.78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989830</v>
      </c>
      <c r="B282" s="13" t="s">
        <v>629</v>
      </c>
      <c r="C282" s="13"/>
      <c r="D282" s="73"/>
      <c r="E282" s="73">
        <v>5.68</v>
      </c>
      <c r="F282" s="13" t="s">
        <v>685</v>
      </c>
      <c r="G282" s="13"/>
      <c r="H282" s="13"/>
      <c r="I282" s="13"/>
      <c r="J282" s="13"/>
      <c r="K282" s="13"/>
    </row>
    <row r="283" spans="1:11" ht="20" x14ac:dyDescent="0.4">
      <c r="A283" s="13">
        <v>989086</v>
      </c>
      <c r="B283" s="13" t="s">
        <v>118</v>
      </c>
      <c r="C283" s="13"/>
      <c r="D283" s="73"/>
      <c r="E283" s="73">
        <v>2.08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989210</v>
      </c>
      <c r="B284" s="13" t="s">
        <v>396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989211</v>
      </c>
      <c r="B285" s="13" t="s">
        <v>666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989212</v>
      </c>
      <c r="B286" s="13" t="s">
        <v>395</v>
      </c>
      <c r="C286" s="13"/>
      <c r="D286" s="73"/>
      <c r="E286" s="73">
        <v>3.49</v>
      </c>
      <c r="F286" s="13" t="s">
        <v>686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4.99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0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4:J4 A3 D3:E3 G3:J3">
    <cfRule type="expression" dxfId="104" priority="1048" stopIfTrue="1">
      <formula>AND(OR(NOT(ISERROR(FIND("YB",#REF!))),NOT(ISERROR(FIND("YNB",#REF!)))),AND(ISERROR(FIND("SB",#REF!)),ISERROR(FIND("SNB",#REF!))))</formula>
    </cfRule>
    <cfRule type="expression" dxfId="103" priority="1049" stopIfTrue="1">
      <formula>NOT(ISERROR(FIND("B",#REF!)))</formula>
    </cfRule>
  </conditionalFormatting>
  <conditionalFormatting sqref="F3">
    <cfRule type="expression" dxfId="102" priority="1043" stopIfTrue="1">
      <formula>AND(OR(NOT(ISERROR(FIND("YB",#REF!))),NOT(ISERROR(FIND("YNB",#REF!)))),AND(ISERROR(FIND("SB",#REF!)),ISERROR(FIND("SNB",#REF!))))</formula>
    </cfRule>
    <cfRule type="expression" dxfId="101" priority="1044" stopIfTrue="1">
      <formula>NOT(ISERROR(FIND("B",#REF!)))</formula>
    </cfRule>
  </conditionalFormatting>
  <conditionalFormatting sqref="K4">
    <cfRule type="expression" dxfId="100" priority="1041" stopIfTrue="1">
      <formula>AND(OR(NOT(ISERROR(FIND("YB",#REF!))),NOT(ISERROR(FIND("YNB",#REF!)))),AND(ISERROR(FIND("SB",#REF!)),ISERROR(FIND("SNB",#REF!))))</formula>
    </cfRule>
    <cfRule type="expression" dxfId="99" priority="104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6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92D05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L4" sqref="L4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140</v>
      </c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0.66</v>
      </c>
      <c r="E5" s="153">
        <v>0.45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3.29</v>
      </c>
      <c r="E6" s="153">
        <v>2.29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3.29</v>
      </c>
      <c r="E7" s="153">
        <v>1.69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4.09</v>
      </c>
      <c r="E9" s="153">
        <v>2.99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20" x14ac:dyDescent="0.4">
      <c r="A11" s="151">
        <v>248459</v>
      </c>
      <c r="B11" s="151" t="s">
        <v>767</v>
      </c>
      <c r="C11" s="151"/>
      <c r="D11" s="153"/>
      <c r="E11" s="153">
        <v>4.99</v>
      </c>
      <c r="F11" s="151"/>
      <c r="G11" s="151" t="s">
        <v>6</v>
      </c>
      <c r="H11" s="151" t="s">
        <v>7</v>
      </c>
      <c r="I11" s="152">
        <v>44824</v>
      </c>
      <c r="J11" s="151" t="s">
        <v>768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3.49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2.79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2.89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2.79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3.79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3.79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3.79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3.49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4.79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995000</v>
      </c>
      <c r="B28" s="13" t="s">
        <v>83</v>
      </c>
      <c r="C28" s="13" t="s">
        <v>462</v>
      </c>
      <c r="D28" s="73"/>
      <c r="E28" s="73">
        <v>2.99</v>
      </c>
      <c r="F28" s="13" t="s">
        <v>40</v>
      </c>
      <c r="G28" s="13"/>
      <c r="H28" s="13"/>
      <c r="I28" s="13"/>
      <c r="J28" s="13"/>
      <c r="K28" s="13"/>
    </row>
    <row r="29" spans="1:11" ht="20" x14ac:dyDescent="0.4">
      <c r="A29" s="13">
        <v>995005</v>
      </c>
      <c r="B29" s="13" t="s">
        <v>56</v>
      </c>
      <c r="C29" s="13" t="s">
        <v>462</v>
      </c>
      <c r="D29" s="73"/>
      <c r="E29" s="73">
        <v>1.89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995210</v>
      </c>
      <c r="B30" s="13" t="s">
        <v>783</v>
      </c>
      <c r="C30" s="13" t="s">
        <v>462</v>
      </c>
      <c r="D30" s="73"/>
      <c r="E30" s="73">
        <v>3.09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3.79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4.99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3.79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3.79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3.79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995108</v>
      </c>
      <c r="B36" s="13" t="s">
        <v>714</v>
      </c>
      <c r="C36" s="13"/>
      <c r="D36" s="73"/>
      <c r="E36" s="73">
        <v>3.79</v>
      </c>
      <c r="F36" s="13" t="s">
        <v>40</v>
      </c>
      <c r="G36" s="13"/>
      <c r="H36" s="13"/>
      <c r="I36" s="13"/>
      <c r="J36" s="13"/>
      <c r="K36" s="13"/>
    </row>
    <row r="37" spans="1:11" ht="20" x14ac:dyDescent="0.4">
      <c r="A37" s="13">
        <v>995111</v>
      </c>
      <c r="B37" s="13" t="s">
        <v>772</v>
      </c>
      <c r="C37" s="13" t="s">
        <v>462</v>
      </c>
      <c r="D37" s="73"/>
      <c r="E37" s="73">
        <v>3.79</v>
      </c>
      <c r="F37" s="13" t="s">
        <v>40</v>
      </c>
      <c r="G37" s="13"/>
      <c r="H37" s="13"/>
      <c r="I37" s="13"/>
      <c r="J37" s="13"/>
      <c r="K37" s="13"/>
    </row>
    <row r="38" spans="1:11" ht="20" x14ac:dyDescent="0.4">
      <c r="A38" s="13">
        <v>995015</v>
      </c>
      <c r="B38" s="13" t="s">
        <v>711</v>
      </c>
      <c r="C38" s="13"/>
      <c r="D38" s="73"/>
      <c r="E38" s="73">
        <v>3.79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3.79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3.49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3.49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5.79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4.79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2.69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2.19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3.79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3">
        <v>995018</v>
      </c>
      <c r="B47" s="13" t="s">
        <v>450</v>
      </c>
      <c r="C47" s="13" t="s">
        <v>462</v>
      </c>
      <c r="D47" s="73"/>
      <c r="E47" s="73">
        <v>5.79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3.79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5.79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3.79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4.99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4.99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3.49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3.49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3.19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995027</v>
      </c>
      <c r="B56" s="13" t="s">
        <v>426</v>
      </c>
      <c r="C56" s="13" t="s">
        <v>462</v>
      </c>
      <c r="D56" s="73"/>
      <c r="E56" s="73">
        <v>4.99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2.89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2.29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3.79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5.79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5.79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3.29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4.49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1.79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2.99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2.99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2.4900000000000002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470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2.4900000000000002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1.99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4.79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5.39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4.79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0.99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0.99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2.99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3.29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6.69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2.99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3.99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995085</v>
      </c>
      <c r="B88" s="13" t="s">
        <v>49</v>
      </c>
      <c r="C88" s="13" t="s">
        <v>462</v>
      </c>
      <c r="D88" s="73"/>
      <c r="E88" s="73">
        <v>3.29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3.49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2.99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3.29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4.29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3.69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3.69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1.89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2.59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2.99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6.19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3.29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3.79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2.4900000000000002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2.69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2.29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2.39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2.79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2.89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3.49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4.17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3.59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4.29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5.33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6.29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5.29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4.99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4.99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3.29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5.39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3.99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5.59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4.99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5.99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3.49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3.79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6.49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3.49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5.48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2.29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5.98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2.29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5.98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2.29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3.49</v>
      </c>
      <c r="E149" s="118">
        <v>4.99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5.49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4.99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4.99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3.99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0.5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20" x14ac:dyDescent="0.4">
      <c r="A157" s="13">
        <v>983101</v>
      </c>
      <c r="B157" s="13" t="s">
        <v>618</v>
      </c>
      <c r="C157" s="13"/>
      <c r="D157" s="73"/>
      <c r="E157" s="73">
        <v>3.19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4.29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4.99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4.49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3.29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4.28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4.28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3.29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4.8899999999999997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1.99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2.99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3.88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1.99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2.39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1.29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5.49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4.99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 t="s">
        <v>479</v>
      </c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4.6900000000000004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4.29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470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0.5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470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2.99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983531</v>
      </c>
      <c r="B189" s="13" t="s">
        <v>429</v>
      </c>
      <c r="C189" s="13"/>
      <c r="D189" s="73"/>
      <c r="E189" s="73">
        <v>1.39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983610</v>
      </c>
      <c r="B190" s="13" t="s">
        <v>431</v>
      </c>
      <c r="C190" s="13"/>
      <c r="D190" s="73"/>
      <c r="E190" s="73">
        <v>1.29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983651</v>
      </c>
      <c r="B191" s="13" t="s">
        <v>694</v>
      </c>
      <c r="C191" s="13"/>
      <c r="D191" s="73"/>
      <c r="E191" s="73">
        <v>0.99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983672</v>
      </c>
      <c r="B192" s="13" t="s">
        <v>726</v>
      </c>
      <c r="C192" s="13"/>
      <c r="D192" s="73"/>
      <c r="E192" s="73">
        <v>4.78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983721</v>
      </c>
      <c r="B193" s="13" t="s">
        <v>469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983725</v>
      </c>
      <c r="B194" s="13" t="s">
        <v>698</v>
      </c>
      <c r="C194" s="13"/>
      <c r="D194" s="73"/>
      <c r="E194" s="73">
        <v>2.99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983763</v>
      </c>
      <c r="B195" s="13" t="s">
        <v>467</v>
      </c>
      <c r="C195" s="13"/>
      <c r="D195" s="73"/>
      <c r="E195" s="73">
        <v>2.2799999999999998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984005</v>
      </c>
      <c r="B196" s="13" t="s">
        <v>755</v>
      </c>
      <c r="C196" s="13"/>
      <c r="D196" s="73"/>
      <c r="E196" s="73">
        <v>2.99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984032</v>
      </c>
      <c r="B197" s="13" t="s">
        <v>94</v>
      </c>
      <c r="C197" s="13"/>
      <c r="D197" s="73"/>
      <c r="E197" s="73">
        <v>1.47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984050</v>
      </c>
      <c r="B198" s="13" t="s">
        <v>95</v>
      </c>
      <c r="C198" s="13"/>
      <c r="D198" s="73"/>
      <c r="E198" s="73">
        <v>1.1299999999999999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984071</v>
      </c>
      <c r="B199" s="13" t="s">
        <v>756</v>
      </c>
      <c r="C199" s="13"/>
      <c r="D199" s="73"/>
      <c r="E199" s="73">
        <v>5.99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984161</v>
      </c>
      <c r="B200" s="13" t="s">
        <v>716</v>
      </c>
      <c r="C200" s="13"/>
      <c r="D200" s="73"/>
      <c r="E200" s="73">
        <v>2.48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984910</v>
      </c>
      <c r="B201" s="13" t="s">
        <v>616</v>
      </c>
      <c r="C201" s="13"/>
      <c r="D201" s="73"/>
      <c r="E201" s="73">
        <v>6.29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984911</v>
      </c>
      <c r="B202" s="13" t="s">
        <v>672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984912</v>
      </c>
      <c r="B203" s="13" t="s">
        <v>673</v>
      </c>
      <c r="C203" s="13"/>
      <c r="D203" s="73"/>
      <c r="E203" s="73">
        <v>5.99</v>
      </c>
      <c r="F203" s="13" t="s">
        <v>676</v>
      </c>
      <c r="G203" s="13"/>
      <c r="H203" s="13"/>
      <c r="I203" s="13"/>
      <c r="J203" s="13"/>
      <c r="K203" s="13"/>
    </row>
    <row r="204" spans="1:11" ht="20" x14ac:dyDescent="0.4">
      <c r="A204" s="13">
        <v>985601</v>
      </c>
      <c r="B204" s="13" t="s">
        <v>432</v>
      </c>
      <c r="C204" s="13"/>
      <c r="D204" s="73"/>
      <c r="E204" s="73">
        <v>0.83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985612</v>
      </c>
      <c r="B205" s="13" t="s">
        <v>101</v>
      </c>
      <c r="C205" s="13"/>
      <c r="D205" s="73"/>
      <c r="E205" s="73">
        <v>2.4900000000000002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985613</v>
      </c>
      <c r="B206" s="13" t="s">
        <v>612</v>
      </c>
      <c r="C206" s="13"/>
      <c r="D206" s="73"/>
      <c r="E206" s="73">
        <v>2.99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985614</v>
      </c>
      <c r="B207" s="13" t="s">
        <v>709</v>
      </c>
      <c r="C207" s="13"/>
      <c r="D207" s="73"/>
      <c r="E207" s="73">
        <v>4.29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985630</v>
      </c>
      <c r="B208" s="13" t="s">
        <v>457</v>
      </c>
      <c r="C208" s="13"/>
      <c r="D208" s="73"/>
      <c r="E208" s="73">
        <v>2.46</v>
      </c>
      <c r="F208" s="13" t="s">
        <v>677</v>
      </c>
      <c r="G208" s="13"/>
      <c r="H208" s="13"/>
      <c r="I208" s="13"/>
      <c r="J208" s="13"/>
      <c r="K208" s="13"/>
    </row>
    <row r="209" spans="1:11" ht="20" x14ac:dyDescent="0.4">
      <c r="A209" s="13">
        <v>985701</v>
      </c>
      <c r="B209" s="13" t="s">
        <v>468</v>
      </c>
      <c r="C209" s="13"/>
      <c r="D209" s="73"/>
      <c r="E209" s="73">
        <v>1.69</v>
      </c>
      <c r="F209" s="13" t="s">
        <v>678</v>
      </c>
      <c r="G209" s="13"/>
      <c r="H209" s="13"/>
      <c r="I209" s="13"/>
      <c r="J209" s="13"/>
      <c r="K209" s="13"/>
    </row>
    <row r="210" spans="1:11" ht="20" x14ac:dyDescent="0.4">
      <c r="A210" s="13">
        <v>985702</v>
      </c>
      <c r="B210" s="13" t="s">
        <v>733</v>
      </c>
      <c r="C210" s="13"/>
      <c r="D210" s="73"/>
      <c r="E210" s="73">
        <v>2.29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987560</v>
      </c>
      <c r="B211" s="13" t="s">
        <v>102</v>
      </c>
      <c r="C211" s="13"/>
      <c r="D211" s="73"/>
      <c r="E211" s="73">
        <v>1.89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987900</v>
      </c>
      <c r="B212" s="13" t="s">
        <v>455</v>
      </c>
      <c r="C212" s="13"/>
      <c r="D212" s="73"/>
      <c r="E212" s="73">
        <v>1.69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988490</v>
      </c>
      <c r="B213" s="13" t="s">
        <v>460</v>
      </c>
      <c r="C213" s="13"/>
      <c r="D213" s="73"/>
      <c r="E213" s="73">
        <v>0.89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988571</v>
      </c>
      <c r="B214" s="13" t="s">
        <v>441</v>
      </c>
      <c r="C214" s="13"/>
      <c r="D214" s="73"/>
      <c r="E214" s="73">
        <v>2.79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988620</v>
      </c>
      <c r="B215" s="13" t="s">
        <v>103</v>
      </c>
      <c r="C215" s="13"/>
      <c r="D215" s="73"/>
      <c r="E215" s="73">
        <v>2.89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988650</v>
      </c>
      <c r="B216" s="13" t="s">
        <v>592</v>
      </c>
      <c r="C216" s="13"/>
      <c r="D216" s="73"/>
      <c r="E216" s="73">
        <v>1.29</v>
      </c>
      <c r="F216" s="13" t="s">
        <v>678</v>
      </c>
      <c r="G216" s="13"/>
      <c r="H216" s="13"/>
      <c r="I216" s="13"/>
      <c r="J216" s="13"/>
      <c r="K216" s="13"/>
    </row>
    <row r="217" spans="1:11" ht="40" x14ac:dyDescent="0.4">
      <c r="A217" s="117">
        <v>987590</v>
      </c>
      <c r="B217" s="117" t="s">
        <v>104</v>
      </c>
      <c r="C217" s="117"/>
      <c r="D217" s="118">
        <v>1.99</v>
      </c>
      <c r="E217" s="118">
        <v>1.6</v>
      </c>
      <c r="F217" s="117" t="s">
        <v>679</v>
      </c>
      <c r="G217" s="117" t="s">
        <v>6</v>
      </c>
      <c r="H217" s="117" t="s">
        <v>41</v>
      </c>
      <c r="I217" s="147">
        <v>44821</v>
      </c>
      <c r="J217" s="117"/>
      <c r="K217" s="13"/>
    </row>
    <row r="218" spans="1:11" ht="20" x14ac:dyDescent="0.4">
      <c r="A218" s="13">
        <v>987593</v>
      </c>
      <c r="B218" s="13" t="s">
        <v>725</v>
      </c>
      <c r="C218" s="13" t="s">
        <v>462</v>
      </c>
      <c r="D218" s="73"/>
      <c r="E218" s="73">
        <v>2.69</v>
      </c>
      <c r="F218" s="13" t="s">
        <v>679</v>
      </c>
      <c r="G218" s="13"/>
      <c r="H218" s="13"/>
      <c r="I218" s="13"/>
      <c r="J218" s="13"/>
      <c r="K218" s="13"/>
    </row>
    <row r="219" spans="1:11" ht="20" x14ac:dyDescent="0.4">
      <c r="A219" s="13">
        <v>985650</v>
      </c>
      <c r="B219" s="13" t="s">
        <v>440</v>
      </c>
      <c r="C219" s="13"/>
      <c r="D219" s="73"/>
      <c r="E219" s="73">
        <v>1.69</v>
      </c>
      <c r="F219" s="13" t="s">
        <v>680</v>
      </c>
      <c r="G219" s="13"/>
      <c r="H219" s="13"/>
      <c r="I219" s="13"/>
      <c r="J219" s="13"/>
      <c r="K219" s="13"/>
    </row>
    <row r="220" spans="1:11" ht="20" x14ac:dyDescent="0.4">
      <c r="A220" s="117">
        <v>986090</v>
      </c>
      <c r="B220" s="117" t="s">
        <v>835</v>
      </c>
      <c r="C220" s="117"/>
      <c r="D220" s="118"/>
      <c r="E220" s="118">
        <v>3.79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986120</v>
      </c>
      <c r="B221" s="117" t="s">
        <v>836</v>
      </c>
      <c r="C221" s="117"/>
      <c r="D221" s="118"/>
      <c r="E221" s="118">
        <v>3.79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986140</v>
      </c>
      <c r="B222" s="117" t="s">
        <v>837</v>
      </c>
      <c r="C222" s="117"/>
      <c r="D222" s="118"/>
      <c r="E222" s="118">
        <v>2.98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17">
        <v>986211</v>
      </c>
      <c r="B223" s="117" t="s">
        <v>838</v>
      </c>
      <c r="C223" s="117"/>
      <c r="D223" s="118"/>
      <c r="E223" s="118">
        <v>3.79</v>
      </c>
      <c r="F223" s="117" t="s">
        <v>680</v>
      </c>
      <c r="G223" s="117" t="s">
        <v>16</v>
      </c>
      <c r="H223" s="117" t="s">
        <v>473</v>
      </c>
      <c r="I223" s="117"/>
      <c r="J223" s="117" t="s">
        <v>834</v>
      </c>
      <c r="K223" s="13"/>
    </row>
    <row r="224" spans="1:11" ht="20" x14ac:dyDescent="0.4">
      <c r="A224" s="13">
        <v>987730</v>
      </c>
      <c r="B224" s="13" t="s">
        <v>610</v>
      </c>
      <c r="C224" s="13"/>
      <c r="D224" s="73"/>
      <c r="E224" s="73">
        <v>1.29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987760</v>
      </c>
      <c r="B225" s="13" t="s">
        <v>581</v>
      </c>
      <c r="C225" s="13"/>
      <c r="D225" s="73"/>
      <c r="E225" s="73">
        <v>1.29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987790</v>
      </c>
      <c r="B226" s="13" t="s">
        <v>466</v>
      </c>
      <c r="C226" s="13"/>
      <c r="D226" s="73"/>
      <c r="E226" s="73">
        <v>1.69</v>
      </c>
      <c r="F226" s="13" t="s">
        <v>680</v>
      </c>
      <c r="G226" s="13"/>
      <c r="H226" s="13"/>
      <c r="I226" s="13"/>
      <c r="J226" s="13"/>
      <c r="K226" s="13"/>
    </row>
    <row r="227" spans="1:11" ht="40" x14ac:dyDescent="0.4">
      <c r="A227" s="13">
        <v>986400</v>
      </c>
      <c r="B227" s="13" t="s">
        <v>588</v>
      </c>
      <c r="C227" s="13"/>
      <c r="D227" s="73">
        <v>1.98</v>
      </c>
      <c r="E227" s="73">
        <v>1.59</v>
      </c>
      <c r="F227" s="13" t="s">
        <v>681</v>
      </c>
      <c r="G227" s="13"/>
      <c r="H227" s="13" t="s">
        <v>41</v>
      </c>
      <c r="I227" s="13"/>
      <c r="J227" s="13"/>
      <c r="K227" s="13"/>
    </row>
    <row r="228" spans="1:11" ht="20" x14ac:dyDescent="0.4">
      <c r="A228" s="13">
        <v>986405</v>
      </c>
      <c r="B228" s="13" t="s">
        <v>710</v>
      </c>
      <c r="C228" s="13"/>
      <c r="D228" s="73"/>
      <c r="E228" s="73">
        <v>4.99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986480</v>
      </c>
      <c r="B229" s="13" t="s">
        <v>572</v>
      </c>
      <c r="C229" s="13"/>
      <c r="D229" s="73"/>
      <c r="E229" s="73">
        <v>3.19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986650</v>
      </c>
      <c r="B230" s="13" t="s">
        <v>106</v>
      </c>
      <c r="C230" s="13"/>
      <c r="D230" s="73"/>
      <c r="E230" s="73">
        <v>1.49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986678</v>
      </c>
      <c r="B231" s="13" t="s">
        <v>585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986730</v>
      </c>
      <c r="B232" s="13" t="s">
        <v>107</v>
      </c>
      <c r="C232" s="13"/>
      <c r="D232" s="73"/>
      <c r="E232" s="73">
        <v>2.79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986785</v>
      </c>
      <c r="B233" s="13" t="s">
        <v>99</v>
      </c>
      <c r="C233" s="13"/>
      <c r="D233" s="73"/>
      <c r="E233" s="73">
        <v>3.49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986810</v>
      </c>
      <c r="B234" s="13" t="s">
        <v>108</v>
      </c>
      <c r="C234" s="13"/>
      <c r="D234" s="73"/>
      <c r="E234" s="73">
        <v>4.1900000000000004</v>
      </c>
      <c r="F234" s="13" t="s">
        <v>681</v>
      </c>
      <c r="G234" s="13"/>
      <c r="H234" s="13"/>
      <c r="I234" s="13"/>
      <c r="J234" s="13"/>
      <c r="K234" s="13"/>
    </row>
    <row r="235" spans="1:11" ht="20" x14ac:dyDescent="0.4">
      <c r="A235" s="13">
        <v>986811</v>
      </c>
      <c r="B235" s="13" t="s">
        <v>731</v>
      </c>
      <c r="C235" s="13"/>
      <c r="D235" s="73"/>
      <c r="E235" s="73">
        <v>2.99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986890</v>
      </c>
      <c r="B236" s="13" t="s">
        <v>109</v>
      </c>
      <c r="C236" s="13"/>
      <c r="D236" s="73"/>
      <c r="E236" s="73">
        <v>3.59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986915</v>
      </c>
      <c r="B237" s="13" t="s">
        <v>110</v>
      </c>
      <c r="C237" s="13"/>
      <c r="D237" s="73"/>
      <c r="E237" s="73">
        <v>3.19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986974</v>
      </c>
      <c r="B238" s="13" t="s">
        <v>578</v>
      </c>
      <c r="C238" s="13"/>
      <c r="D238" s="73"/>
      <c r="E238" s="73">
        <v>3.29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986975</v>
      </c>
      <c r="B239" s="13" t="s">
        <v>112</v>
      </c>
      <c r="C239" s="13"/>
      <c r="D239" s="73"/>
      <c r="E239" s="73">
        <v>6.49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987060</v>
      </c>
      <c r="B240" s="13" t="s">
        <v>614</v>
      </c>
      <c r="C240" s="13"/>
      <c r="D240" s="73"/>
      <c r="E240" s="73">
        <v>1.88</v>
      </c>
      <c r="F240" s="13" t="s">
        <v>681</v>
      </c>
      <c r="G240" s="13"/>
      <c r="H240" s="13" t="s">
        <v>479</v>
      </c>
      <c r="I240" s="13"/>
      <c r="J240" s="13"/>
      <c r="K240" s="13"/>
    </row>
    <row r="241" spans="1:11" ht="20" x14ac:dyDescent="0.4">
      <c r="A241" s="13">
        <v>983451</v>
      </c>
      <c r="B241" s="13" t="s">
        <v>452</v>
      </c>
      <c r="C241" s="13"/>
      <c r="D241" s="73"/>
      <c r="E241" s="73">
        <v>1.29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983470</v>
      </c>
      <c r="B242" s="13" t="s">
        <v>713</v>
      </c>
      <c r="C242" s="13"/>
      <c r="D242" s="73"/>
      <c r="E242" s="73">
        <v>4.49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983501</v>
      </c>
      <c r="B243" s="13" t="s">
        <v>98</v>
      </c>
      <c r="C243" s="13"/>
      <c r="D243" s="73"/>
      <c r="E243" s="73">
        <v>5.99</v>
      </c>
      <c r="F243" s="13" t="s">
        <v>682</v>
      </c>
      <c r="G243" s="13"/>
      <c r="H243" s="13"/>
      <c r="I243" s="13"/>
      <c r="J243" s="13"/>
      <c r="K243" s="13"/>
    </row>
    <row r="244" spans="1:11" ht="20" x14ac:dyDescent="0.4">
      <c r="A244" s="13">
        <v>987110</v>
      </c>
      <c r="B244" s="13" t="s">
        <v>113</v>
      </c>
      <c r="C244" s="13"/>
      <c r="D244" s="73"/>
      <c r="E244" s="73">
        <v>3.19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987211</v>
      </c>
      <c r="B245" s="13" t="s">
        <v>23</v>
      </c>
      <c r="C245" s="13"/>
      <c r="D245" s="73"/>
      <c r="E245" s="73">
        <v>2.69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17">
        <v>987260</v>
      </c>
      <c r="B246" s="117" t="s">
        <v>114</v>
      </c>
      <c r="C246" s="117"/>
      <c r="D246" s="118">
        <v>2.39</v>
      </c>
      <c r="E246" s="118">
        <v>3.99</v>
      </c>
      <c r="F246" s="117" t="s">
        <v>683</v>
      </c>
      <c r="G246" s="117" t="s">
        <v>51</v>
      </c>
      <c r="H246" s="117" t="s">
        <v>52</v>
      </c>
      <c r="I246" s="117"/>
      <c r="J246" s="117"/>
      <c r="K246" s="13"/>
    </row>
    <row r="247" spans="1:11" ht="20" x14ac:dyDescent="0.4">
      <c r="A247" s="13">
        <v>987261</v>
      </c>
      <c r="B247" s="13" t="s">
        <v>115</v>
      </c>
      <c r="C247" s="13"/>
      <c r="D247" s="73"/>
      <c r="E247" s="73">
        <v>3.79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987268</v>
      </c>
      <c r="B248" s="13" t="s">
        <v>574</v>
      </c>
      <c r="C248" s="13"/>
      <c r="D248" s="73"/>
      <c r="E248" s="73">
        <v>1.99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987290</v>
      </c>
      <c r="B249" s="13" t="s">
        <v>100</v>
      </c>
      <c r="C249" s="13"/>
      <c r="D249" s="73"/>
      <c r="E249" s="73">
        <v>3.89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987310</v>
      </c>
      <c r="B250" s="13" t="s">
        <v>116</v>
      </c>
      <c r="C250" s="13"/>
      <c r="D250" s="73"/>
      <c r="E250" s="73">
        <v>3.29</v>
      </c>
      <c r="F250" s="13" t="s">
        <v>683</v>
      </c>
      <c r="G250" s="13"/>
      <c r="H250" s="13"/>
      <c r="I250" s="13"/>
      <c r="J250" s="13"/>
      <c r="K250" s="13"/>
    </row>
    <row r="251" spans="1:11" ht="20" x14ac:dyDescent="0.4">
      <c r="A251" s="13">
        <v>987345</v>
      </c>
      <c r="B251" s="13" t="s">
        <v>669</v>
      </c>
      <c r="C251" s="13"/>
      <c r="D251" s="73"/>
      <c r="E251" s="73">
        <v>3.46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987360</v>
      </c>
      <c r="B252" s="13" t="s">
        <v>595</v>
      </c>
      <c r="C252" s="13"/>
      <c r="D252" s="73"/>
      <c r="E252" s="73">
        <v>0.99</v>
      </c>
      <c r="F252" s="13" t="s">
        <v>683</v>
      </c>
      <c r="G252" s="13"/>
      <c r="H252" s="13"/>
      <c r="I252" s="13"/>
      <c r="J252" s="13"/>
      <c r="K252" s="13"/>
    </row>
    <row r="253" spans="1:11" ht="20" x14ac:dyDescent="0.4">
      <c r="A253" s="13">
        <v>987361</v>
      </c>
      <c r="B253" s="13" t="s">
        <v>746</v>
      </c>
      <c r="C253" s="13"/>
      <c r="D253" s="73"/>
      <c r="E253" s="73">
        <v>4.99</v>
      </c>
      <c r="F253" s="13" t="s">
        <v>683</v>
      </c>
      <c r="G253" s="13"/>
      <c r="H253" s="13"/>
      <c r="I253" s="13"/>
      <c r="J253" s="13"/>
      <c r="K253" s="13"/>
    </row>
    <row r="254" spans="1:11" ht="20" x14ac:dyDescent="0.4">
      <c r="A254" s="13">
        <v>995186</v>
      </c>
      <c r="B254" s="13" t="s">
        <v>689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995188</v>
      </c>
      <c r="B255" s="13" t="s">
        <v>697</v>
      </c>
      <c r="C255" s="13" t="s">
        <v>462</v>
      </c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995202</v>
      </c>
      <c r="B256" s="13" t="s">
        <v>736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995203</v>
      </c>
      <c r="B257" s="13" t="s">
        <v>737</v>
      </c>
      <c r="C257" s="13"/>
      <c r="D257" s="73"/>
      <c r="E257" s="73">
        <v>2.99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995206</v>
      </c>
      <c r="B258" s="13" t="s">
        <v>738</v>
      </c>
      <c r="C258" s="13"/>
      <c r="D258" s="73"/>
      <c r="E258" s="73">
        <v>3.99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995208</v>
      </c>
      <c r="B259" s="13" t="s">
        <v>752</v>
      </c>
      <c r="C259" s="13" t="s">
        <v>462</v>
      </c>
      <c r="D259" s="73"/>
      <c r="E259" s="73">
        <v>3.27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995209</v>
      </c>
      <c r="B260" s="13" t="s">
        <v>753</v>
      </c>
      <c r="C260" s="13" t="s">
        <v>462</v>
      </c>
      <c r="D260" s="73"/>
      <c r="E260" s="73">
        <v>3.27</v>
      </c>
      <c r="F260" s="13" t="s">
        <v>740</v>
      </c>
      <c r="G260" s="13"/>
      <c r="H260" s="13"/>
      <c r="I260" s="13"/>
      <c r="J260" s="13"/>
      <c r="K260" s="13"/>
    </row>
    <row r="261" spans="1:11" ht="20" x14ac:dyDescent="0.4">
      <c r="A261" s="13">
        <v>985950</v>
      </c>
      <c r="B261" s="13" t="s">
        <v>117</v>
      </c>
      <c r="C261" s="13"/>
      <c r="D261" s="73"/>
      <c r="E261" s="73">
        <v>1.65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985990</v>
      </c>
      <c r="B262" s="13" t="s">
        <v>461</v>
      </c>
      <c r="C262" s="13"/>
      <c r="D262" s="73"/>
      <c r="E262" s="73">
        <v>2.99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989461</v>
      </c>
      <c r="B263" s="13" t="s">
        <v>119</v>
      </c>
      <c r="C263" s="13"/>
      <c r="D263" s="73"/>
      <c r="E263" s="73">
        <v>3.49</v>
      </c>
      <c r="F263" s="13" t="s">
        <v>684</v>
      </c>
      <c r="G263" s="13"/>
      <c r="H263" s="13"/>
      <c r="I263" s="13"/>
      <c r="J263" s="13"/>
      <c r="K263" s="13"/>
    </row>
    <row r="264" spans="1:11" ht="20" x14ac:dyDescent="0.4">
      <c r="A264" s="13">
        <v>989260</v>
      </c>
      <c r="B264" s="13" t="s">
        <v>120</v>
      </c>
      <c r="C264" s="13"/>
      <c r="D264" s="73"/>
      <c r="E264" s="73">
        <v>4.38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989280</v>
      </c>
      <c r="B265" s="13" t="s">
        <v>590</v>
      </c>
      <c r="C265" s="13"/>
      <c r="D265" s="73"/>
      <c r="E265" s="73">
        <v>3.49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989301</v>
      </c>
      <c r="B266" s="13" t="s">
        <v>786</v>
      </c>
      <c r="C266" s="13"/>
      <c r="D266" s="73"/>
      <c r="E266" s="73">
        <v>4.28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989330</v>
      </c>
      <c r="B267" s="13" t="s">
        <v>787</v>
      </c>
      <c r="C267" s="13"/>
      <c r="D267" s="73"/>
      <c r="E267" s="73">
        <v>3.49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989360</v>
      </c>
      <c r="B268" s="13" t="s">
        <v>121</v>
      </c>
      <c r="C268" s="13"/>
      <c r="D268" s="73"/>
      <c r="E268" s="73">
        <v>3.19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989489</v>
      </c>
      <c r="B269" s="13" t="s">
        <v>620</v>
      </c>
      <c r="C269" s="13"/>
      <c r="D269" s="73"/>
      <c r="E269" s="73">
        <v>1.69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989560</v>
      </c>
      <c r="B270" s="13" t="s">
        <v>122</v>
      </c>
      <c r="C270" s="13"/>
      <c r="D270" s="73"/>
      <c r="E270" s="73">
        <v>4.67</v>
      </c>
      <c r="F270" s="13" t="s">
        <v>685</v>
      </c>
      <c r="G270" s="13"/>
      <c r="H270" s="13"/>
      <c r="I270" s="13"/>
      <c r="J270" s="13"/>
      <c r="K270" s="13"/>
    </row>
    <row r="271" spans="1:11" ht="20" x14ac:dyDescent="0.4">
      <c r="A271" s="13">
        <v>989562</v>
      </c>
      <c r="B271" s="13" t="s">
        <v>577</v>
      </c>
      <c r="C271" s="13"/>
      <c r="D271" s="73"/>
      <c r="E271" s="73">
        <v>4.9800000000000004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989623</v>
      </c>
      <c r="B272" s="13" t="s">
        <v>447</v>
      </c>
      <c r="C272" s="13"/>
      <c r="D272" s="73"/>
      <c r="E272" s="73">
        <v>3.99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989660</v>
      </c>
      <c r="B273" s="13" t="s">
        <v>123</v>
      </c>
      <c r="C273" s="13"/>
      <c r="D273" s="73"/>
      <c r="E273" s="73">
        <v>6.68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989680</v>
      </c>
      <c r="B274" s="13" t="s">
        <v>692</v>
      </c>
      <c r="C274" s="13"/>
      <c r="D274" s="73"/>
      <c r="E274" s="73">
        <v>5.68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989710</v>
      </c>
      <c r="B275" s="13" t="s">
        <v>124</v>
      </c>
      <c r="C275" s="13"/>
      <c r="D275" s="73"/>
      <c r="E275" s="73">
        <v>5.98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989722</v>
      </c>
      <c r="B276" s="13" t="s">
        <v>419</v>
      </c>
      <c r="C276" s="13"/>
      <c r="D276" s="73"/>
      <c r="E276" s="73">
        <v>3.99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989760</v>
      </c>
      <c r="B277" s="13" t="s">
        <v>604</v>
      </c>
      <c r="C277" s="13"/>
      <c r="D277" s="73"/>
      <c r="E277" s="73">
        <v>3.97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989765</v>
      </c>
      <c r="B278" s="13" t="s">
        <v>439</v>
      </c>
      <c r="C278" s="13"/>
      <c r="D278" s="73"/>
      <c r="E278" s="73">
        <v>6.99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989800</v>
      </c>
      <c r="B279" s="13" t="s">
        <v>434</v>
      </c>
      <c r="C279" s="13"/>
      <c r="D279" s="73"/>
      <c r="E279" s="73">
        <v>0.99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989810</v>
      </c>
      <c r="B280" s="13" t="s">
        <v>125</v>
      </c>
      <c r="C280" s="13"/>
      <c r="D280" s="73"/>
      <c r="E280" s="73">
        <v>3.29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989813</v>
      </c>
      <c r="B281" s="13" t="s">
        <v>708</v>
      </c>
      <c r="C281" s="13"/>
      <c r="D281" s="73"/>
      <c r="E281" s="73">
        <v>4.78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989830</v>
      </c>
      <c r="B282" s="13" t="s">
        <v>629</v>
      </c>
      <c r="C282" s="13"/>
      <c r="D282" s="73"/>
      <c r="E282" s="73">
        <v>5.68</v>
      </c>
      <c r="F282" s="13" t="s">
        <v>685</v>
      </c>
      <c r="G282" s="13"/>
      <c r="H282" s="13"/>
      <c r="I282" s="13"/>
      <c r="J282" s="13"/>
      <c r="K282" s="13"/>
    </row>
    <row r="283" spans="1:11" ht="20" x14ac:dyDescent="0.4">
      <c r="A283" s="13">
        <v>989086</v>
      </c>
      <c r="B283" s="13" t="s">
        <v>118</v>
      </c>
      <c r="C283" s="13"/>
      <c r="D283" s="73"/>
      <c r="E283" s="73">
        <v>2.08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989210</v>
      </c>
      <c r="B284" s="13" t="s">
        <v>396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989211</v>
      </c>
      <c r="B285" s="13" t="s">
        <v>666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989212</v>
      </c>
      <c r="B286" s="13" t="s">
        <v>395</v>
      </c>
      <c r="C286" s="13"/>
      <c r="D286" s="73"/>
      <c r="E286" s="73">
        <v>3.49</v>
      </c>
      <c r="F286" s="13" t="s">
        <v>686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4.99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0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B2:B3"/>
    <mergeCell ref="C2:C3"/>
    <mergeCell ref="D2:E2"/>
    <mergeCell ref="J1:K1"/>
  </mergeCells>
  <conditionalFormatting sqref="A3 D3:E3 G3:J3">
    <cfRule type="expression" dxfId="98" priority="1059" stopIfTrue="1">
      <formula>AND(OR(NOT(ISERROR(FIND("YB",#REF!))),NOT(ISERROR(FIND("YNB",#REF!)))),AND(ISERROR(FIND("SB",#REF!)),ISERROR(FIND("SNB",#REF!))))</formula>
    </cfRule>
    <cfRule type="expression" dxfId="97" priority="1060" stopIfTrue="1">
      <formula>NOT(ISERROR(FIND("B",#REF!)))</formula>
    </cfRule>
  </conditionalFormatting>
  <conditionalFormatting sqref="K4">
    <cfRule type="expression" dxfId="96" priority="1053" stopIfTrue="1">
      <formula>AND(OR(NOT(ISERROR(FIND("YB",#REF!))),NOT(ISERROR(FIND("YNB",#REF!)))),AND(ISERROR(FIND("SB",#REF!)),ISERROR(FIND("SNB",#REF!))))</formula>
    </cfRule>
    <cfRule type="expression" dxfId="95" priority="1054" stopIfTrue="1">
      <formula>NOT(ISERROR(FIND("B",#REF!)))</formula>
    </cfRule>
  </conditionalFormatting>
  <conditionalFormatting sqref="F3">
    <cfRule type="expression" dxfId="94" priority="1057" stopIfTrue="1">
      <formula>AND(OR(NOT(ISERROR(FIND("YB",#REF!))),NOT(ISERROR(FIND("YNB",#REF!)))),AND(ISERROR(FIND("SB",#REF!)),ISERROR(FIND("SNB",#REF!))))</formula>
    </cfRule>
    <cfRule type="expression" dxfId="93" priority="1058" stopIfTrue="1">
      <formula>NOT(ISERROR(FIND("B",#REF!)))</formula>
    </cfRule>
  </conditionalFormatting>
  <conditionalFormatting sqref="A4:J4">
    <cfRule type="expression" dxfId="92" priority="1055" stopIfTrue="1">
      <formula>AND(OR(NOT(ISERROR(FIND("YB",#REF!))),NOT(ISERROR(FIND("YNB",#REF!)))),AND(ISERROR(FIND("SB",#REF!)),ISERROR(FIND("SNB",#REF!))))</formula>
    </cfRule>
    <cfRule type="expression" dxfId="91" priority="105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3" max="37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92D05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D12" sqref="D12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141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3.49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995005</v>
      </c>
      <c r="B28" s="13" t="s">
        <v>56</v>
      </c>
      <c r="C28" s="13" t="s">
        <v>462</v>
      </c>
      <c r="D28" s="73"/>
      <c r="E28" s="73">
        <v>1.78</v>
      </c>
      <c r="F28" s="13" t="s">
        <v>40</v>
      </c>
      <c r="G28" s="13"/>
      <c r="H28" s="13"/>
      <c r="I28" s="13"/>
      <c r="J28" s="13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20" x14ac:dyDescent="0.4">
      <c r="A37" s="13">
        <v>995015</v>
      </c>
      <c r="B37" s="13" t="s">
        <v>711</v>
      </c>
      <c r="C37" s="13"/>
      <c r="D37" s="73"/>
      <c r="E37" s="73">
        <v>3.47</v>
      </c>
      <c r="F37" s="13" t="s">
        <v>40</v>
      </c>
      <c r="G37" s="13"/>
      <c r="H37" s="13"/>
      <c r="I37" s="13"/>
      <c r="J37" s="13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4.49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3">
        <v>995131</v>
      </c>
      <c r="B53" s="13" t="s">
        <v>397</v>
      </c>
      <c r="C53" s="13"/>
      <c r="D53" s="73"/>
      <c r="E53" s="73">
        <v>3.13</v>
      </c>
      <c r="F53" s="13" t="s">
        <v>40</v>
      </c>
      <c r="G53" s="13"/>
      <c r="H53" s="13"/>
      <c r="I53" s="13"/>
      <c r="J53" s="13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3.19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985060</v>
      </c>
      <c r="B63" s="13" t="s">
        <v>453</v>
      </c>
      <c r="C63" s="13"/>
      <c r="D63" s="73"/>
      <c r="E63" s="73">
        <v>1.55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470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 t="s">
        <v>62</v>
      </c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3.29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3.99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0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17">
        <v>980211</v>
      </c>
      <c r="B148" s="117" t="s">
        <v>722</v>
      </c>
      <c r="C148" s="117"/>
      <c r="D148" s="118">
        <v>2.79</v>
      </c>
      <c r="E148" s="118">
        <v>3.99</v>
      </c>
      <c r="F148" s="117" t="s">
        <v>400</v>
      </c>
      <c r="G148" s="117" t="s">
        <v>51</v>
      </c>
      <c r="H148" s="117" t="s">
        <v>52</v>
      </c>
      <c r="I148" s="117"/>
      <c r="J148" s="117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3.98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 t="s">
        <v>479</v>
      </c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470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470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1.99</v>
      </c>
      <c r="F209" s="13" t="s">
        <v>678</v>
      </c>
      <c r="G209" s="13"/>
      <c r="H209" s="13"/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40" x14ac:dyDescent="0.4">
      <c r="A216" s="117">
        <v>987590</v>
      </c>
      <c r="B216" s="117" t="s">
        <v>104</v>
      </c>
      <c r="C216" s="117"/>
      <c r="D216" s="118">
        <v>1.59</v>
      </c>
      <c r="E216" s="118">
        <v>1.28</v>
      </c>
      <c r="F216" s="117" t="s">
        <v>679</v>
      </c>
      <c r="G216" s="117" t="s">
        <v>6</v>
      </c>
      <c r="H216" s="117" t="s">
        <v>41</v>
      </c>
      <c r="I216" s="147">
        <v>44821</v>
      </c>
      <c r="J216" s="117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40" x14ac:dyDescent="0.4">
      <c r="A226" s="13">
        <v>986400</v>
      </c>
      <c r="B226" s="13" t="s">
        <v>588</v>
      </c>
      <c r="C226" s="13"/>
      <c r="D226" s="73">
        <v>1.98</v>
      </c>
      <c r="E226" s="73">
        <v>1.59</v>
      </c>
      <c r="F226" s="13" t="s">
        <v>681</v>
      </c>
      <c r="G226" s="13"/>
      <c r="H226" s="13" t="s">
        <v>41</v>
      </c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/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6.49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17">
        <v>987260</v>
      </c>
      <c r="B245" s="117" t="s">
        <v>114</v>
      </c>
      <c r="C245" s="117"/>
      <c r="D245" s="118">
        <v>1.89</v>
      </c>
      <c r="E245" s="118">
        <v>3.52</v>
      </c>
      <c r="F245" s="117" t="s">
        <v>683</v>
      </c>
      <c r="G245" s="117" t="s">
        <v>51</v>
      </c>
      <c r="H245" s="117" t="s">
        <v>52</v>
      </c>
      <c r="I245" s="117"/>
      <c r="J245" s="117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/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20" x14ac:dyDescent="0.4">
      <c r="A253" s="13">
        <v>995186</v>
      </c>
      <c r="B253" s="13" t="s">
        <v>689</v>
      </c>
      <c r="C253" s="13" t="s">
        <v>462</v>
      </c>
      <c r="D253" s="73"/>
      <c r="E253" s="73">
        <v>2.99</v>
      </c>
      <c r="F253" s="13" t="s">
        <v>740</v>
      </c>
      <c r="G253" s="13"/>
      <c r="H253" s="13"/>
      <c r="I253" s="13"/>
      <c r="J253" s="13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995206</v>
      </c>
      <c r="B257" s="13" t="s">
        <v>738</v>
      </c>
      <c r="C257" s="13"/>
      <c r="D257" s="73"/>
      <c r="E257" s="73">
        <v>3.99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3.35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4.9800000000000004</v>
      </c>
      <c r="F270" s="13" t="s">
        <v>685</v>
      </c>
      <c r="G270" s="13"/>
      <c r="H270" s="13"/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 t="s">
        <v>7</v>
      </c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3 D3:E3 G3:J3">
    <cfRule type="expression" dxfId="90" priority="1002" stopIfTrue="1">
      <formula>AND(OR(NOT(ISERROR(FIND("YB",#REF!))),NOT(ISERROR(FIND("YNB",#REF!)))),AND(ISERROR(FIND("SB",#REF!)),ISERROR(FIND("SNB",#REF!))))</formula>
    </cfRule>
    <cfRule type="expression" dxfId="89" priority="1003" stopIfTrue="1">
      <formula>NOT(ISERROR(FIND("B",#REF!)))</formula>
    </cfRule>
  </conditionalFormatting>
  <conditionalFormatting sqref="K4">
    <cfRule type="expression" dxfId="88" priority="996" stopIfTrue="1">
      <formula>AND(OR(NOT(ISERROR(FIND("YB",#REF!))),NOT(ISERROR(FIND("YNB",#REF!)))),AND(ISERROR(FIND("SB",#REF!)),ISERROR(FIND("SNB",#REF!))))</formula>
    </cfRule>
    <cfRule type="expression" dxfId="87" priority="997" stopIfTrue="1">
      <formula>NOT(ISERROR(FIND("B",#REF!)))</formula>
    </cfRule>
  </conditionalFormatting>
  <conditionalFormatting sqref="F3">
    <cfRule type="expression" dxfId="86" priority="1000" stopIfTrue="1">
      <formula>AND(OR(NOT(ISERROR(FIND("YB",#REF!))),NOT(ISERROR(FIND("YNB",#REF!)))),AND(ISERROR(FIND("SB",#REF!)),ISERROR(FIND("SNB",#REF!))))</formula>
    </cfRule>
    <cfRule type="expression" dxfId="85" priority="1001" stopIfTrue="1">
      <formula>NOT(ISERROR(FIND("B",#REF!)))</formula>
    </cfRule>
  </conditionalFormatting>
  <conditionalFormatting sqref="A4:J4">
    <cfRule type="expression" dxfId="84" priority="998" stopIfTrue="1">
      <formula>AND(OR(NOT(ISERROR(FIND("YB",#REF!))),NOT(ISERROR(FIND("YNB",#REF!)))),AND(ISERROR(FIND("SB",#REF!)),ISERROR(FIND("SNB",#REF!))))</formula>
    </cfRule>
    <cfRule type="expression" dxfId="83" priority="99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92D05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F14" sqref="F14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142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3.49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995005</v>
      </c>
      <c r="B28" s="13" t="s">
        <v>56</v>
      </c>
      <c r="C28" s="13" t="s">
        <v>462</v>
      </c>
      <c r="D28" s="73"/>
      <c r="E28" s="73">
        <v>1.78</v>
      </c>
      <c r="F28" s="13" t="s">
        <v>40</v>
      </c>
      <c r="G28" s="13"/>
      <c r="H28" s="13"/>
      <c r="I28" s="13"/>
      <c r="J28" s="13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20" x14ac:dyDescent="0.4">
      <c r="A37" s="13">
        <v>995015</v>
      </c>
      <c r="B37" s="13" t="s">
        <v>711</v>
      </c>
      <c r="C37" s="13"/>
      <c r="D37" s="73"/>
      <c r="E37" s="73">
        <v>3.47</v>
      </c>
      <c r="F37" s="13" t="s">
        <v>40</v>
      </c>
      <c r="G37" s="13"/>
      <c r="H37" s="13"/>
      <c r="I37" s="13"/>
      <c r="J37" s="13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4.49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3">
        <v>995131</v>
      </c>
      <c r="B53" s="13" t="s">
        <v>397</v>
      </c>
      <c r="C53" s="13"/>
      <c r="D53" s="73"/>
      <c r="E53" s="73">
        <v>3.13</v>
      </c>
      <c r="F53" s="13" t="s">
        <v>40</v>
      </c>
      <c r="G53" s="13"/>
      <c r="H53" s="13"/>
      <c r="I53" s="13"/>
      <c r="J53" s="13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3.19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985060</v>
      </c>
      <c r="B63" s="13" t="s">
        <v>453</v>
      </c>
      <c r="C63" s="13"/>
      <c r="D63" s="73"/>
      <c r="E63" s="73">
        <v>1.55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470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 t="s">
        <v>62</v>
      </c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3.29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3.99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0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17">
        <v>980211</v>
      </c>
      <c r="B148" s="117" t="s">
        <v>722</v>
      </c>
      <c r="C148" s="117"/>
      <c r="D148" s="118">
        <v>2.79</v>
      </c>
      <c r="E148" s="118">
        <v>3.99</v>
      </c>
      <c r="F148" s="117" t="s">
        <v>400</v>
      </c>
      <c r="G148" s="117" t="s">
        <v>51</v>
      </c>
      <c r="H148" s="117" t="s">
        <v>52</v>
      </c>
      <c r="I148" s="117"/>
      <c r="J148" s="117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3.98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 t="s">
        <v>479</v>
      </c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470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470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1.99</v>
      </c>
      <c r="F209" s="13" t="s">
        <v>678</v>
      </c>
      <c r="G209" s="13"/>
      <c r="H209" s="13"/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40" x14ac:dyDescent="0.4">
      <c r="A216" s="117">
        <v>987590</v>
      </c>
      <c r="B216" s="117" t="s">
        <v>104</v>
      </c>
      <c r="C216" s="117"/>
      <c r="D216" s="118">
        <v>1.59</v>
      </c>
      <c r="E216" s="118">
        <v>1.28</v>
      </c>
      <c r="F216" s="117" t="s">
        <v>679</v>
      </c>
      <c r="G216" s="117" t="s">
        <v>6</v>
      </c>
      <c r="H216" s="117" t="s">
        <v>41</v>
      </c>
      <c r="I216" s="147">
        <v>44821</v>
      </c>
      <c r="J216" s="117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40" x14ac:dyDescent="0.4">
      <c r="A226" s="13">
        <v>986400</v>
      </c>
      <c r="B226" s="13" t="s">
        <v>588</v>
      </c>
      <c r="C226" s="13"/>
      <c r="D226" s="73">
        <v>1.98</v>
      </c>
      <c r="E226" s="73">
        <v>1.59</v>
      </c>
      <c r="F226" s="13" t="s">
        <v>681</v>
      </c>
      <c r="G226" s="13"/>
      <c r="H226" s="13" t="s">
        <v>41</v>
      </c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/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6.49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17">
        <v>987260</v>
      </c>
      <c r="B245" s="117" t="s">
        <v>114</v>
      </c>
      <c r="C245" s="117"/>
      <c r="D245" s="118">
        <v>1.89</v>
      </c>
      <c r="E245" s="118">
        <v>3.52</v>
      </c>
      <c r="F245" s="117" t="s">
        <v>683</v>
      </c>
      <c r="G245" s="117" t="s">
        <v>51</v>
      </c>
      <c r="H245" s="117" t="s">
        <v>52</v>
      </c>
      <c r="I245" s="117"/>
      <c r="J245" s="117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/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20" x14ac:dyDescent="0.4">
      <c r="A253" s="13">
        <v>995186</v>
      </c>
      <c r="B253" s="13" t="s">
        <v>689</v>
      </c>
      <c r="C253" s="13" t="s">
        <v>462</v>
      </c>
      <c r="D253" s="73"/>
      <c r="E253" s="73">
        <v>2.99</v>
      </c>
      <c r="F253" s="13" t="s">
        <v>740</v>
      </c>
      <c r="G253" s="13"/>
      <c r="H253" s="13"/>
      <c r="I253" s="13"/>
      <c r="J253" s="13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995206</v>
      </c>
      <c r="B257" s="13" t="s">
        <v>738</v>
      </c>
      <c r="C257" s="13"/>
      <c r="D257" s="73"/>
      <c r="E257" s="73">
        <v>3.99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3.35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4.9800000000000004</v>
      </c>
      <c r="F270" s="13" t="s">
        <v>685</v>
      </c>
      <c r="G270" s="13"/>
      <c r="H270" s="13"/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 t="s">
        <v>7</v>
      </c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3 D3:E3 G3:J3">
    <cfRule type="expression" dxfId="82" priority="979" stopIfTrue="1">
      <formula>AND(OR(NOT(ISERROR(FIND("YB",#REF!))),NOT(ISERROR(FIND("YNB",#REF!)))),AND(ISERROR(FIND("SB",#REF!)),ISERROR(FIND("SNB",#REF!))))</formula>
    </cfRule>
    <cfRule type="expression" dxfId="81" priority="980" stopIfTrue="1">
      <formula>NOT(ISERROR(FIND("B",#REF!)))</formula>
    </cfRule>
  </conditionalFormatting>
  <conditionalFormatting sqref="K4">
    <cfRule type="expression" dxfId="80" priority="973" stopIfTrue="1">
      <formula>AND(OR(NOT(ISERROR(FIND("YB",#REF!))),NOT(ISERROR(FIND("YNB",#REF!)))),AND(ISERROR(FIND("SB",#REF!)),ISERROR(FIND("SNB",#REF!))))</formula>
    </cfRule>
    <cfRule type="expression" dxfId="79" priority="974" stopIfTrue="1">
      <formula>NOT(ISERROR(FIND("B",#REF!)))</formula>
    </cfRule>
  </conditionalFormatting>
  <conditionalFormatting sqref="F3">
    <cfRule type="expression" dxfId="78" priority="977" stopIfTrue="1">
      <formula>AND(OR(NOT(ISERROR(FIND("YB",#REF!))),NOT(ISERROR(FIND("YNB",#REF!)))),AND(ISERROR(FIND("SB",#REF!)),ISERROR(FIND("SNB",#REF!))))</formula>
    </cfRule>
    <cfRule type="expression" dxfId="77" priority="978" stopIfTrue="1">
      <formula>NOT(ISERROR(FIND("B",#REF!)))</formula>
    </cfRule>
  </conditionalFormatting>
  <conditionalFormatting sqref="A4:J4">
    <cfRule type="expression" dxfId="76" priority="975" stopIfTrue="1">
      <formula>AND(OR(NOT(ISERROR(FIND("YB",#REF!))),NOT(ISERROR(FIND("YNB",#REF!)))),AND(ISERROR(FIND("SB",#REF!)),ISERROR(FIND("SNB",#REF!))))</formula>
    </cfRule>
    <cfRule type="expression" dxfId="75" priority="9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>
    <tabColor rgb="FF92D050"/>
    <pageSetUpPr fitToPage="1"/>
  </sheetPr>
  <dimension ref="A1:K327"/>
  <sheetViews>
    <sheetView zoomScale="70" zoomScaleNormal="70" workbookViewId="0">
      <pane ySplit="4" topLeftCell="A47" activePane="bottomLeft" state="frozen"/>
      <selection activeCell="C8" sqref="C8"/>
      <selection pane="bottomLeft" activeCell="F317" sqref="F317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384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0.66</v>
      </c>
      <c r="E5" s="153">
        <v>0.45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3.29</v>
      </c>
      <c r="E6" s="153">
        <v>2.29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3.29</v>
      </c>
      <c r="E7" s="153">
        <v>1.69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4.09</v>
      </c>
      <c r="E9" s="153">
        <v>2.99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20" x14ac:dyDescent="0.4">
      <c r="A11" s="151">
        <v>248459</v>
      </c>
      <c r="B11" s="151" t="s">
        <v>767</v>
      </c>
      <c r="C11" s="151"/>
      <c r="D11" s="153"/>
      <c r="E11" s="153">
        <v>4.99</v>
      </c>
      <c r="F11" s="151"/>
      <c r="G11" s="151" t="s">
        <v>6</v>
      </c>
      <c r="H11" s="151" t="s">
        <v>7</v>
      </c>
      <c r="I11" s="152">
        <v>44824</v>
      </c>
      <c r="J11" s="151" t="s">
        <v>768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3.49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2.79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2.89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2.79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3.79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3.79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3.79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3.49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4.79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995000</v>
      </c>
      <c r="B28" s="13" t="s">
        <v>83</v>
      </c>
      <c r="C28" s="13" t="s">
        <v>462</v>
      </c>
      <c r="D28" s="73"/>
      <c r="E28" s="73">
        <v>2.99</v>
      </c>
      <c r="F28" s="13" t="s">
        <v>40</v>
      </c>
      <c r="G28" s="13"/>
      <c r="H28" s="13"/>
      <c r="I28" s="13"/>
      <c r="J28" s="13"/>
      <c r="K28" s="13"/>
    </row>
    <row r="29" spans="1:11" ht="20" x14ac:dyDescent="0.4">
      <c r="A29" s="13">
        <v>995005</v>
      </c>
      <c r="B29" s="13" t="s">
        <v>56</v>
      </c>
      <c r="C29" s="13" t="s">
        <v>462</v>
      </c>
      <c r="D29" s="73"/>
      <c r="E29" s="73">
        <v>1.89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995210</v>
      </c>
      <c r="B30" s="13" t="s">
        <v>783</v>
      </c>
      <c r="C30" s="13" t="s">
        <v>462</v>
      </c>
      <c r="D30" s="73"/>
      <c r="E30" s="73">
        <v>3.09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3.79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4.99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3.79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3.79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3.79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995108</v>
      </c>
      <c r="B36" s="13" t="s">
        <v>714</v>
      </c>
      <c r="C36" s="13"/>
      <c r="D36" s="73"/>
      <c r="E36" s="73">
        <v>3.79</v>
      </c>
      <c r="F36" s="13" t="s">
        <v>40</v>
      </c>
      <c r="G36" s="13"/>
      <c r="H36" s="13"/>
      <c r="I36" s="13"/>
      <c r="J36" s="13"/>
      <c r="K36" s="13"/>
    </row>
    <row r="37" spans="1:11" ht="20" x14ac:dyDescent="0.4">
      <c r="A37" s="13">
        <v>995111</v>
      </c>
      <c r="B37" s="13" t="s">
        <v>772</v>
      </c>
      <c r="C37" s="13" t="s">
        <v>462</v>
      </c>
      <c r="D37" s="73"/>
      <c r="E37" s="73">
        <v>3.79</v>
      </c>
      <c r="F37" s="13" t="s">
        <v>40</v>
      </c>
      <c r="G37" s="13"/>
      <c r="H37" s="13"/>
      <c r="I37" s="13"/>
      <c r="J37" s="13"/>
      <c r="K37" s="13"/>
    </row>
    <row r="38" spans="1:11" ht="20" x14ac:dyDescent="0.4">
      <c r="A38" s="13">
        <v>995015</v>
      </c>
      <c r="B38" s="13" t="s">
        <v>711</v>
      </c>
      <c r="C38" s="13"/>
      <c r="D38" s="73"/>
      <c r="E38" s="73">
        <v>3.79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3.79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3.49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3.49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5.79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4.79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2.69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2.19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3.79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3">
        <v>995018</v>
      </c>
      <c r="B47" s="13" t="s">
        <v>450</v>
      </c>
      <c r="C47" s="13" t="s">
        <v>462</v>
      </c>
      <c r="D47" s="73"/>
      <c r="E47" s="73">
        <v>5.79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3.79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5.79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3.79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4.99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4.99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3.49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3.49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3.19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995027</v>
      </c>
      <c r="B56" s="13" t="s">
        <v>426</v>
      </c>
      <c r="C56" s="13" t="s">
        <v>462</v>
      </c>
      <c r="D56" s="73"/>
      <c r="E56" s="73">
        <v>4.99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2.89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2.29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3.79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5.79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5.79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3.29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4.49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1.79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2.99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2.99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2.4900000000000002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470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2.4900000000000002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1.99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4.79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5.39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4.79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0.99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0.99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2.99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3.29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6.69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2.99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3.99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995085</v>
      </c>
      <c r="B88" s="13" t="s">
        <v>49</v>
      </c>
      <c r="C88" s="13" t="s">
        <v>462</v>
      </c>
      <c r="D88" s="73"/>
      <c r="E88" s="73">
        <v>3.29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3.49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2.99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3.29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4.29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3.69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3.69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1.89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2.59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2.99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6.19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3.29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3.79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2.4900000000000002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2.69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2.29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2.39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2.79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2.89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3.49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4.17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3.59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4.29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5.33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6.29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5.29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4.99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4.99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3.29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5.39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3.99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5.59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4.99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5.99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3.49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3.79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6.49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3.49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5.48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2.29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5.98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2.29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5.98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2.29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3.49</v>
      </c>
      <c r="E149" s="118">
        <v>4.99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5.49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4.99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4.99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3.99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0.5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20" x14ac:dyDescent="0.4">
      <c r="A157" s="13">
        <v>983101</v>
      </c>
      <c r="B157" s="13" t="s">
        <v>618</v>
      </c>
      <c r="C157" s="13"/>
      <c r="D157" s="73"/>
      <c r="E157" s="73">
        <v>3.19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4.29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4.99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4.49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3.29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4.28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4.28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3.29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4.8899999999999997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1.99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2.99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3.88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1.99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2.39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1.29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5.49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4.99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 t="s">
        <v>479</v>
      </c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4.6900000000000004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4.29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470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0.5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470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2.99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983531</v>
      </c>
      <c r="B189" s="13" t="s">
        <v>429</v>
      </c>
      <c r="C189" s="13"/>
      <c r="D189" s="73"/>
      <c r="E189" s="73">
        <v>1.39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983610</v>
      </c>
      <c r="B190" s="13" t="s">
        <v>431</v>
      </c>
      <c r="C190" s="13"/>
      <c r="D190" s="73"/>
      <c r="E190" s="73">
        <v>1.29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983651</v>
      </c>
      <c r="B191" s="13" t="s">
        <v>694</v>
      </c>
      <c r="C191" s="13"/>
      <c r="D191" s="73"/>
      <c r="E191" s="73">
        <v>0.99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983672</v>
      </c>
      <c r="B192" s="13" t="s">
        <v>726</v>
      </c>
      <c r="C192" s="13"/>
      <c r="D192" s="73"/>
      <c r="E192" s="73">
        <v>4.78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983721</v>
      </c>
      <c r="B193" s="13" t="s">
        <v>469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983725</v>
      </c>
      <c r="B194" s="13" t="s">
        <v>698</v>
      </c>
      <c r="C194" s="13"/>
      <c r="D194" s="73"/>
      <c r="E194" s="73">
        <v>2.99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983763</v>
      </c>
      <c r="B195" s="13" t="s">
        <v>467</v>
      </c>
      <c r="C195" s="13"/>
      <c r="D195" s="73"/>
      <c r="E195" s="73">
        <v>2.2799999999999998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984005</v>
      </c>
      <c r="B196" s="13" t="s">
        <v>755</v>
      </c>
      <c r="C196" s="13"/>
      <c r="D196" s="73"/>
      <c r="E196" s="73">
        <v>2.99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984032</v>
      </c>
      <c r="B197" s="13" t="s">
        <v>94</v>
      </c>
      <c r="C197" s="13"/>
      <c r="D197" s="73"/>
      <c r="E197" s="73">
        <v>1.47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984050</v>
      </c>
      <c r="B198" s="13" t="s">
        <v>95</v>
      </c>
      <c r="C198" s="13"/>
      <c r="D198" s="73"/>
      <c r="E198" s="73">
        <v>1.1299999999999999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984071</v>
      </c>
      <c r="B199" s="13" t="s">
        <v>756</v>
      </c>
      <c r="C199" s="13"/>
      <c r="D199" s="73"/>
      <c r="E199" s="73">
        <v>5.99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984161</v>
      </c>
      <c r="B200" s="13" t="s">
        <v>716</v>
      </c>
      <c r="C200" s="13"/>
      <c r="D200" s="73"/>
      <c r="E200" s="73">
        <v>2.48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984910</v>
      </c>
      <c r="B201" s="13" t="s">
        <v>616</v>
      </c>
      <c r="C201" s="13"/>
      <c r="D201" s="73"/>
      <c r="E201" s="73">
        <v>6.29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984911</v>
      </c>
      <c r="B202" s="13" t="s">
        <v>672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984912</v>
      </c>
      <c r="B203" s="13" t="s">
        <v>673</v>
      </c>
      <c r="C203" s="13"/>
      <c r="D203" s="73"/>
      <c r="E203" s="73">
        <v>5.99</v>
      </c>
      <c r="F203" s="13" t="s">
        <v>676</v>
      </c>
      <c r="G203" s="13"/>
      <c r="H203" s="13"/>
      <c r="I203" s="13"/>
      <c r="J203" s="13"/>
      <c r="K203" s="13"/>
    </row>
    <row r="204" spans="1:11" ht="20" x14ac:dyDescent="0.4">
      <c r="A204" s="13">
        <v>985601</v>
      </c>
      <c r="B204" s="13" t="s">
        <v>432</v>
      </c>
      <c r="C204" s="13"/>
      <c r="D204" s="73"/>
      <c r="E204" s="73">
        <v>0.83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985612</v>
      </c>
      <c r="B205" s="13" t="s">
        <v>101</v>
      </c>
      <c r="C205" s="13"/>
      <c r="D205" s="73"/>
      <c r="E205" s="73">
        <v>2.4900000000000002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985613</v>
      </c>
      <c r="B206" s="13" t="s">
        <v>612</v>
      </c>
      <c r="C206" s="13"/>
      <c r="D206" s="73"/>
      <c r="E206" s="73">
        <v>2.99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985614</v>
      </c>
      <c r="B207" s="13" t="s">
        <v>709</v>
      </c>
      <c r="C207" s="13"/>
      <c r="D207" s="73"/>
      <c r="E207" s="73">
        <v>4.29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985630</v>
      </c>
      <c r="B208" s="13" t="s">
        <v>457</v>
      </c>
      <c r="C208" s="13"/>
      <c r="D208" s="73"/>
      <c r="E208" s="73">
        <v>2.46</v>
      </c>
      <c r="F208" s="13" t="s">
        <v>677</v>
      </c>
      <c r="G208" s="13"/>
      <c r="H208" s="13"/>
      <c r="I208" s="13"/>
      <c r="J208" s="13"/>
      <c r="K208" s="13"/>
    </row>
    <row r="209" spans="1:11" ht="20" x14ac:dyDescent="0.4">
      <c r="A209" s="13">
        <v>985701</v>
      </c>
      <c r="B209" s="13" t="s">
        <v>468</v>
      </c>
      <c r="C209" s="13"/>
      <c r="D209" s="73"/>
      <c r="E209" s="73">
        <v>1.69</v>
      </c>
      <c r="F209" s="13" t="s">
        <v>678</v>
      </c>
      <c r="G209" s="13"/>
      <c r="H209" s="13"/>
      <c r="I209" s="13"/>
      <c r="J209" s="13"/>
      <c r="K209" s="13"/>
    </row>
    <row r="210" spans="1:11" ht="20" x14ac:dyDescent="0.4">
      <c r="A210" s="13">
        <v>985702</v>
      </c>
      <c r="B210" s="13" t="s">
        <v>733</v>
      </c>
      <c r="C210" s="13"/>
      <c r="D210" s="73"/>
      <c r="E210" s="73">
        <v>2.29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987560</v>
      </c>
      <c r="B211" s="13" t="s">
        <v>102</v>
      </c>
      <c r="C211" s="13"/>
      <c r="D211" s="73"/>
      <c r="E211" s="73">
        <v>1.89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987900</v>
      </c>
      <c r="B212" s="13" t="s">
        <v>455</v>
      </c>
      <c r="C212" s="13"/>
      <c r="D212" s="73"/>
      <c r="E212" s="73">
        <v>1.69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988490</v>
      </c>
      <c r="B213" s="13" t="s">
        <v>460</v>
      </c>
      <c r="C213" s="13"/>
      <c r="D213" s="73"/>
      <c r="E213" s="73">
        <v>0.89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988571</v>
      </c>
      <c r="B214" s="13" t="s">
        <v>441</v>
      </c>
      <c r="C214" s="13"/>
      <c r="D214" s="73"/>
      <c r="E214" s="73">
        <v>2.79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988620</v>
      </c>
      <c r="B215" s="13" t="s">
        <v>103</v>
      </c>
      <c r="C215" s="13"/>
      <c r="D215" s="73"/>
      <c r="E215" s="73">
        <v>2.89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988650</v>
      </c>
      <c r="B216" s="13" t="s">
        <v>592</v>
      </c>
      <c r="C216" s="13"/>
      <c r="D216" s="73"/>
      <c r="E216" s="73">
        <v>1.29</v>
      </c>
      <c r="F216" s="13" t="s">
        <v>678</v>
      </c>
      <c r="G216" s="13"/>
      <c r="H216" s="13"/>
      <c r="I216" s="13"/>
      <c r="J216" s="13"/>
      <c r="K216" s="13"/>
    </row>
    <row r="217" spans="1:11" ht="40" x14ac:dyDescent="0.4">
      <c r="A217" s="117">
        <v>987590</v>
      </c>
      <c r="B217" s="117" t="s">
        <v>104</v>
      </c>
      <c r="C217" s="117"/>
      <c r="D217" s="118">
        <v>1.99</v>
      </c>
      <c r="E217" s="118">
        <v>1.6</v>
      </c>
      <c r="F217" s="117" t="s">
        <v>679</v>
      </c>
      <c r="G217" s="117" t="s">
        <v>6</v>
      </c>
      <c r="H217" s="117" t="s">
        <v>41</v>
      </c>
      <c r="I217" s="147">
        <v>44821</v>
      </c>
      <c r="J217" s="117"/>
      <c r="K217" s="13"/>
    </row>
    <row r="218" spans="1:11" ht="20" x14ac:dyDescent="0.4">
      <c r="A218" s="13">
        <v>987593</v>
      </c>
      <c r="B218" s="13" t="s">
        <v>725</v>
      </c>
      <c r="C218" s="13" t="s">
        <v>462</v>
      </c>
      <c r="D218" s="73"/>
      <c r="E218" s="73">
        <v>2.69</v>
      </c>
      <c r="F218" s="13" t="s">
        <v>679</v>
      </c>
      <c r="G218" s="13"/>
      <c r="H218" s="13"/>
      <c r="I218" s="13"/>
      <c r="J218" s="13"/>
      <c r="K218" s="13"/>
    </row>
    <row r="219" spans="1:11" ht="20" x14ac:dyDescent="0.4">
      <c r="A219" s="13">
        <v>985650</v>
      </c>
      <c r="B219" s="13" t="s">
        <v>440</v>
      </c>
      <c r="C219" s="13"/>
      <c r="D219" s="73"/>
      <c r="E219" s="73">
        <v>1.69</v>
      </c>
      <c r="F219" s="13" t="s">
        <v>680</v>
      </c>
      <c r="G219" s="13"/>
      <c r="H219" s="13"/>
      <c r="I219" s="13"/>
      <c r="J219" s="13"/>
      <c r="K219" s="13"/>
    </row>
    <row r="220" spans="1:11" ht="20" x14ac:dyDescent="0.4">
      <c r="A220" s="117">
        <v>986090</v>
      </c>
      <c r="B220" s="117" t="s">
        <v>835</v>
      </c>
      <c r="C220" s="117"/>
      <c r="D220" s="118"/>
      <c r="E220" s="118">
        <v>3.79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986120</v>
      </c>
      <c r="B221" s="117" t="s">
        <v>836</v>
      </c>
      <c r="C221" s="117"/>
      <c r="D221" s="118"/>
      <c r="E221" s="118">
        <v>3.79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986140</v>
      </c>
      <c r="B222" s="117" t="s">
        <v>837</v>
      </c>
      <c r="C222" s="117"/>
      <c r="D222" s="118"/>
      <c r="E222" s="118">
        <v>2.98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17">
        <v>986211</v>
      </c>
      <c r="B223" s="117" t="s">
        <v>838</v>
      </c>
      <c r="C223" s="117"/>
      <c r="D223" s="118"/>
      <c r="E223" s="118">
        <v>3.79</v>
      </c>
      <c r="F223" s="117" t="s">
        <v>680</v>
      </c>
      <c r="G223" s="117" t="s">
        <v>16</v>
      </c>
      <c r="H223" s="117" t="s">
        <v>473</v>
      </c>
      <c r="I223" s="117"/>
      <c r="J223" s="117" t="s">
        <v>834</v>
      </c>
      <c r="K223" s="13"/>
    </row>
    <row r="224" spans="1:11" ht="20" x14ac:dyDescent="0.4">
      <c r="A224" s="13">
        <v>987730</v>
      </c>
      <c r="B224" s="13" t="s">
        <v>610</v>
      </c>
      <c r="C224" s="13"/>
      <c r="D224" s="73"/>
      <c r="E224" s="73">
        <v>1.29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987760</v>
      </c>
      <c r="B225" s="13" t="s">
        <v>581</v>
      </c>
      <c r="C225" s="13"/>
      <c r="D225" s="73"/>
      <c r="E225" s="73">
        <v>1.29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987790</v>
      </c>
      <c r="B226" s="13" t="s">
        <v>466</v>
      </c>
      <c r="C226" s="13"/>
      <c r="D226" s="73"/>
      <c r="E226" s="73">
        <v>1.69</v>
      </c>
      <c r="F226" s="13" t="s">
        <v>680</v>
      </c>
      <c r="G226" s="13"/>
      <c r="H226" s="13"/>
      <c r="I226" s="13"/>
      <c r="J226" s="13"/>
      <c r="K226" s="13"/>
    </row>
    <row r="227" spans="1:11" ht="40" x14ac:dyDescent="0.4">
      <c r="A227" s="13">
        <v>986400</v>
      </c>
      <c r="B227" s="13" t="s">
        <v>588</v>
      </c>
      <c r="C227" s="13"/>
      <c r="D227" s="73">
        <v>1.98</v>
      </c>
      <c r="E227" s="73">
        <v>1.59</v>
      </c>
      <c r="F227" s="13" t="s">
        <v>681</v>
      </c>
      <c r="G227" s="13"/>
      <c r="H227" s="13" t="s">
        <v>41</v>
      </c>
      <c r="I227" s="13"/>
      <c r="J227" s="13"/>
      <c r="K227" s="13"/>
    </row>
    <row r="228" spans="1:11" ht="20" x14ac:dyDescent="0.4">
      <c r="A228" s="13">
        <v>986405</v>
      </c>
      <c r="B228" s="13" t="s">
        <v>710</v>
      </c>
      <c r="C228" s="13"/>
      <c r="D228" s="73"/>
      <c r="E228" s="73">
        <v>4.99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986480</v>
      </c>
      <c r="B229" s="13" t="s">
        <v>572</v>
      </c>
      <c r="C229" s="13"/>
      <c r="D229" s="73"/>
      <c r="E229" s="73">
        <v>3.19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986650</v>
      </c>
      <c r="B230" s="13" t="s">
        <v>106</v>
      </c>
      <c r="C230" s="13"/>
      <c r="D230" s="73"/>
      <c r="E230" s="73">
        <v>1.49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986678</v>
      </c>
      <c r="B231" s="13" t="s">
        <v>585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986730</v>
      </c>
      <c r="B232" s="13" t="s">
        <v>107</v>
      </c>
      <c r="C232" s="13"/>
      <c r="D232" s="73"/>
      <c r="E232" s="73">
        <v>2.79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986785</v>
      </c>
      <c r="B233" s="13" t="s">
        <v>99</v>
      </c>
      <c r="C233" s="13"/>
      <c r="D233" s="73"/>
      <c r="E233" s="73">
        <v>3.49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986810</v>
      </c>
      <c r="B234" s="13" t="s">
        <v>108</v>
      </c>
      <c r="C234" s="13"/>
      <c r="D234" s="73"/>
      <c r="E234" s="73">
        <v>4.1900000000000004</v>
      </c>
      <c r="F234" s="13" t="s">
        <v>681</v>
      </c>
      <c r="G234" s="13"/>
      <c r="H234" s="13"/>
      <c r="I234" s="13"/>
      <c r="J234" s="13"/>
      <c r="K234" s="13"/>
    </row>
    <row r="235" spans="1:11" ht="20" x14ac:dyDescent="0.4">
      <c r="A235" s="13">
        <v>986811</v>
      </c>
      <c r="B235" s="13" t="s">
        <v>731</v>
      </c>
      <c r="C235" s="13"/>
      <c r="D235" s="73"/>
      <c r="E235" s="73">
        <v>2.99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986890</v>
      </c>
      <c r="B236" s="13" t="s">
        <v>109</v>
      </c>
      <c r="C236" s="13"/>
      <c r="D236" s="73"/>
      <c r="E236" s="73">
        <v>3.59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986915</v>
      </c>
      <c r="B237" s="13" t="s">
        <v>110</v>
      </c>
      <c r="C237" s="13"/>
      <c r="D237" s="73"/>
      <c r="E237" s="73">
        <v>3.19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986974</v>
      </c>
      <c r="B238" s="13" t="s">
        <v>578</v>
      </c>
      <c r="C238" s="13"/>
      <c r="D238" s="73"/>
      <c r="E238" s="73">
        <v>3.29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986975</v>
      </c>
      <c r="B239" s="13" t="s">
        <v>112</v>
      </c>
      <c r="C239" s="13"/>
      <c r="D239" s="73"/>
      <c r="E239" s="73">
        <v>6.49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987060</v>
      </c>
      <c r="B240" s="13" t="s">
        <v>614</v>
      </c>
      <c r="C240" s="13"/>
      <c r="D240" s="73"/>
      <c r="E240" s="73">
        <v>1.88</v>
      </c>
      <c r="F240" s="13" t="s">
        <v>681</v>
      </c>
      <c r="G240" s="13"/>
      <c r="H240" s="13" t="s">
        <v>479</v>
      </c>
      <c r="I240" s="13"/>
      <c r="J240" s="13"/>
      <c r="K240" s="13"/>
    </row>
    <row r="241" spans="1:11" ht="20" x14ac:dyDescent="0.4">
      <c r="A241" s="13">
        <v>983451</v>
      </c>
      <c r="B241" s="13" t="s">
        <v>452</v>
      </c>
      <c r="C241" s="13"/>
      <c r="D241" s="73"/>
      <c r="E241" s="73">
        <v>1.29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983470</v>
      </c>
      <c r="B242" s="13" t="s">
        <v>713</v>
      </c>
      <c r="C242" s="13"/>
      <c r="D242" s="73"/>
      <c r="E242" s="73">
        <v>4.49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983501</v>
      </c>
      <c r="B243" s="13" t="s">
        <v>98</v>
      </c>
      <c r="C243" s="13"/>
      <c r="D243" s="73"/>
      <c r="E243" s="73">
        <v>5.99</v>
      </c>
      <c r="F243" s="13" t="s">
        <v>682</v>
      </c>
      <c r="G243" s="13"/>
      <c r="H243" s="13"/>
      <c r="I243" s="13"/>
      <c r="J243" s="13"/>
      <c r="K243" s="13"/>
    </row>
    <row r="244" spans="1:11" ht="20" x14ac:dyDescent="0.4">
      <c r="A244" s="13">
        <v>987110</v>
      </c>
      <c r="B244" s="13" t="s">
        <v>113</v>
      </c>
      <c r="C244" s="13"/>
      <c r="D244" s="73"/>
      <c r="E244" s="73">
        <v>3.19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987211</v>
      </c>
      <c r="B245" s="13" t="s">
        <v>23</v>
      </c>
      <c r="C245" s="13"/>
      <c r="D245" s="73"/>
      <c r="E245" s="73">
        <v>2.69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17">
        <v>987260</v>
      </c>
      <c r="B246" s="117" t="s">
        <v>114</v>
      </c>
      <c r="C246" s="117"/>
      <c r="D246" s="118">
        <v>2.39</v>
      </c>
      <c r="E246" s="118">
        <v>3.99</v>
      </c>
      <c r="F246" s="117" t="s">
        <v>683</v>
      </c>
      <c r="G246" s="117" t="s">
        <v>51</v>
      </c>
      <c r="H246" s="117" t="s">
        <v>52</v>
      </c>
      <c r="I246" s="117"/>
      <c r="J246" s="117"/>
      <c r="K246" s="13"/>
    </row>
    <row r="247" spans="1:11" ht="20" x14ac:dyDescent="0.4">
      <c r="A247" s="13">
        <v>987261</v>
      </c>
      <c r="B247" s="13" t="s">
        <v>115</v>
      </c>
      <c r="C247" s="13"/>
      <c r="D247" s="73"/>
      <c r="E247" s="73">
        <v>3.79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987268</v>
      </c>
      <c r="B248" s="13" t="s">
        <v>574</v>
      </c>
      <c r="C248" s="13"/>
      <c r="D248" s="73"/>
      <c r="E248" s="73">
        <v>1.99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987290</v>
      </c>
      <c r="B249" s="13" t="s">
        <v>100</v>
      </c>
      <c r="C249" s="13"/>
      <c r="D249" s="73"/>
      <c r="E249" s="73">
        <v>3.89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987310</v>
      </c>
      <c r="B250" s="13" t="s">
        <v>116</v>
      </c>
      <c r="C250" s="13"/>
      <c r="D250" s="73"/>
      <c r="E250" s="73">
        <v>3.29</v>
      </c>
      <c r="F250" s="13" t="s">
        <v>683</v>
      </c>
      <c r="G250" s="13"/>
      <c r="H250" s="13"/>
      <c r="I250" s="13"/>
      <c r="J250" s="13"/>
      <c r="K250" s="13"/>
    </row>
    <row r="251" spans="1:11" ht="20" x14ac:dyDescent="0.4">
      <c r="A251" s="13">
        <v>987345</v>
      </c>
      <c r="B251" s="13" t="s">
        <v>669</v>
      </c>
      <c r="C251" s="13"/>
      <c r="D251" s="73"/>
      <c r="E251" s="73">
        <v>3.46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987360</v>
      </c>
      <c r="B252" s="13" t="s">
        <v>595</v>
      </c>
      <c r="C252" s="13"/>
      <c r="D252" s="73"/>
      <c r="E252" s="73">
        <v>0.99</v>
      </c>
      <c r="F252" s="13" t="s">
        <v>683</v>
      </c>
      <c r="G252" s="13"/>
      <c r="H252" s="13"/>
      <c r="I252" s="13"/>
      <c r="J252" s="13"/>
      <c r="K252" s="13"/>
    </row>
    <row r="253" spans="1:11" ht="20" x14ac:dyDescent="0.4">
      <c r="A253" s="13">
        <v>987361</v>
      </c>
      <c r="B253" s="13" t="s">
        <v>746</v>
      </c>
      <c r="C253" s="13"/>
      <c r="D253" s="73"/>
      <c r="E253" s="73">
        <v>4.99</v>
      </c>
      <c r="F253" s="13" t="s">
        <v>683</v>
      </c>
      <c r="G253" s="13"/>
      <c r="H253" s="13"/>
      <c r="I253" s="13"/>
      <c r="J253" s="13"/>
      <c r="K253" s="13"/>
    </row>
    <row r="254" spans="1:11" ht="20" x14ac:dyDescent="0.4">
      <c r="A254" s="13">
        <v>995186</v>
      </c>
      <c r="B254" s="13" t="s">
        <v>689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995188</v>
      </c>
      <c r="B255" s="13" t="s">
        <v>697</v>
      </c>
      <c r="C255" s="13" t="s">
        <v>462</v>
      </c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995202</v>
      </c>
      <c r="B256" s="13" t="s">
        <v>736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995203</v>
      </c>
      <c r="B257" s="13" t="s">
        <v>737</v>
      </c>
      <c r="C257" s="13"/>
      <c r="D257" s="73"/>
      <c r="E257" s="73">
        <v>2.99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995206</v>
      </c>
      <c r="B258" s="13" t="s">
        <v>738</v>
      </c>
      <c r="C258" s="13"/>
      <c r="D258" s="73"/>
      <c r="E258" s="73">
        <v>3.99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995208</v>
      </c>
      <c r="B259" s="13" t="s">
        <v>752</v>
      </c>
      <c r="C259" s="13" t="s">
        <v>462</v>
      </c>
      <c r="D259" s="73"/>
      <c r="E259" s="73">
        <v>3.27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995209</v>
      </c>
      <c r="B260" s="13" t="s">
        <v>753</v>
      </c>
      <c r="C260" s="13" t="s">
        <v>462</v>
      </c>
      <c r="D260" s="73"/>
      <c r="E260" s="73">
        <v>3.27</v>
      </c>
      <c r="F260" s="13" t="s">
        <v>740</v>
      </c>
      <c r="G260" s="13"/>
      <c r="H260" s="13"/>
      <c r="I260" s="13"/>
      <c r="J260" s="13"/>
      <c r="K260" s="13"/>
    </row>
    <row r="261" spans="1:11" ht="20" x14ac:dyDescent="0.4">
      <c r="A261" s="13">
        <v>985950</v>
      </c>
      <c r="B261" s="13" t="s">
        <v>117</v>
      </c>
      <c r="C261" s="13"/>
      <c r="D261" s="73"/>
      <c r="E261" s="73">
        <v>1.65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985990</v>
      </c>
      <c r="B262" s="13" t="s">
        <v>461</v>
      </c>
      <c r="C262" s="13"/>
      <c r="D262" s="73"/>
      <c r="E262" s="73">
        <v>2.99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989461</v>
      </c>
      <c r="B263" s="13" t="s">
        <v>119</v>
      </c>
      <c r="C263" s="13"/>
      <c r="D263" s="73"/>
      <c r="E263" s="73">
        <v>3.49</v>
      </c>
      <c r="F263" s="13" t="s">
        <v>684</v>
      </c>
      <c r="G263" s="13"/>
      <c r="H263" s="13"/>
      <c r="I263" s="13"/>
      <c r="J263" s="13"/>
      <c r="K263" s="13"/>
    </row>
    <row r="264" spans="1:11" ht="20" x14ac:dyDescent="0.4">
      <c r="A264" s="13">
        <v>989260</v>
      </c>
      <c r="B264" s="13" t="s">
        <v>120</v>
      </c>
      <c r="C264" s="13"/>
      <c r="D264" s="73"/>
      <c r="E264" s="73">
        <v>4.38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989280</v>
      </c>
      <c r="B265" s="13" t="s">
        <v>590</v>
      </c>
      <c r="C265" s="13"/>
      <c r="D265" s="73"/>
      <c r="E265" s="73">
        <v>3.49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989301</v>
      </c>
      <c r="B266" s="13" t="s">
        <v>786</v>
      </c>
      <c r="C266" s="13"/>
      <c r="D266" s="73"/>
      <c r="E266" s="73">
        <v>4.28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989330</v>
      </c>
      <c r="B267" s="13" t="s">
        <v>787</v>
      </c>
      <c r="C267" s="13"/>
      <c r="D267" s="73"/>
      <c r="E267" s="73">
        <v>3.49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989360</v>
      </c>
      <c r="B268" s="13" t="s">
        <v>121</v>
      </c>
      <c r="C268" s="13"/>
      <c r="D268" s="73"/>
      <c r="E268" s="73">
        <v>3.19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989489</v>
      </c>
      <c r="B269" s="13" t="s">
        <v>620</v>
      </c>
      <c r="C269" s="13"/>
      <c r="D269" s="73"/>
      <c r="E269" s="73">
        <v>1.69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989560</v>
      </c>
      <c r="B270" s="13" t="s">
        <v>122</v>
      </c>
      <c r="C270" s="13"/>
      <c r="D270" s="73"/>
      <c r="E270" s="73">
        <v>4.67</v>
      </c>
      <c r="F270" s="13" t="s">
        <v>685</v>
      </c>
      <c r="G270" s="13"/>
      <c r="H270" s="13"/>
      <c r="I270" s="13"/>
      <c r="J270" s="13"/>
      <c r="K270" s="13"/>
    </row>
    <row r="271" spans="1:11" ht="20" x14ac:dyDescent="0.4">
      <c r="A271" s="13">
        <v>989562</v>
      </c>
      <c r="B271" s="13" t="s">
        <v>577</v>
      </c>
      <c r="C271" s="13"/>
      <c r="D271" s="73"/>
      <c r="E271" s="73">
        <v>4.9800000000000004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989623</v>
      </c>
      <c r="B272" s="13" t="s">
        <v>447</v>
      </c>
      <c r="C272" s="13"/>
      <c r="D272" s="73"/>
      <c r="E272" s="73">
        <v>3.99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989660</v>
      </c>
      <c r="B273" s="13" t="s">
        <v>123</v>
      </c>
      <c r="C273" s="13"/>
      <c r="D273" s="73"/>
      <c r="E273" s="73">
        <v>6.68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989680</v>
      </c>
      <c r="B274" s="13" t="s">
        <v>692</v>
      </c>
      <c r="C274" s="13"/>
      <c r="D274" s="73"/>
      <c r="E274" s="73">
        <v>5.68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989710</v>
      </c>
      <c r="B275" s="13" t="s">
        <v>124</v>
      </c>
      <c r="C275" s="13"/>
      <c r="D275" s="73"/>
      <c r="E275" s="73">
        <v>5.98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989722</v>
      </c>
      <c r="B276" s="13" t="s">
        <v>419</v>
      </c>
      <c r="C276" s="13"/>
      <c r="D276" s="73"/>
      <c r="E276" s="73">
        <v>3.99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989760</v>
      </c>
      <c r="B277" s="13" t="s">
        <v>604</v>
      </c>
      <c r="C277" s="13"/>
      <c r="D277" s="73"/>
      <c r="E277" s="73">
        <v>3.97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989765</v>
      </c>
      <c r="B278" s="13" t="s">
        <v>439</v>
      </c>
      <c r="C278" s="13"/>
      <c r="D278" s="73"/>
      <c r="E278" s="73">
        <v>6.99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989800</v>
      </c>
      <c r="B279" s="13" t="s">
        <v>434</v>
      </c>
      <c r="C279" s="13"/>
      <c r="D279" s="73"/>
      <c r="E279" s="73">
        <v>0.99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989810</v>
      </c>
      <c r="B280" s="13" t="s">
        <v>125</v>
      </c>
      <c r="C280" s="13"/>
      <c r="D280" s="73"/>
      <c r="E280" s="73">
        <v>3.29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989813</v>
      </c>
      <c r="B281" s="13" t="s">
        <v>708</v>
      </c>
      <c r="C281" s="13"/>
      <c r="D281" s="73"/>
      <c r="E281" s="73">
        <v>4.78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989830</v>
      </c>
      <c r="B282" s="13" t="s">
        <v>629</v>
      </c>
      <c r="C282" s="13"/>
      <c r="D282" s="73"/>
      <c r="E282" s="73">
        <v>5.68</v>
      </c>
      <c r="F282" s="13" t="s">
        <v>685</v>
      </c>
      <c r="G282" s="13"/>
      <c r="H282" s="13"/>
      <c r="I282" s="13"/>
      <c r="J282" s="13"/>
      <c r="K282" s="13"/>
    </row>
    <row r="283" spans="1:11" ht="20" x14ac:dyDescent="0.4">
      <c r="A283" s="13">
        <v>989086</v>
      </c>
      <c r="B283" s="13" t="s">
        <v>118</v>
      </c>
      <c r="C283" s="13"/>
      <c r="D283" s="73"/>
      <c r="E283" s="73">
        <v>2.08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989210</v>
      </c>
      <c r="B284" s="13" t="s">
        <v>396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989211</v>
      </c>
      <c r="B285" s="13" t="s">
        <v>666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989212</v>
      </c>
      <c r="B286" s="13" t="s">
        <v>395</v>
      </c>
      <c r="C286" s="13"/>
      <c r="D286" s="73"/>
      <c r="E286" s="73">
        <v>3.49</v>
      </c>
      <c r="F286" s="13" t="s">
        <v>686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4.99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0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J1:K1"/>
    <mergeCell ref="A2:A3"/>
    <mergeCell ref="B2:B3"/>
    <mergeCell ref="C2:C3"/>
    <mergeCell ref="D2:E2"/>
  </mergeCells>
  <conditionalFormatting sqref="A3 D3:E3 G3:J3">
    <cfRule type="expression" dxfId="74" priority="12" stopIfTrue="1">
      <formula>AND(OR(NOT(ISERROR(FIND("YB",#REF!))),NOT(ISERROR(FIND("YNB",#REF!)))),AND(ISERROR(FIND("SB",#REF!)),ISERROR(FIND("SNB",#REF!))))</formula>
    </cfRule>
    <cfRule type="expression" dxfId="73" priority="13" stopIfTrue="1">
      <formula>NOT(ISERROR(FIND("B",#REF!)))</formula>
    </cfRule>
  </conditionalFormatting>
  <conditionalFormatting sqref="K4">
    <cfRule type="expression" dxfId="72" priority="6" stopIfTrue="1">
      <formula>AND(OR(NOT(ISERROR(FIND("YB",#REF!))),NOT(ISERROR(FIND("YNB",#REF!)))),AND(ISERROR(FIND("SB",#REF!)),ISERROR(FIND("SNB",#REF!))))</formula>
    </cfRule>
    <cfRule type="expression" dxfId="71" priority="7" stopIfTrue="1">
      <formula>NOT(ISERROR(FIND("B",#REF!)))</formula>
    </cfRule>
  </conditionalFormatting>
  <conditionalFormatting sqref="F3">
    <cfRule type="expression" dxfId="70" priority="10" stopIfTrue="1">
      <formula>AND(OR(NOT(ISERROR(FIND("YB",#REF!))),NOT(ISERROR(FIND("YNB",#REF!)))),AND(ISERROR(FIND("SB",#REF!)),ISERROR(FIND("SNB",#REF!))))</formula>
    </cfRule>
    <cfRule type="expression" dxfId="69" priority="11" stopIfTrue="1">
      <formula>NOT(ISERROR(FIND("B",#REF!)))</formula>
    </cfRule>
  </conditionalFormatting>
  <conditionalFormatting sqref="A4:J4">
    <cfRule type="expression" dxfId="68" priority="8" stopIfTrue="1">
      <formula>AND(OR(NOT(ISERROR(FIND("YB",#REF!))),NOT(ISERROR(FIND("YNB",#REF!)))),AND(ISERROR(FIND("SB",#REF!)),ISERROR(FIND("SNB",#REF!))))</formula>
    </cfRule>
    <cfRule type="expression" dxfId="67" priority="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>
    <tabColor rgb="FF92D050"/>
    <pageSetUpPr fitToPage="1"/>
  </sheetPr>
  <dimension ref="A1:M226"/>
  <sheetViews>
    <sheetView workbookViewId="0">
      <selection activeCell="J42" sqref="J42"/>
    </sheetView>
  </sheetViews>
  <sheetFormatPr defaultRowHeight="14.5" x14ac:dyDescent="0.35"/>
  <cols>
    <col min="1" max="1" width="4.7265625" bestFit="1" customWidth="1"/>
    <col min="2" max="2" width="8" bestFit="1" customWidth="1"/>
    <col min="3" max="3" width="32.7265625" customWidth="1"/>
    <col min="4" max="4" width="7" bestFit="1" customWidth="1"/>
    <col min="5" max="5" width="25" bestFit="1" customWidth="1"/>
    <col min="7" max="7" width="4.7265625" bestFit="1" customWidth="1"/>
    <col min="8" max="8" width="5" bestFit="1" customWidth="1"/>
    <col min="9" max="9" width="6.7265625" bestFit="1" customWidth="1"/>
    <col min="10" max="10" width="12" bestFit="1" customWidth="1"/>
    <col min="11" max="11" width="23" bestFit="1" customWidth="1"/>
    <col min="13" max="13" width="13" bestFit="1" customWidth="1"/>
  </cols>
  <sheetData>
    <row r="1" spans="1:13" ht="18.5" x14ac:dyDescent="0.45">
      <c r="A1" s="343" t="s">
        <v>5</v>
      </c>
      <c r="B1" s="343"/>
      <c r="C1" s="343"/>
      <c r="D1" s="343"/>
      <c r="E1" s="343"/>
      <c r="F1" s="343"/>
      <c r="G1" s="343"/>
      <c r="H1" s="343"/>
      <c r="I1" s="343"/>
      <c r="J1" s="343"/>
    </row>
    <row r="2" spans="1:13" ht="29" x14ac:dyDescent="0.35">
      <c r="A2" s="97" t="s">
        <v>20</v>
      </c>
      <c r="B2" s="97" t="s">
        <v>134</v>
      </c>
      <c r="C2" s="97" t="s">
        <v>135</v>
      </c>
      <c r="D2" s="97" t="s">
        <v>136</v>
      </c>
      <c r="E2" s="97" t="s">
        <v>13</v>
      </c>
      <c r="F2" s="97" t="s">
        <v>33</v>
      </c>
      <c r="G2" s="97" t="s">
        <v>15</v>
      </c>
      <c r="H2" s="97" t="s">
        <v>16</v>
      </c>
      <c r="I2" s="97" t="s">
        <v>166</v>
      </c>
      <c r="J2" s="97" t="s">
        <v>3</v>
      </c>
      <c r="K2" s="97" t="s">
        <v>2</v>
      </c>
      <c r="L2" s="97" t="s">
        <v>137</v>
      </c>
      <c r="M2" s="97" t="s">
        <v>138</v>
      </c>
    </row>
    <row r="3" spans="1:13" x14ac:dyDescent="0.35">
      <c r="A3" s="119" t="s">
        <v>5</v>
      </c>
      <c r="B3" s="120">
        <v>1035</v>
      </c>
      <c r="C3" s="119" t="s">
        <v>239</v>
      </c>
      <c r="D3" s="119">
        <v>980000</v>
      </c>
      <c r="E3" s="119" t="s">
        <v>93</v>
      </c>
      <c r="F3" s="119">
        <v>37.5</v>
      </c>
      <c r="G3" s="121"/>
      <c r="H3" s="121">
        <v>0.48</v>
      </c>
      <c r="I3" s="121"/>
      <c r="J3" s="119"/>
      <c r="K3" s="119"/>
      <c r="L3" s="119"/>
      <c r="M3" s="122"/>
    </row>
    <row r="4" spans="1:13" x14ac:dyDescent="0.35">
      <c r="A4" s="101" t="s">
        <v>5</v>
      </c>
      <c r="B4" s="123">
        <v>1035</v>
      </c>
      <c r="C4" s="101" t="s">
        <v>239</v>
      </c>
      <c r="D4" s="101">
        <v>980100</v>
      </c>
      <c r="E4" s="101" t="s">
        <v>96</v>
      </c>
      <c r="F4" s="101">
        <v>40</v>
      </c>
      <c r="G4" s="124"/>
      <c r="H4" s="124">
        <v>0.56999999999999995</v>
      </c>
      <c r="I4" s="121"/>
      <c r="J4" s="101"/>
      <c r="K4" s="101"/>
      <c r="L4" s="101"/>
      <c r="M4" s="125"/>
    </row>
    <row r="5" spans="1:13" ht="15" thickBot="1" x14ac:dyDescent="0.4">
      <c r="A5" s="126" t="s">
        <v>5</v>
      </c>
      <c r="B5" s="127">
        <v>1035</v>
      </c>
      <c r="C5" s="126" t="s">
        <v>239</v>
      </c>
      <c r="D5" s="126">
        <v>987594</v>
      </c>
      <c r="E5" s="126" t="s">
        <v>448</v>
      </c>
      <c r="F5" s="126">
        <v>30</v>
      </c>
      <c r="G5" s="128"/>
      <c r="H5" s="128">
        <v>0.49</v>
      </c>
      <c r="I5" s="128"/>
      <c r="J5" s="126"/>
      <c r="K5" s="126"/>
      <c r="L5" s="126"/>
      <c r="M5" s="129"/>
    </row>
    <row r="6" spans="1:13" x14ac:dyDescent="0.35">
      <c r="A6" s="119" t="s">
        <v>5</v>
      </c>
      <c r="B6" s="120">
        <v>1091</v>
      </c>
      <c r="C6" s="119" t="s">
        <v>482</v>
      </c>
      <c r="D6" s="119">
        <v>980000</v>
      </c>
      <c r="E6" s="119" t="s">
        <v>93</v>
      </c>
      <c r="F6" s="119">
        <v>37.5</v>
      </c>
      <c r="G6" s="121"/>
      <c r="H6" s="121">
        <v>0.49</v>
      </c>
      <c r="I6" s="121"/>
      <c r="J6" s="119"/>
      <c r="K6" s="119"/>
      <c r="L6" s="119"/>
      <c r="M6" s="122"/>
    </row>
    <row r="7" spans="1:13" x14ac:dyDescent="0.35">
      <c r="A7" s="101" t="s">
        <v>5</v>
      </c>
      <c r="B7" s="123">
        <v>1091</v>
      </c>
      <c r="C7" s="101" t="s">
        <v>482</v>
      </c>
      <c r="D7" s="101">
        <v>980100</v>
      </c>
      <c r="E7" s="101" t="s">
        <v>96</v>
      </c>
      <c r="F7" s="101">
        <v>40</v>
      </c>
      <c r="G7" s="124"/>
      <c r="H7" s="124">
        <v>0.56000000000000005</v>
      </c>
      <c r="I7" s="121"/>
      <c r="J7" s="101"/>
      <c r="K7" s="101"/>
      <c r="L7" s="101"/>
      <c r="M7" s="125"/>
    </row>
    <row r="8" spans="1:13" ht="15" thickBot="1" x14ac:dyDescent="0.4">
      <c r="A8" s="126" t="s">
        <v>5</v>
      </c>
      <c r="B8" s="127">
        <v>1091</v>
      </c>
      <c r="C8" s="126" t="s">
        <v>482</v>
      </c>
      <c r="D8" s="126">
        <v>987594</v>
      </c>
      <c r="E8" s="126" t="s">
        <v>448</v>
      </c>
      <c r="F8" s="126">
        <v>30</v>
      </c>
      <c r="G8" s="128"/>
      <c r="H8" s="128">
        <v>0.49</v>
      </c>
      <c r="I8" s="128"/>
      <c r="J8" s="126"/>
      <c r="K8" s="126"/>
      <c r="L8" s="126"/>
      <c r="M8" s="129"/>
    </row>
    <row r="9" spans="1:13" x14ac:dyDescent="0.35">
      <c r="A9" s="119" t="s">
        <v>5</v>
      </c>
      <c r="B9" s="120">
        <v>1094</v>
      </c>
      <c r="C9" s="119" t="s">
        <v>483</v>
      </c>
      <c r="D9" s="119">
        <v>980000</v>
      </c>
      <c r="E9" s="119" t="s">
        <v>93</v>
      </c>
      <c r="F9" s="119">
        <v>37.5</v>
      </c>
      <c r="G9" s="121"/>
      <c r="H9" s="121">
        <v>0.49</v>
      </c>
      <c r="I9" s="121"/>
      <c r="J9" s="119"/>
      <c r="K9" s="119"/>
      <c r="L9" s="119"/>
      <c r="M9" s="122"/>
    </row>
    <row r="10" spans="1:13" x14ac:dyDescent="0.35">
      <c r="A10" s="134" t="s">
        <v>5</v>
      </c>
      <c r="B10" s="135">
        <v>1094</v>
      </c>
      <c r="C10" s="134" t="s">
        <v>483</v>
      </c>
      <c r="D10" s="134">
        <v>980100</v>
      </c>
      <c r="E10" s="134" t="s">
        <v>96</v>
      </c>
      <c r="F10" s="134">
        <v>40</v>
      </c>
      <c r="G10" s="136">
        <v>0.59</v>
      </c>
      <c r="H10" s="136">
        <v>0.61</v>
      </c>
      <c r="I10" s="137"/>
      <c r="J10" s="134" t="s">
        <v>51</v>
      </c>
      <c r="K10" s="134" t="s">
        <v>200</v>
      </c>
      <c r="L10" s="134"/>
      <c r="M10" s="138">
        <v>44813</v>
      </c>
    </row>
    <row r="11" spans="1:13" ht="15" thickBot="1" x14ac:dyDescent="0.4">
      <c r="A11" s="126" t="s">
        <v>5</v>
      </c>
      <c r="B11" s="127">
        <v>1094</v>
      </c>
      <c r="C11" s="126" t="s">
        <v>483</v>
      </c>
      <c r="D11" s="126">
        <v>987594</v>
      </c>
      <c r="E11" s="126" t="s">
        <v>448</v>
      </c>
      <c r="F11" s="126">
        <v>30</v>
      </c>
      <c r="G11" s="128"/>
      <c r="H11" s="128">
        <v>0.49</v>
      </c>
      <c r="I11" s="128"/>
      <c r="J11" s="126"/>
      <c r="K11" s="126"/>
      <c r="L11" s="126"/>
      <c r="M11" s="129"/>
    </row>
    <row r="12" spans="1:13" x14ac:dyDescent="0.35">
      <c r="A12" s="119" t="s">
        <v>5</v>
      </c>
      <c r="B12" s="120">
        <v>1096</v>
      </c>
      <c r="C12" s="119" t="s">
        <v>262</v>
      </c>
      <c r="D12" s="119">
        <v>980000</v>
      </c>
      <c r="E12" s="119" t="s">
        <v>93</v>
      </c>
      <c r="F12" s="119">
        <v>37.5</v>
      </c>
      <c r="G12" s="121"/>
      <c r="H12" s="121">
        <v>0.49</v>
      </c>
      <c r="I12" s="121"/>
      <c r="J12" s="119"/>
      <c r="K12" s="119"/>
      <c r="L12" s="119"/>
      <c r="M12" s="122"/>
    </row>
    <row r="13" spans="1:13" x14ac:dyDescent="0.35">
      <c r="A13" s="101" t="s">
        <v>5</v>
      </c>
      <c r="B13" s="123">
        <v>1096</v>
      </c>
      <c r="C13" s="101" t="s">
        <v>262</v>
      </c>
      <c r="D13" s="101">
        <v>980100</v>
      </c>
      <c r="E13" s="101" t="s">
        <v>96</v>
      </c>
      <c r="F13" s="101">
        <v>40</v>
      </c>
      <c r="G13" s="124"/>
      <c r="H13" s="124">
        <v>0.59</v>
      </c>
      <c r="I13" s="121"/>
      <c r="J13" s="101"/>
      <c r="K13" s="101"/>
      <c r="L13" s="101"/>
      <c r="M13" s="125"/>
    </row>
    <row r="14" spans="1:13" ht="15" thickBot="1" x14ac:dyDescent="0.4">
      <c r="A14" s="126" t="s">
        <v>5</v>
      </c>
      <c r="B14" s="127">
        <v>1096</v>
      </c>
      <c r="C14" s="126" t="s">
        <v>262</v>
      </c>
      <c r="D14" s="126">
        <v>987594</v>
      </c>
      <c r="E14" s="126" t="s">
        <v>448</v>
      </c>
      <c r="F14" s="126">
        <v>30</v>
      </c>
      <c r="G14" s="128"/>
      <c r="H14" s="128">
        <v>0.49</v>
      </c>
      <c r="I14" s="128"/>
      <c r="J14" s="126"/>
      <c r="K14" s="126"/>
      <c r="L14" s="126"/>
      <c r="M14" s="129"/>
    </row>
    <row r="15" spans="1:13" x14ac:dyDescent="0.35">
      <c r="A15" s="119" t="s">
        <v>5</v>
      </c>
      <c r="B15" s="120">
        <v>1119</v>
      </c>
      <c r="C15" s="119" t="s">
        <v>272</v>
      </c>
      <c r="D15" s="119">
        <v>980000</v>
      </c>
      <c r="E15" s="119" t="s">
        <v>93</v>
      </c>
      <c r="F15" s="119">
        <v>37.5</v>
      </c>
      <c r="G15" s="121"/>
      <c r="H15" s="121">
        <v>0.49</v>
      </c>
      <c r="I15" s="121"/>
      <c r="J15" s="119"/>
      <c r="K15" s="119"/>
      <c r="L15" s="119"/>
      <c r="M15" s="122"/>
    </row>
    <row r="16" spans="1:13" x14ac:dyDescent="0.35">
      <c r="A16" s="101" t="s">
        <v>5</v>
      </c>
      <c r="B16" s="123">
        <v>1119</v>
      </c>
      <c r="C16" s="101" t="s">
        <v>272</v>
      </c>
      <c r="D16" s="101">
        <v>980100</v>
      </c>
      <c r="E16" s="101" t="s">
        <v>96</v>
      </c>
      <c r="F16" s="101">
        <v>40</v>
      </c>
      <c r="G16" s="124"/>
      <c r="H16" s="124">
        <v>0.57999999999999996</v>
      </c>
      <c r="I16" s="121"/>
      <c r="J16" s="101"/>
      <c r="K16" s="101"/>
      <c r="L16" s="101"/>
      <c r="M16" s="125"/>
    </row>
    <row r="17" spans="1:13" ht="15" thickBot="1" x14ac:dyDescent="0.4">
      <c r="A17" s="126" t="s">
        <v>5</v>
      </c>
      <c r="B17" s="127">
        <v>1119</v>
      </c>
      <c r="C17" s="126" t="s">
        <v>272</v>
      </c>
      <c r="D17" s="126">
        <v>987594</v>
      </c>
      <c r="E17" s="126" t="s">
        <v>448</v>
      </c>
      <c r="F17" s="126">
        <v>30</v>
      </c>
      <c r="G17" s="128"/>
      <c r="H17" s="128">
        <v>0.49</v>
      </c>
      <c r="I17" s="128"/>
      <c r="J17" s="126"/>
      <c r="K17" s="126"/>
      <c r="L17" s="126"/>
      <c r="M17" s="129"/>
    </row>
    <row r="18" spans="1:13" x14ac:dyDescent="0.35">
      <c r="A18" s="119" t="s">
        <v>5</v>
      </c>
      <c r="B18" s="120">
        <v>1129</v>
      </c>
      <c r="C18" s="119" t="s">
        <v>484</v>
      </c>
      <c r="D18" s="119">
        <v>980000</v>
      </c>
      <c r="E18" s="119" t="s">
        <v>93</v>
      </c>
      <c r="F18" s="119">
        <v>37.5</v>
      </c>
      <c r="G18" s="121"/>
      <c r="H18" s="121">
        <v>0.48</v>
      </c>
      <c r="I18" s="121"/>
      <c r="J18" s="119"/>
      <c r="K18" s="119"/>
      <c r="L18" s="119"/>
      <c r="M18" s="122"/>
    </row>
    <row r="19" spans="1:13" x14ac:dyDescent="0.35">
      <c r="A19" s="101" t="s">
        <v>5</v>
      </c>
      <c r="B19" s="123">
        <v>1129</v>
      </c>
      <c r="C19" s="101" t="s">
        <v>484</v>
      </c>
      <c r="D19" s="101">
        <v>980100</v>
      </c>
      <c r="E19" s="101" t="s">
        <v>96</v>
      </c>
      <c r="F19" s="101">
        <v>40</v>
      </c>
      <c r="G19" s="124"/>
      <c r="H19" s="124">
        <v>0.59</v>
      </c>
      <c r="I19" s="121"/>
      <c r="J19" s="101"/>
      <c r="K19" s="101"/>
      <c r="L19" s="101"/>
      <c r="M19" s="125"/>
    </row>
    <row r="20" spans="1:13" ht="15" thickBot="1" x14ac:dyDescent="0.4">
      <c r="A20" s="126" t="s">
        <v>5</v>
      </c>
      <c r="B20" s="127">
        <v>1129</v>
      </c>
      <c r="C20" s="126" t="s">
        <v>484</v>
      </c>
      <c r="D20" s="126">
        <v>987594</v>
      </c>
      <c r="E20" s="126" t="s">
        <v>448</v>
      </c>
      <c r="F20" s="126">
        <v>30</v>
      </c>
      <c r="G20" s="128"/>
      <c r="H20" s="128">
        <v>0.49</v>
      </c>
      <c r="I20" s="128"/>
      <c r="J20" s="126"/>
      <c r="K20" s="126"/>
      <c r="L20" s="126"/>
      <c r="M20" s="129"/>
    </row>
    <row r="21" spans="1:13" x14ac:dyDescent="0.35">
      <c r="A21" s="119" t="s">
        <v>5</v>
      </c>
      <c r="B21" s="120">
        <v>1134</v>
      </c>
      <c r="C21" s="119" t="s">
        <v>485</v>
      </c>
      <c r="D21" s="119">
        <v>980000</v>
      </c>
      <c r="E21" s="119" t="s">
        <v>93</v>
      </c>
      <c r="F21" s="119">
        <v>37.5</v>
      </c>
      <c r="G21" s="121"/>
      <c r="H21" s="121">
        <v>0.49</v>
      </c>
      <c r="I21" s="121"/>
      <c r="J21" s="119"/>
      <c r="K21" s="119"/>
      <c r="L21" s="119"/>
      <c r="M21" s="122"/>
    </row>
    <row r="22" spans="1:13" x14ac:dyDescent="0.35">
      <c r="A22" s="101" t="s">
        <v>5</v>
      </c>
      <c r="B22" s="123">
        <v>1134</v>
      </c>
      <c r="C22" s="101" t="s">
        <v>485</v>
      </c>
      <c r="D22" s="101">
        <v>980100</v>
      </c>
      <c r="E22" s="101" t="s">
        <v>96</v>
      </c>
      <c r="F22" s="101">
        <v>40</v>
      </c>
      <c r="G22" s="124"/>
      <c r="H22" s="124">
        <v>0.59</v>
      </c>
      <c r="I22" s="121"/>
      <c r="J22" s="101"/>
      <c r="K22" s="101"/>
      <c r="L22" s="101"/>
      <c r="M22" s="125"/>
    </row>
    <row r="23" spans="1:13" ht="15" thickBot="1" x14ac:dyDescent="0.4">
      <c r="A23" s="126" t="s">
        <v>5</v>
      </c>
      <c r="B23" s="127">
        <v>1134</v>
      </c>
      <c r="C23" s="126" t="s">
        <v>485</v>
      </c>
      <c r="D23" s="126">
        <v>987594</v>
      </c>
      <c r="E23" s="126" t="s">
        <v>448</v>
      </c>
      <c r="F23" s="126">
        <v>30</v>
      </c>
      <c r="G23" s="128"/>
      <c r="H23" s="128">
        <v>0.49</v>
      </c>
      <c r="I23" s="128"/>
      <c r="J23" s="126"/>
      <c r="K23" s="126"/>
      <c r="L23" s="126"/>
      <c r="M23" s="129"/>
    </row>
    <row r="24" spans="1:13" x14ac:dyDescent="0.35">
      <c r="A24" s="119" t="s">
        <v>5</v>
      </c>
      <c r="B24" s="120">
        <v>1138</v>
      </c>
      <c r="C24" s="119" t="s">
        <v>278</v>
      </c>
      <c r="D24" s="119">
        <v>980000</v>
      </c>
      <c r="E24" s="119" t="s">
        <v>93</v>
      </c>
      <c r="F24" s="119">
        <v>37.5</v>
      </c>
      <c r="G24" s="121"/>
      <c r="H24" s="121">
        <v>0.49</v>
      </c>
      <c r="I24" s="121"/>
      <c r="J24" s="119"/>
      <c r="K24" s="119"/>
      <c r="L24" s="119"/>
      <c r="M24" s="122"/>
    </row>
    <row r="25" spans="1:13" x14ac:dyDescent="0.35">
      <c r="A25" s="101" t="s">
        <v>5</v>
      </c>
      <c r="B25" s="123">
        <v>1138</v>
      </c>
      <c r="C25" s="101" t="s">
        <v>278</v>
      </c>
      <c r="D25" s="101">
        <v>980100</v>
      </c>
      <c r="E25" s="101" t="s">
        <v>96</v>
      </c>
      <c r="F25" s="101">
        <v>40</v>
      </c>
      <c r="G25" s="124"/>
      <c r="H25" s="124">
        <v>0.56000000000000005</v>
      </c>
      <c r="I25" s="121"/>
      <c r="J25" s="101"/>
      <c r="K25" s="101"/>
      <c r="L25" s="101"/>
      <c r="M25" s="125"/>
    </row>
    <row r="26" spans="1:13" ht="15" thickBot="1" x14ac:dyDescent="0.4">
      <c r="A26" s="126" t="s">
        <v>5</v>
      </c>
      <c r="B26" s="127">
        <v>1138</v>
      </c>
      <c r="C26" s="126" t="s">
        <v>278</v>
      </c>
      <c r="D26" s="126">
        <v>987594</v>
      </c>
      <c r="E26" s="126" t="s">
        <v>448</v>
      </c>
      <c r="F26" s="126">
        <v>30</v>
      </c>
      <c r="G26" s="128"/>
      <c r="H26" s="128">
        <v>0.49</v>
      </c>
      <c r="I26" s="128"/>
      <c r="J26" s="126"/>
      <c r="K26" s="126"/>
      <c r="L26" s="126"/>
      <c r="M26" s="129"/>
    </row>
    <row r="27" spans="1:13" x14ac:dyDescent="0.35">
      <c r="A27" s="119" t="s">
        <v>5</v>
      </c>
      <c r="B27" s="120">
        <v>1162</v>
      </c>
      <c r="C27" s="119" t="s">
        <v>486</v>
      </c>
      <c r="D27" s="119">
        <v>980000</v>
      </c>
      <c r="E27" s="119" t="s">
        <v>93</v>
      </c>
      <c r="F27" s="119">
        <v>37.5</v>
      </c>
      <c r="G27" s="121"/>
      <c r="H27" s="121">
        <v>0.49</v>
      </c>
      <c r="I27" s="121"/>
      <c r="J27" s="119"/>
      <c r="K27" s="119"/>
      <c r="L27" s="119"/>
      <c r="M27" s="122"/>
    </row>
    <row r="28" spans="1:13" x14ac:dyDescent="0.35">
      <c r="A28" s="101" t="s">
        <v>5</v>
      </c>
      <c r="B28" s="123">
        <v>1162</v>
      </c>
      <c r="C28" s="101" t="s">
        <v>486</v>
      </c>
      <c r="D28" s="101">
        <v>980100</v>
      </c>
      <c r="E28" s="101" t="s">
        <v>96</v>
      </c>
      <c r="F28" s="101">
        <v>40</v>
      </c>
      <c r="G28" s="124"/>
      <c r="H28" s="124">
        <v>0.59</v>
      </c>
      <c r="I28" s="121"/>
      <c r="J28" s="101"/>
      <c r="K28" s="101"/>
      <c r="L28" s="101"/>
      <c r="M28" s="125"/>
    </row>
    <row r="29" spans="1:13" ht="15" thickBot="1" x14ac:dyDescent="0.4">
      <c r="A29" s="126" t="s">
        <v>5</v>
      </c>
      <c r="B29" s="127">
        <v>1162</v>
      </c>
      <c r="C29" s="126" t="s">
        <v>486</v>
      </c>
      <c r="D29" s="126">
        <v>987594</v>
      </c>
      <c r="E29" s="126" t="s">
        <v>448</v>
      </c>
      <c r="F29" s="126">
        <v>30</v>
      </c>
      <c r="G29" s="128"/>
      <c r="H29" s="128">
        <v>0.49</v>
      </c>
      <c r="I29" s="128"/>
      <c r="J29" s="126"/>
      <c r="K29" s="126"/>
      <c r="L29" s="126"/>
      <c r="M29" s="129"/>
    </row>
    <row r="30" spans="1:13" x14ac:dyDescent="0.35">
      <c r="A30" s="119" t="s">
        <v>5</v>
      </c>
      <c r="B30" s="120">
        <v>1166</v>
      </c>
      <c r="C30" s="119" t="s">
        <v>487</v>
      </c>
      <c r="D30" s="119">
        <v>980000</v>
      </c>
      <c r="E30" s="119" t="s">
        <v>93</v>
      </c>
      <c r="F30" s="119">
        <v>37.5</v>
      </c>
      <c r="G30" s="121"/>
      <c r="H30" s="121">
        <v>0.49</v>
      </c>
      <c r="I30" s="121"/>
      <c r="J30" s="119"/>
      <c r="K30" s="119"/>
      <c r="L30" s="119"/>
      <c r="M30" s="122"/>
    </row>
    <row r="31" spans="1:13" x14ac:dyDescent="0.35">
      <c r="A31" s="101" t="s">
        <v>5</v>
      </c>
      <c r="B31" s="123">
        <v>1166</v>
      </c>
      <c r="C31" s="101" t="s">
        <v>487</v>
      </c>
      <c r="D31" s="101">
        <v>980100</v>
      </c>
      <c r="E31" s="101" t="s">
        <v>96</v>
      </c>
      <c r="F31" s="101">
        <v>40</v>
      </c>
      <c r="G31" s="124"/>
      <c r="H31" s="124">
        <v>0.62</v>
      </c>
      <c r="I31" s="121"/>
      <c r="J31" s="101"/>
      <c r="K31" s="101"/>
      <c r="L31" s="101"/>
      <c r="M31" s="125"/>
    </row>
    <row r="32" spans="1:13" ht="15" thickBot="1" x14ac:dyDescent="0.4">
      <c r="A32" s="130" t="s">
        <v>5</v>
      </c>
      <c r="B32" s="131">
        <v>1166</v>
      </c>
      <c r="C32" s="130" t="s">
        <v>487</v>
      </c>
      <c r="D32" s="130">
        <v>987594</v>
      </c>
      <c r="E32" s="130" t="s">
        <v>448</v>
      </c>
      <c r="F32" s="130">
        <v>30</v>
      </c>
      <c r="G32" s="132">
        <v>0.55000000000000004</v>
      </c>
      <c r="H32" s="132">
        <v>0.49</v>
      </c>
      <c r="I32" s="132"/>
      <c r="J32" s="130" t="s">
        <v>51</v>
      </c>
      <c r="K32" s="130" t="s">
        <v>200</v>
      </c>
      <c r="L32" s="130"/>
      <c r="M32" s="133">
        <v>44813</v>
      </c>
    </row>
    <row r="33" spans="1:13" x14ac:dyDescent="0.35">
      <c r="A33" s="119" t="s">
        <v>5</v>
      </c>
      <c r="B33" s="120">
        <v>1176</v>
      </c>
      <c r="C33" s="119" t="s">
        <v>488</v>
      </c>
      <c r="D33" s="119">
        <v>980000</v>
      </c>
      <c r="E33" s="119" t="s">
        <v>93</v>
      </c>
      <c r="F33" s="119">
        <v>37.5</v>
      </c>
      <c r="G33" s="121"/>
      <c r="H33" s="121">
        <v>0.46</v>
      </c>
      <c r="I33" s="121"/>
      <c r="J33" s="119"/>
      <c r="K33" s="119"/>
      <c r="L33" s="119"/>
      <c r="M33" s="122"/>
    </row>
    <row r="34" spans="1:13" x14ac:dyDescent="0.35">
      <c r="A34" s="101" t="s">
        <v>5</v>
      </c>
      <c r="B34" s="123">
        <v>1176</v>
      </c>
      <c r="C34" s="101" t="s">
        <v>488</v>
      </c>
      <c r="D34" s="101">
        <v>980100</v>
      </c>
      <c r="E34" s="101" t="s">
        <v>96</v>
      </c>
      <c r="F34" s="101">
        <v>40</v>
      </c>
      <c r="G34" s="124"/>
      <c r="H34" s="124">
        <v>0.55000000000000004</v>
      </c>
      <c r="I34" s="121"/>
      <c r="J34" s="101"/>
      <c r="K34" s="101"/>
      <c r="L34" s="101"/>
      <c r="M34" s="125"/>
    </row>
    <row r="35" spans="1:13" ht="15" thickBot="1" x14ac:dyDescent="0.4">
      <c r="A35" s="126" t="s">
        <v>5</v>
      </c>
      <c r="B35" s="127">
        <v>1176</v>
      </c>
      <c r="C35" s="126" t="s">
        <v>488</v>
      </c>
      <c r="D35" s="126">
        <v>987594</v>
      </c>
      <c r="E35" s="126" t="s">
        <v>448</v>
      </c>
      <c r="F35" s="126">
        <v>30</v>
      </c>
      <c r="G35" s="128"/>
      <c r="H35" s="128">
        <v>0.49</v>
      </c>
      <c r="I35" s="128"/>
      <c r="J35" s="126"/>
      <c r="K35" s="126"/>
      <c r="L35" s="126"/>
      <c r="M35" s="129"/>
    </row>
    <row r="36" spans="1:13" x14ac:dyDescent="0.35">
      <c r="A36" s="119" t="s">
        <v>5</v>
      </c>
      <c r="B36" s="120">
        <v>1177</v>
      </c>
      <c r="C36" s="119" t="s">
        <v>286</v>
      </c>
      <c r="D36" s="119">
        <v>980000</v>
      </c>
      <c r="E36" s="119" t="s">
        <v>93</v>
      </c>
      <c r="F36" s="119">
        <v>37.5</v>
      </c>
      <c r="G36" s="121"/>
      <c r="H36" s="121">
        <v>0.49</v>
      </c>
      <c r="I36" s="121"/>
      <c r="J36" s="119"/>
      <c r="K36" s="119"/>
      <c r="L36" s="119"/>
      <c r="M36" s="122"/>
    </row>
    <row r="37" spans="1:13" x14ac:dyDescent="0.35">
      <c r="A37" s="101" t="s">
        <v>5</v>
      </c>
      <c r="B37" s="123">
        <v>1177</v>
      </c>
      <c r="C37" s="101" t="s">
        <v>286</v>
      </c>
      <c r="D37" s="101">
        <v>980100</v>
      </c>
      <c r="E37" s="101" t="s">
        <v>96</v>
      </c>
      <c r="F37" s="101">
        <v>40</v>
      </c>
      <c r="G37" s="124"/>
      <c r="H37" s="124">
        <v>0.57999999999999996</v>
      </c>
      <c r="I37" s="121"/>
      <c r="J37" s="101"/>
      <c r="K37" s="101"/>
      <c r="L37" s="101"/>
      <c r="M37" s="125"/>
    </row>
    <row r="38" spans="1:13" ht="15" thickBot="1" x14ac:dyDescent="0.4">
      <c r="A38" s="126" t="s">
        <v>5</v>
      </c>
      <c r="B38" s="127">
        <v>1177</v>
      </c>
      <c r="C38" s="126" t="s">
        <v>286</v>
      </c>
      <c r="D38" s="126">
        <v>987594</v>
      </c>
      <c r="E38" s="126" t="s">
        <v>448</v>
      </c>
      <c r="F38" s="126">
        <v>30</v>
      </c>
      <c r="G38" s="128"/>
      <c r="H38" s="128">
        <v>0.49</v>
      </c>
      <c r="I38" s="128"/>
      <c r="J38" s="126"/>
      <c r="K38" s="126"/>
      <c r="L38" s="126"/>
      <c r="M38" s="129"/>
    </row>
    <row r="39" spans="1:13" x14ac:dyDescent="0.35">
      <c r="A39" s="119" t="s">
        <v>5</v>
      </c>
      <c r="B39" s="120">
        <v>1203</v>
      </c>
      <c r="C39" s="119" t="s">
        <v>290</v>
      </c>
      <c r="D39" s="119">
        <v>980000</v>
      </c>
      <c r="E39" s="119" t="s">
        <v>93</v>
      </c>
      <c r="F39" s="119">
        <v>37.5</v>
      </c>
      <c r="G39" s="121"/>
      <c r="H39" s="121">
        <v>0.49</v>
      </c>
      <c r="I39" s="121"/>
      <c r="J39" s="119"/>
      <c r="K39" s="119"/>
      <c r="L39" s="119"/>
      <c r="M39" s="122"/>
    </row>
    <row r="40" spans="1:13" x14ac:dyDescent="0.35">
      <c r="A40" s="101" t="s">
        <v>5</v>
      </c>
      <c r="B40" s="123">
        <v>1203</v>
      </c>
      <c r="C40" s="101" t="s">
        <v>290</v>
      </c>
      <c r="D40" s="101">
        <v>980100</v>
      </c>
      <c r="E40" s="101" t="s">
        <v>96</v>
      </c>
      <c r="F40" s="101">
        <v>40</v>
      </c>
      <c r="G40" s="124"/>
      <c r="H40" s="124">
        <v>0.57999999999999996</v>
      </c>
      <c r="I40" s="121"/>
      <c r="J40" s="101"/>
      <c r="K40" s="101"/>
      <c r="L40" s="101"/>
      <c r="M40" s="125"/>
    </row>
    <row r="41" spans="1:13" ht="15" thickBot="1" x14ac:dyDescent="0.4">
      <c r="A41" s="126" t="s">
        <v>5</v>
      </c>
      <c r="B41" s="127">
        <v>1203</v>
      </c>
      <c r="C41" s="126" t="s">
        <v>290</v>
      </c>
      <c r="D41" s="126">
        <v>987594</v>
      </c>
      <c r="E41" s="126" t="s">
        <v>448</v>
      </c>
      <c r="F41" s="126">
        <v>30</v>
      </c>
      <c r="G41" s="128"/>
      <c r="H41" s="128">
        <v>0.49</v>
      </c>
      <c r="I41" s="128"/>
      <c r="J41" s="126"/>
      <c r="K41" s="126"/>
      <c r="L41" s="126"/>
      <c r="M41" s="129"/>
    </row>
    <row r="42" spans="1:13" x14ac:dyDescent="0.35">
      <c r="A42" s="119" t="s">
        <v>5</v>
      </c>
      <c r="B42" s="120">
        <v>1246</v>
      </c>
      <c r="C42" s="119" t="s">
        <v>292</v>
      </c>
      <c r="D42" s="119">
        <v>980000</v>
      </c>
      <c r="E42" s="119" t="s">
        <v>93</v>
      </c>
      <c r="F42" s="119">
        <v>37.5</v>
      </c>
      <c r="G42" s="121"/>
      <c r="H42" s="121">
        <v>0.38</v>
      </c>
      <c r="I42" s="121"/>
      <c r="J42" s="119"/>
      <c r="K42" s="119"/>
      <c r="L42" s="119"/>
      <c r="M42" s="122"/>
    </row>
    <row r="43" spans="1:13" x14ac:dyDescent="0.35">
      <c r="A43" s="101" t="s">
        <v>5</v>
      </c>
      <c r="B43" s="123">
        <v>1246</v>
      </c>
      <c r="C43" s="101" t="s">
        <v>292</v>
      </c>
      <c r="D43" s="101">
        <v>980100</v>
      </c>
      <c r="E43" s="101" t="s">
        <v>96</v>
      </c>
      <c r="F43" s="101">
        <v>40</v>
      </c>
      <c r="G43" s="124"/>
      <c r="H43" s="124">
        <v>0.63</v>
      </c>
      <c r="I43" s="121"/>
      <c r="J43" s="101"/>
      <c r="K43" s="101"/>
      <c r="L43" s="101"/>
      <c r="M43" s="125"/>
    </row>
    <row r="44" spans="1:13" ht="15" thickBot="1" x14ac:dyDescent="0.4">
      <c r="A44" s="126" t="s">
        <v>5</v>
      </c>
      <c r="B44" s="127">
        <v>1246</v>
      </c>
      <c r="C44" s="126" t="s">
        <v>292</v>
      </c>
      <c r="D44" s="126">
        <v>987594</v>
      </c>
      <c r="E44" s="126" t="s">
        <v>448</v>
      </c>
      <c r="F44" s="126">
        <v>30</v>
      </c>
      <c r="G44" s="128"/>
      <c r="H44" s="128">
        <v>1.39</v>
      </c>
      <c r="I44" s="128"/>
      <c r="J44" s="126"/>
      <c r="K44" s="126"/>
      <c r="L44" s="126"/>
      <c r="M44" s="129"/>
    </row>
    <row r="45" spans="1:13" x14ac:dyDescent="0.35">
      <c r="A45" s="119" t="s">
        <v>5</v>
      </c>
      <c r="B45" s="120">
        <v>1250</v>
      </c>
      <c r="C45" s="119" t="s">
        <v>330</v>
      </c>
      <c r="D45" s="119">
        <v>980000</v>
      </c>
      <c r="E45" s="119" t="s">
        <v>93</v>
      </c>
      <c r="F45" s="119">
        <v>37.5</v>
      </c>
      <c r="G45" s="121"/>
      <c r="H45" s="121">
        <v>0.49</v>
      </c>
      <c r="I45" s="121"/>
      <c r="J45" s="119"/>
      <c r="K45" s="119"/>
      <c r="L45" s="119"/>
      <c r="M45" s="122"/>
    </row>
    <row r="46" spans="1:13" x14ac:dyDescent="0.35">
      <c r="A46" s="101" t="s">
        <v>5</v>
      </c>
      <c r="B46" s="123">
        <v>1250</v>
      </c>
      <c r="C46" s="101" t="s">
        <v>330</v>
      </c>
      <c r="D46" s="101">
        <v>980100</v>
      </c>
      <c r="E46" s="101" t="s">
        <v>96</v>
      </c>
      <c r="F46" s="101">
        <v>40</v>
      </c>
      <c r="G46" s="124"/>
      <c r="H46" s="124">
        <v>0.79</v>
      </c>
      <c r="I46" s="121"/>
      <c r="J46" s="101"/>
      <c r="K46" s="101"/>
      <c r="L46" s="101"/>
      <c r="M46" s="125"/>
    </row>
    <row r="47" spans="1:13" ht="15" thickBot="1" x14ac:dyDescent="0.4">
      <c r="A47" s="130" t="s">
        <v>5</v>
      </c>
      <c r="B47" s="131">
        <v>1250</v>
      </c>
      <c r="C47" s="130" t="s">
        <v>330</v>
      </c>
      <c r="D47" s="130">
        <v>987594</v>
      </c>
      <c r="E47" s="130" t="s">
        <v>448</v>
      </c>
      <c r="F47" s="130">
        <v>30</v>
      </c>
      <c r="G47" s="132">
        <v>0.49</v>
      </c>
      <c r="H47" s="132">
        <v>1.35</v>
      </c>
      <c r="I47" s="132"/>
      <c r="J47" s="130" t="s">
        <v>51</v>
      </c>
      <c r="K47" s="130" t="s">
        <v>200</v>
      </c>
      <c r="L47" s="130"/>
      <c r="M47" s="133">
        <v>44813</v>
      </c>
    </row>
    <row r="48" spans="1:13" x14ac:dyDescent="0.35">
      <c r="A48" s="119" t="s">
        <v>5</v>
      </c>
      <c r="B48" s="120">
        <v>1372</v>
      </c>
      <c r="C48" s="119" t="s">
        <v>489</v>
      </c>
      <c r="D48" s="119">
        <v>980000</v>
      </c>
      <c r="E48" s="119" t="s">
        <v>93</v>
      </c>
      <c r="F48" s="119">
        <v>37.5</v>
      </c>
      <c r="G48" s="121"/>
      <c r="H48" s="121">
        <v>0.49</v>
      </c>
      <c r="I48" s="121"/>
      <c r="J48" s="119"/>
      <c r="K48" s="119"/>
      <c r="L48" s="119"/>
      <c r="M48" s="122"/>
    </row>
    <row r="49" spans="1:13" x14ac:dyDescent="0.35">
      <c r="A49" s="101" t="s">
        <v>5</v>
      </c>
      <c r="B49" s="123">
        <v>1372</v>
      </c>
      <c r="C49" s="101" t="s">
        <v>489</v>
      </c>
      <c r="D49" s="101">
        <v>980100</v>
      </c>
      <c r="E49" s="101" t="s">
        <v>96</v>
      </c>
      <c r="F49" s="101">
        <v>40</v>
      </c>
      <c r="G49" s="124"/>
      <c r="H49" s="124">
        <v>0.59</v>
      </c>
      <c r="I49" s="121"/>
      <c r="J49" s="101"/>
      <c r="K49" s="101"/>
      <c r="L49" s="101"/>
      <c r="M49" s="125"/>
    </row>
    <row r="50" spans="1:13" ht="15" thickBot="1" x14ac:dyDescent="0.4">
      <c r="A50" s="126" t="s">
        <v>5</v>
      </c>
      <c r="B50" s="127">
        <v>1372</v>
      </c>
      <c r="C50" s="126" t="s">
        <v>489</v>
      </c>
      <c r="D50" s="126">
        <v>987594</v>
      </c>
      <c r="E50" s="126" t="s">
        <v>448</v>
      </c>
      <c r="F50" s="126">
        <v>30</v>
      </c>
      <c r="G50" s="128"/>
      <c r="H50" s="128">
        <v>1.19</v>
      </c>
      <c r="I50" s="128"/>
      <c r="J50" s="126"/>
      <c r="K50" s="126"/>
      <c r="L50" s="126"/>
      <c r="M50" s="129"/>
    </row>
    <row r="51" spans="1:13" x14ac:dyDescent="0.35">
      <c r="A51" s="119" t="s">
        <v>5</v>
      </c>
      <c r="B51" s="120">
        <v>1342</v>
      </c>
      <c r="C51" s="119" t="s">
        <v>639</v>
      </c>
      <c r="D51" s="119">
        <v>980000</v>
      </c>
      <c r="E51" s="119" t="s">
        <v>93</v>
      </c>
      <c r="F51" s="119">
        <v>37.5</v>
      </c>
      <c r="G51" s="121"/>
      <c r="H51" s="121">
        <v>0.49</v>
      </c>
      <c r="I51" s="121"/>
      <c r="J51" s="119"/>
      <c r="K51" s="119"/>
      <c r="L51" s="119"/>
      <c r="M51" s="122"/>
    </row>
    <row r="52" spans="1:13" x14ac:dyDescent="0.35">
      <c r="A52" s="101" t="s">
        <v>5</v>
      </c>
      <c r="B52" s="123">
        <v>1342</v>
      </c>
      <c r="C52" s="101" t="s">
        <v>639</v>
      </c>
      <c r="D52" s="101">
        <v>980100</v>
      </c>
      <c r="E52" s="101" t="s">
        <v>96</v>
      </c>
      <c r="F52" s="101">
        <v>40</v>
      </c>
      <c r="G52" s="124"/>
      <c r="H52" s="124">
        <v>0.59</v>
      </c>
      <c r="I52" s="121"/>
      <c r="J52" s="101"/>
      <c r="K52" s="101"/>
      <c r="L52" s="101"/>
      <c r="M52" s="125"/>
    </row>
    <row r="53" spans="1:13" ht="15" thickBot="1" x14ac:dyDescent="0.4">
      <c r="A53" s="126" t="s">
        <v>5</v>
      </c>
      <c r="B53" s="127">
        <v>1342</v>
      </c>
      <c r="C53" s="126" t="s">
        <v>639</v>
      </c>
      <c r="D53" s="126">
        <v>987594</v>
      </c>
      <c r="E53" s="126" t="s">
        <v>448</v>
      </c>
      <c r="F53" s="126">
        <v>30</v>
      </c>
      <c r="G53" s="128"/>
      <c r="H53" s="128">
        <v>0.49</v>
      </c>
      <c r="I53" s="128"/>
      <c r="J53" s="126"/>
      <c r="K53" s="126"/>
      <c r="L53" s="126"/>
      <c r="M53" s="129"/>
    </row>
    <row r="54" spans="1:13" x14ac:dyDescent="0.35">
      <c r="A54" s="119" t="s">
        <v>5</v>
      </c>
      <c r="B54" s="120">
        <v>1410</v>
      </c>
      <c r="C54" s="119" t="s">
        <v>490</v>
      </c>
      <c r="D54" s="119">
        <v>980000</v>
      </c>
      <c r="E54" s="119" t="s">
        <v>93</v>
      </c>
      <c r="F54" s="119">
        <v>37.5</v>
      </c>
      <c r="G54" s="121"/>
      <c r="H54" s="121">
        <v>0.49</v>
      </c>
      <c r="I54" s="121"/>
      <c r="J54" s="119"/>
      <c r="K54" s="119"/>
      <c r="L54" s="119"/>
      <c r="M54" s="122"/>
    </row>
    <row r="55" spans="1:13" x14ac:dyDescent="0.35">
      <c r="A55" s="101" t="s">
        <v>5</v>
      </c>
      <c r="B55" s="123">
        <v>1410</v>
      </c>
      <c r="C55" s="101" t="s">
        <v>490</v>
      </c>
      <c r="D55" s="101">
        <v>980100</v>
      </c>
      <c r="E55" s="101" t="s">
        <v>96</v>
      </c>
      <c r="F55" s="101">
        <v>40</v>
      </c>
      <c r="G55" s="124"/>
      <c r="H55" s="124">
        <v>0.61</v>
      </c>
      <c r="I55" s="121"/>
      <c r="J55" s="101"/>
      <c r="K55" s="101"/>
      <c r="L55" s="101"/>
      <c r="M55" s="125"/>
    </row>
    <row r="56" spans="1:13" ht="15" thickBot="1" x14ac:dyDescent="0.4">
      <c r="A56" s="126" t="s">
        <v>5</v>
      </c>
      <c r="B56" s="127">
        <v>1410</v>
      </c>
      <c r="C56" s="126" t="s">
        <v>490</v>
      </c>
      <c r="D56" s="126">
        <v>987594</v>
      </c>
      <c r="E56" s="126" t="s">
        <v>448</v>
      </c>
      <c r="F56" s="126">
        <v>30</v>
      </c>
      <c r="G56" s="128"/>
      <c r="H56" s="128">
        <v>0.49</v>
      </c>
      <c r="I56" s="128"/>
      <c r="J56" s="126"/>
      <c r="K56" s="126"/>
      <c r="L56" s="126"/>
      <c r="M56" s="129"/>
    </row>
    <row r="57" spans="1:13" x14ac:dyDescent="0.35">
      <c r="A57" s="119" t="s">
        <v>5</v>
      </c>
      <c r="B57" s="120">
        <v>1411</v>
      </c>
      <c r="C57" s="119" t="s">
        <v>491</v>
      </c>
      <c r="D57" s="119">
        <v>980000</v>
      </c>
      <c r="E57" s="119" t="s">
        <v>93</v>
      </c>
      <c r="F57" s="119">
        <v>37.5</v>
      </c>
      <c r="G57" s="121"/>
      <c r="H57" s="121">
        <v>0.49</v>
      </c>
      <c r="I57" s="121"/>
      <c r="J57" s="119"/>
      <c r="K57" s="119"/>
      <c r="L57" s="119"/>
      <c r="M57" s="122"/>
    </row>
    <row r="58" spans="1:13" x14ac:dyDescent="0.35">
      <c r="A58" s="101" t="s">
        <v>5</v>
      </c>
      <c r="B58" s="123">
        <v>1411</v>
      </c>
      <c r="C58" s="101" t="s">
        <v>491</v>
      </c>
      <c r="D58" s="101">
        <v>980100</v>
      </c>
      <c r="E58" s="101" t="s">
        <v>96</v>
      </c>
      <c r="F58" s="101">
        <v>40</v>
      </c>
      <c r="G58" s="124"/>
      <c r="H58" s="124">
        <v>0.59</v>
      </c>
      <c r="I58" s="121"/>
      <c r="J58" s="101"/>
      <c r="K58" s="101"/>
      <c r="L58" s="101"/>
      <c r="M58" s="125"/>
    </row>
    <row r="59" spans="1:13" ht="15" thickBot="1" x14ac:dyDescent="0.4">
      <c r="A59" s="126" t="s">
        <v>5</v>
      </c>
      <c r="B59" s="127">
        <v>1411</v>
      </c>
      <c r="C59" s="126" t="s">
        <v>491</v>
      </c>
      <c r="D59" s="126">
        <v>987594</v>
      </c>
      <c r="E59" s="126" t="s">
        <v>448</v>
      </c>
      <c r="F59" s="126">
        <v>30</v>
      </c>
      <c r="G59" s="128"/>
      <c r="H59" s="128">
        <v>1.35</v>
      </c>
      <c r="I59" s="128"/>
      <c r="J59" s="126"/>
      <c r="K59" s="126"/>
      <c r="L59" s="126"/>
      <c r="M59" s="129"/>
    </row>
    <row r="60" spans="1:13" x14ac:dyDescent="0.35">
      <c r="A60" s="119" t="s">
        <v>5</v>
      </c>
      <c r="B60" s="120">
        <v>1414</v>
      </c>
      <c r="C60" s="119" t="s">
        <v>492</v>
      </c>
      <c r="D60" s="119">
        <v>980000</v>
      </c>
      <c r="E60" s="119" t="s">
        <v>93</v>
      </c>
      <c r="F60" s="119">
        <v>37.5</v>
      </c>
      <c r="G60" s="121"/>
      <c r="H60" s="121">
        <v>0.44</v>
      </c>
      <c r="I60" s="121"/>
      <c r="J60" s="119"/>
      <c r="K60" s="119"/>
      <c r="L60" s="119"/>
      <c r="M60" s="122"/>
    </row>
    <row r="61" spans="1:13" x14ac:dyDescent="0.35">
      <c r="A61" s="101" t="s">
        <v>5</v>
      </c>
      <c r="B61" s="123">
        <v>1414</v>
      </c>
      <c r="C61" s="101" t="s">
        <v>492</v>
      </c>
      <c r="D61" s="101">
        <v>980100</v>
      </c>
      <c r="E61" s="101" t="s">
        <v>96</v>
      </c>
      <c r="F61" s="101">
        <v>40</v>
      </c>
      <c r="G61" s="124"/>
      <c r="H61" s="124">
        <v>0.54</v>
      </c>
      <c r="I61" s="121"/>
      <c r="J61" s="101"/>
      <c r="K61" s="101"/>
      <c r="L61" s="101"/>
      <c r="M61" s="125"/>
    </row>
    <row r="62" spans="1:13" ht="15" thickBot="1" x14ac:dyDescent="0.4">
      <c r="A62" s="126" t="s">
        <v>5</v>
      </c>
      <c r="B62" s="127">
        <v>1414</v>
      </c>
      <c r="C62" s="126" t="s">
        <v>492</v>
      </c>
      <c r="D62" s="126">
        <v>987594</v>
      </c>
      <c r="E62" s="126" t="s">
        <v>448</v>
      </c>
      <c r="F62" s="126">
        <v>30</v>
      </c>
      <c r="G62" s="128"/>
      <c r="H62" s="128">
        <v>0.49</v>
      </c>
      <c r="I62" s="128"/>
      <c r="J62" s="126"/>
      <c r="K62" s="126"/>
      <c r="L62" s="126"/>
      <c r="M62" s="129"/>
    </row>
    <row r="63" spans="1:13" x14ac:dyDescent="0.35">
      <c r="A63" s="119" t="s">
        <v>5</v>
      </c>
      <c r="B63" s="120">
        <v>1423</v>
      </c>
      <c r="C63" s="119" t="s">
        <v>377</v>
      </c>
      <c r="D63" s="119">
        <v>980000</v>
      </c>
      <c r="E63" s="119" t="s">
        <v>93</v>
      </c>
      <c r="F63" s="119">
        <v>37.5</v>
      </c>
      <c r="G63" s="121"/>
      <c r="H63" s="121">
        <v>0.49</v>
      </c>
      <c r="I63" s="121"/>
      <c r="J63" s="119"/>
      <c r="K63" s="119"/>
      <c r="L63" s="119"/>
      <c r="M63" s="122"/>
    </row>
    <row r="64" spans="1:13" x14ac:dyDescent="0.35">
      <c r="A64" s="101" t="s">
        <v>5</v>
      </c>
      <c r="B64" s="123">
        <v>1423</v>
      </c>
      <c r="C64" s="101" t="s">
        <v>377</v>
      </c>
      <c r="D64" s="101">
        <v>980100</v>
      </c>
      <c r="E64" s="101" t="s">
        <v>96</v>
      </c>
      <c r="F64" s="101">
        <v>40</v>
      </c>
      <c r="G64" s="124"/>
      <c r="H64" s="124">
        <v>0.57999999999999996</v>
      </c>
      <c r="I64" s="121"/>
      <c r="J64" s="101"/>
      <c r="K64" s="101"/>
      <c r="L64" s="101"/>
      <c r="M64" s="125"/>
    </row>
    <row r="65" spans="1:13" ht="15" thickBot="1" x14ac:dyDescent="0.4">
      <c r="A65" s="126" t="s">
        <v>5</v>
      </c>
      <c r="B65" s="127">
        <v>1423</v>
      </c>
      <c r="C65" s="126" t="s">
        <v>377</v>
      </c>
      <c r="D65" s="126">
        <v>987594</v>
      </c>
      <c r="E65" s="126" t="s">
        <v>448</v>
      </c>
      <c r="F65" s="126">
        <v>30</v>
      </c>
      <c r="G65" s="128"/>
      <c r="H65" s="128">
        <v>0.49</v>
      </c>
      <c r="I65" s="128"/>
      <c r="J65" s="126"/>
      <c r="K65" s="126"/>
      <c r="L65" s="126"/>
      <c r="M65" s="129"/>
    </row>
    <row r="66" spans="1:13" x14ac:dyDescent="0.35">
      <c r="A66" s="119" t="s">
        <v>5</v>
      </c>
      <c r="B66" s="120">
        <v>1425</v>
      </c>
      <c r="C66" s="119" t="s">
        <v>332</v>
      </c>
      <c r="D66" s="119">
        <v>980000</v>
      </c>
      <c r="E66" s="119" t="s">
        <v>93</v>
      </c>
      <c r="F66" s="119">
        <v>37.5</v>
      </c>
      <c r="G66" s="121"/>
      <c r="H66" s="121">
        <v>0.49</v>
      </c>
      <c r="I66" s="121"/>
      <c r="J66" s="119"/>
      <c r="K66" s="119"/>
      <c r="L66" s="119"/>
      <c r="M66" s="122"/>
    </row>
    <row r="67" spans="1:13" x14ac:dyDescent="0.35">
      <c r="A67" s="101" t="s">
        <v>5</v>
      </c>
      <c r="B67" s="123">
        <v>1425</v>
      </c>
      <c r="C67" s="101" t="s">
        <v>332</v>
      </c>
      <c r="D67" s="101">
        <v>980100</v>
      </c>
      <c r="E67" s="101" t="s">
        <v>96</v>
      </c>
      <c r="F67" s="101">
        <v>40</v>
      </c>
      <c r="G67" s="124"/>
      <c r="H67" s="124">
        <v>0.57999999999999996</v>
      </c>
      <c r="I67" s="121"/>
      <c r="J67" s="101"/>
      <c r="K67" s="101"/>
      <c r="L67" s="101"/>
      <c r="M67" s="125"/>
    </row>
    <row r="68" spans="1:13" ht="15" thickBot="1" x14ac:dyDescent="0.4">
      <c r="A68" s="126" t="s">
        <v>5</v>
      </c>
      <c r="B68" s="127">
        <v>1425</v>
      </c>
      <c r="C68" s="126" t="s">
        <v>332</v>
      </c>
      <c r="D68" s="126">
        <v>987594</v>
      </c>
      <c r="E68" s="126" t="s">
        <v>448</v>
      </c>
      <c r="F68" s="126">
        <v>30</v>
      </c>
      <c r="G68" s="128"/>
      <c r="H68" s="128">
        <v>0.49</v>
      </c>
      <c r="I68" s="128"/>
      <c r="J68" s="126"/>
      <c r="K68" s="126"/>
      <c r="L68" s="126"/>
      <c r="M68" s="129"/>
    </row>
    <row r="69" spans="1:13" x14ac:dyDescent="0.35">
      <c r="A69" s="119" t="s">
        <v>5</v>
      </c>
      <c r="B69" s="120">
        <v>1429</v>
      </c>
      <c r="C69" s="119" t="s">
        <v>494</v>
      </c>
      <c r="D69" s="119">
        <v>980000</v>
      </c>
      <c r="E69" s="119" t="s">
        <v>93</v>
      </c>
      <c r="F69" s="119">
        <v>37.5</v>
      </c>
      <c r="G69" s="121"/>
      <c r="H69" s="121">
        <v>0.49</v>
      </c>
      <c r="I69" s="121"/>
      <c r="J69" s="119"/>
      <c r="K69" s="119"/>
      <c r="L69" s="119"/>
      <c r="M69" s="122"/>
    </row>
    <row r="70" spans="1:13" x14ac:dyDescent="0.35">
      <c r="A70" s="101" t="s">
        <v>5</v>
      </c>
      <c r="B70" s="123">
        <v>1429</v>
      </c>
      <c r="C70" s="101" t="s">
        <v>494</v>
      </c>
      <c r="D70" s="101">
        <v>980100</v>
      </c>
      <c r="E70" s="101" t="s">
        <v>96</v>
      </c>
      <c r="F70" s="101">
        <v>40</v>
      </c>
      <c r="G70" s="124"/>
      <c r="H70" s="124">
        <v>0.56999999999999995</v>
      </c>
      <c r="I70" s="121"/>
      <c r="J70" s="101"/>
      <c r="K70" s="101"/>
      <c r="L70" s="101"/>
      <c r="M70" s="125"/>
    </row>
    <row r="71" spans="1:13" ht="15" thickBot="1" x14ac:dyDescent="0.4">
      <c r="A71" s="126" t="s">
        <v>5</v>
      </c>
      <c r="B71" s="127">
        <v>1429</v>
      </c>
      <c r="C71" s="126" t="s">
        <v>494</v>
      </c>
      <c r="D71" s="126">
        <v>987594</v>
      </c>
      <c r="E71" s="126" t="s">
        <v>448</v>
      </c>
      <c r="F71" s="126">
        <v>30</v>
      </c>
      <c r="G71" s="128"/>
      <c r="H71" s="128">
        <v>0.95</v>
      </c>
      <c r="I71" s="128"/>
      <c r="J71" s="126"/>
      <c r="K71" s="126"/>
      <c r="L71" s="126"/>
      <c r="M71" s="129"/>
    </row>
    <row r="72" spans="1:13" x14ac:dyDescent="0.35">
      <c r="A72" s="119" t="s">
        <v>5</v>
      </c>
      <c r="B72" s="120">
        <v>1431</v>
      </c>
      <c r="C72" s="119" t="s">
        <v>378</v>
      </c>
      <c r="D72" s="119">
        <v>980000</v>
      </c>
      <c r="E72" s="119" t="s">
        <v>93</v>
      </c>
      <c r="F72" s="119">
        <v>37.5</v>
      </c>
      <c r="G72" s="121"/>
      <c r="H72" s="121">
        <v>0.48</v>
      </c>
      <c r="I72" s="121"/>
      <c r="J72" s="119"/>
      <c r="K72" s="119"/>
      <c r="L72" s="119"/>
      <c r="M72" s="122"/>
    </row>
    <row r="73" spans="1:13" x14ac:dyDescent="0.35">
      <c r="A73" s="101" t="s">
        <v>5</v>
      </c>
      <c r="B73" s="123">
        <v>1431</v>
      </c>
      <c r="C73" s="101" t="s">
        <v>378</v>
      </c>
      <c r="D73" s="101">
        <v>980100</v>
      </c>
      <c r="E73" s="101" t="s">
        <v>96</v>
      </c>
      <c r="F73" s="101">
        <v>40</v>
      </c>
      <c r="G73" s="124"/>
      <c r="H73" s="124">
        <v>0.57999999999999996</v>
      </c>
      <c r="I73" s="121"/>
      <c r="J73" s="101"/>
      <c r="K73" s="101"/>
      <c r="L73" s="101"/>
      <c r="M73" s="125"/>
    </row>
    <row r="74" spans="1:13" ht="15" thickBot="1" x14ac:dyDescent="0.4">
      <c r="A74" s="126" t="s">
        <v>5</v>
      </c>
      <c r="B74" s="127">
        <v>1431</v>
      </c>
      <c r="C74" s="126" t="s">
        <v>378</v>
      </c>
      <c r="D74" s="126">
        <v>987594</v>
      </c>
      <c r="E74" s="126" t="s">
        <v>448</v>
      </c>
      <c r="F74" s="126">
        <v>30</v>
      </c>
      <c r="G74" s="128"/>
      <c r="H74" s="128">
        <v>0.49</v>
      </c>
      <c r="I74" s="128"/>
      <c r="J74" s="126"/>
      <c r="K74" s="126"/>
      <c r="L74" s="126"/>
      <c r="M74" s="129"/>
    </row>
    <row r="75" spans="1:13" x14ac:dyDescent="0.35">
      <c r="A75" s="119" t="s">
        <v>5</v>
      </c>
      <c r="B75" s="120">
        <v>1433</v>
      </c>
      <c r="C75" s="119" t="s">
        <v>495</v>
      </c>
      <c r="D75" s="119">
        <v>980000</v>
      </c>
      <c r="E75" s="119" t="s">
        <v>93</v>
      </c>
      <c r="F75" s="119">
        <v>37.5</v>
      </c>
      <c r="G75" s="121"/>
      <c r="H75" s="121">
        <v>0.49</v>
      </c>
      <c r="I75" s="121"/>
      <c r="J75" s="119"/>
      <c r="K75" s="119"/>
      <c r="L75" s="119"/>
      <c r="M75" s="122"/>
    </row>
    <row r="76" spans="1:13" x14ac:dyDescent="0.35">
      <c r="A76" s="101" t="s">
        <v>5</v>
      </c>
      <c r="B76" s="123">
        <v>1433</v>
      </c>
      <c r="C76" s="101" t="s">
        <v>495</v>
      </c>
      <c r="D76" s="101">
        <v>980100</v>
      </c>
      <c r="E76" s="101" t="s">
        <v>96</v>
      </c>
      <c r="F76" s="101">
        <v>40</v>
      </c>
      <c r="G76" s="124"/>
      <c r="H76" s="124">
        <v>0.57999999999999996</v>
      </c>
      <c r="I76" s="121"/>
      <c r="J76" s="101"/>
      <c r="K76" s="101"/>
      <c r="L76" s="101"/>
      <c r="M76" s="125"/>
    </row>
    <row r="77" spans="1:13" ht="15" thickBot="1" x14ac:dyDescent="0.4">
      <c r="A77" s="126" t="s">
        <v>5</v>
      </c>
      <c r="B77" s="127">
        <v>1433</v>
      </c>
      <c r="C77" s="126" t="s">
        <v>495</v>
      </c>
      <c r="D77" s="126">
        <v>987594</v>
      </c>
      <c r="E77" s="126" t="s">
        <v>448</v>
      </c>
      <c r="F77" s="126">
        <v>30</v>
      </c>
      <c r="G77" s="128"/>
      <c r="H77" s="128">
        <v>0.49</v>
      </c>
      <c r="I77" s="128"/>
      <c r="J77" s="126"/>
      <c r="K77" s="126"/>
      <c r="L77" s="126"/>
      <c r="M77" s="129"/>
    </row>
    <row r="78" spans="1:13" x14ac:dyDescent="0.35">
      <c r="A78" s="119" t="s">
        <v>5</v>
      </c>
      <c r="B78" s="120">
        <v>1434</v>
      </c>
      <c r="C78" s="119" t="s">
        <v>307</v>
      </c>
      <c r="D78" s="119">
        <v>980000</v>
      </c>
      <c r="E78" s="119" t="s">
        <v>93</v>
      </c>
      <c r="F78" s="119">
        <v>37.5</v>
      </c>
      <c r="G78" s="121"/>
      <c r="H78" s="121">
        <v>0.48</v>
      </c>
      <c r="I78" s="121"/>
      <c r="J78" s="119"/>
      <c r="K78" s="119"/>
      <c r="L78" s="119"/>
      <c r="M78" s="122"/>
    </row>
    <row r="79" spans="1:13" x14ac:dyDescent="0.35">
      <c r="A79" s="134" t="s">
        <v>5</v>
      </c>
      <c r="B79" s="135">
        <v>1434</v>
      </c>
      <c r="C79" s="134" t="s">
        <v>307</v>
      </c>
      <c r="D79" s="134">
        <v>980100</v>
      </c>
      <c r="E79" s="134" t="s">
        <v>96</v>
      </c>
      <c r="F79" s="134">
        <v>40</v>
      </c>
      <c r="G79" s="136">
        <v>0.59</v>
      </c>
      <c r="H79" s="136">
        <v>0.64</v>
      </c>
      <c r="I79" s="137"/>
      <c r="J79" s="134" t="s">
        <v>51</v>
      </c>
      <c r="K79" s="134" t="s">
        <v>200</v>
      </c>
      <c r="L79" s="134"/>
      <c r="M79" s="138">
        <v>44813</v>
      </c>
    </row>
    <row r="80" spans="1:13" ht="15" thickBot="1" x14ac:dyDescent="0.4">
      <c r="A80" s="126" t="s">
        <v>5</v>
      </c>
      <c r="B80" s="127">
        <v>1434</v>
      </c>
      <c r="C80" s="126" t="s">
        <v>307</v>
      </c>
      <c r="D80" s="126">
        <v>987594</v>
      </c>
      <c r="E80" s="126" t="s">
        <v>448</v>
      </c>
      <c r="F80" s="126">
        <v>30</v>
      </c>
      <c r="G80" s="128"/>
      <c r="H80" s="128">
        <v>0.49</v>
      </c>
      <c r="I80" s="128"/>
      <c r="J80" s="126"/>
      <c r="K80" s="126"/>
      <c r="L80" s="126"/>
      <c r="M80" s="129"/>
    </row>
    <row r="81" spans="1:13" x14ac:dyDescent="0.35">
      <c r="A81" s="119" t="s">
        <v>5</v>
      </c>
      <c r="B81" s="120">
        <v>1440</v>
      </c>
      <c r="C81" s="119" t="s">
        <v>583</v>
      </c>
      <c r="D81" s="119">
        <v>980000</v>
      </c>
      <c r="E81" s="119" t="s">
        <v>93</v>
      </c>
      <c r="F81" s="119">
        <v>37.5</v>
      </c>
      <c r="G81" s="121"/>
      <c r="H81" s="121">
        <v>0.48</v>
      </c>
      <c r="I81" s="121"/>
      <c r="J81" s="119"/>
      <c r="K81" s="119"/>
      <c r="L81" s="119"/>
      <c r="M81" s="122"/>
    </row>
    <row r="82" spans="1:13" x14ac:dyDescent="0.35">
      <c r="A82" s="101" t="s">
        <v>5</v>
      </c>
      <c r="B82" s="120">
        <v>1440</v>
      </c>
      <c r="C82" s="119" t="s">
        <v>583</v>
      </c>
      <c r="D82" s="101">
        <v>980100</v>
      </c>
      <c r="E82" s="101" t="s">
        <v>96</v>
      </c>
      <c r="F82" s="101">
        <v>40</v>
      </c>
      <c r="G82" s="124"/>
      <c r="H82" s="124">
        <v>0.57999999999999996</v>
      </c>
      <c r="I82" s="121"/>
      <c r="J82" s="101"/>
      <c r="K82" s="101"/>
      <c r="L82" s="101"/>
      <c r="M82" s="125"/>
    </row>
    <row r="83" spans="1:13" ht="15" thickBot="1" x14ac:dyDescent="0.4">
      <c r="A83" s="126" t="s">
        <v>5</v>
      </c>
      <c r="B83" s="127">
        <v>1440</v>
      </c>
      <c r="C83" s="126" t="s">
        <v>583</v>
      </c>
      <c r="D83" s="126">
        <v>987594</v>
      </c>
      <c r="E83" s="126" t="s">
        <v>448</v>
      </c>
      <c r="F83" s="126">
        <v>30</v>
      </c>
      <c r="G83" s="128"/>
      <c r="H83" s="128">
        <v>0.95</v>
      </c>
      <c r="I83" s="128"/>
      <c r="J83" s="126"/>
      <c r="K83" s="126"/>
      <c r="L83" s="126"/>
      <c r="M83" s="129"/>
    </row>
    <row r="84" spans="1:13" x14ac:dyDescent="0.35">
      <c r="A84" s="119" t="s">
        <v>5</v>
      </c>
      <c r="B84" s="120">
        <v>1442</v>
      </c>
      <c r="C84" s="119" t="s">
        <v>309</v>
      </c>
      <c r="D84" s="119">
        <v>980000</v>
      </c>
      <c r="E84" s="119" t="s">
        <v>93</v>
      </c>
      <c r="F84" s="119">
        <v>37.5</v>
      </c>
      <c r="G84" s="121"/>
      <c r="H84" s="121">
        <v>0.57999999999999996</v>
      </c>
      <c r="I84" s="121"/>
      <c r="J84" s="119"/>
      <c r="K84" s="119"/>
      <c r="L84" s="119"/>
      <c r="M84" s="122"/>
    </row>
    <row r="85" spans="1:13" x14ac:dyDescent="0.35">
      <c r="A85" s="101" t="s">
        <v>5</v>
      </c>
      <c r="B85" s="123">
        <v>1442</v>
      </c>
      <c r="C85" s="101" t="s">
        <v>309</v>
      </c>
      <c r="D85" s="101">
        <v>980100</v>
      </c>
      <c r="E85" s="101" t="s">
        <v>96</v>
      </c>
      <c r="F85" s="101">
        <v>40</v>
      </c>
      <c r="G85" s="124"/>
      <c r="H85" s="124">
        <v>0.67</v>
      </c>
      <c r="I85" s="121"/>
      <c r="J85" s="101"/>
      <c r="K85" s="101"/>
      <c r="L85" s="101"/>
      <c r="M85" s="125"/>
    </row>
    <row r="86" spans="1:13" ht="15" thickBot="1" x14ac:dyDescent="0.4">
      <c r="A86" s="126" t="s">
        <v>5</v>
      </c>
      <c r="B86" s="127">
        <v>1442</v>
      </c>
      <c r="C86" s="126" t="s">
        <v>309</v>
      </c>
      <c r="D86" s="126">
        <v>987594</v>
      </c>
      <c r="E86" s="126" t="s">
        <v>448</v>
      </c>
      <c r="F86" s="126">
        <v>30</v>
      </c>
      <c r="G86" s="128"/>
      <c r="H86" s="128">
        <v>0.95</v>
      </c>
      <c r="I86" s="128"/>
      <c r="J86" s="126"/>
      <c r="K86" s="126"/>
      <c r="L86" s="126"/>
      <c r="M86" s="129"/>
    </row>
    <row r="87" spans="1:13" x14ac:dyDescent="0.35">
      <c r="A87" s="119" t="s">
        <v>5</v>
      </c>
      <c r="B87" s="120">
        <v>1443</v>
      </c>
      <c r="C87" s="119" t="s">
        <v>329</v>
      </c>
      <c r="D87" s="119">
        <v>980000</v>
      </c>
      <c r="E87" s="119" t="s">
        <v>93</v>
      </c>
      <c r="F87" s="119">
        <v>37.5</v>
      </c>
      <c r="G87" s="121"/>
      <c r="H87" s="121">
        <v>0.49</v>
      </c>
      <c r="I87" s="121"/>
      <c r="J87" s="119"/>
      <c r="K87" s="119"/>
      <c r="L87" s="119"/>
      <c r="M87" s="122"/>
    </row>
    <row r="88" spans="1:13" x14ac:dyDescent="0.35">
      <c r="A88" s="101" t="s">
        <v>5</v>
      </c>
      <c r="B88" s="123">
        <v>1443</v>
      </c>
      <c r="C88" s="101" t="s">
        <v>329</v>
      </c>
      <c r="D88" s="101">
        <v>980100</v>
      </c>
      <c r="E88" s="101" t="s">
        <v>96</v>
      </c>
      <c r="F88" s="101">
        <v>40</v>
      </c>
      <c r="G88" s="124"/>
      <c r="H88" s="124">
        <v>0.56000000000000005</v>
      </c>
      <c r="I88" s="121"/>
      <c r="J88" s="101"/>
      <c r="K88" s="101"/>
      <c r="L88" s="101"/>
      <c r="M88" s="125"/>
    </row>
    <row r="89" spans="1:13" ht="15" thickBot="1" x14ac:dyDescent="0.4">
      <c r="A89" s="126" t="s">
        <v>5</v>
      </c>
      <c r="B89" s="127">
        <v>1443</v>
      </c>
      <c r="C89" s="126" t="s">
        <v>329</v>
      </c>
      <c r="D89" s="126">
        <v>987594</v>
      </c>
      <c r="E89" s="126" t="s">
        <v>448</v>
      </c>
      <c r="F89" s="126">
        <v>30</v>
      </c>
      <c r="G89" s="128"/>
      <c r="H89" s="128">
        <v>0.49</v>
      </c>
      <c r="I89" s="128"/>
      <c r="J89" s="126"/>
      <c r="K89" s="126"/>
      <c r="L89" s="126"/>
      <c r="M89" s="129"/>
    </row>
    <row r="90" spans="1:13" x14ac:dyDescent="0.35">
      <c r="A90" s="119" t="s">
        <v>5</v>
      </c>
      <c r="B90" s="120">
        <v>1448</v>
      </c>
      <c r="C90" s="119" t="s">
        <v>321</v>
      </c>
      <c r="D90" s="119">
        <v>980000</v>
      </c>
      <c r="E90" s="119" t="s">
        <v>93</v>
      </c>
      <c r="F90" s="119">
        <v>37.5</v>
      </c>
      <c r="G90" s="121"/>
      <c r="H90" s="121">
        <v>0.68</v>
      </c>
      <c r="I90" s="121"/>
      <c r="J90" s="119"/>
      <c r="K90" s="119"/>
      <c r="L90" s="119"/>
      <c r="M90" s="122"/>
    </row>
    <row r="91" spans="1:13" x14ac:dyDescent="0.35">
      <c r="A91" s="101" t="s">
        <v>5</v>
      </c>
      <c r="B91" s="123">
        <v>1448</v>
      </c>
      <c r="C91" s="101" t="s">
        <v>321</v>
      </c>
      <c r="D91" s="101">
        <v>980100</v>
      </c>
      <c r="E91" s="101" t="s">
        <v>96</v>
      </c>
      <c r="F91" s="101">
        <v>40</v>
      </c>
      <c r="G91" s="124"/>
      <c r="H91" s="124">
        <v>0.79</v>
      </c>
      <c r="I91" s="121"/>
      <c r="J91" s="101"/>
      <c r="K91" s="101"/>
      <c r="L91" s="101"/>
      <c r="M91" s="125"/>
    </row>
    <row r="92" spans="1:13" ht="15" thickBot="1" x14ac:dyDescent="0.4">
      <c r="A92" s="126" t="s">
        <v>5</v>
      </c>
      <c r="B92" s="127">
        <v>1448</v>
      </c>
      <c r="C92" s="126" t="s">
        <v>321</v>
      </c>
      <c r="D92" s="126">
        <v>987594</v>
      </c>
      <c r="E92" s="126" t="s">
        <v>448</v>
      </c>
      <c r="F92" s="126">
        <v>30</v>
      </c>
      <c r="G92" s="128"/>
      <c r="H92" s="128">
        <v>0.95</v>
      </c>
      <c r="I92" s="128"/>
      <c r="J92" s="126"/>
      <c r="K92" s="126"/>
      <c r="L92" s="126"/>
      <c r="M92" s="129"/>
    </row>
    <row r="93" spans="1:13" x14ac:dyDescent="0.35">
      <c r="A93" s="119" t="s">
        <v>5</v>
      </c>
      <c r="B93" s="120">
        <v>1449</v>
      </c>
      <c r="C93" s="119" t="s">
        <v>323</v>
      </c>
      <c r="D93" s="119">
        <v>980000</v>
      </c>
      <c r="E93" s="119" t="s">
        <v>93</v>
      </c>
      <c r="F93" s="119">
        <v>37.5</v>
      </c>
      <c r="G93" s="121"/>
      <c r="H93" s="121">
        <v>0.49</v>
      </c>
      <c r="I93" s="121"/>
      <c r="J93" s="119"/>
      <c r="K93" s="119"/>
      <c r="L93" s="119"/>
      <c r="M93" s="122"/>
    </row>
    <row r="94" spans="1:13" x14ac:dyDescent="0.35">
      <c r="A94" s="101" t="s">
        <v>5</v>
      </c>
      <c r="B94" s="123">
        <v>1449</v>
      </c>
      <c r="C94" s="101" t="s">
        <v>323</v>
      </c>
      <c r="D94" s="101">
        <v>980100</v>
      </c>
      <c r="E94" s="101" t="s">
        <v>96</v>
      </c>
      <c r="F94" s="101">
        <v>40</v>
      </c>
      <c r="G94" s="124"/>
      <c r="H94" s="124">
        <v>0.56999999999999995</v>
      </c>
      <c r="I94" s="121"/>
      <c r="J94" s="101"/>
      <c r="K94" s="101"/>
      <c r="L94" s="101"/>
      <c r="M94" s="125"/>
    </row>
    <row r="95" spans="1:13" ht="15" thickBot="1" x14ac:dyDescent="0.4">
      <c r="A95" s="126" t="s">
        <v>5</v>
      </c>
      <c r="B95" s="127">
        <v>1449</v>
      </c>
      <c r="C95" s="126" t="s">
        <v>323</v>
      </c>
      <c r="D95" s="126">
        <v>987594</v>
      </c>
      <c r="E95" s="126" t="s">
        <v>448</v>
      </c>
      <c r="F95" s="126">
        <v>30</v>
      </c>
      <c r="G95" s="128"/>
      <c r="H95" s="128">
        <v>0.49</v>
      </c>
      <c r="I95" s="128"/>
      <c r="J95" s="126"/>
      <c r="K95" s="126"/>
      <c r="L95" s="126"/>
      <c r="M95" s="129"/>
    </row>
    <row r="96" spans="1:13" x14ac:dyDescent="0.35">
      <c r="A96" s="119" t="s">
        <v>5</v>
      </c>
      <c r="B96" s="120">
        <v>1463</v>
      </c>
      <c r="C96" s="119" t="s">
        <v>496</v>
      </c>
      <c r="D96" s="119">
        <v>980000</v>
      </c>
      <c r="E96" s="119" t="s">
        <v>93</v>
      </c>
      <c r="F96" s="119">
        <v>37.5</v>
      </c>
      <c r="G96" s="121"/>
      <c r="H96" s="121">
        <v>0.49</v>
      </c>
      <c r="I96" s="121"/>
      <c r="J96" s="119"/>
      <c r="K96" s="119"/>
      <c r="L96" s="119"/>
      <c r="M96" s="122"/>
    </row>
    <row r="97" spans="1:13" x14ac:dyDescent="0.35">
      <c r="A97" s="101" t="s">
        <v>5</v>
      </c>
      <c r="B97" s="123">
        <v>1463</v>
      </c>
      <c r="C97" s="101" t="s">
        <v>496</v>
      </c>
      <c r="D97" s="101">
        <v>980100</v>
      </c>
      <c r="E97" s="101" t="s">
        <v>96</v>
      </c>
      <c r="F97" s="101">
        <v>40</v>
      </c>
      <c r="G97" s="124"/>
      <c r="H97" s="124">
        <v>0.54</v>
      </c>
      <c r="I97" s="121"/>
      <c r="J97" s="101"/>
      <c r="K97" s="101"/>
      <c r="L97" s="101"/>
      <c r="M97" s="125"/>
    </row>
    <row r="98" spans="1:13" ht="15" thickBot="1" x14ac:dyDescent="0.4">
      <c r="A98" s="126" t="s">
        <v>5</v>
      </c>
      <c r="B98" s="127">
        <v>1463</v>
      </c>
      <c r="C98" s="126" t="s">
        <v>496</v>
      </c>
      <c r="D98" s="126">
        <v>987594</v>
      </c>
      <c r="E98" s="126" t="s">
        <v>448</v>
      </c>
      <c r="F98" s="126">
        <v>30</v>
      </c>
      <c r="G98" s="128"/>
      <c r="H98" s="128">
        <v>0.49</v>
      </c>
      <c r="I98" s="128"/>
      <c r="J98" s="126"/>
      <c r="K98" s="126"/>
      <c r="L98" s="126"/>
      <c r="M98" s="129"/>
    </row>
    <row r="99" spans="1:13" x14ac:dyDescent="0.35">
      <c r="A99" s="119" t="s">
        <v>5</v>
      </c>
      <c r="B99" s="120">
        <v>1467</v>
      </c>
      <c r="C99" s="119" t="s">
        <v>576</v>
      </c>
      <c r="D99" s="119">
        <v>980000</v>
      </c>
      <c r="E99" s="119" t="s">
        <v>93</v>
      </c>
      <c r="F99" s="119">
        <v>37.5</v>
      </c>
      <c r="G99" s="121"/>
      <c r="H99" s="121">
        <v>0.48</v>
      </c>
      <c r="I99" s="121"/>
      <c r="J99" s="119"/>
      <c r="K99" s="119"/>
      <c r="L99" s="119"/>
      <c r="M99" s="122"/>
    </row>
    <row r="100" spans="1:13" x14ac:dyDescent="0.35">
      <c r="A100" s="101" t="s">
        <v>5</v>
      </c>
      <c r="B100" s="123">
        <v>1467</v>
      </c>
      <c r="C100" s="101" t="s">
        <v>576</v>
      </c>
      <c r="D100" s="101">
        <v>980100</v>
      </c>
      <c r="E100" s="101" t="s">
        <v>96</v>
      </c>
      <c r="F100" s="101">
        <v>40</v>
      </c>
      <c r="G100" s="124"/>
      <c r="H100" s="124">
        <v>0.57999999999999996</v>
      </c>
      <c r="I100" s="121"/>
      <c r="J100" s="101"/>
      <c r="K100" s="101"/>
      <c r="L100" s="101"/>
      <c r="M100" s="125"/>
    </row>
    <row r="101" spans="1:13" ht="15" thickBot="1" x14ac:dyDescent="0.4">
      <c r="A101" s="126" t="s">
        <v>5</v>
      </c>
      <c r="B101" s="127">
        <v>1467</v>
      </c>
      <c r="C101" s="126" t="s">
        <v>576</v>
      </c>
      <c r="D101" s="126">
        <v>987594</v>
      </c>
      <c r="E101" s="126" t="s">
        <v>448</v>
      </c>
      <c r="F101" s="126">
        <v>30</v>
      </c>
      <c r="G101" s="128"/>
      <c r="H101" s="128">
        <v>0.95</v>
      </c>
      <c r="I101" s="128"/>
      <c r="J101" s="126"/>
      <c r="K101" s="126"/>
      <c r="L101" s="126"/>
      <c r="M101" s="129"/>
    </row>
    <row r="102" spans="1:13" x14ac:dyDescent="0.35">
      <c r="A102" s="119" t="s">
        <v>5</v>
      </c>
      <c r="B102" s="120">
        <v>1473</v>
      </c>
      <c r="C102" s="119" t="s">
        <v>715</v>
      </c>
      <c r="D102" s="119">
        <v>980000</v>
      </c>
      <c r="E102" s="119" t="s">
        <v>93</v>
      </c>
      <c r="F102" s="119">
        <v>37.5</v>
      </c>
      <c r="G102" s="121"/>
      <c r="H102" s="121">
        <v>0.59</v>
      </c>
      <c r="I102" s="121"/>
      <c r="J102" s="119"/>
      <c r="K102" s="119"/>
      <c r="L102" s="119"/>
      <c r="M102" s="122"/>
    </row>
    <row r="103" spans="1:13" x14ac:dyDescent="0.35">
      <c r="A103" s="101" t="s">
        <v>5</v>
      </c>
      <c r="B103" s="123">
        <v>1473</v>
      </c>
      <c r="C103" s="101" t="s">
        <v>715</v>
      </c>
      <c r="D103" s="101">
        <v>980100</v>
      </c>
      <c r="E103" s="101" t="s">
        <v>96</v>
      </c>
      <c r="F103" s="101">
        <v>40</v>
      </c>
      <c r="G103" s="124"/>
      <c r="H103" s="124">
        <v>0.69</v>
      </c>
      <c r="I103" s="121"/>
      <c r="J103" s="101"/>
      <c r="K103" s="101"/>
      <c r="L103" s="101"/>
      <c r="M103" s="125"/>
    </row>
    <row r="104" spans="1:13" ht="15" thickBot="1" x14ac:dyDescent="0.4">
      <c r="A104" s="126" t="s">
        <v>5</v>
      </c>
      <c r="B104" s="127">
        <v>1473</v>
      </c>
      <c r="C104" s="126" t="s">
        <v>715</v>
      </c>
      <c r="D104" s="126">
        <v>987594</v>
      </c>
      <c r="E104" s="126" t="s">
        <v>448</v>
      </c>
      <c r="F104" s="126">
        <v>30</v>
      </c>
      <c r="G104" s="128"/>
      <c r="H104" s="128">
        <v>0.99</v>
      </c>
      <c r="I104" s="128"/>
      <c r="J104" s="126"/>
      <c r="K104" s="126"/>
      <c r="L104" s="126"/>
      <c r="M104" s="129"/>
    </row>
    <row r="105" spans="1:13" x14ac:dyDescent="0.35">
      <c r="A105" s="119" t="s">
        <v>5</v>
      </c>
      <c r="B105" s="120">
        <v>1482</v>
      </c>
      <c r="C105" s="119" t="s">
        <v>570</v>
      </c>
      <c r="D105" s="119">
        <v>980000</v>
      </c>
      <c r="E105" s="119" t="s">
        <v>93</v>
      </c>
      <c r="F105" s="119">
        <v>37.5</v>
      </c>
      <c r="G105" s="121"/>
      <c r="H105" s="121">
        <v>0.54</v>
      </c>
      <c r="I105" s="121"/>
      <c r="J105" s="119"/>
      <c r="K105" s="119"/>
      <c r="L105" s="119"/>
      <c r="M105" s="122"/>
    </row>
    <row r="106" spans="1:13" x14ac:dyDescent="0.35">
      <c r="A106" s="101" t="s">
        <v>5</v>
      </c>
      <c r="B106" s="123">
        <v>1482</v>
      </c>
      <c r="C106" s="101" t="s">
        <v>570</v>
      </c>
      <c r="D106" s="101">
        <v>980100</v>
      </c>
      <c r="E106" s="101" t="s">
        <v>96</v>
      </c>
      <c r="F106" s="101">
        <v>40</v>
      </c>
      <c r="G106" s="124"/>
      <c r="H106" s="124">
        <v>0.62</v>
      </c>
      <c r="I106" s="121"/>
      <c r="J106" s="101"/>
      <c r="K106" s="101"/>
      <c r="L106" s="101"/>
      <c r="M106" s="125"/>
    </row>
    <row r="107" spans="1:13" ht="15" thickBot="1" x14ac:dyDescent="0.4">
      <c r="A107" s="126" t="s">
        <v>5</v>
      </c>
      <c r="B107" s="127">
        <v>1482</v>
      </c>
      <c r="C107" s="126" t="s">
        <v>570</v>
      </c>
      <c r="D107" s="126">
        <v>987594</v>
      </c>
      <c r="E107" s="126" t="s">
        <v>448</v>
      </c>
      <c r="F107" s="126">
        <v>30</v>
      </c>
      <c r="G107" s="128"/>
      <c r="H107" s="128">
        <v>0.95</v>
      </c>
      <c r="I107" s="128"/>
      <c r="J107" s="126"/>
      <c r="K107" s="126"/>
      <c r="L107" s="126"/>
      <c r="M107" s="129"/>
    </row>
    <row r="108" spans="1:13" x14ac:dyDescent="0.35">
      <c r="A108" s="119" t="s">
        <v>5</v>
      </c>
      <c r="B108" s="120">
        <v>1484</v>
      </c>
      <c r="C108" s="119" t="s">
        <v>379</v>
      </c>
      <c r="D108" s="119">
        <v>980000</v>
      </c>
      <c r="E108" s="119" t="s">
        <v>93</v>
      </c>
      <c r="F108" s="119">
        <v>37.5</v>
      </c>
      <c r="G108" s="121"/>
      <c r="H108" s="121">
        <v>0.49</v>
      </c>
      <c r="I108" s="121"/>
      <c r="J108" s="119"/>
      <c r="K108" s="119"/>
      <c r="L108" s="119"/>
      <c r="M108" s="122"/>
    </row>
    <row r="109" spans="1:13" x14ac:dyDescent="0.35">
      <c r="A109" s="101" t="s">
        <v>5</v>
      </c>
      <c r="B109" s="123">
        <v>1484</v>
      </c>
      <c r="C109" s="101" t="s">
        <v>379</v>
      </c>
      <c r="D109" s="101">
        <v>980100</v>
      </c>
      <c r="E109" s="101" t="s">
        <v>96</v>
      </c>
      <c r="F109" s="101">
        <v>40</v>
      </c>
      <c r="G109" s="124"/>
      <c r="H109" s="124">
        <v>0.56000000000000005</v>
      </c>
      <c r="I109" s="121"/>
      <c r="J109" s="101"/>
      <c r="K109" s="101"/>
      <c r="L109" s="101"/>
      <c r="M109" s="125"/>
    </row>
    <row r="110" spans="1:13" ht="15" thickBot="1" x14ac:dyDescent="0.4">
      <c r="A110" s="126" t="s">
        <v>5</v>
      </c>
      <c r="B110" s="127">
        <v>1484</v>
      </c>
      <c r="C110" s="126" t="s">
        <v>379</v>
      </c>
      <c r="D110" s="126">
        <v>987594</v>
      </c>
      <c r="E110" s="126" t="s">
        <v>448</v>
      </c>
      <c r="F110" s="126">
        <v>30</v>
      </c>
      <c r="G110" s="128"/>
      <c r="H110" s="128">
        <v>0.49</v>
      </c>
      <c r="I110" s="128"/>
      <c r="J110" s="126"/>
      <c r="K110" s="126"/>
      <c r="L110" s="126"/>
      <c r="M110" s="129"/>
    </row>
    <row r="111" spans="1:13" x14ac:dyDescent="0.35">
      <c r="A111" s="119" t="s">
        <v>5</v>
      </c>
      <c r="B111" s="120">
        <v>1499</v>
      </c>
      <c r="C111" s="119" t="s">
        <v>497</v>
      </c>
      <c r="D111" s="119">
        <v>980000</v>
      </c>
      <c r="E111" s="119" t="s">
        <v>93</v>
      </c>
      <c r="F111" s="119">
        <v>37.5</v>
      </c>
      <c r="G111" s="121"/>
      <c r="H111" s="121">
        <v>0.49</v>
      </c>
      <c r="I111" s="121"/>
      <c r="J111" s="119"/>
      <c r="K111" s="119"/>
      <c r="L111" s="119"/>
      <c r="M111" s="122"/>
    </row>
    <row r="112" spans="1:13" x14ac:dyDescent="0.35">
      <c r="A112" s="101" t="s">
        <v>5</v>
      </c>
      <c r="B112" s="123">
        <v>1499</v>
      </c>
      <c r="C112" s="101" t="s">
        <v>497</v>
      </c>
      <c r="D112" s="101">
        <v>980100</v>
      </c>
      <c r="E112" s="101" t="s">
        <v>96</v>
      </c>
      <c r="F112" s="101">
        <v>40</v>
      </c>
      <c r="G112" s="124"/>
      <c r="H112" s="124">
        <v>0.57999999999999996</v>
      </c>
      <c r="I112" s="121"/>
      <c r="J112" s="101"/>
      <c r="K112" s="101"/>
      <c r="L112" s="101"/>
      <c r="M112" s="125"/>
    </row>
    <row r="113" spans="1:13" ht="15" thickBot="1" x14ac:dyDescent="0.4">
      <c r="A113" s="126" t="s">
        <v>5</v>
      </c>
      <c r="B113" s="127">
        <v>1499</v>
      </c>
      <c r="C113" s="126" t="s">
        <v>497</v>
      </c>
      <c r="D113" s="126">
        <v>987594</v>
      </c>
      <c r="E113" s="126" t="s">
        <v>448</v>
      </c>
      <c r="F113" s="126">
        <v>30</v>
      </c>
      <c r="G113" s="128"/>
      <c r="H113" s="128">
        <v>0.95</v>
      </c>
      <c r="I113" s="128"/>
      <c r="J113" s="126"/>
      <c r="K113" s="126"/>
      <c r="L113" s="126"/>
      <c r="M113" s="129"/>
    </row>
    <row r="114" spans="1:13" x14ac:dyDescent="0.35">
      <c r="A114" s="119" t="s">
        <v>5</v>
      </c>
      <c r="B114" s="120">
        <v>1506</v>
      </c>
      <c r="C114" s="119" t="s">
        <v>719</v>
      </c>
      <c r="D114" s="119">
        <v>980000</v>
      </c>
      <c r="E114" s="119" t="s">
        <v>93</v>
      </c>
      <c r="F114" s="119">
        <v>37.5</v>
      </c>
      <c r="G114" s="121"/>
      <c r="H114" s="121">
        <v>0.53</v>
      </c>
      <c r="I114" s="121"/>
      <c r="J114" s="119"/>
      <c r="K114" s="119"/>
      <c r="L114" s="119"/>
      <c r="M114" s="122"/>
    </row>
    <row r="115" spans="1:13" x14ac:dyDescent="0.35">
      <c r="A115" s="101" t="s">
        <v>5</v>
      </c>
      <c r="B115" s="123">
        <v>1506</v>
      </c>
      <c r="C115" s="119" t="s">
        <v>719</v>
      </c>
      <c r="D115" s="101">
        <v>980100</v>
      </c>
      <c r="E115" s="101" t="s">
        <v>96</v>
      </c>
      <c r="F115" s="101">
        <v>40</v>
      </c>
      <c r="G115" s="124"/>
      <c r="H115" s="124">
        <v>0.63</v>
      </c>
      <c r="I115" s="121"/>
      <c r="J115" s="101"/>
      <c r="K115" s="101"/>
      <c r="L115" s="101"/>
      <c r="M115" s="125"/>
    </row>
    <row r="116" spans="1:13" ht="15" thickBot="1" x14ac:dyDescent="0.4">
      <c r="A116" s="126" t="s">
        <v>5</v>
      </c>
      <c r="B116" s="127">
        <v>1506</v>
      </c>
      <c r="C116" s="126" t="s">
        <v>719</v>
      </c>
      <c r="D116" s="126">
        <v>987594</v>
      </c>
      <c r="E116" s="126" t="s">
        <v>448</v>
      </c>
      <c r="F116" s="126">
        <v>30</v>
      </c>
      <c r="G116" s="128"/>
      <c r="H116" s="128">
        <v>0.5</v>
      </c>
      <c r="I116" s="128"/>
      <c r="J116" s="126"/>
      <c r="K116" s="126"/>
      <c r="L116" s="126"/>
      <c r="M116" s="129"/>
    </row>
    <row r="117" spans="1:13" x14ac:dyDescent="0.35">
      <c r="A117" s="119" t="s">
        <v>5</v>
      </c>
      <c r="B117" s="120">
        <v>1516</v>
      </c>
      <c r="C117" s="119" t="s">
        <v>628</v>
      </c>
      <c r="D117" s="119">
        <v>980000</v>
      </c>
      <c r="E117" s="119" t="s">
        <v>93</v>
      </c>
      <c r="F117" s="119">
        <v>37.5</v>
      </c>
      <c r="G117" s="121"/>
      <c r="H117" s="121">
        <v>0.48</v>
      </c>
      <c r="I117" s="121"/>
      <c r="J117" s="119"/>
      <c r="K117" s="119"/>
      <c r="L117" s="119"/>
      <c r="M117" s="122"/>
    </row>
    <row r="118" spans="1:13" x14ac:dyDescent="0.35">
      <c r="A118" s="101" t="s">
        <v>5</v>
      </c>
      <c r="B118" s="123">
        <v>1516</v>
      </c>
      <c r="C118" s="101" t="s">
        <v>628</v>
      </c>
      <c r="D118" s="101">
        <v>980100</v>
      </c>
      <c r="E118" s="101" t="s">
        <v>96</v>
      </c>
      <c r="F118" s="101">
        <v>40</v>
      </c>
      <c r="G118" s="124"/>
      <c r="H118" s="124">
        <v>0.56999999999999995</v>
      </c>
      <c r="I118" s="121"/>
      <c r="J118" s="101"/>
      <c r="K118" s="101"/>
      <c r="L118" s="101"/>
      <c r="M118" s="125"/>
    </row>
    <row r="119" spans="1:13" ht="15" thickBot="1" x14ac:dyDescent="0.4">
      <c r="A119" s="126" t="s">
        <v>5</v>
      </c>
      <c r="B119" s="127">
        <v>1516</v>
      </c>
      <c r="C119" s="126" t="s">
        <v>628</v>
      </c>
      <c r="D119" s="126">
        <v>987594</v>
      </c>
      <c r="E119" s="126" t="s">
        <v>448</v>
      </c>
      <c r="F119" s="126">
        <v>30</v>
      </c>
      <c r="G119" s="128"/>
      <c r="H119" s="128">
        <v>0.49</v>
      </c>
      <c r="I119" s="128"/>
      <c r="J119" s="126"/>
      <c r="K119" s="126"/>
      <c r="L119" s="126"/>
      <c r="M119" s="129"/>
    </row>
    <row r="120" spans="1:13" x14ac:dyDescent="0.35">
      <c r="A120" s="119" t="s">
        <v>5</v>
      </c>
      <c r="B120" s="120">
        <v>1531</v>
      </c>
      <c r="C120" s="119" t="s">
        <v>785</v>
      </c>
      <c r="D120" s="119">
        <v>980000</v>
      </c>
      <c r="E120" s="119" t="s">
        <v>93</v>
      </c>
      <c r="F120" s="119">
        <v>37.5</v>
      </c>
      <c r="G120" s="121"/>
      <c r="H120" s="121">
        <v>0.59</v>
      </c>
      <c r="I120" s="121"/>
      <c r="J120" s="119"/>
      <c r="K120" s="119"/>
      <c r="L120" s="119"/>
      <c r="M120" s="122"/>
    </row>
    <row r="121" spans="1:13" x14ac:dyDescent="0.35">
      <c r="A121" s="101" t="s">
        <v>5</v>
      </c>
      <c r="B121" s="123">
        <v>1531</v>
      </c>
      <c r="C121" s="101" t="s">
        <v>785</v>
      </c>
      <c r="D121" s="101">
        <v>980100</v>
      </c>
      <c r="E121" s="101" t="s">
        <v>96</v>
      </c>
      <c r="F121" s="101">
        <v>40</v>
      </c>
      <c r="G121" s="124"/>
      <c r="H121" s="124">
        <v>0.59</v>
      </c>
      <c r="I121" s="121"/>
      <c r="J121" s="101"/>
      <c r="K121" s="101"/>
      <c r="L121" s="101"/>
      <c r="M121" s="125"/>
    </row>
    <row r="122" spans="1:13" ht="15" thickBot="1" x14ac:dyDescent="0.4">
      <c r="A122" s="126" t="s">
        <v>5</v>
      </c>
      <c r="B122" s="127">
        <v>1531</v>
      </c>
      <c r="C122" s="126" t="s">
        <v>785</v>
      </c>
      <c r="D122" s="126">
        <v>987594</v>
      </c>
      <c r="E122" s="126" t="s">
        <v>448</v>
      </c>
      <c r="F122" s="126">
        <v>30</v>
      </c>
      <c r="G122" s="128"/>
      <c r="H122" s="128">
        <v>0.95</v>
      </c>
      <c r="I122" s="128"/>
      <c r="J122" s="126"/>
      <c r="K122" s="126"/>
      <c r="L122" s="126"/>
      <c r="M122" s="129"/>
    </row>
    <row r="123" spans="1:13" x14ac:dyDescent="0.35">
      <c r="A123" s="119" t="s">
        <v>5</v>
      </c>
      <c r="B123" s="120">
        <v>8001</v>
      </c>
      <c r="C123" s="119" t="s">
        <v>498</v>
      </c>
      <c r="D123" s="119">
        <v>980000</v>
      </c>
      <c r="E123" s="119" t="s">
        <v>93</v>
      </c>
      <c r="F123" s="119">
        <v>37.5</v>
      </c>
      <c r="G123" s="121"/>
      <c r="H123" s="121">
        <v>0.49</v>
      </c>
      <c r="I123" s="121"/>
      <c r="J123" s="119"/>
      <c r="K123" s="119"/>
      <c r="L123" s="119"/>
      <c r="M123" s="122"/>
    </row>
    <row r="124" spans="1:13" x14ac:dyDescent="0.35">
      <c r="A124" s="101" t="s">
        <v>5</v>
      </c>
      <c r="B124" s="123">
        <v>8001</v>
      </c>
      <c r="C124" s="101" t="s">
        <v>498</v>
      </c>
      <c r="D124" s="101">
        <v>980100</v>
      </c>
      <c r="E124" s="101" t="s">
        <v>96</v>
      </c>
      <c r="F124" s="101">
        <v>40</v>
      </c>
      <c r="G124" s="124"/>
      <c r="H124" s="124">
        <v>0.63</v>
      </c>
      <c r="I124" s="121"/>
      <c r="J124" s="101"/>
      <c r="K124" s="101"/>
      <c r="L124" s="101"/>
      <c r="M124" s="125"/>
    </row>
    <row r="125" spans="1:13" ht="15" thickBot="1" x14ac:dyDescent="0.4">
      <c r="A125" s="126" t="s">
        <v>5</v>
      </c>
      <c r="B125" s="127">
        <v>8001</v>
      </c>
      <c r="C125" s="126" t="s">
        <v>498</v>
      </c>
      <c r="D125" s="126">
        <v>987594</v>
      </c>
      <c r="E125" s="126" t="s">
        <v>448</v>
      </c>
      <c r="F125" s="126">
        <v>30</v>
      </c>
      <c r="G125" s="128"/>
      <c r="H125" s="128">
        <v>0.95</v>
      </c>
      <c r="I125" s="128"/>
      <c r="J125" s="126"/>
      <c r="K125" s="126"/>
      <c r="L125" s="126"/>
      <c r="M125" s="129"/>
    </row>
    <row r="126" spans="1:13" x14ac:dyDescent="0.35">
      <c r="A126" s="119" t="s">
        <v>5</v>
      </c>
      <c r="B126" s="120">
        <v>8002</v>
      </c>
      <c r="C126" s="119" t="s">
        <v>499</v>
      </c>
      <c r="D126" s="119">
        <v>980000</v>
      </c>
      <c r="E126" s="119" t="s">
        <v>93</v>
      </c>
      <c r="F126" s="119">
        <v>37.5</v>
      </c>
      <c r="G126" s="121"/>
      <c r="H126" s="121">
        <v>0.59</v>
      </c>
      <c r="I126" s="121"/>
      <c r="J126" s="119"/>
      <c r="K126" s="119"/>
      <c r="L126" s="119"/>
      <c r="M126" s="122"/>
    </row>
    <row r="127" spans="1:13" x14ac:dyDescent="0.35">
      <c r="A127" s="101" t="s">
        <v>5</v>
      </c>
      <c r="B127" s="123">
        <v>8002</v>
      </c>
      <c r="C127" s="101" t="s">
        <v>499</v>
      </c>
      <c r="D127" s="101">
        <v>980100</v>
      </c>
      <c r="E127" s="101" t="s">
        <v>96</v>
      </c>
      <c r="F127" s="101">
        <v>40</v>
      </c>
      <c r="G127" s="124"/>
      <c r="H127" s="124">
        <v>0.69</v>
      </c>
      <c r="I127" s="121"/>
      <c r="J127" s="101"/>
      <c r="K127" s="101"/>
      <c r="L127" s="101"/>
      <c r="M127" s="125"/>
    </row>
    <row r="128" spans="1:13" ht="15" thickBot="1" x14ac:dyDescent="0.4">
      <c r="A128" s="126" t="s">
        <v>5</v>
      </c>
      <c r="B128" s="127">
        <v>8002</v>
      </c>
      <c r="C128" s="126" t="s">
        <v>499</v>
      </c>
      <c r="D128" s="126">
        <v>987594</v>
      </c>
      <c r="E128" s="126" t="s">
        <v>448</v>
      </c>
      <c r="F128" s="126">
        <v>30</v>
      </c>
      <c r="G128" s="128"/>
      <c r="H128" s="128">
        <v>1.19</v>
      </c>
      <c r="I128" s="128"/>
      <c r="J128" s="126"/>
      <c r="K128" s="126"/>
      <c r="L128" s="126"/>
      <c r="M128" s="129"/>
    </row>
    <row r="129" spans="1:13" x14ac:dyDescent="0.35">
      <c r="A129" s="119" t="s">
        <v>5</v>
      </c>
      <c r="B129" s="120">
        <v>8003</v>
      </c>
      <c r="C129" s="119" t="s">
        <v>305</v>
      </c>
      <c r="D129" s="119">
        <v>980000</v>
      </c>
      <c r="E129" s="119" t="s">
        <v>93</v>
      </c>
      <c r="F129" s="119">
        <v>37.5</v>
      </c>
      <c r="G129" s="121"/>
      <c r="H129" s="121">
        <v>0.59</v>
      </c>
      <c r="I129" s="121"/>
      <c r="J129" s="119"/>
      <c r="K129" s="119"/>
      <c r="L129" s="119"/>
      <c r="M129" s="122"/>
    </row>
    <row r="130" spans="1:13" x14ac:dyDescent="0.35">
      <c r="A130" s="101" t="s">
        <v>5</v>
      </c>
      <c r="B130" s="123">
        <v>8003</v>
      </c>
      <c r="C130" s="101" t="s">
        <v>305</v>
      </c>
      <c r="D130" s="101">
        <v>980100</v>
      </c>
      <c r="E130" s="101" t="s">
        <v>96</v>
      </c>
      <c r="F130" s="101">
        <v>40</v>
      </c>
      <c r="G130" s="124"/>
      <c r="H130" s="124">
        <v>0.69</v>
      </c>
      <c r="I130" s="121"/>
      <c r="J130" s="101"/>
      <c r="K130" s="101"/>
      <c r="L130" s="101"/>
      <c r="M130" s="125"/>
    </row>
    <row r="131" spans="1:13" ht="15" thickBot="1" x14ac:dyDescent="0.4">
      <c r="A131" s="126" t="s">
        <v>5</v>
      </c>
      <c r="B131" s="127">
        <v>8003</v>
      </c>
      <c r="C131" s="126" t="s">
        <v>305</v>
      </c>
      <c r="D131" s="126">
        <v>987594</v>
      </c>
      <c r="E131" s="126" t="s">
        <v>448</v>
      </c>
      <c r="F131" s="126">
        <v>30</v>
      </c>
      <c r="G131" s="128"/>
      <c r="H131" s="128">
        <v>1.19</v>
      </c>
      <c r="I131" s="128"/>
      <c r="J131" s="126"/>
      <c r="K131" s="126"/>
      <c r="L131" s="126"/>
      <c r="M131" s="129"/>
    </row>
    <row r="132" spans="1:13" x14ac:dyDescent="0.35">
      <c r="A132" s="119" t="s">
        <v>5</v>
      </c>
      <c r="B132" s="120">
        <v>8004</v>
      </c>
      <c r="C132" s="119" t="s">
        <v>500</v>
      </c>
      <c r="D132" s="119">
        <v>980000</v>
      </c>
      <c r="E132" s="119" t="s">
        <v>93</v>
      </c>
      <c r="F132" s="119">
        <v>37.5</v>
      </c>
      <c r="G132" s="121"/>
      <c r="H132" s="121">
        <v>0.59</v>
      </c>
      <c r="I132" s="121"/>
      <c r="J132" s="119"/>
      <c r="K132" s="119"/>
      <c r="L132" s="119"/>
      <c r="M132" s="122"/>
    </row>
    <row r="133" spans="1:13" x14ac:dyDescent="0.35">
      <c r="A133" s="101" t="s">
        <v>5</v>
      </c>
      <c r="B133" s="123">
        <v>8004</v>
      </c>
      <c r="C133" s="101" t="s">
        <v>500</v>
      </c>
      <c r="D133" s="101">
        <v>980100</v>
      </c>
      <c r="E133" s="101" t="s">
        <v>96</v>
      </c>
      <c r="F133" s="101">
        <v>40</v>
      </c>
      <c r="G133" s="124"/>
      <c r="H133" s="124">
        <v>0.69</v>
      </c>
      <c r="I133" s="121"/>
      <c r="J133" s="101"/>
      <c r="K133" s="101"/>
      <c r="L133" s="101"/>
      <c r="M133" s="125"/>
    </row>
    <row r="134" spans="1:13" ht="15" thickBot="1" x14ac:dyDescent="0.4">
      <c r="A134" s="126" t="s">
        <v>5</v>
      </c>
      <c r="B134" s="127">
        <v>8004</v>
      </c>
      <c r="C134" s="126" t="s">
        <v>500</v>
      </c>
      <c r="D134" s="126">
        <v>987594</v>
      </c>
      <c r="E134" s="126" t="s">
        <v>448</v>
      </c>
      <c r="F134" s="126">
        <v>30</v>
      </c>
      <c r="G134" s="128"/>
      <c r="H134" s="128">
        <v>1.19</v>
      </c>
      <c r="I134" s="128"/>
      <c r="J134" s="126"/>
      <c r="K134" s="126"/>
      <c r="L134" s="126"/>
      <c r="M134" s="129"/>
    </row>
    <row r="135" spans="1:13" x14ac:dyDescent="0.35">
      <c r="A135" s="119" t="s">
        <v>5</v>
      </c>
      <c r="B135" s="120">
        <v>8006</v>
      </c>
      <c r="C135" s="119" t="s">
        <v>374</v>
      </c>
      <c r="D135" s="119">
        <v>980000</v>
      </c>
      <c r="E135" s="119" t="s">
        <v>93</v>
      </c>
      <c r="F135" s="119">
        <v>37.5</v>
      </c>
      <c r="G135" s="121"/>
      <c r="H135" s="121">
        <v>0.59</v>
      </c>
      <c r="I135" s="121"/>
      <c r="J135" s="119"/>
      <c r="K135" s="119"/>
      <c r="L135" s="119"/>
      <c r="M135" s="122"/>
    </row>
    <row r="136" spans="1:13" x14ac:dyDescent="0.35">
      <c r="A136" s="101" t="s">
        <v>5</v>
      </c>
      <c r="B136" s="123">
        <v>8006</v>
      </c>
      <c r="C136" s="101" t="s">
        <v>374</v>
      </c>
      <c r="D136" s="101">
        <v>980100</v>
      </c>
      <c r="E136" s="101" t="s">
        <v>96</v>
      </c>
      <c r="F136" s="101">
        <v>40</v>
      </c>
      <c r="G136" s="124"/>
      <c r="H136" s="124">
        <v>0.69</v>
      </c>
      <c r="I136" s="121"/>
      <c r="J136" s="101"/>
      <c r="K136" s="101"/>
      <c r="L136" s="101"/>
      <c r="M136" s="125"/>
    </row>
    <row r="137" spans="1:13" ht="15" thickBot="1" x14ac:dyDescent="0.4">
      <c r="A137" s="126" t="s">
        <v>5</v>
      </c>
      <c r="B137" s="127">
        <v>8006</v>
      </c>
      <c r="C137" s="126" t="s">
        <v>374</v>
      </c>
      <c r="D137" s="126">
        <v>987594</v>
      </c>
      <c r="E137" s="126" t="s">
        <v>448</v>
      </c>
      <c r="F137" s="126">
        <v>30</v>
      </c>
      <c r="G137" s="128"/>
      <c r="H137" s="128">
        <v>1.19</v>
      </c>
      <c r="I137" s="128"/>
      <c r="J137" s="126"/>
      <c r="K137" s="126"/>
      <c r="L137" s="126"/>
      <c r="M137" s="129"/>
    </row>
    <row r="138" spans="1:13" x14ac:dyDescent="0.35">
      <c r="A138" s="119" t="s">
        <v>5</v>
      </c>
      <c r="B138" s="120">
        <v>8007</v>
      </c>
      <c r="C138" s="119" t="s">
        <v>501</v>
      </c>
      <c r="D138" s="119">
        <v>980000</v>
      </c>
      <c r="E138" s="119" t="s">
        <v>93</v>
      </c>
      <c r="F138" s="119">
        <v>37.5</v>
      </c>
      <c r="G138" s="121"/>
      <c r="H138" s="121">
        <v>0.49</v>
      </c>
      <c r="I138" s="121"/>
      <c r="J138" s="119"/>
      <c r="K138" s="119"/>
      <c r="L138" s="119"/>
      <c r="M138" s="122"/>
    </row>
    <row r="139" spans="1:13" x14ac:dyDescent="0.35">
      <c r="A139" s="101" t="s">
        <v>5</v>
      </c>
      <c r="B139" s="123">
        <v>8007</v>
      </c>
      <c r="C139" s="101" t="s">
        <v>501</v>
      </c>
      <c r="D139" s="101">
        <v>980100</v>
      </c>
      <c r="E139" s="101" t="s">
        <v>96</v>
      </c>
      <c r="F139" s="101">
        <v>40</v>
      </c>
      <c r="G139" s="124"/>
      <c r="H139" s="124">
        <v>0.59</v>
      </c>
      <c r="I139" s="121"/>
      <c r="J139" s="101"/>
      <c r="K139" s="101"/>
      <c r="L139" s="101"/>
      <c r="M139" s="125"/>
    </row>
    <row r="140" spans="1:13" ht="15" thickBot="1" x14ac:dyDescent="0.4">
      <c r="A140" s="126" t="s">
        <v>5</v>
      </c>
      <c r="B140" s="127">
        <v>8007</v>
      </c>
      <c r="C140" s="126" t="s">
        <v>501</v>
      </c>
      <c r="D140" s="126">
        <v>987594</v>
      </c>
      <c r="E140" s="126" t="s">
        <v>448</v>
      </c>
      <c r="F140" s="126">
        <v>30</v>
      </c>
      <c r="G140" s="128"/>
      <c r="H140" s="128">
        <v>0.95</v>
      </c>
      <c r="I140" s="128"/>
      <c r="J140" s="126"/>
      <c r="K140" s="126"/>
      <c r="L140" s="126"/>
      <c r="M140" s="129"/>
    </row>
    <row r="141" spans="1:13" x14ac:dyDescent="0.35">
      <c r="A141" s="119" t="s">
        <v>5</v>
      </c>
      <c r="B141" s="120">
        <v>8008</v>
      </c>
      <c r="C141" s="119" t="s">
        <v>587</v>
      </c>
      <c r="D141" s="119">
        <v>980000</v>
      </c>
      <c r="E141" s="119" t="s">
        <v>93</v>
      </c>
      <c r="F141" s="119">
        <v>37.5</v>
      </c>
      <c r="G141" s="121"/>
      <c r="H141" s="121">
        <v>0.49</v>
      </c>
      <c r="I141" s="121"/>
      <c r="J141" s="119"/>
      <c r="K141" s="119"/>
      <c r="L141" s="119"/>
      <c r="M141" s="122"/>
    </row>
    <row r="142" spans="1:13" x14ac:dyDescent="0.35">
      <c r="A142" s="101" t="s">
        <v>5</v>
      </c>
      <c r="B142" s="123">
        <v>8008</v>
      </c>
      <c r="C142" s="101" t="s">
        <v>587</v>
      </c>
      <c r="D142" s="101">
        <v>980100</v>
      </c>
      <c r="E142" s="101" t="s">
        <v>96</v>
      </c>
      <c r="F142" s="101">
        <v>40</v>
      </c>
      <c r="G142" s="124"/>
      <c r="H142" s="124">
        <v>0.59</v>
      </c>
      <c r="I142" s="121"/>
      <c r="J142" s="101"/>
      <c r="K142" s="101"/>
      <c r="L142" s="101"/>
      <c r="M142" s="125"/>
    </row>
    <row r="143" spans="1:13" ht="15" thickBot="1" x14ac:dyDescent="0.4">
      <c r="A143" s="126" t="s">
        <v>5</v>
      </c>
      <c r="B143" s="127">
        <v>8008</v>
      </c>
      <c r="C143" s="126" t="s">
        <v>587</v>
      </c>
      <c r="D143" s="126">
        <v>987594</v>
      </c>
      <c r="E143" s="126" t="s">
        <v>448</v>
      </c>
      <c r="F143" s="126">
        <v>30</v>
      </c>
      <c r="G143" s="128"/>
      <c r="H143" s="128">
        <v>0.95</v>
      </c>
      <c r="I143" s="128"/>
      <c r="J143" s="126"/>
      <c r="K143" s="126"/>
      <c r="L143" s="126"/>
      <c r="M143" s="129"/>
    </row>
    <row r="144" spans="1:13" x14ac:dyDescent="0.35">
      <c r="A144" s="119" t="s">
        <v>5</v>
      </c>
      <c r="B144" s="120">
        <v>8009</v>
      </c>
      <c r="C144" s="119" t="s">
        <v>502</v>
      </c>
      <c r="D144" s="119">
        <v>980000</v>
      </c>
      <c r="E144" s="119" t="s">
        <v>93</v>
      </c>
      <c r="F144" s="119">
        <v>37.5</v>
      </c>
      <c r="G144" s="121"/>
      <c r="H144" s="121">
        <v>0.59</v>
      </c>
      <c r="I144" s="121"/>
      <c r="J144" s="119"/>
      <c r="K144" s="119"/>
      <c r="L144" s="119"/>
      <c r="M144" s="122"/>
    </row>
    <row r="145" spans="1:13" x14ac:dyDescent="0.35">
      <c r="A145" s="101" t="s">
        <v>5</v>
      </c>
      <c r="B145" s="123">
        <v>8009</v>
      </c>
      <c r="C145" s="101" t="s">
        <v>502</v>
      </c>
      <c r="D145" s="101">
        <v>980100</v>
      </c>
      <c r="E145" s="101" t="s">
        <v>96</v>
      </c>
      <c r="F145" s="101">
        <v>40</v>
      </c>
      <c r="G145" s="124"/>
      <c r="H145" s="124">
        <v>0.69</v>
      </c>
      <c r="I145" s="121"/>
      <c r="J145" s="101"/>
      <c r="K145" s="101"/>
      <c r="L145" s="101"/>
      <c r="M145" s="125"/>
    </row>
    <row r="146" spans="1:13" ht="15" thickBot="1" x14ac:dyDescent="0.4">
      <c r="A146" s="126" t="s">
        <v>5</v>
      </c>
      <c r="B146" s="127">
        <v>8009</v>
      </c>
      <c r="C146" s="126" t="s">
        <v>502</v>
      </c>
      <c r="D146" s="126">
        <v>987594</v>
      </c>
      <c r="E146" s="126" t="s">
        <v>448</v>
      </c>
      <c r="F146" s="126">
        <v>30</v>
      </c>
      <c r="G146" s="128"/>
      <c r="H146" s="128">
        <v>0.99</v>
      </c>
      <c r="I146" s="128"/>
      <c r="J146" s="126"/>
      <c r="K146" s="126"/>
      <c r="L146" s="126"/>
      <c r="M146" s="129"/>
    </row>
    <row r="147" spans="1:13" x14ac:dyDescent="0.35">
      <c r="A147" s="119" t="s">
        <v>5</v>
      </c>
      <c r="B147" s="120">
        <v>8011</v>
      </c>
      <c r="C147" s="119" t="s">
        <v>627</v>
      </c>
      <c r="D147" s="119">
        <v>980000</v>
      </c>
      <c r="E147" s="119" t="s">
        <v>93</v>
      </c>
      <c r="F147" s="119">
        <v>37.5</v>
      </c>
      <c r="G147" s="121"/>
      <c r="H147" s="121">
        <v>0.59</v>
      </c>
      <c r="I147" s="121"/>
      <c r="J147" s="119"/>
      <c r="K147" s="119"/>
      <c r="L147" s="119"/>
      <c r="M147" s="122"/>
    </row>
    <row r="148" spans="1:13" x14ac:dyDescent="0.35">
      <c r="A148" s="101" t="s">
        <v>5</v>
      </c>
      <c r="B148" s="123">
        <v>8011</v>
      </c>
      <c r="C148" s="101" t="s">
        <v>627</v>
      </c>
      <c r="D148" s="101">
        <v>980100</v>
      </c>
      <c r="E148" s="101" t="s">
        <v>96</v>
      </c>
      <c r="F148" s="101">
        <v>40</v>
      </c>
      <c r="G148" s="124"/>
      <c r="H148" s="124">
        <v>0.69</v>
      </c>
      <c r="I148" s="121"/>
      <c r="J148" s="101"/>
      <c r="K148" s="101"/>
      <c r="L148" s="101"/>
      <c r="M148" s="125"/>
    </row>
    <row r="149" spans="1:13" ht="15" thickBot="1" x14ac:dyDescent="0.4">
      <c r="A149" s="126" t="s">
        <v>5</v>
      </c>
      <c r="B149" s="127">
        <v>8011</v>
      </c>
      <c r="C149" s="126" t="s">
        <v>627</v>
      </c>
      <c r="D149" s="126">
        <v>987594</v>
      </c>
      <c r="E149" s="126" t="s">
        <v>448</v>
      </c>
      <c r="F149" s="126">
        <v>30</v>
      </c>
      <c r="G149" s="128"/>
      <c r="H149" s="128">
        <v>0.99</v>
      </c>
      <c r="I149" s="128"/>
      <c r="J149" s="126"/>
      <c r="K149" s="126"/>
      <c r="L149" s="126"/>
      <c r="M149" s="129"/>
    </row>
    <row r="150" spans="1:13" x14ac:dyDescent="0.35">
      <c r="A150" s="119" t="s">
        <v>5</v>
      </c>
      <c r="B150" s="120">
        <v>8012</v>
      </c>
      <c r="C150" s="119" t="s">
        <v>324</v>
      </c>
      <c r="D150" s="119">
        <v>980000</v>
      </c>
      <c r="E150" s="119" t="s">
        <v>93</v>
      </c>
      <c r="F150" s="119">
        <v>37.5</v>
      </c>
      <c r="G150" s="121"/>
      <c r="H150" s="121">
        <v>0.57999999999999996</v>
      </c>
      <c r="I150" s="121"/>
      <c r="J150" s="119"/>
      <c r="K150" s="119"/>
      <c r="L150" s="119"/>
      <c r="M150" s="122"/>
    </row>
    <row r="151" spans="1:13" x14ac:dyDescent="0.35">
      <c r="A151" s="101" t="s">
        <v>5</v>
      </c>
      <c r="B151" s="123">
        <v>8012</v>
      </c>
      <c r="C151" s="101" t="s">
        <v>324</v>
      </c>
      <c r="D151" s="101">
        <v>980100</v>
      </c>
      <c r="E151" s="101" t="s">
        <v>96</v>
      </c>
      <c r="F151" s="101">
        <v>40</v>
      </c>
      <c r="G151" s="124"/>
      <c r="H151" s="124">
        <v>0.68</v>
      </c>
      <c r="I151" s="121"/>
      <c r="J151" s="101"/>
      <c r="K151" s="101"/>
      <c r="L151" s="101"/>
      <c r="M151" s="125"/>
    </row>
    <row r="152" spans="1:13" ht="15" thickBot="1" x14ac:dyDescent="0.4">
      <c r="A152" s="126" t="s">
        <v>5</v>
      </c>
      <c r="B152" s="127">
        <v>8012</v>
      </c>
      <c r="C152" s="126" t="s">
        <v>324</v>
      </c>
      <c r="D152" s="126">
        <v>987594</v>
      </c>
      <c r="E152" s="126" t="s">
        <v>448</v>
      </c>
      <c r="F152" s="126">
        <v>30</v>
      </c>
      <c r="G152" s="128"/>
      <c r="H152" s="128">
        <v>0.95</v>
      </c>
      <c r="I152" s="128"/>
      <c r="J152" s="126"/>
      <c r="K152" s="126"/>
      <c r="L152" s="126"/>
      <c r="M152" s="129"/>
    </row>
    <row r="153" spans="1:13" x14ac:dyDescent="0.35">
      <c r="A153" s="119" t="s">
        <v>5</v>
      </c>
      <c r="B153" s="120">
        <v>8013</v>
      </c>
      <c r="C153" s="119" t="s">
        <v>312</v>
      </c>
      <c r="D153" s="119">
        <v>980000</v>
      </c>
      <c r="E153" s="119" t="s">
        <v>93</v>
      </c>
      <c r="F153" s="119">
        <v>37.5</v>
      </c>
      <c r="G153" s="121"/>
      <c r="H153" s="121">
        <v>0.57999999999999996</v>
      </c>
      <c r="I153" s="121"/>
      <c r="J153" s="119"/>
      <c r="K153" s="119"/>
      <c r="L153" s="119"/>
      <c r="M153" s="122"/>
    </row>
    <row r="154" spans="1:13" x14ac:dyDescent="0.35">
      <c r="A154" s="101" t="s">
        <v>5</v>
      </c>
      <c r="B154" s="123">
        <v>8013</v>
      </c>
      <c r="C154" s="101" t="s">
        <v>312</v>
      </c>
      <c r="D154" s="101">
        <v>980100</v>
      </c>
      <c r="E154" s="101" t="s">
        <v>96</v>
      </c>
      <c r="F154" s="101">
        <v>40</v>
      </c>
      <c r="G154" s="124"/>
      <c r="H154" s="124">
        <v>0.79</v>
      </c>
      <c r="I154" s="121"/>
      <c r="J154" s="101"/>
      <c r="K154" s="101"/>
      <c r="L154" s="101"/>
      <c r="M154" s="125"/>
    </row>
    <row r="155" spans="1:13" ht="15" thickBot="1" x14ac:dyDescent="0.4">
      <c r="A155" s="126" t="s">
        <v>5</v>
      </c>
      <c r="B155" s="127">
        <v>8013</v>
      </c>
      <c r="C155" s="126" t="s">
        <v>312</v>
      </c>
      <c r="D155" s="126">
        <v>987594</v>
      </c>
      <c r="E155" s="126" t="s">
        <v>448</v>
      </c>
      <c r="F155" s="126">
        <v>30</v>
      </c>
      <c r="G155" s="128"/>
      <c r="H155" s="128">
        <v>0.79</v>
      </c>
      <c r="I155" s="128"/>
      <c r="J155" s="126"/>
      <c r="K155" s="126"/>
      <c r="L155" s="126"/>
      <c r="M155" s="129"/>
    </row>
    <row r="156" spans="1:13" x14ac:dyDescent="0.35">
      <c r="A156" s="119" t="s">
        <v>5</v>
      </c>
      <c r="B156" s="120">
        <v>8014</v>
      </c>
      <c r="C156" s="119" t="s">
        <v>503</v>
      </c>
      <c r="D156" s="119">
        <v>980000</v>
      </c>
      <c r="E156" s="119" t="s">
        <v>93</v>
      </c>
      <c r="F156" s="119">
        <v>37.5</v>
      </c>
      <c r="G156" s="121"/>
      <c r="H156" s="121">
        <v>0.54</v>
      </c>
      <c r="I156" s="121"/>
      <c r="J156" s="119"/>
      <c r="K156" s="119"/>
      <c r="L156" s="119"/>
      <c r="M156" s="122"/>
    </row>
    <row r="157" spans="1:13" x14ac:dyDescent="0.35">
      <c r="A157" s="101" t="s">
        <v>5</v>
      </c>
      <c r="B157" s="123">
        <v>8014</v>
      </c>
      <c r="C157" s="101" t="s">
        <v>503</v>
      </c>
      <c r="D157" s="101">
        <v>980100</v>
      </c>
      <c r="E157" s="101" t="s">
        <v>96</v>
      </c>
      <c r="F157" s="101">
        <v>40</v>
      </c>
      <c r="G157" s="124"/>
      <c r="H157" s="124">
        <v>0.69</v>
      </c>
      <c r="I157" s="121"/>
      <c r="J157" s="101"/>
      <c r="K157" s="101"/>
      <c r="L157" s="101"/>
      <c r="M157" s="125"/>
    </row>
    <row r="158" spans="1:13" ht="15" thickBot="1" x14ac:dyDescent="0.4">
      <c r="A158" s="126" t="s">
        <v>5</v>
      </c>
      <c r="B158" s="127">
        <v>8014</v>
      </c>
      <c r="C158" s="126" t="s">
        <v>503</v>
      </c>
      <c r="D158" s="126">
        <v>987594</v>
      </c>
      <c r="E158" s="126" t="s">
        <v>448</v>
      </c>
      <c r="F158" s="126">
        <v>30</v>
      </c>
      <c r="G158" s="128"/>
      <c r="H158" s="128">
        <v>1.19</v>
      </c>
      <c r="I158" s="128"/>
      <c r="J158" s="126"/>
      <c r="K158" s="126"/>
      <c r="L158" s="126"/>
      <c r="M158" s="129"/>
    </row>
    <row r="159" spans="1:13" x14ac:dyDescent="0.35">
      <c r="A159" s="119" t="s">
        <v>5</v>
      </c>
      <c r="B159" s="120">
        <v>8015</v>
      </c>
      <c r="C159" s="119" t="s">
        <v>504</v>
      </c>
      <c r="D159" s="119">
        <v>980000</v>
      </c>
      <c r="E159" s="119" t="s">
        <v>93</v>
      </c>
      <c r="F159" s="119">
        <v>37.5</v>
      </c>
      <c r="G159" s="121"/>
      <c r="H159" s="121">
        <v>0.59</v>
      </c>
      <c r="I159" s="121"/>
      <c r="J159" s="119"/>
      <c r="K159" s="119"/>
      <c r="L159" s="119"/>
      <c r="M159" s="122"/>
    </row>
    <row r="160" spans="1:13" x14ac:dyDescent="0.35">
      <c r="A160" s="101" t="s">
        <v>5</v>
      </c>
      <c r="B160" s="123">
        <v>8015</v>
      </c>
      <c r="C160" s="101" t="s">
        <v>504</v>
      </c>
      <c r="D160" s="101">
        <v>980100</v>
      </c>
      <c r="E160" s="101" t="s">
        <v>96</v>
      </c>
      <c r="F160" s="101">
        <v>40</v>
      </c>
      <c r="G160" s="124"/>
      <c r="H160" s="124">
        <v>0.79</v>
      </c>
      <c r="I160" s="121"/>
      <c r="J160" s="101"/>
      <c r="K160" s="101"/>
      <c r="L160" s="101"/>
      <c r="M160" s="125"/>
    </row>
    <row r="161" spans="1:13" ht="15" thickBot="1" x14ac:dyDescent="0.4">
      <c r="A161" s="126" t="s">
        <v>5</v>
      </c>
      <c r="B161" s="127">
        <v>8015</v>
      </c>
      <c r="C161" s="126" t="s">
        <v>504</v>
      </c>
      <c r="D161" s="126">
        <v>987594</v>
      </c>
      <c r="E161" s="126" t="s">
        <v>448</v>
      </c>
      <c r="F161" s="126">
        <v>30</v>
      </c>
      <c r="G161" s="128"/>
      <c r="H161" s="128">
        <v>1.19</v>
      </c>
      <c r="I161" s="128"/>
      <c r="J161" s="126"/>
      <c r="K161" s="126"/>
      <c r="L161" s="126"/>
      <c r="M161" s="129"/>
    </row>
    <row r="162" spans="1:13" x14ac:dyDescent="0.35">
      <c r="A162" s="119" t="s">
        <v>5</v>
      </c>
      <c r="B162" s="120">
        <v>8017</v>
      </c>
      <c r="C162" s="119" t="s">
        <v>310</v>
      </c>
      <c r="D162" s="119">
        <v>980000</v>
      </c>
      <c r="E162" s="119" t="s">
        <v>93</v>
      </c>
      <c r="F162" s="119">
        <v>37.5</v>
      </c>
      <c r="G162" s="121"/>
      <c r="H162" s="121">
        <v>0.49</v>
      </c>
      <c r="I162" s="121"/>
      <c r="J162" s="119"/>
      <c r="K162" s="119"/>
      <c r="L162" s="119"/>
      <c r="M162" s="122"/>
    </row>
    <row r="163" spans="1:13" x14ac:dyDescent="0.35">
      <c r="A163" s="101" t="s">
        <v>5</v>
      </c>
      <c r="B163" s="123">
        <v>8017</v>
      </c>
      <c r="C163" s="101" t="s">
        <v>310</v>
      </c>
      <c r="D163" s="101">
        <v>980100</v>
      </c>
      <c r="E163" s="101" t="s">
        <v>96</v>
      </c>
      <c r="F163" s="101">
        <v>40</v>
      </c>
      <c r="G163" s="124"/>
      <c r="H163" s="124">
        <v>0.57999999999999996</v>
      </c>
      <c r="I163" s="121"/>
      <c r="J163" s="101"/>
      <c r="K163" s="101"/>
      <c r="L163" s="101"/>
      <c r="M163" s="125"/>
    </row>
    <row r="164" spans="1:13" ht="15" thickBot="1" x14ac:dyDescent="0.4">
      <c r="A164" s="126" t="s">
        <v>5</v>
      </c>
      <c r="B164" s="127">
        <v>8017</v>
      </c>
      <c r="C164" s="126" t="s">
        <v>310</v>
      </c>
      <c r="D164" s="126">
        <v>987594</v>
      </c>
      <c r="E164" s="126" t="s">
        <v>448</v>
      </c>
      <c r="F164" s="126">
        <v>30</v>
      </c>
      <c r="G164" s="128"/>
      <c r="H164" s="128">
        <v>0.95</v>
      </c>
      <c r="I164" s="128"/>
      <c r="J164" s="126"/>
      <c r="K164" s="126"/>
      <c r="L164" s="126"/>
      <c r="M164" s="129"/>
    </row>
    <row r="165" spans="1:13" x14ac:dyDescent="0.35">
      <c r="A165" s="119" t="s">
        <v>5</v>
      </c>
      <c r="B165" s="120">
        <v>8018</v>
      </c>
      <c r="C165" s="119" t="s">
        <v>505</v>
      </c>
      <c r="D165" s="119">
        <v>980000</v>
      </c>
      <c r="E165" s="119" t="s">
        <v>93</v>
      </c>
      <c r="F165" s="119">
        <v>37.5</v>
      </c>
      <c r="G165" s="121"/>
      <c r="H165" s="121">
        <v>0.59</v>
      </c>
      <c r="I165" s="121"/>
      <c r="J165" s="119"/>
      <c r="K165" s="119"/>
      <c r="L165" s="119"/>
      <c r="M165" s="122"/>
    </row>
    <row r="166" spans="1:13" x14ac:dyDescent="0.35">
      <c r="A166" s="101" t="s">
        <v>5</v>
      </c>
      <c r="B166" s="123">
        <v>8018</v>
      </c>
      <c r="C166" s="101" t="s">
        <v>505</v>
      </c>
      <c r="D166" s="101">
        <v>980100</v>
      </c>
      <c r="E166" s="101" t="s">
        <v>96</v>
      </c>
      <c r="F166" s="101">
        <v>40</v>
      </c>
      <c r="G166" s="124"/>
      <c r="H166" s="124">
        <v>0.79</v>
      </c>
      <c r="I166" s="121"/>
      <c r="J166" s="101"/>
      <c r="K166" s="101"/>
      <c r="L166" s="101"/>
      <c r="M166" s="125"/>
    </row>
    <row r="167" spans="1:13" ht="15" thickBot="1" x14ac:dyDescent="0.4">
      <c r="A167" s="126" t="s">
        <v>5</v>
      </c>
      <c r="B167" s="127">
        <v>8018</v>
      </c>
      <c r="C167" s="126" t="s">
        <v>505</v>
      </c>
      <c r="D167" s="126">
        <v>987594</v>
      </c>
      <c r="E167" s="126" t="s">
        <v>448</v>
      </c>
      <c r="F167" s="126">
        <v>30</v>
      </c>
      <c r="G167" s="128"/>
      <c r="H167" s="128">
        <v>1.19</v>
      </c>
      <c r="I167" s="128"/>
      <c r="J167" s="126"/>
      <c r="K167" s="126"/>
      <c r="L167" s="126"/>
      <c r="M167" s="129"/>
    </row>
    <row r="168" spans="1:13" x14ac:dyDescent="0.35">
      <c r="A168" s="119" t="s">
        <v>5</v>
      </c>
      <c r="B168" s="120">
        <v>8019</v>
      </c>
      <c r="C168" s="119" t="s">
        <v>326</v>
      </c>
      <c r="D168" s="119">
        <v>980000</v>
      </c>
      <c r="E168" s="119" t="s">
        <v>93</v>
      </c>
      <c r="F168" s="119">
        <v>37.5</v>
      </c>
      <c r="G168" s="121"/>
      <c r="H168" s="121">
        <v>0.49</v>
      </c>
      <c r="I168" s="121"/>
      <c r="J168" s="119"/>
      <c r="K168" s="119"/>
      <c r="L168" s="119"/>
      <c r="M168" s="122"/>
    </row>
    <row r="169" spans="1:13" x14ac:dyDescent="0.35">
      <c r="A169" s="101" t="s">
        <v>5</v>
      </c>
      <c r="B169" s="123">
        <v>8019</v>
      </c>
      <c r="C169" s="101" t="s">
        <v>326</v>
      </c>
      <c r="D169" s="101">
        <v>980100</v>
      </c>
      <c r="E169" s="101" t="s">
        <v>96</v>
      </c>
      <c r="F169" s="101">
        <v>40</v>
      </c>
      <c r="G169" s="124"/>
      <c r="H169" s="124">
        <v>0.63</v>
      </c>
      <c r="I169" s="121"/>
      <c r="J169" s="101"/>
      <c r="K169" s="101"/>
      <c r="L169" s="101"/>
      <c r="M169" s="125"/>
    </row>
    <row r="170" spans="1:13" ht="15" thickBot="1" x14ac:dyDescent="0.4">
      <c r="A170" s="126" t="s">
        <v>5</v>
      </c>
      <c r="B170" s="127">
        <v>8019</v>
      </c>
      <c r="C170" s="126" t="s">
        <v>326</v>
      </c>
      <c r="D170" s="126">
        <v>987594</v>
      </c>
      <c r="E170" s="126" t="s">
        <v>448</v>
      </c>
      <c r="F170" s="126">
        <v>30</v>
      </c>
      <c r="G170" s="128"/>
      <c r="H170" s="128">
        <v>0.95</v>
      </c>
      <c r="I170" s="128"/>
      <c r="J170" s="126"/>
      <c r="K170" s="126"/>
      <c r="L170" s="126"/>
      <c r="M170" s="129"/>
    </row>
    <row r="171" spans="1:13" x14ac:dyDescent="0.35">
      <c r="A171" s="119" t="s">
        <v>5</v>
      </c>
      <c r="B171" s="120">
        <v>8020</v>
      </c>
      <c r="C171" s="119" t="s">
        <v>306</v>
      </c>
      <c r="D171" s="119">
        <v>980000</v>
      </c>
      <c r="E171" s="119" t="s">
        <v>93</v>
      </c>
      <c r="F171" s="119">
        <v>37.5</v>
      </c>
      <c r="G171" s="121"/>
      <c r="H171" s="121">
        <v>0.59</v>
      </c>
      <c r="I171" s="121"/>
      <c r="J171" s="119"/>
      <c r="K171" s="119"/>
      <c r="L171" s="119"/>
      <c r="M171" s="122"/>
    </row>
    <row r="172" spans="1:13" x14ac:dyDescent="0.35">
      <c r="A172" s="101" t="s">
        <v>5</v>
      </c>
      <c r="B172" s="123">
        <v>8020</v>
      </c>
      <c r="C172" s="101" t="s">
        <v>306</v>
      </c>
      <c r="D172" s="101">
        <v>980100</v>
      </c>
      <c r="E172" s="101" t="s">
        <v>96</v>
      </c>
      <c r="F172" s="101">
        <v>40</v>
      </c>
      <c r="G172" s="124"/>
      <c r="H172" s="124">
        <v>0.79</v>
      </c>
      <c r="I172" s="121"/>
      <c r="J172" s="101"/>
      <c r="K172" s="101"/>
      <c r="L172" s="101"/>
      <c r="M172" s="125"/>
    </row>
    <row r="173" spans="1:13" ht="15" thickBot="1" x14ac:dyDescent="0.4">
      <c r="A173" s="126" t="s">
        <v>5</v>
      </c>
      <c r="B173" s="127">
        <v>8020</v>
      </c>
      <c r="C173" s="126" t="s">
        <v>306</v>
      </c>
      <c r="D173" s="126">
        <v>987594</v>
      </c>
      <c r="E173" s="126" t="s">
        <v>448</v>
      </c>
      <c r="F173" s="126">
        <v>30</v>
      </c>
      <c r="G173" s="128"/>
      <c r="H173" s="128">
        <v>1.19</v>
      </c>
      <c r="I173" s="128"/>
      <c r="J173" s="126"/>
      <c r="K173" s="126"/>
      <c r="L173" s="126"/>
      <c r="M173" s="129"/>
    </row>
    <row r="174" spans="1:13" x14ac:dyDescent="0.35">
      <c r="A174" s="119" t="s">
        <v>5</v>
      </c>
      <c r="B174" s="120">
        <v>8021</v>
      </c>
      <c r="C174" s="119" t="s">
        <v>506</v>
      </c>
      <c r="D174" s="119">
        <v>980000</v>
      </c>
      <c r="E174" s="119" t="s">
        <v>93</v>
      </c>
      <c r="F174" s="119">
        <v>37.5</v>
      </c>
      <c r="G174" s="121"/>
      <c r="H174" s="121">
        <v>0.59</v>
      </c>
      <c r="I174" s="121"/>
      <c r="J174" s="119"/>
      <c r="K174" s="119"/>
      <c r="L174" s="119"/>
      <c r="M174" s="122"/>
    </row>
    <row r="175" spans="1:13" x14ac:dyDescent="0.35">
      <c r="A175" s="101" t="s">
        <v>5</v>
      </c>
      <c r="B175" s="123">
        <v>8021</v>
      </c>
      <c r="C175" s="101" t="s">
        <v>506</v>
      </c>
      <c r="D175" s="101">
        <v>980100</v>
      </c>
      <c r="E175" s="101" t="s">
        <v>96</v>
      </c>
      <c r="F175" s="101">
        <v>40</v>
      </c>
      <c r="G175" s="124"/>
      <c r="H175" s="124">
        <v>0.59</v>
      </c>
      <c r="I175" s="121"/>
      <c r="J175" s="101"/>
      <c r="K175" s="101"/>
      <c r="L175" s="101"/>
      <c r="M175" s="125"/>
    </row>
    <row r="176" spans="1:13" ht="15" thickBot="1" x14ac:dyDescent="0.4">
      <c r="A176" s="126" t="s">
        <v>5</v>
      </c>
      <c r="B176" s="127">
        <v>8021</v>
      </c>
      <c r="C176" s="126" t="s">
        <v>506</v>
      </c>
      <c r="D176" s="126">
        <v>987594</v>
      </c>
      <c r="E176" s="126" t="s">
        <v>448</v>
      </c>
      <c r="F176" s="126">
        <v>30</v>
      </c>
      <c r="G176" s="128"/>
      <c r="H176" s="128">
        <v>0.99</v>
      </c>
      <c r="I176" s="128"/>
      <c r="J176" s="126"/>
      <c r="K176" s="126"/>
      <c r="L176" s="126"/>
      <c r="M176" s="129"/>
    </row>
    <row r="177" spans="1:13" x14ac:dyDescent="0.35">
      <c r="A177" s="119" t="s">
        <v>5</v>
      </c>
      <c r="B177" s="120">
        <v>8023</v>
      </c>
      <c r="C177" s="119" t="s">
        <v>376</v>
      </c>
      <c r="D177" s="119">
        <v>980000</v>
      </c>
      <c r="E177" s="119" t="s">
        <v>93</v>
      </c>
      <c r="F177" s="119">
        <v>37.5</v>
      </c>
      <c r="G177" s="121"/>
      <c r="H177" s="121">
        <v>0.59</v>
      </c>
      <c r="I177" s="121"/>
      <c r="J177" s="119"/>
      <c r="K177" s="119"/>
      <c r="L177" s="119"/>
      <c r="M177" s="122"/>
    </row>
    <row r="178" spans="1:13" x14ac:dyDescent="0.35">
      <c r="A178" s="101" t="s">
        <v>5</v>
      </c>
      <c r="B178" s="123">
        <v>8023</v>
      </c>
      <c r="C178" s="101" t="s">
        <v>376</v>
      </c>
      <c r="D178" s="101">
        <v>980100</v>
      </c>
      <c r="E178" s="101" t="s">
        <v>96</v>
      </c>
      <c r="F178" s="101">
        <v>40</v>
      </c>
      <c r="G178" s="124"/>
      <c r="H178" s="124">
        <v>0.69</v>
      </c>
      <c r="I178" s="121"/>
      <c r="J178" s="101"/>
      <c r="K178" s="101"/>
      <c r="L178" s="101"/>
      <c r="M178" s="125"/>
    </row>
    <row r="179" spans="1:13" ht="15" thickBot="1" x14ac:dyDescent="0.4">
      <c r="A179" s="126" t="s">
        <v>5</v>
      </c>
      <c r="B179" s="127">
        <v>8023</v>
      </c>
      <c r="C179" s="126" t="s">
        <v>376</v>
      </c>
      <c r="D179" s="126">
        <v>987594</v>
      </c>
      <c r="E179" s="126" t="s">
        <v>448</v>
      </c>
      <c r="F179" s="126">
        <v>30</v>
      </c>
      <c r="G179" s="128"/>
      <c r="H179" s="128">
        <v>1.19</v>
      </c>
      <c r="I179" s="128"/>
      <c r="J179" s="126"/>
      <c r="K179" s="126"/>
      <c r="L179" s="126"/>
      <c r="M179" s="129"/>
    </row>
    <row r="180" spans="1:13" x14ac:dyDescent="0.35">
      <c r="A180" s="119" t="s">
        <v>5</v>
      </c>
      <c r="B180" s="120">
        <v>8024</v>
      </c>
      <c r="C180" s="119" t="s">
        <v>507</v>
      </c>
      <c r="D180" s="119">
        <v>980000</v>
      </c>
      <c r="E180" s="119" t="s">
        <v>93</v>
      </c>
      <c r="F180" s="119">
        <v>37.5</v>
      </c>
      <c r="G180" s="121"/>
      <c r="H180" s="121">
        <v>0.59</v>
      </c>
      <c r="I180" s="121"/>
      <c r="J180" s="119"/>
      <c r="K180" s="119"/>
      <c r="L180" s="119"/>
      <c r="M180" s="122"/>
    </row>
    <row r="181" spans="1:13" x14ac:dyDescent="0.35">
      <c r="A181" s="101" t="s">
        <v>5</v>
      </c>
      <c r="B181" s="123">
        <v>8024</v>
      </c>
      <c r="C181" s="101" t="s">
        <v>507</v>
      </c>
      <c r="D181" s="101">
        <v>980100</v>
      </c>
      <c r="E181" s="101" t="s">
        <v>96</v>
      </c>
      <c r="F181" s="101">
        <v>40</v>
      </c>
      <c r="G181" s="124"/>
      <c r="H181" s="124">
        <v>0.69</v>
      </c>
      <c r="I181" s="121"/>
      <c r="J181" s="101"/>
      <c r="K181" s="101"/>
      <c r="L181" s="101"/>
      <c r="M181" s="125"/>
    </row>
    <row r="182" spans="1:13" ht="15" thickBot="1" x14ac:dyDescent="0.4">
      <c r="A182" s="126" t="s">
        <v>5</v>
      </c>
      <c r="B182" s="127">
        <v>8024</v>
      </c>
      <c r="C182" s="126" t="s">
        <v>507</v>
      </c>
      <c r="D182" s="126">
        <v>987594</v>
      </c>
      <c r="E182" s="126" t="s">
        <v>448</v>
      </c>
      <c r="F182" s="126">
        <v>30</v>
      </c>
      <c r="G182" s="128"/>
      <c r="H182" s="128">
        <v>1.19</v>
      </c>
      <c r="I182" s="128"/>
      <c r="J182" s="126"/>
      <c r="K182" s="126"/>
      <c r="L182" s="126"/>
      <c r="M182" s="129"/>
    </row>
    <row r="183" spans="1:13" x14ac:dyDescent="0.35">
      <c r="A183" s="119" t="s">
        <v>5</v>
      </c>
      <c r="B183" s="120">
        <v>8025</v>
      </c>
      <c r="C183" s="119" t="s">
        <v>375</v>
      </c>
      <c r="D183" s="119">
        <v>980000</v>
      </c>
      <c r="E183" s="119" t="s">
        <v>93</v>
      </c>
      <c r="F183" s="119">
        <v>37.5</v>
      </c>
      <c r="G183" s="121"/>
      <c r="H183" s="121">
        <v>0.49</v>
      </c>
      <c r="I183" s="121"/>
      <c r="J183" s="119"/>
      <c r="K183" s="119"/>
      <c r="L183" s="119"/>
      <c r="M183" s="122"/>
    </row>
    <row r="184" spans="1:13" x14ac:dyDescent="0.35">
      <c r="A184" s="101" t="s">
        <v>5</v>
      </c>
      <c r="B184" s="123">
        <v>8025</v>
      </c>
      <c r="C184" s="101" t="s">
        <v>375</v>
      </c>
      <c r="D184" s="101">
        <v>980100</v>
      </c>
      <c r="E184" s="101" t="s">
        <v>96</v>
      </c>
      <c r="F184" s="101">
        <v>40</v>
      </c>
      <c r="G184" s="124"/>
      <c r="H184" s="124">
        <v>0.62</v>
      </c>
      <c r="I184" s="121"/>
      <c r="J184" s="101"/>
      <c r="K184" s="101"/>
      <c r="L184" s="101"/>
      <c r="M184" s="125"/>
    </row>
    <row r="185" spans="1:13" ht="15" thickBot="1" x14ac:dyDescent="0.4">
      <c r="A185" s="126" t="s">
        <v>5</v>
      </c>
      <c r="B185" s="127">
        <v>8025</v>
      </c>
      <c r="C185" s="126" t="s">
        <v>375</v>
      </c>
      <c r="D185" s="126">
        <v>987594</v>
      </c>
      <c r="E185" s="126" t="s">
        <v>448</v>
      </c>
      <c r="F185" s="126">
        <v>30</v>
      </c>
      <c r="G185" s="128"/>
      <c r="H185" s="128">
        <v>0.95</v>
      </c>
      <c r="I185" s="128"/>
      <c r="J185" s="126"/>
      <c r="K185" s="126"/>
      <c r="L185" s="126"/>
      <c r="M185" s="129"/>
    </row>
    <row r="186" spans="1:13" x14ac:dyDescent="0.35">
      <c r="A186" s="119" t="s">
        <v>5</v>
      </c>
      <c r="B186" s="120">
        <v>8026</v>
      </c>
      <c r="C186" s="119" t="s">
        <v>584</v>
      </c>
      <c r="D186" s="119">
        <v>980000</v>
      </c>
      <c r="E186" s="119" t="s">
        <v>93</v>
      </c>
      <c r="F186" s="119">
        <v>37.5</v>
      </c>
      <c r="G186" s="121"/>
      <c r="H186" s="121">
        <v>0.49</v>
      </c>
      <c r="I186" s="121"/>
      <c r="J186" s="119"/>
      <c r="K186" s="119"/>
      <c r="L186" s="119"/>
      <c r="M186" s="122"/>
    </row>
    <row r="187" spans="1:13" x14ac:dyDescent="0.35">
      <c r="A187" s="101" t="s">
        <v>5</v>
      </c>
      <c r="B187" s="120">
        <v>8026</v>
      </c>
      <c r="C187" s="119" t="s">
        <v>584</v>
      </c>
      <c r="D187" s="101">
        <v>980100</v>
      </c>
      <c r="E187" s="101" t="s">
        <v>96</v>
      </c>
      <c r="F187" s="101">
        <v>40</v>
      </c>
      <c r="G187" s="124"/>
      <c r="H187" s="124">
        <v>0.63</v>
      </c>
      <c r="I187" s="121"/>
      <c r="J187" s="101"/>
      <c r="K187" s="101"/>
      <c r="L187" s="101"/>
      <c r="M187" s="125"/>
    </row>
    <row r="188" spans="1:13" ht="15" thickBot="1" x14ac:dyDescent="0.4">
      <c r="A188" s="126" t="s">
        <v>5</v>
      </c>
      <c r="B188" s="127">
        <v>8026</v>
      </c>
      <c r="C188" s="126" t="s">
        <v>584</v>
      </c>
      <c r="D188" s="126">
        <v>987594</v>
      </c>
      <c r="E188" s="126" t="s">
        <v>448</v>
      </c>
      <c r="F188" s="126">
        <v>30</v>
      </c>
      <c r="G188" s="128"/>
      <c r="H188" s="128">
        <v>0.95</v>
      </c>
      <c r="I188" s="128"/>
      <c r="J188" s="126"/>
      <c r="K188" s="126"/>
      <c r="L188" s="126"/>
      <c r="M188" s="129"/>
    </row>
    <row r="189" spans="1:13" x14ac:dyDescent="0.35">
      <c r="B189" s="111"/>
      <c r="G189" s="112"/>
      <c r="H189" s="112"/>
      <c r="I189" s="112"/>
      <c r="M189" s="113"/>
    </row>
    <row r="190" spans="1:13" x14ac:dyDescent="0.35">
      <c r="B190" s="111"/>
      <c r="G190" s="112"/>
      <c r="H190" s="112"/>
      <c r="I190" s="112"/>
      <c r="M190" s="113"/>
    </row>
    <row r="191" spans="1:13" x14ac:dyDescent="0.35">
      <c r="B191" s="111"/>
      <c r="G191" s="112"/>
      <c r="H191" s="112"/>
      <c r="I191" s="112"/>
      <c r="M191" s="113"/>
    </row>
    <row r="192" spans="1:13" x14ac:dyDescent="0.35">
      <c r="B192" s="111"/>
      <c r="G192" s="112"/>
      <c r="H192" s="112"/>
      <c r="I192" s="112"/>
      <c r="M192" s="113"/>
    </row>
    <row r="193" spans="2:13" x14ac:dyDescent="0.35">
      <c r="B193" s="111"/>
      <c r="G193" s="112"/>
      <c r="H193" s="112"/>
      <c r="I193" s="112"/>
      <c r="M193" s="113"/>
    </row>
    <row r="194" spans="2:13" x14ac:dyDescent="0.35">
      <c r="B194" s="111"/>
      <c r="G194" s="112"/>
      <c r="H194" s="112"/>
      <c r="I194" s="112"/>
      <c r="M194" s="113"/>
    </row>
    <row r="195" spans="2:13" x14ac:dyDescent="0.35">
      <c r="B195" s="111"/>
      <c r="G195" s="112"/>
      <c r="H195" s="112"/>
      <c r="I195" s="112"/>
      <c r="M195" s="113"/>
    </row>
    <row r="196" spans="2:13" x14ac:dyDescent="0.35">
      <c r="B196" s="111"/>
      <c r="G196" s="112"/>
      <c r="H196" s="112"/>
      <c r="I196" s="112"/>
      <c r="M196" s="113"/>
    </row>
    <row r="197" spans="2:13" x14ac:dyDescent="0.35">
      <c r="B197" s="111"/>
      <c r="G197" s="112"/>
      <c r="H197" s="112"/>
      <c r="I197" s="112"/>
      <c r="M197" s="113"/>
    </row>
    <row r="198" spans="2:13" x14ac:dyDescent="0.35">
      <c r="B198" s="111"/>
      <c r="G198" s="112"/>
      <c r="H198" s="112"/>
      <c r="I198" s="112"/>
      <c r="M198" s="113"/>
    </row>
    <row r="199" spans="2:13" x14ac:dyDescent="0.35">
      <c r="B199" s="111"/>
      <c r="G199" s="112"/>
      <c r="H199" s="112"/>
      <c r="I199" s="112"/>
      <c r="M199" s="113"/>
    </row>
    <row r="200" spans="2:13" x14ac:dyDescent="0.35">
      <c r="B200" s="111"/>
      <c r="G200" s="112"/>
      <c r="H200" s="112"/>
      <c r="I200" s="112"/>
      <c r="M200" s="113"/>
    </row>
    <row r="201" spans="2:13" x14ac:dyDescent="0.35">
      <c r="B201" s="111"/>
      <c r="G201" s="112"/>
      <c r="H201" s="112"/>
      <c r="I201" s="112"/>
      <c r="M201" s="113"/>
    </row>
    <row r="202" spans="2:13" x14ac:dyDescent="0.35">
      <c r="B202" s="111"/>
      <c r="G202" s="112"/>
      <c r="H202" s="112"/>
      <c r="I202" s="112"/>
      <c r="M202" s="113"/>
    </row>
    <row r="203" spans="2:13" x14ac:dyDescent="0.35">
      <c r="B203" s="111"/>
      <c r="G203" s="112"/>
      <c r="H203" s="112"/>
      <c r="I203" s="112"/>
      <c r="M203" s="113"/>
    </row>
    <row r="204" spans="2:13" x14ac:dyDescent="0.35">
      <c r="B204" s="111"/>
      <c r="G204" s="112"/>
      <c r="H204" s="112"/>
      <c r="I204" s="112"/>
      <c r="M204" s="113"/>
    </row>
    <row r="205" spans="2:13" x14ac:dyDescent="0.35">
      <c r="B205" s="111"/>
      <c r="G205" s="112"/>
      <c r="H205" s="112"/>
      <c r="I205" s="112"/>
      <c r="M205" s="113"/>
    </row>
    <row r="206" spans="2:13" x14ac:dyDescent="0.35">
      <c r="B206" s="111"/>
      <c r="G206" s="112"/>
      <c r="H206" s="112"/>
      <c r="I206" s="112"/>
      <c r="M206" s="113"/>
    </row>
    <row r="207" spans="2:13" x14ac:dyDescent="0.35">
      <c r="B207" s="111"/>
      <c r="G207" s="112"/>
      <c r="H207" s="112"/>
      <c r="I207" s="112"/>
      <c r="M207" s="113"/>
    </row>
    <row r="208" spans="2:13" x14ac:dyDescent="0.35">
      <c r="B208" s="111"/>
      <c r="G208" s="112"/>
      <c r="H208" s="112"/>
      <c r="I208" s="112"/>
      <c r="M208" s="113"/>
    </row>
    <row r="209" spans="2:13" x14ac:dyDescent="0.35">
      <c r="B209" s="111"/>
      <c r="G209" s="112"/>
      <c r="H209" s="112"/>
      <c r="I209" s="112"/>
      <c r="M209" s="113"/>
    </row>
    <row r="210" spans="2:13" x14ac:dyDescent="0.35">
      <c r="B210" s="111"/>
      <c r="G210" s="112"/>
      <c r="H210" s="112"/>
      <c r="I210" s="112"/>
      <c r="M210" s="113"/>
    </row>
    <row r="211" spans="2:13" x14ac:dyDescent="0.35">
      <c r="B211" s="111"/>
      <c r="G211" s="112"/>
      <c r="H211" s="112"/>
      <c r="I211" s="112"/>
      <c r="M211" s="113"/>
    </row>
    <row r="212" spans="2:13" x14ac:dyDescent="0.35">
      <c r="B212" s="111"/>
      <c r="G212" s="112"/>
      <c r="H212" s="112"/>
      <c r="I212" s="112"/>
      <c r="M212" s="113"/>
    </row>
    <row r="213" spans="2:13" x14ac:dyDescent="0.35">
      <c r="B213" s="111"/>
      <c r="G213" s="112"/>
      <c r="H213" s="112"/>
      <c r="I213" s="112"/>
      <c r="M213" s="113"/>
    </row>
    <row r="214" spans="2:13" x14ac:dyDescent="0.35">
      <c r="B214" s="111"/>
      <c r="G214" s="112"/>
      <c r="H214" s="112"/>
      <c r="I214" s="112"/>
      <c r="M214" s="113"/>
    </row>
    <row r="215" spans="2:13" x14ac:dyDescent="0.35">
      <c r="B215" s="111"/>
      <c r="G215" s="112"/>
      <c r="H215" s="112"/>
      <c r="I215" s="112"/>
      <c r="M215" s="113"/>
    </row>
    <row r="216" spans="2:13" x14ac:dyDescent="0.35">
      <c r="B216" s="111"/>
      <c r="G216" s="112"/>
      <c r="H216" s="112"/>
      <c r="I216" s="112"/>
      <c r="M216" s="113"/>
    </row>
    <row r="217" spans="2:13" x14ac:dyDescent="0.35">
      <c r="B217" s="111"/>
      <c r="G217" s="112"/>
      <c r="H217" s="112"/>
      <c r="I217" s="112"/>
      <c r="M217" s="113"/>
    </row>
    <row r="218" spans="2:13" x14ac:dyDescent="0.35">
      <c r="B218" s="111"/>
      <c r="G218" s="112"/>
      <c r="H218" s="112"/>
      <c r="I218" s="112"/>
      <c r="M218" s="113"/>
    </row>
    <row r="219" spans="2:13" x14ac:dyDescent="0.35">
      <c r="B219" s="111"/>
      <c r="G219" s="112"/>
      <c r="H219" s="112"/>
      <c r="I219" s="112"/>
      <c r="M219" s="113"/>
    </row>
    <row r="220" spans="2:13" x14ac:dyDescent="0.35">
      <c r="B220" s="111"/>
      <c r="G220" s="112"/>
      <c r="H220" s="112"/>
      <c r="I220" s="112"/>
      <c r="M220" s="113"/>
    </row>
    <row r="221" spans="2:13" x14ac:dyDescent="0.35">
      <c r="B221" s="111"/>
      <c r="G221" s="112"/>
      <c r="H221" s="112"/>
      <c r="I221" s="112"/>
      <c r="M221" s="113"/>
    </row>
    <row r="222" spans="2:13" x14ac:dyDescent="0.35">
      <c r="B222" s="111"/>
      <c r="G222" s="112"/>
      <c r="H222" s="112"/>
      <c r="I222" s="112"/>
      <c r="M222" s="113"/>
    </row>
    <row r="223" spans="2:13" x14ac:dyDescent="0.35">
      <c r="B223" s="111"/>
      <c r="G223" s="112"/>
      <c r="H223" s="112"/>
      <c r="I223" s="112"/>
      <c r="M223" s="113"/>
    </row>
    <row r="224" spans="2:13" x14ac:dyDescent="0.35">
      <c r="B224" s="111"/>
      <c r="G224" s="112"/>
      <c r="H224" s="112"/>
      <c r="I224" s="112"/>
      <c r="M224" s="113"/>
    </row>
    <row r="225" spans="2:13" x14ac:dyDescent="0.35">
      <c r="B225" s="111"/>
      <c r="G225" s="112"/>
      <c r="H225" s="112"/>
      <c r="I225" s="112"/>
      <c r="M225" s="113"/>
    </row>
    <row r="226" spans="2:13" x14ac:dyDescent="0.35">
      <c r="B226" s="111"/>
      <c r="G226" s="112"/>
      <c r="H226" s="112"/>
      <c r="I226" s="112"/>
      <c r="M226" s="113"/>
    </row>
  </sheetData>
  <autoFilter ref="A2:M226" xr:uid="{00000000-0009-0000-0000-00000B000000}"/>
  <mergeCells count="1">
    <mergeCell ref="A1:J1"/>
  </mergeCells>
  <pageMargins left="0.25" right="0.25" top="0.75" bottom="0.75" header="0.3" footer="0.3"/>
  <pageSetup scale="63" fitToHeight="0" orientation="portrait" r:id="rId1"/>
  <headerFooter>
    <oddHeader>&amp;C&amp;B Store Specific Prices: PYE&amp;RPage &amp;Pof&amp;N</oddHeader>
    <oddFooter>&amp;L&amp;B Department: Purchasing Produce&amp;C&amp;B Storage Location: Freshness Cart&amp;R&amp;B EFFECTIVE ONLY ON: 8/29/2022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rgb="FF00B0F0"/>
    <pageSetUpPr fitToPage="1"/>
  </sheetPr>
  <dimension ref="A1:K327"/>
  <sheetViews>
    <sheetView zoomScale="70" zoomScaleNormal="70" workbookViewId="0">
      <pane ySplit="4" topLeftCell="A113" activePane="bottomLeft" state="frozen"/>
      <selection activeCell="C8" sqref="C8"/>
      <selection pane="bottomLeft" sqref="A1:G1048576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143</v>
      </c>
      <c r="H1" s="64" t="s">
        <v>381</v>
      </c>
      <c r="I1" s="14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44"/>
      <c r="B3" s="345"/>
      <c r="C3" s="345"/>
      <c r="D3" s="27" t="s">
        <v>15</v>
      </c>
      <c r="E3" s="27" t="s">
        <v>16</v>
      </c>
      <c r="F3" s="27" t="s">
        <v>29</v>
      </c>
      <c r="G3" s="27" t="s">
        <v>3</v>
      </c>
      <c r="H3" s="27" t="s">
        <v>2</v>
      </c>
      <c r="I3" s="27" t="s">
        <v>1</v>
      </c>
      <c r="J3" s="28" t="s">
        <v>17</v>
      </c>
      <c r="K3" s="28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0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995005</v>
      </c>
      <c r="B28" s="13" t="s">
        <v>56</v>
      </c>
      <c r="C28" s="13" t="s">
        <v>462</v>
      </c>
      <c r="D28" s="73"/>
      <c r="E28" s="73">
        <v>1.78</v>
      </c>
      <c r="F28" s="13" t="s">
        <v>40</v>
      </c>
      <c r="G28" s="13"/>
      <c r="H28" s="13" t="s">
        <v>52</v>
      </c>
      <c r="I28" s="13"/>
      <c r="J28" s="13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4.99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40" x14ac:dyDescent="0.4">
      <c r="A37" s="13">
        <v>995015</v>
      </c>
      <c r="B37" s="13" t="s">
        <v>711</v>
      </c>
      <c r="C37" s="13"/>
      <c r="D37" s="73"/>
      <c r="E37" s="73">
        <v>3.47</v>
      </c>
      <c r="F37" s="13" t="s">
        <v>40</v>
      </c>
      <c r="G37" s="13"/>
      <c r="H37" s="13" t="s">
        <v>41</v>
      </c>
      <c r="I37" s="13"/>
      <c r="J37" s="13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4.99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4.99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3">
        <v>995131</v>
      </c>
      <c r="B53" s="13" t="s">
        <v>397</v>
      </c>
      <c r="C53" s="13"/>
      <c r="D53" s="73"/>
      <c r="E53" s="73">
        <v>3.13</v>
      </c>
      <c r="F53" s="13" t="s">
        <v>40</v>
      </c>
      <c r="G53" s="13"/>
      <c r="H53" s="13" t="s">
        <v>41</v>
      </c>
      <c r="I53" s="13"/>
      <c r="J53" s="13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3.96</v>
      </c>
      <c r="F62" s="13" t="s">
        <v>40</v>
      </c>
      <c r="G62" s="13"/>
      <c r="H62" s="13"/>
      <c r="I62" s="13"/>
      <c r="J62" s="13"/>
      <c r="K62" s="13"/>
    </row>
    <row r="63" spans="1:11" ht="40" x14ac:dyDescent="0.4">
      <c r="A63" s="13">
        <v>985060</v>
      </c>
      <c r="B63" s="13" t="s">
        <v>453</v>
      </c>
      <c r="C63" s="13"/>
      <c r="D63" s="73"/>
      <c r="E63" s="73">
        <v>1.55</v>
      </c>
      <c r="F63" s="13" t="s">
        <v>40</v>
      </c>
      <c r="G63" s="13"/>
      <c r="H63" s="13" t="s">
        <v>41</v>
      </c>
      <c r="I63" s="13"/>
      <c r="J63" s="13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471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2.99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3.79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3.99</v>
      </c>
      <c r="F140" s="13" t="s">
        <v>40</v>
      </c>
      <c r="G140" s="13"/>
      <c r="H140" s="13" t="s">
        <v>473</v>
      </c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980211</v>
      </c>
      <c r="B148" s="13" t="s">
        <v>722</v>
      </c>
      <c r="C148" s="13"/>
      <c r="D148" s="73"/>
      <c r="E148" s="73">
        <v>3.99</v>
      </c>
      <c r="F148" s="13" t="s">
        <v>400</v>
      </c>
      <c r="G148" s="13"/>
      <c r="H148" s="13"/>
      <c r="I148" s="13"/>
      <c r="J148" s="13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3.09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471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471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40" x14ac:dyDescent="0.4">
      <c r="A253" s="117">
        <v>995186</v>
      </c>
      <c r="B253" s="117" t="s">
        <v>689</v>
      </c>
      <c r="C253" s="117" t="s">
        <v>462</v>
      </c>
      <c r="D253" s="118">
        <v>2.99</v>
      </c>
      <c r="E253" s="118">
        <v>1.79</v>
      </c>
      <c r="F253" s="117" t="s">
        <v>740</v>
      </c>
      <c r="G253" s="117" t="s">
        <v>6</v>
      </c>
      <c r="H253" s="117" t="s">
        <v>41</v>
      </c>
      <c r="I253" s="147">
        <v>44820</v>
      </c>
      <c r="J253" s="117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40" x14ac:dyDescent="0.4">
      <c r="A257" s="117">
        <v>995206</v>
      </c>
      <c r="B257" s="117" t="s">
        <v>738</v>
      </c>
      <c r="C257" s="117"/>
      <c r="D257" s="118">
        <v>3.99</v>
      </c>
      <c r="E257" s="118">
        <v>2.39</v>
      </c>
      <c r="F257" s="117" t="s">
        <v>740</v>
      </c>
      <c r="G257" s="117" t="s">
        <v>6</v>
      </c>
      <c r="H257" s="117" t="s">
        <v>41</v>
      </c>
      <c r="I257" s="147">
        <v>44820</v>
      </c>
      <c r="J257" s="117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3.25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B2:B3"/>
    <mergeCell ref="C2:C3"/>
    <mergeCell ref="D2:E2"/>
    <mergeCell ref="J1:K1"/>
  </mergeCells>
  <conditionalFormatting sqref="A3 D3:E3 G3:J3">
    <cfRule type="expression" dxfId="66" priority="985" stopIfTrue="1">
      <formula>AND(OR(NOT(ISERROR(FIND("YB",#REF!))),NOT(ISERROR(FIND("YNB",#REF!)))),AND(ISERROR(FIND("SB",#REF!)),ISERROR(FIND("SNB",#REF!))))</formula>
    </cfRule>
    <cfRule type="expression" dxfId="65" priority="986" stopIfTrue="1">
      <formula>NOT(ISERROR(FIND("B",#REF!)))</formula>
    </cfRule>
  </conditionalFormatting>
  <conditionalFormatting sqref="K4">
    <cfRule type="expression" dxfId="64" priority="979" stopIfTrue="1">
      <formula>AND(OR(NOT(ISERROR(FIND("YB",#REF!))),NOT(ISERROR(FIND("YNB",#REF!)))),AND(ISERROR(FIND("SB",#REF!)),ISERROR(FIND("SNB",#REF!))))</formula>
    </cfRule>
    <cfRule type="expression" dxfId="63" priority="980" stopIfTrue="1">
      <formula>NOT(ISERROR(FIND("B",#REF!)))</formula>
    </cfRule>
  </conditionalFormatting>
  <conditionalFormatting sqref="F3">
    <cfRule type="expression" dxfId="62" priority="983" stopIfTrue="1">
      <formula>AND(OR(NOT(ISERROR(FIND("YB",#REF!))),NOT(ISERROR(FIND("YNB",#REF!)))),AND(ISERROR(FIND("SB",#REF!)),ISERROR(FIND("SNB",#REF!))))</formula>
    </cfRule>
    <cfRule type="expression" dxfId="61" priority="984" stopIfTrue="1">
      <formula>NOT(ISERROR(FIND("B",#REF!)))</formula>
    </cfRule>
  </conditionalFormatting>
  <conditionalFormatting sqref="A4:J4">
    <cfRule type="expression" dxfId="60" priority="981" stopIfTrue="1">
      <formula>AND(OR(NOT(ISERROR(FIND("YB",#REF!))),NOT(ISERROR(FIND("YNB",#REF!)))),AND(ISERROR(FIND("SB",#REF!)),ISERROR(FIND("SNB",#REF!))))</formula>
    </cfRule>
    <cfRule type="expression" dxfId="59" priority="98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00B0F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A13" sqref="A13:K334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144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6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0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17">
        <v>995005</v>
      </c>
      <c r="B28" s="117" t="s">
        <v>56</v>
      </c>
      <c r="C28" s="117" t="s">
        <v>462</v>
      </c>
      <c r="D28" s="118">
        <v>1.07</v>
      </c>
      <c r="E28" s="118">
        <v>1.78</v>
      </c>
      <c r="F28" s="117" t="s">
        <v>40</v>
      </c>
      <c r="G28" s="117" t="s">
        <v>51</v>
      </c>
      <c r="H28" s="117" t="s">
        <v>52</v>
      </c>
      <c r="I28" s="117"/>
      <c r="J28" s="117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40" x14ac:dyDescent="0.4">
      <c r="A37" s="117">
        <v>995015</v>
      </c>
      <c r="B37" s="117" t="s">
        <v>711</v>
      </c>
      <c r="C37" s="117"/>
      <c r="D37" s="118">
        <v>3.47</v>
      </c>
      <c r="E37" s="118">
        <v>2.08</v>
      </c>
      <c r="F37" s="117" t="s">
        <v>40</v>
      </c>
      <c r="G37" s="117" t="s">
        <v>6</v>
      </c>
      <c r="H37" s="117" t="s">
        <v>41</v>
      </c>
      <c r="I37" s="147">
        <v>44820</v>
      </c>
      <c r="J37" s="117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4.49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17">
        <v>995131</v>
      </c>
      <c r="B53" s="117" t="s">
        <v>397</v>
      </c>
      <c r="C53" s="117"/>
      <c r="D53" s="118">
        <v>3.13</v>
      </c>
      <c r="E53" s="118">
        <v>1.88</v>
      </c>
      <c r="F53" s="117" t="s">
        <v>40</v>
      </c>
      <c r="G53" s="117" t="s">
        <v>6</v>
      </c>
      <c r="H53" s="117" t="s">
        <v>41</v>
      </c>
      <c r="I53" s="147">
        <v>44820</v>
      </c>
      <c r="J53" s="117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3.19</v>
      </c>
      <c r="F62" s="13" t="s">
        <v>40</v>
      </c>
      <c r="G62" s="13"/>
      <c r="H62" s="13"/>
      <c r="I62" s="13"/>
      <c r="J62" s="13"/>
      <c r="K62" s="13"/>
    </row>
    <row r="63" spans="1:11" ht="40" x14ac:dyDescent="0.4">
      <c r="A63" s="117">
        <v>985060</v>
      </c>
      <c r="B63" s="117" t="s">
        <v>453</v>
      </c>
      <c r="C63" s="117"/>
      <c r="D63" s="118">
        <v>1.55</v>
      </c>
      <c r="E63" s="118">
        <v>1.0900000000000001</v>
      </c>
      <c r="F63" s="117" t="s">
        <v>40</v>
      </c>
      <c r="G63" s="117" t="s">
        <v>6</v>
      </c>
      <c r="H63" s="117" t="s">
        <v>41</v>
      </c>
      <c r="I63" s="147">
        <v>44820</v>
      </c>
      <c r="J63" s="117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471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2.99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3.79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3.99</v>
      </c>
      <c r="F140" s="13" t="s">
        <v>40</v>
      </c>
      <c r="G140" s="13"/>
      <c r="H140" s="13" t="s">
        <v>473</v>
      </c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980211</v>
      </c>
      <c r="B148" s="13" t="s">
        <v>722</v>
      </c>
      <c r="C148" s="13"/>
      <c r="D148" s="73"/>
      <c r="E148" s="73">
        <v>3.99</v>
      </c>
      <c r="F148" s="13" t="s">
        <v>400</v>
      </c>
      <c r="G148" s="13"/>
      <c r="H148" s="13"/>
      <c r="I148" s="13"/>
      <c r="J148" s="13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3.09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471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471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40" x14ac:dyDescent="0.4">
      <c r="A253" s="117">
        <v>995186</v>
      </c>
      <c r="B253" s="117" t="s">
        <v>689</v>
      </c>
      <c r="C253" s="117" t="s">
        <v>462</v>
      </c>
      <c r="D253" s="118">
        <v>2.99</v>
      </c>
      <c r="E253" s="118">
        <v>1.79</v>
      </c>
      <c r="F253" s="117" t="s">
        <v>740</v>
      </c>
      <c r="G253" s="117" t="s">
        <v>6</v>
      </c>
      <c r="H253" s="117" t="s">
        <v>41</v>
      </c>
      <c r="I253" s="147">
        <v>44820</v>
      </c>
      <c r="J253" s="117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40" x14ac:dyDescent="0.4">
      <c r="A257" s="117">
        <v>995206</v>
      </c>
      <c r="B257" s="117" t="s">
        <v>738</v>
      </c>
      <c r="C257" s="117"/>
      <c r="D257" s="118">
        <v>3.99</v>
      </c>
      <c r="E257" s="118">
        <v>2.39</v>
      </c>
      <c r="F257" s="117" t="s">
        <v>740</v>
      </c>
      <c r="G257" s="117" t="s">
        <v>6</v>
      </c>
      <c r="H257" s="117" t="s">
        <v>41</v>
      </c>
      <c r="I257" s="147">
        <v>44820</v>
      </c>
      <c r="J257" s="117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3.25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4:I4">
    <cfRule type="expression" dxfId="58" priority="883" stopIfTrue="1">
      <formula>AND(OR(NOT(ISERROR(FIND("YB",#REF!))),NOT(ISERROR(FIND("YNB",#REF!)))),AND(ISERROR(FIND("SB",#REF!)),ISERROR(FIND("SNB",#REF!))))</formula>
    </cfRule>
    <cfRule type="expression" dxfId="57" priority="884" stopIfTrue="1">
      <formula>NOT(ISERROR(FIND("B",#REF!)))</formula>
    </cfRule>
  </conditionalFormatting>
  <conditionalFormatting sqref="K4">
    <cfRule type="expression" dxfId="56" priority="873" stopIfTrue="1">
      <formula>AND(OR(NOT(ISERROR(FIND("YB",#REF!))),NOT(ISERROR(FIND("YNB",#REF!)))),AND(ISERROR(FIND("SB",#REF!)),ISERROR(FIND("SNB",#REF!))))</formula>
    </cfRule>
    <cfRule type="expression" dxfId="55" priority="874" stopIfTrue="1">
      <formula>NOT(ISERROR(FIND("B",#REF!)))</formula>
    </cfRule>
  </conditionalFormatting>
  <conditionalFormatting sqref="A3 D3:E3 G3:J3">
    <cfRule type="expression" dxfId="54" priority="879" stopIfTrue="1">
      <formula>AND(OR(NOT(ISERROR(FIND("YB",#REF!))),NOT(ISERROR(FIND("YNB",#REF!)))),AND(ISERROR(FIND("SB",#REF!)),ISERROR(FIND("SNB",#REF!))))</formula>
    </cfRule>
    <cfRule type="expression" dxfId="53" priority="880" stopIfTrue="1">
      <formula>NOT(ISERROR(FIND("B",#REF!)))</formula>
    </cfRule>
  </conditionalFormatting>
  <conditionalFormatting sqref="F3">
    <cfRule type="expression" dxfId="52" priority="877" stopIfTrue="1">
      <formula>AND(OR(NOT(ISERROR(FIND("YB",#REF!))),NOT(ISERROR(FIND("YNB",#REF!)))),AND(ISERROR(FIND("SB",#REF!)),ISERROR(FIND("SNB",#REF!))))</formula>
    </cfRule>
    <cfRule type="expression" dxfId="51" priority="878" stopIfTrue="1">
      <formula>NOT(ISERROR(FIND("B",#REF!)))</formula>
    </cfRule>
  </conditionalFormatting>
  <conditionalFormatting sqref="J4">
    <cfRule type="expression" dxfId="50" priority="875" stopIfTrue="1">
      <formula>AND(OR(NOT(ISERROR(FIND("YB",#REF!))),NOT(ISERROR(FIND("YNB",#REF!)))),AND(ISERROR(FIND("SB",#REF!)),ISERROR(FIND("SNB",#REF!))))</formula>
    </cfRule>
    <cfRule type="expression" dxfId="49" priority="8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>
    <tabColor rgb="FF00B0F0"/>
    <pageSetUpPr fitToPage="1"/>
  </sheetPr>
  <dimension ref="A1:K327"/>
  <sheetViews>
    <sheetView zoomScale="70" zoomScaleNormal="70" workbookViewId="0">
      <pane ySplit="4" topLeftCell="A5" activePane="bottomLeft" state="frozen"/>
      <selection activeCell="C8" sqref="C8"/>
      <selection pane="bottomLeft" activeCell="A13" sqref="A13:K334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145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6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0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17">
        <v>995005</v>
      </c>
      <c r="B28" s="117" t="s">
        <v>56</v>
      </c>
      <c r="C28" s="117" t="s">
        <v>462</v>
      </c>
      <c r="D28" s="118">
        <v>1.07</v>
      </c>
      <c r="E28" s="118">
        <v>1.78</v>
      </c>
      <c r="F28" s="117" t="s">
        <v>40</v>
      </c>
      <c r="G28" s="117" t="s">
        <v>51</v>
      </c>
      <c r="H28" s="117" t="s">
        <v>52</v>
      </c>
      <c r="I28" s="117"/>
      <c r="J28" s="117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40" x14ac:dyDescent="0.4">
      <c r="A37" s="117">
        <v>995015</v>
      </c>
      <c r="B37" s="117" t="s">
        <v>711</v>
      </c>
      <c r="C37" s="117"/>
      <c r="D37" s="118">
        <v>3.47</v>
      </c>
      <c r="E37" s="118">
        <v>2.08</v>
      </c>
      <c r="F37" s="117" t="s">
        <v>40</v>
      </c>
      <c r="G37" s="117" t="s">
        <v>6</v>
      </c>
      <c r="H37" s="117" t="s">
        <v>41</v>
      </c>
      <c r="I37" s="147">
        <v>44820</v>
      </c>
      <c r="J37" s="117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4.49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17">
        <v>995131</v>
      </c>
      <c r="B53" s="117" t="s">
        <v>397</v>
      </c>
      <c r="C53" s="117"/>
      <c r="D53" s="118">
        <v>3.13</v>
      </c>
      <c r="E53" s="118">
        <v>1.88</v>
      </c>
      <c r="F53" s="117" t="s">
        <v>40</v>
      </c>
      <c r="G53" s="117" t="s">
        <v>6</v>
      </c>
      <c r="H53" s="117" t="s">
        <v>41</v>
      </c>
      <c r="I53" s="147">
        <v>44820</v>
      </c>
      <c r="J53" s="117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3.19</v>
      </c>
      <c r="F62" s="13" t="s">
        <v>40</v>
      </c>
      <c r="G62" s="13"/>
      <c r="H62" s="13"/>
      <c r="I62" s="13"/>
      <c r="J62" s="13"/>
      <c r="K62" s="13"/>
    </row>
    <row r="63" spans="1:11" ht="40" x14ac:dyDescent="0.4">
      <c r="A63" s="117">
        <v>985060</v>
      </c>
      <c r="B63" s="117" t="s">
        <v>453</v>
      </c>
      <c r="C63" s="117"/>
      <c r="D63" s="118">
        <v>1.55</v>
      </c>
      <c r="E63" s="118">
        <v>1.0900000000000001</v>
      </c>
      <c r="F63" s="117" t="s">
        <v>40</v>
      </c>
      <c r="G63" s="117" t="s">
        <v>6</v>
      </c>
      <c r="H63" s="117" t="s">
        <v>41</v>
      </c>
      <c r="I63" s="147">
        <v>44820</v>
      </c>
      <c r="J63" s="117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471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2.99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3.79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3.99</v>
      </c>
      <c r="F140" s="13" t="s">
        <v>40</v>
      </c>
      <c r="G140" s="13"/>
      <c r="H140" s="13" t="s">
        <v>473</v>
      </c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980211</v>
      </c>
      <c r="B148" s="13" t="s">
        <v>722</v>
      </c>
      <c r="C148" s="13"/>
      <c r="D148" s="73"/>
      <c r="E148" s="73">
        <v>3.99</v>
      </c>
      <c r="F148" s="13" t="s">
        <v>400</v>
      </c>
      <c r="G148" s="13"/>
      <c r="H148" s="13"/>
      <c r="I148" s="13"/>
      <c r="J148" s="13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3.09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471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471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40" x14ac:dyDescent="0.4">
      <c r="A253" s="117">
        <v>995186</v>
      </c>
      <c r="B253" s="117" t="s">
        <v>689</v>
      </c>
      <c r="C253" s="117" t="s">
        <v>462</v>
      </c>
      <c r="D253" s="118">
        <v>2.99</v>
      </c>
      <c r="E253" s="118">
        <v>1.79</v>
      </c>
      <c r="F253" s="117" t="s">
        <v>740</v>
      </c>
      <c r="G253" s="117" t="s">
        <v>6</v>
      </c>
      <c r="H253" s="117" t="s">
        <v>41</v>
      </c>
      <c r="I253" s="147">
        <v>44820</v>
      </c>
      <c r="J253" s="117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40" x14ac:dyDescent="0.4">
      <c r="A257" s="117">
        <v>995206</v>
      </c>
      <c r="B257" s="117" t="s">
        <v>738</v>
      </c>
      <c r="C257" s="117"/>
      <c r="D257" s="118">
        <v>3.99</v>
      </c>
      <c r="E257" s="118">
        <v>2.39</v>
      </c>
      <c r="F257" s="117" t="s">
        <v>740</v>
      </c>
      <c r="G257" s="117" t="s">
        <v>6</v>
      </c>
      <c r="H257" s="117" t="s">
        <v>41</v>
      </c>
      <c r="I257" s="147">
        <v>44820</v>
      </c>
      <c r="J257" s="117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3.25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F3">
    <cfRule type="expression" dxfId="48" priority="994" stopIfTrue="1">
      <formula>AND(OR(NOT(ISERROR(FIND("YB",#REF!))),NOT(ISERROR(FIND("YNB",#REF!)))),AND(ISERROR(FIND("SB",#REF!)),ISERROR(FIND("SNB",#REF!))))</formula>
    </cfRule>
    <cfRule type="expression" dxfId="47" priority="995" stopIfTrue="1">
      <formula>NOT(ISERROR(FIND("B",#REF!)))</formula>
    </cfRule>
  </conditionalFormatting>
  <conditionalFormatting sqref="K4">
    <cfRule type="expression" dxfId="46" priority="988" stopIfTrue="1">
      <formula>AND(OR(NOT(ISERROR(FIND("YB",#REF!))),NOT(ISERROR(FIND("YNB",#REF!)))),AND(ISERROR(FIND("SB",#REF!)),ISERROR(FIND("SNB",#REF!))))</formula>
    </cfRule>
    <cfRule type="expression" dxfId="45" priority="989" stopIfTrue="1">
      <formula>NOT(ISERROR(FIND("B",#REF!)))</formula>
    </cfRule>
  </conditionalFormatting>
  <conditionalFormatting sqref="A3 D3:E3 G3:J3">
    <cfRule type="expression" dxfId="44" priority="996" stopIfTrue="1">
      <formula>AND(OR(NOT(ISERROR(FIND("YB",#REF!))),NOT(ISERROR(FIND("YNB",#REF!)))),AND(ISERROR(FIND("SB",#REF!)),ISERROR(FIND("SNB",#REF!))))</formula>
    </cfRule>
    <cfRule type="expression" dxfId="43" priority="997" stopIfTrue="1">
      <formula>NOT(ISERROR(FIND("B",#REF!)))</formula>
    </cfRule>
  </conditionalFormatting>
  <conditionalFormatting sqref="A4:I4">
    <cfRule type="expression" dxfId="42" priority="992" stopIfTrue="1">
      <formula>AND(OR(NOT(ISERROR(FIND("YB",#REF!))),NOT(ISERROR(FIND("YNB",#REF!)))),AND(ISERROR(FIND("SB",#REF!)),ISERROR(FIND("SNB",#REF!))))</formula>
    </cfRule>
    <cfRule type="expression" dxfId="41" priority="993" stopIfTrue="1">
      <formula>NOT(ISERROR(FIND("B",#REF!)))</formula>
    </cfRule>
  </conditionalFormatting>
  <conditionalFormatting sqref="J4">
    <cfRule type="expression" dxfId="40" priority="990" stopIfTrue="1">
      <formula>AND(OR(NOT(ISERROR(FIND("YB",#REF!))),NOT(ISERROR(FIND("YNB",#REF!)))),AND(ISERROR(FIND("SB",#REF!)),ISERROR(FIND("SNB",#REF!))))</formula>
    </cfRule>
    <cfRule type="expression" dxfId="39" priority="991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  <pageSetUpPr fitToPage="1"/>
  </sheetPr>
  <dimension ref="A1:M10000"/>
  <sheetViews>
    <sheetView zoomScale="70" zoomScaleNormal="70" workbookViewId="0">
      <selection activeCell="J3" sqref="J1:N1048576"/>
    </sheetView>
  </sheetViews>
  <sheetFormatPr defaultRowHeight="14.5" x14ac:dyDescent="0.35"/>
  <cols>
    <col min="1" max="1" width="12.7265625" customWidth="1"/>
    <col min="2" max="2" width="63.7265625" customWidth="1"/>
    <col min="3" max="3" width="20" bestFit="1" customWidth="1"/>
    <col min="4" max="4" width="13.7265625" customWidth="1"/>
    <col min="5" max="5" width="9" customWidth="1"/>
    <col min="6" max="6" width="23.7265625" customWidth="1"/>
    <col min="7" max="7" width="36" customWidth="1"/>
    <col min="8" max="8" width="32.7265625" customWidth="1"/>
    <col min="9" max="9" width="16.7265625" customWidth="1"/>
    <col min="10" max="10" width="20.7265625" style="15" customWidth="1"/>
    <col min="11" max="13" width="8.7265625" hidden="1" customWidth="1"/>
  </cols>
  <sheetData>
    <row r="1" spans="1:13" ht="58.5" customHeight="1" x14ac:dyDescent="1">
      <c r="A1" s="7"/>
      <c r="B1" s="1" t="s">
        <v>31</v>
      </c>
      <c r="C1" s="8">
        <v>44819</v>
      </c>
      <c r="D1" s="7"/>
      <c r="E1" s="7"/>
      <c r="F1" s="9" t="s">
        <v>32</v>
      </c>
      <c r="I1" s="341" t="s">
        <v>36</v>
      </c>
      <c r="J1" s="341"/>
    </row>
    <row r="2" spans="1:13" ht="16.5" customHeight="1" x14ac:dyDescent="0.35">
      <c r="A2" s="325" t="s">
        <v>12</v>
      </c>
      <c r="B2" s="331" t="s">
        <v>13</v>
      </c>
      <c r="C2" s="325" t="s">
        <v>33</v>
      </c>
      <c r="D2" s="325" t="s">
        <v>34</v>
      </c>
      <c r="E2" s="325" t="s">
        <v>14</v>
      </c>
      <c r="F2" s="346" t="s">
        <v>35</v>
      </c>
      <c r="G2" s="346"/>
      <c r="H2" s="346"/>
      <c r="I2" s="346"/>
      <c r="J2" s="337"/>
      <c r="K2" s="347" t="s">
        <v>37</v>
      </c>
      <c r="L2" s="333" t="s">
        <v>38</v>
      </c>
      <c r="M2" s="333" t="s">
        <v>39</v>
      </c>
    </row>
    <row r="3" spans="1:13" ht="50.25" customHeight="1" x14ac:dyDescent="0.35">
      <c r="A3" s="322"/>
      <c r="B3" s="324"/>
      <c r="C3" s="322"/>
      <c r="D3" s="322"/>
      <c r="E3" s="322"/>
      <c r="F3" s="4" t="s">
        <v>30</v>
      </c>
      <c r="G3" s="4" t="s">
        <v>3</v>
      </c>
      <c r="H3" s="4" t="s">
        <v>2</v>
      </c>
      <c r="I3" s="3" t="s">
        <v>1</v>
      </c>
      <c r="J3" s="3" t="s">
        <v>17</v>
      </c>
      <c r="K3" s="348"/>
      <c r="L3" s="334"/>
      <c r="M3" s="334"/>
    </row>
    <row r="4" spans="1:13" ht="20" x14ac:dyDescent="0.4">
      <c r="A4" s="10">
        <v>980000</v>
      </c>
      <c r="B4" s="10" t="s">
        <v>93</v>
      </c>
      <c r="C4" s="10">
        <v>37.5</v>
      </c>
      <c r="D4" s="10"/>
      <c r="E4" s="10"/>
      <c r="F4" s="10">
        <v>0</v>
      </c>
      <c r="G4" s="18"/>
      <c r="H4" s="18"/>
      <c r="I4" s="18"/>
      <c r="J4" s="18"/>
      <c r="L4" s="18"/>
      <c r="M4" s="18"/>
    </row>
    <row r="5" spans="1:13" ht="20" x14ac:dyDescent="0.4">
      <c r="A5" s="110">
        <v>995022</v>
      </c>
      <c r="B5" s="110" t="s">
        <v>60</v>
      </c>
      <c r="C5" s="110">
        <v>8</v>
      </c>
      <c r="D5" s="110"/>
      <c r="E5" s="110" t="s">
        <v>462</v>
      </c>
      <c r="F5" s="110">
        <v>1.99</v>
      </c>
      <c r="J5"/>
      <c r="L5" s="18"/>
      <c r="M5" s="18"/>
    </row>
    <row r="6" spans="1:13" ht="20" x14ac:dyDescent="0.4">
      <c r="A6" s="110">
        <v>995032</v>
      </c>
      <c r="B6" s="110" t="s">
        <v>61</v>
      </c>
      <c r="C6" s="110">
        <v>9</v>
      </c>
      <c r="D6" s="110" t="s">
        <v>129</v>
      </c>
      <c r="E6" s="110" t="s">
        <v>462</v>
      </c>
      <c r="F6" s="110">
        <v>3.49</v>
      </c>
      <c r="J6"/>
      <c r="L6" s="18"/>
      <c r="M6" s="18"/>
    </row>
    <row r="7" spans="1:13" ht="31" x14ac:dyDescent="0.6">
      <c r="A7" s="110">
        <v>995070</v>
      </c>
      <c r="B7" s="110" t="s">
        <v>437</v>
      </c>
      <c r="C7" s="110">
        <v>8</v>
      </c>
      <c r="D7" s="110"/>
      <c r="E7" s="110" t="s">
        <v>462</v>
      </c>
      <c r="F7" s="110">
        <v>3.13</v>
      </c>
      <c r="J7"/>
      <c r="L7" s="11"/>
      <c r="M7" s="11" t="s">
        <v>128</v>
      </c>
    </row>
    <row r="8" spans="1:13" ht="20" x14ac:dyDescent="0.4">
      <c r="A8" s="110">
        <v>995180</v>
      </c>
      <c r="B8" s="110" t="s">
        <v>691</v>
      </c>
      <c r="C8" s="110">
        <v>4</v>
      </c>
      <c r="D8" s="110"/>
      <c r="E8" s="110" t="s">
        <v>462</v>
      </c>
      <c r="F8" s="110">
        <v>4.49</v>
      </c>
      <c r="J8"/>
      <c r="L8" s="18"/>
      <c r="M8" s="18"/>
    </row>
    <row r="9" spans="1:13" ht="31" x14ac:dyDescent="0.6">
      <c r="A9" s="110">
        <v>995067</v>
      </c>
      <c r="B9" s="110" t="s">
        <v>42</v>
      </c>
      <c r="C9" s="110">
        <v>8</v>
      </c>
      <c r="D9" s="110"/>
      <c r="E9" s="110" t="s">
        <v>462</v>
      </c>
      <c r="F9" s="110">
        <v>3.13</v>
      </c>
      <c r="J9"/>
      <c r="L9" s="11"/>
      <c r="M9" s="11" t="s">
        <v>128</v>
      </c>
    </row>
    <row r="10" spans="1:13" ht="31" x14ac:dyDescent="0.6">
      <c r="A10" s="110">
        <v>995004</v>
      </c>
      <c r="B10" s="110" t="s">
        <v>59</v>
      </c>
      <c r="C10" s="110">
        <v>8</v>
      </c>
      <c r="D10" s="110" t="s">
        <v>129</v>
      </c>
      <c r="E10" s="110" t="s">
        <v>462</v>
      </c>
      <c r="F10" s="110">
        <v>3.47</v>
      </c>
      <c r="J10"/>
      <c r="L10" s="11"/>
      <c r="M10" s="11" t="s">
        <v>128</v>
      </c>
    </row>
    <row r="11" spans="1:13" ht="20" x14ac:dyDescent="0.4">
      <c r="A11" s="110">
        <v>995018</v>
      </c>
      <c r="B11" s="110" t="s">
        <v>450</v>
      </c>
      <c r="C11" s="110">
        <v>4</v>
      </c>
      <c r="D11" s="110"/>
      <c r="E11" s="110" t="s">
        <v>462</v>
      </c>
      <c r="F11" s="110">
        <v>5.34</v>
      </c>
      <c r="J11"/>
      <c r="L11" s="18"/>
      <c r="M11" s="18"/>
    </row>
    <row r="12" spans="1:13" ht="20" x14ac:dyDescent="0.4">
      <c r="A12" s="110">
        <v>995011</v>
      </c>
      <c r="B12" s="110" t="s">
        <v>579</v>
      </c>
      <c r="C12" s="110">
        <v>8</v>
      </c>
      <c r="D12" s="110"/>
      <c r="E12" s="110" t="s">
        <v>462</v>
      </c>
      <c r="F12" s="110">
        <v>3.47</v>
      </c>
      <c r="J12"/>
      <c r="L12" s="18"/>
      <c r="M12" s="18"/>
    </row>
    <row r="13" spans="1:13" ht="20" x14ac:dyDescent="0.4">
      <c r="A13" s="110">
        <v>995019</v>
      </c>
      <c r="B13" s="110" t="s">
        <v>580</v>
      </c>
      <c r="C13" s="110">
        <v>4</v>
      </c>
      <c r="D13" s="110"/>
      <c r="E13" s="110" t="s">
        <v>462</v>
      </c>
      <c r="F13" s="110">
        <v>5.34</v>
      </c>
      <c r="J13"/>
      <c r="L13" s="18"/>
      <c r="M13" s="18"/>
    </row>
    <row r="14" spans="1:13" ht="31" x14ac:dyDescent="0.6">
      <c r="A14" s="110">
        <v>995181</v>
      </c>
      <c r="B14" s="110" t="s">
        <v>661</v>
      </c>
      <c r="C14" s="110">
        <v>4</v>
      </c>
      <c r="D14" s="110"/>
      <c r="E14" s="110" t="s">
        <v>462</v>
      </c>
      <c r="F14" s="110">
        <v>4.49</v>
      </c>
      <c r="J14"/>
      <c r="L14" s="11"/>
      <c r="M14" s="11" t="s">
        <v>128</v>
      </c>
    </row>
    <row r="15" spans="1:13" ht="31" x14ac:dyDescent="0.6">
      <c r="A15" s="110">
        <v>995179</v>
      </c>
      <c r="B15" s="110" t="s">
        <v>660</v>
      </c>
      <c r="C15" s="110">
        <v>4</v>
      </c>
      <c r="D15" s="110"/>
      <c r="E15" s="110" t="s">
        <v>462</v>
      </c>
      <c r="F15" s="110">
        <v>4.49</v>
      </c>
      <c r="J15"/>
      <c r="L15" s="11"/>
      <c r="M15" s="11" t="s">
        <v>128</v>
      </c>
    </row>
    <row r="16" spans="1:13" ht="20" x14ac:dyDescent="0.4">
      <c r="A16" s="110">
        <v>995001</v>
      </c>
      <c r="B16" s="110" t="s">
        <v>433</v>
      </c>
      <c r="C16" s="110">
        <v>8</v>
      </c>
      <c r="D16" s="110" t="s">
        <v>129</v>
      </c>
      <c r="E16" s="110" t="s">
        <v>462</v>
      </c>
      <c r="F16" s="110">
        <v>2.72</v>
      </c>
      <c r="J16"/>
      <c r="L16" s="18"/>
      <c r="M16" s="18"/>
    </row>
    <row r="17" spans="1:13" ht="20" x14ac:dyDescent="0.4">
      <c r="A17" s="110">
        <v>995014</v>
      </c>
      <c r="B17" s="110" t="s">
        <v>65</v>
      </c>
      <c r="C17" s="110">
        <v>8</v>
      </c>
      <c r="D17" s="110"/>
      <c r="E17" s="110" t="s">
        <v>462</v>
      </c>
      <c r="F17" s="110">
        <v>3.47</v>
      </c>
      <c r="J17"/>
      <c r="L17" s="18"/>
      <c r="M17" s="18"/>
    </row>
    <row r="18" spans="1:13" ht="20" x14ac:dyDescent="0.4">
      <c r="A18" s="110">
        <v>985060</v>
      </c>
      <c r="B18" s="110" t="s">
        <v>453</v>
      </c>
      <c r="C18" s="110">
        <v>24</v>
      </c>
      <c r="D18" s="110"/>
      <c r="E18" s="110"/>
      <c r="F18" s="110">
        <v>1.55</v>
      </c>
      <c r="J18"/>
      <c r="L18" s="18"/>
      <c r="M18" s="18"/>
    </row>
    <row r="19" spans="1:13" ht="20" x14ac:dyDescent="0.4">
      <c r="A19" s="110">
        <v>987591</v>
      </c>
      <c r="B19" s="110" t="s">
        <v>67</v>
      </c>
      <c r="C19" s="110">
        <v>15</v>
      </c>
      <c r="D19" s="110" t="s">
        <v>129</v>
      </c>
      <c r="E19" s="110"/>
      <c r="F19" s="110">
        <v>1.98</v>
      </c>
      <c r="J19"/>
      <c r="L19" s="18"/>
      <c r="M19" s="18"/>
    </row>
    <row r="20" spans="1:13" ht="31" x14ac:dyDescent="0.6">
      <c r="A20" s="110">
        <v>995051</v>
      </c>
      <c r="B20" s="110" t="s">
        <v>87</v>
      </c>
      <c r="C20" s="110">
        <v>6</v>
      </c>
      <c r="D20" s="110" t="s">
        <v>129</v>
      </c>
      <c r="E20" s="110"/>
      <c r="F20" s="110">
        <v>5.19</v>
      </c>
      <c r="J20"/>
      <c r="L20" s="11"/>
      <c r="M20" s="11" t="s">
        <v>128</v>
      </c>
    </row>
    <row r="21" spans="1:13" ht="31" x14ac:dyDescent="0.6">
      <c r="A21" s="110">
        <v>995053</v>
      </c>
      <c r="B21" s="110" t="s">
        <v>86</v>
      </c>
      <c r="C21" s="110">
        <v>6</v>
      </c>
      <c r="D21" s="110" t="s">
        <v>130</v>
      </c>
      <c r="E21" s="110"/>
      <c r="F21" s="110">
        <v>5.19</v>
      </c>
      <c r="J21"/>
      <c r="L21" s="11"/>
      <c r="M21" s="11" t="s">
        <v>128</v>
      </c>
    </row>
    <row r="22" spans="1:13" ht="31" x14ac:dyDescent="0.6">
      <c r="A22" s="110">
        <v>989089</v>
      </c>
      <c r="B22" s="110" t="s">
        <v>84</v>
      </c>
      <c r="C22" s="110">
        <v>30</v>
      </c>
      <c r="D22" s="110"/>
      <c r="E22" s="110"/>
      <c r="F22" s="110">
        <v>0.85</v>
      </c>
      <c r="J22"/>
      <c r="L22" s="11"/>
      <c r="M22" s="11" t="s">
        <v>128</v>
      </c>
    </row>
    <row r="23" spans="1:13" ht="31" x14ac:dyDescent="0.6">
      <c r="A23" s="110">
        <v>995085</v>
      </c>
      <c r="B23" s="110" t="s">
        <v>49</v>
      </c>
      <c r="C23" s="110">
        <v>6</v>
      </c>
      <c r="D23" s="110"/>
      <c r="E23" s="110" t="s">
        <v>462</v>
      </c>
      <c r="F23" s="110">
        <v>2.78</v>
      </c>
      <c r="J23"/>
      <c r="L23" s="11"/>
      <c r="M23" s="11" t="s">
        <v>128</v>
      </c>
    </row>
    <row r="24" spans="1:13" ht="20" x14ac:dyDescent="0.4">
      <c r="A24" s="110">
        <v>995071</v>
      </c>
      <c r="B24" s="110" t="s">
        <v>44</v>
      </c>
      <c r="C24" s="110">
        <v>6</v>
      </c>
      <c r="D24" s="110" t="s">
        <v>129</v>
      </c>
      <c r="E24" s="110" t="s">
        <v>462</v>
      </c>
      <c r="F24" s="110">
        <v>2.78</v>
      </c>
      <c r="J24"/>
      <c r="L24" s="18"/>
      <c r="M24" s="18"/>
    </row>
    <row r="25" spans="1:13" ht="20" x14ac:dyDescent="0.4">
      <c r="A25" s="110">
        <v>988810</v>
      </c>
      <c r="B25" s="110" t="s">
        <v>75</v>
      </c>
      <c r="C25" s="110">
        <v>12</v>
      </c>
      <c r="D25" s="110"/>
      <c r="E25" s="110" t="s">
        <v>462</v>
      </c>
      <c r="F25" s="110">
        <v>2.08</v>
      </c>
      <c r="J25"/>
      <c r="L25" s="18"/>
      <c r="M25" s="18"/>
    </row>
    <row r="26" spans="1:13" ht="20" x14ac:dyDescent="0.4">
      <c r="A26" s="110">
        <v>988850</v>
      </c>
      <c r="B26" s="110" t="s">
        <v>69</v>
      </c>
      <c r="C26" s="110">
        <v>12</v>
      </c>
      <c r="D26" s="110"/>
      <c r="E26" s="110" t="s">
        <v>462</v>
      </c>
      <c r="F26" s="110">
        <v>2.1800000000000002</v>
      </c>
      <c r="J26"/>
      <c r="L26" s="18"/>
      <c r="M26" s="18"/>
    </row>
    <row r="27" spans="1:13" ht="20" x14ac:dyDescent="0.4">
      <c r="A27" s="110">
        <v>988930</v>
      </c>
      <c r="B27" s="110" t="s">
        <v>73</v>
      </c>
      <c r="C27" s="110">
        <v>12</v>
      </c>
      <c r="D27" s="110"/>
      <c r="E27" s="110" t="s">
        <v>462</v>
      </c>
      <c r="F27" s="110">
        <v>2.67</v>
      </c>
      <c r="J27"/>
      <c r="L27" s="18"/>
      <c r="M27" s="18"/>
    </row>
    <row r="28" spans="1:13" ht="31" x14ac:dyDescent="0.6">
      <c r="A28" s="110">
        <v>985760</v>
      </c>
      <c r="B28" s="110" t="s">
        <v>70</v>
      </c>
      <c r="C28" s="110">
        <v>11</v>
      </c>
      <c r="D28" s="110"/>
      <c r="E28" s="110"/>
      <c r="F28" s="110">
        <v>2.99</v>
      </c>
      <c r="J28"/>
      <c r="L28" s="11"/>
      <c r="M28" s="11" t="s">
        <v>128</v>
      </c>
    </row>
    <row r="29" spans="1:13" ht="20" x14ac:dyDescent="0.4">
      <c r="A29" s="110">
        <v>988532</v>
      </c>
      <c r="B29" s="110" t="s">
        <v>571</v>
      </c>
      <c r="C29" s="110">
        <v>20</v>
      </c>
      <c r="D29" s="110" t="s">
        <v>129</v>
      </c>
      <c r="E29" s="110"/>
      <c r="F29" s="110">
        <v>1.99</v>
      </c>
      <c r="J29"/>
      <c r="L29" s="18"/>
      <c r="M29" s="18"/>
    </row>
    <row r="30" spans="1:13" ht="20" x14ac:dyDescent="0.4">
      <c r="A30" s="110">
        <v>995042</v>
      </c>
      <c r="B30" s="110" t="s">
        <v>443</v>
      </c>
      <c r="C30" s="110">
        <v>4</v>
      </c>
      <c r="D30" s="110"/>
      <c r="E30" s="110" t="s">
        <v>462</v>
      </c>
      <c r="F30" s="110">
        <v>5.48</v>
      </c>
      <c r="J30"/>
      <c r="L30" s="18"/>
      <c r="M30" s="18"/>
    </row>
    <row r="31" spans="1:13" ht="20" x14ac:dyDescent="0.4">
      <c r="A31" s="110">
        <v>995116</v>
      </c>
      <c r="B31" s="110" t="s">
        <v>369</v>
      </c>
      <c r="C31" s="110">
        <v>4</v>
      </c>
      <c r="D31" s="110"/>
      <c r="E31" s="110" t="s">
        <v>462</v>
      </c>
      <c r="F31" s="110">
        <v>3.97</v>
      </c>
      <c r="J31"/>
      <c r="L31" s="18"/>
      <c r="M31" s="18"/>
    </row>
    <row r="32" spans="1:13" ht="20" x14ac:dyDescent="0.4">
      <c r="A32" s="110">
        <v>995102</v>
      </c>
      <c r="B32" s="110" t="s">
        <v>66</v>
      </c>
      <c r="C32" s="110">
        <v>4</v>
      </c>
      <c r="D32" s="110"/>
      <c r="E32" s="110" t="s">
        <v>462</v>
      </c>
      <c r="F32" s="110">
        <v>3.97</v>
      </c>
      <c r="J32"/>
      <c r="L32" s="18"/>
      <c r="M32" s="18"/>
    </row>
    <row r="33" spans="1:13" ht="20" x14ac:dyDescent="0.4">
      <c r="A33" s="110">
        <v>995043</v>
      </c>
      <c r="B33" s="110" t="s">
        <v>446</v>
      </c>
      <c r="C33" s="110">
        <v>4</v>
      </c>
      <c r="D33" s="110"/>
      <c r="E33" s="110" t="s">
        <v>462</v>
      </c>
      <c r="F33" s="110">
        <v>4.4800000000000004</v>
      </c>
      <c r="J33"/>
      <c r="L33" s="18"/>
      <c r="M33" s="18"/>
    </row>
    <row r="34" spans="1:13" ht="20" x14ac:dyDescent="0.4">
      <c r="A34" s="110">
        <v>995041</v>
      </c>
      <c r="B34" s="110" t="s">
        <v>442</v>
      </c>
      <c r="C34" s="110">
        <v>4</v>
      </c>
      <c r="D34" s="110"/>
      <c r="E34" s="110"/>
      <c r="F34" s="110">
        <v>4.4800000000000004</v>
      </c>
      <c r="J34"/>
      <c r="L34" s="18"/>
      <c r="M34" s="18"/>
    </row>
    <row r="35" spans="1:13" ht="20" x14ac:dyDescent="0.4">
      <c r="A35" s="110">
        <v>995115</v>
      </c>
      <c r="B35" s="110" t="s">
        <v>368</v>
      </c>
      <c r="C35" s="110">
        <v>4</v>
      </c>
      <c r="D35" s="110"/>
      <c r="E35" s="110" t="s">
        <v>462</v>
      </c>
      <c r="F35" s="110">
        <v>3.24</v>
      </c>
      <c r="J35"/>
      <c r="L35" s="18"/>
      <c r="M35" s="18"/>
    </row>
    <row r="36" spans="1:13" ht="20" x14ac:dyDescent="0.4">
      <c r="A36" s="110">
        <v>984460</v>
      </c>
      <c r="B36" s="110" t="s">
        <v>81</v>
      </c>
      <c r="C36" s="110">
        <v>8</v>
      </c>
      <c r="D36" s="110"/>
      <c r="E36" s="110"/>
      <c r="F36" s="110">
        <v>2.58</v>
      </c>
      <c r="J36"/>
      <c r="L36" s="18"/>
      <c r="M36" s="18"/>
    </row>
    <row r="37" spans="1:13" ht="20" x14ac:dyDescent="0.4">
      <c r="A37" s="110">
        <v>984620</v>
      </c>
      <c r="B37" s="110" t="s">
        <v>4</v>
      </c>
      <c r="C37" s="110">
        <v>12</v>
      </c>
      <c r="D37" s="110"/>
      <c r="E37" s="110"/>
      <c r="F37" s="110">
        <v>3.48</v>
      </c>
      <c r="J37"/>
      <c r="L37" s="18"/>
      <c r="M37" s="18"/>
    </row>
    <row r="38" spans="1:13" ht="20" x14ac:dyDescent="0.4">
      <c r="A38" s="110">
        <v>984700</v>
      </c>
      <c r="B38" s="110" t="s">
        <v>80</v>
      </c>
      <c r="C38" s="110">
        <v>12</v>
      </c>
      <c r="D38" s="110"/>
      <c r="E38" s="110"/>
      <c r="F38" s="110">
        <v>2.88</v>
      </c>
      <c r="J38"/>
      <c r="L38" s="18"/>
      <c r="M38" s="18"/>
    </row>
    <row r="39" spans="1:13" ht="31" x14ac:dyDescent="0.6">
      <c r="A39" s="110">
        <v>982740</v>
      </c>
      <c r="B39" s="110" t="s">
        <v>445</v>
      </c>
      <c r="C39" s="110">
        <v>19</v>
      </c>
      <c r="D39" s="110"/>
      <c r="E39" s="110"/>
      <c r="F39" s="110">
        <v>1.68</v>
      </c>
      <c r="J39"/>
      <c r="L39" s="11"/>
      <c r="M39" s="11" t="s">
        <v>128</v>
      </c>
    </row>
    <row r="40" spans="1:13" ht="20" x14ac:dyDescent="0.4">
      <c r="A40" s="110">
        <v>982650</v>
      </c>
      <c r="B40" s="110" t="s">
        <v>444</v>
      </c>
      <c r="C40" s="110">
        <v>19</v>
      </c>
      <c r="D40" s="110"/>
      <c r="E40" s="110"/>
      <c r="F40" s="110">
        <v>1.78</v>
      </c>
      <c r="J40"/>
      <c r="M40" t="s">
        <v>128</v>
      </c>
    </row>
    <row r="41" spans="1:13" ht="20" x14ac:dyDescent="0.4">
      <c r="A41" s="110">
        <v>980500</v>
      </c>
      <c r="B41" s="110" t="s">
        <v>22</v>
      </c>
      <c r="C41" s="110">
        <v>10</v>
      </c>
      <c r="D41" s="110"/>
      <c r="E41" s="110"/>
      <c r="F41" s="110">
        <v>3.09</v>
      </c>
      <c r="J41"/>
      <c r="L41" s="18"/>
      <c r="M41" s="18"/>
    </row>
    <row r="42" spans="1:13" ht="20" x14ac:dyDescent="0.4">
      <c r="A42" s="110">
        <v>980821</v>
      </c>
      <c r="B42" s="110" t="s">
        <v>451</v>
      </c>
      <c r="C42" s="110">
        <v>115</v>
      </c>
      <c r="D42" s="110"/>
      <c r="E42" s="110"/>
      <c r="F42" s="110">
        <v>0</v>
      </c>
      <c r="J42"/>
      <c r="L42" s="18"/>
      <c r="M42" s="18"/>
    </row>
    <row r="43" spans="1:13" ht="31" x14ac:dyDescent="0.6">
      <c r="A43" s="110">
        <v>980921</v>
      </c>
      <c r="B43" s="110" t="s">
        <v>438</v>
      </c>
      <c r="C43" s="110">
        <v>48</v>
      </c>
      <c r="D43" s="110" t="s">
        <v>130</v>
      </c>
      <c r="E43" s="110"/>
      <c r="F43" s="110">
        <v>0.32</v>
      </c>
      <c r="J43"/>
      <c r="L43" s="11"/>
      <c r="M43" s="11" t="s">
        <v>128</v>
      </c>
    </row>
    <row r="44" spans="1:13" ht="20" x14ac:dyDescent="0.4">
      <c r="A44" s="110">
        <v>981699</v>
      </c>
      <c r="B44" s="110" t="s">
        <v>91</v>
      </c>
      <c r="C44" s="110">
        <v>8</v>
      </c>
      <c r="D44" s="110"/>
      <c r="E44" s="110"/>
      <c r="F44" s="110">
        <v>4.67</v>
      </c>
      <c r="J44"/>
      <c r="L44" s="18"/>
      <c r="M44" s="18"/>
    </row>
    <row r="45" spans="1:13" ht="20" x14ac:dyDescent="0.4">
      <c r="A45" s="110">
        <v>981220</v>
      </c>
      <c r="B45" s="110" t="s">
        <v>10</v>
      </c>
      <c r="C45" s="110">
        <v>8</v>
      </c>
      <c r="D45" s="110"/>
      <c r="E45" s="110"/>
      <c r="F45" s="110">
        <v>4.79</v>
      </c>
      <c r="J45"/>
      <c r="L45" s="18"/>
      <c r="M45" s="18"/>
    </row>
    <row r="46" spans="1:13" ht="31" x14ac:dyDescent="0.6">
      <c r="A46" s="110">
        <v>981400</v>
      </c>
      <c r="B46" s="110" t="s">
        <v>11</v>
      </c>
      <c r="C46" s="110">
        <v>8</v>
      </c>
      <c r="D46" s="110" t="s">
        <v>129</v>
      </c>
      <c r="E46" s="110"/>
      <c r="F46" s="110">
        <v>4.12</v>
      </c>
      <c r="J46"/>
      <c r="L46" s="17"/>
      <c r="M46" s="17" t="s">
        <v>128</v>
      </c>
    </row>
    <row r="47" spans="1:13" ht="31" x14ac:dyDescent="0.6">
      <c r="A47" s="110">
        <v>980000</v>
      </c>
      <c r="B47" s="110" t="s">
        <v>93</v>
      </c>
      <c r="C47" s="110">
        <v>37.5</v>
      </c>
      <c r="D47" s="110"/>
      <c r="E47" s="110"/>
      <c r="F47" s="110">
        <v>0</v>
      </c>
      <c r="J47"/>
      <c r="L47" s="17"/>
      <c r="M47" s="17" t="s">
        <v>128</v>
      </c>
    </row>
    <row r="48" spans="1:13" ht="31" x14ac:dyDescent="0.6">
      <c r="A48" s="110">
        <v>980091</v>
      </c>
      <c r="B48" s="110" t="s">
        <v>668</v>
      </c>
      <c r="C48" s="110">
        <v>70</v>
      </c>
      <c r="D48" s="110"/>
      <c r="E48" s="110"/>
      <c r="F48" s="110">
        <v>0.39</v>
      </c>
      <c r="J48"/>
      <c r="L48" s="17"/>
      <c r="M48" s="17" t="s">
        <v>128</v>
      </c>
    </row>
    <row r="49" spans="1:13" ht="31" x14ac:dyDescent="0.6">
      <c r="A49" s="110">
        <v>980100</v>
      </c>
      <c r="B49" s="110" t="s">
        <v>96</v>
      </c>
      <c r="C49" s="110">
        <v>40</v>
      </c>
      <c r="D49" s="110"/>
      <c r="E49" s="110"/>
      <c r="F49" s="110">
        <v>0</v>
      </c>
      <c r="J49"/>
      <c r="L49" s="17"/>
      <c r="M49" s="17" t="s">
        <v>128</v>
      </c>
    </row>
    <row r="50" spans="1:13" ht="20" x14ac:dyDescent="0.4">
      <c r="A50" s="110">
        <v>983531</v>
      </c>
      <c r="B50" s="110" t="s">
        <v>429</v>
      </c>
      <c r="C50" s="110">
        <v>7</v>
      </c>
      <c r="D50" s="110"/>
      <c r="E50" s="110"/>
      <c r="F50" s="110">
        <v>1.29</v>
      </c>
      <c r="J50"/>
    </row>
    <row r="51" spans="1:13" ht="20" x14ac:dyDescent="0.4">
      <c r="A51" s="110">
        <v>983721</v>
      </c>
      <c r="B51" s="110" t="s">
        <v>469</v>
      </c>
      <c r="C51" s="110">
        <v>6</v>
      </c>
      <c r="D51" s="110"/>
      <c r="E51" s="110"/>
      <c r="F51" s="110">
        <v>2.1800000000000002</v>
      </c>
      <c r="J51"/>
    </row>
    <row r="52" spans="1:13" ht="20" x14ac:dyDescent="0.4">
      <c r="A52" s="110">
        <v>985601</v>
      </c>
      <c r="B52" s="110" t="s">
        <v>432</v>
      </c>
      <c r="C52" s="110">
        <v>20</v>
      </c>
      <c r="D52" s="110" t="s">
        <v>129</v>
      </c>
      <c r="E52" s="110"/>
      <c r="F52" s="110">
        <v>0.65</v>
      </c>
      <c r="J52"/>
    </row>
    <row r="53" spans="1:13" ht="20" x14ac:dyDescent="0.4">
      <c r="A53" s="110">
        <v>985605</v>
      </c>
      <c r="B53" s="110" t="s">
        <v>435</v>
      </c>
      <c r="C53" s="110">
        <v>24</v>
      </c>
      <c r="D53" s="110" t="s">
        <v>129</v>
      </c>
      <c r="E53" s="110"/>
      <c r="F53" s="110">
        <v>0</v>
      </c>
      <c r="J53"/>
    </row>
    <row r="54" spans="1:13" ht="20" x14ac:dyDescent="0.4">
      <c r="A54" s="110">
        <v>985612</v>
      </c>
      <c r="B54" s="110" t="s">
        <v>101</v>
      </c>
      <c r="C54" s="110">
        <v>12</v>
      </c>
      <c r="D54" s="110" t="s">
        <v>129</v>
      </c>
      <c r="E54" s="110"/>
      <c r="F54" s="110">
        <v>2.19</v>
      </c>
      <c r="J54"/>
    </row>
    <row r="55" spans="1:13" ht="20" x14ac:dyDescent="0.4">
      <c r="A55" s="110">
        <v>987560</v>
      </c>
      <c r="B55" s="110" t="s">
        <v>102</v>
      </c>
      <c r="C55" s="110">
        <v>30</v>
      </c>
      <c r="D55" s="110"/>
      <c r="E55" s="110"/>
      <c r="F55" s="110">
        <v>1.69</v>
      </c>
      <c r="J55"/>
    </row>
    <row r="56" spans="1:13" ht="20" x14ac:dyDescent="0.4">
      <c r="A56" s="110">
        <v>987900</v>
      </c>
      <c r="B56" s="110" t="s">
        <v>455</v>
      </c>
      <c r="C56" s="110">
        <v>14</v>
      </c>
      <c r="D56" s="110" t="s">
        <v>129</v>
      </c>
      <c r="E56" s="110"/>
      <c r="F56" s="110">
        <v>1.39</v>
      </c>
      <c r="J56"/>
    </row>
    <row r="57" spans="1:13" ht="20" x14ac:dyDescent="0.4">
      <c r="A57" s="110">
        <v>988571</v>
      </c>
      <c r="B57" s="110" t="s">
        <v>441</v>
      </c>
      <c r="C57" s="110">
        <v>12</v>
      </c>
      <c r="D57" s="110" t="s">
        <v>129</v>
      </c>
      <c r="E57" s="110"/>
      <c r="F57" s="110">
        <v>2.4900000000000002</v>
      </c>
      <c r="J57"/>
    </row>
    <row r="58" spans="1:13" ht="20" x14ac:dyDescent="0.4">
      <c r="A58" s="110">
        <v>988620</v>
      </c>
      <c r="B58" s="110" t="s">
        <v>103</v>
      </c>
      <c r="C58" s="110">
        <v>16</v>
      </c>
      <c r="D58" s="110"/>
      <c r="E58" s="110"/>
      <c r="F58" s="110">
        <v>2.59</v>
      </c>
      <c r="J58"/>
    </row>
    <row r="59" spans="1:13" ht="31" x14ac:dyDescent="0.6">
      <c r="A59" s="110">
        <v>987590</v>
      </c>
      <c r="B59" s="110" t="s">
        <v>104</v>
      </c>
      <c r="C59" s="110">
        <v>24</v>
      </c>
      <c r="D59" s="110"/>
      <c r="E59" s="110"/>
      <c r="F59" s="110">
        <v>1.59</v>
      </c>
      <c r="J59"/>
      <c r="L59" s="17"/>
      <c r="M59" s="17" t="s">
        <v>128</v>
      </c>
    </row>
    <row r="60" spans="1:13" ht="31" x14ac:dyDescent="0.6">
      <c r="A60" s="110">
        <v>985650</v>
      </c>
      <c r="B60" s="110" t="s">
        <v>440</v>
      </c>
      <c r="C60" s="110">
        <v>16</v>
      </c>
      <c r="D60" s="110" t="s">
        <v>131</v>
      </c>
      <c r="E60" s="110"/>
      <c r="F60" s="110">
        <v>1.47</v>
      </c>
      <c r="J60"/>
      <c r="L60" s="17"/>
      <c r="M60" s="17" t="s">
        <v>128</v>
      </c>
    </row>
    <row r="61" spans="1:13" ht="31" x14ac:dyDescent="0.6">
      <c r="A61" s="110">
        <v>987790</v>
      </c>
      <c r="B61" s="110" t="s">
        <v>466</v>
      </c>
      <c r="C61" s="110">
        <v>16</v>
      </c>
      <c r="D61" s="110"/>
      <c r="E61" s="110"/>
      <c r="F61" s="110">
        <v>1.48</v>
      </c>
      <c r="J61"/>
      <c r="L61" s="17"/>
      <c r="M61" s="17" t="s">
        <v>128</v>
      </c>
    </row>
    <row r="62" spans="1:13" ht="31" x14ac:dyDescent="0.6">
      <c r="A62" s="110">
        <v>986400</v>
      </c>
      <c r="B62" s="110" t="s">
        <v>588</v>
      </c>
      <c r="C62" s="110">
        <v>13</v>
      </c>
      <c r="D62" s="110"/>
      <c r="E62" s="110"/>
      <c r="F62" s="110">
        <v>1.98</v>
      </c>
      <c r="J62"/>
      <c r="L62" s="17"/>
      <c r="M62" s="17" t="s">
        <v>128</v>
      </c>
    </row>
    <row r="63" spans="1:13" ht="31" x14ac:dyDescent="0.6">
      <c r="A63" s="110">
        <v>986650</v>
      </c>
      <c r="B63" s="110" t="s">
        <v>106</v>
      </c>
      <c r="C63" s="110">
        <v>12</v>
      </c>
      <c r="D63" s="110" t="s">
        <v>129</v>
      </c>
      <c r="E63" s="110"/>
      <c r="F63" s="110">
        <v>1.39</v>
      </c>
      <c r="J63"/>
      <c r="L63" s="17"/>
      <c r="M63" s="17" t="s">
        <v>128</v>
      </c>
    </row>
    <row r="64" spans="1:13" ht="31" x14ac:dyDescent="0.6">
      <c r="A64" s="110">
        <v>986973</v>
      </c>
      <c r="B64" s="110" t="s">
        <v>111</v>
      </c>
      <c r="C64" s="110">
        <v>15</v>
      </c>
      <c r="D64" s="110" t="s">
        <v>130</v>
      </c>
      <c r="E64" s="110"/>
      <c r="F64" s="110">
        <v>0</v>
      </c>
      <c r="J64"/>
      <c r="L64" s="17"/>
      <c r="M64" s="17" t="s">
        <v>128</v>
      </c>
    </row>
    <row r="65" spans="1:13" ht="31" x14ac:dyDescent="0.6">
      <c r="A65" s="110">
        <v>983451</v>
      </c>
      <c r="B65" s="110" t="s">
        <v>452</v>
      </c>
      <c r="C65" s="110">
        <v>40</v>
      </c>
      <c r="D65" s="110"/>
      <c r="E65" s="110"/>
      <c r="F65" s="110">
        <v>0.92</v>
      </c>
      <c r="J65"/>
      <c r="L65" s="17"/>
      <c r="M65" s="17" t="s">
        <v>128</v>
      </c>
    </row>
    <row r="66" spans="1:13" ht="31" x14ac:dyDescent="0.6">
      <c r="A66" s="110">
        <v>983501</v>
      </c>
      <c r="B66" s="110" t="s">
        <v>98</v>
      </c>
      <c r="C66" s="110">
        <v>9</v>
      </c>
      <c r="D66" s="110"/>
      <c r="E66" s="110"/>
      <c r="F66" s="110">
        <v>4.6900000000000004</v>
      </c>
      <c r="J66"/>
      <c r="L66" s="17"/>
      <c r="M66" s="17" t="s">
        <v>128</v>
      </c>
    </row>
    <row r="67" spans="1:13" ht="31" x14ac:dyDescent="0.6">
      <c r="A67" s="110">
        <v>987211</v>
      </c>
      <c r="B67" s="110" t="s">
        <v>23</v>
      </c>
      <c r="C67" s="110">
        <v>8</v>
      </c>
      <c r="D67" s="110"/>
      <c r="E67" s="110"/>
      <c r="F67" s="110">
        <v>2.39</v>
      </c>
      <c r="J67"/>
      <c r="L67" s="17"/>
      <c r="M67" s="17" t="s">
        <v>128</v>
      </c>
    </row>
    <row r="68" spans="1:13" ht="31" x14ac:dyDescent="0.6">
      <c r="A68" s="110">
        <v>987260</v>
      </c>
      <c r="B68" s="110" t="s">
        <v>114</v>
      </c>
      <c r="C68" s="110">
        <v>8</v>
      </c>
      <c r="D68" s="110"/>
      <c r="E68" s="110"/>
      <c r="F68" s="110">
        <v>3.52</v>
      </c>
      <c r="J68"/>
      <c r="L68" s="17"/>
      <c r="M68" s="17" t="s">
        <v>128</v>
      </c>
    </row>
    <row r="69" spans="1:13" ht="31" x14ac:dyDescent="0.6">
      <c r="A69" s="110">
        <v>987268</v>
      </c>
      <c r="B69" s="110" t="s">
        <v>574</v>
      </c>
      <c r="C69" s="114">
        <v>44910</v>
      </c>
      <c r="D69" s="110"/>
      <c r="E69" s="110"/>
      <c r="F69" s="110">
        <v>1.99</v>
      </c>
      <c r="J69"/>
      <c r="L69" s="17"/>
      <c r="M69" s="17" t="s">
        <v>128</v>
      </c>
    </row>
    <row r="70" spans="1:13" ht="31" x14ac:dyDescent="0.6">
      <c r="A70" s="110">
        <v>995186</v>
      </c>
      <c r="B70" s="110" t="s">
        <v>689</v>
      </c>
      <c r="C70" s="110">
        <v>6</v>
      </c>
      <c r="D70" s="110"/>
      <c r="E70" s="110" t="s">
        <v>462</v>
      </c>
      <c r="F70" s="110">
        <v>2.99</v>
      </c>
      <c r="J70"/>
      <c r="L70" s="17"/>
      <c r="M70" s="17" t="s">
        <v>128</v>
      </c>
    </row>
    <row r="71" spans="1:13" ht="31" x14ac:dyDescent="0.6">
      <c r="A71" s="110">
        <v>995188</v>
      </c>
      <c r="B71" s="110" t="s">
        <v>697</v>
      </c>
      <c r="C71" s="110">
        <v>6</v>
      </c>
      <c r="D71" s="110"/>
      <c r="E71" s="110" t="s">
        <v>462</v>
      </c>
      <c r="F71" s="110">
        <v>2.99</v>
      </c>
      <c r="J71"/>
      <c r="L71" s="17"/>
      <c r="M71" s="17" t="s">
        <v>128</v>
      </c>
    </row>
    <row r="72" spans="1:13" ht="31" x14ac:dyDescent="0.6">
      <c r="A72" s="110">
        <v>985950</v>
      </c>
      <c r="B72" s="110" t="s">
        <v>117</v>
      </c>
      <c r="C72" s="110">
        <v>24</v>
      </c>
      <c r="D72" s="110" t="s">
        <v>129</v>
      </c>
      <c r="E72" s="110"/>
      <c r="F72" s="110">
        <v>1.49</v>
      </c>
      <c r="J72"/>
      <c r="L72" s="17"/>
      <c r="M72" s="17" t="s">
        <v>128</v>
      </c>
    </row>
    <row r="73" spans="1:13" ht="31" x14ac:dyDescent="0.6">
      <c r="A73" s="110">
        <v>985990</v>
      </c>
      <c r="B73" s="110" t="s">
        <v>461</v>
      </c>
      <c r="C73" s="110">
        <v>10</v>
      </c>
      <c r="D73" s="110"/>
      <c r="E73" s="110"/>
      <c r="F73" s="110">
        <v>2.98</v>
      </c>
      <c r="J73"/>
      <c r="L73" s="17"/>
      <c r="M73" s="17" t="s">
        <v>128</v>
      </c>
    </row>
    <row r="74" spans="1:13" ht="31" x14ac:dyDescent="0.6">
      <c r="A74" s="110">
        <v>989360</v>
      </c>
      <c r="B74" s="110" t="s">
        <v>121</v>
      </c>
      <c r="C74" s="110">
        <v>24</v>
      </c>
      <c r="D74" s="110" t="s">
        <v>129</v>
      </c>
      <c r="E74" s="110"/>
      <c r="F74" s="110">
        <v>2.89</v>
      </c>
      <c r="J74"/>
      <c r="L74" s="17"/>
      <c r="M74" s="17" t="s">
        <v>128</v>
      </c>
    </row>
    <row r="75" spans="1:13" ht="31" x14ac:dyDescent="0.6">
      <c r="A75" s="110">
        <v>989560</v>
      </c>
      <c r="B75" s="110" t="s">
        <v>122</v>
      </c>
      <c r="C75" s="110">
        <v>10</v>
      </c>
      <c r="D75" s="110"/>
      <c r="E75" s="110"/>
      <c r="F75" s="110">
        <v>4.97</v>
      </c>
      <c r="J75"/>
      <c r="L75" s="17"/>
      <c r="M75" s="17" t="s">
        <v>128</v>
      </c>
    </row>
    <row r="76" spans="1:13" ht="31" x14ac:dyDescent="0.6">
      <c r="A76" s="110">
        <v>989623</v>
      </c>
      <c r="B76" s="110" t="s">
        <v>447</v>
      </c>
      <c r="C76" s="110">
        <v>12</v>
      </c>
      <c r="D76" s="110"/>
      <c r="E76" s="110"/>
      <c r="F76" s="110">
        <v>3.29</v>
      </c>
      <c r="J76"/>
      <c r="L76" s="17"/>
      <c r="M76" s="17" t="s">
        <v>128</v>
      </c>
    </row>
    <row r="77" spans="1:13" ht="31" x14ac:dyDescent="0.6">
      <c r="A77" s="110">
        <v>989660</v>
      </c>
      <c r="B77" s="110" t="s">
        <v>123</v>
      </c>
      <c r="C77" s="110">
        <v>10</v>
      </c>
      <c r="D77" s="110" t="s">
        <v>129</v>
      </c>
      <c r="E77" s="110"/>
      <c r="F77" s="110">
        <v>7.48</v>
      </c>
      <c r="J77"/>
      <c r="L77" s="17"/>
      <c r="M77" s="17" t="s">
        <v>128</v>
      </c>
    </row>
    <row r="78" spans="1:13" ht="31" x14ac:dyDescent="0.6">
      <c r="A78" s="110">
        <v>989760</v>
      </c>
      <c r="B78" s="110" t="s">
        <v>604</v>
      </c>
      <c r="C78" s="110">
        <v>16</v>
      </c>
      <c r="D78" s="110" t="s">
        <v>129</v>
      </c>
      <c r="E78" s="110"/>
      <c r="F78" s="110">
        <v>3.77</v>
      </c>
      <c r="J78"/>
      <c r="L78" s="17"/>
      <c r="M78" s="17" t="s">
        <v>128</v>
      </c>
    </row>
    <row r="79" spans="1:13" ht="31" x14ac:dyDescent="0.6">
      <c r="A79" s="110">
        <v>989800</v>
      </c>
      <c r="B79" s="110" t="s">
        <v>434</v>
      </c>
      <c r="C79" s="110">
        <v>40</v>
      </c>
      <c r="D79" s="110"/>
      <c r="E79" s="110"/>
      <c r="F79" s="110">
        <v>0.88</v>
      </c>
      <c r="J79"/>
      <c r="L79" s="17"/>
      <c r="M79" s="17" t="s">
        <v>128</v>
      </c>
    </row>
    <row r="80" spans="1:13" ht="31" x14ac:dyDescent="0.6">
      <c r="A80" s="110">
        <v>989210</v>
      </c>
      <c r="B80" s="110" t="s">
        <v>396</v>
      </c>
      <c r="C80" s="110">
        <v>6</v>
      </c>
      <c r="D80" s="110"/>
      <c r="E80" s="110"/>
      <c r="F80" s="110">
        <v>3.49</v>
      </c>
      <c r="J80"/>
      <c r="L80" s="17"/>
      <c r="M80" s="17" t="s">
        <v>128</v>
      </c>
    </row>
    <row r="81" spans="1:13" ht="31" x14ac:dyDescent="0.6">
      <c r="A81" s="110">
        <v>990800</v>
      </c>
      <c r="B81" s="110" t="s">
        <v>617</v>
      </c>
      <c r="C81" s="110"/>
      <c r="D81" s="110" t="s">
        <v>129</v>
      </c>
      <c r="E81" s="110"/>
      <c r="F81" s="110">
        <v>8.99</v>
      </c>
      <c r="J81"/>
      <c r="L81" s="17"/>
      <c r="M81" s="17" t="s">
        <v>128</v>
      </c>
    </row>
    <row r="82" spans="1:13" ht="31" x14ac:dyDescent="0.6">
      <c r="A82" s="110">
        <v>990807</v>
      </c>
      <c r="B82" s="110" t="s">
        <v>625</v>
      </c>
      <c r="C82" s="110"/>
      <c r="D82" s="110"/>
      <c r="E82" s="110"/>
      <c r="F82" s="110">
        <v>12.99</v>
      </c>
      <c r="J82"/>
      <c r="L82" s="17"/>
      <c r="M82" s="17" t="s">
        <v>128</v>
      </c>
    </row>
    <row r="83" spans="1:13" ht="31" x14ac:dyDescent="0.6">
      <c r="A83" s="110">
        <v>990824</v>
      </c>
      <c r="B83" s="110" t="s">
        <v>127</v>
      </c>
      <c r="C83" s="110"/>
      <c r="D83" s="110"/>
      <c r="E83" s="110"/>
      <c r="F83" s="110">
        <v>9.99</v>
      </c>
      <c r="J83"/>
      <c r="L83" s="17"/>
      <c r="M83" s="17" t="s">
        <v>128</v>
      </c>
    </row>
    <row r="84" spans="1:13" x14ac:dyDescent="0.35">
      <c r="J84"/>
    </row>
    <row r="85" spans="1:13" x14ac:dyDescent="0.35">
      <c r="J85"/>
    </row>
    <row r="86" spans="1:13" x14ac:dyDescent="0.35">
      <c r="J86"/>
    </row>
    <row r="87" spans="1:13" x14ac:dyDescent="0.35">
      <c r="J87"/>
    </row>
    <row r="88" spans="1:13" x14ac:dyDescent="0.35">
      <c r="J88"/>
    </row>
    <row r="89" spans="1:13" x14ac:dyDescent="0.35">
      <c r="J89"/>
    </row>
    <row r="90" spans="1:13" x14ac:dyDescent="0.35">
      <c r="J90"/>
    </row>
    <row r="91" spans="1:13" x14ac:dyDescent="0.35">
      <c r="J91"/>
    </row>
    <row r="92" spans="1:13" x14ac:dyDescent="0.35">
      <c r="J92"/>
    </row>
    <row r="93" spans="1:13" x14ac:dyDescent="0.35">
      <c r="J93"/>
    </row>
    <row r="94" spans="1:13" x14ac:dyDescent="0.35">
      <c r="J94"/>
    </row>
    <row r="95" spans="1:13" x14ac:dyDescent="0.35">
      <c r="J95"/>
    </row>
    <row r="96" spans="1:13" x14ac:dyDescent="0.35">
      <c r="J96"/>
    </row>
    <row r="97" spans="10:10" x14ac:dyDescent="0.35">
      <c r="J97"/>
    </row>
    <row r="98" spans="10:10" x14ac:dyDescent="0.35">
      <c r="J98"/>
    </row>
    <row r="99" spans="10:10" x14ac:dyDescent="0.35">
      <c r="J99"/>
    </row>
    <row r="100" spans="10:10" x14ac:dyDescent="0.35">
      <c r="J100"/>
    </row>
    <row r="101" spans="10:10" x14ac:dyDescent="0.35">
      <c r="J101"/>
    </row>
    <row r="102" spans="10:10" x14ac:dyDescent="0.35">
      <c r="J102"/>
    </row>
    <row r="103" spans="10:10" x14ac:dyDescent="0.35">
      <c r="J103"/>
    </row>
    <row r="104" spans="10:10" x14ac:dyDescent="0.35">
      <c r="J104"/>
    </row>
    <row r="105" spans="10:10" x14ac:dyDescent="0.35">
      <c r="J105"/>
    </row>
    <row r="106" spans="10:10" x14ac:dyDescent="0.35">
      <c r="J106"/>
    </row>
    <row r="107" spans="10:10" x14ac:dyDescent="0.35">
      <c r="J107"/>
    </row>
    <row r="108" spans="10:10" x14ac:dyDescent="0.35">
      <c r="J108"/>
    </row>
    <row r="109" spans="10:10" x14ac:dyDescent="0.35">
      <c r="J109"/>
    </row>
    <row r="110" spans="10:10" x14ac:dyDescent="0.35">
      <c r="J110"/>
    </row>
    <row r="111" spans="10:10" x14ac:dyDescent="0.35">
      <c r="J111"/>
    </row>
    <row r="112" spans="10:10" x14ac:dyDescent="0.35">
      <c r="J112"/>
    </row>
    <row r="113" spans="10:10" x14ac:dyDescent="0.35">
      <c r="J113"/>
    </row>
    <row r="114" spans="10:10" x14ac:dyDescent="0.35">
      <c r="J114"/>
    </row>
    <row r="115" spans="10:10" x14ac:dyDescent="0.35">
      <c r="J115"/>
    </row>
    <row r="116" spans="10:10" x14ac:dyDescent="0.35">
      <c r="J116"/>
    </row>
    <row r="117" spans="10:10" x14ac:dyDescent="0.35">
      <c r="J117"/>
    </row>
    <row r="118" spans="10:10" x14ac:dyDescent="0.35">
      <c r="J118"/>
    </row>
    <row r="119" spans="10:10" x14ac:dyDescent="0.35">
      <c r="J119"/>
    </row>
    <row r="120" spans="10:10" x14ac:dyDescent="0.35">
      <c r="J120"/>
    </row>
    <row r="121" spans="10:10" x14ac:dyDescent="0.35">
      <c r="J121"/>
    </row>
    <row r="122" spans="10:10" x14ac:dyDescent="0.35">
      <c r="J122"/>
    </row>
    <row r="123" spans="10:10" x14ac:dyDescent="0.35">
      <c r="J123"/>
    </row>
    <row r="124" spans="10:10" x14ac:dyDescent="0.35">
      <c r="J124"/>
    </row>
    <row r="125" spans="10:10" x14ac:dyDescent="0.35">
      <c r="J125"/>
    </row>
    <row r="126" spans="10:10" x14ac:dyDescent="0.35">
      <c r="J126"/>
    </row>
    <row r="127" spans="10:10" x14ac:dyDescent="0.35">
      <c r="J127"/>
    </row>
    <row r="128" spans="10:10" x14ac:dyDescent="0.35">
      <c r="J128"/>
    </row>
    <row r="129" spans="10:10" x14ac:dyDescent="0.35">
      <c r="J129"/>
    </row>
    <row r="130" spans="10:10" x14ac:dyDescent="0.35">
      <c r="J130"/>
    </row>
    <row r="131" spans="10:10" x14ac:dyDescent="0.35">
      <c r="J131"/>
    </row>
    <row r="132" spans="10:10" x14ac:dyDescent="0.35">
      <c r="J132"/>
    </row>
    <row r="133" spans="10:10" x14ac:dyDescent="0.35">
      <c r="J133"/>
    </row>
    <row r="134" spans="10:10" x14ac:dyDescent="0.35">
      <c r="J134"/>
    </row>
    <row r="135" spans="10:10" x14ac:dyDescent="0.35">
      <c r="J135"/>
    </row>
    <row r="136" spans="10:10" x14ac:dyDescent="0.35">
      <c r="J136"/>
    </row>
    <row r="137" spans="10:10" x14ac:dyDescent="0.35">
      <c r="J137"/>
    </row>
    <row r="138" spans="10:10" x14ac:dyDescent="0.35">
      <c r="J138"/>
    </row>
    <row r="139" spans="10:10" x14ac:dyDescent="0.35">
      <c r="J139"/>
    </row>
    <row r="140" spans="10:10" x14ac:dyDescent="0.35">
      <c r="J140"/>
    </row>
    <row r="141" spans="10:10" x14ac:dyDescent="0.35">
      <c r="J141"/>
    </row>
    <row r="142" spans="10:10" x14ac:dyDescent="0.35">
      <c r="J142"/>
    </row>
    <row r="143" spans="10:10" x14ac:dyDescent="0.35">
      <c r="J143"/>
    </row>
    <row r="144" spans="10:10" x14ac:dyDescent="0.35">
      <c r="J144"/>
    </row>
    <row r="145" spans="10:10" x14ac:dyDescent="0.35">
      <c r="J145"/>
    </row>
    <row r="146" spans="10:10" x14ac:dyDescent="0.35">
      <c r="J146"/>
    </row>
    <row r="147" spans="10:10" x14ac:dyDescent="0.35">
      <c r="J147"/>
    </row>
    <row r="148" spans="10:10" x14ac:dyDescent="0.35">
      <c r="J148"/>
    </row>
    <row r="149" spans="10:10" x14ac:dyDescent="0.35">
      <c r="J149"/>
    </row>
    <row r="150" spans="10:10" x14ac:dyDescent="0.35">
      <c r="J150"/>
    </row>
    <row r="151" spans="10:10" x14ac:dyDescent="0.35">
      <c r="J151"/>
    </row>
    <row r="152" spans="10:10" x14ac:dyDescent="0.35">
      <c r="J152"/>
    </row>
    <row r="153" spans="10:10" x14ac:dyDescent="0.35">
      <c r="J153"/>
    </row>
    <row r="154" spans="10:10" x14ac:dyDescent="0.35">
      <c r="J154"/>
    </row>
    <row r="155" spans="10:10" x14ac:dyDescent="0.35">
      <c r="J155"/>
    </row>
    <row r="156" spans="10:10" x14ac:dyDescent="0.35">
      <c r="J156"/>
    </row>
    <row r="157" spans="10:10" x14ac:dyDescent="0.35">
      <c r="J157"/>
    </row>
    <row r="158" spans="10:10" x14ac:dyDescent="0.35">
      <c r="J158"/>
    </row>
    <row r="159" spans="10:10" x14ac:dyDescent="0.35">
      <c r="J159"/>
    </row>
    <row r="160" spans="10:10" x14ac:dyDescent="0.35">
      <c r="J160"/>
    </row>
    <row r="161" spans="10:10" x14ac:dyDescent="0.35">
      <c r="J161"/>
    </row>
    <row r="162" spans="10:10" x14ac:dyDescent="0.35">
      <c r="J162"/>
    </row>
    <row r="163" spans="10:10" x14ac:dyDescent="0.35">
      <c r="J163"/>
    </row>
    <row r="164" spans="10:10" x14ac:dyDescent="0.35">
      <c r="J164"/>
    </row>
    <row r="165" spans="10:10" x14ac:dyDescent="0.35">
      <c r="J165"/>
    </row>
    <row r="166" spans="10:10" x14ac:dyDescent="0.35">
      <c r="J166"/>
    </row>
    <row r="167" spans="10:10" x14ac:dyDescent="0.35">
      <c r="J167"/>
    </row>
    <row r="168" spans="10:10" x14ac:dyDescent="0.35">
      <c r="J168"/>
    </row>
    <row r="169" spans="10:10" x14ac:dyDescent="0.35">
      <c r="J169"/>
    </row>
    <row r="170" spans="10:10" x14ac:dyDescent="0.35">
      <c r="J170"/>
    </row>
    <row r="171" spans="10:10" x14ac:dyDescent="0.35">
      <c r="J171"/>
    </row>
    <row r="172" spans="10:10" x14ac:dyDescent="0.35">
      <c r="J172"/>
    </row>
    <row r="173" spans="10:10" x14ac:dyDescent="0.35">
      <c r="J173"/>
    </row>
    <row r="174" spans="10:10" x14ac:dyDescent="0.35">
      <c r="J174"/>
    </row>
    <row r="175" spans="10:10" x14ac:dyDescent="0.35">
      <c r="J175"/>
    </row>
    <row r="176" spans="10:10" x14ac:dyDescent="0.35">
      <c r="J176"/>
    </row>
    <row r="177" spans="10:10" x14ac:dyDescent="0.35">
      <c r="J177"/>
    </row>
    <row r="178" spans="10:10" x14ac:dyDescent="0.35">
      <c r="J178"/>
    </row>
    <row r="179" spans="10:10" x14ac:dyDescent="0.35">
      <c r="J179"/>
    </row>
    <row r="180" spans="10:10" x14ac:dyDescent="0.35">
      <c r="J180"/>
    </row>
    <row r="181" spans="10:10" x14ac:dyDescent="0.35">
      <c r="J181"/>
    </row>
    <row r="182" spans="10:10" x14ac:dyDescent="0.35">
      <c r="J182"/>
    </row>
    <row r="183" spans="10:10" x14ac:dyDescent="0.35">
      <c r="J183"/>
    </row>
    <row r="184" spans="10:10" x14ac:dyDescent="0.35">
      <c r="J184"/>
    </row>
    <row r="185" spans="10:10" x14ac:dyDescent="0.35">
      <c r="J185"/>
    </row>
    <row r="186" spans="10:10" x14ac:dyDescent="0.35">
      <c r="J186"/>
    </row>
    <row r="187" spans="10:10" x14ac:dyDescent="0.35">
      <c r="J187"/>
    </row>
    <row r="188" spans="10:10" x14ac:dyDescent="0.35">
      <c r="J188"/>
    </row>
    <row r="189" spans="10:10" x14ac:dyDescent="0.35">
      <c r="J189"/>
    </row>
    <row r="190" spans="10:10" x14ac:dyDescent="0.35">
      <c r="J190"/>
    </row>
    <row r="191" spans="10:10" x14ac:dyDescent="0.35">
      <c r="J191"/>
    </row>
    <row r="192" spans="10:10" x14ac:dyDescent="0.35">
      <c r="J192"/>
    </row>
    <row r="193" spans="10:10" x14ac:dyDescent="0.35">
      <c r="J193"/>
    </row>
    <row r="194" spans="10:10" x14ac:dyDescent="0.35">
      <c r="J194"/>
    </row>
    <row r="195" spans="10:10" x14ac:dyDescent="0.35">
      <c r="J195"/>
    </row>
    <row r="196" spans="10:10" x14ac:dyDescent="0.35">
      <c r="J196"/>
    </row>
    <row r="197" spans="10:10" x14ac:dyDescent="0.35">
      <c r="J197"/>
    </row>
    <row r="198" spans="10:10" x14ac:dyDescent="0.35">
      <c r="J198"/>
    </row>
    <row r="199" spans="10:10" x14ac:dyDescent="0.35">
      <c r="J199"/>
    </row>
    <row r="200" spans="10:10" x14ac:dyDescent="0.35">
      <c r="J200"/>
    </row>
    <row r="201" spans="10:10" x14ac:dyDescent="0.35">
      <c r="J201"/>
    </row>
    <row r="202" spans="10:10" x14ac:dyDescent="0.35">
      <c r="J202"/>
    </row>
    <row r="203" spans="10:10" x14ac:dyDescent="0.35">
      <c r="J203"/>
    </row>
    <row r="204" spans="10:10" x14ac:dyDescent="0.35">
      <c r="J204"/>
    </row>
    <row r="205" spans="10:10" x14ac:dyDescent="0.35">
      <c r="J205"/>
    </row>
    <row r="206" spans="10:10" x14ac:dyDescent="0.35">
      <c r="J206"/>
    </row>
    <row r="207" spans="10:10" x14ac:dyDescent="0.35">
      <c r="J207"/>
    </row>
    <row r="208" spans="10:10" x14ac:dyDescent="0.35">
      <c r="J208"/>
    </row>
    <row r="209" spans="10:10" x14ac:dyDescent="0.35">
      <c r="J209"/>
    </row>
    <row r="210" spans="10:10" x14ac:dyDescent="0.35">
      <c r="J210"/>
    </row>
    <row r="211" spans="10:10" x14ac:dyDescent="0.35">
      <c r="J211"/>
    </row>
    <row r="212" spans="10:10" x14ac:dyDescent="0.35">
      <c r="J212"/>
    </row>
    <row r="213" spans="10:10" x14ac:dyDescent="0.35">
      <c r="J213"/>
    </row>
    <row r="214" spans="10:10" x14ac:dyDescent="0.35">
      <c r="J214"/>
    </row>
    <row r="215" spans="10:10" x14ac:dyDescent="0.35">
      <c r="J215"/>
    </row>
    <row r="216" spans="10:10" x14ac:dyDescent="0.35">
      <c r="J216"/>
    </row>
    <row r="217" spans="10:10" x14ac:dyDescent="0.35">
      <c r="J217"/>
    </row>
    <row r="218" spans="10:10" x14ac:dyDescent="0.35">
      <c r="J218"/>
    </row>
    <row r="219" spans="10:10" x14ac:dyDescent="0.35">
      <c r="J219"/>
    </row>
    <row r="220" spans="10:10" x14ac:dyDescent="0.35">
      <c r="J220"/>
    </row>
    <row r="221" spans="10:10" x14ac:dyDescent="0.35">
      <c r="J221"/>
    </row>
    <row r="222" spans="10:10" x14ac:dyDescent="0.35">
      <c r="J222"/>
    </row>
    <row r="223" spans="10:10" x14ac:dyDescent="0.35">
      <c r="J223"/>
    </row>
    <row r="224" spans="10:10" x14ac:dyDescent="0.35">
      <c r="J224"/>
    </row>
    <row r="225" spans="10:10" x14ac:dyDescent="0.35">
      <c r="J225"/>
    </row>
    <row r="226" spans="10:10" x14ac:dyDescent="0.35">
      <c r="J226"/>
    </row>
    <row r="227" spans="10:10" x14ac:dyDescent="0.35">
      <c r="J227"/>
    </row>
    <row r="228" spans="10:10" x14ac:dyDescent="0.35">
      <c r="J228"/>
    </row>
    <row r="229" spans="10:10" x14ac:dyDescent="0.35">
      <c r="J229"/>
    </row>
    <row r="230" spans="10:10" x14ac:dyDescent="0.35">
      <c r="J230"/>
    </row>
    <row r="231" spans="10:10" x14ac:dyDescent="0.35">
      <c r="J231"/>
    </row>
    <row r="232" spans="10:10" x14ac:dyDescent="0.35">
      <c r="J232"/>
    </row>
    <row r="233" spans="10:10" x14ac:dyDescent="0.35">
      <c r="J233"/>
    </row>
    <row r="234" spans="10:10" x14ac:dyDescent="0.35">
      <c r="J234"/>
    </row>
    <row r="235" spans="10:10" x14ac:dyDescent="0.35">
      <c r="J235"/>
    </row>
    <row r="236" spans="10:10" x14ac:dyDescent="0.35">
      <c r="J236"/>
    </row>
    <row r="237" spans="10:10" x14ac:dyDescent="0.35">
      <c r="J237"/>
    </row>
    <row r="238" spans="10:10" x14ac:dyDescent="0.35">
      <c r="J238"/>
    </row>
    <row r="239" spans="10:10" x14ac:dyDescent="0.35">
      <c r="J239"/>
    </row>
    <row r="240" spans="10:10" x14ac:dyDescent="0.35">
      <c r="J240"/>
    </row>
    <row r="241" spans="10:10" x14ac:dyDescent="0.35">
      <c r="J241"/>
    </row>
    <row r="242" spans="10:10" x14ac:dyDescent="0.35">
      <c r="J242"/>
    </row>
    <row r="243" spans="10:10" x14ac:dyDescent="0.35">
      <c r="J243"/>
    </row>
    <row r="244" spans="10:10" x14ac:dyDescent="0.35">
      <c r="J244"/>
    </row>
    <row r="245" spans="10:10" x14ac:dyDescent="0.35">
      <c r="J245"/>
    </row>
    <row r="246" spans="10:10" x14ac:dyDescent="0.35">
      <c r="J246"/>
    </row>
    <row r="247" spans="10:10" x14ac:dyDescent="0.35">
      <c r="J247"/>
    </row>
    <row r="248" spans="10:10" x14ac:dyDescent="0.35">
      <c r="J248"/>
    </row>
    <row r="249" spans="10:10" x14ac:dyDescent="0.35">
      <c r="J249"/>
    </row>
    <row r="250" spans="10:10" x14ac:dyDescent="0.35">
      <c r="J250"/>
    </row>
    <row r="251" spans="10:10" x14ac:dyDescent="0.35">
      <c r="J251"/>
    </row>
    <row r="252" spans="10:10" x14ac:dyDescent="0.35">
      <c r="J252"/>
    </row>
    <row r="253" spans="10:10" x14ac:dyDescent="0.35">
      <c r="J253"/>
    </row>
    <row r="254" spans="10:10" x14ac:dyDescent="0.35">
      <c r="J254"/>
    </row>
    <row r="255" spans="10:10" x14ac:dyDescent="0.35">
      <c r="J255"/>
    </row>
    <row r="256" spans="10:10" x14ac:dyDescent="0.35">
      <c r="J256"/>
    </row>
    <row r="257" spans="10:10" x14ac:dyDescent="0.35">
      <c r="J257"/>
    </row>
    <row r="258" spans="10:10" x14ac:dyDescent="0.35">
      <c r="J258"/>
    </row>
    <row r="259" spans="10:10" x14ac:dyDescent="0.35">
      <c r="J259"/>
    </row>
    <row r="260" spans="10:10" x14ac:dyDescent="0.35">
      <c r="J260"/>
    </row>
    <row r="261" spans="10:10" x14ac:dyDescent="0.35">
      <c r="J261"/>
    </row>
    <row r="262" spans="10:10" x14ac:dyDescent="0.35">
      <c r="J262"/>
    </row>
    <row r="263" spans="10:10" x14ac:dyDescent="0.35">
      <c r="J263"/>
    </row>
    <row r="264" spans="10:10" x14ac:dyDescent="0.35">
      <c r="J264"/>
    </row>
    <row r="265" spans="10:10" x14ac:dyDescent="0.35">
      <c r="J265"/>
    </row>
    <row r="266" spans="10:10" x14ac:dyDescent="0.35">
      <c r="J266"/>
    </row>
    <row r="267" spans="10:10" x14ac:dyDescent="0.35">
      <c r="J267"/>
    </row>
    <row r="268" spans="10:10" x14ac:dyDescent="0.35">
      <c r="J268"/>
    </row>
    <row r="269" spans="10:10" x14ac:dyDescent="0.35">
      <c r="J269"/>
    </row>
    <row r="270" spans="10:10" x14ac:dyDescent="0.35">
      <c r="J270"/>
    </row>
    <row r="271" spans="10:10" x14ac:dyDescent="0.35">
      <c r="J271"/>
    </row>
    <row r="272" spans="10:10" x14ac:dyDescent="0.35">
      <c r="J272"/>
    </row>
    <row r="273" spans="10:10" x14ac:dyDescent="0.35">
      <c r="J273"/>
    </row>
    <row r="274" spans="10:10" x14ac:dyDescent="0.35">
      <c r="J274"/>
    </row>
    <row r="275" spans="10:10" x14ac:dyDescent="0.35">
      <c r="J275"/>
    </row>
    <row r="276" spans="10:10" x14ac:dyDescent="0.35">
      <c r="J276"/>
    </row>
    <row r="277" spans="10:10" x14ac:dyDescent="0.35">
      <c r="J277"/>
    </row>
    <row r="278" spans="10:10" x14ac:dyDescent="0.35">
      <c r="J278"/>
    </row>
    <row r="279" spans="10:10" x14ac:dyDescent="0.35">
      <c r="J279"/>
    </row>
    <row r="280" spans="10:10" x14ac:dyDescent="0.35">
      <c r="J280"/>
    </row>
    <row r="281" spans="10:10" x14ac:dyDescent="0.35">
      <c r="J281"/>
    </row>
    <row r="282" spans="10:10" x14ac:dyDescent="0.35">
      <c r="J282"/>
    </row>
    <row r="283" spans="10:10" x14ac:dyDescent="0.35">
      <c r="J283"/>
    </row>
    <row r="284" spans="10:10" x14ac:dyDescent="0.35">
      <c r="J284"/>
    </row>
    <row r="285" spans="10:10" x14ac:dyDescent="0.35">
      <c r="J285"/>
    </row>
    <row r="286" spans="10:10" x14ac:dyDescent="0.35">
      <c r="J286"/>
    </row>
    <row r="287" spans="10:10" x14ac:dyDescent="0.35">
      <c r="J287"/>
    </row>
    <row r="288" spans="10:10" x14ac:dyDescent="0.35">
      <c r="J288"/>
    </row>
    <row r="289" spans="10:10" x14ac:dyDescent="0.35">
      <c r="J289"/>
    </row>
    <row r="290" spans="10:10" x14ac:dyDescent="0.35">
      <c r="J290"/>
    </row>
    <row r="291" spans="10:10" x14ac:dyDescent="0.35">
      <c r="J291"/>
    </row>
    <row r="292" spans="10:10" x14ac:dyDescent="0.35">
      <c r="J292"/>
    </row>
    <row r="293" spans="10:10" x14ac:dyDescent="0.35">
      <c r="J293"/>
    </row>
    <row r="294" spans="10:10" x14ac:dyDescent="0.35">
      <c r="J294"/>
    </row>
    <row r="295" spans="10:10" x14ac:dyDescent="0.35">
      <c r="J295"/>
    </row>
    <row r="296" spans="10:10" x14ac:dyDescent="0.35">
      <c r="J296"/>
    </row>
    <row r="297" spans="10:10" x14ac:dyDescent="0.35">
      <c r="J297"/>
    </row>
    <row r="298" spans="10:10" x14ac:dyDescent="0.35">
      <c r="J298"/>
    </row>
    <row r="299" spans="10:10" x14ac:dyDescent="0.35">
      <c r="J299"/>
    </row>
    <row r="300" spans="10:10" x14ac:dyDescent="0.35">
      <c r="J300"/>
    </row>
    <row r="301" spans="10:10" x14ac:dyDescent="0.35">
      <c r="J301"/>
    </row>
    <row r="302" spans="10:10" x14ac:dyDescent="0.35">
      <c r="J302"/>
    </row>
    <row r="303" spans="10:10" x14ac:dyDescent="0.35">
      <c r="J303"/>
    </row>
    <row r="304" spans="10:10" x14ac:dyDescent="0.35">
      <c r="J304"/>
    </row>
    <row r="305" spans="10:10" x14ac:dyDescent="0.35">
      <c r="J305"/>
    </row>
    <row r="306" spans="10:10" x14ac:dyDescent="0.35">
      <c r="J306"/>
    </row>
    <row r="307" spans="10:10" x14ac:dyDescent="0.35">
      <c r="J307"/>
    </row>
    <row r="308" spans="10:10" x14ac:dyDescent="0.35">
      <c r="J308"/>
    </row>
    <row r="309" spans="10:10" x14ac:dyDescent="0.35">
      <c r="J309"/>
    </row>
    <row r="310" spans="10:10" x14ac:dyDescent="0.35">
      <c r="J310"/>
    </row>
    <row r="311" spans="10:10" x14ac:dyDescent="0.35">
      <c r="J311"/>
    </row>
    <row r="312" spans="10:10" x14ac:dyDescent="0.35">
      <c r="J312"/>
    </row>
    <row r="313" spans="10:10" x14ac:dyDescent="0.35">
      <c r="J313"/>
    </row>
    <row r="314" spans="10:10" x14ac:dyDescent="0.35">
      <c r="J314"/>
    </row>
    <row r="315" spans="10:10" x14ac:dyDescent="0.35">
      <c r="J315"/>
    </row>
    <row r="316" spans="10:10" x14ac:dyDescent="0.35">
      <c r="J316"/>
    </row>
    <row r="317" spans="10:10" x14ac:dyDescent="0.35">
      <c r="J317"/>
    </row>
    <row r="318" spans="10:10" x14ac:dyDescent="0.35">
      <c r="J318"/>
    </row>
    <row r="319" spans="10:10" x14ac:dyDescent="0.35">
      <c r="J319"/>
    </row>
    <row r="320" spans="10:10" x14ac:dyDescent="0.35">
      <c r="J320"/>
    </row>
    <row r="321" spans="10:10" x14ac:dyDescent="0.35">
      <c r="J321"/>
    </row>
    <row r="322" spans="10:10" x14ac:dyDescent="0.35">
      <c r="J322"/>
    </row>
    <row r="323" spans="10:10" x14ac:dyDescent="0.35">
      <c r="J323"/>
    </row>
    <row r="324" spans="10:10" x14ac:dyDescent="0.35">
      <c r="J324"/>
    </row>
    <row r="325" spans="10:10" x14ac:dyDescent="0.35">
      <c r="J325"/>
    </row>
    <row r="326" spans="10:10" x14ac:dyDescent="0.35">
      <c r="J326"/>
    </row>
    <row r="327" spans="10:10" x14ac:dyDescent="0.35">
      <c r="J327"/>
    </row>
    <row r="328" spans="10:10" x14ac:dyDescent="0.35">
      <c r="J328"/>
    </row>
    <row r="329" spans="10:10" x14ac:dyDescent="0.35">
      <c r="J329"/>
    </row>
    <row r="330" spans="10:10" x14ac:dyDescent="0.35">
      <c r="J330"/>
    </row>
    <row r="331" spans="10:10" x14ac:dyDescent="0.35">
      <c r="J331"/>
    </row>
    <row r="332" spans="10:10" x14ac:dyDescent="0.35">
      <c r="J332"/>
    </row>
    <row r="333" spans="10:10" x14ac:dyDescent="0.35">
      <c r="J333"/>
    </row>
    <row r="334" spans="10:10" x14ac:dyDescent="0.35">
      <c r="J334"/>
    </row>
    <row r="335" spans="10:10" x14ac:dyDescent="0.35">
      <c r="J335"/>
    </row>
    <row r="336" spans="10:10" x14ac:dyDescent="0.35">
      <c r="J336"/>
    </row>
    <row r="337" spans="10:10" x14ac:dyDescent="0.35">
      <c r="J337"/>
    </row>
    <row r="338" spans="10:10" x14ac:dyDescent="0.35">
      <c r="J338"/>
    </row>
    <row r="339" spans="10:10" x14ac:dyDescent="0.35">
      <c r="J339"/>
    </row>
    <row r="340" spans="10:10" x14ac:dyDescent="0.35">
      <c r="J340"/>
    </row>
    <row r="341" spans="10:10" x14ac:dyDescent="0.35">
      <c r="J341"/>
    </row>
    <row r="342" spans="10:10" x14ac:dyDescent="0.35">
      <c r="J342"/>
    </row>
    <row r="343" spans="10:10" x14ac:dyDescent="0.35">
      <c r="J343"/>
    </row>
    <row r="344" spans="10:10" x14ac:dyDescent="0.35">
      <c r="J344"/>
    </row>
    <row r="345" spans="10:10" x14ac:dyDescent="0.35">
      <c r="J345"/>
    </row>
    <row r="346" spans="10:10" x14ac:dyDescent="0.35">
      <c r="J346"/>
    </row>
    <row r="347" spans="10:10" x14ac:dyDescent="0.35">
      <c r="J347"/>
    </row>
    <row r="348" spans="10:10" x14ac:dyDescent="0.35">
      <c r="J348"/>
    </row>
    <row r="349" spans="10:10" x14ac:dyDescent="0.35">
      <c r="J349"/>
    </row>
    <row r="350" spans="10:10" x14ac:dyDescent="0.35">
      <c r="J350"/>
    </row>
    <row r="351" spans="10:10" x14ac:dyDescent="0.35">
      <c r="J351"/>
    </row>
    <row r="352" spans="10:10" x14ac:dyDescent="0.35">
      <c r="J352"/>
    </row>
    <row r="353" spans="10:10" x14ac:dyDescent="0.35">
      <c r="J353"/>
    </row>
    <row r="354" spans="10:10" x14ac:dyDescent="0.35">
      <c r="J354"/>
    </row>
    <row r="355" spans="10:10" x14ac:dyDescent="0.35">
      <c r="J355"/>
    </row>
    <row r="356" spans="10:10" x14ac:dyDescent="0.35">
      <c r="J356"/>
    </row>
    <row r="357" spans="10:10" x14ac:dyDescent="0.35">
      <c r="J357"/>
    </row>
    <row r="358" spans="10:10" x14ac:dyDescent="0.35">
      <c r="J358"/>
    </row>
    <row r="359" spans="10:10" x14ac:dyDescent="0.35">
      <c r="J359"/>
    </row>
    <row r="360" spans="10:10" x14ac:dyDescent="0.35">
      <c r="J360"/>
    </row>
    <row r="361" spans="10:10" x14ac:dyDescent="0.35">
      <c r="J361"/>
    </row>
    <row r="362" spans="10:10" x14ac:dyDescent="0.35">
      <c r="J362"/>
    </row>
    <row r="363" spans="10:10" x14ac:dyDescent="0.35">
      <c r="J363"/>
    </row>
    <row r="364" spans="10:10" x14ac:dyDescent="0.35">
      <c r="J364"/>
    </row>
    <row r="365" spans="10:10" x14ac:dyDescent="0.35">
      <c r="J365"/>
    </row>
    <row r="366" spans="10:10" x14ac:dyDescent="0.35">
      <c r="J366"/>
    </row>
    <row r="367" spans="10:10" x14ac:dyDescent="0.35">
      <c r="J367"/>
    </row>
    <row r="368" spans="10:10" x14ac:dyDescent="0.35">
      <c r="J368"/>
    </row>
    <row r="369" spans="10:10" x14ac:dyDescent="0.35">
      <c r="J369"/>
    </row>
    <row r="370" spans="10:10" x14ac:dyDescent="0.35">
      <c r="J370"/>
    </row>
    <row r="371" spans="10:10" x14ac:dyDescent="0.35">
      <c r="J371"/>
    </row>
    <row r="372" spans="10:10" x14ac:dyDescent="0.35">
      <c r="J372"/>
    </row>
    <row r="373" spans="10:10" x14ac:dyDescent="0.35">
      <c r="J373"/>
    </row>
    <row r="374" spans="10:10" x14ac:dyDescent="0.35">
      <c r="J374"/>
    </row>
    <row r="375" spans="10:10" x14ac:dyDescent="0.35">
      <c r="J375"/>
    </row>
    <row r="376" spans="10:10" x14ac:dyDescent="0.35">
      <c r="J376"/>
    </row>
    <row r="377" spans="10:10" x14ac:dyDescent="0.35">
      <c r="J377"/>
    </row>
    <row r="378" spans="10:10" x14ac:dyDescent="0.35">
      <c r="J378"/>
    </row>
    <row r="379" spans="10:10" x14ac:dyDescent="0.35">
      <c r="J379"/>
    </row>
    <row r="380" spans="10:10" x14ac:dyDescent="0.35">
      <c r="J380"/>
    </row>
    <row r="381" spans="10:10" x14ac:dyDescent="0.35">
      <c r="J381"/>
    </row>
    <row r="382" spans="10:10" x14ac:dyDescent="0.35">
      <c r="J382"/>
    </row>
    <row r="383" spans="10:10" x14ac:dyDescent="0.35">
      <c r="J383"/>
    </row>
    <row r="384" spans="10:10" x14ac:dyDescent="0.35">
      <c r="J384"/>
    </row>
    <row r="385" spans="10:10" x14ac:dyDescent="0.35">
      <c r="J385"/>
    </row>
    <row r="386" spans="10:10" x14ac:dyDescent="0.35">
      <c r="J386"/>
    </row>
    <row r="387" spans="10:10" x14ac:dyDescent="0.35">
      <c r="J387"/>
    </row>
    <row r="388" spans="10:10" x14ac:dyDescent="0.35">
      <c r="J388"/>
    </row>
    <row r="389" spans="10:10" x14ac:dyDescent="0.35">
      <c r="J389"/>
    </row>
    <row r="390" spans="10:10" x14ac:dyDescent="0.35">
      <c r="J390"/>
    </row>
    <row r="391" spans="10:10" x14ac:dyDescent="0.35">
      <c r="J391"/>
    </row>
    <row r="392" spans="10:10" x14ac:dyDescent="0.35">
      <c r="J392"/>
    </row>
    <row r="393" spans="10:10" x14ac:dyDescent="0.35">
      <c r="J393"/>
    </row>
    <row r="394" spans="10:10" x14ac:dyDescent="0.35">
      <c r="J394"/>
    </row>
    <row r="395" spans="10:10" x14ac:dyDescent="0.35">
      <c r="J395"/>
    </row>
    <row r="396" spans="10:10" x14ac:dyDescent="0.35">
      <c r="J396"/>
    </row>
    <row r="397" spans="10:10" x14ac:dyDescent="0.35">
      <c r="J397"/>
    </row>
    <row r="398" spans="10:10" x14ac:dyDescent="0.35">
      <c r="J398"/>
    </row>
    <row r="399" spans="10:10" x14ac:dyDescent="0.35">
      <c r="J399"/>
    </row>
    <row r="400" spans="10:10" x14ac:dyDescent="0.35">
      <c r="J400"/>
    </row>
    <row r="401" spans="10:10" x14ac:dyDescent="0.35">
      <c r="J401"/>
    </row>
    <row r="402" spans="10:10" x14ac:dyDescent="0.35">
      <c r="J402"/>
    </row>
    <row r="403" spans="10:10" x14ac:dyDescent="0.35">
      <c r="J403"/>
    </row>
    <row r="404" spans="10:10" x14ac:dyDescent="0.35">
      <c r="J404"/>
    </row>
    <row r="405" spans="10:10" x14ac:dyDescent="0.35">
      <c r="J405"/>
    </row>
    <row r="406" spans="10:10" x14ac:dyDescent="0.35">
      <c r="J406"/>
    </row>
    <row r="407" spans="10:10" x14ac:dyDescent="0.35">
      <c r="J407"/>
    </row>
    <row r="408" spans="10:10" x14ac:dyDescent="0.35">
      <c r="J408"/>
    </row>
    <row r="409" spans="10:10" x14ac:dyDescent="0.35">
      <c r="J409"/>
    </row>
    <row r="410" spans="10:10" x14ac:dyDescent="0.35">
      <c r="J410"/>
    </row>
    <row r="411" spans="10:10" x14ac:dyDescent="0.35">
      <c r="J411"/>
    </row>
    <row r="412" spans="10:10" x14ac:dyDescent="0.35">
      <c r="J412"/>
    </row>
    <row r="413" spans="10:10" x14ac:dyDescent="0.35">
      <c r="J413"/>
    </row>
    <row r="414" spans="10:10" x14ac:dyDescent="0.35">
      <c r="J414"/>
    </row>
    <row r="415" spans="10:10" x14ac:dyDescent="0.35">
      <c r="J415"/>
    </row>
    <row r="416" spans="10:10" x14ac:dyDescent="0.35">
      <c r="J416"/>
    </row>
    <row r="417" spans="10:10" x14ac:dyDescent="0.35">
      <c r="J417"/>
    </row>
    <row r="418" spans="10:10" x14ac:dyDescent="0.35">
      <c r="J418"/>
    </row>
    <row r="419" spans="10:10" x14ac:dyDescent="0.35">
      <c r="J419"/>
    </row>
    <row r="420" spans="10:10" x14ac:dyDescent="0.35">
      <c r="J420"/>
    </row>
    <row r="421" spans="10:10" x14ac:dyDescent="0.35">
      <c r="J421"/>
    </row>
    <row r="422" spans="10:10" x14ac:dyDescent="0.35">
      <c r="J422"/>
    </row>
    <row r="423" spans="10:10" x14ac:dyDescent="0.35">
      <c r="J423"/>
    </row>
    <row r="424" spans="10:10" x14ac:dyDescent="0.35">
      <c r="J424"/>
    </row>
    <row r="425" spans="10:10" x14ac:dyDescent="0.35">
      <c r="J425"/>
    </row>
    <row r="426" spans="10:10" x14ac:dyDescent="0.35">
      <c r="J426"/>
    </row>
    <row r="427" spans="10:10" x14ac:dyDescent="0.35">
      <c r="J427"/>
    </row>
    <row r="428" spans="10:10" x14ac:dyDescent="0.35">
      <c r="J428"/>
    </row>
    <row r="429" spans="10:10" x14ac:dyDescent="0.35">
      <c r="J429"/>
    </row>
    <row r="430" spans="10:10" x14ac:dyDescent="0.35">
      <c r="J430"/>
    </row>
    <row r="431" spans="10:10" x14ac:dyDescent="0.35">
      <c r="J431"/>
    </row>
    <row r="432" spans="10:10" x14ac:dyDescent="0.35">
      <c r="J432"/>
    </row>
    <row r="433" spans="10:10" x14ac:dyDescent="0.35">
      <c r="J433"/>
    </row>
    <row r="434" spans="10:10" x14ac:dyDescent="0.35">
      <c r="J434"/>
    </row>
    <row r="435" spans="10:10" x14ac:dyDescent="0.35">
      <c r="J435"/>
    </row>
    <row r="436" spans="10:10" x14ac:dyDescent="0.35">
      <c r="J436"/>
    </row>
    <row r="437" spans="10:10" x14ac:dyDescent="0.35">
      <c r="J437"/>
    </row>
    <row r="438" spans="10:10" x14ac:dyDescent="0.35">
      <c r="J438"/>
    </row>
    <row r="439" spans="10:10" x14ac:dyDescent="0.35">
      <c r="J439"/>
    </row>
    <row r="440" spans="10:10" x14ac:dyDescent="0.35">
      <c r="J440"/>
    </row>
    <row r="441" spans="10:10" x14ac:dyDescent="0.35">
      <c r="J441"/>
    </row>
    <row r="442" spans="10:10" x14ac:dyDescent="0.35">
      <c r="J442"/>
    </row>
    <row r="443" spans="10:10" x14ac:dyDescent="0.35">
      <c r="J443"/>
    </row>
    <row r="444" spans="10:10" x14ac:dyDescent="0.35">
      <c r="J444"/>
    </row>
    <row r="445" spans="10:10" x14ac:dyDescent="0.35">
      <c r="J445"/>
    </row>
    <row r="446" spans="10:10" x14ac:dyDescent="0.35">
      <c r="J446"/>
    </row>
    <row r="447" spans="10:10" x14ac:dyDescent="0.35">
      <c r="J447"/>
    </row>
    <row r="448" spans="10:10" x14ac:dyDescent="0.35">
      <c r="J448"/>
    </row>
    <row r="449" spans="10:10" x14ac:dyDescent="0.35">
      <c r="J449"/>
    </row>
    <row r="450" spans="10:10" x14ac:dyDescent="0.35">
      <c r="J450"/>
    </row>
    <row r="451" spans="10:10" x14ac:dyDescent="0.35">
      <c r="J451"/>
    </row>
    <row r="452" spans="10:10" x14ac:dyDescent="0.35">
      <c r="J452"/>
    </row>
    <row r="453" spans="10:10" x14ac:dyDescent="0.35">
      <c r="J453"/>
    </row>
    <row r="454" spans="10:10" x14ac:dyDescent="0.35">
      <c r="J454"/>
    </row>
    <row r="455" spans="10:10" x14ac:dyDescent="0.35">
      <c r="J455"/>
    </row>
    <row r="456" spans="10:10" x14ac:dyDescent="0.35">
      <c r="J456"/>
    </row>
    <row r="457" spans="10:10" x14ac:dyDescent="0.35">
      <c r="J457"/>
    </row>
    <row r="458" spans="10:10" x14ac:dyDescent="0.35">
      <c r="J458"/>
    </row>
    <row r="459" spans="10:10" x14ac:dyDescent="0.35">
      <c r="J459"/>
    </row>
    <row r="460" spans="10:10" x14ac:dyDescent="0.35">
      <c r="J460"/>
    </row>
    <row r="461" spans="10:10" x14ac:dyDescent="0.35">
      <c r="J461"/>
    </row>
    <row r="462" spans="10:10" x14ac:dyDescent="0.35">
      <c r="J462"/>
    </row>
    <row r="463" spans="10:10" x14ac:dyDescent="0.35">
      <c r="J463"/>
    </row>
    <row r="464" spans="10:10" x14ac:dyDescent="0.35">
      <c r="J464"/>
    </row>
    <row r="465" spans="10:10" x14ac:dyDescent="0.35">
      <c r="J465"/>
    </row>
    <row r="466" spans="10:10" x14ac:dyDescent="0.35">
      <c r="J466"/>
    </row>
    <row r="467" spans="10:10" x14ac:dyDescent="0.35">
      <c r="J467"/>
    </row>
    <row r="468" spans="10:10" x14ac:dyDescent="0.35">
      <c r="J468"/>
    </row>
    <row r="469" spans="10:10" x14ac:dyDescent="0.35">
      <c r="J469"/>
    </row>
    <row r="470" spans="10:10" x14ac:dyDescent="0.35">
      <c r="J470"/>
    </row>
    <row r="471" spans="10:10" x14ac:dyDescent="0.35">
      <c r="J471"/>
    </row>
    <row r="472" spans="10:10" x14ac:dyDescent="0.35">
      <c r="J472"/>
    </row>
    <row r="473" spans="10:10" x14ac:dyDescent="0.35">
      <c r="J473"/>
    </row>
    <row r="474" spans="10:10" x14ac:dyDescent="0.35">
      <c r="J474"/>
    </row>
    <row r="475" spans="10:10" x14ac:dyDescent="0.35">
      <c r="J475"/>
    </row>
    <row r="476" spans="10:10" x14ac:dyDescent="0.35">
      <c r="J476"/>
    </row>
    <row r="477" spans="10:10" x14ac:dyDescent="0.35">
      <c r="J477"/>
    </row>
    <row r="478" spans="10:10" x14ac:dyDescent="0.35">
      <c r="J478"/>
    </row>
    <row r="479" spans="10:10" x14ac:dyDescent="0.35">
      <c r="J479"/>
    </row>
    <row r="480" spans="10:10" x14ac:dyDescent="0.35">
      <c r="J480"/>
    </row>
    <row r="481" spans="10:10" x14ac:dyDescent="0.35">
      <c r="J481"/>
    </row>
    <row r="482" spans="10:10" x14ac:dyDescent="0.35">
      <c r="J482"/>
    </row>
    <row r="483" spans="10:10" x14ac:dyDescent="0.35">
      <c r="J483"/>
    </row>
    <row r="484" spans="10:10" x14ac:dyDescent="0.35">
      <c r="J484"/>
    </row>
    <row r="485" spans="10:10" x14ac:dyDescent="0.35">
      <c r="J485"/>
    </row>
    <row r="486" spans="10:10" x14ac:dyDescent="0.35">
      <c r="J486"/>
    </row>
    <row r="487" spans="10:10" x14ac:dyDescent="0.35">
      <c r="J487"/>
    </row>
    <row r="488" spans="10:10" x14ac:dyDescent="0.35">
      <c r="J488"/>
    </row>
    <row r="489" spans="10:10" x14ac:dyDescent="0.35">
      <c r="J489"/>
    </row>
    <row r="490" spans="10:10" x14ac:dyDescent="0.35">
      <c r="J490"/>
    </row>
    <row r="491" spans="10:10" x14ac:dyDescent="0.35">
      <c r="J491"/>
    </row>
    <row r="492" spans="10:10" x14ac:dyDescent="0.35">
      <c r="J492"/>
    </row>
    <row r="493" spans="10:10" x14ac:dyDescent="0.35">
      <c r="J493"/>
    </row>
    <row r="494" spans="10:10" x14ac:dyDescent="0.35">
      <c r="J494"/>
    </row>
    <row r="495" spans="10:10" x14ac:dyDescent="0.35">
      <c r="J495"/>
    </row>
    <row r="496" spans="10:10" x14ac:dyDescent="0.35">
      <c r="J496"/>
    </row>
    <row r="497" spans="10:10" x14ac:dyDescent="0.35">
      <c r="J497"/>
    </row>
    <row r="498" spans="10:10" x14ac:dyDescent="0.35">
      <c r="J498"/>
    </row>
    <row r="499" spans="10:10" x14ac:dyDescent="0.35">
      <c r="J499"/>
    </row>
    <row r="500" spans="10:10" x14ac:dyDescent="0.35">
      <c r="J500"/>
    </row>
    <row r="501" spans="10:10" x14ac:dyDescent="0.35">
      <c r="J501"/>
    </row>
    <row r="502" spans="10:10" x14ac:dyDescent="0.35">
      <c r="J502"/>
    </row>
    <row r="503" spans="10:10" x14ac:dyDescent="0.35">
      <c r="J503"/>
    </row>
    <row r="504" spans="10:10" x14ac:dyDescent="0.35">
      <c r="J504"/>
    </row>
    <row r="505" spans="10:10" x14ac:dyDescent="0.35">
      <c r="J505"/>
    </row>
    <row r="506" spans="10:10" x14ac:dyDescent="0.35">
      <c r="J506"/>
    </row>
    <row r="507" spans="10:10" x14ac:dyDescent="0.35">
      <c r="J507"/>
    </row>
    <row r="508" spans="10:10" x14ac:dyDescent="0.35">
      <c r="J508"/>
    </row>
    <row r="509" spans="10:10" x14ac:dyDescent="0.35">
      <c r="J509"/>
    </row>
    <row r="510" spans="10:10" x14ac:dyDescent="0.35">
      <c r="J510"/>
    </row>
    <row r="511" spans="10:10" x14ac:dyDescent="0.35">
      <c r="J511"/>
    </row>
    <row r="512" spans="10:10" x14ac:dyDescent="0.35">
      <c r="J512"/>
    </row>
    <row r="513" spans="10:10" x14ac:dyDescent="0.35">
      <c r="J513"/>
    </row>
    <row r="514" spans="10:10" x14ac:dyDescent="0.35">
      <c r="J514"/>
    </row>
    <row r="515" spans="10:10" x14ac:dyDescent="0.35">
      <c r="J515"/>
    </row>
    <row r="516" spans="10:10" x14ac:dyDescent="0.35">
      <c r="J516"/>
    </row>
    <row r="517" spans="10:10" x14ac:dyDescent="0.35">
      <c r="J517"/>
    </row>
    <row r="518" spans="10:10" x14ac:dyDescent="0.35">
      <c r="J518"/>
    </row>
    <row r="519" spans="10:10" x14ac:dyDescent="0.35">
      <c r="J519"/>
    </row>
    <row r="520" spans="10:10" x14ac:dyDescent="0.35">
      <c r="J520"/>
    </row>
    <row r="521" spans="10:10" x14ac:dyDescent="0.35">
      <c r="J521"/>
    </row>
    <row r="522" spans="10:10" x14ac:dyDescent="0.35">
      <c r="J522"/>
    </row>
    <row r="523" spans="10:10" x14ac:dyDescent="0.35">
      <c r="J523"/>
    </row>
    <row r="524" spans="10:10" x14ac:dyDescent="0.35">
      <c r="J524"/>
    </row>
    <row r="525" spans="10:10" x14ac:dyDescent="0.35">
      <c r="J525"/>
    </row>
    <row r="526" spans="10:10" x14ac:dyDescent="0.35">
      <c r="J526"/>
    </row>
    <row r="527" spans="10:10" x14ac:dyDescent="0.35">
      <c r="J527"/>
    </row>
    <row r="528" spans="10:10" x14ac:dyDescent="0.35">
      <c r="J528"/>
    </row>
    <row r="529" spans="10:10" x14ac:dyDescent="0.35">
      <c r="J529"/>
    </row>
    <row r="530" spans="10:10" x14ac:dyDescent="0.35">
      <c r="J530"/>
    </row>
    <row r="531" spans="10:10" x14ac:dyDescent="0.35">
      <c r="J531"/>
    </row>
    <row r="532" spans="10:10" x14ac:dyDescent="0.35">
      <c r="J532"/>
    </row>
    <row r="533" spans="10:10" x14ac:dyDescent="0.35">
      <c r="J533"/>
    </row>
    <row r="534" spans="10:10" x14ac:dyDescent="0.35">
      <c r="J534"/>
    </row>
    <row r="535" spans="10:10" x14ac:dyDescent="0.35">
      <c r="J535"/>
    </row>
    <row r="536" spans="10:10" x14ac:dyDescent="0.35">
      <c r="J536"/>
    </row>
    <row r="537" spans="10:10" x14ac:dyDescent="0.35">
      <c r="J537"/>
    </row>
    <row r="538" spans="10:10" x14ac:dyDescent="0.35">
      <c r="J538"/>
    </row>
    <row r="539" spans="10:10" x14ac:dyDescent="0.35">
      <c r="J539"/>
    </row>
    <row r="540" spans="10:10" x14ac:dyDescent="0.35">
      <c r="J540"/>
    </row>
    <row r="541" spans="10:10" x14ac:dyDescent="0.35">
      <c r="J541"/>
    </row>
    <row r="542" spans="10:10" x14ac:dyDescent="0.35">
      <c r="J542"/>
    </row>
    <row r="543" spans="10:10" x14ac:dyDescent="0.35">
      <c r="J543"/>
    </row>
    <row r="544" spans="10:10" x14ac:dyDescent="0.35">
      <c r="J544"/>
    </row>
    <row r="545" spans="10:10" x14ac:dyDescent="0.35">
      <c r="J545"/>
    </row>
    <row r="546" spans="10:10" x14ac:dyDescent="0.35">
      <c r="J546"/>
    </row>
    <row r="547" spans="10:10" x14ac:dyDescent="0.35">
      <c r="J547"/>
    </row>
    <row r="548" spans="10:10" x14ac:dyDescent="0.35">
      <c r="J548"/>
    </row>
    <row r="549" spans="10:10" x14ac:dyDescent="0.35">
      <c r="J549"/>
    </row>
    <row r="550" spans="10:10" x14ac:dyDescent="0.35">
      <c r="J550"/>
    </row>
    <row r="551" spans="10:10" x14ac:dyDescent="0.35">
      <c r="J551"/>
    </row>
    <row r="552" spans="10:10" x14ac:dyDescent="0.35">
      <c r="J552"/>
    </row>
    <row r="553" spans="10:10" x14ac:dyDescent="0.35">
      <c r="J553"/>
    </row>
    <row r="554" spans="10:10" x14ac:dyDescent="0.35">
      <c r="J554"/>
    </row>
    <row r="555" spans="10:10" x14ac:dyDescent="0.35">
      <c r="J555"/>
    </row>
    <row r="556" spans="10:10" x14ac:dyDescent="0.35">
      <c r="J556"/>
    </row>
    <row r="557" spans="10:10" x14ac:dyDescent="0.35">
      <c r="J557"/>
    </row>
    <row r="558" spans="10:10" x14ac:dyDescent="0.35">
      <c r="J558"/>
    </row>
    <row r="559" spans="10:10" x14ac:dyDescent="0.35">
      <c r="J559"/>
    </row>
    <row r="560" spans="10:10" x14ac:dyDescent="0.35">
      <c r="J560"/>
    </row>
    <row r="561" spans="10:10" x14ac:dyDescent="0.35">
      <c r="J561"/>
    </row>
    <row r="562" spans="10:10" x14ac:dyDescent="0.35">
      <c r="J562"/>
    </row>
    <row r="563" spans="10:10" x14ac:dyDescent="0.35">
      <c r="J563"/>
    </row>
    <row r="564" spans="10:10" x14ac:dyDescent="0.35">
      <c r="J564"/>
    </row>
    <row r="565" spans="10:10" x14ac:dyDescent="0.35">
      <c r="J565"/>
    </row>
    <row r="566" spans="10:10" x14ac:dyDescent="0.35">
      <c r="J566"/>
    </row>
    <row r="567" spans="10:10" x14ac:dyDescent="0.35">
      <c r="J567"/>
    </row>
    <row r="568" spans="10:10" x14ac:dyDescent="0.35">
      <c r="J568"/>
    </row>
    <row r="569" spans="10:10" x14ac:dyDescent="0.35">
      <c r="J569"/>
    </row>
    <row r="570" spans="10:10" x14ac:dyDescent="0.35">
      <c r="J570"/>
    </row>
    <row r="571" spans="10:10" x14ac:dyDescent="0.35">
      <c r="J571"/>
    </row>
    <row r="572" spans="10:10" x14ac:dyDescent="0.35">
      <c r="J572"/>
    </row>
    <row r="573" spans="10:10" x14ac:dyDescent="0.35">
      <c r="J573"/>
    </row>
    <row r="574" spans="10:10" x14ac:dyDescent="0.35">
      <c r="J574"/>
    </row>
    <row r="575" spans="10:10" x14ac:dyDescent="0.35">
      <c r="J575"/>
    </row>
    <row r="576" spans="10:10" x14ac:dyDescent="0.35">
      <c r="J576"/>
    </row>
    <row r="577" spans="10:10" x14ac:dyDescent="0.35">
      <c r="J577"/>
    </row>
    <row r="578" spans="10:10" x14ac:dyDescent="0.35">
      <c r="J578"/>
    </row>
    <row r="579" spans="10:10" x14ac:dyDescent="0.35">
      <c r="J579"/>
    </row>
    <row r="580" spans="10:10" x14ac:dyDescent="0.35">
      <c r="J580"/>
    </row>
    <row r="581" spans="10:10" x14ac:dyDescent="0.35">
      <c r="J581"/>
    </row>
    <row r="582" spans="10:10" x14ac:dyDescent="0.35">
      <c r="J582"/>
    </row>
    <row r="583" spans="10:10" x14ac:dyDescent="0.35">
      <c r="J583"/>
    </row>
    <row r="584" spans="10:10" x14ac:dyDescent="0.35">
      <c r="J584"/>
    </row>
    <row r="585" spans="10:10" x14ac:dyDescent="0.35">
      <c r="J585"/>
    </row>
    <row r="586" spans="10:10" x14ac:dyDescent="0.35">
      <c r="J586"/>
    </row>
    <row r="587" spans="10:10" x14ac:dyDescent="0.35">
      <c r="J587"/>
    </row>
    <row r="588" spans="10:10" x14ac:dyDescent="0.35">
      <c r="J588"/>
    </row>
    <row r="589" spans="10:10" x14ac:dyDescent="0.35">
      <c r="J589"/>
    </row>
    <row r="590" spans="10:10" x14ac:dyDescent="0.35">
      <c r="J590"/>
    </row>
    <row r="591" spans="10:10" x14ac:dyDescent="0.35">
      <c r="J591"/>
    </row>
    <row r="592" spans="10:10" x14ac:dyDescent="0.35">
      <c r="J592"/>
    </row>
    <row r="593" spans="10:10" x14ac:dyDescent="0.35">
      <c r="J593"/>
    </row>
    <row r="594" spans="10:10" x14ac:dyDescent="0.35">
      <c r="J594"/>
    </row>
    <row r="595" spans="10:10" x14ac:dyDescent="0.35">
      <c r="J595"/>
    </row>
    <row r="596" spans="10:10" x14ac:dyDescent="0.35">
      <c r="J596"/>
    </row>
    <row r="597" spans="10:10" x14ac:dyDescent="0.35">
      <c r="J597"/>
    </row>
    <row r="598" spans="10:10" x14ac:dyDescent="0.35">
      <c r="J598"/>
    </row>
    <row r="599" spans="10:10" x14ac:dyDescent="0.35">
      <c r="J599"/>
    </row>
    <row r="600" spans="10:10" x14ac:dyDescent="0.35">
      <c r="J600"/>
    </row>
    <row r="601" spans="10:10" x14ac:dyDescent="0.35">
      <c r="J601"/>
    </row>
    <row r="602" spans="10:10" x14ac:dyDescent="0.35">
      <c r="J602"/>
    </row>
    <row r="603" spans="10:10" x14ac:dyDescent="0.35">
      <c r="J603"/>
    </row>
    <row r="604" spans="10:10" x14ac:dyDescent="0.35">
      <c r="J604"/>
    </row>
    <row r="605" spans="10:10" x14ac:dyDescent="0.35">
      <c r="J605"/>
    </row>
    <row r="606" spans="10:10" x14ac:dyDescent="0.35">
      <c r="J606"/>
    </row>
    <row r="607" spans="10:10" x14ac:dyDescent="0.35">
      <c r="J607"/>
    </row>
    <row r="608" spans="10:10" x14ac:dyDescent="0.35">
      <c r="J608"/>
    </row>
    <row r="609" spans="10:10" x14ac:dyDescent="0.35">
      <c r="J609"/>
    </row>
    <row r="610" spans="10:10" x14ac:dyDescent="0.35">
      <c r="J610"/>
    </row>
    <row r="611" spans="10:10" x14ac:dyDescent="0.35">
      <c r="J611"/>
    </row>
    <row r="612" spans="10:10" x14ac:dyDescent="0.35">
      <c r="J612"/>
    </row>
    <row r="613" spans="10:10" x14ac:dyDescent="0.35">
      <c r="J613"/>
    </row>
    <row r="614" spans="10:10" x14ac:dyDescent="0.35">
      <c r="J614"/>
    </row>
    <row r="615" spans="10:10" x14ac:dyDescent="0.35">
      <c r="J615"/>
    </row>
    <row r="616" spans="10:10" x14ac:dyDescent="0.35">
      <c r="J616"/>
    </row>
    <row r="617" spans="10:10" x14ac:dyDescent="0.35">
      <c r="J617"/>
    </row>
    <row r="618" spans="10:10" x14ac:dyDescent="0.35">
      <c r="J618"/>
    </row>
    <row r="619" spans="10:10" x14ac:dyDescent="0.35">
      <c r="J619"/>
    </row>
    <row r="620" spans="10:10" x14ac:dyDescent="0.35">
      <c r="J620"/>
    </row>
    <row r="621" spans="10:10" x14ac:dyDescent="0.35">
      <c r="J621"/>
    </row>
    <row r="622" spans="10:10" x14ac:dyDescent="0.35">
      <c r="J622"/>
    </row>
    <row r="623" spans="10:10" x14ac:dyDescent="0.35">
      <c r="J623"/>
    </row>
    <row r="624" spans="10:10" x14ac:dyDescent="0.35">
      <c r="J624"/>
    </row>
    <row r="625" spans="10:10" x14ac:dyDescent="0.35">
      <c r="J625"/>
    </row>
    <row r="626" spans="10:10" x14ac:dyDescent="0.35">
      <c r="J626"/>
    </row>
    <row r="627" spans="10:10" x14ac:dyDescent="0.35">
      <c r="J627"/>
    </row>
    <row r="628" spans="10:10" x14ac:dyDescent="0.35">
      <c r="J628"/>
    </row>
    <row r="629" spans="10:10" x14ac:dyDescent="0.35">
      <c r="J629"/>
    </row>
    <row r="630" spans="10:10" x14ac:dyDescent="0.35">
      <c r="J630"/>
    </row>
    <row r="631" spans="10:10" x14ac:dyDescent="0.35">
      <c r="J631"/>
    </row>
    <row r="632" spans="10:10" x14ac:dyDescent="0.35">
      <c r="J632"/>
    </row>
    <row r="633" spans="10:10" x14ac:dyDescent="0.35">
      <c r="J633"/>
    </row>
    <row r="634" spans="10:10" x14ac:dyDescent="0.35">
      <c r="J634"/>
    </row>
    <row r="635" spans="10:10" x14ac:dyDescent="0.35">
      <c r="J635"/>
    </row>
    <row r="636" spans="10:10" x14ac:dyDescent="0.35">
      <c r="J636"/>
    </row>
    <row r="637" spans="10:10" x14ac:dyDescent="0.35">
      <c r="J637"/>
    </row>
    <row r="638" spans="10:10" x14ac:dyDescent="0.35">
      <c r="J638"/>
    </row>
    <row r="639" spans="10:10" x14ac:dyDescent="0.35">
      <c r="J639"/>
    </row>
    <row r="640" spans="10:10" x14ac:dyDescent="0.35">
      <c r="J640"/>
    </row>
    <row r="641" spans="10:10" x14ac:dyDescent="0.35">
      <c r="J641"/>
    </row>
    <row r="642" spans="10:10" x14ac:dyDescent="0.35">
      <c r="J642"/>
    </row>
    <row r="643" spans="10:10" x14ac:dyDescent="0.35">
      <c r="J643"/>
    </row>
    <row r="644" spans="10:10" x14ac:dyDescent="0.35">
      <c r="J644"/>
    </row>
    <row r="645" spans="10:10" x14ac:dyDescent="0.35">
      <c r="J645"/>
    </row>
    <row r="646" spans="10:10" x14ac:dyDescent="0.35">
      <c r="J646"/>
    </row>
    <row r="647" spans="10:10" x14ac:dyDescent="0.35">
      <c r="J647"/>
    </row>
    <row r="648" spans="10:10" x14ac:dyDescent="0.35">
      <c r="J648"/>
    </row>
    <row r="649" spans="10:10" x14ac:dyDescent="0.35">
      <c r="J649"/>
    </row>
    <row r="650" spans="10:10" x14ac:dyDescent="0.35">
      <c r="J650"/>
    </row>
    <row r="651" spans="10:10" x14ac:dyDescent="0.35">
      <c r="J651"/>
    </row>
    <row r="652" spans="10:10" x14ac:dyDescent="0.35">
      <c r="J652"/>
    </row>
    <row r="653" spans="10:10" x14ac:dyDescent="0.35">
      <c r="J653"/>
    </row>
    <row r="654" spans="10:10" x14ac:dyDescent="0.35">
      <c r="J654"/>
    </row>
    <row r="655" spans="10:10" x14ac:dyDescent="0.35">
      <c r="J655"/>
    </row>
    <row r="656" spans="10:10" x14ac:dyDescent="0.35">
      <c r="J656"/>
    </row>
    <row r="657" spans="10:10" x14ac:dyDescent="0.35">
      <c r="J657"/>
    </row>
    <row r="658" spans="10:10" x14ac:dyDescent="0.35">
      <c r="J658"/>
    </row>
    <row r="659" spans="10:10" x14ac:dyDescent="0.35">
      <c r="J659"/>
    </row>
    <row r="660" spans="10:10" x14ac:dyDescent="0.35">
      <c r="J660"/>
    </row>
    <row r="661" spans="10:10" x14ac:dyDescent="0.35">
      <c r="J661"/>
    </row>
    <row r="662" spans="10:10" x14ac:dyDescent="0.35">
      <c r="J662"/>
    </row>
    <row r="663" spans="10:10" x14ac:dyDescent="0.35">
      <c r="J663"/>
    </row>
    <row r="664" spans="10:10" x14ac:dyDescent="0.35">
      <c r="J664"/>
    </row>
    <row r="665" spans="10:10" x14ac:dyDescent="0.35">
      <c r="J665"/>
    </row>
    <row r="666" spans="10:10" x14ac:dyDescent="0.35">
      <c r="J666"/>
    </row>
    <row r="667" spans="10:10" x14ac:dyDescent="0.35">
      <c r="J667"/>
    </row>
    <row r="668" spans="10:10" x14ac:dyDescent="0.35">
      <c r="J668"/>
    </row>
    <row r="669" spans="10:10" x14ac:dyDescent="0.35">
      <c r="J669"/>
    </row>
    <row r="670" spans="10:10" x14ac:dyDescent="0.35">
      <c r="J670"/>
    </row>
    <row r="671" spans="10:10" x14ac:dyDescent="0.35">
      <c r="J671"/>
    </row>
    <row r="672" spans="10:10" x14ac:dyDescent="0.35">
      <c r="J672"/>
    </row>
    <row r="673" spans="10:10" x14ac:dyDescent="0.35">
      <c r="J673"/>
    </row>
    <row r="674" spans="10:10" x14ac:dyDescent="0.35">
      <c r="J674"/>
    </row>
    <row r="675" spans="10:10" x14ac:dyDescent="0.35">
      <c r="J675"/>
    </row>
    <row r="676" spans="10:10" x14ac:dyDescent="0.35">
      <c r="J676"/>
    </row>
    <row r="677" spans="10:10" x14ac:dyDescent="0.35">
      <c r="J677"/>
    </row>
    <row r="678" spans="10:10" x14ac:dyDescent="0.35">
      <c r="J678"/>
    </row>
    <row r="679" spans="10:10" x14ac:dyDescent="0.35">
      <c r="J679"/>
    </row>
    <row r="680" spans="10:10" x14ac:dyDescent="0.35">
      <c r="J680"/>
    </row>
    <row r="681" spans="10:10" x14ac:dyDescent="0.35">
      <c r="J681"/>
    </row>
    <row r="682" spans="10:10" x14ac:dyDescent="0.35">
      <c r="J682"/>
    </row>
    <row r="683" spans="10:10" x14ac:dyDescent="0.35">
      <c r="J683"/>
    </row>
    <row r="684" spans="10:10" x14ac:dyDescent="0.35">
      <c r="J684"/>
    </row>
    <row r="685" spans="10:10" x14ac:dyDescent="0.35">
      <c r="J685"/>
    </row>
    <row r="686" spans="10:10" x14ac:dyDescent="0.35">
      <c r="J686"/>
    </row>
    <row r="687" spans="10:10" x14ac:dyDescent="0.35">
      <c r="J687"/>
    </row>
    <row r="688" spans="10:10" x14ac:dyDescent="0.35">
      <c r="J688"/>
    </row>
    <row r="689" spans="10:10" x14ac:dyDescent="0.35">
      <c r="J689"/>
    </row>
    <row r="690" spans="10:10" x14ac:dyDescent="0.35">
      <c r="J690"/>
    </row>
    <row r="691" spans="10:10" x14ac:dyDescent="0.35">
      <c r="J691"/>
    </row>
    <row r="692" spans="10:10" x14ac:dyDescent="0.35">
      <c r="J692"/>
    </row>
    <row r="693" spans="10:10" x14ac:dyDescent="0.35">
      <c r="J693"/>
    </row>
    <row r="694" spans="10:10" x14ac:dyDescent="0.35">
      <c r="J694"/>
    </row>
    <row r="695" spans="10:10" x14ac:dyDescent="0.35">
      <c r="J695"/>
    </row>
    <row r="696" spans="10:10" x14ac:dyDescent="0.35">
      <c r="J696"/>
    </row>
    <row r="697" spans="10:10" x14ac:dyDescent="0.35">
      <c r="J697"/>
    </row>
    <row r="698" spans="10:10" x14ac:dyDescent="0.35">
      <c r="J698"/>
    </row>
    <row r="699" spans="10:10" x14ac:dyDescent="0.35">
      <c r="J699"/>
    </row>
    <row r="700" spans="10:10" x14ac:dyDescent="0.35">
      <c r="J700"/>
    </row>
    <row r="701" spans="10:10" x14ac:dyDescent="0.35">
      <c r="J701"/>
    </row>
    <row r="702" spans="10:10" x14ac:dyDescent="0.35">
      <c r="J702"/>
    </row>
    <row r="703" spans="10:10" x14ac:dyDescent="0.35">
      <c r="J703"/>
    </row>
    <row r="704" spans="10:10" x14ac:dyDescent="0.35">
      <c r="J704"/>
    </row>
    <row r="705" spans="10:10" x14ac:dyDescent="0.35">
      <c r="J705"/>
    </row>
    <row r="706" spans="10:10" x14ac:dyDescent="0.35">
      <c r="J706"/>
    </row>
    <row r="707" spans="10:10" x14ac:dyDescent="0.35">
      <c r="J707"/>
    </row>
    <row r="708" spans="10:10" x14ac:dyDescent="0.35">
      <c r="J708"/>
    </row>
    <row r="709" spans="10:10" x14ac:dyDescent="0.35">
      <c r="J709"/>
    </row>
    <row r="710" spans="10:10" x14ac:dyDescent="0.35">
      <c r="J710"/>
    </row>
    <row r="711" spans="10:10" x14ac:dyDescent="0.35">
      <c r="J711"/>
    </row>
    <row r="712" spans="10:10" x14ac:dyDescent="0.35">
      <c r="J712"/>
    </row>
    <row r="713" spans="10:10" x14ac:dyDescent="0.35">
      <c r="J713"/>
    </row>
    <row r="714" spans="10:10" x14ac:dyDescent="0.35">
      <c r="J714"/>
    </row>
    <row r="715" spans="10:10" x14ac:dyDescent="0.35">
      <c r="J715"/>
    </row>
    <row r="716" spans="10:10" x14ac:dyDescent="0.35">
      <c r="J716"/>
    </row>
    <row r="717" spans="10:10" x14ac:dyDescent="0.35">
      <c r="J717"/>
    </row>
    <row r="718" spans="10:10" x14ac:dyDescent="0.35">
      <c r="J718"/>
    </row>
    <row r="719" spans="10:10" x14ac:dyDescent="0.35">
      <c r="J719"/>
    </row>
    <row r="720" spans="10:10" x14ac:dyDescent="0.35">
      <c r="J720"/>
    </row>
    <row r="721" spans="10:10" x14ac:dyDescent="0.35">
      <c r="J721"/>
    </row>
    <row r="722" spans="10:10" x14ac:dyDescent="0.35">
      <c r="J722"/>
    </row>
    <row r="723" spans="10:10" x14ac:dyDescent="0.35">
      <c r="J723"/>
    </row>
    <row r="724" spans="10:10" x14ac:dyDescent="0.35">
      <c r="J724"/>
    </row>
    <row r="725" spans="10:10" x14ac:dyDescent="0.35">
      <c r="J725"/>
    </row>
    <row r="726" spans="10:10" x14ac:dyDescent="0.35">
      <c r="J726"/>
    </row>
    <row r="727" spans="10:10" x14ac:dyDescent="0.35">
      <c r="J727"/>
    </row>
    <row r="728" spans="10:10" x14ac:dyDescent="0.35">
      <c r="J728"/>
    </row>
    <row r="729" spans="10:10" x14ac:dyDescent="0.35">
      <c r="J729"/>
    </row>
    <row r="730" spans="10:10" x14ac:dyDescent="0.35">
      <c r="J730"/>
    </row>
    <row r="731" spans="10:10" x14ac:dyDescent="0.35">
      <c r="J731"/>
    </row>
    <row r="732" spans="10:10" x14ac:dyDescent="0.35">
      <c r="J732"/>
    </row>
    <row r="733" spans="10:10" x14ac:dyDescent="0.35">
      <c r="J733"/>
    </row>
    <row r="734" spans="10:10" x14ac:dyDescent="0.35">
      <c r="J734"/>
    </row>
    <row r="735" spans="10:10" x14ac:dyDescent="0.35">
      <c r="J735"/>
    </row>
    <row r="736" spans="10:10" x14ac:dyDescent="0.35">
      <c r="J736"/>
    </row>
    <row r="737" spans="10:10" x14ac:dyDescent="0.35">
      <c r="J737"/>
    </row>
    <row r="738" spans="10:10" x14ac:dyDescent="0.35">
      <c r="J738"/>
    </row>
    <row r="739" spans="10:10" x14ac:dyDescent="0.35">
      <c r="J739"/>
    </row>
    <row r="740" spans="10:10" x14ac:dyDescent="0.35">
      <c r="J740"/>
    </row>
    <row r="741" spans="10:10" x14ac:dyDescent="0.35">
      <c r="J741"/>
    </row>
    <row r="742" spans="10:10" x14ac:dyDescent="0.35">
      <c r="J742"/>
    </row>
    <row r="743" spans="10:10" x14ac:dyDescent="0.35">
      <c r="J743"/>
    </row>
    <row r="744" spans="10:10" x14ac:dyDescent="0.35">
      <c r="J744"/>
    </row>
    <row r="745" spans="10:10" x14ac:dyDescent="0.35">
      <c r="J745"/>
    </row>
    <row r="746" spans="10:10" x14ac:dyDescent="0.35">
      <c r="J746"/>
    </row>
    <row r="747" spans="10:10" x14ac:dyDescent="0.35">
      <c r="J747"/>
    </row>
    <row r="748" spans="10:10" x14ac:dyDescent="0.35">
      <c r="J748"/>
    </row>
    <row r="749" spans="10:10" x14ac:dyDescent="0.35">
      <c r="J749"/>
    </row>
    <row r="750" spans="10:10" x14ac:dyDescent="0.35">
      <c r="J750"/>
    </row>
    <row r="751" spans="10:10" x14ac:dyDescent="0.35">
      <c r="J751"/>
    </row>
    <row r="752" spans="10:10" x14ac:dyDescent="0.35">
      <c r="J752"/>
    </row>
    <row r="753" spans="10:10" x14ac:dyDescent="0.35">
      <c r="J753"/>
    </row>
    <row r="754" spans="10:10" x14ac:dyDescent="0.35">
      <c r="J754"/>
    </row>
    <row r="755" spans="10:10" x14ac:dyDescent="0.35">
      <c r="J755"/>
    </row>
    <row r="756" spans="10:10" x14ac:dyDescent="0.35">
      <c r="J756"/>
    </row>
    <row r="757" spans="10:10" x14ac:dyDescent="0.35">
      <c r="J757"/>
    </row>
    <row r="758" spans="10:10" x14ac:dyDescent="0.35">
      <c r="J758"/>
    </row>
    <row r="759" spans="10:10" x14ac:dyDescent="0.35">
      <c r="J759"/>
    </row>
    <row r="760" spans="10:10" x14ac:dyDescent="0.35">
      <c r="J760"/>
    </row>
    <row r="761" spans="10:10" x14ac:dyDescent="0.35">
      <c r="J761"/>
    </row>
    <row r="762" spans="10:10" x14ac:dyDescent="0.35">
      <c r="J762"/>
    </row>
    <row r="763" spans="10:10" x14ac:dyDescent="0.35">
      <c r="J763"/>
    </row>
    <row r="764" spans="10:10" x14ac:dyDescent="0.35">
      <c r="J764"/>
    </row>
    <row r="765" spans="10:10" x14ac:dyDescent="0.35">
      <c r="J765"/>
    </row>
    <row r="766" spans="10:10" x14ac:dyDescent="0.35">
      <c r="J766"/>
    </row>
    <row r="767" spans="10:10" x14ac:dyDescent="0.35">
      <c r="J767"/>
    </row>
    <row r="768" spans="10:10" x14ac:dyDescent="0.35">
      <c r="J768"/>
    </row>
    <row r="769" spans="10:10" x14ac:dyDescent="0.35">
      <c r="J769"/>
    </row>
    <row r="770" spans="10:10" x14ac:dyDescent="0.35">
      <c r="J770"/>
    </row>
    <row r="771" spans="10:10" x14ac:dyDescent="0.35">
      <c r="J771"/>
    </row>
    <row r="772" spans="10:10" x14ac:dyDescent="0.35">
      <c r="J772"/>
    </row>
    <row r="773" spans="10:10" x14ac:dyDescent="0.35">
      <c r="J773"/>
    </row>
    <row r="774" spans="10:10" x14ac:dyDescent="0.35">
      <c r="J774"/>
    </row>
    <row r="775" spans="10:10" x14ac:dyDescent="0.35">
      <c r="J775"/>
    </row>
    <row r="776" spans="10:10" x14ac:dyDescent="0.35">
      <c r="J776"/>
    </row>
    <row r="777" spans="10:10" x14ac:dyDescent="0.35">
      <c r="J777"/>
    </row>
    <row r="778" spans="10:10" x14ac:dyDescent="0.35">
      <c r="J778"/>
    </row>
    <row r="779" spans="10:10" x14ac:dyDescent="0.35">
      <c r="J779"/>
    </row>
    <row r="780" spans="10:10" x14ac:dyDescent="0.35">
      <c r="J780"/>
    </row>
    <row r="781" spans="10:10" x14ac:dyDescent="0.35">
      <c r="J781"/>
    </row>
    <row r="782" spans="10:10" x14ac:dyDescent="0.35">
      <c r="J782"/>
    </row>
    <row r="783" spans="10:10" x14ac:dyDescent="0.35">
      <c r="J783"/>
    </row>
    <row r="784" spans="10:10" x14ac:dyDescent="0.35">
      <c r="J784"/>
    </row>
    <row r="785" spans="10:10" x14ac:dyDescent="0.35">
      <c r="J785"/>
    </row>
    <row r="786" spans="10:10" x14ac:dyDescent="0.35">
      <c r="J786"/>
    </row>
    <row r="787" spans="10:10" x14ac:dyDescent="0.35">
      <c r="J787"/>
    </row>
    <row r="788" spans="10:10" x14ac:dyDescent="0.35">
      <c r="J788"/>
    </row>
    <row r="789" spans="10:10" x14ac:dyDescent="0.35">
      <c r="J789"/>
    </row>
    <row r="790" spans="10:10" x14ac:dyDescent="0.35">
      <c r="J790"/>
    </row>
    <row r="791" spans="10:10" x14ac:dyDescent="0.35">
      <c r="J791"/>
    </row>
    <row r="792" spans="10:10" x14ac:dyDescent="0.35">
      <c r="J792"/>
    </row>
    <row r="793" spans="10:10" x14ac:dyDescent="0.35">
      <c r="J793"/>
    </row>
    <row r="794" spans="10:10" x14ac:dyDescent="0.35">
      <c r="J794"/>
    </row>
    <row r="795" spans="10:10" x14ac:dyDescent="0.35">
      <c r="J795"/>
    </row>
    <row r="796" spans="10:10" x14ac:dyDescent="0.35">
      <c r="J796"/>
    </row>
    <row r="797" spans="10:10" x14ac:dyDescent="0.35">
      <c r="J797"/>
    </row>
    <row r="798" spans="10:10" x14ac:dyDescent="0.35">
      <c r="J798"/>
    </row>
    <row r="799" spans="10:10" x14ac:dyDescent="0.35">
      <c r="J799"/>
    </row>
    <row r="800" spans="10:10" x14ac:dyDescent="0.35">
      <c r="J800"/>
    </row>
    <row r="801" spans="10:10" x14ac:dyDescent="0.35">
      <c r="J801"/>
    </row>
    <row r="802" spans="10:10" x14ac:dyDescent="0.35">
      <c r="J802"/>
    </row>
    <row r="803" spans="10:10" x14ac:dyDescent="0.35">
      <c r="J803"/>
    </row>
    <row r="804" spans="10:10" x14ac:dyDescent="0.35">
      <c r="J804"/>
    </row>
    <row r="805" spans="10:10" x14ac:dyDescent="0.35">
      <c r="J805"/>
    </row>
    <row r="806" spans="10:10" x14ac:dyDescent="0.35">
      <c r="J806"/>
    </row>
    <row r="807" spans="10:10" x14ac:dyDescent="0.35">
      <c r="J807"/>
    </row>
    <row r="808" spans="10:10" x14ac:dyDescent="0.35">
      <c r="J808"/>
    </row>
    <row r="809" spans="10:10" x14ac:dyDescent="0.35">
      <c r="J809"/>
    </row>
    <row r="810" spans="10:10" x14ac:dyDescent="0.35">
      <c r="J810"/>
    </row>
    <row r="811" spans="10:10" x14ac:dyDescent="0.35">
      <c r="J811"/>
    </row>
    <row r="812" spans="10:10" x14ac:dyDescent="0.35">
      <c r="J812"/>
    </row>
    <row r="813" spans="10:10" x14ac:dyDescent="0.35">
      <c r="J813"/>
    </row>
    <row r="814" spans="10:10" x14ac:dyDescent="0.35">
      <c r="J814"/>
    </row>
    <row r="815" spans="10:10" x14ac:dyDescent="0.35">
      <c r="J815"/>
    </row>
    <row r="816" spans="10:10" x14ac:dyDescent="0.35">
      <c r="J816"/>
    </row>
    <row r="817" spans="10:10" x14ac:dyDescent="0.35">
      <c r="J817"/>
    </row>
    <row r="818" spans="10:10" x14ac:dyDescent="0.35">
      <c r="J818"/>
    </row>
    <row r="819" spans="10:10" x14ac:dyDescent="0.35">
      <c r="J819"/>
    </row>
    <row r="820" spans="10:10" x14ac:dyDescent="0.35">
      <c r="J820"/>
    </row>
    <row r="821" spans="10:10" x14ac:dyDescent="0.35">
      <c r="J821"/>
    </row>
    <row r="822" spans="10:10" x14ac:dyDescent="0.35">
      <c r="J822"/>
    </row>
    <row r="823" spans="10:10" x14ac:dyDescent="0.35">
      <c r="J823"/>
    </row>
    <row r="824" spans="10:10" x14ac:dyDescent="0.35">
      <c r="J824"/>
    </row>
    <row r="825" spans="10:10" x14ac:dyDescent="0.35">
      <c r="J825"/>
    </row>
    <row r="826" spans="10:10" x14ac:dyDescent="0.35">
      <c r="J826"/>
    </row>
    <row r="827" spans="10:10" x14ac:dyDescent="0.35">
      <c r="J827"/>
    </row>
    <row r="828" spans="10:10" x14ac:dyDescent="0.35">
      <c r="J828"/>
    </row>
    <row r="829" spans="10:10" x14ac:dyDescent="0.35">
      <c r="J829"/>
    </row>
    <row r="830" spans="10:10" x14ac:dyDescent="0.35">
      <c r="J830"/>
    </row>
    <row r="831" spans="10:10" x14ac:dyDescent="0.35">
      <c r="J831"/>
    </row>
    <row r="832" spans="10:10" x14ac:dyDescent="0.35">
      <c r="J832"/>
    </row>
    <row r="833" spans="10:10" x14ac:dyDescent="0.35">
      <c r="J833"/>
    </row>
    <row r="834" spans="10:10" x14ac:dyDescent="0.35">
      <c r="J834"/>
    </row>
    <row r="835" spans="10:10" x14ac:dyDescent="0.35">
      <c r="J835"/>
    </row>
    <row r="836" spans="10:10" x14ac:dyDescent="0.35">
      <c r="J836"/>
    </row>
    <row r="837" spans="10:10" x14ac:dyDescent="0.35">
      <c r="J837"/>
    </row>
    <row r="838" spans="10:10" x14ac:dyDescent="0.35">
      <c r="J838"/>
    </row>
    <row r="839" spans="10:10" x14ac:dyDescent="0.35">
      <c r="J839"/>
    </row>
    <row r="840" spans="10:10" x14ac:dyDescent="0.35">
      <c r="J840"/>
    </row>
    <row r="841" spans="10:10" x14ac:dyDescent="0.35">
      <c r="J841"/>
    </row>
    <row r="842" spans="10:10" x14ac:dyDescent="0.35">
      <c r="J842"/>
    </row>
    <row r="843" spans="10:10" x14ac:dyDescent="0.35">
      <c r="J843"/>
    </row>
    <row r="844" spans="10:10" x14ac:dyDescent="0.35">
      <c r="J844"/>
    </row>
    <row r="845" spans="10:10" x14ac:dyDescent="0.35">
      <c r="J845"/>
    </row>
    <row r="846" spans="10:10" x14ac:dyDescent="0.35">
      <c r="J846"/>
    </row>
    <row r="847" spans="10:10" x14ac:dyDescent="0.35">
      <c r="J847"/>
    </row>
    <row r="848" spans="10:10" x14ac:dyDescent="0.35">
      <c r="J848"/>
    </row>
    <row r="849" spans="10:10" x14ac:dyDescent="0.35">
      <c r="J849"/>
    </row>
    <row r="850" spans="10:10" x14ac:dyDescent="0.35">
      <c r="J850"/>
    </row>
    <row r="851" spans="10:10" x14ac:dyDescent="0.35">
      <c r="J851"/>
    </row>
    <row r="852" spans="10:10" x14ac:dyDescent="0.35">
      <c r="J852"/>
    </row>
    <row r="853" spans="10:10" x14ac:dyDescent="0.35">
      <c r="J853"/>
    </row>
    <row r="854" spans="10:10" x14ac:dyDescent="0.35">
      <c r="J854"/>
    </row>
    <row r="855" spans="10:10" x14ac:dyDescent="0.35">
      <c r="J855"/>
    </row>
    <row r="856" spans="10:10" x14ac:dyDescent="0.35">
      <c r="J856"/>
    </row>
    <row r="857" spans="10:10" x14ac:dyDescent="0.35">
      <c r="J857"/>
    </row>
    <row r="858" spans="10:10" x14ac:dyDescent="0.35">
      <c r="J858"/>
    </row>
    <row r="859" spans="10:10" x14ac:dyDescent="0.35">
      <c r="J859"/>
    </row>
    <row r="860" spans="10:10" x14ac:dyDescent="0.35">
      <c r="J860"/>
    </row>
    <row r="861" spans="10:10" x14ac:dyDescent="0.35">
      <c r="J861"/>
    </row>
    <row r="862" spans="10:10" x14ac:dyDescent="0.35">
      <c r="J862"/>
    </row>
    <row r="863" spans="10:10" x14ac:dyDescent="0.35">
      <c r="J863"/>
    </row>
    <row r="864" spans="10:10" x14ac:dyDescent="0.35">
      <c r="J864"/>
    </row>
    <row r="865" spans="10:10" x14ac:dyDescent="0.35">
      <c r="J865"/>
    </row>
    <row r="866" spans="10:10" x14ac:dyDescent="0.35">
      <c r="J866"/>
    </row>
    <row r="867" spans="10:10" x14ac:dyDescent="0.35">
      <c r="J867"/>
    </row>
    <row r="868" spans="10:10" x14ac:dyDescent="0.35">
      <c r="J868"/>
    </row>
    <row r="869" spans="10:10" x14ac:dyDescent="0.35">
      <c r="J869"/>
    </row>
    <row r="870" spans="10:10" x14ac:dyDescent="0.35">
      <c r="J870"/>
    </row>
    <row r="871" spans="10:10" x14ac:dyDescent="0.35">
      <c r="J871"/>
    </row>
    <row r="872" spans="10:10" x14ac:dyDescent="0.35">
      <c r="J872"/>
    </row>
    <row r="873" spans="10:10" x14ac:dyDescent="0.35">
      <c r="J873"/>
    </row>
    <row r="874" spans="10:10" x14ac:dyDescent="0.35">
      <c r="J874"/>
    </row>
    <row r="875" spans="10:10" x14ac:dyDescent="0.35">
      <c r="J875"/>
    </row>
    <row r="876" spans="10:10" x14ac:dyDescent="0.35">
      <c r="J876"/>
    </row>
    <row r="877" spans="10:10" x14ac:dyDescent="0.35">
      <c r="J877"/>
    </row>
    <row r="878" spans="10:10" x14ac:dyDescent="0.35">
      <c r="J878"/>
    </row>
    <row r="879" spans="10:10" x14ac:dyDescent="0.35">
      <c r="J879"/>
    </row>
    <row r="880" spans="10:10" x14ac:dyDescent="0.35">
      <c r="J880"/>
    </row>
    <row r="881" spans="10:10" x14ac:dyDescent="0.35">
      <c r="J881"/>
    </row>
    <row r="882" spans="10:10" x14ac:dyDescent="0.35">
      <c r="J882"/>
    </row>
    <row r="883" spans="10:10" x14ac:dyDescent="0.35">
      <c r="J883"/>
    </row>
    <row r="884" spans="10:10" x14ac:dyDescent="0.35">
      <c r="J884"/>
    </row>
    <row r="885" spans="10:10" x14ac:dyDescent="0.35">
      <c r="J885"/>
    </row>
    <row r="886" spans="10:10" x14ac:dyDescent="0.35">
      <c r="J886"/>
    </row>
    <row r="887" spans="10:10" x14ac:dyDescent="0.35">
      <c r="J887"/>
    </row>
    <row r="888" spans="10:10" x14ac:dyDescent="0.35">
      <c r="J888"/>
    </row>
    <row r="889" spans="10:10" x14ac:dyDescent="0.35">
      <c r="J889"/>
    </row>
    <row r="890" spans="10:10" x14ac:dyDescent="0.35">
      <c r="J890"/>
    </row>
    <row r="891" spans="10:10" x14ac:dyDescent="0.35">
      <c r="J891"/>
    </row>
    <row r="892" spans="10:10" x14ac:dyDescent="0.35">
      <c r="J892"/>
    </row>
    <row r="893" spans="10:10" x14ac:dyDescent="0.35">
      <c r="J893"/>
    </row>
    <row r="894" spans="10:10" x14ac:dyDescent="0.35">
      <c r="J894"/>
    </row>
    <row r="895" spans="10:10" x14ac:dyDescent="0.35">
      <c r="J895"/>
    </row>
    <row r="896" spans="10:10" x14ac:dyDescent="0.35">
      <c r="J896"/>
    </row>
    <row r="897" spans="10:10" x14ac:dyDescent="0.35">
      <c r="J897"/>
    </row>
    <row r="898" spans="10:10" x14ac:dyDescent="0.35">
      <c r="J898"/>
    </row>
    <row r="899" spans="10:10" x14ac:dyDescent="0.35">
      <c r="J899"/>
    </row>
    <row r="900" spans="10:10" x14ac:dyDescent="0.35">
      <c r="J900"/>
    </row>
    <row r="901" spans="10:10" x14ac:dyDescent="0.35">
      <c r="J901"/>
    </row>
    <row r="902" spans="10:10" x14ac:dyDescent="0.35">
      <c r="J902"/>
    </row>
    <row r="903" spans="10:10" x14ac:dyDescent="0.35">
      <c r="J903"/>
    </row>
    <row r="904" spans="10:10" x14ac:dyDescent="0.35">
      <c r="J904"/>
    </row>
    <row r="905" spans="10:10" x14ac:dyDescent="0.35">
      <c r="J905"/>
    </row>
    <row r="906" spans="10:10" x14ac:dyDescent="0.35">
      <c r="J906"/>
    </row>
    <row r="907" spans="10:10" x14ac:dyDescent="0.35">
      <c r="J907"/>
    </row>
    <row r="908" spans="10:10" x14ac:dyDescent="0.35">
      <c r="J908"/>
    </row>
    <row r="909" spans="10:10" x14ac:dyDescent="0.35">
      <c r="J909"/>
    </row>
    <row r="910" spans="10:10" x14ac:dyDescent="0.35">
      <c r="J910"/>
    </row>
    <row r="911" spans="10:10" x14ac:dyDescent="0.35">
      <c r="J911"/>
    </row>
    <row r="912" spans="10:10" x14ac:dyDescent="0.35">
      <c r="J912"/>
    </row>
    <row r="913" spans="10:10" x14ac:dyDescent="0.35">
      <c r="J913"/>
    </row>
    <row r="914" spans="10:10" x14ac:dyDescent="0.35">
      <c r="J914"/>
    </row>
    <row r="915" spans="10:10" x14ac:dyDescent="0.35">
      <c r="J915"/>
    </row>
    <row r="916" spans="10:10" x14ac:dyDescent="0.35">
      <c r="J916"/>
    </row>
    <row r="917" spans="10:10" x14ac:dyDescent="0.35">
      <c r="J917"/>
    </row>
    <row r="918" spans="10:10" x14ac:dyDescent="0.35">
      <c r="J918"/>
    </row>
    <row r="919" spans="10:10" x14ac:dyDescent="0.35">
      <c r="J919"/>
    </row>
    <row r="920" spans="10:10" x14ac:dyDescent="0.35">
      <c r="J920"/>
    </row>
    <row r="921" spans="10:10" x14ac:dyDescent="0.35">
      <c r="J921"/>
    </row>
    <row r="922" spans="10:10" x14ac:dyDescent="0.35">
      <c r="J922"/>
    </row>
    <row r="923" spans="10:10" x14ac:dyDescent="0.35">
      <c r="J923"/>
    </row>
    <row r="924" spans="10:10" x14ac:dyDescent="0.35">
      <c r="J924"/>
    </row>
    <row r="925" spans="10:10" x14ac:dyDescent="0.35">
      <c r="J925"/>
    </row>
    <row r="926" spans="10:10" x14ac:dyDescent="0.35">
      <c r="J926"/>
    </row>
    <row r="927" spans="10:10" x14ac:dyDescent="0.35">
      <c r="J927"/>
    </row>
    <row r="928" spans="10:10" x14ac:dyDescent="0.35">
      <c r="J928"/>
    </row>
    <row r="929" spans="10:10" x14ac:dyDescent="0.35">
      <c r="J929"/>
    </row>
    <row r="930" spans="10:10" x14ac:dyDescent="0.35">
      <c r="J930"/>
    </row>
    <row r="931" spans="10:10" x14ac:dyDescent="0.35">
      <c r="J931"/>
    </row>
    <row r="932" spans="10:10" x14ac:dyDescent="0.35">
      <c r="J932"/>
    </row>
    <row r="933" spans="10:10" x14ac:dyDescent="0.35">
      <c r="J933"/>
    </row>
    <row r="934" spans="10:10" x14ac:dyDescent="0.35">
      <c r="J934"/>
    </row>
    <row r="935" spans="10:10" x14ac:dyDescent="0.35">
      <c r="J935"/>
    </row>
    <row r="936" spans="10:10" x14ac:dyDescent="0.35">
      <c r="J936"/>
    </row>
    <row r="937" spans="10:10" x14ac:dyDescent="0.35">
      <c r="J937"/>
    </row>
    <row r="938" spans="10:10" x14ac:dyDescent="0.35">
      <c r="J938"/>
    </row>
    <row r="939" spans="10:10" x14ac:dyDescent="0.35">
      <c r="J939"/>
    </row>
    <row r="940" spans="10:10" x14ac:dyDescent="0.35">
      <c r="J940"/>
    </row>
    <row r="941" spans="10:10" x14ac:dyDescent="0.35">
      <c r="J941"/>
    </row>
    <row r="942" spans="10:10" x14ac:dyDescent="0.35">
      <c r="J942"/>
    </row>
    <row r="943" spans="10:10" x14ac:dyDescent="0.35">
      <c r="J943"/>
    </row>
    <row r="944" spans="10:10" x14ac:dyDescent="0.35">
      <c r="J944"/>
    </row>
    <row r="945" spans="10:10" x14ac:dyDescent="0.35">
      <c r="J945"/>
    </row>
    <row r="946" spans="10:10" x14ac:dyDescent="0.35">
      <c r="J946"/>
    </row>
    <row r="947" spans="10:10" x14ac:dyDescent="0.35">
      <c r="J947"/>
    </row>
    <row r="948" spans="10:10" x14ac:dyDescent="0.35">
      <c r="J948"/>
    </row>
    <row r="949" spans="10:10" x14ac:dyDescent="0.35">
      <c r="J949"/>
    </row>
    <row r="950" spans="10:10" x14ac:dyDescent="0.35">
      <c r="J950"/>
    </row>
    <row r="951" spans="10:10" x14ac:dyDescent="0.35">
      <c r="J951"/>
    </row>
    <row r="952" spans="10:10" x14ac:dyDescent="0.35">
      <c r="J952"/>
    </row>
    <row r="953" spans="10:10" x14ac:dyDescent="0.35">
      <c r="J953"/>
    </row>
    <row r="954" spans="10:10" x14ac:dyDescent="0.35">
      <c r="J954"/>
    </row>
    <row r="955" spans="10:10" x14ac:dyDescent="0.35">
      <c r="J955"/>
    </row>
    <row r="956" spans="10:10" x14ac:dyDescent="0.35">
      <c r="J956"/>
    </row>
    <row r="957" spans="10:10" x14ac:dyDescent="0.35">
      <c r="J957"/>
    </row>
    <row r="958" spans="10:10" x14ac:dyDescent="0.35">
      <c r="J958"/>
    </row>
    <row r="959" spans="10:10" x14ac:dyDescent="0.35">
      <c r="J959"/>
    </row>
    <row r="960" spans="10:10" x14ac:dyDescent="0.35">
      <c r="J960"/>
    </row>
    <row r="961" spans="10:10" x14ac:dyDescent="0.35">
      <c r="J961"/>
    </row>
    <row r="962" spans="10:10" x14ac:dyDescent="0.35">
      <c r="J962"/>
    </row>
    <row r="963" spans="10:10" x14ac:dyDescent="0.35">
      <c r="J963"/>
    </row>
    <row r="964" spans="10:10" x14ac:dyDescent="0.35">
      <c r="J964"/>
    </row>
    <row r="965" spans="10:10" x14ac:dyDescent="0.35">
      <c r="J965"/>
    </row>
    <row r="966" spans="10:10" x14ac:dyDescent="0.35">
      <c r="J966"/>
    </row>
    <row r="967" spans="10:10" x14ac:dyDescent="0.35">
      <c r="J967"/>
    </row>
    <row r="968" spans="10:10" x14ac:dyDescent="0.35">
      <c r="J968"/>
    </row>
    <row r="969" spans="10:10" x14ac:dyDescent="0.35">
      <c r="J969"/>
    </row>
    <row r="970" spans="10:10" x14ac:dyDescent="0.35">
      <c r="J970"/>
    </row>
    <row r="971" spans="10:10" x14ac:dyDescent="0.35">
      <c r="J971"/>
    </row>
    <row r="972" spans="10:10" x14ac:dyDescent="0.35">
      <c r="J972"/>
    </row>
    <row r="973" spans="10:10" x14ac:dyDescent="0.35">
      <c r="J973"/>
    </row>
    <row r="974" spans="10:10" x14ac:dyDescent="0.35">
      <c r="J974"/>
    </row>
    <row r="975" spans="10:10" x14ac:dyDescent="0.35">
      <c r="J975"/>
    </row>
    <row r="976" spans="10:10" x14ac:dyDescent="0.35">
      <c r="J976"/>
    </row>
    <row r="977" spans="10:10" x14ac:dyDescent="0.35">
      <c r="J977"/>
    </row>
    <row r="978" spans="10:10" x14ac:dyDescent="0.35">
      <c r="J978"/>
    </row>
    <row r="979" spans="10:10" x14ac:dyDescent="0.35">
      <c r="J979"/>
    </row>
    <row r="980" spans="10:10" x14ac:dyDescent="0.35">
      <c r="J980"/>
    </row>
    <row r="981" spans="10:10" x14ac:dyDescent="0.35">
      <c r="J981"/>
    </row>
    <row r="982" spans="10:10" x14ac:dyDescent="0.35">
      <c r="J982"/>
    </row>
    <row r="983" spans="10:10" x14ac:dyDescent="0.35">
      <c r="J983"/>
    </row>
    <row r="984" spans="10:10" x14ac:dyDescent="0.35">
      <c r="J984"/>
    </row>
    <row r="985" spans="10:10" x14ac:dyDescent="0.35">
      <c r="J985"/>
    </row>
    <row r="986" spans="10:10" x14ac:dyDescent="0.35">
      <c r="J986"/>
    </row>
    <row r="987" spans="10:10" x14ac:dyDescent="0.35">
      <c r="J987"/>
    </row>
    <row r="988" spans="10:10" x14ac:dyDescent="0.35">
      <c r="J988"/>
    </row>
    <row r="989" spans="10:10" x14ac:dyDescent="0.35">
      <c r="J989"/>
    </row>
    <row r="990" spans="10:10" x14ac:dyDescent="0.35">
      <c r="J990"/>
    </row>
    <row r="991" spans="10:10" x14ac:dyDescent="0.35">
      <c r="J991"/>
    </row>
    <row r="992" spans="10:10" x14ac:dyDescent="0.35">
      <c r="J992"/>
    </row>
    <row r="993" spans="10:10" x14ac:dyDescent="0.35">
      <c r="J993"/>
    </row>
    <row r="994" spans="10:10" x14ac:dyDescent="0.35">
      <c r="J994"/>
    </row>
    <row r="995" spans="10:10" x14ac:dyDescent="0.35">
      <c r="J995"/>
    </row>
    <row r="996" spans="10:10" x14ac:dyDescent="0.35">
      <c r="J996"/>
    </row>
    <row r="997" spans="10:10" x14ac:dyDescent="0.35">
      <c r="J997"/>
    </row>
    <row r="998" spans="10:10" x14ac:dyDescent="0.35">
      <c r="J998"/>
    </row>
    <row r="999" spans="10:10" x14ac:dyDescent="0.35">
      <c r="J999"/>
    </row>
    <row r="1000" spans="10:10" x14ac:dyDescent="0.35">
      <c r="J1000"/>
    </row>
    <row r="1001" spans="10:10" x14ac:dyDescent="0.35">
      <c r="J1001"/>
    </row>
    <row r="1002" spans="10:10" x14ac:dyDescent="0.35">
      <c r="J1002"/>
    </row>
    <row r="1003" spans="10:10" x14ac:dyDescent="0.35">
      <c r="J1003"/>
    </row>
    <row r="1004" spans="10:10" x14ac:dyDescent="0.35">
      <c r="J1004"/>
    </row>
    <row r="1005" spans="10:10" x14ac:dyDescent="0.35">
      <c r="J1005"/>
    </row>
    <row r="1006" spans="10:10" x14ac:dyDescent="0.35">
      <c r="J1006"/>
    </row>
    <row r="1007" spans="10:10" x14ac:dyDescent="0.35">
      <c r="J1007"/>
    </row>
    <row r="1008" spans="10:10" x14ac:dyDescent="0.35">
      <c r="J1008"/>
    </row>
    <row r="1009" spans="10:10" x14ac:dyDescent="0.35">
      <c r="J1009"/>
    </row>
    <row r="1010" spans="10:10" x14ac:dyDescent="0.35">
      <c r="J1010"/>
    </row>
    <row r="1011" spans="10:10" x14ac:dyDescent="0.35">
      <c r="J1011"/>
    </row>
    <row r="1012" spans="10:10" x14ac:dyDescent="0.35">
      <c r="J1012"/>
    </row>
    <row r="1013" spans="10:10" x14ac:dyDescent="0.35">
      <c r="J1013"/>
    </row>
    <row r="1014" spans="10:10" x14ac:dyDescent="0.35">
      <c r="J1014"/>
    </row>
    <row r="1015" spans="10:10" x14ac:dyDescent="0.35">
      <c r="J1015"/>
    </row>
    <row r="1016" spans="10:10" x14ac:dyDescent="0.35">
      <c r="J1016"/>
    </row>
    <row r="1017" spans="10:10" x14ac:dyDescent="0.35">
      <c r="J1017"/>
    </row>
    <row r="1018" spans="10:10" x14ac:dyDescent="0.35">
      <c r="J1018"/>
    </row>
    <row r="1019" spans="10:10" x14ac:dyDescent="0.35">
      <c r="J1019"/>
    </row>
    <row r="1020" spans="10:10" x14ac:dyDescent="0.35">
      <c r="J1020"/>
    </row>
    <row r="1021" spans="10:10" x14ac:dyDescent="0.35">
      <c r="J1021"/>
    </row>
    <row r="1022" spans="10:10" x14ac:dyDescent="0.35">
      <c r="J1022"/>
    </row>
    <row r="1023" spans="10:10" x14ac:dyDescent="0.35">
      <c r="J1023"/>
    </row>
    <row r="1024" spans="10:10" x14ac:dyDescent="0.35">
      <c r="J1024"/>
    </row>
    <row r="1025" spans="10:10" x14ac:dyDescent="0.35">
      <c r="J1025"/>
    </row>
    <row r="1026" spans="10:10" x14ac:dyDescent="0.35">
      <c r="J1026"/>
    </row>
    <row r="1027" spans="10:10" x14ac:dyDescent="0.35">
      <c r="J1027"/>
    </row>
    <row r="1028" spans="10:10" x14ac:dyDescent="0.35">
      <c r="J1028"/>
    </row>
    <row r="1029" spans="10:10" x14ac:dyDescent="0.35">
      <c r="J1029"/>
    </row>
    <row r="1030" spans="10:10" x14ac:dyDescent="0.35">
      <c r="J1030"/>
    </row>
    <row r="1031" spans="10:10" x14ac:dyDescent="0.35">
      <c r="J1031"/>
    </row>
    <row r="1032" spans="10:10" x14ac:dyDescent="0.35">
      <c r="J1032"/>
    </row>
    <row r="1033" spans="10:10" x14ac:dyDescent="0.35">
      <c r="J1033"/>
    </row>
    <row r="1034" spans="10:10" x14ac:dyDescent="0.35">
      <c r="J1034"/>
    </row>
    <row r="1035" spans="10:10" x14ac:dyDescent="0.35">
      <c r="J1035"/>
    </row>
    <row r="1036" spans="10:10" x14ac:dyDescent="0.35">
      <c r="J1036"/>
    </row>
    <row r="1037" spans="10:10" x14ac:dyDescent="0.35">
      <c r="J1037"/>
    </row>
    <row r="1038" spans="10:10" x14ac:dyDescent="0.35">
      <c r="J1038"/>
    </row>
    <row r="1039" spans="10:10" x14ac:dyDescent="0.35">
      <c r="J1039"/>
    </row>
    <row r="1040" spans="10:10" x14ac:dyDescent="0.35">
      <c r="J1040"/>
    </row>
    <row r="1041" spans="10:10" x14ac:dyDescent="0.35">
      <c r="J1041"/>
    </row>
    <row r="1042" spans="10:10" x14ac:dyDescent="0.35">
      <c r="J1042"/>
    </row>
    <row r="1043" spans="10:10" x14ac:dyDescent="0.35">
      <c r="J1043"/>
    </row>
    <row r="1044" spans="10:10" x14ac:dyDescent="0.35">
      <c r="J1044"/>
    </row>
    <row r="1045" spans="10:10" x14ac:dyDescent="0.35">
      <c r="J1045"/>
    </row>
    <row r="1046" spans="10:10" x14ac:dyDescent="0.35">
      <c r="J1046"/>
    </row>
    <row r="1047" spans="10:10" x14ac:dyDescent="0.35">
      <c r="J1047"/>
    </row>
    <row r="1048" spans="10:10" x14ac:dyDescent="0.35">
      <c r="J1048"/>
    </row>
    <row r="1049" spans="10:10" x14ac:dyDescent="0.35">
      <c r="J1049"/>
    </row>
    <row r="1050" spans="10:10" x14ac:dyDescent="0.35">
      <c r="J1050"/>
    </row>
    <row r="1051" spans="10:10" x14ac:dyDescent="0.35">
      <c r="J1051"/>
    </row>
    <row r="1052" spans="10:10" x14ac:dyDescent="0.35">
      <c r="J1052"/>
    </row>
    <row r="1053" spans="10:10" x14ac:dyDescent="0.35">
      <c r="J1053"/>
    </row>
    <row r="1054" spans="10:10" x14ac:dyDescent="0.35">
      <c r="J1054"/>
    </row>
    <row r="1055" spans="10:10" x14ac:dyDescent="0.35">
      <c r="J1055"/>
    </row>
    <row r="1056" spans="10:10" x14ac:dyDescent="0.35">
      <c r="J1056"/>
    </row>
    <row r="1057" spans="10:10" x14ac:dyDescent="0.35">
      <c r="J1057"/>
    </row>
    <row r="1058" spans="10:10" x14ac:dyDescent="0.35">
      <c r="J1058"/>
    </row>
    <row r="1059" spans="10:10" x14ac:dyDescent="0.35">
      <c r="J1059"/>
    </row>
    <row r="1060" spans="10:10" x14ac:dyDescent="0.35">
      <c r="J1060"/>
    </row>
    <row r="1061" spans="10:10" x14ac:dyDescent="0.35">
      <c r="J1061"/>
    </row>
    <row r="1062" spans="10:10" x14ac:dyDescent="0.35">
      <c r="J1062"/>
    </row>
    <row r="1063" spans="10:10" x14ac:dyDescent="0.35">
      <c r="J1063"/>
    </row>
    <row r="1064" spans="10:10" x14ac:dyDescent="0.35">
      <c r="J1064"/>
    </row>
    <row r="1065" spans="10:10" x14ac:dyDescent="0.35">
      <c r="J1065"/>
    </row>
    <row r="1066" spans="10:10" x14ac:dyDescent="0.35">
      <c r="J1066"/>
    </row>
    <row r="1067" spans="10:10" x14ac:dyDescent="0.35">
      <c r="J1067"/>
    </row>
    <row r="1068" spans="10:10" x14ac:dyDescent="0.35">
      <c r="J1068"/>
    </row>
    <row r="1069" spans="10:10" x14ac:dyDescent="0.35">
      <c r="J1069"/>
    </row>
    <row r="1070" spans="10:10" x14ac:dyDescent="0.35">
      <c r="J1070"/>
    </row>
    <row r="1071" spans="10:10" x14ac:dyDescent="0.35">
      <c r="J1071"/>
    </row>
    <row r="1072" spans="10:10" x14ac:dyDescent="0.35">
      <c r="J1072"/>
    </row>
    <row r="1073" spans="10:10" x14ac:dyDescent="0.35">
      <c r="J1073"/>
    </row>
    <row r="1074" spans="10:10" x14ac:dyDescent="0.35">
      <c r="J1074"/>
    </row>
    <row r="1075" spans="10:10" x14ac:dyDescent="0.35">
      <c r="J1075"/>
    </row>
    <row r="1076" spans="10:10" x14ac:dyDescent="0.35">
      <c r="J1076"/>
    </row>
    <row r="1077" spans="10:10" x14ac:dyDescent="0.35">
      <c r="J1077"/>
    </row>
    <row r="1078" spans="10:10" x14ac:dyDescent="0.35">
      <c r="J1078"/>
    </row>
    <row r="1079" spans="10:10" x14ac:dyDescent="0.35">
      <c r="J1079"/>
    </row>
    <row r="1080" spans="10:10" x14ac:dyDescent="0.35">
      <c r="J1080"/>
    </row>
    <row r="1081" spans="10:10" x14ac:dyDescent="0.35">
      <c r="J1081"/>
    </row>
    <row r="1082" spans="10:10" x14ac:dyDescent="0.35">
      <c r="J1082"/>
    </row>
    <row r="1083" spans="10:10" x14ac:dyDescent="0.35">
      <c r="J1083"/>
    </row>
    <row r="1084" spans="10:10" x14ac:dyDescent="0.35">
      <c r="J1084"/>
    </row>
    <row r="1085" spans="10:10" x14ac:dyDescent="0.35">
      <c r="J1085"/>
    </row>
    <row r="1086" spans="10:10" x14ac:dyDescent="0.35">
      <c r="J1086"/>
    </row>
    <row r="1087" spans="10:10" x14ac:dyDescent="0.35">
      <c r="J1087"/>
    </row>
    <row r="1088" spans="10:10" x14ac:dyDescent="0.35">
      <c r="J1088"/>
    </row>
    <row r="1089" spans="10:10" x14ac:dyDescent="0.35">
      <c r="J1089"/>
    </row>
    <row r="1090" spans="10:10" x14ac:dyDescent="0.35">
      <c r="J1090"/>
    </row>
    <row r="1091" spans="10:10" x14ac:dyDescent="0.35">
      <c r="J1091"/>
    </row>
    <row r="1092" spans="10:10" x14ac:dyDescent="0.35">
      <c r="J1092"/>
    </row>
    <row r="1093" spans="10:10" x14ac:dyDescent="0.35">
      <c r="J1093"/>
    </row>
    <row r="1094" spans="10:10" x14ac:dyDescent="0.35">
      <c r="J1094"/>
    </row>
    <row r="1095" spans="10:10" x14ac:dyDescent="0.35">
      <c r="J1095"/>
    </row>
    <row r="1096" spans="10:10" x14ac:dyDescent="0.35">
      <c r="J1096"/>
    </row>
    <row r="1097" spans="10:10" x14ac:dyDescent="0.35">
      <c r="J1097"/>
    </row>
    <row r="1098" spans="10:10" x14ac:dyDescent="0.35">
      <c r="J1098"/>
    </row>
    <row r="1099" spans="10:10" x14ac:dyDescent="0.35">
      <c r="J1099"/>
    </row>
    <row r="1100" spans="10:10" x14ac:dyDescent="0.35">
      <c r="J1100"/>
    </row>
    <row r="1101" spans="10:10" x14ac:dyDescent="0.35">
      <c r="J1101"/>
    </row>
    <row r="1102" spans="10:10" x14ac:dyDescent="0.35">
      <c r="J1102"/>
    </row>
    <row r="1103" spans="10:10" x14ac:dyDescent="0.35">
      <c r="J1103"/>
    </row>
    <row r="1104" spans="10:10" x14ac:dyDescent="0.35">
      <c r="J1104"/>
    </row>
    <row r="1105" spans="10:10" x14ac:dyDescent="0.35">
      <c r="J1105"/>
    </row>
    <row r="1106" spans="10:10" x14ac:dyDescent="0.35">
      <c r="J1106"/>
    </row>
    <row r="1107" spans="10:10" x14ac:dyDescent="0.35">
      <c r="J1107"/>
    </row>
    <row r="1108" spans="10:10" x14ac:dyDescent="0.35">
      <c r="J1108"/>
    </row>
    <row r="1109" spans="10:10" x14ac:dyDescent="0.35">
      <c r="J1109"/>
    </row>
    <row r="1110" spans="10:10" x14ac:dyDescent="0.35">
      <c r="J1110"/>
    </row>
    <row r="1111" spans="10:10" x14ac:dyDescent="0.35">
      <c r="J1111"/>
    </row>
    <row r="1112" spans="10:10" x14ac:dyDescent="0.35">
      <c r="J1112"/>
    </row>
    <row r="1113" spans="10:10" x14ac:dyDescent="0.35">
      <c r="J1113"/>
    </row>
    <row r="1114" spans="10:10" x14ac:dyDescent="0.35">
      <c r="J1114"/>
    </row>
    <row r="1115" spans="10:10" x14ac:dyDescent="0.35">
      <c r="J1115"/>
    </row>
    <row r="1116" spans="10:10" x14ac:dyDescent="0.35">
      <c r="J1116"/>
    </row>
    <row r="1117" spans="10:10" x14ac:dyDescent="0.35">
      <c r="J1117"/>
    </row>
    <row r="1118" spans="10:10" x14ac:dyDescent="0.35">
      <c r="J1118"/>
    </row>
    <row r="1119" spans="10:10" x14ac:dyDescent="0.35">
      <c r="J1119"/>
    </row>
    <row r="1120" spans="10:10" x14ac:dyDescent="0.35">
      <c r="J1120"/>
    </row>
    <row r="1121" spans="10:10" x14ac:dyDescent="0.35">
      <c r="J1121"/>
    </row>
    <row r="1122" spans="10:10" x14ac:dyDescent="0.35">
      <c r="J1122"/>
    </row>
    <row r="1123" spans="10:10" x14ac:dyDescent="0.35">
      <c r="J1123"/>
    </row>
    <row r="1124" spans="10:10" x14ac:dyDescent="0.35">
      <c r="J1124"/>
    </row>
    <row r="1125" spans="10:10" x14ac:dyDescent="0.35">
      <c r="J1125"/>
    </row>
    <row r="1126" spans="10:10" x14ac:dyDescent="0.35">
      <c r="J1126"/>
    </row>
    <row r="1127" spans="10:10" x14ac:dyDescent="0.35">
      <c r="J1127"/>
    </row>
    <row r="1128" spans="10:10" x14ac:dyDescent="0.35">
      <c r="J1128"/>
    </row>
    <row r="1129" spans="10:10" x14ac:dyDescent="0.35">
      <c r="J1129"/>
    </row>
    <row r="1130" spans="10:10" x14ac:dyDescent="0.35">
      <c r="J1130"/>
    </row>
    <row r="1131" spans="10:10" x14ac:dyDescent="0.35">
      <c r="J1131"/>
    </row>
    <row r="1132" spans="10:10" x14ac:dyDescent="0.35">
      <c r="J1132"/>
    </row>
    <row r="1133" spans="10:10" x14ac:dyDescent="0.35">
      <c r="J1133"/>
    </row>
    <row r="1134" spans="10:10" x14ac:dyDescent="0.35">
      <c r="J1134"/>
    </row>
    <row r="1135" spans="10:10" x14ac:dyDescent="0.35">
      <c r="J1135"/>
    </row>
    <row r="1136" spans="10:10" x14ac:dyDescent="0.35">
      <c r="J1136"/>
    </row>
    <row r="1137" spans="10:10" x14ac:dyDescent="0.35">
      <c r="J1137"/>
    </row>
    <row r="1138" spans="10:10" x14ac:dyDescent="0.35">
      <c r="J1138"/>
    </row>
    <row r="1139" spans="10:10" x14ac:dyDescent="0.35">
      <c r="J1139"/>
    </row>
    <row r="1140" spans="10:10" x14ac:dyDescent="0.35">
      <c r="J1140"/>
    </row>
    <row r="1141" spans="10:10" x14ac:dyDescent="0.35">
      <c r="J1141"/>
    </row>
    <row r="1142" spans="10:10" x14ac:dyDescent="0.35">
      <c r="J1142"/>
    </row>
    <row r="1143" spans="10:10" x14ac:dyDescent="0.35">
      <c r="J1143"/>
    </row>
    <row r="1144" spans="10:10" x14ac:dyDescent="0.35">
      <c r="J1144"/>
    </row>
    <row r="1145" spans="10:10" x14ac:dyDescent="0.35">
      <c r="J1145"/>
    </row>
    <row r="1146" spans="10:10" x14ac:dyDescent="0.35">
      <c r="J1146"/>
    </row>
    <row r="1147" spans="10:10" x14ac:dyDescent="0.35">
      <c r="J1147"/>
    </row>
    <row r="1148" spans="10:10" x14ac:dyDescent="0.35">
      <c r="J1148"/>
    </row>
    <row r="1149" spans="10:10" x14ac:dyDescent="0.35">
      <c r="J1149"/>
    </row>
    <row r="1150" spans="10:10" x14ac:dyDescent="0.35">
      <c r="J1150"/>
    </row>
    <row r="1151" spans="10:10" x14ac:dyDescent="0.35">
      <c r="J1151"/>
    </row>
    <row r="1152" spans="10:10" x14ac:dyDescent="0.35">
      <c r="J1152"/>
    </row>
    <row r="1153" spans="10:10" x14ac:dyDescent="0.35">
      <c r="J1153"/>
    </row>
    <row r="1154" spans="10:10" x14ac:dyDescent="0.35">
      <c r="J1154"/>
    </row>
    <row r="1155" spans="10:10" x14ac:dyDescent="0.35">
      <c r="J1155"/>
    </row>
    <row r="1156" spans="10:10" x14ac:dyDescent="0.35">
      <c r="J1156"/>
    </row>
    <row r="1157" spans="10:10" x14ac:dyDescent="0.35">
      <c r="J1157"/>
    </row>
    <row r="1158" spans="10:10" x14ac:dyDescent="0.35">
      <c r="J1158"/>
    </row>
    <row r="1159" spans="10:10" x14ac:dyDescent="0.35">
      <c r="J1159"/>
    </row>
    <row r="1160" spans="10:10" x14ac:dyDescent="0.35">
      <c r="J1160"/>
    </row>
    <row r="1161" spans="10:10" x14ac:dyDescent="0.35">
      <c r="J1161"/>
    </row>
    <row r="1162" spans="10:10" x14ac:dyDescent="0.35">
      <c r="J1162"/>
    </row>
    <row r="1163" spans="10:10" x14ac:dyDescent="0.35">
      <c r="J1163"/>
    </row>
    <row r="1164" spans="10:10" x14ac:dyDescent="0.35">
      <c r="J1164"/>
    </row>
    <row r="1165" spans="10:10" x14ac:dyDescent="0.35">
      <c r="J1165"/>
    </row>
    <row r="1166" spans="10:10" x14ac:dyDescent="0.35">
      <c r="J1166"/>
    </row>
    <row r="1167" spans="10:10" x14ac:dyDescent="0.35">
      <c r="J1167"/>
    </row>
    <row r="1168" spans="10:10" x14ac:dyDescent="0.35">
      <c r="J1168"/>
    </row>
    <row r="1169" spans="10:10" x14ac:dyDescent="0.35">
      <c r="J1169"/>
    </row>
    <row r="1170" spans="10:10" x14ac:dyDescent="0.35">
      <c r="J1170"/>
    </row>
    <row r="1171" spans="10:10" x14ac:dyDescent="0.35">
      <c r="J1171"/>
    </row>
    <row r="1172" spans="10:10" x14ac:dyDescent="0.35">
      <c r="J1172"/>
    </row>
    <row r="1173" spans="10:10" x14ac:dyDescent="0.35">
      <c r="J1173"/>
    </row>
    <row r="1174" spans="10:10" x14ac:dyDescent="0.35">
      <c r="J1174"/>
    </row>
    <row r="1175" spans="10:10" x14ac:dyDescent="0.35">
      <c r="J1175"/>
    </row>
    <row r="1176" spans="10:10" x14ac:dyDescent="0.35">
      <c r="J1176"/>
    </row>
    <row r="1177" spans="10:10" x14ac:dyDescent="0.35">
      <c r="J1177"/>
    </row>
    <row r="1178" spans="10:10" x14ac:dyDescent="0.35">
      <c r="J1178"/>
    </row>
    <row r="1179" spans="10:10" x14ac:dyDescent="0.35">
      <c r="J1179"/>
    </row>
    <row r="1180" spans="10:10" x14ac:dyDescent="0.35">
      <c r="J1180"/>
    </row>
    <row r="1181" spans="10:10" x14ac:dyDescent="0.35">
      <c r="J1181"/>
    </row>
    <row r="1182" spans="10:10" x14ac:dyDescent="0.35">
      <c r="J1182"/>
    </row>
    <row r="1183" spans="10:10" x14ac:dyDescent="0.35">
      <c r="J1183"/>
    </row>
    <row r="1184" spans="10:10" x14ac:dyDescent="0.35">
      <c r="J1184"/>
    </row>
    <row r="1185" spans="10:10" x14ac:dyDescent="0.35">
      <c r="J1185"/>
    </row>
    <row r="1186" spans="10:10" x14ac:dyDescent="0.35">
      <c r="J1186"/>
    </row>
    <row r="1187" spans="10:10" x14ac:dyDescent="0.35">
      <c r="J1187"/>
    </row>
    <row r="1188" spans="10:10" x14ac:dyDescent="0.35">
      <c r="J1188"/>
    </row>
    <row r="1189" spans="10:10" x14ac:dyDescent="0.35">
      <c r="J1189"/>
    </row>
    <row r="1190" spans="10:10" x14ac:dyDescent="0.35">
      <c r="J1190"/>
    </row>
    <row r="1191" spans="10:10" x14ac:dyDescent="0.35">
      <c r="J1191"/>
    </row>
    <row r="1192" spans="10:10" x14ac:dyDescent="0.35">
      <c r="J1192"/>
    </row>
    <row r="1193" spans="10:10" x14ac:dyDescent="0.35">
      <c r="J1193"/>
    </row>
    <row r="1194" spans="10:10" x14ac:dyDescent="0.35">
      <c r="J1194"/>
    </row>
    <row r="1195" spans="10:10" x14ac:dyDescent="0.35">
      <c r="J1195"/>
    </row>
    <row r="1196" spans="10:10" x14ac:dyDescent="0.35">
      <c r="J1196"/>
    </row>
    <row r="1197" spans="10:10" x14ac:dyDescent="0.35">
      <c r="J1197"/>
    </row>
    <row r="1198" spans="10:10" x14ac:dyDescent="0.35">
      <c r="J1198"/>
    </row>
    <row r="1199" spans="10:10" x14ac:dyDescent="0.35">
      <c r="J1199"/>
    </row>
    <row r="1200" spans="10:10" x14ac:dyDescent="0.35">
      <c r="J1200"/>
    </row>
    <row r="1201" spans="10:10" x14ac:dyDescent="0.35">
      <c r="J1201"/>
    </row>
    <row r="1202" spans="10:10" x14ac:dyDescent="0.35">
      <c r="J1202"/>
    </row>
    <row r="1203" spans="10:10" x14ac:dyDescent="0.35">
      <c r="J1203"/>
    </row>
    <row r="1204" spans="10:10" x14ac:dyDescent="0.35">
      <c r="J1204"/>
    </row>
    <row r="1205" spans="10:10" x14ac:dyDescent="0.35">
      <c r="J1205"/>
    </row>
    <row r="1206" spans="10:10" x14ac:dyDescent="0.35">
      <c r="J1206"/>
    </row>
    <row r="1207" spans="10:10" x14ac:dyDescent="0.35">
      <c r="J1207"/>
    </row>
    <row r="1208" spans="10:10" x14ac:dyDescent="0.35">
      <c r="J1208"/>
    </row>
    <row r="1209" spans="10:10" x14ac:dyDescent="0.35">
      <c r="J1209"/>
    </row>
    <row r="1210" spans="10:10" x14ac:dyDescent="0.35">
      <c r="J1210"/>
    </row>
    <row r="1211" spans="10:10" x14ac:dyDescent="0.35">
      <c r="J1211"/>
    </row>
    <row r="1212" spans="10:10" x14ac:dyDescent="0.35">
      <c r="J1212"/>
    </row>
    <row r="1213" spans="10:10" x14ac:dyDescent="0.35">
      <c r="J1213"/>
    </row>
    <row r="1214" spans="10:10" x14ac:dyDescent="0.35">
      <c r="J1214"/>
    </row>
    <row r="1215" spans="10:10" x14ac:dyDescent="0.35">
      <c r="J1215"/>
    </row>
    <row r="1216" spans="10:10" x14ac:dyDescent="0.35">
      <c r="J1216"/>
    </row>
    <row r="1217" spans="10:10" x14ac:dyDescent="0.35">
      <c r="J1217"/>
    </row>
    <row r="1218" spans="10:10" x14ac:dyDescent="0.35">
      <c r="J1218"/>
    </row>
    <row r="1219" spans="10:10" x14ac:dyDescent="0.35">
      <c r="J1219"/>
    </row>
    <row r="1220" spans="10:10" x14ac:dyDescent="0.35">
      <c r="J1220"/>
    </row>
    <row r="1221" spans="10:10" x14ac:dyDescent="0.35">
      <c r="J1221"/>
    </row>
    <row r="1222" spans="10:10" x14ac:dyDescent="0.35">
      <c r="J1222"/>
    </row>
    <row r="1223" spans="10:10" x14ac:dyDescent="0.35">
      <c r="J1223"/>
    </row>
    <row r="1224" spans="10:10" x14ac:dyDescent="0.35">
      <c r="J1224"/>
    </row>
    <row r="1225" spans="10:10" x14ac:dyDescent="0.35">
      <c r="J1225"/>
    </row>
    <row r="1226" spans="10:10" x14ac:dyDescent="0.35">
      <c r="J1226"/>
    </row>
    <row r="1227" spans="10:10" x14ac:dyDescent="0.35">
      <c r="J1227"/>
    </row>
    <row r="1228" spans="10:10" x14ac:dyDescent="0.35">
      <c r="J1228"/>
    </row>
    <row r="1229" spans="10:10" x14ac:dyDescent="0.35">
      <c r="J1229"/>
    </row>
    <row r="1230" spans="10:10" x14ac:dyDescent="0.35">
      <c r="J1230"/>
    </row>
    <row r="1231" spans="10:10" x14ac:dyDescent="0.35">
      <c r="J1231"/>
    </row>
    <row r="1232" spans="10:10" x14ac:dyDescent="0.35">
      <c r="J1232"/>
    </row>
    <row r="1233" spans="10:10" x14ac:dyDescent="0.35">
      <c r="J1233"/>
    </row>
    <row r="1234" spans="10:10" x14ac:dyDescent="0.35">
      <c r="J1234"/>
    </row>
    <row r="1235" spans="10:10" x14ac:dyDescent="0.35">
      <c r="J1235"/>
    </row>
    <row r="1236" spans="10:10" x14ac:dyDescent="0.35">
      <c r="J1236"/>
    </row>
    <row r="1237" spans="10:10" x14ac:dyDescent="0.35">
      <c r="J1237"/>
    </row>
    <row r="1238" spans="10:10" x14ac:dyDescent="0.35">
      <c r="J1238"/>
    </row>
    <row r="1239" spans="10:10" x14ac:dyDescent="0.35">
      <c r="J1239"/>
    </row>
    <row r="1240" spans="10:10" x14ac:dyDescent="0.35">
      <c r="J1240"/>
    </row>
    <row r="1241" spans="10:10" x14ac:dyDescent="0.35">
      <c r="J1241"/>
    </row>
    <row r="1242" spans="10:10" x14ac:dyDescent="0.35">
      <c r="J1242"/>
    </row>
    <row r="1243" spans="10:10" x14ac:dyDescent="0.35">
      <c r="J1243"/>
    </row>
    <row r="1244" spans="10:10" x14ac:dyDescent="0.35">
      <c r="J1244"/>
    </row>
    <row r="1245" spans="10:10" x14ac:dyDescent="0.35">
      <c r="J1245"/>
    </row>
    <row r="1246" spans="10:10" x14ac:dyDescent="0.35">
      <c r="J1246"/>
    </row>
    <row r="1247" spans="10:10" x14ac:dyDescent="0.35">
      <c r="J1247"/>
    </row>
    <row r="1248" spans="10:10" x14ac:dyDescent="0.35">
      <c r="J1248"/>
    </row>
    <row r="1249" spans="10:10" x14ac:dyDescent="0.35">
      <c r="J1249"/>
    </row>
    <row r="1250" spans="10:10" x14ac:dyDescent="0.35">
      <c r="J1250"/>
    </row>
    <row r="1251" spans="10:10" x14ac:dyDescent="0.35">
      <c r="J1251"/>
    </row>
    <row r="1252" spans="10:10" x14ac:dyDescent="0.35">
      <c r="J1252"/>
    </row>
    <row r="1253" spans="10:10" x14ac:dyDescent="0.35">
      <c r="J1253"/>
    </row>
    <row r="1254" spans="10:10" x14ac:dyDescent="0.35">
      <c r="J1254"/>
    </row>
    <row r="1255" spans="10:10" x14ac:dyDescent="0.35">
      <c r="J1255"/>
    </row>
    <row r="1256" spans="10:10" x14ac:dyDescent="0.35">
      <c r="J1256"/>
    </row>
    <row r="1257" spans="10:10" x14ac:dyDescent="0.35">
      <c r="J1257"/>
    </row>
    <row r="1258" spans="10:10" x14ac:dyDescent="0.35">
      <c r="J1258"/>
    </row>
    <row r="1259" spans="10:10" x14ac:dyDescent="0.35">
      <c r="J1259"/>
    </row>
    <row r="1260" spans="10:10" x14ac:dyDescent="0.35">
      <c r="J1260"/>
    </row>
    <row r="1261" spans="10:10" x14ac:dyDescent="0.35">
      <c r="J1261"/>
    </row>
    <row r="1262" spans="10:10" x14ac:dyDescent="0.35">
      <c r="J1262"/>
    </row>
    <row r="1263" spans="10:10" x14ac:dyDescent="0.35">
      <c r="J1263"/>
    </row>
    <row r="1264" spans="10:10" x14ac:dyDescent="0.35">
      <c r="J1264"/>
    </row>
    <row r="1265" spans="10:10" x14ac:dyDescent="0.35">
      <c r="J1265"/>
    </row>
    <row r="1266" spans="10:10" x14ac:dyDescent="0.35">
      <c r="J1266"/>
    </row>
    <row r="1267" spans="10:10" x14ac:dyDescent="0.35">
      <c r="J1267"/>
    </row>
    <row r="1268" spans="10:10" x14ac:dyDescent="0.35">
      <c r="J1268"/>
    </row>
    <row r="1269" spans="10:10" x14ac:dyDescent="0.35">
      <c r="J1269"/>
    </row>
    <row r="1270" spans="10:10" x14ac:dyDescent="0.35">
      <c r="J1270"/>
    </row>
    <row r="1271" spans="10:10" x14ac:dyDescent="0.35">
      <c r="J1271"/>
    </row>
    <row r="1272" spans="10:10" x14ac:dyDescent="0.35">
      <c r="J1272"/>
    </row>
    <row r="1273" spans="10:10" x14ac:dyDescent="0.35">
      <c r="J1273"/>
    </row>
    <row r="1274" spans="10:10" x14ac:dyDescent="0.35">
      <c r="J1274"/>
    </row>
    <row r="1275" spans="10:10" x14ac:dyDescent="0.35">
      <c r="J1275"/>
    </row>
    <row r="1276" spans="10:10" x14ac:dyDescent="0.35">
      <c r="J1276"/>
    </row>
    <row r="1277" spans="10:10" x14ac:dyDescent="0.35">
      <c r="J1277"/>
    </row>
    <row r="1278" spans="10:10" x14ac:dyDescent="0.35">
      <c r="J1278"/>
    </row>
    <row r="1279" spans="10:10" x14ac:dyDescent="0.35">
      <c r="J1279"/>
    </row>
    <row r="1280" spans="10:10" x14ac:dyDescent="0.35">
      <c r="J1280"/>
    </row>
    <row r="1281" spans="10:10" x14ac:dyDescent="0.35">
      <c r="J1281"/>
    </row>
    <row r="1282" spans="10:10" x14ac:dyDescent="0.35">
      <c r="J1282"/>
    </row>
    <row r="1283" spans="10:10" x14ac:dyDescent="0.35">
      <c r="J1283"/>
    </row>
    <row r="1284" spans="10:10" x14ac:dyDescent="0.35">
      <c r="J1284"/>
    </row>
    <row r="1285" spans="10:10" x14ac:dyDescent="0.35">
      <c r="J1285"/>
    </row>
    <row r="1286" spans="10:10" x14ac:dyDescent="0.35">
      <c r="J1286"/>
    </row>
    <row r="1287" spans="10:10" x14ac:dyDescent="0.35">
      <c r="J1287"/>
    </row>
    <row r="1288" spans="10:10" x14ac:dyDescent="0.35">
      <c r="J1288"/>
    </row>
    <row r="1289" spans="10:10" x14ac:dyDescent="0.35">
      <c r="J1289"/>
    </row>
    <row r="1290" spans="10:10" x14ac:dyDescent="0.35">
      <c r="J1290"/>
    </row>
    <row r="1291" spans="10:10" x14ac:dyDescent="0.35">
      <c r="J1291"/>
    </row>
    <row r="1292" spans="10:10" x14ac:dyDescent="0.35">
      <c r="J1292"/>
    </row>
    <row r="1293" spans="10:10" x14ac:dyDescent="0.35">
      <c r="J1293"/>
    </row>
    <row r="1294" spans="10:10" x14ac:dyDescent="0.35">
      <c r="J1294"/>
    </row>
    <row r="1295" spans="10:10" x14ac:dyDescent="0.35">
      <c r="J1295"/>
    </row>
    <row r="1296" spans="10:10" x14ac:dyDescent="0.35">
      <c r="J1296"/>
    </row>
    <row r="1297" spans="10:10" x14ac:dyDescent="0.35">
      <c r="J1297"/>
    </row>
    <row r="1298" spans="10:10" x14ac:dyDescent="0.35">
      <c r="J1298"/>
    </row>
    <row r="1299" spans="10:10" x14ac:dyDescent="0.35">
      <c r="J1299"/>
    </row>
    <row r="1300" spans="10:10" x14ac:dyDescent="0.35">
      <c r="J1300"/>
    </row>
    <row r="1301" spans="10:10" x14ac:dyDescent="0.35">
      <c r="J1301"/>
    </row>
    <row r="1302" spans="10:10" x14ac:dyDescent="0.35">
      <c r="J1302"/>
    </row>
    <row r="1303" spans="10:10" x14ac:dyDescent="0.35">
      <c r="J1303"/>
    </row>
    <row r="1304" spans="10:10" x14ac:dyDescent="0.35">
      <c r="J1304"/>
    </row>
    <row r="1305" spans="10:10" x14ac:dyDescent="0.35">
      <c r="J1305"/>
    </row>
    <row r="1306" spans="10:10" x14ac:dyDescent="0.35">
      <c r="J1306"/>
    </row>
    <row r="1307" spans="10:10" x14ac:dyDescent="0.35">
      <c r="J1307"/>
    </row>
    <row r="1308" spans="10:10" x14ac:dyDescent="0.35">
      <c r="J1308"/>
    </row>
    <row r="1309" spans="10:10" x14ac:dyDescent="0.35">
      <c r="J1309"/>
    </row>
    <row r="1310" spans="10:10" x14ac:dyDescent="0.35">
      <c r="J1310"/>
    </row>
    <row r="1311" spans="10:10" x14ac:dyDescent="0.35">
      <c r="J1311"/>
    </row>
    <row r="1312" spans="10:10" x14ac:dyDescent="0.35">
      <c r="J1312"/>
    </row>
    <row r="1313" spans="10:10" x14ac:dyDescent="0.35">
      <c r="J1313"/>
    </row>
    <row r="1314" spans="10:10" x14ac:dyDescent="0.35">
      <c r="J1314"/>
    </row>
    <row r="1315" spans="10:10" x14ac:dyDescent="0.35">
      <c r="J1315"/>
    </row>
    <row r="1316" spans="10:10" x14ac:dyDescent="0.35">
      <c r="J1316"/>
    </row>
    <row r="1317" spans="10:10" x14ac:dyDescent="0.35">
      <c r="J1317"/>
    </row>
    <row r="1318" spans="10:10" x14ac:dyDescent="0.35">
      <c r="J1318"/>
    </row>
    <row r="1319" spans="10:10" x14ac:dyDescent="0.35">
      <c r="J1319"/>
    </row>
    <row r="1320" spans="10:10" x14ac:dyDescent="0.35">
      <c r="J1320"/>
    </row>
    <row r="1321" spans="10:10" x14ac:dyDescent="0.35">
      <c r="J1321"/>
    </row>
    <row r="1322" spans="10:10" x14ac:dyDescent="0.35">
      <c r="J1322"/>
    </row>
    <row r="1323" spans="10:10" x14ac:dyDescent="0.35">
      <c r="J1323"/>
    </row>
    <row r="1324" spans="10:10" x14ac:dyDescent="0.35">
      <c r="J1324"/>
    </row>
    <row r="1325" spans="10:10" x14ac:dyDescent="0.35">
      <c r="J1325"/>
    </row>
    <row r="1326" spans="10:10" x14ac:dyDescent="0.35">
      <c r="J1326"/>
    </row>
    <row r="1327" spans="10:10" x14ac:dyDescent="0.35">
      <c r="J1327"/>
    </row>
    <row r="1328" spans="10:10" x14ac:dyDescent="0.35">
      <c r="J1328"/>
    </row>
    <row r="1329" spans="10:10" x14ac:dyDescent="0.35">
      <c r="J1329"/>
    </row>
    <row r="1330" spans="10:10" x14ac:dyDescent="0.35">
      <c r="J1330"/>
    </row>
    <row r="1331" spans="10:10" x14ac:dyDescent="0.35">
      <c r="J1331"/>
    </row>
    <row r="1332" spans="10:10" x14ac:dyDescent="0.35">
      <c r="J1332"/>
    </row>
    <row r="1333" spans="10:10" x14ac:dyDescent="0.35">
      <c r="J1333"/>
    </row>
    <row r="1334" spans="10:10" x14ac:dyDescent="0.35">
      <c r="J1334"/>
    </row>
    <row r="1335" spans="10:10" x14ac:dyDescent="0.35">
      <c r="J1335"/>
    </row>
    <row r="1336" spans="10:10" x14ac:dyDescent="0.35">
      <c r="J1336"/>
    </row>
    <row r="1337" spans="10:10" x14ac:dyDescent="0.35">
      <c r="J1337"/>
    </row>
    <row r="1338" spans="10:10" x14ac:dyDescent="0.35">
      <c r="J1338"/>
    </row>
    <row r="1339" spans="10:10" x14ac:dyDescent="0.35">
      <c r="J1339"/>
    </row>
    <row r="1340" spans="10:10" x14ac:dyDescent="0.35">
      <c r="J1340"/>
    </row>
    <row r="1341" spans="10:10" x14ac:dyDescent="0.35">
      <c r="J1341"/>
    </row>
    <row r="1342" spans="10:10" x14ac:dyDescent="0.35">
      <c r="J1342"/>
    </row>
    <row r="1343" spans="10:10" x14ac:dyDescent="0.35">
      <c r="J1343"/>
    </row>
    <row r="1344" spans="10:10" x14ac:dyDescent="0.35">
      <c r="J1344"/>
    </row>
    <row r="1345" spans="10:10" x14ac:dyDescent="0.35">
      <c r="J1345"/>
    </row>
    <row r="1346" spans="10:10" x14ac:dyDescent="0.35">
      <c r="J1346"/>
    </row>
    <row r="1347" spans="10:10" x14ac:dyDescent="0.35">
      <c r="J1347"/>
    </row>
    <row r="1348" spans="10:10" x14ac:dyDescent="0.35">
      <c r="J1348"/>
    </row>
    <row r="1349" spans="10:10" x14ac:dyDescent="0.35">
      <c r="J1349"/>
    </row>
    <row r="1350" spans="10:10" x14ac:dyDescent="0.35">
      <c r="J1350"/>
    </row>
    <row r="1351" spans="10:10" x14ac:dyDescent="0.35">
      <c r="J1351"/>
    </row>
    <row r="1352" spans="10:10" x14ac:dyDescent="0.35">
      <c r="J1352"/>
    </row>
    <row r="1353" spans="10:10" x14ac:dyDescent="0.35">
      <c r="J1353"/>
    </row>
    <row r="1354" spans="10:10" x14ac:dyDescent="0.35">
      <c r="J1354"/>
    </row>
    <row r="1355" spans="10:10" x14ac:dyDescent="0.35">
      <c r="J1355"/>
    </row>
    <row r="1356" spans="10:10" x14ac:dyDescent="0.35">
      <c r="J1356"/>
    </row>
    <row r="1357" spans="10:10" x14ac:dyDescent="0.35">
      <c r="J1357"/>
    </row>
    <row r="1358" spans="10:10" x14ac:dyDescent="0.35">
      <c r="J1358"/>
    </row>
    <row r="1359" spans="10:10" x14ac:dyDescent="0.35">
      <c r="J1359"/>
    </row>
    <row r="1360" spans="10:10" x14ac:dyDescent="0.35">
      <c r="J1360"/>
    </row>
    <row r="1361" spans="10:10" x14ac:dyDescent="0.35">
      <c r="J1361"/>
    </row>
    <row r="1362" spans="10:10" x14ac:dyDescent="0.35">
      <c r="J1362"/>
    </row>
    <row r="1363" spans="10:10" x14ac:dyDescent="0.35">
      <c r="J1363"/>
    </row>
    <row r="1364" spans="10:10" x14ac:dyDescent="0.35">
      <c r="J1364"/>
    </row>
    <row r="1365" spans="10:10" x14ac:dyDescent="0.35">
      <c r="J1365"/>
    </row>
    <row r="1366" spans="10:10" x14ac:dyDescent="0.35">
      <c r="J1366"/>
    </row>
    <row r="1367" spans="10:10" x14ac:dyDescent="0.35">
      <c r="J1367"/>
    </row>
    <row r="1368" spans="10:10" x14ac:dyDescent="0.35">
      <c r="J1368"/>
    </row>
    <row r="1369" spans="10:10" x14ac:dyDescent="0.35">
      <c r="J1369"/>
    </row>
    <row r="1370" spans="10:10" x14ac:dyDescent="0.35">
      <c r="J1370"/>
    </row>
    <row r="1371" spans="10:10" x14ac:dyDescent="0.35">
      <c r="J1371"/>
    </row>
    <row r="1372" spans="10:10" x14ac:dyDescent="0.35">
      <c r="J1372"/>
    </row>
    <row r="1373" spans="10:10" x14ac:dyDescent="0.35">
      <c r="J1373"/>
    </row>
    <row r="1374" spans="10:10" x14ac:dyDescent="0.35">
      <c r="J1374"/>
    </row>
    <row r="1375" spans="10:10" x14ac:dyDescent="0.35">
      <c r="J1375"/>
    </row>
    <row r="1376" spans="10:10" x14ac:dyDescent="0.35">
      <c r="J1376"/>
    </row>
    <row r="1377" spans="10:10" x14ac:dyDescent="0.35">
      <c r="J1377"/>
    </row>
    <row r="1378" spans="10:10" x14ac:dyDescent="0.35">
      <c r="J1378"/>
    </row>
    <row r="1379" spans="10:10" x14ac:dyDescent="0.35">
      <c r="J1379"/>
    </row>
    <row r="1380" spans="10:10" x14ac:dyDescent="0.35">
      <c r="J1380"/>
    </row>
    <row r="1381" spans="10:10" x14ac:dyDescent="0.35">
      <c r="J1381"/>
    </row>
    <row r="1382" spans="10:10" x14ac:dyDescent="0.35">
      <c r="J1382"/>
    </row>
    <row r="1383" spans="10:10" x14ac:dyDescent="0.35">
      <c r="J1383"/>
    </row>
    <row r="1384" spans="10:10" x14ac:dyDescent="0.35">
      <c r="J1384"/>
    </row>
    <row r="1385" spans="10:10" x14ac:dyDescent="0.35">
      <c r="J1385"/>
    </row>
    <row r="1386" spans="10:10" x14ac:dyDescent="0.35">
      <c r="J1386"/>
    </row>
    <row r="1387" spans="10:10" x14ac:dyDescent="0.35">
      <c r="J1387"/>
    </row>
    <row r="1388" spans="10:10" x14ac:dyDescent="0.35">
      <c r="J1388"/>
    </row>
    <row r="1389" spans="10:10" x14ac:dyDescent="0.35">
      <c r="J1389"/>
    </row>
    <row r="1390" spans="10:10" x14ac:dyDescent="0.35">
      <c r="J1390"/>
    </row>
    <row r="1391" spans="10:10" x14ac:dyDescent="0.35">
      <c r="J1391"/>
    </row>
    <row r="1392" spans="10:10" x14ac:dyDescent="0.35">
      <c r="J1392"/>
    </row>
    <row r="1393" spans="10:10" x14ac:dyDescent="0.35">
      <c r="J1393"/>
    </row>
    <row r="1394" spans="10:10" x14ac:dyDescent="0.35">
      <c r="J1394"/>
    </row>
    <row r="1395" spans="10:10" x14ac:dyDescent="0.35">
      <c r="J1395"/>
    </row>
    <row r="1396" spans="10:10" x14ac:dyDescent="0.35">
      <c r="J1396"/>
    </row>
    <row r="1397" spans="10:10" x14ac:dyDescent="0.35">
      <c r="J1397"/>
    </row>
    <row r="1398" spans="10:10" x14ac:dyDescent="0.35">
      <c r="J1398"/>
    </row>
    <row r="1399" spans="10:10" x14ac:dyDescent="0.35">
      <c r="J1399"/>
    </row>
    <row r="1400" spans="10:10" x14ac:dyDescent="0.35">
      <c r="J1400"/>
    </row>
    <row r="1401" spans="10:10" x14ac:dyDescent="0.35">
      <c r="J1401"/>
    </row>
    <row r="1402" spans="10:10" x14ac:dyDescent="0.35">
      <c r="J1402"/>
    </row>
    <row r="1403" spans="10:10" x14ac:dyDescent="0.35">
      <c r="J1403"/>
    </row>
    <row r="1404" spans="10:10" x14ac:dyDescent="0.35">
      <c r="J1404"/>
    </row>
    <row r="1405" spans="10:10" x14ac:dyDescent="0.35">
      <c r="J1405"/>
    </row>
    <row r="1406" spans="10:10" x14ac:dyDescent="0.35">
      <c r="J1406"/>
    </row>
    <row r="1407" spans="10:10" x14ac:dyDescent="0.35">
      <c r="J1407"/>
    </row>
    <row r="1408" spans="10:10" x14ac:dyDescent="0.35">
      <c r="J1408"/>
    </row>
    <row r="1409" spans="10:10" x14ac:dyDescent="0.35">
      <c r="J1409"/>
    </row>
    <row r="1410" spans="10:10" x14ac:dyDescent="0.35">
      <c r="J1410"/>
    </row>
    <row r="1411" spans="10:10" x14ac:dyDescent="0.35">
      <c r="J1411"/>
    </row>
    <row r="1412" spans="10:10" x14ac:dyDescent="0.35">
      <c r="J1412"/>
    </row>
    <row r="1413" spans="10:10" x14ac:dyDescent="0.35">
      <c r="J1413"/>
    </row>
    <row r="1414" spans="10:10" x14ac:dyDescent="0.35">
      <c r="J1414"/>
    </row>
    <row r="1415" spans="10:10" x14ac:dyDescent="0.35">
      <c r="J1415"/>
    </row>
    <row r="1416" spans="10:10" x14ac:dyDescent="0.35">
      <c r="J1416"/>
    </row>
    <row r="1417" spans="10:10" x14ac:dyDescent="0.35">
      <c r="J1417"/>
    </row>
    <row r="1418" spans="10:10" x14ac:dyDescent="0.35">
      <c r="J1418"/>
    </row>
    <row r="1419" spans="10:10" x14ac:dyDescent="0.35">
      <c r="J1419"/>
    </row>
    <row r="1420" spans="10:10" x14ac:dyDescent="0.35">
      <c r="J1420"/>
    </row>
    <row r="1421" spans="10:10" x14ac:dyDescent="0.35">
      <c r="J1421"/>
    </row>
    <row r="1422" spans="10:10" x14ac:dyDescent="0.35">
      <c r="J1422"/>
    </row>
    <row r="1423" spans="10:10" x14ac:dyDescent="0.35">
      <c r="J1423"/>
    </row>
    <row r="1424" spans="10:10" x14ac:dyDescent="0.35">
      <c r="J1424"/>
    </row>
    <row r="1425" spans="10:10" x14ac:dyDescent="0.35">
      <c r="J1425"/>
    </row>
    <row r="1426" spans="10:10" x14ac:dyDescent="0.35">
      <c r="J1426"/>
    </row>
    <row r="1427" spans="10:10" x14ac:dyDescent="0.35">
      <c r="J1427"/>
    </row>
    <row r="1428" spans="10:10" x14ac:dyDescent="0.35">
      <c r="J1428"/>
    </row>
    <row r="1429" spans="10:10" x14ac:dyDescent="0.35">
      <c r="J1429"/>
    </row>
    <row r="1430" spans="10:10" x14ac:dyDescent="0.35">
      <c r="J1430"/>
    </row>
    <row r="1431" spans="10:10" x14ac:dyDescent="0.35">
      <c r="J1431"/>
    </row>
    <row r="1432" spans="10:10" x14ac:dyDescent="0.35">
      <c r="J1432"/>
    </row>
    <row r="1433" spans="10:10" x14ac:dyDescent="0.35">
      <c r="J1433"/>
    </row>
    <row r="1434" spans="10:10" x14ac:dyDescent="0.35">
      <c r="J1434"/>
    </row>
    <row r="1435" spans="10:10" x14ac:dyDescent="0.35">
      <c r="J1435"/>
    </row>
    <row r="1436" spans="10:10" x14ac:dyDescent="0.35">
      <c r="J1436"/>
    </row>
    <row r="1437" spans="10:10" x14ac:dyDescent="0.35">
      <c r="J1437"/>
    </row>
    <row r="1438" spans="10:10" x14ac:dyDescent="0.35">
      <c r="J1438"/>
    </row>
    <row r="1439" spans="10:10" x14ac:dyDescent="0.35">
      <c r="J1439"/>
    </row>
    <row r="1440" spans="10:10" x14ac:dyDescent="0.35">
      <c r="J1440"/>
    </row>
    <row r="1441" spans="10:10" x14ac:dyDescent="0.35">
      <c r="J1441"/>
    </row>
    <row r="1442" spans="10:10" x14ac:dyDescent="0.35">
      <c r="J1442"/>
    </row>
    <row r="1443" spans="10:10" x14ac:dyDescent="0.35">
      <c r="J1443"/>
    </row>
    <row r="1444" spans="10:10" x14ac:dyDescent="0.35">
      <c r="J1444"/>
    </row>
    <row r="1445" spans="10:10" x14ac:dyDescent="0.35">
      <c r="J1445"/>
    </row>
    <row r="1446" spans="10:10" x14ac:dyDescent="0.35">
      <c r="J1446"/>
    </row>
    <row r="1447" spans="10:10" x14ac:dyDescent="0.35">
      <c r="J1447"/>
    </row>
    <row r="1448" spans="10:10" x14ac:dyDescent="0.35">
      <c r="J1448"/>
    </row>
    <row r="1449" spans="10:10" x14ac:dyDescent="0.35">
      <c r="J1449"/>
    </row>
    <row r="1450" spans="10:10" x14ac:dyDescent="0.35">
      <c r="J1450"/>
    </row>
    <row r="1451" spans="10:10" x14ac:dyDescent="0.35">
      <c r="J1451"/>
    </row>
    <row r="1452" spans="10:10" x14ac:dyDescent="0.35">
      <c r="J1452"/>
    </row>
    <row r="1453" spans="10:10" x14ac:dyDescent="0.35">
      <c r="J1453"/>
    </row>
    <row r="1454" spans="10:10" x14ac:dyDescent="0.35">
      <c r="J1454"/>
    </row>
    <row r="1455" spans="10:10" x14ac:dyDescent="0.35">
      <c r="J1455"/>
    </row>
    <row r="1456" spans="10:10" x14ac:dyDescent="0.35">
      <c r="J1456"/>
    </row>
    <row r="1457" spans="10:10" x14ac:dyDescent="0.35">
      <c r="J1457"/>
    </row>
    <row r="1458" spans="10:10" x14ac:dyDescent="0.35">
      <c r="J1458"/>
    </row>
    <row r="1459" spans="10:10" x14ac:dyDescent="0.35">
      <c r="J1459"/>
    </row>
    <row r="1460" spans="10:10" x14ac:dyDescent="0.35">
      <c r="J1460"/>
    </row>
    <row r="1461" spans="10:10" x14ac:dyDescent="0.35">
      <c r="J1461"/>
    </row>
    <row r="1462" spans="10:10" x14ac:dyDescent="0.35">
      <c r="J1462"/>
    </row>
    <row r="1463" spans="10:10" x14ac:dyDescent="0.35">
      <c r="J1463"/>
    </row>
    <row r="1464" spans="10:10" x14ac:dyDescent="0.35">
      <c r="J1464"/>
    </row>
    <row r="1465" spans="10:10" x14ac:dyDescent="0.35">
      <c r="J1465"/>
    </row>
    <row r="1466" spans="10:10" x14ac:dyDescent="0.35">
      <c r="J1466"/>
    </row>
    <row r="1467" spans="10:10" x14ac:dyDescent="0.35">
      <c r="J1467"/>
    </row>
    <row r="1468" spans="10:10" x14ac:dyDescent="0.35">
      <c r="J1468"/>
    </row>
    <row r="1469" spans="10:10" x14ac:dyDescent="0.35">
      <c r="J1469"/>
    </row>
    <row r="1470" spans="10:10" x14ac:dyDescent="0.35">
      <c r="J1470"/>
    </row>
    <row r="1471" spans="10:10" x14ac:dyDescent="0.35">
      <c r="J1471"/>
    </row>
    <row r="1472" spans="10:10" x14ac:dyDescent="0.35">
      <c r="J1472"/>
    </row>
    <row r="1473" spans="10:10" x14ac:dyDescent="0.35">
      <c r="J1473"/>
    </row>
    <row r="1474" spans="10:10" x14ac:dyDescent="0.35">
      <c r="J1474"/>
    </row>
    <row r="1475" spans="10:10" x14ac:dyDescent="0.35">
      <c r="J1475"/>
    </row>
    <row r="1476" spans="10:10" x14ac:dyDescent="0.35">
      <c r="J1476"/>
    </row>
    <row r="1477" spans="10:10" x14ac:dyDescent="0.35">
      <c r="J1477"/>
    </row>
    <row r="1478" spans="10:10" x14ac:dyDescent="0.35">
      <c r="J1478"/>
    </row>
    <row r="1479" spans="10:10" x14ac:dyDescent="0.35">
      <c r="J1479"/>
    </row>
    <row r="1480" spans="10:10" x14ac:dyDescent="0.35">
      <c r="J1480"/>
    </row>
    <row r="1481" spans="10:10" x14ac:dyDescent="0.35">
      <c r="J1481"/>
    </row>
    <row r="1482" spans="10:10" x14ac:dyDescent="0.35">
      <c r="J1482"/>
    </row>
    <row r="1483" spans="10:10" x14ac:dyDescent="0.35">
      <c r="J1483"/>
    </row>
    <row r="1484" spans="10:10" x14ac:dyDescent="0.35">
      <c r="J1484"/>
    </row>
    <row r="1485" spans="10:10" x14ac:dyDescent="0.35">
      <c r="J1485"/>
    </row>
    <row r="1486" spans="10:10" x14ac:dyDescent="0.35">
      <c r="J1486"/>
    </row>
    <row r="1487" spans="10:10" x14ac:dyDescent="0.35">
      <c r="J1487"/>
    </row>
    <row r="1488" spans="10:10" x14ac:dyDescent="0.35">
      <c r="J1488"/>
    </row>
    <row r="1489" spans="10:10" x14ac:dyDescent="0.35">
      <c r="J1489"/>
    </row>
    <row r="1490" spans="10:10" x14ac:dyDescent="0.35">
      <c r="J1490"/>
    </row>
    <row r="1491" spans="10:10" x14ac:dyDescent="0.35">
      <c r="J1491"/>
    </row>
    <row r="1492" spans="10:10" x14ac:dyDescent="0.35">
      <c r="J1492"/>
    </row>
    <row r="1493" spans="10:10" x14ac:dyDescent="0.35">
      <c r="J1493"/>
    </row>
    <row r="1494" spans="10:10" x14ac:dyDescent="0.35">
      <c r="J1494"/>
    </row>
    <row r="1495" spans="10:10" x14ac:dyDescent="0.35">
      <c r="J1495"/>
    </row>
    <row r="1496" spans="10:10" x14ac:dyDescent="0.35">
      <c r="J1496"/>
    </row>
    <row r="1497" spans="10:10" x14ac:dyDescent="0.35">
      <c r="J1497"/>
    </row>
    <row r="1498" spans="10:10" x14ac:dyDescent="0.35">
      <c r="J1498"/>
    </row>
    <row r="1499" spans="10:10" x14ac:dyDescent="0.35">
      <c r="J1499"/>
    </row>
    <row r="1500" spans="10:10" x14ac:dyDescent="0.35">
      <c r="J1500"/>
    </row>
    <row r="1501" spans="10:10" x14ac:dyDescent="0.35">
      <c r="J1501"/>
    </row>
    <row r="1502" spans="10:10" x14ac:dyDescent="0.35">
      <c r="J1502"/>
    </row>
    <row r="1503" spans="10:10" x14ac:dyDescent="0.35">
      <c r="J1503"/>
    </row>
    <row r="1504" spans="10:10" x14ac:dyDescent="0.35">
      <c r="J1504"/>
    </row>
    <row r="1505" spans="10:10" x14ac:dyDescent="0.35">
      <c r="J1505"/>
    </row>
    <row r="1506" spans="10:10" x14ac:dyDescent="0.35">
      <c r="J1506"/>
    </row>
    <row r="1507" spans="10:10" x14ac:dyDescent="0.35">
      <c r="J1507"/>
    </row>
    <row r="1508" spans="10:10" x14ac:dyDescent="0.35">
      <c r="J1508"/>
    </row>
    <row r="1509" spans="10:10" x14ac:dyDescent="0.35">
      <c r="J1509"/>
    </row>
    <row r="1510" spans="10:10" x14ac:dyDescent="0.35">
      <c r="J1510"/>
    </row>
    <row r="1511" spans="10:10" x14ac:dyDescent="0.35">
      <c r="J1511"/>
    </row>
    <row r="1512" spans="10:10" x14ac:dyDescent="0.35">
      <c r="J1512"/>
    </row>
    <row r="1513" spans="10:10" x14ac:dyDescent="0.35">
      <c r="J1513"/>
    </row>
    <row r="1514" spans="10:10" x14ac:dyDescent="0.35">
      <c r="J1514"/>
    </row>
    <row r="1515" spans="10:10" x14ac:dyDescent="0.35">
      <c r="J1515"/>
    </row>
    <row r="1516" spans="10:10" x14ac:dyDescent="0.35">
      <c r="J1516"/>
    </row>
    <row r="1517" spans="10:10" x14ac:dyDescent="0.35">
      <c r="J1517"/>
    </row>
    <row r="1518" spans="10:10" x14ac:dyDescent="0.35">
      <c r="J1518"/>
    </row>
    <row r="1519" spans="10:10" x14ac:dyDescent="0.35">
      <c r="J1519"/>
    </row>
    <row r="1520" spans="10:10" x14ac:dyDescent="0.35">
      <c r="J1520"/>
    </row>
    <row r="1521" spans="10:10" x14ac:dyDescent="0.35">
      <c r="J1521"/>
    </row>
    <row r="1522" spans="10:10" x14ac:dyDescent="0.35">
      <c r="J1522"/>
    </row>
    <row r="1523" spans="10:10" x14ac:dyDescent="0.35">
      <c r="J1523"/>
    </row>
    <row r="1524" spans="10:10" x14ac:dyDescent="0.35">
      <c r="J1524"/>
    </row>
    <row r="1525" spans="10:10" x14ac:dyDescent="0.35">
      <c r="J1525"/>
    </row>
    <row r="1526" spans="10:10" x14ac:dyDescent="0.35">
      <c r="J1526"/>
    </row>
    <row r="1527" spans="10:10" x14ac:dyDescent="0.35">
      <c r="J1527"/>
    </row>
    <row r="1528" spans="10:10" x14ac:dyDescent="0.35">
      <c r="J1528"/>
    </row>
    <row r="1529" spans="10:10" x14ac:dyDescent="0.35">
      <c r="J1529"/>
    </row>
    <row r="1530" spans="10:10" x14ac:dyDescent="0.35">
      <c r="J1530"/>
    </row>
    <row r="1531" spans="10:10" x14ac:dyDescent="0.35">
      <c r="J1531"/>
    </row>
    <row r="1532" spans="10:10" x14ac:dyDescent="0.35">
      <c r="J1532"/>
    </row>
    <row r="1533" spans="10:10" x14ac:dyDescent="0.35">
      <c r="J1533"/>
    </row>
    <row r="1534" spans="10:10" x14ac:dyDescent="0.35">
      <c r="J1534"/>
    </row>
    <row r="1535" spans="10:10" x14ac:dyDescent="0.35">
      <c r="J1535"/>
    </row>
    <row r="1536" spans="10:10" x14ac:dyDescent="0.35">
      <c r="J1536"/>
    </row>
    <row r="1537" spans="10:10" x14ac:dyDescent="0.35">
      <c r="J1537"/>
    </row>
    <row r="1538" spans="10:10" x14ac:dyDescent="0.35">
      <c r="J1538"/>
    </row>
    <row r="1539" spans="10:10" x14ac:dyDescent="0.35">
      <c r="J1539"/>
    </row>
    <row r="1540" spans="10:10" x14ac:dyDescent="0.35">
      <c r="J1540"/>
    </row>
    <row r="1541" spans="10:10" x14ac:dyDescent="0.35">
      <c r="J1541"/>
    </row>
    <row r="1542" spans="10:10" x14ac:dyDescent="0.35">
      <c r="J1542"/>
    </row>
    <row r="1543" spans="10:10" x14ac:dyDescent="0.35">
      <c r="J1543"/>
    </row>
    <row r="1544" spans="10:10" x14ac:dyDescent="0.35">
      <c r="J1544"/>
    </row>
    <row r="1545" spans="10:10" x14ac:dyDescent="0.35">
      <c r="J1545"/>
    </row>
    <row r="1546" spans="10:10" x14ac:dyDescent="0.35">
      <c r="J1546"/>
    </row>
    <row r="1547" spans="10:10" x14ac:dyDescent="0.35">
      <c r="J1547"/>
    </row>
    <row r="1548" spans="10:10" x14ac:dyDescent="0.35">
      <c r="J1548"/>
    </row>
    <row r="1549" spans="10:10" x14ac:dyDescent="0.35">
      <c r="J1549"/>
    </row>
    <row r="1550" spans="10:10" x14ac:dyDescent="0.35">
      <c r="J1550"/>
    </row>
    <row r="1551" spans="10:10" x14ac:dyDescent="0.35">
      <c r="J1551"/>
    </row>
    <row r="1552" spans="10:10" x14ac:dyDescent="0.35">
      <c r="J1552"/>
    </row>
    <row r="1553" spans="10:10" x14ac:dyDescent="0.35">
      <c r="J1553"/>
    </row>
    <row r="1554" spans="10:10" x14ac:dyDescent="0.35">
      <c r="J1554"/>
    </row>
    <row r="1555" spans="10:10" x14ac:dyDescent="0.35">
      <c r="J1555"/>
    </row>
    <row r="1556" spans="10:10" x14ac:dyDescent="0.35">
      <c r="J1556"/>
    </row>
    <row r="1557" spans="10:10" x14ac:dyDescent="0.35">
      <c r="J1557"/>
    </row>
    <row r="1558" spans="10:10" x14ac:dyDescent="0.35">
      <c r="J1558"/>
    </row>
    <row r="1559" spans="10:10" x14ac:dyDescent="0.35">
      <c r="J1559"/>
    </row>
    <row r="1560" spans="10:10" x14ac:dyDescent="0.35">
      <c r="J1560"/>
    </row>
    <row r="1561" spans="10:10" x14ac:dyDescent="0.35">
      <c r="J1561"/>
    </row>
    <row r="1562" spans="10:10" x14ac:dyDescent="0.35">
      <c r="J1562"/>
    </row>
    <row r="1563" spans="10:10" x14ac:dyDescent="0.35">
      <c r="J1563"/>
    </row>
    <row r="1564" spans="10:10" x14ac:dyDescent="0.35">
      <c r="J1564"/>
    </row>
    <row r="1565" spans="10:10" x14ac:dyDescent="0.35">
      <c r="J1565"/>
    </row>
    <row r="1566" spans="10:10" x14ac:dyDescent="0.35">
      <c r="J1566"/>
    </row>
    <row r="1567" spans="10:10" x14ac:dyDescent="0.35">
      <c r="J1567"/>
    </row>
    <row r="1568" spans="10:10" x14ac:dyDescent="0.35">
      <c r="J1568"/>
    </row>
    <row r="1569" spans="10:10" x14ac:dyDescent="0.35">
      <c r="J1569"/>
    </row>
    <row r="1570" spans="10:10" x14ac:dyDescent="0.35">
      <c r="J1570"/>
    </row>
    <row r="1571" spans="10:10" x14ac:dyDescent="0.35">
      <c r="J1571"/>
    </row>
    <row r="1572" spans="10:10" x14ac:dyDescent="0.35">
      <c r="J1572"/>
    </row>
    <row r="1573" spans="10:10" x14ac:dyDescent="0.35">
      <c r="J1573"/>
    </row>
    <row r="1574" spans="10:10" x14ac:dyDescent="0.35">
      <c r="J1574"/>
    </row>
    <row r="1575" spans="10:10" x14ac:dyDescent="0.35">
      <c r="J1575"/>
    </row>
    <row r="1576" spans="10:10" x14ac:dyDescent="0.35">
      <c r="J1576"/>
    </row>
    <row r="1577" spans="10:10" x14ac:dyDescent="0.35">
      <c r="J1577"/>
    </row>
    <row r="1578" spans="10:10" x14ac:dyDescent="0.35">
      <c r="J1578"/>
    </row>
    <row r="1579" spans="10:10" x14ac:dyDescent="0.35">
      <c r="J1579"/>
    </row>
    <row r="1580" spans="10:10" x14ac:dyDescent="0.35">
      <c r="J1580"/>
    </row>
    <row r="1581" spans="10:10" x14ac:dyDescent="0.35">
      <c r="J1581"/>
    </row>
    <row r="1582" spans="10:10" x14ac:dyDescent="0.35">
      <c r="J1582"/>
    </row>
    <row r="1583" spans="10:10" x14ac:dyDescent="0.35">
      <c r="J1583"/>
    </row>
    <row r="1584" spans="10:10" x14ac:dyDescent="0.35">
      <c r="J1584"/>
    </row>
    <row r="1585" spans="10:10" x14ac:dyDescent="0.35">
      <c r="J1585"/>
    </row>
    <row r="1586" spans="10:10" x14ac:dyDescent="0.35">
      <c r="J1586"/>
    </row>
    <row r="1587" spans="10:10" x14ac:dyDescent="0.35">
      <c r="J1587"/>
    </row>
    <row r="1588" spans="10:10" x14ac:dyDescent="0.35">
      <c r="J1588"/>
    </row>
    <row r="1589" spans="10:10" x14ac:dyDescent="0.35">
      <c r="J1589"/>
    </row>
    <row r="1590" spans="10:10" x14ac:dyDescent="0.35">
      <c r="J1590"/>
    </row>
    <row r="1591" spans="10:10" x14ac:dyDescent="0.35">
      <c r="J1591"/>
    </row>
    <row r="1592" spans="10:10" x14ac:dyDescent="0.35">
      <c r="J1592"/>
    </row>
    <row r="1593" spans="10:10" x14ac:dyDescent="0.35">
      <c r="J1593"/>
    </row>
    <row r="1594" spans="10:10" x14ac:dyDescent="0.35">
      <c r="J1594"/>
    </row>
    <row r="1595" spans="10:10" x14ac:dyDescent="0.35">
      <c r="J1595"/>
    </row>
    <row r="1596" spans="10:10" x14ac:dyDescent="0.35">
      <c r="J1596"/>
    </row>
    <row r="1597" spans="10:10" x14ac:dyDescent="0.35">
      <c r="J1597"/>
    </row>
    <row r="1598" spans="10:10" x14ac:dyDescent="0.35">
      <c r="J1598"/>
    </row>
    <row r="1599" spans="10:10" x14ac:dyDescent="0.35">
      <c r="J1599"/>
    </row>
    <row r="1600" spans="10:10" x14ac:dyDescent="0.35">
      <c r="J1600"/>
    </row>
    <row r="1601" spans="10:10" x14ac:dyDescent="0.35">
      <c r="J1601"/>
    </row>
    <row r="1602" spans="10:10" x14ac:dyDescent="0.35">
      <c r="J1602"/>
    </row>
    <row r="1603" spans="10:10" x14ac:dyDescent="0.35">
      <c r="J1603"/>
    </row>
    <row r="1604" spans="10:10" x14ac:dyDescent="0.35">
      <c r="J1604"/>
    </row>
    <row r="1605" spans="10:10" x14ac:dyDescent="0.35">
      <c r="J1605"/>
    </row>
    <row r="1606" spans="10:10" x14ac:dyDescent="0.35">
      <c r="J1606"/>
    </row>
    <row r="1607" spans="10:10" x14ac:dyDescent="0.35">
      <c r="J1607"/>
    </row>
    <row r="1608" spans="10:10" x14ac:dyDescent="0.35">
      <c r="J1608"/>
    </row>
    <row r="1609" spans="10:10" x14ac:dyDescent="0.35">
      <c r="J1609"/>
    </row>
    <row r="1610" spans="10:10" x14ac:dyDescent="0.35">
      <c r="J1610"/>
    </row>
    <row r="1611" spans="10:10" x14ac:dyDescent="0.35">
      <c r="J1611"/>
    </row>
    <row r="1612" spans="10:10" x14ac:dyDescent="0.35">
      <c r="J1612"/>
    </row>
    <row r="1613" spans="10:10" x14ac:dyDescent="0.35">
      <c r="J1613"/>
    </row>
    <row r="1614" spans="10:10" x14ac:dyDescent="0.35">
      <c r="J1614"/>
    </row>
    <row r="1615" spans="10:10" x14ac:dyDescent="0.35">
      <c r="J1615"/>
    </row>
    <row r="1616" spans="10:10" x14ac:dyDescent="0.35">
      <c r="J1616"/>
    </row>
    <row r="1617" spans="10:10" x14ac:dyDescent="0.35">
      <c r="J1617"/>
    </row>
    <row r="1618" spans="10:10" x14ac:dyDescent="0.35">
      <c r="J1618"/>
    </row>
    <row r="1619" spans="10:10" x14ac:dyDescent="0.35">
      <c r="J1619"/>
    </row>
    <row r="1620" spans="10:10" x14ac:dyDescent="0.35">
      <c r="J1620"/>
    </row>
    <row r="1621" spans="10:10" x14ac:dyDescent="0.35">
      <c r="J1621"/>
    </row>
    <row r="1622" spans="10:10" x14ac:dyDescent="0.35">
      <c r="J1622"/>
    </row>
    <row r="1623" spans="10:10" x14ac:dyDescent="0.35">
      <c r="J1623"/>
    </row>
    <row r="1624" spans="10:10" x14ac:dyDescent="0.35">
      <c r="J1624"/>
    </row>
    <row r="1625" spans="10:10" x14ac:dyDescent="0.35">
      <c r="J1625"/>
    </row>
    <row r="1626" spans="10:10" x14ac:dyDescent="0.35">
      <c r="J1626"/>
    </row>
    <row r="1627" spans="10:10" x14ac:dyDescent="0.35">
      <c r="J1627"/>
    </row>
    <row r="1628" spans="10:10" x14ac:dyDescent="0.35">
      <c r="J1628"/>
    </row>
    <row r="1629" spans="10:10" x14ac:dyDescent="0.35">
      <c r="J1629"/>
    </row>
    <row r="1630" spans="10:10" x14ac:dyDescent="0.35">
      <c r="J1630"/>
    </row>
    <row r="1631" spans="10:10" x14ac:dyDescent="0.35">
      <c r="J1631"/>
    </row>
    <row r="1632" spans="10:10" x14ac:dyDescent="0.35">
      <c r="J1632"/>
    </row>
    <row r="1633" spans="10:10" x14ac:dyDescent="0.35">
      <c r="J1633"/>
    </row>
    <row r="1634" spans="10:10" x14ac:dyDescent="0.35">
      <c r="J1634"/>
    </row>
    <row r="1635" spans="10:10" x14ac:dyDescent="0.35">
      <c r="J1635"/>
    </row>
    <row r="1636" spans="10:10" x14ac:dyDescent="0.35">
      <c r="J1636"/>
    </row>
    <row r="1637" spans="10:10" x14ac:dyDescent="0.35">
      <c r="J1637"/>
    </row>
    <row r="1638" spans="10:10" x14ac:dyDescent="0.35">
      <c r="J1638"/>
    </row>
    <row r="1639" spans="10:10" x14ac:dyDescent="0.35">
      <c r="J1639"/>
    </row>
    <row r="1640" spans="10:10" x14ac:dyDescent="0.35">
      <c r="J1640"/>
    </row>
    <row r="1641" spans="10:10" x14ac:dyDescent="0.35">
      <c r="J1641"/>
    </row>
    <row r="1642" spans="10:10" x14ac:dyDescent="0.35">
      <c r="J1642"/>
    </row>
    <row r="1643" spans="10:10" x14ac:dyDescent="0.35">
      <c r="J1643"/>
    </row>
    <row r="1644" spans="10:10" x14ac:dyDescent="0.35">
      <c r="J1644"/>
    </row>
    <row r="1645" spans="10:10" x14ac:dyDescent="0.35">
      <c r="J1645"/>
    </row>
    <row r="1646" spans="10:10" x14ac:dyDescent="0.35">
      <c r="J1646"/>
    </row>
    <row r="1647" spans="10:10" x14ac:dyDescent="0.35">
      <c r="J1647"/>
    </row>
    <row r="1648" spans="10:10" x14ac:dyDescent="0.35">
      <c r="J1648"/>
    </row>
    <row r="1649" spans="10:10" x14ac:dyDescent="0.35">
      <c r="J1649"/>
    </row>
    <row r="1650" spans="10:10" x14ac:dyDescent="0.35">
      <c r="J1650"/>
    </row>
    <row r="1651" spans="10:10" x14ac:dyDescent="0.35">
      <c r="J1651"/>
    </row>
    <row r="1652" spans="10:10" x14ac:dyDescent="0.35">
      <c r="J1652"/>
    </row>
    <row r="1653" spans="10:10" x14ac:dyDescent="0.35">
      <c r="J1653"/>
    </row>
    <row r="1654" spans="10:10" x14ac:dyDescent="0.35">
      <c r="J1654"/>
    </row>
    <row r="1655" spans="10:10" x14ac:dyDescent="0.35">
      <c r="J1655"/>
    </row>
    <row r="1656" spans="10:10" x14ac:dyDescent="0.35">
      <c r="J1656"/>
    </row>
    <row r="1657" spans="10:10" x14ac:dyDescent="0.35">
      <c r="J1657"/>
    </row>
    <row r="1658" spans="10:10" x14ac:dyDescent="0.35">
      <c r="J1658"/>
    </row>
    <row r="1659" spans="10:10" x14ac:dyDescent="0.35">
      <c r="J1659"/>
    </row>
    <row r="1660" spans="10:10" x14ac:dyDescent="0.35">
      <c r="J1660"/>
    </row>
    <row r="1661" spans="10:10" x14ac:dyDescent="0.35">
      <c r="J1661"/>
    </row>
    <row r="1662" spans="10:10" x14ac:dyDescent="0.35">
      <c r="J1662"/>
    </row>
    <row r="1663" spans="10:10" x14ac:dyDescent="0.35">
      <c r="J1663"/>
    </row>
    <row r="1664" spans="10:10" x14ac:dyDescent="0.35">
      <c r="J1664"/>
    </row>
    <row r="1665" spans="10:10" x14ac:dyDescent="0.35">
      <c r="J1665"/>
    </row>
    <row r="1666" spans="10:10" x14ac:dyDescent="0.35">
      <c r="J1666"/>
    </row>
    <row r="1667" spans="10:10" x14ac:dyDescent="0.35">
      <c r="J1667"/>
    </row>
    <row r="1668" spans="10:10" x14ac:dyDescent="0.35">
      <c r="J1668"/>
    </row>
    <row r="1669" spans="10:10" x14ac:dyDescent="0.35">
      <c r="J1669"/>
    </row>
    <row r="1670" spans="10:10" x14ac:dyDescent="0.35">
      <c r="J1670"/>
    </row>
    <row r="1671" spans="10:10" x14ac:dyDescent="0.35">
      <c r="J1671"/>
    </row>
    <row r="1672" spans="10:10" x14ac:dyDescent="0.35">
      <c r="J1672"/>
    </row>
    <row r="1673" spans="10:10" x14ac:dyDescent="0.35">
      <c r="J1673"/>
    </row>
    <row r="1674" spans="10:10" x14ac:dyDescent="0.35">
      <c r="J1674"/>
    </row>
    <row r="1675" spans="10:10" x14ac:dyDescent="0.35">
      <c r="J1675"/>
    </row>
    <row r="1676" spans="10:10" x14ac:dyDescent="0.35">
      <c r="J1676"/>
    </row>
    <row r="1677" spans="10:10" x14ac:dyDescent="0.35">
      <c r="J1677"/>
    </row>
    <row r="1678" spans="10:10" x14ac:dyDescent="0.35">
      <c r="J1678"/>
    </row>
    <row r="1679" spans="10:10" x14ac:dyDescent="0.35">
      <c r="J1679"/>
    </row>
    <row r="1680" spans="10:10" x14ac:dyDescent="0.35">
      <c r="J1680"/>
    </row>
    <row r="1681" spans="10:10" x14ac:dyDescent="0.35">
      <c r="J1681"/>
    </row>
    <row r="1682" spans="10:10" x14ac:dyDescent="0.35">
      <c r="J1682"/>
    </row>
    <row r="1683" spans="10:10" x14ac:dyDescent="0.35">
      <c r="J1683"/>
    </row>
    <row r="1684" spans="10:10" x14ac:dyDescent="0.35">
      <c r="J1684"/>
    </row>
    <row r="1685" spans="10:10" x14ac:dyDescent="0.35">
      <c r="J1685"/>
    </row>
    <row r="1686" spans="10:10" x14ac:dyDescent="0.35">
      <c r="J1686"/>
    </row>
    <row r="1687" spans="10:10" x14ac:dyDescent="0.35">
      <c r="J1687"/>
    </row>
    <row r="1688" spans="10:10" x14ac:dyDescent="0.35">
      <c r="J1688"/>
    </row>
    <row r="1689" spans="10:10" x14ac:dyDescent="0.35">
      <c r="J1689"/>
    </row>
    <row r="1690" spans="10:10" x14ac:dyDescent="0.35">
      <c r="J1690"/>
    </row>
    <row r="1691" spans="10:10" x14ac:dyDescent="0.35">
      <c r="J1691"/>
    </row>
    <row r="1692" spans="10:10" x14ac:dyDescent="0.35">
      <c r="J1692"/>
    </row>
    <row r="1693" spans="10:10" x14ac:dyDescent="0.35">
      <c r="J1693"/>
    </row>
    <row r="1694" spans="10:10" x14ac:dyDescent="0.35">
      <c r="J1694"/>
    </row>
    <row r="1695" spans="10:10" x14ac:dyDescent="0.35">
      <c r="J1695"/>
    </row>
    <row r="1696" spans="10:10" x14ac:dyDescent="0.35">
      <c r="J1696"/>
    </row>
    <row r="1697" spans="10:10" x14ac:dyDescent="0.35">
      <c r="J1697"/>
    </row>
    <row r="1698" spans="10:10" x14ac:dyDescent="0.35">
      <c r="J1698"/>
    </row>
    <row r="1699" spans="10:10" x14ac:dyDescent="0.35">
      <c r="J1699"/>
    </row>
    <row r="1700" spans="10:10" x14ac:dyDescent="0.35">
      <c r="J1700"/>
    </row>
    <row r="1701" spans="10:10" x14ac:dyDescent="0.35">
      <c r="J1701"/>
    </row>
    <row r="1702" spans="10:10" x14ac:dyDescent="0.35">
      <c r="J1702"/>
    </row>
    <row r="1703" spans="10:10" x14ac:dyDescent="0.35">
      <c r="J1703"/>
    </row>
    <row r="1704" spans="10:10" x14ac:dyDescent="0.35">
      <c r="J1704"/>
    </row>
    <row r="1705" spans="10:10" x14ac:dyDescent="0.35">
      <c r="J1705"/>
    </row>
    <row r="1706" spans="10:10" x14ac:dyDescent="0.35">
      <c r="J1706"/>
    </row>
    <row r="1707" spans="10:10" x14ac:dyDescent="0.35">
      <c r="J1707"/>
    </row>
    <row r="1708" spans="10:10" x14ac:dyDescent="0.35">
      <c r="J1708"/>
    </row>
    <row r="1709" spans="10:10" x14ac:dyDescent="0.35">
      <c r="J1709"/>
    </row>
    <row r="1710" spans="10:10" x14ac:dyDescent="0.35">
      <c r="J1710"/>
    </row>
    <row r="1711" spans="10:10" x14ac:dyDescent="0.35">
      <c r="J1711"/>
    </row>
    <row r="1712" spans="10:10" x14ac:dyDescent="0.35">
      <c r="J1712"/>
    </row>
    <row r="1713" spans="10:10" x14ac:dyDescent="0.35">
      <c r="J1713"/>
    </row>
    <row r="1714" spans="10:10" x14ac:dyDescent="0.35">
      <c r="J1714"/>
    </row>
    <row r="1715" spans="10:10" x14ac:dyDescent="0.35">
      <c r="J1715"/>
    </row>
    <row r="1716" spans="10:10" x14ac:dyDescent="0.35">
      <c r="J1716"/>
    </row>
    <row r="1717" spans="10:10" x14ac:dyDescent="0.35">
      <c r="J1717"/>
    </row>
    <row r="1718" spans="10:10" x14ac:dyDescent="0.35">
      <c r="J1718"/>
    </row>
    <row r="1719" spans="10:10" x14ac:dyDescent="0.35">
      <c r="J1719"/>
    </row>
    <row r="1720" spans="10:10" x14ac:dyDescent="0.35">
      <c r="J1720"/>
    </row>
    <row r="1721" spans="10:10" x14ac:dyDescent="0.35">
      <c r="J1721"/>
    </row>
    <row r="1722" spans="10:10" x14ac:dyDescent="0.35">
      <c r="J1722"/>
    </row>
    <row r="1723" spans="10:10" x14ac:dyDescent="0.35">
      <c r="J1723"/>
    </row>
    <row r="1724" spans="10:10" x14ac:dyDescent="0.35">
      <c r="J1724"/>
    </row>
    <row r="1725" spans="10:10" x14ac:dyDescent="0.35">
      <c r="J1725"/>
    </row>
    <row r="1726" spans="10:10" x14ac:dyDescent="0.35">
      <c r="J1726"/>
    </row>
    <row r="1727" spans="10:10" x14ac:dyDescent="0.35">
      <c r="J1727"/>
    </row>
    <row r="1728" spans="10:10" x14ac:dyDescent="0.35">
      <c r="J1728"/>
    </row>
    <row r="1729" spans="10:10" x14ac:dyDescent="0.35">
      <c r="J1729"/>
    </row>
    <row r="1730" spans="10:10" x14ac:dyDescent="0.35">
      <c r="J1730"/>
    </row>
    <row r="1731" spans="10:10" x14ac:dyDescent="0.35">
      <c r="J1731"/>
    </row>
    <row r="1732" spans="10:10" x14ac:dyDescent="0.35">
      <c r="J1732"/>
    </row>
    <row r="1733" spans="10:10" x14ac:dyDescent="0.35">
      <c r="J1733"/>
    </row>
    <row r="1734" spans="10:10" x14ac:dyDescent="0.35">
      <c r="J1734"/>
    </row>
    <row r="1735" spans="10:10" x14ac:dyDescent="0.35">
      <c r="J1735"/>
    </row>
    <row r="1736" spans="10:10" x14ac:dyDescent="0.35">
      <c r="J1736"/>
    </row>
    <row r="1737" spans="10:10" x14ac:dyDescent="0.35">
      <c r="J1737"/>
    </row>
    <row r="1738" spans="10:10" x14ac:dyDescent="0.35">
      <c r="J1738"/>
    </row>
    <row r="1739" spans="10:10" x14ac:dyDescent="0.35">
      <c r="J1739"/>
    </row>
    <row r="1740" spans="10:10" x14ac:dyDescent="0.35">
      <c r="J1740"/>
    </row>
    <row r="1741" spans="10:10" x14ac:dyDescent="0.35">
      <c r="J1741"/>
    </row>
    <row r="1742" spans="10:10" x14ac:dyDescent="0.35">
      <c r="J1742"/>
    </row>
    <row r="1743" spans="10:10" x14ac:dyDescent="0.35">
      <c r="J1743"/>
    </row>
    <row r="1744" spans="10:10" x14ac:dyDescent="0.35">
      <c r="J1744"/>
    </row>
    <row r="1745" spans="10:10" x14ac:dyDescent="0.35">
      <c r="J1745"/>
    </row>
    <row r="1746" spans="10:10" x14ac:dyDescent="0.35">
      <c r="J1746"/>
    </row>
    <row r="1747" spans="10:10" x14ac:dyDescent="0.35">
      <c r="J1747"/>
    </row>
    <row r="1748" spans="10:10" x14ac:dyDescent="0.35">
      <c r="J1748"/>
    </row>
    <row r="1749" spans="10:10" x14ac:dyDescent="0.35">
      <c r="J1749"/>
    </row>
    <row r="1750" spans="10:10" x14ac:dyDescent="0.35">
      <c r="J1750"/>
    </row>
    <row r="1751" spans="10:10" x14ac:dyDescent="0.35">
      <c r="J1751"/>
    </row>
    <row r="1752" spans="10:10" x14ac:dyDescent="0.35">
      <c r="J1752"/>
    </row>
    <row r="1753" spans="10:10" x14ac:dyDescent="0.35">
      <c r="J1753"/>
    </row>
    <row r="1754" spans="10:10" x14ac:dyDescent="0.35">
      <c r="J1754"/>
    </row>
    <row r="1755" spans="10:10" x14ac:dyDescent="0.35">
      <c r="J1755"/>
    </row>
    <row r="1756" spans="10:10" x14ac:dyDescent="0.35">
      <c r="J1756"/>
    </row>
    <row r="1757" spans="10:10" x14ac:dyDescent="0.35">
      <c r="J1757"/>
    </row>
    <row r="1758" spans="10:10" x14ac:dyDescent="0.35">
      <c r="J1758"/>
    </row>
    <row r="1759" spans="10:10" x14ac:dyDescent="0.35">
      <c r="J1759"/>
    </row>
    <row r="1760" spans="10:10" x14ac:dyDescent="0.35">
      <c r="J1760"/>
    </row>
    <row r="1761" spans="10:10" x14ac:dyDescent="0.35">
      <c r="J1761"/>
    </row>
    <row r="1762" spans="10:10" x14ac:dyDescent="0.35">
      <c r="J1762"/>
    </row>
    <row r="1763" spans="10:10" x14ac:dyDescent="0.35">
      <c r="J1763"/>
    </row>
    <row r="1764" spans="10:10" x14ac:dyDescent="0.35">
      <c r="J1764"/>
    </row>
    <row r="1765" spans="10:10" x14ac:dyDescent="0.35">
      <c r="J1765"/>
    </row>
    <row r="1766" spans="10:10" x14ac:dyDescent="0.35">
      <c r="J1766"/>
    </row>
    <row r="1767" spans="10:10" x14ac:dyDescent="0.35">
      <c r="J1767"/>
    </row>
    <row r="1768" spans="10:10" x14ac:dyDescent="0.35">
      <c r="J1768"/>
    </row>
    <row r="1769" spans="10:10" x14ac:dyDescent="0.35">
      <c r="J1769"/>
    </row>
    <row r="1770" spans="10:10" x14ac:dyDescent="0.35">
      <c r="J1770"/>
    </row>
    <row r="1771" spans="10:10" x14ac:dyDescent="0.35">
      <c r="J1771"/>
    </row>
    <row r="1772" spans="10:10" x14ac:dyDescent="0.35">
      <c r="J1772"/>
    </row>
    <row r="1773" spans="10:10" x14ac:dyDescent="0.35">
      <c r="J1773"/>
    </row>
    <row r="1774" spans="10:10" x14ac:dyDescent="0.35">
      <c r="J1774"/>
    </row>
    <row r="1775" spans="10:10" x14ac:dyDescent="0.35">
      <c r="J1775"/>
    </row>
    <row r="1776" spans="10:10" x14ac:dyDescent="0.35">
      <c r="J1776"/>
    </row>
    <row r="1777" spans="10:10" x14ac:dyDescent="0.35">
      <c r="J1777"/>
    </row>
    <row r="1778" spans="10:10" x14ac:dyDescent="0.35">
      <c r="J1778"/>
    </row>
    <row r="1779" spans="10:10" x14ac:dyDescent="0.35">
      <c r="J1779"/>
    </row>
    <row r="1780" spans="10:10" x14ac:dyDescent="0.35">
      <c r="J1780"/>
    </row>
    <row r="1781" spans="10:10" x14ac:dyDescent="0.35">
      <c r="J1781"/>
    </row>
    <row r="1782" spans="10:10" x14ac:dyDescent="0.35">
      <c r="J1782"/>
    </row>
    <row r="1783" spans="10:10" x14ac:dyDescent="0.35">
      <c r="J1783"/>
    </row>
    <row r="1784" spans="10:10" x14ac:dyDescent="0.35">
      <c r="J1784"/>
    </row>
    <row r="1785" spans="10:10" x14ac:dyDescent="0.35">
      <c r="J1785"/>
    </row>
    <row r="1786" spans="10:10" x14ac:dyDescent="0.35">
      <c r="J1786"/>
    </row>
    <row r="1787" spans="10:10" x14ac:dyDescent="0.35">
      <c r="J1787"/>
    </row>
    <row r="1788" spans="10:10" x14ac:dyDescent="0.35">
      <c r="J1788"/>
    </row>
    <row r="1789" spans="10:10" x14ac:dyDescent="0.35">
      <c r="J1789"/>
    </row>
    <row r="1790" spans="10:10" x14ac:dyDescent="0.35">
      <c r="J1790"/>
    </row>
    <row r="1791" spans="10:10" x14ac:dyDescent="0.35">
      <c r="J1791"/>
    </row>
    <row r="1792" spans="10:10" x14ac:dyDescent="0.35">
      <c r="J1792"/>
    </row>
    <row r="1793" spans="10:10" x14ac:dyDescent="0.35">
      <c r="J1793"/>
    </row>
    <row r="1794" spans="10:10" x14ac:dyDescent="0.35">
      <c r="J1794"/>
    </row>
    <row r="1795" spans="10:10" x14ac:dyDescent="0.35">
      <c r="J1795"/>
    </row>
    <row r="1796" spans="10:10" x14ac:dyDescent="0.35">
      <c r="J1796"/>
    </row>
    <row r="1797" spans="10:10" x14ac:dyDescent="0.35">
      <c r="J1797"/>
    </row>
    <row r="1798" spans="10:10" x14ac:dyDescent="0.35">
      <c r="J1798"/>
    </row>
    <row r="1799" spans="10:10" x14ac:dyDescent="0.35">
      <c r="J1799"/>
    </row>
    <row r="1800" spans="10:10" x14ac:dyDescent="0.35">
      <c r="J1800"/>
    </row>
    <row r="1801" spans="10:10" x14ac:dyDescent="0.35">
      <c r="J1801"/>
    </row>
    <row r="1802" spans="10:10" x14ac:dyDescent="0.35">
      <c r="J1802"/>
    </row>
    <row r="1803" spans="10:10" x14ac:dyDescent="0.35">
      <c r="J1803"/>
    </row>
    <row r="1804" spans="10:10" x14ac:dyDescent="0.35">
      <c r="J1804"/>
    </row>
    <row r="1805" spans="10:10" x14ac:dyDescent="0.35">
      <c r="J1805"/>
    </row>
    <row r="1806" spans="10:10" x14ac:dyDescent="0.35">
      <c r="J1806"/>
    </row>
    <row r="1807" spans="10:10" x14ac:dyDescent="0.35">
      <c r="J1807"/>
    </row>
    <row r="1808" spans="10:10" x14ac:dyDescent="0.35">
      <c r="J1808"/>
    </row>
    <row r="1809" spans="10:10" x14ac:dyDescent="0.35">
      <c r="J1809"/>
    </row>
    <row r="1810" spans="10:10" x14ac:dyDescent="0.35">
      <c r="J1810"/>
    </row>
    <row r="1811" spans="10:10" x14ac:dyDescent="0.35">
      <c r="J1811"/>
    </row>
    <row r="1812" spans="10:10" x14ac:dyDescent="0.35">
      <c r="J1812"/>
    </row>
    <row r="1813" spans="10:10" x14ac:dyDescent="0.35">
      <c r="J1813"/>
    </row>
    <row r="1814" spans="10:10" x14ac:dyDescent="0.35">
      <c r="J1814"/>
    </row>
    <row r="1815" spans="10:10" x14ac:dyDescent="0.35">
      <c r="J1815"/>
    </row>
    <row r="1816" spans="10:10" x14ac:dyDescent="0.35">
      <c r="J1816"/>
    </row>
    <row r="1817" spans="10:10" x14ac:dyDescent="0.35">
      <c r="J1817"/>
    </row>
    <row r="1818" spans="10:10" x14ac:dyDescent="0.35">
      <c r="J1818"/>
    </row>
    <row r="1819" spans="10:10" x14ac:dyDescent="0.35">
      <c r="J1819"/>
    </row>
    <row r="1820" spans="10:10" x14ac:dyDescent="0.35">
      <c r="J1820"/>
    </row>
    <row r="1821" spans="10:10" x14ac:dyDescent="0.35">
      <c r="J1821"/>
    </row>
    <row r="1822" spans="10:10" x14ac:dyDescent="0.35">
      <c r="J1822"/>
    </row>
    <row r="1823" spans="10:10" x14ac:dyDescent="0.35">
      <c r="J1823"/>
    </row>
    <row r="1824" spans="10:10" x14ac:dyDescent="0.35">
      <c r="J1824"/>
    </row>
    <row r="1825" spans="10:10" x14ac:dyDescent="0.35">
      <c r="J1825"/>
    </row>
    <row r="1826" spans="10:10" x14ac:dyDescent="0.35">
      <c r="J1826"/>
    </row>
    <row r="1827" spans="10:10" x14ac:dyDescent="0.35">
      <c r="J1827"/>
    </row>
    <row r="1828" spans="10:10" x14ac:dyDescent="0.35">
      <c r="J1828"/>
    </row>
    <row r="1829" spans="10:10" x14ac:dyDescent="0.35">
      <c r="J1829"/>
    </row>
    <row r="1830" spans="10:10" x14ac:dyDescent="0.35">
      <c r="J1830"/>
    </row>
    <row r="1831" spans="10:10" x14ac:dyDescent="0.35">
      <c r="J1831"/>
    </row>
    <row r="1832" spans="10:10" x14ac:dyDescent="0.35">
      <c r="J1832"/>
    </row>
    <row r="1833" spans="10:10" x14ac:dyDescent="0.35">
      <c r="J1833"/>
    </row>
    <row r="1834" spans="10:10" x14ac:dyDescent="0.35">
      <c r="J1834"/>
    </row>
    <row r="1835" spans="10:10" x14ac:dyDescent="0.35">
      <c r="J1835"/>
    </row>
    <row r="1836" spans="10:10" x14ac:dyDescent="0.35">
      <c r="J1836"/>
    </row>
    <row r="1837" spans="10:10" x14ac:dyDescent="0.35">
      <c r="J1837"/>
    </row>
    <row r="1838" spans="10:10" x14ac:dyDescent="0.35">
      <c r="J1838"/>
    </row>
    <row r="1839" spans="10:10" x14ac:dyDescent="0.35">
      <c r="J1839"/>
    </row>
    <row r="1840" spans="10:10" x14ac:dyDescent="0.35">
      <c r="J1840"/>
    </row>
    <row r="1841" spans="10:10" x14ac:dyDescent="0.35">
      <c r="J1841"/>
    </row>
    <row r="1842" spans="10:10" x14ac:dyDescent="0.35">
      <c r="J1842"/>
    </row>
    <row r="1843" spans="10:10" x14ac:dyDescent="0.35">
      <c r="J1843"/>
    </row>
    <row r="1844" spans="10:10" x14ac:dyDescent="0.35">
      <c r="J1844"/>
    </row>
    <row r="1845" spans="10:10" x14ac:dyDescent="0.35">
      <c r="J1845"/>
    </row>
    <row r="1846" spans="10:10" x14ac:dyDescent="0.35">
      <c r="J1846"/>
    </row>
    <row r="1847" spans="10:10" x14ac:dyDescent="0.35">
      <c r="J1847"/>
    </row>
    <row r="1848" spans="10:10" x14ac:dyDescent="0.35">
      <c r="J1848"/>
    </row>
    <row r="1849" spans="10:10" x14ac:dyDescent="0.35">
      <c r="J1849"/>
    </row>
    <row r="1850" spans="10:10" x14ac:dyDescent="0.35">
      <c r="J1850"/>
    </row>
    <row r="1851" spans="10:10" x14ac:dyDescent="0.35">
      <c r="J1851"/>
    </row>
    <row r="1852" spans="10:10" x14ac:dyDescent="0.35">
      <c r="J1852"/>
    </row>
    <row r="1853" spans="10:10" x14ac:dyDescent="0.35">
      <c r="J1853"/>
    </row>
    <row r="1854" spans="10:10" x14ac:dyDescent="0.35">
      <c r="J1854"/>
    </row>
    <row r="1855" spans="10:10" x14ac:dyDescent="0.35">
      <c r="J1855"/>
    </row>
    <row r="1856" spans="10:10" x14ac:dyDescent="0.35">
      <c r="J1856"/>
    </row>
    <row r="1857" spans="10:10" x14ac:dyDescent="0.35">
      <c r="J1857"/>
    </row>
    <row r="1858" spans="10:10" x14ac:dyDescent="0.35">
      <c r="J1858"/>
    </row>
    <row r="1859" spans="10:10" x14ac:dyDescent="0.35">
      <c r="J1859"/>
    </row>
    <row r="1860" spans="10:10" x14ac:dyDescent="0.35">
      <c r="J1860"/>
    </row>
    <row r="1861" spans="10:10" x14ac:dyDescent="0.35">
      <c r="J1861"/>
    </row>
    <row r="1862" spans="10:10" x14ac:dyDescent="0.35">
      <c r="J1862"/>
    </row>
    <row r="1863" spans="10:10" x14ac:dyDescent="0.35">
      <c r="J1863"/>
    </row>
    <row r="1864" spans="10:10" x14ac:dyDescent="0.35">
      <c r="J1864"/>
    </row>
    <row r="1865" spans="10:10" x14ac:dyDescent="0.35">
      <c r="J1865"/>
    </row>
    <row r="1866" spans="10:10" x14ac:dyDescent="0.35">
      <c r="J1866"/>
    </row>
    <row r="1867" spans="10:10" x14ac:dyDescent="0.35">
      <c r="J1867"/>
    </row>
    <row r="1868" spans="10:10" x14ac:dyDescent="0.35">
      <c r="J1868"/>
    </row>
    <row r="1869" spans="10:10" x14ac:dyDescent="0.35">
      <c r="J1869"/>
    </row>
    <row r="1870" spans="10:10" x14ac:dyDescent="0.35">
      <c r="J1870"/>
    </row>
    <row r="1871" spans="10:10" x14ac:dyDescent="0.35">
      <c r="J1871"/>
    </row>
    <row r="1872" spans="10:10" x14ac:dyDescent="0.35">
      <c r="J1872"/>
    </row>
    <row r="1873" spans="10:10" x14ac:dyDescent="0.35">
      <c r="J1873"/>
    </row>
    <row r="1874" spans="10:10" x14ac:dyDescent="0.35">
      <c r="J1874"/>
    </row>
    <row r="1875" spans="10:10" x14ac:dyDescent="0.35">
      <c r="J1875"/>
    </row>
    <row r="1876" spans="10:10" x14ac:dyDescent="0.35">
      <c r="J1876"/>
    </row>
    <row r="1877" spans="10:10" x14ac:dyDescent="0.35">
      <c r="J1877"/>
    </row>
    <row r="1878" spans="10:10" x14ac:dyDescent="0.35">
      <c r="J1878"/>
    </row>
    <row r="1879" spans="10:10" x14ac:dyDescent="0.35">
      <c r="J1879"/>
    </row>
    <row r="1880" spans="10:10" x14ac:dyDescent="0.35">
      <c r="J1880"/>
    </row>
    <row r="1881" spans="10:10" x14ac:dyDescent="0.35">
      <c r="J1881"/>
    </row>
    <row r="1882" spans="10:10" x14ac:dyDescent="0.35">
      <c r="J1882"/>
    </row>
    <row r="1883" spans="10:10" x14ac:dyDescent="0.35">
      <c r="J1883"/>
    </row>
    <row r="1884" spans="10:10" x14ac:dyDescent="0.35">
      <c r="J1884"/>
    </row>
    <row r="1885" spans="10:10" x14ac:dyDescent="0.35">
      <c r="J1885"/>
    </row>
    <row r="1886" spans="10:10" x14ac:dyDescent="0.35">
      <c r="J1886"/>
    </row>
    <row r="1887" spans="10:10" x14ac:dyDescent="0.35">
      <c r="J1887"/>
    </row>
    <row r="1888" spans="10:10" x14ac:dyDescent="0.35">
      <c r="J1888"/>
    </row>
    <row r="1889" spans="10:10" x14ac:dyDescent="0.35">
      <c r="J1889"/>
    </row>
    <row r="1890" spans="10:10" x14ac:dyDescent="0.35">
      <c r="J1890"/>
    </row>
    <row r="1891" spans="10:10" x14ac:dyDescent="0.35">
      <c r="J1891"/>
    </row>
    <row r="1892" spans="10:10" x14ac:dyDescent="0.35">
      <c r="J1892"/>
    </row>
    <row r="1893" spans="10:10" x14ac:dyDescent="0.35">
      <c r="J1893"/>
    </row>
    <row r="1894" spans="10:10" x14ac:dyDescent="0.35">
      <c r="J1894"/>
    </row>
    <row r="1895" spans="10:10" x14ac:dyDescent="0.35">
      <c r="J1895"/>
    </row>
    <row r="1896" spans="10:10" x14ac:dyDescent="0.35">
      <c r="J1896"/>
    </row>
    <row r="1897" spans="10:10" x14ac:dyDescent="0.35">
      <c r="J1897"/>
    </row>
    <row r="1898" spans="10:10" x14ac:dyDescent="0.35">
      <c r="J1898"/>
    </row>
    <row r="1899" spans="10:10" x14ac:dyDescent="0.35">
      <c r="J1899"/>
    </row>
    <row r="1900" spans="10:10" x14ac:dyDescent="0.35">
      <c r="J1900"/>
    </row>
    <row r="1901" spans="10:10" x14ac:dyDescent="0.35">
      <c r="J1901"/>
    </row>
    <row r="1902" spans="10:10" x14ac:dyDescent="0.35">
      <c r="J1902"/>
    </row>
    <row r="1903" spans="10:10" x14ac:dyDescent="0.35">
      <c r="J1903"/>
    </row>
    <row r="1904" spans="10:10" x14ac:dyDescent="0.35">
      <c r="J1904"/>
    </row>
    <row r="1905" spans="10:10" x14ac:dyDescent="0.35">
      <c r="J1905"/>
    </row>
    <row r="1906" spans="10:10" x14ac:dyDescent="0.35">
      <c r="J1906"/>
    </row>
    <row r="1907" spans="10:10" x14ac:dyDescent="0.35">
      <c r="J1907"/>
    </row>
    <row r="1908" spans="10:10" x14ac:dyDescent="0.35">
      <c r="J1908"/>
    </row>
    <row r="1909" spans="10:10" x14ac:dyDescent="0.35">
      <c r="J1909"/>
    </row>
    <row r="1910" spans="10:10" x14ac:dyDescent="0.35">
      <c r="J1910"/>
    </row>
    <row r="1911" spans="10:10" x14ac:dyDescent="0.35">
      <c r="J1911"/>
    </row>
    <row r="1912" spans="10:10" x14ac:dyDescent="0.35">
      <c r="J1912"/>
    </row>
    <row r="1913" spans="10:10" x14ac:dyDescent="0.35">
      <c r="J1913"/>
    </row>
    <row r="1914" spans="10:10" x14ac:dyDescent="0.35">
      <c r="J1914"/>
    </row>
    <row r="1915" spans="10:10" x14ac:dyDescent="0.35">
      <c r="J1915"/>
    </row>
    <row r="1916" spans="10:10" x14ac:dyDescent="0.35">
      <c r="J1916"/>
    </row>
    <row r="1917" spans="10:10" x14ac:dyDescent="0.35">
      <c r="J1917"/>
    </row>
    <row r="1918" spans="10:10" x14ac:dyDescent="0.35">
      <c r="J1918"/>
    </row>
    <row r="1919" spans="10:10" x14ac:dyDescent="0.35">
      <c r="J1919"/>
    </row>
    <row r="1920" spans="10:10" x14ac:dyDescent="0.35">
      <c r="J1920"/>
    </row>
    <row r="1921" spans="10:10" x14ac:dyDescent="0.35">
      <c r="J1921"/>
    </row>
    <row r="1922" spans="10:10" x14ac:dyDescent="0.35">
      <c r="J1922"/>
    </row>
    <row r="1923" spans="10:10" x14ac:dyDescent="0.35">
      <c r="J1923"/>
    </row>
    <row r="1924" spans="10:10" x14ac:dyDescent="0.35">
      <c r="J1924"/>
    </row>
    <row r="1925" spans="10:10" x14ac:dyDescent="0.35">
      <c r="J1925"/>
    </row>
    <row r="1926" spans="10:10" x14ac:dyDescent="0.35">
      <c r="J1926"/>
    </row>
    <row r="1927" spans="10:10" x14ac:dyDescent="0.35">
      <c r="J1927"/>
    </row>
    <row r="1928" spans="10:10" x14ac:dyDescent="0.35">
      <c r="J1928"/>
    </row>
    <row r="1929" spans="10:10" x14ac:dyDescent="0.35">
      <c r="J1929"/>
    </row>
    <row r="1930" spans="10:10" x14ac:dyDescent="0.35">
      <c r="J1930"/>
    </row>
    <row r="1931" spans="10:10" x14ac:dyDescent="0.35">
      <c r="J1931"/>
    </row>
    <row r="1932" spans="10:10" x14ac:dyDescent="0.35">
      <c r="J1932"/>
    </row>
    <row r="1933" spans="10:10" x14ac:dyDescent="0.35">
      <c r="J1933"/>
    </row>
    <row r="1934" spans="10:10" x14ac:dyDescent="0.35">
      <c r="J1934"/>
    </row>
    <row r="1935" spans="10:10" x14ac:dyDescent="0.35">
      <c r="J1935"/>
    </row>
    <row r="1936" spans="10:10" x14ac:dyDescent="0.35">
      <c r="J1936"/>
    </row>
    <row r="1937" spans="10:10" x14ac:dyDescent="0.35">
      <c r="J1937"/>
    </row>
    <row r="1938" spans="10:10" x14ac:dyDescent="0.35">
      <c r="J1938"/>
    </row>
    <row r="1939" spans="10:10" x14ac:dyDescent="0.35">
      <c r="J1939"/>
    </row>
    <row r="1940" spans="10:10" x14ac:dyDescent="0.35">
      <c r="J1940"/>
    </row>
    <row r="1941" spans="10:10" x14ac:dyDescent="0.35">
      <c r="J1941"/>
    </row>
    <row r="1942" spans="10:10" x14ac:dyDescent="0.35">
      <c r="J1942"/>
    </row>
    <row r="1943" spans="10:10" x14ac:dyDescent="0.35">
      <c r="J1943"/>
    </row>
    <row r="1944" spans="10:10" x14ac:dyDescent="0.35">
      <c r="J1944"/>
    </row>
    <row r="1945" spans="10:10" x14ac:dyDescent="0.35">
      <c r="J1945"/>
    </row>
    <row r="1946" spans="10:10" x14ac:dyDescent="0.35">
      <c r="J1946"/>
    </row>
    <row r="1947" spans="10:10" x14ac:dyDescent="0.35">
      <c r="J1947"/>
    </row>
    <row r="1948" spans="10:10" x14ac:dyDescent="0.35">
      <c r="J1948"/>
    </row>
    <row r="1949" spans="10:10" x14ac:dyDescent="0.35">
      <c r="J1949"/>
    </row>
    <row r="1950" spans="10:10" x14ac:dyDescent="0.35">
      <c r="J1950"/>
    </row>
    <row r="1951" spans="10:10" x14ac:dyDescent="0.35">
      <c r="J1951"/>
    </row>
    <row r="1952" spans="10:10" x14ac:dyDescent="0.35">
      <c r="J1952"/>
    </row>
    <row r="1953" spans="10:10" x14ac:dyDescent="0.35">
      <c r="J1953"/>
    </row>
    <row r="1954" spans="10:10" x14ac:dyDescent="0.35">
      <c r="J1954"/>
    </row>
    <row r="1955" spans="10:10" x14ac:dyDescent="0.35">
      <c r="J1955"/>
    </row>
    <row r="1956" spans="10:10" x14ac:dyDescent="0.35">
      <c r="J1956"/>
    </row>
    <row r="1957" spans="10:10" x14ac:dyDescent="0.35">
      <c r="J1957"/>
    </row>
    <row r="1958" spans="10:10" x14ac:dyDescent="0.35">
      <c r="J1958"/>
    </row>
    <row r="1959" spans="10:10" x14ac:dyDescent="0.35">
      <c r="J1959"/>
    </row>
    <row r="1960" spans="10:10" x14ac:dyDescent="0.35">
      <c r="J1960"/>
    </row>
    <row r="1961" spans="10:10" x14ac:dyDescent="0.35">
      <c r="J1961"/>
    </row>
    <row r="1962" spans="10:10" x14ac:dyDescent="0.35">
      <c r="J1962"/>
    </row>
    <row r="1963" spans="10:10" x14ac:dyDescent="0.35">
      <c r="J1963"/>
    </row>
    <row r="1964" spans="10:10" x14ac:dyDescent="0.35">
      <c r="J1964"/>
    </row>
    <row r="1965" spans="10:10" x14ac:dyDescent="0.35">
      <c r="J1965"/>
    </row>
    <row r="1966" spans="10:10" x14ac:dyDescent="0.35">
      <c r="J1966"/>
    </row>
    <row r="1967" spans="10:10" x14ac:dyDescent="0.35">
      <c r="J1967"/>
    </row>
    <row r="1968" spans="10:10" x14ac:dyDescent="0.35">
      <c r="J1968"/>
    </row>
    <row r="1969" spans="10:10" x14ac:dyDescent="0.35">
      <c r="J1969"/>
    </row>
    <row r="1970" spans="10:10" x14ac:dyDescent="0.35">
      <c r="J1970"/>
    </row>
    <row r="1971" spans="10:10" x14ac:dyDescent="0.35">
      <c r="J1971"/>
    </row>
    <row r="1972" spans="10:10" x14ac:dyDescent="0.35">
      <c r="J1972"/>
    </row>
    <row r="1973" spans="10:10" x14ac:dyDescent="0.35">
      <c r="J1973"/>
    </row>
    <row r="1974" spans="10:10" x14ac:dyDescent="0.35">
      <c r="J1974"/>
    </row>
    <row r="1975" spans="10:10" x14ac:dyDescent="0.35">
      <c r="J1975"/>
    </row>
    <row r="1976" spans="10:10" x14ac:dyDescent="0.35">
      <c r="J1976"/>
    </row>
    <row r="1977" spans="10:10" x14ac:dyDescent="0.35">
      <c r="J1977"/>
    </row>
    <row r="1978" spans="10:10" x14ac:dyDescent="0.35">
      <c r="J1978"/>
    </row>
    <row r="1979" spans="10:10" x14ac:dyDescent="0.35">
      <c r="J1979"/>
    </row>
    <row r="1980" spans="10:10" x14ac:dyDescent="0.35">
      <c r="J1980"/>
    </row>
    <row r="1981" spans="10:10" x14ac:dyDescent="0.35">
      <c r="J1981"/>
    </row>
    <row r="1982" spans="10:10" x14ac:dyDescent="0.35">
      <c r="J1982"/>
    </row>
    <row r="1983" spans="10:10" x14ac:dyDescent="0.35">
      <c r="J1983"/>
    </row>
    <row r="1984" spans="10:10" x14ac:dyDescent="0.35">
      <c r="J1984"/>
    </row>
    <row r="1985" spans="10:10" x14ac:dyDescent="0.35">
      <c r="J1985"/>
    </row>
    <row r="1986" spans="10:10" x14ac:dyDescent="0.35">
      <c r="J1986"/>
    </row>
    <row r="1987" spans="10:10" x14ac:dyDescent="0.35">
      <c r="J1987"/>
    </row>
    <row r="1988" spans="10:10" x14ac:dyDescent="0.35">
      <c r="J1988"/>
    </row>
    <row r="1989" spans="10:10" x14ac:dyDescent="0.35">
      <c r="J1989"/>
    </row>
    <row r="1990" spans="10:10" x14ac:dyDescent="0.35">
      <c r="J1990"/>
    </row>
    <row r="1991" spans="10:10" x14ac:dyDescent="0.35">
      <c r="J1991"/>
    </row>
    <row r="1992" spans="10:10" x14ac:dyDescent="0.35">
      <c r="J1992"/>
    </row>
    <row r="1993" spans="10:10" x14ac:dyDescent="0.35">
      <c r="J1993"/>
    </row>
    <row r="1994" spans="10:10" x14ac:dyDescent="0.35">
      <c r="J1994"/>
    </row>
    <row r="1995" spans="10:10" x14ac:dyDescent="0.35">
      <c r="J1995"/>
    </row>
    <row r="1996" spans="10:10" x14ac:dyDescent="0.35">
      <c r="J1996"/>
    </row>
    <row r="1997" spans="10:10" x14ac:dyDescent="0.35">
      <c r="J1997"/>
    </row>
    <row r="1998" spans="10:10" x14ac:dyDescent="0.35">
      <c r="J1998"/>
    </row>
    <row r="1999" spans="10:10" x14ac:dyDescent="0.35">
      <c r="J1999"/>
    </row>
    <row r="2000" spans="10:10" x14ac:dyDescent="0.35">
      <c r="J2000"/>
    </row>
    <row r="2001" spans="10:10" x14ac:dyDescent="0.35">
      <c r="J2001"/>
    </row>
    <row r="2002" spans="10:10" x14ac:dyDescent="0.35">
      <c r="J2002"/>
    </row>
    <row r="2003" spans="10:10" x14ac:dyDescent="0.35">
      <c r="J2003"/>
    </row>
    <row r="2004" spans="10:10" x14ac:dyDescent="0.35">
      <c r="J2004"/>
    </row>
    <row r="2005" spans="10:10" x14ac:dyDescent="0.35">
      <c r="J2005"/>
    </row>
    <row r="2006" spans="10:10" x14ac:dyDescent="0.35">
      <c r="J2006"/>
    </row>
    <row r="2007" spans="10:10" x14ac:dyDescent="0.35">
      <c r="J2007"/>
    </row>
    <row r="2008" spans="10:10" x14ac:dyDescent="0.35">
      <c r="J2008"/>
    </row>
    <row r="2009" spans="10:10" x14ac:dyDescent="0.35">
      <c r="J2009"/>
    </row>
    <row r="2010" spans="10:10" x14ac:dyDescent="0.35">
      <c r="J2010"/>
    </row>
    <row r="2011" spans="10:10" x14ac:dyDescent="0.35">
      <c r="J2011"/>
    </row>
    <row r="2012" spans="10:10" x14ac:dyDescent="0.35">
      <c r="J2012"/>
    </row>
    <row r="2013" spans="10:10" x14ac:dyDescent="0.35">
      <c r="J2013"/>
    </row>
    <row r="2014" spans="10:10" x14ac:dyDescent="0.35">
      <c r="J2014"/>
    </row>
    <row r="2015" spans="10:10" x14ac:dyDescent="0.35">
      <c r="J2015"/>
    </row>
    <row r="2016" spans="10:10" x14ac:dyDescent="0.35">
      <c r="J2016"/>
    </row>
    <row r="2017" spans="10:10" x14ac:dyDescent="0.35">
      <c r="J2017"/>
    </row>
    <row r="2018" spans="10:10" x14ac:dyDescent="0.35">
      <c r="J2018"/>
    </row>
    <row r="2019" spans="10:10" x14ac:dyDescent="0.35">
      <c r="J2019"/>
    </row>
    <row r="2020" spans="10:10" x14ac:dyDescent="0.35">
      <c r="J2020"/>
    </row>
    <row r="2021" spans="10:10" x14ac:dyDescent="0.35">
      <c r="J2021"/>
    </row>
    <row r="2022" spans="10:10" x14ac:dyDescent="0.35">
      <c r="J2022"/>
    </row>
    <row r="2023" spans="10:10" x14ac:dyDescent="0.35">
      <c r="J2023"/>
    </row>
    <row r="2024" spans="10:10" x14ac:dyDescent="0.35">
      <c r="J2024"/>
    </row>
    <row r="2025" spans="10:10" x14ac:dyDescent="0.35">
      <c r="J2025"/>
    </row>
    <row r="2026" spans="10:10" x14ac:dyDescent="0.35">
      <c r="J2026"/>
    </row>
    <row r="2027" spans="10:10" x14ac:dyDescent="0.35">
      <c r="J2027"/>
    </row>
    <row r="2028" spans="10:10" x14ac:dyDescent="0.35">
      <c r="J2028"/>
    </row>
    <row r="2029" spans="10:10" x14ac:dyDescent="0.35">
      <c r="J2029"/>
    </row>
    <row r="2030" spans="10:10" x14ac:dyDescent="0.35">
      <c r="J2030"/>
    </row>
    <row r="2031" spans="10:10" x14ac:dyDescent="0.35">
      <c r="J2031"/>
    </row>
    <row r="2032" spans="10:10" x14ac:dyDescent="0.35">
      <c r="J2032"/>
    </row>
    <row r="2033" spans="10:10" x14ac:dyDescent="0.35">
      <c r="J2033"/>
    </row>
    <row r="2034" spans="10:10" x14ac:dyDescent="0.35">
      <c r="J2034"/>
    </row>
    <row r="2035" spans="10:10" x14ac:dyDescent="0.35">
      <c r="J2035"/>
    </row>
    <row r="2036" spans="10:10" x14ac:dyDescent="0.35">
      <c r="J2036"/>
    </row>
    <row r="2037" spans="10:10" x14ac:dyDescent="0.35">
      <c r="J2037"/>
    </row>
    <row r="2038" spans="10:10" x14ac:dyDescent="0.35">
      <c r="J2038"/>
    </row>
    <row r="2039" spans="10:10" x14ac:dyDescent="0.35">
      <c r="J2039"/>
    </row>
    <row r="2040" spans="10:10" x14ac:dyDescent="0.35">
      <c r="J2040"/>
    </row>
    <row r="2041" spans="10:10" x14ac:dyDescent="0.35">
      <c r="J2041"/>
    </row>
    <row r="2042" spans="10:10" x14ac:dyDescent="0.35">
      <c r="J2042"/>
    </row>
    <row r="2043" spans="10:10" x14ac:dyDescent="0.35">
      <c r="J2043"/>
    </row>
    <row r="2044" spans="10:10" x14ac:dyDescent="0.35">
      <c r="J2044"/>
    </row>
    <row r="2045" spans="10:10" x14ac:dyDescent="0.35">
      <c r="J2045"/>
    </row>
    <row r="2046" spans="10:10" x14ac:dyDescent="0.35">
      <c r="J2046"/>
    </row>
    <row r="2047" spans="10:10" x14ac:dyDescent="0.35">
      <c r="J2047"/>
    </row>
    <row r="2048" spans="10:10" x14ac:dyDescent="0.35">
      <c r="J2048"/>
    </row>
    <row r="2049" spans="10:10" x14ac:dyDescent="0.35">
      <c r="J2049"/>
    </row>
    <row r="2050" spans="10:10" x14ac:dyDescent="0.35">
      <c r="J2050"/>
    </row>
    <row r="2051" spans="10:10" x14ac:dyDescent="0.35">
      <c r="J2051"/>
    </row>
    <row r="2052" spans="10:10" x14ac:dyDescent="0.35">
      <c r="J2052"/>
    </row>
    <row r="2053" spans="10:10" x14ac:dyDescent="0.35">
      <c r="J2053"/>
    </row>
    <row r="2054" spans="10:10" x14ac:dyDescent="0.35">
      <c r="J2054"/>
    </row>
    <row r="2055" spans="10:10" x14ac:dyDescent="0.35">
      <c r="J2055"/>
    </row>
    <row r="2056" spans="10:10" x14ac:dyDescent="0.35">
      <c r="J2056"/>
    </row>
    <row r="2057" spans="10:10" x14ac:dyDescent="0.35">
      <c r="J2057"/>
    </row>
    <row r="2058" spans="10:10" x14ac:dyDescent="0.35">
      <c r="J2058"/>
    </row>
    <row r="2059" spans="10:10" x14ac:dyDescent="0.35">
      <c r="J2059"/>
    </row>
    <row r="2060" spans="10:10" x14ac:dyDescent="0.35">
      <c r="J2060"/>
    </row>
    <row r="2061" spans="10:10" x14ac:dyDescent="0.35">
      <c r="J2061"/>
    </row>
    <row r="2062" spans="10:10" x14ac:dyDescent="0.35">
      <c r="J2062"/>
    </row>
    <row r="2063" spans="10:10" x14ac:dyDescent="0.35">
      <c r="J2063"/>
    </row>
    <row r="2064" spans="10:10" x14ac:dyDescent="0.35">
      <c r="J2064"/>
    </row>
    <row r="2065" spans="10:10" x14ac:dyDescent="0.35">
      <c r="J2065"/>
    </row>
    <row r="2066" spans="10:10" x14ac:dyDescent="0.35">
      <c r="J2066"/>
    </row>
    <row r="2067" spans="10:10" x14ac:dyDescent="0.35">
      <c r="J2067"/>
    </row>
    <row r="2068" spans="10:10" x14ac:dyDescent="0.35">
      <c r="J2068"/>
    </row>
    <row r="2069" spans="10:10" x14ac:dyDescent="0.35">
      <c r="J2069"/>
    </row>
    <row r="2070" spans="10:10" x14ac:dyDescent="0.35">
      <c r="J2070"/>
    </row>
    <row r="2071" spans="10:10" x14ac:dyDescent="0.35">
      <c r="J2071"/>
    </row>
    <row r="2072" spans="10:10" x14ac:dyDescent="0.35">
      <c r="J2072"/>
    </row>
    <row r="2073" spans="10:10" x14ac:dyDescent="0.35">
      <c r="J2073"/>
    </row>
    <row r="2074" spans="10:10" x14ac:dyDescent="0.35">
      <c r="J2074"/>
    </row>
    <row r="2075" spans="10:10" x14ac:dyDescent="0.35">
      <c r="J2075"/>
    </row>
    <row r="2076" spans="10:10" x14ac:dyDescent="0.35">
      <c r="J2076"/>
    </row>
    <row r="2077" spans="10:10" x14ac:dyDescent="0.35">
      <c r="J2077"/>
    </row>
    <row r="2078" spans="10:10" x14ac:dyDescent="0.35">
      <c r="J2078"/>
    </row>
    <row r="2079" spans="10:10" x14ac:dyDescent="0.35">
      <c r="J2079"/>
    </row>
    <row r="2080" spans="10:10" x14ac:dyDescent="0.35">
      <c r="J2080"/>
    </row>
    <row r="2081" spans="10:10" x14ac:dyDescent="0.35">
      <c r="J2081"/>
    </row>
    <row r="2082" spans="10:10" x14ac:dyDescent="0.35">
      <c r="J2082"/>
    </row>
    <row r="2083" spans="10:10" x14ac:dyDescent="0.35">
      <c r="J2083"/>
    </row>
    <row r="2084" spans="10:10" x14ac:dyDescent="0.35">
      <c r="J2084"/>
    </row>
    <row r="2085" spans="10:10" x14ac:dyDescent="0.35">
      <c r="J2085"/>
    </row>
    <row r="2086" spans="10:10" x14ac:dyDescent="0.35">
      <c r="J2086"/>
    </row>
    <row r="2087" spans="10:10" x14ac:dyDescent="0.35">
      <c r="J2087"/>
    </row>
    <row r="2088" spans="10:10" x14ac:dyDescent="0.35">
      <c r="J2088"/>
    </row>
    <row r="2089" spans="10:10" x14ac:dyDescent="0.35">
      <c r="J2089"/>
    </row>
    <row r="2090" spans="10:10" x14ac:dyDescent="0.35">
      <c r="J2090"/>
    </row>
    <row r="2091" spans="10:10" x14ac:dyDescent="0.35">
      <c r="J2091"/>
    </row>
    <row r="2092" spans="10:10" x14ac:dyDescent="0.35">
      <c r="J2092"/>
    </row>
    <row r="2093" spans="10:10" x14ac:dyDescent="0.35">
      <c r="J2093"/>
    </row>
    <row r="2094" spans="10:10" x14ac:dyDescent="0.35">
      <c r="J2094"/>
    </row>
    <row r="2095" spans="10:10" x14ac:dyDescent="0.35">
      <c r="J2095"/>
    </row>
    <row r="2096" spans="10:10" x14ac:dyDescent="0.35">
      <c r="J2096"/>
    </row>
    <row r="2097" spans="10:10" x14ac:dyDescent="0.35">
      <c r="J2097"/>
    </row>
    <row r="2098" spans="10:10" x14ac:dyDescent="0.35">
      <c r="J2098"/>
    </row>
    <row r="2099" spans="10:10" x14ac:dyDescent="0.35">
      <c r="J2099"/>
    </row>
    <row r="2100" spans="10:10" x14ac:dyDescent="0.35">
      <c r="J2100"/>
    </row>
    <row r="2101" spans="10:10" x14ac:dyDescent="0.35">
      <c r="J2101"/>
    </row>
    <row r="2102" spans="10:10" x14ac:dyDescent="0.35">
      <c r="J2102"/>
    </row>
    <row r="2103" spans="10:10" x14ac:dyDescent="0.35">
      <c r="J2103"/>
    </row>
    <row r="2104" spans="10:10" x14ac:dyDescent="0.35">
      <c r="J2104"/>
    </row>
    <row r="2105" spans="10:10" x14ac:dyDescent="0.35">
      <c r="J2105"/>
    </row>
    <row r="2106" spans="10:10" x14ac:dyDescent="0.35">
      <c r="J2106"/>
    </row>
    <row r="2107" spans="10:10" x14ac:dyDescent="0.35">
      <c r="J2107"/>
    </row>
    <row r="2108" spans="10:10" x14ac:dyDescent="0.35">
      <c r="J2108"/>
    </row>
    <row r="2109" spans="10:10" x14ac:dyDescent="0.35">
      <c r="J2109"/>
    </row>
    <row r="2110" spans="10:10" x14ac:dyDescent="0.35">
      <c r="J2110"/>
    </row>
    <row r="2111" spans="10:10" x14ac:dyDescent="0.35">
      <c r="J2111"/>
    </row>
    <row r="2112" spans="10:10" x14ac:dyDescent="0.35">
      <c r="J2112"/>
    </row>
    <row r="2113" spans="10:10" x14ac:dyDescent="0.35">
      <c r="J2113"/>
    </row>
    <row r="2114" spans="10:10" x14ac:dyDescent="0.35">
      <c r="J2114"/>
    </row>
    <row r="2115" spans="10:10" x14ac:dyDescent="0.35">
      <c r="J2115"/>
    </row>
    <row r="2116" spans="10:10" x14ac:dyDescent="0.35">
      <c r="J2116"/>
    </row>
    <row r="2117" spans="10:10" x14ac:dyDescent="0.35">
      <c r="J2117"/>
    </row>
    <row r="2118" spans="10:10" x14ac:dyDescent="0.35">
      <c r="J2118"/>
    </row>
    <row r="2119" spans="10:10" x14ac:dyDescent="0.35">
      <c r="J2119"/>
    </row>
    <row r="2120" spans="10:10" x14ac:dyDescent="0.35">
      <c r="J2120"/>
    </row>
    <row r="2121" spans="10:10" x14ac:dyDescent="0.35">
      <c r="J2121"/>
    </row>
    <row r="2122" spans="10:10" x14ac:dyDescent="0.35">
      <c r="J2122"/>
    </row>
    <row r="2123" spans="10:10" x14ac:dyDescent="0.35">
      <c r="J2123"/>
    </row>
    <row r="2124" spans="10:10" x14ac:dyDescent="0.35">
      <c r="J2124"/>
    </row>
    <row r="2125" spans="10:10" x14ac:dyDescent="0.35">
      <c r="J2125"/>
    </row>
    <row r="2126" spans="10:10" x14ac:dyDescent="0.35">
      <c r="J2126"/>
    </row>
    <row r="2127" spans="10:10" x14ac:dyDescent="0.35">
      <c r="J2127"/>
    </row>
    <row r="2128" spans="10:10" x14ac:dyDescent="0.35">
      <c r="J2128"/>
    </row>
    <row r="2129" spans="10:10" x14ac:dyDescent="0.35">
      <c r="J2129"/>
    </row>
    <row r="2130" spans="10:10" x14ac:dyDescent="0.35">
      <c r="J2130"/>
    </row>
    <row r="2131" spans="10:10" x14ac:dyDescent="0.35">
      <c r="J2131"/>
    </row>
    <row r="2132" spans="10:10" x14ac:dyDescent="0.35">
      <c r="J2132"/>
    </row>
    <row r="2133" spans="10:10" x14ac:dyDescent="0.35">
      <c r="J2133"/>
    </row>
    <row r="2134" spans="10:10" x14ac:dyDescent="0.35">
      <c r="J2134"/>
    </row>
    <row r="2135" spans="10:10" x14ac:dyDescent="0.35">
      <c r="J2135"/>
    </row>
    <row r="2136" spans="10:10" x14ac:dyDescent="0.35">
      <c r="J2136"/>
    </row>
    <row r="2137" spans="10:10" x14ac:dyDescent="0.35">
      <c r="J2137"/>
    </row>
    <row r="2138" spans="10:10" x14ac:dyDescent="0.35">
      <c r="J2138"/>
    </row>
    <row r="2139" spans="10:10" x14ac:dyDescent="0.35">
      <c r="J2139"/>
    </row>
    <row r="2140" spans="10:10" x14ac:dyDescent="0.35">
      <c r="J2140"/>
    </row>
    <row r="2141" spans="10:10" x14ac:dyDescent="0.35">
      <c r="J2141"/>
    </row>
    <row r="2142" spans="10:10" x14ac:dyDescent="0.35">
      <c r="J2142"/>
    </row>
    <row r="2143" spans="10:10" x14ac:dyDescent="0.35">
      <c r="J2143"/>
    </row>
    <row r="2144" spans="10:10" x14ac:dyDescent="0.35">
      <c r="J2144"/>
    </row>
    <row r="2145" spans="10:10" x14ac:dyDescent="0.35">
      <c r="J2145"/>
    </row>
    <row r="2146" spans="10:10" x14ac:dyDescent="0.35">
      <c r="J2146"/>
    </row>
    <row r="2147" spans="10:10" x14ac:dyDescent="0.35">
      <c r="J2147"/>
    </row>
    <row r="2148" spans="10:10" x14ac:dyDescent="0.35">
      <c r="J2148"/>
    </row>
    <row r="2149" spans="10:10" x14ac:dyDescent="0.35">
      <c r="J2149"/>
    </row>
    <row r="2150" spans="10:10" x14ac:dyDescent="0.35">
      <c r="J2150"/>
    </row>
    <row r="2151" spans="10:10" x14ac:dyDescent="0.35">
      <c r="J2151"/>
    </row>
    <row r="2152" spans="10:10" x14ac:dyDescent="0.35">
      <c r="J2152"/>
    </row>
    <row r="2153" spans="10:10" x14ac:dyDescent="0.35">
      <c r="J2153"/>
    </row>
    <row r="2154" spans="10:10" x14ac:dyDescent="0.35">
      <c r="J2154"/>
    </row>
    <row r="2155" spans="10:10" x14ac:dyDescent="0.35">
      <c r="J2155"/>
    </row>
    <row r="2156" spans="10:10" x14ac:dyDescent="0.35">
      <c r="J2156"/>
    </row>
    <row r="2157" spans="10:10" x14ac:dyDescent="0.35">
      <c r="J2157"/>
    </row>
    <row r="2158" spans="10:10" x14ac:dyDescent="0.35">
      <c r="J2158"/>
    </row>
    <row r="2159" spans="10:10" x14ac:dyDescent="0.35">
      <c r="J2159"/>
    </row>
    <row r="2160" spans="10:10" x14ac:dyDescent="0.35">
      <c r="J2160"/>
    </row>
    <row r="2161" spans="10:10" x14ac:dyDescent="0.35">
      <c r="J2161"/>
    </row>
    <row r="2162" spans="10:10" x14ac:dyDescent="0.35">
      <c r="J2162"/>
    </row>
    <row r="2163" spans="10:10" x14ac:dyDescent="0.35">
      <c r="J2163"/>
    </row>
    <row r="2164" spans="10:10" x14ac:dyDescent="0.35">
      <c r="J2164"/>
    </row>
    <row r="2165" spans="10:10" x14ac:dyDescent="0.35">
      <c r="J2165"/>
    </row>
    <row r="2166" spans="10:10" x14ac:dyDescent="0.35">
      <c r="J2166"/>
    </row>
    <row r="2167" spans="10:10" x14ac:dyDescent="0.35">
      <c r="J2167"/>
    </row>
    <row r="2168" spans="10:10" x14ac:dyDescent="0.35">
      <c r="J2168"/>
    </row>
    <row r="2169" spans="10:10" x14ac:dyDescent="0.35">
      <c r="J2169"/>
    </row>
    <row r="2170" spans="10:10" x14ac:dyDescent="0.35">
      <c r="J2170"/>
    </row>
    <row r="2171" spans="10:10" x14ac:dyDescent="0.35">
      <c r="J2171"/>
    </row>
    <row r="2172" spans="10:10" x14ac:dyDescent="0.35">
      <c r="J2172"/>
    </row>
    <row r="2173" spans="10:10" x14ac:dyDescent="0.35">
      <c r="J2173"/>
    </row>
    <row r="2174" spans="10:10" x14ac:dyDescent="0.35">
      <c r="J2174"/>
    </row>
    <row r="2175" spans="10:10" x14ac:dyDescent="0.35">
      <c r="J2175"/>
    </row>
    <row r="2176" spans="10:10" x14ac:dyDescent="0.35">
      <c r="J2176"/>
    </row>
    <row r="2177" spans="10:10" x14ac:dyDescent="0.35">
      <c r="J2177"/>
    </row>
    <row r="2178" spans="10:10" x14ac:dyDescent="0.35">
      <c r="J2178"/>
    </row>
    <row r="2179" spans="10:10" x14ac:dyDescent="0.35">
      <c r="J2179"/>
    </row>
    <row r="2180" spans="10:10" x14ac:dyDescent="0.35">
      <c r="J2180"/>
    </row>
    <row r="2181" spans="10:10" x14ac:dyDescent="0.35">
      <c r="J2181"/>
    </row>
    <row r="2182" spans="10:10" x14ac:dyDescent="0.35">
      <c r="J2182"/>
    </row>
    <row r="2183" spans="10:10" x14ac:dyDescent="0.35">
      <c r="J2183"/>
    </row>
    <row r="2184" spans="10:10" x14ac:dyDescent="0.35">
      <c r="J2184"/>
    </row>
    <row r="2185" spans="10:10" x14ac:dyDescent="0.35">
      <c r="J2185"/>
    </row>
    <row r="2186" spans="10:10" x14ac:dyDescent="0.35">
      <c r="J2186"/>
    </row>
    <row r="2187" spans="10:10" x14ac:dyDescent="0.35">
      <c r="J2187"/>
    </row>
    <row r="2188" spans="10:10" x14ac:dyDescent="0.35">
      <c r="J2188"/>
    </row>
    <row r="2189" spans="10:10" x14ac:dyDescent="0.35">
      <c r="J2189"/>
    </row>
    <row r="2190" spans="10:10" x14ac:dyDescent="0.35">
      <c r="J2190"/>
    </row>
    <row r="2191" spans="10:10" x14ac:dyDescent="0.35">
      <c r="J2191"/>
    </row>
    <row r="2192" spans="10:10" x14ac:dyDescent="0.35">
      <c r="J2192"/>
    </row>
    <row r="2193" spans="10:10" x14ac:dyDescent="0.35">
      <c r="J2193"/>
    </row>
    <row r="2194" spans="10:10" x14ac:dyDescent="0.35">
      <c r="J2194"/>
    </row>
    <row r="2195" spans="10:10" x14ac:dyDescent="0.35">
      <c r="J2195"/>
    </row>
    <row r="2196" spans="10:10" x14ac:dyDescent="0.35">
      <c r="J2196"/>
    </row>
    <row r="2197" spans="10:10" x14ac:dyDescent="0.35">
      <c r="J2197"/>
    </row>
    <row r="2198" spans="10:10" x14ac:dyDescent="0.35">
      <c r="J2198"/>
    </row>
    <row r="2199" spans="10:10" x14ac:dyDescent="0.35">
      <c r="J2199"/>
    </row>
    <row r="2200" spans="10:10" x14ac:dyDescent="0.35">
      <c r="J2200"/>
    </row>
    <row r="2201" spans="10:10" x14ac:dyDescent="0.35">
      <c r="J2201"/>
    </row>
    <row r="2202" spans="10:10" x14ac:dyDescent="0.35">
      <c r="J2202"/>
    </row>
    <row r="2203" spans="10:10" x14ac:dyDescent="0.35">
      <c r="J2203"/>
    </row>
    <row r="2204" spans="10:10" x14ac:dyDescent="0.35">
      <c r="J2204"/>
    </row>
    <row r="2205" spans="10:10" x14ac:dyDescent="0.35">
      <c r="J2205"/>
    </row>
    <row r="2206" spans="10:10" x14ac:dyDescent="0.35">
      <c r="J2206"/>
    </row>
    <row r="2207" spans="10:10" x14ac:dyDescent="0.35">
      <c r="J2207"/>
    </row>
    <row r="2208" spans="10:10" x14ac:dyDescent="0.35">
      <c r="J2208"/>
    </row>
    <row r="2209" spans="10:10" x14ac:dyDescent="0.35">
      <c r="J2209"/>
    </row>
    <row r="2210" spans="10:10" x14ac:dyDescent="0.35">
      <c r="J2210"/>
    </row>
    <row r="2211" spans="10:10" x14ac:dyDescent="0.35">
      <c r="J2211"/>
    </row>
    <row r="2212" spans="10:10" x14ac:dyDescent="0.35">
      <c r="J2212"/>
    </row>
    <row r="2213" spans="10:10" x14ac:dyDescent="0.35">
      <c r="J2213"/>
    </row>
    <row r="2214" spans="10:10" x14ac:dyDescent="0.35">
      <c r="J2214"/>
    </row>
    <row r="2215" spans="10:10" x14ac:dyDescent="0.35">
      <c r="J2215"/>
    </row>
    <row r="2216" spans="10:10" x14ac:dyDescent="0.35">
      <c r="J2216"/>
    </row>
    <row r="2217" spans="10:10" x14ac:dyDescent="0.35">
      <c r="J2217"/>
    </row>
    <row r="2218" spans="10:10" x14ac:dyDescent="0.35">
      <c r="J2218"/>
    </row>
    <row r="2219" spans="10:10" x14ac:dyDescent="0.35">
      <c r="J2219"/>
    </row>
    <row r="2220" spans="10:10" x14ac:dyDescent="0.35">
      <c r="J2220"/>
    </row>
    <row r="2221" spans="10:10" x14ac:dyDescent="0.35">
      <c r="J2221"/>
    </row>
    <row r="2222" spans="10:10" x14ac:dyDescent="0.35">
      <c r="J2222"/>
    </row>
    <row r="2223" spans="10:10" x14ac:dyDescent="0.35">
      <c r="J2223"/>
    </row>
    <row r="2224" spans="10:10" x14ac:dyDescent="0.35">
      <c r="J2224"/>
    </row>
    <row r="2225" spans="10:10" x14ac:dyDescent="0.35">
      <c r="J2225"/>
    </row>
    <row r="2226" spans="10:10" x14ac:dyDescent="0.35">
      <c r="J2226"/>
    </row>
    <row r="2227" spans="10:10" x14ac:dyDescent="0.35">
      <c r="J2227"/>
    </row>
    <row r="2228" spans="10:10" x14ac:dyDescent="0.35">
      <c r="J2228"/>
    </row>
    <row r="2229" spans="10:10" x14ac:dyDescent="0.35">
      <c r="J2229"/>
    </row>
    <row r="2230" spans="10:10" x14ac:dyDescent="0.35">
      <c r="J2230"/>
    </row>
    <row r="2231" spans="10:10" x14ac:dyDescent="0.35">
      <c r="J2231"/>
    </row>
    <row r="2232" spans="10:10" x14ac:dyDescent="0.35">
      <c r="J2232"/>
    </row>
    <row r="2233" spans="10:10" x14ac:dyDescent="0.35">
      <c r="J2233"/>
    </row>
    <row r="2234" spans="10:10" x14ac:dyDescent="0.35">
      <c r="J2234"/>
    </row>
    <row r="2235" spans="10:10" x14ac:dyDescent="0.35">
      <c r="J2235"/>
    </row>
    <row r="2236" spans="10:10" x14ac:dyDescent="0.35">
      <c r="J2236"/>
    </row>
    <row r="2237" spans="10:10" x14ac:dyDescent="0.35">
      <c r="J2237"/>
    </row>
    <row r="2238" spans="10:10" x14ac:dyDescent="0.35">
      <c r="J2238"/>
    </row>
    <row r="2239" spans="10:10" x14ac:dyDescent="0.35">
      <c r="J2239"/>
    </row>
    <row r="2240" spans="10:10" x14ac:dyDescent="0.35">
      <c r="J2240"/>
    </row>
    <row r="2241" spans="10:10" x14ac:dyDescent="0.35">
      <c r="J2241"/>
    </row>
    <row r="2242" spans="10:10" x14ac:dyDescent="0.35">
      <c r="J2242"/>
    </row>
    <row r="2243" spans="10:10" x14ac:dyDescent="0.35">
      <c r="J2243"/>
    </row>
    <row r="2244" spans="10:10" x14ac:dyDescent="0.35">
      <c r="J2244"/>
    </row>
    <row r="2245" spans="10:10" x14ac:dyDescent="0.35">
      <c r="J2245"/>
    </row>
    <row r="2246" spans="10:10" x14ac:dyDescent="0.35">
      <c r="J2246"/>
    </row>
    <row r="2247" spans="10:10" x14ac:dyDescent="0.35">
      <c r="J2247"/>
    </row>
    <row r="2248" spans="10:10" x14ac:dyDescent="0.35">
      <c r="J2248"/>
    </row>
    <row r="2249" spans="10:10" x14ac:dyDescent="0.35">
      <c r="J2249"/>
    </row>
    <row r="2250" spans="10:10" x14ac:dyDescent="0.35">
      <c r="J2250"/>
    </row>
    <row r="2251" spans="10:10" x14ac:dyDescent="0.35">
      <c r="J2251"/>
    </row>
    <row r="2252" spans="10:10" x14ac:dyDescent="0.35">
      <c r="J2252"/>
    </row>
    <row r="2253" spans="10:10" x14ac:dyDescent="0.35">
      <c r="J2253"/>
    </row>
    <row r="2254" spans="10:10" x14ac:dyDescent="0.35">
      <c r="J2254"/>
    </row>
    <row r="2255" spans="10:10" x14ac:dyDescent="0.35">
      <c r="J2255"/>
    </row>
    <row r="2256" spans="10:10" x14ac:dyDescent="0.35">
      <c r="J2256"/>
    </row>
    <row r="2257" spans="10:10" x14ac:dyDescent="0.35">
      <c r="J2257"/>
    </row>
    <row r="2258" spans="10:10" x14ac:dyDescent="0.35">
      <c r="J2258"/>
    </row>
    <row r="2259" spans="10:10" x14ac:dyDescent="0.35">
      <c r="J2259"/>
    </row>
    <row r="2260" spans="10:10" x14ac:dyDescent="0.35">
      <c r="J2260"/>
    </row>
    <row r="2261" spans="10:10" x14ac:dyDescent="0.35">
      <c r="J2261"/>
    </row>
    <row r="2262" spans="10:10" x14ac:dyDescent="0.35">
      <c r="J2262"/>
    </row>
    <row r="2263" spans="10:10" x14ac:dyDescent="0.35">
      <c r="J2263"/>
    </row>
    <row r="2264" spans="10:10" x14ac:dyDescent="0.35">
      <c r="J2264"/>
    </row>
    <row r="2265" spans="10:10" x14ac:dyDescent="0.35">
      <c r="J2265"/>
    </row>
    <row r="2266" spans="10:10" x14ac:dyDescent="0.35">
      <c r="J2266"/>
    </row>
    <row r="2267" spans="10:10" x14ac:dyDescent="0.35">
      <c r="J2267"/>
    </row>
    <row r="2268" spans="10:10" x14ac:dyDescent="0.35">
      <c r="J2268"/>
    </row>
    <row r="2269" spans="10:10" x14ac:dyDescent="0.35">
      <c r="J2269"/>
    </row>
    <row r="2270" spans="10:10" x14ac:dyDescent="0.35">
      <c r="J2270"/>
    </row>
    <row r="2271" spans="10:10" x14ac:dyDescent="0.35">
      <c r="J2271"/>
    </row>
    <row r="2272" spans="10:10" x14ac:dyDescent="0.35">
      <c r="J2272"/>
    </row>
    <row r="2273" spans="10:10" x14ac:dyDescent="0.35">
      <c r="J2273"/>
    </row>
    <row r="2274" spans="10:10" x14ac:dyDescent="0.35">
      <c r="J2274"/>
    </row>
    <row r="2275" spans="10:10" x14ac:dyDescent="0.35">
      <c r="J2275"/>
    </row>
    <row r="2276" spans="10:10" x14ac:dyDescent="0.35">
      <c r="J2276"/>
    </row>
    <row r="2277" spans="10:10" x14ac:dyDescent="0.35">
      <c r="J2277"/>
    </row>
    <row r="2278" spans="10:10" x14ac:dyDescent="0.35">
      <c r="J2278"/>
    </row>
    <row r="2279" spans="10:10" x14ac:dyDescent="0.35">
      <c r="J2279"/>
    </row>
    <row r="2280" spans="10:10" x14ac:dyDescent="0.35">
      <c r="J2280"/>
    </row>
    <row r="2281" spans="10:10" x14ac:dyDescent="0.35">
      <c r="J2281"/>
    </row>
    <row r="2282" spans="10:10" x14ac:dyDescent="0.35">
      <c r="J2282"/>
    </row>
    <row r="2283" spans="10:10" x14ac:dyDescent="0.35">
      <c r="J2283"/>
    </row>
    <row r="2284" spans="10:10" x14ac:dyDescent="0.35">
      <c r="J2284"/>
    </row>
    <row r="2285" spans="10:10" x14ac:dyDescent="0.35">
      <c r="J2285"/>
    </row>
    <row r="2286" spans="10:10" x14ac:dyDescent="0.35">
      <c r="J2286"/>
    </row>
    <row r="2287" spans="10:10" x14ac:dyDescent="0.35">
      <c r="J2287"/>
    </row>
    <row r="2288" spans="10:10" x14ac:dyDescent="0.35">
      <c r="J2288"/>
    </row>
    <row r="2289" spans="10:10" x14ac:dyDescent="0.35">
      <c r="J2289"/>
    </row>
    <row r="2290" spans="10:10" x14ac:dyDescent="0.35">
      <c r="J2290"/>
    </row>
    <row r="2291" spans="10:10" x14ac:dyDescent="0.35">
      <c r="J2291"/>
    </row>
    <row r="2292" spans="10:10" x14ac:dyDescent="0.35">
      <c r="J2292"/>
    </row>
    <row r="2293" spans="10:10" x14ac:dyDescent="0.35">
      <c r="J2293"/>
    </row>
    <row r="2294" spans="10:10" x14ac:dyDescent="0.35">
      <c r="J2294"/>
    </row>
    <row r="2295" spans="10:10" x14ac:dyDescent="0.35">
      <c r="J2295"/>
    </row>
    <row r="2296" spans="10:10" x14ac:dyDescent="0.35">
      <c r="J2296"/>
    </row>
    <row r="2297" spans="10:10" x14ac:dyDescent="0.35">
      <c r="J2297"/>
    </row>
    <row r="2298" spans="10:10" x14ac:dyDescent="0.35">
      <c r="J2298"/>
    </row>
    <row r="2299" spans="10:10" x14ac:dyDescent="0.35">
      <c r="J2299"/>
    </row>
    <row r="2300" spans="10:10" x14ac:dyDescent="0.35">
      <c r="J2300"/>
    </row>
    <row r="2301" spans="10:10" x14ac:dyDescent="0.35">
      <c r="J2301"/>
    </row>
    <row r="2302" spans="10:10" x14ac:dyDescent="0.35">
      <c r="J2302"/>
    </row>
    <row r="2303" spans="10:10" x14ac:dyDescent="0.35">
      <c r="J2303"/>
    </row>
    <row r="2304" spans="10:10" x14ac:dyDescent="0.35">
      <c r="J2304"/>
    </row>
    <row r="2305" spans="10:10" x14ac:dyDescent="0.35">
      <c r="J2305"/>
    </row>
    <row r="2306" spans="10:10" x14ac:dyDescent="0.35">
      <c r="J2306"/>
    </row>
    <row r="2307" spans="10:10" x14ac:dyDescent="0.35">
      <c r="J2307"/>
    </row>
    <row r="2308" spans="10:10" x14ac:dyDescent="0.35">
      <c r="J2308"/>
    </row>
    <row r="2309" spans="10:10" x14ac:dyDescent="0.35">
      <c r="J2309"/>
    </row>
    <row r="2310" spans="10:10" x14ac:dyDescent="0.35">
      <c r="J2310"/>
    </row>
    <row r="2311" spans="10:10" x14ac:dyDescent="0.35">
      <c r="J2311"/>
    </row>
    <row r="2312" spans="10:10" x14ac:dyDescent="0.35">
      <c r="J2312"/>
    </row>
    <row r="2313" spans="10:10" x14ac:dyDescent="0.35">
      <c r="J2313"/>
    </row>
    <row r="2314" spans="10:10" x14ac:dyDescent="0.35">
      <c r="J2314"/>
    </row>
    <row r="2315" spans="10:10" x14ac:dyDescent="0.35">
      <c r="J2315"/>
    </row>
    <row r="2316" spans="10:10" x14ac:dyDescent="0.35">
      <c r="J2316"/>
    </row>
    <row r="2317" spans="10:10" x14ac:dyDescent="0.35">
      <c r="J2317"/>
    </row>
    <row r="2318" spans="10:10" x14ac:dyDescent="0.35">
      <c r="J2318"/>
    </row>
    <row r="2319" spans="10:10" x14ac:dyDescent="0.35">
      <c r="J2319"/>
    </row>
    <row r="2320" spans="10:10" x14ac:dyDescent="0.35">
      <c r="J2320"/>
    </row>
    <row r="2321" spans="10:10" x14ac:dyDescent="0.35">
      <c r="J2321"/>
    </row>
    <row r="2322" spans="10:10" x14ac:dyDescent="0.35">
      <c r="J2322"/>
    </row>
    <row r="2323" spans="10:10" x14ac:dyDescent="0.35">
      <c r="J2323"/>
    </row>
    <row r="2324" spans="10:10" x14ac:dyDescent="0.35">
      <c r="J2324"/>
    </row>
    <row r="2325" spans="10:10" x14ac:dyDescent="0.35">
      <c r="J2325"/>
    </row>
    <row r="2326" spans="10:10" x14ac:dyDescent="0.35">
      <c r="J2326"/>
    </row>
    <row r="2327" spans="10:10" x14ac:dyDescent="0.35">
      <c r="J2327"/>
    </row>
    <row r="2328" spans="10:10" x14ac:dyDescent="0.35">
      <c r="J2328"/>
    </row>
    <row r="2329" spans="10:10" x14ac:dyDescent="0.35">
      <c r="J2329"/>
    </row>
    <row r="2330" spans="10:10" x14ac:dyDescent="0.35">
      <c r="J2330"/>
    </row>
    <row r="2331" spans="10:10" x14ac:dyDescent="0.35">
      <c r="J2331"/>
    </row>
    <row r="2332" spans="10:10" x14ac:dyDescent="0.35">
      <c r="J2332"/>
    </row>
    <row r="2333" spans="10:10" x14ac:dyDescent="0.35">
      <c r="J2333"/>
    </row>
    <row r="2334" spans="10:10" x14ac:dyDescent="0.35">
      <c r="J2334"/>
    </row>
    <row r="2335" spans="10:10" x14ac:dyDescent="0.35">
      <c r="J2335"/>
    </row>
    <row r="2336" spans="10:10" x14ac:dyDescent="0.35">
      <c r="J2336"/>
    </row>
    <row r="2337" spans="10:10" x14ac:dyDescent="0.35">
      <c r="J2337"/>
    </row>
    <row r="2338" spans="10:10" x14ac:dyDescent="0.35">
      <c r="J2338"/>
    </row>
    <row r="2339" spans="10:10" x14ac:dyDescent="0.35">
      <c r="J2339"/>
    </row>
    <row r="2340" spans="10:10" x14ac:dyDescent="0.35">
      <c r="J2340"/>
    </row>
    <row r="2341" spans="10:10" x14ac:dyDescent="0.35">
      <c r="J2341"/>
    </row>
    <row r="2342" spans="10:10" x14ac:dyDescent="0.35">
      <c r="J2342"/>
    </row>
    <row r="2343" spans="10:10" x14ac:dyDescent="0.35">
      <c r="J2343"/>
    </row>
    <row r="2344" spans="10:10" x14ac:dyDescent="0.35">
      <c r="J2344"/>
    </row>
    <row r="2345" spans="10:10" x14ac:dyDescent="0.35">
      <c r="J2345"/>
    </row>
    <row r="2346" spans="10:10" x14ac:dyDescent="0.35">
      <c r="J2346"/>
    </row>
    <row r="2347" spans="10:10" x14ac:dyDescent="0.35">
      <c r="J2347"/>
    </row>
    <row r="2348" spans="10:10" x14ac:dyDescent="0.35">
      <c r="J2348"/>
    </row>
    <row r="2349" spans="10:10" x14ac:dyDescent="0.35">
      <c r="J2349"/>
    </row>
    <row r="2350" spans="10:10" x14ac:dyDescent="0.35">
      <c r="J2350"/>
    </row>
    <row r="2351" spans="10:10" x14ac:dyDescent="0.35">
      <c r="J2351"/>
    </row>
    <row r="2352" spans="10:10" x14ac:dyDescent="0.35">
      <c r="J2352"/>
    </row>
    <row r="2353" spans="10:10" x14ac:dyDescent="0.35">
      <c r="J2353"/>
    </row>
    <row r="2354" spans="10:10" x14ac:dyDescent="0.35">
      <c r="J2354"/>
    </row>
    <row r="2355" spans="10:10" x14ac:dyDescent="0.35">
      <c r="J2355"/>
    </row>
    <row r="2356" spans="10:10" x14ac:dyDescent="0.35">
      <c r="J2356"/>
    </row>
    <row r="2357" spans="10:10" x14ac:dyDescent="0.35">
      <c r="J2357"/>
    </row>
    <row r="2358" spans="10:10" x14ac:dyDescent="0.35">
      <c r="J2358"/>
    </row>
    <row r="2359" spans="10:10" x14ac:dyDescent="0.35">
      <c r="J2359"/>
    </row>
    <row r="2360" spans="10:10" x14ac:dyDescent="0.35">
      <c r="J2360"/>
    </row>
    <row r="2361" spans="10:10" x14ac:dyDescent="0.35">
      <c r="J2361"/>
    </row>
    <row r="2362" spans="10:10" x14ac:dyDescent="0.35">
      <c r="J2362"/>
    </row>
    <row r="2363" spans="10:10" x14ac:dyDescent="0.35">
      <c r="J2363"/>
    </row>
    <row r="2364" spans="10:10" x14ac:dyDescent="0.35">
      <c r="J2364"/>
    </row>
    <row r="2365" spans="10:10" x14ac:dyDescent="0.35">
      <c r="J2365"/>
    </row>
    <row r="2366" spans="10:10" x14ac:dyDescent="0.35">
      <c r="J2366"/>
    </row>
    <row r="2367" spans="10:10" x14ac:dyDescent="0.35">
      <c r="J2367"/>
    </row>
    <row r="2368" spans="10:10" x14ac:dyDescent="0.35">
      <c r="J2368"/>
    </row>
    <row r="2369" spans="10:10" x14ac:dyDescent="0.35">
      <c r="J2369"/>
    </row>
    <row r="2370" spans="10:10" x14ac:dyDescent="0.35">
      <c r="J2370"/>
    </row>
    <row r="2371" spans="10:10" x14ac:dyDescent="0.35">
      <c r="J2371"/>
    </row>
    <row r="2372" spans="10:10" x14ac:dyDescent="0.35">
      <c r="J2372"/>
    </row>
    <row r="2373" spans="10:10" x14ac:dyDescent="0.35">
      <c r="J2373"/>
    </row>
    <row r="2374" spans="10:10" x14ac:dyDescent="0.35">
      <c r="J2374"/>
    </row>
    <row r="2375" spans="10:10" x14ac:dyDescent="0.35">
      <c r="J2375"/>
    </row>
    <row r="2376" spans="10:10" x14ac:dyDescent="0.35">
      <c r="J2376"/>
    </row>
    <row r="2377" spans="10:10" x14ac:dyDescent="0.35">
      <c r="J2377"/>
    </row>
    <row r="2378" spans="10:10" x14ac:dyDescent="0.35">
      <c r="J2378"/>
    </row>
    <row r="2379" spans="10:10" x14ac:dyDescent="0.35">
      <c r="J2379"/>
    </row>
    <row r="2380" spans="10:10" x14ac:dyDescent="0.35">
      <c r="J2380"/>
    </row>
    <row r="2381" spans="10:10" x14ac:dyDescent="0.35">
      <c r="J2381"/>
    </row>
    <row r="2382" spans="10:10" x14ac:dyDescent="0.35">
      <c r="J2382"/>
    </row>
    <row r="2383" spans="10:10" x14ac:dyDescent="0.35">
      <c r="J2383"/>
    </row>
    <row r="2384" spans="10:10" x14ac:dyDescent="0.35">
      <c r="J2384"/>
    </row>
    <row r="2385" spans="10:10" x14ac:dyDescent="0.35">
      <c r="J2385"/>
    </row>
    <row r="2386" spans="10:10" x14ac:dyDescent="0.35">
      <c r="J2386"/>
    </row>
    <row r="2387" spans="10:10" x14ac:dyDescent="0.35">
      <c r="J2387"/>
    </row>
    <row r="2388" spans="10:10" x14ac:dyDescent="0.35">
      <c r="J2388"/>
    </row>
    <row r="2389" spans="10:10" x14ac:dyDescent="0.35">
      <c r="J2389"/>
    </row>
    <row r="2390" spans="10:10" x14ac:dyDescent="0.35">
      <c r="J2390"/>
    </row>
    <row r="2391" spans="10:10" x14ac:dyDescent="0.35">
      <c r="J2391"/>
    </row>
    <row r="2392" spans="10:10" x14ac:dyDescent="0.35">
      <c r="J2392"/>
    </row>
    <row r="2393" spans="10:10" x14ac:dyDescent="0.35">
      <c r="J2393"/>
    </row>
    <row r="2394" spans="10:10" x14ac:dyDescent="0.35">
      <c r="J2394"/>
    </row>
    <row r="2395" spans="10:10" x14ac:dyDescent="0.35">
      <c r="J2395"/>
    </row>
    <row r="2396" spans="10:10" x14ac:dyDescent="0.35">
      <c r="J2396"/>
    </row>
    <row r="2397" spans="10:10" x14ac:dyDescent="0.35">
      <c r="J2397"/>
    </row>
    <row r="2398" spans="10:10" x14ac:dyDescent="0.35">
      <c r="J2398"/>
    </row>
    <row r="2399" spans="10:10" x14ac:dyDescent="0.35">
      <c r="J2399"/>
    </row>
    <row r="2400" spans="10:10" x14ac:dyDescent="0.35">
      <c r="J2400"/>
    </row>
    <row r="2401" spans="10:10" x14ac:dyDescent="0.35">
      <c r="J2401"/>
    </row>
    <row r="2402" spans="10:10" x14ac:dyDescent="0.35">
      <c r="J2402"/>
    </row>
    <row r="2403" spans="10:10" x14ac:dyDescent="0.35">
      <c r="J2403"/>
    </row>
    <row r="2404" spans="10:10" x14ac:dyDescent="0.35">
      <c r="J2404"/>
    </row>
    <row r="2405" spans="10:10" x14ac:dyDescent="0.35">
      <c r="J2405"/>
    </row>
    <row r="2406" spans="10:10" x14ac:dyDescent="0.35">
      <c r="J2406"/>
    </row>
    <row r="2407" spans="10:10" x14ac:dyDescent="0.35">
      <c r="J2407"/>
    </row>
    <row r="2408" spans="10:10" x14ac:dyDescent="0.35">
      <c r="J2408"/>
    </row>
    <row r="2409" spans="10:10" x14ac:dyDescent="0.35">
      <c r="J2409"/>
    </row>
    <row r="2410" spans="10:10" x14ac:dyDescent="0.35">
      <c r="J2410"/>
    </row>
    <row r="2411" spans="10:10" x14ac:dyDescent="0.35">
      <c r="J2411"/>
    </row>
    <row r="2412" spans="10:10" x14ac:dyDescent="0.35">
      <c r="J2412"/>
    </row>
    <row r="2413" spans="10:10" x14ac:dyDescent="0.35">
      <c r="J2413"/>
    </row>
    <row r="2414" spans="10:10" x14ac:dyDescent="0.35">
      <c r="J2414"/>
    </row>
    <row r="2415" spans="10:10" x14ac:dyDescent="0.35">
      <c r="J2415"/>
    </row>
    <row r="2416" spans="10:10" x14ac:dyDescent="0.35">
      <c r="J2416"/>
    </row>
    <row r="2417" spans="10:10" x14ac:dyDescent="0.35">
      <c r="J2417"/>
    </row>
    <row r="2418" spans="10:10" x14ac:dyDescent="0.35">
      <c r="J2418"/>
    </row>
    <row r="2419" spans="10:10" x14ac:dyDescent="0.35">
      <c r="J2419"/>
    </row>
    <row r="2420" spans="10:10" x14ac:dyDescent="0.35">
      <c r="J2420"/>
    </row>
    <row r="2421" spans="10:10" x14ac:dyDescent="0.35">
      <c r="J2421"/>
    </row>
    <row r="2422" spans="10:10" x14ac:dyDescent="0.35">
      <c r="J2422"/>
    </row>
    <row r="2423" spans="10:10" x14ac:dyDescent="0.35">
      <c r="J2423"/>
    </row>
    <row r="2424" spans="10:10" x14ac:dyDescent="0.35">
      <c r="J2424"/>
    </row>
    <row r="2425" spans="10:10" x14ac:dyDescent="0.35">
      <c r="J2425"/>
    </row>
    <row r="2426" spans="10:10" x14ac:dyDescent="0.35">
      <c r="J2426"/>
    </row>
    <row r="2427" spans="10:10" x14ac:dyDescent="0.35">
      <c r="J2427"/>
    </row>
    <row r="2428" spans="10:10" x14ac:dyDescent="0.35">
      <c r="J2428"/>
    </row>
    <row r="2429" spans="10:10" x14ac:dyDescent="0.35">
      <c r="J2429"/>
    </row>
    <row r="2430" spans="10:10" x14ac:dyDescent="0.35">
      <c r="J2430"/>
    </row>
    <row r="2431" spans="10:10" x14ac:dyDescent="0.35">
      <c r="J2431"/>
    </row>
    <row r="2432" spans="10:10" x14ac:dyDescent="0.35">
      <c r="J2432"/>
    </row>
    <row r="2433" spans="10:10" x14ac:dyDescent="0.35">
      <c r="J2433"/>
    </row>
    <row r="2434" spans="10:10" x14ac:dyDescent="0.35">
      <c r="J2434"/>
    </row>
    <row r="2435" spans="10:10" x14ac:dyDescent="0.35">
      <c r="J2435"/>
    </row>
    <row r="2436" spans="10:10" x14ac:dyDescent="0.35">
      <c r="J2436"/>
    </row>
    <row r="2437" spans="10:10" x14ac:dyDescent="0.35">
      <c r="J2437"/>
    </row>
    <row r="2438" spans="10:10" x14ac:dyDescent="0.35">
      <c r="J2438"/>
    </row>
    <row r="2439" spans="10:10" x14ac:dyDescent="0.35">
      <c r="J2439"/>
    </row>
    <row r="2440" spans="10:10" x14ac:dyDescent="0.35">
      <c r="J2440"/>
    </row>
    <row r="2441" spans="10:10" x14ac:dyDescent="0.35">
      <c r="J2441"/>
    </row>
    <row r="2442" spans="10:10" x14ac:dyDescent="0.35">
      <c r="J2442"/>
    </row>
    <row r="2443" spans="10:10" x14ac:dyDescent="0.35">
      <c r="J2443"/>
    </row>
    <row r="2444" spans="10:10" x14ac:dyDescent="0.35">
      <c r="J2444"/>
    </row>
    <row r="2445" spans="10:10" x14ac:dyDescent="0.35">
      <c r="J2445"/>
    </row>
    <row r="2446" spans="10:10" x14ac:dyDescent="0.35">
      <c r="J2446"/>
    </row>
    <row r="2447" spans="10:10" x14ac:dyDescent="0.35">
      <c r="J2447"/>
    </row>
    <row r="2448" spans="10:10" x14ac:dyDescent="0.35">
      <c r="J2448"/>
    </row>
    <row r="2449" spans="10:10" x14ac:dyDescent="0.35">
      <c r="J2449"/>
    </row>
    <row r="2450" spans="10:10" x14ac:dyDescent="0.35">
      <c r="J2450"/>
    </row>
    <row r="2451" spans="10:10" x14ac:dyDescent="0.35">
      <c r="J2451"/>
    </row>
    <row r="2452" spans="10:10" x14ac:dyDescent="0.35">
      <c r="J2452"/>
    </row>
    <row r="2453" spans="10:10" x14ac:dyDescent="0.35">
      <c r="J2453"/>
    </row>
    <row r="2454" spans="10:10" x14ac:dyDescent="0.35">
      <c r="J2454"/>
    </row>
    <row r="2455" spans="10:10" x14ac:dyDescent="0.35">
      <c r="J2455"/>
    </row>
    <row r="2456" spans="10:10" x14ac:dyDescent="0.35">
      <c r="J2456"/>
    </row>
    <row r="2457" spans="10:10" x14ac:dyDescent="0.35">
      <c r="J2457"/>
    </row>
    <row r="2458" spans="10:10" x14ac:dyDescent="0.35">
      <c r="J2458"/>
    </row>
    <row r="2459" spans="10:10" x14ac:dyDescent="0.35">
      <c r="J2459"/>
    </row>
    <row r="2460" spans="10:10" x14ac:dyDescent="0.35">
      <c r="J2460"/>
    </row>
    <row r="2461" spans="10:10" x14ac:dyDescent="0.35">
      <c r="J2461"/>
    </row>
    <row r="2462" spans="10:10" x14ac:dyDescent="0.35">
      <c r="J2462"/>
    </row>
    <row r="2463" spans="10:10" x14ac:dyDescent="0.35">
      <c r="J2463"/>
    </row>
    <row r="2464" spans="10:10" x14ac:dyDescent="0.35">
      <c r="J2464"/>
    </row>
    <row r="2465" spans="10:10" x14ac:dyDescent="0.35">
      <c r="J2465"/>
    </row>
    <row r="2466" spans="10:10" x14ac:dyDescent="0.35">
      <c r="J2466"/>
    </row>
    <row r="2467" spans="10:10" x14ac:dyDescent="0.35">
      <c r="J2467"/>
    </row>
    <row r="2468" spans="10:10" x14ac:dyDescent="0.35">
      <c r="J2468"/>
    </row>
    <row r="2469" spans="10:10" x14ac:dyDescent="0.35">
      <c r="J2469"/>
    </row>
    <row r="2470" spans="10:10" x14ac:dyDescent="0.35">
      <c r="J2470"/>
    </row>
    <row r="2471" spans="10:10" x14ac:dyDescent="0.35">
      <c r="J2471"/>
    </row>
    <row r="2472" spans="10:10" x14ac:dyDescent="0.35">
      <c r="J2472"/>
    </row>
    <row r="2473" spans="10:10" x14ac:dyDescent="0.35">
      <c r="J2473"/>
    </row>
    <row r="2474" spans="10:10" x14ac:dyDescent="0.35">
      <c r="J2474"/>
    </row>
    <row r="2475" spans="10:10" x14ac:dyDescent="0.35">
      <c r="J2475"/>
    </row>
    <row r="2476" spans="10:10" x14ac:dyDescent="0.35">
      <c r="J2476"/>
    </row>
    <row r="2477" spans="10:10" x14ac:dyDescent="0.35">
      <c r="J2477"/>
    </row>
    <row r="2478" spans="10:10" x14ac:dyDescent="0.35">
      <c r="J2478"/>
    </row>
    <row r="2479" spans="10:10" x14ac:dyDescent="0.35">
      <c r="J2479"/>
    </row>
    <row r="2480" spans="10:10" x14ac:dyDescent="0.35">
      <c r="J2480"/>
    </row>
    <row r="2481" spans="10:10" x14ac:dyDescent="0.35">
      <c r="J2481"/>
    </row>
    <row r="2482" spans="10:10" x14ac:dyDescent="0.35">
      <c r="J2482"/>
    </row>
    <row r="2483" spans="10:10" x14ac:dyDescent="0.35">
      <c r="J2483"/>
    </row>
    <row r="2484" spans="10:10" x14ac:dyDescent="0.35">
      <c r="J2484"/>
    </row>
    <row r="2485" spans="10:10" x14ac:dyDescent="0.35">
      <c r="J2485"/>
    </row>
    <row r="2486" spans="10:10" x14ac:dyDescent="0.35">
      <c r="J2486"/>
    </row>
    <row r="2487" spans="10:10" x14ac:dyDescent="0.35">
      <c r="J2487"/>
    </row>
    <row r="2488" spans="10:10" x14ac:dyDescent="0.35">
      <c r="J2488"/>
    </row>
    <row r="2489" spans="10:10" x14ac:dyDescent="0.35">
      <c r="J2489"/>
    </row>
    <row r="2490" spans="10:10" x14ac:dyDescent="0.35">
      <c r="J2490"/>
    </row>
    <row r="2491" spans="10:10" x14ac:dyDescent="0.35">
      <c r="J2491"/>
    </row>
    <row r="2492" spans="10:10" x14ac:dyDescent="0.35">
      <c r="J2492"/>
    </row>
    <row r="2493" spans="10:10" x14ac:dyDescent="0.35">
      <c r="J2493"/>
    </row>
    <row r="2494" spans="10:10" x14ac:dyDescent="0.35">
      <c r="J2494"/>
    </row>
    <row r="2495" spans="10:10" x14ac:dyDescent="0.35">
      <c r="J2495"/>
    </row>
    <row r="2496" spans="10:10" x14ac:dyDescent="0.35">
      <c r="J2496"/>
    </row>
    <row r="2497" spans="10:10" x14ac:dyDescent="0.35">
      <c r="J2497"/>
    </row>
    <row r="2498" spans="10:10" x14ac:dyDescent="0.35">
      <c r="J2498"/>
    </row>
    <row r="2499" spans="10:10" x14ac:dyDescent="0.35">
      <c r="J2499"/>
    </row>
    <row r="2500" spans="10:10" x14ac:dyDescent="0.35">
      <c r="J2500"/>
    </row>
    <row r="2501" spans="10:10" x14ac:dyDescent="0.35">
      <c r="J2501"/>
    </row>
    <row r="2502" spans="10:10" x14ac:dyDescent="0.35">
      <c r="J2502"/>
    </row>
    <row r="2503" spans="10:10" x14ac:dyDescent="0.35">
      <c r="J2503"/>
    </row>
    <row r="2504" spans="10:10" x14ac:dyDescent="0.35">
      <c r="J2504"/>
    </row>
    <row r="2505" spans="10:10" x14ac:dyDescent="0.35">
      <c r="J2505"/>
    </row>
    <row r="2506" spans="10:10" x14ac:dyDescent="0.35">
      <c r="J2506"/>
    </row>
    <row r="2507" spans="10:10" x14ac:dyDescent="0.35">
      <c r="J2507"/>
    </row>
    <row r="2508" spans="10:10" x14ac:dyDescent="0.35">
      <c r="J2508"/>
    </row>
    <row r="2509" spans="10:10" x14ac:dyDescent="0.35">
      <c r="J2509"/>
    </row>
    <row r="2510" spans="10:10" x14ac:dyDescent="0.35">
      <c r="J2510"/>
    </row>
    <row r="2511" spans="10:10" x14ac:dyDescent="0.35">
      <c r="J2511"/>
    </row>
    <row r="2512" spans="10:10" x14ac:dyDescent="0.35">
      <c r="J2512"/>
    </row>
    <row r="2513" spans="10:10" x14ac:dyDescent="0.35">
      <c r="J2513"/>
    </row>
    <row r="2514" spans="10:10" x14ac:dyDescent="0.35">
      <c r="J2514"/>
    </row>
    <row r="2515" spans="10:10" x14ac:dyDescent="0.35">
      <c r="J2515"/>
    </row>
    <row r="2516" spans="10:10" x14ac:dyDescent="0.35">
      <c r="J2516"/>
    </row>
    <row r="2517" spans="10:10" x14ac:dyDescent="0.35">
      <c r="J2517"/>
    </row>
    <row r="2518" spans="10:10" x14ac:dyDescent="0.35">
      <c r="J2518"/>
    </row>
    <row r="2519" spans="10:10" x14ac:dyDescent="0.35">
      <c r="J2519"/>
    </row>
    <row r="2520" spans="10:10" x14ac:dyDescent="0.35">
      <c r="J2520"/>
    </row>
    <row r="2521" spans="10:10" x14ac:dyDescent="0.35">
      <c r="J2521"/>
    </row>
    <row r="2522" spans="10:10" x14ac:dyDescent="0.35">
      <c r="J2522"/>
    </row>
    <row r="2523" spans="10:10" x14ac:dyDescent="0.35">
      <c r="J2523"/>
    </row>
    <row r="2524" spans="10:10" x14ac:dyDescent="0.35">
      <c r="J2524"/>
    </row>
    <row r="2525" spans="10:10" x14ac:dyDescent="0.35">
      <c r="J2525"/>
    </row>
    <row r="2526" spans="10:10" x14ac:dyDescent="0.35">
      <c r="J2526"/>
    </row>
    <row r="2527" spans="10:10" x14ac:dyDescent="0.35">
      <c r="J2527"/>
    </row>
    <row r="2528" spans="10:10" x14ac:dyDescent="0.35">
      <c r="J2528"/>
    </row>
    <row r="2529" spans="10:10" x14ac:dyDescent="0.35">
      <c r="J2529"/>
    </row>
    <row r="2530" spans="10:10" x14ac:dyDescent="0.35">
      <c r="J2530"/>
    </row>
    <row r="2531" spans="10:10" x14ac:dyDescent="0.35">
      <c r="J2531"/>
    </row>
    <row r="2532" spans="10:10" x14ac:dyDescent="0.35">
      <c r="J2532"/>
    </row>
    <row r="2533" spans="10:10" x14ac:dyDescent="0.35">
      <c r="J2533"/>
    </row>
    <row r="2534" spans="10:10" x14ac:dyDescent="0.35">
      <c r="J2534"/>
    </row>
    <row r="2535" spans="10:10" x14ac:dyDescent="0.35">
      <c r="J2535"/>
    </row>
    <row r="2536" spans="10:10" x14ac:dyDescent="0.35">
      <c r="J2536"/>
    </row>
    <row r="2537" spans="10:10" x14ac:dyDescent="0.35">
      <c r="J2537"/>
    </row>
    <row r="2538" spans="10:10" x14ac:dyDescent="0.35">
      <c r="J2538"/>
    </row>
    <row r="2539" spans="10:10" x14ac:dyDescent="0.35">
      <c r="J2539"/>
    </row>
    <row r="2540" spans="10:10" x14ac:dyDescent="0.35">
      <c r="J2540"/>
    </row>
    <row r="2541" spans="10:10" x14ac:dyDescent="0.35">
      <c r="J2541"/>
    </row>
    <row r="2542" spans="10:10" x14ac:dyDescent="0.35">
      <c r="J2542"/>
    </row>
    <row r="2543" spans="10:10" x14ac:dyDescent="0.35">
      <c r="J2543"/>
    </row>
    <row r="2544" spans="10:10" x14ac:dyDescent="0.35">
      <c r="J2544"/>
    </row>
    <row r="2545" spans="10:10" x14ac:dyDescent="0.35">
      <c r="J2545"/>
    </row>
    <row r="2546" spans="10:10" x14ac:dyDescent="0.35">
      <c r="J2546"/>
    </row>
    <row r="2547" spans="10:10" x14ac:dyDescent="0.35">
      <c r="J2547"/>
    </row>
    <row r="2548" spans="10:10" x14ac:dyDescent="0.35">
      <c r="J2548"/>
    </row>
    <row r="2549" spans="10:10" x14ac:dyDescent="0.35">
      <c r="J2549"/>
    </row>
    <row r="2550" spans="10:10" x14ac:dyDescent="0.35">
      <c r="J2550"/>
    </row>
    <row r="2551" spans="10:10" x14ac:dyDescent="0.35">
      <c r="J2551"/>
    </row>
    <row r="2552" spans="10:10" x14ac:dyDescent="0.35">
      <c r="J2552"/>
    </row>
    <row r="2553" spans="10:10" x14ac:dyDescent="0.35">
      <c r="J2553"/>
    </row>
    <row r="2554" spans="10:10" x14ac:dyDescent="0.35">
      <c r="J2554"/>
    </row>
    <row r="2555" spans="10:10" x14ac:dyDescent="0.35">
      <c r="J2555"/>
    </row>
    <row r="2556" spans="10:10" x14ac:dyDescent="0.35">
      <c r="J2556"/>
    </row>
    <row r="2557" spans="10:10" x14ac:dyDescent="0.35">
      <c r="J2557"/>
    </row>
    <row r="2558" spans="10:10" x14ac:dyDescent="0.35">
      <c r="J2558"/>
    </row>
    <row r="2559" spans="10:10" x14ac:dyDescent="0.35">
      <c r="J2559"/>
    </row>
    <row r="2560" spans="10:10" x14ac:dyDescent="0.35">
      <c r="J2560"/>
    </row>
    <row r="2561" spans="10:10" x14ac:dyDescent="0.35">
      <c r="J2561"/>
    </row>
    <row r="2562" spans="10:10" x14ac:dyDescent="0.35">
      <c r="J2562"/>
    </row>
    <row r="2563" spans="10:10" x14ac:dyDescent="0.35">
      <c r="J2563"/>
    </row>
    <row r="2564" spans="10:10" x14ac:dyDescent="0.35">
      <c r="J2564"/>
    </row>
    <row r="2565" spans="10:10" x14ac:dyDescent="0.35">
      <c r="J2565"/>
    </row>
    <row r="2566" spans="10:10" x14ac:dyDescent="0.35">
      <c r="J2566"/>
    </row>
    <row r="2567" spans="10:10" x14ac:dyDescent="0.35">
      <c r="J2567"/>
    </row>
    <row r="2568" spans="10:10" x14ac:dyDescent="0.35">
      <c r="J2568"/>
    </row>
    <row r="2569" spans="10:10" x14ac:dyDescent="0.35">
      <c r="J2569"/>
    </row>
    <row r="2570" spans="10:10" x14ac:dyDescent="0.35">
      <c r="J2570"/>
    </row>
    <row r="2571" spans="10:10" x14ac:dyDescent="0.35">
      <c r="J2571"/>
    </row>
    <row r="2572" spans="10:10" x14ac:dyDescent="0.35">
      <c r="J2572"/>
    </row>
    <row r="2573" spans="10:10" x14ac:dyDescent="0.35">
      <c r="J2573"/>
    </row>
    <row r="2574" spans="10:10" x14ac:dyDescent="0.35">
      <c r="J2574"/>
    </row>
    <row r="2575" spans="10:10" x14ac:dyDescent="0.35">
      <c r="J2575"/>
    </row>
    <row r="2576" spans="10:10" x14ac:dyDescent="0.35">
      <c r="J2576"/>
    </row>
    <row r="2577" spans="10:10" x14ac:dyDescent="0.35">
      <c r="J2577"/>
    </row>
    <row r="2578" spans="10:10" x14ac:dyDescent="0.35">
      <c r="J2578"/>
    </row>
    <row r="2579" spans="10:10" x14ac:dyDescent="0.35">
      <c r="J2579"/>
    </row>
    <row r="2580" spans="10:10" x14ac:dyDescent="0.35">
      <c r="J2580"/>
    </row>
    <row r="2581" spans="10:10" x14ac:dyDescent="0.35">
      <c r="J2581"/>
    </row>
    <row r="2582" spans="10:10" x14ac:dyDescent="0.35">
      <c r="J2582"/>
    </row>
    <row r="2583" spans="10:10" x14ac:dyDescent="0.35">
      <c r="J2583"/>
    </row>
    <row r="2584" spans="10:10" x14ac:dyDescent="0.35">
      <c r="J2584"/>
    </row>
    <row r="2585" spans="10:10" x14ac:dyDescent="0.35">
      <c r="J2585"/>
    </row>
    <row r="2586" spans="10:10" x14ac:dyDescent="0.35">
      <c r="J2586"/>
    </row>
    <row r="2587" spans="10:10" x14ac:dyDescent="0.35">
      <c r="J2587"/>
    </row>
    <row r="2588" spans="10:10" x14ac:dyDescent="0.35">
      <c r="J2588"/>
    </row>
    <row r="2589" spans="10:10" x14ac:dyDescent="0.35">
      <c r="J2589"/>
    </row>
    <row r="2590" spans="10:10" x14ac:dyDescent="0.35">
      <c r="J2590"/>
    </row>
    <row r="2591" spans="10:10" x14ac:dyDescent="0.35">
      <c r="J2591"/>
    </row>
    <row r="2592" spans="10:10" x14ac:dyDescent="0.35">
      <c r="J2592"/>
    </row>
    <row r="2593" spans="10:10" x14ac:dyDescent="0.35">
      <c r="J2593"/>
    </row>
    <row r="2594" spans="10:10" x14ac:dyDescent="0.35">
      <c r="J2594"/>
    </row>
    <row r="2595" spans="10:10" x14ac:dyDescent="0.35">
      <c r="J2595"/>
    </row>
    <row r="2596" spans="10:10" x14ac:dyDescent="0.35">
      <c r="J2596"/>
    </row>
    <row r="2597" spans="10:10" x14ac:dyDescent="0.35">
      <c r="J2597"/>
    </row>
    <row r="2598" spans="10:10" x14ac:dyDescent="0.35">
      <c r="J2598"/>
    </row>
    <row r="2599" spans="10:10" x14ac:dyDescent="0.35">
      <c r="J2599"/>
    </row>
    <row r="2600" spans="10:10" x14ac:dyDescent="0.35">
      <c r="J2600"/>
    </row>
    <row r="2601" spans="10:10" x14ac:dyDescent="0.35">
      <c r="J2601"/>
    </row>
    <row r="2602" spans="10:10" x14ac:dyDescent="0.35">
      <c r="J2602"/>
    </row>
    <row r="2603" spans="10:10" x14ac:dyDescent="0.35">
      <c r="J2603"/>
    </row>
    <row r="2604" spans="10:10" x14ac:dyDescent="0.35">
      <c r="J2604"/>
    </row>
    <row r="2605" spans="10:10" x14ac:dyDescent="0.35">
      <c r="J2605"/>
    </row>
    <row r="2606" spans="10:10" x14ac:dyDescent="0.35">
      <c r="J2606"/>
    </row>
    <row r="2607" spans="10:10" x14ac:dyDescent="0.35">
      <c r="J2607"/>
    </row>
    <row r="2608" spans="10:10" x14ac:dyDescent="0.35">
      <c r="J2608"/>
    </row>
    <row r="2609" spans="10:10" x14ac:dyDescent="0.35">
      <c r="J2609"/>
    </row>
    <row r="2610" spans="10:10" x14ac:dyDescent="0.35">
      <c r="J2610"/>
    </row>
    <row r="2611" spans="10:10" x14ac:dyDescent="0.35">
      <c r="J2611"/>
    </row>
    <row r="2612" spans="10:10" x14ac:dyDescent="0.35">
      <c r="J2612"/>
    </row>
    <row r="2613" spans="10:10" x14ac:dyDescent="0.35">
      <c r="J2613"/>
    </row>
    <row r="2614" spans="10:10" x14ac:dyDescent="0.35">
      <c r="J2614"/>
    </row>
    <row r="2615" spans="10:10" x14ac:dyDescent="0.35">
      <c r="J2615"/>
    </row>
    <row r="2616" spans="10:10" x14ac:dyDescent="0.35">
      <c r="J2616"/>
    </row>
    <row r="2617" spans="10:10" x14ac:dyDescent="0.35">
      <c r="J2617"/>
    </row>
    <row r="2618" spans="10:10" x14ac:dyDescent="0.35">
      <c r="J2618"/>
    </row>
    <row r="2619" spans="10:10" x14ac:dyDescent="0.35">
      <c r="J2619"/>
    </row>
    <row r="2620" spans="10:10" x14ac:dyDescent="0.35">
      <c r="J2620"/>
    </row>
    <row r="2621" spans="10:10" x14ac:dyDescent="0.35">
      <c r="J2621"/>
    </row>
    <row r="2622" spans="10:10" x14ac:dyDescent="0.35">
      <c r="J2622"/>
    </row>
    <row r="2623" spans="10:10" x14ac:dyDescent="0.35">
      <c r="J2623"/>
    </row>
    <row r="2624" spans="10:10" x14ac:dyDescent="0.35">
      <c r="J2624"/>
    </row>
    <row r="2625" spans="10:10" x14ac:dyDescent="0.35">
      <c r="J2625"/>
    </row>
    <row r="2626" spans="10:10" x14ac:dyDescent="0.35">
      <c r="J2626"/>
    </row>
    <row r="2627" spans="10:10" x14ac:dyDescent="0.35">
      <c r="J2627"/>
    </row>
    <row r="2628" spans="10:10" x14ac:dyDescent="0.35">
      <c r="J2628"/>
    </row>
    <row r="2629" spans="10:10" x14ac:dyDescent="0.35">
      <c r="J2629"/>
    </row>
    <row r="2630" spans="10:10" x14ac:dyDescent="0.35">
      <c r="J2630"/>
    </row>
    <row r="2631" spans="10:10" x14ac:dyDescent="0.35">
      <c r="J2631"/>
    </row>
    <row r="2632" spans="10:10" x14ac:dyDescent="0.35">
      <c r="J2632"/>
    </row>
    <row r="2633" spans="10:10" x14ac:dyDescent="0.35">
      <c r="J2633"/>
    </row>
    <row r="2634" spans="10:10" x14ac:dyDescent="0.35">
      <c r="J2634"/>
    </row>
    <row r="2635" spans="10:10" x14ac:dyDescent="0.35">
      <c r="J2635"/>
    </row>
    <row r="2636" spans="10:10" x14ac:dyDescent="0.35">
      <c r="J2636"/>
    </row>
    <row r="2637" spans="10:10" x14ac:dyDescent="0.35">
      <c r="J2637"/>
    </row>
    <row r="2638" spans="10:10" x14ac:dyDescent="0.35">
      <c r="J2638"/>
    </row>
    <row r="2639" spans="10:10" x14ac:dyDescent="0.35">
      <c r="J2639"/>
    </row>
    <row r="2640" spans="10:10" x14ac:dyDescent="0.35">
      <c r="J2640"/>
    </row>
    <row r="2641" spans="10:10" x14ac:dyDescent="0.35">
      <c r="J2641"/>
    </row>
    <row r="2642" spans="10:10" x14ac:dyDescent="0.35">
      <c r="J2642"/>
    </row>
    <row r="2643" spans="10:10" x14ac:dyDescent="0.35">
      <c r="J2643"/>
    </row>
    <row r="2644" spans="10:10" x14ac:dyDescent="0.35">
      <c r="J2644"/>
    </row>
    <row r="2645" spans="10:10" x14ac:dyDescent="0.35">
      <c r="J2645"/>
    </row>
    <row r="2646" spans="10:10" x14ac:dyDescent="0.35">
      <c r="J2646"/>
    </row>
    <row r="2647" spans="10:10" x14ac:dyDescent="0.35">
      <c r="J2647"/>
    </row>
    <row r="2648" spans="10:10" x14ac:dyDescent="0.35">
      <c r="J2648"/>
    </row>
    <row r="2649" spans="10:10" x14ac:dyDescent="0.35">
      <c r="J2649"/>
    </row>
    <row r="2650" spans="10:10" x14ac:dyDescent="0.35">
      <c r="J2650"/>
    </row>
    <row r="2651" spans="10:10" x14ac:dyDescent="0.35">
      <c r="J2651"/>
    </row>
    <row r="2652" spans="10:10" x14ac:dyDescent="0.35">
      <c r="J2652"/>
    </row>
    <row r="2653" spans="10:10" x14ac:dyDescent="0.35">
      <c r="J2653"/>
    </row>
    <row r="2654" spans="10:10" x14ac:dyDescent="0.35">
      <c r="J2654"/>
    </row>
    <row r="2655" spans="10:10" x14ac:dyDescent="0.35">
      <c r="J2655"/>
    </row>
    <row r="2656" spans="10:10" x14ac:dyDescent="0.35">
      <c r="J2656"/>
    </row>
    <row r="2657" spans="10:10" x14ac:dyDescent="0.35">
      <c r="J2657"/>
    </row>
    <row r="2658" spans="10:10" x14ac:dyDescent="0.35">
      <c r="J2658"/>
    </row>
    <row r="2659" spans="10:10" x14ac:dyDescent="0.35">
      <c r="J2659"/>
    </row>
    <row r="2660" spans="10:10" x14ac:dyDescent="0.35">
      <c r="J2660"/>
    </row>
    <row r="2661" spans="10:10" x14ac:dyDescent="0.35">
      <c r="J2661"/>
    </row>
    <row r="2662" spans="10:10" x14ac:dyDescent="0.35">
      <c r="J2662"/>
    </row>
    <row r="2663" spans="10:10" x14ac:dyDescent="0.35">
      <c r="J2663"/>
    </row>
    <row r="2664" spans="10:10" x14ac:dyDescent="0.35">
      <c r="J2664"/>
    </row>
    <row r="2665" spans="10:10" x14ac:dyDescent="0.35">
      <c r="J2665"/>
    </row>
    <row r="2666" spans="10:10" x14ac:dyDescent="0.35">
      <c r="J2666"/>
    </row>
    <row r="2667" spans="10:10" x14ac:dyDescent="0.35">
      <c r="J2667"/>
    </row>
    <row r="2668" spans="10:10" x14ac:dyDescent="0.35">
      <c r="J2668"/>
    </row>
    <row r="2669" spans="10:10" x14ac:dyDescent="0.35">
      <c r="J2669"/>
    </row>
    <row r="2670" spans="10:10" x14ac:dyDescent="0.35">
      <c r="J2670"/>
    </row>
    <row r="2671" spans="10:10" x14ac:dyDescent="0.35">
      <c r="J2671"/>
    </row>
    <row r="2672" spans="10:10" x14ac:dyDescent="0.35">
      <c r="J2672"/>
    </row>
    <row r="2673" spans="10:10" x14ac:dyDescent="0.35">
      <c r="J2673"/>
    </row>
    <row r="2674" spans="10:10" x14ac:dyDescent="0.35">
      <c r="J2674"/>
    </row>
    <row r="2675" spans="10:10" x14ac:dyDescent="0.35">
      <c r="J2675"/>
    </row>
    <row r="2676" spans="10:10" x14ac:dyDescent="0.35">
      <c r="J2676"/>
    </row>
    <row r="2677" spans="10:10" x14ac:dyDescent="0.35">
      <c r="J2677"/>
    </row>
    <row r="2678" spans="10:10" x14ac:dyDescent="0.35">
      <c r="J2678"/>
    </row>
    <row r="2679" spans="10:10" x14ac:dyDescent="0.35">
      <c r="J2679"/>
    </row>
    <row r="2680" spans="10:10" x14ac:dyDescent="0.35">
      <c r="J2680"/>
    </row>
    <row r="2681" spans="10:10" x14ac:dyDescent="0.35">
      <c r="J2681"/>
    </row>
    <row r="2682" spans="10:10" x14ac:dyDescent="0.35">
      <c r="J2682"/>
    </row>
    <row r="2683" spans="10:10" x14ac:dyDescent="0.35">
      <c r="J2683"/>
    </row>
    <row r="2684" spans="10:10" x14ac:dyDescent="0.35">
      <c r="J2684"/>
    </row>
    <row r="2685" spans="10:10" x14ac:dyDescent="0.35">
      <c r="J2685"/>
    </row>
    <row r="2686" spans="10:10" x14ac:dyDescent="0.35">
      <c r="J2686"/>
    </row>
    <row r="2687" spans="10:10" x14ac:dyDescent="0.35">
      <c r="J2687"/>
    </row>
    <row r="2688" spans="10:10" x14ac:dyDescent="0.35">
      <c r="J2688"/>
    </row>
    <row r="2689" spans="10:10" x14ac:dyDescent="0.35">
      <c r="J2689"/>
    </row>
    <row r="2690" spans="10:10" x14ac:dyDescent="0.35">
      <c r="J2690"/>
    </row>
    <row r="2691" spans="10:10" x14ac:dyDescent="0.35">
      <c r="J2691"/>
    </row>
    <row r="2692" spans="10:10" x14ac:dyDescent="0.35">
      <c r="J2692"/>
    </row>
    <row r="2693" spans="10:10" x14ac:dyDescent="0.35">
      <c r="J2693"/>
    </row>
    <row r="2694" spans="10:10" x14ac:dyDescent="0.35">
      <c r="J2694"/>
    </row>
    <row r="2695" spans="10:10" x14ac:dyDescent="0.35">
      <c r="J2695"/>
    </row>
    <row r="2696" spans="10:10" x14ac:dyDescent="0.35">
      <c r="J2696"/>
    </row>
    <row r="2697" spans="10:10" x14ac:dyDescent="0.35">
      <c r="J2697"/>
    </row>
    <row r="2698" spans="10:10" x14ac:dyDescent="0.35">
      <c r="J2698"/>
    </row>
    <row r="2699" spans="10:10" x14ac:dyDescent="0.35">
      <c r="J2699"/>
    </row>
    <row r="2700" spans="10:10" x14ac:dyDescent="0.35">
      <c r="J2700"/>
    </row>
    <row r="2701" spans="10:10" x14ac:dyDescent="0.35">
      <c r="J2701"/>
    </row>
    <row r="2702" spans="10:10" x14ac:dyDescent="0.35">
      <c r="J2702"/>
    </row>
    <row r="2703" spans="10:10" x14ac:dyDescent="0.35">
      <c r="J2703"/>
    </row>
    <row r="2704" spans="10:10" x14ac:dyDescent="0.35">
      <c r="J2704"/>
    </row>
    <row r="2705" spans="10:10" x14ac:dyDescent="0.35">
      <c r="J2705"/>
    </row>
    <row r="2706" spans="10:10" x14ac:dyDescent="0.35">
      <c r="J2706"/>
    </row>
    <row r="2707" spans="10:10" x14ac:dyDescent="0.35">
      <c r="J2707"/>
    </row>
    <row r="2708" spans="10:10" x14ac:dyDescent="0.35">
      <c r="J2708"/>
    </row>
    <row r="2709" spans="10:10" x14ac:dyDescent="0.35">
      <c r="J2709"/>
    </row>
    <row r="2710" spans="10:10" x14ac:dyDescent="0.35">
      <c r="J2710"/>
    </row>
    <row r="2711" spans="10:10" x14ac:dyDescent="0.35">
      <c r="J2711"/>
    </row>
    <row r="2712" spans="10:10" x14ac:dyDescent="0.35">
      <c r="J2712"/>
    </row>
    <row r="2713" spans="10:10" x14ac:dyDescent="0.35">
      <c r="J2713"/>
    </row>
    <row r="2714" spans="10:10" x14ac:dyDescent="0.35">
      <c r="J2714"/>
    </row>
    <row r="2715" spans="10:10" x14ac:dyDescent="0.35">
      <c r="J2715"/>
    </row>
    <row r="2716" spans="10:10" x14ac:dyDescent="0.35">
      <c r="J2716"/>
    </row>
    <row r="2717" spans="10:10" x14ac:dyDescent="0.35">
      <c r="J2717"/>
    </row>
    <row r="2718" spans="10:10" x14ac:dyDescent="0.35">
      <c r="J2718"/>
    </row>
    <row r="2719" spans="10:10" x14ac:dyDescent="0.35">
      <c r="J2719"/>
    </row>
    <row r="2720" spans="10:10" x14ac:dyDescent="0.35">
      <c r="J2720"/>
    </row>
    <row r="2721" spans="10:10" x14ac:dyDescent="0.35">
      <c r="J2721"/>
    </row>
    <row r="2722" spans="10:10" x14ac:dyDescent="0.35">
      <c r="J2722"/>
    </row>
    <row r="2723" spans="10:10" x14ac:dyDescent="0.35">
      <c r="J2723"/>
    </row>
    <row r="2724" spans="10:10" x14ac:dyDescent="0.35">
      <c r="J2724"/>
    </row>
    <row r="2725" spans="10:10" x14ac:dyDescent="0.35">
      <c r="J2725"/>
    </row>
    <row r="2726" spans="10:10" x14ac:dyDescent="0.35">
      <c r="J2726"/>
    </row>
    <row r="2727" spans="10:10" x14ac:dyDescent="0.35">
      <c r="J2727"/>
    </row>
    <row r="2728" spans="10:10" x14ac:dyDescent="0.35">
      <c r="J2728"/>
    </row>
    <row r="2729" spans="10:10" x14ac:dyDescent="0.35">
      <c r="J2729"/>
    </row>
    <row r="2730" spans="10:10" x14ac:dyDescent="0.35">
      <c r="J2730"/>
    </row>
    <row r="2731" spans="10:10" x14ac:dyDescent="0.35">
      <c r="J2731"/>
    </row>
    <row r="2732" spans="10:10" x14ac:dyDescent="0.35">
      <c r="J2732"/>
    </row>
    <row r="2733" spans="10:10" x14ac:dyDescent="0.35">
      <c r="J2733"/>
    </row>
    <row r="2734" spans="10:10" x14ac:dyDescent="0.35">
      <c r="J2734"/>
    </row>
    <row r="2735" spans="10:10" x14ac:dyDescent="0.35">
      <c r="J2735"/>
    </row>
    <row r="2736" spans="10:10" x14ac:dyDescent="0.35">
      <c r="J2736"/>
    </row>
    <row r="2737" spans="10:10" x14ac:dyDescent="0.35">
      <c r="J2737"/>
    </row>
    <row r="2738" spans="10:10" x14ac:dyDescent="0.35">
      <c r="J2738"/>
    </row>
    <row r="2739" spans="10:10" x14ac:dyDescent="0.35">
      <c r="J2739"/>
    </row>
    <row r="2740" spans="10:10" x14ac:dyDescent="0.35">
      <c r="J2740"/>
    </row>
    <row r="2741" spans="10:10" x14ac:dyDescent="0.35">
      <c r="J2741"/>
    </row>
    <row r="2742" spans="10:10" x14ac:dyDescent="0.35">
      <c r="J2742"/>
    </row>
    <row r="2743" spans="10:10" x14ac:dyDescent="0.35">
      <c r="J2743"/>
    </row>
    <row r="2744" spans="10:10" x14ac:dyDescent="0.35">
      <c r="J2744"/>
    </row>
    <row r="2745" spans="10:10" x14ac:dyDescent="0.35">
      <c r="J2745"/>
    </row>
    <row r="2746" spans="10:10" x14ac:dyDescent="0.35">
      <c r="J2746"/>
    </row>
    <row r="2747" spans="10:10" x14ac:dyDescent="0.35">
      <c r="J2747"/>
    </row>
    <row r="2748" spans="10:10" x14ac:dyDescent="0.35">
      <c r="J2748"/>
    </row>
    <row r="2749" spans="10:10" x14ac:dyDescent="0.35">
      <c r="J2749"/>
    </row>
    <row r="2750" spans="10:10" x14ac:dyDescent="0.35">
      <c r="J2750"/>
    </row>
    <row r="2751" spans="10:10" x14ac:dyDescent="0.35">
      <c r="J2751"/>
    </row>
    <row r="2752" spans="10:10" x14ac:dyDescent="0.35">
      <c r="J2752"/>
    </row>
    <row r="2753" spans="10:10" x14ac:dyDescent="0.35">
      <c r="J2753"/>
    </row>
    <row r="2754" spans="10:10" x14ac:dyDescent="0.35">
      <c r="J2754"/>
    </row>
    <row r="2755" spans="10:10" x14ac:dyDescent="0.35">
      <c r="J2755"/>
    </row>
    <row r="2756" spans="10:10" x14ac:dyDescent="0.35">
      <c r="J2756"/>
    </row>
    <row r="2757" spans="10:10" x14ac:dyDescent="0.35">
      <c r="J2757"/>
    </row>
    <row r="2758" spans="10:10" x14ac:dyDescent="0.35">
      <c r="J2758"/>
    </row>
    <row r="2759" spans="10:10" x14ac:dyDescent="0.35">
      <c r="J2759"/>
    </row>
    <row r="2760" spans="10:10" x14ac:dyDescent="0.35">
      <c r="J2760"/>
    </row>
    <row r="2761" spans="10:10" x14ac:dyDescent="0.35">
      <c r="J2761"/>
    </row>
    <row r="2762" spans="10:10" x14ac:dyDescent="0.35">
      <c r="J2762"/>
    </row>
    <row r="2763" spans="10:10" x14ac:dyDescent="0.35">
      <c r="J2763"/>
    </row>
    <row r="2764" spans="10:10" x14ac:dyDescent="0.35">
      <c r="J2764"/>
    </row>
    <row r="2765" spans="10:10" x14ac:dyDescent="0.35">
      <c r="J2765"/>
    </row>
    <row r="2766" spans="10:10" x14ac:dyDescent="0.35">
      <c r="J2766"/>
    </row>
    <row r="2767" spans="10:10" x14ac:dyDescent="0.35">
      <c r="J2767"/>
    </row>
    <row r="2768" spans="10:10" x14ac:dyDescent="0.35">
      <c r="J2768"/>
    </row>
    <row r="2769" spans="10:10" x14ac:dyDescent="0.35">
      <c r="J2769"/>
    </row>
    <row r="2770" spans="10:10" x14ac:dyDescent="0.35">
      <c r="J2770"/>
    </row>
    <row r="2771" spans="10:10" x14ac:dyDescent="0.35">
      <c r="J2771"/>
    </row>
    <row r="2772" spans="10:10" x14ac:dyDescent="0.35">
      <c r="J2772"/>
    </row>
    <row r="2773" spans="10:10" x14ac:dyDescent="0.35">
      <c r="J2773"/>
    </row>
    <row r="2774" spans="10:10" x14ac:dyDescent="0.35">
      <c r="J2774"/>
    </row>
    <row r="2775" spans="10:10" x14ac:dyDescent="0.35">
      <c r="J2775"/>
    </row>
    <row r="2776" spans="10:10" x14ac:dyDescent="0.35">
      <c r="J2776"/>
    </row>
    <row r="2777" spans="10:10" x14ac:dyDescent="0.35">
      <c r="J2777"/>
    </row>
    <row r="2778" spans="10:10" x14ac:dyDescent="0.35">
      <c r="J2778"/>
    </row>
    <row r="2779" spans="10:10" x14ac:dyDescent="0.35">
      <c r="J2779"/>
    </row>
    <row r="2780" spans="10:10" x14ac:dyDescent="0.35">
      <c r="J2780"/>
    </row>
    <row r="2781" spans="10:10" x14ac:dyDescent="0.35">
      <c r="J2781"/>
    </row>
    <row r="2782" spans="10:10" x14ac:dyDescent="0.35">
      <c r="J2782"/>
    </row>
    <row r="2783" spans="10:10" x14ac:dyDescent="0.35">
      <c r="J2783"/>
    </row>
    <row r="2784" spans="10:10" x14ac:dyDescent="0.35">
      <c r="J2784"/>
    </row>
    <row r="2785" spans="10:10" x14ac:dyDescent="0.35">
      <c r="J2785"/>
    </row>
    <row r="2786" spans="10:10" x14ac:dyDescent="0.35">
      <c r="J2786"/>
    </row>
    <row r="2787" spans="10:10" x14ac:dyDescent="0.35">
      <c r="J2787"/>
    </row>
    <row r="2788" spans="10:10" x14ac:dyDescent="0.35">
      <c r="J2788"/>
    </row>
    <row r="2789" spans="10:10" x14ac:dyDescent="0.35">
      <c r="J2789"/>
    </row>
    <row r="2790" spans="10:10" x14ac:dyDescent="0.35">
      <c r="J2790"/>
    </row>
    <row r="2791" spans="10:10" x14ac:dyDescent="0.35">
      <c r="J2791"/>
    </row>
    <row r="2792" spans="10:10" x14ac:dyDescent="0.35">
      <c r="J2792"/>
    </row>
    <row r="2793" spans="10:10" x14ac:dyDescent="0.35">
      <c r="J2793"/>
    </row>
    <row r="2794" spans="10:10" x14ac:dyDescent="0.35">
      <c r="J2794"/>
    </row>
    <row r="2795" spans="10:10" x14ac:dyDescent="0.35">
      <c r="J2795"/>
    </row>
    <row r="2796" spans="10:10" x14ac:dyDescent="0.35">
      <c r="J2796"/>
    </row>
    <row r="2797" spans="10:10" x14ac:dyDescent="0.35">
      <c r="J2797"/>
    </row>
    <row r="2798" spans="10:10" x14ac:dyDescent="0.35">
      <c r="J2798"/>
    </row>
    <row r="2799" spans="10:10" x14ac:dyDescent="0.35">
      <c r="J2799"/>
    </row>
    <row r="2800" spans="10:10" x14ac:dyDescent="0.35">
      <c r="J2800"/>
    </row>
    <row r="2801" spans="10:10" x14ac:dyDescent="0.35">
      <c r="J2801"/>
    </row>
    <row r="2802" spans="10:10" x14ac:dyDescent="0.35">
      <c r="J2802"/>
    </row>
    <row r="2803" spans="10:10" x14ac:dyDescent="0.35">
      <c r="J2803"/>
    </row>
    <row r="2804" spans="10:10" x14ac:dyDescent="0.35">
      <c r="J2804"/>
    </row>
    <row r="2805" spans="10:10" x14ac:dyDescent="0.35">
      <c r="J2805"/>
    </row>
    <row r="2806" spans="10:10" x14ac:dyDescent="0.35">
      <c r="J2806"/>
    </row>
    <row r="2807" spans="10:10" x14ac:dyDescent="0.35">
      <c r="J2807"/>
    </row>
    <row r="2808" spans="10:10" x14ac:dyDescent="0.35">
      <c r="J2808"/>
    </row>
    <row r="2809" spans="10:10" x14ac:dyDescent="0.35">
      <c r="J2809"/>
    </row>
    <row r="2810" spans="10:10" x14ac:dyDescent="0.35">
      <c r="J2810"/>
    </row>
    <row r="2811" spans="10:10" x14ac:dyDescent="0.35">
      <c r="J2811"/>
    </row>
    <row r="2812" spans="10:10" x14ac:dyDescent="0.35">
      <c r="J2812"/>
    </row>
    <row r="2813" spans="10:10" x14ac:dyDescent="0.35">
      <c r="J2813"/>
    </row>
    <row r="2814" spans="10:10" x14ac:dyDescent="0.35">
      <c r="J2814"/>
    </row>
    <row r="2815" spans="10:10" x14ac:dyDescent="0.35">
      <c r="J2815"/>
    </row>
    <row r="2816" spans="10:10" x14ac:dyDescent="0.35">
      <c r="J2816"/>
    </row>
    <row r="2817" spans="10:10" x14ac:dyDescent="0.35">
      <c r="J2817"/>
    </row>
    <row r="2818" spans="10:10" x14ac:dyDescent="0.35">
      <c r="J2818"/>
    </row>
    <row r="2819" spans="10:10" x14ac:dyDescent="0.35">
      <c r="J2819"/>
    </row>
    <row r="2820" spans="10:10" x14ac:dyDescent="0.35">
      <c r="J2820"/>
    </row>
    <row r="2821" spans="10:10" x14ac:dyDescent="0.35">
      <c r="J2821"/>
    </row>
    <row r="2822" spans="10:10" x14ac:dyDescent="0.35">
      <c r="J2822"/>
    </row>
    <row r="2823" spans="10:10" x14ac:dyDescent="0.35">
      <c r="J2823"/>
    </row>
    <row r="2824" spans="10:10" x14ac:dyDescent="0.35">
      <c r="J2824"/>
    </row>
    <row r="2825" spans="10:10" x14ac:dyDescent="0.35">
      <c r="J2825"/>
    </row>
    <row r="2826" spans="10:10" x14ac:dyDescent="0.35">
      <c r="J2826"/>
    </row>
    <row r="2827" spans="10:10" x14ac:dyDescent="0.35">
      <c r="J2827"/>
    </row>
    <row r="2828" spans="10:10" x14ac:dyDescent="0.35">
      <c r="J2828"/>
    </row>
    <row r="2829" spans="10:10" x14ac:dyDescent="0.35">
      <c r="J2829"/>
    </row>
    <row r="2830" spans="10:10" x14ac:dyDescent="0.35">
      <c r="J2830"/>
    </row>
    <row r="2831" spans="10:10" x14ac:dyDescent="0.35">
      <c r="J2831"/>
    </row>
    <row r="2832" spans="10:10" x14ac:dyDescent="0.35">
      <c r="J2832"/>
    </row>
    <row r="2833" spans="10:10" x14ac:dyDescent="0.35">
      <c r="J2833"/>
    </row>
    <row r="2834" spans="10:10" x14ac:dyDescent="0.35">
      <c r="J2834"/>
    </row>
    <row r="2835" spans="10:10" x14ac:dyDescent="0.35">
      <c r="J2835"/>
    </row>
    <row r="2836" spans="10:10" x14ac:dyDescent="0.35">
      <c r="J2836"/>
    </row>
    <row r="2837" spans="10:10" x14ac:dyDescent="0.35">
      <c r="J2837"/>
    </row>
    <row r="2838" spans="10:10" x14ac:dyDescent="0.35">
      <c r="J2838"/>
    </row>
    <row r="2839" spans="10:10" x14ac:dyDescent="0.35">
      <c r="J2839"/>
    </row>
    <row r="2840" spans="10:10" x14ac:dyDescent="0.35">
      <c r="J2840"/>
    </row>
    <row r="2841" spans="10:10" x14ac:dyDescent="0.35">
      <c r="J2841"/>
    </row>
    <row r="2842" spans="10:10" x14ac:dyDescent="0.35">
      <c r="J2842"/>
    </row>
    <row r="2843" spans="10:10" x14ac:dyDescent="0.35">
      <c r="J2843"/>
    </row>
    <row r="2844" spans="10:10" x14ac:dyDescent="0.35">
      <c r="J2844"/>
    </row>
    <row r="2845" spans="10:10" x14ac:dyDescent="0.35">
      <c r="J2845"/>
    </row>
    <row r="2846" spans="10:10" x14ac:dyDescent="0.35">
      <c r="J2846"/>
    </row>
    <row r="2847" spans="10:10" x14ac:dyDescent="0.35">
      <c r="J2847"/>
    </row>
    <row r="2848" spans="10:10" x14ac:dyDescent="0.35">
      <c r="J2848"/>
    </row>
    <row r="2849" spans="10:10" x14ac:dyDescent="0.35">
      <c r="J2849"/>
    </row>
    <row r="2850" spans="10:10" x14ac:dyDescent="0.35">
      <c r="J2850"/>
    </row>
    <row r="2851" spans="10:10" x14ac:dyDescent="0.35">
      <c r="J2851"/>
    </row>
    <row r="2852" spans="10:10" x14ac:dyDescent="0.35">
      <c r="J2852"/>
    </row>
    <row r="2853" spans="10:10" x14ac:dyDescent="0.35">
      <c r="J2853"/>
    </row>
    <row r="2854" spans="10:10" x14ac:dyDescent="0.35">
      <c r="J2854"/>
    </row>
    <row r="2855" spans="10:10" x14ac:dyDescent="0.35">
      <c r="J2855"/>
    </row>
    <row r="2856" spans="10:10" x14ac:dyDescent="0.35">
      <c r="J2856"/>
    </row>
    <row r="2857" spans="10:10" x14ac:dyDescent="0.35">
      <c r="J2857"/>
    </row>
    <row r="2858" spans="10:10" x14ac:dyDescent="0.35">
      <c r="J2858"/>
    </row>
    <row r="2859" spans="10:10" x14ac:dyDescent="0.35">
      <c r="J2859"/>
    </row>
    <row r="2860" spans="10:10" x14ac:dyDescent="0.35">
      <c r="J2860"/>
    </row>
    <row r="2861" spans="10:10" x14ac:dyDescent="0.35">
      <c r="J2861"/>
    </row>
    <row r="2862" spans="10:10" x14ac:dyDescent="0.35">
      <c r="J2862"/>
    </row>
    <row r="2863" spans="10:10" x14ac:dyDescent="0.35">
      <c r="J2863"/>
    </row>
    <row r="2864" spans="10:10" x14ac:dyDescent="0.35">
      <c r="J2864"/>
    </row>
    <row r="2865" spans="10:10" x14ac:dyDescent="0.35">
      <c r="J2865"/>
    </row>
    <row r="2866" spans="10:10" x14ac:dyDescent="0.35">
      <c r="J2866"/>
    </row>
    <row r="2867" spans="10:10" x14ac:dyDescent="0.35">
      <c r="J2867"/>
    </row>
    <row r="2868" spans="10:10" x14ac:dyDescent="0.35">
      <c r="J2868"/>
    </row>
    <row r="2869" spans="10:10" x14ac:dyDescent="0.35">
      <c r="J2869"/>
    </row>
    <row r="2870" spans="10:10" x14ac:dyDescent="0.35">
      <c r="J2870"/>
    </row>
    <row r="2871" spans="10:10" x14ac:dyDescent="0.35">
      <c r="J2871"/>
    </row>
    <row r="2872" spans="10:10" x14ac:dyDescent="0.35">
      <c r="J2872"/>
    </row>
    <row r="2873" spans="10:10" x14ac:dyDescent="0.35">
      <c r="J2873"/>
    </row>
    <row r="2874" spans="10:10" x14ac:dyDescent="0.35">
      <c r="J2874"/>
    </row>
    <row r="2875" spans="10:10" x14ac:dyDescent="0.35">
      <c r="J2875"/>
    </row>
    <row r="2876" spans="10:10" x14ac:dyDescent="0.35">
      <c r="J2876"/>
    </row>
    <row r="2877" spans="10:10" x14ac:dyDescent="0.35">
      <c r="J2877"/>
    </row>
    <row r="2878" spans="10:10" x14ac:dyDescent="0.35">
      <c r="J2878"/>
    </row>
    <row r="2879" spans="10:10" x14ac:dyDescent="0.35">
      <c r="J2879"/>
    </row>
    <row r="2880" spans="10:10" x14ac:dyDescent="0.35">
      <c r="J2880"/>
    </row>
    <row r="2881" spans="10:10" x14ac:dyDescent="0.35">
      <c r="J2881"/>
    </row>
    <row r="2882" spans="10:10" x14ac:dyDescent="0.35">
      <c r="J2882"/>
    </row>
    <row r="2883" spans="10:10" x14ac:dyDescent="0.35">
      <c r="J2883"/>
    </row>
    <row r="2884" spans="10:10" x14ac:dyDescent="0.35">
      <c r="J2884"/>
    </row>
    <row r="2885" spans="10:10" x14ac:dyDescent="0.35">
      <c r="J2885"/>
    </row>
    <row r="2886" spans="10:10" x14ac:dyDescent="0.35">
      <c r="J2886"/>
    </row>
    <row r="2887" spans="10:10" x14ac:dyDescent="0.35">
      <c r="J2887"/>
    </row>
    <row r="2888" spans="10:10" x14ac:dyDescent="0.35">
      <c r="J2888"/>
    </row>
    <row r="2889" spans="10:10" x14ac:dyDescent="0.35">
      <c r="J2889"/>
    </row>
    <row r="2890" spans="10:10" x14ac:dyDescent="0.35">
      <c r="J2890"/>
    </row>
    <row r="2891" spans="10:10" x14ac:dyDescent="0.35">
      <c r="J2891"/>
    </row>
    <row r="2892" spans="10:10" x14ac:dyDescent="0.35">
      <c r="J2892"/>
    </row>
    <row r="2893" spans="10:10" x14ac:dyDescent="0.35">
      <c r="J2893"/>
    </row>
    <row r="2894" spans="10:10" x14ac:dyDescent="0.35">
      <c r="J2894"/>
    </row>
    <row r="2895" spans="10:10" x14ac:dyDescent="0.35">
      <c r="J2895"/>
    </row>
    <row r="2896" spans="10:10" x14ac:dyDescent="0.35">
      <c r="J2896"/>
    </row>
    <row r="2897" spans="10:10" x14ac:dyDescent="0.35">
      <c r="J2897"/>
    </row>
    <row r="2898" spans="10:10" x14ac:dyDescent="0.35">
      <c r="J2898"/>
    </row>
    <row r="2899" spans="10:10" x14ac:dyDescent="0.35">
      <c r="J2899"/>
    </row>
    <row r="2900" spans="10:10" x14ac:dyDescent="0.35">
      <c r="J2900"/>
    </row>
    <row r="2901" spans="10:10" x14ac:dyDescent="0.35">
      <c r="J2901"/>
    </row>
    <row r="2902" spans="10:10" x14ac:dyDescent="0.35">
      <c r="J2902"/>
    </row>
    <row r="2903" spans="10:10" x14ac:dyDescent="0.35">
      <c r="J2903"/>
    </row>
    <row r="2904" spans="10:10" x14ac:dyDescent="0.35">
      <c r="J2904"/>
    </row>
    <row r="2905" spans="10:10" x14ac:dyDescent="0.35">
      <c r="J2905"/>
    </row>
    <row r="2906" spans="10:10" x14ac:dyDescent="0.35">
      <c r="J2906"/>
    </row>
    <row r="2907" spans="10:10" x14ac:dyDescent="0.35">
      <c r="J2907"/>
    </row>
    <row r="2908" spans="10:10" x14ac:dyDescent="0.35">
      <c r="J2908"/>
    </row>
    <row r="2909" spans="10:10" x14ac:dyDescent="0.35">
      <c r="J2909"/>
    </row>
    <row r="2910" spans="10:10" x14ac:dyDescent="0.35">
      <c r="J2910"/>
    </row>
    <row r="2911" spans="10:10" x14ac:dyDescent="0.35">
      <c r="J2911"/>
    </row>
    <row r="2912" spans="10:10" x14ac:dyDescent="0.35">
      <c r="J2912"/>
    </row>
    <row r="2913" spans="10:10" x14ac:dyDescent="0.35">
      <c r="J2913"/>
    </row>
    <row r="2914" spans="10:10" x14ac:dyDescent="0.35">
      <c r="J2914"/>
    </row>
    <row r="2915" spans="10:10" x14ac:dyDescent="0.35">
      <c r="J2915"/>
    </row>
    <row r="2916" spans="10:10" x14ac:dyDescent="0.35">
      <c r="J2916"/>
    </row>
    <row r="2917" spans="10:10" x14ac:dyDescent="0.35">
      <c r="J2917"/>
    </row>
    <row r="2918" spans="10:10" x14ac:dyDescent="0.35">
      <c r="J2918"/>
    </row>
    <row r="2919" spans="10:10" x14ac:dyDescent="0.35">
      <c r="J2919"/>
    </row>
    <row r="2920" spans="10:10" x14ac:dyDescent="0.35">
      <c r="J2920"/>
    </row>
    <row r="2921" spans="10:10" x14ac:dyDescent="0.35">
      <c r="J2921"/>
    </row>
    <row r="2922" spans="10:10" x14ac:dyDescent="0.35">
      <c r="J2922"/>
    </row>
    <row r="2923" spans="10:10" x14ac:dyDescent="0.35">
      <c r="J2923"/>
    </row>
    <row r="2924" spans="10:10" x14ac:dyDescent="0.35">
      <c r="J2924"/>
    </row>
    <row r="2925" spans="10:10" x14ac:dyDescent="0.35">
      <c r="J2925"/>
    </row>
    <row r="2926" spans="10:10" x14ac:dyDescent="0.35">
      <c r="J2926"/>
    </row>
    <row r="2927" spans="10:10" x14ac:dyDescent="0.35">
      <c r="J2927"/>
    </row>
    <row r="2928" spans="10:10" x14ac:dyDescent="0.35">
      <c r="J2928"/>
    </row>
    <row r="2929" spans="10:10" x14ac:dyDescent="0.35">
      <c r="J2929"/>
    </row>
    <row r="2930" spans="10:10" x14ac:dyDescent="0.35">
      <c r="J2930"/>
    </row>
    <row r="2931" spans="10:10" x14ac:dyDescent="0.35">
      <c r="J2931"/>
    </row>
    <row r="2932" spans="10:10" x14ac:dyDescent="0.35">
      <c r="J2932"/>
    </row>
    <row r="2933" spans="10:10" x14ac:dyDescent="0.35">
      <c r="J2933"/>
    </row>
    <row r="2934" spans="10:10" x14ac:dyDescent="0.35">
      <c r="J2934"/>
    </row>
    <row r="2935" spans="10:10" x14ac:dyDescent="0.35">
      <c r="J2935"/>
    </row>
    <row r="2936" spans="10:10" x14ac:dyDescent="0.35">
      <c r="J2936"/>
    </row>
    <row r="2937" spans="10:10" x14ac:dyDescent="0.35">
      <c r="J2937"/>
    </row>
    <row r="2938" spans="10:10" x14ac:dyDescent="0.35">
      <c r="J2938"/>
    </row>
    <row r="2939" spans="10:10" x14ac:dyDescent="0.35">
      <c r="J2939"/>
    </row>
    <row r="2940" spans="10:10" x14ac:dyDescent="0.35">
      <c r="J2940"/>
    </row>
    <row r="2941" spans="10:10" x14ac:dyDescent="0.35">
      <c r="J2941"/>
    </row>
    <row r="2942" spans="10:10" x14ac:dyDescent="0.35">
      <c r="J2942"/>
    </row>
    <row r="2943" spans="10:10" x14ac:dyDescent="0.35">
      <c r="J2943"/>
    </row>
    <row r="2944" spans="10:10" x14ac:dyDescent="0.35">
      <c r="J2944"/>
    </row>
    <row r="2945" spans="10:10" x14ac:dyDescent="0.35">
      <c r="J2945"/>
    </row>
    <row r="2946" spans="10:10" x14ac:dyDescent="0.35">
      <c r="J2946"/>
    </row>
    <row r="2947" spans="10:10" x14ac:dyDescent="0.35">
      <c r="J2947"/>
    </row>
    <row r="2948" spans="10:10" x14ac:dyDescent="0.35">
      <c r="J2948"/>
    </row>
    <row r="2949" spans="10:10" x14ac:dyDescent="0.35">
      <c r="J2949"/>
    </row>
    <row r="2950" spans="10:10" x14ac:dyDescent="0.35">
      <c r="J2950"/>
    </row>
    <row r="2951" spans="10:10" x14ac:dyDescent="0.35">
      <c r="J2951"/>
    </row>
    <row r="2952" spans="10:10" x14ac:dyDescent="0.35">
      <c r="J2952"/>
    </row>
    <row r="2953" spans="10:10" x14ac:dyDescent="0.35">
      <c r="J2953"/>
    </row>
    <row r="2954" spans="10:10" x14ac:dyDescent="0.35">
      <c r="J2954"/>
    </row>
    <row r="2955" spans="10:10" x14ac:dyDescent="0.35">
      <c r="J2955"/>
    </row>
    <row r="2956" spans="10:10" x14ac:dyDescent="0.35">
      <c r="J2956"/>
    </row>
    <row r="2957" spans="10:10" x14ac:dyDescent="0.35">
      <c r="J2957"/>
    </row>
    <row r="2958" spans="10:10" x14ac:dyDescent="0.35">
      <c r="J2958"/>
    </row>
    <row r="2959" spans="10:10" x14ac:dyDescent="0.35">
      <c r="J2959"/>
    </row>
    <row r="2960" spans="10:10" x14ac:dyDescent="0.35">
      <c r="J2960"/>
    </row>
    <row r="2961" spans="10:10" x14ac:dyDescent="0.35">
      <c r="J2961"/>
    </row>
    <row r="2962" spans="10:10" x14ac:dyDescent="0.35">
      <c r="J2962"/>
    </row>
    <row r="2963" spans="10:10" x14ac:dyDescent="0.35">
      <c r="J2963"/>
    </row>
    <row r="2964" spans="10:10" x14ac:dyDescent="0.35">
      <c r="J2964"/>
    </row>
    <row r="2965" spans="10:10" x14ac:dyDescent="0.35">
      <c r="J2965"/>
    </row>
    <row r="2966" spans="10:10" x14ac:dyDescent="0.35">
      <c r="J2966"/>
    </row>
    <row r="2967" spans="10:10" x14ac:dyDescent="0.35">
      <c r="J2967"/>
    </row>
    <row r="2968" spans="10:10" x14ac:dyDescent="0.35">
      <c r="J2968"/>
    </row>
    <row r="2969" spans="10:10" x14ac:dyDescent="0.35">
      <c r="J2969"/>
    </row>
    <row r="2970" spans="10:10" x14ac:dyDescent="0.35">
      <c r="J2970"/>
    </row>
    <row r="2971" spans="10:10" x14ac:dyDescent="0.35">
      <c r="J2971"/>
    </row>
    <row r="2972" spans="10:10" x14ac:dyDescent="0.35">
      <c r="J2972"/>
    </row>
    <row r="2973" spans="10:10" x14ac:dyDescent="0.35">
      <c r="J2973"/>
    </row>
    <row r="2974" spans="10:10" x14ac:dyDescent="0.35">
      <c r="J2974"/>
    </row>
    <row r="2975" spans="10:10" x14ac:dyDescent="0.35">
      <c r="J2975"/>
    </row>
    <row r="2976" spans="10:10" x14ac:dyDescent="0.35">
      <c r="J2976"/>
    </row>
    <row r="2977" spans="10:10" x14ac:dyDescent="0.35">
      <c r="J2977"/>
    </row>
    <row r="2978" spans="10:10" x14ac:dyDescent="0.35">
      <c r="J2978"/>
    </row>
    <row r="2979" spans="10:10" x14ac:dyDescent="0.35">
      <c r="J2979"/>
    </row>
    <row r="2980" spans="10:10" x14ac:dyDescent="0.35">
      <c r="J2980"/>
    </row>
    <row r="2981" spans="10:10" x14ac:dyDescent="0.35">
      <c r="J2981"/>
    </row>
    <row r="2982" spans="10:10" x14ac:dyDescent="0.35">
      <c r="J2982"/>
    </row>
    <row r="2983" spans="10:10" x14ac:dyDescent="0.35">
      <c r="J2983"/>
    </row>
    <row r="2984" spans="10:10" x14ac:dyDescent="0.35">
      <c r="J2984"/>
    </row>
    <row r="2985" spans="10:10" x14ac:dyDescent="0.35">
      <c r="J2985"/>
    </row>
    <row r="2986" spans="10:10" x14ac:dyDescent="0.35">
      <c r="J2986"/>
    </row>
    <row r="2987" spans="10:10" x14ac:dyDescent="0.35">
      <c r="J2987"/>
    </row>
    <row r="2988" spans="10:10" x14ac:dyDescent="0.35">
      <c r="J2988"/>
    </row>
    <row r="2989" spans="10:10" x14ac:dyDescent="0.35">
      <c r="J2989"/>
    </row>
    <row r="2990" spans="10:10" x14ac:dyDescent="0.35">
      <c r="J2990"/>
    </row>
    <row r="2991" spans="10:10" x14ac:dyDescent="0.35">
      <c r="J2991"/>
    </row>
    <row r="2992" spans="10:10" x14ac:dyDescent="0.35">
      <c r="J2992"/>
    </row>
    <row r="2993" spans="10:10" x14ac:dyDescent="0.35">
      <c r="J2993"/>
    </row>
    <row r="2994" spans="10:10" x14ac:dyDescent="0.35">
      <c r="J2994"/>
    </row>
    <row r="2995" spans="10:10" x14ac:dyDescent="0.35">
      <c r="J2995"/>
    </row>
    <row r="2996" spans="10:10" x14ac:dyDescent="0.35">
      <c r="J2996"/>
    </row>
    <row r="2997" spans="10:10" x14ac:dyDescent="0.35">
      <c r="J2997"/>
    </row>
    <row r="2998" spans="10:10" x14ac:dyDescent="0.35">
      <c r="J2998"/>
    </row>
    <row r="2999" spans="10:10" x14ac:dyDescent="0.35">
      <c r="J2999"/>
    </row>
    <row r="3000" spans="10:10" x14ac:dyDescent="0.35">
      <c r="J3000"/>
    </row>
    <row r="3001" spans="10:10" x14ac:dyDescent="0.35">
      <c r="J3001"/>
    </row>
    <row r="3002" spans="10:10" x14ac:dyDescent="0.35">
      <c r="J3002"/>
    </row>
    <row r="3003" spans="10:10" x14ac:dyDescent="0.35">
      <c r="J3003"/>
    </row>
    <row r="3004" spans="10:10" x14ac:dyDescent="0.35">
      <c r="J3004"/>
    </row>
    <row r="3005" spans="10:10" x14ac:dyDescent="0.35">
      <c r="J3005"/>
    </row>
    <row r="3006" spans="10:10" x14ac:dyDescent="0.35">
      <c r="J3006"/>
    </row>
    <row r="3007" spans="10:10" x14ac:dyDescent="0.35">
      <c r="J3007"/>
    </row>
    <row r="3008" spans="10:10" x14ac:dyDescent="0.35">
      <c r="J3008"/>
    </row>
    <row r="3009" spans="10:10" x14ac:dyDescent="0.35">
      <c r="J3009"/>
    </row>
    <row r="3010" spans="10:10" x14ac:dyDescent="0.35">
      <c r="J3010"/>
    </row>
    <row r="3011" spans="10:10" x14ac:dyDescent="0.35">
      <c r="J3011"/>
    </row>
    <row r="3012" spans="10:10" x14ac:dyDescent="0.35">
      <c r="J3012"/>
    </row>
    <row r="3013" spans="10:10" x14ac:dyDescent="0.35">
      <c r="J3013"/>
    </row>
    <row r="3014" spans="10:10" x14ac:dyDescent="0.35">
      <c r="J3014"/>
    </row>
    <row r="3015" spans="10:10" x14ac:dyDescent="0.35">
      <c r="J3015"/>
    </row>
    <row r="3016" spans="10:10" x14ac:dyDescent="0.35">
      <c r="J3016"/>
    </row>
    <row r="3017" spans="10:10" x14ac:dyDescent="0.35">
      <c r="J3017"/>
    </row>
    <row r="3018" spans="10:10" x14ac:dyDescent="0.35">
      <c r="J3018"/>
    </row>
    <row r="3019" spans="10:10" x14ac:dyDescent="0.35">
      <c r="J3019"/>
    </row>
    <row r="3020" spans="10:10" x14ac:dyDescent="0.35">
      <c r="J3020"/>
    </row>
    <row r="3021" spans="10:10" x14ac:dyDescent="0.35">
      <c r="J3021"/>
    </row>
    <row r="3022" spans="10:10" x14ac:dyDescent="0.35">
      <c r="J3022"/>
    </row>
    <row r="3023" spans="10:10" x14ac:dyDescent="0.35">
      <c r="J3023"/>
    </row>
    <row r="3024" spans="10:10" x14ac:dyDescent="0.35">
      <c r="J3024"/>
    </row>
    <row r="3025" spans="10:10" x14ac:dyDescent="0.35">
      <c r="J3025"/>
    </row>
    <row r="3026" spans="10:10" x14ac:dyDescent="0.35">
      <c r="J3026"/>
    </row>
    <row r="3027" spans="10:10" x14ac:dyDescent="0.35">
      <c r="J3027"/>
    </row>
    <row r="3028" spans="10:10" x14ac:dyDescent="0.35">
      <c r="J3028"/>
    </row>
    <row r="3029" spans="10:10" x14ac:dyDescent="0.35">
      <c r="J3029"/>
    </row>
    <row r="3030" spans="10:10" x14ac:dyDescent="0.35">
      <c r="J3030"/>
    </row>
    <row r="3031" spans="10:10" x14ac:dyDescent="0.35">
      <c r="J3031"/>
    </row>
    <row r="3032" spans="10:10" x14ac:dyDescent="0.35">
      <c r="J3032"/>
    </row>
    <row r="3033" spans="10:10" x14ac:dyDescent="0.35">
      <c r="J3033"/>
    </row>
    <row r="3034" spans="10:10" x14ac:dyDescent="0.35">
      <c r="J3034"/>
    </row>
    <row r="3035" spans="10:10" x14ac:dyDescent="0.35">
      <c r="J3035"/>
    </row>
    <row r="3036" spans="10:10" x14ac:dyDescent="0.35">
      <c r="J3036"/>
    </row>
    <row r="3037" spans="10:10" x14ac:dyDescent="0.35">
      <c r="J3037"/>
    </row>
    <row r="3038" spans="10:10" x14ac:dyDescent="0.35">
      <c r="J3038"/>
    </row>
    <row r="3039" spans="10:10" x14ac:dyDescent="0.35">
      <c r="J3039"/>
    </row>
    <row r="3040" spans="10:10" x14ac:dyDescent="0.35">
      <c r="J3040"/>
    </row>
    <row r="3041" spans="10:10" x14ac:dyDescent="0.35">
      <c r="J3041"/>
    </row>
    <row r="3042" spans="10:10" x14ac:dyDescent="0.35">
      <c r="J3042"/>
    </row>
    <row r="3043" spans="10:10" x14ac:dyDescent="0.35">
      <c r="J3043"/>
    </row>
    <row r="3044" spans="10:10" x14ac:dyDescent="0.35">
      <c r="J3044"/>
    </row>
    <row r="3045" spans="10:10" x14ac:dyDescent="0.35">
      <c r="J3045"/>
    </row>
    <row r="3046" spans="10:10" x14ac:dyDescent="0.35">
      <c r="J3046"/>
    </row>
    <row r="3047" spans="10:10" x14ac:dyDescent="0.35">
      <c r="J3047"/>
    </row>
    <row r="3048" spans="10:10" x14ac:dyDescent="0.35">
      <c r="J3048"/>
    </row>
    <row r="3049" spans="10:10" x14ac:dyDescent="0.35">
      <c r="J3049"/>
    </row>
    <row r="3050" spans="10:10" x14ac:dyDescent="0.35">
      <c r="J3050"/>
    </row>
    <row r="3051" spans="10:10" x14ac:dyDescent="0.35">
      <c r="J3051"/>
    </row>
    <row r="3052" spans="10:10" x14ac:dyDescent="0.35">
      <c r="J3052"/>
    </row>
    <row r="3053" spans="10:10" x14ac:dyDescent="0.35">
      <c r="J3053"/>
    </row>
    <row r="3054" spans="10:10" x14ac:dyDescent="0.35">
      <c r="J3054"/>
    </row>
    <row r="3055" spans="10:10" x14ac:dyDescent="0.35">
      <c r="J3055"/>
    </row>
    <row r="3056" spans="10:10" x14ac:dyDescent="0.35">
      <c r="J3056"/>
    </row>
    <row r="3057" spans="10:10" x14ac:dyDescent="0.35">
      <c r="J3057"/>
    </row>
    <row r="3058" spans="10:10" x14ac:dyDescent="0.35">
      <c r="J3058"/>
    </row>
    <row r="3059" spans="10:10" x14ac:dyDescent="0.35">
      <c r="J3059"/>
    </row>
    <row r="3060" spans="10:10" x14ac:dyDescent="0.35">
      <c r="J3060"/>
    </row>
    <row r="3061" spans="10:10" x14ac:dyDescent="0.35">
      <c r="J3061"/>
    </row>
    <row r="3062" spans="10:10" x14ac:dyDescent="0.35">
      <c r="J3062"/>
    </row>
    <row r="3063" spans="10:10" x14ac:dyDescent="0.35">
      <c r="J3063"/>
    </row>
    <row r="3064" spans="10:10" x14ac:dyDescent="0.35">
      <c r="J3064"/>
    </row>
    <row r="3065" spans="10:10" x14ac:dyDescent="0.35">
      <c r="J3065"/>
    </row>
    <row r="3066" spans="10:10" x14ac:dyDescent="0.35">
      <c r="J3066"/>
    </row>
    <row r="3067" spans="10:10" x14ac:dyDescent="0.35">
      <c r="J3067"/>
    </row>
    <row r="3068" spans="10:10" x14ac:dyDescent="0.35">
      <c r="J3068"/>
    </row>
    <row r="3069" spans="10:10" x14ac:dyDescent="0.35">
      <c r="J3069"/>
    </row>
    <row r="3070" spans="10:10" x14ac:dyDescent="0.35">
      <c r="J3070"/>
    </row>
    <row r="3071" spans="10:10" x14ac:dyDescent="0.35">
      <c r="J3071"/>
    </row>
    <row r="3072" spans="10:10" x14ac:dyDescent="0.35">
      <c r="J3072"/>
    </row>
    <row r="3073" spans="10:10" x14ac:dyDescent="0.35">
      <c r="J3073"/>
    </row>
    <row r="3074" spans="10:10" x14ac:dyDescent="0.35">
      <c r="J3074"/>
    </row>
    <row r="3075" spans="10:10" x14ac:dyDescent="0.35">
      <c r="J3075"/>
    </row>
    <row r="3076" spans="10:10" x14ac:dyDescent="0.35">
      <c r="J3076"/>
    </row>
    <row r="3077" spans="10:10" x14ac:dyDescent="0.35">
      <c r="J3077"/>
    </row>
    <row r="3078" spans="10:10" x14ac:dyDescent="0.35">
      <c r="J3078"/>
    </row>
    <row r="3079" spans="10:10" x14ac:dyDescent="0.35">
      <c r="J3079"/>
    </row>
    <row r="3080" spans="10:10" x14ac:dyDescent="0.35">
      <c r="J3080"/>
    </row>
    <row r="3081" spans="10:10" x14ac:dyDescent="0.35">
      <c r="J3081"/>
    </row>
    <row r="3082" spans="10:10" x14ac:dyDescent="0.35">
      <c r="J3082"/>
    </row>
    <row r="3083" spans="10:10" x14ac:dyDescent="0.35">
      <c r="J3083"/>
    </row>
    <row r="3084" spans="10:10" x14ac:dyDescent="0.35">
      <c r="J3084"/>
    </row>
    <row r="3085" spans="10:10" x14ac:dyDescent="0.35">
      <c r="J3085"/>
    </row>
    <row r="3086" spans="10:10" x14ac:dyDescent="0.35">
      <c r="J3086"/>
    </row>
    <row r="3087" spans="10:10" x14ac:dyDescent="0.35">
      <c r="J3087"/>
    </row>
    <row r="3088" spans="10:10" x14ac:dyDescent="0.35">
      <c r="J3088"/>
    </row>
    <row r="3089" spans="10:10" x14ac:dyDescent="0.35">
      <c r="J3089"/>
    </row>
    <row r="3090" spans="10:10" x14ac:dyDescent="0.35">
      <c r="J3090"/>
    </row>
    <row r="3091" spans="10:10" x14ac:dyDescent="0.35">
      <c r="J3091"/>
    </row>
    <row r="3092" spans="10:10" x14ac:dyDescent="0.35">
      <c r="J3092"/>
    </row>
    <row r="3093" spans="10:10" x14ac:dyDescent="0.35">
      <c r="J3093"/>
    </row>
    <row r="3094" spans="10:10" x14ac:dyDescent="0.35">
      <c r="J3094"/>
    </row>
    <row r="3095" spans="10:10" x14ac:dyDescent="0.35">
      <c r="J3095"/>
    </row>
    <row r="3096" spans="10:10" x14ac:dyDescent="0.35">
      <c r="J3096"/>
    </row>
    <row r="3097" spans="10:10" x14ac:dyDescent="0.35">
      <c r="J3097"/>
    </row>
    <row r="3098" spans="10:10" x14ac:dyDescent="0.35">
      <c r="J3098"/>
    </row>
    <row r="3099" spans="10:10" x14ac:dyDescent="0.35">
      <c r="J3099"/>
    </row>
    <row r="3100" spans="10:10" x14ac:dyDescent="0.35">
      <c r="J3100"/>
    </row>
    <row r="3101" spans="10:10" x14ac:dyDescent="0.35">
      <c r="J3101"/>
    </row>
    <row r="3102" spans="10:10" x14ac:dyDescent="0.35">
      <c r="J3102"/>
    </row>
    <row r="3103" spans="10:10" x14ac:dyDescent="0.35">
      <c r="J3103"/>
    </row>
    <row r="3104" spans="10:10" x14ac:dyDescent="0.35">
      <c r="J3104"/>
    </row>
    <row r="3105" spans="10:10" x14ac:dyDescent="0.35">
      <c r="J3105"/>
    </row>
    <row r="3106" spans="10:10" x14ac:dyDescent="0.35">
      <c r="J3106"/>
    </row>
    <row r="3107" spans="10:10" x14ac:dyDescent="0.35">
      <c r="J3107"/>
    </row>
    <row r="3108" spans="10:10" x14ac:dyDescent="0.35">
      <c r="J3108"/>
    </row>
    <row r="3109" spans="10:10" x14ac:dyDescent="0.35">
      <c r="J3109"/>
    </row>
    <row r="3110" spans="10:10" x14ac:dyDescent="0.35">
      <c r="J3110"/>
    </row>
    <row r="3111" spans="10:10" x14ac:dyDescent="0.35">
      <c r="J3111"/>
    </row>
    <row r="3112" spans="10:10" x14ac:dyDescent="0.35">
      <c r="J3112"/>
    </row>
    <row r="3113" spans="10:10" x14ac:dyDescent="0.35">
      <c r="J3113"/>
    </row>
    <row r="3114" spans="10:10" x14ac:dyDescent="0.35">
      <c r="J3114"/>
    </row>
    <row r="3115" spans="10:10" x14ac:dyDescent="0.35">
      <c r="J3115"/>
    </row>
    <row r="3116" spans="10:10" x14ac:dyDescent="0.35">
      <c r="J3116"/>
    </row>
    <row r="3117" spans="10:10" x14ac:dyDescent="0.35">
      <c r="J3117"/>
    </row>
    <row r="3118" spans="10:10" x14ac:dyDescent="0.35">
      <c r="J3118"/>
    </row>
    <row r="3119" spans="10:10" x14ac:dyDescent="0.35">
      <c r="J3119"/>
    </row>
    <row r="3120" spans="10:10" x14ac:dyDescent="0.35">
      <c r="J3120"/>
    </row>
    <row r="3121" spans="10:10" x14ac:dyDescent="0.35">
      <c r="J3121"/>
    </row>
    <row r="3122" spans="10:10" x14ac:dyDescent="0.35">
      <c r="J3122"/>
    </row>
    <row r="3123" spans="10:10" x14ac:dyDescent="0.35">
      <c r="J3123"/>
    </row>
    <row r="3124" spans="10:10" x14ac:dyDescent="0.35">
      <c r="J3124"/>
    </row>
    <row r="3125" spans="10:10" x14ac:dyDescent="0.35">
      <c r="J3125"/>
    </row>
    <row r="3126" spans="10:10" x14ac:dyDescent="0.35">
      <c r="J3126"/>
    </row>
    <row r="3127" spans="10:10" x14ac:dyDescent="0.35">
      <c r="J3127"/>
    </row>
    <row r="3128" spans="10:10" x14ac:dyDescent="0.35">
      <c r="J3128"/>
    </row>
    <row r="3129" spans="10:10" x14ac:dyDescent="0.35">
      <c r="J3129"/>
    </row>
    <row r="3130" spans="10:10" x14ac:dyDescent="0.35">
      <c r="J3130"/>
    </row>
    <row r="3131" spans="10:10" x14ac:dyDescent="0.35">
      <c r="J3131"/>
    </row>
    <row r="3132" spans="10:10" x14ac:dyDescent="0.35">
      <c r="J3132"/>
    </row>
    <row r="3133" spans="10:10" x14ac:dyDescent="0.35">
      <c r="J3133"/>
    </row>
    <row r="3134" spans="10:10" x14ac:dyDescent="0.35">
      <c r="J3134"/>
    </row>
    <row r="3135" spans="10:10" x14ac:dyDescent="0.35">
      <c r="J3135"/>
    </row>
    <row r="3136" spans="10:10" x14ac:dyDescent="0.35">
      <c r="J3136"/>
    </row>
    <row r="3137" spans="10:10" x14ac:dyDescent="0.35">
      <c r="J3137"/>
    </row>
    <row r="3138" spans="10:10" x14ac:dyDescent="0.35">
      <c r="J3138"/>
    </row>
    <row r="3139" spans="10:10" x14ac:dyDescent="0.35">
      <c r="J3139"/>
    </row>
    <row r="3140" spans="10:10" x14ac:dyDescent="0.35">
      <c r="J3140"/>
    </row>
    <row r="3141" spans="10:10" x14ac:dyDescent="0.35">
      <c r="J3141"/>
    </row>
    <row r="3142" spans="10:10" x14ac:dyDescent="0.35">
      <c r="J3142"/>
    </row>
    <row r="3143" spans="10:10" x14ac:dyDescent="0.35">
      <c r="J3143"/>
    </row>
    <row r="3144" spans="10:10" x14ac:dyDescent="0.35">
      <c r="J3144"/>
    </row>
    <row r="3145" spans="10:10" x14ac:dyDescent="0.35">
      <c r="J3145"/>
    </row>
    <row r="3146" spans="10:10" x14ac:dyDescent="0.35">
      <c r="J3146"/>
    </row>
    <row r="3147" spans="10:10" x14ac:dyDescent="0.35">
      <c r="J3147"/>
    </row>
    <row r="3148" spans="10:10" x14ac:dyDescent="0.35">
      <c r="J3148"/>
    </row>
    <row r="3149" spans="10:10" x14ac:dyDescent="0.35">
      <c r="J3149"/>
    </row>
    <row r="3150" spans="10:10" x14ac:dyDescent="0.35">
      <c r="J3150"/>
    </row>
    <row r="3151" spans="10:10" x14ac:dyDescent="0.35">
      <c r="J3151"/>
    </row>
    <row r="3152" spans="10:10" x14ac:dyDescent="0.35">
      <c r="J3152"/>
    </row>
    <row r="3153" spans="10:10" x14ac:dyDescent="0.35">
      <c r="J3153"/>
    </row>
    <row r="3154" spans="10:10" x14ac:dyDescent="0.35">
      <c r="J3154"/>
    </row>
    <row r="3155" spans="10:10" x14ac:dyDescent="0.35">
      <c r="J3155"/>
    </row>
    <row r="3156" spans="10:10" x14ac:dyDescent="0.35">
      <c r="J3156"/>
    </row>
    <row r="3157" spans="10:10" x14ac:dyDescent="0.35">
      <c r="J3157"/>
    </row>
    <row r="3158" spans="10:10" x14ac:dyDescent="0.35">
      <c r="J3158"/>
    </row>
    <row r="3159" spans="10:10" x14ac:dyDescent="0.35">
      <c r="J3159"/>
    </row>
    <row r="3160" spans="10:10" x14ac:dyDescent="0.35">
      <c r="J3160"/>
    </row>
    <row r="3161" spans="10:10" x14ac:dyDescent="0.35">
      <c r="J3161"/>
    </row>
    <row r="3162" spans="10:10" x14ac:dyDescent="0.35">
      <c r="J3162"/>
    </row>
    <row r="3163" spans="10:10" x14ac:dyDescent="0.35">
      <c r="J3163"/>
    </row>
    <row r="3164" spans="10:10" x14ac:dyDescent="0.35">
      <c r="J3164"/>
    </row>
    <row r="3165" spans="10:10" x14ac:dyDescent="0.35">
      <c r="J3165"/>
    </row>
    <row r="3166" spans="10:10" x14ac:dyDescent="0.35">
      <c r="J3166"/>
    </row>
    <row r="3167" spans="10:10" x14ac:dyDescent="0.35">
      <c r="J3167"/>
    </row>
    <row r="3168" spans="10:10" x14ac:dyDescent="0.35">
      <c r="J3168"/>
    </row>
    <row r="3169" spans="10:10" x14ac:dyDescent="0.35">
      <c r="J3169"/>
    </row>
    <row r="3170" spans="10:10" x14ac:dyDescent="0.35">
      <c r="J3170"/>
    </row>
    <row r="3171" spans="10:10" x14ac:dyDescent="0.35">
      <c r="J3171"/>
    </row>
    <row r="3172" spans="10:10" x14ac:dyDescent="0.35">
      <c r="J3172"/>
    </row>
    <row r="3173" spans="10:10" x14ac:dyDescent="0.35">
      <c r="J3173"/>
    </row>
    <row r="3174" spans="10:10" x14ac:dyDescent="0.35">
      <c r="J3174"/>
    </row>
    <row r="3175" spans="10:10" x14ac:dyDescent="0.35">
      <c r="J3175"/>
    </row>
    <row r="3176" spans="10:10" x14ac:dyDescent="0.35">
      <c r="J3176"/>
    </row>
    <row r="3177" spans="10:10" x14ac:dyDescent="0.35">
      <c r="J3177"/>
    </row>
    <row r="3178" spans="10:10" x14ac:dyDescent="0.35">
      <c r="J3178"/>
    </row>
    <row r="3179" spans="10:10" x14ac:dyDescent="0.35">
      <c r="J3179"/>
    </row>
    <row r="3180" spans="10:10" x14ac:dyDescent="0.35">
      <c r="J3180"/>
    </row>
    <row r="3181" spans="10:10" x14ac:dyDescent="0.35">
      <c r="J3181"/>
    </row>
    <row r="3182" spans="10:10" x14ac:dyDescent="0.35">
      <c r="J3182"/>
    </row>
    <row r="3183" spans="10:10" x14ac:dyDescent="0.35">
      <c r="J3183"/>
    </row>
    <row r="3184" spans="10:10" x14ac:dyDescent="0.35">
      <c r="J3184"/>
    </row>
    <row r="3185" spans="10:10" x14ac:dyDescent="0.35">
      <c r="J3185"/>
    </row>
    <row r="3186" spans="10:10" x14ac:dyDescent="0.35">
      <c r="J3186"/>
    </row>
    <row r="3187" spans="10:10" x14ac:dyDescent="0.35">
      <c r="J3187"/>
    </row>
    <row r="3188" spans="10:10" x14ac:dyDescent="0.35">
      <c r="J3188"/>
    </row>
    <row r="3189" spans="10:10" x14ac:dyDescent="0.35">
      <c r="J3189"/>
    </row>
    <row r="3190" spans="10:10" x14ac:dyDescent="0.35">
      <c r="J3190"/>
    </row>
    <row r="3191" spans="10:10" x14ac:dyDescent="0.35">
      <c r="J3191"/>
    </row>
    <row r="3192" spans="10:10" x14ac:dyDescent="0.35">
      <c r="J3192"/>
    </row>
    <row r="3193" spans="10:10" x14ac:dyDescent="0.35">
      <c r="J3193"/>
    </row>
    <row r="3194" spans="10:10" x14ac:dyDescent="0.35">
      <c r="J3194"/>
    </row>
    <row r="3195" spans="10:10" x14ac:dyDescent="0.35">
      <c r="J3195"/>
    </row>
    <row r="3196" spans="10:10" x14ac:dyDescent="0.35">
      <c r="J3196"/>
    </row>
    <row r="3197" spans="10:10" x14ac:dyDescent="0.35">
      <c r="J3197"/>
    </row>
    <row r="3198" spans="10:10" x14ac:dyDescent="0.35">
      <c r="J3198"/>
    </row>
    <row r="3199" spans="10:10" x14ac:dyDescent="0.35">
      <c r="J3199"/>
    </row>
    <row r="3200" spans="10:10" x14ac:dyDescent="0.35">
      <c r="J3200"/>
    </row>
    <row r="3201" spans="10:10" x14ac:dyDescent="0.35">
      <c r="J3201"/>
    </row>
    <row r="3202" spans="10:10" x14ac:dyDescent="0.35">
      <c r="J3202"/>
    </row>
    <row r="3203" spans="10:10" x14ac:dyDescent="0.35">
      <c r="J3203"/>
    </row>
    <row r="3204" spans="10:10" x14ac:dyDescent="0.35">
      <c r="J3204"/>
    </row>
    <row r="3205" spans="10:10" x14ac:dyDescent="0.35">
      <c r="J3205"/>
    </row>
    <row r="3206" spans="10:10" x14ac:dyDescent="0.35">
      <c r="J3206"/>
    </row>
    <row r="3207" spans="10:10" x14ac:dyDescent="0.35">
      <c r="J3207"/>
    </row>
    <row r="3208" spans="10:10" x14ac:dyDescent="0.35">
      <c r="J3208"/>
    </row>
    <row r="3209" spans="10:10" x14ac:dyDescent="0.35">
      <c r="J3209"/>
    </row>
    <row r="3210" spans="10:10" x14ac:dyDescent="0.35">
      <c r="J3210"/>
    </row>
    <row r="3211" spans="10:10" x14ac:dyDescent="0.35">
      <c r="J3211"/>
    </row>
    <row r="3212" spans="10:10" x14ac:dyDescent="0.35">
      <c r="J3212"/>
    </row>
    <row r="3213" spans="10:10" x14ac:dyDescent="0.35">
      <c r="J3213"/>
    </row>
    <row r="3214" spans="10:10" x14ac:dyDescent="0.35">
      <c r="J3214"/>
    </row>
    <row r="3215" spans="10:10" x14ac:dyDescent="0.35">
      <c r="J3215"/>
    </row>
    <row r="3216" spans="10:10" x14ac:dyDescent="0.35">
      <c r="J3216"/>
    </row>
    <row r="3217" spans="10:10" x14ac:dyDescent="0.35">
      <c r="J3217"/>
    </row>
    <row r="3218" spans="10:10" x14ac:dyDescent="0.35">
      <c r="J3218"/>
    </row>
    <row r="3219" spans="10:10" x14ac:dyDescent="0.35">
      <c r="J3219"/>
    </row>
    <row r="3220" spans="10:10" x14ac:dyDescent="0.35">
      <c r="J3220"/>
    </row>
    <row r="3221" spans="10:10" x14ac:dyDescent="0.35">
      <c r="J3221"/>
    </row>
    <row r="3222" spans="10:10" x14ac:dyDescent="0.35">
      <c r="J3222"/>
    </row>
    <row r="3223" spans="10:10" x14ac:dyDescent="0.35">
      <c r="J3223"/>
    </row>
    <row r="3224" spans="10:10" x14ac:dyDescent="0.35">
      <c r="J3224"/>
    </row>
    <row r="3225" spans="10:10" x14ac:dyDescent="0.35">
      <c r="J3225"/>
    </row>
    <row r="3226" spans="10:10" x14ac:dyDescent="0.35">
      <c r="J3226"/>
    </row>
    <row r="3227" spans="10:10" x14ac:dyDescent="0.35">
      <c r="J3227"/>
    </row>
    <row r="3228" spans="10:10" x14ac:dyDescent="0.35">
      <c r="J3228"/>
    </row>
    <row r="3229" spans="10:10" x14ac:dyDescent="0.35">
      <c r="J3229"/>
    </row>
    <row r="3230" spans="10:10" x14ac:dyDescent="0.35">
      <c r="J3230"/>
    </row>
    <row r="3231" spans="10:10" x14ac:dyDescent="0.35">
      <c r="J3231"/>
    </row>
    <row r="3232" spans="10:10" x14ac:dyDescent="0.35">
      <c r="J3232"/>
    </row>
    <row r="3233" spans="10:10" x14ac:dyDescent="0.35">
      <c r="J3233"/>
    </row>
    <row r="3234" spans="10:10" x14ac:dyDescent="0.35">
      <c r="J3234"/>
    </row>
    <row r="3235" spans="10:10" x14ac:dyDescent="0.35">
      <c r="J3235"/>
    </row>
    <row r="3236" spans="10:10" x14ac:dyDescent="0.35">
      <c r="J3236"/>
    </row>
    <row r="3237" spans="10:10" x14ac:dyDescent="0.35">
      <c r="J3237"/>
    </row>
    <row r="3238" spans="10:10" x14ac:dyDescent="0.35">
      <c r="J3238"/>
    </row>
    <row r="3239" spans="10:10" x14ac:dyDescent="0.35">
      <c r="J3239"/>
    </row>
    <row r="3240" spans="10:10" x14ac:dyDescent="0.35">
      <c r="J3240"/>
    </row>
    <row r="3241" spans="10:10" x14ac:dyDescent="0.35">
      <c r="J3241"/>
    </row>
    <row r="3242" spans="10:10" x14ac:dyDescent="0.35">
      <c r="J3242"/>
    </row>
    <row r="3243" spans="10:10" x14ac:dyDescent="0.35">
      <c r="J3243"/>
    </row>
    <row r="3244" spans="10:10" x14ac:dyDescent="0.35">
      <c r="J3244"/>
    </row>
    <row r="3245" spans="10:10" x14ac:dyDescent="0.35">
      <c r="J3245"/>
    </row>
    <row r="3246" spans="10:10" x14ac:dyDescent="0.35">
      <c r="J3246"/>
    </row>
    <row r="3247" spans="10:10" x14ac:dyDescent="0.35">
      <c r="J3247"/>
    </row>
    <row r="3248" spans="10:10" x14ac:dyDescent="0.35">
      <c r="J3248"/>
    </row>
    <row r="3249" spans="10:10" x14ac:dyDescent="0.35">
      <c r="J3249"/>
    </row>
    <row r="3250" spans="10:10" x14ac:dyDescent="0.35">
      <c r="J3250"/>
    </row>
    <row r="3251" spans="10:10" x14ac:dyDescent="0.35">
      <c r="J3251"/>
    </row>
    <row r="3252" spans="10:10" x14ac:dyDescent="0.35">
      <c r="J3252"/>
    </row>
    <row r="3253" spans="10:10" x14ac:dyDescent="0.35">
      <c r="J3253"/>
    </row>
    <row r="3254" spans="10:10" x14ac:dyDescent="0.35">
      <c r="J3254"/>
    </row>
    <row r="3255" spans="10:10" x14ac:dyDescent="0.35">
      <c r="J3255"/>
    </row>
    <row r="3256" spans="10:10" x14ac:dyDescent="0.35">
      <c r="J3256"/>
    </row>
    <row r="3257" spans="10:10" x14ac:dyDescent="0.35">
      <c r="J3257"/>
    </row>
    <row r="3258" spans="10:10" x14ac:dyDescent="0.35">
      <c r="J3258"/>
    </row>
    <row r="3259" spans="10:10" x14ac:dyDescent="0.35">
      <c r="J3259"/>
    </row>
    <row r="3260" spans="10:10" x14ac:dyDescent="0.35">
      <c r="J3260"/>
    </row>
    <row r="3261" spans="10:10" x14ac:dyDescent="0.35">
      <c r="J3261"/>
    </row>
    <row r="3262" spans="10:10" x14ac:dyDescent="0.35">
      <c r="J3262"/>
    </row>
    <row r="3263" spans="10:10" x14ac:dyDescent="0.35">
      <c r="J3263"/>
    </row>
    <row r="3264" spans="10:10" x14ac:dyDescent="0.35">
      <c r="J3264"/>
    </row>
    <row r="3265" spans="10:10" x14ac:dyDescent="0.35">
      <c r="J3265"/>
    </row>
    <row r="3266" spans="10:10" x14ac:dyDescent="0.35">
      <c r="J3266"/>
    </row>
    <row r="3267" spans="10:10" x14ac:dyDescent="0.35">
      <c r="J3267"/>
    </row>
    <row r="3268" spans="10:10" x14ac:dyDescent="0.35">
      <c r="J3268"/>
    </row>
    <row r="3269" spans="10:10" x14ac:dyDescent="0.35">
      <c r="J3269"/>
    </row>
    <row r="3270" spans="10:10" x14ac:dyDescent="0.35">
      <c r="J3270"/>
    </row>
    <row r="3271" spans="10:10" x14ac:dyDescent="0.35">
      <c r="J3271"/>
    </row>
    <row r="3272" spans="10:10" x14ac:dyDescent="0.35">
      <c r="J3272"/>
    </row>
    <row r="3273" spans="10:10" x14ac:dyDescent="0.35">
      <c r="J3273"/>
    </row>
    <row r="3274" spans="10:10" x14ac:dyDescent="0.35">
      <c r="J3274"/>
    </row>
    <row r="3275" spans="10:10" x14ac:dyDescent="0.35">
      <c r="J3275"/>
    </row>
    <row r="3276" spans="10:10" x14ac:dyDescent="0.35">
      <c r="J3276"/>
    </row>
    <row r="3277" spans="10:10" x14ac:dyDescent="0.35">
      <c r="J3277"/>
    </row>
    <row r="3278" spans="10:10" x14ac:dyDescent="0.35">
      <c r="J3278"/>
    </row>
    <row r="3279" spans="10:10" x14ac:dyDescent="0.35">
      <c r="J3279"/>
    </row>
    <row r="3280" spans="10:10" x14ac:dyDescent="0.35">
      <c r="J3280"/>
    </row>
    <row r="3281" spans="10:10" x14ac:dyDescent="0.35">
      <c r="J3281"/>
    </row>
    <row r="3282" spans="10:10" x14ac:dyDescent="0.35">
      <c r="J3282"/>
    </row>
    <row r="3283" spans="10:10" x14ac:dyDescent="0.35">
      <c r="J3283"/>
    </row>
    <row r="3284" spans="10:10" x14ac:dyDescent="0.35">
      <c r="J3284"/>
    </row>
    <row r="3285" spans="10:10" x14ac:dyDescent="0.35">
      <c r="J3285"/>
    </row>
    <row r="3286" spans="10:10" x14ac:dyDescent="0.35">
      <c r="J3286"/>
    </row>
    <row r="3287" spans="10:10" x14ac:dyDescent="0.35">
      <c r="J3287"/>
    </row>
    <row r="3288" spans="10:10" x14ac:dyDescent="0.35">
      <c r="J3288"/>
    </row>
    <row r="3289" spans="10:10" x14ac:dyDescent="0.35">
      <c r="J3289"/>
    </row>
    <row r="3290" spans="10:10" x14ac:dyDescent="0.35">
      <c r="J3290"/>
    </row>
    <row r="3291" spans="10:10" x14ac:dyDescent="0.35">
      <c r="J3291"/>
    </row>
    <row r="3292" spans="10:10" x14ac:dyDescent="0.35">
      <c r="J3292"/>
    </row>
    <row r="3293" spans="10:10" x14ac:dyDescent="0.35">
      <c r="J3293"/>
    </row>
    <row r="3294" spans="10:10" x14ac:dyDescent="0.35">
      <c r="J3294"/>
    </row>
    <row r="3295" spans="10:10" x14ac:dyDescent="0.35">
      <c r="J3295"/>
    </row>
    <row r="3296" spans="10:10" x14ac:dyDescent="0.35">
      <c r="J3296"/>
    </row>
    <row r="3297" spans="10:10" x14ac:dyDescent="0.35">
      <c r="J3297"/>
    </row>
    <row r="3298" spans="10:10" x14ac:dyDescent="0.35">
      <c r="J3298"/>
    </row>
    <row r="3299" spans="10:10" x14ac:dyDescent="0.35">
      <c r="J3299"/>
    </row>
    <row r="3300" spans="10:10" x14ac:dyDescent="0.35">
      <c r="J3300"/>
    </row>
    <row r="3301" spans="10:10" x14ac:dyDescent="0.35">
      <c r="J3301"/>
    </row>
    <row r="3302" spans="10:10" x14ac:dyDescent="0.35">
      <c r="J3302"/>
    </row>
    <row r="3303" spans="10:10" x14ac:dyDescent="0.35">
      <c r="J3303"/>
    </row>
    <row r="3304" spans="10:10" x14ac:dyDescent="0.35">
      <c r="J3304"/>
    </row>
    <row r="3305" spans="10:10" x14ac:dyDescent="0.35">
      <c r="J3305"/>
    </row>
    <row r="3306" spans="10:10" x14ac:dyDescent="0.35">
      <c r="J3306"/>
    </row>
    <row r="3307" spans="10:10" x14ac:dyDescent="0.35">
      <c r="J3307"/>
    </row>
    <row r="3308" spans="10:10" x14ac:dyDescent="0.35">
      <c r="J3308"/>
    </row>
    <row r="3309" spans="10:10" x14ac:dyDescent="0.35">
      <c r="J3309"/>
    </row>
    <row r="3310" spans="10:10" x14ac:dyDescent="0.35">
      <c r="J3310"/>
    </row>
    <row r="3311" spans="10:10" x14ac:dyDescent="0.35">
      <c r="J3311"/>
    </row>
    <row r="3312" spans="10:10" x14ac:dyDescent="0.35">
      <c r="J3312"/>
    </row>
    <row r="3313" spans="10:10" x14ac:dyDescent="0.35">
      <c r="J3313"/>
    </row>
    <row r="3314" spans="10:10" x14ac:dyDescent="0.35">
      <c r="J3314"/>
    </row>
    <row r="3315" spans="10:10" x14ac:dyDescent="0.35">
      <c r="J3315"/>
    </row>
    <row r="3316" spans="10:10" x14ac:dyDescent="0.35">
      <c r="J3316"/>
    </row>
    <row r="3317" spans="10:10" x14ac:dyDescent="0.35">
      <c r="J3317"/>
    </row>
    <row r="3318" spans="10:10" x14ac:dyDescent="0.35">
      <c r="J3318"/>
    </row>
    <row r="3319" spans="10:10" x14ac:dyDescent="0.35">
      <c r="J3319"/>
    </row>
    <row r="3320" spans="10:10" x14ac:dyDescent="0.35">
      <c r="J3320"/>
    </row>
    <row r="3321" spans="10:10" x14ac:dyDescent="0.35">
      <c r="J3321"/>
    </row>
    <row r="3322" spans="10:10" x14ac:dyDescent="0.35">
      <c r="J3322"/>
    </row>
    <row r="3323" spans="10:10" x14ac:dyDescent="0.35">
      <c r="J3323"/>
    </row>
    <row r="3324" spans="10:10" x14ac:dyDescent="0.35">
      <c r="J3324"/>
    </row>
    <row r="3325" spans="10:10" x14ac:dyDescent="0.35">
      <c r="J3325"/>
    </row>
    <row r="3326" spans="10:10" x14ac:dyDescent="0.35">
      <c r="J3326"/>
    </row>
    <row r="3327" spans="10:10" x14ac:dyDescent="0.35">
      <c r="J3327"/>
    </row>
    <row r="3328" spans="10:10" x14ac:dyDescent="0.35">
      <c r="J3328"/>
    </row>
    <row r="3329" spans="10:10" x14ac:dyDescent="0.35">
      <c r="J3329"/>
    </row>
    <row r="3330" spans="10:10" x14ac:dyDescent="0.35">
      <c r="J3330"/>
    </row>
    <row r="3331" spans="10:10" x14ac:dyDescent="0.35">
      <c r="J3331"/>
    </row>
    <row r="3332" spans="10:10" x14ac:dyDescent="0.35">
      <c r="J3332"/>
    </row>
    <row r="3333" spans="10:10" x14ac:dyDescent="0.35">
      <c r="J3333"/>
    </row>
    <row r="3334" spans="10:10" x14ac:dyDescent="0.35">
      <c r="J3334"/>
    </row>
    <row r="3335" spans="10:10" x14ac:dyDescent="0.35">
      <c r="J3335"/>
    </row>
    <row r="3336" spans="10:10" x14ac:dyDescent="0.35">
      <c r="J3336"/>
    </row>
    <row r="3337" spans="10:10" x14ac:dyDescent="0.35">
      <c r="J3337"/>
    </row>
    <row r="3338" spans="10:10" x14ac:dyDescent="0.35">
      <c r="J3338"/>
    </row>
    <row r="3339" spans="10:10" x14ac:dyDescent="0.35">
      <c r="J3339"/>
    </row>
    <row r="3340" spans="10:10" x14ac:dyDescent="0.35">
      <c r="J3340"/>
    </row>
    <row r="3341" spans="10:10" x14ac:dyDescent="0.35">
      <c r="J3341"/>
    </row>
    <row r="3342" spans="10:10" x14ac:dyDescent="0.35">
      <c r="J3342"/>
    </row>
    <row r="3343" spans="10:10" x14ac:dyDescent="0.35">
      <c r="J3343"/>
    </row>
    <row r="3344" spans="10:10" x14ac:dyDescent="0.35">
      <c r="J3344"/>
    </row>
    <row r="3345" spans="10:10" x14ac:dyDescent="0.35">
      <c r="J3345"/>
    </row>
    <row r="3346" spans="10:10" x14ac:dyDescent="0.35">
      <c r="J3346"/>
    </row>
    <row r="3347" spans="10:10" x14ac:dyDescent="0.35">
      <c r="J3347"/>
    </row>
    <row r="3348" spans="10:10" x14ac:dyDescent="0.35">
      <c r="J3348"/>
    </row>
    <row r="3349" spans="10:10" x14ac:dyDescent="0.35">
      <c r="J3349"/>
    </row>
    <row r="3350" spans="10:10" x14ac:dyDescent="0.35">
      <c r="J3350"/>
    </row>
    <row r="3351" spans="10:10" x14ac:dyDescent="0.35">
      <c r="J3351"/>
    </row>
    <row r="3352" spans="10:10" x14ac:dyDescent="0.35">
      <c r="J3352"/>
    </row>
    <row r="3353" spans="10:10" x14ac:dyDescent="0.35">
      <c r="J3353"/>
    </row>
    <row r="3354" spans="10:10" x14ac:dyDescent="0.35">
      <c r="J3354"/>
    </row>
    <row r="3355" spans="10:10" x14ac:dyDescent="0.35">
      <c r="J3355"/>
    </row>
    <row r="3356" spans="10:10" x14ac:dyDescent="0.35">
      <c r="J3356"/>
    </row>
    <row r="3357" spans="10:10" x14ac:dyDescent="0.35">
      <c r="J3357"/>
    </row>
    <row r="3358" spans="10:10" x14ac:dyDescent="0.35">
      <c r="J3358"/>
    </row>
    <row r="3359" spans="10:10" x14ac:dyDescent="0.35">
      <c r="J3359"/>
    </row>
    <row r="3360" spans="10:10" x14ac:dyDescent="0.35">
      <c r="J3360"/>
    </row>
    <row r="3361" spans="10:10" x14ac:dyDescent="0.35">
      <c r="J3361"/>
    </row>
    <row r="3362" spans="10:10" x14ac:dyDescent="0.35">
      <c r="J3362"/>
    </row>
    <row r="3363" spans="10:10" x14ac:dyDescent="0.35">
      <c r="J3363"/>
    </row>
    <row r="3364" spans="10:10" x14ac:dyDescent="0.35">
      <c r="J3364"/>
    </row>
    <row r="3365" spans="10:10" x14ac:dyDescent="0.35">
      <c r="J3365"/>
    </row>
    <row r="3366" spans="10:10" x14ac:dyDescent="0.35">
      <c r="J3366"/>
    </row>
    <row r="3367" spans="10:10" x14ac:dyDescent="0.35">
      <c r="J3367"/>
    </row>
    <row r="3368" spans="10:10" x14ac:dyDescent="0.35">
      <c r="J3368"/>
    </row>
    <row r="3369" spans="10:10" x14ac:dyDescent="0.35">
      <c r="J3369"/>
    </row>
    <row r="3370" spans="10:10" x14ac:dyDescent="0.35">
      <c r="J3370"/>
    </row>
    <row r="3371" spans="10:10" x14ac:dyDescent="0.35">
      <c r="J3371"/>
    </row>
    <row r="3372" spans="10:10" x14ac:dyDescent="0.35">
      <c r="J3372"/>
    </row>
    <row r="3373" spans="10:10" x14ac:dyDescent="0.35">
      <c r="J3373"/>
    </row>
    <row r="3374" spans="10:10" x14ac:dyDescent="0.35">
      <c r="J3374"/>
    </row>
    <row r="3375" spans="10:10" x14ac:dyDescent="0.35">
      <c r="J3375"/>
    </row>
    <row r="3376" spans="10:10" x14ac:dyDescent="0.35">
      <c r="J3376"/>
    </row>
    <row r="3377" spans="10:10" x14ac:dyDescent="0.35">
      <c r="J3377"/>
    </row>
    <row r="3378" spans="10:10" x14ac:dyDescent="0.35">
      <c r="J3378"/>
    </row>
    <row r="3379" spans="10:10" x14ac:dyDescent="0.35">
      <c r="J3379"/>
    </row>
    <row r="3380" spans="10:10" x14ac:dyDescent="0.35">
      <c r="J3380"/>
    </row>
    <row r="3381" spans="10:10" x14ac:dyDescent="0.35">
      <c r="J3381"/>
    </row>
    <row r="3382" spans="10:10" x14ac:dyDescent="0.35">
      <c r="J3382"/>
    </row>
    <row r="3383" spans="10:10" x14ac:dyDescent="0.35">
      <c r="J3383"/>
    </row>
    <row r="3384" spans="10:10" x14ac:dyDescent="0.35">
      <c r="J3384"/>
    </row>
    <row r="3385" spans="10:10" x14ac:dyDescent="0.35">
      <c r="J3385"/>
    </row>
    <row r="3386" spans="10:10" x14ac:dyDescent="0.35">
      <c r="J3386"/>
    </row>
    <row r="3387" spans="10:10" x14ac:dyDescent="0.35">
      <c r="J3387"/>
    </row>
    <row r="3388" spans="10:10" x14ac:dyDescent="0.35">
      <c r="J3388"/>
    </row>
    <row r="3389" spans="10:10" x14ac:dyDescent="0.35">
      <c r="J3389"/>
    </row>
    <row r="3390" spans="10:10" x14ac:dyDescent="0.35">
      <c r="J3390"/>
    </row>
    <row r="3391" spans="10:10" x14ac:dyDescent="0.35">
      <c r="J3391"/>
    </row>
    <row r="3392" spans="10:10" x14ac:dyDescent="0.35">
      <c r="J3392"/>
    </row>
    <row r="3393" spans="10:10" x14ac:dyDescent="0.35">
      <c r="J3393"/>
    </row>
    <row r="3394" spans="10:10" x14ac:dyDescent="0.35">
      <c r="J3394"/>
    </row>
    <row r="3395" spans="10:10" x14ac:dyDescent="0.35">
      <c r="J3395"/>
    </row>
    <row r="3396" spans="10:10" x14ac:dyDescent="0.35">
      <c r="J3396"/>
    </row>
    <row r="3397" spans="10:10" x14ac:dyDescent="0.35">
      <c r="J3397"/>
    </row>
    <row r="3398" spans="10:10" x14ac:dyDescent="0.35">
      <c r="J3398"/>
    </row>
    <row r="3399" spans="10:10" x14ac:dyDescent="0.35">
      <c r="J3399"/>
    </row>
    <row r="3400" spans="10:10" x14ac:dyDescent="0.35">
      <c r="J3400"/>
    </row>
    <row r="3401" spans="10:10" x14ac:dyDescent="0.35">
      <c r="J3401"/>
    </row>
    <row r="3402" spans="10:10" x14ac:dyDescent="0.35">
      <c r="J3402"/>
    </row>
    <row r="3403" spans="10:10" x14ac:dyDescent="0.35">
      <c r="J3403"/>
    </row>
    <row r="3404" spans="10:10" x14ac:dyDescent="0.35">
      <c r="J3404"/>
    </row>
    <row r="3405" spans="10:10" x14ac:dyDescent="0.35">
      <c r="J3405"/>
    </row>
    <row r="3406" spans="10:10" x14ac:dyDescent="0.35">
      <c r="J3406"/>
    </row>
    <row r="3407" spans="10:10" x14ac:dyDescent="0.35">
      <c r="J3407"/>
    </row>
    <row r="3408" spans="10:10" x14ac:dyDescent="0.35">
      <c r="J3408"/>
    </row>
    <row r="3409" spans="10:10" x14ac:dyDescent="0.35">
      <c r="J3409"/>
    </row>
    <row r="3410" spans="10:10" x14ac:dyDescent="0.35">
      <c r="J3410"/>
    </row>
    <row r="3411" spans="10:10" x14ac:dyDescent="0.35">
      <c r="J3411"/>
    </row>
    <row r="3412" spans="10:10" x14ac:dyDescent="0.35">
      <c r="J3412"/>
    </row>
    <row r="3413" spans="10:10" x14ac:dyDescent="0.35">
      <c r="J3413"/>
    </row>
    <row r="3414" spans="10:10" x14ac:dyDescent="0.35">
      <c r="J3414"/>
    </row>
    <row r="3415" spans="10:10" x14ac:dyDescent="0.35">
      <c r="J3415"/>
    </row>
    <row r="3416" spans="10:10" x14ac:dyDescent="0.35">
      <c r="J3416"/>
    </row>
    <row r="3417" spans="10:10" x14ac:dyDescent="0.35">
      <c r="J3417"/>
    </row>
    <row r="3418" spans="10:10" x14ac:dyDescent="0.35">
      <c r="J3418"/>
    </row>
    <row r="3419" spans="10:10" x14ac:dyDescent="0.35">
      <c r="J3419"/>
    </row>
    <row r="3420" spans="10:10" x14ac:dyDescent="0.35">
      <c r="J3420"/>
    </row>
    <row r="3421" spans="10:10" x14ac:dyDescent="0.35">
      <c r="J3421"/>
    </row>
    <row r="3422" spans="10:10" x14ac:dyDescent="0.35">
      <c r="J3422"/>
    </row>
    <row r="3423" spans="10:10" x14ac:dyDescent="0.35">
      <c r="J3423"/>
    </row>
    <row r="3424" spans="10:10" x14ac:dyDescent="0.35">
      <c r="J3424"/>
    </row>
    <row r="3425" spans="10:10" x14ac:dyDescent="0.35">
      <c r="J3425"/>
    </row>
    <row r="3426" spans="10:10" x14ac:dyDescent="0.35">
      <c r="J3426"/>
    </row>
    <row r="3427" spans="10:10" x14ac:dyDescent="0.35">
      <c r="J3427"/>
    </row>
    <row r="3428" spans="10:10" x14ac:dyDescent="0.35">
      <c r="J3428"/>
    </row>
    <row r="3429" spans="10:10" x14ac:dyDescent="0.35">
      <c r="J3429"/>
    </row>
    <row r="3430" spans="10:10" x14ac:dyDescent="0.35">
      <c r="J3430"/>
    </row>
    <row r="3431" spans="10:10" x14ac:dyDescent="0.35">
      <c r="J3431"/>
    </row>
    <row r="3432" spans="10:10" x14ac:dyDescent="0.35">
      <c r="J3432"/>
    </row>
    <row r="3433" spans="10:10" x14ac:dyDescent="0.35">
      <c r="J3433"/>
    </row>
    <row r="3434" spans="10:10" x14ac:dyDescent="0.35">
      <c r="J3434"/>
    </row>
    <row r="3435" spans="10:10" x14ac:dyDescent="0.35">
      <c r="J3435"/>
    </row>
    <row r="3436" spans="10:10" x14ac:dyDescent="0.35">
      <c r="J3436"/>
    </row>
    <row r="3437" spans="10:10" x14ac:dyDescent="0.35">
      <c r="J3437"/>
    </row>
    <row r="3438" spans="10:10" x14ac:dyDescent="0.35">
      <c r="J3438"/>
    </row>
    <row r="3439" spans="10:10" x14ac:dyDescent="0.35">
      <c r="J3439"/>
    </row>
    <row r="3440" spans="10:10" x14ac:dyDescent="0.35">
      <c r="J3440"/>
    </row>
    <row r="3441" spans="10:10" x14ac:dyDescent="0.35">
      <c r="J3441"/>
    </row>
    <row r="3442" spans="10:10" x14ac:dyDescent="0.35">
      <c r="J3442"/>
    </row>
    <row r="3443" spans="10:10" x14ac:dyDescent="0.35">
      <c r="J3443"/>
    </row>
    <row r="3444" spans="10:10" x14ac:dyDescent="0.35">
      <c r="J3444"/>
    </row>
    <row r="3445" spans="10:10" x14ac:dyDescent="0.35">
      <c r="J3445"/>
    </row>
    <row r="3446" spans="10:10" x14ac:dyDescent="0.35">
      <c r="J3446"/>
    </row>
    <row r="3447" spans="10:10" x14ac:dyDescent="0.35">
      <c r="J3447"/>
    </row>
    <row r="3448" spans="10:10" x14ac:dyDescent="0.35">
      <c r="J3448"/>
    </row>
    <row r="3449" spans="10:10" x14ac:dyDescent="0.35">
      <c r="J3449"/>
    </row>
    <row r="3450" spans="10:10" x14ac:dyDescent="0.35">
      <c r="J3450"/>
    </row>
    <row r="3451" spans="10:10" x14ac:dyDescent="0.35">
      <c r="J3451"/>
    </row>
    <row r="3452" spans="10:10" x14ac:dyDescent="0.35">
      <c r="J3452"/>
    </row>
    <row r="3453" spans="10:10" x14ac:dyDescent="0.35">
      <c r="J3453"/>
    </row>
    <row r="3454" spans="10:10" x14ac:dyDescent="0.35">
      <c r="J3454"/>
    </row>
    <row r="3455" spans="10:10" x14ac:dyDescent="0.35">
      <c r="J3455"/>
    </row>
    <row r="3456" spans="10:10" x14ac:dyDescent="0.35">
      <c r="J3456"/>
    </row>
    <row r="3457" spans="10:10" x14ac:dyDescent="0.35">
      <c r="J3457"/>
    </row>
    <row r="3458" spans="10:10" x14ac:dyDescent="0.35">
      <c r="J3458"/>
    </row>
    <row r="3459" spans="10:10" x14ac:dyDescent="0.35">
      <c r="J3459"/>
    </row>
    <row r="3460" spans="10:10" x14ac:dyDescent="0.35">
      <c r="J3460"/>
    </row>
    <row r="3461" spans="10:10" x14ac:dyDescent="0.35">
      <c r="J3461"/>
    </row>
    <row r="3462" spans="10:10" x14ac:dyDescent="0.35">
      <c r="J3462"/>
    </row>
    <row r="3463" spans="10:10" x14ac:dyDescent="0.35">
      <c r="J3463"/>
    </row>
    <row r="3464" spans="10:10" x14ac:dyDescent="0.35">
      <c r="J3464"/>
    </row>
    <row r="3465" spans="10:10" x14ac:dyDescent="0.35">
      <c r="J3465"/>
    </row>
    <row r="3466" spans="10:10" x14ac:dyDescent="0.35">
      <c r="J3466"/>
    </row>
    <row r="3467" spans="10:10" x14ac:dyDescent="0.35">
      <c r="J3467"/>
    </row>
    <row r="3468" spans="10:10" x14ac:dyDescent="0.35">
      <c r="J3468"/>
    </row>
    <row r="3469" spans="10:10" x14ac:dyDescent="0.35">
      <c r="J3469"/>
    </row>
    <row r="3470" spans="10:10" x14ac:dyDescent="0.35">
      <c r="J3470"/>
    </row>
    <row r="3471" spans="10:10" x14ac:dyDescent="0.35">
      <c r="J3471"/>
    </row>
    <row r="3472" spans="10:10" x14ac:dyDescent="0.35">
      <c r="J3472"/>
    </row>
    <row r="3473" spans="10:10" x14ac:dyDescent="0.35">
      <c r="J3473"/>
    </row>
    <row r="3474" spans="10:10" x14ac:dyDescent="0.35">
      <c r="J3474"/>
    </row>
    <row r="3475" spans="10:10" x14ac:dyDescent="0.35">
      <c r="J3475"/>
    </row>
    <row r="3476" spans="10:10" x14ac:dyDescent="0.35">
      <c r="J3476"/>
    </row>
    <row r="3477" spans="10:10" x14ac:dyDescent="0.35">
      <c r="J3477"/>
    </row>
    <row r="3478" spans="10:10" x14ac:dyDescent="0.35">
      <c r="J3478"/>
    </row>
    <row r="3479" spans="10:10" x14ac:dyDescent="0.35">
      <c r="J3479"/>
    </row>
    <row r="3480" spans="10:10" x14ac:dyDescent="0.35">
      <c r="J3480"/>
    </row>
    <row r="3481" spans="10:10" x14ac:dyDescent="0.35">
      <c r="J3481"/>
    </row>
    <row r="3482" spans="10:10" x14ac:dyDescent="0.35">
      <c r="J3482"/>
    </row>
    <row r="3483" spans="10:10" x14ac:dyDescent="0.35">
      <c r="J3483"/>
    </row>
    <row r="3484" spans="10:10" x14ac:dyDescent="0.35">
      <c r="J3484"/>
    </row>
    <row r="3485" spans="10:10" x14ac:dyDescent="0.35">
      <c r="J3485"/>
    </row>
    <row r="3486" spans="10:10" x14ac:dyDescent="0.35">
      <c r="J3486"/>
    </row>
    <row r="3487" spans="10:10" x14ac:dyDescent="0.35">
      <c r="J3487"/>
    </row>
    <row r="3488" spans="10:10" x14ac:dyDescent="0.35">
      <c r="J3488"/>
    </row>
    <row r="3489" spans="10:10" x14ac:dyDescent="0.35">
      <c r="J3489"/>
    </row>
    <row r="3490" spans="10:10" x14ac:dyDescent="0.35">
      <c r="J3490"/>
    </row>
    <row r="3491" spans="10:10" x14ac:dyDescent="0.35">
      <c r="J3491"/>
    </row>
    <row r="3492" spans="10:10" x14ac:dyDescent="0.35">
      <c r="J3492"/>
    </row>
    <row r="3493" spans="10:10" x14ac:dyDescent="0.35">
      <c r="J3493"/>
    </row>
    <row r="3494" spans="10:10" x14ac:dyDescent="0.35">
      <c r="J3494"/>
    </row>
    <row r="3495" spans="10:10" x14ac:dyDescent="0.35">
      <c r="J3495"/>
    </row>
    <row r="3496" spans="10:10" x14ac:dyDescent="0.35">
      <c r="J3496"/>
    </row>
    <row r="3497" spans="10:10" x14ac:dyDescent="0.35">
      <c r="J3497"/>
    </row>
    <row r="3498" spans="10:10" x14ac:dyDescent="0.35">
      <c r="J3498"/>
    </row>
    <row r="3499" spans="10:10" x14ac:dyDescent="0.35">
      <c r="J3499"/>
    </row>
    <row r="3500" spans="10:10" x14ac:dyDescent="0.35">
      <c r="J3500"/>
    </row>
    <row r="3501" spans="10:10" x14ac:dyDescent="0.35">
      <c r="J3501"/>
    </row>
    <row r="3502" spans="10:10" x14ac:dyDescent="0.35">
      <c r="J3502"/>
    </row>
    <row r="3503" spans="10:10" x14ac:dyDescent="0.35">
      <c r="J3503"/>
    </row>
    <row r="3504" spans="10:10" x14ac:dyDescent="0.35">
      <c r="J3504"/>
    </row>
    <row r="3505" spans="10:10" x14ac:dyDescent="0.35">
      <c r="J3505"/>
    </row>
    <row r="3506" spans="10:10" x14ac:dyDescent="0.35">
      <c r="J3506"/>
    </row>
    <row r="3507" spans="10:10" x14ac:dyDescent="0.35">
      <c r="J3507"/>
    </row>
    <row r="3508" spans="10:10" x14ac:dyDescent="0.35">
      <c r="J3508"/>
    </row>
    <row r="3509" spans="10:10" x14ac:dyDescent="0.35">
      <c r="J3509"/>
    </row>
    <row r="3510" spans="10:10" x14ac:dyDescent="0.35">
      <c r="J3510"/>
    </row>
    <row r="3511" spans="10:10" x14ac:dyDescent="0.35">
      <c r="J3511"/>
    </row>
    <row r="3512" spans="10:10" x14ac:dyDescent="0.35">
      <c r="J3512"/>
    </row>
    <row r="3513" spans="10:10" x14ac:dyDescent="0.35">
      <c r="J3513"/>
    </row>
    <row r="3514" spans="10:10" x14ac:dyDescent="0.35">
      <c r="J3514"/>
    </row>
    <row r="3515" spans="10:10" x14ac:dyDescent="0.35">
      <c r="J3515"/>
    </row>
    <row r="3516" spans="10:10" x14ac:dyDescent="0.35">
      <c r="J3516"/>
    </row>
    <row r="3517" spans="10:10" x14ac:dyDescent="0.35">
      <c r="J3517"/>
    </row>
    <row r="3518" spans="10:10" x14ac:dyDescent="0.35">
      <c r="J3518"/>
    </row>
    <row r="3519" spans="10:10" x14ac:dyDescent="0.35">
      <c r="J3519"/>
    </row>
    <row r="3520" spans="10:10" x14ac:dyDescent="0.35">
      <c r="J3520"/>
    </row>
    <row r="3521" spans="10:10" x14ac:dyDescent="0.35">
      <c r="J3521"/>
    </row>
    <row r="3522" spans="10:10" x14ac:dyDescent="0.35">
      <c r="J3522"/>
    </row>
    <row r="3523" spans="10:10" x14ac:dyDescent="0.35">
      <c r="J3523"/>
    </row>
    <row r="3524" spans="10:10" x14ac:dyDescent="0.35">
      <c r="J3524"/>
    </row>
    <row r="3525" spans="10:10" x14ac:dyDescent="0.35">
      <c r="J3525"/>
    </row>
    <row r="3526" spans="10:10" x14ac:dyDescent="0.35">
      <c r="J3526"/>
    </row>
    <row r="3527" spans="10:10" x14ac:dyDescent="0.35">
      <c r="J3527"/>
    </row>
    <row r="3528" spans="10:10" x14ac:dyDescent="0.35">
      <c r="J3528"/>
    </row>
    <row r="3529" spans="10:10" x14ac:dyDescent="0.35">
      <c r="J3529"/>
    </row>
    <row r="3530" spans="10:10" x14ac:dyDescent="0.35">
      <c r="J3530"/>
    </row>
    <row r="3531" spans="10:10" x14ac:dyDescent="0.35">
      <c r="J3531"/>
    </row>
    <row r="3532" spans="10:10" x14ac:dyDescent="0.35">
      <c r="J3532"/>
    </row>
    <row r="3533" spans="10:10" x14ac:dyDescent="0.35">
      <c r="J3533"/>
    </row>
    <row r="3534" spans="10:10" x14ac:dyDescent="0.35">
      <c r="J3534"/>
    </row>
    <row r="3535" spans="10:10" x14ac:dyDescent="0.35">
      <c r="J3535"/>
    </row>
    <row r="3536" spans="10:10" x14ac:dyDescent="0.35">
      <c r="J3536"/>
    </row>
    <row r="3537" spans="10:10" x14ac:dyDescent="0.35">
      <c r="J3537"/>
    </row>
    <row r="3538" spans="10:10" x14ac:dyDescent="0.35">
      <c r="J3538"/>
    </row>
    <row r="3539" spans="10:10" x14ac:dyDescent="0.35">
      <c r="J3539"/>
    </row>
    <row r="3540" spans="10:10" x14ac:dyDescent="0.35">
      <c r="J3540"/>
    </row>
    <row r="3541" spans="10:10" x14ac:dyDescent="0.35">
      <c r="J3541"/>
    </row>
    <row r="3542" spans="10:10" x14ac:dyDescent="0.35">
      <c r="J3542"/>
    </row>
    <row r="3543" spans="10:10" x14ac:dyDescent="0.35">
      <c r="J3543"/>
    </row>
    <row r="3544" spans="10:10" x14ac:dyDescent="0.35">
      <c r="J3544"/>
    </row>
    <row r="3545" spans="10:10" x14ac:dyDescent="0.35">
      <c r="J3545"/>
    </row>
    <row r="3546" spans="10:10" x14ac:dyDescent="0.35">
      <c r="J3546"/>
    </row>
    <row r="3547" spans="10:10" x14ac:dyDescent="0.35">
      <c r="J3547"/>
    </row>
    <row r="3548" spans="10:10" x14ac:dyDescent="0.35">
      <c r="J3548"/>
    </row>
    <row r="3549" spans="10:10" x14ac:dyDescent="0.35">
      <c r="J3549"/>
    </row>
    <row r="3550" spans="10:10" x14ac:dyDescent="0.35">
      <c r="J3550"/>
    </row>
    <row r="3551" spans="10:10" x14ac:dyDescent="0.35">
      <c r="J3551"/>
    </row>
    <row r="3552" spans="10:10" x14ac:dyDescent="0.35">
      <c r="J3552"/>
    </row>
    <row r="3553" spans="10:10" x14ac:dyDescent="0.35">
      <c r="J3553"/>
    </row>
    <row r="3554" spans="10:10" x14ac:dyDescent="0.35">
      <c r="J3554"/>
    </row>
    <row r="3555" spans="10:10" x14ac:dyDescent="0.35">
      <c r="J3555"/>
    </row>
    <row r="3556" spans="10:10" x14ac:dyDescent="0.35">
      <c r="J3556"/>
    </row>
    <row r="3557" spans="10:10" x14ac:dyDescent="0.35">
      <c r="J3557"/>
    </row>
    <row r="3558" spans="10:10" x14ac:dyDescent="0.35">
      <c r="J3558"/>
    </row>
    <row r="3559" spans="10:10" x14ac:dyDescent="0.35">
      <c r="J3559"/>
    </row>
    <row r="3560" spans="10:10" x14ac:dyDescent="0.35">
      <c r="J3560"/>
    </row>
    <row r="3561" spans="10:10" x14ac:dyDescent="0.35">
      <c r="J3561"/>
    </row>
    <row r="3562" spans="10:10" x14ac:dyDescent="0.35">
      <c r="J3562"/>
    </row>
    <row r="3563" spans="10:10" x14ac:dyDescent="0.35">
      <c r="J3563"/>
    </row>
    <row r="3564" spans="10:10" x14ac:dyDescent="0.35">
      <c r="J3564"/>
    </row>
    <row r="3565" spans="10:10" x14ac:dyDescent="0.35">
      <c r="J3565"/>
    </row>
    <row r="3566" spans="10:10" x14ac:dyDescent="0.35">
      <c r="J3566"/>
    </row>
    <row r="3567" spans="10:10" x14ac:dyDescent="0.35">
      <c r="J3567"/>
    </row>
    <row r="3568" spans="10:10" x14ac:dyDescent="0.35">
      <c r="J3568"/>
    </row>
    <row r="3569" spans="10:10" x14ac:dyDescent="0.35">
      <c r="J3569"/>
    </row>
    <row r="3570" spans="10:10" x14ac:dyDescent="0.35">
      <c r="J3570"/>
    </row>
    <row r="3571" spans="10:10" x14ac:dyDescent="0.35">
      <c r="J3571"/>
    </row>
    <row r="3572" spans="10:10" x14ac:dyDescent="0.35">
      <c r="J3572"/>
    </row>
    <row r="3573" spans="10:10" x14ac:dyDescent="0.35">
      <c r="J3573"/>
    </row>
    <row r="3574" spans="10:10" x14ac:dyDescent="0.35">
      <c r="J3574"/>
    </row>
    <row r="3575" spans="10:10" x14ac:dyDescent="0.35">
      <c r="J3575"/>
    </row>
    <row r="3576" spans="10:10" x14ac:dyDescent="0.35">
      <c r="J3576"/>
    </row>
    <row r="3577" spans="10:10" x14ac:dyDescent="0.35">
      <c r="J3577"/>
    </row>
    <row r="3578" spans="10:10" x14ac:dyDescent="0.35">
      <c r="J3578"/>
    </row>
    <row r="3579" spans="10:10" x14ac:dyDescent="0.35">
      <c r="J3579"/>
    </row>
    <row r="3580" spans="10:10" x14ac:dyDescent="0.35">
      <c r="J3580"/>
    </row>
    <row r="3581" spans="10:10" x14ac:dyDescent="0.35">
      <c r="J3581"/>
    </row>
    <row r="3582" spans="10:10" x14ac:dyDescent="0.35">
      <c r="J3582"/>
    </row>
    <row r="3583" spans="10:10" x14ac:dyDescent="0.35">
      <c r="J3583"/>
    </row>
    <row r="3584" spans="10:10" x14ac:dyDescent="0.35">
      <c r="J3584"/>
    </row>
    <row r="3585" spans="10:10" x14ac:dyDescent="0.35">
      <c r="J3585"/>
    </row>
    <row r="3586" spans="10:10" x14ac:dyDescent="0.35">
      <c r="J3586"/>
    </row>
    <row r="3587" spans="10:10" x14ac:dyDescent="0.35">
      <c r="J3587"/>
    </row>
    <row r="3588" spans="10:10" x14ac:dyDescent="0.35">
      <c r="J3588"/>
    </row>
    <row r="3589" spans="10:10" x14ac:dyDescent="0.35">
      <c r="J3589"/>
    </row>
    <row r="3590" spans="10:10" x14ac:dyDescent="0.35">
      <c r="J3590"/>
    </row>
    <row r="3591" spans="10:10" x14ac:dyDescent="0.35">
      <c r="J3591"/>
    </row>
    <row r="3592" spans="10:10" x14ac:dyDescent="0.35">
      <c r="J3592"/>
    </row>
    <row r="3593" spans="10:10" x14ac:dyDescent="0.35">
      <c r="J3593"/>
    </row>
    <row r="3594" spans="10:10" x14ac:dyDescent="0.35">
      <c r="J3594"/>
    </row>
    <row r="3595" spans="10:10" x14ac:dyDescent="0.35">
      <c r="J3595"/>
    </row>
    <row r="3596" spans="10:10" x14ac:dyDescent="0.35">
      <c r="J3596"/>
    </row>
    <row r="3597" spans="10:10" x14ac:dyDescent="0.35">
      <c r="J3597"/>
    </row>
    <row r="3598" spans="10:10" x14ac:dyDescent="0.35">
      <c r="J3598"/>
    </row>
    <row r="3599" spans="10:10" x14ac:dyDescent="0.35">
      <c r="J3599"/>
    </row>
    <row r="3600" spans="10:10" x14ac:dyDescent="0.35">
      <c r="J3600"/>
    </row>
    <row r="3601" spans="10:10" x14ac:dyDescent="0.35">
      <c r="J3601"/>
    </row>
    <row r="3602" spans="10:10" x14ac:dyDescent="0.35">
      <c r="J3602"/>
    </row>
    <row r="3603" spans="10:10" x14ac:dyDescent="0.35">
      <c r="J3603"/>
    </row>
    <row r="3604" spans="10:10" x14ac:dyDescent="0.35">
      <c r="J3604"/>
    </row>
    <row r="3605" spans="10:10" x14ac:dyDescent="0.35">
      <c r="J3605"/>
    </row>
    <row r="3606" spans="10:10" x14ac:dyDescent="0.35">
      <c r="J3606"/>
    </row>
    <row r="3607" spans="10:10" x14ac:dyDescent="0.35">
      <c r="J3607"/>
    </row>
    <row r="3608" spans="10:10" x14ac:dyDescent="0.35">
      <c r="J3608"/>
    </row>
    <row r="3609" spans="10:10" x14ac:dyDescent="0.35">
      <c r="J3609"/>
    </row>
    <row r="3610" spans="10:10" x14ac:dyDescent="0.35">
      <c r="J3610"/>
    </row>
    <row r="3611" spans="10:10" x14ac:dyDescent="0.35">
      <c r="J3611"/>
    </row>
    <row r="3612" spans="10:10" x14ac:dyDescent="0.35">
      <c r="J3612"/>
    </row>
    <row r="3613" spans="10:10" x14ac:dyDescent="0.35">
      <c r="J3613"/>
    </row>
    <row r="3614" spans="10:10" x14ac:dyDescent="0.35">
      <c r="J3614"/>
    </row>
    <row r="3615" spans="10:10" x14ac:dyDescent="0.35">
      <c r="J3615"/>
    </row>
    <row r="3616" spans="10:10" x14ac:dyDescent="0.35">
      <c r="J3616"/>
    </row>
    <row r="3617" spans="10:10" x14ac:dyDescent="0.35">
      <c r="J3617"/>
    </row>
    <row r="3618" spans="10:10" x14ac:dyDescent="0.35">
      <c r="J3618"/>
    </row>
    <row r="3619" spans="10:10" x14ac:dyDescent="0.35">
      <c r="J3619"/>
    </row>
    <row r="3620" spans="10:10" x14ac:dyDescent="0.35">
      <c r="J3620"/>
    </row>
    <row r="3621" spans="10:10" x14ac:dyDescent="0.35">
      <c r="J3621"/>
    </row>
    <row r="3622" spans="10:10" x14ac:dyDescent="0.35">
      <c r="J3622"/>
    </row>
    <row r="3623" spans="10:10" x14ac:dyDescent="0.35">
      <c r="J3623"/>
    </row>
    <row r="3624" spans="10:10" x14ac:dyDescent="0.35">
      <c r="J3624"/>
    </row>
    <row r="3625" spans="10:10" x14ac:dyDescent="0.35">
      <c r="J3625"/>
    </row>
    <row r="3626" spans="10:10" x14ac:dyDescent="0.35">
      <c r="J3626"/>
    </row>
    <row r="3627" spans="10:10" x14ac:dyDescent="0.35">
      <c r="J3627"/>
    </row>
    <row r="3628" spans="10:10" x14ac:dyDescent="0.35">
      <c r="J3628"/>
    </row>
    <row r="3629" spans="10:10" x14ac:dyDescent="0.35">
      <c r="J3629"/>
    </row>
    <row r="3630" spans="10:10" x14ac:dyDescent="0.35">
      <c r="J3630"/>
    </row>
    <row r="3631" spans="10:10" x14ac:dyDescent="0.35">
      <c r="J3631"/>
    </row>
    <row r="3632" spans="10:10" x14ac:dyDescent="0.35">
      <c r="J3632"/>
    </row>
    <row r="3633" spans="10:10" x14ac:dyDescent="0.35">
      <c r="J3633"/>
    </row>
    <row r="3634" spans="10:10" x14ac:dyDescent="0.35">
      <c r="J3634"/>
    </row>
    <row r="3635" spans="10:10" x14ac:dyDescent="0.35">
      <c r="J3635"/>
    </row>
    <row r="3636" spans="10:10" x14ac:dyDescent="0.35">
      <c r="J3636"/>
    </row>
    <row r="3637" spans="10:10" x14ac:dyDescent="0.35">
      <c r="J3637"/>
    </row>
    <row r="3638" spans="10:10" x14ac:dyDescent="0.35">
      <c r="J3638"/>
    </row>
    <row r="3639" spans="10:10" x14ac:dyDescent="0.35">
      <c r="J3639"/>
    </row>
    <row r="3640" spans="10:10" x14ac:dyDescent="0.35">
      <c r="J3640"/>
    </row>
    <row r="3641" spans="10:10" x14ac:dyDescent="0.35">
      <c r="J3641"/>
    </row>
    <row r="3642" spans="10:10" x14ac:dyDescent="0.35">
      <c r="J3642"/>
    </row>
    <row r="3643" spans="10:10" x14ac:dyDescent="0.35">
      <c r="J3643"/>
    </row>
    <row r="3644" spans="10:10" x14ac:dyDescent="0.35">
      <c r="J3644"/>
    </row>
    <row r="3645" spans="10:10" x14ac:dyDescent="0.35">
      <c r="J3645"/>
    </row>
    <row r="3646" spans="10:10" x14ac:dyDescent="0.35">
      <c r="J3646"/>
    </row>
    <row r="3647" spans="10:10" x14ac:dyDescent="0.35">
      <c r="J3647"/>
    </row>
    <row r="3648" spans="10:10" x14ac:dyDescent="0.35">
      <c r="J3648"/>
    </row>
    <row r="3649" spans="10:10" x14ac:dyDescent="0.35">
      <c r="J3649"/>
    </row>
    <row r="3650" spans="10:10" x14ac:dyDescent="0.35">
      <c r="J3650"/>
    </row>
    <row r="3651" spans="10:10" x14ac:dyDescent="0.35">
      <c r="J3651"/>
    </row>
    <row r="3652" spans="10:10" x14ac:dyDescent="0.35">
      <c r="J3652"/>
    </row>
    <row r="3653" spans="10:10" x14ac:dyDescent="0.35">
      <c r="J3653"/>
    </row>
    <row r="3654" spans="10:10" x14ac:dyDescent="0.35">
      <c r="J3654"/>
    </row>
    <row r="3655" spans="10:10" x14ac:dyDescent="0.35">
      <c r="J3655"/>
    </row>
    <row r="3656" spans="10:10" x14ac:dyDescent="0.35">
      <c r="J3656"/>
    </row>
    <row r="3657" spans="10:10" x14ac:dyDescent="0.35">
      <c r="J3657"/>
    </row>
    <row r="3658" spans="10:10" x14ac:dyDescent="0.35">
      <c r="J3658"/>
    </row>
    <row r="3659" spans="10:10" x14ac:dyDescent="0.35">
      <c r="J3659"/>
    </row>
    <row r="3660" spans="10:10" x14ac:dyDescent="0.35">
      <c r="J3660"/>
    </row>
    <row r="3661" spans="10:10" x14ac:dyDescent="0.35">
      <c r="J3661"/>
    </row>
    <row r="3662" spans="10:10" x14ac:dyDescent="0.35">
      <c r="J3662"/>
    </row>
    <row r="3663" spans="10:10" x14ac:dyDescent="0.35">
      <c r="J3663"/>
    </row>
    <row r="3664" spans="10:10" x14ac:dyDescent="0.35">
      <c r="J3664"/>
    </row>
    <row r="3665" spans="10:10" x14ac:dyDescent="0.35">
      <c r="J3665"/>
    </row>
    <row r="3666" spans="10:10" x14ac:dyDescent="0.35">
      <c r="J3666"/>
    </row>
    <row r="3667" spans="10:10" x14ac:dyDescent="0.35">
      <c r="J3667"/>
    </row>
    <row r="3668" spans="10:10" x14ac:dyDescent="0.35">
      <c r="J3668"/>
    </row>
    <row r="3669" spans="10:10" x14ac:dyDescent="0.35">
      <c r="J3669"/>
    </row>
    <row r="3670" spans="10:10" x14ac:dyDescent="0.35">
      <c r="J3670"/>
    </row>
    <row r="3671" spans="10:10" x14ac:dyDescent="0.35">
      <c r="J3671"/>
    </row>
    <row r="3672" spans="10:10" x14ac:dyDescent="0.35">
      <c r="J3672"/>
    </row>
    <row r="3673" spans="10:10" x14ac:dyDescent="0.35">
      <c r="J3673"/>
    </row>
    <row r="3674" spans="10:10" x14ac:dyDescent="0.35">
      <c r="J3674"/>
    </row>
    <row r="3675" spans="10:10" x14ac:dyDescent="0.35">
      <c r="J3675"/>
    </row>
    <row r="3676" spans="10:10" x14ac:dyDescent="0.35">
      <c r="J3676"/>
    </row>
    <row r="3677" spans="10:10" x14ac:dyDescent="0.35">
      <c r="J3677"/>
    </row>
    <row r="3678" spans="10:10" x14ac:dyDescent="0.35">
      <c r="J3678"/>
    </row>
    <row r="3679" spans="10:10" x14ac:dyDescent="0.35">
      <c r="J3679"/>
    </row>
    <row r="3680" spans="10:10" x14ac:dyDescent="0.35">
      <c r="J3680"/>
    </row>
    <row r="3681" spans="10:10" x14ac:dyDescent="0.35">
      <c r="J3681"/>
    </row>
    <row r="3682" spans="10:10" x14ac:dyDescent="0.35">
      <c r="J3682"/>
    </row>
    <row r="3683" spans="10:10" x14ac:dyDescent="0.35">
      <c r="J3683"/>
    </row>
    <row r="3684" spans="10:10" x14ac:dyDescent="0.35">
      <c r="J3684"/>
    </row>
    <row r="3685" spans="10:10" x14ac:dyDescent="0.35">
      <c r="J3685"/>
    </row>
    <row r="3686" spans="10:10" x14ac:dyDescent="0.35">
      <c r="J3686"/>
    </row>
    <row r="3687" spans="10:10" x14ac:dyDescent="0.35">
      <c r="J3687"/>
    </row>
    <row r="3688" spans="10:10" x14ac:dyDescent="0.35">
      <c r="J3688"/>
    </row>
    <row r="3689" spans="10:10" x14ac:dyDescent="0.35">
      <c r="J3689"/>
    </row>
    <row r="3690" spans="10:10" x14ac:dyDescent="0.35">
      <c r="J3690"/>
    </row>
    <row r="3691" spans="10:10" x14ac:dyDescent="0.35">
      <c r="J3691"/>
    </row>
    <row r="3692" spans="10:10" x14ac:dyDescent="0.35">
      <c r="J3692"/>
    </row>
    <row r="3693" spans="10:10" x14ac:dyDescent="0.35">
      <c r="J3693"/>
    </row>
    <row r="3694" spans="10:10" x14ac:dyDescent="0.35">
      <c r="J3694"/>
    </row>
    <row r="3695" spans="10:10" x14ac:dyDescent="0.35">
      <c r="J3695"/>
    </row>
    <row r="3696" spans="10:10" x14ac:dyDescent="0.35">
      <c r="J3696"/>
    </row>
    <row r="3697" spans="10:10" x14ac:dyDescent="0.35">
      <c r="J3697"/>
    </row>
    <row r="3698" spans="10:10" x14ac:dyDescent="0.35">
      <c r="J3698"/>
    </row>
    <row r="3699" spans="10:10" x14ac:dyDescent="0.35">
      <c r="J3699"/>
    </row>
    <row r="3700" spans="10:10" x14ac:dyDescent="0.35">
      <c r="J3700"/>
    </row>
    <row r="3701" spans="10:10" x14ac:dyDescent="0.35">
      <c r="J3701"/>
    </row>
    <row r="3702" spans="10:10" x14ac:dyDescent="0.35">
      <c r="J3702"/>
    </row>
    <row r="3703" spans="10:10" x14ac:dyDescent="0.35">
      <c r="J3703"/>
    </row>
    <row r="3704" spans="10:10" x14ac:dyDescent="0.35">
      <c r="J3704"/>
    </row>
    <row r="3705" spans="10:10" x14ac:dyDescent="0.35">
      <c r="J3705"/>
    </row>
    <row r="3706" spans="10:10" x14ac:dyDescent="0.35">
      <c r="J3706"/>
    </row>
    <row r="3707" spans="10:10" x14ac:dyDescent="0.35">
      <c r="J3707"/>
    </row>
    <row r="3708" spans="10:10" x14ac:dyDescent="0.35">
      <c r="J3708"/>
    </row>
    <row r="3709" spans="10:10" x14ac:dyDescent="0.35">
      <c r="J3709"/>
    </row>
    <row r="3710" spans="10:10" x14ac:dyDescent="0.35">
      <c r="J3710"/>
    </row>
    <row r="3711" spans="10:10" x14ac:dyDescent="0.35">
      <c r="J3711"/>
    </row>
    <row r="3712" spans="10:10" x14ac:dyDescent="0.35">
      <c r="J3712"/>
    </row>
    <row r="3713" spans="10:10" x14ac:dyDescent="0.35">
      <c r="J3713"/>
    </row>
    <row r="3714" spans="10:10" x14ac:dyDescent="0.35">
      <c r="J3714"/>
    </row>
    <row r="3715" spans="10:10" x14ac:dyDescent="0.35">
      <c r="J3715"/>
    </row>
    <row r="3716" spans="10:10" x14ac:dyDescent="0.35">
      <c r="J3716"/>
    </row>
    <row r="3717" spans="10:10" x14ac:dyDescent="0.35">
      <c r="J3717"/>
    </row>
    <row r="3718" spans="10:10" x14ac:dyDescent="0.35">
      <c r="J3718"/>
    </row>
    <row r="3719" spans="10:10" x14ac:dyDescent="0.35">
      <c r="J3719"/>
    </row>
    <row r="3720" spans="10:10" x14ac:dyDescent="0.35">
      <c r="J3720"/>
    </row>
    <row r="3721" spans="10:10" x14ac:dyDescent="0.35">
      <c r="J3721"/>
    </row>
    <row r="3722" spans="10:10" x14ac:dyDescent="0.35">
      <c r="J3722"/>
    </row>
    <row r="3723" spans="10:10" x14ac:dyDescent="0.35">
      <c r="J3723"/>
    </row>
    <row r="3724" spans="10:10" x14ac:dyDescent="0.35">
      <c r="J3724"/>
    </row>
    <row r="3725" spans="10:10" x14ac:dyDescent="0.35">
      <c r="J3725"/>
    </row>
    <row r="3726" spans="10:10" x14ac:dyDescent="0.35">
      <c r="J3726"/>
    </row>
    <row r="3727" spans="10:10" x14ac:dyDescent="0.35">
      <c r="J3727"/>
    </row>
    <row r="3728" spans="10:10" x14ac:dyDescent="0.35">
      <c r="J3728"/>
    </row>
    <row r="3729" spans="10:10" x14ac:dyDescent="0.35">
      <c r="J3729"/>
    </row>
    <row r="3730" spans="10:10" x14ac:dyDescent="0.35">
      <c r="J3730"/>
    </row>
    <row r="3731" spans="10:10" x14ac:dyDescent="0.35">
      <c r="J3731"/>
    </row>
    <row r="3732" spans="10:10" x14ac:dyDescent="0.35">
      <c r="J3732"/>
    </row>
    <row r="3733" spans="10:10" x14ac:dyDescent="0.35">
      <c r="J3733"/>
    </row>
    <row r="3734" spans="10:10" x14ac:dyDescent="0.35">
      <c r="J3734"/>
    </row>
    <row r="3735" spans="10:10" x14ac:dyDescent="0.35">
      <c r="J3735"/>
    </row>
    <row r="3736" spans="10:10" x14ac:dyDescent="0.35">
      <c r="J3736"/>
    </row>
    <row r="3737" spans="10:10" x14ac:dyDescent="0.35">
      <c r="J3737"/>
    </row>
    <row r="3738" spans="10:10" x14ac:dyDescent="0.35">
      <c r="J3738"/>
    </row>
    <row r="3739" spans="10:10" x14ac:dyDescent="0.35">
      <c r="J3739"/>
    </row>
    <row r="3740" spans="10:10" x14ac:dyDescent="0.35">
      <c r="J3740"/>
    </row>
    <row r="3741" spans="10:10" x14ac:dyDescent="0.35">
      <c r="J3741"/>
    </row>
    <row r="3742" spans="10:10" x14ac:dyDescent="0.35">
      <c r="J3742"/>
    </row>
    <row r="3743" spans="10:10" x14ac:dyDescent="0.35">
      <c r="J3743"/>
    </row>
    <row r="3744" spans="10:10" x14ac:dyDescent="0.35">
      <c r="J3744"/>
    </row>
    <row r="3745" spans="10:10" x14ac:dyDescent="0.35">
      <c r="J3745"/>
    </row>
    <row r="3746" spans="10:10" x14ac:dyDescent="0.35">
      <c r="J3746"/>
    </row>
    <row r="3747" spans="10:10" x14ac:dyDescent="0.35">
      <c r="J3747"/>
    </row>
    <row r="3748" spans="10:10" x14ac:dyDescent="0.35">
      <c r="J3748"/>
    </row>
    <row r="3749" spans="10:10" x14ac:dyDescent="0.35">
      <c r="J3749"/>
    </row>
    <row r="3750" spans="10:10" x14ac:dyDescent="0.35">
      <c r="J3750"/>
    </row>
    <row r="3751" spans="10:10" x14ac:dyDescent="0.35">
      <c r="J3751"/>
    </row>
    <row r="3752" spans="10:10" x14ac:dyDescent="0.35">
      <c r="J3752"/>
    </row>
    <row r="3753" spans="10:10" x14ac:dyDescent="0.35">
      <c r="J3753"/>
    </row>
    <row r="3754" spans="10:10" x14ac:dyDescent="0.35">
      <c r="J3754"/>
    </row>
    <row r="3755" spans="10:10" x14ac:dyDescent="0.35">
      <c r="J3755"/>
    </row>
    <row r="3756" spans="10:10" x14ac:dyDescent="0.35">
      <c r="J3756"/>
    </row>
    <row r="3757" spans="10:10" x14ac:dyDescent="0.35">
      <c r="J3757"/>
    </row>
    <row r="3758" spans="10:10" x14ac:dyDescent="0.35">
      <c r="J3758"/>
    </row>
    <row r="3759" spans="10:10" x14ac:dyDescent="0.35">
      <c r="J3759"/>
    </row>
    <row r="3760" spans="10:10" x14ac:dyDescent="0.35">
      <c r="J3760"/>
    </row>
    <row r="3761" spans="10:10" x14ac:dyDescent="0.35">
      <c r="J3761"/>
    </row>
    <row r="3762" spans="10:10" x14ac:dyDescent="0.35">
      <c r="J3762"/>
    </row>
    <row r="3763" spans="10:10" x14ac:dyDescent="0.35">
      <c r="J3763"/>
    </row>
    <row r="3764" spans="10:10" x14ac:dyDescent="0.35">
      <c r="J3764"/>
    </row>
    <row r="3765" spans="10:10" x14ac:dyDescent="0.35">
      <c r="J3765"/>
    </row>
    <row r="3766" spans="10:10" x14ac:dyDescent="0.35">
      <c r="J3766"/>
    </row>
    <row r="3767" spans="10:10" x14ac:dyDescent="0.35">
      <c r="J3767"/>
    </row>
    <row r="3768" spans="10:10" x14ac:dyDescent="0.35">
      <c r="J3768"/>
    </row>
    <row r="3769" spans="10:10" x14ac:dyDescent="0.35">
      <c r="J3769"/>
    </row>
    <row r="3770" spans="10:10" x14ac:dyDescent="0.35">
      <c r="J3770"/>
    </row>
    <row r="3771" spans="10:10" x14ac:dyDescent="0.35">
      <c r="J3771"/>
    </row>
    <row r="3772" spans="10:10" x14ac:dyDescent="0.35">
      <c r="J3772"/>
    </row>
    <row r="3773" spans="10:10" x14ac:dyDescent="0.35">
      <c r="J3773"/>
    </row>
    <row r="3774" spans="10:10" x14ac:dyDescent="0.35">
      <c r="J3774"/>
    </row>
    <row r="3775" spans="10:10" x14ac:dyDescent="0.35">
      <c r="J3775"/>
    </row>
    <row r="3776" spans="10:10" x14ac:dyDescent="0.35">
      <c r="J3776"/>
    </row>
    <row r="3777" spans="10:10" x14ac:dyDescent="0.35">
      <c r="J3777"/>
    </row>
    <row r="3778" spans="10:10" x14ac:dyDescent="0.35">
      <c r="J3778"/>
    </row>
    <row r="3779" spans="10:10" x14ac:dyDescent="0.35">
      <c r="J3779"/>
    </row>
    <row r="3780" spans="10:10" x14ac:dyDescent="0.35">
      <c r="J3780"/>
    </row>
    <row r="3781" spans="10:10" x14ac:dyDescent="0.35">
      <c r="J3781"/>
    </row>
    <row r="3782" spans="10:10" x14ac:dyDescent="0.35">
      <c r="J3782"/>
    </row>
    <row r="3783" spans="10:10" x14ac:dyDescent="0.35">
      <c r="J3783"/>
    </row>
    <row r="3784" spans="10:10" x14ac:dyDescent="0.35">
      <c r="J3784"/>
    </row>
    <row r="3785" spans="10:10" x14ac:dyDescent="0.35">
      <c r="J3785"/>
    </row>
    <row r="3786" spans="10:10" x14ac:dyDescent="0.35">
      <c r="J3786"/>
    </row>
    <row r="3787" spans="10:10" x14ac:dyDescent="0.35">
      <c r="J3787"/>
    </row>
    <row r="3788" spans="10:10" x14ac:dyDescent="0.35">
      <c r="J3788"/>
    </row>
    <row r="3789" spans="10:10" x14ac:dyDescent="0.35">
      <c r="J3789"/>
    </row>
    <row r="3790" spans="10:10" x14ac:dyDescent="0.35">
      <c r="J3790"/>
    </row>
    <row r="3791" spans="10:10" x14ac:dyDescent="0.35">
      <c r="J3791"/>
    </row>
    <row r="3792" spans="10:10" x14ac:dyDescent="0.35">
      <c r="J3792"/>
    </row>
    <row r="3793" spans="10:10" x14ac:dyDescent="0.35">
      <c r="J3793"/>
    </row>
    <row r="3794" spans="10:10" x14ac:dyDescent="0.35">
      <c r="J3794"/>
    </row>
    <row r="3795" spans="10:10" x14ac:dyDescent="0.35">
      <c r="J3795"/>
    </row>
    <row r="3796" spans="10:10" x14ac:dyDescent="0.35">
      <c r="J3796"/>
    </row>
    <row r="3797" spans="10:10" x14ac:dyDescent="0.35">
      <c r="J3797"/>
    </row>
    <row r="3798" spans="10:10" x14ac:dyDescent="0.35">
      <c r="J3798"/>
    </row>
    <row r="3799" spans="10:10" x14ac:dyDescent="0.35">
      <c r="J3799"/>
    </row>
    <row r="3800" spans="10:10" x14ac:dyDescent="0.35">
      <c r="J3800"/>
    </row>
    <row r="3801" spans="10:10" x14ac:dyDescent="0.35">
      <c r="J3801"/>
    </row>
    <row r="3802" spans="10:10" x14ac:dyDescent="0.35">
      <c r="J3802"/>
    </row>
    <row r="3803" spans="10:10" x14ac:dyDescent="0.35">
      <c r="J3803"/>
    </row>
    <row r="3804" spans="10:10" x14ac:dyDescent="0.35">
      <c r="J3804"/>
    </row>
    <row r="3805" spans="10:10" x14ac:dyDescent="0.35">
      <c r="J3805"/>
    </row>
    <row r="3806" spans="10:10" x14ac:dyDescent="0.35">
      <c r="J3806"/>
    </row>
    <row r="3807" spans="10:10" x14ac:dyDescent="0.35">
      <c r="J3807"/>
    </row>
    <row r="3808" spans="10:10" x14ac:dyDescent="0.35">
      <c r="J3808"/>
    </row>
    <row r="3809" spans="10:10" x14ac:dyDescent="0.35">
      <c r="J3809"/>
    </row>
    <row r="3810" spans="10:10" x14ac:dyDescent="0.35">
      <c r="J3810"/>
    </row>
    <row r="3811" spans="10:10" x14ac:dyDescent="0.35">
      <c r="J3811"/>
    </row>
    <row r="3812" spans="10:10" x14ac:dyDescent="0.35">
      <c r="J3812"/>
    </row>
    <row r="3813" spans="10:10" x14ac:dyDescent="0.35">
      <c r="J3813"/>
    </row>
    <row r="3814" spans="10:10" x14ac:dyDescent="0.35">
      <c r="J3814"/>
    </row>
    <row r="3815" spans="10:10" x14ac:dyDescent="0.35">
      <c r="J3815"/>
    </row>
    <row r="3816" spans="10:10" x14ac:dyDescent="0.35">
      <c r="J3816"/>
    </row>
    <row r="3817" spans="10:10" x14ac:dyDescent="0.35">
      <c r="J3817"/>
    </row>
    <row r="3818" spans="10:10" x14ac:dyDescent="0.35">
      <c r="J3818"/>
    </row>
    <row r="3819" spans="10:10" x14ac:dyDescent="0.35">
      <c r="J3819"/>
    </row>
    <row r="3820" spans="10:10" x14ac:dyDescent="0.35">
      <c r="J3820"/>
    </row>
    <row r="3821" spans="10:10" x14ac:dyDescent="0.35">
      <c r="J3821"/>
    </row>
    <row r="3822" spans="10:10" x14ac:dyDescent="0.35">
      <c r="J3822"/>
    </row>
    <row r="3823" spans="10:10" x14ac:dyDescent="0.35">
      <c r="J3823"/>
    </row>
    <row r="3824" spans="10:10" x14ac:dyDescent="0.35">
      <c r="J3824"/>
    </row>
    <row r="3825" spans="10:10" x14ac:dyDescent="0.35">
      <c r="J3825"/>
    </row>
    <row r="3826" spans="10:10" x14ac:dyDescent="0.35">
      <c r="J3826"/>
    </row>
    <row r="3827" spans="10:10" x14ac:dyDescent="0.35">
      <c r="J3827"/>
    </row>
    <row r="3828" spans="10:10" x14ac:dyDescent="0.35">
      <c r="J3828"/>
    </row>
    <row r="3829" spans="10:10" x14ac:dyDescent="0.35">
      <c r="J3829"/>
    </row>
    <row r="3830" spans="10:10" x14ac:dyDescent="0.35">
      <c r="J3830"/>
    </row>
    <row r="3831" spans="10:10" x14ac:dyDescent="0.35">
      <c r="J3831"/>
    </row>
    <row r="3832" spans="10:10" x14ac:dyDescent="0.35">
      <c r="J3832"/>
    </row>
    <row r="3833" spans="10:10" x14ac:dyDescent="0.35">
      <c r="J3833"/>
    </row>
    <row r="3834" spans="10:10" x14ac:dyDescent="0.35">
      <c r="J3834"/>
    </row>
    <row r="3835" spans="10:10" x14ac:dyDescent="0.35">
      <c r="J3835"/>
    </row>
    <row r="3836" spans="10:10" x14ac:dyDescent="0.35">
      <c r="J3836"/>
    </row>
    <row r="3837" spans="10:10" x14ac:dyDescent="0.35">
      <c r="J3837"/>
    </row>
    <row r="3838" spans="10:10" x14ac:dyDescent="0.35">
      <c r="J3838"/>
    </row>
    <row r="3839" spans="10:10" x14ac:dyDescent="0.35">
      <c r="J3839"/>
    </row>
    <row r="3840" spans="10:10" x14ac:dyDescent="0.35">
      <c r="J3840"/>
    </row>
    <row r="3841" spans="10:10" x14ac:dyDescent="0.35">
      <c r="J3841"/>
    </row>
    <row r="3842" spans="10:10" x14ac:dyDescent="0.35">
      <c r="J3842"/>
    </row>
    <row r="3843" spans="10:10" x14ac:dyDescent="0.35">
      <c r="J3843"/>
    </row>
    <row r="3844" spans="10:10" x14ac:dyDescent="0.35">
      <c r="J3844"/>
    </row>
    <row r="3845" spans="10:10" x14ac:dyDescent="0.35">
      <c r="J3845"/>
    </row>
    <row r="3846" spans="10:10" x14ac:dyDescent="0.35">
      <c r="J3846"/>
    </row>
    <row r="3847" spans="10:10" x14ac:dyDescent="0.35">
      <c r="J3847"/>
    </row>
    <row r="3848" spans="10:10" x14ac:dyDescent="0.35">
      <c r="J3848"/>
    </row>
    <row r="3849" spans="10:10" x14ac:dyDescent="0.35">
      <c r="J3849"/>
    </row>
    <row r="3850" spans="10:10" x14ac:dyDescent="0.35">
      <c r="J3850"/>
    </row>
    <row r="3851" spans="10:10" x14ac:dyDescent="0.35">
      <c r="J3851"/>
    </row>
    <row r="3852" spans="10:10" x14ac:dyDescent="0.35">
      <c r="J3852"/>
    </row>
    <row r="3853" spans="10:10" x14ac:dyDescent="0.35">
      <c r="J3853"/>
    </row>
    <row r="3854" spans="10:10" x14ac:dyDescent="0.35">
      <c r="J3854"/>
    </row>
    <row r="3855" spans="10:10" x14ac:dyDescent="0.35">
      <c r="J3855"/>
    </row>
    <row r="3856" spans="10:10" x14ac:dyDescent="0.35">
      <c r="J3856"/>
    </row>
    <row r="3857" spans="10:10" x14ac:dyDescent="0.35">
      <c r="J3857"/>
    </row>
    <row r="3858" spans="10:10" x14ac:dyDescent="0.35">
      <c r="J3858"/>
    </row>
    <row r="3859" spans="10:10" x14ac:dyDescent="0.35">
      <c r="J3859"/>
    </row>
    <row r="3860" spans="10:10" x14ac:dyDescent="0.35">
      <c r="J3860"/>
    </row>
    <row r="3861" spans="10:10" x14ac:dyDescent="0.35">
      <c r="J3861"/>
    </row>
    <row r="3862" spans="10:10" x14ac:dyDescent="0.35">
      <c r="J3862"/>
    </row>
    <row r="3863" spans="10:10" x14ac:dyDescent="0.35">
      <c r="J3863"/>
    </row>
    <row r="3864" spans="10:10" x14ac:dyDescent="0.35">
      <c r="J3864"/>
    </row>
    <row r="3865" spans="10:10" x14ac:dyDescent="0.35">
      <c r="J3865"/>
    </row>
    <row r="3866" spans="10:10" x14ac:dyDescent="0.35">
      <c r="J3866"/>
    </row>
    <row r="3867" spans="10:10" x14ac:dyDescent="0.35">
      <c r="J3867"/>
    </row>
    <row r="3868" spans="10:10" x14ac:dyDescent="0.35">
      <c r="J3868"/>
    </row>
    <row r="3869" spans="10:10" x14ac:dyDescent="0.35">
      <c r="J3869"/>
    </row>
    <row r="3870" spans="10:10" x14ac:dyDescent="0.35">
      <c r="J3870"/>
    </row>
    <row r="3871" spans="10:10" x14ac:dyDescent="0.35">
      <c r="J3871"/>
    </row>
    <row r="3872" spans="10:10" x14ac:dyDescent="0.35">
      <c r="J3872"/>
    </row>
    <row r="3873" spans="10:10" x14ac:dyDescent="0.35">
      <c r="J3873"/>
    </row>
    <row r="3874" spans="10:10" x14ac:dyDescent="0.35">
      <c r="J3874"/>
    </row>
    <row r="3875" spans="10:10" x14ac:dyDescent="0.35">
      <c r="J3875"/>
    </row>
    <row r="3876" spans="10:10" x14ac:dyDescent="0.35">
      <c r="J3876"/>
    </row>
    <row r="3877" spans="10:10" x14ac:dyDescent="0.35">
      <c r="J3877"/>
    </row>
    <row r="3878" spans="10:10" x14ac:dyDescent="0.35">
      <c r="J3878"/>
    </row>
    <row r="3879" spans="10:10" x14ac:dyDescent="0.35">
      <c r="J3879"/>
    </row>
    <row r="3880" spans="10:10" x14ac:dyDescent="0.35">
      <c r="J3880"/>
    </row>
    <row r="3881" spans="10:10" x14ac:dyDescent="0.35">
      <c r="J3881"/>
    </row>
    <row r="3882" spans="10:10" x14ac:dyDescent="0.35">
      <c r="J3882"/>
    </row>
    <row r="3883" spans="10:10" x14ac:dyDescent="0.35">
      <c r="J3883"/>
    </row>
    <row r="3884" spans="10:10" x14ac:dyDescent="0.35">
      <c r="J3884"/>
    </row>
    <row r="3885" spans="10:10" x14ac:dyDescent="0.35">
      <c r="J3885"/>
    </row>
    <row r="3886" spans="10:10" x14ac:dyDescent="0.35">
      <c r="J3886"/>
    </row>
    <row r="3887" spans="10:10" x14ac:dyDescent="0.35">
      <c r="J3887"/>
    </row>
    <row r="3888" spans="10:10" x14ac:dyDescent="0.35">
      <c r="J3888"/>
    </row>
    <row r="3889" spans="10:10" x14ac:dyDescent="0.35">
      <c r="J3889"/>
    </row>
    <row r="3890" spans="10:10" x14ac:dyDescent="0.35">
      <c r="J3890"/>
    </row>
    <row r="3891" spans="10:10" x14ac:dyDescent="0.35">
      <c r="J3891"/>
    </row>
    <row r="3892" spans="10:10" x14ac:dyDescent="0.35">
      <c r="J3892"/>
    </row>
    <row r="3893" spans="10:10" x14ac:dyDescent="0.35">
      <c r="J3893"/>
    </row>
    <row r="3894" spans="10:10" x14ac:dyDescent="0.35">
      <c r="J3894"/>
    </row>
    <row r="3895" spans="10:10" x14ac:dyDescent="0.35">
      <c r="J3895"/>
    </row>
    <row r="3896" spans="10:10" x14ac:dyDescent="0.35">
      <c r="J3896"/>
    </row>
    <row r="3897" spans="10:10" x14ac:dyDescent="0.35">
      <c r="J3897"/>
    </row>
    <row r="3898" spans="10:10" x14ac:dyDescent="0.35">
      <c r="J3898"/>
    </row>
    <row r="3899" spans="10:10" x14ac:dyDescent="0.35">
      <c r="J3899"/>
    </row>
    <row r="3900" spans="10:10" x14ac:dyDescent="0.35">
      <c r="J3900"/>
    </row>
    <row r="3901" spans="10:10" x14ac:dyDescent="0.35">
      <c r="J3901"/>
    </row>
    <row r="3902" spans="10:10" x14ac:dyDescent="0.35">
      <c r="J3902"/>
    </row>
    <row r="3903" spans="10:10" x14ac:dyDescent="0.35">
      <c r="J3903"/>
    </row>
    <row r="3904" spans="10:10" x14ac:dyDescent="0.35">
      <c r="J3904"/>
    </row>
    <row r="3905" spans="10:10" x14ac:dyDescent="0.35">
      <c r="J3905"/>
    </row>
    <row r="3906" spans="10:10" x14ac:dyDescent="0.35">
      <c r="J3906"/>
    </row>
    <row r="3907" spans="10:10" x14ac:dyDescent="0.35">
      <c r="J3907"/>
    </row>
    <row r="3908" spans="10:10" x14ac:dyDescent="0.35">
      <c r="J3908"/>
    </row>
    <row r="3909" spans="10:10" x14ac:dyDescent="0.35">
      <c r="J3909"/>
    </row>
    <row r="3910" spans="10:10" x14ac:dyDescent="0.35">
      <c r="J3910"/>
    </row>
    <row r="3911" spans="10:10" x14ac:dyDescent="0.35">
      <c r="J3911"/>
    </row>
    <row r="3912" spans="10:10" x14ac:dyDescent="0.35">
      <c r="J3912"/>
    </row>
    <row r="3913" spans="10:10" x14ac:dyDescent="0.35">
      <c r="J3913"/>
    </row>
    <row r="3914" spans="10:10" x14ac:dyDescent="0.35">
      <c r="J3914"/>
    </row>
    <row r="3915" spans="10:10" x14ac:dyDescent="0.35">
      <c r="J3915"/>
    </row>
    <row r="3916" spans="10:10" x14ac:dyDescent="0.35">
      <c r="J3916"/>
    </row>
    <row r="3917" spans="10:10" x14ac:dyDescent="0.35">
      <c r="J3917"/>
    </row>
    <row r="3918" spans="10:10" x14ac:dyDescent="0.35">
      <c r="J3918"/>
    </row>
    <row r="3919" spans="10:10" x14ac:dyDescent="0.35">
      <c r="J3919"/>
    </row>
    <row r="3920" spans="10:10" x14ac:dyDescent="0.35">
      <c r="J3920"/>
    </row>
    <row r="3921" spans="10:10" x14ac:dyDescent="0.35">
      <c r="J3921"/>
    </row>
    <row r="3922" spans="10:10" x14ac:dyDescent="0.35">
      <c r="J3922"/>
    </row>
    <row r="3923" spans="10:10" x14ac:dyDescent="0.35">
      <c r="J3923"/>
    </row>
    <row r="3924" spans="10:10" x14ac:dyDescent="0.35">
      <c r="J3924"/>
    </row>
    <row r="3925" spans="10:10" x14ac:dyDescent="0.35">
      <c r="J3925"/>
    </row>
    <row r="3926" spans="10:10" x14ac:dyDescent="0.35">
      <c r="J3926"/>
    </row>
    <row r="3927" spans="10:10" x14ac:dyDescent="0.35">
      <c r="J3927"/>
    </row>
    <row r="3928" spans="10:10" x14ac:dyDescent="0.35">
      <c r="J3928"/>
    </row>
    <row r="3929" spans="10:10" x14ac:dyDescent="0.35">
      <c r="J3929"/>
    </row>
    <row r="3930" spans="10:10" x14ac:dyDescent="0.35">
      <c r="J3930"/>
    </row>
    <row r="3931" spans="10:10" x14ac:dyDescent="0.35">
      <c r="J3931"/>
    </row>
    <row r="3932" spans="10:10" x14ac:dyDescent="0.35">
      <c r="J3932"/>
    </row>
    <row r="3933" spans="10:10" x14ac:dyDescent="0.35">
      <c r="J3933"/>
    </row>
    <row r="3934" spans="10:10" x14ac:dyDescent="0.35">
      <c r="J3934"/>
    </row>
    <row r="3935" spans="10:10" x14ac:dyDescent="0.35">
      <c r="J3935"/>
    </row>
    <row r="3936" spans="10:10" x14ac:dyDescent="0.35">
      <c r="J3936"/>
    </row>
    <row r="3937" spans="10:10" x14ac:dyDescent="0.35">
      <c r="J3937"/>
    </row>
    <row r="3938" spans="10:10" x14ac:dyDescent="0.35">
      <c r="J3938"/>
    </row>
    <row r="3939" spans="10:10" x14ac:dyDescent="0.35">
      <c r="J3939"/>
    </row>
    <row r="3940" spans="10:10" x14ac:dyDescent="0.35">
      <c r="J3940"/>
    </row>
    <row r="3941" spans="10:10" x14ac:dyDescent="0.35">
      <c r="J3941"/>
    </row>
    <row r="3942" spans="10:10" x14ac:dyDescent="0.35">
      <c r="J3942"/>
    </row>
    <row r="3943" spans="10:10" x14ac:dyDescent="0.35">
      <c r="J3943"/>
    </row>
    <row r="3944" spans="10:10" x14ac:dyDescent="0.35">
      <c r="J3944"/>
    </row>
    <row r="3945" spans="10:10" x14ac:dyDescent="0.35">
      <c r="J3945"/>
    </row>
    <row r="3946" spans="10:10" x14ac:dyDescent="0.35">
      <c r="J3946"/>
    </row>
    <row r="3947" spans="10:10" x14ac:dyDescent="0.35">
      <c r="J3947"/>
    </row>
    <row r="3948" spans="10:10" x14ac:dyDescent="0.35">
      <c r="J3948"/>
    </row>
    <row r="3949" spans="10:10" x14ac:dyDescent="0.35">
      <c r="J3949"/>
    </row>
    <row r="3950" spans="10:10" x14ac:dyDescent="0.35">
      <c r="J3950"/>
    </row>
    <row r="3951" spans="10:10" x14ac:dyDescent="0.35">
      <c r="J3951"/>
    </row>
    <row r="3952" spans="10:10" x14ac:dyDescent="0.35">
      <c r="J3952"/>
    </row>
    <row r="3953" spans="10:10" x14ac:dyDescent="0.35">
      <c r="J3953"/>
    </row>
    <row r="3954" spans="10:10" x14ac:dyDescent="0.35">
      <c r="J3954"/>
    </row>
    <row r="3955" spans="10:10" x14ac:dyDescent="0.35">
      <c r="J3955"/>
    </row>
    <row r="3956" spans="10:10" x14ac:dyDescent="0.35">
      <c r="J3956"/>
    </row>
    <row r="3957" spans="10:10" x14ac:dyDescent="0.35">
      <c r="J3957"/>
    </row>
    <row r="3958" spans="10:10" x14ac:dyDescent="0.35">
      <c r="J3958"/>
    </row>
    <row r="3959" spans="10:10" x14ac:dyDescent="0.35">
      <c r="J3959"/>
    </row>
    <row r="3960" spans="10:10" x14ac:dyDescent="0.35">
      <c r="J3960"/>
    </row>
    <row r="3961" spans="10:10" x14ac:dyDescent="0.35">
      <c r="J3961"/>
    </row>
    <row r="3962" spans="10:10" x14ac:dyDescent="0.35">
      <c r="J3962"/>
    </row>
    <row r="3963" spans="10:10" x14ac:dyDescent="0.35">
      <c r="J3963"/>
    </row>
    <row r="3964" spans="10:10" x14ac:dyDescent="0.35">
      <c r="J3964"/>
    </row>
    <row r="3965" spans="10:10" x14ac:dyDescent="0.35">
      <c r="J3965"/>
    </row>
    <row r="3966" spans="10:10" x14ac:dyDescent="0.35">
      <c r="J3966"/>
    </row>
    <row r="3967" spans="10:10" x14ac:dyDescent="0.35">
      <c r="J3967"/>
    </row>
    <row r="3968" spans="10:10" x14ac:dyDescent="0.35">
      <c r="J3968"/>
    </row>
    <row r="3969" spans="10:10" x14ac:dyDescent="0.35">
      <c r="J3969"/>
    </row>
    <row r="3970" spans="10:10" x14ac:dyDescent="0.35">
      <c r="J3970"/>
    </row>
    <row r="3971" spans="10:10" x14ac:dyDescent="0.35">
      <c r="J3971"/>
    </row>
    <row r="3972" spans="10:10" x14ac:dyDescent="0.35">
      <c r="J3972"/>
    </row>
    <row r="3973" spans="10:10" x14ac:dyDescent="0.35">
      <c r="J3973"/>
    </row>
    <row r="3974" spans="10:10" x14ac:dyDescent="0.35">
      <c r="J3974"/>
    </row>
    <row r="3975" spans="10:10" x14ac:dyDescent="0.35">
      <c r="J3975"/>
    </row>
    <row r="3976" spans="10:10" x14ac:dyDescent="0.35">
      <c r="J3976"/>
    </row>
    <row r="3977" spans="10:10" x14ac:dyDescent="0.35">
      <c r="J3977"/>
    </row>
    <row r="3978" spans="10:10" x14ac:dyDescent="0.35">
      <c r="J3978"/>
    </row>
    <row r="3979" spans="10:10" x14ac:dyDescent="0.35">
      <c r="J3979"/>
    </row>
    <row r="3980" spans="10:10" x14ac:dyDescent="0.35">
      <c r="J3980"/>
    </row>
    <row r="3981" spans="10:10" x14ac:dyDescent="0.35">
      <c r="J3981"/>
    </row>
    <row r="3982" spans="10:10" x14ac:dyDescent="0.35">
      <c r="J3982"/>
    </row>
    <row r="3983" spans="10:10" x14ac:dyDescent="0.35">
      <c r="J3983"/>
    </row>
    <row r="3984" spans="10:10" x14ac:dyDescent="0.35">
      <c r="J3984"/>
    </row>
    <row r="3985" spans="10:10" x14ac:dyDescent="0.35">
      <c r="J3985"/>
    </row>
    <row r="3986" spans="10:10" x14ac:dyDescent="0.35">
      <c r="J3986"/>
    </row>
    <row r="3987" spans="10:10" x14ac:dyDescent="0.35">
      <c r="J3987"/>
    </row>
    <row r="3988" spans="10:10" x14ac:dyDescent="0.35">
      <c r="J3988"/>
    </row>
    <row r="3989" spans="10:10" x14ac:dyDescent="0.35">
      <c r="J3989"/>
    </row>
    <row r="3990" spans="10:10" x14ac:dyDescent="0.35">
      <c r="J3990"/>
    </row>
    <row r="3991" spans="10:10" x14ac:dyDescent="0.35">
      <c r="J3991"/>
    </row>
    <row r="3992" spans="10:10" x14ac:dyDescent="0.35">
      <c r="J3992"/>
    </row>
    <row r="3993" spans="10:10" x14ac:dyDescent="0.35">
      <c r="J3993"/>
    </row>
    <row r="3994" spans="10:10" x14ac:dyDescent="0.35">
      <c r="J3994"/>
    </row>
    <row r="3995" spans="10:10" x14ac:dyDescent="0.35">
      <c r="J3995"/>
    </row>
    <row r="3996" spans="10:10" x14ac:dyDescent="0.35">
      <c r="J3996"/>
    </row>
    <row r="3997" spans="10:10" x14ac:dyDescent="0.35">
      <c r="J3997"/>
    </row>
    <row r="3998" spans="10:10" x14ac:dyDescent="0.35">
      <c r="J3998"/>
    </row>
    <row r="3999" spans="10:10" x14ac:dyDescent="0.35">
      <c r="J3999"/>
    </row>
    <row r="4000" spans="10:10" x14ac:dyDescent="0.35">
      <c r="J4000"/>
    </row>
    <row r="4001" spans="10:10" x14ac:dyDescent="0.35">
      <c r="J4001"/>
    </row>
    <row r="4002" spans="10:10" x14ac:dyDescent="0.35">
      <c r="J4002"/>
    </row>
    <row r="4003" spans="10:10" x14ac:dyDescent="0.35">
      <c r="J4003"/>
    </row>
    <row r="4004" spans="10:10" x14ac:dyDescent="0.35">
      <c r="J4004"/>
    </row>
    <row r="4005" spans="10:10" x14ac:dyDescent="0.35">
      <c r="J4005"/>
    </row>
    <row r="4006" spans="10:10" x14ac:dyDescent="0.35">
      <c r="J4006"/>
    </row>
    <row r="4007" spans="10:10" x14ac:dyDescent="0.35">
      <c r="J4007"/>
    </row>
    <row r="4008" spans="10:10" x14ac:dyDescent="0.35">
      <c r="J4008"/>
    </row>
    <row r="4009" spans="10:10" x14ac:dyDescent="0.35">
      <c r="J4009"/>
    </row>
    <row r="4010" spans="10:10" x14ac:dyDescent="0.35">
      <c r="J4010"/>
    </row>
    <row r="4011" spans="10:10" x14ac:dyDescent="0.35">
      <c r="J4011"/>
    </row>
    <row r="4012" spans="10:10" x14ac:dyDescent="0.35">
      <c r="J4012"/>
    </row>
    <row r="4013" spans="10:10" x14ac:dyDescent="0.35">
      <c r="J4013"/>
    </row>
    <row r="4014" spans="10:10" x14ac:dyDescent="0.35">
      <c r="J4014"/>
    </row>
    <row r="4015" spans="10:10" x14ac:dyDescent="0.35">
      <c r="J4015"/>
    </row>
    <row r="4016" spans="10:10" x14ac:dyDescent="0.35">
      <c r="J4016"/>
    </row>
    <row r="4017" spans="10:10" x14ac:dyDescent="0.35">
      <c r="J4017"/>
    </row>
    <row r="4018" spans="10:10" x14ac:dyDescent="0.35">
      <c r="J4018"/>
    </row>
    <row r="4019" spans="10:10" x14ac:dyDescent="0.35">
      <c r="J4019"/>
    </row>
    <row r="4020" spans="10:10" x14ac:dyDescent="0.35">
      <c r="J4020"/>
    </row>
    <row r="4021" spans="10:10" x14ac:dyDescent="0.35">
      <c r="J4021"/>
    </row>
    <row r="4022" spans="10:10" x14ac:dyDescent="0.35">
      <c r="J4022"/>
    </row>
    <row r="4023" spans="10:10" x14ac:dyDescent="0.35">
      <c r="J4023"/>
    </row>
    <row r="4024" spans="10:10" x14ac:dyDescent="0.35">
      <c r="J4024"/>
    </row>
    <row r="4025" spans="10:10" x14ac:dyDescent="0.35">
      <c r="J4025"/>
    </row>
    <row r="4026" spans="10:10" x14ac:dyDescent="0.35">
      <c r="J4026"/>
    </row>
    <row r="4027" spans="10:10" x14ac:dyDescent="0.35">
      <c r="J4027"/>
    </row>
    <row r="4028" spans="10:10" x14ac:dyDescent="0.35">
      <c r="J4028"/>
    </row>
    <row r="4029" spans="10:10" x14ac:dyDescent="0.35">
      <c r="J4029"/>
    </row>
    <row r="4030" spans="10:10" x14ac:dyDescent="0.35">
      <c r="J4030"/>
    </row>
    <row r="4031" spans="10:10" x14ac:dyDescent="0.35">
      <c r="J4031"/>
    </row>
    <row r="4032" spans="10:10" x14ac:dyDescent="0.35">
      <c r="J4032"/>
    </row>
    <row r="4033" spans="10:10" x14ac:dyDescent="0.35">
      <c r="J4033"/>
    </row>
    <row r="4034" spans="10:10" x14ac:dyDescent="0.35">
      <c r="J4034"/>
    </row>
    <row r="4035" spans="10:10" x14ac:dyDescent="0.35">
      <c r="J4035"/>
    </row>
    <row r="4036" spans="10:10" x14ac:dyDescent="0.35">
      <c r="J4036"/>
    </row>
    <row r="4037" spans="10:10" x14ac:dyDescent="0.35">
      <c r="J4037"/>
    </row>
    <row r="4038" spans="10:10" x14ac:dyDescent="0.35">
      <c r="J4038"/>
    </row>
    <row r="4039" spans="10:10" x14ac:dyDescent="0.35">
      <c r="J4039"/>
    </row>
    <row r="4040" spans="10:10" x14ac:dyDescent="0.35">
      <c r="J4040"/>
    </row>
    <row r="4041" spans="10:10" x14ac:dyDescent="0.35">
      <c r="J4041"/>
    </row>
    <row r="4042" spans="10:10" x14ac:dyDescent="0.35">
      <c r="J4042"/>
    </row>
    <row r="4043" spans="10:10" x14ac:dyDescent="0.35">
      <c r="J4043"/>
    </row>
    <row r="4044" spans="10:10" x14ac:dyDescent="0.35">
      <c r="J4044"/>
    </row>
    <row r="4045" spans="10:10" x14ac:dyDescent="0.35">
      <c r="J4045"/>
    </row>
    <row r="4046" spans="10:10" x14ac:dyDescent="0.35">
      <c r="J4046"/>
    </row>
    <row r="4047" spans="10:10" x14ac:dyDescent="0.35">
      <c r="J4047"/>
    </row>
    <row r="4048" spans="10:10" x14ac:dyDescent="0.35">
      <c r="J4048"/>
    </row>
    <row r="4049" spans="10:10" x14ac:dyDescent="0.35">
      <c r="J4049"/>
    </row>
    <row r="4050" spans="10:10" x14ac:dyDescent="0.35">
      <c r="J4050"/>
    </row>
    <row r="4051" spans="10:10" x14ac:dyDescent="0.35">
      <c r="J4051"/>
    </row>
    <row r="4052" spans="10:10" x14ac:dyDescent="0.35">
      <c r="J4052"/>
    </row>
    <row r="4053" spans="10:10" x14ac:dyDescent="0.35">
      <c r="J4053"/>
    </row>
    <row r="4054" spans="10:10" x14ac:dyDescent="0.35">
      <c r="J4054"/>
    </row>
    <row r="4055" spans="10:10" x14ac:dyDescent="0.35">
      <c r="J4055"/>
    </row>
    <row r="4056" spans="10:10" x14ac:dyDescent="0.35">
      <c r="J4056"/>
    </row>
    <row r="4057" spans="10:10" x14ac:dyDescent="0.35">
      <c r="J4057"/>
    </row>
    <row r="4058" spans="10:10" x14ac:dyDescent="0.35">
      <c r="J4058"/>
    </row>
    <row r="4059" spans="10:10" x14ac:dyDescent="0.35">
      <c r="J4059"/>
    </row>
    <row r="4060" spans="10:10" x14ac:dyDescent="0.35">
      <c r="J4060"/>
    </row>
    <row r="4061" spans="10:10" x14ac:dyDescent="0.35">
      <c r="J4061"/>
    </row>
    <row r="4062" spans="10:10" x14ac:dyDescent="0.35">
      <c r="J4062"/>
    </row>
    <row r="4063" spans="10:10" x14ac:dyDescent="0.35">
      <c r="J4063"/>
    </row>
    <row r="4064" spans="10:10" x14ac:dyDescent="0.35">
      <c r="J4064"/>
    </row>
    <row r="4065" spans="10:10" x14ac:dyDescent="0.35">
      <c r="J4065"/>
    </row>
    <row r="4066" spans="10:10" x14ac:dyDescent="0.35">
      <c r="J4066"/>
    </row>
    <row r="4067" spans="10:10" x14ac:dyDescent="0.35">
      <c r="J4067"/>
    </row>
    <row r="4068" spans="10:10" x14ac:dyDescent="0.35">
      <c r="J4068"/>
    </row>
    <row r="4069" spans="10:10" x14ac:dyDescent="0.35">
      <c r="J4069"/>
    </row>
    <row r="4070" spans="10:10" x14ac:dyDescent="0.35">
      <c r="J4070"/>
    </row>
    <row r="4071" spans="10:10" x14ac:dyDescent="0.35">
      <c r="J4071"/>
    </row>
    <row r="4072" spans="10:10" x14ac:dyDescent="0.35">
      <c r="J4072"/>
    </row>
    <row r="4073" spans="10:10" x14ac:dyDescent="0.35">
      <c r="J4073"/>
    </row>
    <row r="4074" spans="10:10" x14ac:dyDescent="0.35">
      <c r="J4074"/>
    </row>
    <row r="4075" spans="10:10" x14ac:dyDescent="0.35">
      <c r="J4075"/>
    </row>
    <row r="4076" spans="10:10" x14ac:dyDescent="0.35">
      <c r="J4076"/>
    </row>
    <row r="4077" spans="10:10" x14ac:dyDescent="0.35">
      <c r="J4077"/>
    </row>
    <row r="4078" spans="10:10" x14ac:dyDescent="0.35">
      <c r="J4078"/>
    </row>
    <row r="4079" spans="10:10" x14ac:dyDescent="0.35">
      <c r="J4079"/>
    </row>
    <row r="4080" spans="10:10" x14ac:dyDescent="0.35">
      <c r="J4080"/>
    </row>
    <row r="4081" spans="10:10" x14ac:dyDescent="0.35">
      <c r="J4081"/>
    </row>
    <row r="4082" spans="10:10" x14ac:dyDescent="0.35">
      <c r="J4082"/>
    </row>
    <row r="4083" spans="10:10" x14ac:dyDescent="0.35">
      <c r="J4083"/>
    </row>
    <row r="4084" spans="10:10" x14ac:dyDescent="0.35">
      <c r="J4084"/>
    </row>
    <row r="4085" spans="10:10" x14ac:dyDescent="0.35">
      <c r="J4085"/>
    </row>
    <row r="4086" spans="10:10" x14ac:dyDescent="0.35">
      <c r="J4086"/>
    </row>
    <row r="4087" spans="10:10" x14ac:dyDescent="0.35">
      <c r="J4087"/>
    </row>
    <row r="4088" spans="10:10" x14ac:dyDescent="0.35">
      <c r="J4088"/>
    </row>
    <row r="4089" spans="10:10" x14ac:dyDescent="0.35">
      <c r="J4089"/>
    </row>
    <row r="4090" spans="10:10" x14ac:dyDescent="0.35">
      <c r="J4090"/>
    </row>
    <row r="4091" spans="10:10" x14ac:dyDescent="0.35">
      <c r="J4091"/>
    </row>
    <row r="4092" spans="10:10" x14ac:dyDescent="0.35">
      <c r="J4092"/>
    </row>
    <row r="4093" spans="10:10" x14ac:dyDescent="0.35">
      <c r="J4093"/>
    </row>
    <row r="4094" spans="10:10" x14ac:dyDescent="0.35">
      <c r="J4094"/>
    </row>
    <row r="4095" spans="10:10" x14ac:dyDescent="0.35">
      <c r="J4095"/>
    </row>
    <row r="4096" spans="10:10" x14ac:dyDescent="0.35">
      <c r="J4096"/>
    </row>
    <row r="4097" spans="10:10" x14ac:dyDescent="0.35">
      <c r="J4097"/>
    </row>
    <row r="4098" spans="10:10" x14ac:dyDescent="0.35">
      <c r="J4098"/>
    </row>
    <row r="4099" spans="10:10" x14ac:dyDescent="0.35">
      <c r="J4099"/>
    </row>
    <row r="4100" spans="10:10" x14ac:dyDescent="0.35">
      <c r="J4100"/>
    </row>
    <row r="4101" spans="10:10" x14ac:dyDescent="0.35">
      <c r="J4101"/>
    </row>
    <row r="4102" spans="10:10" x14ac:dyDescent="0.35">
      <c r="J4102"/>
    </row>
    <row r="4103" spans="10:10" x14ac:dyDescent="0.35">
      <c r="J4103"/>
    </row>
    <row r="4104" spans="10:10" x14ac:dyDescent="0.35">
      <c r="J4104"/>
    </row>
    <row r="4105" spans="10:10" x14ac:dyDescent="0.35">
      <c r="J4105"/>
    </row>
    <row r="4106" spans="10:10" x14ac:dyDescent="0.35">
      <c r="J4106"/>
    </row>
    <row r="4107" spans="10:10" x14ac:dyDescent="0.35">
      <c r="J4107"/>
    </row>
    <row r="4108" spans="10:10" x14ac:dyDescent="0.35">
      <c r="J4108"/>
    </row>
    <row r="4109" spans="10:10" x14ac:dyDescent="0.35">
      <c r="J4109"/>
    </row>
    <row r="4110" spans="10:10" x14ac:dyDescent="0.35">
      <c r="J4110"/>
    </row>
    <row r="4111" spans="10:10" x14ac:dyDescent="0.35">
      <c r="J4111"/>
    </row>
    <row r="4112" spans="10:10" x14ac:dyDescent="0.35">
      <c r="J4112"/>
    </row>
    <row r="4113" spans="10:10" x14ac:dyDescent="0.35">
      <c r="J4113"/>
    </row>
    <row r="4114" spans="10:10" x14ac:dyDescent="0.35">
      <c r="J4114"/>
    </row>
    <row r="4115" spans="10:10" x14ac:dyDescent="0.35">
      <c r="J4115"/>
    </row>
    <row r="4116" spans="10:10" x14ac:dyDescent="0.35">
      <c r="J4116"/>
    </row>
    <row r="4117" spans="10:10" x14ac:dyDescent="0.35">
      <c r="J4117"/>
    </row>
    <row r="4118" spans="10:10" x14ac:dyDescent="0.35">
      <c r="J4118"/>
    </row>
    <row r="4119" spans="10:10" x14ac:dyDescent="0.35">
      <c r="J4119"/>
    </row>
    <row r="4120" spans="10:10" x14ac:dyDescent="0.35">
      <c r="J4120"/>
    </row>
    <row r="4121" spans="10:10" x14ac:dyDescent="0.35">
      <c r="J4121"/>
    </row>
    <row r="4122" spans="10:10" x14ac:dyDescent="0.35">
      <c r="J4122"/>
    </row>
    <row r="4123" spans="10:10" x14ac:dyDescent="0.35">
      <c r="J4123"/>
    </row>
    <row r="4124" spans="10:10" x14ac:dyDescent="0.35">
      <c r="J4124"/>
    </row>
    <row r="4125" spans="10:10" x14ac:dyDescent="0.35">
      <c r="J4125"/>
    </row>
    <row r="4126" spans="10:10" x14ac:dyDescent="0.35">
      <c r="J4126"/>
    </row>
    <row r="4127" spans="10:10" x14ac:dyDescent="0.35">
      <c r="J4127"/>
    </row>
    <row r="4128" spans="10:10" x14ac:dyDescent="0.35">
      <c r="J4128"/>
    </row>
    <row r="4129" spans="10:10" x14ac:dyDescent="0.35">
      <c r="J4129"/>
    </row>
    <row r="4130" spans="10:10" x14ac:dyDescent="0.35">
      <c r="J4130"/>
    </row>
    <row r="4131" spans="10:10" x14ac:dyDescent="0.35">
      <c r="J4131"/>
    </row>
    <row r="4132" spans="10:10" x14ac:dyDescent="0.35">
      <c r="J4132"/>
    </row>
    <row r="4133" spans="10:10" x14ac:dyDescent="0.35">
      <c r="J4133"/>
    </row>
    <row r="4134" spans="10:10" x14ac:dyDescent="0.35">
      <c r="J4134"/>
    </row>
    <row r="4135" spans="10:10" x14ac:dyDescent="0.35">
      <c r="J4135"/>
    </row>
    <row r="4136" spans="10:10" x14ac:dyDescent="0.35">
      <c r="J4136"/>
    </row>
    <row r="4137" spans="10:10" x14ac:dyDescent="0.35">
      <c r="J4137"/>
    </row>
    <row r="4138" spans="10:10" x14ac:dyDescent="0.35">
      <c r="J4138"/>
    </row>
    <row r="4139" spans="10:10" x14ac:dyDescent="0.35">
      <c r="J4139"/>
    </row>
    <row r="4140" spans="10:10" x14ac:dyDescent="0.35">
      <c r="J4140"/>
    </row>
    <row r="4141" spans="10:10" x14ac:dyDescent="0.35">
      <c r="J4141"/>
    </row>
    <row r="4142" spans="10:10" x14ac:dyDescent="0.35">
      <c r="J4142"/>
    </row>
    <row r="4143" spans="10:10" x14ac:dyDescent="0.35">
      <c r="J4143"/>
    </row>
    <row r="4144" spans="10:10" x14ac:dyDescent="0.35">
      <c r="J4144"/>
    </row>
    <row r="4145" spans="10:10" x14ac:dyDescent="0.35">
      <c r="J4145"/>
    </row>
    <row r="4146" spans="10:10" x14ac:dyDescent="0.35">
      <c r="J4146"/>
    </row>
    <row r="4147" spans="10:10" x14ac:dyDescent="0.35">
      <c r="J4147"/>
    </row>
    <row r="4148" spans="10:10" x14ac:dyDescent="0.35">
      <c r="J4148"/>
    </row>
    <row r="4149" spans="10:10" x14ac:dyDescent="0.35">
      <c r="J4149"/>
    </row>
    <row r="4150" spans="10:10" x14ac:dyDescent="0.35">
      <c r="J4150"/>
    </row>
    <row r="4151" spans="10:10" x14ac:dyDescent="0.35">
      <c r="J4151"/>
    </row>
    <row r="4152" spans="10:10" x14ac:dyDescent="0.35">
      <c r="J4152"/>
    </row>
    <row r="4153" spans="10:10" x14ac:dyDescent="0.35">
      <c r="J4153"/>
    </row>
    <row r="4154" spans="10:10" x14ac:dyDescent="0.35">
      <c r="J4154"/>
    </row>
    <row r="4155" spans="10:10" x14ac:dyDescent="0.35">
      <c r="J4155"/>
    </row>
    <row r="4156" spans="10:10" x14ac:dyDescent="0.35">
      <c r="J4156"/>
    </row>
    <row r="4157" spans="10:10" x14ac:dyDescent="0.35">
      <c r="J4157"/>
    </row>
    <row r="4158" spans="10:10" x14ac:dyDescent="0.35">
      <c r="J4158"/>
    </row>
    <row r="4159" spans="10:10" x14ac:dyDescent="0.35">
      <c r="J4159"/>
    </row>
    <row r="4160" spans="10:10" x14ac:dyDescent="0.35">
      <c r="J4160"/>
    </row>
    <row r="4161" spans="10:10" x14ac:dyDescent="0.35">
      <c r="J4161"/>
    </row>
    <row r="4162" spans="10:10" x14ac:dyDescent="0.35">
      <c r="J4162"/>
    </row>
    <row r="4163" spans="10:10" x14ac:dyDescent="0.35">
      <c r="J4163"/>
    </row>
    <row r="4164" spans="10:10" x14ac:dyDescent="0.35">
      <c r="J4164"/>
    </row>
    <row r="4165" spans="10:10" x14ac:dyDescent="0.35">
      <c r="J4165"/>
    </row>
    <row r="4166" spans="10:10" x14ac:dyDescent="0.35">
      <c r="J4166"/>
    </row>
    <row r="4167" spans="10:10" x14ac:dyDescent="0.35">
      <c r="J4167"/>
    </row>
    <row r="4168" spans="10:10" x14ac:dyDescent="0.35">
      <c r="J4168"/>
    </row>
    <row r="4169" spans="10:10" x14ac:dyDescent="0.35">
      <c r="J4169"/>
    </row>
    <row r="4170" spans="10:10" x14ac:dyDescent="0.35">
      <c r="J4170"/>
    </row>
    <row r="4171" spans="10:10" x14ac:dyDescent="0.35">
      <c r="J4171"/>
    </row>
    <row r="4172" spans="10:10" x14ac:dyDescent="0.35">
      <c r="J4172"/>
    </row>
    <row r="4173" spans="10:10" x14ac:dyDescent="0.35">
      <c r="J4173"/>
    </row>
    <row r="4174" spans="10:10" x14ac:dyDescent="0.35">
      <c r="J4174"/>
    </row>
    <row r="4175" spans="10:10" x14ac:dyDescent="0.35">
      <c r="J4175"/>
    </row>
    <row r="4176" spans="10:10" x14ac:dyDescent="0.35">
      <c r="J4176"/>
    </row>
    <row r="4177" spans="10:10" x14ac:dyDescent="0.35">
      <c r="J4177"/>
    </row>
    <row r="4178" spans="10:10" x14ac:dyDescent="0.35">
      <c r="J4178"/>
    </row>
    <row r="4179" spans="10:10" x14ac:dyDescent="0.35">
      <c r="J4179"/>
    </row>
    <row r="4180" spans="10:10" x14ac:dyDescent="0.35">
      <c r="J4180"/>
    </row>
    <row r="4181" spans="10:10" x14ac:dyDescent="0.35">
      <c r="J4181"/>
    </row>
    <row r="4182" spans="10:10" x14ac:dyDescent="0.35">
      <c r="J4182"/>
    </row>
    <row r="4183" spans="10:10" x14ac:dyDescent="0.35">
      <c r="J4183"/>
    </row>
    <row r="4184" spans="10:10" x14ac:dyDescent="0.35">
      <c r="J4184"/>
    </row>
    <row r="4185" spans="10:10" x14ac:dyDescent="0.35">
      <c r="J4185"/>
    </row>
    <row r="4186" spans="10:10" x14ac:dyDescent="0.35">
      <c r="J4186"/>
    </row>
    <row r="4187" spans="10:10" x14ac:dyDescent="0.35">
      <c r="J4187"/>
    </row>
    <row r="4188" spans="10:10" x14ac:dyDescent="0.35">
      <c r="J4188"/>
    </row>
    <row r="4189" spans="10:10" x14ac:dyDescent="0.35">
      <c r="J4189"/>
    </row>
    <row r="4190" spans="10:10" x14ac:dyDescent="0.35">
      <c r="J4190"/>
    </row>
    <row r="4191" spans="10:10" x14ac:dyDescent="0.35">
      <c r="J4191"/>
    </row>
    <row r="4192" spans="10:10" x14ac:dyDescent="0.35">
      <c r="J4192"/>
    </row>
    <row r="4193" spans="10:10" x14ac:dyDescent="0.35">
      <c r="J4193"/>
    </row>
    <row r="4194" spans="10:10" x14ac:dyDescent="0.35">
      <c r="J4194"/>
    </row>
    <row r="4195" spans="10:10" x14ac:dyDescent="0.35">
      <c r="J4195"/>
    </row>
    <row r="4196" spans="10:10" x14ac:dyDescent="0.35">
      <c r="J4196"/>
    </row>
    <row r="4197" spans="10:10" x14ac:dyDescent="0.35">
      <c r="J4197"/>
    </row>
    <row r="4198" spans="10:10" x14ac:dyDescent="0.35">
      <c r="J4198"/>
    </row>
    <row r="4199" spans="10:10" x14ac:dyDescent="0.35">
      <c r="J4199"/>
    </row>
    <row r="4200" spans="10:10" x14ac:dyDescent="0.35">
      <c r="J4200"/>
    </row>
    <row r="4201" spans="10:10" x14ac:dyDescent="0.35">
      <c r="J4201"/>
    </row>
    <row r="4202" spans="10:10" x14ac:dyDescent="0.35">
      <c r="J4202"/>
    </row>
    <row r="4203" spans="10:10" x14ac:dyDescent="0.35">
      <c r="J4203"/>
    </row>
    <row r="4204" spans="10:10" x14ac:dyDescent="0.35">
      <c r="J4204"/>
    </row>
    <row r="4205" spans="10:10" x14ac:dyDescent="0.35">
      <c r="J4205"/>
    </row>
    <row r="4206" spans="10:10" x14ac:dyDescent="0.35">
      <c r="J4206"/>
    </row>
    <row r="4207" spans="10:10" x14ac:dyDescent="0.35">
      <c r="J4207"/>
    </row>
    <row r="4208" spans="10:10" x14ac:dyDescent="0.35">
      <c r="J4208"/>
    </row>
    <row r="4209" spans="10:10" x14ac:dyDescent="0.35">
      <c r="J4209"/>
    </row>
    <row r="4210" spans="10:10" x14ac:dyDescent="0.35">
      <c r="J4210"/>
    </row>
    <row r="4211" spans="10:10" x14ac:dyDescent="0.35">
      <c r="J4211"/>
    </row>
    <row r="4212" spans="10:10" x14ac:dyDescent="0.35">
      <c r="J4212"/>
    </row>
    <row r="4213" spans="10:10" x14ac:dyDescent="0.35">
      <c r="J4213"/>
    </row>
    <row r="4214" spans="10:10" x14ac:dyDescent="0.35">
      <c r="J4214"/>
    </row>
    <row r="4215" spans="10:10" x14ac:dyDescent="0.35">
      <c r="J4215"/>
    </row>
    <row r="4216" spans="10:10" x14ac:dyDescent="0.35">
      <c r="J4216"/>
    </row>
    <row r="4217" spans="10:10" x14ac:dyDescent="0.35">
      <c r="J4217"/>
    </row>
    <row r="4218" spans="10:10" x14ac:dyDescent="0.35">
      <c r="J4218"/>
    </row>
    <row r="4219" spans="10:10" x14ac:dyDescent="0.35">
      <c r="J4219"/>
    </row>
    <row r="4220" spans="10:10" x14ac:dyDescent="0.35">
      <c r="J4220"/>
    </row>
    <row r="4221" spans="10:10" x14ac:dyDescent="0.35">
      <c r="J4221"/>
    </row>
    <row r="4222" spans="10:10" x14ac:dyDescent="0.35">
      <c r="J4222"/>
    </row>
    <row r="4223" spans="10:10" x14ac:dyDescent="0.35">
      <c r="J4223"/>
    </row>
    <row r="4224" spans="10:10" x14ac:dyDescent="0.35">
      <c r="J4224"/>
    </row>
    <row r="4225" spans="10:10" x14ac:dyDescent="0.35">
      <c r="J4225"/>
    </row>
    <row r="4226" spans="10:10" x14ac:dyDescent="0.35">
      <c r="J4226"/>
    </row>
    <row r="4227" spans="10:10" x14ac:dyDescent="0.35">
      <c r="J4227"/>
    </row>
    <row r="4228" spans="10:10" x14ac:dyDescent="0.35">
      <c r="J4228"/>
    </row>
    <row r="4229" spans="10:10" x14ac:dyDescent="0.35">
      <c r="J4229"/>
    </row>
    <row r="4230" spans="10:10" x14ac:dyDescent="0.35">
      <c r="J4230"/>
    </row>
    <row r="4231" spans="10:10" x14ac:dyDescent="0.35">
      <c r="J4231"/>
    </row>
    <row r="4232" spans="10:10" x14ac:dyDescent="0.35">
      <c r="J4232"/>
    </row>
    <row r="4233" spans="10:10" x14ac:dyDescent="0.35">
      <c r="J4233"/>
    </row>
    <row r="4234" spans="10:10" x14ac:dyDescent="0.35">
      <c r="J4234"/>
    </row>
    <row r="4235" spans="10:10" x14ac:dyDescent="0.35">
      <c r="J4235"/>
    </row>
    <row r="4236" spans="10:10" x14ac:dyDescent="0.35">
      <c r="J4236"/>
    </row>
    <row r="4237" spans="10:10" x14ac:dyDescent="0.35">
      <c r="J4237"/>
    </row>
    <row r="4238" spans="10:10" x14ac:dyDescent="0.35">
      <c r="J4238"/>
    </row>
    <row r="4239" spans="10:10" x14ac:dyDescent="0.35">
      <c r="J4239"/>
    </row>
    <row r="4240" spans="10:10" x14ac:dyDescent="0.35">
      <c r="J4240"/>
    </row>
    <row r="4241" spans="10:10" x14ac:dyDescent="0.35">
      <c r="J4241"/>
    </row>
    <row r="4242" spans="10:10" x14ac:dyDescent="0.35">
      <c r="J4242"/>
    </row>
    <row r="4243" spans="10:10" x14ac:dyDescent="0.35">
      <c r="J4243"/>
    </row>
    <row r="4244" spans="10:10" x14ac:dyDescent="0.35">
      <c r="J4244"/>
    </row>
    <row r="4245" spans="10:10" x14ac:dyDescent="0.35">
      <c r="J4245"/>
    </row>
    <row r="4246" spans="10:10" x14ac:dyDescent="0.35">
      <c r="J4246"/>
    </row>
    <row r="4247" spans="10:10" x14ac:dyDescent="0.35">
      <c r="J4247"/>
    </row>
    <row r="4248" spans="10:10" x14ac:dyDescent="0.35">
      <c r="J4248"/>
    </row>
    <row r="4249" spans="10:10" x14ac:dyDescent="0.35">
      <c r="J4249"/>
    </row>
    <row r="4250" spans="10:10" x14ac:dyDescent="0.35">
      <c r="J4250"/>
    </row>
    <row r="4251" spans="10:10" x14ac:dyDescent="0.35">
      <c r="J4251"/>
    </row>
    <row r="4252" spans="10:10" x14ac:dyDescent="0.35">
      <c r="J4252"/>
    </row>
    <row r="4253" spans="10:10" x14ac:dyDescent="0.35">
      <c r="J4253"/>
    </row>
    <row r="4254" spans="10:10" x14ac:dyDescent="0.35">
      <c r="J4254"/>
    </row>
    <row r="4255" spans="10:10" x14ac:dyDescent="0.35">
      <c r="J4255"/>
    </row>
    <row r="4256" spans="10:10" x14ac:dyDescent="0.35">
      <c r="J4256"/>
    </row>
    <row r="4257" spans="10:10" x14ac:dyDescent="0.35">
      <c r="J4257"/>
    </row>
    <row r="4258" spans="10:10" x14ac:dyDescent="0.35">
      <c r="J4258"/>
    </row>
    <row r="4259" spans="10:10" x14ac:dyDescent="0.35">
      <c r="J4259"/>
    </row>
    <row r="4260" spans="10:10" x14ac:dyDescent="0.35">
      <c r="J4260"/>
    </row>
    <row r="4261" spans="10:10" x14ac:dyDescent="0.35">
      <c r="J4261"/>
    </row>
    <row r="4262" spans="10:10" x14ac:dyDescent="0.35">
      <c r="J4262"/>
    </row>
    <row r="4263" spans="10:10" x14ac:dyDescent="0.35">
      <c r="J4263"/>
    </row>
    <row r="4264" spans="10:10" x14ac:dyDescent="0.35">
      <c r="J4264"/>
    </row>
    <row r="4265" spans="10:10" x14ac:dyDescent="0.35">
      <c r="J4265"/>
    </row>
    <row r="4266" spans="10:10" x14ac:dyDescent="0.35">
      <c r="J4266"/>
    </row>
    <row r="4267" spans="10:10" x14ac:dyDescent="0.35">
      <c r="J4267"/>
    </row>
    <row r="4268" spans="10:10" x14ac:dyDescent="0.35">
      <c r="J4268"/>
    </row>
    <row r="4269" spans="10:10" x14ac:dyDescent="0.35">
      <c r="J4269"/>
    </row>
    <row r="4270" spans="10:10" x14ac:dyDescent="0.35">
      <c r="J4270"/>
    </row>
    <row r="4271" spans="10:10" x14ac:dyDescent="0.35">
      <c r="J4271"/>
    </row>
    <row r="4272" spans="10:10" x14ac:dyDescent="0.35">
      <c r="J4272"/>
    </row>
    <row r="4273" spans="10:10" x14ac:dyDescent="0.35">
      <c r="J4273"/>
    </row>
    <row r="4274" spans="10:10" x14ac:dyDescent="0.35">
      <c r="J4274"/>
    </row>
    <row r="4275" spans="10:10" x14ac:dyDescent="0.35">
      <c r="J4275"/>
    </row>
    <row r="4276" spans="10:10" x14ac:dyDescent="0.35">
      <c r="J4276"/>
    </row>
    <row r="4277" spans="10:10" x14ac:dyDescent="0.35">
      <c r="J4277"/>
    </row>
    <row r="4278" spans="10:10" x14ac:dyDescent="0.35">
      <c r="J4278"/>
    </row>
    <row r="4279" spans="10:10" x14ac:dyDescent="0.35">
      <c r="J4279"/>
    </row>
    <row r="4280" spans="10:10" x14ac:dyDescent="0.35">
      <c r="J4280"/>
    </row>
    <row r="4281" spans="10:10" x14ac:dyDescent="0.35">
      <c r="J4281"/>
    </row>
    <row r="4282" spans="10:10" x14ac:dyDescent="0.35">
      <c r="J4282"/>
    </row>
    <row r="4283" spans="10:10" x14ac:dyDescent="0.35">
      <c r="J4283"/>
    </row>
    <row r="4284" spans="10:10" x14ac:dyDescent="0.35">
      <c r="J4284"/>
    </row>
    <row r="4285" spans="10:10" x14ac:dyDescent="0.35">
      <c r="J4285"/>
    </row>
    <row r="4286" spans="10:10" x14ac:dyDescent="0.35">
      <c r="J4286"/>
    </row>
    <row r="4287" spans="10:10" x14ac:dyDescent="0.35">
      <c r="J4287"/>
    </row>
    <row r="4288" spans="10:10" x14ac:dyDescent="0.35">
      <c r="J4288"/>
    </row>
    <row r="4289" spans="10:10" x14ac:dyDescent="0.35">
      <c r="J4289"/>
    </row>
    <row r="4290" spans="10:10" x14ac:dyDescent="0.35">
      <c r="J4290"/>
    </row>
    <row r="4291" spans="10:10" x14ac:dyDescent="0.35">
      <c r="J4291"/>
    </row>
    <row r="4292" spans="10:10" x14ac:dyDescent="0.35">
      <c r="J4292"/>
    </row>
    <row r="4293" spans="10:10" x14ac:dyDescent="0.35">
      <c r="J4293"/>
    </row>
    <row r="4294" spans="10:10" x14ac:dyDescent="0.35">
      <c r="J4294"/>
    </row>
    <row r="4295" spans="10:10" x14ac:dyDescent="0.35">
      <c r="J4295"/>
    </row>
    <row r="4296" spans="10:10" x14ac:dyDescent="0.35">
      <c r="J4296"/>
    </row>
    <row r="4297" spans="10:10" x14ac:dyDescent="0.35">
      <c r="J4297"/>
    </row>
    <row r="4298" spans="10:10" x14ac:dyDescent="0.35">
      <c r="J4298"/>
    </row>
    <row r="4299" spans="10:10" x14ac:dyDescent="0.35">
      <c r="J4299"/>
    </row>
    <row r="4300" spans="10:10" x14ac:dyDescent="0.35">
      <c r="J4300"/>
    </row>
    <row r="4301" spans="10:10" x14ac:dyDescent="0.35">
      <c r="J4301"/>
    </row>
    <row r="4302" spans="10:10" x14ac:dyDescent="0.35">
      <c r="J4302"/>
    </row>
    <row r="4303" spans="10:10" x14ac:dyDescent="0.35">
      <c r="J4303"/>
    </row>
    <row r="4304" spans="10:10" x14ac:dyDescent="0.35">
      <c r="J4304"/>
    </row>
    <row r="4305" spans="10:10" x14ac:dyDescent="0.35">
      <c r="J4305"/>
    </row>
    <row r="4306" spans="10:10" x14ac:dyDescent="0.35">
      <c r="J4306"/>
    </row>
    <row r="4307" spans="10:10" x14ac:dyDescent="0.35">
      <c r="J4307"/>
    </row>
    <row r="4308" spans="10:10" x14ac:dyDescent="0.35">
      <c r="J4308"/>
    </row>
    <row r="4309" spans="10:10" x14ac:dyDescent="0.35">
      <c r="J4309"/>
    </row>
    <row r="4310" spans="10:10" x14ac:dyDescent="0.35">
      <c r="J4310"/>
    </row>
    <row r="4311" spans="10:10" x14ac:dyDescent="0.35">
      <c r="J4311"/>
    </row>
    <row r="4312" spans="10:10" x14ac:dyDescent="0.35">
      <c r="J4312"/>
    </row>
    <row r="4313" spans="10:10" x14ac:dyDescent="0.35">
      <c r="J4313"/>
    </row>
    <row r="4314" spans="10:10" x14ac:dyDescent="0.35">
      <c r="J4314"/>
    </row>
    <row r="4315" spans="10:10" x14ac:dyDescent="0.35">
      <c r="J4315"/>
    </row>
    <row r="4316" spans="10:10" x14ac:dyDescent="0.35">
      <c r="J4316"/>
    </row>
    <row r="4317" spans="10:10" x14ac:dyDescent="0.35">
      <c r="J4317"/>
    </row>
    <row r="4318" spans="10:10" x14ac:dyDescent="0.35">
      <c r="J4318"/>
    </row>
    <row r="4319" spans="10:10" x14ac:dyDescent="0.35">
      <c r="J4319"/>
    </row>
    <row r="4320" spans="10:10" x14ac:dyDescent="0.35">
      <c r="J4320"/>
    </row>
    <row r="4321" spans="10:10" x14ac:dyDescent="0.35">
      <c r="J4321"/>
    </row>
    <row r="4322" spans="10:10" x14ac:dyDescent="0.35">
      <c r="J4322"/>
    </row>
    <row r="4323" spans="10:10" x14ac:dyDescent="0.35">
      <c r="J4323"/>
    </row>
    <row r="4324" spans="10:10" x14ac:dyDescent="0.35">
      <c r="J4324"/>
    </row>
    <row r="4325" spans="10:10" x14ac:dyDescent="0.35">
      <c r="J4325"/>
    </row>
    <row r="4326" spans="10:10" x14ac:dyDescent="0.35">
      <c r="J4326"/>
    </row>
    <row r="4327" spans="10:10" x14ac:dyDescent="0.35">
      <c r="J4327"/>
    </row>
    <row r="4328" spans="10:10" x14ac:dyDescent="0.35">
      <c r="J4328"/>
    </row>
    <row r="4329" spans="10:10" x14ac:dyDescent="0.35">
      <c r="J4329"/>
    </row>
    <row r="4330" spans="10:10" x14ac:dyDescent="0.35">
      <c r="J4330"/>
    </row>
    <row r="4331" spans="10:10" x14ac:dyDescent="0.35">
      <c r="J4331"/>
    </row>
    <row r="4332" spans="10:10" x14ac:dyDescent="0.35">
      <c r="J4332"/>
    </row>
    <row r="4333" spans="10:10" x14ac:dyDescent="0.35">
      <c r="J4333"/>
    </row>
    <row r="4334" spans="10:10" x14ac:dyDescent="0.35">
      <c r="J4334"/>
    </row>
    <row r="4335" spans="10:10" x14ac:dyDescent="0.35">
      <c r="J4335"/>
    </row>
    <row r="4336" spans="10:10" x14ac:dyDescent="0.35">
      <c r="J4336"/>
    </row>
    <row r="4337" spans="10:10" x14ac:dyDescent="0.35">
      <c r="J4337"/>
    </row>
    <row r="4338" spans="10:10" x14ac:dyDescent="0.35">
      <c r="J4338"/>
    </row>
    <row r="4339" spans="10:10" x14ac:dyDescent="0.35">
      <c r="J4339"/>
    </row>
    <row r="4340" spans="10:10" x14ac:dyDescent="0.35">
      <c r="J4340"/>
    </row>
    <row r="4341" spans="10:10" x14ac:dyDescent="0.35">
      <c r="J4341"/>
    </row>
    <row r="4342" spans="10:10" x14ac:dyDescent="0.35">
      <c r="J4342"/>
    </row>
    <row r="4343" spans="10:10" x14ac:dyDescent="0.35">
      <c r="J4343"/>
    </row>
    <row r="4344" spans="10:10" x14ac:dyDescent="0.35">
      <c r="J4344"/>
    </row>
    <row r="4345" spans="10:10" x14ac:dyDescent="0.35">
      <c r="J4345"/>
    </row>
    <row r="4346" spans="10:10" x14ac:dyDescent="0.35">
      <c r="J4346"/>
    </row>
    <row r="4347" spans="10:10" x14ac:dyDescent="0.35">
      <c r="J4347"/>
    </row>
    <row r="4348" spans="10:10" x14ac:dyDescent="0.35">
      <c r="J4348"/>
    </row>
    <row r="4349" spans="10:10" x14ac:dyDescent="0.35">
      <c r="J4349"/>
    </row>
    <row r="4350" spans="10:10" x14ac:dyDescent="0.35">
      <c r="J4350"/>
    </row>
    <row r="4351" spans="10:10" x14ac:dyDescent="0.35">
      <c r="J4351"/>
    </row>
    <row r="4352" spans="10:10" x14ac:dyDescent="0.35">
      <c r="J4352"/>
    </row>
    <row r="4353" spans="10:10" x14ac:dyDescent="0.35">
      <c r="J4353"/>
    </row>
    <row r="4354" spans="10:10" x14ac:dyDescent="0.35">
      <c r="J4354"/>
    </row>
    <row r="4355" spans="10:10" x14ac:dyDescent="0.35">
      <c r="J4355"/>
    </row>
    <row r="4356" spans="10:10" x14ac:dyDescent="0.35">
      <c r="J4356"/>
    </row>
    <row r="4357" spans="10:10" x14ac:dyDescent="0.35">
      <c r="J4357"/>
    </row>
    <row r="4358" spans="10:10" x14ac:dyDescent="0.35">
      <c r="J4358"/>
    </row>
    <row r="4359" spans="10:10" x14ac:dyDescent="0.35">
      <c r="J4359"/>
    </row>
    <row r="4360" spans="10:10" x14ac:dyDescent="0.35">
      <c r="J4360"/>
    </row>
    <row r="4361" spans="10:10" x14ac:dyDescent="0.35">
      <c r="J4361"/>
    </row>
    <row r="4362" spans="10:10" x14ac:dyDescent="0.35">
      <c r="J4362"/>
    </row>
    <row r="4363" spans="10:10" x14ac:dyDescent="0.35">
      <c r="J4363"/>
    </row>
    <row r="4364" spans="10:10" x14ac:dyDescent="0.35">
      <c r="J4364"/>
    </row>
    <row r="4365" spans="10:10" x14ac:dyDescent="0.35">
      <c r="J4365"/>
    </row>
    <row r="4366" spans="10:10" x14ac:dyDescent="0.35">
      <c r="J4366"/>
    </row>
    <row r="4367" spans="10:10" x14ac:dyDescent="0.35">
      <c r="J4367"/>
    </row>
    <row r="4368" spans="10:10" x14ac:dyDescent="0.35">
      <c r="J4368"/>
    </row>
    <row r="4369" spans="10:10" x14ac:dyDescent="0.35">
      <c r="J4369"/>
    </row>
    <row r="4370" spans="10:10" x14ac:dyDescent="0.35">
      <c r="J4370"/>
    </row>
    <row r="4371" spans="10:10" x14ac:dyDescent="0.35">
      <c r="J4371"/>
    </row>
    <row r="4372" spans="10:10" x14ac:dyDescent="0.35">
      <c r="J4372"/>
    </row>
    <row r="4373" spans="10:10" x14ac:dyDescent="0.35">
      <c r="J4373"/>
    </row>
    <row r="4374" spans="10:10" x14ac:dyDescent="0.35">
      <c r="J4374"/>
    </row>
    <row r="4375" spans="10:10" x14ac:dyDescent="0.35">
      <c r="J4375"/>
    </row>
    <row r="4376" spans="10:10" x14ac:dyDescent="0.35">
      <c r="J4376"/>
    </row>
    <row r="4377" spans="10:10" x14ac:dyDescent="0.35">
      <c r="J4377"/>
    </row>
    <row r="4378" spans="10:10" x14ac:dyDescent="0.35">
      <c r="J4378"/>
    </row>
    <row r="4379" spans="10:10" x14ac:dyDescent="0.35">
      <c r="J4379"/>
    </row>
    <row r="4380" spans="10:10" x14ac:dyDescent="0.35">
      <c r="J4380"/>
    </row>
    <row r="4381" spans="10:10" x14ac:dyDescent="0.35">
      <c r="J4381"/>
    </row>
    <row r="4382" spans="10:10" x14ac:dyDescent="0.35">
      <c r="J4382"/>
    </row>
    <row r="4383" spans="10:10" x14ac:dyDescent="0.35">
      <c r="J4383"/>
    </row>
    <row r="4384" spans="10:10" x14ac:dyDescent="0.35">
      <c r="J4384"/>
    </row>
    <row r="4385" spans="10:10" x14ac:dyDescent="0.35">
      <c r="J4385"/>
    </row>
    <row r="4386" spans="10:10" x14ac:dyDescent="0.35">
      <c r="J4386"/>
    </row>
    <row r="4387" spans="10:10" x14ac:dyDescent="0.35">
      <c r="J4387"/>
    </row>
    <row r="4388" spans="10:10" x14ac:dyDescent="0.35">
      <c r="J4388"/>
    </row>
    <row r="4389" spans="10:10" x14ac:dyDescent="0.35">
      <c r="J4389"/>
    </row>
    <row r="4390" spans="10:10" x14ac:dyDescent="0.35">
      <c r="J4390"/>
    </row>
    <row r="4391" spans="10:10" x14ac:dyDescent="0.35">
      <c r="J4391"/>
    </row>
    <row r="4392" spans="10:10" x14ac:dyDescent="0.35">
      <c r="J4392"/>
    </row>
    <row r="4393" spans="10:10" x14ac:dyDescent="0.35">
      <c r="J4393"/>
    </row>
    <row r="4394" spans="10:10" x14ac:dyDescent="0.35">
      <c r="J4394"/>
    </row>
    <row r="4395" spans="10:10" x14ac:dyDescent="0.35">
      <c r="J4395"/>
    </row>
    <row r="4396" spans="10:10" x14ac:dyDescent="0.35">
      <c r="J4396"/>
    </row>
    <row r="4397" spans="10:10" x14ac:dyDescent="0.35">
      <c r="J4397"/>
    </row>
    <row r="4398" spans="10:10" x14ac:dyDescent="0.35">
      <c r="J4398"/>
    </row>
    <row r="4399" spans="10:10" x14ac:dyDescent="0.35">
      <c r="J4399"/>
    </row>
    <row r="4400" spans="10:10" x14ac:dyDescent="0.35">
      <c r="J4400"/>
    </row>
    <row r="4401" spans="10:10" x14ac:dyDescent="0.35">
      <c r="J4401"/>
    </row>
    <row r="4402" spans="10:10" x14ac:dyDescent="0.35">
      <c r="J4402"/>
    </row>
    <row r="4403" spans="10:10" x14ac:dyDescent="0.35">
      <c r="J4403"/>
    </row>
    <row r="4404" spans="10:10" x14ac:dyDescent="0.35">
      <c r="J4404"/>
    </row>
    <row r="4405" spans="10:10" x14ac:dyDescent="0.35">
      <c r="J4405"/>
    </row>
    <row r="4406" spans="10:10" x14ac:dyDescent="0.35">
      <c r="J4406"/>
    </row>
    <row r="4407" spans="10:10" x14ac:dyDescent="0.35">
      <c r="J4407"/>
    </row>
    <row r="4408" spans="10:10" x14ac:dyDescent="0.35">
      <c r="J4408"/>
    </row>
    <row r="4409" spans="10:10" x14ac:dyDescent="0.35">
      <c r="J4409"/>
    </row>
    <row r="4410" spans="10:10" x14ac:dyDescent="0.35">
      <c r="J4410"/>
    </row>
    <row r="4411" spans="10:10" x14ac:dyDescent="0.35">
      <c r="J4411"/>
    </row>
    <row r="4412" spans="10:10" x14ac:dyDescent="0.35">
      <c r="J4412"/>
    </row>
    <row r="4413" spans="10:10" x14ac:dyDescent="0.35">
      <c r="J4413"/>
    </row>
    <row r="4414" spans="10:10" x14ac:dyDescent="0.35">
      <c r="J4414"/>
    </row>
    <row r="4415" spans="10:10" x14ac:dyDescent="0.35">
      <c r="J4415"/>
    </row>
    <row r="4416" spans="10:10" x14ac:dyDescent="0.35">
      <c r="J4416"/>
    </row>
    <row r="4417" spans="10:10" x14ac:dyDescent="0.35">
      <c r="J4417"/>
    </row>
    <row r="4418" spans="10:10" x14ac:dyDescent="0.35">
      <c r="J4418"/>
    </row>
    <row r="4419" spans="10:10" x14ac:dyDescent="0.35">
      <c r="J4419"/>
    </row>
    <row r="4420" spans="10:10" x14ac:dyDescent="0.35">
      <c r="J4420"/>
    </row>
    <row r="4421" spans="10:10" x14ac:dyDescent="0.35">
      <c r="J4421"/>
    </row>
    <row r="4422" spans="10:10" x14ac:dyDescent="0.35">
      <c r="J4422"/>
    </row>
    <row r="4423" spans="10:10" x14ac:dyDescent="0.35">
      <c r="J4423"/>
    </row>
    <row r="4424" spans="10:10" x14ac:dyDescent="0.35">
      <c r="J4424"/>
    </row>
    <row r="4425" spans="10:10" x14ac:dyDescent="0.35">
      <c r="J4425"/>
    </row>
    <row r="4426" spans="10:10" x14ac:dyDescent="0.35">
      <c r="J4426"/>
    </row>
    <row r="4427" spans="10:10" x14ac:dyDescent="0.35">
      <c r="J4427"/>
    </row>
    <row r="4428" spans="10:10" x14ac:dyDescent="0.35">
      <c r="J4428"/>
    </row>
    <row r="4429" spans="10:10" x14ac:dyDescent="0.35">
      <c r="J4429"/>
    </row>
    <row r="4430" spans="10:10" x14ac:dyDescent="0.35">
      <c r="J4430"/>
    </row>
    <row r="4431" spans="10:10" x14ac:dyDescent="0.35">
      <c r="J4431"/>
    </row>
    <row r="4432" spans="10:10" x14ac:dyDescent="0.35">
      <c r="J4432"/>
    </row>
    <row r="4433" spans="10:10" x14ac:dyDescent="0.35">
      <c r="J4433"/>
    </row>
    <row r="4434" spans="10:10" x14ac:dyDescent="0.35">
      <c r="J4434"/>
    </row>
    <row r="4435" spans="10:10" x14ac:dyDescent="0.35">
      <c r="J4435"/>
    </row>
    <row r="4436" spans="10:10" x14ac:dyDescent="0.35">
      <c r="J4436"/>
    </row>
    <row r="4437" spans="10:10" x14ac:dyDescent="0.35">
      <c r="J4437"/>
    </row>
    <row r="4438" spans="10:10" x14ac:dyDescent="0.35">
      <c r="J4438"/>
    </row>
    <row r="4439" spans="10:10" x14ac:dyDescent="0.35">
      <c r="J4439"/>
    </row>
    <row r="4440" spans="10:10" x14ac:dyDescent="0.35">
      <c r="J4440"/>
    </row>
    <row r="4441" spans="10:10" x14ac:dyDescent="0.35">
      <c r="J4441"/>
    </row>
    <row r="4442" spans="10:10" x14ac:dyDescent="0.35">
      <c r="J4442"/>
    </row>
    <row r="4443" spans="10:10" x14ac:dyDescent="0.35">
      <c r="J4443"/>
    </row>
    <row r="4444" spans="10:10" x14ac:dyDescent="0.35">
      <c r="J4444"/>
    </row>
    <row r="4445" spans="10:10" x14ac:dyDescent="0.35">
      <c r="J4445"/>
    </row>
    <row r="4446" spans="10:10" x14ac:dyDescent="0.35">
      <c r="J4446"/>
    </row>
    <row r="4447" spans="10:10" x14ac:dyDescent="0.35">
      <c r="J4447"/>
    </row>
    <row r="4448" spans="10:10" x14ac:dyDescent="0.35">
      <c r="J4448"/>
    </row>
    <row r="4449" spans="10:10" x14ac:dyDescent="0.35">
      <c r="J4449"/>
    </row>
    <row r="4450" spans="10:10" x14ac:dyDescent="0.35">
      <c r="J4450"/>
    </row>
    <row r="4451" spans="10:10" x14ac:dyDescent="0.35">
      <c r="J4451"/>
    </row>
    <row r="4452" spans="10:10" x14ac:dyDescent="0.35">
      <c r="J4452"/>
    </row>
    <row r="4453" spans="10:10" x14ac:dyDescent="0.35">
      <c r="J4453"/>
    </row>
    <row r="4454" spans="10:10" x14ac:dyDescent="0.35">
      <c r="J4454"/>
    </row>
    <row r="4455" spans="10:10" x14ac:dyDescent="0.35">
      <c r="J4455"/>
    </row>
    <row r="4456" spans="10:10" x14ac:dyDescent="0.35">
      <c r="J4456"/>
    </row>
    <row r="4457" spans="10:10" x14ac:dyDescent="0.35">
      <c r="J4457"/>
    </row>
    <row r="4458" spans="10:10" x14ac:dyDescent="0.35">
      <c r="J4458"/>
    </row>
    <row r="4459" spans="10:10" x14ac:dyDescent="0.35">
      <c r="J4459"/>
    </row>
    <row r="4460" spans="10:10" x14ac:dyDescent="0.35">
      <c r="J4460"/>
    </row>
    <row r="4461" spans="10:10" x14ac:dyDescent="0.35">
      <c r="J4461"/>
    </row>
    <row r="4462" spans="10:10" x14ac:dyDescent="0.35">
      <c r="J4462"/>
    </row>
    <row r="4463" spans="10:10" x14ac:dyDescent="0.35">
      <c r="J4463"/>
    </row>
    <row r="4464" spans="10:10" x14ac:dyDescent="0.35">
      <c r="J4464"/>
    </row>
    <row r="4465" spans="10:10" x14ac:dyDescent="0.35">
      <c r="J4465"/>
    </row>
    <row r="4466" spans="10:10" x14ac:dyDescent="0.35">
      <c r="J4466"/>
    </row>
    <row r="4467" spans="10:10" x14ac:dyDescent="0.35">
      <c r="J4467"/>
    </row>
    <row r="4468" spans="10:10" x14ac:dyDescent="0.35">
      <c r="J4468"/>
    </row>
    <row r="4469" spans="10:10" x14ac:dyDescent="0.35">
      <c r="J4469"/>
    </row>
    <row r="4470" spans="10:10" x14ac:dyDescent="0.35">
      <c r="J4470"/>
    </row>
    <row r="4471" spans="10:10" x14ac:dyDescent="0.35">
      <c r="J4471"/>
    </row>
    <row r="4472" spans="10:10" x14ac:dyDescent="0.35">
      <c r="J4472"/>
    </row>
    <row r="4473" spans="10:10" x14ac:dyDescent="0.35">
      <c r="J4473"/>
    </row>
    <row r="4474" spans="10:10" x14ac:dyDescent="0.35">
      <c r="J4474"/>
    </row>
    <row r="4475" spans="10:10" x14ac:dyDescent="0.35">
      <c r="J4475"/>
    </row>
    <row r="4476" spans="10:10" x14ac:dyDescent="0.35">
      <c r="J4476"/>
    </row>
    <row r="4477" spans="10:10" x14ac:dyDescent="0.35">
      <c r="J4477"/>
    </row>
    <row r="4478" spans="10:10" x14ac:dyDescent="0.35">
      <c r="J4478"/>
    </row>
    <row r="4479" spans="10:10" x14ac:dyDescent="0.35">
      <c r="J4479"/>
    </row>
    <row r="4480" spans="10:10" x14ac:dyDescent="0.35">
      <c r="J4480"/>
    </row>
    <row r="4481" spans="10:10" x14ac:dyDescent="0.35">
      <c r="J4481"/>
    </row>
    <row r="4482" spans="10:10" x14ac:dyDescent="0.35">
      <c r="J4482"/>
    </row>
    <row r="4483" spans="10:10" x14ac:dyDescent="0.35">
      <c r="J4483"/>
    </row>
    <row r="4484" spans="10:10" x14ac:dyDescent="0.35">
      <c r="J4484"/>
    </row>
    <row r="4485" spans="10:10" x14ac:dyDescent="0.35">
      <c r="J4485"/>
    </row>
    <row r="4486" spans="10:10" x14ac:dyDescent="0.35">
      <c r="J4486"/>
    </row>
    <row r="4487" spans="10:10" x14ac:dyDescent="0.35">
      <c r="J4487"/>
    </row>
    <row r="4488" spans="10:10" x14ac:dyDescent="0.35">
      <c r="J4488"/>
    </row>
    <row r="4489" spans="10:10" x14ac:dyDescent="0.35">
      <c r="J4489"/>
    </row>
    <row r="4490" spans="10:10" x14ac:dyDescent="0.35">
      <c r="J4490"/>
    </row>
    <row r="4491" spans="10:10" x14ac:dyDescent="0.35">
      <c r="J4491"/>
    </row>
    <row r="4492" spans="10:10" x14ac:dyDescent="0.35">
      <c r="J4492"/>
    </row>
    <row r="4493" spans="10:10" x14ac:dyDescent="0.35">
      <c r="J4493"/>
    </row>
    <row r="4494" spans="10:10" x14ac:dyDescent="0.35">
      <c r="J4494"/>
    </row>
    <row r="4495" spans="10:10" x14ac:dyDescent="0.35">
      <c r="J4495"/>
    </row>
    <row r="4496" spans="10:10" x14ac:dyDescent="0.35">
      <c r="J4496"/>
    </row>
    <row r="4497" spans="10:10" x14ac:dyDescent="0.35">
      <c r="J4497"/>
    </row>
    <row r="4498" spans="10:10" x14ac:dyDescent="0.35">
      <c r="J4498"/>
    </row>
    <row r="4499" spans="10:10" x14ac:dyDescent="0.35">
      <c r="J4499"/>
    </row>
    <row r="4500" spans="10:10" x14ac:dyDescent="0.35">
      <c r="J4500"/>
    </row>
    <row r="4501" spans="10:10" x14ac:dyDescent="0.35">
      <c r="J4501"/>
    </row>
    <row r="4502" spans="10:10" x14ac:dyDescent="0.35">
      <c r="J4502"/>
    </row>
    <row r="4503" spans="10:10" x14ac:dyDescent="0.35">
      <c r="J4503"/>
    </row>
    <row r="4504" spans="10:10" x14ac:dyDescent="0.35">
      <c r="J4504"/>
    </row>
    <row r="4505" spans="10:10" x14ac:dyDescent="0.35">
      <c r="J4505"/>
    </row>
    <row r="4506" spans="10:10" x14ac:dyDescent="0.35">
      <c r="J4506"/>
    </row>
    <row r="4507" spans="10:10" x14ac:dyDescent="0.35">
      <c r="J4507"/>
    </row>
    <row r="4508" spans="10:10" x14ac:dyDescent="0.35">
      <c r="J4508"/>
    </row>
    <row r="4509" spans="10:10" x14ac:dyDescent="0.35">
      <c r="J4509"/>
    </row>
    <row r="4510" spans="10:10" x14ac:dyDescent="0.35">
      <c r="J4510"/>
    </row>
    <row r="4511" spans="10:10" x14ac:dyDescent="0.35">
      <c r="J4511"/>
    </row>
    <row r="4512" spans="10:10" x14ac:dyDescent="0.35">
      <c r="J4512"/>
    </row>
    <row r="4513" spans="10:10" x14ac:dyDescent="0.35">
      <c r="J4513"/>
    </row>
    <row r="4514" spans="10:10" x14ac:dyDescent="0.35">
      <c r="J4514"/>
    </row>
    <row r="4515" spans="10:10" x14ac:dyDescent="0.35">
      <c r="J4515"/>
    </row>
    <row r="4516" spans="10:10" x14ac:dyDescent="0.35">
      <c r="J4516"/>
    </row>
    <row r="4517" spans="10:10" x14ac:dyDescent="0.35">
      <c r="J4517"/>
    </row>
    <row r="4518" spans="10:10" x14ac:dyDescent="0.35">
      <c r="J4518"/>
    </row>
    <row r="4519" spans="10:10" x14ac:dyDescent="0.35">
      <c r="J4519"/>
    </row>
    <row r="4520" spans="10:10" x14ac:dyDescent="0.35">
      <c r="J4520"/>
    </row>
    <row r="4521" spans="10:10" x14ac:dyDescent="0.35">
      <c r="J4521"/>
    </row>
    <row r="4522" spans="10:10" x14ac:dyDescent="0.35">
      <c r="J4522"/>
    </row>
    <row r="4523" spans="10:10" x14ac:dyDescent="0.35">
      <c r="J4523"/>
    </row>
    <row r="4524" spans="10:10" x14ac:dyDescent="0.35">
      <c r="J4524"/>
    </row>
    <row r="4525" spans="10:10" x14ac:dyDescent="0.35">
      <c r="J4525"/>
    </row>
    <row r="4526" spans="10:10" x14ac:dyDescent="0.35">
      <c r="J4526"/>
    </row>
    <row r="4527" spans="10:10" x14ac:dyDescent="0.35">
      <c r="J4527"/>
    </row>
    <row r="4528" spans="10:10" x14ac:dyDescent="0.35">
      <c r="J4528"/>
    </row>
    <row r="4529" spans="10:10" x14ac:dyDescent="0.35">
      <c r="J4529"/>
    </row>
    <row r="4530" spans="10:10" x14ac:dyDescent="0.35">
      <c r="J4530"/>
    </row>
    <row r="4531" spans="10:10" x14ac:dyDescent="0.35">
      <c r="J4531"/>
    </row>
    <row r="4532" spans="10:10" x14ac:dyDescent="0.35">
      <c r="J4532"/>
    </row>
    <row r="4533" spans="10:10" x14ac:dyDescent="0.35">
      <c r="J4533"/>
    </row>
    <row r="4534" spans="10:10" x14ac:dyDescent="0.35">
      <c r="J4534"/>
    </row>
    <row r="4535" spans="10:10" x14ac:dyDescent="0.35">
      <c r="J4535"/>
    </row>
    <row r="4536" spans="10:10" x14ac:dyDescent="0.35">
      <c r="J4536"/>
    </row>
    <row r="4537" spans="10:10" x14ac:dyDescent="0.35">
      <c r="J4537"/>
    </row>
    <row r="4538" spans="10:10" x14ac:dyDescent="0.35">
      <c r="J4538"/>
    </row>
    <row r="4539" spans="10:10" x14ac:dyDescent="0.35">
      <c r="J4539"/>
    </row>
    <row r="4540" spans="10:10" x14ac:dyDescent="0.35">
      <c r="J4540"/>
    </row>
    <row r="4541" spans="10:10" x14ac:dyDescent="0.35">
      <c r="J4541"/>
    </row>
    <row r="4542" spans="10:10" x14ac:dyDescent="0.35">
      <c r="J4542"/>
    </row>
    <row r="4543" spans="10:10" x14ac:dyDescent="0.35">
      <c r="J4543"/>
    </row>
    <row r="4544" spans="10:10" x14ac:dyDescent="0.35">
      <c r="J4544"/>
    </row>
    <row r="4545" spans="10:10" x14ac:dyDescent="0.35">
      <c r="J4545"/>
    </row>
    <row r="4546" spans="10:10" x14ac:dyDescent="0.35">
      <c r="J4546"/>
    </row>
    <row r="4547" spans="10:10" x14ac:dyDescent="0.35">
      <c r="J4547"/>
    </row>
    <row r="4548" spans="10:10" x14ac:dyDescent="0.35">
      <c r="J4548"/>
    </row>
    <row r="4549" spans="10:10" x14ac:dyDescent="0.35">
      <c r="J4549"/>
    </row>
    <row r="4550" spans="10:10" x14ac:dyDescent="0.35">
      <c r="J4550"/>
    </row>
    <row r="4551" spans="10:10" x14ac:dyDescent="0.35">
      <c r="J4551"/>
    </row>
    <row r="4552" spans="10:10" x14ac:dyDescent="0.35">
      <c r="J4552"/>
    </row>
    <row r="4553" spans="10:10" x14ac:dyDescent="0.35">
      <c r="J4553"/>
    </row>
    <row r="4554" spans="10:10" x14ac:dyDescent="0.35">
      <c r="J4554"/>
    </row>
    <row r="4555" spans="10:10" x14ac:dyDescent="0.35">
      <c r="J4555"/>
    </row>
    <row r="4556" spans="10:10" x14ac:dyDescent="0.35">
      <c r="J4556"/>
    </row>
    <row r="4557" spans="10:10" x14ac:dyDescent="0.35">
      <c r="J4557"/>
    </row>
    <row r="4558" spans="10:10" x14ac:dyDescent="0.35">
      <c r="J4558"/>
    </row>
    <row r="4559" spans="10:10" x14ac:dyDescent="0.35">
      <c r="J4559"/>
    </row>
    <row r="4560" spans="10:10" x14ac:dyDescent="0.35">
      <c r="J4560"/>
    </row>
    <row r="4561" spans="10:10" x14ac:dyDescent="0.35">
      <c r="J4561"/>
    </row>
    <row r="4562" spans="10:10" x14ac:dyDescent="0.35">
      <c r="J4562"/>
    </row>
    <row r="4563" spans="10:10" x14ac:dyDescent="0.35">
      <c r="J4563"/>
    </row>
    <row r="4564" spans="10:10" x14ac:dyDescent="0.35">
      <c r="J4564"/>
    </row>
    <row r="4565" spans="10:10" x14ac:dyDescent="0.35">
      <c r="J4565"/>
    </row>
    <row r="4566" spans="10:10" x14ac:dyDescent="0.35">
      <c r="J4566"/>
    </row>
    <row r="4567" spans="10:10" x14ac:dyDescent="0.35">
      <c r="J4567"/>
    </row>
    <row r="4568" spans="10:10" x14ac:dyDescent="0.35">
      <c r="J4568"/>
    </row>
    <row r="4569" spans="10:10" x14ac:dyDescent="0.35">
      <c r="J4569"/>
    </row>
    <row r="4570" spans="10:10" x14ac:dyDescent="0.35">
      <c r="J4570"/>
    </row>
    <row r="4571" spans="10:10" x14ac:dyDescent="0.35">
      <c r="J4571"/>
    </row>
    <row r="4572" spans="10:10" x14ac:dyDescent="0.35">
      <c r="J4572"/>
    </row>
    <row r="4573" spans="10:10" x14ac:dyDescent="0.35">
      <c r="J4573"/>
    </row>
    <row r="4574" spans="10:10" x14ac:dyDescent="0.35">
      <c r="J4574"/>
    </row>
    <row r="4575" spans="10:10" x14ac:dyDescent="0.35">
      <c r="J4575"/>
    </row>
    <row r="4576" spans="10:10" x14ac:dyDescent="0.35">
      <c r="J4576"/>
    </row>
    <row r="4577" spans="10:10" x14ac:dyDescent="0.35">
      <c r="J4577"/>
    </row>
    <row r="4578" spans="10:10" x14ac:dyDescent="0.35">
      <c r="J4578"/>
    </row>
    <row r="4579" spans="10:10" x14ac:dyDescent="0.35">
      <c r="J4579"/>
    </row>
    <row r="4580" spans="10:10" x14ac:dyDescent="0.35">
      <c r="J4580"/>
    </row>
    <row r="4581" spans="10:10" x14ac:dyDescent="0.35">
      <c r="J4581"/>
    </row>
    <row r="4582" spans="10:10" x14ac:dyDescent="0.35">
      <c r="J4582"/>
    </row>
    <row r="4583" spans="10:10" x14ac:dyDescent="0.35">
      <c r="J4583"/>
    </row>
    <row r="4584" spans="10:10" x14ac:dyDescent="0.35">
      <c r="J4584"/>
    </row>
    <row r="4585" spans="10:10" x14ac:dyDescent="0.35">
      <c r="J4585"/>
    </row>
    <row r="4586" spans="10:10" x14ac:dyDescent="0.35">
      <c r="J4586"/>
    </row>
    <row r="4587" spans="10:10" x14ac:dyDescent="0.35">
      <c r="J4587"/>
    </row>
    <row r="4588" spans="10:10" x14ac:dyDescent="0.35">
      <c r="J4588"/>
    </row>
    <row r="4589" spans="10:10" x14ac:dyDescent="0.35">
      <c r="J4589"/>
    </row>
    <row r="4590" spans="10:10" x14ac:dyDescent="0.35">
      <c r="J4590"/>
    </row>
    <row r="4591" spans="10:10" x14ac:dyDescent="0.35">
      <c r="J4591"/>
    </row>
    <row r="4592" spans="10:10" x14ac:dyDescent="0.35">
      <c r="J4592"/>
    </row>
    <row r="4593" spans="10:10" x14ac:dyDescent="0.35">
      <c r="J4593"/>
    </row>
    <row r="4594" spans="10:10" x14ac:dyDescent="0.35">
      <c r="J4594"/>
    </row>
    <row r="4595" spans="10:10" x14ac:dyDescent="0.35">
      <c r="J4595"/>
    </row>
    <row r="4596" spans="10:10" x14ac:dyDescent="0.35">
      <c r="J4596"/>
    </row>
    <row r="4597" spans="10:10" x14ac:dyDescent="0.35">
      <c r="J4597"/>
    </row>
    <row r="4598" spans="10:10" x14ac:dyDescent="0.35">
      <c r="J4598"/>
    </row>
    <row r="4599" spans="10:10" x14ac:dyDescent="0.35">
      <c r="J4599"/>
    </row>
    <row r="4600" spans="10:10" x14ac:dyDescent="0.35">
      <c r="J4600"/>
    </row>
    <row r="4601" spans="10:10" x14ac:dyDescent="0.35">
      <c r="J4601"/>
    </row>
    <row r="4602" spans="10:10" x14ac:dyDescent="0.35">
      <c r="J4602"/>
    </row>
    <row r="4603" spans="10:10" x14ac:dyDescent="0.35">
      <c r="J4603"/>
    </row>
    <row r="4604" spans="10:10" x14ac:dyDescent="0.35">
      <c r="J4604"/>
    </row>
    <row r="4605" spans="10:10" x14ac:dyDescent="0.35">
      <c r="J4605"/>
    </row>
    <row r="4606" spans="10:10" x14ac:dyDescent="0.35">
      <c r="J4606"/>
    </row>
    <row r="4607" spans="10:10" x14ac:dyDescent="0.35">
      <c r="J4607"/>
    </row>
    <row r="4608" spans="10:10" x14ac:dyDescent="0.35">
      <c r="J4608"/>
    </row>
    <row r="4609" spans="10:10" x14ac:dyDescent="0.35">
      <c r="J4609"/>
    </row>
    <row r="4610" spans="10:10" x14ac:dyDescent="0.35">
      <c r="J4610"/>
    </row>
    <row r="4611" spans="10:10" x14ac:dyDescent="0.35">
      <c r="J4611"/>
    </row>
    <row r="4612" spans="10:10" x14ac:dyDescent="0.35">
      <c r="J4612"/>
    </row>
    <row r="4613" spans="10:10" x14ac:dyDescent="0.35">
      <c r="J4613"/>
    </row>
    <row r="4614" spans="10:10" x14ac:dyDescent="0.35">
      <c r="J4614"/>
    </row>
    <row r="4615" spans="10:10" x14ac:dyDescent="0.35">
      <c r="J4615"/>
    </row>
    <row r="4616" spans="10:10" x14ac:dyDescent="0.35">
      <c r="J4616"/>
    </row>
    <row r="4617" spans="10:10" x14ac:dyDescent="0.35">
      <c r="J4617"/>
    </row>
    <row r="4618" spans="10:10" x14ac:dyDescent="0.35">
      <c r="J4618"/>
    </row>
    <row r="4619" spans="10:10" x14ac:dyDescent="0.35">
      <c r="J4619"/>
    </row>
    <row r="4620" spans="10:10" x14ac:dyDescent="0.35">
      <c r="J4620"/>
    </row>
    <row r="4621" spans="10:10" x14ac:dyDescent="0.35">
      <c r="J4621"/>
    </row>
    <row r="4622" spans="10:10" x14ac:dyDescent="0.35">
      <c r="J4622"/>
    </row>
    <row r="4623" spans="10:10" x14ac:dyDescent="0.35">
      <c r="J4623"/>
    </row>
    <row r="4624" spans="10:10" x14ac:dyDescent="0.35">
      <c r="J4624"/>
    </row>
    <row r="4625" spans="10:10" x14ac:dyDescent="0.35">
      <c r="J4625"/>
    </row>
    <row r="4626" spans="10:10" x14ac:dyDescent="0.35">
      <c r="J4626"/>
    </row>
    <row r="4627" spans="10:10" x14ac:dyDescent="0.35">
      <c r="J4627"/>
    </row>
    <row r="4628" spans="10:10" x14ac:dyDescent="0.35">
      <c r="J4628"/>
    </row>
    <row r="4629" spans="10:10" x14ac:dyDescent="0.35">
      <c r="J4629"/>
    </row>
    <row r="4630" spans="10:10" x14ac:dyDescent="0.35">
      <c r="J4630"/>
    </row>
    <row r="4631" spans="10:10" x14ac:dyDescent="0.35">
      <c r="J4631"/>
    </row>
    <row r="4632" spans="10:10" x14ac:dyDescent="0.35">
      <c r="J4632"/>
    </row>
    <row r="4633" spans="10:10" x14ac:dyDescent="0.35">
      <c r="J4633"/>
    </row>
    <row r="4634" spans="10:10" x14ac:dyDescent="0.35">
      <c r="J4634"/>
    </row>
    <row r="4635" spans="10:10" x14ac:dyDescent="0.35">
      <c r="J4635"/>
    </row>
    <row r="4636" spans="10:10" x14ac:dyDescent="0.35">
      <c r="J4636"/>
    </row>
    <row r="4637" spans="10:10" x14ac:dyDescent="0.35">
      <c r="J4637"/>
    </row>
    <row r="4638" spans="10:10" x14ac:dyDescent="0.35">
      <c r="J4638"/>
    </row>
    <row r="4639" spans="10:10" x14ac:dyDescent="0.35">
      <c r="J4639"/>
    </row>
    <row r="4640" spans="10:10" x14ac:dyDescent="0.35">
      <c r="J4640"/>
    </row>
    <row r="4641" spans="10:10" x14ac:dyDescent="0.35">
      <c r="J4641"/>
    </row>
    <row r="4642" spans="10:10" x14ac:dyDescent="0.35">
      <c r="J4642"/>
    </row>
    <row r="4643" spans="10:10" x14ac:dyDescent="0.35">
      <c r="J4643"/>
    </row>
    <row r="4644" spans="10:10" x14ac:dyDescent="0.35">
      <c r="J4644"/>
    </row>
    <row r="4645" spans="10:10" x14ac:dyDescent="0.35">
      <c r="J4645"/>
    </row>
    <row r="4646" spans="10:10" x14ac:dyDescent="0.35">
      <c r="J4646"/>
    </row>
    <row r="4647" spans="10:10" x14ac:dyDescent="0.35">
      <c r="J4647"/>
    </row>
    <row r="4648" spans="10:10" x14ac:dyDescent="0.35">
      <c r="J4648"/>
    </row>
    <row r="4649" spans="10:10" x14ac:dyDescent="0.35">
      <c r="J4649"/>
    </row>
    <row r="4650" spans="10:10" x14ac:dyDescent="0.35">
      <c r="J4650"/>
    </row>
    <row r="4651" spans="10:10" x14ac:dyDescent="0.35">
      <c r="J4651"/>
    </row>
    <row r="4652" spans="10:10" x14ac:dyDescent="0.35">
      <c r="J4652"/>
    </row>
    <row r="4653" spans="10:10" x14ac:dyDescent="0.35">
      <c r="J4653"/>
    </row>
    <row r="4654" spans="10:10" x14ac:dyDescent="0.35">
      <c r="J4654"/>
    </row>
    <row r="4655" spans="10:10" x14ac:dyDescent="0.35">
      <c r="J4655"/>
    </row>
    <row r="4656" spans="10:10" x14ac:dyDescent="0.35">
      <c r="J4656"/>
    </row>
    <row r="4657" spans="10:10" x14ac:dyDescent="0.35">
      <c r="J4657"/>
    </row>
    <row r="4658" spans="10:10" x14ac:dyDescent="0.35">
      <c r="J4658"/>
    </row>
    <row r="4659" spans="10:10" x14ac:dyDescent="0.35">
      <c r="J4659"/>
    </row>
    <row r="4660" spans="10:10" x14ac:dyDescent="0.35">
      <c r="J4660"/>
    </row>
    <row r="4661" spans="10:10" x14ac:dyDescent="0.35">
      <c r="J4661"/>
    </row>
    <row r="4662" spans="10:10" x14ac:dyDescent="0.35">
      <c r="J4662"/>
    </row>
    <row r="4663" spans="10:10" x14ac:dyDescent="0.35">
      <c r="J4663"/>
    </row>
    <row r="4664" spans="10:10" x14ac:dyDescent="0.35">
      <c r="J4664"/>
    </row>
    <row r="4665" spans="10:10" x14ac:dyDescent="0.35">
      <c r="J4665"/>
    </row>
    <row r="4666" spans="10:10" x14ac:dyDescent="0.35">
      <c r="J4666"/>
    </row>
    <row r="4667" spans="10:10" x14ac:dyDescent="0.35">
      <c r="J4667"/>
    </row>
    <row r="4668" spans="10:10" x14ac:dyDescent="0.35">
      <c r="J4668"/>
    </row>
    <row r="4669" spans="10:10" x14ac:dyDescent="0.35">
      <c r="J4669"/>
    </row>
    <row r="4670" spans="10:10" x14ac:dyDescent="0.35">
      <c r="J4670"/>
    </row>
    <row r="4671" spans="10:10" x14ac:dyDescent="0.35">
      <c r="J4671"/>
    </row>
    <row r="4672" spans="10:10" x14ac:dyDescent="0.35">
      <c r="J4672"/>
    </row>
    <row r="4673" spans="10:10" x14ac:dyDescent="0.35">
      <c r="J4673"/>
    </row>
    <row r="4674" spans="10:10" x14ac:dyDescent="0.35">
      <c r="J4674"/>
    </row>
    <row r="4675" spans="10:10" x14ac:dyDescent="0.35">
      <c r="J4675"/>
    </row>
    <row r="4676" spans="10:10" x14ac:dyDescent="0.35">
      <c r="J4676"/>
    </row>
    <row r="4677" spans="10:10" x14ac:dyDescent="0.35">
      <c r="J4677"/>
    </row>
    <row r="4678" spans="10:10" x14ac:dyDescent="0.35">
      <c r="J4678"/>
    </row>
    <row r="4679" spans="10:10" x14ac:dyDescent="0.35">
      <c r="J4679"/>
    </row>
    <row r="4680" spans="10:10" x14ac:dyDescent="0.35">
      <c r="J4680"/>
    </row>
    <row r="4681" spans="10:10" x14ac:dyDescent="0.35">
      <c r="J4681"/>
    </row>
    <row r="4682" spans="10:10" x14ac:dyDescent="0.35">
      <c r="J4682"/>
    </row>
    <row r="4683" spans="10:10" x14ac:dyDescent="0.35">
      <c r="J4683"/>
    </row>
    <row r="4684" spans="10:10" x14ac:dyDescent="0.35">
      <c r="J4684"/>
    </row>
    <row r="4685" spans="10:10" x14ac:dyDescent="0.35">
      <c r="J4685"/>
    </row>
    <row r="4686" spans="10:10" x14ac:dyDescent="0.35">
      <c r="J4686"/>
    </row>
    <row r="4687" spans="10:10" x14ac:dyDescent="0.35">
      <c r="J4687"/>
    </row>
    <row r="4688" spans="10:10" x14ac:dyDescent="0.35">
      <c r="J4688"/>
    </row>
    <row r="4689" spans="10:10" x14ac:dyDescent="0.35">
      <c r="J4689"/>
    </row>
    <row r="4690" spans="10:10" x14ac:dyDescent="0.35">
      <c r="J4690"/>
    </row>
    <row r="4691" spans="10:10" x14ac:dyDescent="0.35">
      <c r="J4691"/>
    </row>
    <row r="4692" spans="10:10" x14ac:dyDescent="0.35">
      <c r="J4692"/>
    </row>
    <row r="4693" spans="10:10" x14ac:dyDescent="0.35">
      <c r="J4693"/>
    </row>
    <row r="4694" spans="10:10" x14ac:dyDescent="0.35">
      <c r="J4694"/>
    </row>
    <row r="4695" spans="10:10" x14ac:dyDescent="0.35">
      <c r="J4695"/>
    </row>
    <row r="4696" spans="10:10" x14ac:dyDescent="0.35">
      <c r="J4696"/>
    </row>
    <row r="4697" spans="10:10" x14ac:dyDescent="0.35">
      <c r="J4697"/>
    </row>
    <row r="4698" spans="10:10" x14ac:dyDescent="0.35">
      <c r="J4698"/>
    </row>
    <row r="4699" spans="10:10" x14ac:dyDescent="0.35">
      <c r="J4699"/>
    </row>
    <row r="4700" spans="10:10" x14ac:dyDescent="0.35">
      <c r="J4700"/>
    </row>
    <row r="4701" spans="10:10" x14ac:dyDescent="0.35">
      <c r="J4701"/>
    </row>
    <row r="4702" spans="10:10" x14ac:dyDescent="0.35">
      <c r="J4702"/>
    </row>
    <row r="4703" spans="10:10" x14ac:dyDescent="0.35">
      <c r="J4703"/>
    </row>
    <row r="4704" spans="10:10" x14ac:dyDescent="0.35">
      <c r="J4704"/>
    </row>
    <row r="4705" spans="10:10" x14ac:dyDescent="0.35">
      <c r="J4705"/>
    </row>
    <row r="4706" spans="10:10" x14ac:dyDescent="0.35">
      <c r="J4706"/>
    </row>
    <row r="4707" spans="10:10" x14ac:dyDescent="0.35">
      <c r="J4707"/>
    </row>
    <row r="4708" spans="10:10" x14ac:dyDescent="0.35">
      <c r="J4708"/>
    </row>
    <row r="4709" spans="10:10" x14ac:dyDescent="0.35">
      <c r="J4709"/>
    </row>
    <row r="4710" spans="10:10" x14ac:dyDescent="0.35">
      <c r="J4710"/>
    </row>
    <row r="4711" spans="10:10" x14ac:dyDescent="0.35">
      <c r="J4711"/>
    </row>
    <row r="4712" spans="10:10" x14ac:dyDescent="0.35">
      <c r="J4712"/>
    </row>
    <row r="4713" spans="10:10" x14ac:dyDescent="0.35">
      <c r="J4713"/>
    </row>
    <row r="4714" spans="10:10" x14ac:dyDescent="0.35">
      <c r="J4714"/>
    </row>
    <row r="4715" spans="10:10" x14ac:dyDescent="0.35">
      <c r="J4715"/>
    </row>
    <row r="4716" spans="10:10" x14ac:dyDescent="0.35">
      <c r="J4716"/>
    </row>
    <row r="4717" spans="10:10" x14ac:dyDescent="0.35">
      <c r="J4717"/>
    </row>
    <row r="4718" spans="10:10" x14ac:dyDescent="0.35">
      <c r="J4718"/>
    </row>
    <row r="4719" spans="10:10" x14ac:dyDescent="0.35">
      <c r="J4719"/>
    </row>
    <row r="4720" spans="10:10" x14ac:dyDescent="0.35">
      <c r="J4720"/>
    </row>
    <row r="4721" spans="10:10" x14ac:dyDescent="0.35">
      <c r="J4721"/>
    </row>
    <row r="4722" spans="10:10" x14ac:dyDescent="0.35">
      <c r="J4722"/>
    </row>
    <row r="4723" spans="10:10" x14ac:dyDescent="0.35">
      <c r="J4723"/>
    </row>
    <row r="4724" spans="10:10" x14ac:dyDescent="0.35">
      <c r="J4724"/>
    </row>
    <row r="4725" spans="10:10" x14ac:dyDescent="0.35">
      <c r="J4725"/>
    </row>
    <row r="4726" spans="10:10" x14ac:dyDescent="0.35">
      <c r="J4726"/>
    </row>
    <row r="4727" spans="10:10" x14ac:dyDescent="0.35">
      <c r="J4727"/>
    </row>
    <row r="4728" spans="10:10" x14ac:dyDescent="0.35">
      <c r="J4728"/>
    </row>
    <row r="4729" spans="10:10" x14ac:dyDescent="0.35">
      <c r="J4729"/>
    </row>
    <row r="4730" spans="10:10" x14ac:dyDescent="0.35">
      <c r="J4730"/>
    </row>
    <row r="4731" spans="10:10" x14ac:dyDescent="0.35">
      <c r="J4731"/>
    </row>
    <row r="4732" spans="10:10" x14ac:dyDescent="0.35">
      <c r="J4732"/>
    </row>
    <row r="4733" spans="10:10" x14ac:dyDescent="0.35">
      <c r="J4733"/>
    </row>
    <row r="4734" spans="10:10" x14ac:dyDescent="0.35">
      <c r="J4734"/>
    </row>
    <row r="4735" spans="10:10" x14ac:dyDescent="0.35">
      <c r="J4735"/>
    </row>
    <row r="4736" spans="10:10" x14ac:dyDescent="0.35">
      <c r="J4736"/>
    </row>
    <row r="4737" spans="10:10" x14ac:dyDescent="0.35">
      <c r="J4737"/>
    </row>
    <row r="4738" spans="10:10" x14ac:dyDescent="0.35">
      <c r="J4738"/>
    </row>
    <row r="4739" spans="10:10" x14ac:dyDescent="0.35">
      <c r="J4739"/>
    </row>
    <row r="4740" spans="10:10" x14ac:dyDescent="0.35">
      <c r="J4740"/>
    </row>
    <row r="4741" spans="10:10" x14ac:dyDescent="0.35">
      <c r="J4741"/>
    </row>
    <row r="4742" spans="10:10" x14ac:dyDescent="0.35">
      <c r="J4742"/>
    </row>
    <row r="4743" spans="10:10" x14ac:dyDescent="0.35">
      <c r="J4743"/>
    </row>
    <row r="4744" spans="10:10" x14ac:dyDescent="0.35">
      <c r="J4744"/>
    </row>
    <row r="4745" spans="10:10" x14ac:dyDescent="0.35">
      <c r="J4745"/>
    </row>
    <row r="4746" spans="10:10" x14ac:dyDescent="0.35">
      <c r="J4746"/>
    </row>
    <row r="4747" spans="10:10" x14ac:dyDescent="0.35">
      <c r="J4747"/>
    </row>
    <row r="4748" spans="10:10" x14ac:dyDescent="0.35">
      <c r="J4748"/>
    </row>
    <row r="4749" spans="10:10" x14ac:dyDescent="0.35">
      <c r="J4749"/>
    </row>
    <row r="4750" spans="10:10" x14ac:dyDescent="0.35">
      <c r="J4750"/>
    </row>
    <row r="4751" spans="10:10" x14ac:dyDescent="0.35">
      <c r="J4751"/>
    </row>
    <row r="4752" spans="10:10" x14ac:dyDescent="0.35">
      <c r="J4752"/>
    </row>
    <row r="4753" spans="10:10" x14ac:dyDescent="0.35">
      <c r="J4753"/>
    </row>
    <row r="4754" spans="10:10" x14ac:dyDescent="0.35">
      <c r="J4754"/>
    </row>
    <row r="4755" spans="10:10" x14ac:dyDescent="0.35">
      <c r="J4755"/>
    </row>
    <row r="4756" spans="10:10" x14ac:dyDescent="0.35">
      <c r="J4756"/>
    </row>
    <row r="4757" spans="10:10" x14ac:dyDescent="0.35">
      <c r="J4757"/>
    </row>
    <row r="4758" spans="10:10" x14ac:dyDescent="0.35">
      <c r="J4758"/>
    </row>
    <row r="4759" spans="10:10" x14ac:dyDescent="0.35">
      <c r="J4759"/>
    </row>
    <row r="4760" spans="10:10" x14ac:dyDescent="0.35">
      <c r="J4760"/>
    </row>
    <row r="4761" spans="10:10" x14ac:dyDescent="0.35">
      <c r="J4761"/>
    </row>
    <row r="4762" spans="10:10" x14ac:dyDescent="0.35">
      <c r="J4762"/>
    </row>
    <row r="4763" spans="10:10" x14ac:dyDescent="0.35">
      <c r="J4763"/>
    </row>
    <row r="4764" spans="10:10" x14ac:dyDescent="0.35">
      <c r="J4764"/>
    </row>
    <row r="4765" spans="10:10" x14ac:dyDescent="0.35">
      <c r="J4765"/>
    </row>
    <row r="4766" spans="10:10" x14ac:dyDescent="0.35">
      <c r="J4766"/>
    </row>
    <row r="4767" spans="10:10" x14ac:dyDescent="0.35">
      <c r="J4767"/>
    </row>
    <row r="4768" spans="10:10" x14ac:dyDescent="0.35">
      <c r="J4768"/>
    </row>
    <row r="4769" spans="10:10" x14ac:dyDescent="0.35">
      <c r="J4769"/>
    </row>
    <row r="4770" spans="10:10" x14ac:dyDescent="0.35">
      <c r="J4770"/>
    </row>
    <row r="4771" spans="10:10" x14ac:dyDescent="0.35">
      <c r="J4771"/>
    </row>
    <row r="4772" spans="10:10" x14ac:dyDescent="0.35">
      <c r="J4772"/>
    </row>
    <row r="4773" spans="10:10" x14ac:dyDescent="0.35">
      <c r="J4773"/>
    </row>
    <row r="4774" spans="10:10" x14ac:dyDescent="0.35">
      <c r="J4774"/>
    </row>
    <row r="4775" spans="10:10" x14ac:dyDescent="0.35">
      <c r="J4775"/>
    </row>
    <row r="4776" spans="10:10" x14ac:dyDescent="0.35">
      <c r="J4776"/>
    </row>
    <row r="4777" spans="10:10" x14ac:dyDescent="0.35">
      <c r="J4777"/>
    </row>
    <row r="4778" spans="10:10" x14ac:dyDescent="0.35">
      <c r="J4778"/>
    </row>
    <row r="4779" spans="10:10" x14ac:dyDescent="0.35">
      <c r="J4779"/>
    </row>
    <row r="4780" spans="10:10" x14ac:dyDescent="0.35">
      <c r="J4780"/>
    </row>
    <row r="4781" spans="10:10" x14ac:dyDescent="0.35">
      <c r="J4781"/>
    </row>
    <row r="4782" spans="10:10" x14ac:dyDescent="0.35">
      <c r="J4782"/>
    </row>
    <row r="4783" spans="10:10" x14ac:dyDescent="0.35">
      <c r="J4783"/>
    </row>
    <row r="4784" spans="10:10" x14ac:dyDescent="0.35">
      <c r="J4784"/>
    </row>
    <row r="4785" spans="10:10" x14ac:dyDescent="0.35">
      <c r="J4785"/>
    </row>
    <row r="4786" spans="10:10" x14ac:dyDescent="0.35">
      <c r="J4786"/>
    </row>
    <row r="4787" spans="10:10" x14ac:dyDescent="0.35">
      <c r="J4787"/>
    </row>
    <row r="4788" spans="10:10" x14ac:dyDescent="0.35">
      <c r="J4788"/>
    </row>
    <row r="4789" spans="10:10" x14ac:dyDescent="0.35">
      <c r="J4789"/>
    </row>
    <row r="4790" spans="10:10" x14ac:dyDescent="0.35">
      <c r="J4790"/>
    </row>
    <row r="4791" spans="10:10" x14ac:dyDescent="0.35">
      <c r="J4791"/>
    </row>
    <row r="4792" spans="10:10" x14ac:dyDescent="0.35">
      <c r="J4792"/>
    </row>
    <row r="4793" spans="10:10" x14ac:dyDescent="0.35">
      <c r="J4793"/>
    </row>
    <row r="4794" spans="10:10" x14ac:dyDescent="0.35">
      <c r="J4794"/>
    </row>
    <row r="4795" spans="10:10" x14ac:dyDescent="0.35">
      <c r="J4795"/>
    </row>
    <row r="4796" spans="10:10" x14ac:dyDescent="0.35">
      <c r="J4796"/>
    </row>
    <row r="4797" spans="10:10" x14ac:dyDescent="0.35">
      <c r="J4797"/>
    </row>
    <row r="4798" spans="10:10" x14ac:dyDescent="0.35">
      <c r="J4798"/>
    </row>
    <row r="4799" spans="10:10" x14ac:dyDescent="0.35">
      <c r="J4799"/>
    </row>
    <row r="4800" spans="10:10" x14ac:dyDescent="0.35">
      <c r="J4800"/>
    </row>
    <row r="4801" spans="10:10" x14ac:dyDescent="0.35">
      <c r="J4801"/>
    </row>
    <row r="4802" spans="10:10" x14ac:dyDescent="0.35">
      <c r="J4802"/>
    </row>
    <row r="4803" spans="10:10" x14ac:dyDescent="0.35">
      <c r="J4803"/>
    </row>
    <row r="4804" spans="10:10" x14ac:dyDescent="0.35">
      <c r="J4804"/>
    </row>
    <row r="4805" spans="10:10" x14ac:dyDescent="0.35">
      <c r="J4805"/>
    </row>
    <row r="4806" spans="10:10" x14ac:dyDescent="0.35">
      <c r="J4806"/>
    </row>
    <row r="4807" spans="10:10" x14ac:dyDescent="0.35">
      <c r="J4807"/>
    </row>
    <row r="4808" spans="10:10" x14ac:dyDescent="0.35">
      <c r="J4808"/>
    </row>
    <row r="4809" spans="10:10" x14ac:dyDescent="0.35">
      <c r="J4809"/>
    </row>
    <row r="4810" spans="10:10" x14ac:dyDescent="0.35">
      <c r="J4810"/>
    </row>
    <row r="4811" spans="10:10" x14ac:dyDescent="0.35">
      <c r="J4811"/>
    </row>
    <row r="4812" spans="10:10" x14ac:dyDescent="0.35">
      <c r="J4812"/>
    </row>
    <row r="4813" spans="10:10" x14ac:dyDescent="0.35">
      <c r="J4813"/>
    </row>
    <row r="4814" spans="10:10" x14ac:dyDescent="0.35">
      <c r="J4814"/>
    </row>
    <row r="4815" spans="10:10" x14ac:dyDescent="0.35">
      <c r="J4815"/>
    </row>
    <row r="4816" spans="10:10" x14ac:dyDescent="0.35">
      <c r="J4816"/>
    </row>
    <row r="4817" spans="10:10" x14ac:dyDescent="0.35">
      <c r="J4817"/>
    </row>
    <row r="4818" spans="10:10" x14ac:dyDescent="0.35">
      <c r="J4818"/>
    </row>
    <row r="4819" spans="10:10" x14ac:dyDescent="0.35">
      <c r="J4819"/>
    </row>
    <row r="4820" spans="10:10" x14ac:dyDescent="0.35">
      <c r="J4820"/>
    </row>
    <row r="4821" spans="10:10" x14ac:dyDescent="0.35">
      <c r="J4821"/>
    </row>
    <row r="4822" spans="10:10" x14ac:dyDescent="0.35">
      <c r="J4822"/>
    </row>
    <row r="4823" spans="10:10" x14ac:dyDescent="0.35">
      <c r="J4823"/>
    </row>
    <row r="4824" spans="10:10" x14ac:dyDescent="0.35">
      <c r="J4824"/>
    </row>
    <row r="4825" spans="10:10" x14ac:dyDescent="0.35">
      <c r="J4825"/>
    </row>
    <row r="4826" spans="10:10" x14ac:dyDescent="0.35">
      <c r="J4826"/>
    </row>
    <row r="4827" spans="10:10" x14ac:dyDescent="0.35">
      <c r="J4827"/>
    </row>
    <row r="4828" spans="10:10" x14ac:dyDescent="0.35">
      <c r="J4828"/>
    </row>
    <row r="4829" spans="10:10" x14ac:dyDescent="0.35">
      <c r="J4829"/>
    </row>
    <row r="4830" spans="10:10" x14ac:dyDescent="0.35">
      <c r="J4830"/>
    </row>
    <row r="4831" spans="10:10" x14ac:dyDescent="0.35">
      <c r="J4831"/>
    </row>
    <row r="4832" spans="10:10" x14ac:dyDescent="0.35">
      <c r="J4832"/>
    </row>
    <row r="4833" spans="10:10" x14ac:dyDescent="0.35">
      <c r="J4833"/>
    </row>
    <row r="4834" spans="10:10" x14ac:dyDescent="0.35">
      <c r="J4834"/>
    </row>
    <row r="4835" spans="10:10" x14ac:dyDescent="0.35">
      <c r="J4835"/>
    </row>
    <row r="4836" spans="10:10" x14ac:dyDescent="0.35">
      <c r="J4836"/>
    </row>
    <row r="4837" spans="10:10" x14ac:dyDescent="0.35">
      <c r="J4837"/>
    </row>
    <row r="4838" spans="10:10" x14ac:dyDescent="0.35">
      <c r="J4838"/>
    </row>
    <row r="4839" spans="10:10" x14ac:dyDescent="0.35">
      <c r="J4839"/>
    </row>
    <row r="4840" spans="10:10" x14ac:dyDescent="0.35">
      <c r="J4840"/>
    </row>
    <row r="4841" spans="10:10" x14ac:dyDescent="0.35">
      <c r="J4841"/>
    </row>
    <row r="4842" spans="10:10" x14ac:dyDescent="0.35">
      <c r="J4842"/>
    </row>
    <row r="4843" spans="10:10" x14ac:dyDescent="0.35">
      <c r="J4843"/>
    </row>
    <row r="4844" spans="10:10" x14ac:dyDescent="0.35">
      <c r="J4844"/>
    </row>
    <row r="4845" spans="10:10" x14ac:dyDescent="0.35">
      <c r="J4845"/>
    </row>
    <row r="4846" spans="10:10" x14ac:dyDescent="0.35">
      <c r="J4846"/>
    </row>
    <row r="4847" spans="10:10" x14ac:dyDescent="0.35">
      <c r="J4847"/>
    </row>
    <row r="4848" spans="10:10" x14ac:dyDescent="0.35">
      <c r="J4848"/>
    </row>
    <row r="4849" spans="10:10" x14ac:dyDescent="0.35">
      <c r="J4849"/>
    </row>
    <row r="4850" spans="10:10" x14ac:dyDescent="0.35">
      <c r="J4850"/>
    </row>
    <row r="4851" spans="10:10" x14ac:dyDescent="0.35">
      <c r="J4851"/>
    </row>
    <row r="4852" spans="10:10" x14ac:dyDescent="0.35">
      <c r="J4852"/>
    </row>
    <row r="4853" spans="10:10" x14ac:dyDescent="0.35">
      <c r="J4853"/>
    </row>
    <row r="4854" spans="10:10" x14ac:dyDescent="0.35">
      <c r="J4854"/>
    </row>
    <row r="4855" spans="10:10" x14ac:dyDescent="0.35">
      <c r="J4855"/>
    </row>
    <row r="4856" spans="10:10" x14ac:dyDescent="0.35">
      <c r="J4856"/>
    </row>
    <row r="4857" spans="10:10" x14ac:dyDescent="0.35">
      <c r="J4857"/>
    </row>
    <row r="4858" spans="10:10" x14ac:dyDescent="0.35">
      <c r="J4858"/>
    </row>
    <row r="4859" spans="10:10" x14ac:dyDescent="0.35">
      <c r="J4859"/>
    </row>
    <row r="4860" spans="10:10" x14ac:dyDescent="0.35">
      <c r="J4860"/>
    </row>
    <row r="4861" spans="10:10" x14ac:dyDescent="0.35">
      <c r="J4861"/>
    </row>
    <row r="4862" spans="10:10" x14ac:dyDescent="0.35">
      <c r="J4862"/>
    </row>
    <row r="4863" spans="10:10" x14ac:dyDescent="0.35">
      <c r="J4863"/>
    </row>
    <row r="4864" spans="10:10" x14ac:dyDescent="0.35">
      <c r="J4864"/>
    </row>
    <row r="4865" spans="10:10" x14ac:dyDescent="0.35">
      <c r="J4865"/>
    </row>
    <row r="4866" spans="10:10" x14ac:dyDescent="0.35">
      <c r="J4866"/>
    </row>
    <row r="4867" spans="10:10" x14ac:dyDescent="0.35">
      <c r="J4867"/>
    </row>
    <row r="4868" spans="10:10" x14ac:dyDescent="0.35">
      <c r="J4868"/>
    </row>
    <row r="4869" spans="10:10" x14ac:dyDescent="0.35">
      <c r="J4869"/>
    </row>
    <row r="4870" spans="10:10" x14ac:dyDescent="0.35">
      <c r="J4870"/>
    </row>
    <row r="4871" spans="10:10" x14ac:dyDescent="0.35">
      <c r="J4871"/>
    </row>
    <row r="4872" spans="10:10" x14ac:dyDescent="0.35">
      <c r="J4872"/>
    </row>
    <row r="4873" spans="10:10" x14ac:dyDescent="0.35">
      <c r="J4873"/>
    </row>
    <row r="4874" spans="10:10" x14ac:dyDescent="0.35">
      <c r="J4874"/>
    </row>
    <row r="4875" spans="10:10" x14ac:dyDescent="0.35">
      <c r="J4875"/>
    </row>
    <row r="4876" spans="10:10" x14ac:dyDescent="0.35">
      <c r="J4876"/>
    </row>
    <row r="4877" spans="10:10" x14ac:dyDescent="0.35">
      <c r="J4877"/>
    </row>
    <row r="4878" spans="10:10" x14ac:dyDescent="0.35">
      <c r="J4878"/>
    </row>
    <row r="4879" spans="10:10" x14ac:dyDescent="0.35">
      <c r="J4879"/>
    </row>
    <row r="4880" spans="10:10" x14ac:dyDescent="0.35">
      <c r="J4880"/>
    </row>
    <row r="4881" spans="10:10" x14ac:dyDescent="0.35">
      <c r="J4881"/>
    </row>
    <row r="4882" spans="10:10" x14ac:dyDescent="0.35">
      <c r="J4882"/>
    </row>
    <row r="4883" spans="10:10" x14ac:dyDescent="0.35">
      <c r="J4883"/>
    </row>
    <row r="4884" spans="10:10" x14ac:dyDescent="0.35">
      <c r="J4884"/>
    </row>
    <row r="4885" spans="10:10" x14ac:dyDescent="0.35">
      <c r="J4885"/>
    </row>
    <row r="4886" spans="10:10" x14ac:dyDescent="0.35">
      <c r="J4886"/>
    </row>
    <row r="4887" spans="10:10" x14ac:dyDescent="0.35">
      <c r="J4887"/>
    </row>
    <row r="4888" spans="10:10" x14ac:dyDescent="0.35">
      <c r="J4888"/>
    </row>
    <row r="4889" spans="10:10" x14ac:dyDescent="0.35">
      <c r="J4889"/>
    </row>
    <row r="4890" spans="10:10" x14ac:dyDescent="0.35">
      <c r="J4890"/>
    </row>
    <row r="4891" spans="10:10" x14ac:dyDescent="0.35">
      <c r="J4891"/>
    </row>
    <row r="4892" spans="10:10" x14ac:dyDescent="0.35">
      <c r="J4892"/>
    </row>
    <row r="4893" spans="10:10" x14ac:dyDescent="0.35">
      <c r="J4893"/>
    </row>
    <row r="4894" spans="10:10" x14ac:dyDescent="0.35">
      <c r="J4894"/>
    </row>
    <row r="4895" spans="10:10" x14ac:dyDescent="0.35">
      <c r="J4895"/>
    </row>
    <row r="4896" spans="10:10" x14ac:dyDescent="0.35">
      <c r="J4896"/>
    </row>
    <row r="4897" spans="10:10" x14ac:dyDescent="0.35">
      <c r="J4897"/>
    </row>
    <row r="4898" spans="10:10" x14ac:dyDescent="0.35">
      <c r="J4898"/>
    </row>
    <row r="4899" spans="10:10" x14ac:dyDescent="0.35">
      <c r="J4899"/>
    </row>
    <row r="4900" spans="10:10" x14ac:dyDescent="0.35">
      <c r="J4900"/>
    </row>
    <row r="4901" spans="10:10" x14ac:dyDescent="0.35">
      <c r="J4901"/>
    </row>
    <row r="4902" spans="10:10" x14ac:dyDescent="0.35">
      <c r="J4902"/>
    </row>
    <row r="4903" spans="10:10" x14ac:dyDescent="0.35">
      <c r="J4903"/>
    </row>
    <row r="4904" spans="10:10" x14ac:dyDescent="0.35">
      <c r="J4904"/>
    </row>
    <row r="4905" spans="10:10" x14ac:dyDescent="0.35">
      <c r="J4905"/>
    </row>
    <row r="4906" spans="10:10" x14ac:dyDescent="0.35">
      <c r="J4906"/>
    </row>
    <row r="4907" spans="10:10" x14ac:dyDescent="0.35">
      <c r="J4907"/>
    </row>
    <row r="4908" spans="10:10" x14ac:dyDescent="0.35">
      <c r="J4908"/>
    </row>
    <row r="4909" spans="10:10" x14ac:dyDescent="0.35">
      <c r="J4909"/>
    </row>
    <row r="4910" spans="10:10" x14ac:dyDescent="0.35">
      <c r="J4910"/>
    </row>
    <row r="4911" spans="10:10" x14ac:dyDescent="0.35">
      <c r="J4911"/>
    </row>
    <row r="4912" spans="10:10" x14ac:dyDescent="0.35">
      <c r="J4912"/>
    </row>
    <row r="4913" spans="10:10" x14ac:dyDescent="0.35">
      <c r="J4913"/>
    </row>
    <row r="4914" spans="10:10" x14ac:dyDescent="0.35">
      <c r="J4914"/>
    </row>
    <row r="4915" spans="10:10" x14ac:dyDescent="0.35">
      <c r="J4915"/>
    </row>
    <row r="4916" spans="10:10" x14ac:dyDescent="0.35">
      <c r="J4916"/>
    </row>
    <row r="4917" spans="10:10" x14ac:dyDescent="0.35">
      <c r="J4917"/>
    </row>
    <row r="4918" spans="10:10" x14ac:dyDescent="0.35">
      <c r="J4918"/>
    </row>
    <row r="4919" spans="10:10" x14ac:dyDescent="0.35">
      <c r="J4919"/>
    </row>
    <row r="4920" spans="10:10" x14ac:dyDescent="0.35">
      <c r="J4920"/>
    </row>
    <row r="4921" spans="10:10" x14ac:dyDescent="0.35">
      <c r="J4921"/>
    </row>
    <row r="4922" spans="10:10" x14ac:dyDescent="0.35">
      <c r="J4922"/>
    </row>
    <row r="4923" spans="10:10" x14ac:dyDescent="0.35">
      <c r="J4923"/>
    </row>
    <row r="4924" spans="10:10" x14ac:dyDescent="0.35">
      <c r="J4924"/>
    </row>
    <row r="4925" spans="10:10" x14ac:dyDescent="0.35">
      <c r="J4925"/>
    </row>
    <row r="4926" spans="10:10" x14ac:dyDescent="0.35">
      <c r="J4926"/>
    </row>
    <row r="4927" spans="10:10" x14ac:dyDescent="0.35">
      <c r="J4927"/>
    </row>
    <row r="4928" spans="10:10" x14ac:dyDescent="0.35">
      <c r="J4928"/>
    </row>
    <row r="4929" spans="10:10" x14ac:dyDescent="0.35">
      <c r="J4929"/>
    </row>
    <row r="4930" spans="10:10" x14ac:dyDescent="0.35">
      <c r="J4930"/>
    </row>
    <row r="4931" spans="10:10" x14ac:dyDescent="0.35">
      <c r="J4931"/>
    </row>
    <row r="4932" spans="10:10" x14ac:dyDescent="0.35">
      <c r="J4932"/>
    </row>
    <row r="4933" spans="10:10" x14ac:dyDescent="0.35">
      <c r="J4933"/>
    </row>
    <row r="4934" spans="10:10" x14ac:dyDescent="0.35">
      <c r="J4934"/>
    </row>
    <row r="4935" spans="10:10" x14ac:dyDescent="0.35">
      <c r="J4935"/>
    </row>
    <row r="4936" spans="10:10" x14ac:dyDescent="0.35">
      <c r="J4936"/>
    </row>
    <row r="4937" spans="10:10" x14ac:dyDescent="0.35">
      <c r="J4937"/>
    </row>
    <row r="4938" spans="10:10" x14ac:dyDescent="0.35">
      <c r="J4938"/>
    </row>
    <row r="4939" spans="10:10" x14ac:dyDescent="0.35">
      <c r="J4939"/>
    </row>
    <row r="4940" spans="10:10" x14ac:dyDescent="0.35">
      <c r="J4940"/>
    </row>
    <row r="4941" spans="10:10" x14ac:dyDescent="0.35">
      <c r="J4941"/>
    </row>
    <row r="4942" spans="10:10" x14ac:dyDescent="0.35">
      <c r="J4942"/>
    </row>
    <row r="4943" spans="10:10" x14ac:dyDescent="0.35">
      <c r="J4943"/>
    </row>
    <row r="4944" spans="10:10" x14ac:dyDescent="0.35">
      <c r="J4944"/>
    </row>
    <row r="4945" spans="10:10" x14ac:dyDescent="0.35">
      <c r="J4945"/>
    </row>
    <row r="4946" spans="10:10" x14ac:dyDescent="0.35">
      <c r="J4946"/>
    </row>
    <row r="4947" spans="10:10" x14ac:dyDescent="0.35">
      <c r="J4947"/>
    </row>
    <row r="4948" spans="10:10" x14ac:dyDescent="0.35">
      <c r="J4948"/>
    </row>
    <row r="4949" spans="10:10" x14ac:dyDescent="0.35">
      <c r="J4949"/>
    </row>
    <row r="4950" spans="10:10" x14ac:dyDescent="0.35">
      <c r="J4950"/>
    </row>
    <row r="4951" spans="10:10" x14ac:dyDescent="0.35">
      <c r="J4951"/>
    </row>
    <row r="4952" spans="10:10" x14ac:dyDescent="0.35">
      <c r="J4952"/>
    </row>
    <row r="4953" spans="10:10" x14ac:dyDescent="0.35">
      <c r="J4953"/>
    </row>
    <row r="4954" spans="10:10" x14ac:dyDescent="0.35">
      <c r="J4954"/>
    </row>
    <row r="4955" spans="10:10" x14ac:dyDescent="0.35">
      <c r="J4955"/>
    </row>
    <row r="4956" spans="10:10" x14ac:dyDescent="0.35">
      <c r="J4956"/>
    </row>
    <row r="4957" spans="10:10" x14ac:dyDescent="0.35">
      <c r="J4957"/>
    </row>
    <row r="4958" spans="10:10" x14ac:dyDescent="0.35">
      <c r="J4958"/>
    </row>
    <row r="4959" spans="10:10" x14ac:dyDescent="0.35">
      <c r="J4959"/>
    </row>
    <row r="4960" spans="10:10" x14ac:dyDescent="0.35">
      <c r="J4960"/>
    </row>
    <row r="4961" spans="10:10" x14ac:dyDescent="0.35">
      <c r="J4961"/>
    </row>
    <row r="4962" spans="10:10" x14ac:dyDescent="0.35">
      <c r="J4962"/>
    </row>
    <row r="4963" spans="10:10" x14ac:dyDescent="0.35">
      <c r="J4963"/>
    </row>
    <row r="4964" spans="10:10" x14ac:dyDescent="0.35">
      <c r="J4964"/>
    </row>
    <row r="4965" spans="10:10" x14ac:dyDescent="0.35">
      <c r="J4965"/>
    </row>
    <row r="4966" spans="10:10" x14ac:dyDescent="0.35">
      <c r="J4966"/>
    </row>
    <row r="4967" spans="10:10" x14ac:dyDescent="0.35">
      <c r="J4967"/>
    </row>
    <row r="4968" spans="10:10" x14ac:dyDescent="0.35">
      <c r="J4968"/>
    </row>
    <row r="4969" spans="10:10" x14ac:dyDescent="0.35">
      <c r="J4969"/>
    </row>
    <row r="4970" spans="10:10" x14ac:dyDescent="0.35">
      <c r="J4970"/>
    </row>
    <row r="4971" spans="10:10" x14ac:dyDescent="0.35">
      <c r="J4971"/>
    </row>
    <row r="4972" spans="10:10" x14ac:dyDescent="0.35">
      <c r="J4972"/>
    </row>
    <row r="4973" spans="10:10" x14ac:dyDescent="0.35">
      <c r="J4973"/>
    </row>
    <row r="4974" spans="10:10" x14ac:dyDescent="0.35">
      <c r="J4974"/>
    </row>
    <row r="4975" spans="10:10" x14ac:dyDescent="0.35">
      <c r="J4975"/>
    </row>
    <row r="4976" spans="10:10" x14ac:dyDescent="0.35">
      <c r="J4976"/>
    </row>
    <row r="4977" spans="10:10" x14ac:dyDescent="0.35">
      <c r="J4977"/>
    </row>
    <row r="4978" spans="10:10" x14ac:dyDescent="0.35">
      <c r="J4978"/>
    </row>
    <row r="4979" spans="10:10" x14ac:dyDescent="0.35">
      <c r="J4979"/>
    </row>
    <row r="4980" spans="10:10" x14ac:dyDescent="0.35">
      <c r="J4980"/>
    </row>
    <row r="4981" spans="10:10" x14ac:dyDescent="0.35">
      <c r="J4981"/>
    </row>
    <row r="4982" spans="10:10" x14ac:dyDescent="0.35">
      <c r="J4982"/>
    </row>
    <row r="4983" spans="10:10" x14ac:dyDescent="0.35">
      <c r="J4983"/>
    </row>
    <row r="4984" spans="10:10" x14ac:dyDescent="0.35">
      <c r="J4984"/>
    </row>
    <row r="4985" spans="10:10" x14ac:dyDescent="0.35">
      <c r="J4985"/>
    </row>
    <row r="4986" spans="10:10" x14ac:dyDescent="0.35">
      <c r="J4986"/>
    </row>
    <row r="4987" spans="10:10" x14ac:dyDescent="0.35">
      <c r="J4987"/>
    </row>
    <row r="4988" spans="10:10" x14ac:dyDescent="0.35">
      <c r="J4988"/>
    </row>
    <row r="4989" spans="10:10" x14ac:dyDescent="0.35">
      <c r="J4989"/>
    </row>
    <row r="4990" spans="10:10" x14ac:dyDescent="0.35">
      <c r="J4990"/>
    </row>
    <row r="4991" spans="10:10" x14ac:dyDescent="0.35">
      <c r="J4991"/>
    </row>
    <row r="4992" spans="10:10" x14ac:dyDescent="0.35">
      <c r="J4992"/>
    </row>
    <row r="4993" spans="10:10" x14ac:dyDescent="0.35">
      <c r="J4993"/>
    </row>
    <row r="4994" spans="10:10" x14ac:dyDescent="0.35">
      <c r="J4994"/>
    </row>
    <row r="4995" spans="10:10" x14ac:dyDescent="0.35">
      <c r="J4995"/>
    </row>
    <row r="4996" spans="10:10" x14ac:dyDescent="0.35">
      <c r="J4996"/>
    </row>
    <row r="4997" spans="10:10" x14ac:dyDescent="0.35">
      <c r="J4997"/>
    </row>
    <row r="4998" spans="10:10" x14ac:dyDescent="0.35">
      <c r="J4998"/>
    </row>
    <row r="4999" spans="10:10" x14ac:dyDescent="0.35">
      <c r="J4999"/>
    </row>
    <row r="5000" spans="10:10" x14ac:dyDescent="0.35">
      <c r="J5000"/>
    </row>
    <row r="5001" spans="10:10" x14ac:dyDescent="0.35">
      <c r="J5001"/>
    </row>
    <row r="5002" spans="10:10" x14ac:dyDescent="0.35">
      <c r="J5002"/>
    </row>
    <row r="5003" spans="10:10" x14ac:dyDescent="0.35">
      <c r="J5003"/>
    </row>
    <row r="5004" spans="10:10" x14ac:dyDescent="0.35">
      <c r="J5004"/>
    </row>
    <row r="5005" spans="10:10" x14ac:dyDescent="0.35">
      <c r="J5005"/>
    </row>
    <row r="5006" spans="10:10" x14ac:dyDescent="0.35">
      <c r="J5006"/>
    </row>
    <row r="5007" spans="10:10" x14ac:dyDescent="0.35">
      <c r="J5007"/>
    </row>
    <row r="5008" spans="10:10" x14ac:dyDescent="0.35">
      <c r="J5008"/>
    </row>
    <row r="5009" spans="10:10" x14ac:dyDescent="0.35">
      <c r="J5009"/>
    </row>
    <row r="5010" spans="10:10" x14ac:dyDescent="0.35">
      <c r="J5010"/>
    </row>
    <row r="5011" spans="10:10" x14ac:dyDescent="0.35">
      <c r="J5011"/>
    </row>
    <row r="5012" spans="10:10" x14ac:dyDescent="0.35">
      <c r="J5012"/>
    </row>
    <row r="5013" spans="10:10" x14ac:dyDescent="0.35">
      <c r="J5013"/>
    </row>
    <row r="5014" spans="10:10" x14ac:dyDescent="0.35">
      <c r="J5014"/>
    </row>
    <row r="5015" spans="10:10" x14ac:dyDescent="0.35">
      <c r="J5015"/>
    </row>
    <row r="5016" spans="10:10" x14ac:dyDescent="0.35">
      <c r="J5016"/>
    </row>
    <row r="5017" spans="10:10" x14ac:dyDescent="0.35">
      <c r="J5017"/>
    </row>
    <row r="5018" spans="10:10" x14ac:dyDescent="0.35">
      <c r="J5018"/>
    </row>
    <row r="5019" spans="10:10" x14ac:dyDescent="0.35">
      <c r="J5019"/>
    </row>
    <row r="5020" spans="10:10" x14ac:dyDescent="0.35">
      <c r="J5020"/>
    </row>
    <row r="5021" spans="10:10" x14ac:dyDescent="0.35">
      <c r="J5021"/>
    </row>
    <row r="5022" spans="10:10" x14ac:dyDescent="0.35">
      <c r="J5022"/>
    </row>
    <row r="5023" spans="10:10" x14ac:dyDescent="0.35">
      <c r="J5023"/>
    </row>
    <row r="5024" spans="10:10" x14ac:dyDescent="0.35">
      <c r="J5024"/>
    </row>
    <row r="5025" spans="10:10" x14ac:dyDescent="0.35">
      <c r="J5025"/>
    </row>
    <row r="5026" spans="10:10" x14ac:dyDescent="0.35">
      <c r="J5026"/>
    </row>
    <row r="5027" spans="10:10" x14ac:dyDescent="0.35">
      <c r="J5027"/>
    </row>
    <row r="5028" spans="10:10" x14ac:dyDescent="0.35">
      <c r="J5028"/>
    </row>
    <row r="5029" spans="10:10" x14ac:dyDescent="0.35">
      <c r="J5029"/>
    </row>
    <row r="5030" spans="10:10" x14ac:dyDescent="0.35">
      <c r="J5030"/>
    </row>
    <row r="5031" spans="10:10" x14ac:dyDescent="0.35">
      <c r="J5031"/>
    </row>
    <row r="5032" spans="10:10" x14ac:dyDescent="0.35">
      <c r="J5032"/>
    </row>
    <row r="5033" spans="10:10" x14ac:dyDescent="0.35">
      <c r="J5033"/>
    </row>
    <row r="5034" spans="10:10" x14ac:dyDescent="0.35">
      <c r="J5034"/>
    </row>
    <row r="5035" spans="10:10" x14ac:dyDescent="0.35">
      <c r="J5035"/>
    </row>
    <row r="5036" spans="10:10" x14ac:dyDescent="0.35">
      <c r="J5036"/>
    </row>
    <row r="5037" spans="10:10" x14ac:dyDescent="0.35">
      <c r="J5037"/>
    </row>
    <row r="5038" spans="10:10" x14ac:dyDescent="0.35">
      <c r="J5038"/>
    </row>
    <row r="5039" spans="10:10" x14ac:dyDescent="0.35">
      <c r="J5039"/>
    </row>
    <row r="5040" spans="10:10" x14ac:dyDescent="0.35">
      <c r="J5040"/>
    </row>
    <row r="5041" spans="10:10" x14ac:dyDescent="0.35">
      <c r="J5041"/>
    </row>
    <row r="5042" spans="10:10" x14ac:dyDescent="0.35">
      <c r="J5042"/>
    </row>
    <row r="5043" spans="10:10" x14ac:dyDescent="0.35">
      <c r="J5043"/>
    </row>
    <row r="5044" spans="10:10" x14ac:dyDescent="0.35">
      <c r="J5044"/>
    </row>
    <row r="5045" spans="10:10" x14ac:dyDescent="0.35">
      <c r="J5045"/>
    </row>
    <row r="5046" spans="10:10" x14ac:dyDescent="0.35">
      <c r="J5046"/>
    </row>
    <row r="5047" spans="10:10" x14ac:dyDescent="0.35">
      <c r="J5047"/>
    </row>
    <row r="5048" spans="10:10" x14ac:dyDescent="0.35">
      <c r="J5048"/>
    </row>
    <row r="5049" spans="10:10" x14ac:dyDescent="0.35">
      <c r="J5049"/>
    </row>
    <row r="5050" spans="10:10" x14ac:dyDescent="0.35">
      <c r="J5050"/>
    </row>
    <row r="5051" spans="10:10" x14ac:dyDescent="0.35">
      <c r="J5051"/>
    </row>
    <row r="5052" spans="10:10" x14ac:dyDescent="0.35">
      <c r="J5052"/>
    </row>
    <row r="5053" spans="10:10" x14ac:dyDescent="0.35">
      <c r="J5053"/>
    </row>
    <row r="5054" spans="10:10" x14ac:dyDescent="0.35">
      <c r="J5054"/>
    </row>
    <row r="5055" spans="10:10" x14ac:dyDescent="0.35">
      <c r="J5055"/>
    </row>
    <row r="5056" spans="10:10" x14ac:dyDescent="0.35">
      <c r="J5056"/>
    </row>
    <row r="5057" spans="10:10" x14ac:dyDescent="0.35">
      <c r="J5057"/>
    </row>
    <row r="5058" spans="10:10" x14ac:dyDescent="0.35">
      <c r="J5058"/>
    </row>
    <row r="5059" spans="10:10" x14ac:dyDescent="0.35">
      <c r="J5059"/>
    </row>
    <row r="5060" spans="10:10" x14ac:dyDescent="0.35">
      <c r="J5060"/>
    </row>
    <row r="5061" spans="10:10" x14ac:dyDescent="0.35">
      <c r="J5061"/>
    </row>
    <row r="5062" spans="10:10" x14ac:dyDescent="0.35">
      <c r="J5062"/>
    </row>
    <row r="5063" spans="10:10" x14ac:dyDescent="0.35">
      <c r="J5063"/>
    </row>
    <row r="5064" spans="10:10" x14ac:dyDescent="0.35">
      <c r="J5064"/>
    </row>
    <row r="5065" spans="10:10" x14ac:dyDescent="0.35">
      <c r="J5065"/>
    </row>
    <row r="5066" spans="10:10" x14ac:dyDescent="0.35">
      <c r="J5066"/>
    </row>
    <row r="5067" spans="10:10" x14ac:dyDescent="0.35">
      <c r="J5067"/>
    </row>
    <row r="5068" spans="10:10" x14ac:dyDescent="0.35">
      <c r="J5068"/>
    </row>
    <row r="5069" spans="10:10" x14ac:dyDescent="0.35">
      <c r="J5069"/>
    </row>
    <row r="5070" spans="10:10" x14ac:dyDescent="0.35">
      <c r="J5070"/>
    </row>
    <row r="5071" spans="10:10" x14ac:dyDescent="0.35">
      <c r="J5071"/>
    </row>
    <row r="5072" spans="10:10" x14ac:dyDescent="0.35">
      <c r="J5072"/>
    </row>
    <row r="5073" spans="10:10" x14ac:dyDescent="0.35">
      <c r="J5073"/>
    </row>
    <row r="5074" spans="10:10" x14ac:dyDescent="0.35">
      <c r="J5074"/>
    </row>
    <row r="5075" spans="10:10" x14ac:dyDescent="0.35">
      <c r="J5075"/>
    </row>
    <row r="5076" spans="10:10" x14ac:dyDescent="0.35">
      <c r="J5076"/>
    </row>
    <row r="5077" spans="10:10" x14ac:dyDescent="0.35">
      <c r="J5077"/>
    </row>
    <row r="5078" spans="10:10" x14ac:dyDescent="0.35">
      <c r="J5078"/>
    </row>
    <row r="5079" spans="10:10" x14ac:dyDescent="0.35">
      <c r="J5079"/>
    </row>
    <row r="5080" spans="10:10" x14ac:dyDescent="0.35">
      <c r="J5080"/>
    </row>
    <row r="5081" spans="10:10" x14ac:dyDescent="0.35">
      <c r="J5081"/>
    </row>
    <row r="5082" spans="10:10" x14ac:dyDescent="0.35">
      <c r="J5082"/>
    </row>
    <row r="5083" spans="10:10" x14ac:dyDescent="0.35">
      <c r="J5083"/>
    </row>
    <row r="5084" spans="10:10" x14ac:dyDescent="0.35">
      <c r="J5084"/>
    </row>
    <row r="5085" spans="10:10" x14ac:dyDescent="0.35">
      <c r="J5085"/>
    </row>
    <row r="5086" spans="10:10" x14ac:dyDescent="0.35">
      <c r="J5086"/>
    </row>
    <row r="5087" spans="10:10" x14ac:dyDescent="0.35">
      <c r="J5087"/>
    </row>
    <row r="5088" spans="10:10" x14ac:dyDescent="0.35">
      <c r="J5088"/>
    </row>
    <row r="5089" spans="10:10" x14ac:dyDescent="0.35">
      <c r="J5089"/>
    </row>
    <row r="5090" spans="10:10" x14ac:dyDescent="0.35">
      <c r="J5090"/>
    </row>
    <row r="5091" spans="10:10" x14ac:dyDescent="0.35">
      <c r="J5091"/>
    </row>
    <row r="5092" spans="10:10" x14ac:dyDescent="0.35">
      <c r="J5092"/>
    </row>
    <row r="5093" spans="10:10" x14ac:dyDescent="0.35">
      <c r="J5093"/>
    </row>
    <row r="5094" spans="10:10" x14ac:dyDescent="0.35">
      <c r="J5094"/>
    </row>
    <row r="5095" spans="10:10" x14ac:dyDescent="0.35">
      <c r="J5095"/>
    </row>
    <row r="5096" spans="10:10" x14ac:dyDescent="0.35">
      <c r="J5096"/>
    </row>
    <row r="5097" spans="10:10" x14ac:dyDescent="0.35">
      <c r="J5097"/>
    </row>
    <row r="5098" spans="10:10" x14ac:dyDescent="0.35">
      <c r="J5098"/>
    </row>
    <row r="5099" spans="10:10" x14ac:dyDescent="0.35">
      <c r="J5099"/>
    </row>
    <row r="5100" spans="10:10" x14ac:dyDescent="0.35">
      <c r="J5100"/>
    </row>
    <row r="5101" spans="10:10" x14ac:dyDescent="0.35">
      <c r="J5101"/>
    </row>
    <row r="5102" spans="10:10" x14ac:dyDescent="0.35">
      <c r="J5102"/>
    </row>
    <row r="5103" spans="10:10" x14ac:dyDescent="0.35">
      <c r="J5103"/>
    </row>
    <row r="5104" spans="10:10" x14ac:dyDescent="0.35">
      <c r="J5104"/>
    </row>
    <row r="5105" spans="10:10" x14ac:dyDescent="0.35">
      <c r="J5105"/>
    </row>
    <row r="5106" spans="10:10" x14ac:dyDescent="0.35">
      <c r="J5106"/>
    </row>
    <row r="5107" spans="10:10" x14ac:dyDescent="0.35">
      <c r="J5107"/>
    </row>
    <row r="5108" spans="10:10" x14ac:dyDescent="0.35">
      <c r="J5108"/>
    </row>
    <row r="5109" spans="10:10" x14ac:dyDescent="0.35">
      <c r="J5109"/>
    </row>
    <row r="5110" spans="10:10" x14ac:dyDescent="0.35">
      <c r="J5110"/>
    </row>
    <row r="5111" spans="10:10" x14ac:dyDescent="0.35">
      <c r="J5111"/>
    </row>
    <row r="5112" spans="10:10" x14ac:dyDescent="0.35">
      <c r="J5112"/>
    </row>
    <row r="5113" spans="10:10" x14ac:dyDescent="0.35">
      <c r="J5113"/>
    </row>
    <row r="5114" spans="10:10" x14ac:dyDescent="0.35">
      <c r="J5114"/>
    </row>
    <row r="5115" spans="10:10" x14ac:dyDescent="0.35">
      <c r="J5115"/>
    </row>
    <row r="5116" spans="10:10" x14ac:dyDescent="0.35">
      <c r="J5116"/>
    </row>
    <row r="5117" spans="10:10" x14ac:dyDescent="0.35">
      <c r="J5117"/>
    </row>
    <row r="5118" spans="10:10" x14ac:dyDescent="0.35">
      <c r="J5118"/>
    </row>
    <row r="5119" spans="10:10" x14ac:dyDescent="0.35">
      <c r="J5119"/>
    </row>
    <row r="5120" spans="10:10" x14ac:dyDescent="0.35">
      <c r="J5120"/>
    </row>
    <row r="5121" spans="10:10" x14ac:dyDescent="0.35">
      <c r="J5121"/>
    </row>
    <row r="5122" spans="10:10" x14ac:dyDescent="0.35">
      <c r="J5122"/>
    </row>
    <row r="5123" spans="10:10" x14ac:dyDescent="0.35">
      <c r="J5123"/>
    </row>
    <row r="5124" spans="10:10" x14ac:dyDescent="0.35">
      <c r="J5124"/>
    </row>
    <row r="5125" spans="10:10" x14ac:dyDescent="0.35">
      <c r="J5125"/>
    </row>
    <row r="5126" spans="10:10" x14ac:dyDescent="0.35">
      <c r="J5126"/>
    </row>
    <row r="5127" spans="10:10" x14ac:dyDescent="0.35">
      <c r="J5127"/>
    </row>
    <row r="5128" spans="10:10" x14ac:dyDescent="0.35">
      <c r="J5128"/>
    </row>
    <row r="5129" spans="10:10" x14ac:dyDescent="0.35">
      <c r="J5129"/>
    </row>
    <row r="5130" spans="10:10" x14ac:dyDescent="0.35">
      <c r="J5130"/>
    </row>
    <row r="5131" spans="10:10" x14ac:dyDescent="0.35">
      <c r="J5131"/>
    </row>
    <row r="5132" spans="10:10" x14ac:dyDescent="0.35">
      <c r="J5132"/>
    </row>
    <row r="5133" spans="10:10" x14ac:dyDescent="0.35">
      <c r="J5133"/>
    </row>
    <row r="5134" spans="10:10" x14ac:dyDescent="0.35">
      <c r="J5134"/>
    </row>
    <row r="5135" spans="10:10" x14ac:dyDescent="0.35">
      <c r="J5135"/>
    </row>
    <row r="5136" spans="10:10" x14ac:dyDescent="0.35">
      <c r="J5136"/>
    </row>
    <row r="5137" spans="10:10" x14ac:dyDescent="0.35">
      <c r="J5137"/>
    </row>
    <row r="5138" spans="10:10" x14ac:dyDescent="0.35">
      <c r="J5138"/>
    </row>
    <row r="5139" spans="10:10" x14ac:dyDescent="0.35">
      <c r="J5139"/>
    </row>
    <row r="5140" spans="10:10" x14ac:dyDescent="0.35">
      <c r="J5140"/>
    </row>
    <row r="5141" spans="10:10" x14ac:dyDescent="0.35">
      <c r="J5141"/>
    </row>
    <row r="5142" spans="10:10" x14ac:dyDescent="0.35">
      <c r="J5142"/>
    </row>
    <row r="5143" spans="10:10" x14ac:dyDescent="0.35">
      <c r="J5143"/>
    </row>
    <row r="5144" spans="10:10" x14ac:dyDescent="0.35">
      <c r="J5144"/>
    </row>
    <row r="5145" spans="10:10" x14ac:dyDescent="0.35">
      <c r="J5145"/>
    </row>
    <row r="5146" spans="10:10" x14ac:dyDescent="0.35">
      <c r="J5146"/>
    </row>
    <row r="5147" spans="10:10" x14ac:dyDescent="0.35">
      <c r="J5147"/>
    </row>
    <row r="5148" spans="10:10" x14ac:dyDescent="0.35">
      <c r="J5148"/>
    </row>
    <row r="5149" spans="10:10" x14ac:dyDescent="0.35">
      <c r="J5149"/>
    </row>
    <row r="5150" spans="10:10" x14ac:dyDescent="0.35">
      <c r="J5150"/>
    </row>
    <row r="5151" spans="10:10" x14ac:dyDescent="0.35">
      <c r="J5151"/>
    </row>
    <row r="5152" spans="10:10" x14ac:dyDescent="0.35">
      <c r="J5152"/>
    </row>
    <row r="5153" spans="10:10" x14ac:dyDescent="0.35">
      <c r="J5153"/>
    </row>
    <row r="5154" spans="10:10" x14ac:dyDescent="0.35">
      <c r="J5154"/>
    </row>
    <row r="5155" spans="10:10" x14ac:dyDescent="0.35">
      <c r="J5155"/>
    </row>
    <row r="5156" spans="10:10" x14ac:dyDescent="0.35">
      <c r="J5156"/>
    </row>
    <row r="5157" spans="10:10" x14ac:dyDescent="0.35">
      <c r="J5157"/>
    </row>
    <row r="5158" spans="10:10" x14ac:dyDescent="0.35">
      <c r="J5158"/>
    </row>
    <row r="5159" spans="10:10" x14ac:dyDescent="0.35">
      <c r="J5159"/>
    </row>
    <row r="5160" spans="10:10" x14ac:dyDescent="0.35">
      <c r="J5160"/>
    </row>
    <row r="5161" spans="10:10" x14ac:dyDescent="0.35">
      <c r="J5161"/>
    </row>
    <row r="5162" spans="10:10" x14ac:dyDescent="0.35">
      <c r="J5162"/>
    </row>
    <row r="5163" spans="10:10" x14ac:dyDescent="0.35">
      <c r="J5163"/>
    </row>
    <row r="5164" spans="10:10" x14ac:dyDescent="0.35">
      <c r="J5164"/>
    </row>
    <row r="5165" spans="10:10" x14ac:dyDescent="0.35">
      <c r="J5165"/>
    </row>
    <row r="5166" spans="10:10" x14ac:dyDescent="0.35">
      <c r="J5166"/>
    </row>
    <row r="5167" spans="10:10" x14ac:dyDescent="0.35">
      <c r="J5167"/>
    </row>
    <row r="5168" spans="10:10" x14ac:dyDescent="0.35">
      <c r="J5168"/>
    </row>
    <row r="5169" spans="10:10" x14ac:dyDescent="0.35">
      <c r="J5169"/>
    </row>
    <row r="5170" spans="10:10" x14ac:dyDescent="0.35">
      <c r="J5170"/>
    </row>
    <row r="5171" spans="10:10" x14ac:dyDescent="0.35">
      <c r="J5171"/>
    </row>
    <row r="5172" spans="10:10" x14ac:dyDescent="0.35">
      <c r="J5172"/>
    </row>
    <row r="5173" spans="10:10" x14ac:dyDescent="0.35">
      <c r="J5173"/>
    </row>
    <row r="5174" spans="10:10" x14ac:dyDescent="0.35">
      <c r="J5174"/>
    </row>
    <row r="5175" spans="10:10" x14ac:dyDescent="0.35">
      <c r="J5175"/>
    </row>
    <row r="5176" spans="10:10" x14ac:dyDescent="0.35">
      <c r="J5176"/>
    </row>
    <row r="5177" spans="10:10" x14ac:dyDescent="0.35">
      <c r="J5177"/>
    </row>
    <row r="5178" spans="10:10" x14ac:dyDescent="0.35">
      <c r="J5178"/>
    </row>
    <row r="5179" spans="10:10" x14ac:dyDescent="0.35">
      <c r="J5179"/>
    </row>
    <row r="5180" spans="10:10" x14ac:dyDescent="0.35">
      <c r="J5180"/>
    </row>
    <row r="5181" spans="10:10" x14ac:dyDescent="0.35">
      <c r="J5181"/>
    </row>
    <row r="5182" spans="10:10" x14ac:dyDescent="0.35">
      <c r="J5182"/>
    </row>
    <row r="5183" spans="10:10" x14ac:dyDescent="0.35">
      <c r="J5183"/>
    </row>
    <row r="5184" spans="10:10" x14ac:dyDescent="0.35">
      <c r="J5184"/>
    </row>
    <row r="5185" spans="10:10" x14ac:dyDescent="0.35">
      <c r="J5185"/>
    </row>
    <row r="5186" spans="10:10" x14ac:dyDescent="0.35">
      <c r="J5186"/>
    </row>
    <row r="5187" spans="10:10" x14ac:dyDescent="0.35">
      <c r="J5187"/>
    </row>
    <row r="5188" spans="10:10" x14ac:dyDescent="0.35">
      <c r="J5188"/>
    </row>
    <row r="5189" spans="10:10" x14ac:dyDescent="0.35">
      <c r="J5189"/>
    </row>
    <row r="5190" spans="10:10" x14ac:dyDescent="0.35">
      <c r="J5190"/>
    </row>
    <row r="5191" spans="10:10" x14ac:dyDescent="0.35">
      <c r="J5191"/>
    </row>
    <row r="5192" spans="10:10" x14ac:dyDescent="0.35">
      <c r="J5192"/>
    </row>
    <row r="5193" spans="10:10" x14ac:dyDescent="0.35">
      <c r="J5193"/>
    </row>
    <row r="5194" spans="10:10" x14ac:dyDescent="0.35">
      <c r="J5194"/>
    </row>
    <row r="5195" spans="10:10" x14ac:dyDescent="0.35">
      <c r="J5195"/>
    </row>
    <row r="5196" spans="10:10" x14ac:dyDescent="0.35">
      <c r="J5196"/>
    </row>
    <row r="5197" spans="10:10" x14ac:dyDescent="0.35">
      <c r="J5197"/>
    </row>
    <row r="5198" spans="10:10" x14ac:dyDescent="0.35">
      <c r="J5198"/>
    </row>
    <row r="5199" spans="10:10" x14ac:dyDescent="0.35">
      <c r="J5199"/>
    </row>
    <row r="5200" spans="10:10" x14ac:dyDescent="0.35">
      <c r="J5200"/>
    </row>
    <row r="5201" spans="10:10" x14ac:dyDescent="0.35">
      <c r="J5201"/>
    </row>
    <row r="5202" spans="10:10" x14ac:dyDescent="0.35">
      <c r="J5202"/>
    </row>
    <row r="5203" spans="10:10" x14ac:dyDescent="0.35">
      <c r="J5203"/>
    </row>
    <row r="5204" spans="10:10" x14ac:dyDescent="0.35">
      <c r="J5204"/>
    </row>
    <row r="5205" spans="10:10" x14ac:dyDescent="0.35">
      <c r="J5205"/>
    </row>
    <row r="5206" spans="10:10" x14ac:dyDescent="0.35">
      <c r="J5206"/>
    </row>
    <row r="5207" spans="10:10" x14ac:dyDescent="0.35">
      <c r="J5207"/>
    </row>
    <row r="5208" spans="10:10" x14ac:dyDescent="0.35">
      <c r="J5208"/>
    </row>
    <row r="5209" spans="10:10" x14ac:dyDescent="0.35">
      <c r="J5209"/>
    </row>
    <row r="5210" spans="10:10" x14ac:dyDescent="0.35">
      <c r="J5210"/>
    </row>
    <row r="5211" spans="10:10" x14ac:dyDescent="0.35">
      <c r="J5211"/>
    </row>
    <row r="5212" spans="10:10" x14ac:dyDescent="0.35">
      <c r="J5212"/>
    </row>
    <row r="5213" spans="10:10" x14ac:dyDescent="0.35">
      <c r="J5213"/>
    </row>
    <row r="5214" spans="10:10" x14ac:dyDescent="0.35">
      <c r="J5214"/>
    </row>
    <row r="5215" spans="10:10" x14ac:dyDescent="0.35">
      <c r="J5215"/>
    </row>
    <row r="5216" spans="10:10" x14ac:dyDescent="0.35">
      <c r="J5216"/>
    </row>
    <row r="5217" spans="10:10" x14ac:dyDescent="0.35">
      <c r="J5217"/>
    </row>
    <row r="5218" spans="10:10" x14ac:dyDescent="0.35">
      <c r="J5218"/>
    </row>
    <row r="5219" spans="10:10" x14ac:dyDescent="0.35">
      <c r="J5219"/>
    </row>
    <row r="5220" spans="10:10" x14ac:dyDescent="0.35">
      <c r="J5220"/>
    </row>
    <row r="5221" spans="10:10" x14ac:dyDescent="0.35">
      <c r="J5221"/>
    </row>
    <row r="5222" spans="10:10" x14ac:dyDescent="0.35">
      <c r="J5222"/>
    </row>
    <row r="5223" spans="10:10" x14ac:dyDescent="0.35">
      <c r="J5223"/>
    </row>
    <row r="5224" spans="10:10" x14ac:dyDescent="0.35">
      <c r="J5224"/>
    </row>
    <row r="5225" spans="10:10" x14ac:dyDescent="0.35">
      <c r="J5225"/>
    </row>
    <row r="5226" spans="10:10" x14ac:dyDescent="0.35">
      <c r="J5226"/>
    </row>
    <row r="5227" spans="10:10" x14ac:dyDescent="0.35">
      <c r="J5227"/>
    </row>
    <row r="5228" spans="10:10" x14ac:dyDescent="0.35">
      <c r="J5228"/>
    </row>
    <row r="5229" spans="10:10" x14ac:dyDescent="0.35">
      <c r="J5229"/>
    </row>
    <row r="5230" spans="10:10" x14ac:dyDescent="0.35">
      <c r="J5230"/>
    </row>
    <row r="5231" spans="10:10" x14ac:dyDescent="0.35">
      <c r="J5231"/>
    </row>
    <row r="5232" spans="10:10" x14ac:dyDescent="0.35">
      <c r="J5232"/>
    </row>
    <row r="5233" spans="10:10" x14ac:dyDescent="0.35">
      <c r="J5233"/>
    </row>
    <row r="5234" spans="10:10" x14ac:dyDescent="0.35">
      <c r="J5234"/>
    </row>
    <row r="5235" spans="10:10" x14ac:dyDescent="0.35">
      <c r="J5235"/>
    </row>
    <row r="5236" spans="10:10" x14ac:dyDescent="0.35">
      <c r="J5236"/>
    </row>
    <row r="5237" spans="10:10" x14ac:dyDescent="0.35">
      <c r="J5237"/>
    </row>
    <row r="5238" spans="10:10" x14ac:dyDescent="0.35">
      <c r="J5238"/>
    </row>
    <row r="5239" spans="10:10" x14ac:dyDescent="0.35">
      <c r="J5239"/>
    </row>
    <row r="5240" spans="10:10" x14ac:dyDescent="0.35">
      <c r="J5240"/>
    </row>
    <row r="5241" spans="10:10" x14ac:dyDescent="0.35">
      <c r="J5241"/>
    </row>
    <row r="5242" spans="10:10" x14ac:dyDescent="0.35">
      <c r="J5242"/>
    </row>
    <row r="5243" spans="10:10" x14ac:dyDescent="0.35">
      <c r="J5243"/>
    </row>
    <row r="5244" spans="10:10" x14ac:dyDescent="0.35">
      <c r="J5244"/>
    </row>
    <row r="5245" spans="10:10" x14ac:dyDescent="0.35">
      <c r="J5245"/>
    </row>
    <row r="5246" spans="10:10" x14ac:dyDescent="0.35">
      <c r="J5246"/>
    </row>
    <row r="5247" spans="10:10" x14ac:dyDescent="0.35">
      <c r="J5247"/>
    </row>
    <row r="5248" spans="10:10" x14ac:dyDescent="0.35">
      <c r="J5248"/>
    </row>
    <row r="5249" spans="10:10" x14ac:dyDescent="0.35">
      <c r="J5249"/>
    </row>
    <row r="5250" spans="10:10" x14ac:dyDescent="0.35">
      <c r="J5250"/>
    </row>
    <row r="5251" spans="10:10" x14ac:dyDescent="0.35">
      <c r="J5251"/>
    </row>
    <row r="5252" spans="10:10" x14ac:dyDescent="0.35">
      <c r="J5252"/>
    </row>
    <row r="5253" spans="10:10" x14ac:dyDescent="0.35">
      <c r="J5253"/>
    </row>
    <row r="5254" spans="10:10" x14ac:dyDescent="0.35">
      <c r="J5254"/>
    </row>
    <row r="5255" spans="10:10" x14ac:dyDescent="0.35">
      <c r="J5255"/>
    </row>
    <row r="5256" spans="10:10" x14ac:dyDescent="0.35">
      <c r="J5256"/>
    </row>
    <row r="5257" spans="10:10" x14ac:dyDescent="0.35">
      <c r="J5257"/>
    </row>
    <row r="5258" spans="10:10" x14ac:dyDescent="0.35">
      <c r="J5258"/>
    </row>
    <row r="5259" spans="10:10" x14ac:dyDescent="0.35">
      <c r="J5259"/>
    </row>
    <row r="5260" spans="10:10" x14ac:dyDescent="0.35">
      <c r="J5260"/>
    </row>
    <row r="5261" spans="10:10" x14ac:dyDescent="0.35">
      <c r="J5261"/>
    </row>
    <row r="5262" spans="10:10" x14ac:dyDescent="0.35">
      <c r="J5262"/>
    </row>
    <row r="5263" spans="10:10" x14ac:dyDescent="0.35">
      <c r="J5263"/>
    </row>
    <row r="5264" spans="10:10" x14ac:dyDescent="0.35">
      <c r="J5264"/>
    </row>
    <row r="5265" spans="10:10" x14ac:dyDescent="0.35">
      <c r="J5265"/>
    </row>
    <row r="5266" spans="10:10" x14ac:dyDescent="0.35">
      <c r="J5266"/>
    </row>
    <row r="5267" spans="10:10" x14ac:dyDescent="0.35">
      <c r="J5267"/>
    </row>
    <row r="5268" spans="10:10" x14ac:dyDescent="0.35">
      <c r="J5268"/>
    </row>
    <row r="5269" spans="10:10" x14ac:dyDescent="0.35">
      <c r="J5269"/>
    </row>
    <row r="5270" spans="10:10" x14ac:dyDescent="0.35">
      <c r="J5270"/>
    </row>
    <row r="5271" spans="10:10" x14ac:dyDescent="0.35">
      <c r="J5271"/>
    </row>
    <row r="5272" spans="10:10" x14ac:dyDescent="0.35">
      <c r="J5272"/>
    </row>
    <row r="5273" spans="10:10" x14ac:dyDescent="0.35">
      <c r="J5273"/>
    </row>
    <row r="5274" spans="10:10" x14ac:dyDescent="0.35">
      <c r="J5274"/>
    </row>
    <row r="5275" spans="10:10" x14ac:dyDescent="0.35">
      <c r="J5275"/>
    </row>
    <row r="5276" spans="10:10" x14ac:dyDescent="0.35">
      <c r="J5276"/>
    </row>
    <row r="5277" spans="10:10" x14ac:dyDescent="0.35">
      <c r="J5277"/>
    </row>
    <row r="5278" spans="10:10" x14ac:dyDescent="0.35">
      <c r="J5278"/>
    </row>
    <row r="5279" spans="10:10" x14ac:dyDescent="0.35">
      <c r="J5279"/>
    </row>
    <row r="5280" spans="10:10" x14ac:dyDescent="0.35">
      <c r="J5280"/>
    </row>
    <row r="5281" spans="10:10" x14ac:dyDescent="0.35">
      <c r="J5281"/>
    </row>
    <row r="5282" spans="10:10" x14ac:dyDescent="0.35">
      <c r="J5282"/>
    </row>
    <row r="5283" spans="10:10" x14ac:dyDescent="0.35">
      <c r="J5283"/>
    </row>
    <row r="5284" spans="10:10" x14ac:dyDescent="0.35">
      <c r="J5284"/>
    </row>
    <row r="5285" spans="10:10" x14ac:dyDescent="0.35">
      <c r="J5285"/>
    </row>
    <row r="5286" spans="10:10" x14ac:dyDescent="0.35">
      <c r="J5286"/>
    </row>
    <row r="5287" spans="10:10" x14ac:dyDescent="0.35">
      <c r="J5287"/>
    </row>
    <row r="5288" spans="10:10" x14ac:dyDescent="0.35">
      <c r="J5288"/>
    </row>
    <row r="5289" spans="10:10" x14ac:dyDescent="0.35">
      <c r="J5289"/>
    </row>
    <row r="5290" spans="10:10" x14ac:dyDescent="0.35">
      <c r="J5290"/>
    </row>
    <row r="5291" spans="10:10" x14ac:dyDescent="0.35">
      <c r="J5291"/>
    </row>
    <row r="5292" spans="10:10" x14ac:dyDescent="0.35">
      <c r="J5292"/>
    </row>
    <row r="5293" spans="10:10" x14ac:dyDescent="0.35">
      <c r="J5293"/>
    </row>
    <row r="5294" spans="10:10" x14ac:dyDescent="0.35">
      <c r="J5294"/>
    </row>
    <row r="5295" spans="10:10" x14ac:dyDescent="0.35">
      <c r="J5295"/>
    </row>
    <row r="5296" spans="10:10" x14ac:dyDescent="0.35">
      <c r="J5296"/>
    </row>
    <row r="5297" spans="10:10" x14ac:dyDescent="0.35">
      <c r="J5297"/>
    </row>
    <row r="5298" spans="10:10" x14ac:dyDescent="0.35">
      <c r="J5298"/>
    </row>
    <row r="5299" spans="10:10" x14ac:dyDescent="0.35">
      <c r="J5299"/>
    </row>
    <row r="5300" spans="10:10" x14ac:dyDescent="0.35">
      <c r="J5300"/>
    </row>
    <row r="5301" spans="10:10" x14ac:dyDescent="0.35">
      <c r="J5301"/>
    </row>
    <row r="5302" spans="10:10" x14ac:dyDescent="0.35">
      <c r="J5302"/>
    </row>
    <row r="5303" spans="10:10" x14ac:dyDescent="0.35">
      <c r="J5303"/>
    </row>
    <row r="5304" spans="10:10" x14ac:dyDescent="0.35">
      <c r="J5304"/>
    </row>
    <row r="5305" spans="10:10" x14ac:dyDescent="0.35">
      <c r="J5305"/>
    </row>
    <row r="5306" spans="10:10" x14ac:dyDescent="0.35">
      <c r="J5306"/>
    </row>
    <row r="5307" spans="10:10" x14ac:dyDescent="0.35">
      <c r="J5307"/>
    </row>
    <row r="5308" spans="10:10" x14ac:dyDescent="0.35">
      <c r="J5308"/>
    </row>
    <row r="5309" spans="10:10" x14ac:dyDescent="0.35">
      <c r="J5309"/>
    </row>
    <row r="5310" spans="10:10" x14ac:dyDescent="0.35">
      <c r="J5310"/>
    </row>
    <row r="5311" spans="10:10" x14ac:dyDescent="0.35">
      <c r="J5311"/>
    </row>
    <row r="5312" spans="10:10" x14ac:dyDescent="0.35">
      <c r="J5312"/>
    </row>
    <row r="5313" spans="10:10" x14ac:dyDescent="0.35">
      <c r="J5313"/>
    </row>
    <row r="5314" spans="10:10" x14ac:dyDescent="0.35">
      <c r="J5314"/>
    </row>
    <row r="5315" spans="10:10" x14ac:dyDescent="0.35">
      <c r="J5315"/>
    </row>
    <row r="5316" spans="10:10" x14ac:dyDescent="0.35">
      <c r="J5316"/>
    </row>
    <row r="5317" spans="10:10" x14ac:dyDescent="0.35">
      <c r="J5317"/>
    </row>
    <row r="5318" spans="10:10" x14ac:dyDescent="0.35">
      <c r="J5318"/>
    </row>
    <row r="5319" spans="10:10" x14ac:dyDescent="0.35">
      <c r="J5319"/>
    </row>
    <row r="5320" spans="10:10" x14ac:dyDescent="0.35">
      <c r="J5320"/>
    </row>
    <row r="5321" spans="10:10" x14ac:dyDescent="0.35">
      <c r="J5321"/>
    </row>
    <row r="5322" spans="10:10" x14ac:dyDescent="0.35">
      <c r="J5322"/>
    </row>
    <row r="5323" spans="10:10" x14ac:dyDescent="0.35">
      <c r="J5323"/>
    </row>
    <row r="5324" spans="10:10" x14ac:dyDescent="0.35">
      <c r="J5324"/>
    </row>
    <row r="5325" spans="10:10" x14ac:dyDescent="0.35">
      <c r="J5325"/>
    </row>
    <row r="5326" spans="10:10" x14ac:dyDescent="0.35">
      <c r="J5326"/>
    </row>
    <row r="5327" spans="10:10" x14ac:dyDescent="0.35">
      <c r="J5327"/>
    </row>
    <row r="5328" spans="10:10" x14ac:dyDescent="0.35">
      <c r="J5328"/>
    </row>
    <row r="5329" spans="10:10" x14ac:dyDescent="0.35">
      <c r="J5329"/>
    </row>
    <row r="5330" spans="10:10" x14ac:dyDescent="0.35">
      <c r="J5330"/>
    </row>
    <row r="5331" spans="10:10" x14ac:dyDescent="0.35">
      <c r="J5331"/>
    </row>
    <row r="5332" spans="10:10" x14ac:dyDescent="0.35">
      <c r="J5332"/>
    </row>
    <row r="5333" spans="10:10" x14ac:dyDescent="0.35">
      <c r="J5333"/>
    </row>
    <row r="5334" spans="10:10" x14ac:dyDescent="0.35">
      <c r="J5334"/>
    </row>
    <row r="5335" spans="10:10" x14ac:dyDescent="0.35">
      <c r="J5335"/>
    </row>
    <row r="5336" spans="10:10" x14ac:dyDescent="0.35">
      <c r="J5336"/>
    </row>
    <row r="5337" spans="10:10" x14ac:dyDescent="0.35">
      <c r="J5337"/>
    </row>
    <row r="5338" spans="10:10" x14ac:dyDescent="0.35">
      <c r="J5338"/>
    </row>
    <row r="5339" spans="10:10" x14ac:dyDescent="0.35">
      <c r="J5339"/>
    </row>
    <row r="5340" spans="10:10" x14ac:dyDescent="0.35">
      <c r="J5340"/>
    </row>
    <row r="5341" spans="10:10" x14ac:dyDescent="0.35">
      <c r="J5341"/>
    </row>
    <row r="5342" spans="10:10" x14ac:dyDescent="0.35">
      <c r="J5342"/>
    </row>
    <row r="5343" spans="10:10" x14ac:dyDescent="0.35">
      <c r="J5343"/>
    </row>
    <row r="5344" spans="10:10" x14ac:dyDescent="0.35">
      <c r="J5344"/>
    </row>
    <row r="5345" spans="10:10" x14ac:dyDescent="0.35">
      <c r="J5345"/>
    </row>
    <row r="5346" spans="10:10" x14ac:dyDescent="0.35">
      <c r="J5346"/>
    </row>
    <row r="5347" spans="10:10" x14ac:dyDescent="0.35">
      <c r="J5347"/>
    </row>
    <row r="5348" spans="10:10" x14ac:dyDescent="0.35">
      <c r="J5348"/>
    </row>
    <row r="5349" spans="10:10" x14ac:dyDescent="0.35">
      <c r="J5349"/>
    </row>
    <row r="5350" spans="10:10" x14ac:dyDescent="0.35">
      <c r="J5350"/>
    </row>
    <row r="5351" spans="10:10" x14ac:dyDescent="0.35">
      <c r="J5351"/>
    </row>
    <row r="5352" spans="10:10" x14ac:dyDescent="0.35">
      <c r="J5352"/>
    </row>
    <row r="5353" spans="10:10" x14ac:dyDescent="0.35">
      <c r="J5353"/>
    </row>
    <row r="5354" spans="10:10" x14ac:dyDescent="0.35">
      <c r="J5354"/>
    </row>
    <row r="5355" spans="10:10" x14ac:dyDescent="0.35">
      <c r="J5355"/>
    </row>
    <row r="5356" spans="10:10" x14ac:dyDescent="0.35">
      <c r="J5356"/>
    </row>
    <row r="5357" spans="10:10" x14ac:dyDescent="0.35">
      <c r="J5357"/>
    </row>
    <row r="5358" spans="10:10" x14ac:dyDescent="0.35">
      <c r="J5358"/>
    </row>
    <row r="5359" spans="10:10" x14ac:dyDescent="0.35">
      <c r="J5359"/>
    </row>
    <row r="5360" spans="10:10" x14ac:dyDescent="0.35">
      <c r="J5360"/>
    </row>
    <row r="5361" spans="10:10" x14ac:dyDescent="0.35">
      <c r="J5361"/>
    </row>
    <row r="5362" spans="10:10" x14ac:dyDescent="0.35">
      <c r="J5362"/>
    </row>
    <row r="5363" spans="10:10" x14ac:dyDescent="0.35">
      <c r="J5363"/>
    </row>
    <row r="5364" spans="10:10" x14ac:dyDescent="0.35">
      <c r="J5364"/>
    </row>
    <row r="5365" spans="10:10" x14ac:dyDescent="0.35">
      <c r="J5365"/>
    </row>
    <row r="5366" spans="10:10" x14ac:dyDescent="0.35">
      <c r="J5366"/>
    </row>
    <row r="5367" spans="10:10" x14ac:dyDescent="0.35">
      <c r="J5367"/>
    </row>
    <row r="5368" spans="10:10" x14ac:dyDescent="0.35">
      <c r="J5368"/>
    </row>
    <row r="5369" spans="10:10" x14ac:dyDescent="0.35">
      <c r="J5369"/>
    </row>
    <row r="5370" spans="10:10" x14ac:dyDescent="0.35">
      <c r="J5370"/>
    </row>
    <row r="5371" spans="10:10" x14ac:dyDescent="0.35">
      <c r="J5371"/>
    </row>
    <row r="5372" spans="10:10" x14ac:dyDescent="0.35">
      <c r="J5372"/>
    </row>
    <row r="5373" spans="10:10" x14ac:dyDescent="0.35">
      <c r="J5373"/>
    </row>
    <row r="5374" spans="10:10" x14ac:dyDescent="0.35">
      <c r="J5374"/>
    </row>
    <row r="5375" spans="10:10" x14ac:dyDescent="0.35">
      <c r="J5375"/>
    </row>
    <row r="5376" spans="10:10" x14ac:dyDescent="0.35">
      <c r="J5376"/>
    </row>
    <row r="5377" spans="10:10" x14ac:dyDescent="0.35">
      <c r="J5377"/>
    </row>
    <row r="5378" spans="10:10" x14ac:dyDescent="0.35">
      <c r="J5378"/>
    </row>
    <row r="5379" spans="10:10" x14ac:dyDescent="0.35">
      <c r="J5379"/>
    </row>
    <row r="5380" spans="10:10" x14ac:dyDescent="0.35">
      <c r="J5380"/>
    </row>
    <row r="5381" spans="10:10" x14ac:dyDescent="0.35">
      <c r="J5381"/>
    </row>
    <row r="5382" spans="10:10" x14ac:dyDescent="0.35">
      <c r="J5382"/>
    </row>
    <row r="5383" spans="10:10" x14ac:dyDescent="0.35">
      <c r="J5383"/>
    </row>
    <row r="5384" spans="10:10" x14ac:dyDescent="0.35">
      <c r="J5384"/>
    </row>
    <row r="5385" spans="10:10" x14ac:dyDescent="0.35">
      <c r="J5385"/>
    </row>
    <row r="5386" spans="10:10" x14ac:dyDescent="0.35">
      <c r="J5386"/>
    </row>
    <row r="5387" spans="10:10" x14ac:dyDescent="0.35">
      <c r="J5387"/>
    </row>
    <row r="5388" spans="10:10" x14ac:dyDescent="0.35">
      <c r="J5388"/>
    </row>
    <row r="5389" spans="10:10" x14ac:dyDescent="0.35">
      <c r="J5389"/>
    </row>
    <row r="5390" spans="10:10" x14ac:dyDescent="0.35">
      <c r="J5390"/>
    </row>
    <row r="5391" spans="10:10" x14ac:dyDescent="0.35">
      <c r="J5391"/>
    </row>
    <row r="5392" spans="10:10" x14ac:dyDescent="0.35">
      <c r="J5392"/>
    </row>
    <row r="5393" spans="10:10" x14ac:dyDescent="0.35">
      <c r="J5393"/>
    </row>
    <row r="5394" spans="10:10" x14ac:dyDescent="0.35">
      <c r="J5394"/>
    </row>
    <row r="5395" spans="10:10" x14ac:dyDescent="0.35">
      <c r="J5395"/>
    </row>
    <row r="5396" spans="10:10" x14ac:dyDescent="0.35">
      <c r="J5396"/>
    </row>
    <row r="5397" spans="10:10" x14ac:dyDescent="0.35">
      <c r="J5397"/>
    </row>
    <row r="5398" spans="10:10" x14ac:dyDescent="0.35">
      <c r="J5398"/>
    </row>
    <row r="5399" spans="10:10" x14ac:dyDescent="0.35">
      <c r="J5399"/>
    </row>
    <row r="5400" spans="10:10" x14ac:dyDescent="0.35">
      <c r="J5400"/>
    </row>
    <row r="5401" spans="10:10" x14ac:dyDescent="0.35">
      <c r="J5401"/>
    </row>
    <row r="5402" spans="10:10" x14ac:dyDescent="0.35">
      <c r="J5402"/>
    </row>
    <row r="5403" spans="10:10" x14ac:dyDescent="0.35">
      <c r="J5403"/>
    </row>
    <row r="5404" spans="10:10" x14ac:dyDescent="0.35">
      <c r="J5404"/>
    </row>
    <row r="5405" spans="10:10" x14ac:dyDescent="0.35">
      <c r="J5405"/>
    </row>
    <row r="5406" spans="10:10" x14ac:dyDescent="0.35">
      <c r="J5406"/>
    </row>
    <row r="5407" spans="10:10" x14ac:dyDescent="0.35">
      <c r="J5407"/>
    </row>
    <row r="5408" spans="10:10" x14ac:dyDescent="0.35">
      <c r="J5408"/>
    </row>
    <row r="5409" spans="10:10" x14ac:dyDescent="0.35">
      <c r="J5409"/>
    </row>
    <row r="5410" spans="10:10" x14ac:dyDescent="0.35">
      <c r="J5410"/>
    </row>
    <row r="5411" spans="10:10" x14ac:dyDescent="0.35">
      <c r="J5411"/>
    </row>
    <row r="5412" spans="10:10" x14ac:dyDescent="0.35">
      <c r="J5412"/>
    </row>
    <row r="5413" spans="10:10" x14ac:dyDescent="0.35">
      <c r="J5413"/>
    </row>
    <row r="5414" spans="10:10" x14ac:dyDescent="0.35">
      <c r="J5414"/>
    </row>
    <row r="5415" spans="10:10" x14ac:dyDescent="0.35">
      <c r="J5415"/>
    </row>
    <row r="5416" spans="10:10" x14ac:dyDescent="0.35">
      <c r="J5416"/>
    </row>
    <row r="5417" spans="10:10" x14ac:dyDescent="0.35">
      <c r="J5417"/>
    </row>
    <row r="5418" spans="10:10" x14ac:dyDescent="0.35">
      <c r="J5418"/>
    </row>
    <row r="5419" spans="10:10" x14ac:dyDescent="0.35">
      <c r="J5419"/>
    </row>
    <row r="5420" spans="10:10" x14ac:dyDescent="0.35">
      <c r="J5420"/>
    </row>
    <row r="5421" spans="10:10" x14ac:dyDescent="0.35">
      <c r="J5421"/>
    </row>
    <row r="5422" spans="10:10" x14ac:dyDescent="0.35">
      <c r="J5422"/>
    </row>
    <row r="5423" spans="10:10" x14ac:dyDescent="0.35">
      <c r="J5423"/>
    </row>
    <row r="5424" spans="10:10" x14ac:dyDescent="0.35">
      <c r="J5424"/>
    </row>
    <row r="5425" spans="10:10" x14ac:dyDescent="0.35">
      <c r="J5425"/>
    </row>
    <row r="5426" spans="10:10" x14ac:dyDescent="0.35">
      <c r="J5426"/>
    </row>
    <row r="5427" spans="10:10" x14ac:dyDescent="0.35">
      <c r="J5427"/>
    </row>
    <row r="5428" spans="10:10" x14ac:dyDescent="0.35">
      <c r="J5428"/>
    </row>
    <row r="5429" spans="10:10" x14ac:dyDescent="0.35">
      <c r="J5429"/>
    </row>
    <row r="5430" spans="10:10" x14ac:dyDescent="0.35">
      <c r="J5430"/>
    </row>
    <row r="5431" spans="10:10" x14ac:dyDescent="0.35">
      <c r="J5431"/>
    </row>
    <row r="5432" spans="10:10" x14ac:dyDescent="0.35">
      <c r="J5432"/>
    </row>
    <row r="5433" spans="10:10" x14ac:dyDescent="0.35">
      <c r="J5433"/>
    </row>
    <row r="5434" spans="10:10" x14ac:dyDescent="0.35">
      <c r="J5434"/>
    </row>
    <row r="5435" spans="10:10" x14ac:dyDescent="0.35">
      <c r="J5435"/>
    </row>
    <row r="5436" spans="10:10" x14ac:dyDescent="0.35">
      <c r="J5436"/>
    </row>
    <row r="5437" spans="10:10" x14ac:dyDescent="0.35">
      <c r="J5437"/>
    </row>
    <row r="5438" spans="10:10" x14ac:dyDescent="0.35">
      <c r="J5438"/>
    </row>
    <row r="5439" spans="10:10" x14ac:dyDescent="0.35">
      <c r="J5439"/>
    </row>
    <row r="5440" spans="10:10" x14ac:dyDescent="0.35">
      <c r="J5440"/>
    </row>
    <row r="5441" spans="10:10" x14ac:dyDescent="0.35">
      <c r="J5441"/>
    </row>
    <row r="5442" spans="10:10" x14ac:dyDescent="0.35">
      <c r="J5442"/>
    </row>
    <row r="5443" spans="10:10" x14ac:dyDescent="0.35">
      <c r="J5443"/>
    </row>
    <row r="5444" spans="10:10" x14ac:dyDescent="0.35">
      <c r="J5444"/>
    </row>
    <row r="5445" spans="10:10" x14ac:dyDescent="0.35">
      <c r="J5445"/>
    </row>
    <row r="5446" spans="10:10" x14ac:dyDescent="0.35">
      <c r="J5446"/>
    </row>
    <row r="5447" spans="10:10" x14ac:dyDescent="0.35">
      <c r="J5447"/>
    </row>
    <row r="5448" spans="10:10" x14ac:dyDescent="0.35">
      <c r="J5448"/>
    </row>
    <row r="5449" spans="10:10" x14ac:dyDescent="0.35">
      <c r="J5449"/>
    </row>
    <row r="5450" spans="10:10" x14ac:dyDescent="0.35">
      <c r="J5450"/>
    </row>
    <row r="5451" spans="10:10" x14ac:dyDescent="0.35">
      <c r="J5451"/>
    </row>
    <row r="5452" spans="10:10" x14ac:dyDescent="0.35">
      <c r="J5452"/>
    </row>
    <row r="5453" spans="10:10" x14ac:dyDescent="0.35">
      <c r="J5453"/>
    </row>
    <row r="5454" spans="10:10" x14ac:dyDescent="0.35">
      <c r="J5454"/>
    </row>
    <row r="5455" spans="10:10" x14ac:dyDescent="0.35">
      <c r="J5455"/>
    </row>
    <row r="5456" spans="10:10" x14ac:dyDescent="0.35">
      <c r="J5456"/>
    </row>
    <row r="5457" spans="10:10" x14ac:dyDescent="0.35">
      <c r="J5457"/>
    </row>
    <row r="5458" spans="10:10" x14ac:dyDescent="0.35">
      <c r="J5458"/>
    </row>
    <row r="5459" spans="10:10" x14ac:dyDescent="0.35">
      <c r="J5459"/>
    </row>
    <row r="5460" spans="10:10" x14ac:dyDescent="0.35">
      <c r="J5460"/>
    </row>
    <row r="5461" spans="10:10" x14ac:dyDescent="0.35">
      <c r="J5461"/>
    </row>
    <row r="5462" spans="10:10" x14ac:dyDescent="0.35">
      <c r="J5462"/>
    </row>
    <row r="5463" spans="10:10" x14ac:dyDescent="0.35">
      <c r="J5463"/>
    </row>
    <row r="5464" spans="10:10" x14ac:dyDescent="0.35">
      <c r="J5464"/>
    </row>
    <row r="5465" spans="10:10" x14ac:dyDescent="0.35">
      <c r="J5465"/>
    </row>
    <row r="5466" spans="10:10" x14ac:dyDescent="0.35">
      <c r="J5466"/>
    </row>
    <row r="5467" spans="10:10" x14ac:dyDescent="0.35">
      <c r="J5467"/>
    </row>
    <row r="5468" spans="10:10" x14ac:dyDescent="0.35">
      <c r="J5468"/>
    </row>
    <row r="5469" spans="10:10" x14ac:dyDescent="0.35">
      <c r="J5469"/>
    </row>
    <row r="5470" spans="10:10" x14ac:dyDescent="0.35">
      <c r="J5470"/>
    </row>
    <row r="5471" spans="10:10" x14ac:dyDescent="0.35">
      <c r="J5471"/>
    </row>
    <row r="5472" spans="10:10" x14ac:dyDescent="0.35">
      <c r="J5472"/>
    </row>
    <row r="5473" spans="10:10" x14ac:dyDescent="0.35">
      <c r="J5473"/>
    </row>
    <row r="5474" spans="10:10" x14ac:dyDescent="0.35">
      <c r="J5474"/>
    </row>
    <row r="5475" spans="10:10" x14ac:dyDescent="0.35">
      <c r="J5475"/>
    </row>
    <row r="5476" spans="10:10" x14ac:dyDescent="0.35">
      <c r="J5476"/>
    </row>
    <row r="5477" spans="10:10" x14ac:dyDescent="0.35">
      <c r="J5477"/>
    </row>
    <row r="5478" spans="10:10" x14ac:dyDescent="0.35">
      <c r="J5478"/>
    </row>
    <row r="5479" spans="10:10" x14ac:dyDescent="0.35">
      <c r="J5479"/>
    </row>
    <row r="5480" spans="10:10" x14ac:dyDescent="0.35">
      <c r="J5480"/>
    </row>
    <row r="5481" spans="10:10" x14ac:dyDescent="0.35">
      <c r="J5481"/>
    </row>
    <row r="5482" spans="10:10" x14ac:dyDescent="0.35">
      <c r="J5482"/>
    </row>
    <row r="5483" spans="10:10" x14ac:dyDescent="0.35">
      <c r="J5483"/>
    </row>
    <row r="5484" spans="10:10" x14ac:dyDescent="0.35">
      <c r="J5484"/>
    </row>
    <row r="5485" spans="10:10" x14ac:dyDescent="0.35">
      <c r="J5485"/>
    </row>
    <row r="5486" spans="10:10" x14ac:dyDescent="0.35">
      <c r="J5486"/>
    </row>
    <row r="5487" spans="10:10" x14ac:dyDescent="0.35">
      <c r="J5487"/>
    </row>
    <row r="5488" spans="10:10" x14ac:dyDescent="0.35">
      <c r="J5488"/>
    </row>
    <row r="5489" spans="10:10" x14ac:dyDescent="0.35">
      <c r="J5489"/>
    </row>
    <row r="5490" spans="10:10" x14ac:dyDescent="0.35">
      <c r="J5490"/>
    </row>
    <row r="5491" spans="10:10" x14ac:dyDescent="0.35">
      <c r="J5491"/>
    </row>
    <row r="5492" spans="10:10" x14ac:dyDescent="0.35">
      <c r="J5492"/>
    </row>
    <row r="5493" spans="10:10" x14ac:dyDescent="0.35">
      <c r="J5493"/>
    </row>
    <row r="5494" spans="10:10" x14ac:dyDescent="0.35">
      <c r="J5494"/>
    </row>
    <row r="5495" spans="10:10" x14ac:dyDescent="0.35">
      <c r="J5495"/>
    </row>
    <row r="5496" spans="10:10" x14ac:dyDescent="0.35">
      <c r="J5496"/>
    </row>
    <row r="5497" spans="10:10" x14ac:dyDescent="0.35">
      <c r="J5497"/>
    </row>
    <row r="5498" spans="10:10" x14ac:dyDescent="0.35">
      <c r="J5498"/>
    </row>
    <row r="5499" spans="10:10" x14ac:dyDescent="0.35">
      <c r="J5499"/>
    </row>
    <row r="5500" spans="10:10" x14ac:dyDescent="0.35">
      <c r="J5500"/>
    </row>
    <row r="5501" spans="10:10" x14ac:dyDescent="0.35">
      <c r="J5501"/>
    </row>
    <row r="5502" spans="10:10" x14ac:dyDescent="0.35">
      <c r="J5502"/>
    </row>
    <row r="5503" spans="10:10" x14ac:dyDescent="0.35">
      <c r="J5503"/>
    </row>
    <row r="5504" spans="10:10" x14ac:dyDescent="0.35">
      <c r="J5504"/>
    </row>
    <row r="5505" spans="10:10" x14ac:dyDescent="0.35">
      <c r="J5505"/>
    </row>
    <row r="5506" spans="10:10" x14ac:dyDescent="0.35">
      <c r="J5506"/>
    </row>
    <row r="5507" spans="10:10" x14ac:dyDescent="0.35">
      <c r="J5507"/>
    </row>
    <row r="5508" spans="10:10" x14ac:dyDescent="0.35">
      <c r="J5508"/>
    </row>
    <row r="5509" spans="10:10" x14ac:dyDescent="0.35">
      <c r="J5509"/>
    </row>
    <row r="5510" spans="10:10" x14ac:dyDescent="0.35">
      <c r="J5510"/>
    </row>
    <row r="5511" spans="10:10" x14ac:dyDescent="0.35">
      <c r="J5511"/>
    </row>
    <row r="5512" spans="10:10" x14ac:dyDescent="0.35">
      <c r="J5512"/>
    </row>
    <row r="5513" spans="10:10" x14ac:dyDescent="0.35">
      <c r="J5513"/>
    </row>
    <row r="5514" spans="10:10" x14ac:dyDescent="0.35">
      <c r="J5514"/>
    </row>
    <row r="5515" spans="10:10" x14ac:dyDescent="0.35">
      <c r="J5515"/>
    </row>
    <row r="5516" spans="10:10" x14ac:dyDescent="0.35">
      <c r="J5516"/>
    </row>
    <row r="5517" spans="10:10" x14ac:dyDescent="0.35">
      <c r="J5517"/>
    </row>
    <row r="5518" spans="10:10" x14ac:dyDescent="0.35">
      <c r="J5518"/>
    </row>
    <row r="5519" spans="10:10" x14ac:dyDescent="0.35">
      <c r="J5519"/>
    </row>
    <row r="5520" spans="10:10" x14ac:dyDescent="0.35">
      <c r="J5520"/>
    </row>
    <row r="5521" spans="10:10" x14ac:dyDescent="0.35">
      <c r="J5521"/>
    </row>
    <row r="5522" spans="10:10" x14ac:dyDescent="0.35">
      <c r="J5522"/>
    </row>
    <row r="5523" spans="10:10" x14ac:dyDescent="0.35">
      <c r="J5523"/>
    </row>
    <row r="5524" spans="10:10" x14ac:dyDescent="0.35">
      <c r="J5524"/>
    </row>
    <row r="5525" spans="10:10" x14ac:dyDescent="0.35">
      <c r="J5525"/>
    </row>
    <row r="5526" spans="10:10" x14ac:dyDescent="0.35">
      <c r="J5526"/>
    </row>
    <row r="5527" spans="10:10" x14ac:dyDescent="0.35">
      <c r="J5527"/>
    </row>
    <row r="5528" spans="10:10" x14ac:dyDescent="0.35">
      <c r="J5528"/>
    </row>
    <row r="5529" spans="10:10" x14ac:dyDescent="0.35">
      <c r="J5529"/>
    </row>
    <row r="5530" spans="10:10" x14ac:dyDescent="0.35">
      <c r="J5530"/>
    </row>
    <row r="5531" spans="10:10" x14ac:dyDescent="0.35">
      <c r="J5531"/>
    </row>
    <row r="5532" spans="10:10" x14ac:dyDescent="0.35">
      <c r="J5532"/>
    </row>
    <row r="5533" spans="10:10" x14ac:dyDescent="0.35">
      <c r="J5533"/>
    </row>
    <row r="5534" spans="10:10" x14ac:dyDescent="0.35">
      <c r="J5534"/>
    </row>
    <row r="5535" spans="10:10" x14ac:dyDescent="0.35">
      <c r="J5535"/>
    </row>
    <row r="5536" spans="10:10" x14ac:dyDescent="0.35">
      <c r="J5536"/>
    </row>
    <row r="5537" spans="10:10" x14ac:dyDescent="0.35">
      <c r="J5537"/>
    </row>
    <row r="5538" spans="10:10" x14ac:dyDescent="0.35">
      <c r="J5538"/>
    </row>
    <row r="5539" spans="10:10" x14ac:dyDescent="0.35">
      <c r="J5539"/>
    </row>
    <row r="5540" spans="10:10" x14ac:dyDescent="0.35">
      <c r="J5540"/>
    </row>
    <row r="5541" spans="10:10" x14ac:dyDescent="0.35">
      <c r="J5541"/>
    </row>
    <row r="5542" spans="10:10" x14ac:dyDescent="0.35">
      <c r="J5542"/>
    </row>
    <row r="5543" spans="10:10" x14ac:dyDescent="0.35">
      <c r="J5543"/>
    </row>
    <row r="5544" spans="10:10" x14ac:dyDescent="0.35">
      <c r="J5544"/>
    </row>
    <row r="5545" spans="10:10" x14ac:dyDescent="0.35">
      <c r="J5545"/>
    </row>
    <row r="5546" spans="10:10" x14ac:dyDescent="0.35">
      <c r="J5546"/>
    </row>
    <row r="5547" spans="10:10" x14ac:dyDescent="0.35">
      <c r="J5547"/>
    </row>
    <row r="5548" spans="10:10" x14ac:dyDescent="0.35">
      <c r="J5548"/>
    </row>
    <row r="5549" spans="10:10" x14ac:dyDescent="0.35">
      <c r="J5549"/>
    </row>
    <row r="5550" spans="10:10" x14ac:dyDescent="0.35">
      <c r="J5550"/>
    </row>
    <row r="5551" spans="10:10" x14ac:dyDescent="0.35">
      <c r="J5551"/>
    </row>
    <row r="5552" spans="10:10" x14ac:dyDescent="0.35">
      <c r="J5552"/>
    </row>
    <row r="5553" spans="10:10" x14ac:dyDescent="0.35">
      <c r="J5553"/>
    </row>
    <row r="5554" spans="10:10" x14ac:dyDescent="0.35">
      <c r="J5554"/>
    </row>
    <row r="5555" spans="10:10" x14ac:dyDescent="0.35">
      <c r="J5555"/>
    </row>
    <row r="5556" spans="10:10" x14ac:dyDescent="0.35">
      <c r="J5556"/>
    </row>
    <row r="5557" spans="10:10" x14ac:dyDescent="0.35">
      <c r="J5557"/>
    </row>
    <row r="5558" spans="10:10" x14ac:dyDescent="0.35">
      <c r="J5558"/>
    </row>
    <row r="5559" spans="10:10" x14ac:dyDescent="0.35">
      <c r="J5559"/>
    </row>
    <row r="5560" spans="10:10" x14ac:dyDescent="0.35">
      <c r="J5560"/>
    </row>
    <row r="5561" spans="10:10" x14ac:dyDescent="0.35">
      <c r="J5561"/>
    </row>
    <row r="5562" spans="10:10" x14ac:dyDescent="0.35">
      <c r="J5562"/>
    </row>
    <row r="5563" spans="10:10" x14ac:dyDescent="0.35">
      <c r="J5563"/>
    </row>
    <row r="5564" spans="10:10" x14ac:dyDescent="0.35">
      <c r="J5564"/>
    </row>
    <row r="5565" spans="10:10" x14ac:dyDescent="0.35">
      <c r="J5565"/>
    </row>
    <row r="5566" spans="10:10" x14ac:dyDescent="0.35">
      <c r="J5566"/>
    </row>
    <row r="5567" spans="10:10" x14ac:dyDescent="0.35">
      <c r="J5567"/>
    </row>
    <row r="5568" spans="10:10" x14ac:dyDescent="0.35">
      <c r="J5568"/>
    </row>
    <row r="5569" spans="10:10" x14ac:dyDescent="0.35">
      <c r="J5569"/>
    </row>
    <row r="5570" spans="10:10" x14ac:dyDescent="0.35">
      <c r="J5570"/>
    </row>
    <row r="5571" spans="10:10" x14ac:dyDescent="0.35">
      <c r="J5571"/>
    </row>
    <row r="5572" spans="10:10" x14ac:dyDescent="0.35">
      <c r="J5572"/>
    </row>
    <row r="5573" spans="10:10" x14ac:dyDescent="0.35">
      <c r="J5573"/>
    </row>
    <row r="5574" spans="10:10" x14ac:dyDescent="0.35">
      <c r="J5574"/>
    </row>
    <row r="5575" spans="10:10" x14ac:dyDescent="0.35">
      <c r="J5575"/>
    </row>
    <row r="5576" spans="10:10" x14ac:dyDescent="0.35">
      <c r="J5576"/>
    </row>
    <row r="5577" spans="10:10" x14ac:dyDescent="0.35">
      <c r="J5577"/>
    </row>
    <row r="5578" spans="10:10" x14ac:dyDescent="0.35">
      <c r="J5578"/>
    </row>
    <row r="5579" spans="10:10" x14ac:dyDescent="0.35">
      <c r="J5579"/>
    </row>
    <row r="5580" spans="10:10" x14ac:dyDescent="0.35">
      <c r="J5580"/>
    </row>
    <row r="5581" spans="10:10" x14ac:dyDescent="0.35">
      <c r="J5581"/>
    </row>
    <row r="5582" spans="10:10" x14ac:dyDescent="0.35">
      <c r="J5582"/>
    </row>
    <row r="5583" spans="10:10" x14ac:dyDescent="0.35">
      <c r="J5583"/>
    </row>
    <row r="5584" spans="10:10" x14ac:dyDescent="0.35">
      <c r="J5584"/>
    </row>
    <row r="5585" spans="10:10" x14ac:dyDescent="0.35">
      <c r="J5585"/>
    </row>
    <row r="5586" spans="10:10" x14ac:dyDescent="0.35">
      <c r="J5586"/>
    </row>
    <row r="5587" spans="10:10" x14ac:dyDescent="0.35">
      <c r="J5587"/>
    </row>
    <row r="5588" spans="10:10" x14ac:dyDescent="0.35">
      <c r="J5588"/>
    </row>
    <row r="5589" spans="10:10" x14ac:dyDescent="0.35">
      <c r="J5589"/>
    </row>
    <row r="5590" spans="10:10" x14ac:dyDescent="0.35">
      <c r="J5590"/>
    </row>
    <row r="5591" spans="10:10" x14ac:dyDescent="0.35">
      <c r="J5591"/>
    </row>
    <row r="5592" spans="10:10" x14ac:dyDescent="0.35">
      <c r="J5592"/>
    </row>
    <row r="5593" spans="10:10" x14ac:dyDescent="0.35">
      <c r="J5593"/>
    </row>
    <row r="5594" spans="10:10" x14ac:dyDescent="0.35">
      <c r="J5594"/>
    </row>
    <row r="5595" spans="10:10" x14ac:dyDescent="0.35">
      <c r="J5595"/>
    </row>
    <row r="5596" spans="10:10" x14ac:dyDescent="0.35">
      <c r="J5596"/>
    </row>
    <row r="5597" spans="10:10" x14ac:dyDescent="0.35">
      <c r="J5597"/>
    </row>
    <row r="5598" spans="10:10" x14ac:dyDescent="0.35">
      <c r="J5598"/>
    </row>
    <row r="5599" spans="10:10" x14ac:dyDescent="0.35">
      <c r="J5599"/>
    </row>
    <row r="5600" spans="10:10" x14ac:dyDescent="0.35">
      <c r="J5600"/>
    </row>
    <row r="5601" spans="10:10" x14ac:dyDescent="0.35">
      <c r="J5601"/>
    </row>
    <row r="5602" spans="10:10" x14ac:dyDescent="0.35">
      <c r="J5602"/>
    </row>
    <row r="5603" spans="10:10" x14ac:dyDescent="0.35">
      <c r="J5603"/>
    </row>
    <row r="5604" spans="10:10" x14ac:dyDescent="0.35">
      <c r="J5604"/>
    </row>
    <row r="5605" spans="10:10" x14ac:dyDescent="0.35">
      <c r="J5605"/>
    </row>
    <row r="5606" spans="10:10" x14ac:dyDescent="0.35">
      <c r="J5606"/>
    </row>
    <row r="5607" spans="10:10" x14ac:dyDescent="0.35">
      <c r="J5607"/>
    </row>
    <row r="5608" spans="10:10" x14ac:dyDescent="0.35">
      <c r="J5608"/>
    </row>
    <row r="5609" spans="10:10" x14ac:dyDescent="0.35">
      <c r="J5609"/>
    </row>
    <row r="5610" spans="10:10" x14ac:dyDescent="0.35">
      <c r="J5610"/>
    </row>
    <row r="5611" spans="10:10" x14ac:dyDescent="0.35">
      <c r="J5611"/>
    </row>
    <row r="5612" spans="10:10" x14ac:dyDescent="0.35">
      <c r="J5612"/>
    </row>
    <row r="5613" spans="10:10" x14ac:dyDescent="0.35">
      <c r="J5613"/>
    </row>
    <row r="5614" spans="10:10" x14ac:dyDescent="0.35">
      <c r="J5614"/>
    </row>
    <row r="5615" spans="10:10" x14ac:dyDescent="0.35">
      <c r="J5615"/>
    </row>
    <row r="5616" spans="10:10" x14ac:dyDescent="0.35">
      <c r="J5616"/>
    </row>
    <row r="5617" spans="10:10" x14ac:dyDescent="0.35">
      <c r="J5617"/>
    </row>
    <row r="5618" spans="10:10" x14ac:dyDescent="0.35">
      <c r="J5618"/>
    </row>
    <row r="5619" spans="10:10" x14ac:dyDescent="0.35">
      <c r="J5619"/>
    </row>
    <row r="5620" spans="10:10" x14ac:dyDescent="0.35">
      <c r="J5620"/>
    </row>
    <row r="5621" spans="10:10" x14ac:dyDescent="0.35">
      <c r="J5621"/>
    </row>
    <row r="5622" spans="10:10" x14ac:dyDescent="0.35">
      <c r="J5622"/>
    </row>
    <row r="5623" spans="10:10" x14ac:dyDescent="0.35">
      <c r="J5623"/>
    </row>
    <row r="5624" spans="10:10" x14ac:dyDescent="0.35">
      <c r="J5624"/>
    </row>
    <row r="5625" spans="10:10" x14ac:dyDescent="0.35">
      <c r="J5625"/>
    </row>
    <row r="5626" spans="10:10" x14ac:dyDescent="0.35">
      <c r="J5626"/>
    </row>
    <row r="5627" spans="10:10" x14ac:dyDescent="0.35">
      <c r="J5627"/>
    </row>
    <row r="5628" spans="10:10" x14ac:dyDescent="0.35">
      <c r="J5628"/>
    </row>
    <row r="5629" spans="10:10" x14ac:dyDescent="0.35">
      <c r="J5629"/>
    </row>
    <row r="5630" spans="10:10" x14ac:dyDescent="0.35">
      <c r="J5630"/>
    </row>
    <row r="5631" spans="10:10" x14ac:dyDescent="0.35">
      <c r="J5631"/>
    </row>
    <row r="5632" spans="10:10" x14ac:dyDescent="0.35">
      <c r="J5632"/>
    </row>
    <row r="5633" spans="10:10" x14ac:dyDescent="0.35">
      <c r="J5633"/>
    </row>
    <row r="5634" spans="10:10" x14ac:dyDescent="0.35">
      <c r="J5634"/>
    </row>
    <row r="5635" spans="10:10" x14ac:dyDescent="0.35">
      <c r="J5635"/>
    </row>
    <row r="5636" spans="10:10" x14ac:dyDescent="0.35">
      <c r="J5636"/>
    </row>
    <row r="5637" spans="10:10" x14ac:dyDescent="0.35">
      <c r="J5637"/>
    </row>
    <row r="5638" spans="10:10" x14ac:dyDescent="0.35">
      <c r="J5638"/>
    </row>
    <row r="5639" spans="10:10" x14ac:dyDescent="0.35">
      <c r="J5639"/>
    </row>
    <row r="5640" spans="10:10" x14ac:dyDescent="0.35">
      <c r="J5640"/>
    </row>
    <row r="5641" spans="10:10" x14ac:dyDescent="0.35">
      <c r="J5641"/>
    </row>
    <row r="5642" spans="10:10" x14ac:dyDescent="0.35">
      <c r="J5642"/>
    </row>
    <row r="5643" spans="10:10" x14ac:dyDescent="0.35">
      <c r="J5643"/>
    </row>
    <row r="5644" spans="10:10" x14ac:dyDescent="0.35">
      <c r="J5644"/>
    </row>
    <row r="5645" spans="10:10" x14ac:dyDescent="0.35">
      <c r="J5645"/>
    </row>
    <row r="5646" spans="10:10" x14ac:dyDescent="0.35">
      <c r="J5646"/>
    </row>
    <row r="5647" spans="10:10" x14ac:dyDescent="0.35">
      <c r="J5647"/>
    </row>
    <row r="5648" spans="10:10" x14ac:dyDescent="0.35">
      <c r="J5648"/>
    </row>
    <row r="5649" spans="10:10" x14ac:dyDescent="0.35">
      <c r="J5649"/>
    </row>
    <row r="5650" spans="10:10" x14ac:dyDescent="0.35">
      <c r="J5650"/>
    </row>
    <row r="5651" spans="10:10" x14ac:dyDescent="0.35">
      <c r="J5651"/>
    </row>
    <row r="5652" spans="10:10" x14ac:dyDescent="0.35">
      <c r="J5652"/>
    </row>
    <row r="5653" spans="10:10" x14ac:dyDescent="0.35">
      <c r="J5653"/>
    </row>
    <row r="5654" spans="10:10" x14ac:dyDescent="0.35">
      <c r="J5654"/>
    </row>
    <row r="5655" spans="10:10" x14ac:dyDescent="0.35">
      <c r="J5655"/>
    </row>
    <row r="5656" spans="10:10" x14ac:dyDescent="0.35">
      <c r="J5656"/>
    </row>
    <row r="5657" spans="10:10" x14ac:dyDescent="0.35">
      <c r="J5657"/>
    </row>
    <row r="5658" spans="10:10" x14ac:dyDescent="0.35">
      <c r="J5658"/>
    </row>
    <row r="5659" spans="10:10" x14ac:dyDescent="0.35">
      <c r="J5659"/>
    </row>
    <row r="5660" spans="10:10" x14ac:dyDescent="0.35">
      <c r="J5660"/>
    </row>
    <row r="5661" spans="10:10" x14ac:dyDescent="0.35">
      <c r="J5661"/>
    </row>
    <row r="5662" spans="10:10" x14ac:dyDescent="0.35">
      <c r="J5662"/>
    </row>
    <row r="5663" spans="10:10" x14ac:dyDescent="0.35">
      <c r="J5663"/>
    </row>
    <row r="5664" spans="10:10" x14ac:dyDescent="0.35">
      <c r="J5664"/>
    </row>
    <row r="5665" spans="10:10" x14ac:dyDescent="0.35">
      <c r="J5665"/>
    </row>
    <row r="5666" spans="10:10" x14ac:dyDescent="0.35">
      <c r="J5666"/>
    </row>
    <row r="5667" spans="10:10" x14ac:dyDescent="0.35">
      <c r="J5667"/>
    </row>
    <row r="5668" spans="10:10" x14ac:dyDescent="0.35">
      <c r="J5668"/>
    </row>
    <row r="5669" spans="10:10" x14ac:dyDescent="0.35">
      <c r="J5669"/>
    </row>
    <row r="5670" spans="10:10" x14ac:dyDescent="0.35">
      <c r="J5670"/>
    </row>
    <row r="5671" spans="10:10" x14ac:dyDescent="0.35">
      <c r="J5671"/>
    </row>
    <row r="5672" spans="10:10" x14ac:dyDescent="0.35">
      <c r="J5672"/>
    </row>
    <row r="5673" spans="10:10" x14ac:dyDescent="0.35">
      <c r="J5673"/>
    </row>
    <row r="5674" spans="10:10" x14ac:dyDescent="0.35">
      <c r="J5674"/>
    </row>
    <row r="5675" spans="10:10" x14ac:dyDescent="0.35">
      <c r="J5675"/>
    </row>
    <row r="5676" spans="10:10" x14ac:dyDescent="0.35">
      <c r="J5676"/>
    </row>
    <row r="5677" spans="10:10" x14ac:dyDescent="0.35">
      <c r="J5677"/>
    </row>
    <row r="5678" spans="10:10" x14ac:dyDescent="0.35">
      <c r="J5678"/>
    </row>
    <row r="5679" spans="10:10" x14ac:dyDescent="0.35">
      <c r="J5679"/>
    </row>
    <row r="5680" spans="10:10" x14ac:dyDescent="0.35">
      <c r="J5680"/>
    </row>
    <row r="5681" spans="10:10" x14ac:dyDescent="0.35">
      <c r="J5681"/>
    </row>
    <row r="5682" spans="10:10" x14ac:dyDescent="0.35">
      <c r="J5682"/>
    </row>
    <row r="5683" spans="10:10" x14ac:dyDescent="0.35">
      <c r="J5683"/>
    </row>
    <row r="5684" spans="10:10" x14ac:dyDescent="0.35">
      <c r="J5684"/>
    </row>
    <row r="5685" spans="10:10" x14ac:dyDescent="0.35">
      <c r="J5685"/>
    </row>
    <row r="5686" spans="10:10" x14ac:dyDescent="0.35">
      <c r="J5686"/>
    </row>
    <row r="5687" spans="10:10" x14ac:dyDescent="0.35">
      <c r="J5687"/>
    </row>
    <row r="5688" spans="10:10" x14ac:dyDescent="0.35">
      <c r="J5688"/>
    </row>
    <row r="5689" spans="10:10" x14ac:dyDescent="0.35">
      <c r="J5689"/>
    </row>
    <row r="5690" spans="10:10" x14ac:dyDescent="0.35">
      <c r="J5690"/>
    </row>
    <row r="5691" spans="10:10" x14ac:dyDescent="0.35">
      <c r="J5691"/>
    </row>
    <row r="5692" spans="10:10" x14ac:dyDescent="0.35">
      <c r="J5692"/>
    </row>
    <row r="5693" spans="10:10" x14ac:dyDescent="0.35">
      <c r="J5693"/>
    </row>
    <row r="5694" spans="10:10" x14ac:dyDescent="0.35">
      <c r="J5694"/>
    </row>
    <row r="5695" spans="10:10" x14ac:dyDescent="0.35">
      <c r="J5695"/>
    </row>
    <row r="5696" spans="10:10" x14ac:dyDescent="0.35">
      <c r="J5696"/>
    </row>
    <row r="5697" spans="10:10" x14ac:dyDescent="0.35">
      <c r="J5697"/>
    </row>
    <row r="5698" spans="10:10" x14ac:dyDescent="0.35">
      <c r="J5698"/>
    </row>
    <row r="5699" spans="10:10" x14ac:dyDescent="0.35">
      <c r="J5699"/>
    </row>
    <row r="5700" spans="10:10" x14ac:dyDescent="0.35">
      <c r="J5700"/>
    </row>
    <row r="5701" spans="10:10" x14ac:dyDescent="0.35">
      <c r="J5701"/>
    </row>
    <row r="5702" spans="10:10" x14ac:dyDescent="0.35">
      <c r="J5702"/>
    </row>
    <row r="5703" spans="10:10" x14ac:dyDescent="0.35">
      <c r="J5703"/>
    </row>
    <row r="5704" spans="10:10" x14ac:dyDescent="0.35">
      <c r="J5704"/>
    </row>
    <row r="5705" spans="10:10" x14ac:dyDescent="0.35">
      <c r="J5705"/>
    </row>
    <row r="5706" spans="10:10" x14ac:dyDescent="0.35">
      <c r="J5706"/>
    </row>
    <row r="5707" spans="10:10" x14ac:dyDescent="0.35">
      <c r="J5707"/>
    </row>
    <row r="5708" spans="10:10" x14ac:dyDescent="0.35">
      <c r="J5708"/>
    </row>
    <row r="5709" spans="10:10" x14ac:dyDescent="0.35">
      <c r="J5709"/>
    </row>
    <row r="5710" spans="10:10" x14ac:dyDescent="0.35">
      <c r="J5710"/>
    </row>
    <row r="5711" spans="10:10" x14ac:dyDescent="0.35">
      <c r="J5711"/>
    </row>
    <row r="5712" spans="10:10" x14ac:dyDescent="0.35">
      <c r="J5712"/>
    </row>
    <row r="5713" spans="10:10" x14ac:dyDescent="0.35">
      <c r="J5713"/>
    </row>
    <row r="5714" spans="10:10" x14ac:dyDescent="0.35">
      <c r="J5714"/>
    </row>
    <row r="5715" spans="10:10" x14ac:dyDescent="0.35">
      <c r="J5715"/>
    </row>
    <row r="5716" spans="10:10" x14ac:dyDescent="0.35">
      <c r="J5716"/>
    </row>
    <row r="5717" spans="10:10" x14ac:dyDescent="0.35">
      <c r="J5717"/>
    </row>
    <row r="5718" spans="10:10" x14ac:dyDescent="0.35">
      <c r="J5718"/>
    </row>
    <row r="5719" spans="10:10" x14ac:dyDescent="0.35">
      <c r="J5719"/>
    </row>
    <row r="5720" spans="10:10" x14ac:dyDescent="0.35">
      <c r="J5720"/>
    </row>
    <row r="5721" spans="10:10" x14ac:dyDescent="0.35">
      <c r="J5721"/>
    </row>
    <row r="5722" spans="10:10" x14ac:dyDescent="0.35">
      <c r="J5722"/>
    </row>
    <row r="5723" spans="10:10" x14ac:dyDescent="0.35">
      <c r="J5723"/>
    </row>
    <row r="5724" spans="10:10" x14ac:dyDescent="0.35">
      <c r="J5724"/>
    </row>
    <row r="5725" spans="10:10" x14ac:dyDescent="0.35">
      <c r="J5725"/>
    </row>
    <row r="5726" spans="10:10" x14ac:dyDescent="0.35">
      <c r="J5726"/>
    </row>
    <row r="5727" spans="10:10" x14ac:dyDescent="0.35">
      <c r="J5727"/>
    </row>
    <row r="5728" spans="10:10" x14ac:dyDescent="0.35">
      <c r="J5728"/>
    </row>
    <row r="5729" spans="10:10" x14ac:dyDescent="0.35">
      <c r="J5729"/>
    </row>
    <row r="5730" spans="10:10" x14ac:dyDescent="0.35">
      <c r="J5730"/>
    </row>
    <row r="5731" spans="10:10" x14ac:dyDescent="0.35">
      <c r="J5731"/>
    </row>
    <row r="5732" spans="10:10" x14ac:dyDescent="0.35">
      <c r="J5732"/>
    </row>
    <row r="5733" spans="10:10" x14ac:dyDescent="0.35">
      <c r="J5733"/>
    </row>
    <row r="5734" spans="10:10" x14ac:dyDescent="0.35">
      <c r="J5734"/>
    </row>
    <row r="5735" spans="10:10" x14ac:dyDescent="0.35">
      <c r="J5735"/>
    </row>
    <row r="5736" spans="10:10" x14ac:dyDescent="0.35">
      <c r="J5736"/>
    </row>
    <row r="5737" spans="10:10" x14ac:dyDescent="0.35">
      <c r="J5737"/>
    </row>
    <row r="5738" spans="10:10" x14ac:dyDescent="0.35">
      <c r="J5738"/>
    </row>
    <row r="5739" spans="10:10" x14ac:dyDescent="0.35">
      <c r="J5739"/>
    </row>
    <row r="5740" spans="10:10" x14ac:dyDescent="0.35">
      <c r="J5740"/>
    </row>
    <row r="5741" spans="10:10" x14ac:dyDescent="0.35">
      <c r="J5741"/>
    </row>
    <row r="5742" spans="10:10" x14ac:dyDescent="0.35">
      <c r="J5742"/>
    </row>
    <row r="5743" spans="10:10" x14ac:dyDescent="0.35">
      <c r="J5743"/>
    </row>
    <row r="5744" spans="10:10" x14ac:dyDescent="0.35">
      <c r="J5744"/>
    </row>
    <row r="5745" spans="10:10" x14ac:dyDescent="0.35">
      <c r="J5745"/>
    </row>
    <row r="5746" spans="10:10" x14ac:dyDescent="0.35">
      <c r="J5746"/>
    </row>
    <row r="5747" spans="10:10" x14ac:dyDescent="0.35">
      <c r="J5747"/>
    </row>
    <row r="5748" spans="10:10" x14ac:dyDescent="0.35">
      <c r="J5748"/>
    </row>
    <row r="5749" spans="10:10" x14ac:dyDescent="0.35">
      <c r="J5749"/>
    </row>
    <row r="5750" spans="10:10" x14ac:dyDescent="0.35">
      <c r="J5750"/>
    </row>
    <row r="5751" spans="10:10" x14ac:dyDescent="0.35">
      <c r="J5751"/>
    </row>
    <row r="5752" spans="10:10" x14ac:dyDescent="0.35">
      <c r="J5752"/>
    </row>
    <row r="5753" spans="10:10" x14ac:dyDescent="0.35">
      <c r="J5753"/>
    </row>
    <row r="5754" spans="10:10" x14ac:dyDescent="0.35">
      <c r="J5754"/>
    </row>
    <row r="5755" spans="10:10" x14ac:dyDescent="0.35">
      <c r="J5755"/>
    </row>
    <row r="5756" spans="10:10" x14ac:dyDescent="0.35">
      <c r="J5756"/>
    </row>
    <row r="5757" spans="10:10" x14ac:dyDescent="0.35">
      <c r="J5757"/>
    </row>
    <row r="5758" spans="10:10" x14ac:dyDescent="0.35">
      <c r="J5758"/>
    </row>
    <row r="5759" spans="10:10" x14ac:dyDescent="0.35">
      <c r="J5759"/>
    </row>
    <row r="5760" spans="10:10" x14ac:dyDescent="0.35">
      <c r="J5760"/>
    </row>
    <row r="5761" spans="10:10" x14ac:dyDescent="0.35">
      <c r="J5761"/>
    </row>
    <row r="5762" spans="10:10" x14ac:dyDescent="0.35">
      <c r="J5762"/>
    </row>
    <row r="5763" spans="10:10" x14ac:dyDescent="0.35">
      <c r="J5763"/>
    </row>
    <row r="5764" spans="10:10" x14ac:dyDescent="0.35">
      <c r="J5764"/>
    </row>
    <row r="5765" spans="10:10" x14ac:dyDescent="0.35">
      <c r="J5765"/>
    </row>
    <row r="5766" spans="10:10" x14ac:dyDescent="0.35">
      <c r="J5766"/>
    </row>
    <row r="5767" spans="10:10" x14ac:dyDescent="0.35">
      <c r="J5767"/>
    </row>
    <row r="5768" spans="10:10" x14ac:dyDescent="0.35">
      <c r="J5768"/>
    </row>
    <row r="5769" spans="10:10" x14ac:dyDescent="0.35">
      <c r="J5769"/>
    </row>
    <row r="5770" spans="10:10" x14ac:dyDescent="0.35">
      <c r="J5770"/>
    </row>
    <row r="5771" spans="10:10" x14ac:dyDescent="0.35">
      <c r="J5771"/>
    </row>
    <row r="5772" spans="10:10" x14ac:dyDescent="0.35">
      <c r="J5772"/>
    </row>
    <row r="5773" spans="10:10" x14ac:dyDescent="0.35">
      <c r="J5773"/>
    </row>
    <row r="5774" spans="10:10" x14ac:dyDescent="0.35">
      <c r="J5774"/>
    </row>
    <row r="5775" spans="10:10" x14ac:dyDescent="0.35">
      <c r="J5775"/>
    </row>
    <row r="5776" spans="10:10" x14ac:dyDescent="0.35">
      <c r="J5776"/>
    </row>
    <row r="5777" spans="10:10" x14ac:dyDescent="0.35">
      <c r="J5777"/>
    </row>
    <row r="5778" spans="10:10" x14ac:dyDescent="0.35">
      <c r="J5778"/>
    </row>
    <row r="5779" spans="10:10" x14ac:dyDescent="0.35">
      <c r="J5779"/>
    </row>
    <row r="5780" spans="10:10" x14ac:dyDescent="0.35">
      <c r="J5780"/>
    </row>
    <row r="5781" spans="10:10" x14ac:dyDescent="0.35">
      <c r="J5781"/>
    </row>
    <row r="5782" spans="10:10" x14ac:dyDescent="0.35">
      <c r="J5782"/>
    </row>
    <row r="5783" spans="10:10" x14ac:dyDescent="0.35">
      <c r="J5783"/>
    </row>
    <row r="5784" spans="10:10" x14ac:dyDescent="0.35">
      <c r="J5784"/>
    </row>
    <row r="5785" spans="10:10" x14ac:dyDescent="0.35">
      <c r="J5785"/>
    </row>
    <row r="5786" spans="10:10" x14ac:dyDescent="0.35">
      <c r="J5786"/>
    </row>
    <row r="5787" spans="10:10" x14ac:dyDescent="0.35">
      <c r="J5787"/>
    </row>
    <row r="5788" spans="10:10" x14ac:dyDescent="0.35">
      <c r="J5788"/>
    </row>
    <row r="5789" spans="10:10" x14ac:dyDescent="0.35">
      <c r="J5789"/>
    </row>
    <row r="5790" spans="10:10" x14ac:dyDescent="0.35">
      <c r="J5790"/>
    </row>
    <row r="5791" spans="10:10" x14ac:dyDescent="0.35">
      <c r="J5791"/>
    </row>
    <row r="5792" spans="10:10" x14ac:dyDescent="0.35">
      <c r="J5792"/>
    </row>
    <row r="5793" spans="10:10" x14ac:dyDescent="0.35">
      <c r="J5793"/>
    </row>
    <row r="5794" spans="10:10" x14ac:dyDescent="0.35">
      <c r="J5794"/>
    </row>
    <row r="5795" spans="10:10" x14ac:dyDescent="0.35">
      <c r="J5795"/>
    </row>
    <row r="5796" spans="10:10" x14ac:dyDescent="0.35">
      <c r="J5796"/>
    </row>
    <row r="5797" spans="10:10" x14ac:dyDescent="0.35">
      <c r="J5797"/>
    </row>
    <row r="5798" spans="10:10" x14ac:dyDescent="0.35">
      <c r="J5798"/>
    </row>
    <row r="5799" spans="10:10" x14ac:dyDescent="0.35">
      <c r="J5799"/>
    </row>
    <row r="5800" spans="10:10" x14ac:dyDescent="0.35">
      <c r="J5800"/>
    </row>
    <row r="5801" spans="10:10" x14ac:dyDescent="0.35">
      <c r="J5801"/>
    </row>
    <row r="5802" spans="10:10" x14ac:dyDescent="0.35">
      <c r="J5802"/>
    </row>
    <row r="5803" spans="10:10" x14ac:dyDescent="0.35">
      <c r="J5803"/>
    </row>
    <row r="5804" spans="10:10" x14ac:dyDescent="0.35">
      <c r="J5804"/>
    </row>
    <row r="5805" spans="10:10" x14ac:dyDescent="0.35">
      <c r="J5805"/>
    </row>
    <row r="5806" spans="10:10" x14ac:dyDescent="0.35">
      <c r="J5806"/>
    </row>
    <row r="5807" spans="10:10" x14ac:dyDescent="0.35">
      <c r="J5807"/>
    </row>
    <row r="5808" spans="10:10" x14ac:dyDescent="0.35">
      <c r="J5808"/>
    </row>
    <row r="5809" spans="10:10" x14ac:dyDescent="0.35">
      <c r="J5809"/>
    </row>
    <row r="5810" spans="10:10" x14ac:dyDescent="0.35">
      <c r="J5810"/>
    </row>
    <row r="5811" spans="10:10" x14ac:dyDescent="0.35">
      <c r="J5811"/>
    </row>
    <row r="5812" spans="10:10" x14ac:dyDescent="0.35">
      <c r="J5812"/>
    </row>
    <row r="5813" spans="10:10" x14ac:dyDescent="0.35">
      <c r="J5813"/>
    </row>
    <row r="5814" spans="10:10" x14ac:dyDescent="0.35">
      <c r="J5814"/>
    </row>
    <row r="5815" spans="10:10" x14ac:dyDescent="0.35">
      <c r="J5815"/>
    </row>
    <row r="5816" spans="10:10" x14ac:dyDescent="0.35">
      <c r="J5816"/>
    </row>
    <row r="5817" spans="10:10" x14ac:dyDescent="0.35">
      <c r="J5817"/>
    </row>
    <row r="5818" spans="10:10" x14ac:dyDescent="0.35">
      <c r="J5818"/>
    </row>
    <row r="5819" spans="10:10" x14ac:dyDescent="0.35">
      <c r="J5819"/>
    </row>
    <row r="5820" spans="10:10" x14ac:dyDescent="0.35">
      <c r="J5820"/>
    </row>
    <row r="5821" spans="10:10" x14ac:dyDescent="0.35">
      <c r="J5821"/>
    </row>
    <row r="5822" spans="10:10" x14ac:dyDescent="0.35">
      <c r="J5822"/>
    </row>
    <row r="5823" spans="10:10" x14ac:dyDescent="0.35">
      <c r="J5823"/>
    </row>
    <row r="5824" spans="10:10" x14ac:dyDescent="0.35">
      <c r="J5824"/>
    </row>
    <row r="5825" spans="10:10" x14ac:dyDescent="0.35">
      <c r="J5825"/>
    </row>
    <row r="5826" spans="10:10" x14ac:dyDescent="0.35">
      <c r="J5826"/>
    </row>
    <row r="5827" spans="10:10" x14ac:dyDescent="0.35">
      <c r="J5827"/>
    </row>
    <row r="5828" spans="10:10" x14ac:dyDescent="0.35">
      <c r="J5828"/>
    </row>
    <row r="5829" spans="10:10" x14ac:dyDescent="0.35">
      <c r="J5829"/>
    </row>
    <row r="5830" spans="10:10" x14ac:dyDescent="0.35">
      <c r="J5830"/>
    </row>
    <row r="5831" spans="10:10" x14ac:dyDescent="0.35">
      <c r="J5831"/>
    </row>
    <row r="5832" spans="10:10" x14ac:dyDescent="0.35">
      <c r="J5832"/>
    </row>
    <row r="5833" spans="10:10" x14ac:dyDescent="0.35">
      <c r="J5833"/>
    </row>
    <row r="5834" spans="10:10" x14ac:dyDescent="0.35">
      <c r="J5834"/>
    </row>
    <row r="5835" spans="10:10" x14ac:dyDescent="0.35">
      <c r="J5835"/>
    </row>
    <row r="5836" spans="10:10" x14ac:dyDescent="0.35">
      <c r="J5836"/>
    </row>
    <row r="5837" spans="10:10" x14ac:dyDescent="0.35">
      <c r="J5837"/>
    </row>
    <row r="5838" spans="10:10" x14ac:dyDescent="0.35">
      <c r="J5838"/>
    </row>
    <row r="5839" spans="10:10" x14ac:dyDescent="0.35">
      <c r="J5839"/>
    </row>
    <row r="5840" spans="10:10" x14ac:dyDescent="0.35">
      <c r="J5840"/>
    </row>
    <row r="5841" spans="10:10" x14ac:dyDescent="0.35">
      <c r="J5841"/>
    </row>
    <row r="5842" spans="10:10" x14ac:dyDescent="0.35">
      <c r="J5842"/>
    </row>
    <row r="5843" spans="10:10" x14ac:dyDescent="0.35">
      <c r="J5843"/>
    </row>
    <row r="5844" spans="10:10" x14ac:dyDescent="0.35">
      <c r="J5844"/>
    </row>
    <row r="5845" spans="10:10" x14ac:dyDescent="0.35">
      <c r="J5845"/>
    </row>
    <row r="5846" spans="10:10" x14ac:dyDescent="0.35">
      <c r="J5846"/>
    </row>
    <row r="5847" spans="10:10" x14ac:dyDescent="0.35">
      <c r="J5847"/>
    </row>
    <row r="5848" spans="10:10" x14ac:dyDescent="0.35">
      <c r="J5848"/>
    </row>
    <row r="5849" spans="10:10" x14ac:dyDescent="0.35">
      <c r="J5849"/>
    </row>
    <row r="5850" spans="10:10" x14ac:dyDescent="0.35">
      <c r="J5850"/>
    </row>
    <row r="5851" spans="10:10" x14ac:dyDescent="0.35">
      <c r="J5851"/>
    </row>
    <row r="5852" spans="10:10" x14ac:dyDescent="0.35">
      <c r="J5852"/>
    </row>
    <row r="5853" spans="10:10" x14ac:dyDescent="0.35">
      <c r="J5853"/>
    </row>
    <row r="5854" spans="10:10" x14ac:dyDescent="0.35">
      <c r="J5854"/>
    </row>
    <row r="5855" spans="10:10" x14ac:dyDescent="0.35">
      <c r="J5855"/>
    </row>
    <row r="5856" spans="10:10" x14ac:dyDescent="0.35">
      <c r="J5856"/>
    </row>
    <row r="5857" spans="10:10" x14ac:dyDescent="0.35">
      <c r="J5857"/>
    </row>
    <row r="5858" spans="10:10" x14ac:dyDescent="0.35">
      <c r="J5858"/>
    </row>
    <row r="5859" spans="10:10" x14ac:dyDescent="0.35">
      <c r="J5859"/>
    </row>
    <row r="5860" spans="10:10" x14ac:dyDescent="0.35">
      <c r="J5860"/>
    </row>
    <row r="5861" spans="10:10" x14ac:dyDescent="0.35">
      <c r="J5861"/>
    </row>
    <row r="5862" spans="10:10" x14ac:dyDescent="0.35">
      <c r="J5862"/>
    </row>
    <row r="5863" spans="10:10" x14ac:dyDescent="0.35">
      <c r="J5863"/>
    </row>
    <row r="5864" spans="10:10" x14ac:dyDescent="0.35">
      <c r="J5864"/>
    </row>
    <row r="5865" spans="10:10" x14ac:dyDescent="0.35">
      <c r="J5865"/>
    </row>
    <row r="5866" spans="10:10" x14ac:dyDescent="0.35">
      <c r="J5866"/>
    </row>
    <row r="5867" spans="10:10" x14ac:dyDescent="0.35">
      <c r="J5867"/>
    </row>
    <row r="5868" spans="10:10" x14ac:dyDescent="0.35">
      <c r="J5868"/>
    </row>
    <row r="5869" spans="10:10" x14ac:dyDescent="0.35">
      <c r="J5869"/>
    </row>
    <row r="5870" spans="10:10" x14ac:dyDescent="0.35">
      <c r="J5870"/>
    </row>
    <row r="5871" spans="10:10" x14ac:dyDescent="0.35">
      <c r="J5871"/>
    </row>
    <row r="5872" spans="10:10" x14ac:dyDescent="0.35">
      <c r="J5872"/>
    </row>
    <row r="5873" spans="10:10" x14ac:dyDescent="0.35">
      <c r="J5873"/>
    </row>
    <row r="5874" spans="10:10" x14ac:dyDescent="0.35">
      <c r="J5874"/>
    </row>
    <row r="5875" spans="10:10" x14ac:dyDescent="0.35">
      <c r="J5875"/>
    </row>
    <row r="5876" spans="10:10" x14ac:dyDescent="0.35">
      <c r="J5876"/>
    </row>
    <row r="5877" spans="10:10" x14ac:dyDescent="0.35">
      <c r="J5877"/>
    </row>
    <row r="5878" spans="10:10" x14ac:dyDescent="0.35">
      <c r="J5878"/>
    </row>
    <row r="5879" spans="10:10" x14ac:dyDescent="0.35">
      <c r="J5879"/>
    </row>
    <row r="5880" spans="10:10" x14ac:dyDescent="0.35">
      <c r="J5880"/>
    </row>
    <row r="5881" spans="10:10" x14ac:dyDescent="0.35">
      <c r="J5881"/>
    </row>
    <row r="5882" spans="10:10" x14ac:dyDescent="0.35">
      <c r="J5882"/>
    </row>
    <row r="5883" spans="10:10" x14ac:dyDescent="0.35">
      <c r="J5883"/>
    </row>
    <row r="5884" spans="10:10" x14ac:dyDescent="0.35">
      <c r="J5884"/>
    </row>
    <row r="5885" spans="10:10" x14ac:dyDescent="0.35">
      <c r="J5885"/>
    </row>
    <row r="5886" spans="10:10" x14ac:dyDescent="0.35">
      <c r="J5886"/>
    </row>
    <row r="5887" spans="10:10" x14ac:dyDescent="0.35">
      <c r="J5887"/>
    </row>
    <row r="5888" spans="10:10" x14ac:dyDescent="0.35">
      <c r="J5888"/>
    </row>
    <row r="5889" spans="10:10" x14ac:dyDescent="0.35">
      <c r="J5889"/>
    </row>
    <row r="5890" spans="10:10" x14ac:dyDescent="0.35">
      <c r="J5890"/>
    </row>
    <row r="5891" spans="10:10" x14ac:dyDescent="0.35">
      <c r="J5891"/>
    </row>
    <row r="5892" spans="10:10" x14ac:dyDescent="0.35">
      <c r="J5892"/>
    </row>
    <row r="5893" spans="10:10" x14ac:dyDescent="0.35">
      <c r="J5893"/>
    </row>
    <row r="5894" spans="10:10" x14ac:dyDescent="0.35">
      <c r="J5894"/>
    </row>
    <row r="5895" spans="10:10" x14ac:dyDescent="0.35">
      <c r="J5895"/>
    </row>
    <row r="5896" spans="10:10" x14ac:dyDescent="0.35">
      <c r="J5896"/>
    </row>
    <row r="5897" spans="10:10" x14ac:dyDescent="0.35">
      <c r="J5897"/>
    </row>
    <row r="5898" spans="10:10" x14ac:dyDescent="0.35">
      <c r="J5898"/>
    </row>
    <row r="5899" spans="10:10" x14ac:dyDescent="0.35">
      <c r="J5899"/>
    </row>
    <row r="5900" spans="10:10" x14ac:dyDescent="0.35">
      <c r="J5900"/>
    </row>
    <row r="5901" spans="10:10" x14ac:dyDescent="0.35">
      <c r="J5901"/>
    </row>
    <row r="5902" spans="10:10" x14ac:dyDescent="0.35">
      <c r="J5902"/>
    </row>
    <row r="5903" spans="10:10" x14ac:dyDescent="0.35">
      <c r="J5903"/>
    </row>
    <row r="5904" spans="10:10" x14ac:dyDescent="0.35">
      <c r="J5904"/>
    </row>
    <row r="5905" spans="10:10" x14ac:dyDescent="0.35">
      <c r="J5905"/>
    </row>
    <row r="5906" spans="10:10" x14ac:dyDescent="0.35">
      <c r="J5906"/>
    </row>
    <row r="5907" spans="10:10" x14ac:dyDescent="0.35">
      <c r="J5907"/>
    </row>
    <row r="5908" spans="10:10" x14ac:dyDescent="0.35">
      <c r="J5908"/>
    </row>
    <row r="5909" spans="10:10" x14ac:dyDescent="0.35">
      <c r="J5909"/>
    </row>
    <row r="5910" spans="10:10" x14ac:dyDescent="0.35">
      <c r="J5910"/>
    </row>
    <row r="5911" spans="10:10" x14ac:dyDescent="0.35">
      <c r="J5911"/>
    </row>
    <row r="5912" spans="10:10" x14ac:dyDescent="0.35">
      <c r="J5912"/>
    </row>
    <row r="5913" spans="10:10" x14ac:dyDescent="0.35">
      <c r="J5913"/>
    </row>
    <row r="5914" spans="10:10" x14ac:dyDescent="0.35">
      <c r="J5914"/>
    </row>
    <row r="5915" spans="10:10" x14ac:dyDescent="0.35">
      <c r="J5915"/>
    </row>
    <row r="5916" spans="10:10" x14ac:dyDescent="0.35">
      <c r="J5916"/>
    </row>
    <row r="5917" spans="10:10" x14ac:dyDescent="0.35">
      <c r="J5917"/>
    </row>
    <row r="5918" spans="10:10" x14ac:dyDescent="0.35">
      <c r="J5918"/>
    </row>
    <row r="5919" spans="10:10" x14ac:dyDescent="0.35">
      <c r="J5919"/>
    </row>
    <row r="5920" spans="10:10" x14ac:dyDescent="0.35">
      <c r="J5920"/>
    </row>
    <row r="5921" spans="10:10" x14ac:dyDescent="0.35">
      <c r="J5921"/>
    </row>
    <row r="5922" spans="10:10" x14ac:dyDescent="0.35">
      <c r="J5922"/>
    </row>
    <row r="5923" spans="10:10" x14ac:dyDescent="0.35">
      <c r="J5923"/>
    </row>
    <row r="5924" spans="10:10" x14ac:dyDescent="0.35">
      <c r="J5924"/>
    </row>
    <row r="5925" spans="10:10" x14ac:dyDescent="0.35">
      <c r="J5925"/>
    </row>
    <row r="5926" spans="10:10" x14ac:dyDescent="0.35">
      <c r="J5926"/>
    </row>
    <row r="5927" spans="10:10" x14ac:dyDescent="0.35">
      <c r="J5927"/>
    </row>
    <row r="5928" spans="10:10" x14ac:dyDescent="0.35">
      <c r="J5928"/>
    </row>
    <row r="5929" spans="10:10" x14ac:dyDescent="0.35">
      <c r="J5929"/>
    </row>
    <row r="5930" spans="10:10" x14ac:dyDescent="0.35">
      <c r="J5930"/>
    </row>
    <row r="5931" spans="10:10" x14ac:dyDescent="0.35">
      <c r="J5931"/>
    </row>
    <row r="5932" spans="10:10" x14ac:dyDescent="0.35">
      <c r="J5932"/>
    </row>
    <row r="5933" spans="10:10" x14ac:dyDescent="0.35">
      <c r="J5933"/>
    </row>
    <row r="5934" spans="10:10" x14ac:dyDescent="0.35">
      <c r="J5934"/>
    </row>
    <row r="5935" spans="10:10" x14ac:dyDescent="0.35">
      <c r="J5935"/>
    </row>
    <row r="5936" spans="10:10" x14ac:dyDescent="0.35">
      <c r="J5936"/>
    </row>
    <row r="5937" spans="10:10" x14ac:dyDescent="0.35">
      <c r="J5937"/>
    </row>
    <row r="5938" spans="10:10" x14ac:dyDescent="0.35">
      <c r="J5938"/>
    </row>
    <row r="5939" spans="10:10" x14ac:dyDescent="0.35">
      <c r="J5939"/>
    </row>
    <row r="5940" spans="10:10" x14ac:dyDescent="0.35">
      <c r="J5940"/>
    </row>
    <row r="5941" spans="10:10" x14ac:dyDescent="0.35">
      <c r="J5941"/>
    </row>
    <row r="5942" spans="10:10" x14ac:dyDescent="0.35">
      <c r="J5942"/>
    </row>
    <row r="5943" spans="10:10" x14ac:dyDescent="0.35">
      <c r="J5943"/>
    </row>
    <row r="5944" spans="10:10" x14ac:dyDescent="0.35">
      <c r="J5944"/>
    </row>
    <row r="5945" spans="10:10" x14ac:dyDescent="0.35">
      <c r="J5945"/>
    </row>
    <row r="5946" spans="10:10" x14ac:dyDescent="0.35">
      <c r="J5946"/>
    </row>
    <row r="5947" spans="10:10" x14ac:dyDescent="0.35">
      <c r="J5947"/>
    </row>
    <row r="5948" spans="10:10" x14ac:dyDescent="0.35">
      <c r="J5948"/>
    </row>
    <row r="5949" spans="10:10" x14ac:dyDescent="0.35">
      <c r="J5949"/>
    </row>
    <row r="5950" spans="10:10" x14ac:dyDescent="0.35">
      <c r="J5950"/>
    </row>
    <row r="5951" spans="10:10" x14ac:dyDescent="0.35">
      <c r="J5951"/>
    </row>
    <row r="5952" spans="10:10" x14ac:dyDescent="0.35">
      <c r="J5952"/>
    </row>
    <row r="5953" spans="10:10" x14ac:dyDescent="0.35">
      <c r="J5953"/>
    </row>
    <row r="5954" spans="10:10" x14ac:dyDescent="0.35">
      <c r="J5954"/>
    </row>
    <row r="5955" spans="10:10" x14ac:dyDescent="0.35">
      <c r="J5955"/>
    </row>
    <row r="5956" spans="10:10" x14ac:dyDescent="0.35">
      <c r="J5956"/>
    </row>
    <row r="5957" spans="10:10" x14ac:dyDescent="0.35">
      <c r="J5957"/>
    </row>
    <row r="5958" spans="10:10" x14ac:dyDescent="0.35">
      <c r="J5958"/>
    </row>
    <row r="5959" spans="10:10" x14ac:dyDescent="0.35">
      <c r="J5959"/>
    </row>
    <row r="5960" spans="10:10" x14ac:dyDescent="0.35">
      <c r="J5960"/>
    </row>
    <row r="5961" spans="10:10" x14ac:dyDescent="0.35">
      <c r="J5961"/>
    </row>
    <row r="5962" spans="10:10" x14ac:dyDescent="0.35">
      <c r="J5962"/>
    </row>
    <row r="5963" spans="10:10" x14ac:dyDescent="0.35">
      <c r="J5963"/>
    </row>
    <row r="5964" spans="10:10" x14ac:dyDescent="0.35">
      <c r="J5964"/>
    </row>
    <row r="5965" spans="10:10" x14ac:dyDescent="0.35">
      <c r="J5965"/>
    </row>
    <row r="5966" spans="10:10" x14ac:dyDescent="0.35">
      <c r="J5966"/>
    </row>
    <row r="5967" spans="10:10" x14ac:dyDescent="0.35">
      <c r="J5967"/>
    </row>
    <row r="5968" spans="10:10" x14ac:dyDescent="0.35">
      <c r="J5968"/>
    </row>
    <row r="5969" spans="10:10" x14ac:dyDescent="0.35">
      <c r="J5969"/>
    </row>
    <row r="5970" spans="10:10" x14ac:dyDescent="0.35">
      <c r="J5970"/>
    </row>
    <row r="5971" spans="10:10" x14ac:dyDescent="0.35">
      <c r="J5971"/>
    </row>
    <row r="5972" spans="10:10" x14ac:dyDescent="0.35">
      <c r="J5972"/>
    </row>
    <row r="5973" spans="10:10" x14ac:dyDescent="0.35">
      <c r="J5973"/>
    </row>
    <row r="5974" spans="10:10" x14ac:dyDescent="0.35">
      <c r="J5974"/>
    </row>
    <row r="5975" spans="10:10" x14ac:dyDescent="0.35">
      <c r="J5975"/>
    </row>
    <row r="5976" spans="10:10" x14ac:dyDescent="0.35">
      <c r="J5976"/>
    </row>
    <row r="5977" spans="10:10" x14ac:dyDescent="0.35">
      <c r="J5977"/>
    </row>
    <row r="5978" spans="10:10" x14ac:dyDescent="0.35">
      <c r="J5978"/>
    </row>
    <row r="5979" spans="10:10" x14ac:dyDescent="0.35">
      <c r="J5979"/>
    </row>
    <row r="5980" spans="10:10" x14ac:dyDescent="0.35">
      <c r="J5980"/>
    </row>
    <row r="5981" spans="10:10" x14ac:dyDescent="0.35">
      <c r="J5981"/>
    </row>
    <row r="5982" spans="10:10" x14ac:dyDescent="0.35">
      <c r="J5982"/>
    </row>
    <row r="5983" spans="10:10" x14ac:dyDescent="0.35">
      <c r="J5983"/>
    </row>
    <row r="5984" spans="10:10" x14ac:dyDescent="0.35">
      <c r="J5984"/>
    </row>
    <row r="5985" spans="10:10" x14ac:dyDescent="0.35">
      <c r="J5985"/>
    </row>
    <row r="5986" spans="10:10" x14ac:dyDescent="0.35">
      <c r="J5986"/>
    </row>
    <row r="5987" spans="10:10" x14ac:dyDescent="0.35">
      <c r="J5987"/>
    </row>
    <row r="5988" spans="10:10" x14ac:dyDescent="0.35">
      <c r="J5988"/>
    </row>
    <row r="5989" spans="10:10" x14ac:dyDescent="0.35">
      <c r="J5989"/>
    </row>
    <row r="5990" spans="10:10" x14ac:dyDescent="0.35">
      <c r="J5990"/>
    </row>
    <row r="5991" spans="10:10" x14ac:dyDescent="0.35">
      <c r="J5991"/>
    </row>
    <row r="5992" spans="10:10" x14ac:dyDescent="0.35">
      <c r="J5992"/>
    </row>
    <row r="5993" spans="10:10" x14ac:dyDescent="0.35">
      <c r="J5993"/>
    </row>
    <row r="5994" spans="10:10" x14ac:dyDescent="0.35">
      <c r="J5994"/>
    </row>
    <row r="5995" spans="10:10" x14ac:dyDescent="0.35">
      <c r="J5995"/>
    </row>
    <row r="5996" spans="10:10" x14ac:dyDescent="0.35">
      <c r="J5996"/>
    </row>
    <row r="5997" spans="10:10" x14ac:dyDescent="0.35">
      <c r="J5997"/>
    </row>
    <row r="5998" spans="10:10" x14ac:dyDescent="0.35">
      <c r="J5998"/>
    </row>
    <row r="5999" spans="10:10" x14ac:dyDescent="0.35">
      <c r="J5999"/>
    </row>
    <row r="6000" spans="10:10" x14ac:dyDescent="0.35">
      <c r="J6000"/>
    </row>
    <row r="6001" spans="10:10" x14ac:dyDescent="0.35">
      <c r="J6001"/>
    </row>
    <row r="6002" spans="10:10" x14ac:dyDescent="0.35">
      <c r="J6002"/>
    </row>
    <row r="6003" spans="10:10" x14ac:dyDescent="0.35">
      <c r="J6003"/>
    </row>
    <row r="6004" spans="10:10" x14ac:dyDescent="0.35">
      <c r="J6004"/>
    </row>
    <row r="6005" spans="10:10" x14ac:dyDescent="0.35">
      <c r="J6005"/>
    </row>
    <row r="6006" spans="10:10" x14ac:dyDescent="0.35">
      <c r="J6006"/>
    </row>
    <row r="6007" spans="10:10" x14ac:dyDescent="0.35">
      <c r="J6007"/>
    </row>
    <row r="6008" spans="10:10" x14ac:dyDescent="0.35">
      <c r="J6008"/>
    </row>
    <row r="6009" spans="10:10" x14ac:dyDescent="0.35">
      <c r="J6009"/>
    </row>
    <row r="6010" spans="10:10" x14ac:dyDescent="0.35">
      <c r="J6010"/>
    </row>
    <row r="6011" spans="10:10" x14ac:dyDescent="0.35">
      <c r="J6011"/>
    </row>
    <row r="6012" spans="10:10" x14ac:dyDescent="0.35">
      <c r="J6012"/>
    </row>
    <row r="6013" spans="10:10" x14ac:dyDescent="0.35">
      <c r="J6013"/>
    </row>
    <row r="6014" spans="10:10" x14ac:dyDescent="0.35">
      <c r="J6014"/>
    </row>
    <row r="6015" spans="10:10" x14ac:dyDescent="0.35">
      <c r="J6015"/>
    </row>
    <row r="6016" spans="10:10" x14ac:dyDescent="0.35">
      <c r="J6016"/>
    </row>
    <row r="6017" spans="10:10" x14ac:dyDescent="0.35">
      <c r="J6017"/>
    </row>
    <row r="6018" spans="10:10" x14ac:dyDescent="0.35">
      <c r="J6018"/>
    </row>
    <row r="6019" spans="10:10" x14ac:dyDescent="0.35">
      <c r="J6019"/>
    </row>
    <row r="6020" spans="10:10" x14ac:dyDescent="0.35">
      <c r="J6020"/>
    </row>
    <row r="6021" spans="10:10" x14ac:dyDescent="0.35">
      <c r="J6021"/>
    </row>
    <row r="6022" spans="10:10" x14ac:dyDescent="0.35">
      <c r="J6022"/>
    </row>
    <row r="6023" spans="10:10" x14ac:dyDescent="0.35">
      <c r="J6023"/>
    </row>
    <row r="6024" spans="10:10" x14ac:dyDescent="0.35">
      <c r="J6024"/>
    </row>
    <row r="6025" spans="10:10" x14ac:dyDescent="0.35">
      <c r="J6025"/>
    </row>
    <row r="6026" spans="10:10" x14ac:dyDescent="0.35">
      <c r="J6026"/>
    </row>
    <row r="6027" spans="10:10" x14ac:dyDescent="0.35">
      <c r="J6027"/>
    </row>
    <row r="6028" spans="10:10" x14ac:dyDescent="0.35">
      <c r="J6028"/>
    </row>
    <row r="6029" spans="10:10" x14ac:dyDescent="0.35">
      <c r="J6029"/>
    </row>
    <row r="6030" spans="10:10" x14ac:dyDescent="0.35">
      <c r="J6030"/>
    </row>
    <row r="6031" spans="10:10" x14ac:dyDescent="0.35">
      <c r="J6031"/>
    </row>
    <row r="6032" spans="10:10" x14ac:dyDescent="0.35">
      <c r="J6032"/>
    </row>
    <row r="6033" spans="10:10" x14ac:dyDescent="0.35">
      <c r="J6033"/>
    </row>
    <row r="6034" spans="10:10" x14ac:dyDescent="0.35">
      <c r="J6034"/>
    </row>
    <row r="6035" spans="10:10" x14ac:dyDescent="0.35">
      <c r="J6035"/>
    </row>
    <row r="6036" spans="10:10" x14ac:dyDescent="0.35">
      <c r="J6036"/>
    </row>
    <row r="6037" spans="10:10" x14ac:dyDescent="0.35">
      <c r="J6037"/>
    </row>
    <row r="6038" spans="10:10" x14ac:dyDescent="0.35">
      <c r="J6038"/>
    </row>
    <row r="6039" spans="10:10" x14ac:dyDescent="0.35">
      <c r="J6039"/>
    </row>
    <row r="6040" spans="10:10" x14ac:dyDescent="0.35">
      <c r="J6040"/>
    </row>
    <row r="6041" spans="10:10" x14ac:dyDescent="0.35">
      <c r="J6041"/>
    </row>
    <row r="6042" spans="10:10" x14ac:dyDescent="0.35">
      <c r="J6042"/>
    </row>
    <row r="6043" spans="10:10" x14ac:dyDescent="0.35">
      <c r="J6043"/>
    </row>
    <row r="6044" spans="10:10" x14ac:dyDescent="0.35">
      <c r="J6044"/>
    </row>
    <row r="6045" spans="10:10" x14ac:dyDescent="0.35">
      <c r="J6045"/>
    </row>
    <row r="6046" spans="10:10" x14ac:dyDescent="0.35">
      <c r="J6046"/>
    </row>
    <row r="6047" spans="10:10" x14ac:dyDescent="0.35">
      <c r="J6047"/>
    </row>
    <row r="6048" spans="10:10" x14ac:dyDescent="0.35">
      <c r="J6048"/>
    </row>
    <row r="6049" spans="10:10" x14ac:dyDescent="0.35">
      <c r="J6049"/>
    </row>
    <row r="6050" spans="10:10" x14ac:dyDescent="0.35">
      <c r="J6050"/>
    </row>
    <row r="6051" spans="10:10" x14ac:dyDescent="0.35">
      <c r="J6051"/>
    </row>
    <row r="6052" spans="10:10" x14ac:dyDescent="0.35">
      <c r="J6052"/>
    </row>
    <row r="6053" spans="10:10" x14ac:dyDescent="0.35">
      <c r="J6053"/>
    </row>
    <row r="6054" spans="10:10" x14ac:dyDescent="0.35">
      <c r="J6054"/>
    </row>
    <row r="6055" spans="10:10" x14ac:dyDescent="0.35">
      <c r="J6055"/>
    </row>
    <row r="6056" spans="10:10" x14ac:dyDescent="0.35">
      <c r="J6056"/>
    </row>
    <row r="6057" spans="10:10" x14ac:dyDescent="0.35">
      <c r="J6057"/>
    </row>
    <row r="6058" spans="10:10" x14ac:dyDescent="0.35">
      <c r="J6058"/>
    </row>
    <row r="6059" spans="10:10" x14ac:dyDescent="0.35">
      <c r="J6059"/>
    </row>
    <row r="6060" spans="10:10" x14ac:dyDescent="0.35">
      <c r="J6060"/>
    </row>
    <row r="6061" spans="10:10" x14ac:dyDescent="0.35">
      <c r="J6061"/>
    </row>
    <row r="6062" spans="10:10" x14ac:dyDescent="0.35">
      <c r="J6062"/>
    </row>
    <row r="6063" spans="10:10" x14ac:dyDescent="0.35">
      <c r="J6063"/>
    </row>
    <row r="6064" spans="10:10" x14ac:dyDescent="0.35">
      <c r="J6064"/>
    </row>
    <row r="6065" spans="10:10" x14ac:dyDescent="0.35">
      <c r="J6065"/>
    </row>
    <row r="6066" spans="10:10" x14ac:dyDescent="0.35">
      <c r="J6066"/>
    </row>
    <row r="6067" spans="10:10" x14ac:dyDescent="0.35">
      <c r="J6067"/>
    </row>
    <row r="6068" spans="10:10" x14ac:dyDescent="0.35">
      <c r="J6068"/>
    </row>
    <row r="6069" spans="10:10" x14ac:dyDescent="0.35">
      <c r="J6069"/>
    </row>
    <row r="6070" spans="10:10" x14ac:dyDescent="0.35">
      <c r="J6070"/>
    </row>
    <row r="6071" spans="10:10" x14ac:dyDescent="0.35">
      <c r="J6071"/>
    </row>
    <row r="6072" spans="10:10" x14ac:dyDescent="0.35">
      <c r="J6072"/>
    </row>
    <row r="6073" spans="10:10" x14ac:dyDescent="0.35">
      <c r="J6073"/>
    </row>
    <row r="6074" spans="10:10" x14ac:dyDescent="0.35">
      <c r="J6074"/>
    </row>
    <row r="6075" spans="10:10" x14ac:dyDescent="0.35">
      <c r="J6075"/>
    </row>
    <row r="6076" spans="10:10" x14ac:dyDescent="0.35">
      <c r="J6076"/>
    </row>
    <row r="6077" spans="10:10" x14ac:dyDescent="0.35">
      <c r="J6077"/>
    </row>
    <row r="6078" spans="10:10" x14ac:dyDescent="0.35">
      <c r="J6078"/>
    </row>
    <row r="6079" spans="10:10" x14ac:dyDescent="0.35">
      <c r="J6079"/>
    </row>
    <row r="6080" spans="10:10" x14ac:dyDescent="0.35">
      <c r="J6080"/>
    </row>
    <row r="6081" spans="10:10" x14ac:dyDescent="0.35">
      <c r="J6081"/>
    </row>
    <row r="6082" spans="10:10" x14ac:dyDescent="0.35">
      <c r="J6082"/>
    </row>
    <row r="6083" spans="10:10" x14ac:dyDescent="0.35">
      <c r="J6083"/>
    </row>
    <row r="6084" spans="10:10" x14ac:dyDescent="0.35">
      <c r="J6084"/>
    </row>
    <row r="6085" spans="10:10" x14ac:dyDescent="0.35">
      <c r="J6085"/>
    </row>
    <row r="6086" spans="10:10" x14ac:dyDescent="0.35">
      <c r="J6086"/>
    </row>
    <row r="6087" spans="10:10" x14ac:dyDescent="0.35">
      <c r="J6087"/>
    </row>
    <row r="6088" spans="10:10" x14ac:dyDescent="0.35">
      <c r="J6088"/>
    </row>
    <row r="6089" spans="10:10" x14ac:dyDescent="0.35">
      <c r="J6089"/>
    </row>
    <row r="6090" spans="10:10" x14ac:dyDescent="0.35">
      <c r="J6090"/>
    </row>
    <row r="6091" spans="10:10" x14ac:dyDescent="0.35">
      <c r="J6091"/>
    </row>
    <row r="6092" spans="10:10" x14ac:dyDescent="0.35">
      <c r="J6092"/>
    </row>
    <row r="6093" spans="10:10" x14ac:dyDescent="0.35">
      <c r="J6093"/>
    </row>
    <row r="6094" spans="10:10" x14ac:dyDescent="0.35">
      <c r="J6094"/>
    </row>
    <row r="6095" spans="10:10" x14ac:dyDescent="0.35">
      <c r="J6095"/>
    </row>
    <row r="6096" spans="10:10" x14ac:dyDescent="0.35">
      <c r="J6096"/>
    </row>
    <row r="6097" spans="10:10" x14ac:dyDescent="0.35">
      <c r="J6097"/>
    </row>
    <row r="6098" spans="10:10" x14ac:dyDescent="0.35">
      <c r="J6098"/>
    </row>
    <row r="6099" spans="10:10" x14ac:dyDescent="0.35">
      <c r="J6099"/>
    </row>
    <row r="6100" spans="10:10" x14ac:dyDescent="0.35">
      <c r="J6100"/>
    </row>
    <row r="6101" spans="10:10" x14ac:dyDescent="0.35">
      <c r="J6101"/>
    </row>
    <row r="6102" spans="10:10" x14ac:dyDescent="0.35">
      <c r="J6102"/>
    </row>
    <row r="6103" spans="10:10" x14ac:dyDescent="0.35">
      <c r="J6103"/>
    </row>
    <row r="6104" spans="10:10" x14ac:dyDescent="0.35">
      <c r="J6104"/>
    </row>
    <row r="6105" spans="10:10" x14ac:dyDescent="0.35">
      <c r="J6105"/>
    </row>
    <row r="6106" spans="10:10" x14ac:dyDescent="0.35">
      <c r="J6106"/>
    </row>
    <row r="6107" spans="10:10" x14ac:dyDescent="0.35">
      <c r="J6107"/>
    </row>
    <row r="6108" spans="10:10" x14ac:dyDescent="0.35">
      <c r="J6108"/>
    </row>
    <row r="6109" spans="10:10" x14ac:dyDescent="0.35">
      <c r="J6109"/>
    </row>
    <row r="6110" spans="10:10" x14ac:dyDescent="0.35">
      <c r="J6110"/>
    </row>
    <row r="6111" spans="10:10" x14ac:dyDescent="0.35">
      <c r="J6111"/>
    </row>
    <row r="6112" spans="10:10" x14ac:dyDescent="0.35">
      <c r="J6112"/>
    </row>
    <row r="6113" spans="10:10" x14ac:dyDescent="0.35">
      <c r="J6113"/>
    </row>
    <row r="6114" spans="10:10" x14ac:dyDescent="0.35">
      <c r="J6114"/>
    </row>
    <row r="6115" spans="10:10" x14ac:dyDescent="0.35">
      <c r="J6115"/>
    </row>
    <row r="6116" spans="10:10" x14ac:dyDescent="0.35">
      <c r="J6116"/>
    </row>
    <row r="6117" spans="10:10" x14ac:dyDescent="0.35">
      <c r="J6117"/>
    </row>
    <row r="6118" spans="10:10" x14ac:dyDescent="0.35">
      <c r="J6118"/>
    </row>
    <row r="6119" spans="10:10" x14ac:dyDescent="0.35">
      <c r="J6119"/>
    </row>
    <row r="6120" spans="10:10" x14ac:dyDescent="0.35">
      <c r="J6120"/>
    </row>
    <row r="6121" spans="10:10" x14ac:dyDescent="0.35">
      <c r="J6121"/>
    </row>
    <row r="6122" spans="10:10" x14ac:dyDescent="0.35">
      <c r="J6122"/>
    </row>
    <row r="6123" spans="10:10" x14ac:dyDescent="0.35">
      <c r="J6123"/>
    </row>
    <row r="6124" spans="10:10" x14ac:dyDescent="0.35">
      <c r="J6124"/>
    </row>
    <row r="6125" spans="10:10" x14ac:dyDescent="0.35">
      <c r="J6125"/>
    </row>
    <row r="6126" spans="10:10" x14ac:dyDescent="0.35">
      <c r="J6126"/>
    </row>
    <row r="6127" spans="10:10" x14ac:dyDescent="0.35">
      <c r="J6127"/>
    </row>
    <row r="6128" spans="10:10" x14ac:dyDescent="0.35">
      <c r="J6128"/>
    </row>
    <row r="6129" spans="10:10" x14ac:dyDescent="0.35">
      <c r="J6129"/>
    </row>
    <row r="6130" spans="10:10" x14ac:dyDescent="0.35">
      <c r="J6130"/>
    </row>
    <row r="6131" spans="10:10" x14ac:dyDescent="0.35">
      <c r="J6131"/>
    </row>
    <row r="6132" spans="10:10" x14ac:dyDescent="0.35">
      <c r="J6132"/>
    </row>
    <row r="6133" spans="10:10" x14ac:dyDescent="0.35">
      <c r="J6133"/>
    </row>
    <row r="6134" spans="10:10" x14ac:dyDescent="0.35">
      <c r="J6134"/>
    </row>
    <row r="6135" spans="10:10" x14ac:dyDescent="0.35">
      <c r="J6135"/>
    </row>
    <row r="6136" spans="10:10" x14ac:dyDescent="0.35">
      <c r="J6136"/>
    </row>
    <row r="6137" spans="10:10" x14ac:dyDescent="0.35">
      <c r="J6137"/>
    </row>
    <row r="6138" spans="10:10" x14ac:dyDescent="0.35">
      <c r="J6138"/>
    </row>
    <row r="6139" spans="10:10" x14ac:dyDescent="0.35">
      <c r="J6139"/>
    </row>
    <row r="6140" spans="10:10" x14ac:dyDescent="0.35">
      <c r="J6140"/>
    </row>
    <row r="6141" spans="10:10" x14ac:dyDescent="0.35">
      <c r="J6141"/>
    </row>
    <row r="6142" spans="10:10" x14ac:dyDescent="0.35">
      <c r="J6142"/>
    </row>
    <row r="6143" spans="10:10" x14ac:dyDescent="0.35">
      <c r="J6143"/>
    </row>
    <row r="6144" spans="10:10" x14ac:dyDescent="0.35">
      <c r="J6144"/>
    </row>
    <row r="6145" spans="10:10" x14ac:dyDescent="0.35">
      <c r="J6145"/>
    </row>
    <row r="6146" spans="10:10" x14ac:dyDescent="0.35">
      <c r="J6146"/>
    </row>
    <row r="6147" spans="10:10" x14ac:dyDescent="0.35">
      <c r="J6147"/>
    </row>
    <row r="6148" spans="10:10" x14ac:dyDescent="0.35">
      <c r="J6148"/>
    </row>
    <row r="6149" spans="10:10" x14ac:dyDescent="0.35">
      <c r="J6149"/>
    </row>
    <row r="6150" spans="10:10" x14ac:dyDescent="0.35">
      <c r="J6150"/>
    </row>
    <row r="6151" spans="10:10" x14ac:dyDescent="0.35">
      <c r="J6151"/>
    </row>
    <row r="6152" spans="10:10" x14ac:dyDescent="0.35">
      <c r="J6152"/>
    </row>
    <row r="6153" spans="10:10" x14ac:dyDescent="0.35">
      <c r="J6153"/>
    </row>
    <row r="6154" spans="10:10" x14ac:dyDescent="0.35">
      <c r="J6154"/>
    </row>
    <row r="6155" spans="10:10" x14ac:dyDescent="0.35">
      <c r="J6155"/>
    </row>
    <row r="6156" spans="10:10" x14ac:dyDescent="0.35">
      <c r="J6156"/>
    </row>
    <row r="6157" spans="10:10" x14ac:dyDescent="0.35">
      <c r="J6157"/>
    </row>
    <row r="6158" spans="10:10" x14ac:dyDescent="0.35">
      <c r="J6158"/>
    </row>
    <row r="6159" spans="10:10" x14ac:dyDescent="0.35">
      <c r="J6159"/>
    </row>
    <row r="6160" spans="10:10" x14ac:dyDescent="0.35">
      <c r="J6160"/>
    </row>
    <row r="6161" spans="10:10" x14ac:dyDescent="0.35">
      <c r="J6161"/>
    </row>
    <row r="6162" spans="10:10" x14ac:dyDescent="0.35">
      <c r="J6162"/>
    </row>
    <row r="6163" spans="10:10" x14ac:dyDescent="0.35">
      <c r="J6163"/>
    </row>
    <row r="6164" spans="10:10" x14ac:dyDescent="0.35">
      <c r="J6164"/>
    </row>
    <row r="6165" spans="10:10" x14ac:dyDescent="0.35">
      <c r="J6165"/>
    </row>
    <row r="6166" spans="10:10" x14ac:dyDescent="0.35">
      <c r="J6166"/>
    </row>
    <row r="6167" spans="10:10" x14ac:dyDescent="0.35">
      <c r="J6167"/>
    </row>
    <row r="6168" spans="10:10" x14ac:dyDescent="0.35">
      <c r="J6168"/>
    </row>
    <row r="6169" spans="10:10" x14ac:dyDescent="0.35">
      <c r="J6169"/>
    </row>
    <row r="6170" spans="10:10" x14ac:dyDescent="0.35">
      <c r="J6170"/>
    </row>
    <row r="6171" spans="10:10" x14ac:dyDescent="0.35">
      <c r="J6171"/>
    </row>
    <row r="6172" spans="10:10" x14ac:dyDescent="0.35">
      <c r="J6172"/>
    </row>
    <row r="6173" spans="10:10" x14ac:dyDescent="0.35">
      <c r="J6173"/>
    </row>
    <row r="6174" spans="10:10" x14ac:dyDescent="0.35">
      <c r="J6174"/>
    </row>
    <row r="6175" spans="10:10" x14ac:dyDescent="0.35">
      <c r="J6175"/>
    </row>
    <row r="6176" spans="10:10" x14ac:dyDescent="0.35">
      <c r="J6176"/>
    </row>
    <row r="6177" spans="10:10" x14ac:dyDescent="0.35">
      <c r="J6177"/>
    </row>
    <row r="6178" spans="10:10" x14ac:dyDescent="0.35">
      <c r="J6178"/>
    </row>
    <row r="6179" spans="10:10" x14ac:dyDescent="0.35">
      <c r="J6179"/>
    </row>
    <row r="6180" spans="10:10" x14ac:dyDescent="0.35">
      <c r="J6180"/>
    </row>
    <row r="6181" spans="10:10" x14ac:dyDescent="0.35">
      <c r="J6181"/>
    </row>
    <row r="6182" spans="10:10" x14ac:dyDescent="0.35">
      <c r="J6182"/>
    </row>
    <row r="6183" spans="10:10" x14ac:dyDescent="0.35">
      <c r="J6183"/>
    </row>
    <row r="6184" spans="10:10" x14ac:dyDescent="0.35">
      <c r="J6184"/>
    </row>
    <row r="6185" spans="10:10" x14ac:dyDescent="0.35">
      <c r="J6185"/>
    </row>
    <row r="6186" spans="10:10" x14ac:dyDescent="0.35">
      <c r="J6186"/>
    </row>
    <row r="6187" spans="10:10" x14ac:dyDescent="0.35">
      <c r="J6187"/>
    </row>
    <row r="6188" spans="10:10" x14ac:dyDescent="0.35">
      <c r="J6188"/>
    </row>
    <row r="6189" spans="10:10" x14ac:dyDescent="0.35">
      <c r="J6189"/>
    </row>
    <row r="6190" spans="10:10" x14ac:dyDescent="0.35">
      <c r="J6190"/>
    </row>
    <row r="6191" spans="10:10" x14ac:dyDescent="0.35">
      <c r="J6191"/>
    </row>
    <row r="6192" spans="10:10" x14ac:dyDescent="0.35">
      <c r="J6192"/>
    </row>
    <row r="6193" spans="10:10" x14ac:dyDescent="0.35">
      <c r="J6193"/>
    </row>
    <row r="6194" spans="10:10" x14ac:dyDescent="0.35">
      <c r="J6194"/>
    </row>
    <row r="6195" spans="10:10" x14ac:dyDescent="0.35">
      <c r="J6195"/>
    </row>
    <row r="6196" spans="10:10" x14ac:dyDescent="0.35">
      <c r="J6196"/>
    </row>
    <row r="6197" spans="10:10" x14ac:dyDescent="0.35">
      <c r="J6197"/>
    </row>
    <row r="6198" spans="10:10" x14ac:dyDescent="0.35">
      <c r="J6198"/>
    </row>
    <row r="6199" spans="10:10" x14ac:dyDescent="0.35">
      <c r="J6199"/>
    </row>
    <row r="6200" spans="10:10" x14ac:dyDescent="0.35">
      <c r="J6200"/>
    </row>
    <row r="6201" spans="10:10" x14ac:dyDescent="0.35">
      <c r="J6201"/>
    </row>
    <row r="6202" spans="10:10" x14ac:dyDescent="0.35">
      <c r="J6202"/>
    </row>
    <row r="6203" spans="10:10" x14ac:dyDescent="0.35">
      <c r="J6203"/>
    </row>
    <row r="6204" spans="10:10" x14ac:dyDescent="0.35">
      <c r="J6204"/>
    </row>
    <row r="6205" spans="10:10" x14ac:dyDescent="0.35">
      <c r="J6205"/>
    </row>
    <row r="6206" spans="10:10" x14ac:dyDescent="0.35">
      <c r="J6206"/>
    </row>
    <row r="6207" spans="10:10" x14ac:dyDescent="0.35">
      <c r="J6207"/>
    </row>
    <row r="6208" spans="10:10" x14ac:dyDescent="0.35">
      <c r="J6208"/>
    </row>
    <row r="6209" spans="10:10" x14ac:dyDescent="0.35">
      <c r="J6209"/>
    </row>
    <row r="6210" spans="10:10" x14ac:dyDescent="0.35">
      <c r="J6210"/>
    </row>
    <row r="6211" spans="10:10" x14ac:dyDescent="0.35">
      <c r="J6211"/>
    </row>
    <row r="6212" spans="10:10" x14ac:dyDescent="0.35">
      <c r="J6212"/>
    </row>
    <row r="6213" spans="10:10" x14ac:dyDescent="0.35">
      <c r="J6213"/>
    </row>
    <row r="6214" spans="10:10" x14ac:dyDescent="0.35">
      <c r="J6214"/>
    </row>
    <row r="6215" spans="10:10" x14ac:dyDescent="0.35">
      <c r="J6215"/>
    </row>
    <row r="6216" spans="10:10" x14ac:dyDescent="0.35">
      <c r="J6216"/>
    </row>
    <row r="6217" spans="10:10" x14ac:dyDescent="0.35">
      <c r="J6217"/>
    </row>
    <row r="6218" spans="10:10" x14ac:dyDescent="0.35">
      <c r="J6218"/>
    </row>
    <row r="6219" spans="10:10" x14ac:dyDescent="0.35">
      <c r="J6219"/>
    </row>
    <row r="6220" spans="10:10" x14ac:dyDescent="0.35">
      <c r="J6220"/>
    </row>
    <row r="6221" spans="10:10" x14ac:dyDescent="0.35">
      <c r="J6221"/>
    </row>
    <row r="6222" spans="10:10" x14ac:dyDescent="0.35">
      <c r="J6222"/>
    </row>
    <row r="6223" spans="10:10" x14ac:dyDescent="0.35">
      <c r="J6223"/>
    </row>
    <row r="6224" spans="10:10" x14ac:dyDescent="0.35">
      <c r="J6224"/>
    </row>
    <row r="6225" spans="10:10" x14ac:dyDescent="0.35">
      <c r="J6225"/>
    </row>
    <row r="6226" spans="10:10" x14ac:dyDescent="0.35">
      <c r="J6226"/>
    </row>
    <row r="6227" spans="10:10" x14ac:dyDescent="0.35">
      <c r="J6227"/>
    </row>
    <row r="6228" spans="10:10" x14ac:dyDescent="0.35">
      <c r="J6228"/>
    </row>
    <row r="6229" spans="10:10" x14ac:dyDescent="0.35">
      <c r="J6229"/>
    </row>
    <row r="6230" spans="10:10" x14ac:dyDescent="0.35">
      <c r="J6230"/>
    </row>
    <row r="6231" spans="10:10" x14ac:dyDescent="0.35">
      <c r="J6231"/>
    </row>
    <row r="6232" spans="10:10" x14ac:dyDescent="0.35">
      <c r="J6232"/>
    </row>
    <row r="6233" spans="10:10" x14ac:dyDescent="0.35">
      <c r="J6233"/>
    </row>
    <row r="6234" spans="10:10" x14ac:dyDescent="0.35">
      <c r="J6234"/>
    </row>
    <row r="6235" spans="10:10" x14ac:dyDescent="0.35">
      <c r="J6235"/>
    </row>
    <row r="6236" spans="10:10" x14ac:dyDescent="0.35">
      <c r="J6236"/>
    </row>
    <row r="6237" spans="10:10" x14ac:dyDescent="0.35">
      <c r="J6237"/>
    </row>
    <row r="6238" spans="10:10" x14ac:dyDescent="0.35">
      <c r="J6238"/>
    </row>
    <row r="6239" spans="10:10" x14ac:dyDescent="0.35">
      <c r="J6239"/>
    </row>
    <row r="6240" spans="10:10" x14ac:dyDescent="0.35">
      <c r="J6240"/>
    </row>
    <row r="6241" spans="10:10" x14ac:dyDescent="0.35">
      <c r="J6241"/>
    </row>
    <row r="6242" spans="10:10" x14ac:dyDescent="0.35">
      <c r="J6242"/>
    </row>
    <row r="6243" spans="10:10" x14ac:dyDescent="0.35">
      <c r="J6243"/>
    </row>
    <row r="6244" spans="10:10" x14ac:dyDescent="0.35">
      <c r="J6244"/>
    </row>
    <row r="6245" spans="10:10" x14ac:dyDescent="0.35">
      <c r="J6245"/>
    </row>
    <row r="6246" spans="10:10" x14ac:dyDescent="0.35">
      <c r="J6246"/>
    </row>
    <row r="6247" spans="10:10" x14ac:dyDescent="0.35">
      <c r="J6247"/>
    </row>
    <row r="6248" spans="10:10" x14ac:dyDescent="0.35">
      <c r="J6248"/>
    </row>
    <row r="6249" spans="10:10" x14ac:dyDescent="0.35">
      <c r="J6249"/>
    </row>
    <row r="6250" spans="10:10" x14ac:dyDescent="0.35">
      <c r="J6250"/>
    </row>
    <row r="6251" spans="10:10" x14ac:dyDescent="0.35">
      <c r="J6251"/>
    </row>
    <row r="6252" spans="10:10" x14ac:dyDescent="0.35">
      <c r="J6252"/>
    </row>
    <row r="6253" spans="10:10" x14ac:dyDescent="0.35">
      <c r="J6253"/>
    </row>
    <row r="6254" spans="10:10" x14ac:dyDescent="0.35">
      <c r="J6254"/>
    </row>
    <row r="6255" spans="10:10" x14ac:dyDescent="0.35">
      <c r="J6255"/>
    </row>
    <row r="6256" spans="10:10" x14ac:dyDescent="0.35">
      <c r="J6256"/>
    </row>
    <row r="6257" spans="10:10" x14ac:dyDescent="0.35">
      <c r="J6257"/>
    </row>
    <row r="6258" spans="10:10" x14ac:dyDescent="0.35">
      <c r="J6258"/>
    </row>
    <row r="6259" spans="10:10" x14ac:dyDescent="0.35">
      <c r="J6259"/>
    </row>
    <row r="6260" spans="10:10" x14ac:dyDescent="0.35">
      <c r="J6260"/>
    </row>
    <row r="6261" spans="10:10" x14ac:dyDescent="0.35">
      <c r="J6261"/>
    </row>
    <row r="6262" spans="10:10" x14ac:dyDescent="0.35">
      <c r="J6262"/>
    </row>
    <row r="6263" spans="10:10" x14ac:dyDescent="0.35">
      <c r="J6263"/>
    </row>
    <row r="6264" spans="10:10" x14ac:dyDescent="0.35">
      <c r="J6264"/>
    </row>
    <row r="6265" spans="10:10" x14ac:dyDescent="0.35">
      <c r="J6265"/>
    </row>
    <row r="6266" spans="10:10" x14ac:dyDescent="0.35">
      <c r="J6266"/>
    </row>
    <row r="6267" spans="10:10" x14ac:dyDescent="0.35">
      <c r="J6267"/>
    </row>
    <row r="6268" spans="10:10" x14ac:dyDescent="0.35">
      <c r="J6268"/>
    </row>
    <row r="6269" spans="10:10" x14ac:dyDescent="0.35">
      <c r="J6269"/>
    </row>
    <row r="6270" spans="10:10" x14ac:dyDescent="0.35">
      <c r="J6270"/>
    </row>
    <row r="6271" spans="10:10" x14ac:dyDescent="0.35">
      <c r="J6271"/>
    </row>
    <row r="6272" spans="10:10" x14ac:dyDescent="0.35">
      <c r="J6272"/>
    </row>
    <row r="6273" spans="10:10" x14ac:dyDescent="0.35">
      <c r="J6273"/>
    </row>
    <row r="6274" spans="10:10" x14ac:dyDescent="0.35">
      <c r="J6274"/>
    </row>
    <row r="6275" spans="10:10" x14ac:dyDescent="0.35">
      <c r="J6275"/>
    </row>
    <row r="6276" spans="10:10" x14ac:dyDescent="0.35">
      <c r="J6276"/>
    </row>
    <row r="6277" spans="10:10" x14ac:dyDescent="0.35">
      <c r="J6277"/>
    </row>
    <row r="6278" spans="10:10" x14ac:dyDescent="0.35">
      <c r="J6278"/>
    </row>
    <row r="6279" spans="10:10" x14ac:dyDescent="0.35">
      <c r="J6279"/>
    </row>
    <row r="6280" spans="10:10" x14ac:dyDescent="0.35">
      <c r="J6280"/>
    </row>
    <row r="6281" spans="10:10" x14ac:dyDescent="0.35">
      <c r="J6281"/>
    </row>
    <row r="6282" spans="10:10" x14ac:dyDescent="0.35">
      <c r="J6282"/>
    </row>
    <row r="6283" spans="10:10" x14ac:dyDescent="0.35">
      <c r="J6283"/>
    </row>
    <row r="6284" spans="10:10" x14ac:dyDescent="0.35">
      <c r="J6284"/>
    </row>
    <row r="6285" spans="10:10" x14ac:dyDescent="0.35">
      <c r="J6285"/>
    </row>
    <row r="6286" spans="10:10" x14ac:dyDescent="0.35">
      <c r="J6286"/>
    </row>
    <row r="6287" spans="10:10" x14ac:dyDescent="0.35">
      <c r="J6287"/>
    </row>
    <row r="6288" spans="10:10" x14ac:dyDescent="0.35">
      <c r="J6288"/>
    </row>
    <row r="6289" spans="10:10" x14ac:dyDescent="0.35">
      <c r="J6289"/>
    </row>
    <row r="6290" spans="10:10" x14ac:dyDescent="0.35">
      <c r="J6290"/>
    </row>
    <row r="6291" spans="10:10" x14ac:dyDescent="0.35">
      <c r="J6291"/>
    </row>
    <row r="6292" spans="10:10" x14ac:dyDescent="0.35">
      <c r="J6292"/>
    </row>
    <row r="6293" spans="10:10" x14ac:dyDescent="0.35">
      <c r="J6293"/>
    </row>
    <row r="6294" spans="10:10" x14ac:dyDescent="0.35">
      <c r="J6294"/>
    </row>
    <row r="6295" spans="10:10" x14ac:dyDescent="0.35">
      <c r="J6295"/>
    </row>
    <row r="6296" spans="10:10" x14ac:dyDescent="0.35">
      <c r="J6296"/>
    </row>
    <row r="6297" spans="10:10" x14ac:dyDescent="0.35">
      <c r="J6297"/>
    </row>
    <row r="6298" spans="10:10" x14ac:dyDescent="0.35">
      <c r="J6298"/>
    </row>
    <row r="6299" spans="10:10" x14ac:dyDescent="0.35">
      <c r="J6299"/>
    </row>
    <row r="6300" spans="10:10" x14ac:dyDescent="0.35">
      <c r="J6300"/>
    </row>
    <row r="6301" spans="10:10" x14ac:dyDescent="0.35">
      <c r="J6301"/>
    </row>
    <row r="6302" spans="10:10" x14ac:dyDescent="0.35">
      <c r="J6302"/>
    </row>
    <row r="6303" spans="10:10" x14ac:dyDescent="0.35">
      <c r="J6303"/>
    </row>
    <row r="6304" spans="10:10" x14ac:dyDescent="0.35">
      <c r="J6304"/>
    </row>
    <row r="6305" spans="10:10" x14ac:dyDescent="0.35">
      <c r="J6305"/>
    </row>
    <row r="6306" spans="10:10" x14ac:dyDescent="0.35">
      <c r="J6306"/>
    </row>
    <row r="6307" spans="10:10" x14ac:dyDescent="0.35">
      <c r="J6307"/>
    </row>
    <row r="6308" spans="10:10" x14ac:dyDescent="0.35">
      <c r="J6308"/>
    </row>
    <row r="6309" spans="10:10" x14ac:dyDescent="0.35">
      <c r="J6309"/>
    </row>
    <row r="6310" spans="10:10" x14ac:dyDescent="0.35">
      <c r="J6310"/>
    </row>
    <row r="6311" spans="10:10" x14ac:dyDescent="0.35">
      <c r="J6311"/>
    </row>
    <row r="6312" spans="10:10" x14ac:dyDescent="0.35">
      <c r="J6312"/>
    </row>
    <row r="6313" spans="10:10" x14ac:dyDescent="0.35">
      <c r="J6313"/>
    </row>
    <row r="6314" spans="10:10" x14ac:dyDescent="0.35">
      <c r="J6314"/>
    </row>
    <row r="6315" spans="10:10" x14ac:dyDescent="0.35">
      <c r="J6315"/>
    </row>
    <row r="6316" spans="10:10" x14ac:dyDescent="0.35">
      <c r="J6316"/>
    </row>
    <row r="6317" spans="10:10" x14ac:dyDescent="0.35">
      <c r="J6317"/>
    </row>
    <row r="6318" spans="10:10" x14ac:dyDescent="0.35">
      <c r="J6318"/>
    </row>
    <row r="6319" spans="10:10" x14ac:dyDescent="0.35">
      <c r="J6319"/>
    </row>
    <row r="6320" spans="10:10" x14ac:dyDescent="0.35">
      <c r="J6320"/>
    </row>
    <row r="6321" spans="10:10" x14ac:dyDescent="0.35">
      <c r="J6321"/>
    </row>
    <row r="6322" spans="10:10" x14ac:dyDescent="0.35">
      <c r="J6322"/>
    </row>
    <row r="6323" spans="10:10" x14ac:dyDescent="0.35">
      <c r="J6323"/>
    </row>
    <row r="6324" spans="10:10" x14ac:dyDescent="0.35">
      <c r="J6324"/>
    </row>
    <row r="6325" spans="10:10" x14ac:dyDescent="0.35">
      <c r="J6325"/>
    </row>
    <row r="6326" spans="10:10" x14ac:dyDescent="0.35">
      <c r="J6326"/>
    </row>
    <row r="6327" spans="10:10" x14ac:dyDescent="0.35">
      <c r="J6327"/>
    </row>
    <row r="6328" spans="10:10" x14ac:dyDescent="0.35">
      <c r="J6328"/>
    </row>
    <row r="6329" spans="10:10" x14ac:dyDescent="0.35">
      <c r="J6329"/>
    </row>
    <row r="6330" spans="10:10" x14ac:dyDescent="0.35">
      <c r="J6330"/>
    </row>
    <row r="6331" spans="10:10" x14ac:dyDescent="0.35">
      <c r="J6331"/>
    </row>
    <row r="6332" spans="10:10" x14ac:dyDescent="0.35">
      <c r="J6332"/>
    </row>
    <row r="6333" spans="10:10" x14ac:dyDescent="0.35">
      <c r="J6333"/>
    </row>
    <row r="6334" spans="10:10" x14ac:dyDescent="0.35">
      <c r="J6334"/>
    </row>
    <row r="6335" spans="10:10" x14ac:dyDescent="0.35">
      <c r="J6335"/>
    </row>
    <row r="6336" spans="10:10" x14ac:dyDescent="0.35">
      <c r="J6336"/>
    </row>
    <row r="6337" spans="10:10" x14ac:dyDescent="0.35">
      <c r="J6337"/>
    </row>
    <row r="6338" spans="10:10" x14ac:dyDescent="0.35">
      <c r="J6338"/>
    </row>
    <row r="6339" spans="10:10" x14ac:dyDescent="0.35">
      <c r="J6339"/>
    </row>
    <row r="6340" spans="10:10" x14ac:dyDescent="0.35">
      <c r="J6340"/>
    </row>
    <row r="6341" spans="10:10" x14ac:dyDescent="0.35">
      <c r="J6341"/>
    </row>
    <row r="6342" spans="10:10" x14ac:dyDescent="0.35">
      <c r="J6342"/>
    </row>
    <row r="6343" spans="10:10" x14ac:dyDescent="0.35">
      <c r="J6343"/>
    </row>
    <row r="6344" spans="10:10" x14ac:dyDescent="0.35">
      <c r="J6344"/>
    </row>
    <row r="6345" spans="10:10" x14ac:dyDescent="0.35">
      <c r="J6345"/>
    </row>
    <row r="6346" spans="10:10" x14ac:dyDescent="0.35">
      <c r="J6346"/>
    </row>
    <row r="6347" spans="10:10" x14ac:dyDescent="0.35">
      <c r="J6347"/>
    </row>
    <row r="6348" spans="10:10" x14ac:dyDescent="0.35">
      <c r="J6348"/>
    </row>
    <row r="6349" spans="10:10" x14ac:dyDescent="0.35">
      <c r="J6349"/>
    </row>
    <row r="6350" spans="10:10" x14ac:dyDescent="0.35">
      <c r="J6350"/>
    </row>
    <row r="6351" spans="10:10" x14ac:dyDescent="0.35">
      <c r="J6351"/>
    </row>
    <row r="6352" spans="10:10" x14ac:dyDescent="0.35">
      <c r="J6352"/>
    </row>
    <row r="6353" spans="10:10" x14ac:dyDescent="0.35">
      <c r="J6353"/>
    </row>
    <row r="6354" spans="10:10" x14ac:dyDescent="0.35">
      <c r="J6354"/>
    </row>
    <row r="6355" spans="10:10" x14ac:dyDescent="0.35">
      <c r="J6355"/>
    </row>
    <row r="6356" spans="10:10" x14ac:dyDescent="0.35">
      <c r="J6356"/>
    </row>
    <row r="6357" spans="10:10" x14ac:dyDescent="0.35">
      <c r="J6357"/>
    </row>
    <row r="6358" spans="10:10" x14ac:dyDescent="0.35">
      <c r="J6358"/>
    </row>
    <row r="6359" spans="10:10" x14ac:dyDescent="0.35">
      <c r="J6359"/>
    </row>
    <row r="6360" spans="10:10" x14ac:dyDescent="0.35">
      <c r="J6360"/>
    </row>
    <row r="6361" spans="10:10" x14ac:dyDescent="0.35">
      <c r="J6361"/>
    </row>
    <row r="6362" spans="10:10" x14ac:dyDescent="0.35">
      <c r="J6362"/>
    </row>
    <row r="6363" spans="10:10" x14ac:dyDescent="0.35">
      <c r="J6363"/>
    </row>
    <row r="6364" spans="10:10" x14ac:dyDescent="0.35">
      <c r="J6364"/>
    </row>
    <row r="6365" spans="10:10" x14ac:dyDescent="0.35">
      <c r="J6365"/>
    </row>
    <row r="6366" spans="10:10" x14ac:dyDescent="0.35">
      <c r="J6366"/>
    </row>
    <row r="6367" spans="10:10" x14ac:dyDescent="0.35">
      <c r="J6367"/>
    </row>
    <row r="6368" spans="10:10" x14ac:dyDescent="0.35">
      <c r="J6368"/>
    </row>
    <row r="6369" spans="10:10" x14ac:dyDescent="0.35">
      <c r="J6369"/>
    </row>
    <row r="6370" spans="10:10" x14ac:dyDescent="0.35">
      <c r="J6370"/>
    </row>
    <row r="6371" spans="10:10" x14ac:dyDescent="0.35">
      <c r="J6371"/>
    </row>
    <row r="6372" spans="10:10" x14ac:dyDescent="0.35">
      <c r="J6372"/>
    </row>
    <row r="6373" spans="10:10" x14ac:dyDescent="0.35">
      <c r="J6373"/>
    </row>
    <row r="6374" spans="10:10" x14ac:dyDescent="0.35">
      <c r="J6374"/>
    </row>
    <row r="6375" spans="10:10" x14ac:dyDescent="0.35">
      <c r="J6375"/>
    </row>
    <row r="6376" spans="10:10" x14ac:dyDescent="0.35">
      <c r="J6376"/>
    </row>
    <row r="6377" spans="10:10" x14ac:dyDescent="0.35">
      <c r="J6377"/>
    </row>
    <row r="6378" spans="10:10" x14ac:dyDescent="0.35">
      <c r="J6378"/>
    </row>
    <row r="6379" spans="10:10" x14ac:dyDescent="0.35">
      <c r="J6379"/>
    </row>
    <row r="6380" spans="10:10" x14ac:dyDescent="0.35">
      <c r="J6380"/>
    </row>
    <row r="6381" spans="10:10" x14ac:dyDescent="0.35">
      <c r="J6381"/>
    </row>
    <row r="6382" spans="10:10" x14ac:dyDescent="0.35">
      <c r="J6382"/>
    </row>
    <row r="6383" spans="10:10" x14ac:dyDescent="0.35">
      <c r="J6383"/>
    </row>
    <row r="6384" spans="10:10" x14ac:dyDescent="0.35">
      <c r="J6384"/>
    </row>
    <row r="6385" spans="10:10" x14ac:dyDescent="0.35">
      <c r="J6385"/>
    </row>
    <row r="6386" spans="10:10" x14ac:dyDescent="0.35">
      <c r="J6386"/>
    </row>
    <row r="6387" spans="10:10" x14ac:dyDescent="0.35">
      <c r="J6387"/>
    </row>
    <row r="6388" spans="10:10" x14ac:dyDescent="0.35">
      <c r="J6388"/>
    </row>
    <row r="6389" spans="10:10" x14ac:dyDescent="0.35">
      <c r="J6389"/>
    </row>
    <row r="6390" spans="10:10" x14ac:dyDescent="0.35">
      <c r="J6390"/>
    </row>
    <row r="6391" spans="10:10" x14ac:dyDescent="0.35">
      <c r="J6391"/>
    </row>
    <row r="6392" spans="10:10" x14ac:dyDescent="0.35">
      <c r="J6392"/>
    </row>
    <row r="6393" spans="10:10" x14ac:dyDescent="0.35">
      <c r="J6393"/>
    </row>
    <row r="6394" spans="10:10" x14ac:dyDescent="0.35">
      <c r="J6394"/>
    </row>
    <row r="6395" spans="10:10" x14ac:dyDescent="0.35">
      <c r="J6395"/>
    </row>
    <row r="6396" spans="10:10" x14ac:dyDescent="0.35">
      <c r="J6396"/>
    </row>
    <row r="6397" spans="10:10" x14ac:dyDescent="0.35">
      <c r="J6397"/>
    </row>
    <row r="6398" spans="10:10" x14ac:dyDescent="0.35">
      <c r="J6398"/>
    </row>
    <row r="6399" spans="10:10" x14ac:dyDescent="0.35">
      <c r="J6399"/>
    </row>
    <row r="6400" spans="10:10" x14ac:dyDescent="0.35">
      <c r="J6400"/>
    </row>
    <row r="6401" spans="10:10" x14ac:dyDescent="0.35">
      <c r="J6401"/>
    </row>
    <row r="6402" spans="10:10" x14ac:dyDescent="0.35">
      <c r="J6402"/>
    </row>
    <row r="6403" spans="10:10" x14ac:dyDescent="0.35">
      <c r="J6403"/>
    </row>
    <row r="6404" spans="10:10" x14ac:dyDescent="0.35">
      <c r="J6404"/>
    </row>
    <row r="6405" spans="10:10" x14ac:dyDescent="0.35">
      <c r="J6405"/>
    </row>
    <row r="6406" spans="10:10" x14ac:dyDescent="0.35">
      <c r="J6406"/>
    </row>
    <row r="6407" spans="10:10" x14ac:dyDescent="0.35">
      <c r="J6407"/>
    </row>
    <row r="6408" spans="10:10" x14ac:dyDescent="0.35">
      <c r="J6408"/>
    </row>
    <row r="6409" spans="10:10" x14ac:dyDescent="0.35">
      <c r="J6409"/>
    </row>
    <row r="6410" spans="10:10" x14ac:dyDescent="0.35">
      <c r="J6410"/>
    </row>
    <row r="6411" spans="10:10" x14ac:dyDescent="0.35">
      <c r="J6411"/>
    </row>
    <row r="6412" spans="10:10" x14ac:dyDescent="0.35">
      <c r="J6412"/>
    </row>
    <row r="6413" spans="10:10" x14ac:dyDescent="0.35">
      <c r="J6413"/>
    </row>
    <row r="6414" spans="10:10" x14ac:dyDescent="0.35">
      <c r="J6414"/>
    </row>
    <row r="6415" spans="10:10" x14ac:dyDescent="0.35">
      <c r="J6415"/>
    </row>
    <row r="6416" spans="10:10" x14ac:dyDescent="0.35">
      <c r="J6416"/>
    </row>
    <row r="6417" spans="10:10" x14ac:dyDescent="0.35">
      <c r="J6417"/>
    </row>
    <row r="6418" spans="10:10" x14ac:dyDescent="0.35">
      <c r="J6418"/>
    </row>
    <row r="6419" spans="10:10" x14ac:dyDescent="0.35">
      <c r="J6419"/>
    </row>
    <row r="6420" spans="10:10" x14ac:dyDescent="0.35">
      <c r="J6420"/>
    </row>
    <row r="6421" spans="10:10" x14ac:dyDescent="0.35">
      <c r="J6421"/>
    </row>
    <row r="6422" spans="10:10" x14ac:dyDescent="0.35">
      <c r="J6422"/>
    </row>
    <row r="6423" spans="10:10" x14ac:dyDescent="0.35">
      <c r="J6423"/>
    </row>
    <row r="6424" spans="10:10" x14ac:dyDescent="0.35">
      <c r="J6424"/>
    </row>
    <row r="6425" spans="10:10" x14ac:dyDescent="0.35">
      <c r="J6425"/>
    </row>
    <row r="6426" spans="10:10" x14ac:dyDescent="0.35">
      <c r="J6426"/>
    </row>
    <row r="6427" spans="10:10" x14ac:dyDescent="0.35">
      <c r="J6427"/>
    </row>
    <row r="6428" spans="10:10" x14ac:dyDescent="0.35">
      <c r="J6428"/>
    </row>
    <row r="6429" spans="10:10" x14ac:dyDescent="0.35">
      <c r="J6429"/>
    </row>
    <row r="6430" spans="10:10" x14ac:dyDescent="0.35">
      <c r="J6430"/>
    </row>
    <row r="6431" spans="10:10" x14ac:dyDescent="0.35">
      <c r="J6431"/>
    </row>
    <row r="6432" spans="10:10" x14ac:dyDescent="0.35">
      <c r="J6432"/>
    </row>
    <row r="6433" spans="10:10" x14ac:dyDescent="0.35">
      <c r="J6433"/>
    </row>
    <row r="6434" spans="10:10" x14ac:dyDescent="0.35">
      <c r="J6434"/>
    </row>
    <row r="6435" spans="10:10" x14ac:dyDescent="0.35">
      <c r="J6435"/>
    </row>
    <row r="6436" spans="10:10" x14ac:dyDescent="0.35">
      <c r="J6436"/>
    </row>
    <row r="6437" spans="10:10" x14ac:dyDescent="0.35">
      <c r="J6437"/>
    </row>
    <row r="6438" spans="10:10" x14ac:dyDescent="0.35">
      <c r="J6438"/>
    </row>
    <row r="6439" spans="10:10" x14ac:dyDescent="0.35">
      <c r="J6439"/>
    </row>
    <row r="6440" spans="10:10" x14ac:dyDescent="0.35">
      <c r="J6440"/>
    </row>
    <row r="6441" spans="10:10" x14ac:dyDescent="0.35">
      <c r="J6441"/>
    </row>
    <row r="6442" spans="10:10" x14ac:dyDescent="0.35">
      <c r="J6442"/>
    </row>
    <row r="6443" spans="10:10" x14ac:dyDescent="0.35">
      <c r="J6443"/>
    </row>
    <row r="6444" spans="10:10" x14ac:dyDescent="0.35">
      <c r="J6444"/>
    </row>
    <row r="6445" spans="10:10" x14ac:dyDescent="0.35">
      <c r="J6445"/>
    </row>
    <row r="6446" spans="10:10" x14ac:dyDescent="0.35">
      <c r="J6446"/>
    </row>
    <row r="6447" spans="10:10" x14ac:dyDescent="0.35">
      <c r="J6447"/>
    </row>
    <row r="6448" spans="10:10" x14ac:dyDescent="0.35">
      <c r="J6448"/>
    </row>
    <row r="6449" spans="10:10" x14ac:dyDescent="0.35">
      <c r="J6449"/>
    </row>
    <row r="6450" spans="10:10" x14ac:dyDescent="0.35">
      <c r="J6450"/>
    </row>
    <row r="6451" spans="10:10" x14ac:dyDescent="0.35">
      <c r="J6451"/>
    </row>
    <row r="6452" spans="10:10" x14ac:dyDescent="0.35">
      <c r="J6452"/>
    </row>
    <row r="6453" spans="10:10" x14ac:dyDescent="0.35">
      <c r="J6453"/>
    </row>
    <row r="6454" spans="10:10" x14ac:dyDescent="0.35">
      <c r="J6454"/>
    </row>
    <row r="6455" spans="10:10" x14ac:dyDescent="0.35">
      <c r="J6455"/>
    </row>
    <row r="6456" spans="10:10" x14ac:dyDescent="0.35">
      <c r="J6456"/>
    </row>
    <row r="6457" spans="10:10" x14ac:dyDescent="0.35">
      <c r="J6457"/>
    </row>
    <row r="6458" spans="10:10" x14ac:dyDescent="0.35">
      <c r="J6458"/>
    </row>
    <row r="6459" spans="10:10" x14ac:dyDescent="0.35">
      <c r="J6459"/>
    </row>
    <row r="6460" spans="10:10" x14ac:dyDescent="0.35">
      <c r="J6460"/>
    </row>
    <row r="6461" spans="10:10" x14ac:dyDescent="0.35">
      <c r="J6461"/>
    </row>
    <row r="6462" spans="10:10" x14ac:dyDescent="0.35">
      <c r="J6462"/>
    </row>
    <row r="6463" spans="10:10" x14ac:dyDescent="0.35">
      <c r="J6463"/>
    </row>
    <row r="6464" spans="10:10" x14ac:dyDescent="0.35">
      <c r="J6464"/>
    </row>
    <row r="6465" spans="10:10" x14ac:dyDescent="0.35">
      <c r="J6465"/>
    </row>
    <row r="6466" spans="10:10" x14ac:dyDescent="0.35">
      <c r="J6466"/>
    </row>
    <row r="6467" spans="10:10" x14ac:dyDescent="0.35">
      <c r="J6467"/>
    </row>
    <row r="6468" spans="10:10" x14ac:dyDescent="0.35">
      <c r="J6468"/>
    </row>
    <row r="6469" spans="10:10" x14ac:dyDescent="0.35">
      <c r="J6469"/>
    </row>
    <row r="6470" spans="10:10" x14ac:dyDescent="0.35">
      <c r="J6470"/>
    </row>
    <row r="6471" spans="10:10" x14ac:dyDescent="0.35">
      <c r="J6471"/>
    </row>
    <row r="6472" spans="10:10" x14ac:dyDescent="0.35">
      <c r="J6472"/>
    </row>
    <row r="6473" spans="10:10" x14ac:dyDescent="0.35">
      <c r="J6473"/>
    </row>
    <row r="6474" spans="10:10" x14ac:dyDescent="0.35">
      <c r="J6474"/>
    </row>
    <row r="6475" spans="10:10" x14ac:dyDescent="0.35">
      <c r="J6475"/>
    </row>
    <row r="6476" spans="10:10" x14ac:dyDescent="0.35">
      <c r="J6476"/>
    </row>
    <row r="6477" spans="10:10" x14ac:dyDescent="0.35">
      <c r="J6477"/>
    </row>
    <row r="6478" spans="10:10" x14ac:dyDescent="0.35">
      <c r="J6478"/>
    </row>
    <row r="6479" spans="10:10" x14ac:dyDescent="0.35">
      <c r="J6479"/>
    </row>
    <row r="6480" spans="10:10" x14ac:dyDescent="0.35">
      <c r="J6480"/>
    </row>
    <row r="6481" spans="10:10" x14ac:dyDescent="0.35">
      <c r="J6481"/>
    </row>
    <row r="6482" spans="10:10" x14ac:dyDescent="0.35">
      <c r="J6482"/>
    </row>
    <row r="6483" spans="10:10" x14ac:dyDescent="0.35">
      <c r="J6483"/>
    </row>
    <row r="6484" spans="10:10" x14ac:dyDescent="0.35">
      <c r="J6484"/>
    </row>
    <row r="6485" spans="10:10" x14ac:dyDescent="0.35">
      <c r="J6485"/>
    </row>
    <row r="6486" spans="10:10" x14ac:dyDescent="0.35">
      <c r="J6486"/>
    </row>
    <row r="6487" spans="10:10" x14ac:dyDescent="0.35">
      <c r="J6487"/>
    </row>
    <row r="6488" spans="10:10" x14ac:dyDescent="0.35">
      <c r="J6488"/>
    </row>
    <row r="6489" spans="10:10" x14ac:dyDescent="0.35">
      <c r="J6489"/>
    </row>
    <row r="6490" spans="10:10" x14ac:dyDescent="0.35">
      <c r="J6490"/>
    </row>
    <row r="6491" spans="10:10" x14ac:dyDescent="0.35">
      <c r="J6491"/>
    </row>
    <row r="6492" spans="10:10" x14ac:dyDescent="0.35">
      <c r="J6492"/>
    </row>
    <row r="6493" spans="10:10" x14ac:dyDescent="0.35">
      <c r="J6493"/>
    </row>
    <row r="6494" spans="10:10" x14ac:dyDescent="0.35">
      <c r="J6494"/>
    </row>
    <row r="6495" spans="10:10" x14ac:dyDescent="0.35">
      <c r="J6495"/>
    </row>
    <row r="6496" spans="10:10" x14ac:dyDescent="0.35">
      <c r="J6496"/>
    </row>
    <row r="6497" spans="10:10" x14ac:dyDescent="0.35">
      <c r="J6497"/>
    </row>
    <row r="6498" spans="10:10" x14ac:dyDescent="0.35">
      <c r="J6498"/>
    </row>
    <row r="6499" spans="10:10" x14ac:dyDescent="0.35">
      <c r="J6499"/>
    </row>
    <row r="6500" spans="10:10" x14ac:dyDescent="0.35">
      <c r="J6500"/>
    </row>
    <row r="6501" spans="10:10" x14ac:dyDescent="0.35">
      <c r="J6501"/>
    </row>
    <row r="6502" spans="10:10" x14ac:dyDescent="0.35">
      <c r="J6502"/>
    </row>
    <row r="6503" spans="10:10" x14ac:dyDescent="0.35">
      <c r="J6503"/>
    </row>
    <row r="6504" spans="10:10" x14ac:dyDescent="0.35">
      <c r="J6504"/>
    </row>
    <row r="6505" spans="10:10" x14ac:dyDescent="0.35">
      <c r="J6505"/>
    </row>
    <row r="6506" spans="10:10" x14ac:dyDescent="0.35">
      <c r="J6506"/>
    </row>
    <row r="6507" spans="10:10" x14ac:dyDescent="0.35">
      <c r="J6507"/>
    </row>
    <row r="6508" spans="10:10" x14ac:dyDescent="0.35">
      <c r="J6508"/>
    </row>
    <row r="6509" spans="10:10" x14ac:dyDescent="0.35">
      <c r="J6509"/>
    </row>
    <row r="6510" spans="10:10" x14ac:dyDescent="0.35">
      <c r="J6510"/>
    </row>
    <row r="6511" spans="10:10" x14ac:dyDescent="0.35">
      <c r="J6511"/>
    </row>
    <row r="6512" spans="10:10" x14ac:dyDescent="0.35">
      <c r="J6512"/>
    </row>
    <row r="6513" spans="10:10" x14ac:dyDescent="0.35">
      <c r="J6513"/>
    </row>
    <row r="6514" spans="10:10" x14ac:dyDescent="0.35">
      <c r="J6514"/>
    </row>
    <row r="6515" spans="10:10" x14ac:dyDescent="0.35">
      <c r="J6515"/>
    </row>
    <row r="6516" spans="10:10" x14ac:dyDescent="0.35">
      <c r="J6516"/>
    </row>
    <row r="6517" spans="10:10" x14ac:dyDescent="0.35">
      <c r="J6517"/>
    </row>
    <row r="6518" spans="10:10" x14ac:dyDescent="0.35">
      <c r="J6518"/>
    </row>
    <row r="6519" spans="10:10" x14ac:dyDescent="0.35">
      <c r="J6519"/>
    </row>
    <row r="6520" spans="10:10" x14ac:dyDescent="0.35">
      <c r="J6520"/>
    </row>
    <row r="6521" spans="10:10" x14ac:dyDescent="0.35">
      <c r="J6521"/>
    </row>
    <row r="6522" spans="10:10" x14ac:dyDescent="0.35">
      <c r="J6522"/>
    </row>
    <row r="6523" spans="10:10" x14ac:dyDescent="0.35">
      <c r="J6523"/>
    </row>
    <row r="6524" spans="10:10" x14ac:dyDescent="0.35">
      <c r="J6524"/>
    </row>
    <row r="6525" spans="10:10" x14ac:dyDescent="0.35">
      <c r="J6525"/>
    </row>
    <row r="6526" spans="10:10" x14ac:dyDescent="0.35">
      <c r="J6526"/>
    </row>
    <row r="6527" spans="10:10" x14ac:dyDescent="0.35">
      <c r="J6527"/>
    </row>
    <row r="6528" spans="10:10" x14ac:dyDescent="0.35">
      <c r="J6528"/>
    </row>
    <row r="6529" spans="10:10" x14ac:dyDescent="0.35">
      <c r="J6529"/>
    </row>
    <row r="6530" spans="10:10" x14ac:dyDescent="0.35">
      <c r="J6530"/>
    </row>
    <row r="6531" spans="10:10" x14ac:dyDescent="0.35">
      <c r="J6531"/>
    </row>
    <row r="6532" spans="10:10" x14ac:dyDescent="0.35">
      <c r="J6532"/>
    </row>
    <row r="6533" spans="10:10" x14ac:dyDescent="0.35">
      <c r="J6533"/>
    </row>
    <row r="6534" spans="10:10" x14ac:dyDescent="0.35">
      <c r="J6534"/>
    </row>
    <row r="6535" spans="10:10" x14ac:dyDescent="0.35">
      <c r="J6535"/>
    </row>
    <row r="6536" spans="10:10" x14ac:dyDescent="0.35">
      <c r="J6536"/>
    </row>
    <row r="6537" spans="10:10" x14ac:dyDescent="0.35">
      <c r="J6537"/>
    </row>
    <row r="6538" spans="10:10" x14ac:dyDescent="0.35">
      <c r="J6538"/>
    </row>
    <row r="6539" spans="10:10" x14ac:dyDescent="0.35">
      <c r="J6539"/>
    </row>
    <row r="6540" spans="10:10" x14ac:dyDescent="0.35">
      <c r="J6540"/>
    </row>
    <row r="6541" spans="10:10" x14ac:dyDescent="0.35">
      <c r="J6541"/>
    </row>
    <row r="6542" spans="10:10" x14ac:dyDescent="0.35">
      <c r="J6542"/>
    </row>
    <row r="6543" spans="10:10" x14ac:dyDescent="0.35">
      <c r="J6543"/>
    </row>
    <row r="6544" spans="10:10" x14ac:dyDescent="0.35">
      <c r="J6544"/>
    </row>
    <row r="6545" spans="10:10" x14ac:dyDescent="0.35">
      <c r="J6545"/>
    </row>
    <row r="6546" spans="10:10" x14ac:dyDescent="0.35">
      <c r="J6546"/>
    </row>
    <row r="6547" spans="10:10" x14ac:dyDescent="0.35">
      <c r="J6547"/>
    </row>
    <row r="6548" spans="10:10" x14ac:dyDescent="0.35">
      <c r="J6548"/>
    </row>
    <row r="6549" spans="10:10" x14ac:dyDescent="0.35">
      <c r="J6549"/>
    </row>
    <row r="6550" spans="10:10" x14ac:dyDescent="0.35">
      <c r="J6550"/>
    </row>
    <row r="6551" spans="10:10" x14ac:dyDescent="0.35">
      <c r="J6551"/>
    </row>
    <row r="6552" spans="10:10" x14ac:dyDescent="0.35">
      <c r="J6552"/>
    </row>
    <row r="6553" spans="10:10" x14ac:dyDescent="0.35">
      <c r="J6553"/>
    </row>
    <row r="6554" spans="10:10" x14ac:dyDescent="0.35">
      <c r="J6554"/>
    </row>
    <row r="6555" spans="10:10" x14ac:dyDescent="0.35">
      <c r="J6555"/>
    </row>
    <row r="6556" spans="10:10" x14ac:dyDescent="0.35">
      <c r="J6556"/>
    </row>
    <row r="6557" spans="10:10" x14ac:dyDescent="0.35">
      <c r="J6557"/>
    </row>
    <row r="6558" spans="10:10" x14ac:dyDescent="0.35">
      <c r="J6558"/>
    </row>
    <row r="6559" spans="10:10" x14ac:dyDescent="0.35">
      <c r="J6559"/>
    </row>
    <row r="6560" spans="10:10" x14ac:dyDescent="0.35">
      <c r="J6560"/>
    </row>
    <row r="6561" spans="10:10" x14ac:dyDescent="0.35">
      <c r="J6561"/>
    </row>
    <row r="6562" spans="10:10" x14ac:dyDescent="0.35">
      <c r="J6562"/>
    </row>
    <row r="6563" spans="10:10" x14ac:dyDescent="0.35">
      <c r="J6563"/>
    </row>
    <row r="6564" spans="10:10" x14ac:dyDescent="0.35">
      <c r="J6564"/>
    </row>
    <row r="6565" spans="10:10" x14ac:dyDescent="0.35">
      <c r="J6565"/>
    </row>
    <row r="6566" spans="10:10" x14ac:dyDescent="0.35">
      <c r="J6566"/>
    </row>
    <row r="6567" spans="10:10" x14ac:dyDescent="0.35">
      <c r="J6567"/>
    </row>
    <row r="6568" spans="10:10" x14ac:dyDescent="0.35">
      <c r="J6568"/>
    </row>
    <row r="6569" spans="10:10" x14ac:dyDescent="0.35">
      <c r="J6569"/>
    </row>
    <row r="6570" spans="10:10" x14ac:dyDescent="0.35">
      <c r="J6570"/>
    </row>
    <row r="6571" spans="10:10" x14ac:dyDescent="0.35">
      <c r="J6571"/>
    </row>
    <row r="6572" spans="10:10" x14ac:dyDescent="0.35">
      <c r="J6572"/>
    </row>
    <row r="6573" spans="10:10" x14ac:dyDescent="0.35">
      <c r="J6573"/>
    </row>
    <row r="6574" spans="10:10" x14ac:dyDescent="0.35">
      <c r="J6574"/>
    </row>
    <row r="6575" spans="10:10" x14ac:dyDescent="0.35">
      <c r="J6575"/>
    </row>
    <row r="6576" spans="10:10" x14ac:dyDescent="0.35">
      <c r="J6576"/>
    </row>
    <row r="6577" spans="10:10" x14ac:dyDescent="0.35">
      <c r="J6577"/>
    </row>
    <row r="6578" spans="10:10" x14ac:dyDescent="0.35">
      <c r="J6578"/>
    </row>
    <row r="6579" spans="10:10" x14ac:dyDescent="0.35">
      <c r="J6579"/>
    </row>
    <row r="6580" spans="10:10" x14ac:dyDescent="0.35">
      <c r="J6580"/>
    </row>
    <row r="6581" spans="10:10" x14ac:dyDescent="0.35">
      <c r="J6581"/>
    </row>
    <row r="6582" spans="10:10" x14ac:dyDescent="0.35">
      <c r="J6582"/>
    </row>
    <row r="6583" spans="10:10" x14ac:dyDescent="0.35">
      <c r="J6583"/>
    </row>
    <row r="6584" spans="10:10" x14ac:dyDescent="0.35">
      <c r="J6584"/>
    </row>
    <row r="6585" spans="10:10" x14ac:dyDescent="0.35">
      <c r="J6585"/>
    </row>
    <row r="6586" spans="10:10" x14ac:dyDescent="0.35">
      <c r="J6586"/>
    </row>
    <row r="6587" spans="10:10" x14ac:dyDescent="0.35">
      <c r="J6587"/>
    </row>
    <row r="6588" spans="10:10" x14ac:dyDescent="0.35">
      <c r="J6588"/>
    </row>
    <row r="6589" spans="10:10" x14ac:dyDescent="0.35">
      <c r="J6589"/>
    </row>
    <row r="6590" spans="10:10" x14ac:dyDescent="0.35">
      <c r="J6590"/>
    </row>
    <row r="6591" spans="10:10" x14ac:dyDescent="0.35">
      <c r="J6591"/>
    </row>
    <row r="6592" spans="10:10" x14ac:dyDescent="0.35">
      <c r="J6592"/>
    </row>
    <row r="6593" spans="10:10" x14ac:dyDescent="0.35">
      <c r="J6593"/>
    </row>
    <row r="6594" spans="10:10" x14ac:dyDescent="0.35">
      <c r="J6594"/>
    </row>
    <row r="6595" spans="10:10" x14ac:dyDescent="0.35">
      <c r="J6595"/>
    </row>
    <row r="6596" spans="10:10" x14ac:dyDescent="0.35">
      <c r="J6596"/>
    </row>
    <row r="6597" spans="10:10" x14ac:dyDescent="0.35">
      <c r="J6597"/>
    </row>
    <row r="6598" spans="10:10" x14ac:dyDescent="0.35">
      <c r="J6598"/>
    </row>
    <row r="6599" spans="10:10" x14ac:dyDescent="0.35">
      <c r="J6599"/>
    </row>
    <row r="6600" spans="10:10" x14ac:dyDescent="0.35">
      <c r="J6600"/>
    </row>
    <row r="6601" spans="10:10" x14ac:dyDescent="0.35">
      <c r="J6601"/>
    </row>
    <row r="6602" spans="10:10" x14ac:dyDescent="0.35">
      <c r="J6602"/>
    </row>
    <row r="6603" spans="10:10" x14ac:dyDescent="0.35">
      <c r="J6603"/>
    </row>
    <row r="6604" spans="10:10" x14ac:dyDescent="0.35">
      <c r="J6604"/>
    </row>
    <row r="6605" spans="10:10" x14ac:dyDescent="0.35">
      <c r="J6605"/>
    </row>
    <row r="6606" spans="10:10" x14ac:dyDescent="0.35">
      <c r="J6606"/>
    </row>
    <row r="6607" spans="10:10" x14ac:dyDescent="0.35">
      <c r="J6607"/>
    </row>
    <row r="6608" spans="10:10" x14ac:dyDescent="0.35">
      <c r="J6608"/>
    </row>
    <row r="6609" spans="10:10" x14ac:dyDescent="0.35">
      <c r="J6609"/>
    </row>
    <row r="6610" spans="10:10" x14ac:dyDescent="0.35">
      <c r="J6610"/>
    </row>
    <row r="6611" spans="10:10" x14ac:dyDescent="0.35">
      <c r="J6611"/>
    </row>
    <row r="6612" spans="10:10" x14ac:dyDescent="0.35">
      <c r="J6612"/>
    </row>
    <row r="6613" spans="10:10" x14ac:dyDescent="0.35">
      <c r="J6613"/>
    </row>
    <row r="6614" spans="10:10" x14ac:dyDescent="0.35">
      <c r="J6614"/>
    </row>
    <row r="6615" spans="10:10" x14ac:dyDescent="0.35">
      <c r="J6615"/>
    </row>
    <row r="6616" spans="10:10" x14ac:dyDescent="0.35">
      <c r="J6616"/>
    </row>
    <row r="6617" spans="10:10" x14ac:dyDescent="0.35">
      <c r="J6617"/>
    </row>
    <row r="6618" spans="10:10" x14ac:dyDescent="0.35">
      <c r="J6618"/>
    </row>
    <row r="6619" spans="10:10" x14ac:dyDescent="0.35">
      <c r="J6619"/>
    </row>
    <row r="6620" spans="10:10" x14ac:dyDescent="0.35">
      <c r="J6620"/>
    </row>
    <row r="6621" spans="10:10" x14ac:dyDescent="0.35">
      <c r="J6621"/>
    </row>
    <row r="6622" spans="10:10" x14ac:dyDescent="0.35">
      <c r="J6622"/>
    </row>
    <row r="6623" spans="10:10" x14ac:dyDescent="0.35">
      <c r="J6623"/>
    </row>
    <row r="6624" spans="10:10" x14ac:dyDescent="0.35">
      <c r="J6624"/>
    </row>
    <row r="6625" spans="10:10" x14ac:dyDescent="0.35">
      <c r="J6625"/>
    </row>
    <row r="6626" spans="10:10" x14ac:dyDescent="0.35">
      <c r="J6626"/>
    </row>
    <row r="6627" spans="10:10" x14ac:dyDescent="0.35">
      <c r="J6627"/>
    </row>
    <row r="6628" spans="10:10" x14ac:dyDescent="0.35">
      <c r="J6628"/>
    </row>
    <row r="6629" spans="10:10" x14ac:dyDescent="0.35">
      <c r="J6629"/>
    </row>
    <row r="6630" spans="10:10" x14ac:dyDescent="0.35">
      <c r="J6630"/>
    </row>
    <row r="6631" spans="10:10" x14ac:dyDescent="0.35">
      <c r="J6631"/>
    </row>
    <row r="6632" spans="10:10" x14ac:dyDescent="0.35">
      <c r="J6632"/>
    </row>
    <row r="6633" spans="10:10" x14ac:dyDescent="0.35">
      <c r="J6633"/>
    </row>
    <row r="6634" spans="10:10" x14ac:dyDescent="0.35">
      <c r="J6634"/>
    </row>
    <row r="6635" spans="10:10" x14ac:dyDescent="0.35">
      <c r="J6635"/>
    </row>
    <row r="6636" spans="10:10" x14ac:dyDescent="0.35">
      <c r="J6636"/>
    </row>
    <row r="6637" spans="10:10" x14ac:dyDescent="0.35">
      <c r="J6637"/>
    </row>
    <row r="6638" spans="10:10" x14ac:dyDescent="0.35">
      <c r="J6638"/>
    </row>
    <row r="6639" spans="10:10" x14ac:dyDescent="0.35">
      <c r="J6639"/>
    </row>
    <row r="6640" spans="10:10" x14ac:dyDescent="0.35">
      <c r="J6640"/>
    </row>
    <row r="6641" spans="10:10" x14ac:dyDescent="0.35">
      <c r="J6641"/>
    </row>
    <row r="6642" spans="10:10" x14ac:dyDescent="0.35">
      <c r="J6642"/>
    </row>
    <row r="6643" spans="10:10" x14ac:dyDescent="0.35">
      <c r="J6643"/>
    </row>
    <row r="6644" spans="10:10" x14ac:dyDescent="0.35">
      <c r="J6644"/>
    </row>
    <row r="6645" spans="10:10" x14ac:dyDescent="0.35">
      <c r="J6645"/>
    </row>
    <row r="6646" spans="10:10" x14ac:dyDescent="0.35">
      <c r="J6646"/>
    </row>
    <row r="6647" spans="10:10" x14ac:dyDescent="0.35">
      <c r="J6647"/>
    </row>
    <row r="6648" spans="10:10" x14ac:dyDescent="0.35">
      <c r="J6648"/>
    </row>
    <row r="6649" spans="10:10" x14ac:dyDescent="0.35">
      <c r="J6649"/>
    </row>
    <row r="6650" spans="10:10" x14ac:dyDescent="0.35">
      <c r="J6650"/>
    </row>
    <row r="6651" spans="10:10" x14ac:dyDescent="0.35">
      <c r="J6651"/>
    </row>
    <row r="6652" spans="10:10" x14ac:dyDescent="0.35">
      <c r="J6652"/>
    </row>
    <row r="6653" spans="10:10" x14ac:dyDescent="0.35">
      <c r="J6653"/>
    </row>
    <row r="6654" spans="10:10" x14ac:dyDescent="0.35">
      <c r="J6654"/>
    </row>
    <row r="6655" spans="10:10" x14ac:dyDescent="0.35">
      <c r="J6655"/>
    </row>
    <row r="6656" spans="10:10" x14ac:dyDescent="0.35">
      <c r="J6656"/>
    </row>
    <row r="6657" spans="10:10" x14ac:dyDescent="0.35">
      <c r="J6657"/>
    </row>
    <row r="6658" spans="10:10" x14ac:dyDescent="0.35">
      <c r="J6658"/>
    </row>
    <row r="6659" spans="10:10" x14ac:dyDescent="0.35">
      <c r="J6659"/>
    </row>
    <row r="6660" spans="10:10" x14ac:dyDescent="0.35">
      <c r="J6660"/>
    </row>
    <row r="6661" spans="10:10" x14ac:dyDescent="0.35">
      <c r="J6661"/>
    </row>
    <row r="6662" spans="10:10" x14ac:dyDescent="0.35">
      <c r="J6662"/>
    </row>
    <row r="6663" spans="10:10" x14ac:dyDescent="0.35">
      <c r="J6663"/>
    </row>
    <row r="6664" spans="10:10" x14ac:dyDescent="0.35">
      <c r="J6664"/>
    </row>
    <row r="6665" spans="10:10" x14ac:dyDescent="0.35">
      <c r="J6665"/>
    </row>
    <row r="6666" spans="10:10" x14ac:dyDescent="0.35">
      <c r="J6666"/>
    </row>
    <row r="6667" spans="10:10" x14ac:dyDescent="0.35">
      <c r="J6667"/>
    </row>
    <row r="6668" spans="10:10" x14ac:dyDescent="0.35">
      <c r="J6668"/>
    </row>
    <row r="6669" spans="10:10" x14ac:dyDescent="0.35">
      <c r="J6669"/>
    </row>
    <row r="6670" spans="10:10" x14ac:dyDescent="0.35">
      <c r="J6670"/>
    </row>
    <row r="6671" spans="10:10" x14ac:dyDescent="0.35">
      <c r="J6671"/>
    </row>
    <row r="6672" spans="10:10" x14ac:dyDescent="0.35">
      <c r="J6672"/>
    </row>
    <row r="6673" spans="10:10" x14ac:dyDescent="0.35">
      <c r="J6673"/>
    </row>
    <row r="6674" spans="10:10" x14ac:dyDescent="0.35">
      <c r="J6674"/>
    </row>
    <row r="6675" spans="10:10" x14ac:dyDescent="0.35">
      <c r="J6675"/>
    </row>
    <row r="6676" spans="10:10" x14ac:dyDescent="0.35">
      <c r="J6676"/>
    </row>
    <row r="6677" spans="10:10" x14ac:dyDescent="0.35">
      <c r="J6677"/>
    </row>
    <row r="6678" spans="10:10" x14ac:dyDescent="0.35">
      <c r="J6678"/>
    </row>
    <row r="6679" spans="10:10" x14ac:dyDescent="0.35">
      <c r="J6679"/>
    </row>
    <row r="6680" spans="10:10" x14ac:dyDescent="0.35">
      <c r="J6680"/>
    </row>
    <row r="6681" spans="10:10" x14ac:dyDescent="0.35">
      <c r="J6681"/>
    </row>
    <row r="6682" spans="10:10" x14ac:dyDescent="0.35">
      <c r="J6682"/>
    </row>
    <row r="6683" spans="10:10" x14ac:dyDescent="0.35">
      <c r="J6683"/>
    </row>
    <row r="6684" spans="10:10" x14ac:dyDescent="0.35">
      <c r="J6684"/>
    </row>
    <row r="6685" spans="10:10" x14ac:dyDescent="0.35">
      <c r="J6685"/>
    </row>
    <row r="6686" spans="10:10" x14ac:dyDescent="0.35">
      <c r="J6686"/>
    </row>
    <row r="6687" spans="10:10" x14ac:dyDescent="0.35">
      <c r="J6687"/>
    </row>
    <row r="6688" spans="10:10" x14ac:dyDescent="0.35">
      <c r="J6688"/>
    </row>
    <row r="6689" spans="10:10" x14ac:dyDescent="0.35">
      <c r="J6689"/>
    </row>
    <row r="6690" spans="10:10" x14ac:dyDescent="0.35">
      <c r="J6690"/>
    </row>
    <row r="6691" spans="10:10" x14ac:dyDescent="0.35">
      <c r="J6691"/>
    </row>
    <row r="6692" spans="10:10" x14ac:dyDescent="0.35">
      <c r="J6692"/>
    </row>
    <row r="6693" spans="10:10" x14ac:dyDescent="0.35">
      <c r="J6693"/>
    </row>
    <row r="6694" spans="10:10" x14ac:dyDescent="0.35">
      <c r="J6694"/>
    </row>
    <row r="6695" spans="10:10" x14ac:dyDescent="0.35">
      <c r="J6695"/>
    </row>
    <row r="6696" spans="10:10" x14ac:dyDescent="0.35">
      <c r="J6696"/>
    </row>
    <row r="6697" spans="10:10" x14ac:dyDescent="0.35">
      <c r="J6697"/>
    </row>
    <row r="6698" spans="10:10" x14ac:dyDescent="0.35">
      <c r="J6698"/>
    </row>
    <row r="6699" spans="10:10" x14ac:dyDescent="0.35">
      <c r="J6699"/>
    </row>
    <row r="6700" spans="10:10" x14ac:dyDescent="0.35">
      <c r="J6700"/>
    </row>
    <row r="6701" spans="10:10" x14ac:dyDescent="0.35">
      <c r="J6701"/>
    </row>
    <row r="6702" spans="10:10" x14ac:dyDescent="0.35">
      <c r="J6702"/>
    </row>
    <row r="6703" spans="10:10" x14ac:dyDescent="0.35">
      <c r="J6703"/>
    </row>
    <row r="6704" spans="10:10" x14ac:dyDescent="0.35">
      <c r="J6704"/>
    </row>
    <row r="6705" spans="10:10" x14ac:dyDescent="0.35">
      <c r="J6705"/>
    </row>
    <row r="6706" spans="10:10" x14ac:dyDescent="0.35">
      <c r="J6706"/>
    </row>
    <row r="6707" spans="10:10" x14ac:dyDescent="0.35">
      <c r="J6707"/>
    </row>
    <row r="6708" spans="10:10" x14ac:dyDescent="0.35">
      <c r="J6708"/>
    </row>
    <row r="6709" spans="10:10" x14ac:dyDescent="0.35">
      <c r="J6709"/>
    </row>
    <row r="6710" spans="10:10" x14ac:dyDescent="0.35">
      <c r="J6710"/>
    </row>
    <row r="6711" spans="10:10" x14ac:dyDescent="0.35">
      <c r="J6711"/>
    </row>
    <row r="6712" spans="10:10" x14ac:dyDescent="0.35">
      <c r="J6712"/>
    </row>
    <row r="6713" spans="10:10" x14ac:dyDescent="0.35">
      <c r="J6713"/>
    </row>
    <row r="6714" spans="10:10" x14ac:dyDescent="0.35">
      <c r="J6714"/>
    </row>
    <row r="6715" spans="10:10" x14ac:dyDescent="0.35">
      <c r="J6715"/>
    </row>
    <row r="6716" spans="10:10" x14ac:dyDescent="0.35">
      <c r="J6716"/>
    </row>
    <row r="6717" spans="10:10" x14ac:dyDescent="0.35">
      <c r="J6717"/>
    </row>
    <row r="6718" spans="10:10" x14ac:dyDescent="0.35">
      <c r="J6718"/>
    </row>
    <row r="6719" spans="10:10" x14ac:dyDescent="0.35">
      <c r="J6719"/>
    </row>
    <row r="6720" spans="10:10" x14ac:dyDescent="0.35">
      <c r="J6720"/>
    </row>
    <row r="6721" spans="10:10" x14ac:dyDescent="0.35">
      <c r="J6721"/>
    </row>
    <row r="6722" spans="10:10" x14ac:dyDescent="0.35">
      <c r="J6722"/>
    </row>
    <row r="6723" spans="10:10" x14ac:dyDescent="0.35">
      <c r="J6723"/>
    </row>
    <row r="6724" spans="10:10" x14ac:dyDescent="0.35">
      <c r="J6724"/>
    </row>
    <row r="6725" spans="10:10" x14ac:dyDescent="0.35">
      <c r="J6725"/>
    </row>
    <row r="6726" spans="10:10" x14ac:dyDescent="0.35">
      <c r="J6726"/>
    </row>
    <row r="6727" spans="10:10" x14ac:dyDescent="0.35">
      <c r="J6727"/>
    </row>
    <row r="6728" spans="10:10" x14ac:dyDescent="0.35">
      <c r="J6728"/>
    </row>
    <row r="6729" spans="10:10" x14ac:dyDescent="0.35">
      <c r="J6729"/>
    </row>
    <row r="6730" spans="10:10" x14ac:dyDescent="0.35">
      <c r="J6730"/>
    </row>
    <row r="6731" spans="10:10" x14ac:dyDescent="0.35">
      <c r="J6731"/>
    </row>
    <row r="6732" spans="10:10" x14ac:dyDescent="0.35">
      <c r="J6732"/>
    </row>
    <row r="6733" spans="10:10" x14ac:dyDescent="0.35">
      <c r="J6733"/>
    </row>
    <row r="6734" spans="10:10" x14ac:dyDescent="0.35">
      <c r="J6734"/>
    </row>
    <row r="6735" spans="10:10" x14ac:dyDescent="0.35">
      <c r="J6735"/>
    </row>
    <row r="6736" spans="10:10" x14ac:dyDescent="0.35">
      <c r="J6736"/>
    </row>
    <row r="6737" spans="10:10" x14ac:dyDescent="0.35">
      <c r="J6737"/>
    </row>
    <row r="6738" spans="10:10" x14ac:dyDescent="0.35">
      <c r="J6738"/>
    </row>
    <row r="6739" spans="10:10" x14ac:dyDescent="0.35">
      <c r="J6739"/>
    </row>
    <row r="6740" spans="10:10" x14ac:dyDescent="0.35">
      <c r="J6740"/>
    </row>
    <row r="6741" spans="10:10" x14ac:dyDescent="0.35">
      <c r="J6741"/>
    </row>
    <row r="6742" spans="10:10" x14ac:dyDescent="0.35">
      <c r="J6742"/>
    </row>
    <row r="6743" spans="10:10" x14ac:dyDescent="0.35">
      <c r="J6743"/>
    </row>
    <row r="6744" spans="10:10" x14ac:dyDescent="0.35">
      <c r="J6744"/>
    </row>
    <row r="6745" spans="10:10" x14ac:dyDescent="0.35">
      <c r="J6745"/>
    </row>
    <row r="6746" spans="10:10" x14ac:dyDescent="0.35">
      <c r="J6746"/>
    </row>
    <row r="6747" spans="10:10" x14ac:dyDescent="0.35">
      <c r="J6747"/>
    </row>
    <row r="6748" spans="10:10" x14ac:dyDescent="0.35">
      <c r="J6748"/>
    </row>
    <row r="6749" spans="10:10" x14ac:dyDescent="0.35">
      <c r="J6749"/>
    </row>
    <row r="6750" spans="10:10" x14ac:dyDescent="0.35">
      <c r="J6750"/>
    </row>
    <row r="6751" spans="10:10" x14ac:dyDescent="0.35">
      <c r="J6751"/>
    </row>
    <row r="6752" spans="10:10" x14ac:dyDescent="0.35">
      <c r="J6752"/>
    </row>
    <row r="6753" spans="10:10" x14ac:dyDescent="0.35">
      <c r="J6753"/>
    </row>
    <row r="6754" spans="10:10" x14ac:dyDescent="0.35">
      <c r="J6754"/>
    </row>
    <row r="6755" spans="10:10" x14ac:dyDescent="0.35">
      <c r="J6755"/>
    </row>
    <row r="6756" spans="10:10" x14ac:dyDescent="0.35">
      <c r="J6756"/>
    </row>
    <row r="6757" spans="10:10" x14ac:dyDescent="0.35">
      <c r="J6757"/>
    </row>
    <row r="6758" spans="10:10" x14ac:dyDescent="0.35">
      <c r="J6758"/>
    </row>
    <row r="6759" spans="10:10" x14ac:dyDescent="0.35">
      <c r="J6759"/>
    </row>
    <row r="6760" spans="10:10" x14ac:dyDescent="0.35">
      <c r="J6760"/>
    </row>
    <row r="6761" spans="10:10" x14ac:dyDescent="0.35">
      <c r="J6761"/>
    </row>
    <row r="6762" spans="10:10" x14ac:dyDescent="0.35">
      <c r="J6762"/>
    </row>
    <row r="6763" spans="10:10" x14ac:dyDescent="0.35">
      <c r="J6763"/>
    </row>
    <row r="6764" spans="10:10" x14ac:dyDescent="0.35">
      <c r="J6764"/>
    </row>
    <row r="6765" spans="10:10" x14ac:dyDescent="0.35">
      <c r="J6765"/>
    </row>
    <row r="6766" spans="10:10" x14ac:dyDescent="0.35">
      <c r="J6766"/>
    </row>
    <row r="6767" spans="10:10" x14ac:dyDescent="0.35">
      <c r="J6767"/>
    </row>
    <row r="6768" spans="10:10" x14ac:dyDescent="0.35">
      <c r="J6768"/>
    </row>
    <row r="6769" spans="10:10" x14ac:dyDescent="0.35">
      <c r="J6769"/>
    </row>
    <row r="6770" spans="10:10" x14ac:dyDescent="0.35">
      <c r="J6770"/>
    </row>
    <row r="6771" spans="10:10" x14ac:dyDescent="0.35">
      <c r="J6771"/>
    </row>
    <row r="6772" spans="10:10" x14ac:dyDescent="0.35">
      <c r="J6772"/>
    </row>
    <row r="6773" spans="10:10" x14ac:dyDescent="0.35">
      <c r="J6773"/>
    </row>
    <row r="6774" spans="10:10" x14ac:dyDescent="0.35">
      <c r="J6774"/>
    </row>
    <row r="6775" spans="10:10" x14ac:dyDescent="0.35">
      <c r="J6775"/>
    </row>
    <row r="6776" spans="10:10" x14ac:dyDescent="0.35">
      <c r="J6776"/>
    </row>
    <row r="6777" spans="10:10" x14ac:dyDescent="0.35">
      <c r="J6777"/>
    </row>
    <row r="6778" spans="10:10" x14ac:dyDescent="0.35">
      <c r="J6778"/>
    </row>
    <row r="6779" spans="10:10" x14ac:dyDescent="0.35">
      <c r="J6779"/>
    </row>
    <row r="6780" spans="10:10" x14ac:dyDescent="0.35">
      <c r="J6780"/>
    </row>
    <row r="6781" spans="10:10" x14ac:dyDescent="0.35">
      <c r="J6781"/>
    </row>
    <row r="6782" spans="10:10" x14ac:dyDescent="0.35">
      <c r="J6782"/>
    </row>
    <row r="6783" spans="10:10" x14ac:dyDescent="0.35">
      <c r="J6783"/>
    </row>
    <row r="6784" spans="10:10" x14ac:dyDescent="0.35">
      <c r="J6784"/>
    </row>
    <row r="6785" spans="10:10" x14ac:dyDescent="0.35">
      <c r="J6785"/>
    </row>
    <row r="6786" spans="10:10" x14ac:dyDescent="0.35">
      <c r="J6786"/>
    </row>
    <row r="6787" spans="10:10" x14ac:dyDescent="0.35">
      <c r="J6787"/>
    </row>
    <row r="6788" spans="10:10" x14ac:dyDescent="0.35">
      <c r="J6788"/>
    </row>
    <row r="6789" spans="10:10" x14ac:dyDescent="0.35">
      <c r="J6789"/>
    </row>
    <row r="6790" spans="10:10" x14ac:dyDescent="0.35">
      <c r="J6790"/>
    </row>
    <row r="6791" spans="10:10" x14ac:dyDescent="0.35">
      <c r="J6791"/>
    </row>
    <row r="6792" spans="10:10" x14ac:dyDescent="0.35">
      <c r="J6792"/>
    </row>
    <row r="6793" spans="10:10" x14ac:dyDescent="0.35">
      <c r="J6793"/>
    </row>
    <row r="6794" spans="10:10" x14ac:dyDescent="0.35">
      <c r="J6794"/>
    </row>
    <row r="6795" spans="10:10" x14ac:dyDescent="0.35">
      <c r="J6795"/>
    </row>
    <row r="6796" spans="10:10" x14ac:dyDescent="0.35">
      <c r="J6796"/>
    </row>
    <row r="6797" spans="10:10" x14ac:dyDescent="0.35">
      <c r="J6797"/>
    </row>
    <row r="6798" spans="10:10" x14ac:dyDescent="0.35">
      <c r="J6798"/>
    </row>
    <row r="6799" spans="10:10" x14ac:dyDescent="0.35">
      <c r="J6799"/>
    </row>
    <row r="6800" spans="10:10" x14ac:dyDescent="0.35">
      <c r="J6800"/>
    </row>
    <row r="6801" spans="10:10" x14ac:dyDescent="0.35">
      <c r="J6801"/>
    </row>
    <row r="6802" spans="10:10" x14ac:dyDescent="0.35">
      <c r="J6802"/>
    </row>
    <row r="6803" spans="10:10" x14ac:dyDescent="0.35">
      <c r="J6803"/>
    </row>
    <row r="6804" spans="10:10" x14ac:dyDescent="0.35">
      <c r="J6804"/>
    </row>
    <row r="6805" spans="10:10" x14ac:dyDescent="0.35">
      <c r="J6805"/>
    </row>
    <row r="6806" spans="10:10" x14ac:dyDescent="0.35">
      <c r="J6806"/>
    </row>
    <row r="6807" spans="10:10" x14ac:dyDescent="0.35">
      <c r="J6807"/>
    </row>
    <row r="6808" spans="10:10" x14ac:dyDescent="0.35">
      <c r="J6808"/>
    </row>
    <row r="6809" spans="10:10" x14ac:dyDescent="0.35">
      <c r="J6809"/>
    </row>
    <row r="6810" spans="10:10" x14ac:dyDescent="0.35">
      <c r="J6810"/>
    </row>
    <row r="6811" spans="10:10" x14ac:dyDescent="0.35">
      <c r="J6811"/>
    </row>
    <row r="6812" spans="10:10" x14ac:dyDescent="0.35">
      <c r="J6812"/>
    </row>
    <row r="6813" spans="10:10" x14ac:dyDescent="0.35">
      <c r="J6813"/>
    </row>
    <row r="6814" spans="10:10" x14ac:dyDescent="0.35">
      <c r="J6814"/>
    </row>
    <row r="6815" spans="10:10" x14ac:dyDescent="0.35">
      <c r="J6815"/>
    </row>
    <row r="6816" spans="10:10" x14ac:dyDescent="0.35">
      <c r="J6816"/>
    </row>
    <row r="6817" spans="10:10" x14ac:dyDescent="0.35">
      <c r="J6817"/>
    </row>
    <row r="6818" spans="10:10" x14ac:dyDescent="0.35">
      <c r="J6818"/>
    </row>
    <row r="6819" spans="10:10" x14ac:dyDescent="0.35">
      <c r="J6819"/>
    </row>
    <row r="6820" spans="10:10" x14ac:dyDescent="0.35">
      <c r="J6820"/>
    </row>
    <row r="6821" spans="10:10" x14ac:dyDescent="0.35">
      <c r="J6821"/>
    </row>
    <row r="6822" spans="10:10" x14ac:dyDescent="0.35">
      <c r="J6822"/>
    </row>
    <row r="6823" spans="10:10" x14ac:dyDescent="0.35">
      <c r="J6823"/>
    </row>
    <row r="6824" spans="10:10" x14ac:dyDescent="0.35">
      <c r="J6824"/>
    </row>
    <row r="6825" spans="10:10" x14ac:dyDescent="0.35">
      <c r="J6825"/>
    </row>
    <row r="6826" spans="10:10" x14ac:dyDescent="0.35">
      <c r="J6826"/>
    </row>
    <row r="6827" spans="10:10" x14ac:dyDescent="0.35">
      <c r="J6827"/>
    </row>
    <row r="6828" spans="10:10" x14ac:dyDescent="0.35">
      <c r="J6828"/>
    </row>
    <row r="6829" spans="10:10" x14ac:dyDescent="0.35">
      <c r="J6829"/>
    </row>
    <row r="6830" spans="10:10" x14ac:dyDescent="0.35">
      <c r="J6830"/>
    </row>
    <row r="6831" spans="10:10" x14ac:dyDescent="0.35">
      <c r="J6831"/>
    </row>
    <row r="6832" spans="10:10" x14ac:dyDescent="0.35">
      <c r="J6832"/>
    </row>
    <row r="6833" spans="10:10" x14ac:dyDescent="0.35">
      <c r="J6833"/>
    </row>
    <row r="6834" spans="10:10" x14ac:dyDescent="0.35">
      <c r="J6834"/>
    </row>
    <row r="6835" spans="10:10" x14ac:dyDescent="0.35">
      <c r="J6835"/>
    </row>
    <row r="6836" spans="10:10" x14ac:dyDescent="0.35">
      <c r="J6836"/>
    </row>
    <row r="6837" spans="10:10" x14ac:dyDescent="0.35">
      <c r="J6837"/>
    </row>
    <row r="6838" spans="10:10" x14ac:dyDescent="0.35">
      <c r="J6838"/>
    </row>
    <row r="6839" spans="10:10" x14ac:dyDescent="0.35">
      <c r="J6839"/>
    </row>
    <row r="6840" spans="10:10" x14ac:dyDescent="0.35">
      <c r="J6840"/>
    </row>
    <row r="6841" spans="10:10" x14ac:dyDescent="0.35">
      <c r="J6841"/>
    </row>
    <row r="6842" spans="10:10" x14ac:dyDescent="0.35">
      <c r="J6842"/>
    </row>
    <row r="6843" spans="10:10" x14ac:dyDescent="0.35">
      <c r="J6843"/>
    </row>
    <row r="6844" spans="10:10" x14ac:dyDescent="0.35">
      <c r="J6844"/>
    </row>
    <row r="6845" spans="10:10" x14ac:dyDescent="0.35">
      <c r="J6845"/>
    </row>
    <row r="6846" spans="10:10" x14ac:dyDescent="0.35">
      <c r="J6846"/>
    </row>
    <row r="6847" spans="10:10" x14ac:dyDescent="0.35">
      <c r="J6847"/>
    </row>
    <row r="6848" spans="10:10" x14ac:dyDescent="0.35">
      <c r="J6848"/>
    </row>
    <row r="6849" spans="10:10" x14ac:dyDescent="0.35">
      <c r="J6849"/>
    </row>
    <row r="6850" spans="10:10" x14ac:dyDescent="0.35">
      <c r="J6850"/>
    </row>
    <row r="6851" spans="10:10" x14ac:dyDescent="0.35">
      <c r="J6851"/>
    </row>
    <row r="6852" spans="10:10" x14ac:dyDescent="0.35">
      <c r="J6852"/>
    </row>
    <row r="6853" spans="10:10" x14ac:dyDescent="0.35">
      <c r="J6853"/>
    </row>
    <row r="6854" spans="10:10" x14ac:dyDescent="0.35">
      <c r="J6854"/>
    </row>
    <row r="6855" spans="10:10" x14ac:dyDescent="0.35">
      <c r="J6855"/>
    </row>
    <row r="6856" spans="10:10" x14ac:dyDescent="0.35">
      <c r="J6856"/>
    </row>
    <row r="6857" spans="10:10" x14ac:dyDescent="0.35">
      <c r="J6857"/>
    </row>
    <row r="6858" spans="10:10" x14ac:dyDescent="0.35">
      <c r="J6858"/>
    </row>
    <row r="6859" spans="10:10" x14ac:dyDescent="0.35">
      <c r="J6859"/>
    </row>
    <row r="6860" spans="10:10" x14ac:dyDescent="0.35">
      <c r="J6860"/>
    </row>
    <row r="6861" spans="10:10" x14ac:dyDescent="0.35">
      <c r="J6861"/>
    </row>
    <row r="6862" spans="10:10" x14ac:dyDescent="0.35">
      <c r="J6862"/>
    </row>
    <row r="6863" spans="10:10" x14ac:dyDescent="0.35">
      <c r="J6863"/>
    </row>
    <row r="6864" spans="10:10" x14ac:dyDescent="0.35">
      <c r="J6864"/>
    </row>
    <row r="6865" spans="10:10" x14ac:dyDescent="0.35">
      <c r="J6865"/>
    </row>
    <row r="6866" spans="10:10" x14ac:dyDescent="0.35">
      <c r="J6866"/>
    </row>
    <row r="6867" spans="10:10" x14ac:dyDescent="0.35">
      <c r="J6867"/>
    </row>
    <row r="6868" spans="10:10" x14ac:dyDescent="0.35">
      <c r="J6868"/>
    </row>
    <row r="6869" spans="10:10" x14ac:dyDescent="0.35">
      <c r="J6869"/>
    </row>
    <row r="6870" spans="10:10" x14ac:dyDescent="0.35">
      <c r="J6870"/>
    </row>
    <row r="6871" spans="10:10" x14ac:dyDescent="0.35">
      <c r="J6871"/>
    </row>
    <row r="6872" spans="10:10" x14ac:dyDescent="0.35">
      <c r="J6872"/>
    </row>
    <row r="6873" spans="10:10" x14ac:dyDescent="0.35">
      <c r="J6873"/>
    </row>
    <row r="6874" spans="10:10" x14ac:dyDescent="0.35">
      <c r="J6874"/>
    </row>
    <row r="6875" spans="10:10" x14ac:dyDescent="0.35">
      <c r="J6875"/>
    </row>
    <row r="6876" spans="10:10" x14ac:dyDescent="0.35">
      <c r="J6876"/>
    </row>
    <row r="6877" spans="10:10" x14ac:dyDescent="0.35">
      <c r="J6877"/>
    </row>
    <row r="6878" spans="10:10" x14ac:dyDescent="0.35">
      <c r="J6878"/>
    </row>
    <row r="6879" spans="10:10" x14ac:dyDescent="0.35">
      <c r="J6879"/>
    </row>
    <row r="6880" spans="10:10" x14ac:dyDescent="0.35">
      <c r="J6880"/>
    </row>
    <row r="6881" spans="10:10" x14ac:dyDescent="0.35">
      <c r="J6881"/>
    </row>
    <row r="6882" spans="10:10" x14ac:dyDescent="0.35">
      <c r="J6882"/>
    </row>
    <row r="6883" spans="10:10" x14ac:dyDescent="0.35">
      <c r="J6883"/>
    </row>
    <row r="6884" spans="10:10" x14ac:dyDescent="0.35">
      <c r="J6884"/>
    </row>
    <row r="6885" spans="10:10" x14ac:dyDescent="0.35">
      <c r="J6885"/>
    </row>
    <row r="6886" spans="10:10" x14ac:dyDescent="0.35">
      <c r="J6886"/>
    </row>
    <row r="6887" spans="10:10" x14ac:dyDescent="0.35">
      <c r="J6887"/>
    </row>
    <row r="6888" spans="10:10" x14ac:dyDescent="0.35">
      <c r="J6888"/>
    </row>
    <row r="6889" spans="10:10" x14ac:dyDescent="0.35">
      <c r="J6889"/>
    </row>
    <row r="6890" spans="10:10" x14ac:dyDescent="0.35">
      <c r="J6890"/>
    </row>
    <row r="6891" spans="10:10" x14ac:dyDescent="0.35">
      <c r="J6891"/>
    </row>
    <row r="6892" spans="10:10" x14ac:dyDescent="0.35">
      <c r="J6892"/>
    </row>
    <row r="6893" spans="10:10" x14ac:dyDescent="0.35">
      <c r="J6893"/>
    </row>
    <row r="6894" spans="10:10" x14ac:dyDescent="0.35">
      <c r="J6894"/>
    </row>
    <row r="6895" spans="10:10" x14ac:dyDescent="0.35">
      <c r="J6895"/>
    </row>
    <row r="6896" spans="10:10" x14ac:dyDescent="0.35">
      <c r="J6896"/>
    </row>
    <row r="6897" spans="10:10" x14ac:dyDescent="0.35">
      <c r="J6897"/>
    </row>
    <row r="6898" spans="10:10" x14ac:dyDescent="0.35">
      <c r="J6898"/>
    </row>
    <row r="6899" spans="10:10" x14ac:dyDescent="0.35">
      <c r="J6899"/>
    </row>
    <row r="6900" spans="10:10" x14ac:dyDescent="0.35">
      <c r="J6900"/>
    </row>
    <row r="6901" spans="10:10" x14ac:dyDescent="0.35">
      <c r="J6901"/>
    </row>
    <row r="6902" spans="10:10" x14ac:dyDescent="0.35">
      <c r="J6902"/>
    </row>
    <row r="6903" spans="10:10" x14ac:dyDescent="0.35">
      <c r="J6903"/>
    </row>
    <row r="6904" spans="10:10" x14ac:dyDescent="0.35">
      <c r="J6904"/>
    </row>
    <row r="6905" spans="10:10" x14ac:dyDescent="0.35">
      <c r="J6905"/>
    </row>
    <row r="6906" spans="10:10" x14ac:dyDescent="0.35">
      <c r="J6906"/>
    </row>
    <row r="6907" spans="10:10" x14ac:dyDescent="0.35">
      <c r="J6907"/>
    </row>
    <row r="6908" spans="10:10" x14ac:dyDescent="0.35">
      <c r="J6908"/>
    </row>
    <row r="6909" spans="10:10" x14ac:dyDescent="0.35">
      <c r="J6909"/>
    </row>
    <row r="6910" spans="10:10" x14ac:dyDescent="0.35">
      <c r="J6910"/>
    </row>
    <row r="6911" spans="10:10" x14ac:dyDescent="0.35">
      <c r="J6911"/>
    </row>
    <row r="6912" spans="10:10" x14ac:dyDescent="0.35">
      <c r="J6912"/>
    </row>
    <row r="6913" spans="10:10" x14ac:dyDescent="0.35">
      <c r="J6913"/>
    </row>
    <row r="6914" spans="10:10" x14ac:dyDescent="0.35">
      <c r="J6914"/>
    </row>
    <row r="6915" spans="10:10" x14ac:dyDescent="0.35">
      <c r="J6915"/>
    </row>
    <row r="6916" spans="10:10" x14ac:dyDescent="0.35">
      <c r="J6916"/>
    </row>
    <row r="6917" spans="10:10" x14ac:dyDescent="0.35">
      <c r="J6917"/>
    </row>
    <row r="6918" spans="10:10" x14ac:dyDescent="0.35">
      <c r="J6918"/>
    </row>
    <row r="6919" spans="10:10" x14ac:dyDescent="0.35">
      <c r="J6919"/>
    </row>
    <row r="6920" spans="10:10" x14ac:dyDescent="0.35">
      <c r="J6920"/>
    </row>
    <row r="6921" spans="10:10" x14ac:dyDescent="0.35">
      <c r="J6921"/>
    </row>
    <row r="6922" spans="10:10" x14ac:dyDescent="0.35">
      <c r="J6922"/>
    </row>
    <row r="6923" spans="10:10" x14ac:dyDescent="0.35">
      <c r="J6923"/>
    </row>
    <row r="6924" spans="10:10" x14ac:dyDescent="0.35">
      <c r="J6924"/>
    </row>
    <row r="6925" spans="10:10" x14ac:dyDescent="0.35">
      <c r="J6925"/>
    </row>
    <row r="6926" spans="10:10" x14ac:dyDescent="0.35">
      <c r="J6926"/>
    </row>
    <row r="6927" spans="10:10" x14ac:dyDescent="0.35">
      <c r="J6927"/>
    </row>
    <row r="6928" spans="10:10" x14ac:dyDescent="0.35">
      <c r="J6928"/>
    </row>
    <row r="6929" spans="10:10" x14ac:dyDescent="0.35">
      <c r="J6929"/>
    </row>
    <row r="6930" spans="10:10" x14ac:dyDescent="0.35">
      <c r="J6930"/>
    </row>
    <row r="6931" spans="10:10" x14ac:dyDescent="0.35">
      <c r="J6931"/>
    </row>
    <row r="6932" spans="10:10" x14ac:dyDescent="0.35">
      <c r="J6932"/>
    </row>
    <row r="6933" spans="10:10" x14ac:dyDescent="0.35">
      <c r="J6933"/>
    </row>
    <row r="6934" spans="10:10" x14ac:dyDescent="0.35">
      <c r="J6934"/>
    </row>
    <row r="6935" spans="10:10" x14ac:dyDescent="0.35">
      <c r="J6935"/>
    </row>
    <row r="6936" spans="10:10" x14ac:dyDescent="0.35">
      <c r="J6936"/>
    </row>
    <row r="6937" spans="10:10" x14ac:dyDescent="0.35">
      <c r="J6937"/>
    </row>
    <row r="6938" spans="10:10" x14ac:dyDescent="0.35">
      <c r="J6938"/>
    </row>
    <row r="6939" spans="10:10" x14ac:dyDescent="0.35">
      <c r="J6939"/>
    </row>
    <row r="6940" spans="10:10" x14ac:dyDescent="0.35">
      <c r="J6940"/>
    </row>
    <row r="6941" spans="10:10" x14ac:dyDescent="0.35">
      <c r="J6941"/>
    </row>
    <row r="6942" spans="10:10" x14ac:dyDescent="0.35">
      <c r="J6942"/>
    </row>
    <row r="6943" spans="10:10" x14ac:dyDescent="0.35">
      <c r="J6943"/>
    </row>
    <row r="6944" spans="10:10" x14ac:dyDescent="0.35">
      <c r="J6944"/>
    </row>
    <row r="6945" spans="10:10" x14ac:dyDescent="0.35">
      <c r="J6945"/>
    </row>
    <row r="6946" spans="10:10" x14ac:dyDescent="0.35">
      <c r="J6946"/>
    </row>
    <row r="6947" spans="10:10" x14ac:dyDescent="0.35">
      <c r="J6947"/>
    </row>
    <row r="6948" spans="10:10" x14ac:dyDescent="0.35">
      <c r="J6948"/>
    </row>
    <row r="6949" spans="10:10" x14ac:dyDescent="0.35">
      <c r="J6949"/>
    </row>
    <row r="6950" spans="10:10" x14ac:dyDescent="0.35">
      <c r="J6950"/>
    </row>
    <row r="6951" spans="10:10" x14ac:dyDescent="0.35">
      <c r="J6951"/>
    </row>
    <row r="6952" spans="10:10" x14ac:dyDescent="0.35">
      <c r="J6952"/>
    </row>
    <row r="6953" spans="10:10" x14ac:dyDescent="0.35">
      <c r="J6953"/>
    </row>
    <row r="6954" spans="10:10" x14ac:dyDescent="0.35">
      <c r="J6954"/>
    </row>
    <row r="6955" spans="10:10" x14ac:dyDescent="0.35">
      <c r="J6955"/>
    </row>
    <row r="6956" spans="10:10" x14ac:dyDescent="0.35">
      <c r="J6956"/>
    </row>
    <row r="6957" spans="10:10" x14ac:dyDescent="0.35">
      <c r="J6957"/>
    </row>
    <row r="6958" spans="10:10" x14ac:dyDescent="0.35">
      <c r="J6958"/>
    </row>
    <row r="6959" spans="10:10" x14ac:dyDescent="0.35">
      <c r="J6959"/>
    </row>
    <row r="6960" spans="10:10" x14ac:dyDescent="0.35">
      <c r="J6960"/>
    </row>
    <row r="6961" spans="10:10" x14ac:dyDescent="0.35">
      <c r="J6961"/>
    </row>
    <row r="6962" spans="10:10" x14ac:dyDescent="0.35">
      <c r="J6962"/>
    </row>
    <row r="6963" spans="10:10" x14ac:dyDescent="0.35">
      <c r="J6963"/>
    </row>
    <row r="6964" spans="10:10" x14ac:dyDescent="0.35">
      <c r="J6964"/>
    </row>
    <row r="6965" spans="10:10" x14ac:dyDescent="0.35">
      <c r="J6965"/>
    </row>
    <row r="6966" spans="10:10" x14ac:dyDescent="0.35">
      <c r="J6966"/>
    </row>
    <row r="6967" spans="10:10" x14ac:dyDescent="0.35">
      <c r="J6967"/>
    </row>
    <row r="6968" spans="10:10" x14ac:dyDescent="0.35">
      <c r="J6968"/>
    </row>
    <row r="6969" spans="10:10" x14ac:dyDescent="0.35">
      <c r="J6969"/>
    </row>
    <row r="6970" spans="10:10" x14ac:dyDescent="0.35">
      <c r="J6970"/>
    </row>
    <row r="6971" spans="10:10" x14ac:dyDescent="0.35">
      <c r="J6971"/>
    </row>
    <row r="6972" spans="10:10" x14ac:dyDescent="0.35">
      <c r="J6972"/>
    </row>
    <row r="6973" spans="10:10" x14ac:dyDescent="0.35">
      <c r="J6973"/>
    </row>
    <row r="6974" spans="10:10" x14ac:dyDescent="0.35">
      <c r="J6974"/>
    </row>
    <row r="6975" spans="10:10" x14ac:dyDescent="0.35">
      <c r="J6975"/>
    </row>
    <row r="6976" spans="10:10" x14ac:dyDescent="0.35">
      <c r="J6976"/>
    </row>
    <row r="6977" spans="10:10" x14ac:dyDescent="0.35">
      <c r="J6977"/>
    </row>
    <row r="6978" spans="10:10" x14ac:dyDescent="0.35">
      <c r="J6978"/>
    </row>
    <row r="6979" spans="10:10" x14ac:dyDescent="0.35">
      <c r="J6979"/>
    </row>
    <row r="6980" spans="10:10" x14ac:dyDescent="0.35">
      <c r="J6980"/>
    </row>
    <row r="6981" spans="10:10" x14ac:dyDescent="0.35">
      <c r="J6981"/>
    </row>
    <row r="6982" spans="10:10" x14ac:dyDescent="0.35">
      <c r="J6982"/>
    </row>
    <row r="6983" spans="10:10" x14ac:dyDescent="0.35">
      <c r="J6983"/>
    </row>
    <row r="6984" spans="10:10" x14ac:dyDescent="0.35">
      <c r="J6984"/>
    </row>
    <row r="6985" spans="10:10" x14ac:dyDescent="0.35">
      <c r="J6985"/>
    </row>
    <row r="6986" spans="10:10" x14ac:dyDescent="0.35">
      <c r="J6986"/>
    </row>
    <row r="6987" spans="10:10" x14ac:dyDescent="0.35">
      <c r="J6987"/>
    </row>
    <row r="6988" spans="10:10" x14ac:dyDescent="0.35">
      <c r="J6988"/>
    </row>
    <row r="6989" spans="10:10" x14ac:dyDescent="0.35">
      <c r="J6989"/>
    </row>
    <row r="6990" spans="10:10" x14ac:dyDescent="0.35">
      <c r="J6990"/>
    </row>
    <row r="6991" spans="10:10" x14ac:dyDescent="0.35">
      <c r="J6991"/>
    </row>
    <row r="6992" spans="10:10" x14ac:dyDescent="0.35">
      <c r="J6992"/>
    </row>
    <row r="6993" spans="10:10" x14ac:dyDescent="0.35">
      <c r="J6993"/>
    </row>
    <row r="6994" spans="10:10" x14ac:dyDescent="0.35">
      <c r="J6994"/>
    </row>
    <row r="6995" spans="10:10" x14ac:dyDescent="0.35">
      <c r="J6995"/>
    </row>
    <row r="6996" spans="10:10" x14ac:dyDescent="0.35">
      <c r="J6996"/>
    </row>
    <row r="6997" spans="10:10" x14ac:dyDescent="0.35">
      <c r="J6997"/>
    </row>
    <row r="6998" spans="10:10" x14ac:dyDescent="0.35">
      <c r="J6998"/>
    </row>
    <row r="6999" spans="10:10" x14ac:dyDescent="0.35">
      <c r="J6999"/>
    </row>
    <row r="7000" spans="10:10" x14ac:dyDescent="0.35">
      <c r="J7000"/>
    </row>
    <row r="7001" spans="10:10" x14ac:dyDescent="0.35">
      <c r="J7001"/>
    </row>
    <row r="7002" spans="10:10" x14ac:dyDescent="0.35">
      <c r="J7002"/>
    </row>
    <row r="7003" spans="10:10" x14ac:dyDescent="0.35">
      <c r="J7003"/>
    </row>
    <row r="7004" spans="10:10" x14ac:dyDescent="0.35">
      <c r="J7004"/>
    </row>
    <row r="7005" spans="10:10" x14ac:dyDescent="0.35">
      <c r="J7005"/>
    </row>
    <row r="7006" spans="10:10" x14ac:dyDescent="0.35">
      <c r="J7006"/>
    </row>
    <row r="7007" spans="10:10" x14ac:dyDescent="0.35">
      <c r="J7007"/>
    </row>
    <row r="7008" spans="10:10" x14ac:dyDescent="0.35">
      <c r="J7008"/>
    </row>
    <row r="7009" spans="10:10" x14ac:dyDescent="0.35">
      <c r="J7009"/>
    </row>
    <row r="7010" spans="10:10" x14ac:dyDescent="0.35">
      <c r="J7010"/>
    </row>
    <row r="7011" spans="10:10" x14ac:dyDescent="0.35">
      <c r="J7011"/>
    </row>
    <row r="7012" spans="10:10" x14ac:dyDescent="0.35">
      <c r="J7012"/>
    </row>
    <row r="7013" spans="10:10" x14ac:dyDescent="0.35">
      <c r="J7013"/>
    </row>
    <row r="7014" spans="10:10" x14ac:dyDescent="0.35">
      <c r="J7014"/>
    </row>
    <row r="7015" spans="10:10" x14ac:dyDescent="0.35">
      <c r="J7015"/>
    </row>
    <row r="7016" spans="10:10" x14ac:dyDescent="0.35">
      <c r="J7016"/>
    </row>
    <row r="7017" spans="10:10" x14ac:dyDescent="0.35">
      <c r="J7017"/>
    </row>
    <row r="7018" spans="10:10" x14ac:dyDescent="0.35">
      <c r="J7018"/>
    </row>
    <row r="7019" spans="10:10" x14ac:dyDescent="0.35">
      <c r="J7019"/>
    </row>
    <row r="7020" spans="10:10" x14ac:dyDescent="0.35">
      <c r="J7020"/>
    </row>
    <row r="7021" spans="10:10" x14ac:dyDescent="0.35">
      <c r="J7021"/>
    </row>
    <row r="7022" spans="10:10" x14ac:dyDescent="0.35">
      <c r="J7022"/>
    </row>
    <row r="7023" spans="10:10" x14ac:dyDescent="0.35">
      <c r="J7023"/>
    </row>
    <row r="7024" spans="10:10" x14ac:dyDescent="0.35">
      <c r="J7024"/>
    </row>
    <row r="7025" spans="10:10" x14ac:dyDescent="0.35">
      <c r="J7025"/>
    </row>
    <row r="7026" spans="10:10" x14ac:dyDescent="0.35">
      <c r="J7026"/>
    </row>
    <row r="7027" spans="10:10" x14ac:dyDescent="0.35">
      <c r="J7027"/>
    </row>
    <row r="7028" spans="10:10" x14ac:dyDescent="0.35">
      <c r="J7028"/>
    </row>
    <row r="7029" spans="10:10" x14ac:dyDescent="0.35">
      <c r="J7029"/>
    </row>
    <row r="7030" spans="10:10" x14ac:dyDescent="0.35">
      <c r="J7030"/>
    </row>
    <row r="7031" spans="10:10" x14ac:dyDescent="0.35">
      <c r="J7031"/>
    </row>
    <row r="7032" spans="10:10" x14ac:dyDescent="0.35">
      <c r="J7032"/>
    </row>
    <row r="7033" spans="10:10" x14ac:dyDescent="0.35">
      <c r="J7033"/>
    </row>
    <row r="7034" spans="10:10" x14ac:dyDescent="0.35">
      <c r="J7034"/>
    </row>
    <row r="7035" spans="10:10" x14ac:dyDescent="0.35">
      <c r="J7035"/>
    </row>
    <row r="7036" spans="10:10" x14ac:dyDescent="0.35">
      <c r="J7036"/>
    </row>
    <row r="7037" spans="10:10" x14ac:dyDescent="0.35">
      <c r="J7037"/>
    </row>
    <row r="7038" spans="10:10" x14ac:dyDescent="0.35">
      <c r="J7038"/>
    </row>
    <row r="7039" spans="10:10" x14ac:dyDescent="0.35">
      <c r="J7039"/>
    </row>
    <row r="7040" spans="10:10" x14ac:dyDescent="0.35">
      <c r="J7040"/>
    </row>
    <row r="7041" spans="10:10" x14ac:dyDescent="0.35">
      <c r="J7041"/>
    </row>
    <row r="7042" spans="10:10" x14ac:dyDescent="0.35">
      <c r="J7042"/>
    </row>
    <row r="7043" spans="10:10" x14ac:dyDescent="0.35">
      <c r="J7043"/>
    </row>
    <row r="7044" spans="10:10" x14ac:dyDescent="0.35">
      <c r="J7044"/>
    </row>
    <row r="7045" spans="10:10" x14ac:dyDescent="0.35">
      <c r="J7045"/>
    </row>
    <row r="7046" spans="10:10" x14ac:dyDescent="0.35">
      <c r="J7046"/>
    </row>
    <row r="7047" spans="10:10" x14ac:dyDescent="0.35">
      <c r="J7047"/>
    </row>
    <row r="7048" spans="10:10" x14ac:dyDescent="0.35">
      <c r="J7048"/>
    </row>
    <row r="7049" spans="10:10" x14ac:dyDescent="0.35">
      <c r="J7049"/>
    </row>
    <row r="7050" spans="10:10" x14ac:dyDescent="0.35">
      <c r="J7050"/>
    </row>
    <row r="7051" spans="10:10" x14ac:dyDescent="0.35">
      <c r="J7051"/>
    </row>
    <row r="7052" spans="10:10" x14ac:dyDescent="0.35">
      <c r="J7052"/>
    </row>
    <row r="7053" spans="10:10" x14ac:dyDescent="0.35">
      <c r="J7053"/>
    </row>
    <row r="7054" spans="10:10" x14ac:dyDescent="0.35">
      <c r="J7054"/>
    </row>
    <row r="7055" spans="10:10" x14ac:dyDescent="0.35">
      <c r="J7055"/>
    </row>
    <row r="7056" spans="10:10" x14ac:dyDescent="0.35">
      <c r="J7056"/>
    </row>
    <row r="7057" spans="10:10" x14ac:dyDescent="0.35">
      <c r="J7057"/>
    </row>
    <row r="7058" spans="10:10" x14ac:dyDescent="0.35">
      <c r="J7058"/>
    </row>
    <row r="7059" spans="10:10" x14ac:dyDescent="0.35">
      <c r="J7059"/>
    </row>
    <row r="7060" spans="10:10" x14ac:dyDescent="0.35">
      <c r="J7060"/>
    </row>
    <row r="7061" spans="10:10" x14ac:dyDescent="0.35">
      <c r="J7061"/>
    </row>
    <row r="7062" spans="10:10" x14ac:dyDescent="0.35">
      <c r="J7062"/>
    </row>
    <row r="7063" spans="10:10" x14ac:dyDescent="0.35">
      <c r="J7063"/>
    </row>
    <row r="7064" spans="10:10" x14ac:dyDescent="0.35">
      <c r="J7064"/>
    </row>
    <row r="7065" spans="10:10" x14ac:dyDescent="0.35">
      <c r="J7065"/>
    </row>
    <row r="7066" spans="10:10" x14ac:dyDescent="0.35">
      <c r="J7066"/>
    </row>
    <row r="7067" spans="10:10" x14ac:dyDescent="0.35">
      <c r="J7067"/>
    </row>
    <row r="7068" spans="10:10" x14ac:dyDescent="0.35">
      <c r="J7068"/>
    </row>
    <row r="7069" spans="10:10" x14ac:dyDescent="0.35">
      <c r="J7069"/>
    </row>
    <row r="7070" spans="10:10" x14ac:dyDescent="0.35">
      <c r="J7070"/>
    </row>
    <row r="7071" spans="10:10" x14ac:dyDescent="0.35">
      <c r="J7071"/>
    </row>
    <row r="7072" spans="10:10" x14ac:dyDescent="0.35">
      <c r="J7072"/>
    </row>
    <row r="7073" spans="10:10" x14ac:dyDescent="0.35">
      <c r="J7073"/>
    </row>
    <row r="7074" spans="10:10" x14ac:dyDescent="0.35">
      <c r="J7074"/>
    </row>
    <row r="7075" spans="10:10" x14ac:dyDescent="0.35">
      <c r="J7075"/>
    </row>
    <row r="7076" spans="10:10" x14ac:dyDescent="0.35">
      <c r="J7076"/>
    </row>
    <row r="7077" spans="10:10" x14ac:dyDescent="0.35">
      <c r="J7077"/>
    </row>
    <row r="7078" spans="10:10" x14ac:dyDescent="0.35">
      <c r="J7078"/>
    </row>
    <row r="7079" spans="10:10" x14ac:dyDescent="0.35">
      <c r="J7079"/>
    </row>
    <row r="7080" spans="10:10" x14ac:dyDescent="0.35">
      <c r="J7080"/>
    </row>
    <row r="7081" spans="10:10" x14ac:dyDescent="0.35">
      <c r="J7081"/>
    </row>
    <row r="7082" spans="10:10" x14ac:dyDescent="0.35">
      <c r="J7082"/>
    </row>
    <row r="7083" spans="10:10" x14ac:dyDescent="0.35">
      <c r="J7083"/>
    </row>
    <row r="7084" spans="10:10" x14ac:dyDescent="0.35">
      <c r="J7084"/>
    </row>
    <row r="7085" spans="10:10" x14ac:dyDescent="0.35">
      <c r="J7085"/>
    </row>
    <row r="7086" spans="10:10" x14ac:dyDescent="0.35">
      <c r="J7086"/>
    </row>
    <row r="7087" spans="10:10" x14ac:dyDescent="0.35">
      <c r="J7087"/>
    </row>
    <row r="7088" spans="10:10" x14ac:dyDescent="0.35">
      <c r="J7088"/>
    </row>
    <row r="7089" spans="10:10" x14ac:dyDescent="0.35">
      <c r="J7089"/>
    </row>
    <row r="7090" spans="10:10" x14ac:dyDescent="0.35">
      <c r="J7090"/>
    </row>
    <row r="7091" spans="10:10" x14ac:dyDescent="0.35">
      <c r="J7091"/>
    </row>
    <row r="7092" spans="10:10" x14ac:dyDescent="0.35">
      <c r="J7092"/>
    </row>
    <row r="7093" spans="10:10" x14ac:dyDescent="0.35">
      <c r="J7093"/>
    </row>
    <row r="7094" spans="10:10" x14ac:dyDescent="0.35">
      <c r="J7094"/>
    </row>
    <row r="7095" spans="10:10" x14ac:dyDescent="0.35">
      <c r="J7095"/>
    </row>
    <row r="7096" spans="10:10" x14ac:dyDescent="0.35">
      <c r="J7096"/>
    </row>
    <row r="7097" spans="10:10" x14ac:dyDescent="0.35">
      <c r="J7097"/>
    </row>
    <row r="7098" spans="10:10" x14ac:dyDescent="0.35">
      <c r="J7098"/>
    </row>
    <row r="7099" spans="10:10" x14ac:dyDescent="0.35">
      <c r="J7099"/>
    </row>
    <row r="7100" spans="10:10" x14ac:dyDescent="0.35">
      <c r="J7100"/>
    </row>
    <row r="7101" spans="10:10" x14ac:dyDescent="0.35">
      <c r="J7101"/>
    </row>
    <row r="7102" spans="10:10" x14ac:dyDescent="0.35">
      <c r="J7102"/>
    </row>
    <row r="7103" spans="10:10" x14ac:dyDescent="0.35">
      <c r="J7103"/>
    </row>
    <row r="7104" spans="10:10" x14ac:dyDescent="0.35">
      <c r="J7104"/>
    </row>
    <row r="7105" spans="10:10" x14ac:dyDescent="0.35">
      <c r="J7105"/>
    </row>
    <row r="7106" spans="10:10" x14ac:dyDescent="0.35">
      <c r="J7106"/>
    </row>
    <row r="7107" spans="10:10" x14ac:dyDescent="0.35">
      <c r="J7107"/>
    </row>
    <row r="7108" spans="10:10" x14ac:dyDescent="0.35">
      <c r="J7108"/>
    </row>
    <row r="7109" spans="10:10" x14ac:dyDescent="0.35">
      <c r="J7109"/>
    </row>
    <row r="7110" spans="10:10" x14ac:dyDescent="0.35">
      <c r="J7110"/>
    </row>
    <row r="7111" spans="10:10" x14ac:dyDescent="0.35">
      <c r="J7111"/>
    </row>
    <row r="7112" spans="10:10" x14ac:dyDescent="0.35">
      <c r="J7112"/>
    </row>
    <row r="7113" spans="10:10" x14ac:dyDescent="0.35">
      <c r="J7113"/>
    </row>
    <row r="7114" spans="10:10" x14ac:dyDescent="0.35">
      <c r="J7114"/>
    </row>
    <row r="7115" spans="10:10" x14ac:dyDescent="0.35">
      <c r="J7115"/>
    </row>
    <row r="7116" spans="10:10" x14ac:dyDescent="0.35">
      <c r="J7116"/>
    </row>
    <row r="7117" spans="10:10" x14ac:dyDescent="0.35">
      <c r="J7117"/>
    </row>
    <row r="7118" spans="10:10" x14ac:dyDescent="0.35">
      <c r="J7118"/>
    </row>
    <row r="7119" spans="10:10" x14ac:dyDescent="0.35">
      <c r="J7119"/>
    </row>
    <row r="7120" spans="10:10" x14ac:dyDescent="0.35">
      <c r="J7120"/>
    </row>
    <row r="7121" spans="10:10" x14ac:dyDescent="0.35">
      <c r="J7121"/>
    </row>
    <row r="7122" spans="10:10" x14ac:dyDescent="0.35">
      <c r="J7122"/>
    </row>
    <row r="7123" spans="10:10" x14ac:dyDescent="0.35">
      <c r="J7123"/>
    </row>
    <row r="7124" spans="10:10" x14ac:dyDescent="0.35">
      <c r="J7124"/>
    </row>
    <row r="7125" spans="10:10" x14ac:dyDescent="0.35">
      <c r="J7125"/>
    </row>
    <row r="7126" spans="10:10" x14ac:dyDescent="0.35">
      <c r="J7126"/>
    </row>
    <row r="7127" spans="10:10" x14ac:dyDescent="0.35">
      <c r="J7127"/>
    </row>
    <row r="7128" spans="10:10" x14ac:dyDescent="0.35">
      <c r="J7128"/>
    </row>
    <row r="7129" spans="10:10" x14ac:dyDescent="0.35">
      <c r="J7129"/>
    </row>
    <row r="7130" spans="10:10" x14ac:dyDescent="0.35">
      <c r="J7130"/>
    </row>
    <row r="7131" spans="10:10" x14ac:dyDescent="0.35">
      <c r="J7131"/>
    </row>
    <row r="7132" spans="10:10" x14ac:dyDescent="0.35">
      <c r="J7132"/>
    </row>
    <row r="7133" spans="10:10" x14ac:dyDescent="0.35">
      <c r="J7133"/>
    </row>
    <row r="7134" spans="10:10" x14ac:dyDescent="0.35">
      <c r="J7134"/>
    </row>
    <row r="7135" spans="10:10" x14ac:dyDescent="0.35">
      <c r="J7135"/>
    </row>
    <row r="7136" spans="10:10" x14ac:dyDescent="0.35">
      <c r="J7136"/>
    </row>
    <row r="7137" spans="10:10" x14ac:dyDescent="0.35">
      <c r="J7137"/>
    </row>
    <row r="7138" spans="10:10" x14ac:dyDescent="0.35">
      <c r="J7138"/>
    </row>
    <row r="7139" spans="10:10" x14ac:dyDescent="0.35">
      <c r="J7139"/>
    </row>
    <row r="7140" spans="10:10" x14ac:dyDescent="0.35">
      <c r="J7140"/>
    </row>
    <row r="7141" spans="10:10" x14ac:dyDescent="0.35">
      <c r="J7141"/>
    </row>
    <row r="7142" spans="10:10" x14ac:dyDescent="0.35">
      <c r="J7142"/>
    </row>
    <row r="7143" spans="10:10" x14ac:dyDescent="0.35">
      <c r="J7143"/>
    </row>
    <row r="7144" spans="10:10" x14ac:dyDescent="0.35">
      <c r="J7144"/>
    </row>
    <row r="7145" spans="10:10" x14ac:dyDescent="0.35">
      <c r="J7145"/>
    </row>
    <row r="7146" spans="10:10" x14ac:dyDescent="0.35">
      <c r="J7146"/>
    </row>
    <row r="7147" spans="10:10" x14ac:dyDescent="0.35">
      <c r="J7147"/>
    </row>
    <row r="7148" spans="10:10" x14ac:dyDescent="0.35">
      <c r="J7148"/>
    </row>
    <row r="7149" spans="10:10" x14ac:dyDescent="0.35">
      <c r="J7149"/>
    </row>
    <row r="7150" spans="10:10" x14ac:dyDescent="0.35">
      <c r="J7150"/>
    </row>
    <row r="7151" spans="10:10" x14ac:dyDescent="0.35">
      <c r="J7151"/>
    </row>
    <row r="7152" spans="10:10" x14ac:dyDescent="0.35">
      <c r="J7152"/>
    </row>
    <row r="7153" spans="10:10" x14ac:dyDescent="0.35">
      <c r="J7153"/>
    </row>
    <row r="7154" spans="10:10" x14ac:dyDescent="0.35">
      <c r="J7154"/>
    </row>
    <row r="7155" spans="10:10" x14ac:dyDescent="0.35">
      <c r="J7155"/>
    </row>
    <row r="7156" spans="10:10" x14ac:dyDescent="0.35">
      <c r="J7156"/>
    </row>
    <row r="7157" spans="10:10" x14ac:dyDescent="0.35">
      <c r="J7157"/>
    </row>
    <row r="7158" spans="10:10" x14ac:dyDescent="0.35">
      <c r="J7158"/>
    </row>
    <row r="7159" spans="10:10" x14ac:dyDescent="0.35">
      <c r="J7159"/>
    </row>
    <row r="7160" spans="10:10" x14ac:dyDescent="0.35">
      <c r="J7160"/>
    </row>
    <row r="7161" spans="10:10" x14ac:dyDescent="0.35">
      <c r="J7161"/>
    </row>
    <row r="7162" spans="10:10" x14ac:dyDescent="0.35">
      <c r="J7162"/>
    </row>
    <row r="7163" spans="10:10" x14ac:dyDescent="0.35">
      <c r="J7163"/>
    </row>
    <row r="7164" spans="10:10" x14ac:dyDescent="0.35">
      <c r="J7164"/>
    </row>
    <row r="7165" spans="10:10" x14ac:dyDescent="0.35">
      <c r="J7165"/>
    </row>
    <row r="7166" spans="10:10" x14ac:dyDescent="0.35">
      <c r="J7166"/>
    </row>
    <row r="7167" spans="10:10" x14ac:dyDescent="0.35">
      <c r="J7167"/>
    </row>
    <row r="7168" spans="10:10" x14ac:dyDescent="0.35">
      <c r="J7168"/>
    </row>
    <row r="7169" spans="10:10" x14ac:dyDescent="0.35">
      <c r="J7169"/>
    </row>
    <row r="7170" spans="10:10" x14ac:dyDescent="0.35">
      <c r="J7170"/>
    </row>
    <row r="7171" spans="10:10" x14ac:dyDescent="0.35">
      <c r="J7171"/>
    </row>
    <row r="7172" spans="10:10" x14ac:dyDescent="0.35">
      <c r="J7172"/>
    </row>
    <row r="7173" spans="10:10" x14ac:dyDescent="0.35">
      <c r="J7173"/>
    </row>
    <row r="7174" spans="10:10" x14ac:dyDescent="0.35">
      <c r="J7174"/>
    </row>
    <row r="7175" spans="10:10" x14ac:dyDescent="0.35">
      <c r="J7175"/>
    </row>
    <row r="7176" spans="10:10" x14ac:dyDescent="0.35">
      <c r="J7176"/>
    </row>
    <row r="7177" spans="10:10" x14ac:dyDescent="0.35">
      <c r="J7177"/>
    </row>
    <row r="7178" spans="10:10" x14ac:dyDescent="0.35">
      <c r="J7178"/>
    </row>
    <row r="7179" spans="10:10" x14ac:dyDescent="0.35">
      <c r="J7179"/>
    </row>
    <row r="7180" spans="10:10" x14ac:dyDescent="0.35">
      <c r="J7180"/>
    </row>
    <row r="7181" spans="10:10" x14ac:dyDescent="0.35">
      <c r="J7181"/>
    </row>
    <row r="7182" spans="10:10" x14ac:dyDescent="0.35">
      <c r="J7182"/>
    </row>
    <row r="7183" spans="10:10" x14ac:dyDescent="0.35">
      <c r="J7183"/>
    </row>
    <row r="7184" spans="10:10" x14ac:dyDescent="0.35">
      <c r="J7184"/>
    </row>
    <row r="7185" spans="10:10" x14ac:dyDescent="0.35">
      <c r="J7185"/>
    </row>
    <row r="7186" spans="10:10" x14ac:dyDescent="0.35">
      <c r="J7186"/>
    </row>
    <row r="7187" spans="10:10" x14ac:dyDescent="0.35">
      <c r="J7187"/>
    </row>
    <row r="7188" spans="10:10" x14ac:dyDescent="0.35">
      <c r="J7188"/>
    </row>
    <row r="7189" spans="10:10" x14ac:dyDescent="0.35">
      <c r="J7189"/>
    </row>
    <row r="7190" spans="10:10" x14ac:dyDescent="0.35">
      <c r="J7190"/>
    </row>
    <row r="7191" spans="10:10" x14ac:dyDescent="0.35">
      <c r="J7191"/>
    </row>
    <row r="7192" spans="10:10" x14ac:dyDescent="0.35">
      <c r="J7192"/>
    </row>
    <row r="7193" spans="10:10" x14ac:dyDescent="0.35">
      <c r="J7193"/>
    </row>
    <row r="7194" spans="10:10" x14ac:dyDescent="0.35">
      <c r="J7194"/>
    </row>
    <row r="7195" spans="10:10" x14ac:dyDescent="0.35">
      <c r="J7195"/>
    </row>
    <row r="7196" spans="10:10" x14ac:dyDescent="0.35">
      <c r="J7196"/>
    </row>
    <row r="7197" spans="10:10" x14ac:dyDescent="0.35">
      <c r="J7197"/>
    </row>
    <row r="7198" spans="10:10" x14ac:dyDescent="0.35">
      <c r="J7198"/>
    </row>
    <row r="7199" spans="10:10" x14ac:dyDescent="0.35">
      <c r="J7199"/>
    </row>
    <row r="7200" spans="10:10" x14ac:dyDescent="0.35">
      <c r="J7200"/>
    </row>
    <row r="7201" spans="10:10" x14ac:dyDescent="0.35">
      <c r="J7201"/>
    </row>
    <row r="7202" spans="10:10" x14ac:dyDescent="0.35">
      <c r="J7202"/>
    </row>
    <row r="7203" spans="10:10" x14ac:dyDescent="0.35">
      <c r="J7203"/>
    </row>
    <row r="7204" spans="10:10" x14ac:dyDescent="0.35">
      <c r="J7204"/>
    </row>
    <row r="7205" spans="10:10" x14ac:dyDescent="0.35">
      <c r="J7205"/>
    </row>
    <row r="7206" spans="10:10" x14ac:dyDescent="0.35">
      <c r="J7206"/>
    </row>
    <row r="7207" spans="10:10" x14ac:dyDescent="0.35">
      <c r="J7207"/>
    </row>
    <row r="7208" spans="10:10" x14ac:dyDescent="0.35">
      <c r="J7208"/>
    </row>
    <row r="7209" spans="10:10" x14ac:dyDescent="0.35">
      <c r="J7209"/>
    </row>
    <row r="7210" spans="10:10" x14ac:dyDescent="0.35">
      <c r="J7210"/>
    </row>
    <row r="7211" spans="10:10" x14ac:dyDescent="0.35">
      <c r="J7211"/>
    </row>
    <row r="7212" spans="10:10" x14ac:dyDescent="0.35">
      <c r="J7212"/>
    </row>
    <row r="7213" spans="10:10" x14ac:dyDescent="0.35">
      <c r="J7213"/>
    </row>
    <row r="7214" spans="10:10" x14ac:dyDescent="0.35">
      <c r="J7214"/>
    </row>
    <row r="7215" spans="10:10" x14ac:dyDescent="0.35">
      <c r="J7215"/>
    </row>
    <row r="7216" spans="10:10" x14ac:dyDescent="0.35">
      <c r="J7216"/>
    </row>
    <row r="7217" spans="10:10" x14ac:dyDescent="0.35">
      <c r="J7217"/>
    </row>
    <row r="7218" spans="10:10" x14ac:dyDescent="0.35">
      <c r="J7218"/>
    </row>
    <row r="7219" spans="10:10" x14ac:dyDescent="0.35">
      <c r="J7219"/>
    </row>
    <row r="7220" spans="10:10" x14ac:dyDescent="0.35">
      <c r="J7220"/>
    </row>
    <row r="7221" spans="10:10" x14ac:dyDescent="0.35">
      <c r="J7221"/>
    </row>
    <row r="7222" spans="10:10" x14ac:dyDescent="0.35">
      <c r="J7222"/>
    </row>
    <row r="7223" spans="10:10" x14ac:dyDescent="0.35">
      <c r="J7223"/>
    </row>
    <row r="7224" spans="10:10" x14ac:dyDescent="0.35">
      <c r="J7224"/>
    </row>
    <row r="7225" spans="10:10" x14ac:dyDescent="0.35">
      <c r="J7225"/>
    </row>
    <row r="7226" spans="10:10" x14ac:dyDescent="0.35">
      <c r="J7226"/>
    </row>
    <row r="7227" spans="10:10" x14ac:dyDescent="0.35">
      <c r="J7227"/>
    </row>
    <row r="7228" spans="10:10" x14ac:dyDescent="0.35">
      <c r="J7228"/>
    </row>
    <row r="7229" spans="10:10" x14ac:dyDescent="0.35">
      <c r="J7229"/>
    </row>
    <row r="7230" spans="10:10" x14ac:dyDescent="0.35">
      <c r="J7230"/>
    </row>
    <row r="7231" spans="10:10" x14ac:dyDescent="0.35">
      <c r="J7231"/>
    </row>
    <row r="7232" spans="10:10" x14ac:dyDescent="0.35">
      <c r="J7232"/>
    </row>
    <row r="7233" spans="10:10" x14ac:dyDescent="0.35">
      <c r="J7233"/>
    </row>
    <row r="7234" spans="10:10" x14ac:dyDescent="0.35">
      <c r="J7234"/>
    </row>
    <row r="7235" spans="10:10" x14ac:dyDescent="0.35">
      <c r="J7235"/>
    </row>
    <row r="7236" spans="10:10" x14ac:dyDescent="0.35">
      <c r="J7236"/>
    </row>
    <row r="7237" spans="10:10" x14ac:dyDescent="0.35">
      <c r="J7237"/>
    </row>
    <row r="7238" spans="10:10" x14ac:dyDescent="0.35">
      <c r="J7238"/>
    </row>
    <row r="7239" spans="10:10" x14ac:dyDescent="0.35">
      <c r="J7239"/>
    </row>
    <row r="7240" spans="10:10" x14ac:dyDescent="0.35">
      <c r="J7240"/>
    </row>
    <row r="7241" spans="10:10" x14ac:dyDescent="0.35">
      <c r="J7241"/>
    </row>
    <row r="7242" spans="10:10" x14ac:dyDescent="0.35">
      <c r="J7242"/>
    </row>
    <row r="7243" spans="10:10" x14ac:dyDescent="0.35">
      <c r="J7243"/>
    </row>
    <row r="7244" spans="10:10" x14ac:dyDescent="0.35">
      <c r="J7244"/>
    </row>
    <row r="7245" spans="10:10" x14ac:dyDescent="0.35">
      <c r="J7245"/>
    </row>
    <row r="7246" spans="10:10" x14ac:dyDescent="0.35">
      <c r="J7246"/>
    </row>
    <row r="7247" spans="10:10" x14ac:dyDescent="0.35">
      <c r="J7247"/>
    </row>
    <row r="7248" spans="10:10" x14ac:dyDescent="0.35">
      <c r="J7248"/>
    </row>
    <row r="7249" spans="10:10" x14ac:dyDescent="0.35">
      <c r="J7249"/>
    </row>
    <row r="7250" spans="10:10" x14ac:dyDescent="0.35">
      <c r="J7250"/>
    </row>
    <row r="7251" spans="10:10" x14ac:dyDescent="0.35">
      <c r="J7251"/>
    </row>
    <row r="7252" spans="10:10" x14ac:dyDescent="0.35">
      <c r="J7252"/>
    </row>
    <row r="7253" spans="10:10" x14ac:dyDescent="0.35">
      <c r="J7253"/>
    </row>
    <row r="7254" spans="10:10" x14ac:dyDescent="0.35">
      <c r="J7254"/>
    </row>
    <row r="7255" spans="10:10" x14ac:dyDescent="0.35">
      <c r="J7255"/>
    </row>
    <row r="7256" spans="10:10" x14ac:dyDescent="0.35">
      <c r="J7256"/>
    </row>
    <row r="7257" spans="10:10" x14ac:dyDescent="0.35">
      <c r="J7257"/>
    </row>
    <row r="7258" spans="10:10" x14ac:dyDescent="0.35">
      <c r="J7258"/>
    </row>
    <row r="7259" spans="10:10" x14ac:dyDescent="0.35">
      <c r="J7259"/>
    </row>
    <row r="7260" spans="10:10" x14ac:dyDescent="0.35">
      <c r="J7260"/>
    </row>
    <row r="7261" spans="10:10" x14ac:dyDescent="0.35">
      <c r="J7261"/>
    </row>
    <row r="7262" spans="10:10" x14ac:dyDescent="0.35">
      <c r="J7262"/>
    </row>
    <row r="7263" spans="10:10" x14ac:dyDescent="0.35">
      <c r="J7263"/>
    </row>
    <row r="7264" spans="10:10" x14ac:dyDescent="0.35">
      <c r="J7264"/>
    </row>
    <row r="7265" spans="10:10" x14ac:dyDescent="0.35">
      <c r="J7265"/>
    </row>
    <row r="7266" spans="10:10" x14ac:dyDescent="0.35">
      <c r="J7266"/>
    </row>
    <row r="7267" spans="10:10" x14ac:dyDescent="0.35">
      <c r="J7267"/>
    </row>
    <row r="7268" spans="10:10" x14ac:dyDescent="0.35">
      <c r="J7268"/>
    </row>
    <row r="7269" spans="10:10" x14ac:dyDescent="0.35">
      <c r="J7269"/>
    </row>
    <row r="7270" spans="10:10" x14ac:dyDescent="0.35">
      <c r="J7270"/>
    </row>
    <row r="7271" spans="10:10" x14ac:dyDescent="0.35">
      <c r="J7271"/>
    </row>
    <row r="7272" spans="10:10" x14ac:dyDescent="0.35">
      <c r="J7272"/>
    </row>
    <row r="7273" spans="10:10" x14ac:dyDescent="0.35">
      <c r="J7273"/>
    </row>
    <row r="7274" spans="10:10" x14ac:dyDescent="0.35">
      <c r="J7274"/>
    </row>
    <row r="7275" spans="10:10" x14ac:dyDescent="0.35">
      <c r="J7275"/>
    </row>
    <row r="7276" spans="10:10" x14ac:dyDescent="0.35">
      <c r="J7276"/>
    </row>
    <row r="7277" spans="10:10" x14ac:dyDescent="0.35">
      <c r="J7277"/>
    </row>
    <row r="7278" spans="10:10" x14ac:dyDescent="0.35">
      <c r="J7278"/>
    </row>
    <row r="7279" spans="10:10" x14ac:dyDescent="0.35">
      <c r="J7279"/>
    </row>
    <row r="7280" spans="10:10" x14ac:dyDescent="0.35">
      <c r="J7280"/>
    </row>
    <row r="7281" spans="10:10" x14ac:dyDescent="0.35">
      <c r="J7281"/>
    </row>
    <row r="7282" spans="10:10" x14ac:dyDescent="0.35">
      <c r="J7282"/>
    </row>
    <row r="7283" spans="10:10" x14ac:dyDescent="0.35">
      <c r="J7283"/>
    </row>
    <row r="7284" spans="10:10" x14ac:dyDescent="0.35">
      <c r="J7284"/>
    </row>
    <row r="7285" spans="10:10" x14ac:dyDescent="0.35">
      <c r="J7285"/>
    </row>
    <row r="7286" spans="10:10" x14ac:dyDescent="0.35">
      <c r="J7286"/>
    </row>
    <row r="7287" spans="10:10" x14ac:dyDescent="0.35">
      <c r="J7287"/>
    </row>
    <row r="7288" spans="10:10" x14ac:dyDescent="0.35">
      <c r="J7288"/>
    </row>
    <row r="7289" spans="10:10" x14ac:dyDescent="0.35">
      <c r="J7289"/>
    </row>
    <row r="7290" spans="10:10" x14ac:dyDescent="0.35">
      <c r="J7290"/>
    </row>
    <row r="7291" spans="10:10" x14ac:dyDescent="0.35">
      <c r="J7291"/>
    </row>
    <row r="7292" spans="10:10" x14ac:dyDescent="0.35">
      <c r="J7292"/>
    </row>
    <row r="7293" spans="10:10" x14ac:dyDescent="0.35">
      <c r="J7293"/>
    </row>
    <row r="7294" spans="10:10" x14ac:dyDescent="0.35">
      <c r="J7294"/>
    </row>
    <row r="7295" spans="10:10" x14ac:dyDescent="0.35">
      <c r="J7295"/>
    </row>
    <row r="7296" spans="10:10" x14ac:dyDescent="0.35">
      <c r="J7296"/>
    </row>
    <row r="7297" spans="10:10" x14ac:dyDescent="0.35">
      <c r="J7297"/>
    </row>
    <row r="7298" spans="10:10" x14ac:dyDescent="0.35">
      <c r="J7298"/>
    </row>
    <row r="7299" spans="10:10" x14ac:dyDescent="0.35">
      <c r="J7299"/>
    </row>
    <row r="7300" spans="10:10" x14ac:dyDescent="0.35">
      <c r="J7300"/>
    </row>
    <row r="7301" spans="10:10" x14ac:dyDescent="0.35">
      <c r="J7301"/>
    </row>
    <row r="7302" spans="10:10" x14ac:dyDescent="0.35">
      <c r="J7302"/>
    </row>
    <row r="7303" spans="10:10" x14ac:dyDescent="0.35">
      <c r="J7303"/>
    </row>
    <row r="7304" spans="10:10" x14ac:dyDescent="0.35">
      <c r="J7304"/>
    </row>
    <row r="7305" spans="10:10" x14ac:dyDescent="0.35">
      <c r="J7305"/>
    </row>
    <row r="7306" spans="10:10" x14ac:dyDescent="0.35">
      <c r="J7306"/>
    </row>
    <row r="7307" spans="10:10" x14ac:dyDescent="0.35">
      <c r="J7307"/>
    </row>
    <row r="7308" spans="10:10" x14ac:dyDescent="0.35">
      <c r="J7308"/>
    </row>
    <row r="7309" spans="10:10" x14ac:dyDescent="0.35">
      <c r="J7309"/>
    </row>
    <row r="7310" spans="10:10" x14ac:dyDescent="0.35">
      <c r="J7310"/>
    </row>
    <row r="7311" spans="10:10" x14ac:dyDescent="0.35">
      <c r="J7311"/>
    </row>
    <row r="7312" spans="10:10" x14ac:dyDescent="0.35">
      <c r="J7312"/>
    </row>
    <row r="7313" spans="10:10" x14ac:dyDescent="0.35">
      <c r="J7313"/>
    </row>
    <row r="7314" spans="10:10" x14ac:dyDescent="0.35">
      <c r="J7314"/>
    </row>
    <row r="7315" spans="10:10" x14ac:dyDescent="0.35">
      <c r="J7315"/>
    </row>
    <row r="7316" spans="10:10" x14ac:dyDescent="0.35">
      <c r="J7316"/>
    </row>
    <row r="7317" spans="10:10" x14ac:dyDescent="0.35">
      <c r="J7317"/>
    </row>
    <row r="7318" spans="10:10" x14ac:dyDescent="0.35">
      <c r="J7318"/>
    </row>
    <row r="7319" spans="10:10" x14ac:dyDescent="0.35">
      <c r="J7319"/>
    </row>
    <row r="7320" spans="10:10" x14ac:dyDescent="0.35">
      <c r="J7320"/>
    </row>
    <row r="7321" spans="10:10" x14ac:dyDescent="0.35">
      <c r="J7321"/>
    </row>
    <row r="7322" spans="10:10" x14ac:dyDescent="0.35">
      <c r="J7322"/>
    </row>
    <row r="7323" spans="10:10" x14ac:dyDescent="0.35">
      <c r="J7323"/>
    </row>
    <row r="7324" spans="10:10" x14ac:dyDescent="0.35">
      <c r="J7324"/>
    </row>
    <row r="7325" spans="10:10" x14ac:dyDescent="0.35">
      <c r="J7325"/>
    </row>
    <row r="7326" spans="10:10" x14ac:dyDescent="0.35">
      <c r="J7326"/>
    </row>
    <row r="7327" spans="10:10" x14ac:dyDescent="0.35">
      <c r="J7327"/>
    </row>
    <row r="7328" spans="10:10" x14ac:dyDescent="0.35">
      <c r="J7328"/>
    </row>
    <row r="7329" spans="10:10" x14ac:dyDescent="0.35">
      <c r="J7329"/>
    </row>
    <row r="7330" spans="10:10" x14ac:dyDescent="0.35">
      <c r="J7330"/>
    </row>
    <row r="7331" spans="10:10" x14ac:dyDescent="0.35">
      <c r="J7331"/>
    </row>
    <row r="7332" spans="10:10" x14ac:dyDescent="0.35">
      <c r="J7332"/>
    </row>
    <row r="7333" spans="10:10" x14ac:dyDescent="0.35">
      <c r="J7333"/>
    </row>
    <row r="7334" spans="10:10" x14ac:dyDescent="0.35">
      <c r="J7334"/>
    </row>
    <row r="7335" spans="10:10" x14ac:dyDescent="0.35">
      <c r="J7335"/>
    </row>
    <row r="7336" spans="10:10" x14ac:dyDescent="0.35">
      <c r="J7336"/>
    </row>
    <row r="7337" spans="10:10" x14ac:dyDescent="0.35">
      <c r="J7337"/>
    </row>
    <row r="7338" spans="10:10" x14ac:dyDescent="0.35">
      <c r="J7338"/>
    </row>
    <row r="7339" spans="10:10" x14ac:dyDescent="0.35">
      <c r="J7339"/>
    </row>
    <row r="7340" spans="10:10" x14ac:dyDescent="0.35">
      <c r="J7340"/>
    </row>
    <row r="7341" spans="10:10" x14ac:dyDescent="0.35">
      <c r="J7341"/>
    </row>
    <row r="7342" spans="10:10" x14ac:dyDescent="0.35">
      <c r="J7342"/>
    </row>
    <row r="7343" spans="10:10" x14ac:dyDescent="0.35">
      <c r="J7343"/>
    </row>
    <row r="7344" spans="10:10" x14ac:dyDescent="0.35">
      <c r="J7344"/>
    </row>
    <row r="7345" spans="10:10" x14ac:dyDescent="0.35">
      <c r="J7345"/>
    </row>
    <row r="7346" spans="10:10" x14ac:dyDescent="0.35">
      <c r="J7346"/>
    </row>
    <row r="7347" spans="10:10" x14ac:dyDescent="0.35">
      <c r="J7347"/>
    </row>
    <row r="7348" spans="10:10" x14ac:dyDescent="0.35">
      <c r="J7348"/>
    </row>
    <row r="7349" spans="10:10" x14ac:dyDescent="0.35">
      <c r="J7349"/>
    </row>
    <row r="7350" spans="10:10" x14ac:dyDescent="0.35">
      <c r="J7350"/>
    </row>
    <row r="7351" spans="10:10" x14ac:dyDescent="0.35">
      <c r="J7351"/>
    </row>
    <row r="7352" spans="10:10" x14ac:dyDescent="0.35">
      <c r="J7352"/>
    </row>
    <row r="7353" spans="10:10" x14ac:dyDescent="0.35">
      <c r="J7353"/>
    </row>
    <row r="7354" spans="10:10" x14ac:dyDescent="0.35">
      <c r="J7354"/>
    </row>
    <row r="7355" spans="10:10" x14ac:dyDescent="0.35">
      <c r="J7355"/>
    </row>
    <row r="7356" spans="10:10" x14ac:dyDescent="0.35">
      <c r="J7356"/>
    </row>
    <row r="7357" spans="10:10" x14ac:dyDescent="0.35">
      <c r="J7357"/>
    </row>
    <row r="7358" spans="10:10" x14ac:dyDescent="0.35">
      <c r="J7358"/>
    </row>
    <row r="7359" spans="10:10" x14ac:dyDescent="0.35">
      <c r="J7359"/>
    </row>
    <row r="7360" spans="10:10" x14ac:dyDescent="0.35">
      <c r="J7360"/>
    </row>
    <row r="7361" spans="10:10" x14ac:dyDescent="0.35">
      <c r="J7361"/>
    </row>
    <row r="7362" spans="10:10" x14ac:dyDescent="0.35">
      <c r="J7362"/>
    </row>
    <row r="7363" spans="10:10" x14ac:dyDescent="0.35">
      <c r="J7363"/>
    </row>
    <row r="7364" spans="10:10" x14ac:dyDescent="0.35">
      <c r="J7364"/>
    </row>
    <row r="7365" spans="10:10" x14ac:dyDescent="0.35">
      <c r="J7365"/>
    </row>
    <row r="7366" spans="10:10" x14ac:dyDescent="0.35">
      <c r="J7366"/>
    </row>
    <row r="7367" spans="10:10" x14ac:dyDescent="0.35">
      <c r="J7367"/>
    </row>
    <row r="7368" spans="10:10" x14ac:dyDescent="0.35">
      <c r="J7368"/>
    </row>
    <row r="7369" spans="10:10" x14ac:dyDescent="0.35">
      <c r="J7369"/>
    </row>
    <row r="7370" spans="10:10" x14ac:dyDescent="0.35">
      <c r="J7370"/>
    </row>
    <row r="7371" spans="10:10" x14ac:dyDescent="0.35">
      <c r="J7371"/>
    </row>
    <row r="7372" spans="10:10" x14ac:dyDescent="0.35">
      <c r="J7372"/>
    </row>
    <row r="7373" spans="10:10" x14ac:dyDescent="0.35">
      <c r="J7373"/>
    </row>
    <row r="7374" spans="10:10" x14ac:dyDescent="0.35">
      <c r="J7374"/>
    </row>
    <row r="7375" spans="10:10" x14ac:dyDescent="0.35">
      <c r="J7375"/>
    </row>
    <row r="7376" spans="10:10" x14ac:dyDescent="0.35">
      <c r="J7376"/>
    </row>
    <row r="7377" spans="10:10" x14ac:dyDescent="0.35">
      <c r="J7377"/>
    </row>
    <row r="7378" spans="10:10" x14ac:dyDescent="0.35">
      <c r="J7378"/>
    </row>
    <row r="7379" spans="10:10" x14ac:dyDescent="0.35">
      <c r="J7379"/>
    </row>
    <row r="7380" spans="10:10" x14ac:dyDescent="0.35">
      <c r="J7380"/>
    </row>
    <row r="7381" spans="10:10" x14ac:dyDescent="0.35">
      <c r="J7381"/>
    </row>
    <row r="7382" spans="10:10" x14ac:dyDescent="0.35">
      <c r="J7382"/>
    </row>
    <row r="7383" spans="10:10" x14ac:dyDescent="0.35">
      <c r="J7383"/>
    </row>
    <row r="7384" spans="10:10" x14ac:dyDescent="0.35">
      <c r="J7384"/>
    </row>
    <row r="7385" spans="10:10" x14ac:dyDescent="0.35">
      <c r="J7385"/>
    </row>
    <row r="7386" spans="10:10" x14ac:dyDescent="0.35">
      <c r="J7386"/>
    </row>
    <row r="7387" spans="10:10" x14ac:dyDescent="0.35">
      <c r="J7387"/>
    </row>
    <row r="7388" spans="10:10" x14ac:dyDescent="0.35">
      <c r="J7388"/>
    </row>
    <row r="7389" spans="10:10" x14ac:dyDescent="0.35">
      <c r="J7389"/>
    </row>
    <row r="7390" spans="10:10" x14ac:dyDescent="0.35">
      <c r="J7390"/>
    </row>
    <row r="7391" spans="10:10" x14ac:dyDescent="0.35">
      <c r="J7391"/>
    </row>
    <row r="7392" spans="10:10" x14ac:dyDescent="0.35">
      <c r="J7392"/>
    </row>
    <row r="7393" spans="10:10" x14ac:dyDescent="0.35">
      <c r="J7393"/>
    </row>
    <row r="7394" spans="10:10" x14ac:dyDescent="0.35">
      <c r="J7394"/>
    </row>
    <row r="7395" spans="10:10" x14ac:dyDescent="0.35">
      <c r="J7395"/>
    </row>
    <row r="7396" spans="10:10" x14ac:dyDescent="0.35">
      <c r="J7396"/>
    </row>
    <row r="7397" spans="10:10" x14ac:dyDescent="0.35">
      <c r="J7397"/>
    </row>
    <row r="7398" spans="10:10" x14ac:dyDescent="0.35">
      <c r="J7398"/>
    </row>
    <row r="7399" spans="10:10" x14ac:dyDescent="0.35">
      <c r="J7399"/>
    </row>
    <row r="7400" spans="10:10" x14ac:dyDescent="0.35">
      <c r="J7400"/>
    </row>
    <row r="7401" spans="10:10" x14ac:dyDescent="0.35">
      <c r="J7401"/>
    </row>
    <row r="7402" spans="10:10" x14ac:dyDescent="0.35">
      <c r="J7402"/>
    </row>
    <row r="7403" spans="10:10" x14ac:dyDescent="0.35">
      <c r="J7403"/>
    </row>
    <row r="7404" spans="10:10" x14ac:dyDescent="0.35">
      <c r="J7404"/>
    </row>
    <row r="7405" spans="10:10" x14ac:dyDescent="0.35">
      <c r="J7405"/>
    </row>
    <row r="7406" spans="10:10" x14ac:dyDescent="0.35">
      <c r="J7406"/>
    </row>
    <row r="7407" spans="10:10" x14ac:dyDescent="0.35">
      <c r="J7407"/>
    </row>
    <row r="7408" spans="10:10" x14ac:dyDescent="0.35">
      <c r="J7408"/>
    </row>
    <row r="7409" spans="10:10" x14ac:dyDescent="0.35">
      <c r="J7409"/>
    </row>
    <row r="7410" spans="10:10" x14ac:dyDescent="0.35">
      <c r="J7410"/>
    </row>
    <row r="7411" spans="10:10" x14ac:dyDescent="0.35">
      <c r="J7411"/>
    </row>
    <row r="7412" spans="10:10" x14ac:dyDescent="0.35">
      <c r="J7412"/>
    </row>
    <row r="7413" spans="10:10" x14ac:dyDescent="0.35">
      <c r="J7413"/>
    </row>
    <row r="7414" spans="10:10" x14ac:dyDescent="0.35">
      <c r="J7414"/>
    </row>
    <row r="7415" spans="10:10" x14ac:dyDescent="0.35">
      <c r="J7415"/>
    </row>
    <row r="7416" spans="10:10" x14ac:dyDescent="0.35">
      <c r="J7416"/>
    </row>
    <row r="7417" spans="10:10" x14ac:dyDescent="0.35">
      <c r="J7417"/>
    </row>
    <row r="7418" spans="10:10" x14ac:dyDescent="0.35">
      <c r="J7418"/>
    </row>
    <row r="7419" spans="10:10" x14ac:dyDescent="0.35">
      <c r="J7419"/>
    </row>
    <row r="7420" spans="10:10" x14ac:dyDescent="0.35">
      <c r="J7420"/>
    </row>
    <row r="7421" spans="10:10" x14ac:dyDescent="0.35">
      <c r="J7421"/>
    </row>
    <row r="7422" spans="10:10" x14ac:dyDescent="0.35">
      <c r="J7422"/>
    </row>
    <row r="7423" spans="10:10" x14ac:dyDescent="0.35">
      <c r="J7423"/>
    </row>
    <row r="7424" spans="10:10" x14ac:dyDescent="0.35">
      <c r="J7424"/>
    </row>
    <row r="7425" spans="10:10" x14ac:dyDescent="0.35">
      <c r="J7425"/>
    </row>
    <row r="7426" spans="10:10" x14ac:dyDescent="0.35">
      <c r="J7426"/>
    </row>
    <row r="7427" spans="10:10" x14ac:dyDescent="0.35">
      <c r="J7427"/>
    </row>
    <row r="7428" spans="10:10" x14ac:dyDescent="0.35">
      <c r="J7428"/>
    </row>
    <row r="7429" spans="10:10" x14ac:dyDescent="0.35">
      <c r="J7429"/>
    </row>
    <row r="7430" spans="10:10" x14ac:dyDescent="0.35">
      <c r="J7430"/>
    </row>
    <row r="7431" spans="10:10" x14ac:dyDescent="0.35">
      <c r="J7431"/>
    </row>
    <row r="7432" spans="10:10" x14ac:dyDescent="0.35">
      <c r="J7432"/>
    </row>
    <row r="7433" spans="10:10" x14ac:dyDescent="0.35">
      <c r="J7433"/>
    </row>
    <row r="7434" spans="10:10" x14ac:dyDescent="0.35">
      <c r="J7434"/>
    </row>
    <row r="7435" spans="10:10" x14ac:dyDescent="0.35">
      <c r="J7435"/>
    </row>
    <row r="7436" spans="10:10" x14ac:dyDescent="0.35">
      <c r="J7436"/>
    </row>
    <row r="7437" spans="10:10" x14ac:dyDescent="0.35">
      <c r="J7437"/>
    </row>
    <row r="7438" spans="10:10" x14ac:dyDescent="0.35">
      <c r="J7438"/>
    </row>
    <row r="7439" spans="10:10" x14ac:dyDescent="0.35">
      <c r="J7439"/>
    </row>
    <row r="7440" spans="10:10" x14ac:dyDescent="0.35">
      <c r="J7440"/>
    </row>
    <row r="7441" spans="10:10" x14ac:dyDescent="0.35">
      <c r="J7441"/>
    </row>
    <row r="7442" spans="10:10" x14ac:dyDescent="0.35">
      <c r="J7442"/>
    </row>
    <row r="7443" spans="10:10" x14ac:dyDescent="0.35">
      <c r="J7443"/>
    </row>
    <row r="7444" spans="10:10" x14ac:dyDescent="0.35">
      <c r="J7444"/>
    </row>
    <row r="7445" spans="10:10" x14ac:dyDescent="0.35">
      <c r="J7445"/>
    </row>
    <row r="7446" spans="10:10" x14ac:dyDescent="0.35">
      <c r="J7446"/>
    </row>
    <row r="7447" spans="10:10" x14ac:dyDescent="0.35">
      <c r="J7447"/>
    </row>
    <row r="7448" spans="10:10" x14ac:dyDescent="0.35">
      <c r="J7448"/>
    </row>
    <row r="7449" spans="10:10" x14ac:dyDescent="0.35">
      <c r="J7449"/>
    </row>
    <row r="7450" spans="10:10" x14ac:dyDescent="0.35">
      <c r="J7450"/>
    </row>
    <row r="7451" spans="10:10" x14ac:dyDescent="0.35">
      <c r="J7451"/>
    </row>
    <row r="7452" spans="10:10" x14ac:dyDescent="0.35">
      <c r="J7452"/>
    </row>
    <row r="7453" spans="10:10" x14ac:dyDescent="0.35">
      <c r="J7453"/>
    </row>
    <row r="7454" spans="10:10" x14ac:dyDescent="0.35">
      <c r="J7454"/>
    </row>
    <row r="7455" spans="10:10" x14ac:dyDescent="0.35">
      <c r="J7455"/>
    </row>
    <row r="7456" spans="10:10" x14ac:dyDescent="0.35">
      <c r="J7456"/>
    </row>
    <row r="7457" spans="10:10" x14ac:dyDescent="0.35">
      <c r="J7457"/>
    </row>
    <row r="7458" spans="10:10" x14ac:dyDescent="0.35">
      <c r="J7458"/>
    </row>
    <row r="7459" spans="10:10" x14ac:dyDescent="0.35">
      <c r="J7459"/>
    </row>
    <row r="7460" spans="10:10" x14ac:dyDescent="0.35">
      <c r="J7460"/>
    </row>
    <row r="7461" spans="10:10" x14ac:dyDescent="0.35">
      <c r="J7461"/>
    </row>
    <row r="7462" spans="10:10" x14ac:dyDescent="0.35">
      <c r="J7462"/>
    </row>
    <row r="7463" spans="10:10" x14ac:dyDescent="0.35">
      <c r="J7463"/>
    </row>
    <row r="7464" spans="10:10" x14ac:dyDescent="0.35">
      <c r="J7464"/>
    </row>
    <row r="7465" spans="10:10" x14ac:dyDescent="0.35">
      <c r="J7465"/>
    </row>
    <row r="7466" spans="10:10" x14ac:dyDescent="0.35">
      <c r="J7466"/>
    </row>
    <row r="7467" spans="10:10" x14ac:dyDescent="0.35">
      <c r="J7467"/>
    </row>
    <row r="7468" spans="10:10" x14ac:dyDescent="0.35">
      <c r="J7468"/>
    </row>
    <row r="7469" spans="10:10" x14ac:dyDescent="0.35">
      <c r="J7469"/>
    </row>
    <row r="7470" spans="10:10" x14ac:dyDescent="0.35">
      <c r="J7470"/>
    </row>
    <row r="7471" spans="10:10" x14ac:dyDescent="0.35">
      <c r="J7471"/>
    </row>
    <row r="7472" spans="10:10" x14ac:dyDescent="0.35">
      <c r="J7472"/>
    </row>
    <row r="7473" spans="10:10" x14ac:dyDescent="0.35">
      <c r="J7473"/>
    </row>
    <row r="7474" spans="10:10" x14ac:dyDescent="0.35">
      <c r="J7474"/>
    </row>
    <row r="7475" spans="10:10" x14ac:dyDescent="0.35">
      <c r="J7475"/>
    </row>
    <row r="7476" spans="10:10" x14ac:dyDescent="0.35">
      <c r="J7476"/>
    </row>
    <row r="7477" spans="10:10" x14ac:dyDescent="0.35">
      <c r="J7477"/>
    </row>
    <row r="7478" spans="10:10" x14ac:dyDescent="0.35">
      <c r="J7478"/>
    </row>
    <row r="7479" spans="10:10" x14ac:dyDescent="0.35">
      <c r="J7479"/>
    </row>
    <row r="7480" spans="10:10" x14ac:dyDescent="0.35">
      <c r="J7480"/>
    </row>
    <row r="7481" spans="10:10" x14ac:dyDescent="0.35">
      <c r="J7481"/>
    </row>
    <row r="7482" spans="10:10" x14ac:dyDescent="0.35">
      <c r="J7482"/>
    </row>
    <row r="7483" spans="10:10" x14ac:dyDescent="0.35">
      <c r="J7483"/>
    </row>
    <row r="7484" spans="10:10" x14ac:dyDescent="0.35">
      <c r="J7484"/>
    </row>
    <row r="7485" spans="10:10" x14ac:dyDescent="0.35">
      <c r="J7485"/>
    </row>
    <row r="7486" spans="10:10" x14ac:dyDescent="0.35">
      <c r="J7486"/>
    </row>
    <row r="7487" spans="10:10" x14ac:dyDescent="0.35">
      <c r="J7487"/>
    </row>
    <row r="7488" spans="10:10" x14ac:dyDescent="0.35">
      <c r="J7488"/>
    </row>
    <row r="7489" spans="10:10" x14ac:dyDescent="0.35">
      <c r="J7489"/>
    </row>
    <row r="7490" spans="10:10" x14ac:dyDescent="0.35">
      <c r="J7490"/>
    </row>
    <row r="7491" spans="10:10" x14ac:dyDescent="0.35">
      <c r="J7491"/>
    </row>
    <row r="7492" spans="10:10" x14ac:dyDescent="0.35">
      <c r="J7492"/>
    </row>
    <row r="7493" spans="10:10" x14ac:dyDescent="0.35">
      <c r="J7493"/>
    </row>
    <row r="7494" spans="10:10" x14ac:dyDescent="0.35">
      <c r="J7494"/>
    </row>
    <row r="7495" spans="10:10" x14ac:dyDescent="0.35">
      <c r="J7495"/>
    </row>
    <row r="7496" spans="10:10" x14ac:dyDescent="0.35">
      <c r="J7496"/>
    </row>
    <row r="7497" spans="10:10" x14ac:dyDescent="0.35">
      <c r="J7497"/>
    </row>
    <row r="7498" spans="10:10" x14ac:dyDescent="0.35">
      <c r="J7498"/>
    </row>
    <row r="7499" spans="10:10" x14ac:dyDescent="0.35">
      <c r="J7499"/>
    </row>
    <row r="7500" spans="10:10" x14ac:dyDescent="0.35">
      <c r="J7500"/>
    </row>
    <row r="7501" spans="10:10" x14ac:dyDescent="0.35">
      <c r="J7501"/>
    </row>
    <row r="7502" spans="10:10" x14ac:dyDescent="0.35">
      <c r="J7502"/>
    </row>
    <row r="7503" spans="10:10" x14ac:dyDescent="0.35">
      <c r="J7503"/>
    </row>
    <row r="7504" spans="10:10" x14ac:dyDescent="0.35">
      <c r="J7504"/>
    </row>
    <row r="7505" spans="10:10" x14ac:dyDescent="0.35">
      <c r="J7505"/>
    </row>
    <row r="7506" spans="10:10" x14ac:dyDescent="0.35">
      <c r="J7506"/>
    </row>
    <row r="7507" spans="10:10" x14ac:dyDescent="0.35">
      <c r="J7507"/>
    </row>
    <row r="7508" spans="10:10" x14ac:dyDescent="0.35">
      <c r="J7508"/>
    </row>
    <row r="7509" spans="10:10" x14ac:dyDescent="0.35">
      <c r="J7509"/>
    </row>
    <row r="7510" spans="10:10" x14ac:dyDescent="0.35">
      <c r="J7510"/>
    </row>
    <row r="7511" spans="10:10" x14ac:dyDescent="0.35">
      <c r="J7511"/>
    </row>
    <row r="7512" spans="10:10" x14ac:dyDescent="0.35">
      <c r="J7512"/>
    </row>
    <row r="7513" spans="10:10" x14ac:dyDescent="0.35">
      <c r="J7513"/>
    </row>
    <row r="7514" spans="10:10" x14ac:dyDescent="0.35">
      <c r="J7514"/>
    </row>
    <row r="7515" spans="10:10" x14ac:dyDescent="0.35">
      <c r="J7515"/>
    </row>
    <row r="7516" spans="10:10" x14ac:dyDescent="0.35">
      <c r="J7516"/>
    </row>
    <row r="7517" spans="10:10" x14ac:dyDescent="0.35">
      <c r="J7517"/>
    </row>
    <row r="7518" spans="10:10" x14ac:dyDescent="0.35">
      <c r="J7518"/>
    </row>
    <row r="7519" spans="10:10" x14ac:dyDescent="0.35">
      <c r="J7519"/>
    </row>
    <row r="7520" spans="10:10" x14ac:dyDescent="0.35">
      <c r="J7520"/>
    </row>
    <row r="7521" spans="10:10" x14ac:dyDescent="0.35">
      <c r="J7521"/>
    </row>
    <row r="7522" spans="10:10" x14ac:dyDescent="0.35">
      <c r="J7522"/>
    </row>
    <row r="7523" spans="10:10" x14ac:dyDescent="0.35">
      <c r="J7523"/>
    </row>
    <row r="7524" spans="10:10" x14ac:dyDescent="0.35">
      <c r="J7524"/>
    </row>
    <row r="7525" spans="10:10" x14ac:dyDescent="0.35">
      <c r="J7525"/>
    </row>
    <row r="7526" spans="10:10" x14ac:dyDescent="0.35">
      <c r="J7526"/>
    </row>
    <row r="7527" spans="10:10" x14ac:dyDescent="0.35">
      <c r="J7527"/>
    </row>
    <row r="7528" spans="10:10" x14ac:dyDescent="0.35">
      <c r="J7528"/>
    </row>
    <row r="7529" spans="10:10" x14ac:dyDescent="0.35">
      <c r="J7529"/>
    </row>
    <row r="7530" spans="10:10" x14ac:dyDescent="0.35">
      <c r="J7530"/>
    </row>
    <row r="7531" spans="10:10" x14ac:dyDescent="0.35">
      <c r="J7531"/>
    </row>
    <row r="7532" spans="10:10" x14ac:dyDescent="0.35">
      <c r="J7532"/>
    </row>
    <row r="7533" spans="10:10" x14ac:dyDescent="0.35">
      <c r="J7533"/>
    </row>
    <row r="7534" spans="10:10" x14ac:dyDescent="0.35">
      <c r="J7534"/>
    </row>
    <row r="7535" spans="10:10" x14ac:dyDescent="0.35">
      <c r="J7535"/>
    </row>
    <row r="7536" spans="10:10" x14ac:dyDescent="0.35">
      <c r="J7536"/>
    </row>
    <row r="7537" spans="10:10" x14ac:dyDescent="0.35">
      <c r="J7537"/>
    </row>
    <row r="7538" spans="10:10" x14ac:dyDescent="0.35">
      <c r="J7538"/>
    </row>
    <row r="7539" spans="10:10" x14ac:dyDescent="0.35">
      <c r="J7539"/>
    </row>
    <row r="7540" spans="10:10" x14ac:dyDescent="0.35">
      <c r="J7540"/>
    </row>
    <row r="7541" spans="10:10" x14ac:dyDescent="0.35">
      <c r="J7541"/>
    </row>
    <row r="7542" spans="10:10" x14ac:dyDescent="0.35">
      <c r="J7542"/>
    </row>
    <row r="7543" spans="10:10" x14ac:dyDescent="0.35">
      <c r="J7543"/>
    </row>
    <row r="7544" spans="10:10" x14ac:dyDescent="0.35">
      <c r="J7544"/>
    </row>
    <row r="7545" spans="10:10" x14ac:dyDescent="0.35">
      <c r="J7545"/>
    </row>
    <row r="7546" spans="10:10" x14ac:dyDescent="0.35">
      <c r="J7546"/>
    </row>
    <row r="7547" spans="10:10" x14ac:dyDescent="0.35">
      <c r="J7547"/>
    </row>
    <row r="7548" spans="10:10" x14ac:dyDescent="0.35">
      <c r="J7548"/>
    </row>
    <row r="7549" spans="10:10" x14ac:dyDescent="0.35">
      <c r="J7549"/>
    </row>
    <row r="7550" spans="10:10" x14ac:dyDescent="0.35">
      <c r="J7550"/>
    </row>
    <row r="7551" spans="10:10" x14ac:dyDescent="0.35">
      <c r="J7551"/>
    </row>
    <row r="7552" spans="10:10" x14ac:dyDescent="0.35">
      <c r="J7552"/>
    </row>
    <row r="7553" spans="10:10" x14ac:dyDescent="0.35">
      <c r="J7553"/>
    </row>
    <row r="7554" spans="10:10" x14ac:dyDescent="0.35">
      <c r="J7554"/>
    </row>
    <row r="7555" spans="10:10" x14ac:dyDescent="0.35">
      <c r="J7555"/>
    </row>
    <row r="7556" spans="10:10" x14ac:dyDescent="0.35">
      <c r="J7556"/>
    </row>
    <row r="7557" spans="10:10" x14ac:dyDescent="0.35">
      <c r="J7557"/>
    </row>
    <row r="7558" spans="10:10" x14ac:dyDescent="0.35">
      <c r="J7558"/>
    </row>
    <row r="7559" spans="10:10" x14ac:dyDescent="0.35">
      <c r="J7559"/>
    </row>
    <row r="7560" spans="10:10" x14ac:dyDescent="0.35">
      <c r="J7560"/>
    </row>
    <row r="7561" spans="10:10" x14ac:dyDescent="0.35">
      <c r="J7561"/>
    </row>
    <row r="7562" spans="10:10" x14ac:dyDescent="0.35">
      <c r="J7562"/>
    </row>
    <row r="7563" spans="10:10" x14ac:dyDescent="0.35">
      <c r="J7563"/>
    </row>
    <row r="7564" spans="10:10" x14ac:dyDescent="0.35">
      <c r="J7564"/>
    </row>
    <row r="7565" spans="10:10" x14ac:dyDescent="0.35">
      <c r="J7565"/>
    </row>
    <row r="7566" spans="10:10" x14ac:dyDescent="0.35">
      <c r="J7566"/>
    </row>
    <row r="7567" spans="10:10" x14ac:dyDescent="0.35">
      <c r="J7567"/>
    </row>
    <row r="7568" spans="10:10" x14ac:dyDescent="0.35">
      <c r="J7568"/>
    </row>
    <row r="7569" spans="10:10" x14ac:dyDescent="0.35">
      <c r="J7569"/>
    </row>
    <row r="7570" spans="10:10" x14ac:dyDescent="0.35">
      <c r="J7570"/>
    </row>
    <row r="7571" spans="10:10" x14ac:dyDescent="0.35">
      <c r="J7571"/>
    </row>
    <row r="7572" spans="10:10" x14ac:dyDescent="0.35">
      <c r="J7572"/>
    </row>
    <row r="7573" spans="10:10" x14ac:dyDescent="0.35">
      <c r="J7573"/>
    </row>
    <row r="7574" spans="10:10" x14ac:dyDescent="0.35">
      <c r="J7574"/>
    </row>
    <row r="7575" spans="10:10" x14ac:dyDescent="0.35">
      <c r="J7575"/>
    </row>
    <row r="7576" spans="10:10" x14ac:dyDescent="0.35">
      <c r="J7576"/>
    </row>
    <row r="7577" spans="10:10" x14ac:dyDescent="0.35">
      <c r="J7577"/>
    </row>
    <row r="7578" spans="10:10" x14ac:dyDescent="0.35">
      <c r="J7578"/>
    </row>
    <row r="7579" spans="10:10" x14ac:dyDescent="0.35">
      <c r="J7579"/>
    </row>
    <row r="7580" spans="10:10" x14ac:dyDescent="0.35">
      <c r="J7580"/>
    </row>
    <row r="7581" spans="10:10" x14ac:dyDescent="0.35">
      <c r="J7581"/>
    </row>
    <row r="7582" spans="10:10" x14ac:dyDescent="0.35">
      <c r="J7582"/>
    </row>
    <row r="7583" spans="10:10" x14ac:dyDescent="0.35">
      <c r="J7583"/>
    </row>
    <row r="7584" spans="10:10" x14ac:dyDescent="0.35">
      <c r="J7584"/>
    </row>
    <row r="7585" spans="10:10" x14ac:dyDescent="0.35">
      <c r="J7585"/>
    </row>
    <row r="7586" spans="10:10" x14ac:dyDescent="0.35">
      <c r="J7586"/>
    </row>
    <row r="7587" spans="10:10" x14ac:dyDescent="0.35">
      <c r="J7587"/>
    </row>
    <row r="7588" spans="10:10" x14ac:dyDescent="0.35">
      <c r="J7588"/>
    </row>
    <row r="7589" spans="10:10" x14ac:dyDescent="0.35">
      <c r="J7589"/>
    </row>
    <row r="7590" spans="10:10" x14ac:dyDescent="0.35">
      <c r="J7590"/>
    </row>
    <row r="7591" spans="10:10" x14ac:dyDescent="0.35">
      <c r="J7591"/>
    </row>
    <row r="7592" spans="10:10" x14ac:dyDescent="0.35">
      <c r="J7592"/>
    </row>
    <row r="7593" spans="10:10" x14ac:dyDescent="0.35">
      <c r="J7593"/>
    </row>
    <row r="7594" spans="10:10" x14ac:dyDescent="0.35">
      <c r="J7594"/>
    </row>
    <row r="7595" spans="10:10" x14ac:dyDescent="0.35">
      <c r="J7595"/>
    </row>
    <row r="7596" spans="10:10" x14ac:dyDescent="0.35">
      <c r="J7596"/>
    </row>
    <row r="7597" spans="10:10" x14ac:dyDescent="0.35">
      <c r="J7597"/>
    </row>
    <row r="7598" spans="10:10" x14ac:dyDescent="0.35">
      <c r="J7598"/>
    </row>
    <row r="7599" spans="10:10" x14ac:dyDescent="0.35">
      <c r="J7599"/>
    </row>
    <row r="7600" spans="10:10" x14ac:dyDescent="0.35">
      <c r="J7600"/>
    </row>
    <row r="7601" spans="10:10" x14ac:dyDescent="0.35">
      <c r="J7601"/>
    </row>
    <row r="7602" spans="10:10" x14ac:dyDescent="0.35">
      <c r="J7602"/>
    </row>
    <row r="7603" spans="10:10" x14ac:dyDescent="0.35">
      <c r="J7603"/>
    </row>
    <row r="7604" spans="10:10" x14ac:dyDescent="0.35">
      <c r="J7604"/>
    </row>
    <row r="7605" spans="10:10" x14ac:dyDescent="0.35">
      <c r="J7605"/>
    </row>
    <row r="7606" spans="10:10" x14ac:dyDescent="0.35">
      <c r="J7606"/>
    </row>
    <row r="7607" spans="10:10" x14ac:dyDescent="0.35">
      <c r="J7607"/>
    </row>
    <row r="7608" spans="10:10" x14ac:dyDescent="0.35">
      <c r="J7608"/>
    </row>
    <row r="7609" spans="10:10" x14ac:dyDescent="0.35">
      <c r="J7609"/>
    </row>
    <row r="7610" spans="10:10" x14ac:dyDescent="0.35">
      <c r="J7610"/>
    </row>
    <row r="7611" spans="10:10" x14ac:dyDescent="0.35">
      <c r="J7611"/>
    </row>
    <row r="7612" spans="10:10" x14ac:dyDescent="0.35">
      <c r="J7612"/>
    </row>
    <row r="7613" spans="10:10" x14ac:dyDescent="0.35">
      <c r="J7613"/>
    </row>
    <row r="7614" spans="10:10" x14ac:dyDescent="0.35">
      <c r="J7614"/>
    </row>
    <row r="7615" spans="10:10" x14ac:dyDescent="0.35">
      <c r="J7615"/>
    </row>
    <row r="7616" spans="10:10" x14ac:dyDescent="0.35">
      <c r="J7616"/>
    </row>
    <row r="7617" spans="10:10" x14ac:dyDescent="0.35">
      <c r="J7617"/>
    </row>
    <row r="7618" spans="10:10" x14ac:dyDescent="0.35">
      <c r="J7618"/>
    </row>
    <row r="7619" spans="10:10" x14ac:dyDescent="0.35">
      <c r="J7619"/>
    </row>
    <row r="7620" spans="10:10" x14ac:dyDescent="0.35">
      <c r="J7620"/>
    </row>
    <row r="7621" spans="10:10" x14ac:dyDescent="0.35">
      <c r="J7621"/>
    </row>
    <row r="7622" spans="10:10" x14ac:dyDescent="0.35">
      <c r="J7622"/>
    </row>
    <row r="7623" spans="10:10" x14ac:dyDescent="0.35">
      <c r="J7623"/>
    </row>
    <row r="7624" spans="10:10" x14ac:dyDescent="0.35">
      <c r="J7624"/>
    </row>
    <row r="7625" spans="10:10" x14ac:dyDescent="0.35">
      <c r="J7625"/>
    </row>
    <row r="7626" spans="10:10" x14ac:dyDescent="0.35">
      <c r="J7626"/>
    </row>
    <row r="7627" spans="10:10" x14ac:dyDescent="0.35">
      <c r="J7627"/>
    </row>
    <row r="7628" spans="10:10" x14ac:dyDescent="0.35">
      <c r="J7628"/>
    </row>
    <row r="7629" spans="10:10" x14ac:dyDescent="0.35">
      <c r="J7629"/>
    </row>
    <row r="7630" spans="10:10" x14ac:dyDescent="0.35">
      <c r="J7630"/>
    </row>
    <row r="7631" spans="10:10" x14ac:dyDescent="0.35">
      <c r="J7631"/>
    </row>
    <row r="7632" spans="10:10" x14ac:dyDescent="0.35">
      <c r="J7632"/>
    </row>
    <row r="7633" spans="10:10" x14ac:dyDescent="0.35">
      <c r="J7633"/>
    </row>
    <row r="7634" spans="10:10" x14ac:dyDescent="0.35">
      <c r="J7634"/>
    </row>
    <row r="7635" spans="10:10" x14ac:dyDescent="0.35">
      <c r="J7635"/>
    </row>
    <row r="7636" spans="10:10" x14ac:dyDescent="0.35">
      <c r="J7636"/>
    </row>
    <row r="7637" spans="10:10" x14ac:dyDescent="0.35">
      <c r="J7637"/>
    </row>
    <row r="7638" spans="10:10" x14ac:dyDescent="0.35">
      <c r="J7638"/>
    </row>
    <row r="7639" spans="10:10" x14ac:dyDescent="0.35">
      <c r="J7639"/>
    </row>
    <row r="7640" spans="10:10" x14ac:dyDescent="0.35">
      <c r="J7640"/>
    </row>
    <row r="7641" spans="10:10" x14ac:dyDescent="0.35">
      <c r="J7641"/>
    </row>
    <row r="7642" spans="10:10" x14ac:dyDescent="0.35">
      <c r="J7642"/>
    </row>
    <row r="7643" spans="10:10" x14ac:dyDescent="0.35">
      <c r="J7643"/>
    </row>
    <row r="7644" spans="10:10" x14ac:dyDescent="0.35">
      <c r="J7644"/>
    </row>
    <row r="7645" spans="10:10" x14ac:dyDescent="0.35">
      <c r="J7645"/>
    </row>
    <row r="7646" spans="10:10" x14ac:dyDescent="0.35">
      <c r="J7646"/>
    </row>
    <row r="7647" spans="10:10" x14ac:dyDescent="0.35">
      <c r="J7647"/>
    </row>
    <row r="7648" spans="10:10" x14ac:dyDescent="0.35">
      <c r="J7648"/>
    </row>
    <row r="7649" spans="10:10" x14ac:dyDescent="0.35">
      <c r="J7649"/>
    </row>
    <row r="7650" spans="10:10" x14ac:dyDescent="0.35">
      <c r="J7650"/>
    </row>
    <row r="7651" spans="10:10" x14ac:dyDescent="0.35">
      <c r="J7651"/>
    </row>
    <row r="7652" spans="10:10" x14ac:dyDescent="0.35">
      <c r="J7652"/>
    </row>
    <row r="7653" spans="10:10" x14ac:dyDescent="0.35">
      <c r="J7653"/>
    </row>
    <row r="7654" spans="10:10" x14ac:dyDescent="0.35">
      <c r="J7654"/>
    </row>
    <row r="7655" spans="10:10" x14ac:dyDescent="0.35">
      <c r="J7655"/>
    </row>
    <row r="7656" spans="10:10" x14ac:dyDescent="0.35">
      <c r="J7656"/>
    </row>
    <row r="7657" spans="10:10" x14ac:dyDescent="0.35">
      <c r="J7657"/>
    </row>
    <row r="7658" spans="10:10" x14ac:dyDescent="0.35">
      <c r="J7658"/>
    </row>
    <row r="7659" spans="10:10" x14ac:dyDescent="0.35">
      <c r="J7659"/>
    </row>
    <row r="7660" spans="10:10" x14ac:dyDescent="0.35">
      <c r="J7660"/>
    </row>
    <row r="7661" spans="10:10" x14ac:dyDescent="0.35">
      <c r="J7661"/>
    </row>
    <row r="7662" spans="10:10" x14ac:dyDescent="0.35">
      <c r="J7662"/>
    </row>
    <row r="7663" spans="10:10" x14ac:dyDescent="0.35">
      <c r="J7663"/>
    </row>
    <row r="7664" spans="10:10" x14ac:dyDescent="0.35">
      <c r="J7664"/>
    </row>
    <row r="7665" spans="10:10" x14ac:dyDescent="0.35">
      <c r="J7665"/>
    </row>
    <row r="7666" spans="10:10" x14ac:dyDescent="0.35">
      <c r="J7666"/>
    </row>
    <row r="7667" spans="10:10" x14ac:dyDescent="0.35">
      <c r="J7667"/>
    </row>
    <row r="7668" spans="10:10" x14ac:dyDescent="0.35">
      <c r="J7668"/>
    </row>
    <row r="7669" spans="10:10" x14ac:dyDescent="0.35">
      <c r="J7669"/>
    </row>
    <row r="7670" spans="10:10" x14ac:dyDescent="0.35">
      <c r="J7670"/>
    </row>
    <row r="7671" spans="10:10" x14ac:dyDescent="0.35">
      <c r="J7671"/>
    </row>
    <row r="7672" spans="10:10" x14ac:dyDescent="0.35">
      <c r="J7672"/>
    </row>
    <row r="7673" spans="10:10" x14ac:dyDescent="0.35">
      <c r="J7673"/>
    </row>
    <row r="7674" spans="10:10" x14ac:dyDescent="0.35">
      <c r="J7674"/>
    </row>
    <row r="7675" spans="10:10" x14ac:dyDescent="0.35">
      <c r="J7675"/>
    </row>
    <row r="7676" spans="10:10" x14ac:dyDescent="0.35">
      <c r="J7676"/>
    </row>
    <row r="7677" spans="10:10" x14ac:dyDescent="0.35">
      <c r="J7677"/>
    </row>
    <row r="7678" spans="10:10" x14ac:dyDescent="0.35">
      <c r="J7678"/>
    </row>
    <row r="7679" spans="10:10" x14ac:dyDescent="0.35">
      <c r="J7679"/>
    </row>
    <row r="7680" spans="10:10" x14ac:dyDescent="0.35">
      <c r="J7680"/>
    </row>
    <row r="7681" spans="10:10" x14ac:dyDescent="0.35">
      <c r="J7681"/>
    </row>
    <row r="7682" spans="10:10" x14ac:dyDescent="0.35">
      <c r="J7682"/>
    </row>
    <row r="7683" spans="10:10" x14ac:dyDescent="0.35">
      <c r="J7683"/>
    </row>
    <row r="7684" spans="10:10" x14ac:dyDescent="0.35">
      <c r="J7684"/>
    </row>
    <row r="7685" spans="10:10" x14ac:dyDescent="0.35">
      <c r="J7685"/>
    </row>
    <row r="7686" spans="10:10" x14ac:dyDescent="0.35">
      <c r="J7686"/>
    </row>
    <row r="7687" spans="10:10" x14ac:dyDescent="0.35">
      <c r="J7687"/>
    </row>
    <row r="7688" spans="10:10" x14ac:dyDescent="0.35">
      <c r="J7688"/>
    </row>
    <row r="7689" spans="10:10" x14ac:dyDescent="0.35">
      <c r="J7689"/>
    </row>
    <row r="7690" spans="10:10" x14ac:dyDescent="0.35">
      <c r="J7690"/>
    </row>
    <row r="7691" spans="10:10" x14ac:dyDescent="0.35">
      <c r="J7691"/>
    </row>
    <row r="7692" spans="10:10" x14ac:dyDescent="0.35">
      <c r="J7692"/>
    </row>
    <row r="7693" spans="10:10" x14ac:dyDescent="0.35">
      <c r="J7693"/>
    </row>
    <row r="7694" spans="10:10" x14ac:dyDescent="0.35">
      <c r="J7694"/>
    </row>
    <row r="7695" spans="10:10" x14ac:dyDescent="0.35">
      <c r="J7695"/>
    </row>
    <row r="7696" spans="10:10" x14ac:dyDescent="0.35">
      <c r="J7696"/>
    </row>
    <row r="7697" spans="10:10" x14ac:dyDescent="0.35">
      <c r="J7697"/>
    </row>
    <row r="7698" spans="10:10" x14ac:dyDescent="0.35">
      <c r="J7698"/>
    </row>
    <row r="7699" spans="10:10" x14ac:dyDescent="0.35">
      <c r="J7699"/>
    </row>
    <row r="7700" spans="10:10" x14ac:dyDescent="0.35">
      <c r="J7700"/>
    </row>
    <row r="7701" spans="10:10" x14ac:dyDescent="0.35">
      <c r="J7701"/>
    </row>
    <row r="7702" spans="10:10" x14ac:dyDescent="0.35">
      <c r="J7702"/>
    </row>
    <row r="7703" spans="10:10" x14ac:dyDescent="0.35">
      <c r="J7703"/>
    </row>
    <row r="7704" spans="10:10" x14ac:dyDescent="0.35">
      <c r="J7704"/>
    </row>
    <row r="7705" spans="10:10" x14ac:dyDescent="0.35">
      <c r="J7705"/>
    </row>
    <row r="7706" spans="10:10" x14ac:dyDescent="0.35">
      <c r="J7706"/>
    </row>
    <row r="7707" spans="10:10" x14ac:dyDescent="0.35">
      <c r="J7707"/>
    </row>
    <row r="7708" spans="10:10" x14ac:dyDescent="0.35">
      <c r="J7708"/>
    </row>
    <row r="7709" spans="10:10" x14ac:dyDescent="0.35">
      <c r="J7709"/>
    </row>
    <row r="7710" spans="10:10" x14ac:dyDescent="0.35">
      <c r="J7710"/>
    </row>
    <row r="7711" spans="10:10" x14ac:dyDescent="0.35">
      <c r="J7711"/>
    </row>
    <row r="7712" spans="10:10" x14ac:dyDescent="0.35">
      <c r="J7712"/>
    </row>
    <row r="7713" spans="10:10" x14ac:dyDescent="0.35">
      <c r="J7713"/>
    </row>
    <row r="7714" spans="10:10" x14ac:dyDescent="0.35">
      <c r="J7714"/>
    </row>
    <row r="7715" spans="10:10" x14ac:dyDescent="0.35">
      <c r="J7715"/>
    </row>
    <row r="7716" spans="10:10" x14ac:dyDescent="0.35">
      <c r="J7716"/>
    </row>
    <row r="7717" spans="10:10" x14ac:dyDescent="0.35">
      <c r="J7717"/>
    </row>
    <row r="7718" spans="10:10" x14ac:dyDescent="0.35">
      <c r="J7718"/>
    </row>
    <row r="7719" spans="10:10" x14ac:dyDescent="0.35">
      <c r="J7719"/>
    </row>
    <row r="7720" spans="10:10" x14ac:dyDescent="0.35">
      <c r="J7720"/>
    </row>
    <row r="7721" spans="10:10" x14ac:dyDescent="0.35">
      <c r="J7721"/>
    </row>
    <row r="7722" spans="10:10" x14ac:dyDescent="0.35">
      <c r="J7722"/>
    </row>
    <row r="7723" spans="10:10" x14ac:dyDescent="0.35">
      <c r="J7723"/>
    </row>
    <row r="7724" spans="10:10" x14ac:dyDescent="0.35">
      <c r="J7724"/>
    </row>
    <row r="7725" spans="10:10" x14ac:dyDescent="0.35">
      <c r="J7725"/>
    </row>
    <row r="7726" spans="10:10" x14ac:dyDescent="0.35">
      <c r="J7726"/>
    </row>
    <row r="7727" spans="10:10" x14ac:dyDescent="0.35">
      <c r="J7727"/>
    </row>
    <row r="7728" spans="10:10" x14ac:dyDescent="0.35">
      <c r="J7728"/>
    </row>
    <row r="7729" spans="10:10" x14ac:dyDescent="0.35">
      <c r="J7729"/>
    </row>
    <row r="7730" spans="10:10" x14ac:dyDescent="0.35">
      <c r="J7730"/>
    </row>
    <row r="7731" spans="10:10" x14ac:dyDescent="0.35">
      <c r="J7731"/>
    </row>
    <row r="7732" spans="10:10" x14ac:dyDescent="0.35">
      <c r="J7732"/>
    </row>
    <row r="7733" spans="10:10" x14ac:dyDescent="0.35">
      <c r="J7733"/>
    </row>
    <row r="7734" spans="10:10" x14ac:dyDescent="0.35">
      <c r="J7734"/>
    </row>
    <row r="7735" spans="10:10" x14ac:dyDescent="0.35">
      <c r="J7735"/>
    </row>
    <row r="7736" spans="10:10" x14ac:dyDescent="0.35">
      <c r="J7736"/>
    </row>
    <row r="7737" spans="10:10" x14ac:dyDescent="0.35">
      <c r="J7737"/>
    </row>
    <row r="7738" spans="10:10" x14ac:dyDescent="0.35">
      <c r="J7738"/>
    </row>
    <row r="7739" spans="10:10" x14ac:dyDescent="0.35">
      <c r="J7739"/>
    </row>
    <row r="7740" spans="10:10" x14ac:dyDescent="0.35">
      <c r="J7740"/>
    </row>
    <row r="7741" spans="10:10" x14ac:dyDescent="0.35">
      <c r="J7741"/>
    </row>
    <row r="7742" spans="10:10" x14ac:dyDescent="0.35">
      <c r="J7742"/>
    </row>
    <row r="7743" spans="10:10" x14ac:dyDescent="0.35">
      <c r="J7743"/>
    </row>
    <row r="7744" spans="10:10" x14ac:dyDescent="0.35">
      <c r="J7744"/>
    </row>
    <row r="7745" spans="10:10" x14ac:dyDescent="0.35">
      <c r="J7745"/>
    </row>
    <row r="7746" spans="10:10" x14ac:dyDescent="0.35">
      <c r="J7746"/>
    </row>
    <row r="7747" spans="10:10" x14ac:dyDescent="0.35">
      <c r="J7747"/>
    </row>
    <row r="7748" spans="10:10" x14ac:dyDescent="0.35">
      <c r="J7748"/>
    </row>
    <row r="7749" spans="10:10" x14ac:dyDescent="0.35">
      <c r="J7749"/>
    </row>
    <row r="7750" spans="10:10" x14ac:dyDescent="0.35">
      <c r="J7750"/>
    </row>
    <row r="7751" spans="10:10" x14ac:dyDescent="0.35">
      <c r="J7751"/>
    </row>
    <row r="7752" spans="10:10" x14ac:dyDescent="0.35">
      <c r="J7752"/>
    </row>
    <row r="7753" spans="10:10" x14ac:dyDescent="0.35">
      <c r="J7753"/>
    </row>
    <row r="7754" spans="10:10" x14ac:dyDescent="0.35">
      <c r="J7754"/>
    </row>
    <row r="7755" spans="10:10" x14ac:dyDescent="0.35">
      <c r="J7755"/>
    </row>
    <row r="7756" spans="10:10" x14ac:dyDescent="0.35">
      <c r="J7756"/>
    </row>
    <row r="7757" spans="10:10" x14ac:dyDescent="0.35">
      <c r="J7757"/>
    </row>
    <row r="7758" spans="10:10" x14ac:dyDescent="0.35">
      <c r="J7758"/>
    </row>
    <row r="7759" spans="10:10" x14ac:dyDescent="0.35">
      <c r="J7759"/>
    </row>
    <row r="7760" spans="10:10" x14ac:dyDescent="0.35">
      <c r="J7760"/>
    </row>
    <row r="7761" spans="10:10" x14ac:dyDescent="0.35">
      <c r="J7761"/>
    </row>
    <row r="7762" spans="10:10" x14ac:dyDescent="0.35">
      <c r="J7762"/>
    </row>
    <row r="7763" spans="10:10" x14ac:dyDescent="0.35">
      <c r="J7763"/>
    </row>
    <row r="7764" spans="10:10" x14ac:dyDescent="0.35">
      <c r="J7764"/>
    </row>
    <row r="7765" spans="10:10" x14ac:dyDescent="0.35">
      <c r="J7765"/>
    </row>
    <row r="7766" spans="10:10" x14ac:dyDescent="0.35">
      <c r="J7766"/>
    </row>
    <row r="7767" spans="10:10" x14ac:dyDescent="0.35">
      <c r="J7767"/>
    </row>
    <row r="7768" spans="10:10" x14ac:dyDescent="0.35">
      <c r="J7768"/>
    </row>
    <row r="7769" spans="10:10" x14ac:dyDescent="0.35">
      <c r="J7769"/>
    </row>
    <row r="7770" spans="10:10" x14ac:dyDescent="0.35">
      <c r="J7770"/>
    </row>
    <row r="7771" spans="10:10" x14ac:dyDescent="0.35">
      <c r="J7771"/>
    </row>
    <row r="7772" spans="10:10" x14ac:dyDescent="0.35">
      <c r="J7772"/>
    </row>
    <row r="7773" spans="10:10" x14ac:dyDescent="0.35">
      <c r="J7773"/>
    </row>
    <row r="7774" spans="10:10" x14ac:dyDescent="0.35">
      <c r="J7774"/>
    </row>
    <row r="7775" spans="10:10" x14ac:dyDescent="0.35">
      <c r="J7775"/>
    </row>
    <row r="7776" spans="10:10" x14ac:dyDescent="0.35">
      <c r="J7776"/>
    </row>
    <row r="7777" spans="10:10" x14ac:dyDescent="0.35">
      <c r="J7777"/>
    </row>
    <row r="7778" spans="10:10" x14ac:dyDescent="0.35">
      <c r="J7778"/>
    </row>
    <row r="7779" spans="10:10" x14ac:dyDescent="0.35">
      <c r="J7779"/>
    </row>
    <row r="7780" spans="10:10" x14ac:dyDescent="0.35">
      <c r="J7780"/>
    </row>
    <row r="7781" spans="10:10" x14ac:dyDescent="0.35">
      <c r="J7781"/>
    </row>
    <row r="7782" spans="10:10" x14ac:dyDescent="0.35">
      <c r="J7782"/>
    </row>
    <row r="7783" spans="10:10" x14ac:dyDescent="0.35">
      <c r="J7783"/>
    </row>
    <row r="7784" spans="10:10" x14ac:dyDescent="0.35">
      <c r="J7784"/>
    </row>
    <row r="7785" spans="10:10" x14ac:dyDescent="0.35">
      <c r="J7785"/>
    </row>
    <row r="7786" spans="10:10" x14ac:dyDescent="0.35">
      <c r="J7786"/>
    </row>
    <row r="7787" spans="10:10" x14ac:dyDescent="0.35">
      <c r="J7787"/>
    </row>
    <row r="7788" spans="10:10" x14ac:dyDescent="0.35">
      <c r="J7788"/>
    </row>
    <row r="7789" spans="10:10" x14ac:dyDescent="0.35">
      <c r="J7789"/>
    </row>
    <row r="7790" spans="10:10" x14ac:dyDescent="0.35">
      <c r="J7790"/>
    </row>
    <row r="7791" spans="10:10" x14ac:dyDescent="0.35">
      <c r="J7791"/>
    </row>
    <row r="7792" spans="10:10" x14ac:dyDescent="0.35">
      <c r="J7792"/>
    </row>
    <row r="7793" spans="10:10" x14ac:dyDescent="0.35">
      <c r="J7793"/>
    </row>
    <row r="7794" spans="10:10" x14ac:dyDescent="0.35">
      <c r="J7794"/>
    </row>
    <row r="7795" spans="10:10" x14ac:dyDescent="0.35">
      <c r="J7795"/>
    </row>
    <row r="7796" spans="10:10" x14ac:dyDescent="0.35">
      <c r="J7796"/>
    </row>
    <row r="7797" spans="10:10" x14ac:dyDescent="0.35">
      <c r="J7797"/>
    </row>
    <row r="7798" spans="10:10" x14ac:dyDescent="0.35">
      <c r="J7798"/>
    </row>
    <row r="7799" spans="10:10" x14ac:dyDescent="0.35">
      <c r="J7799"/>
    </row>
    <row r="7800" spans="10:10" x14ac:dyDescent="0.35">
      <c r="J7800"/>
    </row>
    <row r="7801" spans="10:10" x14ac:dyDescent="0.35">
      <c r="J7801"/>
    </row>
    <row r="7802" spans="10:10" x14ac:dyDescent="0.35">
      <c r="J7802"/>
    </row>
    <row r="7803" spans="10:10" x14ac:dyDescent="0.35">
      <c r="J7803"/>
    </row>
    <row r="7804" spans="10:10" x14ac:dyDescent="0.35">
      <c r="J7804"/>
    </row>
    <row r="7805" spans="10:10" x14ac:dyDescent="0.35">
      <c r="J7805"/>
    </row>
    <row r="7806" spans="10:10" x14ac:dyDescent="0.35">
      <c r="J7806"/>
    </row>
    <row r="7807" spans="10:10" x14ac:dyDescent="0.35">
      <c r="J7807"/>
    </row>
    <row r="7808" spans="10:10" x14ac:dyDescent="0.35">
      <c r="J7808"/>
    </row>
    <row r="7809" spans="10:10" x14ac:dyDescent="0.35">
      <c r="J7809"/>
    </row>
    <row r="7810" spans="10:10" x14ac:dyDescent="0.35">
      <c r="J7810"/>
    </row>
    <row r="7811" spans="10:10" x14ac:dyDescent="0.35">
      <c r="J7811"/>
    </row>
    <row r="7812" spans="10:10" x14ac:dyDescent="0.35">
      <c r="J7812"/>
    </row>
    <row r="7813" spans="10:10" x14ac:dyDescent="0.35">
      <c r="J7813"/>
    </row>
    <row r="7814" spans="10:10" x14ac:dyDescent="0.35">
      <c r="J7814"/>
    </row>
    <row r="7815" spans="10:10" x14ac:dyDescent="0.35">
      <c r="J7815"/>
    </row>
    <row r="7816" spans="10:10" x14ac:dyDescent="0.35">
      <c r="J7816"/>
    </row>
    <row r="7817" spans="10:10" x14ac:dyDescent="0.35">
      <c r="J7817"/>
    </row>
    <row r="7818" spans="10:10" x14ac:dyDescent="0.35">
      <c r="J7818"/>
    </row>
    <row r="7819" spans="10:10" x14ac:dyDescent="0.35">
      <c r="J7819"/>
    </row>
    <row r="7820" spans="10:10" x14ac:dyDescent="0.35">
      <c r="J7820"/>
    </row>
    <row r="7821" spans="10:10" x14ac:dyDescent="0.35">
      <c r="J7821"/>
    </row>
    <row r="7822" spans="10:10" x14ac:dyDescent="0.35">
      <c r="J7822"/>
    </row>
    <row r="7823" spans="10:10" x14ac:dyDescent="0.35">
      <c r="J7823"/>
    </row>
    <row r="7824" spans="10:10" x14ac:dyDescent="0.35">
      <c r="J7824"/>
    </row>
    <row r="7825" spans="10:10" x14ac:dyDescent="0.35">
      <c r="J7825"/>
    </row>
    <row r="7826" spans="10:10" x14ac:dyDescent="0.35">
      <c r="J7826"/>
    </row>
    <row r="7827" spans="10:10" x14ac:dyDescent="0.35">
      <c r="J7827"/>
    </row>
    <row r="7828" spans="10:10" x14ac:dyDescent="0.35">
      <c r="J7828"/>
    </row>
    <row r="7829" spans="10:10" x14ac:dyDescent="0.35">
      <c r="J7829"/>
    </row>
    <row r="7830" spans="10:10" x14ac:dyDescent="0.35">
      <c r="J7830"/>
    </row>
    <row r="7831" spans="10:10" x14ac:dyDescent="0.35">
      <c r="J7831"/>
    </row>
    <row r="7832" spans="10:10" x14ac:dyDescent="0.35">
      <c r="J7832"/>
    </row>
    <row r="7833" spans="10:10" x14ac:dyDescent="0.35">
      <c r="J7833"/>
    </row>
    <row r="7834" spans="10:10" x14ac:dyDescent="0.35">
      <c r="J7834"/>
    </row>
    <row r="7835" spans="10:10" x14ac:dyDescent="0.35">
      <c r="J7835"/>
    </row>
    <row r="7836" spans="10:10" x14ac:dyDescent="0.35">
      <c r="J7836"/>
    </row>
    <row r="7837" spans="10:10" x14ac:dyDescent="0.35">
      <c r="J7837"/>
    </row>
    <row r="7838" spans="10:10" x14ac:dyDescent="0.35">
      <c r="J7838"/>
    </row>
    <row r="7839" spans="10:10" x14ac:dyDescent="0.35">
      <c r="J7839"/>
    </row>
    <row r="7840" spans="10:10" x14ac:dyDescent="0.35">
      <c r="J7840"/>
    </row>
    <row r="7841" spans="10:10" x14ac:dyDescent="0.35">
      <c r="J7841"/>
    </row>
    <row r="7842" spans="10:10" x14ac:dyDescent="0.35">
      <c r="J7842"/>
    </row>
    <row r="7843" spans="10:10" x14ac:dyDescent="0.35">
      <c r="J7843"/>
    </row>
    <row r="7844" spans="10:10" x14ac:dyDescent="0.35">
      <c r="J7844"/>
    </row>
    <row r="7845" spans="10:10" x14ac:dyDescent="0.35">
      <c r="J7845"/>
    </row>
    <row r="7846" spans="10:10" x14ac:dyDescent="0.35">
      <c r="J7846"/>
    </row>
    <row r="7847" spans="10:10" x14ac:dyDescent="0.35">
      <c r="J7847"/>
    </row>
    <row r="7848" spans="10:10" x14ac:dyDescent="0.35">
      <c r="J7848"/>
    </row>
    <row r="7849" spans="10:10" x14ac:dyDescent="0.35">
      <c r="J7849"/>
    </row>
    <row r="7850" spans="10:10" x14ac:dyDescent="0.35">
      <c r="J7850"/>
    </row>
    <row r="7851" spans="10:10" x14ac:dyDescent="0.35">
      <c r="J7851"/>
    </row>
    <row r="7852" spans="10:10" x14ac:dyDescent="0.35">
      <c r="J7852"/>
    </row>
    <row r="7853" spans="10:10" x14ac:dyDescent="0.35">
      <c r="J7853"/>
    </row>
    <row r="7854" spans="10:10" x14ac:dyDescent="0.35">
      <c r="J7854"/>
    </row>
    <row r="7855" spans="10:10" x14ac:dyDescent="0.35">
      <c r="J7855"/>
    </row>
    <row r="7856" spans="10:10" x14ac:dyDescent="0.35">
      <c r="J7856"/>
    </row>
    <row r="7857" spans="10:10" x14ac:dyDescent="0.35">
      <c r="J7857"/>
    </row>
    <row r="7858" spans="10:10" x14ac:dyDescent="0.35">
      <c r="J7858"/>
    </row>
    <row r="7859" spans="10:10" x14ac:dyDescent="0.35">
      <c r="J7859"/>
    </row>
    <row r="7860" spans="10:10" x14ac:dyDescent="0.35">
      <c r="J7860"/>
    </row>
    <row r="7861" spans="10:10" x14ac:dyDescent="0.35">
      <c r="J7861"/>
    </row>
    <row r="7862" spans="10:10" x14ac:dyDescent="0.35">
      <c r="J7862"/>
    </row>
    <row r="7863" spans="10:10" x14ac:dyDescent="0.35">
      <c r="J7863"/>
    </row>
    <row r="7864" spans="10:10" x14ac:dyDescent="0.35">
      <c r="J7864"/>
    </row>
    <row r="7865" spans="10:10" x14ac:dyDescent="0.35">
      <c r="J7865"/>
    </row>
    <row r="7866" spans="10:10" x14ac:dyDescent="0.35">
      <c r="J7866"/>
    </row>
    <row r="7867" spans="10:10" x14ac:dyDescent="0.35">
      <c r="J7867"/>
    </row>
    <row r="7868" spans="10:10" x14ac:dyDescent="0.35">
      <c r="J7868"/>
    </row>
    <row r="7869" spans="10:10" x14ac:dyDescent="0.35">
      <c r="J7869"/>
    </row>
    <row r="7870" spans="10:10" x14ac:dyDescent="0.35">
      <c r="J7870"/>
    </row>
    <row r="7871" spans="10:10" x14ac:dyDescent="0.35">
      <c r="J7871"/>
    </row>
    <row r="7872" spans="10:10" x14ac:dyDescent="0.35">
      <c r="J7872"/>
    </row>
    <row r="7873" spans="10:10" x14ac:dyDescent="0.35">
      <c r="J7873"/>
    </row>
    <row r="7874" spans="10:10" x14ac:dyDescent="0.35">
      <c r="J7874"/>
    </row>
    <row r="7875" spans="10:10" x14ac:dyDescent="0.35">
      <c r="J7875"/>
    </row>
    <row r="7876" spans="10:10" x14ac:dyDescent="0.35">
      <c r="J7876"/>
    </row>
    <row r="7877" spans="10:10" x14ac:dyDescent="0.35">
      <c r="J7877"/>
    </row>
    <row r="7878" spans="10:10" x14ac:dyDescent="0.35">
      <c r="J7878"/>
    </row>
    <row r="7879" spans="10:10" x14ac:dyDescent="0.35">
      <c r="J7879"/>
    </row>
    <row r="7880" spans="10:10" x14ac:dyDescent="0.35">
      <c r="J7880"/>
    </row>
    <row r="7881" spans="10:10" x14ac:dyDescent="0.35">
      <c r="J7881"/>
    </row>
    <row r="7882" spans="10:10" x14ac:dyDescent="0.35">
      <c r="J7882"/>
    </row>
    <row r="7883" spans="10:10" x14ac:dyDescent="0.35">
      <c r="J7883"/>
    </row>
    <row r="7884" spans="10:10" x14ac:dyDescent="0.35">
      <c r="J7884"/>
    </row>
    <row r="7885" spans="10:10" x14ac:dyDescent="0.35">
      <c r="J7885"/>
    </row>
    <row r="7886" spans="10:10" x14ac:dyDescent="0.35">
      <c r="J7886"/>
    </row>
    <row r="7887" spans="10:10" x14ac:dyDescent="0.35">
      <c r="J7887"/>
    </row>
    <row r="7888" spans="10:10" x14ac:dyDescent="0.35">
      <c r="J7888"/>
    </row>
    <row r="7889" spans="10:10" x14ac:dyDescent="0.35">
      <c r="J7889"/>
    </row>
    <row r="7890" spans="10:10" x14ac:dyDescent="0.35">
      <c r="J7890"/>
    </row>
    <row r="7891" spans="10:10" x14ac:dyDescent="0.35">
      <c r="J7891"/>
    </row>
    <row r="7892" spans="10:10" x14ac:dyDescent="0.35">
      <c r="J7892"/>
    </row>
    <row r="7893" spans="10:10" x14ac:dyDescent="0.35">
      <c r="J7893"/>
    </row>
    <row r="7894" spans="10:10" x14ac:dyDescent="0.35">
      <c r="J7894"/>
    </row>
    <row r="7895" spans="10:10" x14ac:dyDescent="0.35">
      <c r="J7895"/>
    </row>
    <row r="7896" spans="10:10" x14ac:dyDescent="0.35">
      <c r="J7896"/>
    </row>
    <row r="7897" spans="10:10" x14ac:dyDescent="0.35">
      <c r="J7897"/>
    </row>
    <row r="7898" spans="10:10" x14ac:dyDescent="0.35">
      <c r="J7898"/>
    </row>
    <row r="7899" spans="10:10" x14ac:dyDescent="0.35">
      <c r="J7899"/>
    </row>
    <row r="7900" spans="10:10" x14ac:dyDescent="0.35">
      <c r="J7900"/>
    </row>
    <row r="7901" spans="10:10" x14ac:dyDescent="0.35">
      <c r="J7901"/>
    </row>
    <row r="7902" spans="10:10" x14ac:dyDescent="0.35">
      <c r="J7902"/>
    </row>
    <row r="7903" spans="10:10" x14ac:dyDescent="0.35">
      <c r="J7903"/>
    </row>
    <row r="7904" spans="10:10" x14ac:dyDescent="0.35">
      <c r="J7904"/>
    </row>
    <row r="7905" spans="10:10" x14ac:dyDescent="0.35">
      <c r="J7905"/>
    </row>
    <row r="7906" spans="10:10" x14ac:dyDescent="0.35">
      <c r="J7906"/>
    </row>
    <row r="7907" spans="10:10" x14ac:dyDescent="0.35">
      <c r="J7907"/>
    </row>
    <row r="7908" spans="10:10" x14ac:dyDescent="0.35">
      <c r="J7908"/>
    </row>
    <row r="7909" spans="10:10" x14ac:dyDescent="0.35">
      <c r="J7909"/>
    </row>
    <row r="7910" spans="10:10" x14ac:dyDescent="0.35">
      <c r="J7910"/>
    </row>
    <row r="7911" spans="10:10" x14ac:dyDescent="0.35">
      <c r="J7911"/>
    </row>
    <row r="7912" spans="10:10" x14ac:dyDescent="0.35">
      <c r="J7912"/>
    </row>
    <row r="7913" spans="10:10" x14ac:dyDescent="0.35">
      <c r="J7913"/>
    </row>
    <row r="7914" spans="10:10" x14ac:dyDescent="0.35">
      <c r="J7914"/>
    </row>
    <row r="7915" spans="10:10" x14ac:dyDescent="0.35">
      <c r="J7915"/>
    </row>
    <row r="7916" spans="10:10" x14ac:dyDescent="0.35">
      <c r="J7916"/>
    </row>
    <row r="7917" spans="10:10" x14ac:dyDescent="0.35">
      <c r="J7917"/>
    </row>
    <row r="7918" spans="10:10" x14ac:dyDescent="0.35">
      <c r="J7918"/>
    </row>
    <row r="7919" spans="10:10" x14ac:dyDescent="0.35">
      <c r="J7919"/>
    </row>
    <row r="7920" spans="10:10" x14ac:dyDescent="0.35">
      <c r="J7920"/>
    </row>
    <row r="7921" spans="10:10" x14ac:dyDescent="0.35">
      <c r="J7921"/>
    </row>
    <row r="7922" spans="10:10" x14ac:dyDescent="0.35">
      <c r="J7922"/>
    </row>
    <row r="7923" spans="10:10" x14ac:dyDescent="0.35">
      <c r="J7923"/>
    </row>
    <row r="7924" spans="10:10" x14ac:dyDescent="0.35">
      <c r="J7924"/>
    </row>
    <row r="7925" spans="10:10" x14ac:dyDescent="0.35">
      <c r="J7925"/>
    </row>
    <row r="7926" spans="10:10" x14ac:dyDescent="0.35">
      <c r="J7926"/>
    </row>
    <row r="7927" spans="10:10" x14ac:dyDescent="0.35">
      <c r="J7927"/>
    </row>
    <row r="7928" spans="10:10" x14ac:dyDescent="0.35">
      <c r="J7928"/>
    </row>
    <row r="7929" spans="10:10" x14ac:dyDescent="0.35">
      <c r="J7929"/>
    </row>
    <row r="7930" spans="10:10" x14ac:dyDescent="0.35">
      <c r="J7930"/>
    </row>
    <row r="7931" spans="10:10" x14ac:dyDescent="0.35">
      <c r="J7931"/>
    </row>
    <row r="7932" spans="10:10" x14ac:dyDescent="0.35">
      <c r="J7932"/>
    </row>
    <row r="7933" spans="10:10" x14ac:dyDescent="0.35">
      <c r="J7933"/>
    </row>
    <row r="7934" spans="10:10" x14ac:dyDescent="0.35">
      <c r="J7934"/>
    </row>
    <row r="7935" spans="10:10" x14ac:dyDescent="0.35">
      <c r="J7935"/>
    </row>
    <row r="7936" spans="10:10" x14ac:dyDescent="0.35">
      <c r="J7936"/>
    </row>
    <row r="7937" spans="10:10" x14ac:dyDescent="0.35">
      <c r="J7937"/>
    </row>
    <row r="7938" spans="10:10" x14ac:dyDescent="0.35">
      <c r="J7938"/>
    </row>
    <row r="7939" spans="10:10" x14ac:dyDescent="0.35">
      <c r="J7939"/>
    </row>
    <row r="7940" spans="10:10" x14ac:dyDescent="0.35">
      <c r="J7940"/>
    </row>
    <row r="7941" spans="10:10" x14ac:dyDescent="0.35">
      <c r="J7941"/>
    </row>
    <row r="7942" spans="10:10" x14ac:dyDescent="0.35">
      <c r="J7942"/>
    </row>
    <row r="7943" spans="10:10" x14ac:dyDescent="0.35">
      <c r="J7943"/>
    </row>
    <row r="7944" spans="10:10" x14ac:dyDescent="0.35">
      <c r="J7944"/>
    </row>
    <row r="7945" spans="10:10" x14ac:dyDescent="0.35">
      <c r="J7945"/>
    </row>
    <row r="7946" spans="10:10" x14ac:dyDescent="0.35">
      <c r="J7946"/>
    </row>
    <row r="7947" spans="10:10" x14ac:dyDescent="0.35">
      <c r="J7947"/>
    </row>
    <row r="7948" spans="10:10" x14ac:dyDescent="0.35">
      <c r="J7948"/>
    </row>
    <row r="7949" spans="10:10" x14ac:dyDescent="0.35">
      <c r="J7949"/>
    </row>
    <row r="7950" spans="10:10" x14ac:dyDescent="0.35">
      <c r="J7950"/>
    </row>
    <row r="7951" spans="10:10" x14ac:dyDescent="0.35">
      <c r="J7951"/>
    </row>
    <row r="7952" spans="10:10" x14ac:dyDescent="0.35">
      <c r="J7952"/>
    </row>
    <row r="7953" spans="10:10" x14ac:dyDescent="0.35">
      <c r="J7953"/>
    </row>
    <row r="7954" spans="10:10" x14ac:dyDescent="0.35">
      <c r="J7954"/>
    </row>
    <row r="7955" spans="10:10" x14ac:dyDescent="0.35">
      <c r="J7955"/>
    </row>
    <row r="7956" spans="10:10" x14ac:dyDescent="0.35">
      <c r="J7956"/>
    </row>
    <row r="7957" spans="10:10" x14ac:dyDescent="0.35">
      <c r="J7957"/>
    </row>
    <row r="7958" spans="10:10" x14ac:dyDescent="0.35">
      <c r="J7958"/>
    </row>
    <row r="7959" spans="10:10" x14ac:dyDescent="0.35">
      <c r="J7959"/>
    </row>
    <row r="7960" spans="10:10" x14ac:dyDescent="0.35">
      <c r="J7960"/>
    </row>
    <row r="7961" spans="10:10" x14ac:dyDescent="0.35">
      <c r="J7961"/>
    </row>
    <row r="7962" spans="10:10" x14ac:dyDescent="0.35">
      <c r="J7962"/>
    </row>
    <row r="7963" spans="10:10" x14ac:dyDescent="0.35">
      <c r="J7963"/>
    </row>
    <row r="7964" spans="10:10" x14ac:dyDescent="0.35">
      <c r="J7964"/>
    </row>
    <row r="7965" spans="10:10" x14ac:dyDescent="0.35">
      <c r="J7965"/>
    </row>
    <row r="7966" spans="10:10" x14ac:dyDescent="0.35">
      <c r="J7966"/>
    </row>
    <row r="7967" spans="10:10" x14ac:dyDescent="0.35">
      <c r="J7967"/>
    </row>
    <row r="7968" spans="10:10" x14ac:dyDescent="0.35">
      <c r="J7968"/>
    </row>
    <row r="7969" spans="10:10" x14ac:dyDescent="0.35">
      <c r="J7969"/>
    </row>
    <row r="7970" spans="10:10" x14ac:dyDescent="0.35">
      <c r="J7970"/>
    </row>
    <row r="7971" spans="10:10" x14ac:dyDescent="0.35">
      <c r="J7971"/>
    </row>
    <row r="7972" spans="10:10" x14ac:dyDescent="0.35">
      <c r="J7972"/>
    </row>
    <row r="7973" spans="10:10" x14ac:dyDescent="0.35">
      <c r="J7973"/>
    </row>
    <row r="7974" spans="10:10" x14ac:dyDescent="0.35">
      <c r="J7974"/>
    </row>
    <row r="7975" spans="10:10" x14ac:dyDescent="0.35">
      <c r="J7975"/>
    </row>
    <row r="7976" spans="10:10" x14ac:dyDescent="0.35">
      <c r="J7976"/>
    </row>
    <row r="7977" spans="10:10" x14ac:dyDescent="0.35">
      <c r="J7977"/>
    </row>
    <row r="7978" spans="10:10" x14ac:dyDescent="0.35">
      <c r="J7978"/>
    </row>
    <row r="7979" spans="10:10" x14ac:dyDescent="0.35">
      <c r="J7979"/>
    </row>
    <row r="7980" spans="10:10" x14ac:dyDescent="0.35">
      <c r="J7980"/>
    </row>
    <row r="7981" spans="10:10" x14ac:dyDescent="0.35">
      <c r="J7981"/>
    </row>
    <row r="7982" spans="10:10" x14ac:dyDescent="0.35">
      <c r="J7982"/>
    </row>
    <row r="7983" spans="10:10" x14ac:dyDescent="0.35">
      <c r="J7983"/>
    </row>
    <row r="7984" spans="10:10" x14ac:dyDescent="0.35">
      <c r="J7984"/>
    </row>
    <row r="7985" spans="10:10" x14ac:dyDescent="0.35">
      <c r="J7985"/>
    </row>
    <row r="7986" spans="10:10" x14ac:dyDescent="0.35">
      <c r="J7986"/>
    </row>
    <row r="7987" spans="10:10" x14ac:dyDescent="0.35">
      <c r="J7987"/>
    </row>
    <row r="7988" spans="10:10" x14ac:dyDescent="0.35">
      <c r="J7988"/>
    </row>
    <row r="7989" spans="10:10" x14ac:dyDescent="0.35">
      <c r="J7989"/>
    </row>
    <row r="7990" spans="10:10" x14ac:dyDescent="0.35">
      <c r="J7990"/>
    </row>
    <row r="7991" spans="10:10" x14ac:dyDescent="0.35">
      <c r="J7991"/>
    </row>
    <row r="7992" spans="10:10" x14ac:dyDescent="0.35">
      <c r="J7992"/>
    </row>
    <row r="7993" spans="10:10" x14ac:dyDescent="0.35">
      <c r="J7993"/>
    </row>
    <row r="7994" spans="10:10" x14ac:dyDescent="0.35">
      <c r="J7994"/>
    </row>
    <row r="7995" spans="10:10" x14ac:dyDescent="0.35">
      <c r="J7995"/>
    </row>
    <row r="7996" spans="10:10" x14ac:dyDescent="0.35">
      <c r="J7996"/>
    </row>
    <row r="7997" spans="10:10" x14ac:dyDescent="0.35">
      <c r="J7997"/>
    </row>
    <row r="7998" spans="10:10" x14ac:dyDescent="0.35">
      <c r="J7998"/>
    </row>
    <row r="7999" spans="10:10" x14ac:dyDescent="0.35">
      <c r="J7999"/>
    </row>
    <row r="8000" spans="10:10" x14ac:dyDescent="0.35">
      <c r="J8000"/>
    </row>
    <row r="8001" spans="10:10" x14ac:dyDescent="0.35">
      <c r="J8001"/>
    </row>
    <row r="8002" spans="10:10" x14ac:dyDescent="0.35">
      <c r="J8002"/>
    </row>
    <row r="8003" spans="10:10" x14ac:dyDescent="0.35">
      <c r="J8003"/>
    </row>
    <row r="8004" spans="10:10" x14ac:dyDescent="0.35">
      <c r="J8004"/>
    </row>
    <row r="8005" spans="10:10" x14ac:dyDescent="0.35">
      <c r="J8005"/>
    </row>
    <row r="8006" spans="10:10" x14ac:dyDescent="0.35">
      <c r="J8006"/>
    </row>
    <row r="8007" spans="10:10" x14ac:dyDescent="0.35">
      <c r="J8007"/>
    </row>
    <row r="8008" spans="10:10" x14ac:dyDescent="0.35">
      <c r="J8008"/>
    </row>
    <row r="8009" spans="10:10" x14ac:dyDescent="0.35">
      <c r="J8009"/>
    </row>
    <row r="8010" spans="10:10" x14ac:dyDescent="0.35">
      <c r="J8010"/>
    </row>
    <row r="8011" spans="10:10" x14ac:dyDescent="0.35">
      <c r="J8011"/>
    </row>
    <row r="8012" spans="10:10" x14ac:dyDescent="0.35">
      <c r="J8012"/>
    </row>
    <row r="8013" spans="10:10" x14ac:dyDescent="0.35">
      <c r="J8013"/>
    </row>
    <row r="8014" spans="10:10" x14ac:dyDescent="0.35">
      <c r="J8014"/>
    </row>
    <row r="8015" spans="10:10" x14ac:dyDescent="0.35">
      <c r="J8015"/>
    </row>
    <row r="8016" spans="10:10" x14ac:dyDescent="0.35">
      <c r="J8016"/>
    </row>
    <row r="8017" spans="10:10" x14ac:dyDescent="0.35">
      <c r="J8017"/>
    </row>
    <row r="8018" spans="10:10" x14ac:dyDescent="0.35">
      <c r="J8018"/>
    </row>
    <row r="8019" spans="10:10" x14ac:dyDescent="0.35">
      <c r="J8019"/>
    </row>
    <row r="8020" spans="10:10" x14ac:dyDescent="0.35">
      <c r="J8020"/>
    </row>
    <row r="8021" spans="10:10" x14ac:dyDescent="0.35">
      <c r="J8021"/>
    </row>
    <row r="8022" spans="10:10" x14ac:dyDescent="0.35">
      <c r="J8022"/>
    </row>
    <row r="8023" spans="10:10" x14ac:dyDescent="0.35">
      <c r="J8023"/>
    </row>
    <row r="8024" spans="10:10" x14ac:dyDescent="0.35">
      <c r="J8024"/>
    </row>
    <row r="8025" spans="10:10" x14ac:dyDescent="0.35">
      <c r="J8025"/>
    </row>
    <row r="8026" spans="10:10" x14ac:dyDescent="0.35">
      <c r="J8026"/>
    </row>
    <row r="8027" spans="10:10" x14ac:dyDescent="0.35">
      <c r="J8027"/>
    </row>
    <row r="8028" spans="10:10" x14ac:dyDescent="0.35">
      <c r="J8028"/>
    </row>
    <row r="8029" spans="10:10" x14ac:dyDescent="0.35">
      <c r="J8029"/>
    </row>
    <row r="8030" spans="10:10" x14ac:dyDescent="0.35">
      <c r="J8030"/>
    </row>
    <row r="8031" spans="10:10" x14ac:dyDescent="0.35">
      <c r="J8031"/>
    </row>
    <row r="8032" spans="10:10" x14ac:dyDescent="0.35">
      <c r="J8032"/>
    </row>
    <row r="8033" spans="10:10" x14ac:dyDescent="0.35">
      <c r="J8033"/>
    </row>
    <row r="8034" spans="10:10" x14ac:dyDescent="0.35">
      <c r="J8034"/>
    </row>
    <row r="8035" spans="10:10" x14ac:dyDescent="0.35">
      <c r="J8035"/>
    </row>
    <row r="8036" spans="10:10" x14ac:dyDescent="0.35">
      <c r="J8036"/>
    </row>
    <row r="8037" spans="10:10" x14ac:dyDescent="0.35">
      <c r="J8037"/>
    </row>
    <row r="8038" spans="10:10" x14ac:dyDescent="0.35">
      <c r="J8038"/>
    </row>
    <row r="8039" spans="10:10" x14ac:dyDescent="0.35">
      <c r="J8039"/>
    </row>
    <row r="8040" spans="10:10" x14ac:dyDescent="0.35">
      <c r="J8040"/>
    </row>
    <row r="8041" spans="10:10" x14ac:dyDescent="0.35">
      <c r="J8041"/>
    </row>
    <row r="8042" spans="10:10" x14ac:dyDescent="0.35">
      <c r="J8042"/>
    </row>
    <row r="8043" spans="10:10" x14ac:dyDescent="0.35">
      <c r="J8043"/>
    </row>
    <row r="8044" spans="10:10" x14ac:dyDescent="0.35">
      <c r="J8044"/>
    </row>
    <row r="8045" spans="10:10" x14ac:dyDescent="0.35">
      <c r="J8045"/>
    </row>
    <row r="8046" spans="10:10" x14ac:dyDescent="0.35">
      <c r="J8046"/>
    </row>
    <row r="8047" spans="10:10" x14ac:dyDescent="0.35">
      <c r="J8047"/>
    </row>
    <row r="8048" spans="10:10" x14ac:dyDescent="0.35">
      <c r="J8048"/>
    </row>
    <row r="8049" spans="10:10" x14ac:dyDescent="0.35">
      <c r="J8049"/>
    </row>
    <row r="8050" spans="10:10" x14ac:dyDescent="0.35">
      <c r="J8050"/>
    </row>
    <row r="8051" spans="10:10" x14ac:dyDescent="0.35">
      <c r="J8051"/>
    </row>
    <row r="8052" spans="10:10" x14ac:dyDescent="0.35">
      <c r="J8052"/>
    </row>
    <row r="8053" spans="10:10" x14ac:dyDescent="0.35">
      <c r="J8053"/>
    </row>
    <row r="8054" spans="10:10" x14ac:dyDescent="0.35">
      <c r="J8054"/>
    </row>
    <row r="8055" spans="10:10" x14ac:dyDescent="0.35">
      <c r="J8055"/>
    </row>
    <row r="8056" spans="10:10" x14ac:dyDescent="0.35">
      <c r="J8056"/>
    </row>
    <row r="8057" spans="10:10" x14ac:dyDescent="0.35">
      <c r="J8057"/>
    </row>
    <row r="8058" spans="10:10" x14ac:dyDescent="0.35">
      <c r="J8058"/>
    </row>
    <row r="8059" spans="10:10" x14ac:dyDescent="0.35">
      <c r="J8059"/>
    </row>
    <row r="8060" spans="10:10" x14ac:dyDescent="0.35">
      <c r="J8060"/>
    </row>
    <row r="8061" spans="10:10" x14ac:dyDescent="0.35">
      <c r="J8061"/>
    </row>
    <row r="8062" spans="10:10" x14ac:dyDescent="0.35">
      <c r="J8062"/>
    </row>
    <row r="8063" spans="10:10" x14ac:dyDescent="0.35">
      <c r="J8063"/>
    </row>
    <row r="8064" spans="10:10" x14ac:dyDescent="0.35">
      <c r="J8064"/>
    </row>
    <row r="8065" spans="10:10" x14ac:dyDescent="0.35">
      <c r="J8065"/>
    </row>
    <row r="8066" spans="10:10" x14ac:dyDescent="0.35">
      <c r="J8066"/>
    </row>
    <row r="8067" spans="10:10" x14ac:dyDescent="0.35">
      <c r="J8067"/>
    </row>
    <row r="8068" spans="10:10" x14ac:dyDescent="0.35">
      <c r="J8068"/>
    </row>
    <row r="8069" spans="10:10" x14ac:dyDescent="0.35">
      <c r="J8069"/>
    </row>
    <row r="8070" spans="10:10" x14ac:dyDescent="0.35">
      <c r="J8070"/>
    </row>
    <row r="8071" spans="10:10" x14ac:dyDescent="0.35">
      <c r="J8071"/>
    </row>
    <row r="8072" spans="10:10" x14ac:dyDescent="0.35">
      <c r="J8072"/>
    </row>
    <row r="8073" spans="10:10" x14ac:dyDescent="0.35">
      <c r="J8073"/>
    </row>
    <row r="8074" spans="10:10" x14ac:dyDescent="0.35">
      <c r="J8074"/>
    </row>
    <row r="8075" spans="10:10" x14ac:dyDescent="0.35">
      <c r="J8075"/>
    </row>
    <row r="8076" spans="10:10" x14ac:dyDescent="0.35">
      <c r="J8076"/>
    </row>
    <row r="8077" spans="10:10" x14ac:dyDescent="0.35">
      <c r="J8077"/>
    </row>
    <row r="8078" spans="10:10" x14ac:dyDescent="0.35">
      <c r="J8078"/>
    </row>
    <row r="8079" spans="10:10" x14ac:dyDescent="0.35">
      <c r="J8079"/>
    </row>
    <row r="8080" spans="10:10" x14ac:dyDescent="0.35">
      <c r="J8080"/>
    </row>
    <row r="8081" spans="10:10" x14ac:dyDescent="0.35">
      <c r="J8081"/>
    </row>
    <row r="8082" spans="10:10" x14ac:dyDescent="0.35">
      <c r="J8082"/>
    </row>
    <row r="8083" spans="10:10" x14ac:dyDescent="0.35">
      <c r="J8083"/>
    </row>
    <row r="8084" spans="10:10" x14ac:dyDescent="0.35">
      <c r="J8084"/>
    </row>
    <row r="8085" spans="10:10" x14ac:dyDescent="0.35">
      <c r="J8085"/>
    </row>
    <row r="8086" spans="10:10" x14ac:dyDescent="0.35">
      <c r="J8086"/>
    </row>
    <row r="8087" spans="10:10" x14ac:dyDescent="0.35">
      <c r="J8087"/>
    </row>
    <row r="8088" spans="10:10" x14ac:dyDescent="0.35">
      <c r="J8088"/>
    </row>
    <row r="8089" spans="10:10" x14ac:dyDescent="0.35">
      <c r="J8089"/>
    </row>
    <row r="8090" spans="10:10" x14ac:dyDescent="0.35">
      <c r="J8090"/>
    </row>
    <row r="8091" spans="10:10" x14ac:dyDescent="0.35">
      <c r="J8091"/>
    </row>
    <row r="8092" spans="10:10" x14ac:dyDescent="0.35">
      <c r="J8092"/>
    </row>
    <row r="8093" spans="10:10" x14ac:dyDescent="0.35">
      <c r="J8093"/>
    </row>
    <row r="8094" spans="10:10" x14ac:dyDescent="0.35">
      <c r="J8094"/>
    </row>
    <row r="8095" spans="10:10" x14ac:dyDescent="0.35">
      <c r="J8095"/>
    </row>
    <row r="8096" spans="10:10" x14ac:dyDescent="0.35">
      <c r="J8096"/>
    </row>
    <row r="8097" spans="10:10" x14ac:dyDescent="0.35">
      <c r="J8097"/>
    </row>
    <row r="8098" spans="10:10" x14ac:dyDescent="0.35">
      <c r="J8098"/>
    </row>
    <row r="8099" spans="10:10" x14ac:dyDescent="0.35">
      <c r="J8099"/>
    </row>
    <row r="8100" spans="10:10" x14ac:dyDescent="0.35">
      <c r="J8100"/>
    </row>
    <row r="8101" spans="10:10" x14ac:dyDescent="0.35">
      <c r="J8101"/>
    </row>
    <row r="8102" spans="10:10" x14ac:dyDescent="0.35">
      <c r="J8102"/>
    </row>
    <row r="8103" spans="10:10" x14ac:dyDescent="0.35">
      <c r="J8103"/>
    </row>
    <row r="8104" spans="10:10" x14ac:dyDescent="0.35">
      <c r="J8104"/>
    </row>
    <row r="8105" spans="10:10" x14ac:dyDescent="0.35">
      <c r="J8105"/>
    </row>
    <row r="8106" spans="10:10" x14ac:dyDescent="0.35">
      <c r="J8106"/>
    </row>
    <row r="8107" spans="10:10" x14ac:dyDescent="0.35">
      <c r="J8107"/>
    </row>
    <row r="8108" spans="10:10" x14ac:dyDescent="0.35">
      <c r="J8108"/>
    </row>
    <row r="8109" spans="10:10" x14ac:dyDescent="0.35">
      <c r="J8109"/>
    </row>
    <row r="8110" spans="10:10" x14ac:dyDescent="0.35">
      <c r="J8110"/>
    </row>
    <row r="8111" spans="10:10" x14ac:dyDescent="0.35">
      <c r="J8111"/>
    </row>
    <row r="8112" spans="10:10" x14ac:dyDescent="0.35">
      <c r="J8112"/>
    </row>
    <row r="8113" spans="10:10" x14ac:dyDescent="0.35">
      <c r="J8113"/>
    </row>
    <row r="8114" spans="10:10" x14ac:dyDescent="0.35">
      <c r="J8114"/>
    </row>
    <row r="8115" spans="10:10" x14ac:dyDescent="0.35">
      <c r="J8115"/>
    </row>
    <row r="8116" spans="10:10" x14ac:dyDescent="0.35">
      <c r="J8116"/>
    </row>
    <row r="8117" spans="10:10" x14ac:dyDescent="0.35">
      <c r="J8117"/>
    </row>
    <row r="8118" spans="10:10" x14ac:dyDescent="0.35">
      <c r="J8118"/>
    </row>
    <row r="8119" spans="10:10" x14ac:dyDescent="0.35">
      <c r="J8119"/>
    </row>
    <row r="8120" spans="10:10" x14ac:dyDescent="0.35">
      <c r="J8120"/>
    </row>
    <row r="8121" spans="10:10" x14ac:dyDescent="0.35">
      <c r="J8121"/>
    </row>
    <row r="8122" spans="10:10" x14ac:dyDescent="0.35">
      <c r="J8122"/>
    </row>
    <row r="8123" spans="10:10" x14ac:dyDescent="0.35">
      <c r="J8123"/>
    </row>
    <row r="8124" spans="10:10" x14ac:dyDescent="0.35">
      <c r="J8124"/>
    </row>
    <row r="8125" spans="10:10" x14ac:dyDescent="0.35">
      <c r="J8125"/>
    </row>
    <row r="8126" spans="10:10" x14ac:dyDescent="0.35">
      <c r="J8126"/>
    </row>
    <row r="8127" spans="10:10" x14ac:dyDescent="0.35">
      <c r="J8127"/>
    </row>
    <row r="8128" spans="10:10" x14ac:dyDescent="0.35">
      <c r="J8128"/>
    </row>
    <row r="8129" spans="10:10" x14ac:dyDescent="0.35">
      <c r="J8129"/>
    </row>
    <row r="8130" spans="10:10" x14ac:dyDescent="0.35">
      <c r="J8130"/>
    </row>
    <row r="8131" spans="10:10" x14ac:dyDescent="0.35">
      <c r="J8131"/>
    </row>
    <row r="8132" spans="10:10" x14ac:dyDescent="0.35">
      <c r="J8132"/>
    </row>
    <row r="8133" spans="10:10" x14ac:dyDescent="0.35">
      <c r="J8133"/>
    </row>
    <row r="8134" spans="10:10" x14ac:dyDescent="0.35">
      <c r="J8134"/>
    </row>
    <row r="8135" spans="10:10" x14ac:dyDescent="0.35">
      <c r="J8135"/>
    </row>
    <row r="8136" spans="10:10" x14ac:dyDescent="0.35">
      <c r="J8136"/>
    </row>
    <row r="8137" spans="10:10" x14ac:dyDescent="0.35">
      <c r="J8137"/>
    </row>
    <row r="8138" spans="10:10" x14ac:dyDescent="0.35">
      <c r="J8138"/>
    </row>
    <row r="8139" spans="10:10" x14ac:dyDescent="0.35">
      <c r="J8139"/>
    </row>
    <row r="8140" spans="10:10" x14ac:dyDescent="0.35">
      <c r="J8140"/>
    </row>
    <row r="8141" spans="10:10" x14ac:dyDescent="0.35">
      <c r="J8141"/>
    </row>
    <row r="8142" spans="10:10" x14ac:dyDescent="0.35">
      <c r="J8142"/>
    </row>
    <row r="8143" spans="10:10" x14ac:dyDescent="0.35">
      <c r="J8143"/>
    </row>
    <row r="8144" spans="10:10" x14ac:dyDescent="0.35">
      <c r="J8144"/>
    </row>
    <row r="8145" spans="10:10" x14ac:dyDescent="0.35">
      <c r="J8145"/>
    </row>
    <row r="8146" spans="10:10" x14ac:dyDescent="0.35">
      <c r="J8146"/>
    </row>
    <row r="8147" spans="10:10" x14ac:dyDescent="0.35">
      <c r="J8147"/>
    </row>
    <row r="8148" spans="10:10" x14ac:dyDescent="0.35">
      <c r="J8148"/>
    </row>
    <row r="8149" spans="10:10" x14ac:dyDescent="0.35">
      <c r="J8149"/>
    </row>
    <row r="8150" spans="10:10" x14ac:dyDescent="0.35">
      <c r="J8150"/>
    </row>
    <row r="8151" spans="10:10" x14ac:dyDescent="0.35">
      <c r="J8151"/>
    </row>
    <row r="8152" spans="10:10" x14ac:dyDescent="0.35">
      <c r="J8152"/>
    </row>
    <row r="8153" spans="10:10" x14ac:dyDescent="0.35">
      <c r="J8153"/>
    </row>
    <row r="8154" spans="10:10" x14ac:dyDescent="0.35">
      <c r="J8154"/>
    </row>
    <row r="8155" spans="10:10" x14ac:dyDescent="0.35">
      <c r="J8155"/>
    </row>
    <row r="8156" spans="10:10" x14ac:dyDescent="0.35">
      <c r="J8156"/>
    </row>
    <row r="8157" spans="10:10" x14ac:dyDescent="0.35">
      <c r="J8157"/>
    </row>
    <row r="8158" spans="10:10" x14ac:dyDescent="0.35">
      <c r="J8158"/>
    </row>
    <row r="8159" spans="10:10" x14ac:dyDescent="0.35">
      <c r="J8159"/>
    </row>
    <row r="8160" spans="10:10" x14ac:dyDescent="0.35">
      <c r="J8160"/>
    </row>
    <row r="8161" spans="10:10" x14ac:dyDescent="0.35">
      <c r="J8161"/>
    </row>
    <row r="8162" spans="10:10" x14ac:dyDescent="0.35">
      <c r="J8162"/>
    </row>
    <row r="8163" spans="10:10" x14ac:dyDescent="0.35">
      <c r="J8163"/>
    </row>
    <row r="8164" spans="10:10" x14ac:dyDescent="0.35">
      <c r="J8164"/>
    </row>
    <row r="8165" spans="10:10" x14ac:dyDescent="0.35">
      <c r="J8165"/>
    </row>
    <row r="8166" spans="10:10" x14ac:dyDescent="0.35">
      <c r="J8166"/>
    </row>
    <row r="8167" spans="10:10" x14ac:dyDescent="0.35">
      <c r="J8167"/>
    </row>
    <row r="8168" spans="10:10" x14ac:dyDescent="0.35">
      <c r="J8168"/>
    </row>
    <row r="8169" spans="10:10" x14ac:dyDescent="0.35">
      <c r="J8169"/>
    </row>
    <row r="8170" spans="10:10" x14ac:dyDescent="0.35">
      <c r="J8170"/>
    </row>
    <row r="8171" spans="10:10" x14ac:dyDescent="0.35">
      <c r="J8171"/>
    </row>
    <row r="8172" spans="10:10" x14ac:dyDescent="0.35">
      <c r="J8172"/>
    </row>
    <row r="8173" spans="10:10" x14ac:dyDescent="0.35">
      <c r="J8173"/>
    </row>
    <row r="8174" spans="10:10" x14ac:dyDescent="0.35">
      <c r="J8174"/>
    </row>
    <row r="8175" spans="10:10" x14ac:dyDescent="0.35">
      <c r="J8175"/>
    </row>
    <row r="8176" spans="10:10" x14ac:dyDescent="0.35">
      <c r="J8176"/>
    </row>
    <row r="8177" spans="10:10" x14ac:dyDescent="0.35">
      <c r="J8177"/>
    </row>
    <row r="8178" spans="10:10" x14ac:dyDescent="0.35">
      <c r="J8178"/>
    </row>
    <row r="8179" spans="10:10" x14ac:dyDescent="0.35">
      <c r="J8179"/>
    </row>
    <row r="8180" spans="10:10" x14ac:dyDescent="0.35">
      <c r="J8180"/>
    </row>
    <row r="8181" spans="10:10" x14ac:dyDescent="0.35">
      <c r="J8181"/>
    </row>
    <row r="8182" spans="10:10" x14ac:dyDescent="0.35">
      <c r="J8182"/>
    </row>
    <row r="8183" spans="10:10" x14ac:dyDescent="0.35">
      <c r="J8183"/>
    </row>
    <row r="8184" spans="10:10" x14ac:dyDescent="0.35">
      <c r="J8184"/>
    </row>
    <row r="8185" spans="10:10" x14ac:dyDescent="0.35">
      <c r="J8185"/>
    </row>
    <row r="8186" spans="10:10" x14ac:dyDescent="0.35">
      <c r="J8186"/>
    </row>
    <row r="8187" spans="10:10" x14ac:dyDescent="0.35">
      <c r="J8187"/>
    </row>
    <row r="8188" spans="10:10" x14ac:dyDescent="0.35">
      <c r="J8188"/>
    </row>
    <row r="8189" spans="10:10" x14ac:dyDescent="0.35">
      <c r="J8189"/>
    </row>
    <row r="8190" spans="10:10" x14ac:dyDescent="0.35">
      <c r="J8190"/>
    </row>
    <row r="8191" spans="10:10" x14ac:dyDescent="0.35">
      <c r="J8191"/>
    </row>
    <row r="8192" spans="10:10" x14ac:dyDescent="0.35">
      <c r="J8192"/>
    </row>
    <row r="8193" spans="10:10" x14ac:dyDescent="0.35">
      <c r="J8193"/>
    </row>
    <row r="8194" spans="10:10" x14ac:dyDescent="0.35">
      <c r="J8194"/>
    </row>
    <row r="8195" spans="10:10" x14ac:dyDescent="0.35">
      <c r="J8195"/>
    </row>
    <row r="8196" spans="10:10" x14ac:dyDescent="0.35">
      <c r="J8196"/>
    </row>
    <row r="8197" spans="10:10" x14ac:dyDescent="0.35">
      <c r="J8197"/>
    </row>
    <row r="8198" spans="10:10" x14ac:dyDescent="0.35">
      <c r="J8198"/>
    </row>
    <row r="8199" spans="10:10" x14ac:dyDescent="0.35">
      <c r="J8199"/>
    </row>
    <row r="8200" spans="10:10" x14ac:dyDescent="0.35">
      <c r="J8200"/>
    </row>
    <row r="8201" spans="10:10" x14ac:dyDescent="0.35">
      <c r="J8201"/>
    </row>
    <row r="8202" spans="10:10" x14ac:dyDescent="0.35">
      <c r="J8202"/>
    </row>
    <row r="8203" spans="10:10" x14ac:dyDescent="0.35">
      <c r="J8203"/>
    </row>
    <row r="8204" spans="10:10" x14ac:dyDescent="0.35">
      <c r="J8204"/>
    </row>
    <row r="8205" spans="10:10" x14ac:dyDescent="0.35">
      <c r="J8205"/>
    </row>
    <row r="8206" spans="10:10" x14ac:dyDescent="0.35">
      <c r="J8206"/>
    </row>
    <row r="8207" spans="10:10" x14ac:dyDescent="0.35">
      <c r="J8207"/>
    </row>
    <row r="8208" spans="10:10" x14ac:dyDescent="0.35">
      <c r="J8208"/>
    </row>
    <row r="8209" spans="10:10" x14ac:dyDescent="0.35">
      <c r="J8209"/>
    </row>
    <row r="8210" spans="10:10" x14ac:dyDescent="0.35">
      <c r="J8210"/>
    </row>
    <row r="8211" spans="10:10" x14ac:dyDescent="0.35">
      <c r="J8211"/>
    </row>
    <row r="8212" spans="10:10" x14ac:dyDescent="0.35">
      <c r="J8212"/>
    </row>
    <row r="8213" spans="10:10" x14ac:dyDescent="0.35">
      <c r="J8213"/>
    </row>
    <row r="8214" spans="10:10" x14ac:dyDescent="0.35">
      <c r="J8214"/>
    </row>
    <row r="8215" spans="10:10" x14ac:dyDescent="0.35">
      <c r="J8215"/>
    </row>
    <row r="8216" spans="10:10" x14ac:dyDescent="0.35">
      <c r="J8216"/>
    </row>
    <row r="8217" spans="10:10" x14ac:dyDescent="0.35">
      <c r="J8217"/>
    </row>
    <row r="8218" spans="10:10" x14ac:dyDescent="0.35">
      <c r="J8218"/>
    </row>
    <row r="8219" spans="10:10" x14ac:dyDescent="0.35">
      <c r="J8219"/>
    </row>
    <row r="8220" spans="10:10" x14ac:dyDescent="0.35">
      <c r="J8220"/>
    </row>
    <row r="8221" spans="10:10" x14ac:dyDescent="0.35">
      <c r="J8221"/>
    </row>
    <row r="8222" spans="10:10" x14ac:dyDescent="0.35">
      <c r="J8222"/>
    </row>
    <row r="8223" spans="10:10" x14ac:dyDescent="0.35">
      <c r="J8223"/>
    </row>
    <row r="8224" spans="10:10" x14ac:dyDescent="0.35">
      <c r="J8224"/>
    </row>
    <row r="8225" spans="10:10" x14ac:dyDescent="0.35">
      <c r="J8225"/>
    </row>
    <row r="8226" spans="10:10" x14ac:dyDescent="0.35">
      <c r="J8226"/>
    </row>
    <row r="8227" spans="10:10" x14ac:dyDescent="0.35">
      <c r="J8227"/>
    </row>
    <row r="8228" spans="10:10" x14ac:dyDescent="0.35">
      <c r="J8228"/>
    </row>
    <row r="8229" spans="10:10" x14ac:dyDescent="0.35">
      <c r="J8229"/>
    </row>
    <row r="8230" spans="10:10" x14ac:dyDescent="0.35">
      <c r="J8230"/>
    </row>
    <row r="8231" spans="10:10" x14ac:dyDescent="0.35">
      <c r="J8231"/>
    </row>
    <row r="8232" spans="10:10" x14ac:dyDescent="0.35">
      <c r="J8232"/>
    </row>
    <row r="8233" spans="10:10" x14ac:dyDescent="0.35">
      <c r="J8233"/>
    </row>
    <row r="8234" spans="10:10" x14ac:dyDescent="0.35">
      <c r="J8234"/>
    </row>
    <row r="8235" spans="10:10" x14ac:dyDescent="0.35">
      <c r="J8235"/>
    </row>
    <row r="8236" spans="10:10" x14ac:dyDescent="0.35">
      <c r="J8236"/>
    </row>
    <row r="8237" spans="10:10" x14ac:dyDescent="0.35">
      <c r="J8237"/>
    </row>
    <row r="8238" spans="10:10" x14ac:dyDescent="0.35">
      <c r="J8238"/>
    </row>
    <row r="8239" spans="10:10" x14ac:dyDescent="0.35">
      <c r="J8239"/>
    </row>
    <row r="8240" spans="10:10" x14ac:dyDescent="0.35">
      <c r="J8240"/>
    </row>
    <row r="8241" spans="10:10" x14ac:dyDescent="0.35">
      <c r="J8241"/>
    </row>
    <row r="8242" spans="10:10" x14ac:dyDescent="0.35">
      <c r="J8242"/>
    </row>
    <row r="8243" spans="10:10" x14ac:dyDescent="0.35">
      <c r="J8243"/>
    </row>
    <row r="8244" spans="10:10" x14ac:dyDescent="0.35">
      <c r="J8244"/>
    </row>
    <row r="8245" spans="10:10" x14ac:dyDescent="0.35">
      <c r="J8245"/>
    </row>
    <row r="8246" spans="10:10" x14ac:dyDescent="0.35">
      <c r="J8246"/>
    </row>
    <row r="8247" spans="10:10" x14ac:dyDescent="0.35">
      <c r="J8247"/>
    </row>
    <row r="8248" spans="10:10" x14ac:dyDescent="0.35">
      <c r="J8248"/>
    </row>
    <row r="8249" spans="10:10" x14ac:dyDescent="0.35">
      <c r="J8249"/>
    </row>
    <row r="8250" spans="10:10" x14ac:dyDescent="0.35">
      <c r="J8250"/>
    </row>
    <row r="8251" spans="10:10" x14ac:dyDescent="0.35">
      <c r="J8251"/>
    </row>
    <row r="8252" spans="10:10" x14ac:dyDescent="0.35">
      <c r="J8252"/>
    </row>
    <row r="8253" spans="10:10" x14ac:dyDescent="0.35">
      <c r="J8253"/>
    </row>
    <row r="8254" spans="10:10" x14ac:dyDescent="0.35">
      <c r="J8254"/>
    </row>
    <row r="8255" spans="10:10" x14ac:dyDescent="0.35">
      <c r="J8255"/>
    </row>
    <row r="8256" spans="10:10" x14ac:dyDescent="0.35">
      <c r="J8256"/>
    </row>
    <row r="8257" spans="10:10" x14ac:dyDescent="0.35">
      <c r="J8257"/>
    </row>
    <row r="8258" spans="10:10" x14ac:dyDescent="0.35">
      <c r="J8258"/>
    </row>
    <row r="8259" spans="10:10" x14ac:dyDescent="0.35">
      <c r="J8259"/>
    </row>
    <row r="8260" spans="10:10" x14ac:dyDescent="0.35">
      <c r="J8260"/>
    </row>
    <row r="8261" spans="10:10" x14ac:dyDescent="0.35">
      <c r="J8261"/>
    </row>
    <row r="8262" spans="10:10" x14ac:dyDescent="0.35">
      <c r="J8262"/>
    </row>
    <row r="8263" spans="10:10" x14ac:dyDescent="0.35">
      <c r="J8263"/>
    </row>
    <row r="8264" spans="10:10" x14ac:dyDescent="0.35">
      <c r="J8264"/>
    </row>
    <row r="8265" spans="10:10" x14ac:dyDescent="0.35">
      <c r="J8265"/>
    </row>
    <row r="8266" spans="10:10" x14ac:dyDescent="0.35">
      <c r="J8266"/>
    </row>
    <row r="8267" spans="10:10" x14ac:dyDescent="0.35">
      <c r="J8267"/>
    </row>
    <row r="8268" spans="10:10" x14ac:dyDescent="0.35">
      <c r="J8268"/>
    </row>
    <row r="8269" spans="10:10" x14ac:dyDescent="0.35">
      <c r="J8269"/>
    </row>
    <row r="8270" spans="10:10" x14ac:dyDescent="0.35">
      <c r="J8270"/>
    </row>
    <row r="8271" spans="10:10" x14ac:dyDescent="0.35">
      <c r="J8271"/>
    </row>
    <row r="8272" spans="10:10" x14ac:dyDescent="0.35">
      <c r="J8272"/>
    </row>
    <row r="8273" spans="10:10" x14ac:dyDescent="0.35">
      <c r="J8273"/>
    </row>
    <row r="8274" spans="10:10" x14ac:dyDescent="0.35">
      <c r="J8274"/>
    </row>
    <row r="8275" spans="10:10" x14ac:dyDescent="0.35">
      <c r="J8275"/>
    </row>
    <row r="8276" spans="10:10" x14ac:dyDescent="0.35">
      <c r="J8276"/>
    </row>
    <row r="8277" spans="10:10" x14ac:dyDescent="0.35">
      <c r="J8277"/>
    </row>
    <row r="8278" spans="10:10" x14ac:dyDescent="0.35">
      <c r="J8278"/>
    </row>
    <row r="8279" spans="10:10" x14ac:dyDescent="0.35">
      <c r="J8279"/>
    </row>
    <row r="8280" spans="10:10" x14ac:dyDescent="0.35">
      <c r="J8280"/>
    </row>
    <row r="8281" spans="10:10" x14ac:dyDescent="0.35">
      <c r="J8281"/>
    </row>
    <row r="8282" spans="10:10" x14ac:dyDescent="0.35">
      <c r="J8282"/>
    </row>
    <row r="8283" spans="10:10" x14ac:dyDescent="0.35">
      <c r="J8283"/>
    </row>
    <row r="8284" spans="10:10" x14ac:dyDescent="0.35">
      <c r="J8284"/>
    </row>
    <row r="8285" spans="10:10" x14ac:dyDescent="0.35">
      <c r="J8285"/>
    </row>
    <row r="8286" spans="10:10" x14ac:dyDescent="0.35">
      <c r="J8286"/>
    </row>
    <row r="8287" spans="10:10" x14ac:dyDescent="0.35">
      <c r="J8287"/>
    </row>
    <row r="8288" spans="10:10" x14ac:dyDescent="0.35">
      <c r="J8288"/>
    </row>
    <row r="8289" spans="10:10" x14ac:dyDescent="0.35">
      <c r="J8289"/>
    </row>
    <row r="8290" spans="10:10" x14ac:dyDescent="0.35">
      <c r="J8290"/>
    </row>
    <row r="8291" spans="10:10" x14ac:dyDescent="0.35">
      <c r="J8291"/>
    </row>
    <row r="8292" spans="10:10" x14ac:dyDescent="0.35">
      <c r="J8292"/>
    </row>
    <row r="8293" spans="10:10" x14ac:dyDescent="0.35">
      <c r="J8293"/>
    </row>
    <row r="8294" spans="10:10" x14ac:dyDescent="0.35">
      <c r="J8294"/>
    </row>
    <row r="8295" spans="10:10" x14ac:dyDescent="0.35">
      <c r="J8295"/>
    </row>
    <row r="8296" spans="10:10" x14ac:dyDescent="0.35">
      <c r="J8296"/>
    </row>
    <row r="8297" spans="10:10" x14ac:dyDescent="0.35">
      <c r="J8297"/>
    </row>
    <row r="8298" spans="10:10" x14ac:dyDescent="0.35">
      <c r="J8298"/>
    </row>
    <row r="8299" spans="10:10" x14ac:dyDescent="0.35">
      <c r="J8299"/>
    </row>
    <row r="8300" spans="10:10" x14ac:dyDescent="0.35">
      <c r="J8300"/>
    </row>
    <row r="8301" spans="10:10" x14ac:dyDescent="0.35">
      <c r="J8301"/>
    </row>
    <row r="8302" spans="10:10" x14ac:dyDescent="0.35">
      <c r="J8302"/>
    </row>
    <row r="8303" spans="10:10" x14ac:dyDescent="0.35">
      <c r="J8303"/>
    </row>
    <row r="8304" spans="10:10" x14ac:dyDescent="0.35">
      <c r="J8304"/>
    </row>
    <row r="8305" spans="10:10" x14ac:dyDescent="0.35">
      <c r="J8305"/>
    </row>
    <row r="8306" spans="10:10" x14ac:dyDescent="0.35">
      <c r="J8306"/>
    </row>
    <row r="8307" spans="10:10" x14ac:dyDescent="0.35">
      <c r="J8307"/>
    </row>
    <row r="8308" spans="10:10" x14ac:dyDescent="0.35">
      <c r="J8308"/>
    </row>
    <row r="8309" spans="10:10" x14ac:dyDescent="0.35">
      <c r="J8309"/>
    </row>
    <row r="8310" spans="10:10" x14ac:dyDescent="0.35">
      <c r="J8310"/>
    </row>
    <row r="8311" spans="10:10" x14ac:dyDescent="0.35">
      <c r="J8311"/>
    </row>
    <row r="8312" spans="10:10" x14ac:dyDescent="0.35">
      <c r="J8312"/>
    </row>
    <row r="8313" spans="10:10" x14ac:dyDescent="0.35">
      <c r="J8313"/>
    </row>
    <row r="8314" spans="10:10" x14ac:dyDescent="0.35">
      <c r="J8314"/>
    </row>
    <row r="8315" spans="10:10" x14ac:dyDescent="0.35">
      <c r="J8315"/>
    </row>
    <row r="8316" spans="10:10" x14ac:dyDescent="0.35">
      <c r="J8316"/>
    </row>
    <row r="8317" spans="10:10" x14ac:dyDescent="0.35">
      <c r="J8317"/>
    </row>
    <row r="8318" spans="10:10" x14ac:dyDescent="0.35">
      <c r="J8318"/>
    </row>
    <row r="8319" spans="10:10" x14ac:dyDescent="0.35">
      <c r="J8319"/>
    </row>
    <row r="8320" spans="10:10" x14ac:dyDescent="0.35">
      <c r="J8320"/>
    </row>
    <row r="8321" spans="10:10" x14ac:dyDescent="0.35">
      <c r="J8321"/>
    </row>
    <row r="8322" spans="10:10" x14ac:dyDescent="0.35">
      <c r="J8322"/>
    </row>
    <row r="8323" spans="10:10" x14ac:dyDescent="0.35">
      <c r="J8323"/>
    </row>
    <row r="8324" spans="10:10" x14ac:dyDescent="0.35">
      <c r="J8324"/>
    </row>
    <row r="8325" spans="10:10" x14ac:dyDescent="0.35">
      <c r="J8325"/>
    </row>
    <row r="8326" spans="10:10" x14ac:dyDescent="0.35">
      <c r="J8326"/>
    </row>
    <row r="8327" spans="10:10" x14ac:dyDescent="0.35">
      <c r="J8327"/>
    </row>
    <row r="8328" spans="10:10" x14ac:dyDescent="0.35">
      <c r="J8328"/>
    </row>
    <row r="8329" spans="10:10" x14ac:dyDescent="0.35">
      <c r="J8329"/>
    </row>
    <row r="8330" spans="10:10" x14ac:dyDescent="0.35">
      <c r="J8330"/>
    </row>
    <row r="8331" spans="10:10" x14ac:dyDescent="0.35">
      <c r="J8331"/>
    </row>
    <row r="8332" spans="10:10" x14ac:dyDescent="0.35">
      <c r="J8332"/>
    </row>
    <row r="8333" spans="10:10" x14ac:dyDescent="0.35">
      <c r="J8333"/>
    </row>
    <row r="8334" spans="10:10" x14ac:dyDescent="0.35">
      <c r="J8334"/>
    </row>
    <row r="8335" spans="10:10" x14ac:dyDescent="0.35">
      <c r="J8335"/>
    </row>
    <row r="8336" spans="10:10" x14ac:dyDescent="0.35">
      <c r="J8336"/>
    </row>
    <row r="8337" spans="10:10" x14ac:dyDescent="0.35">
      <c r="J8337"/>
    </row>
    <row r="8338" spans="10:10" x14ac:dyDescent="0.35">
      <c r="J8338"/>
    </row>
    <row r="8339" spans="10:10" x14ac:dyDescent="0.35">
      <c r="J8339"/>
    </row>
    <row r="8340" spans="10:10" x14ac:dyDescent="0.35">
      <c r="J8340"/>
    </row>
    <row r="8341" spans="10:10" x14ac:dyDescent="0.35">
      <c r="J8341"/>
    </row>
    <row r="8342" spans="10:10" x14ac:dyDescent="0.35">
      <c r="J8342"/>
    </row>
    <row r="8343" spans="10:10" x14ac:dyDescent="0.35">
      <c r="J8343"/>
    </row>
    <row r="8344" spans="10:10" x14ac:dyDescent="0.35">
      <c r="J8344"/>
    </row>
    <row r="8345" spans="10:10" x14ac:dyDescent="0.35">
      <c r="J8345"/>
    </row>
    <row r="8346" spans="10:10" x14ac:dyDescent="0.35">
      <c r="J8346"/>
    </row>
    <row r="8347" spans="10:10" x14ac:dyDescent="0.35">
      <c r="J8347"/>
    </row>
    <row r="8348" spans="10:10" x14ac:dyDescent="0.35">
      <c r="J8348"/>
    </row>
    <row r="8349" spans="10:10" x14ac:dyDescent="0.35">
      <c r="J8349"/>
    </row>
    <row r="8350" spans="10:10" x14ac:dyDescent="0.35">
      <c r="J8350"/>
    </row>
    <row r="8351" spans="10:10" x14ac:dyDescent="0.35">
      <c r="J8351"/>
    </row>
    <row r="8352" spans="10:10" x14ac:dyDescent="0.35">
      <c r="J8352"/>
    </row>
    <row r="8353" spans="10:10" x14ac:dyDescent="0.35">
      <c r="J8353"/>
    </row>
    <row r="8354" spans="10:10" x14ac:dyDescent="0.35">
      <c r="J8354"/>
    </row>
    <row r="8355" spans="10:10" x14ac:dyDescent="0.35">
      <c r="J8355"/>
    </row>
    <row r="8356" spans="10:10" x14ac:dyDescent="0.35">
      <c r="J8356"/>
    </row>
    <row r="8357" spans="10:10" x14ac:dyDescent="0.35">
      <c r="J8357"/>
    </row>
    <row r="8358" spans="10:10" x14ac:dyDescent="0.35">
      <c r="J8358"/>
    </row>
    <row r="8359" spans="10:10" x14ac:dyDescent="0.35">
      <c r="J8359"/>
    </row>
    <row r="8360" spans="10:10" x14ac:dyDescent="0.35">
      <c r="J8360"/>
    </row>
    <row r="8361" spans="10:10" x14ac:dyDescent="0.35">
      <c r="J8361"/>
    </row>
    <row r="8362" spans="10:10" x14ac:dyDescent="0.35">
      <c r="J8362"/>
    </row>
    <row r="8363" spans="10:10" x14ac:dyDescent="0.35">
      <c r="J8363"/>
    </row>
    <row r="8364" spans="10:10" x14ac:dyDescent="0.35">
      <c r="J8364"/>
    </row>
    <row r="8365" spans="10:10" x14ac:dyDescent="0.35">
      <c r="J8365"/>
    </row>
    <row r="8366" spans="10:10" x14ac:dyDescent="0.35">
      <c r="J8366"/>
    </row>
    <row r="8367" spans="10:10" x14ac:dyDescent="0.35">
      <c r="J8367"/>
    </row>
    <row r="8368" spans="10:10" x14ac:dyDescent="0.35">
      <c r="J8368"/>
    </row>
    <row r="8369" spans="10:10" x14ac:dyDescent="0.35">
      <c r="J8369"/>
    </row>
    <row r="8370" spans="10:10" x14ac:dyDescent="0.35">
      <c r="J8370"/>
    </row>
    <row r="8371" spans="10:10" x14ac:dyDescent="0.35">
      <c r="J8371"/>
    </row>
    <row r="8372" spans="10:10" x14ac:dyDescent="0.35">
      <c r="J8372"/>
    </row>
    <row r="8373" spans="10:10" x14ac:dyDescent="0.35">
      <c r="J8373"/>
    </row>
    <row r="8374" spans="10:10" x14ac:dyDescent="0.35">
      <c r="J8374"/>
    </row>
    <row r="8375" spans="10:10" x14ac:dyDescent="0.35">
      <c r="J8375"/>
    </row>
    <row r="8376" spans="10:10" x14ac:dyDescent="0.35">
      <c r="J8376"/>
    </row>
    <row r="8377" spans="10:10" x14ac:dyDescent="0.35">
      <c r="J8377"/>
    </row>
    <row r="8378" spans="10:10" x14ac:dyDescent="0.35">
      <c r="J8378"/>
    </row>
    <row r="8379" spans="10:10" x14ac:dyDescent="0.35">
      <c r="J8379"/>
    </row>
    <row r="8380" spans="10:10" x14ac:dyDescent="0.35">
      <c r="J8380"/>
    </row>
    <row r="8381" spans="10:10" x14ac:dyDescent="0.35">
      <c r="J8381"/>
    </row>
    <row r="8382" spans="10:10" x14ac:dyDescent="0.35">
      <c r="J8382"/>
    </row>
    <row r="8383" spans="10:10" x14ac:dyDescent="0.35">
      <c r="J8383"/>
    </row>
    <row r="8384" spans="10:10" x14ac:dyDescent="0.35">
      <c r="J8384"/>
    </row>
    <row r="8385" spans="10:10" x14ac:dyDescent="0.35">
      <c r="J8385"/>
    </row>
    <row r="8386" spans="10:10" x14ac:dyDescent="0.35">
      <c r="J8386"/>
    </row>
    <row r="8387" spans="10:10" x14ac:dyDescent="0.35">
      <c r="J8387"/>
    </row>
    <row r="8388" spans="10:10" x14ac:dyDescent="0.35">
      <c r="J8388"/>
    </row>
    <row r="8389" spans="10:10" x14ac:dyDescent="0.35">
      <c r="J8389"/>
    </row>
    <row r="8390" spans="10:10" x14ac:dyDescent="0.35">
      <c r="J8390"/>
    </row>
    <row r="8391" spans="10:10" x14ac:dyDescent="0.35">
      <c r="J8391"/>
    </row>
    <row r="8392" spans="10:10" x14ac:dyDescent="0.35">
      <c r="J8392"/>
    </row>
    <row r="8393" spans="10:10" x14ac:dyDescent="0.35">
      <c r="J8393"/>
    </row>
    <row r="8394" spans="10:10" x14ac:dyDescent="0.35">
      <c r="J8394"/>
    </row>
    <row r="8395" spans="10:10" x14ac:dyDescent="0.35">
      <c r="J8395"/>
    </row>
    <row r="8396" spans="10:10" x14ac:dyDescent="0.35">
      <c r="J8396"/>
    </row>
    <row r="8397" spans="10:10" x14ac:dyDescent="0.35">
      <c r="J8397"/>
    </row>
    <row r="8398" spans="10:10" x14ac:dyDescent="0.35">
      <c r="J8398"/>
    </row>
    <row r="8399" spans="10:10" x14ac:dyDescent="0.35">
      <c r="J8399"/>
    </row>
    <row r="8400" spans="10:10" x14ac:dyDescent="0.35">
      <c r="J8400"/>
    </row>
    <row r="8401" spans="10:10" x14ac:dyDescent="0.35">
      <c r="J8401"/>
    </row>
    <row r="8402" spans="10:10" x14ac:dyDescent="0.35">
      <c r="J8402"/>
    </row>
    <row r="8403" spans="10:10" x14ac:dyDescent="0.35">
      <c r="J8403"/>
    </row>
    <row r="8404" spans="10:10" x14ac:dyDescent="0.35">
      <c r="J8404"/>
    </row>
    <row r="8405" spans="10:10" x14ac:dyDescent="0.35">
      <c r="J8405"/>
    </row>
    <row r="8406" spans="10:10" x14ac:dyDescent="0.35">
      <c r="J8406"/>
    </row>
    <row r="8407" spans="10:10" x14ac:dyDescent="0.35">
      <c r="J8407"/>
    </row>
    <row r="8408" spans="10:10" x14ac:dyDescent="0.35">
      <c r="J8408"/>
    </row>
    <row r="8409" spans="10:10" x14ac:dyDescent="0.35">
      <c r="J8409"/>
    </row>
    <row r="8410" spans="10:10" x14ac:dyDescent="0.35">
      <c r="J8410"/>
    </row>
    <row r="8411" spans="10:10" x14ac:dyDescent="0.35">
      <c r="J8411"/>
    </row>
    <row r="8412" spans="10:10" x14ac:dyDescent="0.35">
      <c r="J8412"/>
    </row>
    <row r="8413" spans="10:10" x14ac:dyDescent="0.35">
      <c r="J8413"/>
    </row>
    <row r="8414" spans="10:10" x14ac:dyDescent="0.35">
      <c r="J8414"/>
    </row>
    <row r="8415" spans="10:10" x14ac:dyDescent="0.35">
      <c r="J8415"/>
    </row>
    <row r="8416" spans="10:10" x14ac:dyDescent="0.35">
      <c r="J8416"/>
    </row>
    <row r="8417" spans="10:10" x14ac:dyDescent="0.35">
      <c r="J8417"/>
    </row>
    <row r="8418" spans="10:10" x14ac:dyDescent="0.35">
      <c r="J8418"/>
    </row>
    <row r="8419" spans="10:10" x14ac:dyDescent="0.35">
      <c r="J8419"/>
    </row>
    <row r="8420" spans="10:10" x14ac:dyDescent="0.35">
      <c r="J8420"/>
    </row>
    <row r="8421" spans="10:10" x14ac:dyDescent="0.35">
      <c r="J8421"/>
    </row>
    <row r="8422" spans="10:10" x14ac:dyDescent="0.35">
      <c r="J8422"/>
    </row>
    <row r="8423" spans="10:10" x14ac:dyDescent="0.35">
      <c r="J8423"/>
    </row>
    <row r="8424" spans="10:10" x14ac:dyDescent="0.35">
      <c r="J8424"/>
    </row>
    <row r="8425" spans="10:10" x14ac:dyDescent="0.35">
      <c r="J8425"/>
    </row>
    <row r="8426" spans="10:10" x14ac:dyDescent="0.35">
      <c r="J8426"/>
    </row>
    <row r="8427" spans="10:10" x14ac:dyDescent="0.35">
      <c r="J8427"/>
    </row>
    <row r="8428" spans="10:10" x14ac:dyDescent="0.35">
      <c r="J8428"/>
    </row>
    <row r="8429" spans="10:10" x14ac:dyDescent="0.35">
      <c r="J8429"/>
    </row>
    <row r="8430" spans="10:10" x14ac:dyDescent="0.35">
      <c r="J8430"/>
    </row>
    <row r="8431" spans="10:10" x14ac:dyDescent="0.35">
      <c r="J8431"/>
    </row>
    <row r="8432" spans="10:10" x14ac:dyDescent="0.35">
      <c r="J8432"/>
    </row>
    <row r="8433" spans="10:10" x14ac:dyDescent="0.35">
      <c r="J8433"/>
    </row>
    <row r="8434" spans="10:10" x14ac:dyDescent="0.35">
      <c r="J8434"/>
    </row>
    <row r="8435" spans="10:10" x14ac:dyDescent="0.35">
      <c r="J8435"/>
    </row>
    <row r="8436" spans="10:10" x14ac:dyDescent="0.35">
      <c r="J8436"/>
    </row>
    <row r="8437" spans="10:10" x14ac:dyDescent="0.35">
      <c r="J8437"/>
    </row>
    <row r="8438" spans="10:10" x14ac:dyDescent="0.35">
      <c r="J8438"/>
    </row>
    <row r="8439" spans="10:10" x14ac:dyDescent="0.35">
      <c r="J8439"/>
    </row>
    <row r="8440" spans="10:10" x14ac:dyDescent="0.35">
      <c r="J8440"/>
    </row>
    <row r="8441" spans="10:10" x14ac:dyDescent="0.35">
      <c r="J8441"/>
    </row>
    <row r="8442" spans="10:10" x14ac:dyDescent="0.35">
      <c r="J8442"/>
    </row>
    <row r="8443" spans="10:10" x14ac:dyDescent="0.35">
      <c r="J8443"/>
    </row>
    <row r="8444" spans="10:10" x14ac:dyDescent="0.35">
      <c r="J8444"/>
    </row>
    <row r="8445" spans="10:10" x14ac:dyDescent="0.35">
      <c r="J8445"/>
    </row>
    <row r="8446" spans="10:10" x14ac:dyDescent="0.35">
      <c r="J8446"/>
    </row>
    <row r="8447" spans="10:10" x14ac:dyDescent="0.35">
      <c r="J8447"/>
    </row>
    <row r="8448" spans="10:10" x14ac:dyDescent="0.35">
      <c r="J8448"/>
    </row>
    <row r="8449" spans="10:10" x14ac:dyDescent="0.35">
      <c r="J8449"/>
    </row>
    <row r="8450" spans="10:10" x14ac:dyDescent="0.35">
      <c r="J8450"/>
    </row>
    <row r="8451" spans="10:10" x14ac:dyDescent="0.35">
      <c r="J8451"/>
    </row>
    <row r="8452" spans="10:10" x14ac:dyDescent="0.35">
      <c r="J8452"/>
    </row>
    <row r="8453" spans="10:10" x14ac:dyDescent="0.35">
      <c r="J8453"/>
    </row>
    <row r="8454" spans="10:10" x14ac:dyDescent="0.35">
      <c r="J8454"/>
    </row>
    <row r="8455" spans="10:10" x14ac:dyDescent="0.35">
      <c r="J8455"/>
    </row>
    <row r="8456" spans="10:10" x14ac:dyDescent="0.35">
      <c r="J8456"/>
    </row>
    <row r="8457" spans="10:10" x14ac:dyDescent="0.35">
      <c r="J8457"/>
    </row>
    <row r="8458" spans="10:10" x14ac:dyDescent="0.35">
      <c r="J8458"/>
    </row>
    <row r="8459" spans="10:10" x14ac:dyDescent="0.35">
      <c r="J8459"/>
    </row>
    <row r="8460" spans="10:10" x14ac:dyDescent="0.35">
      <c r="J8460"/>
    </row>
    <row r="8461" spans="10:10" x14ac:dyDescent="0.35">
      <c r="J8461"/>
    </row>
    <row r="8462" spans="10:10" x14ac:dyDescent="0.35">
      <c r="J8462"/>
    </row>
    <row r="8463" spans="10:10" x14ac:dyDescent="0.35">
      <c r="J8463"/>
    </row>
    <row r="8464" spans="10:10" x14ac:dyDescent="0.35">
      <c r="J8464"/>
    </row>
    <row r="8465" spans="10:10" x14ac:dyDescent="0.35">
      <c r="J8465"/>
    </row>
    <row r="8466" spans="10:10" x14ac:dyDescent="0.35">
      <c r="J8466"/>
    </row>
    <row r="8467" spans="10:10" x14ac:dyDescent="0.35">
      <c r="J8467"/>
    </row>
    <row r="8468" spans="10:10" x14ac:dyDescent="0.35">
      <c r="J8468"/>
    </row>
    <row r="8469" spans="10:10" x14ac:dyDescent="0.35">
      <c r="J8469"/>
    </row>
    <row r="8470" spans="10:10" x14ac:dyDescent="0.35">
      <c r="J8470"/>
    </row>
    <row r="8471" spans="10:10" x14ac:dyDescent="0.35">
      <c r="J8471"/>
    </row>
    <row r="8472" spans="10:10" x14ac:dyDescent="0.35">
      <c r="J8472"/>
    </row>
    <row r="8473" spans="10:10" x14ac:dyDescent="0.35">
      <c r="J8473"/>
    </row>
    <row r="8474" spans="10:10" x14ac:dyDescent="0.35">
      <c r="J8474"/>
    </row>
    <row r="8475" spans="10:10" x14ac:dyDescent="0.35">
      <c r="J8475"/>
    </row>
    <row r="8476" spans="10:10" x14ac:dyDescent="0.35">
      <c r="J8476"/>
    </row>
    <row r="8477" spans="10:10" x14ac:dyDescent="0.35">
      <c r="J8477"/>
    </row>
    <row r="8478" spans="10:10" x14ac:dyDescent="0.35">
      <c r="J8478"/>
    </row>
    <row r="8479" spans="10:10" x14ac:dyDescent="0.35">
      <c r="J8479"/>
    </row>
    <row r="8480" spans="10:10" x14ac:dyDescent="0.35">
      <c r="J8480"/>
    </row>
    <row r="8481" spans="10:10" x14ac:dyDescent="0.35">
      <c r="J8481"/>
    </row>
    <row r="8482" spans="10:10" x14ac:dyDescent="0.35">
      <c r="J8482"/>
    </row>
    <row r="8483" spans="10:10" x14ac:dyDescent="0.35">
      <c r="J8483"/>
    </row>
    <row r="8484" spans="10:10" x14ac:dyDescent="0.35">
      <c r="J8484"/>
    </row>
    <row r="8485" spans="10:10" x14ac:dyDescent="0.35">
      <c r="J8485"/>
    </row>
    <row r="8486" spans="10:10" x14ac:dyDescent="0.35">
      <c r="J8486"/>
    </row>
    <row r="8487" spans="10:10" x14ac:dyDescent="0.35">
      <c r="J8487"/>
    </row>
    <row r="8488" spans="10:10" x14ac:dyDescent="0.35">
      <c r="J8488"/>
    </row>
    <row r="8489" spans="10:10" x14ac:dyDescent="0.35">
      <c r="J8489"/>
    </row>
    <row r="8490" spans="10:10" x14ac:dyDescent="0.35">
      <c r="J8490"/>
    </row>
    <row r="8491" spans="10:10" x14ac:dyDescent="0.35">
      <c r="J8491"/>
    </row>
    <row r="8492" spans="10:10" x14ac:dyDescent="0.35">
      <c r="J8492"/>
    </row>
    <row r="8493" spans="10:10" x14ac:dyDescent="0.35">
      <c r="J8493"/>
    </row>
    <row r="8494" spans="10:10" x14ac:dyDescent="0.35">
      <c r="J8494"/>
    </row>
    <row r="8495" spans="10:10" x14ac:dyDescent="0.35">
      <c r="J8495"/>
    </row>
    <row r="8496" spans="10:10" x14ac:dyDescent="0.35">
      <c r="J8496"/>
    </row>
    <row r="8497" spans="10:10" x14ac:dyDescent="0.35">
      <c r="J8497"/>
    </row>
    <row r="8498" spans="10:10" x14ac:dyDescent="0.35">
      <c r="J8498"/>
    </row>
    <row r="8499" spans="10:10" x14ac:dyDescent="0.35">
      <c r="J8499"/>
    </row>
    <row r="8500" spans="10:10" x14ac:dyDescent="0.35">
      <c r="J8500"/>
    </row>
    <row r="8501" spans="10:10" x14ac:dyDescent="0.35">
      <c r="J8501"/>
    </row>
    <row r="8502" spans="10:10" x14ac:dyDescent="0.35">
      <c r="J8502"/>
    </row>
    <row r="8503" spans="10:10" x14ac:dyDescent="0.35">
      <c r="J8503"/>
    </row>
    <row r="8504" spans="10:10" x14ac:dyDescent="0.35">
      <c r="J8504"/>
    </row>
    <row r="8505" spans="10:10" x14ac:dyDescent="0.35">
      <c r="J8505"/>
    </row>
    <row r="8506" spans="10:10" x14ac:dyDescent="0.35">
      <c r="J8506"/>
    </row>
    <row r="8507" spans="10:10" x14ac:dyDescent="0.35">
      <c r="J8507"/>
    </row>
    <row r="8508" spans="10:10" x14ac:dyDescent="0.35">
      <c r="J8508"/>
    </row>
    <row r="8509" spans="10:10" x14ac:dyDescent="0.35">
      <c r="J8509"/>
    </row>
    <row r="8510" spans="10:10" x14ac:dyDescent="0.35">
      <c r="J8510"/>
    </row>
    <row r="8511" spans="10:10" x14ac:dyDescent="0.35">
      <c r="J8511"/>
    </row>
    <row r="8512" spans="10:10" x14ac:dyDescent="0.35">
      <c r="J8512"/>
    </row>
    <row r="8513" spans="10:10" x14ac:dyDescent="0.35">
      <c r="J8513"/>
    </row>
    <row r="8514" spans="10:10" x14ac:dyDescent="0.35">
      <c r="J8514"/>
    </row>
    <row r="8515" spans="10:10" x14ac:dyDescent="0.35">
      <c r="J8515"/>
    </row>
    <row r="8516" spans="10:10" x14ac:dyDescent="0.35">
      <c r="J8516"/>
    </row>
    <row r="8517" spans="10:10" x14ac:dyDescent="0.35">
      <c r="J8517"/>
    </row>
    <row r="8518" spans="10:10" x14ac:dyDescent="0.35">
      <c r="J8518"/>
    </row>
    <row r="8519" spans="10:10" x14ac:dyDescent="0.35">
      <c r="J8519"/>
    </row>
    <row r="8520" spans="10:10" x14ac:dyDescent="0.35">
      <c r="J8520"/>
    </row>
    <row r="8521" spans="10:10" x14ac:dyDescent="0.35">
      <c r="J8521"/>
    </row>
    <row r="8522" spans="10:10" x14ac:dyDescent="0.35">
      <c r="J8522"/>
    </row>
    <row r="8523" spans="10:10" x14ac:dyDescent="0.35">
      <c r="J8523"/>
    </row>
    <row r="8524" spans="10:10" x14ac:dyDescent="0.35">
      <c r="J8524"/>
    </row>
    <row r="8525" spans="10:10" x14ac:dyDescent="0.35">
      <c r="J8525"/>
    </row>
    <row r="8526" spans="10:10" x14ac:dyDescent="0.35">
      <c r="J8526"/>
    </row>
    <row r="8527" spans="10:10" x14ac:dyDescent="0.35">
      <c r="J8527"/>
    </row>
    <row r="8528" spans="10:10" x14ac:dyDescent="0.35">
      <c r="J8528"/>
    </row>
    <row r="8529" spans="10:10" x14ac:dyDescent="0.35">
      <c r="J8529"/>
    </row>
    <row r="8530" spans="10:10" x14ac:dyDescent="0.35">
      <c r="J8530"/>
    </row>
    <row r="8531" spans="10:10" x14ac:dyDescent="0.35">
      <c r="J8531"/>
    </row>
    <row r="8532" spans="10:10" x14ac:dyDescent="0.35">
      <c r="J8532"/>
    </row>
    <row r="8533" spans="10:10" x14ac:dyDescent="0.35">
      <c r="J8533"/>
    </row>
    <row r="8534" spans="10:10" x14ac:dyDescent="0.35">
      <c r="J8534"/>
    </row>
    <row r="8535" spans="10:10" x14ac:dyDescent="0.35">
      <c r="J8535"/>
    </row>
    <row r="8536" spans="10:10" x14ac:dyDescent="0.35">
      <c r="J8536"/>
    </row>
    <row r="8537" spans="10:10" x14ac:dyDescent="0.35">
      <c r="J8537"/>
    </row>
    <row r="8538" spans="10:10" x14ac:dyDescent="0.35">
      <c r="J8538"/>
    </row>
    <row r="8539" spans="10:10" x14ac:dyDescent="0.35">
      <c r="J8539"/>
    </row>
    <row r="8540" spans="10:10" x14ac:dyDescent="0.35">
      <c r="J8540"/>
    </row>
    <row r="8541" spans="10:10" x14ac:dyDescent="0.35">
      <c r="J8541"/>
    </row>
    <row r="8542" spans="10:10" x14ac:dyDescent="0.35">
      <c r="J8542"/>
    </row>
    <row r="8543" spans="10:10" x14ac:dyDescent="0.35">
      <c r="J8543"/>
    </row>
    <row r="8544" spans="10:10" x14ac:dyDescent="0.35">
      <c r="J8544"/>
    </row>
    <row r="8545" spans="10:10" x14ac:dyDescent="0.35">
      <c r="J8545"/>
    </row>
    <row r="8546" spans="10:10" x14ac:dyDescent="0.35">
      <c r="J8546"/>
    </row>
    <row r="8547" spans="10:10" x14ac:dyDescent="0.35">
      <c r="J8547"/>
    </row>
    <row r="8548" spans="10:10" x14ac:dyDescent="0.35">
      <c r="J8548"/>
    </row>
    <row r="8549" spans="10:10" x14ac:dyDescent="0.35">
      <c r="J8549"/>
    </row>
    <row r="8550" spans="10:10" x14ac:dyDescent="0.35">
      <c r="J8550"/>
    </row>
    <row r="8551" spans="10:10" x14ac:dyDescent="0.35">
      <c r="J8551"/>
    </row>
    <row r="8552" spans="10:10" x14ac:dyDescent="0.35">
      <c r="J8552"/>
    </row>
    <row r="8553" spans="10:10" x14ac:dyDescent="0.35">
      <c r="J8553"/>
    </row>
    <row r="8554" spans="10:10" x14ac:dyDescent="0.35">
      <c r="J8554"/>
    </row>
    <row r="8555" spans="10:10" x14ac:dyDescent="0.35">
      <c r="J8555"/>
    </row>
    <row r="8556" spans="10:10" x14ac:dyDescent="0.35">
      <c r="J8556"/>
    </row>
    <row r="8557" spans="10:10" x14ac:dyDescent="0.35">
      <c r="J8557"/>
    </row>
    <row r="8558" spans="10:10" x14ac:dyDescent="0.35">
      <c r="J8558"/>
    </row>
    <row r="8559" spans="10:10" x14ac:dyDescent="0.35">
      <c r="J8559"/>
    </row>
    <row r="8560" spans="10:10" x14ac:dyDescent="0.35">
      <c r="J8560"/>
    </row>
    <row r="8561" spans="10:10" x14ac:dyDescent="0.35">
      <c r="J8561"/>
    </row>
    <row r="8562" spans="10:10" x14ac:dyDescent="0.35">
      <c r="J8562"/>
    </row>
    <row r="8563" spans="10:10" x14ac:dyDescent="0.35">
      <c r="J8563"/>
    </row>
    <row r="8564" spans="10:10" x14ac:dyDescent="0.35">
      <c r="J8564"/>
    </row>
    <row r="8565" spans="10:10" x14ac:dyDescent="0.35">
      <c r="J8565"/>
    </row>
    <row r="8566" spans="10:10" x14ac:dyDescent="0.35">
      <c r="J8566"/>
    </row>
    <row r="8567" spans="10:10" x14ac:dyDescent="0.35">
      <c r="J8567"/>
    </row>
    <row r="8568" spans="10:10" x14ac:dyDescent="0.35">
      <c r="J8568"/>
    </row>
    <row r="8569" spans="10:10" x14ac:dyDescent="0.35">
      <c r="J8569"/>
    </row>
    <row r="8570" spans="10:10" x14ac:dyDescent="0.35">
      <c r="J8570"/>
    </row>
    <row r="8571" spans="10:10" x14ac:dyDescent="0.35">
      <c r="J8571"/>
    </row>
    <row r="8572" spans="10:10" x14ac:dyDescent="0.35">
      <c r="J8572"/>
    </row>
    <row r="8573" spans="10:10" x14ac:dyDescent="0.35">
      <c r="J8573"/>
    </row>
    <row r="8574" spans="10:10" x14ac:dyDescent="0.35">
      <c r="J8574"/>
    </row>
    <row r="8575" spans="10:10" x14ac:dyDescent="0.35">
      <c r="J8575"/>
    </row>
    <row r="8576" spans="10:10" x14ac:dyDescent="0.35">
      <c r="J8576"/>
    </row>
    <row r="8577" spans="10:10" x14ac:dyDescent="0.35">
      <c r="J8577"/>
    </row>
    <row r="8578" spans="10:10" x14ac:dyDescent="0.35">
      <c r="J8578"/>
    </row>
    <row r="8579" spans="10:10" x14ac:dyDescent="0.35">
      <c r="J8579"/>
    </row>
    <row r="8580" spans="10:10" x14ac:dyDescent="0.35">
      <c r="J8580"/>
    </row>
    <row r="8581" spans="10:10" x14ac:dyDescent="0.35">
      <c r="J8581"/>
    </row>
    <row r="8582" spans="10:10" x14ac:dyDescent="0.35">
      <c r="J8582"/>
    </row>
    <row r="8583" spans="10:10" x14ac:dyDescent="0.35">
      <c r="J8583"/>
    </row>
    <row r="8584" spans="10:10" x14ac:dyDescent="0.35">
      <c r="J8584"/>
    </row>
    <row r="8585" spans="10:10" x14ac:dyDescent="0.35">
      <c r="J8585"/>
    </row>
    <row r="8586" spans="10:10" x14ac:dyDescent="0.35">
      <c r="J8586"/>
    </row>
    <row r="8587" spans="10:10" x14ac:dyDescent="0.35">
      <c r="J8587"/>
    </row>
    <row r="8588" spans="10:10" x14ac:dyDescent="0.35">
      <c r="J8588"/>
    </row>
    <row r="8589" spans="10:10" x14ac:dyDescent="0.35">
      <c r="J8589"/>
    </row>
    <row r="8590" spans="10:10" x14ac:dyDescent="0.35">
      <c r="J8590"/>
    </row>
    <row r="8591" spans="10:10" x14ac:dyDescent="0.35">
      <c r="J8591"/>
    </row>
    <row r="8592" spans="10:10" x14ac:dyDescent="0.35">
      <c r="J8592"/>
    </row>
    <row r="8593" spans="10:10" x14ac:dyDescent="0.35">
      <c r="J8593"/>
    </row>
    <row r="8594" spans="10:10" x14ac:dyDescent="0.35">
      <c r="J8594"/>
    </row>
    <row r="8595" spans="10:10" x14ac:dyDescent="0.35">
      <c r="J8595"/>
    </row>
    <row r="8596" spans="10:10" x14ac:dyDescent="0.35">
      <c r="J8596"/>
    </row>
    <row r="8597" spans="10:10" x14ac:dyDescent="0.35">
      <c r="J8597"/>
    </row>
    <row r="8598" spans="10:10" x14ac:dyDescent="0.35">
      <c r="J8598"/>
    </row>
    <row r="8599" spans="10:10" x14ac:dyDescent="0.35">
      <c r="J8599"/>
    </row>
    <row r="8600" spans="10:10" x14ac:dyDescent="0.35">
      <c r="J8600"/>
    </row>
    <row r="8601" spans="10:10" x14ac:dyDescent="0.35">
      <c r="J8601"/>
    </row>
    <row r="8602" spans="10:10" x14ac:dyDescent="0.35">
      <c r="J8602"/>
    </row>
    <row r="8603" spans="10:10" x14ac:dyDescent="0.35">
      <c r="J8603"/>
    </row>
    <row r="8604" spans="10:10" x14ac:dyDescent="0.35">
      <c r="J8604"/>
    </row>
    <row r="8605" spans="10:10" x14ac:dyDescent="0.35">
      <c r="J8605"/>
    </row>
    <row r="8606" spans="10:10" x14ac:dyDescent="0.35">
      <c r="J8606"/>
    </row>
    <row r="8607" spans="10:10" x14ac:dyDescent="0.35">
      <c r="J8607"/>
    </row>
    <row r="8608" spans="10:10" x14ac:dyDescent="0.35">
      <c r="J8608"/>
    </row>
    <row r="8609" spans="10:10" x14ac:dyDescent="0.35">
      <c r="J8609"/>
    </row>
    <row r="8610" spans="10:10" x14ac:dyDescent="0.35">
      <c r="J8610"/>
    </row>
    <row r="8611" spans="10:10" x14ac:dyDescent="0.35">
      <c r="J8611"/>
    </row>
    <row r="8612" spans="10:10" x14ac:dyDescent="0.35">
      <c r="J8612"/>
    </row>
    <row r="8613" spans="10:10" x14ac:dyDescent="0.35">
      <c r="J8613"/>
    </row>
    <row r="8614" spans="10:10" x14ac:dyDescent="0.35">
      <c r="J8614"/>
    </row>
    <row r="8615" spans="10:10" x14ac:dyDescent="0.35">
      <c r="J8615"/>
    </row>
    <row r="8616" spans="10:10" x14ac:dyDescent="0.35">
      <c r="J8616"/>
    </row>
    <row r="8617" spans="10:10" x14ac:dyDescent="0.35">
      <c r="J8617"/>
    </row>
    <row r="8618" spans="10:10" x14ac:dyDescent="0.35">
      <c r="J8618"/>
    </row>
    <row r="8619" spans="10:10" x14ac:dyDescent="0.35">
      <c r="J8619"/>
    </row>
    <row r="8620" spans="10:10" x14ac:dyDescent="0.35">
      <c r="J8620"/>
    </row>
    <row r="8621" spans="10:10" x14ac:dyDescent="0.35">
      <c r="J8621"/>
    </row>
    <row r="8622" spans="10:10" x14ac:dyDescent="0.35">
      <c r="J8622"/>
    </row>
    <row r="8623" spans="10:10" x14ac:dyDescent="0.35">
      <c r="J8623"/>
    </row>
    <row r="8624" spans="10:10" x14ac:dyDescent="0.35">
      <c r="J8624"/>
    </row>
    <row r="8625" spans="10:10" x14ac:dyDescent="0.35">
      <c r="J8625"/>
    </row>
    <row r="8626" spans="10:10" x14ac:dyDescent="0.35">
      <c r="J8626"/>
    </row>
    <row r="8627" spans="10:10" x14ac:dyDescent="0.35">
      <c r="J8627"/>
    </row>
    <row r="8628" spans="10:10" x14ac:dyDescent="0.35">
      <c r="J8628"/>
    </row>
    <row r="8629" spans="10:10" x14ac:dyDescent="0.35">
      <c r="J8629"/>
    </row>
    <row r="8630" spans="10:10" x14ac:dyDescent="0.35">
      <c r="J8630"/>
    </row>
    <row r="8631" spans="10:10" x14ac:dyDescent="0.35">
      <c r="J8631"/>
    </row>
    <row r="8632" spans="10:10" x14ac:dyDescent="0.35">
      <c r="J8632"/>
    </row>
    <row r="8633" spans="10:10" x14ac:dyDescent="0.35">
      <c r="J8633"/>
    </row>
    <row r="8634" spans="10:10" x14ac:dyDescent="0.35">
      <c r="J8634"/>
    </row>
    <row r="8635" spans="10:10" x14ac:dyDescent="0.35">
      <c r="J8635"/>
    </row>
    <row r="8636" spans="10:10" x14ac:dyDescent="0.35">
      <c r="J8636"/>
    </row>
    <row r="8637" spans="10:10" x14ac:dyDescent="0.35">
      <c r="J8637"/>
    </row>
    <row r="8638" spans="10:10" x14ac:dyDescent="0.35">
      <c r="J8638"/>
    </row>
    <row r="8639" spans="10:10" x14ac:dyDescent="0.35">
      <c r="J8639"/>
    </row>
    <row r="8640" spans="10:10" x14ac:dyDescent="0.35">
      <c r="J8640"/>
    </row>
    <row r="8641" spans="10:10" x14ac:dyDescent="0.35">
      <c r="J8641"/>
    </row>
    <row r="8642" spans="10:10" x14ac:dyDescent="0.35">
      <c r="J8642"/>
    </row>
    <row r="8643" spans="10:10" x14ac:dyDescent="0.35">
      <c r="J8643"/>
    </row>
    <row r="8644" spans="10:10" x14ac:dyDescent="0.35">
      <c r="J8644"/>
    </row>
    <row r="8645" spans="10:10" x14ac:dyDescent="0.35">
      <c r="J8645"/>
    </row>
    <row r="8646" spans="10:10" x14ac:dyDescent="0.35">
      <c r="J8646"/>
    </row>
    <row r="8647" spans="10:10" x14ac:dyDescent="0.35">
      <c r="J8647"/>
    </row>
    <row r="8648" spans="10:10" x14ac:dyDescent="0.35">
      <c r="J8648"/>
    </row>
    <row r="8649" spans="10:10" x14ac:dyDescent="0.35">
      <c r="J8649"/>
    </row>
    <row r="8650" spans="10:10" x14ac:dyDescent="0.35">
      <c r="J8650"/>
    </row>
    <row r="8651" spans="10:10" x14ac:dyDescent="0.35">
      <c r="J8651"/>
    </row>
    <row r="8652" spans="10:10" x14ac:dyDescent="0.35">
      <c r="J8652"/>
    </row>
    <row r="8653" spans="10:10" x14ac:dyDescent="0.35">
      <c r="J8653"/>
    </row>
    <row r="8654" spans="10:10" x14ac:dyDescent="0.35">
      <c r="J8654"/>
    </row>
    <row r="8655" spans="10:10" x14ac:dyDescent="0.35">
      <c r="J8655"/>
    </row>
    <row r="8656" spans="10:10" x14ac:dyDescent="0.35">
      <c r="J8656"/>
    </row>
    <row r="8657" spans="10:10" x14ac:dyDescent="0.35">
      <c r="J8657"/>
    </row>
    <row r="8658" spans="10:10" x14ac:dyDescent="0.35">
      <c r="J8658"/>
    </row>
    <row r="8659" spans="10:10" x14ac:dyDescent="0.35">
      <c r="J8659"/>
    </row>
    <row r="8660" spans="10:10" x14ac:dyDescent="0.35">
      <c r="J8660"/>
    </row>
    <row r="8661" spans="10:10" x14ac:dyDescent="0.35">
      <c r="J8661"/>
    </row>
    <row r="8662" spans="10:10" x14ac:dyDescent="0.35">
      <c r="J8662"/>
    </row>
    <row r="8663" spans="10:10" x14ac:dyDescent="0.35">
      <c r="J8663"/>
    </row>
    <row r="8664" spans="10:10" x14ac:dyDescent="0.35">
      <c r="J8664"/>
    </row>
    <row r="8665" spans="10:10" x14ac:dyDescent="0.35">
      <c r="J8665"/>
    </row>
    <row r="8666" spans="10:10" x14ac:dyDescent="0.35">
      <c r="J8666"/>
    </row>
    <row r="8667" spans="10:10" x14ac:dyDescent="0.35">
      <c r="J8667"/>
    </row>
    <row r="8668" spans="10:10" x14ac:dyDescent="0.35">
      <c r="J8668"/>
    </row>
    <row r="8669" spans="10:10" x14ac:dyDescent="0.35">
      <c r="J8669"/>
    </row>
    <row r="8670" spans="10:10" x14ac:dyDescent="0.35">
      <c r="J8670"/>
    </row>
    <row r="8671" spans="10:10" x14ac:dyDescent="0.35">
      <c r="J8671"/>
    </row>
    <row r="8672" spans="10:10" x14ac:dyDescent="0.35">
      <c r="J8672"/>
    </row>
    <row r="8673" spans="10:10" x14ac:dyDescent="0.35">
      <c r="J8673"/>
    </row>
    <row r="8674" spans="10:10" x14ac:dyDescent="0.35">
      <c r="J8674"/>
    </row>
    <row r="8675" spans="10:10" x14ac:dyDescent="0.35">
      <c r="J8675"/>
    </row>
    <row r="8676" spans="10:10" x14ac:dyDescent="0.35">
      <c r="J8676"/>
    </row>
    <row r="8677" spans="10:10" x14ac:dyDescent="0.35">
      <c r="J8677"/>
    </row>
    <row r="8678" spans="10:10" x14ac:dyDescent="0.35">
      <c r="J8678"/>
    </row>
    <row r="8679" spans="10:10" x14ac:dyDescent="0.35">
      <c r="J8679"/>
    </row>
    <row r="8680" spans="10:10" x14ac:dyDescent="0.35">
      <c r="J8680"/>
    </row>
    <row r="8681" spans="10:10" x14ac:dyDescent="0.35">
      <c r="J8681"/>
    </row>
    <row r="8682" spans="10:10" x14ac:dyDescent="0.35">
      <c r="J8682"/>
    </row>
    <row r="8683" spans="10:10" x14ac:dyDescent="0.35">
      <c r="J8683"/>
    </row>
    <row r="8684" spans="10:10" x14ac:dyDescent="0.35">
      <c r="J8684"/>
    </row>
    <row r="8685" spans="10:10" x14ac:dyDescent="0.35">
      <c r="J8685"/>
    </row>
    <row r="8686" spans="10:10" x14ac:dyDescent="0.35">
      <c r="J8686"/>
    </row>
    <row r="8687" spans="10:10" x14ac:dyDescent="0.35">
      <c r="J8687"/>
    </row>
    <row r="8688" spans="10:10" x14ac:dyDescent="0.35">
      <c r="J8688"/>
    </row>
    <row r="8689" spans="10:10" x14ac:dyDescent="0.35">
      <c r="J8689"/>
    </row>
    <row r="8690" spans="10:10" x14ac:dyDescent="0.35">
      <c r="J8690"/>
    </row>
    <row r="8691" spans="10:10" x14ac:dyDescent="0.35">
      <c r="J8691"/>
    </row>
    <row r="8692" spans="10:10" x14ac:dyDescent="0.35">
      <c r="J8692"/>
    </row>
    <row r="8693" spans="10:10" x14ac:dyDescent="0.35">
      <c r="J8693"/>
    </row>
    <row r="8694" spans="10:10" x14ac:dyDescent="0.35">
      <c r="J8694"/>
    </row>
    <row r="8695" spans="10:10" x14ac:dyDescent="0.35">
      <c r="J8695"/>
    </row>
    <row r="8696" spans="10:10" x14ac:dyDescent="0.35">
      <c r="J8696"/>
    </row>
    <row r="8697" spans="10:10" x14ac:dyDescent="0.35">
      <c r="J8697"/>
    </row>
    <row r="8698" spans="10:10" x14ac:dyDescent="0.35">
      <c r="J8698"/>
    </row>
    <row r="8699" spans="10:10" x14ac:dyDescent="0.35">
      <c r="J8699"/>
    </row>
    <row r="8700" spans="10:10" x14ac:dyDescent="0.35">
      <c r="J8700"/>
    </row>
    <row r="8701" spans="10:10" x14ac:dyDescent="0.35">
      <c r="J8701"/>
    </row>
    <row r="8702" spans="10:10" x14ac:dyDescent="0.35">
      <c r="J8702"/>
    </row>
    <row r="8703" spans="10:10" x14ac:dyDescent="0.35">
      <c r="J8703"/>
    </row>
    <row r="8704" spans="10:10" x14ac:dyDescent="0.35">
      <c r="J8704"/>
    </row>
    <row r="8705" spans="10:10" x14ac:dyDescent="0.35">
      <c r="J8705"/>
    </row>
    <row r="8706" spans="10:10" x14ac:dyDescent="0.35">
      <c r="J8706"/>
    </row>
    <row r="8707" spans="10:10" x14ac:dyDescent="0.35">
      <c r="J8707"/>
    </row>
    <row r="8708" spans="10:10" x14ac:dyDescent="0.35">
      <c r="J8708"/>
    </row>
    <row r="8709" spans="10:10" x14ac:dyDescent="0.35">
      <c r="J8709"/>
    </row>
    <row r="8710" spans="10:10" x14ac:dyDescent="0.35">
      <c r="J8710"/>
    </row>
    <row r="8711" spans="10:10" x14ac:dyDescent="0.35">
      <c r="J8711"/>
    </row>
    <row r="8712" spans="10:10" x14ac:dyDescent="0.35">
      <c r="J8712"/>
    </row>
    <row r="8713" spans="10:10" x14ac:dyDescent="0.35">
      <c r="J8713"/>
    </row>
    <row r="8714" spans="10:10" x14ac:dyDescent="0.35">
      <c r="J8714"/>
    </row>
    <row r="8715" spans="10:10" x14ac:dyDescent="0.35">
      <c r="J8715"/>
    </row>
    <row r="8716" spans="10:10" x14ac:dyDescent="0.35">
      <c r="J8716"/>
    </row>
    <row r="8717" spans="10:10" x14ac:dyDescent="0.35">
      <c r="J8717"/>
    </row>
    <row r="8718" spans="10:10" x14ac:dyDescent="0.35">
      <c r="J8718"/>
    </row>
    <row r="8719" spans="10:10" x14ac:dyDescent="0.35">
      <c r="J8719"/>
    </row>
    <row r="8720" spans="10:10" x14ac:dyDescent="0.35">
      <c r="J8720"/>
    </row>
    <row r="8721" spans="10:10" x14ac:dyDescent="0.35">
      <c r="J8721"/>
    </row>
    <row r="8722" spans="10:10" x14ac:dyDescent="0.35">
      <c r="J8722"/>
    </row>
    <row r="8723" spans="10:10" x14ac:dyDescent="0.35">
      <c r="J8723"/>
    </row>
    <row r="8724" spans="10:10" x14ac:dyDescent="0.35">
      <c r="J8724"/>
    </row>
    <row r="8725" spans="10:10" x14ac:dyDescent="0.35">
      <c r="J8725"/>
    </row>
    <row r="8726" spans="10:10" x14ac:dyDescent="0.35">
      <c r="J8726"/>
    </row>
    <row r="8727" spans="10:10" x14ac:dyDescent="0.35">
      <c r="J8727"/>
    </row>
    <row r="8728" spans="10:10" x14ac:dyDescent="0.35">
      <c r="J8728"/>
    </row>
    <row r="8729" spans="10:10" x14ac:dyDescent="0.35">
      <c r="J8729"/>
    </row>
    <row r="8730" spans="10:10" x14ac:dyDescent="0.35">
      <c r="J8730"/>
    </row>
    <row r="8731" spans="10:10" x14ac:dyDescent="0.35">
      <c r="J8731"/>
    </row>
    <row r="8732" spans="10:10" x14ac:dyDescent="0.35">
      <c r="J8732"/>
    </row>
    <row r="8733" spans="10:10" x14ac:dyDescent="0.35">
      <c r="J8733"/>
    </row>
    <row r="8734" spans="10:10" x14ac:dyDescent="0.35">
      <c r="J8734"/>
    </row>
    <row r="8735" spans="10:10" x14ac:dyDescent="0.35">
      <c r="J8735"/>
    </row>
    <row r="8736" spans="10:10" x14ac:dyDescent="0.35">
      <c r="J8736"/>
    </row>
    <row r="8737" spans="10:10" x14ac:dyDescent="0.35">
      <c r="J8737"/>
    </row>
    <row r="8738" spans="10:10" x14ac:dyDescent="0.35">
      <c r="J8738"/>
    </row>
    <row r="8739" spans="10:10" x14ac:dyDescent="0.35">
      <c r="J8739"/>
    </row>
    <row r="8740" spans="10:10" x14ac:dyDescent="0.35">
      <c r="J8740"/>
    </row>
    <row r="8741" spans="10:10" x14ac:dyDescent="0.35">
      <c r="J8741"/>
    </row>
    <row r="8742" spans="10:10" x14ac:dyDescent="0.35">
      <c r="J8742"/>
    </row>
    <row r="8743" spans="10:10" x14ac:dyDescent="0.35">
      <c r="J8743"/>
    </row>
    <row r="8744" spans="10:10" x14ac:dyDescent="0.35">
      <c r="J8744"/>
    </row>
    <row r="8745" spans="10:10" x14ac:dyDescent="0.35">
      <c r="J8745"/>
    </row>
    <row r="8746" spans="10:10" x14ac:dyDescent="0.35">
      <c r="J8746"/>
    </row>
    <row r="8747" spans="10:10" x14ac:dyDescent="0.35">
      <c r="J8747"/>
    </row>
    <row r="8748" spans="10:10" x14ac:dyDescent="0.35">
      <c r="J8748"/>
    </row>
    <row r="8749" spans="10:10" x14ac:dyDescent="0.35">
      <c r="J8749"/>
    </row>
    <row r="8750" spans="10:10" x14ac:dyDescent="0.35">
      <c r="J8750"/>
    </row>
    <row r="8751" spans="10:10" x14ac:dyDescent="0.35">
      <c r="J8751"/>
    </row>
    <row r="8752" spans="10:10" x14ac:dyDescent="0.35">
      <c r="J8752"/>
    </row>
    <row r="8753" spans="10:10" x14ac:dyDescent="0.35">
      <c r="J8753"/>
    </row>
    <row r="8754" spans="10:10" x14ac:dyDescent="0.35">
      <c r="J8754"/>
    </row>
    <row r="8755" spans="10:10" x14ac:dyDescent="0.35">
      <c r="J8755"/>
    </row>
    <row r="8756" spans="10:10" x14ac:dyDescent="0.35">
      <c r="J8756"/>
    </row>
    <row r="8757" spans="10:10" x14ac:dyDescent="0.35">
      <c r="J8757"/>
    </row>
    <row r="8758" spans="10:10" x14ac:dyDescent="0.35">
      <c r="J8758"/>
    </row>
    <row r="8759" spans="10:10" x14ac:dyDescent="0.35">
      <c r="J8759"/>
    </row>
    <row r="8760" spans="10:10" x14ac:dyDescent="0.35">
      <c r="J8760"/>
    </row>
    <row r="8761" spans="10:10" x14ac:dyDescent="0.35">
      <c r="J8761"/>
    </row>
    <row r="8762" spans="10:10" x14ac:dyDescent="0.35">
      <c r="J8762"/>
    </row>
    <row r="8763" spans="10:10" x14ac:dyDescent="0.35">
      <c r="J8763"/>
    </row>
    <row r="8764" spans="10:10" x14ac:dyDescent="0.35">
      <c r="J8764"/>
    </row>
    <row r="8765" spans="10:10" x14ac:dyDescent="0.35">
      <c r="J8765"/>
    </row>
    <row r="8766" spans="10:10" x14ac:dyDescent="0.35">
      <c r="J8766"/>
    </row>
    <row r="8767" spans="10:10" x14ac:dyDescent="0.35">
      <c r="J8767"/>
    </row>
    <row r="8768" spans="10:10" x14ac:dyDescent="0.35">
      <c r="J8768"/>
    </row>
    <row r="8769" spans="10:10" x14ac:dyDescent="0.35">
      <c r="J8769"/>
    </row>
    <row r="8770" spans="10:10" x14ac:dyDescent="0.35">
      <c r="J8770"/>
    </row>
    <row r="8771" spans="10:10" x14ac:dyDescent="0.35">
      <c r="J8771"/>
    </row>
    <row r="8772" spans="10:10" x14ac:dyDescent="0.35">
      <c r="J8772"/>
    </row>
    <row r="8773" spans="10:10" x14ac:dyDescent="0.35">
      <c r="J8773"/>
    </row>
    <row r="8774" spans="10:10" x14ac:dyDescent="0.35">
      <c r="J8774"/>
    </row>
    <row r="8775" spans="10:10" x14ac:dyDescent="0.35">
      <c r="J8775"/>
    </row>
    <row r="8776" spans="10:10" x14ac:dyDescent="0.35">
      <c r="J8776"/>
    </row>
    <row r="8777" spans="10:10" x14ac:dyDescent="0.35">
      <c r="J8777"/>
    </row>
    <row r="8778" spans="10:10" x14ac:dyDescent="0.35">
      <c r="J8778"/>
    </row>
    <row r="8779" spans="10:10" x14ac:dyDescent="0.35">
      <c r="J8779"/>
    </row>
    <row r="8780" spans="10:10" x14ac:dyDescent="0.35">
      <c r="J8780"/>
    </row>
    <row r="8781" spans="10:10" x14ac:dyDescent="0.35">
      <c r="J8781"/>
    </row>
    <row r="8782" spans="10:10" x14ac:dyDescent="0.35">
      <c r="J8782"/>
    </row>
    <row r="8783" spans="10:10" x14ac:dyDescent="0.35">
      <c r="J8783"/>
    </row>
    <row r="8784" spans="10:10" x14ac:dyDescent="0.35">
      <c r="J8784"/>
    </row>
    <row r="8785" spans="10:10" x14ac:dyDescent="0.35">
      <c r="J8785"/>
    </row>
    <row r="8786" spans="10:10" x14ac:dyDescent="0.35">
      <c r="J8786"/>
    </row>
    <row r="8787" spans="10:10" x14ac:dyDescent="0.35">
      <c r="J8787"/>
    </row>
    <row r="8788" spans="10:10" x14ac:dyDescent="0.35">
      <c r="J8788"/>
    </row>
    <row r="8789" spans="10:10" x14ac:dyDescent="0.35">
      <c r="J8789"/>
    </row>
    <row r="8790" spans="10:10" x14ac:dyDescent="0.35">
      <c r="J8790"/>
    </row>
    <row r="8791" spans="10:10" x14ac:dyDescent="0.35">
      <c r="J8791"/>
    </row>
    <row r="8792" spans="10:10" x14ac:dyDescent="0.35">
      <c r="J8792"/>
    </row>
    <row r="8793" spans="10:10" x14ac:dyDescent="0.35">
      <c r="J8793"/>
    </row>
    <row r="8794" spans="10:10" x14ac:dyDescent="0.35">
      <c r="J8794"/>
    </row>
    <row r="8795" spans="10:10" x14ac:dyDescent="0.35">
      <c r="J8795"/>
    </row>
    <row r="8796" spans="10:10" x14ac:dyDescent="0.35">
      <c r="J8796"/>
    </row>
    <row r="8797" spans="10:10" x14ac:dyDescent="0.35">
      <c r="J8797"/>
    </row>
    <row r="8798" spans="10:10" x14ac:dyDescent="0.35">
      <c r="J8798"/>
    </row>
    <row r="8799" spans="10:10" x14ac:dyDescent="0.35">
      <c r="J8799"/>
    </row>
    <row r="8800" spans="10:10" x14ac:dyDescent="0.35">
      <c r="J8800"/>
    </row>
    <row r="8801" spans="10:10" x14ac:dyDescent="0.35">
      <c r="J8801"/>
    </row>
    <row r="8802" spans="10:10" x14ac:dyDescent="0.35">
      <c r="J8802"/>
    </row>
    <row r="8803" spans="10:10" x14ac:dyDescent="0.35">
      <c r="J8803"/>
    </row>
    <row r="8804" spans="10:10" x14ac:dyDescent="0.35">
      <c r="J8804"/>
    </row>
    <row r="8805" spans="10:10" x14ac:dyDescent="0.35">
      <c r="J8805"/>
    </row>
    <row r="8806" spans="10:10" x14ac:dyDescent="0.35">
      <c r="J8806"/>
    </row>
    <row r="8807" spans="10:10" x14ac:dyDescent="0.35">
      <c r="J8807"/>
    </row>
    <row r="8808" spans="10:10" x14ac:dyDescent="0.35">
      <c r="J8808"/>
    </row>
    <row r="8809" spans="10:10" x14ac:dyDescent="0.35">
      <c r="J8809"/>
    </row>
    <row r="8810" spans="10:10" x14ac:dyDescent="0.35">
      <c r="J8810"/>
    </row>
    <row r="8811" spans="10:10" x14ac:dyDescent="0.35">
      <c r="J8811"/>
    </row>
    <row r="8812" spans="10:10" x14ac:dyDescent="0.35">
      <c r="J8812"/>
    </row>
    <row r="8813" spans="10:10" x14ac:dyDescent="0.35">
      <c r="J8813"/>
    </row>
    <row r="8814" spans="10:10" x14ac:dyDescent="0.35">
      <c r="J8814"/>
    </row>
    <row r="8815" spans="10:10" x14ac:dyDescent="0.35">
      <c r="J8815"/>
    </row>
    <row r="8816" spans="10:10" x14ac:dyDescent="0.35">
      <c r="J8816"/>
    </row>
    <row r="8817" spans="10:10" x14ac:dyDescent="0.35">
      <c r="J8817"/>
    </row>
    <row r="8818" spans="10:10" x14ac:dyDescent="0.35">
      <c r="J8818"/>
    </row>
    <row r="8819" spans="10:10" x14ac:dyDescent="0.35">
      <c r="J8819"/>
    </row>
    <row r="8820" spans="10:10" x14ac:dyDescent="0.35">
      <c r="J8820"/>
    </row>
    <row r="8821" spans="10:10" x14ac:dyDescent="0.35">
      <c r="J8821"/>
    </row>
    <row r="8822" spans="10:10" x14ac:dyDescent="0.35">
      <c r="J8822"/>
    </row>
    <row r="8823" spans="10:10" x14ac:dyDescent="0.35">
      <c r="J8823"/>
    </row>
    <row r="8824" spans="10:10" x14ac:dyDescent="0.35">
      <c r="J8824"/>
    </row>
    <row r="8825" spans="10:10" x14ac:dyDescent="0.35">
      <c r="J8825"/>
    </row>
    <row r="8826" spans="10:10" x14ac:dyDescent="0.35">
      <c r="J8826"/>
    </row>
    <row r="8827" spans="10:10" x14ac:dyDescent="0.35">
      <c r="J8827"/>
    </row>
    <row r="8828" spans="10:10" x14ac:dyDescent="0.35">
      <c r="J8828"/>
    </row>
    <row r="8829" spans="10:10" x14ac:dyDescent="0.35">
      <c r="J8829"/>
    </row>
    <row r="8830" spans="10:10" x14ac:dyDescent="0.35">
      <c r="J8830"/>
    </row>
    <row r="8831" spans="10:10" x14ac:dyDescent="0.35">
      <c r="J8831"/>
    </row>
    <row r="8832" spans="10:10" x14ac:dyDescent="0.35">
      <c r="J8832"/>
    </row>
    <row r="8833" spans="10:10" x14ac:dyDescent="0.35">
      <c r="J8833"/>
    </row>
    <row r="8834" spans="10:10" x14ac:dyDescent="0.35">
      <c r="J8834"/>
    </row>
    <row r="8835" spans="10:10" x14ac:dyDescent="0.35">
      <c r="J8835"/>
    </row>
    <row r="8836" spans="10:10" x14ac:dyDescent="0.35">
      <c r="J8836"/>
    </row>
    <row r="8837" spans="10:10" x14ac:dyDescent="0.35">
      <c r="J8837"/>
    </row>
    <row r="8838" spans="10:10" x14ac:dyDescent="0.35">
      <c r="J8838"/>
    </row>
    <row r="8839" spans="10:10" x14ac:dyDescent="0.35">
      <c r="J8839"/>
    </row>
    <row r="8840" spans="10:10" x14ac:dyDescent="0.35">
      <c r="J8840"/>
    </row>
    <row r="8841" spans="10:10" x14ac:dyDescent="0.35">
      <c r="J8841"/>
    </row>
    <row r="8842" spans="10:10" x14ac:dyDescent="0.35">
      <c r="J8842"/>
    </row>
    <row r="8843" spans="10:10" x14ac:dyDescent="0.35">
      <c r="J8843"/>
    </row>
    <row r="8844" spans="10:10" x14ac:dyDescent="0.35">
      <c r="J8844"/>
    </row>
    <row r="8845" spans="10:10" x14ac:dyDescent="0.35">
      <c r="J8845"/>
    </row>
    <row r="8846" spans="10:10" x14ac:dyDescent="0.35">
      <c r="J8846"/>
    </row>
    <row r="8847" spans="10:10" x14ac:dyDescent="0.35">
      <c r="J8847"/>
    </row>
    <row r="8848" spans="10:10" x14ac:dyDescent="0.35">
      <c r="J8848"/>
    </row>
    <row r="8849" spans="10:10" x14ac:dyDescent="0.35">
      <c r="J8849"/>
    </row>
    <row r="8850" spans="10:10" x14ac:dyDescent="0.35">
      <c r="J8850"/>
    </row>
    <row r="8851" spans="10:10" x14ac:dyDescent="0.35">
      <c r="J8851"/>
    </row>
    <row r="8852" spans="10:10" x14ac:dyDescent="0.35">
      <c r="J8852"/>
    </row>
    <row r="8853" spans="10:10" x14ac:dyDescent="0.35">
      <c r="J8853"/>
    </row>
    <row r="8854" spans="10:10" x14ac:dyDescent="0.35">
      <c r="J8854"/>
    </row>
    <row r="8855" spans="10:10" x14ac:dyDescent="0.35">
      <c r="J8855"/>
    </row>
    <row r="8856" spans="10:10" x14ac:dyDescent="0.35">
      <c r="J8856"/>
    </row>
    <row r="8857" spans="10:10" x14ac:dyDescent="0.35">
      <c r="J8857"/>
    </row>
    <row r="8858" spans="10:10" x14ac:dyDescent="0.35">
      <c r="J8858"/>
    </row>
    <row r="8859" spans="10:10" x14ac:dyDescent="0.35">
      <c r="J8859"/>
    </row>
    <row r="8860" spans="10:10" x14ac:dyDescent="0.35">
      <c r="J8860"/>
    </row>
    <row r="8861" spans="10:10" x14ac:dyDescent="0.35">
      <c r="J8861"/>
    </row>
    <row r="8862" spans="10:10" x14ac:dyDescent="0.35">
      <c r="J8862"/>
    </row>
    <row r="8863" spans="10:10" x14ac:dyDescent="0.35">
      <c r="J8863"/>
    </row>
    <row r="8864" spans="10:10" x14ac:dyDescent="0.35">
      <c r="J8864"/>
    </row>
    <row r="8865" spans="10:10" x14ac:dyDescent="0.35">
      <c r="J8865"/>
    </row>
    <row r="8866" spans="10:10" x14ac:dyDescent="0.35">
      <c r="J8866"/>
    </row>
    <row r="8867" spans="10:10" x14ac:dyDescent="0.35">
      <c r="J8867"/>
    </row>
    <row r="8868" spans="10:10" x14ac:dyDescent="0.35">
      <c r="J8868"/>
    </row>
    <row r="8869" spans="10:10" x14ac:dyDescent="0.35">
      <c r="J8869"/>
    </row>
    <row r="8870" spans="10:10" x14ac:dyDescent="0.35">
      <c r="J8870"/>
    </row>
    <row r="8871" spans="10:10" x14ac:dyDescent="0.35">
      <c r="J8871"/>
    </row>
    <row r="8872" spans="10:10" x14ac:dyDescent="0.35">
      <c r="J8872"/>
    </row>
    <row r="8873" spans="10:10" x14ac:dyDescent="0.35">
      <c r="J8873"/>
    </row>
    <row r="8874" spans="10:10" x14ac:dyDescent="0.35">
      <c r="J8874"/>
    </row>
    <row r="8875" spans="10:10" x14ac:dyDescent="0.35">
      <c r="J8875"/>
    </row>
    <row r="8876" spans="10:10" x14ac:dyDescent="0.35">
      <c r="J8876"/>
    </row>
    <row r="8877" spans="10:10" x14ac:dyDescent="0.35">
      <c r="J8877"/>
    </row>
    <row r="8878" spans="10:10" x14ac:dyDescent="0.35">
      <c r="J8878"/>
    </row>
    <row r="8879" spans="10:10" x14ac:dyDescent="0.35">
      <c r="J8879"/>
    </row>
    <row r="8880" spans="10:10" x14ac:dyDescent="0.35">
      <c r="J8880"/>
    </row>
    <row r="8881" spans="10:10" x14ac:dyDescent="0.35">
      <c r="J8881"/>
    </row>
    <row r="8882" spans="10:10" x14ac:dyDescent="0.35">
      <c r="J8882"/>
    </row>
    <row r="8883" spans="10:10" x14ac:dyDescent="0.35">
      <c r="J8883"/>
    </row>
    <row r="8884" spans="10:10" x14ac:dyDescent="0.35">
      <c r="J8884"/>
    </row>
    <row r="8885" spans="10:10" x14ac:dyDescent="0.35">
      <c r="J8885"/>
    </row>
    <row r="8886" spans="10:10" x14ac:dyDescent="0.35">
      <c r="J8886"/>
    </row>
    <row r="8887" spans="10:10" x14ac:dyDescent="0.35">
      <c r="J8887"/>
    </row>
    <row r="8888" spans="10:10" x14ac:dyDescent="0.35">
      <c r="J8888"/>
    </row>
    <row r="8889" spans="10:10" x14ac:dyDescent="0.35">
      <c r="J8889"/>
    </row>
    <row r="8890" spans="10:10" x14ac:dyDescent="0.35">
      <c r="J8890"/>
    </row>
    <row r="8891" spans="10:10" x14ac:dyDescent="0.35">
      <c r="J8891"/>
    </row>
    <row r="8892" spans="10:10" x14ac:dyDescent="0.35">
      <c r="J8892"/>
    </row>
    <row r="8893" spans="10:10" x14ac:dyDescent="0.35">
      <c r="J8893"/>
    </row>
    <row r="8894" spans="10:10" x14ac:dyDescent="0.35">
      <c r="J8894"/>
    </row>
    <row r="8895" spans="10:10" x14ac:dyDescent="0.35">
      <c r="J8895"/>
    </row>
    <row r="8896" spans="10:10" x14ac:dyDescent="0.35">
      <c r="J8896"/>
    </row>
    <row r="8897" spans="10:10" x14ac:dyDescent="0.35">
      <c r="J8897"/>
    </row>
    <row r="8898" spans="10:10" x14ac:dyDescent="0.35">
      <c r="J8898"/>
    </row>
    <row r="8899" spans="10:10" x14ac:dyDescent="0.35">
      <c r="J8899"/>
    </row>
    <row r="8900" spans="10:10" x14ac:dyDescent="0.35">
      <c r="J8900"/>
    </row>
    <row r="8901" spans="10:10" x14ac:dyDescent="0.35">
      <c r="J8901"/>
    </row>
    <row r="8902" spans="10:10" x14ac:dyDescent="0.35">
      <c r="J8902"/>
    </row>
    <row r="8903" spans="10:10" x14ac:dyDescent="0.35">
      <c r="J8903"/>
    </row>
    <row r="8904" spans="10:10" x14ac:dyDescent="0.35">
      <c r="J8904"/>
    </row>
    <row r="8905" spans="10:10" x14ac:dyDescent="0.35">
      <c r="J8905"/>
    </row>
    <row r="8906" spans="10:10" x14ac:dyDescent="0.35">
      <c r="J8906"/>
    </row>
    <row r="8907" spans="10:10" x14ac:dyDescent="0.35">
      <c r="J8907"/>
    </row>
    <row r="8908" spans="10:10" x14ac:dyDescent="0.35">
      <c r="J8908"/>
    </row>
    <row r="8909" spans="10:10" x14ac:dyDescent="0.35">
      <c r="J8909"/>
    </row>
    <row r="8910" spans="10:10" x14ac:dyDescent="0.35">
      <c r="J8910"/>
    </row>
    <row r="8911" spans="10:10" x14ac:dyDescent="0.35">
      <c r="J8911"/>
    </row>
    <row r="8912" spans="10:10" x14ac:dyDescent="0.35">
      <c r="J8912"/>
    </row>
    <row r="8913" spans="10:10" x14ac:dyDescent="0.35">
      <c r="J8913"/>
    </row>
    <row r="8914" spans="10:10" x14ac:dyDescent="0.35">
      <c r="J8914"/>
    </row>
    <row r="8915" spans="10:10" x14ac:dyDescent="0.35">
      <c r="J8915"/>
    </row>
    <row r="8916" spans="10:10" x14ac:dyDescent="0.35">
      <c r="J8916"/>
    </row>
    <row r="8917" spans="10:10" x14ac:dyDescent="0.35">
      <c r="J8917"/>
    </row>
    <row r="8918" spans="10:10" x14ac:dyDescent="0.35">
      <c r="J8918"/>
    </row>
    <row r="8919" spans="10:10" x14ac:dyDescent="0.35">
      <c r="J8919"/>
    </row>
    <row r="8920" spans="10:10" x14ac:dyDescent="0.35">
      <c r="J8920"/>
    </row>
    <row r="8921" spans="10:10" x14ac:dyDescent="0.35">
      <c r="J8921"/>
    </row>
    <row r="8922" spans="10:10" x14ac:dyDescent="0.35">
      <c r="J8922"/>
    </row>
    <row r="8923" spans="10:10" x14ac:dyDescent="0.35">
      <c r="J8923"/>
    </row>
    <row r="8924" spans="10:10" x14ac:dyDescent="0.35">
      <c r="J8924"/>
    </row>
    <row r="8925" spans="10:10" x14ac:dyDescent="0.35">
      <c r="J8925"/>
    </row>
    <row r="8926" spans="10:10" x14ac:dyDescent="0.35">
      <c r="J8926"/>
    </row>
    <row r="8927" spans="10:10" x14ac:dyDescent="0.35">
      <c r="J8927"/>
    </row>
    <row r="8928" spans="10:10" x14ac:dyDescent="0.35">
      <c r="J8928"/>
    </row>
    <row r="8929" spans="10:10" x14ac:dyDescent="0.35">
      <c r="J8929"/>
    </row>
    <row r="8930" spans="10:10" x14ac:dyDescent="0.35">
      <c r="J8930"/>
    </row>
    <row r="8931" spans="10:10" x14ac:dyDescent="0.35">
      <c r="J8931"/>
    </row>
    <row r="8932" spans="10:10" x14ac:dyDescent="0.35">
      <c r="J8932"/>
    </row>
    <row r="8933" spans="10:10" x14ac:dyDescent="0.35">
      <c r="J8933"/>
    </row>
    <row r="8934" spans="10:10" x14ac:dyDescent="0.35">
      <c r="J8934"/>
    </row>
    <row r="8935" spans="10:10" x14ac:dyDescent="0.35">
      <c r="J8935"/>
    </row>
    <row r="8936" spans="10:10" x14ac:dyDescent="0.35">
      <c r="J8936"/>
    </row>
    <row r="8937" spans="10:10" x14ac:dyDescent="0.35">
      <c r="J8937"/>
    </row>
    <row r="8938" spans="10:10" x14ac:dyDescent="0.35">
      <c r="J8938"/>
    </row>
    <row r="8939" spans="10:10" x14ac:dyDescent="0.35">
      <c r="J8939"/>
    </row>
    <row r="8940" spans="10:10" x14ac:dyDescent="0.35">
      <c r="J8940"/>
    </row>
    <row r="8941" spans="10:10" x14ac:dyDescent="0.35">
      <c r="J8941"/>
    </row>
    <row r="8942" spans="10:10" x14ac:dyDescent="0.35">
      <c r="J8942"/>
    </row>
    <row r="8943" spans="10:10" x14ac:dyDescent="0.35">
      <c r="J8943"/>
    </row>
    <row r="8944" spans="10:10" x14ac:dyDescent="0.35">
      <c r="J8944"/>
    </row>
    <row r="8945" spans="10:10" x14ac:dyDescent="0.35">
      <c r="J8945"/>
    </row>
    <row r="8946" spans="10:10" x14ac:dyDescent="0.35">
      <c r="J8946"/>
    </row>
    <row r="8947" spans="10:10" x14ac:dyDescent="0.35">
      <c r="J8947"/>
    </row>
    <row r="8948" spans="10:10" x14ac:dyDescent="0.35">
      <c r="J8948"/>
    </row>
    <row r="8949" spans="10:10" x14ac:dyDescent="0.35">
      <c r="J8949"/>
    </row>
    <row r="8950" spans="10:10" x14ac:dyDescent="0.35">
      <c r="J8950"/>
    </row>
    <row r="8951" spans="10:10" x14ac:dyDescent="0.35">
      <c r="J8951"/>
    </row>
    <row r="8952" spans="10:10" x14ac:dyDescent="0.35">
      <c r="J8952"/>
    </row>
    <row r="8953" spans="10:10" x14ac:dyDescent="0.35">
      <c r="J8953"/>
    </row>
    <row r="8954" spans="10:10" x14ac:dyDescent="0.35">
      <c r="J8954"/>
    </row>
    <row r="8955" spans="10:10" x14ac:dyDescent="0.35">
      <c r="J8955"/>
    </row>
    <row r="8956" spans="10:10" x14ac:dyDescent="0.35">
      <c r="J8956"/>
    </row>
    <row r="8957" spans="10:10" x14ac:dyDescent="0.35">
      <c r="J8957"/>
    </row>
    <row r="8958" spans="10:10" x14ac:dyDescent="0.35">
      <c r="J8958"/>
    </row>
    <row r="8959" spans="10:10" x14ac:dyDescent="0.35">
      <c r="J8959"/>
    </row>
    <row r="8960" spans="10:10" x14ac:dyDescent="0.35">
      <c r="J8960"/>
    </row>
    <row r="8961" spans="10:10" x14ac:dyDescent="0.35">
      <c r="J8961"/>
    </row>
    <row r="8962" spans="10:10" x14ac:dyDescent="0.35">
      <c r="J8962"/>
    </row>
    <row r="8963" spans="10:10" x14ac:dyDescent="0.35">
      <c r="J8963"/>
    </row>
    <row r="8964" spans="10:10" x14ac:dyDescent="0.35">
      <c r="J8964"/>
    </row>
    <row r="8965" spans="10:10" x14ac:dyDescent="0.35">
      <c r="J8965"/>
    </row>
    <row r="8966" spans="10:10" x14ac:dyDescent="0.35">
      <c r="J8966"/>
    </row>
    <row r="8967" spans="10:10" x14ac:dyDescent="0.35">
      <c r="J8967"/>
    </row>
    <row r="8968" spans="10:10" x14ac:dyDescent="0.35">
      <c r="J8968"/>
    </row>
    <row r="8969" spans="10:10" x14ac:dyDescent="0.35">
      <c r="J8969"/>
    </row>
    <row r="8970" spans="10:10" x14ac:dyDescent="0.35">
      <c r="J8970"/>
    </row>
    <row r="8971" spans="10:10" x14ac:dyDescent="0.35">
      <c r="J8971"/>
    </row>
    <row r="8972" spans="10:10" x14ac:dyDescent="0.35">
      <c r="J8972"/>
    </row>
    <row r="8973" spans="10:10" x14ac:dyDescent="0.35">
      <c r="J8973"/>
    </row>
    <row r="8974" spans="10:10" x14ac:dyDescent="0.35">
      <c r="J8974"/>
    </row>
    <row r="8975" spans="10:10" x14ac:dyDescent="0.35">
      <c r="J8975"/>
    </row>
    <row r="8976" spans="10:10" x14ac:dyDescent="0.35">
      <c r="J8976"/>
    </row>
    <row r="8977" spans="10:10" x14ac:dyDescent="0.35">
      <c r="J8977"/>
    </row>
    <row r="8978" spans="10:10" x14ac:dyDescent="0.35">
      <c r="J8978"/>
    </row>
    <row r="8979" spans="10:10" x14ac:dyDescent="0.35">
      <c r="J8979"/>
    </row>
    <row r="8980" spans="10:10" x14ac:dyDescent="0.35">
      <c r="J8980"/>
    </row>
    <row r="8981" spans="10:10" x14ac:dyDescent="0.35">
      <c r="J8981"/>
    </row>
    <row r="8982" spans="10:10" x14ac:dyDescent="0.35">
      <c r="J8982"/>
    </row>
    <row r="8983" spans="10:10" x14ac:dyDescent="0.35">
      <c r="J8983"/>
    </row>
    <row r="8984" spans="10:10" x14ac:dyDescent="0.35">
      <c r="J8984"/>
    </row>
    <row r="8985" spans="10:10" x14ac:dyDescent="0.35">
      <c r="J8985"/>
    </row>
    <row r="8986" spans="10:10" x14ac:dyDescent="0.35">
      <c r="J8986"/>
    </row>
    <row r="8987" spans="10:10" x14ac:dyDescent="0.35">
      <c r="J8987"/>
    </row>
    <row r="8988" spans="10:10" x14ac:dyDescent="0.35">
      <c r="J8988"/>
    </row>
    <row r="8989" spans="10:10" x14ac:dyDescent="0.35">
      <c r="J8989"/>
    </row>
    <row r="8990" spans="10:10" x14ac:dyDescent="0.35">
      <c r="J8990"/>
    </row>
    <row r="8991" spans="10:10" x14ac:dyDescent="0.35">
      <c r="J8991"/>
    </row>
    <row r="8992" spans="10:10" x14ac:dyDescent="0.35">
      <c r="J8992"/>
    </row>
    <row r="8993" spans="10:10" x14ac:dyDescent="0.35">
      <c r="J8993"/>
    </row>
    <row r="8994" spans="10:10" x14ac:dyDescent="0.35">
      <c r="J8994"/>
    </row>
    <row r="8995" spans="10:10" x14ac:dyDescent="0.35">
      <c r="J8995"/>
    </row>
    <row r="8996" spans="10:10" x14ac:dyDescent="0.35">
      <c r="J8996"/>
    </row>
    <row r="8997" spans="10:10" x14ac:dyDescent="0.35">
      <c r="J8997"/>
    </row>
    <row r="8998" spans="10:10" x14ac:dyDescent="0.35">
      <c r="J8998"/>
    </row>
    <row r="8999" spans="10:10" x14ac:dyDescent="0.35">
      <c r="J8999"/>
    </row>
    <row r="9000" spans="10:10" x14ac:dyDescent="0.35">
      <c r="J9000"/>
    </row>
    <row r="9001" spans="10:10" x14ac:dyDescent="0.35">
      <c r="J9001"/>
    </row>
    <row r="9002" spans="10:10" x14ac:dyDescent="0.35">
      <c r="J9002"/>
    </row>
    <row r="9003" spans="10:10" x14ac:dyDescent="0.35">
      <c r="J9003"/>
    </row>
    <row r="9004" spans="10:10" x14ac:dyDescent="0.35">
      <c r="J9004"/>
    </row>
    <row r="9005" spans="10:10" x14ac:dyDescent="0.35">
      <c r="J9005"/>
    </row>
    <row r="9006" spans="10:10" x14ac:dyDescent="0.35">
      <c r="J9006"/>
    </row>
    <row r="9007" spans="10:10" x14ac:dyDescent="0.35">
      <c r="J9007"/>
    </row>
    <row r="9008" spans="10:10" x14ac:dyDescent="0.35">
      <c r="J9008"/>
    </row>
    <row r="9009" spans="10:10" x14ac:dyDescent="0.35">
      <c r="J9009"/>
    </row>
    <row r="9010" spans="10:10" x14ac:dyDescent="0.35">
      <c r="J9010"/>
    </row>
    <row r="9011" spans="10:10" x14ac:dyDescent="0.35">
      <c r="J9011"/>
    </row>
    <row r="9012" spans="10:10" x14ac:dyDescent="0.35">
      <c r="J9012"/>
    </row>
    <row r="9013" spans="10:10" x14ac:dyDescent="0.35">
      <c r="J9013"/>
    </row>
    <row r="9014" spans="10:10" x14ac:dyDescent="0.35">
      <c r="J9014"/>
    </row>
    <row r="9015" spans="10:10" x14ac:dyDescent="0.35">
      <c r="J9015"/>
    </row>
    <row r="9016" spans="10:10" x14ac:dyDescent="0.35">
      <c r="J9016"/>
    </row>
    <row r="9017" spans="10:10" x14ac:dyDescent="0.35">
      <c r="J9017"/>
    </row>
    <row r="9018" spans="10:10" x14ac:dyDescent="0.35">
      <c r="J9018"/>
    </row>
    <row r="9019" spans="10:10" x14ac:dyDescent="0.35">
      <c r="J9019"/>
    </row>
    <row r="9020" spans="10:10" x14ac:dyDescent="0.35">
      <c r="J9020"/>
    </row>
    <row r="9021" spans="10:10" x14ac:dyDescent="0.35">
      <c r="J9021"/>
    </row>
    <row r="9022" spans="10:10" x14ac:dyDescent="0.35">
      <c r="J9022"/>
    </row>
    <row r="9023" spans="10:10" x14ac:dyDescent="0.35">
      <c r="J9023"/>
    </row>
    <row r="9024" spans="10:10" x14ac:dyDescent="0.35">
      <c r="J9024"/>
    </row>
    <row r="9025" spans="10:10" x14ac:dyDescent="0.35">
      <c r="J9025"/>
    </row>
    <row r="9026" spans="10:10" x14ac:dyDescent="0.35">
      <c r="J9026"/>
    </row>
    <row r="9027" spans="10:10" x14ac:dyDescent="0.35">
      <c r="J9027"/>
    </row>
    <row r="9028" spans="10:10" x14ac:dyDescent="0.35">
      <c r="J9028"/>
    </row>
    <row r="9029" spans="10:10" x14ac:dyDescent="0.35">
      <c r="J9029"/>
    </row>
    <row r="9030" spans="10:10" x14ac:dyDescent="0.35">
      <c r="J9030"/>
    </row>
    <row r="9031" spans="10:10" x14ac:dyDescent="0.35">
      <c r="J9031"/>
    </row>
    <row r="9032" spans="10:10" x14ac:dyDescent="0.35">
      <c r="J9032"/>
    </row>
    <row r="9033" spans="10:10" x14ac:dyDescent="0.35">
      <c r="J9033"/>
    </row>
    <row r="9034" spans="10:10" x14ac:dyDescent="0.35">
      <c r="J9034"/>
    </row>
    <row r="9035" spans="10:10" x14ac:dyDescent="0.35">
      <c r="J9035"/>
    </row>
    <row r="9036" spans="10:10" x14ac:dyDescent="0.35">
      <c r="J9036"/>
    </row>
    <row r="9037" spans="10:10" x14ac:dyDescent="0.35">
      <c r="J9037"/>
    </row>
    <row r="9038" spans="10:10" x14ac:dyDescent="0.35">
      <c r="J9038"/>
    </row>
    <row r="9039" spans="10:10" x14ac:dyDescent="0.35">
      <c r="J9039"/>
    </row>
    <row r="9040" spans="10:10" x14ac:dyDescent="0.35">
      <c r="J9040"/>
    </row>
    <row r="9041" spans="10:10" x14ac:dyDescent="0.35">
      <c r="J9041"/>
    </row>
    <row r="9042" spans="10:10" x14ac:dyDescent="0.35">
      <c r="J9042"/>
    </row>
    <row r="9043" spans="10:10" x14ac:dyDescent="0.35">
      <c r="J9043"/>
    </row>
    <row r="9044" spans="10:10" x14ac:dyDescent="0.35">
      <c r="J9044"/>
    </row>
    <row r="9045" spans="10:10" x14ac:dyDescent="0.35">
      <c r="J9045"/>
    </row>
    <row r="9046" spans="10:10" x14ac:dyDescent="0.35">
      <c r="J9046"/>
    </row>
    <row r="9047" spans="10:10" x14ac:dyDescent="0.35">
      <c r="J9047"/>
    </row>
    <row r="9048" spans="10:10" x14ac:dyDescent="0.35">
      <c r="J9048"/>
    </row>
    <row r="9049" spans="10:10" x14ac:dyDescent="0.35">
      <c r="J9049"/>
    </row>
    <row r="9050" spans="10:10" x14ac:dyDescent="0.35">
      <c r="J9050"/>
    </row>
    <row r="9051" spans="10:10" x14ac:dyDescent="0.35">
      <c r="J9051"/>
    </row>
    <row r="9052" spans="10:10" x14ac:dyDescent="0.35">
      <c r="J9052"/>
    </row>
    <row r="9053" spans="10:10" x14ac:dyDescent="0.35">
      <c r="J9053"/>
    </row>
    <row r="9054" spans="10:10" x14ac:dyDescent="0.35">
      <c r="J9054"/>
    </row>
    <row r="9055" spans="10:10" x14ac:dyDescent="0.35">
      <c r="J9055"/>
    </row>
    <row r="9056" spans="10:10" x14ac:dyDescent="0.35">
      <c r="J9056"/>
    </row>
    <row r="9057" spans="10:10" x14ac:dyDescent="0.35">
      <c r="J9057"/>
    </row>
    <row r="9058" spans="10:10" x14ac:dyDescent="0.35">
      <c r="J9058"/>
    </row>
    <row r="9059" spans="10:10" x14ac:dyDescent="0.35">
      <c r="J9059"/>
    </row>
    <row r="9060" spans="10:10" x14ac:dyDescent="0.35">
      <c r="J9060"/>
    </row>
    <row r="9061" spans="10:10" x14ac:dyDescent="0.35">
      <c r="J9061"/>
    </row>
    <row r="9062" spans="10:10" x14ac:dyDescent="0.35">
      <c r="J9062"/>
    </row>
    <row r="9063" spans="10:10" x14ac:dyDescent="0.35">
      <c r="J9063"/>
    </row>
    <row r="9064" spans="10:10" x14ac:dyDescent="0.35">
      <c r="J9064"/>
    </row>
    <row r="9065" spans="10:10" x14ac:dyDescent="0.35">
      <c r="J9065"/>
    </row>
    <row r="9066" spans="10:10" x14ac:dyDescent="0.35">
      <c r="J9066"/>
    </row>
    <row r="9067" spans="10:10" x14ac:dyDescent="0.35">
      <c r="J9067"/>
    </row>
    <row r="9068" spans="10:10" x14ac:dyDescent="0.35">
      <c r="J9068"/>
    </row>
    <row r="9069" spans="10:10" x14ac:dyDescent="0.35">
      <c r="J9069"/>
    </row>
    <row r="9070" spans="10:10" x14ac:dyDescent="0.35">
      <c r="J9070"/>
    </row>
    <row r="9071" spans="10:10" x14ac:dyDescent="0.35">
      <c r="J9071"/>
    </row>
    <row r="9072" spans="10:10" x14ac:dyDescent="0.35">
      <c r="J9072"/>
    </row>
    <row r="9073" spans="10:10" x14ac:dyDescent="0.35">
      <c r="J9073"/>
    </row>
    <row r="9074" spans="10:10" x14ac:dyDescent="0.35">
      <c r="J9074"/>
    </row>
    <row r="9075" spans="10:10" x14ac:dyDescent="0.35">
      <c r="J9075"/>
    </row>
    <row r="9076" spans="10:10" x14ac:dyDescent="0.35">
      <c r="J9076"/>
    </row>
    <row r="9077" spans="10:10" x14ac:dyDescent="0.35">
      <c r="J9077"/>
    </row>
    <row r="9078" spans="10:10" x14ac:dyDescent="0.35">
      <c r="J9078"/>
    </row>
    <row r="9079" spans="10:10" x14ac:dyDescent="0.35">
      <c r="J9079"/>
    </row>
    <row r="9080" spans="10:10" x14ac:dyDescent="0.35">
      <c r="J9080"/>
    </row>
    <row r="9081" spans="10:10" x14ac:dyDescent="0.35">
      <c r="J9081"/>
    </row>
    <row r="9082" spans="10:10" x14ac:dyDescent="0.35">
      <c r="J9082"/>
    </row>
    <row r="9083" spans="10:10" x14ac:dyDescent="0.35">
      <c r="J9083"/>
    </row>
    <row r="9084" spans="10:10" x14ac:dyDescent="0.35">
      <c r="J9084"/>
    </row>
    <row r="9085" spans="10:10" x14ac:dyDescent="0.35">
      <c r="J9085"/>
    </row>
    <row r="9086" spans="10:10" x14ac:dyDescent="0.35">
      <c r="J9086"/>
    </row>
    <row r="9087" spans="10:10" x14ac:dyDescent="0.35">
      <c r="J9087"/>
    </row>
    <row r="9088" spans="10:10" x14ac:dyDescent="0.35">
      <c r="J9088"/>
    </row>
    <row r="9089" spans="10:10" x14ac:dyDescent="0.35">
      <c r="J9089"/>
    </row>
    <row r="9090" spans="10:10" x14ac:dyDescent="0.35">
      <c r="J9090"/>
    </row>
    <row r="9091" spans="10:10" x14ac:dyDescent="0.35">
      <c r="J9091"/>
    </row>
    <row r="9092" spans="10:10" x14ac:dyDescent="0.35">
      <c r="J9092"/>
    </row>
    <row r="9093" spans="10:10" x14ac:dyDescent="0.35">
      <c r="J9093"/>
    </row>
    <row r="9094" spans="10:10" x14ac:dyDescent="0.35">
      <c r="J9094"/>
    </row>
    <row r="9095" spans="10:10" x14ac:dyDescent="0.35">
      <c r="J9095"/>
    </row>
    <row r="9096" spans="10:10" x14ac:dyDescent="0.35">
      <c r="J9096"/>
    </row>
    <row r="9097" spans="10:10" x14ac:dyDescent="0.35">
      <c r="J9097"/>
    </row>
    <row r="9098" spans="10:10" x14ac:dyDescent="0.35">
      <c r="J9098"/>
    </row>
    <row r="9099" spans="10:10" x14ac:dyDescent="0.35">
      <c r="J9099"/>
    </row>
    <row r="9100" spans="10:10" x14ac:dyDescent="0.35">
      <c r="J9100"/>
    </row>
    <row r="9101" spans="10:10" x14ac:dyDescent="0.35">
      <c r="J9101"/>
    </row>
    <row r="9102" spans="10:10" x14ac:dyDescent="0.35">
      <c r="J9102"/>
    </row>
    <row r="9103" spans="10:10" x14ac:dyDescent="0.35">
      <c r="J9103"/>
    </row>
    <row r="9104" spans="10:10" x14ac:dyDescent="0.35">
      <c r="J9104"/>
    </row>
    <row r="9105" spans="10:10" x14ac:dyDescent="0.35">
      <c r="J9105"/>
    </row>
    <row r="9106" spans="10:10" x14ac:dyDescent="0.35">
      <c r="J9106"/>
    </row>
    <row r="9107" spans="10:10" x14ac:dyDescent="0.35">
      <c r="J9107"/>
    </row>
    <row r="9108" spans="10:10" x14ac:dyDescent="0.35">
      <c r="J9108"/>
    </row>
    <row r="9109" spans="10:10" x14ac:dyDescent="0.35">
      <c r="J9109"/>
    </row>
    <row r="9110" spans="10:10" x14ac:dyDescent="0.35">
      <c r="J9110"/>
    </row>
    <row r="9111" spans="10:10" x14ac:dyDescent="0.35">
      <c r="J9111"/>
    </row>
    <row r="9112" spans="10:10" x14ac:dyDescent="0.35">
      <c r="J9112"/>
    </row>
    <row r="9113" spans="10:10" x14ac:dyDescent="0.35">
      <c r="J9113"/>
    </row>
    <row r="9114" spans="10:10" x14ac:dyDescent="0.35">
      <c r="J9114"/>
    </row>
    <row r="9115" spans="10:10" x14ac:dyDescent="0.35">
      <c r="J9115"/>
    </row>
    <row r="9116" spans="10:10" x14ac:dyDescent="0.35">
      <c r="J9116"/>
    </row>
    <row r="9117" spans="10:10" x14ac:dyDescent="0.35">
      <c r="J9117"/>
    </row>
    <row r="9118" spans="10:10" x14ac:dyDescent="0.35">
      <c r="J9118"/>
    </row>
    <row r="9119" spans="10:10" x14ac:dyDescent="0.35">
      <c r="J9119"/>
    </row>
    <row r="9120" spans="10:10" x14ac:dyDescent="0.35">
      <c r="J9120"/>
    </row>
    <row r="9121" spans="10:10" x14ac:dyDescent="0.35">
      <c r="J9121"/>
    </row>
    <row r="9122" spans="10:10" x14ac:dyDescent="0.35">
      <c r="J9122"/>
    </row>
    <row r="9123" spans="10:10" x14ac:dyDescent="0.35">
      <c r="J9123"/>
    </row>
    <row r="9124" spans="10:10" x14ac:dyDescent="0.35">
      <c r="J9124"/>
    </row>
    <row r="9125" spans="10:10" x14ac:dyDescent="0.35">
      <c r="J9125"/>
    </row>
    <row r="9126" spans="10:10" x14ac:dyDescent="0.35">
      <c r="J9126"/>
    </row>
    <row r="9127" spans="10:10" x14ac:dyDescent="0.35">
      <c r="J9127"/>
    </row>
    <row r="9128" spans="10:10" x14ac:dyDescent="0.35">
      <c r="J9128"/>
    </row>
    <row r="9129" spans="10:10" x14ac:dyDescent="0.35">
      <c r="J9129"/>
    </row>
    <row r="9130" spans="10:10" x14ac:dyDescent="0.35">
      <c r="J9130"/>
    </row>
    <row r="9131" spans="10:10" x14ac:dyDescent="0.35">
      <c r="J9131"/>
    </row>
    <row r="9132" spans="10:10" x14ac:dyDescent="0.35">
      <c r="J9132"/>
    </row>
    <row r="9133" spans="10:10" x14ac:dyDescent="0.35">
      <c r="J9133"/>
    </row>
    <row r="9134" spans="10:10" x14ac:dyDescent="0.35">
      <c r="J9134"/>
    </row>
    <row r="9135" spans="10:10" x14ac:dyDescent="0.35">
      <c r="J9135"/>
    </row>
    <row r="9136" spans="10:10" x14ac:dyDescent="0.35">
      <c r="J9136"/>
    </row>
    <row r="9137" spans="10:10" x14ac:dyDescent="0.35">
      <c r="J9137"/>
    </row>
    <row r="9138" spans="10:10" x14ac:dyDescent="0.35">
      <c r="J9138"/>
    </row>
    <row r="9139" spans="10:10" x14ac:dyDescent="0.35">
      <c r="J9139"/>
    </row>
    <row r="9140" spans="10:10" x14ac:dyDescent="0.35">
      <c r="J9140"/>
    </row>
    <row r="9141" spans="10:10" x14ac:dyDescent="0.35">
      <c r="J9141"/>
    </row>
    <row r="9142" spans="10:10" x14ac:dyDescent="0.35">
      <c r="J9142"/>
    </row>
    <row r="9143" spans="10:10" x14ac:dyDescent="0.35">
      <c r="J9143"/>
    </row>
    <row r="9144" spans="10:10" x14ac:dyDescent="0.35">
      <c r="J9144"/>
    </row>
    <row r="9145" spans="10:10" x14ac:dyDescent="0.35">
      <c r="J9145"/>
    </row>
    <row r="9146" spans="10:10" x14ac:dyDescent="0.35">
      <c r="J9146"/>
    </row>
    <row r="9147" spans="10:10" x14ac:dyDescent="0.35">
      <c r="J9147"/>
    </row>
    <row r="9148" spans="10:10" x14ac:dyDescent="0.35">
      <c r="J9148"/>
    </row>
    <row r="9149" spans="10:10" x14ac:dyDescent="0.35">
      <c r="J9149"/>
    </row>
    <row r="9150" spans="10:10" x14ac:dyDescent="0.35">
      <c r="J9150"/>
    </row>
    <row r="9151" spans="10:10" x14ac:dyDescent="0.35">
      <c r="J9151"/>
    </row>
    <row r="9152" spans="10:10" x14ac:dyDescent="0.35">
      <c r="J9152"/>
    </row>
    <row r="9153" spans="10:10" x14ac:dyDescent="0.35">
      <c r="J9153"/>
    </row>
    <row r="9154" spans="10:10" x14ac:dyDescent="0.35">
      <c r="J9154"/>
    </row>
    <row r="9155" spans="10:10" x14ac:dyDescent="0.35">
      <c r="J9155"/>
    </row>
    <row r="9156" spans="10:10" x14ac:dyDescent="0.35">
      <c r="J9156"/>
    </row>
    <row r="9157" spans="10:10" x14ac:dyDescent="0.35">
      <c r="J9157"/>
    </row>
    <row r="9158" spans="10:10" x14ac:dyDescent="0.35">
      <c r="J9158"/>
    </row>
    <row r="9159" spans="10:10" x14ac:dyDescent="0.35">
      <c r="J9159"/>
    </row>
    <row r="9160" spans="10:10" x14ac:dyDescent="0.35">
      <c r="J9160"/>
    </row>
    <row r="9161" spans="10:10" x14ac:dyDescent="0.35">
      <c r="J9161"/>
    </row>
    <row r="9162" spans="10:10" x14ac:dyDescent="0.35">
      <c r="J9162"/>
    </row>
    <row r="9163" spans="10:10" x14ac:dyDescent="0.35">
      <c r="J9163"/>
    </row>
    <row r="9164" spans="10:10" x14ac:dyDescent="0.35">
      <c r="J9164"/>
    </row>
    <row r="9165" spans="10:10" x14ac:dyDescent="0.35">
      <c r="J9165"/>
    </row>
    <row r="9166" spans="10:10" x14ac:dyDescent="0.35">
      <c r="J9166"/>
    </row>
    <row r="9167" spans="10:10" x14ac:dyDescent="0.35">
      <c r="J9167"/>
    </row>
    <row r="9168" spans="10:10" x14ac:dyDescent="0.35">
      <c r="J9168"/>
    </row>
    <row r="9169" spans="10:10" x14ac:dyDescent="0.35">
      <c r="J9169"/>
    </row>
    <row r="9170" spans="10:10" x14ac:dyDescent="0.35">
      <c r="J9170"/>
    </row>
    <row r="9171" spans="10:10" x14ac:dyDescent="0.35">
      <c r="J9171"/>
    </row>
    <row r="9172" spans="10:10" x14ac:dyDescent="0.35">
      <c r="J9172"/>
    </row>
    <row r="9173" spans="10:10" x14ac:dyDescent="0.35">
      <c r="J9173"/>
    </row>
    <row r="9174" spans="10:10" x14ac:dyDescent="0.35">
      <c r="J9174"/>
    </row>
    <row r="9175" spans="10:10" x14ac:dyDescent="0.35">
      <c r="J9175"/>
    </row>
    <row r="9176" spans="10:10" x14ac:dyDescent="0.35">
      <c r="J9176"/>
    </row>
    <row r="9177" spans="10:10" x14ac:dyDescent="0.35">
      <c r="J9177"/>
    </row>
    <row r="9178" spans="10:10" x14ac:dyDescent="0.35">
      <c r="J9178"/>
    </row>
    <row r="9179" spans="10:10" x14ac:dyDescent="0.35">
      <c r="J9179"/>
    </row>
    <row r="9180" spans="10:10" x14ac:dyDescent="0.35">
      <c r="J9180"/>
    </row>
    <row r="9181" spans="10:10" x14ac:dyDescent="0.35">
      <c r="J9181"/>
    </row>
    <row r="9182" spans="10:10" x14ac:dyDescent="0.35">
      <c r="J9182"/>
    </row>
    <row r="9183" spans="10:10" x14ac:dyDescent="0.35">
      <c r="J9183"/>
    </row>
    <row r="9184" spans="10:10" x14ac:dyDescent="0.35">
      <c r="J9184"/>
    </row>
    <row r="9185" spans="10:10" x14ac:dyDescent="0.35">
      <c r="J9185"/>
    </row>
    <row r="9186" spans="10:10" x14ac:dyDescent="0.35">
      <c r="J9186"/>
    </row>
    <row r="9187" spans="10:10" x14ac:dyDescent="0.35">
      <c r="J9187"/>
    </row>
    <row r="9188" spans="10:10" x14ac:dyDescent="0.35">
      <c r="J9188"/>
    </row>
    <row r="9189" spans="10:10" x14ac:dyDescent="0.35">
      <c r="J9189"/>
    </row>
    <row r="9190" spans="10:10" x14ac:dyDescent="0.35">
      <c r="J9190"/>
    </row>
    <row r="9191" spans="10:10" x14ac:dyDescent="0.35">
      <c r="J9191"/>
    </row>
    <row r="9192" spans="10:10" x14ac:dyDescent="0.35">
      <c r="J9192"/>
    </row>
    <row r="9193" spans="10:10" x14ac:dyDescent="0.35">
      <c r="J9193"/>
    </row>
    <row r="9194" spans="10:10" x14ac:dyDescent="0.35">
      <c r="J9194"/>
    </row>
    <row r="9195" spans="10:10" x14ac:dyDescent="0.35">
      <c r="J9195"/>
    </row>
    <row r="9196" spans="10:10" x14ac:dyDescent="0.35">
      <c r="J9196"/>
    </row>
    <row r="9197" spans="10:10" x14ac:dyDescent="0.35">
      <c r="J9197"/>
    </row>
    <row r="9198" spans="10:10" x14ac:dyDescent="0.35">
      <c r="J9198"/>
    </row>
    <row r="9199" spans="10:10" x14ac:dyDescent="0.35">
      <c r="J9199"/>
    </row>
    <row r="9200" spans="10:10" x14ac:dyDescent="0.35">
      <c r="J9200"/>
    </row>
    <row r="9201" spans="10:10" x14ac:dyDescent="0.35">
      <c r="J9201"/>
    </row>
    <row r="9202" spans="10:10" x14ac:dyDescent="0.35">
      <c r="J9202"/>
    </row>
    <row r="9203" spans="10:10" x14ac:dyDescent="0.35">
      <c r="J9203"/>
    </row>
    <row r="9204" spans="10:10" x14ac:dyDescent="0.35">
      <c r="J9204"/>
    </row>
    <row r="9205" spans="10:10" x14ac:dyDescent="0.35">
      <c r="J9205"/>
    </row>
    <row r="9206" spans="10:10" x14ac:dyDescent="0.35">
      <c r="J9206"/>
    </row>
    <row r="9207" spans="10:10" x14ac:dyDescent="0.35">
      <c r="J9207"/>
    </row>
    <row r="9208" spans="10:10" x14ac:dyDescent="0.35">
      <c r="J9208"/>
    </row>
    <row r="9209" spans="10:10" x14ac:dyDescent="0.35">
      <c r="J9209"/>
    </row>
    <row r="9210" spans="10:10" x14ac:dyDescent="0.35">
      <c r="J9210"/>
    </row>
    <row r="9211" spans="10:10" x14ac:dyDescent="0.35">
      <c r="J9211"/>
    </row>
    <row r="9212" spans="10:10" x14ac:dyDescent="0.35">
      <c r="J9212"/>
    </row>
    <row r="9213" spans="10:10" x14ac:dyDescent="0.35">
      <c r="J9213"/>
    </row>
    <row r="9214" spans="10:10" x14ac:dyDescent="0.35">
      <c r="J9214"/>
    </row>
    <row r="9215" spans="10:10" x14ac:dyDescent="0.35">
      <c r="J9215"/>
    </row>
    <row r="9216" spans="10:10" x14ac:dyDescent="0.35">
      <c r="J9216"/>
    </row>
    <row r="9217" spans="10:10" x14ac:dyDescent="0.35">
      <c r="J9217"/>
    </row>
    <row r="9218" spans="10:10" x14ac:dyDescent="0.35">
      <c r="J9218"/>
    </row>
    <row r="9219" spans="10:10" x14ac:dyDescent="0.35">
      <c r="J9219"/>
    </row>
    <row r="9220" spans="10:10" x14ac:dyDescent="0.35">
      <c r="J9220"/>
    </row>
    <row r="9221" spans="10:10" x14ac:dyDescent="0.35">
      <c r="J9221"/>
    </row>
    <row r="9222" spans="10:10" x14ac:dyDescent="0.35">
      <c r="J9222"/>
    </row>
    <row r="9223" spans="10:10" x14ac:dyDescent="0.35">
      <c r="J9223"/>
    </row>
    <row r="9224" spans="10:10" x14ac:dyDescent="0.35">
      <c r="J9224"/>
    </row>
    <row r="9225" spans="10:10" x14ac:dyDescent="0.35">
      <c r="J9225"/>
    </row>
    <row r="9226" spans="10:10" x14ac:dyDescent="0.35">
      <c r="J9226"/>
    </row>
    <row r="9227" spans="10:10" x14ac:dyDescent="0.35">
      <c r="J9227"/>
    </row>
    <row r="9228" spans="10:10" x14ac:dyDescent="0.35">
      <c r="J9228"/>
    </row>
    <row r="9229" spans="10:10" x14ac:dyDescent="0.35">
      <c r="J9229"/>
    </row>
    <row r="9230" spans="10:10" x14ac:dyDescent="0.35">
      <c r="J9230"/>
    </row>
    <row r="9231" spans="10:10" x14ac:dyDescent="0.35">
      <c r="J9231"/>
    </row>
    <row r="9232" spans="10:10" x14ac:dyDescent="0.35">
      <c r="J9232"/>
    </row>
    <row r="9233" spans="10:10" x14ac:dyDescent="0.35">
      <c r="J9233"/>
    </row>
    <row r="9234" spans="10:10" x14ac:dyDescent="0.35">
      <c r="J9234"/>
    </row>
    <row r="9235" spans="10:10" x14ac:dyDescent="0.35">
      <c r="J9235"/>
    </row>
    <row r="9236" spans="10:10" x14ac:dyDescent="0.35">
      <c r="J9236"/>
    </row>
    <row r="9237" spans="10:10" x14ac:dyDescent="0.35">
      <c r="J9237"/>
    </row>
    <row r="9238" spans="10:10" x14ac:dyDescent="0.35">
      <c r="J9238"/>
    </row>
    <row r="9239" spans="10:10" x14ac:dyDescent="0.35">
      <c r="J9239"/>
    </row>
    <row r="9240" spans="10:10" x14ac:dyDescent="0.35">
      <c r="J9240"/>
    </row>
    <row r="9241" spans="10:10" x14ac:dyDescent="0.35">
      <c r="J9241"/>
    </row>
    <row r="9242" spans="10:10" x14ac:dyDescent="0.35">
      <c r="J9242"/>
    </row>
    <row r="9243" spans="10:10" x14ac:dyDescent="0.35">
      <c r="J9243"/>
    </row>
    <row r="9244" spans="10:10" x14ac:dyDescent="0.35">
      <c r="J9244"/>
    </row>
    <row r="9245" spans="10:10" x14ac:dyDescent="0.35">
      <c r="J9245"/>
    </row>
    <row r="9246" spans="10:10" x14ac:dyDescent="0.35">
      <c r="J9246"/>
    </row>
    <row r="9247" spans="10:10" x14ac:dyDescent="0.35">
      <c r="J9247"/>
    </row>
    <row r="9248" spans="10:10" x14ac:dyDescent="0.35">
      <c r="J9248"/>
    </row>
    <row r="9249" spans="10:10" x14ac:dyDescent="0.35">
      <c r="J9249"/>
    </row>
    <row r="9250" spans="10:10" x14ac:dyDescent="0.35">
      <c r="J9250"/>
    </row>
    <row r="9251" spans="10:10" x14ac:dyDescent="0.35">
      <c r="J9251"/>
    </row>
    <row r="9252" spans="10:10" x14ac:dyDescent="0.35">
      <c r="J9252"/>
    </row>
    <row r="9253" spans="10:10" x14ac:dyDescent="0.35">
      <c r="J9253"/>
    </row>
    <row r="9254" spans="10:10" x14ac:dyDescent="0.35">
      <c r="J9254"/>
    </row>
    <row r="9255" spans="10:10" x14ac:dyDescent="0.35">
      <c r="J9255"/>
    </row>
    <row r="9256" spans="10:10" x14ac:dyDescent="0.35">
      <c r="J9256"/>
    </row>
    <row r="9257" spans="10:10" x14ac:dyDescent="0.35">
      <c r="J9257"/>
    </row>
    <row r="9258" spans="10:10" x14ac:dyDescent="0.35">
      <c r="J9258"/>
    </row>
    <row r="9259" spans="10:10" x14ac:dyDescent="0.35">
      <c r="J9259"/>
    </row>
    <row r="9260" spans="10:10" x14ac:dyDescent="0.35">
      <c r="J9260"/>
    </row>
    <row r="9261" spans="10:10" x14ac:dyDescent="0.35">
      <c r="J9261"/>
    </row>
    <row r="9262" spans="10:10" x14ac:dyDescent="0.35">
      <c r="J9262"/>
    </row>
    <row r="9263" spans="10:10" x14ac:dyDescent="0.35">
      <c r="J9263"/>
    </row>
    <row r="9264" spans="10:10" x14ac:dyDescent="0.35">
      <c r="J9264"/>
    </row>
    <row r="9265" spans="10:10" x14ac:dyDescent="0.35">
      <c r="J9265"/>
    </row>
    <row r="9266" spans="10:10" x14ac:dyDescent="0.35">
      <c r="J9266"/>
    </row>
    <row r="9267" spans="10:10" x14ac:dyDescent="0.35">
      <c r="J9267"/>
    </row>
    <row r="9268" spans="10:10" x14ac:dyDescent="0.35">
      <c r="J9268"/>
    </row>
    <row r="9269" spans="10:10" x14ac:dyDescent="0.35">
      <c r="J9269"/>
    </row>
    <row r="9270" spans="10:10" x14ac:dyDescent="0.35">
      <c r="J9270"/>
    </row>
    <row r="9271" spans="10:10" x14ac:dyDescent="0.35">
      <c r="J9271"/>
    </row>
    <row r="9272" spans="10:10" x14ac:dyDescent="0.35">
      <c r="J9272"/>
    </row>
    <row r="9273" spans="10:10" x14ac:dyDescent="0.35">
      <c r="J9273"/>
    </row>
    <row r="9274" spans="10:10" x14ac:dyDescent="0.35">
      <c r="J9274"/>
    </row>
    <row r="9275" spans="10:10" x14ac:dyDescent="0.35">
      <c r="J9275"/>
    </row>
    <row r="9276" spans="10:10" x14ac:dyDescent="0.35">
      <c r="J9276"/>
    </row>
    <row r="9277" spans="10:10" x14ac:dyDescent="0.35">
      <c r="J9277"/>
    </row>
    <row r="9278" spans="10:10" x14ac:dyDescent="0.35">
      <c r="J9278"/>
    </row>
    <row r="9279" spans="10:10" x14ac:dyDescent="0.35">
      <c r="J9279"/>
    </row>
    <row r="9280" spans="10:10" x14ac:dyDescent="0.35">
      <c r="J9280"/>
    </row>
    <row r="9281" spans="10:10" x14ac:dyDescent="0.35">
      <c r="J9281"/>
    </row>
    <row r="9282" spans="10:10" x14ac:dyDescent="0.35">
      <c r="J9282"/>
    </row>
    <row r="9283" spans="10:10" x14ac:dyDescent="0.35">
      <c r="J9283"/>
    </row>
    <row r="9284" spans="10:10" x14ac:dyDescent="0.35">
      <c r="J9284"/>
    </row>
    <row r="9285" spans="10:10" x14ac:dyDescent="0.35">
      <c r="J9285"/>
    </row>
    <row r="9286" spans="10:10" x14ac:dyDescent="0.35">
      <c r="J9286"/>
    </row>
    <row r="9287" spans="10:10" x14ac:dyDescent="0.35">
      <c r="J9287"/>
    </row>
    <row r="9288" spans="10:10" x14ac:dyDescent="0.35">
      <c r="J9288"/>
    </row>
    <row r="9289" spans="10:10" x14ac:dyDescent="0.35">
      <c r="J9289"/>
    </row>
    <row r="9290" spans="10:10" x14ac:dyDescent="0.35">
      <c r="J9290"/>
    </row>
    <row r="9291" spans="10:10" x14ac:dyDescent="0.35">
      <c r="J9291"/>
    </row>
    <row r="9292" spans="10:10" x14ac:dyDescent="0.35">
      <c r="J9292"/>
    </row>
    <row r="9293" spans="10:10" x14ac:dyDescent="0.35">
      <c r="J9293"/>
    </row>
    <row r="9294" spans="10:10" x14ac:dyDescent="0.35">
      <c r="J9294"/>
    </row>
    <row r="9295" spans="10:10" x14ac:dyDescent="0.35">
      <c r="J9295"/>
    </row>
    <row r="9296" spans="10:10" x14ac:dyDescent="0.35">
      <c r="J9296"/>
    </row>
    <row r="9297" spans="10:10" x14ac:dyDescent="0.35">
      <c r="J9297"/>
    </row>
    <row r="9298" spans="10:10" x14ac:dyDescent="0.35">
      <c r="J9298"/>
    </row>
    <row r="9299" spans="10:10" x14ac:dyDescent="0.35">
      <c r="J9299"/>
    </row>
    <row r="9300" spans="10:10" x14ac:dyDescent="0.35">
      <c r="J9300"/>
    </row>
    <row r="9301" spans="10:10" x14ac:dyDescent="0.35">
      <c r="J9301"/>
    </row>
    <row r="9302" spans="10:10" x14ac:dyDescent="0.35">
      <c r="J9302"/>
    </row>
    <row r="9303" spans="10:10" x14ac:dyDescent="0.35">
      <c r="J9303"/>
    </row>
    <row r="9304" spans="10:10" x14ac:dyDescent="0.35">
      <c r="J9304"/>
    </row>
    <row r="9305" spans="10:10" x14ac:dyDescent="0.35">
      <c r="J9305"/>
    </row>
    <row r="9306" spans="10:10" x14ac:dyDescent="0.35">
      <c r="J9306"/>
    </row>
    <row r="9307" spans="10:10" x14ac:dyDescent="0.35">
      <c r="J9307"/>
    </row>
    <row r="9308" spans="10:10" x14ac:dyDescent="0.35">
      <c r="J9308"/>
    </row>
    <row r="9309" spans="10:10" x14ac:dyDescent="0.35">
      <c r="J9309"/>
    </row>
    <row r="9310" spans="10:10" x14ac:dyDescent="0.35">
      <c r="J9310"/>
    </row>
    <row r="9311" spans="10:10" x14ac:dyDescent="0.35">
      <c r="J9311"/>
    </row>
    <row r="9312" spans="10:10" x14ac:dyDescent="0.35">
      <c r="J9312"/>
    </row>
    <row r="9313" spans="10:10" x14ac:dyDescent="0.35">
      <c r="J9313"/>
    </row>
    <row r="9314" spans="10:10" x14ac:dyDescent="0.35">
      <c r="J9314"/>
    </row>
    <row r="9315" spans="10:10" x14ac:dyDescent="0.35">
      <c r="J9315"/>
    </row>
    <row r="9316" spans="10:10" x14ac:dyDescent="0.35">
      <c r="J9316"/>
    </row>
    <row r="9317" spans="10:10" x14ac:dyDescent="0.35">
      <c r="J9317"/>
    </row>
    <row r="9318" spans="10:10" x14ac:dyDescent="0.35">
      <c r="J9318"/>
    </row>
    <row r="9319" spans="10:10" x14ac:dyDescent="0.35">
      <c r="J9319"/>
    </row>
    <row r="9320" spans="10:10" x14ac:dyDescent="0.35">
      <c r="J9320"/>
    </row>
    <row r="9321" spans="10:10" x14ac:dyDescent="0.35">
      <c r="J9321"/>
    </row>
    <row r="9322" spans="10:10" x14ac:dyDescent="0.35">
      <c r="J9322"/>
    </row>
    <row r="9323" spans="10:10" x14ac:dyDescent="0.35">
      <c r="J9323"/>
    </row>
    <row r="9324" spans="10:10" x14ac:dyDescent="0.35">
      <c r="J9324"/>
    </row>
    <row r="9325" spans="10:10" x14ac:dyDescent="0.35">
      <c r="J9325"/>
    </row>
    <row r="9326" spans="10:10" x14ac:dyDescent="0.35">
      <c r="J9326"/>
    </row>
    <row r="9327" spans="10:10" x14ac:dyDescent="0.35">
      <c r="J9327"/>
    </row>
    <row r="9328" spans="10:10" x14ac:dyDescent="0.35">
      <c r="J9328"/>
    </row>
    <row r="9329" spans="10:10" x14ac:dyDescent="0.35">
      <c r="J9329"/>
    </row>
    <row r="9330" spans="10:10" x14ac:dyDescent="0.35">
      <c r="J9330"/>
    </row>
    <row r="9331" spans="10:10" x14ac:dyDescent="0.35">
      <c r="J9331"/>
    </row>
    <row r="9332" spans="10:10" x14ac:dyDescent="0.35">
      <c r="J9332"/>
    </row>
    <row r="9333" spans="10:10" x14ac:dyDescent="0.35">
      <c r="J9333"/>
    </row>
    <row r="9334" spans="10:10" x14ac:dyDescent="0.35">
      <c r="J9334"/>
    </row>
    <row r="9335" spans="10:10" x14ac:dyDescent="0.35">
      <c r="J9335"/>
    </row>
    <row r="9336" spans="10:10" x14ac:dyDescent="0.35">
      <c r="J9336"/>
    </row>
    <row r="9337" spans="10:10" x14ac:dyDescent="0.35">
      <c r="J9337"/>
    </row>
    <row r="9338" spans="10:10" x14ac:dyDescent="0.35">
      <c r="J9338"/>
    </row>
    <row r="9339" spans="10:10" x14ac:dyDescent="0.35">
      <c r="J9339"/>
    </row>
    <row r="9340" spans="10:10" x14ac:dyDescent="0.35">
      <c r="J9340"/>
    </row>
    <row r="9341" spans="10:10" x14ac:dyDescent="0.35">
      <c r="J9341"/>
    </row>
    <row r="9342" spans="10:10" x14ac:dyDescent="0.35">
      <c r="J9342"/>
    </row>
    <row r="9343" spans="10:10" x14ac:dyDescent="0.35">
      <c r="J9343"/>
    </row>
    <row r="9344" spans="10:10" x14ac:dyDescent="0.35">
      <c r="J9344"/>
    </row>
    <row r="9345" spans="10:10" x14ac:dyDescent="0.35">
      <c r="J9345"/>
    </row>
    <row r="9346" spans="10:10" x14ac:dyDescent="0.35">
      <c r="J9346"/>
    </row>
    <row r="9347" spans="10:10" x14ac:dyDescent="0.35">
      <c r="J9347"/>
    </row>
    <row r="9348" spans="10:10" x14ac:dyDescent="0.35">
      <c r="J9348"/>
    </row>
    <row r="9349" spans="10:10" x14ac:dyDescent="0.35">
      <c r="J9349"/>
    </row>
    <row r="9350" spans="10:10" x14ac:dyDescent="0.35">
      <c r="J9350"/>
    </row>
    <row r="9351" spans="10:10" x14ac:dyDescent="0.35">
      <c r="J9351"/>
    </row>
    <row r="9352" spans="10:10" x14ac:dyDescent="0.35">
      <c r="J9352"/>
    </row>
    <row r="9353" spans="10:10" x14ac:dyDescent="0.35">
      <c r="J9353"/>
    </row>
    <row r="9354" spans="10:10" x14ac:dyDescent="0.35">
      <c r="J9354"/>
    </row>
    <row r="9355" spans="10:10" x14ac:dyDescent="0.35">
      <c r="J9355"/>
    </row>
    <row r="9356" spans="10:10" x14ac:dyDescent="0.35">
      <c r="J9356"/>
    </row>
    <row r="9357" spans="10:10" x14ac:dyDescent="0.35">
      <c r="J9357"/>
    </row>
    <row r="9358" spans="10:10" x14ac:dyDescent="0.35">
      <c r="J9358"/>
    </row>
    <row r="9359" spans="10:10" x14ac:dyDescent="0.35">
      <c r="J9359"/>
    </row>
    <row r="9360" spans="10:10" x14ac:dyDescent="0.35">
      <c r="J9360"/>
    </row>
    <row r="9361" spans="10:10" x14ac:dyDescent="0.35">
      <c r="J9361"/>
    </row>
    <row r="9362" spans="10:10" x14ac:dyDescent="0.35">
      <c r="J9362"/>
    </row>
    <row r="9363" spans="10:10" x14ac:dyDescent="0.35">
      <c r="J9363"/>
    </row>
    <row r="9364" spans="10:10" x14ac:dyDescent="0.35">
      <c r="J9364"/>
    </row>
    <row r="9365" spans="10:10" x14ac:dyDescent="0.35">
      <c r="J9365"/>
    </row>
    <row r="9366" spans="10:10" x14ac:dyDescent="0.35">
      <c r="J9366"/>
    </row>
    <row r="9367" spans="10:10" x14ac:dyDescent="0.35">
      <c r="J9367"/>
    </row>
    <row r="9368" spans="10:10" x14ac:dyDescent="0.35">
      <c r="J9368"/>
    </row>
    <row r="9369" spans="10:10" x14ac:dyDescent="0.35">
      <c r="J9369"/>
    </row>
    <row r="9370" spans="10:10" x14ac:dyDescent="0.35">
      <c r="J9370"/>
    </row>
    <row r="9371" spans="10:10" x14ac:dyDescent="0.35">
      <c r="J9371"/>
    </row>
    <row r="9372" spans="10:10" x14ac:dyDescent="0.35">
      <c r="J9372"/>
    </row>
    <row r="9373" spans="10:10" x14ac:dyDescent="0.35">
      <c r="J9373"/>
    </row>
    <row r="9374" spans="10:10" x14ac:dyDescent="0.35">
      <c r="J9374"/>
    </row>
    <row r="9375" spans="10:10" x14ac:dyDescent="0.35">
      <c r="J9375"/>
    </row>
    <row r="9376" spans="10:10" x14ac:dyDescent="0.35">
      <c r="J9376"/>
    </row>
    <row r="9377" spans="10:10" x14ac:dyDescent="0.35">
      <c r="J9377"/>
    </row>
    <row r="9378" spans="10:10" x14ac:dyDescent="0.35">
      <c r="J9378"/>
    </row>
    <row r="9379" spans="10:10" x14ac:dyDescent="0.35">
      <c r="J9379"/>
    </row>
    <row r="9380" spans="10:10" x14ac:dyDescent="0.35">
      <c r="J9380"/>
    </row>
    <row r="9381" spans="10:10" x14ac:dyDescent="0.35">
      <c r="J9381"/>
    </row>
    <row r="9382" spans="10:10" x14ac:dyDescent="0.35">
      <c r="J9382"/>
    </row>
    <row r="9383" spans="10:10" x14ac:dyDescent="0.35">
      <c r="J9383"/>
    </row>
    <row r="9384" spans="10:10" x14ac:dyDescent="0.35">
      <c r="J9384"/>
    </row>
    <row r="9385" spans="10:10" x14ac:dyDescent="0.35">
      <c r="J9385"/>
    </row>
    <row r="9386" spans="10:10" x14ac:dyDescent="0.35">
      <c r="J9386"/>
    </row>
    <row r="9387" spans="10:10" x14ac:dyDescent="0.35">
      <c r="J9387"/>
    </row>
    <row r="9388" spans="10:10" x14ac:dyDescent="0.35">
      <c r="J9388"/>
    </row>
    <row r="9389" spans="10:10" x14ac:dyDescent="0.35">
      <c r="J9389"/>
    </row>
    <row r="9390" spans="10:10" x14ac:dyDescent="0.35">
      <c r="J9390"/>
    </row>
    <row r="9391" spans="10:10" x14ac:dyDescent="0.35">
      <c r="J9391"/>
    </row>
    <row r="9392" spans="10:10" x14ac:dyDescent="0.35">
      <c r="J9392"/>
    </row>
    <row r="9393" spans="10:10" x14ac:dyDescent="0.35">
      <c r="J9393"/>
    </row>
    <row r="9394" spans="10:10" x14ac:dyDescent="0.35">
      <c r="J9394"/>
    </row>
    <row r="9395" spans="10:10" x14ac:dyDescent="0.35">
      <c r="J9395"/>
    </row>
    <row r="9396" spans="10:10" x14ac:dyDescent="0.35">
      <c r="J9396"/>
    </row>
    <row r="9397" spans="10:10" x14ac:dyDescent="0.35">
      <c r="J9397"/>
    </row>
    <row r="9398" spans="10:10" x14ac:dyDescent="0.35">
      <c r="J9398"/>
    </row>
    <row r="9399" spans="10:10" x14ac:dyDescent="0.35">
      <c r="J9399"/>
    </row>
    <row r="9400" spans="10:10" x14ac:dyDescent="0.35">
      <c r="J9400"/>
    </row>
    <row r="9401" spans="10:10" x14ac:dyDescent="0.35">
      <c r="J9401"/>
    </row>
    <row r="9402" spans="10:10" x14ac:dyDescent="0.35">
      <c r="J9402"/>
    </row>
    <row r="9403" spans="10:10" x14ac:dyDescent="0.35">
      <c r="J9403"/>
    </row>
    <row r="9404" spans="10:10" x14ac:dyDescent="0.35">
      <c r="J9404"/>
    </row>
    <row r="9405" spans="10:10" x14ac:dyDescent="0.35">
      <c r="J9405"/>
    </row>
    <row r="9406" spans="10:10" x14ac:dyDescent="0.35">
      <c r="J9406"/>
    </row>
    <row r="9407" spans="10:10" x14ac:dyDescent="0.35">
      <c r="J9407"/>
    </row>
    <row r="9408" spans="10:10" x14ac:dyDescent="0.35">
      <c r="J9408"/>
    </row>
    <row r="9409" spans="10:10" x14ac:dyDescent="0.35">
      <c r="J9409"/>
    </row>
    <row r="9410" spans="10:10" x14ac:dyDescent="0.35">
      <c r="J9410"/>
    </row>
    <row r="9411" spans="10:10" x14ac:dyDescent="0.35">
      <c r="J9411"/>
    </row>
    <row r="9412" spans="10:10" x14ac:dyDescent="0.35">
      <c r="J9412"/>
    </row>
    <row r="9413" spans="10:10" x14ac:dyDescent="0.35">
      <c r="J9413"/>
    </row>
    <row r="9414" spans="10:10" x14ac:dyDescent="0.35">
      <c r="J9414"/>
    </row>
    <row r="9415" spans="10:10" x14ac:dyDescent="0.35">
      <c r="J9415"/>
    </row>
    <row r="9416" spans="10:10" x14ac:dyDescent="0.35">
      <c r="J9416"/>
    </row>
    <row r="9417" spans="10:10" x14ac:dyDescent="0.35">
      <c r="J9417"/>
    </row>
    <row r="9418" spans="10:10" x14ac:dyDescent="0.35">
      <c r="J9418"/>
    </row>
    <row r="9419" spans="10:10" x14ac:dyDescent="0.35">
      <c r="J9419"/>
    </row>
    <row r="9420" spans="10:10" x14ac:dyDescent="0.35">
      <c r="J9420"/>
    </row>
    <row r="9421" spans="10:10" x14ac:dyDescent="0.35">
      <c r="J9421"/>
    </row>
    <row r="9422" spans="10:10" x14ac:dyDescent="0.35">
      <c r="J9422"/>
    </row>
    <row r="9423" spans="10:10" x14ac:dyDescent="0.35">
      <c r="J9423"/>
    </row>
    <row r="9424" spans="10:10" x14ac:dyDescent="0.35">
      <c r="J9424"/>
    </row>
    <row r="9425" spans="10:10" x14ac:dyDescent="0.35">
      <c r="J9425"/>
    </row>
    <row r="9426" spans="10:10" x14ac:dyDescent="0.35">
      <c r="J9426"/>
    </row>
    <row r="9427" spans="10:10" x14ac:dyDescent="0.35">
      <c r="J9427"/>
    </row>
    <row r="9428" spans="10:10" x14ac:dyDescent="0.35">
      <c r="J9428"/>
    </row>
    <row r="9429" spans="10:10" x14ac:dyDescent="0.35">
      <c r="J9429"/>
    </row>
    <row r="9430" spans="10:10" x14ac:dyDescent="0.35">
      <c r="J9430"/>
    </row>
    <row r="9431" spans="10:10" x14ac:dyDescent="0.35">
      <c r="J9431"/>
    </row>
    <row r="9432" spans="10:10" x14ac:dyDescent="0.35">
      <c r="J9432"/>
    </row>
    <row r="9433" spans="10:10" x14ac:dyDescent="0.35">
      <c r="J9433"/>
    </row>
    <row r="9434" spans="10:10" x14ac:dyDescent="0.35">
      <c r="J9434"/>
    </row>
    <row r="9435" spans="10:10" x14ac:dyDescent="0.35">
      <c r="J9435"/>
    </row>
    <row r="9436" spans="10:10" x14ac:dyDescent="0.35">
      <c r="J9436"/>
    </row>
    <row r="9437" spans="10:10" x14ac:dyDescent="0.35">
      <c r="J9437"/>
    </row>
    <row r="9438" spans="10:10" x14ac:dyDescent="0.35">
      <c r="J9438"/>
    </row>
    <row r="9439" spans="10:10" x14ac:dyDescent="0.35">
      <c r="J9439"/>
    </row>
    <row r="9440" spans="10:10" x14ac:dyDescent="0.35">
      <c r="J9440"/>
    </row>
    <row r="9441" spans="10:10" x14ac:dyDescent="0.35">
      <c r="J9441"/>
    </row>
    <row r="9442" spans="10:10" x14ac:dyDescent="0.35">
      <c r="J9442"/>
    </row>
    <row r="9443" spans="10:10" x14ac:dyDescent="0.35">
      <c r="J9443"/>
    </row>
    <row r="9444" spans="10:10" x14ac:dyDescent="0.35">
      <c r="J9444"/>
    </row>
    <row r="9445" spans="10:10" x14ac:dyDescent="0.35">
      <c r="J9445"/>
    </row>
    <row r="9446" spans="10:10" x14ac:dyDescent="0.35">
      <c r="J9446"/>
    </row>
    <row r="9447" spans="10:10" x14ac:dyDescent="0.35">
      <c r="J9447"/>
    </row>
    <row r="9448" spans="10:10" x14ac:dyDescent="0.35">
      <c r="J9448"/>
    </row>
    <row r="9449" spans="10:10" x14ac:dyDescent="0.35">
      <c r="J9449"/>
    </row>
    <row r="9450" spans="10:10" x14ac:dyDescent="0.35">
      <c r="J9450"/>
    </row>
    <row r="9451" spans="10:10" x14ac:dyDescent="0.35">
      <c r="J9451"/>
    </row>
    <row r="9452" spans="10:10" x14ac:dyDescent="0.35">
      <c r="J9452"/>
    </row>
    <row r="9453" spans="10:10" x14ac:dyDescent="0.35">
      <c r="J9453"/>
    </row>
    <row r="9454" spans="10:10" x14ac:dyDescent="0.35">
      <c r="J9454"/>
    </row>
    <row r="9455" spans="10:10" x14ac:dyDescent="0.35">
      <c r="J9455"/>
    </row>
    <row r="9456" spans="10:10" x14ac:dyDescent="0.35">
      <c r="J9456"/>
    </row>
    <row r="9457" spans="10:10" x14ac:dyDescent="0.35">
      <c r="J9457"/>
    </row>
    <row r="9458" spans="10:10" x14ac:dyDescent="0.35">
      <c r="J9458"/>
    </row>
    <row r="9459" spans="10:10" x14ac:dyDescent="0.35">
      <c r="J9459"/>
    </row>
    <row r="9460" spans="10:10" x14ac:dyDescent="0.35">
      <c r="J9460"/>
    </row>
    <row r="9461" spans="10:10" x14ac:dyDescent="0.35">
      <c r="J9461"/>
    </row>
    <row r="9462" spans="10:10" x14ac:dyDescent="0.35">
      <c r="J9462"/>
    </row>
    <row r="9463" spans="10:10" x14ac:dyDescent="0.35">
      <c r="J9463"/>
    </row>
    <row r="9464" spans="10:10" x14ac:dyDescent="0.35">
      <c r="J9464"/>
    </row>
    <row r="9465" spans="10:10" x14ac:dyDescent="0.35">
      <c r="J9465"/>
    </row>
    <row r="9466" spans="10:10" x14ac:dyDescent="0.35">
      <c r="J9466"/>
    </row>
    <row r="9467" spans="10:10" x14ac:dyDescent="0.35">
      <c r="J9467"/>
    </row>
    <row r="9468" spans="10:10" x14ac:dyDescent="0.35">
      <c r="J9468"/>
    </row>
    <row r="9469" spans="10:10" x14ac:dyDescent="0.35">
      <c r="J9469"/>
    </row>
    <row r="9470" spans="10:10" x14ac:dyDescent="0.35">
      <c r="J9470"/>
    </row>
    <row r="9471" spans="10:10" x14ac:dyDescent="0.35">
      <c r="J9471"/>
    </row>
    <row r="9472" spans="10:10" x14ac:dyDescent="0.35">
      <c r="J9472"/>
    </row>
    <row r="9473" spans="10:10" x14ac:dyDescent="0.35">
      <c r="J9473"/>
    </row>
    <row r="9474" spans="10:10" x14ac:dyDescent="0.35">
      <c r="J9474"/>
    </row>
    <row r="9475" spans="10:10" x14ac:dyDescent="0.35">
      <c r="J9475"/>
    </row>
    <row r="9476" spans="10:10" x14ac:dyDescent="0.35">
      <c r="J9476"/>
    </row>
    <row r="9477" spans="10:10" x14ac:dyDescent="0.35">
      <c r="J9477"/>
    </row>
    <row r="9478" spans="10:10" x14ac:dyDescent="0.35">
      <c r="J9478"/>
    </row>
    <row r="9479" spans="10:10" x14ac:dyDescent="0.35">
      <c r="J9479"/>
    </row>
    <row r="9480" spans="10:10" x14ac:dyDescent="0.35">
      <c r="J9480"/>
    </row>
    <row r="9481" spans="10:10" x14ac:dyDescent="0.35">
      <c r="J9481"/>
    </row>
    <row r="9482" spans="10:10" x14ac:dyDescent="0.35">
      <c r="J9482"/>
    </row>
    <row r="9483" spans="10:10" x14ac:dyDescent="0.35">
      <c r="J9483"/>
    </row>
    <row r="9484" spans="10:10" x14ac:dyDescent="0.35">
      <c r="J9484"/>
    </row>
    <row r="9485" spans="10:10" x14ac:dyDescent="0.35">
      <c r="J9485"/>
    </row>
    <row r="9486" spans="10:10" x14ac:dyDescent="0.35">
      <c r="J9486"/>
    </row>
    <row r="9487" spans="10:10" x14ac:dyDescent="0.35">
      <c r="J9487"/>
    </row>
    <row r="9488" spans="10:10" x14ac:dyDescent="0.35">
      <c r="J9488"/>
    </row>
    <row r="9489" spans="10:10" x14ac:dyDescent="0.35">
      <c r="J9489"/>
    </row>
    <row r="9490" spans="10:10" x14ac:dyDescent="0.35">
      <c r="J9490"/>
    </row>
    <row r="9491" spans="10:10" x14ac:dyDescent="0.35">
      <c r="J9491"/>
    </row>
    <row r="9492" spans="10:10" x14ac:dyDescent="0.35">
      <c r="J9492"/>
    </row>
    <row r="9493" spans="10:10" x14ac:dyDescent="0.35">
      <c r="J9493"/>
    </row>
    <row r="9494" spans="10:10" x14ac:dyDescent="0.35">
      <c r="J9494"/>
    </row>
    <row r="9495" spans="10:10" x14ac:dyDescent="0.35">
      <c r="J9495"/>
    </row>
    <row r="9496" spans="10:10" x14ac:dyDescent="0.35">
      <c r="J9496"/>
    </row>
    <row r="9497" spans="10:10" x14ac:dyDescent="0.35">
      <c r="J9497"/>
    </row>
    <row r="9498" spans="10:10" x14ac:dyDescent="0.35">
      <c r="J9498"/>
    </row>
    <row r="9499" spans="10:10" x14ac:dyDescent="0.35">
      <c r="J9499"/>
    </row>
    <row r="9500" spans="10:10" x14ac:dyDescent="0.35">
      <c r="J9500"/>
    </row>
    <row r="9501" spans="10:10" x14ac:dyDescent="0.35">
      <c r="J9501"/>
    </row>
    <row r="9502" spans="10:10" x14ac:dyDescent="0.35">
      <c r="J9502"/>
    </row>
    <row r="9503" spans="10:10" x14ac:dyDescent="0.35">
      <c r="J9503"/>
    </row>
    <row r="9504" spans="10:10" x14ac:dyDescent="0.35">
      <c r="J9504"/>
    </row>
    <row r="9505" spans="10:10" x14ac:dyDescent="0.35">
      <c r="J9505"/>
    </row>
    <row r="9506" spans="10:10" x14ac:dyDescent="0.35">
      <c r="J9506"/>
    </row>
    <row r="9507" spans="10:10" x14ac:dyDescent="0.35">
      <c r="J9507"/>
    </row>
    <row r="9508" spans="10:10" x14ac:dyDescent="0.35">
      <c r="J9508"/>
    </row>
    <row r="9509" spans="10:10" x14ac:dyDescent="0.35">
      <c r="J9509"/>
    </row>
    <row r="9510" spans="10:10" x14ac:dyDescent="0.35">
      <c r="J9510"/>
    </row>
    <row r="9511" spans="10:10" x14ac:dyDescent="0.35">
      <c r="J9511"/>
    </row>
    <row r="9512" spans="10:10" x14ac:dyDescent="0.35">
      <c r="J9512"/>
    </row>
    <row r="9513" spans="10:10" x14ac:dyDescent="0.35">
      <c r="J9513"/>
    </row>
    <row r="9514" spans="10:10" x14ac:dyDescent="0.35">
      <c r="J9514"/>
    </row>
    <row r="9515" spans="10:10" x14ac:dyDescent="0.35">
      <c r="J9515"/>
    </row>
    <row r="9516" spans="10:10" x14ac:dyDescent="0.35">
      <c r="J9516"/>
    </row>
    <row r="9517" spans="10:10" x14ac:dyDescent="0.35">
      <c r="J9517"/>
    </row>
    <row r="9518" spans="10:10" x14ac:dyDescent="0.35">
      <c r="J9518"/>
    </row>
    <row r="9519" spans="10:10" x14ac:dyDescent="0.35">
      <c r="J9519"/>
    </row>
    <row r="9520" spans="10:10" x14ac:dyDescent="0.35">
      <c r="J9520"/>
    </row>
    <row r="9521" spans="10:10" x14ac:dyDescent="0.35">
      <c r="J9521"/>
    </row>
    <row r="9522" spans="10:10" x14ac:dyDescent="0.35">
      <c r="J9522"/>
    </row>
    <row r="9523" spans="10:10" x14ac:dyDescent="0.35">
      <c r="J9523"/>
    </row>
    <row r="9524" spans="10:10" x14ac:dyDescent="0.35">
      <c r="J9524"/>
    </row>
    <row r="9525" spans="10:10" x14ac:dyDescent="0.35">
      <c r="J9525"/>
    </row>
    <row r="9526" spans="10:10" x14ac:dyDescent="0.35">
      <c r="J9526"/>
    </row>
    <row r="9527" spans="10:10" x14ac:dyDescent="0.35">
      <c r="J9527"/>
    </row>
    <row r="9528" spans="10:10" x14ac:dyDescent="0.35">
      <c r="J9528"/>
    </row>
    <row r="9529" spans="10:10" x14ac:dyDescent="0.35">
      <c r="J9529"/>
    </row>
    <row r="9530" spans="10:10" x14ac:dyDescent="0.35">
      <c r="J9530"/>
    </row>
    <row r="9531" spans="10:10" x14ac:dyDescent="0.35">
      <c r="J9531"/>
    </row>
    <row r="9532" spans="10:10" x14ac:dyDescent="0.35">
      <c r="J9532"/>
    </row>
    <row r="9533" spans="10:10" x14ac:dyDescent="0.35">
      <c r="J9533"/>
    </row>
    <row r="9534" spans="10:10" x14ac:dyDescent="0.35">
      <c r="J9534"/>
    </row>
    <row r="9535" spans="10:10" x14ac:dyDescent="0.35">
      <c r="J9535"/>
    </row>
    <row r="9536" spans="10:10" x14ac:dyDescent="0.35">
      <c r="J9536"/>
    </row>
    <row r="9537" spans="10:10" x14ac:dyDescent="0.35">
      <c r="J9537"/>
    </row>
    <row r="9538" spans="10:10" x14ac:dyDescent="0.35">
      <c r="J9538"/>
    </row>
    <row r="9539" spans="10:10" x14ac:dyDescent="0.35">
      <c r="J9539"/>
    </row>
    <row r="9540" spans="10:10" x14ac:dyDescent="0.35">
      <c r="J9540"/>
    </row>
    <row r="9541" spans="10:10" x14ac:dyDescent="0.35">
      <c r="J9541"/>
    </row>
    <row r="9542" spans="10:10" x14ac:dyDescent="0.35">
      <c r="J9542"/>
    </row>
    <row r="9543" spans="10:10" x14ac:dyDescent="0.35">
      <c r="J9543"/>
    </row>
    <row r="9544" spans="10:10" x14ac:dyDescent="0.35">
      <c r="J9544"/>
    </row>
    <row r="9545" spans="10:10" x14ac:dyDescent="0.35">
      <c r="J9545"/>
    </row>
    <row r="9546" spans="10:10" x14ac:dyDescent="0.35">
      <c r="J9546"/>
    </row>
    <row r="9547" spans="10:10" x14ac:dyDescent="0.35">
      <c r="J9547"/>
    </row>
    <row r="9548" spans="10:10" x14ac:dyDescent="0.35">
      <c r="J9548"/>
    </row>
    <row r="9549" spans="10:10" x14ac:dyDescent="0.35">
      <c r="J9549"/>
    </row>
    <row r="9550" spans="10:10" x14ac:dyDescent="0.35">
      <c r="J9550"/>
    </row>
    <row r="9551" spans="10:10" x14ac:dyDescent="0.35">
      <c r="J9551"/>
    </row>
    <row r="9552" spans="10:10" x14ac:dyDescent="0.35">
      <c r="J9552"/>
    </row>
    <row r="9553" spans="10:10" x14ac:dyDescent="0.35">
      <c r="J9553"/>
    </row>
    <row r="9554" spans="10:10" x14ac:dyDescent="0.35">
      <c r="J9554"/>
    </row>
    <row r="9555" spans="10:10" x14ac:dyDescent="0.35">
      <c r="J9555"/>
    </row>
    <row r="9556" spans="10:10" x14ac:dyDescent="0.35">
      <c r="J9556"/>
    </row>
    <row r="9557" spans="10:10" x14ac:dyDescent="0.35">
      <c r="J9557"/>
    </row>
    <row r="9558" spans="10:10" x14ac:dyDescent="0.35">
      <c r="J9558"/>
    </row>
    <row r="9559" spans="10:10" x14ac:dyDescent="0.35">
      <c r="J9559"/>
    </row>
    <row r="9560" spans="10:10" x14ac:dyDescent="0.35">
      <c r="J9560"/>
    </row>
    <row r="9561" spans="10:10" x14ac:dyDescent="0.35">
      <c r="J9561"/>
    </row>
    <row r="9562" spans="10:10" x14ac:dyDescent="0.35">
      <c r="J9562"/>
    </row>
    <row r="9563" spans="10:10" x14ac:dyDescent="0.35">
      <c r="J9563"/>
    </row>
    <row r="9564" spans="10:10" x14ac:dyDescent="0.35">
      <c r="J9564"/>
    </row>
    <row r="9565" spans="10:10" x14ac:dyDescent="0.35">
      <c r="J9565"/>
    </row>
    <row r="9566" spans="10:10" x14ac:dyDescent="0.35">
      <c r="J9566"/>
    </row>
    <row r="9567" spans="10:10" x14ac:dyDescent="0.35">
      <c r="J9567"/>
    </row>
    <row r="9568" spans="10:10" x14ac:dyDescent="0.35">
      <c r="J9568"/>
    </row>
    <row r="9569" spans="10:10" x14ac:dyDescent="0.35">
      <c r="J9569"/>
    </row>
    <row r="9570" spans="10:10" x14ac:dyDescent="0.35">
      <c r="J9570"/>
    </row>
    <row r="9571" spans="10:10" x14ac:dyDescent="0.35">
      <c r="J9571"/>
    </row>
    <row r="9572" spans="10:10" x14ac:dyDescent="0.35">
      <c r="J9572"/>
    </row>
    <row r="9573" spans="10:10" x14ac:dyDescent="0.35">
      <c r="J9573"/>
    </row>
    <row r="9574" spans="10:10" x14ac:dyDescent="0.35">
      <c r="J9574"/>
    </row>
    <row r="9575" spans="10:10" x14ac:dyDescent="0.35">
      <c r="J9575"/>
    </row>
    <row r="9576" spans="10:10" x14ac:dyDescent="0.35">
      <c r="J9576"/>
    </row>
    <row r="9577" spans="10:10" x14ac:dyDescent="0.35">
      <c r="J9577"/>
    </row>
    <row r="9578" spans="10:10" x14ac:dyDescent="0.35">
      <c r="J9578"/>
    </row>
    <row r="9579" spans="10:10" x14ac:dyDescent="0.35">
      <c r="J9579"/>
    </row>
    <row r="9580" spans="10:10" x14ac:dyDescent="0.35">
      <c r="J9580"/>
    </row>
    <row r="9581" spans="10:10" x14ac:dyDescent="0.35">
      <c r="J9581"/>
    </row>
    <row r="9582" spans="10:10" x14ac:dyDescent="0.35">
      <c r="J9582"/>
    </row>
    <row r="9583" spans="10:10" x14ac:dyDescent="0.35">
      <c r="J9583"/>
    </row>
    <row r="9584" spans="10:10" x14ac:dyDescent="0.35">
      <c r="J9584"/>
    </row>
    <row r="9585" spans="10:10" x14ac:dyDescent="0.35">
      <c r="J9585"/>
    </row>
    <row r="9586" spans="10:10" x14ac:dyDescent="0.35">
      <c r="J9586"/>
    </row>
    <row r="9587" spans="10:10" x14ac:dyDescent="0.35">
      <c r="J9587"/>
    </row>
    <row r="9588" spans="10:10" x14ac:dyDescent="0.35">
      <c r="J9588"/>
    </row>
    <row r="9589" spans="10:10" x14ac:dyDescent="0.35">
      <c r="J9589"/>
    </row>
    <row r="9590" spans="10:10" x14ac:dyDescent="0.35">
      <c r="J9590"/>
    </row>
    <row r="9591" spans="10:10" x14ac:dyDescent="0.35">
      <c r="J9591"/>
    </row>
    <row r="9592" spans="10:10" x14ac:dyDescent="0.35">
      <c r="J9592"/>
    </row>
    <row r="9593" spans="10:10" x14ac:dyDescent="0.35">
      <c r="J9593"/>
    </row>
    <row r="9594" spans="10:10" x14ac:dyDescent="0.35">
      <c r="J9594"/>
    </row>
    <row r="9595" spans="10:10" x14ac:dyDescent="0.35">
      <c r="J9595"/>
    </row>
    <row r="9596" spans="10:10" x14ac:dyDescent="0.35">
      <c r="J9596"/>
    </row>
    <row r="9597" spans="10:10" x14ac:dyDescent="0.35">
      <c r="J9597"/>
    </row>
    <row r="9598" spans="10:10" x14ac:dyDescent="0.35">
      <c r="J9598"/>
    </row>
    <row r="9599" spans="10:10" x14ac:dyDescent="0.35">
      <c r="J9599"/>
    </row>
    <row r="9600" spans="10:10" x14ac:dyDescent="0.35">
      <c r="J9600"/>
    </row>
    <row r="9601" spans="10:10" x14ac:dyDescent="0.35">
      <c r="J9601"/>
    </row>
    <row r="9602" spans="10:10" x14ac:dyDescent="0.35">
      <c r="J9602"/>
    </row>
    <row r="9603" spans="10:10" x14ac:dyDescent="0.35">
      <c r="J9603"/>
    </row>
    <row r="9604" spans="10:10" x14ac:dyDescent="0.35">
      <c r="J9604"/>
    </row>
    <row r="9605" spans="10:10" x14ac:dyDescent="0.35">
      <c r="J9605"/>
    </row>
    <row r="9606" spans="10:10" x14ac:dyDescent="0.35">
      <c r="J9606"/>
    </row>
    <row r="9607" spans="10:10" x14ac:dyDescent="0.35">
      <c r="J9607"/>
    </row>
    <row r="9608" spans="10:10" x14ac:dyDescent="0.35">
      <c r="J9608"/>
    </row>
    <row r="9609" spans="10:10" x14ac:dyDescent="0.35">
      <c r="J9609"/>
    </row>
    <row r="9610" spans="10:10" x14ac:dyDescent="0.35">
      <c r="J9610"/>
    </row>
    <row r="9611" spans="10:10" x14ac:dyDescent="0.35">
      <c r="J9611"/>
    </row>
    <row r="9612" spans="10:10" x14ac:dyDescent="0.35">
      <c r="J9612"/>
    </row>
    <row r="9613" spans="10:10" x14ac:dyDescent="0.35">
      <c r="J9613"/>
    </row>
    <row r="9614" spans="10:10" x14ac:dyDescent="0.35">
      <c r="J9614"/>
    </row>
    <row r="9615" spans="10:10" x14ac:dyDescent="0.35">
      <c r="J9615"/>
    </row>
    <row r="9616" spans="10:10" x14ac:dyDescent="0.35">
      <c r="J9616"/>
    </row>
    <row r="9617" spans="10:10" x14ac:dyDescent="0.35">
      <c r="J9617"/>
    </row>
    <row r="9618" spans="10:10" x14ac:dyDescent="0.35">
      <c r="J9618"/>
    </row>
    <row r="9619" spans="10:10" x14ac:dyDescent="0.35">
      <c r="J9619"/>
    </row>
    <row r="9620" spans="10:10" x14ac:dyDescent="0.35">
      <c r="J9620"/>
    </row>
    <row r="9621" spans="10:10" x14ac:dyDescent="0.35">
      <c r="J9621"/>
    </row>
    <row r="9622" spans="10:10" x14ac:dyDescent="0.35">
      <c r="J9622"/>
    </row>
    <row r="9623" spans="10:10" x14ac:dyDescent="0.35">
      <c r="J9623"/>
    </row>
    <row r="9624" spans="10:10" x14ac:dyDescent="0.35">
      <c r="J9624"/>
    </row>
    <row r="9625" spans="10:10" x14ac:dyDescent="0.35">
      <c r="J9625"/>
    </row>
    <row r="9626" spans="10:10" x14ac:dyDescent="0.35">
      <c r="J9626"/>
    </row>
    <row r="9627" spans="10:10" x14ac:dyDescent="0.35">
      <c r="J9627"/>
    </row>
    <row r="9628" spans="10:10" x14ac:dyDescent="0.35">
      <c r="J9628"/>
    </row>
    <row r="9629" spans="10:10" x14ac:dyDescent="0.35">
      <c r="J9629"/>
    </row>
    <row r="9630" spans="10:10" x14ac:dyDescent="0.35">
      <c r="J9630"/>
    </row>
    <row r="9631" spans="10:10" x14ac:dyDescent="0.35">
      <c r="J9631"/>
    </row>
    <row r="9632" spans="10:10" x14ac:dyDescent="0.35">
      <c r="J9632"/>
    </row>
    <row r="9633" spans="10:10" x14ac:dyDescent="0.35">
      <c r="J9633"/>
    </row>
    <row r="9634" spans="10:10" x14ac:dyDescent="0.35">
      <c r="J9634"/>
    </row>
    <row r="9635" spans="10:10" x14ac:dyDescent="0.35">
      <c r="J9635"/>
    </row>
    <row r="9636" spans="10:10" x14ac:dyDescent="0.35">
      <c r="J9636"/>
    </row>
    <row r="9637" spans="10:10" x14ac:dyDescent="0.35">
      <c r="J9637"/>
    </row>
    <row r="9638" spans="10:10" x14ac:dyDescent="0.35">
      <c r="J9638"/>
    </row>
    <row r="9639" spans="10:10" x14ac:dyDescent="0.35">
      <c r="J9639"/>
    </row>
    <row r="9640" spans="10:10" x14ac:dyDescent="0.35">
      <c r="J9640"/>
    </row>
    <row r="9641" spans="10:10" x14ac:dyDescent="0.35">
      <c r="J9641"/>
    </row>
    <row r="9642" spans="10:10" x14ac:dyDescent="0.35">
      <c r="J9642"/>
    </row>
    <row r="9643" spans="10:10" x14ac:dyDescent="0.35">
      <c r="J9643"/>
    </row>
    <row r="9644" spans="10:10" x14ac:dyDescent="0.35">
      <c r="J9644"/>
    </row>
    <row r="9645" spans="10:10" x14ac:dyDescent="0.35">
      <c r="J9645"/>
    </row>
    <row r="9646" spans="10:10" x14ac:dyDescent="0.35">
      <c r="J9646"/>
    </row>
    <row r="9647" spans="10:10" x14ac:dyDescent="0.35">
      <c r="J9647"/>
    </row>
    <row r="9648" spans="10:10" x14ac:dyDescent="0.35">
      <c r="J9648"/>
    </row>
    <row r="9649" spans="10:10" x14ac:dyDescent="0.35">
      <c r="J9649"/>
    </row>
    <row r="9650" spans="10:10" x14ac:dyDescent="0.35">
      <c r="J9650"/>
    </row>
    <row r="9651" spans="10:10" x14ac:dyDescent="0.35">
      <c r="J9651"/>
    </row>
    <row r="9652" spans="10:10" x14ac:dyDescent="0.35">
      <c r="J9652"/>
    </row>
    <row r="9653" spans="10:10" x14ac:dyDescent="0.35">
      <c r="J9653"/>
    </row>
    <row r="9654" spans="10:10" x14ac:dyDescent="0.35">
      <c r="J9654"/>
    </row>
    <row r="9655" spans="10:10" x14ac:dyDescent="0.35">
      <c r="J9655"/>
    </row>
    <row r="9656" spans="10:10" x14ac:dyDescent="0.35">
      <c r="J9656"/>
    </row>
    <row r="9657" spans="10:10" x14ac:dyDescent="0.35">
      <c r="J9657"/>
    </row>
    <row r="9658" spans="10:10" x14ac:dyDescent="0.35">
      <c r="J9658"/>
    </row>
    <row r="9659" spans="10:10" x14ac:dyDescent="0.35">
      <c r="J9659"/>
    </row>
    <row r="9660" spans="10:10" x14ac:dyDescent="0.35">
      <c r="J9660"/>
    </row>
    <row r="9661" spans="10:10" x14ac:dyDescent="0.35">
      <c r="J9661"/>
    </row>
    <row r="9662" spans="10:10" x14ac:dyDescent="0.35">
      <c r="J9662"/>
    </row>
    <row r="9663" spans="10:10" x14ac:dyDescent="0.35">
      <c r="J9663"/>
    </row>
    <row r="9664" spans="10:10" x14ac:dyDescent="0.35">
      <c r="J9664"/>
    </row>
    <row r="9665" spans="10:10" x14ac:dyDescent="0.35">
      <c r="J9665"/>
    </row>
    <row r="9666" spans="10:10" x14ac:dyDescent="0.35">
      <c r="J9666"/>
    </row>
    <row r="9667" spans="10:10" x14ac:dyDescent="0.35">
      <c r="J9667"/>
    </row>
    <row r="9668" spans="10:10" x14ac:dyDescent="0.35">
      <c r="J9668"/>
    </row>
    <row r="9669" spans="10:10" x14ac:dyDescent="0.35">
      <c r="J9669"/>
    </row>
    <row r="9670" spans="10:10" x14ac:dyDescent="0.35">
      <c r="J9670"/>
    </row>
    <row r="9671" spans="10:10" x14ac:dyDescent="0.35">
      <c r="J9671"/>
    </row>
    <row r="9672" spans="10:10" x14ac:dyDescent="0.35">
      <c r="J9672"/>
    </row>
    <row r="9673" spans="10:10" x14ac:dyDescent="0.35">
      <c r="J9673"/>
    </row>
    <row r="9674" spans="10:10" x14ac:dyDescent="0.35">
      <c r="J9674"/>
    </row>
    <row r="9675" spans="10:10" x14ac:dyDescent="0.35">
      <c r="J9675"/>
    </row>
    <row r="9676" spans="10:10" x14ac:dyDescent="0.35">
      <c r="J9676"/>
    </row>
    <row r="9677" spans="10:10" x14ac:dyDescent="0.35">
      <c r="J9677"/>
    </row>
    <row r="9678" spans="10:10" x14ac:dyDescent="0.35">
      <c r="J9678"/>
    </row>
    <row r="9679" spans="10:10" x14ac:dyDescent="0.35">
      <c r="J9679"/>
    </row>
    <row r="9680" spans="10:10" x14ac:dyDescent="0.35">
      <c r="J9680"/>
    </row>
    <row r="9681" spans="10:10" x14ac:dyDescent="0.35">
      <c r="J9681"/>
    </row>
    <row r="9682" spans="10:10" x14ac:dyDescent="0.35">
      <c r="J9682"/>
    </row>
    <row r="9683" spans="10:10" x14ac:dyDescent="0.35">
      <c r="J9683"/>
    </row>
    <row r="9684" spans="10:10" x14ac:dyDescent="0.35">
      <c r="J9684"/>
    </row>
    <row r="9685" spans="10:10" x14ac:dyDescent="0.35">
      <c r="J9685"/>
    </row>
    <row r="9686" spans="10:10" x14ac:dyDescent="0.35">
      <c r="J9686"/>
    </row>
    <row r="9687" spans="10:10" x14ac:dyDescent="0.35">
      <c r="J9687"/>
    </row>
    <row r="9688" spans="10:10" x14ac:dyDescent="0.35">
      <c r="J9688"/>
    </row>
    <row r="9689" spans="10:10" x14ac:dyDescent="0.35">
      <c r="J9689"/>
    </row>
    <row r="9690" spans="10:10" x14ac:dyDescent="0.35">
      <c r="J9690"/>
    </row>
    <row r="9691" spans="10:10" x14ac:dyDescent="0.35">
      <c r="J9691"/>
    </row>
    <row r="9692" spans="10:10" x14ac:dyDescent="0.35">
      <c r="J9692"/>
    </row>
    <row r="9693" spans="10:10" x14ac:dyDescent="0.35">
      <c r="J9693"/>
    </row>
    <row r="9694" spans="10:10" x14ac:dyDescent="0.35">
      <c r="J9694"/>
    </row>
    <row r="9695" spans="10:10" x14ac:dyDescent="0.35">
      <c r="J9695"/>
    </row>
    <row r="9696" spans="10:10" x14ac:dyDescent="0.35">
      <c r="J9696"/>
    </row>
    <row r="9697" spans="10:10" x14ac:dyDescent="0.35">
      <c r="J9697"/>
    </row>
    <row r="9698" spans="10:10" x14ac:dyDescent="0.35">
      <c r="J9698"/>
    </row>
    <row r="9699" spans="10:10" x14ac:dyDescent="0.35">
      <c r="J9699"/>
    </row>
    <row r="9700" spans="10:10" x14ac:dyDescent="0.35">
      <c r="J9700"/>
    </row>
    <row r="9701" spans="10:10" x14ac:dyDescent="0.35">
      <c r="J9701"/>
    </row>
    <row r="9702" spans="10:10" x14ac:dyDescent="0.35">
      <c r="J9702"/>
    </row>
    <row r="9703" spans="10:10" x14ac:dyDescent="0.35">
      <c r="J9703"/>
    </row>
    <row r="9704" spans="10:10" x14ac:dyDescent="0.35">
      <c r="J9704"/>
    </row>
    <row r="9705" spans="10:10" x14ac:dyDescent="0.35">
      <c r="J9705"/>
    </row>
    <row r="9706" spans="10:10" x14ac:dyDescent="0.35">
      <c r="J9706"/>
    </row>
    <row r="9707" spans="10:10" x14ac:dyDescent="0.35">
      <c r="J9707"/>
    </row>
    <row r="9708" spans="10:10" x14ac:dyDescent="0.35">
      <c r="J9708"/>
    </row>
    <row r="9709" spans="10:10" x14ac:dyDescent="0.35">
      <c r="J9709"/>
    </row>
    <row r="9710" spans="10:10" x14ac:dyDescent="0.35">
      <c r="J9710"/>
    </row>
    <row r="9711" spans="10:10" x14ac:dyDescent="0.35">
      <c r="J9711"/>
    </row>
    <row r="9712" spans="10:10" x14ac:dyDescent="0.35">
      <c r="J9712"/>
    </row>
    <row r="9713" spans="10:10" x14ac:dyDescent="0.35">
      <c r="J9713"/>
    </row>
    <row r="9714" spans="10:10" x14ac:dyDescent="0.35">
      <c r="J9714"/>
    </row>
    <row r="9715" spans="10:10" x14ac:dyDescent="0.35">
      <c r="J9715"/>
    </row>
    <row r="9716" spans="10:10" x14ac:dyDescent="0.35">
      <c r="J9716"/>
    </row>
    <row r="9717" spans="10:10" x14ac:dyDescent="0.35">
      <c r="J9717"/>
    </row>
    <row r="9718" spans="10:10" x14ac:dyDescent="0.35">
      <c r="J9718"/>
    </row>
    <row r="9719" spans="10:10" x14ac:dyDescent="0.35">
      <c r="J9719"/>
    </row>
    <row r="9720" spans="10:10" x14ac:dyDescent="0.35">
      <c r="J9720"/>
    </row>
    <row r="9721" spans="10:10" x14ac:dyDescent="0.35">
      <c r="J9721"/>
    </row>
    <row r="9722" spans="10:10" x14ac:dyDescent="0.35">
      <c r="J9722"/>
    </row>
    <row r="9723" spans="10:10" x14ac:dyDescent="0.35">
      <c r="J9723"/>
    </row>
    <row r="9724" spans="10:10" x14ac:dyDescent="0.35">
      <c r="J9724"/>
    </row>
    <row r="9725" spans="10:10" x14ac:dyDescent="0.35">
      <c r="J9725"/>
    </row>
    <row r="9726" spans="10:10" x14ac:dyDescent="0.35">
      <c r="J9726"/>
    </row>
    <row r="9727" spans="10:10" x14ac:dyDescent="0.35">
      <c r="J9727"/>
    </row>
    <row r="9728" spans="10:10" x14ac:dyDescent="0.35">
      <c r="J9728"/>
    </row>
    <row r="9729" spans="10:10" x14ac:dyDescent="0.35">
      <c r="J9729"/>
    </row>
    <row r="9730" spans="10:10" x14ac:dyDescent="0.35">
      <c r="J9730"/>
    </row>
    <row r="9731" spans="10:10" x14ac:dyDescent="0.35">
      <c r="J9731"/>
    </row>
    <row r="9732" spans="10:10" x14ac:dyDescent="0.35">
      <c r="J9732"/>
    </row>
    <row r="9733" spans="10:10" x14ac:dyDescent="0.35">
      <c r="J9733"/>
    </row>
    <row r="9734" spans="10:10" x14ac:dyDescent="0.35">
      <c r="J9734"/>
    </row>
    <row r="9735" spans="10:10" x14ac:dyDescent="0.35">
      <c r="J9735"/>
    </row>
    <row r="9736" spans="10:10" x14ac:dyDescent="0.35">
      <c r="J9736"/>
    </row>
    <row r="9737" spans="10:10" x14ac:dyDescent="0.35">
      <c r="J9737"/>
    </row>
    <row r="9738" spans="10:10" x14ac:dyDescent="0.35">
      <c r="J9738"/>
    </row>
    <row r="9739" spans="10:10" x14ac:dyDescent="0.35">
      <c r="J9739"/>
    </row>
    <row r="9740" spans="10:10" x14ac:dyDescent="0.35">
      <c r="J9740"/>
    </row>
    <row r="9741" spans="10:10" x14ac:dyDescent="0.35">
      <c r="J9741"/>
    </row>
    <row r="9742" spans="10:10" x14ac:dyDescent="0.35">
      <c r="J9742"/>
    </row>
    <row r="9743" spans="10:10" x14ac:dyDescent="0.35">
      <c r="J9743"/>
    </row>
    <row r="9744" spans="10:10" x14ac:dyDescent="0.35">
      <c r="J9744"/>
    </row>
    <row r="9745" spans="10:10" x14ac:dyDescent="0.35">
      <c r="J9745"/>
    </row>
    <row r="9746" spans="10:10" x14ac:dyDescent="0.35">
      <c r="J9746"/>
    </row>
    <row r="9747" spans="10:10" x14ac:dyDescent="0.35">
      <c r="J9747"/>
    </row>
    <row r="9748" spans="10:10" x14ac:dyDescent="0.35">
      <c r="J9748"/>
    </row>
    <row r="9749" spans="10:10" x14ac:dyDescent="0.35">
      <c r="J9749"/>
    </row>
    <row r="9750" spans="10:10" x14ac:dyDescent="0.35">
      <c r="J9750"/>
    </row>
    <row r="9751" spans="10:10" x14ac:dyDescent="0.35">
      <c r="J9751"/>
    </row>
    <row r="9752" spans="10:10" x14ac:dyDescent="0.35">
      <c r="J9752"/>
    </row>
    <row r="9753" spans="10:10" x14ac:dyDescent="0.35">
      <c r="J9753"/>
    </row>
    <row r="9754" spans="10:10" x14ac:dyDescent="0.35">
      <c r="J9754"/>
    </row>
    <row r="9755" spans="10:10" x14ac:dyDescent="0.35">
      <c r="J9755"/>
    </row>
    <row r="9756" spans="10:10" x14ac:dyDescent="0.35">
      <c r="J9756"/>
    </row>
    <row r="9757" spans="10:10" x14ac:dyDescent="0.35">
      <c r="J9757"/>
    </row>
    <row r="9758" spans="10:10" x14ac:dyDescent="0.35">
      <c r="J9758"/>
    </row>
    <row r="9759" spans="10:10" x14ac:dyDescent="0.35">
      <c r="J9759"/>
    </row>
    <row r="9760" spans="10:10" x14ac:dyDescent="0.35">
      <c r="J9760"/>
    </row>
    <row r="9761" spans="10:10" x14ac:dyDescent="0.35">
      <c r="J9761"/>
    </row>
    <row r="9762" spans="10:10" x14ac:dyDescent="0.35">
      <c r="J9762"/>
    </row>
    <row r="9763" spans="10:10" x14ac:dyDescent="0.35">
      <c r="J9763"/>
    </row>
    <row r="9764" spans="10:10" x14ac:dyDescent="0.35">
      <c r="J9764"/>
    </row>
    <row r="9765" spans="10:10" x14ac:dyDescent="0.35">
      <c r="J9765"/>
    </row>
    <row r="9766" spans="10:10" x14ac:dyDescent="0.35">
      <c r="J9766"/>
    </row>
    <row r="9767" spans="10:10" x14ac:dyDescent="0.35">
      <c r="J9767"/>
    </row>
    <row r="9768" spans="10:10" x14ac:dyDescent="0.35">
      <c r="J9768"/>
    </row>
    <row r="9769" spans="10:10" x14ac:dyDescent="0.35">
      <c r="J9769"/>
    </row>
    <row r="9770" spans="10:10" x14ac:dyDescent="0.35">
      <c r="J9770"/>
    </row>
    <row r="9771" spans="10:10" x14ac:dyDescent="0.35">
      <c r="J9771"/>
    </row>
    <row r="9772" spans="10:10" x14ac:dyDescent="0.35">
      <c r="J9772"/>
    </row>
    <row r="9773" spans="10:10" x14ac:dyDescent="0.35">
      <c r="J9773"/>
    </row>
    <row r="9774" spans="10:10" x14ac:dyDescent="0.35">
      <c r="J9774"/>
    </row>
    <row r="9775" spans="10:10" x14ac:dyDescent="0.35">
      <c r="J9775"/>
    </row>
    <row r="9776" spans="10:10" x14ac:dyDescent="0.35">
      <c r="J9776"/>
    </row>
    <row r="9777" spans="10:10" x14ac:dyDescent="0.35">
      <c r="J9777"/>
    </row>
    <row r="9778" spans="10:10" x14ac:dyDescent="0.35">
      <c r="J9778"/>
    </row>
    <row r="9779" spans="10:10" x14ac:dyDescent="0.35">
      <c r="J9779"/>
    </row>
    <row r="9780" spans="10:10" x14ac:dyDescent="0.35">
      <c r="J9780"/>
    </row>
    <row r="9781" spans="10:10" x14ac:dyDescent="0.35">
      <c r="J9781"/>
    </row>
    <row r="9782" spans="10:10" x14ac:dyDescent="0.35">
      <c r="J9782"/>
    </row>
    <row r="9783" spans="10:10" x14ac:dyDescent="0.35">
      <c r="J9783"/>
    </row>
    <row r="9784" spans="10:10" x14ac:dyDescent="0.35">
      <c r="J9784"/>
    </row>
    <row r="9785" spans="10:10" x14ac:dyDescent="0.35">
      <c r="J9785"/>
    </row>
    <row r="9786" spans="10:10" x14ac:dyDescent="0.35">
      <c r="J9786"/>
    </row>
    <row r="9787" spans="10:10" x14ac:dyDescent="0.35">
      <c r="J9787"/>
    </row>
    <row r="9788" spans="10:10" x14ac:dyDescent="0.35">
      <c r="J9788"/>
    </row>
    <row r="9789" spans="10:10" x14ac:dyDescent="0.35">
      <c r="J9789"/>
    </row>
    <row r="9790" spans="10:10" x14ac:dyDescent="0.35">
      <c r="J9790"/>
    </row>
    <row r="9791" spans="10:10" x14ac:dyDescent="0.35">
      <c r="J9791"/>
    </row>
    <row r="9792" spans="10:10" x14ac:dyDescent="0.35">
      <c r="J9792"/>
    </row>
    <row r="9793" spans="10:10" x14ac:dyDescent="0.35">
      <c r="J9793"/>
    </row>
    <row r="9794" spans="10:10" x14ac:dyDescent="0.35">
      <c r="J9794"/>
    </row>
    <row r="9795" spans="10:10" x14ac:dyDescent="0.35">
      <c r="J9795"/>
    </row>
    <row r="9796" spans="10:10" x14ac:dyDescent="0.35">
      <c r="J9796"/>
    </row>
    <row r="9797" spans="10:10" x14ac:dyDescent="0.35">
      <c r="J9797"/>
    </row>
    <row r="9798" spans="10:10" x14ac:dyDescent="0.35">
      <c r="J9798"/>
    </row>
    <row r="9799" spans="10:10" x14ac:dyDescent="0.35">
      <c r="J9799"/>
    </row>
    <row r="9800" spans="10:10" x14ac:dyDescent="0.35">
      <c r="J9800"/>
    </row>
    <row r="9801" spans="10:10" x14ac:dyDescent="0.35">
      <c r="J9801"/>
    </row>
    <row r="9802" spans="10:10" x14ac:dyDescent="0.35">
      <c r="J9802"/>
    </row>
    <row r="9803" spans="10:10" x14ac:dyDescent="0.35">
      <c r="J9803"/>
    </row>
    <row r="9804" spans="10:10" x14ac:dyDescent="0.35">
      <c r="J9804"/>
    </row>
    <row r="9805" spans="10:10" x14ac:dyDescent="0.35">
      <c r="J9805"/>
    </row>
    <row r="9806" spans="10:10" x14ac:dyDescent="0.35">
      <c r="J9806"/>
    </row>
    <row r="9807" spans="10:10" x14ac:dyDescent="0.35">
      <c r="J9807"/>
    </row>
    <row r="9808" spans="10:10" x14ac:dyDescent="0.35">
      <c r="J9808"/>
    </row>
    <row r="9809" spans="10:10" x14ac:dyDescent="0.35">
      <c r="J9809"/>
    </row>
    <row r="9810" spans="10:10" x14ac:dyDescent="0.35">
      <c r="J9810"/>
    </row>
    <row r="9811" spans="10:10" x14ac:dyDescent="0.35">
      <c r="J9811"/>
    </row>
    <row r="9812" spans="10:10" x14ac:dyDescent="0.35">
      <c r="J9812"/>
    </row>
    <row r="9813" spans="10:10" x14ac:dyDescent="0.35">
      <c r="J9813"/>
    </row>
    <row r="9814" spans="10:10" x14ac:dyDescent="0.35">
      <c r="J9814"/>
    </row>
    <row r="9815" spans="10:10" x14ac:dyDescent="0.35">
      <c r="J9815"/>
    </row>
    <row r="9816" spans="10:10" x14ac:dyDescent="0.35">
      <c r="J9816"/>
    </row>
    <row r="9817" spans="10:10" x14ac:dyDescent="0.35">
      <c r="J9817"/>
    </row>
    <row r="9818" spans="10:10" x14ac:dyDescent="0.35">
      <c r="J9818"/>
    </row>
    <row r="9819" spans="10:10" x14ac:dyDescent="0.35">
      <c r="J9819"/>
    </row>
    <row r="9820" spans="10:10" x14ac:dyDescent="0.35">
      <c r="J9820"/>
    </row>
    <row r="9821" spans="10:10" x14ac:dyDescent="0.35">
      <c r="J9821"/>
    </row>
    <row r="9822" spans="10:10" x14ac:dyDescent="0.35">
      <c r="J9822"/>
    </row>
    <row r="9823" spans="10:10" x14ac:dyDescent="0.35">
      <c r="J9823"/>
    </row>
    <row r="9824" spans="10:10" x14ac:dyDescent="0.35">
      <c r="J9824"/>
    </row>
    <row r="9825" spans="10:10" x14ac:dyDescent="0.35">
      <c r="J9825"/>
    </row>
    <row r="9826" spans="10:10" x14ac:dyDescent="0.35">
      <c r="J9826"/>
    </row>
    <row r="9827" spans="10:10" x14ac:dyDescent="0.35">
      <c r="J9827"/>
    </row>
    <row r="9828" spans="10:10" x14ac:dyDescent="0.35">
      <c r="J9828"/>
    </row>
    <row r="9829" spans="10:10" x14ac:dyDescent="0.35">
      <c r="J9829"/>
    </row>
    <row r="9830" spans="10:10" x14ac:dyDescent="0.35">
      <c r="J9830"/>
    </row>
    <row r="9831" spans="10:10" x14ac:dyDescent="0.35">
      <c r="J9831"/>
    </row>
    <row r="9832" spans="10:10" x14ac:dyDescent="0.35">
      <c r="J9832"/>
    </row>
    <row r="9833" spans="10:10" x14ac:dyDescent="0.35">
      <c r="J9833"/>
    </row>
    <row r="9834" spans="10:10" x14ac:dyDescent="0.35">
      <c r="J9834"/>
    </row>
    <row r="9835" spans="10:10" x14ac:dyDescent="0.35">
      <c r="J9835"/>
    </row>
    <row r="9836" spans="10:10" x14ac:dyDescent="0.35">
      <c r="J9836"/>
    </row>
    <row r="9837" spans="10:10" x14ac:dyDescent="0.35">
      <c r="J9837"/>
    </row>
    <row r="9838" spans="10:10" x14ac:dyDescent="0.35">
      <c r="J9838"/>
    </row>
    <row r="9839" spans="10:10" x14ac:dyDescent="0.35">
      <c r="J9839"/>
    </row>
    <row r="9840" spans="10:10" x14ac:dyDescent="0.35">
      <c r="J9840"/>
    </row>
    <row r="9841" spans="10:10" x14ac:dyDescent="0.35">
      <c r="J9841"/>
    </row>
    <row r="9842" spans="10:10" x14ac:dyDescent="0.35">
      <c r="J9842"/>
    </row>
    <row r="9843" spans="10:10" x14ac:dyDescent="0.35">
      <c r="J9843"/>
    </row>
    <row r="9844" spans="10:10" x14ac:dyDescent="0.35">
      <c r="J9844"/>
    </row>
    <row r="9845" spans="10:10" x14ac:dyDescent="0.35">
      <c r="J9845"/>
    </row>
    <row r="9846" spans="10:10" x14ac:dyDescent="0.35">
      <c r="J9846"/>
    </row>
    <row r="9847" spans="10:10" x14ac:dyDescent="0.35">
      <c r="J9847"/>
    </row>
    <row r="9848" spans="10:10" x14ac:dyDescent="0.35">
      <c r="J9848"/>
    </row>
    <row r="9849" spans="10:10" x14ac:dyDescent="0.35">
      <c r="J9849"/>
    </row>
    <row r="9850" spans="10:10" x14ac:dyDescent="0.35">
      <c r="J9850"/>
    </row>
    <row r="9851" spans="10:10" x14ac:dyDescent="0.35">
      <c r="J9851"/>
    </row>
    <row r="9852" spans="10:10" x14ac:dyDescent="0.35">
      <c r="J9852"/>
    </row>
    <row r="9853" spans="10:10" x14ac:dyDescent="0.35">
      <c r="J9853"/>
    </row>
    <row r="9854" spans="10:10" x14ac:dyDescent="0.35">
      <c r="J9854"/>
    </row>
    <row r="9855" spans="10:10" x14ac:dyDescent="0.35">
      <c r="J9855"/>
    </row>
    <row r="9856" spans="10:10" x14ac:dyDescent="0.35">
      <c r="J9856"/>
    </row>
    <row r="9857" spans="10:10" x14ac:dyDescent="0.35">
      <c r="J9857"/>
    </row>
    <row r="9858" spans="10:10" x14ac:dyDescent="0.35">
      <c r="J9858"/>
    </row>
    <row r="9859" spans="10:10" x14ac:dyDescent="0.35">
      <c r="J9859"/>
    </row>
    <row r="9860" spans="10:10" x14ac:dyDescent="0.35">
      <c r="J9860"/>
    </row>
    <row r="9861" spans="10:10" x14ac:dyDescent="0.35">
      <c r="J9861"/>
    </row>
    <row r="9862" spans="10:10" x14ac:dyDescent="0.35">
      <c r="J9862"/>
    </row>
    <row r="9863" spans="10:10" x14ac:dyDescent="0.35">
      <c r="J9863"/>
    </row>
    <row r="9864" spans="10:10" x14ac:dyDescent="0.35">
      <c r="J9864"/>
    </row>
    <row r="9865" spans="10:10" x14ac:dyDescent="0.35">
      <c r="J9865"/>
    </row>
    <row r="9866" spans="10:10" x14ac:dyDescent="0.35">
      <c r="J9866"/>
    </row>
    <row r="9867" spans="10:10" x14ac:dyDescent="0.35">
      <c r="J9867"/>
    </row>
    <row r="9868" spans="10:10" x14ac:dyDescent="0.35">
      <c r="J9868"/>
    </row>
    <row r="9869" spans="10:10" x14ac:dyDescent="0.35">
      <c r="J9869"/>
    </row>
    <row r="9870" spans="10:10" x14ac:dyDescent="0.35">
      <c r="J9870"/>
    </row>
    <row r="9871" spans="10:10" x14ac:dyDescent="0.35">
      <c r="J9871"/>
    </row>
    <row r="9872" spans="10:10" x14ac:dyDescent="0.35">
      <c r="J9872"/>
    </row>
    <row r="9873" spans="10:10" x14ac:dyDescent="0.35">
      <c r="J9873"/>
    </row>
    <row r="9874" spans="10:10" x14ac:dyDescent="0.35">
      <c r="J9874"/>
    </row>
    <row r="9875" spans="10:10" x14ac:dyDescent="0.35">
      <c r="J9875"/>
    </row>
    <row r="9876" spans="10:10" x14ac:dyDescent="0.35">
      <c r="J9876"/>
    </row>
    <row r="9877" spans="10:10" x14ac:dyDescent="0.35">
      <c r="J9877"/>
    </row>
    <row r="9878" spans="10:10" x14ac:dyDescent="0.35">
      <c r="J9878"/>
    </row>
    <row r="9879" spans="10:10" x14ac:dyDescent="0.35">
      <c r="J9879"/>
    </row>
    <row r="9880" spans="10:10" x14ac:dyDescent="0.35">
      <c r="J9880"/>
    </row>
    <row r="9881" spans="10:10" x14ac:dyDescent="0.35">
      <c r="J9881"/>
    </row>
    <row r="9882" spans="10:10" x14ac:dyDescent="0.35">
      <c r="J9882"/>
    </row>
    <row r="9883" spans="10:10" x14ac:dyDescent="0.35">
      <c r="J9883"/>
    </row>
    <row r="9884" spans="10:10" x14ac:dyDescent="0.35">
      <c r="J9884"/>
    </row>
    <row r="9885" spans="10:10" x14ac:dyDescent="0.35">
      <c r="J9885"/>
    </row>
    <row r="9886" spans="10:10" x14ac:dyDescent="0.35">
      <c r="J9886"/>
    </row>
    <row r="9887" spans="10:10" x14ac:dyDescent="0.35">
      <c r="J9887"/>
    </row>
    <row r="9888" spans="10:10" x14ac:dyDescent="0.35">
      <c r="J9888"/>
    </row>
    <row r="9889" spans="10:10" x14ac:dyDescent="0.35">
      <c r="J9889"/>
    </row>
    <row r="9890" spans="10:10" x14ac:dyDescent="0.35">
      <c r="J9890"/>
    </row>
    <row r="9891" spans="10:10" x14ac:dyDescent="0.35">
      <c r="J9891"/>
    </row>
    <row r="9892" spans="10:10" x14ac:dyDescent="0.35">
      <c r="J9892"/>
    </row>
    <row r="9893" spans="10:10" x14ac:dyDescent="0.35">
      <c r="J9893"/>
    </row>
    <row r="9894" spans="10:10" x14ac:dyDescent="0.35">
      <c r="J9894"/>
    </row>
    <row r="9895" spans="10:10" x14ac:dyDescent="0.35">
      <c r="J9895"/>
    </row>
    <row r="9896" spans="10:10" x14ac:dyDescent="0.35">
      <c r="J9896"/>
    </row>
    <row r="9897" spans="10:10" x14ac:dyDescent="0.35">
      <c r="J9897"/>
    </row>
    <row r="9898" spans="10:10" x14ac:dyDescent="0.35">
      <c r="J9898"/>
    </row>
    <row r="9899" spans="10:10" x14ac:dyDescent="0.35">
      <c r="J9899"/>
    </row>
    <row r="9900" spans="10:10" x14ac:dyDescent="0.35">
      <c r="J9900"/>
    </row>
    <row r="9901" spans="10:10" x14ac:dyDescent="0.35">
      <c r="J9901"/>
    </row>
    <row r="9902" spans="10:10" x14ac:dyDescent="0.35">
      <c r="J9902"/>
    </row>
    <row r="9903" spans="10:10" x14ac:dyDescent="0.35">
      <c r="J9903"/>
    </row>
    <row r="9904" spans="10:10" x14ac:dyDescent="0.35">
      <c r="J9904"/>
    </row>
    <row r="9905" spans="10:10" x14ac:dyDescent="0.35">
      <c r="J9905"/>
    </row>
    <row r="9906" spans="10:10" x14ac:dyDescent="0.35">
      <c r="J9906"/>
    </row>
    <row r="9907" spans="10:10" x14ac:dyDescent="0.35">
      <c r="J9907"/>
    </row>
    <row r="9908" spans="10:10" x14ac:dyDescent="0.35">
      <c r="J9908"/>
    </row>
    <row r="9909" spans="10:10" x14ac:dyDescent="0.35">
      <c r="J9909"/>
    </row>
    <row r="9910" spans="10:10" x14ac:dyDescent="0.35">
      <c r="J9910"/>
    </row>
    <row r="9911" spans="10:10" x14ac:dyDescent="0.35">
      <c r="J9911"/>
    </row>
    <row r="9912" spans="10:10" x14ac:dyDescent="0.35">
      <c r="J9912"/>
    </row>
    <row r="9913" spans="10:10" x14ac:dyDescent="0.35">
      <c r="J9913"/>
    </row>
    <row r="9914" spans="10:10" x14ac:dyDescent="0.35">
      <c r="J9914"/>
    </row>
    <row r="9915" spans="10:10" x14ac:dyDescent="0.35">
      <c r="J9915"/>
    </row>
    <row r="9916" spans="10:10" x14ac:dyDescent="0.35">
      <c r="J9916"/>
    </row>
    <row r="9917" spans="10:10" x14ac:dyDescent="0.35">
      <c r="J9917"/>
    </row>
    <row r="9918" spans="10:10" x14ac:dyDescent="0.35">
      <c r="J9918"/>
    </row>
    <row r="9919" spans="10:10" x14ac:dyDescent="0.35">
      <c r="J9919"/>
    </row>
    <row r="9920" spans="10:10" x14ac:dyDescent="0.35">
      <c r="J9920"/>
    </row>
    <row r="9921" spans="10:10" x14ac:dyDescent="0.35">
      <c r="J9921"/>
    </row>
    <row r="9922" spans="10:10" x14ac:dyDescent="0.35">
      <c r="J9922"/>
    </row>
    <row r="9923" spans="10:10" x14ac:dyDescent="0.35">
      <c r="J9923"/>
    </row>
    <row r="9924" spans="10:10" x14ac:dyDescent="0.35">
      <c r="J9924"/>
    </row>
    <row r="9925" spans="10:10" x14ac:dyDescent="0.35">
      <c r="J9925"/>
    </row>
    <row r="9926" spans="10:10" x14ac:dyDescent="0.35">
      <c r="J9926"/>
    </row>
    <row r="9927" spans="10:10" x14ac:dyDescent="0.35">
      <c r="J9927"/>
    </row>
    <row r="9928" spans="10:10" x14ac:dyDescent="0.35">
      <c r="J9928"/>
    </row>
    <row r="9929" spans="10:10" x14ac:dyDescent="0.35">
      <c r="J9929"/>
    </row>
    <row r="9930" spans="10:10" x14ac:dyDescent="0.35">
      <c r="J9930"/>
    </row>
    <row r="9931" spans="10:10" x14ac:dyDescent="0.35">
      <c r="J9931"/>
    </row>
    <row r="9932" spans="10:10" x14ac:dyDescent="0.35">
      <c r="J9932"/>
    </row>
    <row r="9933" spans="10:10" x14ac:dyDescent="0.35">
      <c r="J9933"/>
    </row>
    <row r="9934" spans="10:10" x14ac:dyDescent="0.35">
      <c r="J9934"/>
    </row>
    <row r="9935" spans="10:10" x14ac:dyDescent="0.35">
      <c r="J9935"/>
    </row>
    <row r="9936" spans="10:10" x14ac:dyDescent="0.35">
      <c r="J9936"/>
    </row>
    <row r="9937" spans="10:10" x14ac:dyDescent="0.35">
      <c r="J9937"/>
    </row>
    <row r="9938" spans="10:10" x14ac:dyDescent="0.35">
      <c r="J9938"/>
    </row>
    <row r="9939" spans="10:10" x14ac:dyDescent="0.35">
      <c r="J9939"/>
    </row>
    <row r="9940" spans="10:10" x14ac:dyDescent="0.35">
      <c r="J9940"/>
    </row>
    <row r="9941" spans="10:10" x14ac:dyDescent="0.35">
      <c r="J9941"/>
    </row>
    <row r="9942" spans="10:10" x14ac:dyDescent="0.35">
      <c r="J9942"/>
    </row>
    <row r="9943" spans="10:10" x14ac:dyDescent="0.35">
      <c r="J9943"/>
    </row>
    <row r="9944" spans="10:10" x14ac:dyDescent="0.35">
      <c r="J9944"/>
    </row>
    <row r="9945" spans="10:10" x14ac:dyDescent="0.35">
      <c r="J9945"/>
    </row>
    <row r="9946" spans="10:10" x14ac:dyDescent="0.35">
      <c r="J9946"/>
    </row>
    <row r="9947" spans="10:10" x14ac:dyDescent="0.35">
      <c r="J9947"/>
    </row>
    <row r="9948" spans="10:10" x14ac:dyDescent="0.35">
      <c r="J9948"/>
    </row>
    <row r="9949" spans="10:10" x14ac:dyDescent="0.35">
      <c r="J9949"/>
    </row>
    <row r="9950" spans="10:10" x14ac:dyDescent="0.35">
      <c r="J9950"/>
    </row>
    <row r="9951" spans="10:10" x14ac:dyDescent="0.35">
      <c r="J9951"/>
    </row>
    <row r="9952" spans="10:10" x14ac:dyDescent="0.35">
      <c r="J9952"/>
    </row>
    <row r="9953" spans="10:10" x14ac:dyDescent="0.35">
      <c r="J9953"/>
    </row>
    <row r="9954" spans="10:10" x14ac:dyDescent="0.35">
      <c r="J9954"/>
    </row>
    <row r="9955" spans="10:10" x14ac:dyDescent="0.35">
      <c r="J9955"/>
    </row>
    <row r="9956" spans="10:10" x14ac:dyDescent="0.35">
      <c r="J9956"/>
    </row>
    <row r="9957" spans="10:10" x14ac:dyDescent="0.35">
      <c r="J9957"/>
    </row>
    <row r="9958" spans="10:10" x14ac:dyDescent="0.35">
      <c r="J9958"/>
    </row>
    <row r="9959" spans="10:10" x14ac:dyDescent="0.35">
      <c r="J9959"/>
    </row>
    <row r="9960" spans="10:10" x14ac:dyDescent="0.35">
      <c r="J9960"/>
    </row>
    <row r="9961" spans="10:10" x14ac:dyDescent="0.35">
      <c r="J9961"/>
    </row>
    <row r="9962" spans="10:10" x14ac:dyDescent="0.35">
      <c r="J9962"/>
    </row>
    <row r="9963" spans="10:10" x14ac:dyDescent="0.35">
      <c r="J9963"/>
    </row>
    <row r="9964" spans="10:10" x14ac:dyDescent="0.35">
      <c r="J9964"/>
    </row>
    <row r="9965" spans="10:10" x14ac:dyDescent="0.35">
      <c r="J9965"/>
    </row>
    <row r="9966" spans="10:10" x14ac:dyDescent="0.35">
      <c r="J9966"/>
    </row>
    <row r="9967" spans="10:10" x14ac:dyDescent="0.35">
      <c r="J9967"/>
    </row>
    <row r="9968" spans="10:10" x14ac:dyDescent="0.35">
      <c r="J9968"/>
    </row>
    <row r="9969" spans="10:10" x14ac:dyDescent="0.35">
      <c r="J9969"/>
    </row>
    <row r="9970" spans="10:10" x14ac:dyDescent="0.35">
      <c r="J9970"/>
    </row>
    <row r="9971" spans="10:10" x14ac:dyDescent="0.35">
      <c r="J9971"/>
    </row>
    <row r="9972" spans="10:10" x14ac:dyDescent="0.35">
      <c r="J9972"/>
    </row>
    <row r="9973" spans="10:10" x14ac:dyDescent="0.35">
      <c r="J9973"/>
    </row>
    <row r="9974" spans="10:10" x14ac:dyDescent="0.35">
      <c r="J9974"/>
    </row>
    <row r="9975" spans="10:10" x14ac:dyDescent="0.35">
      <c r="J9975"/>
    </row>
    <row r="9976" spans="10:10" x14ac:dyDescent="0.35">
      <c r="J9976"/>
    </row>
    <row r="9977" spans="10:10" x14ac:dyDescent="0.35">
      <c r="J9977"/>
    </row>
    <row r="9978" spans="10:10" x14ac:dyDescent="0.35">
      <c r="J9978"/>
    </row>
    <row r="9979" spans="10:10" x14ac:dyDescent="0.35">
      <c r="J9979"/>
    </row>
    <row r="9980" spans="10:10" x14ac:dyDescent="0.35">
      <c r="J9980"/>
    </row>
    <row r="9981" spans="10:10" x14ac:dyDescent="0.35">
      <c r="J9981"/>
    </row>
    <row r="9982" spans="10:10" x14ac:dyDescent="0.35">
      <c r="J9982"/>
    </row>
    <row r="9983" spans="10:10" x14ac:dyDescent="0.35">
      <c r="J9983"/>
    </row>
    <row r="9984" spans="10:10" x14ac:dyDescent="0.35">
      <c r="J9984"/>
    </row>
    <row r="9985" spans="10:10" x14ac:dyDescent="0.35">
      <c r="J9985"/>
    </row>
    <row r="9986" spans="10:10" x14ac:dyDescent="0.35">
      <c r="J9986"/>
    </row>
    <row r="9987" spans="10:10" x14ac:dyDescent="0.35">
      <c r="J9987"/>
    </row>
    <row r="9988" spans="10:10" x14ac:dyDescent="0.35">
      <c r="J9988"/>
    </row>
    <row r="9989" spans="10:10" x14ac:dyDescent="0.35">
      <c r="J9989"/>
    </row>
    <row r="9990" spans="10:10" x14ac:dyDescent="0.35">
      <c r="J9990"/>
    </row>
    <row r="9991" spans="10:10" x14ac:dyDescent="0.35">
      <c r="J9991"/>
    </row>
    <row r="9992" spans="10:10" x14ac:dyDescent="0.35">
      <c r="J9992"/>
    </row>
    <row r="9993" spans="10:10" x14ac:dyDescent="0.35">
      <c r="J9993"/>
    </row>
    <row r="9994" spans="10:10" x14ac:dyDescent="0.35">
      <c r="J9994"/>
    </row>
    <row r="9995" spans="10:10" x14ac:dyDescent="0.35">
      <c r="J9995"/>
    </row>
    <row r="9996" spans="10:10" x14ac:dyDescent="0.35">
      <c r="J9996"/>
    </row>
    <row r="9997" spans="10:10" x14ac:dyDescent="0.35">
      <c r="J9997"/>
    </row>
    <row r="9998" spans="10:10" x14ac:dyDescent="0.35">
      <c r="J9998"/>
    </row>
    <row r="9999" spans="10:10" x14ac:dyDescent="0.35">
      <c r="J9999"/>
    </row>
    <row r="10000" spans="10:10" x14ac:dyDescent="0.35">
      <c r="J10000"/>
    </row>
  </sheetData>
  <autoFilter ref="A3:M3" xr:uid="{00000000-0009-0000-0000-00000F000000}">
    <sortState xmlns:xlrd2="http://schemas.microsoft.com/office/spreadsheetml/2017/richdata2" ref="A5:M83">
      <sortCondition ref="A3"/>
    </sortState>
  </autoFilter>
  <mergeCells count="10">
    <mergeCell ref="I1:J1"/>
    <mergeCell ref="F2:J2"/>
    <mergeCell ref="K2:K3"/>
    <mergeCell ref="L2:L3"/>
    <mergeCell ref="M2:M3"/>
    <mergeCell ref="A2:A3"/>
    <mergeCell ref="B2:B3"/>
    <mergeCell ref="C2:C3"/>
    <mergeCell ref="D2:D3"/>
    <mergeCell ref="E2:E3"/>
  </mergeCells>
  <conditionalFormatting sqref="A3:J3">
    <cfRule type="expression" dxfId="38" priority="13" stopIfTrue="1">
      <formula>AND(NOT(ISERROR(FIND("E",$L3))),$H3="Permanent Price Change")</formula>
    </cfRule>
  </conditionalFormatting>
  <pageMargins left="0.25" right="0.25" top="0.75" bottom="0.75" header="0.3" footer="0.3"/>
  <pageSetup scale="41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rgb="FF00B0F0"/>
    <pageSetUpPr fitToPage="1"/>
  </sheetPr>
  <dimension ref="A1:M167"/>
  <sheetViews>
    <sheetView workbookViewId="0">
      <selection activeCell="O2" sqref="O2"/>
    </sheetView>
  </sheetViews>
  <sheetFormatPr defaultRowHeight="14.5" x14ac:dyDescent="0.35"/>
  <cols>
    <col min="1" max="1" width="4.7265625" bestFit="1" customWidth="1"/>
    <col min="2" max="2" width="8" bestFit="1" customWidth="1"/>
    <col min="3" max="3" width="32.7265625" customWidth="1"/>
    <col min="4" max="4" width="7" bestFit="1" customWidth="1"/>
    <col min="5" max="5" width="25" bestFit="1" customWidth="1"/>
    <col min="6" max="6" width="8" bestFit="1" customWidth="1"/>
    <col min="7" max="7" width="4.7265625" bestFit="1" customWidth="1"/>
    <col min="8" max="8" width="5" bestFit="1" customWidth="1"/>
    <col min="9" max="9" width="6.7265625" bestFit="1" customWidth="1"/>
    <col min="10" max="10" width="11" bestFit="1" customWidth="1"/>
    <col min="11" max="11" width="23" bestFit="1" customWidth="1"/>
    <col min="13" max="13" width="10.7265625" customWidth="1"/>
  </cols>
  <sheetData>
    <row r="1" spans="1:13" ht="18.5" x14ac:dyDescent="0.45">
      <c r="A1" s="349" t="s">
        <v>8</v>
      </c>
      <c r="B1" s="350"/>
      <c r="C1" s="350"/>
      <c r="D1" s="350"/>
      <c r="E1" s="350"/>
      <c r="F1" s="350"/>
      <c r="G1" s="350"/>
      <c r="H1" s="350"/>
      <c r="I1" s="350"/>
      <c r="J1" s="351"/>
    </row>
    <row r="2" spans="1:13" ht="29" x14ac:dyDescent="0.35">
      <c r="A2" s="97" t="s">
        <v>20</v>
      </c>
      <c r="B2" s="97" t="s">
        <v>134</v>
      </c>
      <c r="C2" s="97" t="s">
        <v>135</v>
      </c>
      <c r="D2" s="97" t="s">
        <v>136</v>
      </c>
      <c r="E2" s="97" t="s">
        <v>13</v>
      </c>
      <c r="F2" s="97" t="s">
        <v>33</v>
      </c>
      <c r="G2" s="97" t="s">
        <v>15</v>
      </c>
      <c r="H2" s="97" t="s">
        <v>16</v>
      </c>
      <c r="I2" s="97" t="s">
        <v>166</v>
      </c>
      <c r="J2" s="97" t="s">
        <v>3</v>
      </c>
      <c r="K2" s="97" t="s">
        <v>2</v>
      </c>
      <c r="L2" s="97" t="s">
        <v>137</v>
      </c>
      <c r="M2" s="97" t="s">
        <v>138</v>
      </c>
    </row>
    <row r="3" spans="1:13" x14ac:dyDescent="0.35">
      <c r="A3" s="101" t="s">
        <v>8</v>
      </c>
      <c r="B3" s="123">
        <v>1001</v>
      </c>
      <c r="C3" s="101" t="s">
        <v>508</v>
      </c>
      <c r="D3" s="101">
        <v>980000</v>
      </c>
      <c r="E3" s="101" t="s">
        <v>93</v>
      </c>
      <c r="F3" s="101">
        <v>37.5</v>
      </c>
      <c r="G3" s="124"/>
      <c r="H3" s="124">
        <v>0.48</v>
      </c>
      <c r="I3" s="124"/>
      <c r="J3" s="101"/>
      <c r="K3" s="101"/>
      <c r="L3" s="101"/>
      <c r="M3" s="125"/>
    </row>
    <row r="4" spans="1:13" x14ac:dyDescent="0.35">
      <c r="A4" s="134" t="s">
        <v>8</v>
      </c>
      <c r="B4" s="135">
        <v>1001</v>
      </c>
      <c r="C4" s="134" t="s">
        <v>508</v>
      </c>
      <c r="D4" s="134">
        <v>980100</v>
      </c>
      <c r="E4" s="134" t="s">
        <v>96</v>
      </c>
      <c r="F4" s="134">
        <v>40</v>
      </c>
      <c r="G4" s="136">
        <v>0.59</v>
      </c>
      <c r="H4" s="136">
        <v>0.72</v>
      </c>
      <c r="I4" s="136"/>
      <c r="J4" s="134" t="s">
        <v>51</v>
      </c>
      <c r="K4" s="134" t="s">
        <v>200</v>
      </c>
      <c r="L4" s="134"/>
      <c r="M4" s="138">
        <v>44813</v>
      </c>
    </row>
    <row r="5" spans="1:13" ht="15" thickBot="1" x14ac:dyDescent="0.4">
      <c r="A5" s="130" t="s">
        <v>8</v>
      </c>
      <c r="B5" s="131">
        <v>1001</v>
      </c>
      <c r="C5" s="130" t="s">
        <v>508</v>
      </c>
      <c r="D5" s="130">
        <v>987594</v>
      </c>
      <c r="E5" s="130" t="s">
        <v>448</v>
      </c>
      <c r="F5" s="130">
        <v>30</v>
      </c>
      <c r="G5" s="132">
        <v>0.79</v>
      </c>
      <c r="H5" s="132">
        <v>0.85</v>
      </c>
      <c r="I5" s="132"/>
      <c r="J5" s="130" t="s">
        <v>51</v>
      </c>
      <c r="K5" s="130" t="s">
        <v>200</v>
      </c>
      <c r="L5" s="130"/>
      <c r="M5" s="133">
        <v>44813</v>
      </c>
    </row>
    <row r="6" spans="1:13" x14ac:dyDescent="0.35">
      <c r="A6" s="119" t="s">
        <v>8</v>
      </c>
      <c r="B6" s="120">
        <v>1003</v>
      </c>
      <c r="C6" s="119" t="s">
        <v>509</v>
      </c>
      <c r="D6" s="119">
        <v>980000</v>
      </c>
      <c r="E6" s="119" t="s">
        <v>93</v>
      </c>
      <c r="F6" s="119">
        <v>37.5</v>
      </c>
      <c r="G6" s="121"/>
      <c r="H6" s="121">
        <v>0.49</v>
      </c>
      <c r="I6" s="121"/>
      <c r="J6" s="119"/>
      <c r="K6" s="119"/>
      <c r="L6" s="119"/>
      <c r="M6" s="122"/>
    </row>
    <row r="7" spans="1:13" x14ac:dyDescent="0.35">
      <c r="A7" s="101" t="s">
        <v>8</v>
      </c>
      <c r="B7" s="123">
        <v>1003</v>
      </c>
      <c r="C7" s="101" t="s">
        <v>509</v>
      </c>
      <c r="D7" s="101">
        <v>980100</v>
      </c>
      <c r="E7" s="101" t="s">
        <v>96</v>
      </c>
      <c r="F7" s="101">
        <v>40</v>
      </c>
      <c r="G7" s="124"/>
      <c r="H7" s="124">
        <v>0.7</v>
      </c>
      <c r="I7" s="124"/>
      <c r="J7" s="101"/>
      <c r="K7" s="101"/>
      <c r="L7" s="101"/>
      <c r="M7" s="125"/>
    </row>
    <row r="8" spans="1:13" ht="15" thickBot="1" x14ac:dyDescent="0.4">
      <c r="A8" s="130" t="s">
        <v>8</v>
      </c>
      <c r="B8" s="131">
        <v>1003</v>
      </c>
      <c r="C8" s="130" t="s">
        <v>509</v>
      </c>
      <c r="D8" s="130">
        <v>987594</v>
      </c>
      <c r="E8" s="130" t="s">
        <v>448</v>
      </c>
      <c r="F8" s="130">
        <v>30</v>
      </c>
      <c r="G8" s="132">
        <v>0.89</v>
      </c>
      <c r="H8" s="132">
        <v>0.85</v>
      </c>
      <c r="I8" s="132"/>
      <c r="J8" s="130" t="s">
        <v>51</v>
      </c>
      <c r="K8" s="130" t="s">
        <v>200</v>
      </c>
      <c r="L8" s="130"/>
      <c r="M8" s="133">
        <v>44813</v>
      </c>
    </row>
    <row r="9" spans="1:13" x14ac:dyDescent="0.35">
      <c r="A9" s="119" t="s">
        <v>8</v>
      </c>
      <c r="B9" s="120">
        <v>1006</v>
      </c>
      <c r="C9" s="119" t="s">
        <v>510</v>
      </c>
      <c r="D9" s="119">
        <v>980000</v>
      </c>
      <c r="E9" s="119" t="s">
        <v>93</v>
      </c>
      <c r="F9" s="119">
        <v>37.5</v>
      </c>
      <c r="G9" s="121"/>
      <c r="H9" s="121">
        <v>0.49</v>
      </c>
      <c r="I9" s="121"/>
      <c r="J9" s="119"/>
      <c r="K9" s="119"/>
      <c r="L9" s="119"/>
      <c r="M9" s="122"/>
    </row>
    <row r="10" spans="1:13" x14ac:dyDescent="0.35">
      <c r="A10" s="101" t="s">
        <v>8</v>
      </c>
      <c r="B10" s="123">
        <v>1006</v>
      </c>
      <c r="C10" s="101" t="s">
        <v>510</v>
      </c>
      <c r="D10" s="101">
        <v>980100</v>
      </c>
      <c r="E10" s="101" t="s">
        <v>96</v>
      </c>
      <c r="F10" s="101">
        <v>40</v>
      </c>
      <c r="G10" s="124"/>
      <c r="H10" s="124">
        <v>0.68</v>
      </c>
      <c r="I10" s="124"/>
      <c r="J10" s="101"/>
      <c r="K10" s="101"/>
      <c r="L10" s="101"/>
      <c r="M10" s="125"/>
    </row>
    <row r="11" spans="1:13" ht="15" thickBot="1" x14ac:dyDescent="0.4">
      <c r="A11" s="130" t="s">
        <v>8</v>
      </c>
      <c r="B11" s="131">
        <v>1006</v>
      </c>
      <c r="C11" s="130" t="s">
        <v>510</v>
      </c>
      <c r="D11" s="130">
        <v>987594</v>
      </c>
      <c r="E11" s="130" t="s">
        <v>448</v>
      </c>
      <c r="F11" s="130">
        <v>30</v>
      </c>
      <c r="G11" s="132">
        <v>0.79</v>
      </c>
      <c r="H11" s="132">
        <v>0.95</v>
      </c>
      <c r="I11" s="132"/>
      <c r="J11" s="130" t="s">
        <v>51</v>
      </c>
      <c r="K11" s="130" t="s">
        <v>200</v>
      </c>
      <c r="L11" s="130"/>
      <c r="M11" s="133">
        <v>44813</v>
      </c>
    </row>
    <row r="12" spans="1:13" x14ac:dyDescent="0.35">
      <c r="A12" s="119" t="s">
        <v>8</v>
      </c>
      <c r="B12" s="120">
        <v>1019</v>
      </c>
      <c r="C12" s="119" t="s">
        <v>511</v>
      </c>
      <c r="D12" s="119">
        <v>980000</v>
      </c>
      <c r="E12" s="119" t="s">
        <v>93</v>
      </c>
      <c r="F12" s="119">
        <v>37.5</v>
      </c>
      <c r="G12" s="121"/>
      <c r="H12" s="121">
        <v>0.48</v>
      </c>
      <c r="I12" s="121"/>
      <c r="J12" s="119"/>
      <c r="K12" s="119"/>
      <c r="L12" s="119"/>
      <c r="M12" s="122"/>
    </row>
    <row r="13" spans="1:13" x14ac:dyDescent="0.35">
      <c r="A13" s="101" t="s">
        <v>8</v>
      </c>
      <c r="B13" s="123">
        <v>1019</v>
      </c>
      <c r="C13" s="101" t="s">
        <v>511</v>
      </c>
      <c r="D13" s="101">
        <v>980100</v>
      </c>
      <c r="E13" s="101" t="s">
        <v>96</v>
      </c>
      <c r="F13" s="101">
        <v>40</v>
      </c>
      <c r="G13" s="124"/>
      <c r="H13" s="124">
        <v>0.56999999999999995</v>
      </c>
      <c r="I13" s="124"/>
      <c r="J13" s="101"/>
      <c r="K13" s="101"/>
      <c r="L13" s="101"/>
      <c r="M13" s="125"/>
    </row>
    <row r="14" spans="1:13" ht="15" thickBot="1" x14ac:dyDescent="0.4">
      <c r="A14" s="130" t="s">
        <v>8</v>
      </c>
      <c r="B14" s="131">
        <v>1019</v>
      </c>
      <c r="C14" s="130" t="s">
        <v>511</v>
      </c>
      <c r="D14" s="130">
        <v>987594</v>
      </c>
      <c r="E14" s="130" t="s">
        <v>448</v>
      </c>
      <c r="F14" s="130">
        <v>30</v>
      </c>
      <c r="G14" s="132">
        <v>0.79</v>
      </c>
      <c r="H14" s="132">
        <v>0.85</v>
      </c>
      <c r="I14" s="132"/>
      <c r="J14" s="130" t="s">
        <v>51</v>
      </c>
      <c r="K14" s="130" t="s">
        <v>200</v>
      </c>
      <c r="L14" s="130"/>
      <c r="M14" s="133">
        <v>44813</v>
      </c>
    </row>
    <row r="15" spans="1:13" x14ac:dyDescent="0.35">
      <c r="A15" s="139" t="s">
        <v>8</v>
      </c>
      <c r="B15" s="140">
        <v>1023</v>
      </c>
      <c r="C15" s="139" t="s">
        <v>233</v>
      </c>
      <c r="D15" s="139">
        <v>980000</v>
      </c>
      <c r="E15" s="139" t="s">
        <v>93</v>
      </c>
      <c r="F15" s="139">
        <v>37.5</v>
      </c>
      <c r="G15" s="137">
        <v>0.49</v>
      </c>
      <c r="H15" s="137">
        <v>0.47</v>
      </c>
      <c r="I15" s="137"/>
      <c r="J15" s="139" t="s">
        <v>51</v>
      </c>
      <c r="K15" s="139" t="s">
        <v>200</v>
      </c>
      <c r="L15" s="139"/>
      <c r="M15" s="141">
        <v>44813</v>
      </c>
    </row>
    <row r="16" spans="1:13" x14ac:dyDescent="0.35">
      <c r="A16" s="101" t="s">
        <v>8</v>
      </c>
      <c r="B16" s="123">
        <v>1023</v>
      </c>
      <c r="C16" s="101" t="s">
        <v>233</v>
      </c>
      <c r="D16" s="101">
        <v>980100</v>
      </c>
      <c r="E16" s="101" t="s">
        <v>96</v>
      </c>
      <c r="F16" s="101">
        <v>40</v>
      </c>
      <c r="G16" s="124"/>
      <c r="H16" s="124">
        <v>0.64</v>
      </c>
      <c r="I16" s="124"/>
      <c r="J16" s="101"/>
      <c r="K16" s="101"/>
      <c r="L16" s="101"/>
      <c r="M16" s="125"/>
    </row>
    <row r="17" spans="1:13" ht="15" thickBot="1" x14ac:dyDescent="0.4">
      <c r="A17" s="126" t="s">
        <v>8</v>
      </c>
      <c r="B17" s="127">
        <v>1023</v>
      </c>
      <c r="C17" s="126" t="s">
        <v>233</v>
      </c>
      <c r="D17" s="126">
        <v>987594</v>
      </c>
      <c r="E17" s="126" t="s">
        <v>448</v>
      </c>
      <c r="F17" s="126">
        <v>30</v>
      </c>
      <c r="G17" s="128"/>
      <c r="H17" s="128">
        <v>0.49</v>
      </c>
      <c r="I17" s="128"/>
      <c r="J17" s="126"/>
      <c r="K17" s="126"/>
      <c r="L17" s="126"/>
      <c r="M17" s="129"/>
    </row>
    <row r="18" spans="1:13" x14ac:dyDescent="0.35">
      <c r="A18" s="119" t="s">
        <v>8</v>
      </c>
      <c r="B18" s="120">
        <v>1028</v>
      </c>
      <c r="C18" s="119" t="s">
        <v>512</v>
      </c>
      <c r="D18" s="119">
        <v>980000</v>
      </c>
      <c r="E18" s="119" t="s">
        <v>93</v>
      </c>
      <c r="F18" s="119">
        <v>37.5</v>
      </c>
      <c r="G18" s="121"/>
      <c r="H18" s="121">
        <v>0.49</v>
      </c>
      <c r="I18" s="121"/>
      <c r="J18" s="119"/>
      <c r="K18" s="119"/>
      <c r="L18" s="119"/>
      <c r="M18" s="122"/>
    </row>
    <row r="19" spans="1:13" x14ac:dyDescent="0.35">
      <c r="A19" s="101" t="s">
        <v>8</v>
      </c>
      <c r="B19" s="123">
        <v>1028</v>
      </c>
      <c r="C19" s="101" t="s">
        <v>512</v>
      </c>
      <c r="D19" s="101">
        <v>980100</v>
      </c>
      <c r="E19" s="101" t="s">
        <v>96</v>
      </c>
      <c r="F19" s="101">
        <v>40</v>
      </c>
      <c r="G19" s="124"/>
      <c r="H19" s="124">
        <v>0.67</v>
      </c>
      <c r="I19" s="124"/>
      <c r="J19" s="101"/>
      <c r="K19" s="101"/>
      <c r="L19" s="101"/>
      <c r="M19" s="125"/>
    </row>
    <row r="20" spans="1:13" ht="15" thickBot="1" x14ac:dyDescent="0.4">
      <c r="A20" s="126" t="s">
        <v>8</v>
      </c>
      <c r="B20" s="127">
        <v>1028</v>
      </c>
      <c r="C20" s="126" t="s">
        <v>512</v>
      </c>
      <c r="D20" s="126">
        <v>987594</v>
      </c>
      <c r="E20" s="126" t="s">
        <v>448</v>
      </c>
      <c r="F20" s="126">
        <v>30</v>
      </c>
      <c r="G20" s="128"/>
      <c r="H20" s="128">
        <v>0.49</v>
      </c>
      <c r="I20" s="128"/>
      <c r="J20" s="126"/>
      <c r="K20" s="126"/>
      <c r="L20" s="126"/>
      <c r="M20" s="129"/>
    </row>
    <row r="21" spans="1:13" x14ac:dyDescent="0.35">
      <c r="A21" s="119" t="s">
        <v>8</v>
      </c>
      <c r="B21" s="120">
        <v>1031</v>
      </c>
      <c r="C21" s="119" t="s">
        <v>513</v>
      </c>
      <c r="D21" s="119">
        <v>980000</v>
      </c>
      <c r="E21" s="119" t="s">
        <v>93</v>
      </c>
      <c r="F21" s="119">
        <v>37.5</v>
      </c>
      <c r="G21" s="121"/>
      <c r="H21" s="121">
        <v>0.4</v>
      </c>
      <c r="I21" s="121"/>
      <c r="J21" s="119"/>
      <c r="K21" s="119"/>
      <c r="L21" s="119"/>
      <c r="M21" s="122"/>
    </row>
    <row r="22" spans="1:13" x14ac:dyDescent="0.35">
      <c r="A22" s="101" t="s">
        <v>8</v>
      </c>
      <c r="B22" s="123">
        <v>1031</v>
      </c>
      <c r="C22" s="101" t="s">
        <v>513</v>
      </c>
      <c r="D22" s="101">
        <v>980100</v>
      </c>
      <c r="E22" s="101" t="s">
        <v>96</v>
      </c>
      <c r="F22" s="101">
        <v>40</v>
      </c>
      <c r="G22" s="124"/>
      <c r="H22" s="124">
        <v>0.64</v>
      </c>
      <c r="I22" s="124"/>
      <c r="J22" s="101"/>
      <c r="K22" s="101"/>
      <c r="L22" s="101"/>
      <c r="M22" s="125"/>
    </row>
    <row r="23" spans="1:13" ht="15" thickBot="1" x14ac:dyDescent="0.4">
      <c r="A23" s="130" t="s">
        <v>8</v>
      </c>
      <c r="B23" s="131">
        <v>1031</v>
      </c>
      <c r="C23" s="130" t="s">
        <v>513</v>
      </c>
      <c r="D23" s="130">
        <v>987594</v>
      </c>
      <c r="E23" s="130" t="s">
        <v>448</v>
      </c>
      <c r="F23" s="130">
        <v>30</v>
      </c>
      <c r="G23" s="132">
        <v>0.79</v>
      </c>
      <c r="H23" s="132">
        <v>0.89</v>
      </c>
      <c r="I23" s="132"/>
      <c r="J23" s="130" t="s">
        <v>51</v>
      </c>
      <c r="K23" s="130" t="s">
        <v>200</v>
      </c>
      <c r="L23" s="130"/>
      <c r="M23" s="133">
        <v>44813</v>
      </c>
    </row>
    <row r="24" spans="1:13" x14ac:dyDescent="0.35">
      <c r="A24" s="119" t="s">
        <v>8</v>
      </c>
      <c r="B24" s="120">
        <v>1038</v>
      </c>
      <c r="C24" s="119" t="s">
        <v>514</v>
      </c>
      <c r="D24" s="119">
        <v>980000</v>
      </c>
      <c r="E24" s="119" t="s">
        <v>93</v>
      </c>
      <c r="F24" s="119">
        <v>37.5</v>
      </c>
      <c r="G24" s="121"/>
      <c r="H24" s="121">
        <v>0.46</v>
      </c>
      <c r="I24" s="121"/>
      <c r="J24" s="119"/>
      <c r="K24" s="119"/>
      <c r="L24" s="119"/>
      <c r="M24" s="122"/>
    </row>
    <row r="25" spans="1:13" x14ac:dyDescent="0.35">
      <c r="A25" s="101" t="s">
        <v>8</v>
      </c>
      <c r="B25" s="123">
        <v>1038</v>
      </c>
      <c r="C25" s="101" t="s">
        <v>514</v>
      </c>
      <c r="D25" s="101">
        <v>980100</v>
      </c>
      <c r="E25" s="101" t="s">
        <v>96</v>
      </c>
      <c r="F25" s="101">
        <v>40</v>
      </c>
      <c r="G25" s="124"/>
      <c r="H25" s="124">
        <v>0.59</v>
      </c>
      <c r="I25" s="124"/>
      <c r="J25" s="101"/>
      <c r="K25" s="101"/>
      <c r="L25" s="101"/>
      <c r="M25" s="125"/>
    </row>
    <row r="26" spans="1:13" ht="15" thickBot="1" x14ac:dyDescent="0.4">
      <c r="A26" s="130" t="s">
        <v>8</v>
      </c>
      <c r="B26" s="131">
        <v>1038</v>
      </c>
      <c r="C26" s="130" t="s">
        <v>514</v>
      </c>
      <c r="D26" s="130">
        <v>987594</v>
      </c>
      <c r="E26" s="130" t="s">
        <v>448</v>
      </c>
      <c r="F26" s="130">
        <v>30</v>
      </c>
      <c r="G26" s="132">
        <v>0.79</v>
      </c>
      <c r="H26" s="132">
        <v>0.85</v>
      </c>
      <c r="I26" s="132"/>
      <c r="J26" s="130" t="s">
        <v>51</v>
      </c>
      <c r="K26" s="130" t="s">
        <v>200</v>
      </c>
      <c r="L26" s="130"/>
      <c r="M26" s="133">
        <v>44813</v>
      </c>
    </row>
    <row r="27" spans="1:13" x14ac:dyDescent="0.35">
      <c r="A27" s="119" t="s">
        <v>8</v>
      </c>
      <c r="B27" s="120">
        <v>1039</v>
      </c>
      <c r="C27" s="119" t="s">
        <v>514</v>
      </c>
      <c r="D27" s="119">
        <v>980000</v>
      </c>
      <c r="E27" s="119" t="s">
        <v>93</v>
      </c>
      <c r="F27" s="119">
        <v>37.5</v>
      </c>
      <c r="G27" s="121"/>
      <c r="H27" s="121">
        <v>0.46</v>
      </c>
      <c r="I27" s="121"/>
      <c r="J27" s="119"/>
      <c r="K27" s="119"/>
      <c r="L27" s="119"/>
      <c r="M27" s="122"/>
    </row>
    <row r="28" spans="1:13" x14ac:dyDescent="0.35">
      <c r="A28" s="101" t="s">
        <v>8</v>
      </c>
      <c r="B28" s="123">
        <v>1039</v>
      </c>
      <c r="C28" s="101" t="s">
        <v>514</v>
      </c>
      <c r="D28" s="101">
        <v>980100</v>
      </c>
      <c r="E28" s="101" t="s">
        <v>96</v>
      </c>
      <c r="F28" s="101">
        <v>40</v>
      </c>
      <c r="G28" s="124"/>
      <c r="H28" s="124">
        <v>0.54</v>
      </c>
      <c r="I28" s="124"/>
      <c r="J28" s="101"/>
      <c r="K28" s="101"/>
      <c r="L28" s="101"/>
      <c r="M28" s="125"/>
    </row>
    <row r="29" spans="1:13" ht="15" thickBot="1" x14ac:dyDescent="0.4">
      <c r="A29" s="130" t="s">
        <v>8</v>
      </c>
      <c r="B29" s="131">
        <v>1039</v>
      </c>
      <c r="C29" s="130" t="s">
        <v>514</v>
      </c>
      <c r="D29" s="130">
        <v>987594</v>
      </c>
      <c r="E29" s="130" t="s">
        <v>448</v>
      </c>
      <c r="F29" s="130">
        <v>30</v>
      </c>
      <c r="G29" s="132">
        <v>0.79</v>
      </c>
      <c r="H29" s="132">
        <v>0.85</v>
      </c>
      <c r="I29" s="132"/>
      <c r="J29" s="130" t="s">
        <v>51</v>
      </c>
      <c r="K29" s="130" t="s">
        <v>200</v>
      </c>
      <c r="L29" s="130"/>
      <c r="M29" s="133">
        <v>44813</v>
      </c>
    </row>
    <row r="30" spans="1:13" x14ac:dyDescent="0.35">
      <c r="A30" s="119" t="s">
        <v>8</v>
      </c>
      <c r="B30" s="120">
        <v>1050</v>
      </c>
      <c r="C30" s="119" t="s">
        <v>247</v>
      </c>
      <c r="D30" s="119">
        <v>980000</v>
      </c>
      <c r="E30" s="119" t="s">
        <v>93</v>
      </c>
      <c r="F30" s="119">
        <v>37.5</v>
      </c>
      <c r="G30" s="121"/>
      <c r="H30" s="121">
        <v>0.49</v>
      </c>
      <c r="I30" s="121"/>
      <c r="J30" s="119"/>
      <c r="K30" s="119"/>
      <c r="L30" s="119"/>
      <c r="M30" s="122"/>
    </row>
    <row r="31" spans="1:13" x14ac:dyDescent="0.35">
      <c r="A31" s="101" t="s">
        <v>8</v>
      </c>
      <c r="B31" s="123">
        <v>1050</v>
      </c>
      <c r="C31" s="101" t="s">
        <v>247</v>
      </c>
      <c r="D31" s="101">
        <v>980100</v>
      </c>
      <c r="E31" s="101" t="s">
        <v>96</v>
      </c>
      <c r="F31" s="101">
        <v>40</v>
      </c>
      <c r="G31" s="124"/>
      <c r="H31" s="124">
        <v>0.6</v>
      </c>
      <c r="I31" s="124"/>
      <c r="J31" s="101"/>
      <c r="K31" s="101"/>
      <c r="L31" s="101"/>
      <c r="M31" s="125"/>
    </row>
    <row r="32" spans="1:13" ht="15" thickBot="1" x14ac:dyDescent="0.4">
      <c r="A32" s="130" t="s">
        <v>8</v>
      </c>
      <c r="B32" s="131">
        <v>1050</v>
      </c>
      <c r="C32" s="130" t="s">
        <v>247</v>
      </c>
      <c r="D32" s="130">
        <v>987594</v>
      </c>
      <c r="E32" s="130" t="s">
        <v>448</v>
      </c>
      <c r="F32" s="130">
        <v>30</v>
      </c>
      <c r="G32" s="132">
        <v>0.79</v>
      </c>
      <c r="H32" s="132">
        <v>0.85</v>
      </c>
      <c r="I32" s="132"/>
      <c r="J32" s="130" t="s">
        <v>51</v>
      </c>
      <c r="K32" s="130" t="s">
        <v>200</v>
      </c>
      <c r="L32" s="130"/>
      <c r="M32" s="133">
        <v>44813</v>
      </c>
    </row>
    <row r="33" spans="1:13" x14ac:dyDescent="0.35">
      <c r="A33" s="119" t="s">
        <v>8</v>
      </c>
      <c r="B33" s="120">
        <v>1053</v>
      </c>
      <c r="C33" s="119" t="s">
        <v>515</v>
      </c>
      <c r="D33" s="119">
        <v>980000</v>
      </c>
      <c r="E33" s="119" t="s">
        <v>93</v>
      </c>
      <c r="F33" s="119">
        <v>37.5</v>
      </c>
      <c r="G33" s="121"/>
      <c r="H33" s="121">
        <v>0.46</v>
      </c>
      <c r="I33" s="121"/>
      <c r="J33" s="119"/>
      <c r="K33" s="119"/>
      <c r="L33" s="119"/>
      <c r="M33" s="122"/>
    </row>
    <row r="34" spans="1:13" x14ac:dyDescent="0.35">
      <c r="A34" s="101" t="s">
        <v>8</v>
      </c>
      <c r="B34" s="123">
        <v>1053</v>
      </c>
      <c r="C34" s="101" t="s">
        <v>515</v>
      </c>
      <c r="D34" s="101">
        <v>980100</v>
      </c>
      <c r="E34" s="101" t="s">
        <v>96</v>
      </c>
      <c r="F34" s="101">
        <v>40</v>
      </c>
      <c r="G34" s="124"/>
      <c r="H34" s="124">
        <v>0.63</v>
      </c>
      <c r="I34" s="124"/>
      <c r="J34" s="101"/>
      <c r="K34" s="101"/>
      <c r="L34" s="101"/>
      <c r="M34" s="125"/>
    </row>
    <row r="35" spans="1:13" ht="15" thickBot="1" x14ac:dyDescent="0.4">
      <c r="A35" s="130" t="s">
        <v>8</v>
      </c>
      <c r="B35" s="131">
        <v>1053</v>
      </c>
      <c r="C35" s="130" t="s">
        <v>515</v>
      </c>
      <c r="D35" s="130">
        <v>987594</v>
      </c>
      <c r="E35" s="130" t="s">
        <v>448</v>
      </c>
      <c r="F35" s="130">
        <v>30</v>
      </c>
      <c r="G35" s="132">
        <v>0.79</v>
      </c>
      <c r="H35" s="132">
        <v>0.84</v>
      </c>
      <c r="I35" s="132"/>
      <c r="J35" s="130" t="s">
        <v>51</v>
      </c>
      <c r="K35" s="130" t="s">
        <v>200</v>
      </c>
      <c r="L35" s="130"/>
      <c r="M35" s="133">
        <v>44813</v>
      </c>
    </row>
    <row r="36" spans="1:13" x14ac:dyDescent="0.35">
      <c r="A36" s="119" t="s">
        <v>8</v>
      </c>
      <c r="B36" s="120">
        <v>1057</v>
      </c>
      <c r="C36" s="119" t="s">
        <v>251</v>
      </c>
      <c r="D36" s="119">
        <v>980000</v>
      </c>
      <c r="E36" s="119" t="s">
        <v>93</v>
      </c>
      <c r="F36" s="119">
        <v>37.5</v>
      </c>
      <c r="G36" s="121"/>
      <c r="H36" s="121">
        <v>0.49</v>
      </c>
      <c r="I36" s="121"/>
      <c r="J36" s="119"/>
      <c r="K36" s="119"/>
      <c r="L36" s="119"/>
      <c r="M36" s="122"/>
    </row>
    <row r="37" spans="1:13" x14ac:dyDescent="0.35">
      <c r="A37" s="101" t="s">
        <v>8</v>
      </c>
      <c r="B37" s="123">
        <v>1057</v>
      </c>
      <c r="C37" s="101" t="s">
        <v>251</v>
      </c>
      <c r="D37" s="101">
        <v>980100</v>
      </c>
      <c r="E37" s="101" t="s">
        <v>96</v>
      </c>
      <c r="F37" s="101">
        <v>40</v>
      </c>
      <c r="G37" s="124"/>
      <c r="H37" s="124">
        <v>0.71</v>
      </c>
      <c r="I37" s="124"/>
      <c r="J37" s="101"/>
      <c r="K37" s="101"/>
      <c r="L37" s="101"/>
      <c r="M37" s="125"/>
    </row>
    <row r="38" spans="1:13" ht="15" thickBot="1" x14ac:dyDescent="0.4">
      <c r="A38" s="130" t="s">
        <v>8</v>
      </c>
      <c r="B38" s="131">
        <v>1057</v>
      </c>
      <c r="C38" s="130" t="s">
        <v>251</v>
      </c>
      <c r="D38" s="130">
        <v>987594</v>
      </c>
      <c r="E38" s="130" t="s">
        <v>448</v>
      </c>
      <c r="F38" s="130">
        <v>30</v>
      </c>
      <c r="G38" s="132">
        <v>0.79</v>
      </c>
      <c r="H38" s="132">
        <v>0.85</v>
      </c>
      <c r="I38" s="132"/>
      <c r="J38" s="130" t="s">
        <v>51</v>
      </c>
      <c r="K38" s="130" t="s">
        <v>200</v>
      </c>
      <c r="L38" s="130"/>
      <c r="M38" s="133">
        <v>44813</v>
      </c>
    </row>
    <row r="39" spans="1:13" x14ac:dyDescent="0.35">
      <c r="A39" s="119" t="s">
        <v>8</v>
      </c>
      <c r="B39" s="120">
        <v>1059</v>
      </c>
      <c r="C39" s="119" t="s">
        <v>516</v>
      </c>
      <c r="D39" s="119">
        <v>980000</v>
      </c>
      <c r="E39" s="119" t="s">
        <v>93</v>
      </c>
      <c r="F39" s="119">
        <v>37.5</v>
      </c>
      <c r="G39" s="121"/>
      <c r="H39" s="121">
        <v>0.36</v>
      </c>
      <c r="I39" s="121"/>
      <c r="J39" s="119"/>
      <c r="K39" s="119"/>
      <c r="L39" s="119"/>
      <c r="M39" s="122"/>
    </row>
    <row r="40" spans="1:13" x14ac:dyDescent="0.35">
      <c r="A40" s="101" t="s">
        <v>8</v>
      </c>
      <c r="B40" s="123">
        <v>1059</v>
      </c>
      <c r="C40" s="101" t="s">
        <v>516</v>
      </c>
      <c r="D40" s="101">
        <v>980100</v>
      </c>
      <c r="E40" s="101" t="s">
        <v>96</v>
      </c>
      <c r="F40" s="101">
        <v>40</v>
      </c>
      <c r="G40" s="124"/>
      <c r="H40" s="124">
        <v>0.79</v>
      </c>
      <c r="I40" s="124"/>
      <c r="J40" s="101"/>
      <c r="K40" s="101"/>
      <c r="L40" s="101"/>
      <c r="M40" s="125"/>
    </row>
    <row r="41" spans="1:13" ht="15" thickBot="1" x14ac:dyDescent="0.4">
      <c r="A41" s="130" t="s">
        <v>8</v>
      </c>
      <c r="B41" s="131">
        <v>1059</v>
      </c>
      <c r="C41" s="130" t="s">
        <v>516</v>
      </c>
      <c r="D41" s="130">
        <v>987594</v>
      </c>
      <c r="E41" s="130" t="s">
        <v>448</v>
      </c>
      <c r="F41" s="130">
        <v>30</v>
      </c>
      <c r="G41" s="132">
        <v>0.79</v>
      </c>
      <c r="H41" s="132">
        <v>0.85</v>
      </c>
      <c r="I41" s="132"/>
      <c r="J41" s="130" t="s">
        <v>51</v>
      </c>
      <c r="K41" s="130" t="s">
        <v>200</v>
      </c>
      <c r="L41" s="130"/>
      <c r="M41" s="133">
        <v>44813</v>
      </c>
    </row>
    <row r="42" spans="1:13" x14ac:dyDescent="0.35">
      <c r="A42" s="119" t="s">
        <v>8</v>
      </c>
      <c r="B42" s="120">
        <v>1060</v>
      </c>
      <c r="C42" s="119" t="s">
        <v>254</v>
      </c>
      <c r="D42" s="119">
        <v>980000</v>
      </c>
      <c r="E42" s="119" t="s">
        <v>93</v>
      </c>
      <c r="F42" s="119">
        <v>37.5</v>
      </c>
      <c r="G42" s="121"/>
      <c r="H42" s="121">
        <v>0.49</v>
      </c>
      <c r="I42" s="121"/>
      <c r="J42" s="119"/>
      <c r="K42" s="119"/>
      <c r="L42" s="119"/>
      <c r="M42" s="122"/>
    </row>
    <row r="43" spans="1:13" x14ac:dyDescent="0.35">
      <c r="A43" s="101" t="s">
        <v>8</v>
      </c>
      <c r="B43" s="123">
        <v>1060</v>
      </c>
      <c r="C43" s="101" t="s">
        <v>254</v>
      </c>
      <c r="D43" s="101">
        <v>980100</v>
      </c>
      <c r="E43" s="101" t="s">
        <v>96</v>
      </c>
      <c r="F43" s="101">
        <v>40</v>
      </c>
      <c r="G43" s="124"/>
      <c r="H43" s="124">
        <v>0.59</v>
      </c>
      <c r="I43" s="124"/>
      <c r="J43" s="101"/>
      <c r="K43" s="101"/>
      <c r="L43" s="101"/>
      <c r="M43" s="125"/>
    </row>
    <row r="44" spans="1:13" ht="15" thickBot="1" x14ac:dyDescent="0.4">
      <c r="A44" s="130" t="s">
        <v>8</v>
      </c>
      <c r="B44" s="131">
        <v>1060</v>
      </c>
      <c r="C44" s="130" t="s">
        <v>254</v>
      </c>
      <c r="D44" s="130">
        <v>987594</v>
      </c>
      <c r="E44" s="130" t="s">
        <v>448</v>
      </c>
      <c r="F44" s="130">
        <v>30</v>
      </c>
      <c r="G44" s="132">
        <v>0.79</v>
      </c>
      <c r="H44" s="132">
        <v>0.85</v>
      </c>
      <c r="I44" s="132"/>
      <c r="J44" s="130" t="s">
        <v>51</v>
      </c>
      <c r="K44" s="130" t="s">
        <v>200</v>
      </c>
      <c r="L44" s="130"/>
      <c r="M44" s="133">
        <v>44813</v>
      </c>
    </row>
    <row r="45" spans="1:13" x14ac:dyDescent="0.35">
      <c r="A45" s="119" t="s">
        <v>8</v>
      </c>
      <c r="B45" s="120">
        <v>1063</v>
      </c>
      <c r="C45" s="119" t="s">
        <v>517</v>
      </c>
      <c r="D45" s="119">
        <v>980000</v>
      </c>
      <c r="E45" s="119" t="s">
        <v>93</v>
      </c>
      <c r="F45" s="119">
        <v>37.5</v>
      </c>
      <c r="G45" s="121"/>
      <c r="H45" s="121">
        <v>0.47</v>
      </c>
      <c r="I45" s="121"/>
      <c r="J45" s="119"/>
      <c r="K45" s="119"/>
      <c r="L45" s="119"/>
      <c r="M45" s="122"/>
    </row>
    <row r="46" spans="1:13" x14ac:dyDescent="0.35">
      <c r="A46" s="101" t="s">
        <v>8</v>
      </c>
      <c r="B46" s="123">
        <v>1063</v>
      </c>
      <c r="C46" s="101" t="s">
        <v>517</v>
      </c>
      <c r="D46" s="101">
        <v>980100</v>
      </c>
      <c r="E46" s="101" t="s">
        <v>96</v>
      </c>
      <c r="F46" s="101">
        <v>40</v>
      </c>
      <c r="G46" s="124"/>
      <c r="H46" s="124">
        <v>0.63</v>
      </c>
      <c r="I46" s="124"/>
      <c r="J46" s="101"/>
      <c r="K46" s="101"/>
      <c r="L46" s="101"/>
      <c r="M46" s="125"/>
    </row>
    <row r="47" spans="1:13" ht="15" thickBot="1" x14ac:dyDescent="0.4">
      <c r="A47" s="126" t="s">
        <v>8</v>
      </c>
      <c r="B47" s="127">
        <v>1063</v>
      </c>
      <c r="C47" s="126" t="s">
        <v>517</v>
      </c>
      <c r="D47" s="126">
        <v>987594</v>
      </c>
      <c r="E47" s="126" t="s">
        <v>448</v>
      </c>
      <c r="F47" s="126">
        <v>30</v>
      </c>
      <c r="G47" s="128"/>
      <c r="H47" s="128">
        <v>0.79</v>
      </c>
      <c r="I47" s="128"/>
      <c r="J47" s="126"/>
      <c r="K47" s="126"/>
      <c r="L47" s="126"/>
      <c r="M47" s="129"/>
    </row>
    <row r="48" spans="1:13" x14ac:dyDescent="0.35">
      <c r="A48" s="119" t="s">
        <v>8</v>
      </c>
      <c r="B48" s="120">
        <v>1081</v>
      </c>
      <c r="C48" s="119" t="s">
        <v>481</v>
      </c>
      <c r="D48" s="119">
        <v>980000</v>
      </c>
      <c r="E48" s="119" t="s">
        <v>93</v>
      </c>
      <c r="F48" s="119">
        <v>37.5</v>
      </c>
      <c r="G48" s="121"/>
      <c r="H48" s="121">
        <v>0.53</v>
      </c>
      <c r="I48" s="121"/>
      <c r="J48" s="119"/>
      <c r="K48" s="119"/>
      <c r="L48" s="119"/>
      <c r="M48" s="122"/>
    </row>
    <row r="49" spans="1:13" x14ac:dyDescent="0.35">
      <c r="A49" s="101" t="s">
        <v>8</v>
      </c>
      <c r="B49" s="123">
        <v>1081</v>
      </c>
      <c r="C49" s="101" t="s">
        <v>481</v>
      </c>
      <c r="D49" s="101">
        <v>980100</v>
      </c>
      <c r="E49" s="101" t="s">
        <v>96</v>
      </c>
      <c r="F49" s="101">
        <v>40</v>
      </c>
      <c r="G49" s="124"/>
      <c r="H49" s="124">
        <v>0.64</v>
      </c>
      <c r="I49" s="124"/>
      <c r="J49" s="101"/>
      <c r="K49" s="101"/>
      <c r="L49" s="101"/>
      <c r="M49" s="125"/>
    </row>
    <row r="50" spans="1:13" ht="15" thickBot="1" x14ac:dyDescent="0.4">
      <c r="A50" s="130" t="s">
        <v>8</v>
      </c>
      <c r="B50" s="131">
        <v>1081</v>
      </c>
      <c r="C50" s="130" t="s">
        <v>481</v>
      </c>
      <c r="D50" s="130">
        <v>987594</v>
      </c>
      <c r="E50" s="130" t="s">
        <v>448</v>
      </c>
      <c r="F50" s="130">
        <v>30</v>
      </c>
      <c r="G50" s="132">
        <v>0.79</v>
      </c>
      <c r="H50" s="132">
        <v>0.95</v>
      </c>
      <c r="I50" s="132"/>
      <c r="J50" s="130" t="s">
        <v>51</v>
      </c>
      <c r="K50" s="130" t="s">
        <v>200</v>
      </c>
      <c r="L50" s="130"/>
      <c r="M50" s="133">
        <v>44813</v>
      </c>
    </row>
    <row r="51" spans="1:13" x14ac:dyDescent="0.35">
      <c r="A51" s="119" t="s">
        <v>8</v>
      </c>
      <c r="B51" s="120">
        <v>1093</v>
      </c>
      <c r="C51" s="119" t="s">
        <v>260</v>
      </c>
      <c r="D51" s="119">
        <v>980000</v>
      </c>
      <c r="E51" s="119" t="s">
        <v>93</v>
      </c>
      <c r="F51" s="119">
        <v>37.5</v>
      </c>
      <c r="G51" s="121"/>
      <c r="H51" s="121">
        <v>0.49</v>
      </c>
      <c r="I51" s="121"/>
      <c r="J51" s="119"/>
      <c r="K51" s="119"/>
      <c r="L51" s="119"/>
      <c r="M51" s="122"/>
    </row>
    <row r="52" spans="1:13" x14ac:dyDescent="0.35">
      <c r="A52" s="101" t="s">
        <v>8</v>
      </c>
      <c r="B52" s="123">
        <v>1093</v>
      </c>
      <c r="C52" s="101" t="s">
        <v>260</v>
      </c>
      <c r="D52" s="101">
        <v>980100</v>
      </c>
      <c r="E52" s="101" t="s">
        <v>96</v>
      </c>
      <c r="F52" s="101">
        <v>40</v>
      </c>
      <c r="G52" s="124"/>
      <c r="H52" s="124">
        <v>0.63</v>
      </c>
      <c r="I52" s="124"/>
      <c r="J52" s="101"/>
      <c r="K52" s="101"/>
      <c r="L52" s="101"/>
      <c r="M52" s="125"/>
    </row>
    <row r="53" spans="1:13" ht="15" thickBot="1" x14ac:dyDescent="0.4">
      <c r="A53" s="130" t="s">
        <v>8</v>
      </c>
      <c r="B53" s="131">
        <v>1093</v>
      </c>
      <c r="C53" s="130" t="s">
        <v>260</v>
      </c>
      <c r="D53" s="130">
        <v>987594</v>
      </c>
      <c r="E53" s="130" t="s">
        <v>448</v>
      </c>
      <c r="F53" s="130">
        <v>30</v>
      </c>
      <c r="G53" s="132">
        <v>0.79</v>
      </c>
      <c r="H53" s="132">
        <v>0.85</v>
      </c>
      <c r="I53" s="132"/>
      <c r="J53" s="130" t="s">
        <v>51</v>
      </c>
      <c r="K53" s="130" t="s">
        <v>200</v>
      </c>
      <c r="L53" s="130"/>
      <c r="M53" s="133">
        <v>44813</v>
      </c>
    </row>
    <row r="54" spans="1:13" x14ac:dyDescent="0.35">
      <c r="A54" s="119" t="s">
        <v>8</v>
      </c>
      <c r="B54" s="120">
        <v>1103</v>
      </c>
      <c r="C54" s="119" t="s">
        <v>518</v>
      </c>
      <c r="D54" s="119">
        <v>980000</v>
      </c>
      <c r="E54" s="119" t="s">
        <v>93</v>
      </c>
      <c r="F54" s="119">
        <v>37.5</v>
      </c>
      <c r="G54" s="121"/>
      <c r="H54" s="121">
        <v>0.49</v>
      </c>
      <c r="I54" s="121"/>
      <c r="J54" s="119"/>
      <c r="K54" s="119"/>
      <c r="L54" s="119"/>
      <c r="M54" s="122"/>
    </row>
    <row r="55" spans="1:13" x14ac:dyDescent="0.35">
      <c r="A55" s="101" t="s">
        <v>8</v>
      </c>
      <c r="B55" s="123">
        <v>1103</v>
      </c>
      <c r="C55" s="101" t="s">
        <v>518</v>
      </c>
      <c r="D55" s="101">
        <v>980100</v>
      </c>
      <c r="E55" s="101" t="s">
        <v>96</v>
      </c>
      <c r="F55" s="101">
        <v>40</v>
      </c>
      <c r="G55" s="124"/>
      <c r="H55" s="124">
        <v>0.57999999999999996</v>
      </c>
      <c r="I55" s="124"/>
      <c r="J55" s="101"/>
      <c r="K55" s="101"/>
      <c r="L55" s="101"/>
      <c r="M55" s="125"/>
    </row>
    <row r="56" spans="1:13" ht="15" thickBot="1" x14ac:dyDescent="0.4">
      <c r="A56" s="130" t="s">
        <v>8</v>
      </c>
      <c r="B56" s="131">
        <v>1103</v>
      </c>
      <c r="C56" s="130" t="s">
        <v>518</v>
      </c>
      <c r="D56" s="130">
        <v>987594</v>
      </c>
      <c r="E56" s="130" t="s">
        <v>448</v>
      </c>
      <c r="F56" s="130">
        <v>30</v>
      </c>
      <c r="G56" s="132">
        <v>0.79</v>
      </c>
      <c r="H56" s="132">
        <v>0.85</v>
      </c>
      <c r="I56" s="132"/>
      <c r="J56" s="130" t="s">
        <v>51</v>
      </c>
      <c r="K56" s="130" t="s">
        <v>200</v>
      </c>
      <c r="L56" s="130"/>
      <c r="M56" s="133">
        <v>44813</v>
      </c>
    </row>
    <row r="57" spans="1:13" x14ac:dyDescent="0.35">
      <c r="A57" s="119" t="s">
        <v>8</v>
      </c>
      <c r="B57" s="120">
        <v>1105</v>
      </c>
      <c r="C57" s="119" t="s">
        <v>519</v>
      </c>
      <c r="D57" s="119">
        <v>980000</v>
      </c>
      <c r="E57" s="119" t="s">
        <v>93</v>
      </c>
      <c r="F57" s="119">
        <v>37.5</v>
      </c>
      <c r="G57" s="121"/>
      <c r="H57" s="121">
        <v>0.49</v>
      </c>
      <c r="I57" s="121"/>
      <c r="J57" s="119"/>
      <c r="K57" s="119"/>
      <c r="L57" s="119"/>
      <c r="M57" s="122"/>
    </row>
    <row r="58" spans="1:13" x14ac:dyDescent="0.35">
      <c r="A58" s="101" t="s">
        <v>8</v>
      </c>
      <c r="B58" s="123">
        <v>1105</v>
      </c>
      <c r="C58" s="101" t="s">
        <v>519</v>
      </c>
      <c r="D58" s="101">
        <v>980100</v>
      </c>
      <c r="E58" s="101" t="s">
        <v>96</v>
      </c>
      <c r="F58" s="101">
        <v>40</v>
      </c>
      <c r="G58" s="124"/>
      <c r="H58" s="124">
        <v>0.63</v>
      </c>
      <c r="I58" s="124"/>
      <c r="J58" s="101"/>
      <c r="K58" s="101"/>
      <c r="L58" s="101"/>
      <c r="M58" s="125"/>
    </row>
    <row r="59" spans="1:13" ht="15" thickBot="1" x14ac:dyDescent="0.4">
      <c r="A59" s="130" t="s">
        <v>8</v>
      </c>
      <c r="B59" s="131">
        <v>1105</v>
      </c>
      <c r="C59" s="130" t="s">
        <v>519</v>
      </c>
      <c r="D59" s="130">
        <v>987594</v>
      </c>
      <c r="E59" s="130" t="s">
        <v>448</v>
      </c>
      <c r="F59" s="130">
        <v>30</v>
      </c>
      <c r="G59" s="132">
        <v>0.79</v>
      </c>
      <c r="H59" s="132">
        <v>0.85</v>
      </c>
      <c r="I59" s="132"/>
      <c r="J59" s="130" t="s">
        <v>51</v>
      </c>
      <c r="K59" s="130" t="s">
        <v>200</v>
      </c>
      <c r="L59" s="130"/>
      <c r="M59" s="133">
        <v>44813</v>
      </c>
    </row>
    <row r="60" spans="1:13" x14ac:dyDescent="0.35">
      <c r="A60" s="119" t="s">
        <v>8</v>
      </c>
      <c r="B60" s="120">
        <v>1106</v>
      </c>
      <c r="C60" s="119" t="s">
        <v>520</v>
      </c>
      <c r="D60" s="119">
        <v>980000</v>
      </c>
      <c r="E60" s="119" t="s">
        <v>93</v>
      </c>
      <c r="F60" s="119">
        <v>37.5</v>
      </c>
      <c r="G60" s="121"/>
      <c r="H60" s="121">
        <v>0.49</v>
      </c>
      <c r="I60" s="121"/>
      <c r="J60" s="119"/>
      <c r="K60" s="119"/>
      <c r="L60" s="119"/>
      <c r="M60" s="122"/>
    </row>
    <row r="61" spans="1:13" x14ac:dyDescent="0.35">
      <c r="A61" s="101" t="s">
        <v>8</v>
      </c>
      <c r="B61" s="123">
        <v>1106</v>
      </c>
      <c r="C61" s="101" t="s">
        <v>520</v>
      </c>
      <c r="D61" s="101">
        <v>980100</v>
      </c>
      <c r="E61" s="101" t="s">
        <v>96</v>
      </c>
      <c r="F61" s="101">
        <v>40</v>
      </c>
      <c r="G61" s="124"/>
      <c r="H61" s="124">
        <v>0.56000000000000005</v>
      </c>
      <c r="I61" s="124"/>
      <c r="J61" s="101"/>
      <c r="K61" s="101"/>
      <c r="L61" s="101"/>
      <c r="M61" s="125"/>
    </row>
    <row r="62" spans="1:13" ht="15" thickBot="1" x14ac:dyDescent="0.4">
      <c r="A62" s="130" t="s">
        <v>8</v>
      </c>
      <c r="B62" s="131">
        <v>1106</v>
      </c>
      <c r="C62" s="130" t="s">
        <v>520</v>
      </c>
      <c r="D62" s="130">
        <v>987594</v>
      </c>
      <c r="E62" s="130" t="s">
        <v>448</v>
      </c>
      <c r="F62" s="130">
        <v>30</v>
      </c>
      <c r="G62" s="132">
        <v>0.79</v>
      </c>
      <c r="H62" s="132">
        <v>0.85</v>
      </c>
      <c r="I62" s="132"/>
      <c r="J62" s="130" t="s">
        <v>51</v>
      </c>
      <c r="K62" s="130" t="s">
        <v>200</v>
      </c>
      <c r="L62" s="130"/>
      <c r="M62" s="133">
        <v>44813</v>
      </c>
    </row>
    <row r="63" spans="1:13" x14ac:dyDescent="0.35">
      <c r="A63" s="119" t="s">
        <v>8</v>
      </c>
      <c r="B63" s="120">
        <v>1108</v>
      </c>
      <c r="C63" s="119" t="s">
        <v>269</v>
      </c>
      <c r="D63" s="119">
        <v>980000</v>
      </c>
      <c r="E63" s="119" t="s">
        <v>93</v>
      </c>
      <c r="F63" s="119">
        <v>37.5</v>
      </c>
      <c r="G63" s="121"/>
      <c r="H63" s="121">
        <v>0.53</v>
      </c>
      <c r="I63" s="121"/>
      <c r="J63" s="119"/>
      <c r="K63" s="119"/>
      <c r="L63" s="119"/>
      <c r="M63" s="122"/>
    </row>
    <row r="64" spans="1:13" x14ac:dyDescent="0.35">
      <c r="A64" s="101" t="s">
        <v>8</v>
      </c>
      <c r="B64" s="123">
        <v>1108</v>
      </c>
      <c r="C64" s="101" t="s">
        <v>269</v>
      </c>
      <c r="D64" s="101">
        <v>980100</v>
      </c>
      <c r="E64" s="101" t="s">
        <v>96</v>
      </c>
      <c r="F64" s="101">
        <v>40</v>
      </c>
      <c r="G64" s="124"/>
      <c r="H64" s="124">
        <v>0.78</v>
      </c>
      <c r="I64" s="124"/>
      <c r="J64" s="101"/>
      <c r="K64" s="101"/>
      <c r="L64" s="101"/>
      <c r="M64" s="125"/>
    </row>
    <row r="65" spans="1:13" ht="15" thickBot="1" x14ac:dyDescent="0.4">
      <c r="A65" s="126" t="s">
        <v>8</v>
      </c>
      <c r="B65" s="127">
        <v>1108</v>
      </c>
      <c r="C65" s="126" t="s">
        <v>269</v>
      </c>
      <c r="D65" s="126">
        <v>987594</v>
      </c>
      <c r="E65" s="126" t="s">
        <v>448</v>
      </c>
      <c r="F65" s="126">
        <v>30</v>
      </c>
      <c r="G65" s="128"/>
      <c r="H65" s="128">
        <v>0.49</v>
      </c>
      <c r="I65" s="128"/>
      <c r="J65" s="126"/>
      <c r="K65" s="126"/>
      <c r="L65" s="126"/>
      <c r="M65" s="129"/>
    </row>
    <row r="66" spans="1:13" x14ac:dyDescent="0.35">
      <c r="A66" s="119" t="s">
        <v>8</v>
      </c>
      <c r="B66" s="120">
        <v>1117</v>
      </c>
      <c r="C66" s="119" t="s">
        <v>521</v>
      </c>
      <c r="D66" s="119">
        <v>980000</v>
      </c>
      <c r="E66" s="119" t="s">
        <v>93</v>
      </c>
      <c r="F66" s="119">
        <v>37.5</v>
      </c>
      <c r="G66" s="121"/>
      <c r="H66" s="121">
        <v>0.49</v>
      </c>
      <c r="I66" s="121"/>
      <c r="J66" s="119"/>
      <c r="K66" s="119"/>
      <c r="L66" s="119"/>
      <c r="M66" s="122"/>
    </row>
    <row r="67" spans="1:13" x14ac:dyDescent="0.35">
      <c r="A67" s="101" t="s">
        <v>8</v>
      </c>
      <c r="B67" s="123">
        <v>1117</v>
      </c>
      <c r="C67" s="101" t="s">
        <v>521</v>
      </c>
      <c r="D67" s="101">
        <v>980100</v>
      </c>
      <c r="E67" s="101" t="s">
        <v>96</v>
      </c>
      <c r="F67" s="101">
        <v>40</v>
      </c>
      <c r="G67" s="124"/>
      <c r="H67" s="124">
        <v>0.63</v>
      </c>
      <c r="I67" s="124"/>
      <c r="J67" s="101"/>
      <c r="K67" s="101"/>
      <c r="L67" s="101"/>
      <c r="M67" s="125"/>
    </row>
    <row r="68" spans="1:13" ht="15" thickBot="1" x14ac:dyDescent="0.4">
      <c r="A68" s="130" t="s">
        <v>8</v>
      </c>
      <c r="B68" s="131">
        <v>1117</v>
      </c>
      <c r="C68" s="130" t="s">
        <v>521</v>
      </c>
      <c r="D68" s="130">
        <v>987594</v>
      </c>
      <c r="E68" s="130" t="s">
        <v>448</v>
      </c>
      <c r="F68" s="130">
        <v>30</v>
      </c>
      <c r="G68" s="132">
        <v>0.79</v>
      </c>
      <c r="H68" s="132">
        <v>0.85</v>
      </c>
      <c r="I68" s="132"/>
      <c r="J68" s="130" t="s">
        <v>51</v>
      </c>
      <c r="K68" s="130" t="s">
        <v>200</v>
      </c>
      <c r="L68" s="130"/>
      <c r="M68" s="133">
        <v>44813</v>
      </c>
    </row>
    <row r="69" spans="1:13" x14ac:dyDescent="0.35">
      <c r="A69" s="119" t="s">
        <v>8</v>
      </c>
      <c r="B69" s="120">
        <v>1132</v>
      </c>
      <c r="C69" s="119" t="s">
        <v>522</v>
      </c>
      <c r="D69" s="119">
        <v>980000</v>
      </c>
      <c r="E69" s="119" t="s">
        <v>93</v>
      </c>
      <c r="F69" s="119">
        <v>37.5</v>
      </c>
      <c r="G69" s="121"/>
      <c r="H69" s="121">
        <v>0.45</v>
      </c>
      <c r="I69" s="121"/>
      <c r="J69" s="119"/>
      <c r="K69" s="119"/>
      <c r="L69" s="119"/>
      <c r="M69" s="122"/>
    </row>
    <row r="70" spans="1:13" x14ac:dyDescent="0.35">
      <c r="A70" s="101" t="s">
        <v>8</v>
      </c>
      <c r="B70" s="123">
        <v>1132</v>
      </c>
      <c r="C70" s="101" t="s">
        <v>522</v>
      </c>
      <c r="D70" s="101">
        <v>980100</v>
      </c>
      <c r="E70" s="101" t="s">
        <v>96</v>
      </c>
      <c r="F70" s="101">
        <v>40</v>
      </c>
      <c r="G70" s="124"/>
      <c r="H70" s="124">
        <v>0.61</v>
      </c>
      <c r="I70" s="124"/>
      <c r="J70" s="101"/>
      <c r="K70" s="101"/>
      <c r="L70" s="101"/>
      <c r="M70" s="125"/>
    </row>
    <row r="71" spans="1:13" ht="15" thickBot="1" x14ac:dyDescent="0.4">
      <c r="A71" s="130" t="s">
        <v>8</v>
      </c>
      <c r="B71" s="131">
        <v>1132</v>
      </c>
      <c r="C71" s="130" t="s">
        <v>522</v>
      </c>
      <c r="D71" s="130">
        <v>987594</v>
      </c>
      <c r="E71" s="130" t="s">
        <v>448</v>
      </c>
      <c r="F71" s="130">
        <v>30</v>
      </c>
      <c r="G71" s="132">
        <v>0.79</v>
      </c>
      <c r="H71" s="132">
        <v>0.85</v>
      </c>
      <c r="I71" s="132"/>
      <c r="J71" s="130" t="s">
        <v>51</v>
      </c>
      <c r="K71" s="130" t="s">
        <v>200</v>
      </c>
      <c r="L71" s="130"/>
      <c r="M71" s="133">
        <v>44813</v>
      </c>
    </row>
    <row r="72" spans="1:13" x14ac:dyDescent="0.35">
      <c r="A72" s="119" t="s">
        <v>8</v>
      </c>
      <c r="B72" s="120">
        <v>1133</v>
      </c>
      <c r="C72" s="119" t="s">
        <v>523</v>
      </c>
      <c r="D72" s="119">
        <v>980000</v>
      </c>
      <c r="E72" s="119" t="s">
        <v>93</v>
      </c>
      <c r="F72" s="119">
        <v>37.5</v>
      </c>
      <c r="G72" s="121"/>
      <c r="H72" s="121">
        <v>0.49</v>
      </c>
      <c r="I72" s="121"/>
      <c r="J72" s="119"/>
      <c r="K72" s="119"/>
      <c r="L72" s="119"/>
      <c r="M72" s="122"/>
    </row>
    <row r="73" spans="1:13" x14ac:dyDescent="0.35">
      <c r="A73" s="101" t="s">
        <v>8</v>
      </c>
      <c r="B73" s="123">
        <v>1133</v>
      </c>
      <c r="C73" s="101" t="s">
        <v>523</v>
      </c>
      <c r="D73" s="101">
        <v>980100</v>
      </c>
      <c r="E73" s="101" t="s">
        <v>96</v>
      </c>
      <c r="F73" s="101">
        <v>40</v>
      </c>
      <c r="G73" s="124"/>
      <c r="H73" s="124">
        <v>0.57999999999999996</v>
      </c>
      <c r="I73" s="124"/>
      <c r="J73" s="101"/>
      <c r="K73" s="101"/>
      <c r="L73" s="101"/>
      <c r="M73" s="125"/>
    </row>
    <row r="74" spans="1:13" ht="15" thickBot="1" x14ac:dyDescent="0.4">
      <c r="A74" s="126" t="s">
        <v>8</v>
      </c>
      <c r="B74" s="127">
        <v>1133</v>
      </c>
      <c r="C74" s="126" t="s">
        <v>523</v>
      </c>
      <c r="D74" s="126">
        <v>987594</v>
      </c>
      <c r="E74" s="126" t="s">
        <v>448</v>
      </c>
      <c r="F74" s="126">
        <v>30</v>
      </c>
      <c r="G74" s="128"/>
      <c r="H74" s="128">
        <v>0.55000000000000004</v>
      </c>
      <c r="I74" s="128"/>
      <c r="J74" s="126"/>
      <c r="K74" s="126"/>
      <c r="L74" s="126"/>
      <c r="M74" s="129"/>
    </row>
    <row r="75" spans="1:13" x14ac:dyDescent="0.35">
      <c r="A75" s="119" t="s">
        <v>8</v>
      </c>
      <c r="B75" s="120">
        <v>1140</v>
      </c>
      <c r="C75" s="119" t="s">
        <v>519</v>
      </c>
      <c r="D75" s="119">
        <v>980000</v>
      </c>
      <c r="E75" s="119" t="s">
        <v>93</v>
      </c>
      <c r="F75" s="119">
        <v>37.5</v>
      </c>
      <c r="G75" s="121"/>
      <c r="H75" s="121">
        <v>0.49</v>
      </c>
      <c r="I75" s="121"/>
      <c r="J75" s="119"/>
      <c r="K75" s="119"/>
      <c r="L75" s="119"/>
      <c r="M75" s="122"/>
    </row>
    <row r="76" spans="1:13" x14ac:dyDescent="0.35">
      <c r="A76" s="101" t="s">
        <v>8</v>
      </c>
      <c r="B76" s="123">
        <v>1140</v>
      </c>
      <c r="C76" s="101" t="s">
        <v>519</v>
      </c>
      <c r="D76" s="101">
        <v>980100</v>
      </c>
      <c r="E76" s="101" t="s">
        <v>96</v>
      </c>
      <c r="F76" s="101">
        <v>40</v>
      </c>
      <c r="G76" s="124"/>
      <c r="H76" s="124">
        <v>0.56999999999999995</v>
      </c>
      <c r="I76" s="124"/>
      <c r="J76" s="101"/>
      <c r="K76" s="101"/>
      <c r="L76" s="101"/>
      <c r="M76" s="125"/>
    </row>
    <row r="77" spans="1:13" ht="15" thickBot="1" x14ac:dyDescent="0.4">
      <c r="A77" s="130" t="s">
        <v>8</v>
      </c>
      <c r="B77" s="131">
        <v>1140</v>
      </c>
      <c r="C77" s="130" t="s">
        <v>519</v>
      </c>
      <c r="D77" s="130">
        <v>987594</v>
      </c>
      <c r="E77" s="130" t="s">
        <v>448</v>
      </c>
      <c r="F77" s="130">
        <v>30</v>
      </c>
      <c r="G77" s="132">
        <v>0.79</v>
      </c>
      <c r="H77" s="132">
        <v>0.85</v>
      </c>
      <c r="I77" s="132"/>
      <c r="J77" s="130" t="s">
        <v>51</v>
      </c>
      <c r="K77" s="130" t="s">
        <v>200</v>
      </c>
      <c r="L77" s="130"/>
      <c r="M77" s="133">
        <v>44813</v>
      </c>
    </row>
    <row r="78" spans="1:13" x14ac:dyDescent="0.35">
      <c r="A78" s="119" t="s">
        <v>8</v>
      </c>
      <c r="B78" s="120">
        <v>1159</v>
      </c>
      <c r="C78" s="119" t="s">
        <v>524</v>
      </c>
      <c r="D78" s="119">
        <v>980000</v>
      </c>
      <c r="E78" s="119" t="s">
        <v>93</v>
      </c>
      <c r="F78" s="119">
        <v>37.5</v>
      </c>
      <c r="G78" s="121"/>
      <c r="H78" s="121">
        <v>0.57999999999999996</v>
      </c>
      <c r="I78" s="121"/>
      <c r="J78" s="119"/>
      <c r="K78" s="119"/>
      <c r="L78" s="119"/>
      <c r="M78" s="122"/>
    </row>
    <row r="79" spans="1:13" x14ac:dyDescent="0.35">
      <c r="A79" s="101" t="s">
        <v>8</v>
      </c>
      <c r="B79" s="123">
        <v>1159</v>
      </c>
      <c r="C79" s="101" t="s">
        <v>524</v>
      </c>
      <c r="D79" s="101">
        <v>980100</v>
      </c>
      <c r="E79" s="101" t="s">
        <v>96</v>
      </c>
      <c r="F79" s="101">
        <v>40</v>
      </c>
      <c r="G79" s="124"/>
      <c r="H79" s="124">
        <v>0.65</v>
      </c>
      <c r="I79" s="124"/>
      <c r="J79" s="101"/>
      <c r="K79" s="101"/>
      <c r="L79" s="101"/>
      <c r="M79" s="125"/>
    </row>
    <row r="80" spans="1:13" ht="15" thickBot="1" x14ac:dyDescent="0.4">
      <c r="A80" s="126" t="s">
        <v>8</v>
      </c>
      <c r="B80" s="127">
        <v>1159</v>
      </c>
      <c r="C80" s="126" t="s">
        <v>524</v>
      </c>
      <c r="D80" s="126">
        <v>987594</v>
      </c>
      <c r="E80" s="126" t="s">
        <v>448</v>
      </c>
      <c r="F80" s="126">
        <v>30</v>
      </c>
      <c r="G80" s="128"/>
      <c r="H80" s="128">
        <v>0.49</v>
      </c>
      <c r="I80" s="128"/>
      <c r="J80" s="126"/>
      <c r="K80" s="126"/>
      <c r="L80" s="126"/>
      <c r="M80" s="129"/>
    </row>
    <row r="81" spans="1:13" x14ac:dyDescent="0.35">
      <c r="A81" s="119" t="s">
        <v>8</v>
      </c>
      <c r="B81" s="120">
        <v>1199</v>
      </c>
      <c r="C81" s="119" t="s">
        <v>525</v>
      </c>
      <c r="D81" s="119">
        <v>980000</v>
      </c>
      <c r="E81" s="119" t="s">
        <v>93</v>
      </c>
      <c r="F81" s="119">
        <v>37.5</v>
      </c>
      <c r="G81" s="121"/>
      <c r="H81" s="121">
        <v>0.48</v>
      </c>
      <c r="I81" s="121"/>
      <c r="J81" s="119"/>
      <c r="K81" s="119"/>
      <c r="L81" s="119"/>
      <c r="M81" s="122"/>
    </row>
    <row r="82" spans="1:13" x14ac:dyDescent="0.35">
      <c r="A82" s="101" t="s">
        <v>8</v>
      </c>
      <c r="B82" s="123">
        <v>1199</v>
      </c>
      <c r="C82" s="101" t="s">
        <v>525</v>
      </c>
      <c r="D82" s="101">
        <v>980100</v>
      </c>
      <c r="E82" s="101" t="s">
        <v>96</v>
      </c>
      <c r="F82" s="101">
        <v>40</v>
      </c>
      <c r="G82" s="124"/>
      <c r="H82" s="124">
        <v>0.56999999999999995</v>
      </c>
      <c r="I82" s="124"/>
      <c r="J82" s="101"/>
      <c r="K82" s="101"/>
      <c r="L82" s="101"/>
      <c r="M82" s="125"/>
    </row>
    <row r="83" spans="1:13" ht="15" thickBot="1" x14ac:dyDescent="0.4">
      <c r="A83" s="130" t="s">
        <v>8</v>
      </c>
      <c r="B83" s="131">
        <v>1199</v>
      </c>
      <c r="C83" s="130" t="s">
        <v>525</v>
      </c>
      <c r="D83" s="130">
        <v>987594</v>
      </c>
      <c r="E83" s="130" t="s">
        <v>448</v>
      </c>
      <c r="F83" s="130">
        <v>30</v>
      </c>
      <c r="G83" s="132">
        <v>0.79</v>
      </c>
      <c r="H83" s="132">
        <v>0.85</v>
      </c>
      <c r="I83" s="132"/>
      <c r="J83" s="130" t="s">
        <v>51</v>
      </c>
      <c r="K83" s="130" t="s">
        <v>200</v>
      </c>
      <c r="L83" s="130"/>
      <c r="M83" s="133">
        <v>44813</v>
      </c>
    </row>
    <row r="84" spans="1:13" x14ac:dyDescent="0.35">
      <c r="A84" s="119" t="s">
        <v>8</v>
      </c>
      <c r="B84" s="120">
        <v>1215</v>
      </c>
      <c r="C84" s="119" t="s">
        <v>526</v>
      </c>
      <c r="D84" s="119">
        <v>980000</v>
      </c>
      <c r="E84" s="119" t="s">
        <v>93</v>
      </c>
      <c r="F84" s="119">
        <v>37.5</v>
      </c>
      <c r="G84" s="121"/>
      <c r="H84" s="121">
        <v>0.53</v>
      </c>
      <c r="I84" s="121"/>
      <c r="J84" s="119"/>
      <c r="K84" s="119"/>
      <c r="L84" s="119"/>
      <c r="M84" s="122"/>
    </row>
    <row r="85" spans="1:13" x14ac:dyDescent="0.35">
      <c r="A85" s="101" t="s">
        <v>8</v>
      </c>
      <c r="B85" s="123">
        <v>1215</v>
      </c>
      <c r="C85" s="101" t="s">
        <v>526</v>
      </c>
      <c r="D85" s="101">
        <v>980100</v>
      </c>
      <c r="E85" s="101" t="s">
        <v>96</v>
      </c>
      <c r="F85" s="101">
        <v>40</v>
      </c>
      <c r="G85" s="124"/>
      <c r="H85" s="124">
        <v>0.62</v>
      </c>
      <c r="I85" s="124"/>
      <c r="J85" s="101"/>
      <c r="K85" s="101"/>
      <c r="L85" s="101"/>
      <c r="M85" s="125"/>
    </row>
    <row r="86" spans="1:13" ht="15" thickBot="1" x14ac:dyDescent="0.4">
      <c r="A86" s="126" t="s">
        <v>8</v>
      </c>
      <c r="B86" s="127">
        <v>1215</v>
      </c>
      <c r="C86" s="126" t="s">
        <v>526</v>
      </c>
      <c r="D86" s="126">
        <v>987594</v>
      </c>
      <c r="E86" s="126" t="s">
        <v>448</v>
      </c>
      <c r="F86" s="126">
        <v>30</v>
      </c>
      <c r="G86" s="128"/>
      <c r="H86" s="128">
        <v>0.49</v>
      </c>
      <c r="I86" s="128"/>
      <c r="J86" s="126"/>
      <c r="K86" s="126"/>
      <c r="L86" s="126"/>
      <c r="M86" s="129"/>
    </row>
    <row r="87" spans="1:13" x14ac:dyDescent="0.35">
      <c r="A87" s="119" t="s">
        <v>8</v>
      </c>
      <c r="B87" s="120">
        <v>1229</v>
      </c>
      <c r="C87" s="119" t="s">
        <v>527</v>
      </c>
      <c r="D87" s="119">
        <v>980000</v>
      </c>
      <c r="E87" s="119" t="s">
        <v>93</v>
      </c>
      <c r="F87" s="119">
        <v>37.5</v>
      </c>
      <c r="G87" s="121"/>
      <c r="H87" s="121">
        <v>0.49</v>
      </c>
      <c r="I87" s="121"/>
      <c r="J87" s="119"/>
      <c r="K87" s="119"/>
      <c r="L87" s="119"/>
      <c r="M87" s="122"/>
    </row>
    <row r="88" spans="1:13" x14ac:dyDescent="0.35">
      <c r="A88" s="101" t="s">
        <v>8</v>
      </c>
      <c r="B88" s="123">
        <v>1229</v>
      </c>
      <c r="C88" s="101" t="s">
        <v>527</v>
      </c>
      <c r="D88" s="101">
        <v>980100</v>
      </c>
      <c r="E88" s="101" t="s">
        <v>96</v>
      </c>
      <c r="F88" s="101">
        <v>40</v>
      </c>
      <c r="G88" s="124"/>
      <c r="H88" s="124">
        <v>0.65</v>
      </c>
      <c r="I88" s="124"/>
      <c r="J88" s="101"/>
      <c r="K88" s="101"/>
      <c r="L88" s="101"/>
      <c r="M88" s="125"/>
    </row>
    <row r="89" spans="1:13" ht="15" thickBot="1" x14ac:dyDescent="0.4">
      <c r="A89" s="126" t="s">
        <v>8</v>
      </c>
      <c r="B89" s="127">
        <v>1229</v>
      </c>
      <c r="C89" s="126" t="s">
        <v>527</v>
      </c>
      <c r="D89" s="126">
        <v>987594</v>
      </c>
      <c r="E89" s="126" t="s">
        <v>448</v>
      </c>
      <c r="F89" s="126">
        <v>30</v>
      </c>
      <c r="G89" s="128"/>
      <c r="H89" s="128">
        <v>0.49</v>
      </c>
      <c r="I89" s="128"/>
      <c r="J89" s="126"/>
      <c r="K89" s="126"/>
      <c r="L89" s="126"/>
      <c r="M89" s="129"/>
    </row>
    <row r="90" spans="1:13" x14ac:dyDescent="0.35">
      <c r="A90" s="119" t="s">
        <v>8</v>
      </c>
      <c r="B90" s="120">
        <v>1243</v>
      </c>
      <c r="C90" s="119" t="s">
        <v>372</v>
      </c>
      <c r="D90" s="119">
        <v>980000</v>
      </c>
      <c r="E90" s="119" t="s">
        <v>93</v>
      </c>
      <c r="F90" s="119">
        <v>37.5</v>
      </c>
      <c r="G90" s="121"/>
      <c r="H90" s="121">
        <v>0.47</v>
      </c>
      <c r="I90" s="121"/>
      <c r="J90" s="119"/>
      <c r="K90" s="119"/>
      <c r="L90" s="119"/>
      <c r="M90" s="122"/>
    </row>
    <row r="91" spans="1:13" x14ac:dyDescent="0.35">
      <c r="A91" s="101" t="s">
        <v>8</v>
      </c>
      <c r="B91" s="123">
        <v>1243</v>
      </c>
      <c r="C91" s="101" t="s">
        <v>372</v>
      </c>
      <c r="D91" s="101">
        <v>980100</v>
      </c>
      <c r="E91" s="101" t="s">
        <v>96</v>
      </c>
      <c r="F91" s="101">
        <v>40</v>
      </c>
      <c r="G91" s="124"/>
      <c r="H91" s="124">
        <v>0.65</v>
      </c>
      <c r="I91" s="124"/>
      <c r="J91" s="101"/>
      <c r="K91" s="101"/>
      <c r="L91" s="101"/>
      <c r="M91" s="125"/>
    </row>
    <row r="92" spans="1:13" ht="15" thickBot="1" x14ac:dyDescent="0.4">
      <c r="A92" s="130" t="s">
        <v>8</v>
      </c>
      <c r="B92" s="131">
        <v>1243</v>
      </c>
      <c r="C92" s="130" t="s">
        <v>372</v>
      </c>
      <c r="D92" s="130">
        <v>987594</v>
      </c>
      <c r="E92" s="130" t="s">
        <v>448</v>
      </c>
      <c r="F92" s="130">
        <v>30</v>
      </c>
      <c r="G92" s="132">
        <v>0.79</v>
      </c>
      <c r="H92" s="132">
        <v>0.85</v>
      </c>
      <c r="I92" s="132"/>
      <c r="J92" s="130" t="s">
        <v>51</v>
      </c>
      <c r="K92" s="130" t="s">
        <v>200</v>
      </c>
      <c r="L92" s="130"/>
      <c r="M92" s="133">
        <v>44813</v>
      </c>
    </row>
    <row r="93" spans="1:13" x14ac:dyDescent="0.35">
      <c r="A93" s="119" t="s">
        <v>8</v>
      </c>
      <c r="B93" s="120">
        <v>1285</v>
      </c>
      <c r="C93" s="119" t="s">
        <v>528</v>
      </c>
      <c r="D93" s="119">
        <v>980000</v>
      </c>
      <c r="E93" s="119" t="s">
        <v>93</v>
      </c>
      <c r="F93" s="119">
        <v>37.5</v>
      </c>
      <c r="G93" s="121"/>
      <c r="H93" s="121">
        <v>0.49</v>
      </c>
      <c r="I93" s="121"/>
      <c r="J93" s="119"/>
      <c r="K93" s="119"/>
      <c r="L93" s="119"/>
      <c r="M93" s="122"/>
    </row>
    <row r="94" spans="1:13" x14ac:dyDescent="0.35">
      <c r="A94" s="101" t="s">
        <v>8</v>
      </c>
      <c r="B94" s="123">
        <v>1285</v>
      </c>
      <c r="C94" s="101" t="s">
        <v>528</v>
      </c>
      <c r="D94" s="101">
        <v>980100</v>
      </c>
      <c r="E94" s="101" t="s">
        <v>96</v>
      </c>
      <c r="F94" s="101">
        <v>40</v>
      </c>
      <c r="G94" s="124"/>
      <c r="H94" s="124">
        <v>0.59</v>
      </c>
      <c r="I94" s="124"/>
      <c r="J94" s="101"/>
      <c r="K94" s="101"/>
      <c r="L94" s="101"/>
      <c r="M94" s="125"/>
    </row>
    <row r="95" spans="1:13" ht="15" thickBot="1" x14ac:dyDescent="0.4">
      <c r="A95" s="126" t="s">
        <v>8</v>
      </c>
      <c r="B95" s="127">
        <v>1285</v>
      </c>
      <c r="C95" s="126" t="s">
        <v>528</v>
      </c>
      <c r="D95" s="126">
        <v>987594</v>
      </c>
      <c r="E95" s="126" t="s">
        <v>448</v>
      </c>
      <c r="F95" s="126">
        <v>30</v>
      </c>
      <c r="G95" s="128"/>
      <c r="H95" s="128">
        <v>0.55000000000000004</v>
      </c>
      <c r="I95" s="128"/>
      <c r="J95" s="126"/>
      <c r="K95" s="126"/>
      <c r="L95" s="126"/>
      <c r="M95" s="129"/>
    </row>
    <row r="96" spans="1:13" x14ac:dyDescent="0.35">
      <c r="A96" s="119" t="s">
        <v>8</v>
      </c>
      <c r="B96" s="120">
        <v>1299</v>
      </c>
      <c r="C96" s="119" t="s">
        <v>529</v>
      </c>
      <c r="D96" s="119">
        <v>980000</v>
      </c>
      <c r="E96" s="119" t="s">
        <v>93</v>
      </c>
      <c r="F96" s="119">
        <v>37.5</v>
      </c>
      <c r="G96" s="121"/>
      <c r="H96" s="121">
        <v>0.54</v>
      </c>
      <c r="I96" s="121"/>
      <c r="J96" s="119"/>
      <c r="K96" s="119"/>
      <c r="L96" s="119"/>
      <c r="M96" s="122"/>
    </row>
    <row r="97" spans="1:13" x14ac:dyDescent="0.35">
      <c r="A97" s="101" t="s">
        <v>8</v>
      </c>
      <c r="B97" s="123">
        <v>1299</v>
      </c>
      <c r="C97" s="101" t="s">
        <v>529</v>
      </c>
      <c r="D97" s="101">
        <v>980100</v>
      </c>
      <c r="E97" s="101" t="s">
        <v>96</v>
      </c>
      <c r="F97" s="101">
        <v>40</v>
      </c>
      <c r="G97" s="124"/>
      <c r="H97" s="124">
        <v>0.59</v>
      </c>
      <c r="I97" s="124"/>
      <c r="J97" s="101"/>
      <c r="K97" s="101"/>
      <c r="L97" s="101"/>
      <c r="M97" s="125"/>
    </row>
    <row r="98" spans="1:13" ht="15" thickBot="1" x14ac:dyDescent="0.4">
      <c r="A98" s="130" t="s">
        <v>8</v>
      </c>
      <c r="B98" s="131">
        <v>1299</v>
      </c>
      <c r="C98" s="130" t="s">
        <v>529</v>
      </c>
      <c r="D98" s="130">
        <v>987594</v>
      </c>
      <c r="E98" s="130" t="s">
        <v>448</v>
      </c>
      <c r="F98" s="130">
        <v>30</v>
      </c>
      <c r="G98" s="132">
        <v>0.79</v>
      </c>
      <c r="H98" s="132">
        <v>0.85</v>
      </c>
      <c r="I98" s="132"/>
      <c r="J98" s="130" t="s">
        <v>51</v>
      </c>
      <c r="K98" s="130" t="s">
        <v>200</v>
      </c>
      <c r="L98" s="130"/>
      <c r="M98" s="133">
        <v>44813</v>
      </c>
    </row>
    <row r="99" spans="1:13" x14ac:dyDescent="0.35">
      <c r="A99" s="119" t="s">
        <v>8</v>
      </c>
      <c r="B99" s="120">
        <v>1352</v>
      </c>
      <c r="C99" s="119" t="s">
        <v>327</v>
      </c>
      <c r="D99" s="119">
        <v>980000</v>
      </c>
      <c r="E99" s="119" t="s">
        <v>93</v>
      </c>
      <c r="F99" s="119">
        <v>37.5</v>
      </c>
      <c r="G99" s="121"/>
      <c r="H99" s="121">
        <v>0.49</v>
      </c>
      <c r="I99" s="121"/>
      <c r="J99" s="119"/>
      <c r="K99" s="119"/>
      <c r="L99" s="119"/>
      <c r="M99" s="122"/>
    </row>
    <row r="100" spans="1:13" x14ac:dyDescent="0.35">
      <c r="A100" s="101" t="s">
        <v>8</v>
      </c>
      <c r="B100" s="123">
        <v>1352</v>
      </c>
      <c r="C100" s="101" t="s">
        <v>327</v>
      </c>
      <c r="D100" s="101">
        <v>980100</v>
      </c>
      <c r="E100" s="101" t="s">
        <v>96</v>
      </c>
      <c r="F100" s="101">
        <v>40</v>
      </c>
      <c r="G100" s="124"/>
      <c r="H100" s="124">
        <v>0.59</v>
      </c>
      <c r="I100" s="124"/>
      <c r="J100" s="101"/>
      <c r="K100" s="101"/>
      <c r="L100" s="101"/>
      <c r="M100" s="125"/>
    </row>
    <row r="101" spans="1:13" ht="15" thickBot="1" x14ac:dyDescent="0.4">
      <c r="A101" s="126" t="s">
        <v>8</v>
      </c>
      <c r="B101" s="127">
        <v>1352</v>
      </c>
      <c r="C101" s="126" t="s">
        <v>327</v>
      </c>
      <c r="D101" s="126">
        <v>987594</v>
      </c>
      <c r="E101" s="126" t="s">
        <v>448</v>
      </c>
      <c r="F101" s="126">
        <v>30</v>
      </c>
      <c r="G101" s="128"/>
      <c r="H101" s="128">
        <v>0.49</v>
      </c>
      <c r="I101" s="128"/>
      <c r="J101" s="126"/>
      <c r="K101" s="126"/>
      <c r="L101" s="126"/>
      <c r="M101" s="129"/>
    </row>
    <row r="102" spans="1:13" x14ac:dyDescent="0.35">
      <c r="A102" s="119" t="s">
        <v>8</v>
      </c>
      <c r="B102" s="120">
        <v>1394</v>
      </c>
      <c r="C102" s="119" t="s">
        <v>298</v>
      </c>
      <c r="D102" s="119">
        <v>980000</v>
      </c>
      <c r="E102" s="119" t="s">
        <v>93</v>
      </c>
      <c r="F102" s="119">
        <v>37.5</v>
      </c>
      <c r="G102" s="121"/>
      <c r="H102" s="121">
        <v>0.49</v>
      </c>
      <c r="I102" s="121"/>
      <c r="J102" s="119"/>
      <c r="K102" s="119"/>
      <c r="L102" s="119"/>
      <c r="M102" s="122"/>
    </row>
    <row r="103" spans="1:13" x14ac:dyDescent="0.35">
      <c r="A103" s="101" t="s">
        <v>8</v>
      </c>
      <c r="B103" s="123">
        <v>1394</v>
      </c>
      <c r="C103" s="101" t="s">
        <v>298</v>
      </c>
      <c r="D103" s="101">
        <v>980100</v>
      </c>
      <c r="E103" s="101" t="s">
        <v>96</v>
      </c>
      <c r="F103" s="101">
        <v>40</v>
      </c>
      <c r="G103" s="124"/>
      <c r="H103" s="124">
        <v>0.59</v>
      </c>
      <c r="I103" s="124"/>
      <c r="J103" s="101"/>
      <c r="K103" s="101"/>
      <c r="L103" s="101"/>
      <c r="M103" s="125"/>
    </row>
    <row r="104" spans="1:13" ht="15" thickBot="1" x14ac:dyDescent="0.4">
      <c r="A104" s="126" t="s">
        <v>8</v>
      </c>
      <c r="B104" s="127">
        <v>1394</v>
      </c>
      <c r="C104" s="126" t="s">
        <v>298</v>
      </c>
      <c r="D104" s="126">
        <v>987594</v>
      </c>
      <c r="E104" s="126" t="s">
        <v>448</v>
      </c>
      <c r="F104" s="126">
        <v>30</v>
      </c>
      <c r="G104" s="128"/>
      <c r="H104" s="128">
        <v>0.49</v>
      </c>
      <c r="I104" s="128"/>
      <c r="J104" s="126"/>
      <c r="K104" s="126"/>
      <c r="L104" s="126"/>
      <c r="M104" s="129"/>
    </row>
    <row r="105" spans="1:13" x14ac:dyDescent="0.35">
      <c r="A105" s="119" t="s">
        <v>8</v>
      </c>
      <c r="B105" s="120">
        <v>1409</v>
      </c>
      <c r="C105" s="119" t="s">
        <v>621</v>
      </c>
      <c r="D105" s="119">
        <v>980000</v>
      </c>
      <c r="E105" s="119" t="s">
        <v>93</v>
      </c>
      <c r="F105" s="119">
        <v>37.5</v>
      </c>
      <c r="G105" s="121"/>
      <c r="H105" s="121">
        <v>0.49</v>
      </c>
      <c r="I105" s="121"/>
      <c r="J105" s="119"/>
      <c r="K105" s="119"/>
      <c r="L105" s="119"/>
      <c r="M105" s="122"/>
    </row>
    <row r="106" spans="1:13" x14ac:dyDescent="0.35">
      <c r="A106" s="101" t="s">
        <v>8</v>
      </c>
      <c r="B106" s="123">
        <v>1409</v>
      </c>
      <c r="C106" s="101" t="s">
        <v>621</v>
      </c>
      <c r="D106" s="101">
        <v>980100</v>
      </c>
      <c r="E106" s="101" t="s">
        <v>96</v>
      </c>
      <c r="F106" s="101">
        <v>40</v>
      </c>
      <c r="G106" s="124"/>
      <c r="H106" s="124">
        <v>0.62</v>
      </c>
      <c r="I106" s="124"/>
      <c r="J106" s="101"/>
      <c r="K106" s="101"/>
      <c r="L106" s="101"/>
      <c r="M106" s="125"/>
    </row>
    <row r="107" spans="1:13" ht="15" thickBot="1" x14ac:dyDescent="0.4">
      <c r="A107" s="126" t="s">
        <v>8</v>
      </c>
      <c r="B107" s="127">
        <v>1409</v>
      </c>
      <c r="C107" s="126" t="s">
        <v>621</v>
      </c>
      <c r="D107" s="126">
        <v>987594</v>
      </c>
      <c r="E107" s="126" t="s">
        <v>448</v>
      </c>
      <c r="F107" s="126">
        <v>30</v>
      </c>
      <c r="G107" s="128"/>
      <c r="H107" s="128">
        <v>0.49</v>
      </c>
      <c r="I107" s="128"/>
      <c r="J107" s="126"/>
      <c r="K107" s="126"/>
      <c r="L107" s="126"/>
      <c r="M107" s="129"/>
    </row>
    <row r="108" spans="1:13" x14ac:dyDescent="0.35">
      <c r="A108" s="119" t="s">
        <v>8</v>
      </c>
      <c r="B108" s="120">
        <v>1413</v>
      </c>
      <c r="C108" s="119" t="s">
        <v>530</v>
      </c>
      <c r="D108" s="119">
        <v>980000</v>
      </c>
      <c r="E108" s="119" t="s">
        <v>93</v>
      </c>
      <c r="F108" s="119">
        <v>37.5</v>
      </c>
      <c r="G108" s="121"/>
      <c r="H108" s="121">
        <v>0.59</v>
      </c>
      <c r="I108" s="121"/>
      <c r="J108" s="119"/>
      <c r="K108" s="119"/>
      <c r="L108" s="119"/>
      <c r="M108" s="122"/>
    </row>
    <row r="109" spans="1:13" x14ac:dyDescent="0.35">
      <c r="A109" s="101" t="s">
        <v>8</v>
      </c>
      <c r="B109" s="123">
        <v>1413</v>
      </c>
      <c r="C109" s="101" t="s">
        <v>530</v>
      </c>
      <c r="D109" s="101">
        <v>980100</v>
      </c>
      <c r="E109" s="101" t="s">
        <v>96</v>
      </c>
      <c r="F109" s="101">
        <v>40</v>
      </c>
      <c r="G109" s="124"/>
      <c r="H109" s="124">
        <v>0.59</v>
      </c>
      <c r="I109" s="124"/>
      <c r="J109" s="101"/>
      <c r="K109" s="101"/>
      <c r="L109" s="101"/>
      <c r="M109" s="125"/>
    </row>
    <row r="110" spans="1:13" ht="15" thickBot="1" x14ac:dyDescent="0.4">
      <c r="A110" s="126" t="s">
        <v>8</v>
      </c>
      <c r="B110" s="127">
        <v>1413</v>
      </c>
      <c r="C110" s="126" t="s">
        <v>530</v>
      </c>
      <c r="D110" s="126">
        <v>987594</v>
      </c>
      <c r="E110" s="126" t="s">
        <v>448</v>
      </c>
      <c r="F110" s="126">
        <v>30</v>
      </c>
      <c r="G110" s="128"/>
      <c r="H110" s="128">
        <v>0.55000000000000004</v>
      </c>
      <c r="I110" s="128"/>
      <c r="J110" s="126"/>
      <c r="K110" s="126"/>
      <c r="L110" s="126"/>
      <c r="M110" s="129"/>
    </row>
    <row r="111" spans="1:13" x14ac:dyDescent="0.35">
      <c r="A111" s="119" t="s">
        <v>8</v>
      </c>
      <c r="B111" s="120">
        <v>1419</v>
      </c>
      <c r="C111" s="119" t="s">
        <v>493</v>
      </c>
      <c r="D111" s="119">
        <v>980000</v>
      </c>
      <c r="E111" s="119" t="s">
        <v>93</v>
      </c>
      <c r="F111" s="119">
        <v>37.5</v>
      </c>
      <c r="G111" s="121"/>
      <c r="H111" s="121">
        <v>0.49</v>
      </c>
      <c r="I111" s="121"/>
      <c r="J111" s="119"/>
      <c r="K111" s="119"/>
      <c r="L111" s="119"/>
      <c r="M111" s="122"/>
    </row>
    <row r="112" spans="1:13" x14ac:dyDescent="0.35">
      <c r="A112" s="101" t="s">
        <v>8</v>
      </c>
      <c r="B112" s="123">
        <v>1419</v>
      </c>
      <c r="C112" s="101" t="s">
        <v>493</v>
      </c>
      <c r="D112" s="101">
        <v>980100</v>
      </c>
      <c r="E112" s="101" t="s">
        <v>96</v>
      </c>
      <c r="F112" s="101">
        <v>40</v>
      </c>
      <c r="G112" s="124"/>
      <c r="H112" s="124">
        <v>0.64</v>
      </c>
      <c r="I112" s="124"/>
      <c r="J112" s="101"/>
      <c r="K112" s="101"/>
      <c r="L112" s="101"/>
      <c r="M112" s="125"/>
    </row>
    <row r="113" spans="1:13" ht="15" thickBot="1" x14ac:dyDescent="0.4">
      <c r="A113" s="126" t="s">
        <v>8</v>
      </c>
      <c r="B113" s="127">
        <v>1419</v>
      </c>
      <c r="C113" s="126" t="s">
        <v>493</v>
      </c>
      <c r="D113" s="126">
        <v>987594</v>
      </c>
      <c r="E113" s="126" t="s">
        <v>448</v>
      </c>
      <c r="F113" s="126">
        <v>30</v>
      </c>
      <c r="G113" s="128"/>
      <c r="H113" s="128">
        <v>1.35</v>
      </c>
      <c r="I113" s="128"/>
      <c r="J113" s="126"/>
      <c r="K113" s="126"/>
      <c r="L113" s="126"/>
      <c r="M113" s="129"/>
    </row>
    <row r="114" spans="1:13" x14ac:dyDescent="0.35">
      <c r="A114" s="119" t="s">
        <v>8</v>
      </c>
      <c r="B114" s="120">
        <v>1435</v>
      </c>
      <c r="C114" s="119" t="s">
        <v>308</v>
      </c>
      <c r="D114" s="119">
        <v>980000</v>
      </c>
      <c r="E114" s="119" t="s">
        <v>93</v>
      </c>
      <c r="F114" s="119">
        <v>37.5</v>
      </c>
      <c r="G114" s="121"/>
      <c r="H114" s="121">
        <v>0.49</v>
      </c>
      <c r="I114" s="121"/>
      <c r="J114" s="119"/>
      <c r="K114" s="119"/>
      <c r="L114" s="119"/>
      <c r="M114" s="122"/>
    </row>
    <row r="115" spans="1:13" x14ac:dyDescent="0.35">
      <c r="A115" s="101" t="s">
        <v>8</v>
      </c>
      <c r="B115" s="123">
        <v>1435</v>
      </c>
      <c r="C115" s="101" t="s">
        <v>308</v>
      </c>
      <c r="D115" s="101">
        <v>980100</v>
      </c>
      <c r="E115" s="101" t="s">
        <v>96</v>
      </c>
      <c r="F115" s="101">
        <v>40</v>
      </c>
      <c r="G115" s="124"/>
      <c r="H115" s="124">
        <v>0.63</v>
      </c>
      <c r="I115" s="124"/>
      <c r="J115" s="101"/>
      <c r="K115" s="101"/>
      <c r="L115" s="101"/>
      <c r="M115" s="125"/>
    </row>
    <row r="116" spans="1:13" ht="15" thickBot="1" x14ac:dyDescent="0.4">
      <c r="A116" s="126" t="s">
        <v>8</v>
      </c>
      <c r="B116" s="127">
        <v>1435</v>
      </c>
      <c r="C116" s="126" t="s">
        <v>308</v>
      </c>
      <c r="D116" s="126">
        <v>987594</v>
      </c>
      <c r="E116" s="126" t="s">
        <v>448</v>
      </c>
      <c r="F116" s="126">
        <v>30</v>
      </c>
      <c r="G116" s="128"/>
      <c r="H116" s="128">
        <v>0.49</v>
      </c>
      <c r="I116" s="128"/>
      <c r="J116" s="126"/>
      <c r="K116" s="126"/>
      <c r="L116" s="126"/>
      <c r="M116" s="129"/>
    </row>
    <row r="117" spans="1:13" x14ac:dyDescent="0.35">
      <c r="A117" s="119" t="s">
        <v>8</v>
      </c>
      <c r="B117" s="120">
        <v>1437</v>
      </c>
      <c r="C117" s="119" t="s">
        <v>337</v>
      </c>
      <c r="D117" s="119">
        <v>980000</v>
      </c>
      <c r="E117" s="119" t="s">
        <v>93</v>
      </c>
      <c r="F117" s="119">
        <v>37.5</v>
      </c>
      <c r="G117" s="121"/>
      <c r="H117" s="121">
        <v>0.49</v>
      </c>
      <c r="I117" s="121"/>
      <c r="J117" s="119"/>
      <c r="K117" s="119"/>
      <c r="L117" s="119"/>
      <c r="M117" s="122"/>
    </row>
    <row r="118" spans="1:13" x14ac:dyDescent="0.35">
      <c r="A118" s="101" t="s">
        <v>8</v>
      </c>
      <c r="B118" s="123">
        <v>1437</v>
      </c>
      <c r="C118" s="101" t="s">
        <v>337</v>
      </c>
      <c r="D118" s="101">
        <v>980100</v>
      </c>
      <c r="E118" s="101" t="s">
        <v>96</v>
      </c>
      <c r="F118" s="101">
        <v>40</v>
      </c>
      <c r="G118" s="124"/>
      <c r="H118" s="124">
        <v>0.63</v>
      </c>
      <c r="I118" s="124"/>
      <c r="J118" s="101"/>
      <c r="K118" s="101"/>
      <c r="L118" s="101"/>
      <c r="M118" s="125"/>
    </row>
    <row r="119" spans="1:13" ht="15" thickBot="1" x14ac:dyDescent="0.4">
      <c r="A119" s="126" t="s">
        <v>8</v>
      </c>
      <c r="B119" s="127">
        <v>1437</v>
      </c>
      <c r="C119" s="126" t="s">
        <v>337</v>
      </c>
      <c r="D119" s="126">
        <v>987594</v>
      </c>
      <c r="E119" s="126" t="s">
        <v>448</v>
      </c>
      <c r="F119" s="126">
        <v>30</v>
      </c>
      <c r="G119" s="128"/>
      <c r="H119" s="128">
        <v>0.49</v>
      </c>
      <c r="I119" s="128"/>
      <c r="J119" s="126"/>
      <c r="K119" s="126"/>
      <c r="L119" s="126"/>
      <c r="M119" s="129"/>
    </row>
    <row r="120" spans="1:13" x14ac:dyDescent="0.35">
      <c r="A120" s="119" t="s">
        <v>8</v>
      </c>
      <c r="B120" s="120">
        <v>1446</v>
      </c>
      <c r="C120" s="119" t="s">
        <v>314</v>
      </c>
      <c r="D120" s="119">
        <v>980000</v>
      </c>
      <c r="E120" s="119" t="s">
        <v>93</v>
      </c>
      <c r="F120" s="119">
        <v>37.5</v>
      </c>
      <c r="G120" s="121"/>
      <c r="H120" s="121">
        <v>0.59</v>
      </c>
      <c r="I120" s="121"/>
      <c r="J120" s="119"/>
      <c r="K120" s="119"/>
      <c r="L120" s="119"/>
      <c r="M120" s="122"/>
    </row>
    <row r="121" spans="1:13" x14ac:dyDescent="0.35">
      <c r="A121" s="101" t="s">
        <v>8</v>
      </c>
      <c r="B121" s="123">
        <v>1446</v>
      </c>
      <c r="C121" s="101" t="s">
        <v>314</v>
      </c>
      <c r="D121" s="101">
        <v>980100</v>
      </c>
      <c r="E121" s="101" t="s">
        <v>96</v>
      </c>
      <c r="F121" s="101">
        <v>40</v>
      </c>
      <c r="G121" s="124"/>
      <c r="H121" s="124">
        <v>0.69</v>
      </c>
      <c r="I121" s="124"/>
      <c r="J121" s="101"/>
      <c r="K121" s="101"/>
      <c r="L121" s="101"/>
      <c r="M121" s="125"/>
    </row>
    <row r="122" spans="1:13" ht="15" thickBot="1" x14ac:dyDescent="0.4">
      <c r="A122" s="126" t="s">
        <v>8</v>
      </c>
      <c r="B122" s="127">
        <v>1446</v>
      </c>
      <c r="C122" s="126" t="s">
        <v>314</v>
      </c>
      <c r="D122" s="126">
        <v>987594</v>
      </c>
      <c r="E122" s="126" t="s">
        <v>448</v>
      </c>
      <c r="F122" s="126">
        <v>30</v>
      </c>
      <c r="G122" s="128"/>
      <c r="H122" s="128">
        <v>0.49</v>
      </c>
      <c r="I122" s="128"/>
      <c r="J122" s="126"/>
      <c r="K122" s="126"/>
      <c r="L122" s="126"/>
      <c r="M122" s="129"/>
    </row>
    <row r="123" spans="1:13" x14ac:dyDescent="0.35">
      <c r="A123" s="119" t="s">
        <v>8</v>
      </c>
      <c r="B123" s="120">
        <v>1450</v>
      </c>
      <c r="C123" s="119" t="s">
        <v>531</v>
      </c>
      <c r="D123" s="119">
        <v>980000</v>
      </c>
      <c r="E123" s="119" t="s">
        <v>93</v>
      </c>
      <c r="F123" s="119">
        <v>37.5</v>
      </c>
      <c r="G123" s="121"/>
      <c r="H123" s="121">
        <v>0.5</v>
      </c>
      <c r="I123" s="121"/>
      <c r="J123" s="119"/>
      <c r="K123" s="119"/>
      <c r="L123" s="119"/>
      <c r="M123" s="122"/>
    </row>
    <row r="124" spans="1:13" x14ac:dyDescent="0.35">
      <c r="A124" s="101" t="s">
        <v>8</v>
      </c>
      <c r="B124" s="123">
        <v>1450</v>
      </c>
      <c r="C124" s="101" t="s">
        <v>531</v>
      </c>
      <c r="D124" s="101">
        <v>980100</v>
      </c>
      <c r="E124" s="101" t="s">
        <v>96</v>
      </c>
      <c r="F124" s="101">
        <v>40</v>
      </c>
      <c r="G124" s="124"/>
      <c r="H124" s="124">
        <v>0.59</v>
      </c>
      <c r="I124" s="124"/>
      <c r="J124" s="101"/>
      <c r="K124" s="101"/>
      <c r="L124" s="101"/>
      <c r="M124" s="125"/>
    </row>
    <row r="125" spans="1:13" ht="15" thickBot="1" x14ac:dyDescent="0.4">
      <c r="A125" s="130" t="s">
        <v>8</v>
      </c>
      <c r="B125" s="131">
        <v>1450</v>
      </c>
      <c r="C125" s="130" t="s">
        <v>531</v>
      </c>
      <c r="D125" s="130">
        <v>987594</v>
      </c>
      <c r="E125" s="130" t="s">
        <v>448</v>
      </c>
      <c r="F125" s="130">
        <v>30</v>
      </c>
      <c r="G125" s="132">
        <v>0.79</v>
      </c>
      <c r="H125" s="132">
        <v>0.95</v>
      </c>
      <c r="I125" s="132"/>
      <c r="J125" s="130" t="s">
        <v>51</v>
      </c>
      <c r="K125" s="130" t="s">
        <v>200</v>
      </c>
      <c r="L125" s="130"/>
      <c r="M125" s="133">
        <v>44813</v>
      </c>
    </row>
    <row r="126" spans="1:13" x14ac:dyDescent="0.35">
      <c r="A126" s="119" t="s">
        <v>8</v>
      </c>
      <c r="B126" s="120">
        <v>1459</v>
      </c>
      <c r="C126" s="119" t="s">
        <v>728</v>
      </c>
      <c r="D126" s="119">
        <v>980000</v>
      </c>
      <c r="E126" s="119" t="s">
        <v>93</v>
      </c>
      <c r="F126" s="119">
        <v>37.5</v>
      </c>
      <c r="G126" s="121"/>
      <c r="H126" s="121">
        <v>0.49</v>
      </c>
      <c r="I126" s="121"/>
      <c r="J126" s="119"/>
      <c r="K126" s="119"/>
      <c r="L126" s="119"/>
      <c r="M126" s="122"/>
    </row>
    <row r="127" spans="1:13" x14ac:dyDescent="0.35">
      <c r="A127" s="101" t="s">
        <v>8</v>
      </c>
      <c r="B127" s="123">
        <v>1459</v>
      </c>
      <c r="C127" s="101" t="s">
        <v>728</v>
      </c>
      <c r="D127" s="101">
        <v>980100</v>
      </c>
      <c r="E127" s="101" t="s">
        <v>96</v>
      </c>
      <c r="F127" s="101">
        <v>40</v>
      </c>
      <c r="G127" s="124"/>
      <c r="H127" s="124">
        <v>0.69</v>
      </c>
      <c r="I127" s="124"/>
      <c r="J127" s="101"/>
      <c r="K127" s="101"/>
      <c r="L127" s="101"/>
      <c r="M127" s="125"/>
    </row>
    <row r="128" spans="1:13" ht="15" thickBot="1" x14ac:dyDescent="0.4">
      <c r="A128" s="126" t="s">
        <v>8</v>
      </c>
      <c r="B128" s="127">
        <v>1459</v>
      </c>
      <c r="C128" s="126" t="s">
        <v>728</v>
      </c>
      <c r="D128" s="126">
        <v>987594</v>
      </c>
      <c r="E128" s="126" t="s">
        <v>448</v>
      </c>
      <c r="F128" s="126">
        <v>30</v>
      </c>
      <c r="G128" s="128"/>
      <c r="H128" s="128">
        <v>0.49</v>
      </c>
      <c r="I128" s="128"/>
      <c r="J128" s="126"/>
      <c r="K128" s="126"/>
      <c r="L128" s="126"/>
      <c r="M128" s="129"/>
    </row>
    <row r="129" spans="1:13" x14ac:dyDescent="0.35">
      <c r="A129" s="119" t="s">
        <v>8</v>
      </c>
      <c r="B129" s="120">
        <v>1461</v>
      </c>
      <c r="C129" s="119" t="s">
        <v>333</v>
      </c>
      <c r="D129" s="119">
        <v>980000</v>
      </c>
      <c r="E129" s="119" t="s">
        <v>93</v>
      </c>
      <c r="F129" s="119">
        <v>37.5</v>
      </c>
      <c r="G129" s="121"/>
      <c r="H129" s="121">
        <v>0.53</v>
      </c>
      <c r="I129" s="121"/>
      <c r="J129" s="119"/>
      <c r="K129" s="119"/>
      <c r="L129" s="119"/>
      <c r="M129" s="122"/>
    </row>
    <row r="130" spans="1:13" x14ac:dyDescent="0.35">
      <c r="A130" s="101" t="s">
        <v>8</v>
      </c>
      <c r="B130" s="123">
        <v>1461</v>
      </c>
      <c r="C130" s="101" t="s">
        <v>333</v>
      </c>
      <c r="D130" s="101">
        <v>980100</v>
      </c>
      <c r="E130" s="101" t="s">
        <v>96</v>
      </c>
      <c r="F130" s="101">
        <v>40</v>
      </c>
      <c r="G130" s="124"/>
      <c r="H130" s="124">
        <v>0.59</v>
      </c>
      <c r="I130" s="124"/>
      <c r="J130" s="101"/>
      <c r="K130" s="101"/>
      <c r="L130" s="101"/>
      <c r="M130" s="125"/>
    </row>
    <row r="131" spans="1:13" ht="15" thickBot="1" x14ac:dyDescent="0.4">
      <c r="A131" s="126" t="s">
        <v>8</v>
      </c>
      <c r="B131" s="127">
        <v>1461</v>
      </c>
      <c r="C131" s="126" t="s">
        <v>333</v>
      </c>
      <c r="D131" s="126">
        <v>987594</v>
      </c>
      <c r="E131" s="126" t="s">
        <v>448</v>
      </c>
      <c r="F131" s="126">
        <v>30</v>
      </c>
      <c r="G131" s="128"/>
      <c r="H131" s="128">
        <v>0.5</v>
      </c>
      <c r="I131" s="128"/>
      <c r="J131" s="126"/>
      <c r="K131" s="126"/>
      <c r="L131" s="126"/>
      <c r="M131" s="129"/>
    </row>
    <row r="132" spans="1:13" x14ac:dyDescent="0.35">
      <c r="A132" s="119" t="s">
        <v>8</v>
      </c>
      <c r="B132" s="120">
        <v>1469</v>
      </c>
      <c r="C132" s="119" t="s">
        <v>532</v>
      </c>
      <c r="D132" s="119">
        <v>980000</v>
      </c>
      <c r="E132" s="119" t="s">
        <v>93</v>
      </c>
      <c r="F132" s="119">
        <v>37.5</v>
      </c>
      <c r="G132" s="121"/>
      <c r="H132" s="121">
        <v>0.48</v>
      </c>
      <c r="I132" s="121"/>
      <c r="J132" s="119"/>
      <c r="K132" s="119"/>
      <c r="L132" s="119"/>
      <c r="M132" s="122"/>
    </row>
    <row r="133" spans="1:13" x14ac:dyDescent="0.35">
      <c r="A133" s="101" t="s">
        <v>8</v>
      </c>
      <c r="B133" s="123">
        <v>1469</v>
      </c>
      <c r="C133" s="101" t="s">
        <v>532</v>
      </c>
      <c r="D133" s="101">
        <v>980100</v>
      </c>
      <c r="E133" s="101" t="s">
        <v>96</v>
      </c>
      <c r="F133" s="101">
        <v>40</v>
      </c>
      <c r="G133" s="124"/>
      <c r="H133" s="124">
        <v>0.62</v>
      </c>
      <c r="I133" s="124"/>
      <c r="J133" s="101"/>
      <c r="K133" s="101"/>
      <c r="L133" s="101"/>
      <c r="M133" s="125"/>
    </row>
    <row r="134" spans="1:13" ht="15" thickBot="1" x14ac:dyDescent="0.4">
      <c r="A134" s="126" t="s">
        <v>8</v>
      </c>
      <c r="B134" s="127">
        <v>1469</v>
      </c>
      <c r="C134" s="126" t="s">
        <v>532</v>
      </c>
      <c r="D134" s="126">
        <v>987594</v>
      </c>
      <c r="E134" s="126" t="s">
        <v>448</v>
      </c>
      <c r="F134" s="126">
        <v>30</v>
      </c>
      <c r="G134" s="128"/>
      <c r="H134" s="128">
        <v>0.65</v>
      </c>
      <c r="I134" s="128"/>
      <c r="J134" s="126"/>
      <c r="K134" s="126"/>
      <c r="L134" s="126"/>
      <c r="M134" s="129"/>
    </row>
    <row r="135" spans="1:13" x14ac:dyDescent="0.35">
      <c r="A135" s="119" t="s">
        <v>8</v>
      </c>
      <c r="B135" s="120">
        <v>1471</v>
      </c>
      <c r="C135" s="119" t="s">
        <v>744</v>
      </c>
      <c r="D135" s="119">
        <v>980000</v>
      </c>
      <c r="E135" s="119" t="s">
        <v>93</v>
      </c>
      <c r="F135" s="119">
        <v>37.5</v>
      </c>
      <c r="G135" s="121"/>
      <c r="H135" s="121">
        <v>0.57999999999999996</v>
      </c>
      <c r="I135" s="121"/>
      <c r="J135" s="119"/>
      <c r="K135" s="119"/>
      <c r="L135" s="119"/>
      <c r="M135" s="122"/>
    </row>
    <row r="136" spans="1:13" x14ac:dyDescent="0.35">
      <c r="A136" s="101" t="s">
        <v>8</v>
      </c>
      <c r="B136" s="123">
        <v>1471</v>
      </c>
      <c r="C136" s="101" t="s">
        <v>744</v>
      </c>
      <c r="D136" s="101">
        <v>980100</v>
      </c>
      <c r="E136" s="101" t="s">
        <v>96</v>
      </c>
      <c r="F136" s="101">
        <v>40</v>
      </c>
      <c r="G136" s="124"/>
      <c r="H136" s="124">
        <v>0.78</v>
      </c>
      <c r="I136" s="124"/>
      <c r="J136" s="101"/>
      <c r="K136" s="101"/>
      <c r="L136" s="101"/>
      <c r="M136" s="125"/>
    </row>
    <row r="137" spans="1:13" ht="15" thickBot="1" x14ac:dyDescent="0.4">
      <c r="A137" s="126" t="s">
        <v>8</v>
      </c>
      <c r="B137" s="127">
        <v>1471</v>
      </c>
      <c r="C137" s="126" t="s">
        <v>744</v>
      </c>
      <c r="D137" s="126">
        <v>987594</v>
      </c>
      <c r="E137" s="126" t="s">
        <v>448</v>
      </c>
      <c r="F137" s="126">
        <v>30</v>
      </c>
      <c r="G137" s="128"/>
      <c r="H137" s="128">
        <v>0.49</v>
      </c>
      <c r="I137" s="128"/>
      <c r="J137" s="126"/>
      <c r="K137" s="126"/>
      <c r="L137" s="126"/>
      <c r="M137" s="129"/>
    </row>
    <row r="138" spans="1:13" x14ac:dyDescent="0.35">
      <c r="A138" s="119" t="s">
        <v>8</v>
      </c>
      <c r="B138" s="120">
        <v>1478</v>
      </c>
      <c r="C138" s="119" t="s">
        <v>533</v>
      </c>
      <c r="D138" s="119">
        <v>980000</v>
      </c>
      <c r="E138" s="119" t="s">
        <v>93</v>
      </c>
      <c r="F138" s="119">
        <v>37.5</v>
      </c>
      <c r="G138" s="121"/>
      <c r="H138" s="121">
        <v>0.49</v>
      </c>
      <c r="I138" s="121"/>
      <c r="J138" s="119"/>
      <c r="K138" s="119"/>
      <c r="L138" s="119"/>
      <c r="M138" s="122"/>
    </row>
    <row r="139" spans="1:13" x14ac:dyDescent="0.35">
      <c r="A139" s="101" t="s">
        <v>8</v>
      </c>
      <c r="B139" s="123">
        <v>1478</v>
      </c>
      <c r="C139" s="101" t="s">
        <v>533</v>
      </c>
      <c r="D139" s="101">
        <v>980100</v>
      </c>
      <c r="E139" s="101" t="s">
        <v>96</v>
      </c>
      <c r="F139" s="101">
        <v>40</v>
      </c>
      <c r="G139" s="124"/>
      <c r="H139" s="124">
        <v>0.59</v>
      </c>
      <c r="I139" s="124"/>
      <c r="J139" s="101"/>
      <c r="K139" s="101"/>
      <c r="L139" s="101"/>
      <c r="M139" s="125"/>
    </row>
    <row r="140" spans="1:13" ht="15" thickBot="1" x14ac:dyDescent="0.4">
      <c r="A140" s="126" t="s">
        <v>8</v>
      </c>
      <c r="B140" s="127">
        <v>1478</v>
      </c>
      <c r="C140" s="126" t="s">
        <v>533</v>
      </c>
      <c r="D140" s="126">
        <v>987594</v>
      </c>
      <c r="E140" s="126" t="s">
        <v>448</v>
      </c>
      <c r="F140" s="126">
        <v>30</v>
      </c>
      <c r="G140" s="128"/>
      <c r="H140" s="128">
        <v>0.49</v>
      </c>
      <c r="I140" s="128"/>
      <c r="J140" s="126"/>
      <c r="K140" s="126"/>
      <c r="L140" s="126"/>
      <c r="M140" s="129"/>
    </row>
    <row r="141" spans="1:13" x14ac:dyDescent="0.35">
      <c r="A141" s="119" t="s">
        <v>8</v>
      </c>
      <c r="B141" s="120">
        <v>1488</v>
      </c>
      <c r="C141" s="119" t="s">
        <v>534</v>
      </c>
      <c r="D141" s="119">
        <v>980000</v>
      </c>
      <c r="E141" s="119" t="s">
        <v>93</v>
      </c>
      <c r="F141" s="119">
        <v>37.5</v>
      </c>
      <c r="G141" s="121"/>
      <c r="H141" s="121">
        <v>0.49</v>
      </c>
      <c r="I141" s="121"/>
      <c r="J141" s="119"/>
      <c r="K141" s="119"/>
      <c r="L141" s="119"/>
      <c r="M141" s="122"/>
    </row>
    <row r="142" spans="1:13" x14ac:dyDescent="0.35">
      <c r="A142" s="101" t="s">
        <v>8</v>
      </c>
      <c r="B142" s="123">
        <v>1488</v>
      </c>
      <c r="C142" s="101" t="s">
        <v>534</v>
      </c>
      <c r="D142" s="101">
        <v>980100</v>
      </c>
      <c r="E142" s="101" t="s">
        <v>96</v>
      </c>
      <c r="F142" s="101">
        <v>40</v>
      </c>
      <c r="G142" s="124"/>
      <c r="H142" s="124">
        <v>0.63</v>
      </c>
      <c r="I142" s="124"/>
      <c r="J142" s="101"/>
      <c r="K142" s="101"/>
      <c r="L142" s="101"/>
      <c r="M142" s="125"/>
    </row>
    <row r="143" spans="1:13" ht="15" thickBot="1" x14ac:dyDescent="0.4">
      <c r="A143" s="126" t="s">
        <v>8</v>
      </c>
      <c r="B143" s="127">
        <v>1488</v>
      </c>
      <c r="C143" s="126" t="s">
        <v>534</v>
      </c>
      <c r="D143" s="126">
        <v>987594</v>
      </c>
      <c r="E143" s="126" t="s">
        <v>448</v>
      </c>
      <c r="F143" s="126">
        <v>30</v>
      </c>
      <c r="G143" s="128"/>
      <c r="H143" s="128">
        <v>0.49</v>
      </c>
      <c r="I143" s="128"/>
      <c r="J143" s="126"/>
      <c r="K143" s="126"/>
      <c r="L143" s="126"/>
      <c r="M143" s="129"/>
    </row>
    <row r="144" spans="1:13" x14ac:dyDescent="0.35">
      <c r="A144" s="119" t="s">
        <v>8</v>
      </c>
      <c r="B144" s="120">
        <v>1500</v>
      </c>
      <c r="C144" s="119" t="s">
        <v>535</v>
      </c>
      <c r="D144" s="119">
        <v>980000</v>
      </c>
      <c r="E144" s="119" t="s">
        <v>93</v>
      </c>
      <c r="F144" s="119">
        <v>37.5</v>
      </c>
      <c r="G144" s="121"/>
      <c r="H144" s="121">
        <v>0.49</v>
      </c>
      <c r="I144" s="121"/>
      <c r="J144" s="119"/>
      <c r="K144" s="119"/>
      <c r="L144" s="119"/>
      <c r="M144" s="122"/>
    </row>
    <row r="145" spans="1:13" x14ac:dyDescent="0.35">
      <c r="A145" s="101" t="s">
        <v>8</v>
      </c>
      <c r="B145" s="123">
        <v>1500</v>
      </c>
      <c r="C145" s="101" t="s">
        <v>535</v>
      </c>
      <c r="D145" s="101">
        <v>980100</v>
      </c>
      <c r="E145" s="101" t="s">
        <v>96</v>
      </c>
      <c r="F145" s="101">
        <v>40</v>
      </c>
      <c r="G145" s="124"/>
      <c r="H145" s="124">
        <v>0.65</v>
      </c>
      <c r="I145" s="124"/>
      <c r="J145" s="101"/>
      <c r="K145" s="101"/>
      <c r="L145" s="101"/>
      <c r="M145" s="125"/>
    </row>
    <row r="146" spans="1:13" ht="15" thickBot="1" x14ac:dyDescent="0.4">
      <c r="A146" s="130" t="s">
        <v>8</v>
      </c>
      <c r="B146" s="131">
        <v>1500</v>
      </c>
      <c r="C146" s="130" t="s">
        <v>535</v>
      </c>
      <c r="D146" s="130">
        <v>987594</v>
      </c>
      <c r="E146" s="130" t="s">
        <v>448</v>
      </c>
      <c r="F146" s="130">
        <v>30</v>
      </c>
      <c r="G146" s="132">
        <v>0.79</v>
      </c>
      <c r="H146" s="132">
        <v>0.85</v>
      </c>
      <c r="I146" s="132"/>
      <c r="J146" s="130" t="s">
        <v>51</v>
      </c>
      <c r="K146" s="130" t="s">
        <v>200</v>
      </c>
      <c r="L146" s="130"/>
      <c r="M146" s="133">
        <v>44813</v>
      </c>
    </row>
    <row r="147" spans="1:13" x14ac:dyDescent="0.35">
      <c r="A147" s="119" t="s">
        <v>8</v>
      </c>
      <c r="B147" s="120">
        <v>1523</v>
      </c>
      <c r="C147" s="119" t="s">
        <v>707</v>
      </c>
      <c r="D147" s="119">
        <v>980000</v>
      </c>
      <c r="E147" s="119" t="s">
        <v>93</v>
      </c>
      <c r="F147" s="119">
        <v>37.5</v>
      </c>
      <c r="G147" s="121"/>
      <c r="H147" s="121">
        <v>0.56000000000000005</v>
      </c>
      <c r="I147" s="121"/>
      <c r="J147" s="119"/>
      <c r="K147" s="119"/>
      <c r="L147" s="119"/>
      <c r="M147" s="122"/>
    </row>
    <row r="148" spans="1:13" x14ac:dyDescent="0.35">
      <c r="A148" s="101" t="s">
        <v>8</v>
      </c>
      <c r="B148" s="123">
        <v>1523</v>
      </c>
      <c r="C148" s="101" t="s">
        <v>707</v>
      </c>
      <c r="D148" s="101">
        <v>980100</v>
      </c>
      <c r="E148" s="101" t="s">
        <v>96</v>
      </c>
      <c r="F148" s="101">
        <v>40</v>
      </c>
      <c r="G148" s="124"/>
      <c r="H148" s="124">
        <v>0.65</v>
      </c>
      <c r="I148" s="124"/>
      <c r="J148" s="101"/>
      <c r="K148" s="101"/>
      <c r="L148" s="101"/>
      <c r="M148" s="125"/>
    </row>
    <row r="149" spans="1:13" ht="15" thickBot="1" x14ac:dyDescent="0.4">
      <c r="A149" s="130" t="s">
        <v>8</v>
      </c>
      <c r="B149" s="131">
        <v>1523</v>
      </c>
      <c r="C149" s="130" t="s">
        <v>707</v>
      </c>
      <c r="D149" s="130">
        <v>987594</v>
      </c>
      <c r="E149" s="130" t="s">
        <v>448</v>
      </c>
      <c r="F149" s="130">
        <v>30</v>
      </c>
      <c r="G149" s="132">
        <v>0.79</v>
      </c>
      <c r="H149" s="132">
        <v>0.95</v>
      </c>
      <c r="I149" s="132"/>
      <c r="J149" s="130" t="s">
        <v>51</v>
      </c>
      <c r="K149" s="130" t="s">
        <v>200</v>
      </c>
      <c r="L149" s="130"/>
      <c r="M149" s="133">
        <v>44813</v>
      </c>
    </row>
    <row r="150" spans="1:13" x14ac:dyDescent="0.35">
      <c r="A150" s="119" t="s">
        <v>8</v>
      </c>
      <c r="B150" s="120">
        <v>8030</v>
      </c>
      <c r="C150" s="119" t="s">
        <v>334</v>
      </c>
      <c r="D150" s="119">
        <v>980000</v>
      </c>
      <c r="E150" s="119" t="s">
        <v>93</v>
      </c>
      <c r="F150" s="119">
        <v>37.5</v>
      </c>
      <c r="G150" s="121"/>
      <c r="H150" s="121">
        <v>0.57999999999999996</v>
      </c>
      <c r="I150" s="121"/>
      <c r="J150" s="119"/>
      <c r="K150" s="119"/>
      <c r="L150" s="119"/>
      <c r="M150" s="122"/>
    </row>
    <row r="151" spans="1:13" x14ac:dyDescent="0.35">
      <c r="A151" s="101" t="s">
        <v>8</v>
      </c>
      <c r="B151" s="123">
        <v>8030</v>
      </c>
      <c r="C151" s="101" t="s">
        <v>334</v>
      </c>
      <c r="D151" s="101">
        <v>980100</v>
      </c>
      <c r="E151" s="101" t="s">
        <v>96</v>
      </c>
      <c r="F151" s="101">
        <v>40</v>
      </c>
      <c r="G151" s="124"/>
      <c r="H151" s="124">
        <v>0.77</v>
      </c>
      <c r="I151" s="124"/>
      <c r="J151" s="101"/>
      <c r="K151" s="101"/>
      <c r="L151" s="101"/>
      <c r="M151" s="125"/>
    </row>
    <row r="152" spans="1:13" ht="15" thickBot="1" x14ac:dyDescent="0.4">
      <c r="A152" s="126" t="s">
        <v>8</v>
      </c>
      <c r="B152" s="127">
        <v>8030</v>
      </c>
      <c r="C152" s="126" t="s">
        <v>334</v>
      </c>
      <c r="D152" s="126">
        <v>987594</v>
      </c>
      <c r="E152" s="126" t="s">
        <v>448</v>
      </c>
      <c r="F152" s="126">
        <v>30</v>
      </c>
      <c r="G152" s="128"/>
      <c r="H152" s="128">
        <v>0.49</v>
      </c>
      <c r="I152" s="128"/>
      <c r="J152" s="126"/>
      <c r="K152" s="126"/>
      <c r="L152" s="126"/>
      <c r="M152" s="129"/>
    </row>
    <row r="153" spans="1:13" x14ac:dyDescent="0.35">
      <c r="A153" s="119" t="s">
        <v>8</v>
      </c>
      <c r="B153" s="120">
        <v>8031</v>
      </c>
      <c r="C153" s="119" t="s">
        <v>325</v>
      </c>
      <c r="D153" s="119">
        <v>980000</v>
      </c>
      <c r="E153" s="119" t="s">
        <v>93</v>
      </c>
      <c r="F153" s="119">
        <v>37.5</v>
      </c>
      <c r="G153" s="121"/>
      <c r="H153" s="121">
        <v>0.49</v>
      </c>
      <c r="I153" s="121"/>
      <c r="J153" s="119"/>
      <c r="K153" s="119"/>
      <c r="L153" s="119"/>
      <c r="M153" s="122"/>
    </row>
    <row r="154" spans="1:13" x14ac:dyDescent="0.35">
      <c r="A154" s="101" t="s">
        <v>8</v>
      </c>
      <c r="B154" s="123">
        <v>8031</v>
      </c>
      <c r="C154" s="101" t="s">
        <v>325</v>
      </c>
      <c r="D154" s="101">
        <v>980100</v>
      </c>
      <c r="E154" s="101" t="s">
        <v>96</v>
      </c>
      <c r="F154" s="101">
        <v>40</v>
      </c>
      <c r="G154" s="124"/>
      <c r="H154" s="124">
        <v>0.65</v>
      </c>
      <c r="I154" s="124"/>
      <c r="J154" s="101"/>
      <c r="K154" s="101"/>
      <c r="L154" s="101"/>
      <c r="M154" s="125"/>
    </row>
    <row r="155" spans="1:13" ht="15" thickBot="1" x14ac:dyDescent="0.4">
      <c r="A155" s="126" t="s">
        <v>8</v>
      </c>
      <c r="B155" s="127">
        <v>8031</v>
      </c>
      <c r="C155" s="126" t="s">
        <v>325</v>
      </c>
      <c r="D155" s="126">
        <v>987594</v>
      </c>
      <c r="E155" s="126" t="s">
        <v>448</v>
      </c>
      <c r="F155" s="126">
        <v>30</v>
      </c>
      <c r="G155" s="128"/>
      <c r="H155" s="128">
        <v>0.49</v>
      </c>
      <c r="I155" s="128"/>
      <c r="J155" s="126"/>
      <c r="K155" s="126"/>
      <c r="L155" s="126"/>
      <c r="M155" s="129"/>
    </row>
    <row r="156" spans="1:13" x14ac:dyDescent="0.35">
      <c r="A156" s="119" t="s">
        <v>8</v>
      </c>
      <c r="B156" s="120">
        <v>8032</v>
      </c>
      <c r="C156" s="119" t="s">
        <v>335</v>
      </c>
      <c r="D156" s="119">
        <v>980000</v>
      </c>
      <c r="E156" s="119" t="s">
        <v>93</v>
      </c>
      <c r="F156" s="119">
        <v>37.5</v>
      </c>
      <c r="G156" s="121"/>
      <c r="H156" s="121">
        <v>0.57999999999999996</v>
      </c>
      <c r="I156" s="121"/>
      <c r="J156" s="119"/>
      <c r="K156" s="119"/>
      <c r="L156" s="119"/>
      <c r="M156" s="122"/>
    </row>
    <row r="157" spans="1:13" x14ac:dyDescent="0.35">
      <c r="A157" s="101" t="s">
        <v>8</v>
      </c>
      <c r="B157" s="123">
        <v>8032</v>
      </c>
      <c r="C157" s="101" t="s">
        <v>335</v>
      </c>
      <c r="D157" s="101">
        <v>980100</v>
      </c>
      <c r="E157" s="101" t="s">
        <v>96</v>
      </c>
      <c r="F157" s="101">
        <v>40</v>
      </c>
      <c r="G157" s="124"/>
      <c r="H157" s="124">
        <v>0.63</v>
      </c>
      <c r="I157" s="124"/>
      <c r="J157" s="101"/>
      <c r="K157" s="101"/>
      <c r="L157" s="101"/>
      <c r="M157" s="125"/>
    </row>
    <row r="158" spans="1:13" ht="15" thickBot="1" x14ac:dyDescent="0.4">
      <c r="A158" s="126" t="s">
        <v>8</v>
      </c>
      <c r="B158" s="127">
        <v>8032</v>
      </c>
      <c r="C158" s="126" t="s">
        <v>335</v>
      </c>
      <c r="D158" s="126">
        <v>987594</v>
      </c>
      <c r="E158" s="126" t="s">
        <v>448</v>
      </c>
      <c r="F158" s="126">
        <v>30</v>
      </c>
      <c r="G158" s="128"/>
      <c r="H158" s="128">
        <v>0.59</v>
      </c>
      <c r="I158" s="128"/>
      <c r="J158" s="126"/>
      <c r="K158" s="126"/>
      <c r="L158" s="126"/>
      <c r="M158" s="129"/>
    </row>
    <row r="159" spans="1:13" x14ac:dyDescent="0.35">
      <c r="A159" s="119" t="s">
        <v>8</v>
      </c>
      <c r="B159" s="120">
        <v>8034</v>
      </c>
      <c r="C159" s="119" t="s">
        <v>366</v>
      </c>
      <c r="D159" s="119">
        <v>980000</v>
      </c>
      <c r="E159" s="119" t="s">
        <v>93</v>
      </c>
      <c r="F159" s="119">
        <v>37.5</v>
      </c>
      <c r="G159" s="121"/>
      <c r="H159" s="121">
        <v>0.59</v>
      </c>
      <c r="I159" s="121"/>
      <c r="J159" s="119"/>
      <c r="K159" s="119"/>
      <c r="L159" s="119"/>
      <c r="M159" s="122"/>
    </row>
    <row r="160" spans="1:13" x14ac:dyDescent="0.35">
      <c r="A160" s="101" t="s">
        <v>8</v>
      </c>
      <c r="B160" s="123">
        <v>8034</v>
      </c>
      <c r="C160" s="101" t="s">
        <v>366</v>
      </c>
      <c r="D160" s="101">
        <v>980100</v>
      </c>
      <c r="E160" s="101" t="s">
        <v>96</v>
      </c>
      <c r="F160" s="101">
        <v>40</v>
      </c>
      <c r="G160" s="124"/>
      <c r="H160" s="124">
        <v>0.59</v>
      </c>
      <c r="I160" s="124"/>
      <c r="J160" s="101"/>
      <c r="K160" s="101"/>
      <c r="L160" s="101"/>
      <c r="M160" s="125"/>
    </row>
    <row r="161" spans="1:13" ht="15" thickBot="1" x14ac:dyDescent="0.4">
      <c r="A161" s="126" t="s">
        <v>8</v>
      </c>
      <c r="B161" s="127">
        <v>8034</v>
      </c>
      <c r="C161" s="126" t="s">
        <v>366</v>
      </c>
      <c r="D161" s="126">
        <v>987594</v>
      </c>
      <c r="E161" s="126" t="s">
        <v>448</v>
      </c>
      <c r="F161" s="126">
        <v>30</v>
      </c>
      <c r="G161" s="128"/>
      <c r="H161" s="128">
        <v>0.99</v>
      </c>
      <c r="I161" s="128"/>
      <c r="J161" s="126"/>
      <c r="K161" s="126"/>
      <c r="L161" s="126"/>
      <c r="M161" s="129"/>
    </row>
    <row r="162" spans="1:13" x14ac:dyDescent="0.35">
      <c r="A162" s="119" t="s">
        <v>8</v>
      </c>
      <c r="B162" s="120">
        <v>8035</v>
      </c>
      <c r="C162" s="119" t="s">
        <v>373</v>
      </c>
      <c r="D162" s="119">
        <v>980000</v>
      </c>
      <c r="E162" s="119" t="s">
        <v>93</v>
      </c>
      <c r="F162" s="119">
        <v>37.5</v>
      </c>
      <c r="G162" s="121"/>
      <c r="H162" s="121">
        <v>0.49</v>
      </c>
      <c r="I162" s="121"/>
      <c r="J162" s="119"/>
      <c r="K162" s="119"/>
      <c r="L162" s="119"/>
      <c r="M162" s="122"/>
    </row>
    <row r="163" spans="1:13" x14ac:dyDescent="0.35">
      <c r="A163" s="101" t="s">
        <v>8</v>
      </c>
      <c r="B163" s="123">
        <v>8035</v>
      </c>
      <c r="C163" s="101" t="s">
        <v>373</v>
      </c>
      <c r="D163" s="101">
        <v>980100</v>
      </c>
      <c r="E163" s="101" t="s">
        <v>96</v>
      </c>
      <c r="F163" s="101">
        <v>40</v>
      </c>
      <c r="G163" s="124"/>
      <c r="H163" s="124">
        <v>0.64</v>
      </c>
      <c r="I163" s="124"/>
      <c r="J163" s="101"/>
      <c r="K163" s="101"/>
      <c r="L163" s="101"/>
      <c r="M163" s="125"/>
    </row>
    <row r="164" spans="1:13" ht="15" thickBot="1" x14ac:dyDescent="0.4">
      <c r="A164" s="130" t="s">
        <v>8</v>
      </c>
      <c r="B164" s="131">
        <v>8035</v>
      </c>
      <c r="C164" s="130" t="s">
        <v>373</v>
      </c>
      <c r="D164" s="130">
        <v>987594</v>
      </c>
      <c r="E164" s="130" t="s">
        <v>448</v>
      </c>
      <c r="F164" s="130">
        <v>30</v>
      </c>
      <c r="G164" s="132">
        <v>0.79</v>
      </c>
      <c r="H164" s="132">
        <v>0.95</v>
      </c>
      <c r="I164" s="132"/>
      <c r="J164" s="130" t="s">
        <v>51</v>
      </c>
      <c r="K164" s="130" t="s">
        <v>200</v>
      </c>
      <c r="L164" s="130"/>
      <c r="M164" s="133">
        <v>44813</v>
      </c>
    </row>
    <row r="165" spans="1:13" x14ac:dyDescent="0.35">
      <c r="A165" s="119" t="s">
        <v>8</v>
      </c>
      <c r="B165" s="120">
        <v>8036</v>
      </c>
      <c r="C165" s="119" t="s">
        <v>336</v>
      </c>
      <c r="D165" s="119">
        <v>980000</v>
      </c>
      <c r="E165" s="119" t="s">
        <v>93</v>
      </c>
      <c r="F165" s="119">
        <v>37.5</v>
      </c>
      <c r="G165" s="121"/>
      <c r="H165" s="121">
        <v>0.49</v>
      </c>
      <c r="I165" s="121"/>
      <c r="J165" s="119"/>
      <c r="K165" s="119"/>
      <c r="L165" s="119"/>
      <c r="M165" s="122"/>
    </row>
    <row r="166" spans="1:13" x14ac:dyDescent="0.35">
      <c r="A166" s="101" t="s">
        <v>8</v>
      </c>
      <c r="B166" s="123">
        <v>8036</v>
      </c>
      <c r="C166" s="101" t="s">
        <v>336</v>
      </c>
      <c r="D166" s="101">
        <v>980100</v>
      </c>
      <c r="E166" s="101" t="s">
        <v>96</v>
      </c>
      <c r="F166" s="101">
        <v>40</v>
      </c>
      <c r="G166" s="124"/>
      <c r="H166" s="124">
        <v>0.6</v>
      </c>
      <c r="I166" s="124"/>
      <c r="J166" s="101"/>
      <c r="K166" s="101"/>
      <c r="L166" s="101"/>
      <c r="M166" s="125"/>
    </row>
    <row r="167" spans="1:13" ht="15" thickBot="1" x14ac:dyDescent="0.4">
      <c r="A167" s="126" t="s">
        <v>8</v>
      </c>
      <c r="B167" s="127">
        <v>8036</v>
      </c>
      <c r="C167" s="126" t="s">
        <v>336</v>
      </c>
      <c r="D167" s="126">
        <v>987594</v>
      </c>
      <c r="E167" s="126" t="s">
        <v>448</v>
      </c>
      <c r="F167" s="126">
        <v>30</v>
      </c>
      <c r="G167" s="128"/>
      <c r="H167" s="128">
        <v>0.99</v>
      </c>
      <c r="I167" s="128"/>
      <c r="J167" s="126"/>
      <c r="K167" s="126"/>
      <c r="L167" s="126"/>
      <c r="M167" s="129"/>
    </row>
  </sheetData>
  <autoFilter ref="A2:M167" xr:uid="{D4006B12-B293-4E93-BE41-13835CEEDB6A}"/>
  <mergeCells count="1">
    <mergeCell ref="A1:J1"/>
  </mergeCells>
  <pageMargins left="0.25" right="0.25" top="0.75" bottom="0.75" header="0.3" footer="0.3"/>
  <pageSetup scale="65" fitToHeight="0" orientation="portrait" r:id="rId1"/>
  <headerFooter>
    <oddHeader>&amp;C&amp;B Store Specific Prices: FRG&amp;RPage &amp;Pof&amp;N</oddHeader>
    <oddFooter>&amp;L&amp;B Department: Purchasing Produce&amp;C&amp;B Storage Location: Freshness Cart&amp;R&amp;B EFFECTIVE ONLY ON: 7/14/2022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7030A0"/>
    <pageSetUpPr fitToPage="1"/>
  </sheetPr>
  <dimension ref="A1:K327"/>
  <sheetViews>
    <sheetView topLeftCell="B1" zoomScale="70" zoomScaleNormal="70" workbookViewId="0">
      <pane ySplit="4" topLeftCell="A125" activePane="bottomLeft" state="frozen"/>
      <selection activeCell="C8" sqref="C8"/>
      <selection pane="bottomLeft" activeCell="A14" sqref="A14:K335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146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6"/>
      <c r="J4" s="26"/>
      <c r="K4" s="26"/>
    </row>
    <row r="5" spans="1:11" ht="20" x14ac:dyDescent="0.4">
      <c r="A5" s="148">
        <v>983531</v>
      </c>
      <c r="B5" s="148" t="s">
        <v>803</v>
      </c>
      <c r="C5" s="148"/>
      <c r="D5" s="149">
        <v>1.29</v>
      </c>
      <c r="E5" s="149">
        <v>0.89</v>
      </c>
      <c r="F5" s="148"/>
      <c r="G5" s="148" t="s">
        <v>6</v>
      </c>
      <c r="H5" s="148" t="s">
        <v>345</v>
      </c>
      <c r="I5" s="150">
        <v>44819</v>
      </c>
      <c r="J5" s="148"/>
      <c r="K5" s="148"/>
    </row>
    <row r="6" spans="1:11" ht="20" x14ac:dyDescent="0.4">
      <c r="A6" s="151">
        <v>980821</v>
      </c>
      <c r="B6" s="151" t="s">
        <v>819</v>
      </c>
      <c r="C6" s="151"/>
      <c r="D6" s="153">
        <v>0.62</v>
      </c>
      <c r="E6" s="153">
        <v>0.39</v>
      </c>
      <c r="F6" s="151"/>
      <c r="G6" s="151" t="s">
        <v>6</v>
      </c>
      <c r="H6" s="151" t="s">
        <v>7</v>
      </c>
      <c r="I6" s="152">
        <v>44824</v>
      </c>
      <c r="J6" s="151" t="s">
        <v>820</v>
      </c>
      <c r="K6" s="151"/>
    </row>
    <row r="7" spans="1:11" ht="20" x14ac:dyDescent="0.4">
      <c r="A7" s="151">
        <v>986973</v>
      </c>
      <c r="B7" s="151" t="s">
        <v>111</v>
      </c>
      <c r="C7" s="151"/>
      <c r="D7" s="153">
        <v>2.99</v>
      </c>
      <c r="E7" s="153">
        <v>1.99</v>
      </c>
      <c r="F7" s="151"/>
      <c r="G7" s="151" t="s">
        <v>688</v>
      </c>
      <c r="H7" s="151" t="s">
        <v>662</v>
      </c>
      <c r="I7" s="152">
        <v>44824</v>
      </c>
      <c r="J7" s="151" t="s">
        <v>27</v>
      </c>
      <c r="K7" s="151"/>
    </row>
    <row r="8" spans="1:11" ht="20" x14ac:dyDescent="0.4">
      <c r="A8" s="151">
        <v>982202</v>
      </c>
      <c r="B8" s="151" t="s">
        <v>821</v>
      </c>
      <c r="C8" s="151"/>
      <c r="D8" s="153">
        <v>2.99</v>
      </c>
      <c r="E8" s="153">
        <v>1.49</v>
      </c>
      <c r="F8" s="151"/>
      <c r="G8" s="151" t="s">
        <v>688</v>
      </c>
      <c r="H8" s="151" t="s">
        <v>662</v>
      </c>
      <c r="I8" s="152">
        <v>44824</v>
      </c>
      <c r="J8" s="151" t="s">
        <v>823</v>
      </c>
      <c r="K8" s="151"/>
    </row>
    <row r="9" spans="1:11" ht="20" x14ac:dyDescent="0.4">
      <c r="A9" s="151">
        <v>983671</v>
      </c>
      <c r="B9" s="151" t="s">
        <v>825</v>
      </c>
      <c r="C9" s="151"/>
      <c r="D9" s="153">
        <v>4.49</v>
      </c>
      <c r="E9" s="153">
        <v>2.99</v>
      </c>
      <c r="F9" s="151"/>
      <c r="G9" s="151" t="s">
        <v>688</v>
      </c>
      <c r="H9" s="151" t="s">
        <v>662</v>
      </c>
      <c r="I9" s="152">
        <v>44824</v>
      </c>
      <c r="J9" s="151" t="s">
        <v>27</v>
      </c>
      <c r="K9" s="151"/>
    </row>
    <row r="10" spans="1:11" ht="20" x14ac:dyDescent="0.4">
      <c r="A10" s="151">
        <v>988020</v>
      </c>
      <c r="B10" s="151" t="s">
        <v>78</v>
      </c>
      <c r="C10" s="151"/>
      <c r="D10" s="153">
        <v>3.49</v>
      </c>
      <c r="E10" s="153">
        <v>2.4900000000000002</v>
      </c>
      <c r="F10" s="151"/>
      <c r="G10" s="151" t="s">
        <v>6</v>
      </c>
      <c r="H10" s="151" t="s">
        <v>7</v>
      </c>
      <c r="I10" s="152">
        <v>44824</v>
      </c>
      <c r="J10" s="151" t="s">
        <v>27</v>
      </c>
      <c r="K10" s="151"/>
    </row>
    <row r="11" spans="1:11" ht="20" x14ac:dyDescent="0.4">
      <c r="A11" s="151">
        <v>985605</v>
      </c>
      <c r="B11" s="151" t="s">
        <v>826</v>
      </c>
      <c r="C11" s="151"/>
      <c r="D11" s="153">
        <v>1.39</v>
      </c>
      <c r="E11" s="153">
        <v>0.99</v>
      </c>
      <c r="F11" s="151"/>
      <c r="G11" s="151" t="s">
        <v>6</v>
      </c>
      <c r="H11" s="151" t="s">
        <v>7</v>
      </c>
      <c r="I11" s="152">
        <v>44824</v>
      </c>
      <c r="J11" s="151" t="s">
        <v>805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3.13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2.4900000000000002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1.99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2.75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0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3.49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3.13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3.98</v>
      </c>
      <c r="F27" s="13" t="s">
        <v>40</v>
      </c>
      <c r="G27" s="13"/>
      <c r="H27" s="13"/>
      <c r="I27" s="13"/>
      <c r="J27" s="13"/>
      <c r="K27" s="13"/>
    </row>
    <row r="28" spans="1:11" ht="40" x14ac:dyDescent="0.4">
      <c r="A28" s="117">
        <v>995000</v>
      </c>
      <c r="B28" s="117" t="s">
        <v>83</v>
      </c>
      <c r="C28" s="117" t="s">
        <v>462</v>
      </c>
      <c r="D28" s="118">
        <v>2.73</v>
      </c>
      <c r="E28" s="118">
        <v>1.64</v>
      </c>
      <c r="F28" s="117" t="s">
        <v>40</v>
      </c>
      <c r="G28" s="117" t="s">
        <v>6</v>
      </c>
      <c r="H28" s="117" t="s">
        <v>41</v>
      </c>
      <c r="I28" s="147">
        <v>44820</v>
      </c>
      <c r="J28" s="117"/>
      <c r="K28" s="13"/>
    </row>
    <row r="29" spans="1:11" ht="20" x14ac:dyDescent="0.4">
      <c r="A29" s="117">
        <v>995005</v>
      </c>
      <c r="B29" s="117" t="s">
        <v>56</v>
      </c>
      <c r="C29" s="117" t="s">
        <v>462</v>
      </c>
      <c r="D29" s="118">
        <v>1.07</v>
      </c>
      <c r="E29" s="118">
        <v>1.78</v>
      </c>
      <c r="F29" s="117" t="s">
        <v>40</v>
      </c>
      <c r="G29" s="117" t="s">
        <v>51</v>
      </c>
      <c r="H29" s="117" t="s">
        <v>52</v>
      </c>
      <c r="I29" s="117"/>
      <c r="J29" s="117"/>
      <c r="K29" s="13"/>
    </row>
    <row r="30" spans="1:11" ht="20" x14ac:dyDescent="0.4">
      <c r="A30" s="117">
        <v>995210</v>
      </c>
      <c r="B30" s="117" t="s">
        <v>783</v>
      </c>
      <c r="C30" s="117" t="s">
        <v>462</v>
      </c>
      <c r="D30" s="118">
        <v>1.79</v>
      </c>
      <c r="E30" s="118">
        <v>2.98</v>
      </c>
      <c r="F30" s="117" t="s">
        <v>40</v>
      </c>
      <c r="G30" s="117" t="s">
        <v>51</v>
      </c>
      <c r="H30" s="117" t="s">
        <v>52</v>
      </c>
      <c r="I30" s="117"/>
      <c r="J30" s="117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40" x14ac:dyDescent="0.4">
      <c r="A36" s="117">
        <v>995108</v>
      </c>
      <c r="B36" s="117" t="s">
        <v>714</v>
      </c>
      <c r="C36" s="117"/>
      <c r="D36" s="118">
        <v>3.49</v>
      </c>
      <c r="E36" s="118">
        <v>2.09</v>
      </c>
      <c r="F36" s="117" t="s">
        <v>40</v>
      </c>
      <c r="G36" s="117" t="s">
        <v>6</v>
      </c>
      <c r="H36" s="117" t="s">
        <v>41</v>
      </c>
      <c r="I36" s="147">
        <v>44820</v>
      </c>
      <c r="J36" s="117"/>
      <c r="K36" s="13"/>
    </row>
    <row r="37" spans="1:11" ht="20" x14ac:dyDescent="0.4">
      <c r="A37" s="117">
        <v>995111</v>
      </c>
      <c r="B37" s="117" t="s">
        <v>772</v>
      </c>
      <c r="C37" s="117" t="s">
        <v>462</v>
      </c>
      <c r="D37" s="118">
        <v>2.09</v>
      </c>
      <c r="E37" s="118">
        <v>3.49</v>
      </c>
      <c r="F37" s="117" t="s">
        <v>40</v>
      </c>
      <c r="G37" s="117" t="s">
        <v>51</v>
      </c>
      <c r="H37" s="117" t="s">
        <v>52</v>
      </c>
      <c r="I37" s="117"/>
      <c r="J37" s="117"/>
      <c r="K37" s="13"/>
    </row>
    <row r="38" spans="1:11" ht="40" x14ac:dyDescent="0.4">
      <c r="A38" s="13">
        <v>995015</v>
      </c>
      <c r="B38" s="13" t="s">
        <v>711</v>
      </c>
      <c r="C38" s="13"/>
      <c r="D38" s="73">
        <v>3.47</v>
      </c>
      <c r="E38" s="73">
        <v>2.08</v>
      </c>
      <c r="F38" s="13" t="s">
        <v>40</v>
      </c>
      <c r="G38" s="13"/>
      <c r="H38" s="13" t="s">
        <v>41</v>
      </c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3.47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3.13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2.85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5.13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3.98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2.29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1.98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3.47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17">
        <v>995018</v>
      </c>
      <c r="B47" s="117" t="s">
        <v>450</v>
      </c>
      <c r="C47" s="117" t="s">
        <v>462</v>
      </c>
      <c r="D47" s="118">
        <v>2.4900000000000002</v>
      </c>
      <c r="E47" s="118">
        <v>5.34</v>
      </c>
      <c r="F47" s="117" t="s">
        <v>40</v>
      </c>
      <c r="G47" s="117" t="s">
        <v>51</v>
      </c>
      <c r="H47" s="117" t="s">
        <v>52</v>
      </c>
      <c r="I47" s="117"/>
      <c r="J47" s="117" t="s">
        <v>839</v>
      </c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3.47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5.34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3.47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4.49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3.13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3.13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2.89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17">
        <v>995027</v>
      </c>
      <c r="B56" s="117" t="s">
        <v>426</v>
      </c>
      <c r="C56" s="117" t="s">
        <v>462</v>
      </c>
      <c r="D56" s="118">
        <v>2.69</v>
      </c>
      <c r="E56" s="118">
        <v>4.49</v>
      </c>
      <c r="F56" s="117" t="s">
        <v>40</v>
      </c>
      <c r="G56" s="117" t="s">
        <v>51</v>
      </c>
      <c r="H56" s="117" t="s">
        <v>52</v>
      </c>
      <c r="I56" s="117"/>
      <c r="J56" s="117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2.72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2.2799999999999998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3.47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5.13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2.98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3.19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1.55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2.84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1.77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472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1.98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1.39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4.17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5.19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4.49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0.88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0.85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2.78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6.18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2.78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2.39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3.69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40" x14ac:dyDescent="0.4">
      <c r="A88" s="117">
        <v>995085</v>
      </c>
      <c r="B88" s="117" t="s">
        <v>49</v>
      </c>
      <c r="C88" s="117" t="s">
        <v>462</v>
      </c>
      <c r="D88" s="118">
        <v>2.78</v>
      </c>
      <c r="E88" s="118">
        <v>1.67</v>
      </c>
      <c r="F88" s="117" t="s">
        <v>40</v>
      </c>
      <c r="G88" s="117" t="s">
        <v>6</v>
      </c>
      <c r="H88" s="117" t="s">
        <v>41</v>
      </c>
      <c r="I88" s="147">
        <v>44820</v>
      </c>
      <c r="J88" s="117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2.78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2.5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2.99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3.99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2.98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1.59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2.09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2.78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6.18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0.85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2.99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3.72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1.94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2.33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2.08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2.1800000000000002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2.54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2.67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3.79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2.99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4.18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2.99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3.99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4.9800000000000004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5.48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2.99</v>
      </c>
      <c r="F124" s="13" t="s">
        <v>40</v>
      </c>
      <c r="G124" s="13"/>
      <c r="H124" s="13" t="s">
        <v>479</v>
      </c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3.97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4.4800000000000004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3.24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4.8600000000000003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3.18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5.09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3.86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5.12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2.58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3.48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5.94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2.88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4.9800000000000004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1.78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4.99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1.68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4.99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1.78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2.79</v>
      </c>
      <c r="E149" s="118">
        <v>3.99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4.99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3.09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4.1900000000000004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3.49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0.32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40" x14ac:dyDescent="0.4">
      <c r="A157" s="117">
        <v>983101</v>
      </c>
      <c r="B157" s="117" t="s">
        <v>618</v>
      </c>
      <c r="C157" s="117"/>
      <c r="D157" s="118">
        <v>2.79</v>
      </c>
      <c r="E157" s="118">
        <v>1.95</v>
      </c>
      <c r="F157" s="117" t="s">
        <v>401</v>
      </c>
      <c r="G157" s="117" t="s">
        <v>6</v>
      </c>
      <c r="H157" s="117" t="s">
        <v>41</v>
      </c>
      <c r="I157" s="147">
        <v>44820</v>
      </c>
      <c r="J157" s="117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4.38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3.98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3.49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2.99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3.98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2.99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4.67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1.98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2.78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3.49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1.79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2.08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1.19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5.24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3.75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4.12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3.46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472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0.39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472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1.98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0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 t="s">
        <v>479</v>
      </c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 t="s">
        <v>479</v>
      </c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 t="s">
        <v>479</v>
      </c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 t="s">
        <v>479</v>
      </c>
      <c r="I252" s="13"/>
      <c r="J252" s="13"/>
      <c r="K252" s="13"/>
    </row>
    <row r="253" spans="1:11" ht="20" x14ac:dyDescent="0.4">
      <c r="A253" s="13">
        <v>995186</v>
      </c>
      <c r="B253" s="13" t="s">
        <v>689</v>
      </c>
      <c r="C253" s="13" t="s">
        <v>462</v>
      </c>
      <c r="D253" s="73"/>
      <c r="E253" s="73">
        <v>2.99</v>
      </c>
      <c r="F253" s="13" t="s">
        <v>740</v>
      </c>
      <c r="G253" s="13"/>
      <c r="H253" s="13"/>
      <c r="I253" s="13"/>
      <c r="J253" s="13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995206</v>
      </c>
      <c r="B257" s="13" t="s">
        <v>738</v>
      </c>
      <c r="C257" s="13"/>
      <c r="D257" s="73"/>
      <c r="E257" s="73">
        <v>3.99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3.35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3.99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F3">
    <cfRule type="expression" dxfId="37" priority="1032" stopIfTrue="1">
      <formula>AND(OR(NOT(ISERROR(FIND("YB",#REF!))),NOT(ISERROR(FIND("YNB",#REF!)))),AND(ISERROR(FIND("SB",#REF!)),ISERROR(FIND("SNB",#REF!))))</formula>
    </cfRule>
    <cfRule type="expression" dxfId="36" priority="1033" stopIfTrue="1">
      <formula>NOT(ISERROR(FIND("B",#REF!)))</formula>
    </cfRule>
  </conditionalFormatting>
  <conditionalFormatting sqref="K4">
    <cfRule type="expression" dxfId="35" priority="1026" stopIfTrue="1">
      <formula>AND(OR(NOT(ISERROR(FIND("YB",#REF!))),NOT(ISERROR(FIND("YNB",#REF!)))),AND(ISERROR(FIND("SB",#REF!)),ISERROR(FIND("SNB",#REF!))))</formula>
    </cfRule>
    <cfRule type="expression" dxfId="34" priority="1027" stopIfTrue="1">
      <formula>NOT(ISERROR(FIND("B",#REF!)))</formula>
    </cfRule>
  </conditionalFormatting>
  <conditionalFormatting sqref="A3 D3:E3 G3:J3">
    <cfRule type="expression" dxfId="33" priority="1034" stopIfTrue="1">
      <formula>AND(OR(NOT(ISERROR(FIND("YB",#REF!))),NOT(ISERROR(FIND("YNB",#REF!)))),AND(ISERROR(FIND("SB",#REF!)),ISERROR(FIND("SNB",#REF!))))</formula>
    </cfRule>
    <cfRule type="expression" dxfId="32" priority="1035" stopIfTrue="1">
      <formula>NOT(ISERROR(FIND("B",#REF!)))</formula>
    </cfRule>
  </conditionalFormatting>
  <conditionalFormatting sqref="A4:I4">
    <cfRule type="expression" dxfId="31" priority="1030" stopIfTrue="1">
      <formula>AND(OR(NOT(ISERROR(FIND("YB",#REF!))),NOT(ISERROR(FIND("YNB",#REF!)))),AND(ISERROR(FIND("SB",#REF!)),ISERROR(FIND("SNB",#REF!))))</formula>
    </cfRule>
    <cfRule type="expression" dxfId="30" priority="1031" stopIfTrue="1">
      <formula>NOT(ISERROR(FIND("B",#REF!)))</formula>
    </cfRule>
  </conditionalFormatting>
  <conditionalFormatting sqref="J4">
    <cfRule type="expression" dxfId="29" priority="1028" stopIfTrue="1">
      <formula>AND(OR(NOT(ISERROR(FIND("YB",#REF!))),NOT(ISERROR(FIND("YNB",#REF!)))),AND(ISERROR(FIND("SB",#REF!)),ISERROR(FIND("SNB",#REF!))))</formula>
    </cfRule>
    <cfRule type="expression" dxfId="28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>
    <tabColor rgb="FF7030A0"/>
    <pageSetUpPr fitToPage="1"/>
  </sheetPr>
  <dimension ref="A1:K327"/>
  <sheetViews>
    <sheetView zoomScale="70" zoomScaleNormal="70" workbookViewId="0">
      <pane ySplit="4" topLeftCell="A137" activePane="bottomLeft" state="frozen"/>
      <selection activeCell="C8" sqref="C8"/>
      <selection pane="bottomLeft" activeCell="A14" sqref="A14:K335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147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6"/>
      <c r="J4" s="26"/>
      <c r="K4" s="26"/>
    </row>
    <row r="5" spans="1:11" ht="20" x14ac:dyDescent="0.4">
      <c r="A5" s="148">
        <v>983531</v>
      </c>
      <c r="B5" s="148" t="s">
        <v>803</v>
      </c>
      <c r="C5" s="148"/>
      <c r="D5" s="149">
        <v>1.29</v>
      </c>
      <c r="E5" s="149">
        <v>0.89</v>
      </c>
      <c r="F5" s="148"/>
      <c r="G5" s="148" t="s">
        <v>6</v>
      </c>
      <c r="H5" s="148" t="s">
        <v>345</v>
      </c>
      <c r="I5" s="150">
        <v>44819</v>
      </c>
      <c r="J5" s="148"/>
      <c r="K5" s="148"/>
    </row>
    <row r="6" spans="1:11" ht="20" x14ac:dyDescent="0.4">
      <c r="A6" s="151">
        <v>980821</v>
      </c>
      <c r="B6" s="151" t="s">
        <v>819</v>
      </c>
      <c r="C6" s="151"/>
      <c r="D6" s="153">
        <v>0.62</v>
      </c>
      <c r="E6" s="153">
        <v>0.39</v>
      </c>
      <c r="F6" s="151"/>
      <c r="G6" s="151" t="s">
        <v>6</v>
      </c>
      <c r="H6" s="151" t="s">
        <v>7</v>
      </c>
      <c r="I6" s="152">
        <v>44824</v>
      </c>
      <c r="J6" s="151" t="s">
        <v>820</v>
      </c>
      <c r="K6" s="151"/>
    </row>
    <row r="7" spans="1:11" ht="20" x14ac:dyDescent="0.4">
      <c r="A7" s="151">
        <v>986973</v>
      </c>
      <c r="B7" s="151" t="s">
        <v>111</v>
      </c>
      <c r="C7" s="151"/>
      <c r="D7" s="153">
        <v>2.99</v>
      </c>
      <c r="E7" s="153">
        <v>1.99</v>
      </c>
      <c r="F7" s="151"/>
      <c r="G7" s="151" t="s">
        <v>688</v>
      </c>
      <c r="H7" s="151" t="s">
        <v>662</v>
      </c>
      <c r="I7" s="152">
        <v>44824</v>
      </c>
      <c r="J7" s="151" t="s">
        <v>27</v>
      </c>
      <c r="K7" s="151"/>
    </row>
    <row r="8" spans="1:11" ht="20" x14ac:dyDescent="0.4">
      <c r="A8" s="151">
        <v>982202</v>
      </c>
      <c r="B8" s="151" t="s">
        <v>821</v>
      </c>
      <c r="C8" s="151"/>
      <c r="D8" s="153">
        <v>2.99</v>
      </c>
      <c r="E8" s="153">
        <v>1.49</v>
      </c>
      <c r="F8" s="151"/>
      <c r="G8" s="151" t="s">
        <v>688</v>
      </c>
      <c r="H8" s="151" t="s">
        <v>662</v>
      </c>
      <c r="I8" s="152">
        <v>44824</v>
      </c>
      <c r="J8" s="151" t="s">
        <v>823</v>
      </c>
      <c r="K8" s="151"/>
    </row>
    <row r="9" spans="1:11" ht="20" x14ac:dyDescent="0.4">
      <c r="A9" s="151">
        <v>983671</v>
      </c>
      <c r="B9" s="151" t="s">
        <v>825</v>
      </c>
      <c r="C9" s="151"/>
      <c r="D9" s="153">
        <v>4.49</v>
      </c>
      <c r="E9" s="153">
        <v>2.99</v>
      </c>
      <c r="F9" s="151"/>
      <c r="G9" s="151" t="s">
        <v>688</v>
      </c>
      <c r="H9" s="151" t="s">
        <v>662</v>
      </c>
      <c r="I9" s="152">
        <v>44824</v>
      </c>
      <c r="J9" s="151" t="s">
        <v>27</v>
      </c>
      <c r="K9" s="151"/>
    </row>
    <row r="10" spans="1:11" ht="20" x14ac:dyDescent="0.4">
      <c r="A10" s="151">
        <v>988020</v>
      </c>
      <c r="B10" s="151" t="s">
        <v>78</v>
      </c>
      <c r="C10" s="151"/>
      <c r="D10" s="153">
        <v>3.49</v>
      </c>
      <c r="E10" s="153">
        <v>2.4900000000000002</v>
      </c>
      <c r="F10" s="151"/>
      <c r="G10" s="151" t="s">
        <v>6</v>
      </c>
      <c r="H10" s="151" t="s">
        <v>7</v>
      </c>
      <c r="I10" s="152">
        <v>44824</v>
      </c>
      <c r="J10" s="151" t="s">
        <v>27</v>
      </c>
      <c r="K10" s="151"/>
    </row>
    <row r="11" spans="1:11" ht="20" x14ac:dyDescent="0.4">
      <c r="A11" s="151">
        <v>985605</v>
      </c>
      <c r="B11" s="151" t="s">
        <v>826</v>
      </c>
      <c r="C11" s="151"/>
      <c r="D11" s="153">
        <v>1.39</v>
      </c>
      <c r="E11" s="153">
        <v>0.99</v>
      </c>
      <c r="F11" s="151"/>
      <c r="G11" s="151" t="s">
        <v>6</v>
      </c>
      <c r="H11" s="151" t="s">
        <v>7</v>
      </c>
      <c r="I11" s="152">
        <v>44824</v>
      </c>
      <c r="J11" s="151" t="s">
        <v>805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3.13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2.4900000000000002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1.99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2.75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0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3.49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3.13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3.98</v>
      </c>
      <c r="F27" s="13" t="s">
        <v>40</v>
      </c>
      <c r="G27" s="13"/>
      <c r="H27" s="13"/>
      <c r="I27" s="13"/>
      <c r="J27" s="13"/>
      <c r="K27" s="13"/>
    </row>
    <row r="28" spans="1:11" ht="40" x14ac:dyDescent="0.4">
      <c r="A28" s="117">
        <v>995000</v>
      </c>
      <c r="B28" s="117" t="s">
        <v>83</v>
      </c>
      <c r="C28" s="117" t="s">
        <v>462</v>
      </c>
      <c r="D28" s="118">
        <v>2.73</v>
      </c>
      <c r="E28" s="118">
        <v>1.64</v>
      </c>
      <c r="F28" s="117" t="s">
        <v>40</v>
      </c>
      <c r="G28" s="117" t="s">
        <v>6</v>
      </c>
      <c r="H28" s="117" t="s">
        <v>41</v>
      </c>
      <c r="I28" s="147">
        <v>44820</v>
      </c>
      <c r="J28" s="117"/>
      <c r="K28" s="13"/>
    </row>
    <row r="29" spans="1:11" ht="20" x14ac:dyDescent="0.4">
      <c r="A29" s="117">
        <v>995005</v>
      </c>
      <c r="B29" s="117" t="s">
        <v>56</v>
      </c>
      <c r="C29" s="117" t="s">
        <v>462</v>
      </c>
      <c r="D29" s="118">
        <v>1.07</v>
      </c>
      <c r="E29" s="118">
        <v>1.78</v>
      </c>
      <c r="F29" s="117" t="s">
        <v>40</v>
      </c>
      <c r="G29" s="117" t="s">
        <v>51</v>
      </c>
      <c r="H29" s="117" t="s">
        <v>52</v>
      </c>
      <c r="I29" s="117"/>
      <c r="J29" s="117"/>
      <c r="K29" s="13"/>
    </row>
    <row r="30" spans="1:11" ht="20" x14ac:dyDescent="0.4">
      <c r="A30" s="117">
        <v>995210</v>
      </c>
      <c r="B30" s="117" t="s">
        <v>783</v>
      </c>
      <c r="C30" s="117" t="s">
        <v>462</v>
      </c>
      <c r="D30" s="118">
        <v>1.79</v>
      </c>
      <c r="E30" s="118">
        <v>2.98</v>
      </c>
      <c r="F30" s="117" t="s">
        <v>40</v>
      </c>
      <c r="G30" s="117" t="s">
        <v>51</v>
      </c>
      <c r="H30" s="117" t="s">
        <v>52</v>
      </c>
      <c r="I30" s="117"/>
      <c r="J30" s="117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40" x14ac:dyDescent="0.4">
      <c r="A36" s="117">
        <v>995108</v>
      </c>
      <c r="B36" s="117" t="s">
        <v>714</v>
      </c>
      <c r="C36" s="117"/>
      <c r="D36" s="118">
        <v>3.49</v>
      </c>
      <c r="E36" s="118">
        <v>2.09</v>
      </c>
      <c r="F36" s="117" t="s">
        <v>40</v>
      </c>
      <c r="G36" s="117" t="s">
        <v>6</v>
      </c>
      <c r="H36" s="117" t="s">
        <v>41</v>
      </c>
      <c r="I36" s="147">
        <v>44820</v>
      </c>
      <c r="J36" s="117"/>
      <c r="K36" s="13"/>
    </row>
    <row r="37" spans="1:11" ht="20" x14ac:dyDescent="0.4">
      <c r="A37" s="117">
        <v>995111</v>
      </c>
      <c r="B37" s="117" t="s">
        <v>772</v>
      </c>
      <c r="C37" s="117" t="s">
        <v>462</v>
      </c>
      <c r="D37" s="118">
        <v>2.09</v>
      </c>
      <c r="E37" s="118">
        <v>3.49</v>
      </c>
      <c r="F37" s="117" t="s">
        <v>40</v>
      </c>
      <c r="G37" s="117" t="s">
        <v>51</v>
      </c>
      <c r="H37" s="117" t="s">
        <v>52</v>
      </c>
      <c r="I37" s="117"/>
      <c r="J37" s="117"/>
      <c r="K37" s="13"/>
    </row>
    <row r="38" spans="1:11" ht="40" x14ac:dyDescent="0.4">
      <c r="A38" s="13">
        <v>995015</v>
      </c>
      <c r="B38" s="13" t="s">
        <v>711</v>
      </c>
      <c r="C38" s="13"/>
      <c r="D38" s="73">
        <v>3.47</v>
      </c>
      <c r="E38" s="73">
        <v>2.08</v>
      </c>
      <c r="F38" s="13" t="s">
        <v>40</v>
      </c>
      <c r="G38" s="13"/>
      <c r="H38" s="13" t="s">
        <v>41</v>
      </c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3.47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3.13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2.85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5.13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3.98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2.29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1.98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3.47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17">
        <v>995018</v>
      </c>
      <c r="B47" s="117" t="s">
        <v>450</v>
      </c>
      <c r="C47" s="117" t="s">
        <v>462</v>
      </c>
      <c r="D47" s="118">
        <v>2.4900000000000002</v>
      </c>
      <c r="E47" s="118">
        <v>5.34</v>
      </c>
      <c r="F47" s="117" t="s">
        <v>40</v>
      </c>
      <c r="G47" s="117" t="s">
        <v>51</v>
      </c>
      <c r="H47" s="117" t="s">
        <v>52</v>
      </c>
      <c r="I47" s="117"/>
      <c r="J47" s="117" t="s">
        <v>839</v>
      </c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3.47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5.34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3.47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4.49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3.13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3.13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2.89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17">
        <v>995027</v>
      </c>
      <c r="B56" s="117" t="s">
        <v>426</v>
      </c>
      <c r="C56" s="117" t="s">
        <v>462</v>
      </c>
      <c r="D56" s="118">
        <v>2.69</v>
      </c>
      <c r="E56" s="118">
        <v>4.49</v>
      </c>
      <c r="F56" s="117" t="s">
        <v>40</v>
      </c>
      <c r="G56" s="117" t="s">
        <v>51</v>
      </c>
      <c r="H56" s="117" t="s">
        <v>52</v>
      </c>
      <c r="I56" s="117"/>
      <c r="J56" s="117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2.72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2.2799999999999998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3.47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5.13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2.98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3.19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1.55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2.84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1.77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472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1.98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1.39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4.17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5.19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4.49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0.88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0.85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2.78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6.18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2.78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2.39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3.69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40" x14ac:dyDescent="0.4">
      <c r="A88" s="117">
        <v>995085</v>
      </c>
      <c r="B88" s="117" t="s">
        <v>49</v>
      </c>
      <c r="C88" s="117" t="s">
        <v>462</v>
      </c>
      <c r="D88" s="118">
        <v>2.78</v>
      </c>
      <c r="E88" s="118">
        <v>1.67</v>
      </c>
      <c r="F88" s="117" t="s">
        <v>40</v>
      </c>
      <c r="G88" s="117" t="s">
        <v>6</v>
      </c>
      <c r="H88" s="117" t="s">
        <v>41</v>
      </c>
      <c r="I88" s="147">
        <v>44820</v>
      </c>
      <c r="J88" s="117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2.78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2.5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2.99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3.99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2.98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1.59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2.09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2.78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6.18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0.85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2.99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3.72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1.94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2.33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2.08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2.1800000000000002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2.54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2.67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3.79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2.99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4.18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2.99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3.99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4.9800000000000004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5.48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2.99</v>
      </c>
      <c r="F124" s="13" t="s">
        <v>40</v>
      </c>
      <c r="G124" s="13"/>
      <c r="H124" s="13" t="s">
        <v>479</v>
      </c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3.97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4.4800000000000004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3.24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4.8600000000000003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3.18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5.09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3.86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5.12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2.58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3.48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5.94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2.88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4.9800000000000004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1.78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4.99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1.68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4.99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1.78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2.79</v>
      </c>
      <c r="E149" s="118">
        <v>3.99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4.99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3.09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4.1900000000000004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3.49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0.32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40" x14ac:dyDescent="0.4">
      <c r="A157" s="117">
        <v>983101</v>
      </c>
      <c r="B157" s="117" t="s">
        <v>618</v>
      </c>
      <c r="C157" s="117"/>
      <c r="D157" s="118">
        <v>2.79</v>
      </c>
      <c r="E157" s="118">
        <v>1.95</v>
      </c>
      <c r="F157" s="117" t="s">
        <v>401</v>
      </c>
      <c r="G157" s="117" t="s">
        <v>6</v>
      </c>
      <c r="H157" s="117" t="s">
        <v>41</v>
      </c>
      <c r="I157" s="147">
        <v>44820</v>
      </c>
      <c r="J157" s="117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4.38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3.98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3.49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2.99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3.98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2.99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4.67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1.98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2.78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3.49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1.79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2.08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1.19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5.24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3.75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4.12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3.46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472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0.39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472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1.98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0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 t="s">
        <v>479</v>
      </c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 t="s">
        <v>479</v>
      </c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 t="s">
        <v>479</v>
      </c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 t="s">
        <v>479</v>
      </c>
      <c r="I252" s="13"/>
      <c r="J252" s="13"/>
      <c r="K252" s="13"/>
    </row>
    <row r="253" spans="1:11" ht="20" x14ac:dyDescent="0.4">
      <c r="A253" s="13">
        <v>995186</v>
      </c>
      <c r="B253" s="13" t="s">
        <v>689</v>
      </c>
      <c r="C253" s="13" t="s">
        <v>462</v>
      </c>
      <c r="D253" s="73"/>
      <c r="E253" s="73">
        <v>2.99</v>
      </c>
      <c r="F253" s="13" t="s">
        <v>740</v>
      </c>
      <c r="G253" s="13"/>
      <c r="H253" s="13"/>
      <c r="I253" s="13"/>
      <c r="J253" s="13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995206</v>
      </c>
      <c r="B257" s="13" t="s">
        <v>738</v>
      </c>
      <c r="C257" s="13"/>
      <c r="D257" s="73"/>
      <c r="E257" s="73">
        <v>3.99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3.35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3.99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4:I4">
    <cfRule type="expression" dxfId="27" priority="1036" stopIfTrue="1">
      <formula>AND(OR(NOT(ISERROR(FIND("YB",#REF!))),NOT(ISERROR(FIND("YNB",#REF!)))),AND(ISERROR(FIND("SB",#REF!)),ISERROR(FIND("SNB",#REF!))))</formula>
    </cfRule>
    <cfRule type="expression" dxfId="26" priority="1037" stopIfTrue="1">
      <formula>NOT(ISERROR(FIND("B",#REF!)))</formula>
    </cfRule>
  </conditionalFormatting>
  <conditionalFormatting sqref="K4">
    <cfRule type="expression" dxfId="25" priority="1026" stopIfTrue="1">
      <formula>AND(OR(NOT(ISERROR(FIND("YB",#REF!))),NOT(ISERROR(FIND("YNB",#REF!)))),AND(ISERROR(FIND("SB",#REF!)),ISERROR(FIND("SNB",#REF!))))</formula>
    </cfRule>
    <cfRule type="expression" dxfId="24" priority="1027" stopIfTrue="1">
      <formula>NOT(ISERROR(FIND("B",#REF!)))</formula>
    </cfRule>
  </conditionalFormatting>
  <conditionalFormatting sqref="A3 D3:E3 G3:J3">
    <cfRule type="expression" dxfId="23" priority="1032" stopIfTrue="1">
      <formula>AND(OR(NOT(ISERROR(FIND("YB",#REF!))),NOT(ISERROR(FIND("YNB",#REF!)))),AND(ISERROR(FIND("SB",#REF!)),ISERROR(FIND("SNB",#REF!))))</formula>
    </cfRule>
    <cfRule type="expression" dxfId="22" priority="1033" stopIfTrue="1">
      <formula>NOT(ISERROR(FIND("B",#REF!)))</formula>
    </cfRule>
  </conditionalFormatting>
  <conditionalFormatting sqref="F3">
    <cfRule type="expression" dxfId="21" priority="1030" stopIfTrue="1">
      <formula>AND(OR(NOT(ISERROR(FIND("YB",#REF!))),NOT(ISERROR(FIND("YNB",#REF!)))),AND(ISERROR(FIND("SB",#REF!)),ISERROR(FIND("SNB",#REF!))))</formula>
    </cfRule>
    <cfRule type="expression" dxfId="20" priority="1031" stopIfTrue="1">
      <formula>NOT(ISERROR(FIND("B",#REF!)))</formula>
    </cfRule>
  </conditionalFormatting>
  <conditionalFormatting sqref="J4">
    <cfRule type="expression" dxfId="19" priority="1028" stopIfTrue="1">
      <formula>AND(OR(NOT(ISERROR(FIND("YB",#REF!))),NOT(ISERROR(FIND("YNB",#REF!)))),AND(ISERROR(FIND("SB",#REF!)),ISERROR(FIND("SNB",#REF!))))</formula>
    </cfRule>
    <cfRule type="expression" dxfId="18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7030A0"/>
    <pageSetUpPr fitToPage="1"/>
  </sheetPr>
  <dimension ref="A1:K327"/>
  <sheetViews>
    <sheetView topLeftCell="I1" zoomScale="70" zoomScaleNormal="70" workbookViewId="0">
      <pane ySplit="4" topLeftCell="A99" activePane="bottomLeft" state="frozen"/>
      <selection activeCell="A15" sqref="A15:K330"/>
      <selection pane="bottomLeft" activeCell="AP136" sqref="AP136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148</v>
      </c>
      <c r="C1" s="1"/>
      <c r="H1" s="2"/>
      <c r="I1" s="6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39"/>
      <c r="B3" s="340"/>
      <c r="C3" s="340"/>
      <c r="D3" s="22" t="s">
        <v>15</v>
      </c>
      <c r="E3" s="22" t="s">
        <v>16</v>
      </c>
      <c r="F3" s="22" t="s">
        <v>29</v>
      </c>
      <c r="G3" s="22" t="s">
        <v>3</v>
      </c>
      <c r="H3" s="22" t="s">
        <v>2</v>
      </c>
      <c r="I3" s="22" t="s">
        <v>1</v>
      </c>
      <c r="J3" s="21" t="s">
        <v>17</v>
      </c>
      <c r="K3" s="21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6"/>
      <c r="J4" s="26"/>
      <c r="K4" s="26"/>
    </row>
    <row r="5" spans="1:11" ht="20" x14ac:dyDescent="0.4">
      <c r="A5" s="148">
        <v>983531</v>
      </c>
      <c r="B5" s="148" t="s">
        <v>803</v>
      </c>
      <c r="C5" s="148"/>
      <c r="D5" s="149">
        <v>1.29</v>
      </c>
      <c r="E5" s="149">
        <v>0.89</v>
      </c>
      <c r="F5" s="148"/>
      <c r="G5" s="148" t="s">
        <v>6</v>
      </c>
      <c r="H5" s="148" t="s">
        <v>345</v>
      </c>
      <c r="I5" s="150">
        <v>44819</v>
      </c>
      <c r="J5" s="148"/>
      <c r="K5" s="148"/>
    </row>
    <row r="6" spans="1:11" ht="20" x14ac:dyDescent="0.4">
      <c r="A6" s="151">
        <v>980821</v>
      </c>
      <c r="B6" s="151" t="s">
        <v>819</v>
      </c>
      <c r="C6" s="151"/>
      <c r="D6" s="153">
        <v>0.62</v>
      </c>
      <c r="E6" s="153">
        <v>0.39</v>
      </c>
      <c r="F6" s="151"/>
      <c r="G6" s="151" t="s">
        <v>6</v>
      </c>
      <c r="H6" s="151" t="s">
        <v>7</v>
      </c>
      <c r="I6" s="152">
        <v>44824</v>
      </c>
      <c r="J6" s="151" t="s">
        <v>820</v>
      </c>
      <c r="K6" s="151"/>
    </row>
    <row r="7" spans="1:11" ht="20" x14ac:dyDescent="0.4">
      <c r="A7" s="151">
        <v>986973</v>
      </c>
      <c r="B7" s="151" t="s">
        <v>111</v>
      </c>
      <c r="C7" s="151"/>
      <c r="D7" s="153">
        <v>2.99</v>
      </c>
      <c r="E7" s="153">
        <v>1.99</v>
      </c>
      <c r="F7" s="151"/>
      <c r="G7" s="151" t="s">
        <v>688</v>
      </c>
      <c r="H7" s="151" t="s">
        <v>662</v>
      </c>
      <c r="I7" s="152">
        <v>44824</v>
      </c>
      <c r="J7" s="151" t="s">
        <v>27</v>
      </c>
      <c r="K7" s="151"/>
    </row>
    <row r="8" spans="1:11" ht="20" x14ac:dyDescent="0.4">
      <c r="A8" s="151">
        <v>982202</v>
      </c>
      <c r="B8" s="151" t="s">
        <v>821</v>
      </c>
      <c r="C8" s="151"/>
      <c r="D8" s="153">
        <v>2.99</v>
      </c>
      <c r="E8" s="153">
        <v>1.49</v>
      </c>
      <c r="F8" s="151"/>
      <c r="G8" s="151" t="s">
        <v>688</v>
      </c>
      <c r="H8" s="151" t="s">
        <v>662</v>
      </c>
      <c r="I8" s="152">
        <v>44824</v>
      </c>
      <c r="J8" s="151" t="s">
        <v>823</v>
      </c>
      <c r="K8" s="151"/>
    </row>
    <row r="9" spans="1:11" ht="20" x14ac:dyDescent="0.4">
      <c r="A9" s="151">
        <v>983671</v>
      </c>
      <c r="B9" s="151" t="s">
        <v>825</v>
      </c>
      <c r="C9" s="151"/>
      <c r="D9" s="153">
        <v>4.49</v>
      </c>
      <c r="E9" s="153">
        <v>2.99</v>
      </c>
      <c r="F9" s="151"/>
      <c r="G9" s="151" t="s">
        <v>688</v>
      </c>
      <c r="H9" s="151" t="s">
        <v>662</v>
      </c>
      <c r="I9" s="152">
        <v>44824</v>
      </c>
      <c r="J9" s="151" t="s">
        <v>27</v>
      </c>
      <c r="K9" s="151"/>
    </row>
    <row r="10" spans="1:11" ht="20" x14ac:dyDescent="0.4">
      <c r="A10" s="151">
        <v>988020</v>
      </c>
      <c r="B10" s="151" t="s">
        <v>78</v>
      </c>
      <c r="C10" s="151"/>
      <c r="D10" s="153">
        <v>3.49</v>
      </c>
      <c r="E10" s="153">
        <v>2.4900000000000002</v>
      </c>
      <c r="F10" s="151"/>
      <c r="G10" s="151" t="s">
        <v>6</v>
      </c>
      <c r="H10" s="151" t="s">
        <v>7</v>
      </c>
      <c r="I10" s="152">
        <v>44824</v>
      </c>
      <c r="J10" s="151" t="s">
        <v>27</v>
      </c>
      <c r="K10" s="151"/>
    </row>
    <row r="11" spans="1:11" ht="20" x14ac:dyDescent="0.4">
      <c r="A11" s="151">
        <v>985605</v>
      </c>
      <c r="B11" s="151" t="s">
        <v>826</v>
      </c>
      <c r="C11" s="151"/>
      <c r="D11" s="153">
        <v>1.39</v>
      </c>
      <c r="E11" s="153">
        <v>0.99</v>
      </c>
      <c r="F11" s="151"/>
      <c r="G11" s="151" t="s">
        <v>6</v>
      </c>
      <c r="H11" s="151" t="s">
        <v>7</v>
      </c>
      <c r="I11" s="152">
        <v>44824</v>
      </c>
      <c r="J11" s="151" t="s">
        <v>805</v>
      </c>
      <c r="K11" s="151"/>
    </row>
    <row r="12" spans="1:11" ht="18" x14ac:dyDescent="0.4">
      <c r="A12" s="58"/>
      <c r="B12" s="58" t="s">
        <v>132</v>
      </c>
      <c r="C12" s="58"/>
      <c r="D12" s="58"/>
      <c r="E12" s="58"/>
      <c r="F12" s="58"/>
      <c r="G12" s="58"/>
      <c r="H12" s="58"/>
      <c r="I12" s="58"/>
      <c r="J12" s="58"/>
      <c r="K12" s="58"/>
    </row>
    <row r="13" spans="1:11" ht="20" x14ac:dyDescent="0.4">
      <c r="A13" s="59"/>
      <c r="B13" s="60" t="s">
        <v>221</v>
      </c>
      <c r="C13" s="59"/>
      <c r="D13" s="72"/>
      <c r="E13" s="72"/>
      <c r="F13" s="59"/>
      <c r="G13" s="59"/>
      <c r="H13" s="59"/>
      <c r="I13" s="59"/>
      <c r="J13" s="59"/>
      <c r="K13" s="59"/>
    </row>
    <row r="14" spans="1:11" ht="20" x14ac:dyDescent="0.4">
      <c r="A14" s="13">
        <v>995076</v>
      </c>
      <c r="B14" s="13" t="s">
        <v>26</v>
      </c>
      <c r="C14" s="13" t="s">
        <v>462</v>
      </c>
      <c r="D14" s="73"/>
      <c r="E14" s="73">
        <v>3.13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995165</v>
      </c>
      <c r="B15" s="13" t="s">
        <v>758</v>
      </c>
      <c r="C15" s="13" t="s">
        <v>462</v>
      </c>
      <c r="D15" s="73"/>
      <c r="E15" s="73">
        <v>3.89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995035</v>
      </c>
      <c r="B16" s="13" t="s">
        <v>55</v>
      </c>
      <c r="C16" s="13" t="s">
        <v>462</v>
      </c>
      <c r="D16" s="73"/>
      <c r="E16" s="73">
        <v>2.99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988703</v>
      </c>
      <c r="B17" s="13" t="s">
        <v>600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995006</v>
      </c>
      <c r="B18" s="13" t="s">
        <v>57</v>
      </c>
      <c r="C18" s="13" t="s">
        <v>462</v>
      </c>
      <c r="D18" s="73"/>
      <c r="E18" s="73">
        <v>2.4900000000000002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995154</v>
      </c>
      <c r="B19" s="13" t="s">
        <v>751</v>
      </c>
      <c r="C19" s="13" t="s">
        <v>462</v>
      </c>
      <c r="D19" s="73"/>
      <c r="E19" s="73">
        <v>2.98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995022</v>
      </c>
      <c r="B20" s="13" t="s">
        <v>60</v>
      </c>
      <c r="C20" s="13" t="s">
        <v>462</v>
      </c>
      <c r="D20" s="73"/>
      <c r="E20" s="73">
        <v>1.99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995211</v>
      </c>
      <c r="B21" s="13" t="s">
        <v>784</v>
      </c>
      <c r="C21" s="13" t="s">
        <v>462</v>
      </c>
      <c r="D21" s="73"/>
      <c r="E21" s="73">
        <v>2.75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995195</v>
      </c>
      <c r="B22" s="13" t="s">
        <v>723</v>
      </c>
      <c r="C22" s="13" t="s">
        <v>462</v>
      </c>
      <c r="D22" s="73"/>
      <c r="E22" s="73">
        <v>2.99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995197</v>
      </c>
      <c r="B23" s="13" t="s">
        <v>806</v>
      </c>
      <c r="C23" s="13" t="s">
        <v>462</v>
      </c>
      <c r="D23" s="73"/>
      <c r="E23" s="73">
        <v>0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995198</v>
      </c>
      <c r="B24" s="13" t="s">
        <v>807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995032</v>
      </c>
      <c r="B25" s="13" t="s">
        <v>61</v>
      </c>
      <c r="C25" s="13" t="s">
        <v>462</v>
      </c>
      <c r="D25" s="73"/>
      <c r="E25" s="73">
        <v>3.49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995070</v>
      </c>
      <c r="B26" s="13" t="s">
        <v>437</v>
      </c>
      <c r="C26" s="13" t="s">
        <v>462</v>
      </c>
      <c r="D26" s="73"/>
      <c r="E26" s="73">
        <v>3.13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995138</v>
      </c>
      <c r="B27" s="13" t="s">
        <v>465</v>
      </c>
      <c r="C27" s="13" t="s">
        <v>462</v>
      </c>
      <c r="D27" s="73"/>
      <c r="E27" s="73">
        <v>3.98</v>
      </c>
      <c r="F27" s="13" t="s">
        <v>40</v>
      </c>
      <c r="G27" s="13"/>
      <c r="H27" s="13"/>
      <c r="I27" s="13"/>
      <c r="J27" s="13"/>
      <c r="K27" s="13"/>
    </row>
    <row r="28" spans="1:11" ht="40" x14ac:dyDescent="0.4">
      <c r="A28" s="117">
        <v>995000</v>
      </c>
      <c r="B28" s="117" t="s">
        <v>83</v>
      </c>
      <c r="C28" s="117" t="s">
        <v>462</v>
      </c>
      <c r="D28" s="118">
        <v>2.73</v>
      </c>
      <c r="E28" s="118">
        <v>1.64</v>
      </c>
      <c r="F28" s="117" t="s">
        <v>40</v>
      </c>
      <c r="G28" s="117" t="s">
        <v>6</v>
      </c>
      <c r="H28" s="117" t="s">
        <v>41</v>
      </c>
      <c r="I28" s="147">
        <v>44820</v>
      </c>
      <c r="J28" s="117"/>
      <c r="K28" s="13"/>
    </row>
    <row r="29" spans="1:11" ht="20" x14ac:dyDescent="0.4">
      <c r="A29" s="117">
        <v>995005</v>
      </c>
      <c r="B29" s="117" t="s">
        <v>56</v>
      </c>
      <c r="C29" s="117" t="s">
        <v>462</v>
      </c>
      <c r="D29" s="118">
        <v>1.07</v>
      </c>
      <c r="E29" s="118">
        <v>1.78</v>
      </c>
      <c r="F29" s="117" t="s">
        <v>40</v>
      </c>
      <c r="G29" s="117" t="s">
        <v>51</v>
      </c>
      <c r="H29" s="117" t="s">
        <v>52</v>
      </c>
      <c r="I29" s="117"/>
      <c r="J29" s="117"/>
      <c r="K29" s="13"/>
    </row>
    <row r="30" spans="1:11" ht="20" x14ac:dyDescent="0.4">
      <c r="A30" s="117">
        <v>995210</v>
      </c>
      <c r="B30" s="117" t="s">
        <v>783</v>
      </c>
      <c r="C30" s="117" t="s">
        <v>462</v>
      </c>
      <c r="D30" s="118">
        <v>1.79</v>
      </c>
      <c r="E30" s="118">
        <v>2.98</v>
      </c>
      <c r="F30" s="117" t="s">
        <v>40</v>
      </c>
      <c r="G30" s="117" t="s">
        <v>51</v>
      </c>
      <c r="H30" s="117" t="s">
        <v>52</v>
      </c>
      <c r="I30" s="117"/>
      <c r="J30" s="117"/>
      <c r="K30" s="13"/>
    </row>
    <row r="31" spans="1:11" ht="20" x14ac:dyDescent="0.4">
      <c r="A31" s="13">
        <v>995100</v>
      </c>
      <c r="B31" s="13" t="s">
        <v>367</v>
      </c>
      <c r="C31" s="13" t="s">
        <v>462</v>
      </c>
      <c r="D31" s="73"/>
      <c r="E31" s="73">
        <v>3.49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995180</v>
      </c>
      <c r="B32" s="13" t="s">
        <v>691</v>
      </c>
      <c r="C32" s="13" t="s">
        <v>462</v>
      </c>
      <c r="D32" s="73"/>
      <c r="E32" s="73">
        <v>4.49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995021</v>
      </c>
      <c r="B33" s="13" t="s">
        <v>63</v>
      </c>
      <c r="C33" s="13"/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995101</v>
      </c>
      <c r="B34" s="13" t="s">
        <v>149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995207</v>
      </c>
      <c r="B35" s="13" t="s">
        <v>808</v>
      </c>
      <c r="C35" s="13" t="s">
        <v>462</v>
      </c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40" x14ac:dyDescent="0.4">
      <c r="A36" s="117">
        <v>995108</v>
      </c>
      <c r="B36" s="117" t="s">
        <v>714</v>
      </c>
      <c r="C36" s="117"/>
      <c r="D36" s="118">
        <v>3.49</v>
      </c>
      <c r="E36" s="118">
        <v>2.09</v>
      </c>
      <c r="F36" s="117" t="s">
        <v>40</v>
      </c>
      <c r="G36" s="117" t="s">
        <v>6</v>
      </c>
      <c r="H36" s="117" t="s">
        <v>41</v>
      </c>
      <c r="I36" s="147">
        <v>44820</v>
      </c>
      <c r="J36" s="117"/>
      <c r="K36" s="13"/>
    </row>
    <row r="37" spans="1:11" ht="20" x14ac:dyDescent="0.4">
      <c r="A37" s="117">
        <v>995111</v>
      </c>
      <c r="B37" s="117" t="s">
        <v>772</v>
      </c>
      <c r="C37" s="117" t="s">
        <v>462</v>
      </c>
      <c r="D37" s="118">
        <v>2.09</v>
      </c>
      <c r="E37" s="118">
        <v>3.49</v>
      </c>
      <c r="F37" s="117" t="s">
        <v>40</v>
      </c>
      <c r="G37" s="117" t="s">
        <v>51</v>
      </c>
      <c r="H37" s="117" t="s">
        <v>52</v>
      </c>
      <c r="I37" s="117"/>
      <c r="J37" s="117"/>
      <c r="K37" s="13"/>
    </row>
    <row r="38" spans="1:11" ht="40" x14ac:dyDescent="0.4">
      <c r="A38" s="13">
        <v>995015</v>
      </c>
      <c r="B38" s="13" t="s">
        <v>711</v>
      </c>
      <c r="C38" s="13"/>
      <c r="D38" s="73">
        <v>3.47</v>
      </c>
      <c r="E38" s="73">
        <v>2.08</v>
      </c>
      <c r="F38" s="13" t="s">
        <v>40</v>
      </c>
      <c r="G38" s="13"/>
      <c r="H38" s="13" t="s">
        <v>41</v>
      </c>
      <c r="I38" s="13"/>
      <c r="J38" s="13"/>
      <c r="K38" s="13"/>
    </row>
    <row r="39" spans="1:11" ht="20" x14ac:dyDescent="0.4">
      <c r="A39" s="13">
        <v>995012</v>
      </c>
      <c r="B39" s="13" t="s">
        <v>699</v>
      </c>
      <c r="C39" s="13"/>
      <c r="D39" s="73"/>
      <c r="E39" s="73">
        <v>3.47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995067</v>
      </c>
      <c r="B40" s="13" t="s">
        <v>42</v>
      </c>
      <c r="C40" s="13" t="s">
        <v>462</v>
      </c>
      <c r="D40" s="73"/>
      <c r="E40" s="73">
        <v>3.13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995068</v>
      </c>
      <c r="B41" s="13" t="s">
        <v>43</v>
      </c>
      <c r="C41" s="13" t="s">
        <v>462</v>
      </c>
      <c r="D41" s="73"/>
      <c r="E41" s="73">
        <v>2.85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995140</v>
      </c>
      <c r="B42" s="13" t="s">
        <v>782</v>
      </c>
      <c r="C42" s="13" t="s">
        <v>462</v>
      </c>
      <c r="D42" s="73"/>
      <c r="E42" s="73">
        <v>5.13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995137</v>
      </c>
      <c r="B43" s="13" t="s">
        <v>464</v>
      </c>
      <c r="C43" s="13" t="s">
        <v>462</v>
      </c>
      <c r="D43" s="73"/>
      <c r="E43" s="73">
        <v>3.98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995026</v>
      </c>
      <c r="B44" s="13" t="s">
        <v>50</v>
      </c>
      <c r="C44" s="13" t="s">
        <v>462</v>
      </c>
      <c r="D44" s="73"/>
      <c r="E44" s="73">
        <v>2.29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995008</v>
      </c>
      <c r="B45" s="13" t="s">
        <v>58</v>
      </c>
      <c r="C45" s="13"/>
      <c r="D45" s="73"/>
      <c r="E45" s="73">
        <v>1.98</v>
      </c>
      <c r="F45" s="13" t="s">
        <v>40</v>
      </c>
      <c r="G45" s="13"/>
      <c r="H45" s="13"/>
      <c r="I45" s="13"/>
      <c r="J45" s="13"/>
      <c r="K45" s="13"/>
    </row>
    <row r="46" spans="1:11" ht="20" x14ac:dyDescent="0.4">
      <c r="A46" s="13">
        <v>995004</v>
      </c>
      <c r="B46" s="13" t="s">
        <v>59</v>
      </c>
      <c r="C46" s="13" t="s">
        <v>462</v>
      </c>
      <c r="D46" s="73"/>
      <c r="E46" s="73">
        <v>3.47</v>
      </c>
      <c r="F46" s="13" t="s">
        <v>40</v>
      </c>
      <c r="G46" s="13"/>
      <c r="H46" s="13"/>
      <c r="I46" s="13"/>
      <c r="J46" s="13"/>
      <c r="K46" s="13"/>
    </row>
    <row r="47" spans="1:11" ht="40" x14ac:dyDescent="0.4">
      <c r="A47" s="117">
        <v>995018</v>
      </c>
      <c r="B47" s="117" t="s">
        <v>450</v>
      </c>
      <c r="C47" s="117" t="s">
        <v>462</v>
      </c>
      <c r="D47" s="118">
        <v>2.4900000000000002</v>
      </c>
      <c r="E47" s="118">
        <v>5.34</v>
      </c>
      <c r="F47" s="117" t="s">
        <v>40</v>
      </c>
      <c r="G47" s="117" t="s">
        <v>51</v>
      </c>
      <c r="H47" s="117" t="s">
        <v>52</v>
      </c>
      <c r="I47" s="117"/>
      <c r="J47" s="117" t="s">
        <v>839</v>
      </c>
      <c r="K47" s="13"/>
    </row>
    <row r="48" spans="1:11" ht="20" x14ac:dyDescent="0.4">
      <c r="A48" s="13">
        <v>995011</v>
      </c>
      <c r="B48" s="13" t="s">
        <v>579</v>
      </c>
      <c r="C48" s="13" t="s">
        <v>462</v>
      </c>
      <c r="D48" s="73"/>
      <c r="E48" s="73">
        <v>3.47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995019</v>
      </c>
      <c r="B49" s="13" t="s">
        <v>580</v>
      </c>
      <c r="C49" s="13" t="s">
        <v>462</v>
      </c>
      <c r="D49" s="73"/>
      <c r="E49" s="73">
        <v>5.34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995212</v>
      </c>
      <c r="B50" s="13" t="s">
        <v>750</v>
      </c>
      <c r="C50" s="13" t="s">
        <v>462</v>
      </c>
      <c r="D50" s="73"/>
      <c r="E50" s="73">
        <v>3.47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995181</v>
      </c>
      <c r="B51" s="13" t="s">
        <v>661</v>
      </c>
      <c r="C51" s="13" t="s">
        <v>462</v>
      </c>
      <c r="D51" s="73"/>
      <c r="E51" s="73">
        <v>4.49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995179</v>
      </c>
      <c r="B52" s="13" t="s">
        <v>660</v>
      </c>
      <c r="C52" s="13" t="s">
        <v>462</v>
      </c>
      <c r="D52" s="73"/>
      <c r="E52" s="73">
        <v>4.49</v>
      </c>
      <c r="F52" s="13" t="s">
        <v>40</v>
      </c>
      <c r="G52" s="13"/>
      <c r="H52" s="13"/>
      <c r="I52" s="13"/>
      <c r="J52" s="13"/>
      <c r="K52" s="13"/>
    </row>
    <row r="53" spans="1:11" ht="20" x14ac:dyDescent="0.4">
      <c r="A53" s="13">
        <v>995069</v>
      </c>
      <c r="B53" s="13" t="s">
        <v>422</v>
      </c>
      <c r="C53" s="13" t="s">
        <v>462</v>
      </c>
      <c r="D53" s="73"/>
      <c r="E53" s="73">
        <v>3.13</v>
      </c>
      <c r="F53" s="13" t="s">
        <v>40</v>
      </c>
      <c r="G53" s="13"/>
      <c r="H53" s="13"/>
      <c r="I53" s="13"/>
      <c r="J53" s="13"/>
      <c r="K53" s="13"/>
    </row>
    <row r="54" spans="1:11" ht="40" x14ac:dyDescent="0.4">
      <c r="A54" s="13">
        <v>995131</v>
      </c>
      <c r="B54" s="13" t="s">
        <v>397</v>
      </c>
      <c r="C54" s="13"/>
      <c r="D54" s="73"/>
      <c r="E54" s="73">
        <v>3.13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995133</v>
      </c>
      <c r="B55" s="13" t="s">
        <v>398</v>
      </c>
      <c r="C55" s="13" t="s">
        <v>462</v>
      </c>
      <c r="D55" s="73"/>
      <c r="E55" s="73">
        <v>2.89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17">
        <v>995027</v>
      </c>
      <c r="B56" s="117" t="s">
        <v>426</v>
      </c>
      <c r="C56" s="117" t="s">
        <v>462</v>
      </c>
      <c r="D56" s="118">
        <v>2.69</v>
      </c>
      <c r="E56" s="118">
        <v>4.49</v>
      </c>
      <c r="F56" s="117" t="s">
        <v>40</v>
      </c>
      <c r="G56" s="117" t="s">
        <v>51</v>
      </c>
      <c r="H56" s="117" t="s">
        <v>52</v>
      </c>
      <c r="I56" s="117"/>
      <c r="J56" s="117"/>
      <c r="K56" s="13"/>
    </row>
    <row r="57" spans="1:11" ht="20" x14ac:dyDescent="0.4">
      <c r="A57" s="13">
        <v>995001</v>
      </c>
      <c r="B57" s="13" t="s">
        <v>433</v>
      </c>
      <c r="C57" s="13" t="s">
        <v>462</v>
      </c>
      <c r="D57" s="73"/>
      <c r="E57" s="73">
        <v>2.72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995164</v>
      </c>
      <c r="B58" s="13" t="s">
        <v>637</v>
      </c>
      <c r="C58" s="13" t="s">
        <v>462</v>
      </c>
      <c r="D58" s="73"/>
      <c r="E58" s="73">
        <v>2.2799999999999998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995014</v>
      </c>
      <c r="B59" s="13" t="s">
        <v>65</v>
      </c>
      <c r="C59" s="13" t="s">
        <v>462</v>
      </c>
      <c r="D59" s="73"/>
      <c r="E59" s="73">
        <v>3.47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995077</v>
      </c>
      <c r="B60" s="13" t="s">
        <v>46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995078</v>
      </c>
      <c r="B61" s="13" t="s">
        <v>47</v>
      </c>
      <c r="C61" s="13" t="s">
        <v>462</v>
      </c>
      <c r="D61" s="73"/>
      <c r="E61" s="73">
        <v>5.13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985160</v>
      </c>
      <c r="B62" s="13" t="s">
        <v>53</v>
      </c>
      <c r="C62" s="13"/>
      <c r="D62" s="73"/>
      <c r="E62" s="73">
        <v>2.98</v>
      </c>
      <c r="F62" s="13" t="s">
        <v>40</v>
      </c>
      <c r="G62" s="13"/>
      <c r="H62" s="13"/>
      <c r="I62" s="13"/>
      <c r="J62" s="13"/>
      <c r="K62" s="13"/>
    </row>
    <row r="63" spans="1:11" ht="20" x14ac:dyDescent="0.4">
      <c r="A63" s="13">
        <v>985190</v>
      </c>
      <c r="B63" s="13" t="s">
        <v>458</v>
      </c>
      <c r="C63" s="13"/>
      <c r="D63" s="73"/>
      <c r="E63" s="73">
        <v>3.19</v>
      </c>
      <c r="F63" s="13" t="s">
        <v>40</v>
      </c>
      <c r="G63" s="13"/>
      <c r="H63" s="13"/>
      <c r="I63" s="13"/>
      <c r="J63" s="13"/>
      <c r="K63" s="13"/>
    </row>
    <row r="64" spans="1:11" ht="20" x14ac:dyDescent="0.4">
      <c r="A64" s="13">
        <v>985060</v>
      </c>
      <c r="B64" s="13" t="s">
        <v>453</v>
      </c>
      <c r="C64" s="13"/>
      <c r="D64" s="73"/>
      <c r="E64" s="73">
        <v>1.55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985011</v>
      </c>
      <c r="B65" s="13" t="s">
        <v>54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985111</v>
      </c>
      <c r="B66" s="13" t="s">
        <v>399</v>
      </c>
      <c r="C66" s="13"/>
      <c r="D66" s="73"/>
      <c r="E66" s="73">
        <v>2.48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995147</v>
      </c>
      <c r="B67" s="13" t="s">
        <v>456</v>
      </c>
      <c r="C67" s="13" t="s">
        <v>462</v>
      </c>
      <c r="D67" s="73"/>
      <c r="E67" s="73">
        <v>2.84</v>
      </c>
      <c r="F67" s="13" t="s">
        <v>40</v>
      </c>
      <c r="G67" s="13"/>
      <c r="H67" s="13"/>
      <c r="I67" s="13"/>
      <c r="J67" s="13"/>
      <c r="K67" s="13"/>
    </row>
    <row r="68" spans="1:11" ht="20" x14ac:dyDescent="0.4">
      <c r="A68" s="13">
        <v>987592</v>
      </c>
      <c r="B68" s="13" t="s">
        <v>636</v>
      </c>
      <c r="C68" s="13" t="s">
        <v>462</v>
      </c>
      <c r="D68" s="73"/>
      <c r="E68" s="73">
        <v>1.77</v>
      </c>
      <c r="F68" s="13" t="s">
        <v>40</v>
      </c>
      <c r="G68" s="13"/>
      <c r="H68" s="13"/>
      <c r="I68" s="13"/>
      <c r="J68" s="13"/>
      <c r="K68" s="13"/>
    </row>
    <row r="69" spans="1:11" ht="40" x14ac:dyDescent="0.4">
      <c r="A69" s="13">
        <v>987594</v>
      </c>
      <c r="B69" s="13" t="s">
        <v>448</v>
      </c>
      <c r="C69" s="13"/>
      <c r="D69" s="73"/>
      <c r="E69" s="73">
        <v>0</v>
      </c>
      <c r="F69" s="13" t="s">
        <v>40</v>
      </c>
      <c r="G69" s="13"/>
      <c r="H69" s="13" t="s">
        <v>472</v>
      </c>
      <c r="I69" s="13"/>
      <c r="J69" s="13"/>
      <c r="K69" s="13"/>
    </row>
    <row r="70" spans="1:11" ht="20" x14ac:dyDescent="0.4">
      <c r="A70" s="13">
        <v>987591</v>
      </c>
      <c r="B70" s="13" t="s">
        <v>67</v>
      </c>
      <c r="C70" s="13"/>
      <c r="D70" s="73"/>
      <c r="E70" s="73">
        <v>1.98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987614</v>
      </c>
      <c r="B71" s="13" t="s">
        <v>25</v>
      </c>
      <c r="C71" s="13"/>
      <c r="D71" s="73"/>
      <c r="E71" s="73">
        <v>1.39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995045</v>
      </c>
      <c r="B72" s="13" t="s">
        <v>424</v>
      </c>
      <c r="C72" s="13"/>
      <c r="D72" s="73"/>
      <c r="E72" s="73">
        <v>4.17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995051</v>
      </c>
      <c r="B73" s="13" t="s">
        <v>87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995053</v>
      </c>
      <c r="B74" s="13" t="s">
        <v>86</v>
      </c>
      <c r="C74" s="13"/>
      <c r="D74" s="73"/>
      <c r="E74" s="73">
        <v>5.19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995158</v>
      </c>
      <c r="B75" s="13" t="s">
        <v>605</v>
      </c>
      <c r="C75" s="13"/>
      <c r="D75" s="73"/>
      <c r="E75" s="73">
        <v>4.49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989088</v>
      </c>
      <c r="B76" s="13" t="s">
        <v>85</v>
      </c>
      <c r="C76" s="13"/>
      <c r="D76" s="73"/>
      <c r="E76" s="73">
        <v>0.88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989089</v>
      </c>
      <c r="B77" s="13" t="s">
        <v>84</v>
      </c>
      <c r="C77" s="13"/>
      <c r="D77" s="73"/>
      <c r="E77" s="73">
        <v>0.85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995106</v>
      </c>
      <c r="B78" s="13" t="s">
        <v>153</v>
      </c>
      <c r="C78" s="13"/>
      <c r="D78" s="73"/>
      <c r="E78" s="73">
        <v>2.98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995084</v>
      </c>
      <c r="B79" s="13" t="s">
        <v>48</v>
      </c>
      <c r="C79" s="13"/>
      <c r="D79" s="73"/>
      <c r="E79" s="73">
        <v>2.78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995192</v>
      </c>
      <c r="B80" s="13" t="s">
        <v>706</v>
      </c>
      <c r="C80" s="13" t="s">
        <v>462</v>
      </c>
      <c r="D80" s="73"/>
      <c r="E80" s="73">
        <v>6.18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995046</v>
      </c>
      <c r="B81" s="13" t="s">
        <v>425</v>
      </c>
      <c r="C81" s="13"/>
      <c r="D81" s="73"/>
      <c r="E81" s="73">
        <v>2.78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995177</v>
      </c>
      <c r="B82" s="13" t="s">
        <v>635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995194</v>
      </c>
      <c r="B83" s="13" t="s">
        <v>696</v>
      </c>
      <c r="C83" s="13" t="s">
        <v>462</v>
      </c>
      <c r="D83" s="73"/>
      <c r="E83" s="73">
        <v>4.49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995123</v>
      </c>
      <c r="B84" s="13" t="s">
        <v>601</v>
      </c>
      <c r="C84" s="13" t="s">
        <v>462</v>
      </c>
      <c r="D84" s="73"/>
      <c r="E84" s="73">
        <v>2.78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995097</v>
      </c>
      <c r="B85" s="13" t="s">
        <v>394</v>
      </c>
      <c r="C85" s="13"/>
      <c r="D85" s="73"/>
      <c r="E85" s="73">
        <v>2.39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987691</v>
      </c>
      <c r="B86" s="13" t="s">
        <v>77</v>
      </c>
      <c r="C86" s="13" t="s">
        <v>462</v>
      </c>
      <c r="D86" s="73"/>
      <c r="E86" s="73">
        <v>3.69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987690</v>
      </c>
      <c r="B87" s="13" t="s">
        <v>105</v>
      </c>
      <c r="C87" s="13" t="s">
        <v>462</v>
      </c>
      <c r="D87" s="73"/>
      <c r="E87" s="73">
        <v>3.29</v>
      </c>
      <c r="F87" s="13" t="s">
        <v>40</v>
      </c>
      <c r="G87" s="13"/>
      <c r="H87" s="13"/>
      <c r="I87" s="13"/>
      <c r="J87" s="13"/>
      <c r="K87" s="13"/>
    </row>
    <row r="88" spans="1:11" ht="40" x14ac:dyDescent="0.4">
      <c r="A88" s="117">
        <v>995085</v>
      </c>
      <c r="B88" s="117" t="s">
        <v>49</v>
      </c>
      <c r="C88" s="117" t="s">
        <v>462</v>
      </c>
      <c r="D88" s="118">
        <v>2.78</v>
      </c>
      <c r="E88" s="118">
        <v>1.67</v>
      </c>
      <c r="F88" s="117" t="s">
        <v>40</v>
      </c>
      <c r="G88" s="117" t="s">
        <v>6</v>
      </c>
      <c r="H88" s="117" t="s">
        <v>41</v>
      </c>
      <c r="I88" s="147">
        <v>44820</v>
      </c>
      <c r="J88" s="117"/>
      <c r="K88" s="13"/>
    </row>
    <row r="89" spans="1:11" ht="20" x14ac:dyDescent="0.4">
      <c r="A89" s="13">
        <v>995166</v>
      </c>
      <c r="B89" s="13" t="s">
        <v>602</v>
      </c>
      <c r="C89" s="13" t="s">
        <v>462</v>
      </c>
      <c r="D89" s="73"/>
      <c r="E89" s="73">
        <v>2.78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995184</v>
      </c>
      <c r="B90" s="13" t="s">
        <v>671</v>
      </c>
      <c r="C90" s="13" t="s">
        <v>462</v>
      </c>
      <c r="D90" s="73"/>
      <c r="E90" s="73">
        <v>2.5</v>
      </c>
      <c r="F90" s="13" t="s">
        <v>40</v>
      </c>
      <c r="G90" s="13"/>
      <c r="H90" s="13" t="s">
        <v>62</v>
      </c>
      <c r="I90" s="13"/>
      <c r="J90" s="13"/>
      <c r="K90" s="13"/>
    </row>
    <row r="91" spans="1:11" ht="20" x14ac:dyDescent="0.4">
      <c r="A91" s="13">
        <v>986250</v>
      </c>
      <c r="B91" s="13" t="s">
        <v>24</v>
      </c>
      <c r="C91" s="13"/>
      <c r="D91" s="73"/>
      <c r="E91" s="73">
        <v>2.99</v>
      </c>
      <c r="F91" s="13" t="s">
        <v>40</v>
      </c>
      <c r="G91" s="13"/>
      <c r="H91" s="13"/>
      <c r="I91" s="13"/>
      <c r="J91" s="13"/>
      <c r="K91" s="13"/>
    </row>
    <row r="92" spans="1:11" ht="20" x14ac:dyDescent="0.4">
      <c r="A92" s="13">
        <v>986270</v>
      </c>
      <c r="B92" s="13" t="s">
        <v>76</v>
      </c>
      <c r="C92" s="13"/>
      <c r="D92" s="73"/>
      <c r="E92" s="73">
        <v>3.99</v>
      </c>
      <c r="F92" s="13" t="s">
        <v>40</v>
      </c>
      <c r="G92" s="13"/>
      <c r="H92" s="13"/>
      <c r="I92" s="13"/>
      <c r="J92" s="13"/>
      <c r="K92" s="13"/>
    </row>
    <row r="93" spans="1:11" ht="40" x14ac:dyDescent="0.4">
      <c r="A93" s="13">
        <v>995200</v>
      </c>
      <c r="B93" s="13" t="s">
        <v>749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995201</v>
      </c>
      <c r="B94" s="13" t="s">
        <v>747</v>
      </c>
      <c r="C94" s="13"/>
      <c r="D94" s="73"/>
      <c r="E94" s="73">
        <v>4.99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995104</v>
      </c>
      <c r="B95" s="13" t="s">
        <v>150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995103</v>
      </c>
      <c r="B96" s="13" t="s">
        <v>151</v>
      </c>
      <c r="C96" s="13" t="s">
        <v>462</v>
      </c>
      <c r="D96" s="73"/>
      <c r="E96" s="73">
        <v>2.98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995009</v>
      </c>
      <c r="B97" s="13" t="s">
        <v>64</v>
      </c>
      <c r="C97" s="13" t="s">
        <v>462</v>
      </c>
      <c r="D97" s="73"/>
      <c r="E97" s="73">
        <v>1.59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995072</v>
      </c>
      <c r="B98" s="13" t="s">
        <v>45</v>
      </c>
      <c r="C98" s="13" t="s">
        <v>462</v>
      </c>
      <c r="D98" s="73"/>
      <c r="E98" s="73">
        <v>2.09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995071</v>
      </c>
      <c r="B99" s="13" t="s">
        <v>44</v>
      </c>
      <c r="C99" s="13" t="s">
        <v>462</v>
      </c>
      <c r="D99" s="73"/>
      <c r="E99" s="73">
        <v>2.78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988545</v>
      </c>
      <c r="B100" s="13" t="s">
        <v>670</v>
      </c>
      <c r="C100" s="13" t="s">
        <v>462</v>
      </c>
      <c r="D100" s="73"/>
      <c r="E100" s="73">
        <v>3.29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995086</v>
      </c>
      <c r="B101" s="13" t="s">
        <v>463</v>
      </c>
      <c r="C101" s="13" t="s">
        <v>462</v>
      </c>
      <c r="D101" s="73"/>
      <c r="E101" s="73">
        <v>6.18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985861</v>
      </c>
      <c r="B102" s="13" t="s">
        <v>619</v>
      </c>
      <c r="C102" s="13"/>
      <c r="D102" s="73"/>
      <c r="E102" s="73">
        <v>0.85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988760</v>
      </c>
      <c r="B103" s="13" t="s">
        <v>68</v>
      </c>
      <c r="C103" s="13"/>
      <c r="D103" s="73"/>
      <c r="E103" s="73">
        <v>2.99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986293</v>
      </c>
      <c r="B104" s="13" t="s">
        <v>630</v>
      </c>
      <c r="C104" s="13"/>
      <c r="D104" s="73"/>
      <c r="E104" s="73">
        <v>3.72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986231</v>
      </c>
      <c r="B105" s="13" t="s">
        <v>781</v>
      </c>
      <c r="C105" s="13"/>
      <c r="D105" s="73"/>
      <c r="E105" s="73">
        <v>3.98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987692</v>
      </c>
      <c r="B106" s="13" t="s">
        <v>79</v>
      </c>
      <c r="C106" s="13"/>
      <c r="D106" s="73"/>
      <c r="E106" s="73">
        <v>1.94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995176</v>
      </c>
      <c r="B107" s="13" t="s">
        <v>729</v>
      </c>
      <c r="C107" s="13" t="s">
        <v>462</v>
      </c>
      <c r="D107" s="73"/>
      <c r="E107" s="73">
        <v>3.69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995178</v>
      </c>
      <c r="B108" s="13" t="s">
        <v>704</v>
      </c>
      <c r="C108" s="13" t="s">
        <v>462</v>
      </c>
      <c r="D108" s="73"/>
      <c r="E108" s="73">
        <v>4.6900000000000004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995152</v>
      </c>
      <c r="B109" s="13" t="s">
        <v>568</v>
      </c>
      <c r="C109" s="13" t="s">
        <v>462</v>
      </c>
      <c r="D109" s="73"/>
      <c r="E109" s="73">
        <v>2.99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988970</v>
      </c>
      <c r="B110" s="13" t="s">
        <v>71</v>
      </c>
      <c r="C110" s="13" t="s">
        <v>462</v>
      </c>
      <c r="D110" s="73"/>
      <c r="E110" s="73">
        <v>2.33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988810</v>
      </c>
      <c r="B111" s="13" t="s">
        <v>75</v>
      </c>
      <c r="C111" s="13" t="s">
        <v>462</v>
      </c>
      <c r="D111" s="73"/>
      <c r="E111" s="73">
        <v>2.08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988850</v>
      </c>
      <c r="B112" s="13" t="s">
        <v>69</v>
      </c>
      <c r="C112" s="13" t="s">
        <v>462</v>
      </c>
      <c r="D112" s="73"/>
      <c r="E112" s="73">
        <v>2.1800000000000002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988890</v>
      </c>
      <c r="B113" s="13" t="s">
        <v>72</v>
      </c>
      <c r="C113" s="13"/>
      <c r="D113" s="73"/>
      <c r="E113" s="73">
        <v>2.54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988930</v>
      </c>
      <c r="B114" s="13" t="s">
        <v>73</v>
      </c>
      <c r="C114" s="13" t="s">
        <v>462</v>
      </c>
      <c r="D114" s="73"/>
      <c r="E114" s="73">
        <v>2.67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989007</v>
      </c>
      <c r="B115" s="13" t="s">
        <v>613</v>
      </c>
      <c r="C115" s="13" t="s">
        <v>462</v>
      </c>
      <c r="D115" s="73"/>
      <c r="E115" s="73">
        <v>3.79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985760</v>
      </c>
      <c r="B116" s="13" t="s">
        <v>70</v>
      </c>
      <c r="C116" s="13"/>
      <c r="D116" s="73"/>
      <c r="E116" s="73">
        <v>2.99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995144</v>
      </c>
      <c r="B117" s="13" t="s">
        <v>608</v>
      </c>
      <c r="C117" s="13"/>
      <c r="D117" s="73"/>
      <c r="E117" s="73">
        <v>4.18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988532</v>
      </c>
      <c r="B118" s="13" t="s">
        <v>571</v>
      </c>
      <c r="C118" s="13"/>
      <c r="D118" s="73"/>
      <c r="E118" s="73">
        <v>1.99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984831</v>
      </c>
      <c r="B119" s="13" t="s">
        <v>74</v>
      </c>
      <c r="C119" s="13"/>
      <c r="D119" s="73"/>
      <c r="E119" s="73">
        <v>2.99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983810</v>
      </c>
      <c r="B120" s="13" t="s">
        <v>748</v>
      </c>
      <c r="C120" s="13"/>
      <c r="D120" s="73"/>
      <c r="E120" s="73">
        <v>3.99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984080</v>
      </c>
      <c r="B121" s="13" t="s">
        <v>717</v>
      </c>
      <c r="C121" s="13"/>
      <c r="D121" s="73"/>
      <c r="E121" s="73">
        <v>4.9800000000000004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985997</v>
      </c>
      <c r="B122" s="13" t="s">
        <v>735</v>
      </c>
      <c r="C122" s="13" t="s">
        <v>462</v>
      </c>
      <c r="D122" s="73"/>
      <c r="E122" s="73">
        <v>3.99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995042</v>
      </c>
      <c r="B123" s="13" t="s">
        <v>443</v>
      </c>
      <c r="C123" s="13" t="s">
        <v>462</v>
      </c>
      <c r="D123" s="73"/>
      <c r="E123" s="73">
        <v>5.48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995116</v>
      </c>
      <c r="B124" s="13" t="s">
        <v>369</v>
      </c>
      <c r="C124" s="13" t="s">
        <v>462</v>
      </c>
      <c r="D124" s="73"/>
      <c r="E124" s="73">
        <v>2.99</v>
      </c>
      <c r="F124" s="13" t="s">
        <v>40</v>
      </c>
      <c r="G124" s="13"/>
      <c r="H124" s="13" t="s">
        <v>479</v>
      </c>
      <c r="I124" s="13"/>
      <c r="J124" s="13"/>
      <c r="K124" s="13"/>
    </row>
    <row r="125" spans="1:11" ht="20" x14ac:dyDescent="0.4">
      <c r="A125" s="13">
        <v>995102</v>
      </c>
      <c r="B125" s="13" t="s">
        <v>66</v>
      </c>
      <c r="C125" s="13" t="s">
        <v>462</v>
      </c>
      <c r="D125" s="73"/>
      <c r="E125" s="73">
        <v>3.97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995043</v>
      </c>
      <c r="B126" s="13" t="s">
        <v>446</v>
      </c>
      <c r="C126" s="13" t="s">
        <v>462</v>
      </c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995041</v>
      </c>
      <c r="B127" s="13" t="s">
        <v>442</v>
      </c>
      <c r="C127" s="13"/>
      <c r="D127" s="73"/>
      <c r="E127" s="73">
        <v>4.4800000000000004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995115</v>
      </c>
      <c r="B128" s="13" t="s">
        <v>368</v>
      </c>
      <c r="C128" s="13" t="s">
        <v>462</v>
      </c>
      <c r="D128" s="73"/>
      <c r="E128" s="73">
        <v>3.24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995150</v>
      </c>
      <c r="B129" s="13" t="s">
        <v>593</v>
      </c>
      <c r="C129" s="13" t="s">
        <v>462</v>
      </c>
      <c r="D129" s="73"/>
      <c r="E129" s="73">
        <v>2.98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983762</v>
      </c>
      <c r="B130" s="13" t="s">
        <v>789</v>
      </c>
      <c r="C130" s="13"/>
      <c r="D130" s="73"/>
      <c r="E130" s="73">
        <v>3.49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984582</v>
      </c>
      <c r="B131" s="13" t="s">
        <v>569</v>
      </c>
      <c r="C131" s="13"/>
      <c r="D131" s="73"/>
      <c r="E131" s="73">
        <v>4.8600000000000003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984541</v>
      </c>
      <c r="B132" s="13" t="s">
        <v>82</v>
      </c>
      <c r="C132" s="13"/>
      <c r="D132" s="73"/>
      <c r="E132" s="73">
        <v>3.18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984542</v>
      </c>
      <c r="B133" s="13" t="s">
        <v>421</v>
      </c>
      <c r="C133" s="13"/>
      <c r="D133" s="73"/>
      <c r="E133" s="73">
        <v>5.09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984500</v>
      </c>
      <c r="B134" s="13" t="s">
        <v>693</v>
      </c>
      <c r="C134" s="13"/>
      <c r="D134" s="73"/>
      <c r="E134" s="73">
        <v>3.86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984461</v>
      </c>
      <c r="B135" s="13" t="s">
        <v>615</v>
      </c>
      <c r="C135" s="13"/>
      <c r="D135" s="73"/>
      <c r="E135" s="73">
        <v>5.12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984460</v>
      </c>
      <c r="B136" s="13" t="s">
        <v>81</v>
      </c>
      <c r="C136" s="13"/>
      <c r="D136" s="73"/>
      <c r="E136" s="73">
        <v>2.58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984620</v>
      </c>
      <c r="B137" s="13" t="s">
        <v>4</v>
      </c>
      <c r="C137" s="13"/>
      <c r="D137" s="73"/>
      <c r="E137" s="73">
        <v>3.48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984621</v>
      </c>
      <c r="B138" s="13" t="s">
        <v>799</v>
      </c>
      <c r="C138" s="13"/>
      <c r="D138" s="73"/>
      <c r="E138" s="73">
        <v>5.94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984700</v>
      </c>
      <c r="B139" s="13" t="s">
        <v>80</v>
      </c>
      <c r="C139" s="13"/>
      <c r="D139" s="73"/>
      <c r="E139" s="73">
        <v>2.88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984702</v>
      </c>
      <c r="B140" s="13" t="s">
        <v>800</v>
      </c>
      <c r="C140" s="13"/>
      <c r="D140" s="73"/>
      <c r="E140" s="73">
        <v>4.9800000000000004</v>
      </c>
      <c r="F140" s="13" t="s">
        <v>40</v>
      </c>
      <c r="G140" s="13"/>
      <c r="H140" s="13"/>
      <c r="I140" s="13"/>
      <c r="J140" s="13"/>
      <c r="K140" s="13"/>
    </row>
    <row r="141" spans="1:11" ht="20" x14ac:dyDescent="0.4">
      <c r="A141" s="13">
        <v>982960</v>
      </c>
      <c r="B141" s="13" t="s">
        <v>818</v>
      </c>
      <c r="C141" s="13"/>
      <c r="D141" s="73"/>
      <c r="E141" s="73">
        <v>0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982830</v>
      </c>
      <c r="B142" s="13" t="s">
        <v>454</v>
      </c>
      <c r="C142" s="13"/>
      <c r="D142" s="73"/>
      <c r="E142" s="73">
        <v>1.78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982800</v>
      </c>
      <c r="B143" s="13" t="s">
        <v>760</v>
      </c>
      <c r="C143" s="13"/>
      <c r="D143" s="73"/>
      <c r="E143" s="73">
        <v>4.99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982740</v>
      </c>
      <c r="B144" s="13" t="s">
        <v>445</v>
      </c>
      <c r="C144" s="13"/>
      <c r="D144" s="73"/>
      <c r="E144" s="73">
        <v>1.68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982710</v>
      </c>
      <c r="B145" s="13" t="s">
        <v>759</v>
      </c>
      <c r="C145" s="13"/>
      <c r="D145" s="73"/>
      <c r="E145" s="73">
        <v>4.99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982650</v>
      </c>
      <c r="B146" s="13" t="s">
        <v>444</v>
      </c>
      <c r="C146" s="13"/>
      <c r="D146" s="73"/>
      <c r="E146" s="73">
        <v>1.78</v>
      </c>
      <c r="F146" s="13" t="s">
        <v>40</v>
      </c>
      <c r="G146" s="13"/>
      <c r="H146" s="13"/>
      <c r="I146" s="13"/>
      <c r="J146" s="13"/>
      <c r="K146" s="13"/>
    </row>
    <row r="147" spans="1:11" ht="20" x14ac:dyDescent="0.4">
      <c r="A147" s="13">
        <v>986050</v>
      </c>
      <c r="B147" s="13" t="s">
        <v>809</v>
      </c>
      <c r="C147" s="13"/>
      <c r="D147" s="73"/>
      <c r="E147" s="73">
        <v>5.48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986170</v>
      </c>
      <c r="B148" s="13" t="s">
        <v>812</v>
      </c>
      <c r="C148" s="13"/>
      <c r="D148" s="73"/>
      <c r="E148" s="73">
        <v>6.99</v>
      </c>
      <c r="F148" s="13" t="s">
        <v>811</v>
      </c>
      <c r="G148" s="13"/>
      <c r="H148" s="13"/>
      <c r="I148" s="13"/>
      <c r="J148" s="13"/>
      <c r="K148" s="13"/>
    </row>
    <row r="149" spans="1:11" ht="20" x14ac:dyDescent="0.4">
      <c r="A149" s="117">
        <v>980211</v>
      </c>
      <c r="B149" s="117" t="s">
        <v>722</v>
      </c>
      <c r="C149" s="117"/>
      <c r="D149" s="118">
        <v>2.79</v>
      </c>
      <c r="E149" s="118">
        <v>3.99</v>
      </c>
      <c r="F149" s="117" t="s">
        <v>400</v>
      </c>
      <c r="G149" s="117" t="s">
        <v>51</v>
      </c>
      <c r="H149" s="117" t="s">
        <v>52</v>
      </c>
      <c r="I149" s="117"/>
      <c r="J149" s="117"/>
      <c r="K149" s="13"/>
    </row>
    <row r="150" spans="1:11" ht="20" x14ac:dyDescent="0.4">
      <c r="A150" s="13">
        <v>980220</v>
      </c>
      <c r="B150" s="13" t="s">
        <v>777</v>
      </c>
      <c r="C150" s="13"/>
      <c r="D150" s="73"/>
      <c r="E150" s="73">
        <v>4.99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980500</v>
      </c>
      <c r="B151" s="13" t="s">
        <v>22</v>
      </c>
      <c r="C151" s="13"/>
      <c r="D151" s="73"/>
      <c r="E151" s="73">
        <v>3.09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980730</v>
      </c>
      <c r="B152" s="13" t="s">
        <v>88</v>
      </c>
      <c r="C152" s="13"/>
      <c r="D152" s="73"/>
      <c r="E152" s="73">
        <v>4.1900000000000004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980831</v>
      </c>
      <c r="B153" s="13" t="s">
        <v>89</v>
      </c>
      <c r="C153" s="13"/>
      <c r="D153" s="73"/>
      <c r="E153" s="73">
        <v>3.49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980833</v>
      </c>
      <c r="B154" s="13" t="s">
        <v>90</v>
      </c>
      <c r="C154" s="13"/>
      <c r="D154" s="73"/>
      <c r="E154" s="73">
        <v>4.6900000000000004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980921</v>
      </c>
      <c r="B155" s="13" t="s">
        <v>438</v>
      </c>
      <c r="C155" s="13"/>
      <c r="D155" s="73"/>
      <c r="E155" s="73">
        <v>0.32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980990</v>
      </c>
      <c r="B156" s="13" t="s">
        <v>97</v>
      </c>
      <c r="C156" s="13"/>
      <c r="D156" s="73"/>
      <c r="E156" s="73">
        <v>4.38</v>
      </c>
      <c r="F156" s="13" t="s">
        <v>400</v>
      </c>
      <c r="G156" s="13"/>
      <c r="H156" s="13"/>
      <c r="I156" s="13"/>
      <c r="J156" s="13"/>
      <c r="K156" s="13"/>
    </row>
    <row r="157" spans="1:11" ht="40" x14ac:dyDescent="0.4">
      <c r="A157" s="117">
        <v>983101</v>
      </c>
      <c r="B157" s="117" t="s">
        <v>618</v>
      </c>
      <c r="C157" s="117"/>
      <c r="D157" s="118">
        <v>2.79</v>
      </c>
      <c r="E157" s="118">
        <v>1.95</v>
      </c>
      <c r="F157" s="117" t="s">
        <v>401</v>
      </c>
      <c r="G157" s="117" t="s">
        <v>6</v>
      </c>
      <c r="H157" s="117" t="s">
        <v>41</v>
      </c>
      <c r="I157" s="147">
        <v>44820</v>
      </c>
      <c r="J157" s="117"/>
      <c r="K157" s="13"/>
    </row>
    <row r="158" spans="1:11" ht="20" x14ac:dyDescent="0.4">
      <c r="A158" s="13">
        <v>983201</v>
      </c>
      <c r="B158" s="13" t="s">
        <v>430</v>
      </c>
      <c r="C158" s="13"/>
      <c r="D158" s="73"/>
      <c r="E158" s="73">
        <v>4.38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983301</v>
      </c>
      <c r="B159" s="13" t="s">
        <v>603</v>
      </c>
      <c r="C159" s="13"/>
      <c r="D159" s="73"/>
      <c r="E159" s="73">
        <v>3.98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995082</v>
      </c>
      <c r="B160" s="13" t="s">
        <v>721</v>
      </c>
      <c r="C160" s="13"/>
      <c r="D160" s="73"/>
      <c r="E160" s="73">
        <v>3.49</v>
      </c>
      <c r="F160" s="13" t="s">
        <v>401</v>
      </c>
      <c r="G160" s="13"/>
      <c r="H160" s="13"/>
      <c r="I160" s="13"/>
      <c r="J160" s="13"/>
      <c r="K160" s="13"/>
    </row>
    <row r="161" spans="1:11" ht="20" x14ac:dyDescent="0.4">
      <c r="A161" s="13">
        <v>982102</v>
      </c>
      <c r="B161" s="13" t="s">
        <v>701</v>
      </c>
      <c r="C161" s="13"/>
      <c r="D161" s="73"/>
      <c r="E161" s="73">
        <v>2.99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982130</v>
      </c>
      <c r="B162" s="13" t="s">
        <v>702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982230</v>
      </c>
      <c r="B163" s="13" t="s">
        <v>700</v>
      </c>
      <c r="C163" s="13"/>
      <c r="D163" s="73"/>
      <c r="E163" s="73">
        <v>3.98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982400</v>
      </c>
      <c r="B164" s="13" t="s">
        <v>720</v>
      </c>
      <c r="C164" s="13"/>
      <c r="D164" s="73"/>
      <c r="E164" s="73">
        <v>2.99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982430</v>
      </c>
      <c r="B165" s="13" t="s">
        <v>632</v>
      </c>
      <c r="C165" s="13"/>
      <c r="D165" s="73"/>
      <c r="E165" s="73">
        <v>4.28</v>
      </c>
      <c r="F165" s="13" t="s">
        <v>634</v>
      </c>
      <c r="G165" s="13"/>
      <c r="H165" s="13"/>
      <c r="I165" s="13"/>
      <c r="J165" s="13"/>
      <c r="K165" s="13"/>
    </row>
    <row r="166" spans="1:11" ht="20" x14ac:dyDescent="0.4">
      <c r="A166" s="13">
        <v>981699</v>
      </c>
      <c r="B166" s="13" t="s">
        <v>91</v>
      </c>
      <c r="C166" s="13"/>
      <c r="D166" s="73"/>
      <c r="E166" s="73">
        <v>4.67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981700</v>
      </c>
      <c r="B167" s="13" t="s">
        <v>745</v>
      </c>
      <c r="C167" s="13"/>
      <c r="D167" s="73"/>
      <c r="E167" s="73">
        <v>1.98</v>
      </c>
      <c r="F167" s="13" t="s">
        <v>402</v>
      </c>
      <c r="G167" s="13"/>
      <c r="H167" s="13"/>
      <c r="I167" s="13"/>
      <c r="J167" s="13"/>
      <c r="K167" s="13"/>
    </row>
    <row r="168" spans="1:11" ht="20" x14ac:dyDescent="0.4">
      <c r="A168" s="13">
        <v>981130</v>
      </c>
      <c r="B168" s="13" t="s">
        <v>436</v>
      </c>
      <c r="C168" s="13"/>
      <c r="D168" s="73"/>
      <c r="E168" s="73">
        <v>2.78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981131</v>
      </c>
      <c r="B169" s="13" t="s">
        <v>773</v>
      </c>
      <c r="C169" s="13"/>
      <c r="D169" s="73"/>
      <c r="E169" s="73">
        <v>2.29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981168</v>
      </c>
      <c r="B170" s="13" t="s">
        <v>623</v>
      </c>
      <c r="C170" s="13"/>
      <c r="D170" s="73"/>
      <c r="E170" s="73">
        <v>3.49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981187</v>
      </c>
      <c r="B171" s="13" t="s">
        <v>775</v>
      </c>
      <c r="C171" s="13"/>
      <c r="D171" s="73"/>
      <c r="E171" s="73">
        <v>5.97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981200</v>
      </c>
      <c r="B172" s="13" t="s">
        <v>788</v>
      </c>
      <c r="C172" s="13"/>
      <c r="D172" s="73"/>
      <c r="E172" s="73">
        <v>1.79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981202</v>
      </c>
      <c r="B173" s="13" t="s">
        <v>611</v>
      </c>
      <c r="C173" s="13"/>
      <c r="D173" s="73"/>
      <c r="E173" s="73">
        <v>2.08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981203</v>
      </c>
      <c r="B174" s="13" t="s">
        <v>774</v>
      </c>
      <c r="C174" s="13"/>
      <c r="D174" s="73"/>
      <c r="E174" s="73">
        <v>1.19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981207</v>
      </c>
      <c r="B175" s="13" t="s">
        <v>594</v>
      </c>
      <c r="C175" s="13"/>
      <c r="D175" s="73"/>
      <c r="E175" s="73">
        <v>3.35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981220</v>
      </c>
      <c r="B176" s="13" t="s">
        <v>10</v>
      </c>
      <c r="C176" s="13"/>
      <c r="D176" s="73"/>
      <c r="E176" s="73">
        <v>4.79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981240</v>
      </c>
      <c r="B177" s="13" t="s">
        <v>420</v>
      </c>
      <c r="C177" s="13"/>
      <c r="D177" s="73"/>
      <c r="E177" s="73">
        <v>4.88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981260</v>
      </c>
      <c r="B178" s="13" t="s">
        <v>609</v>
      </c>
      <c r="C178" s="13"/>
      <c r="D178" s="73"/>
      <c r="E178" s="73">
        <v>5.24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981280</v>
      </c>
      <c r="B179" s="13" t="s">
        <v>28</v>
      </c>
      <c r="C179" s="13"/>
      <c r="D179" s="73"/>
      <c r="E179" s="73">
        <v>3.75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981300</v>
      </c>
      <c r="B180" s="13" t="s">
        <v>92</v>
      </c>
      <c r="C180" s="13"/>
      <c r="D180" s="73"/>
      <c r="E180" s="73">
        <v>4.05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981340</v>
      </c>
      <c r="B181" s="13" t="s">
        <v>813</v>
      </c>
      <c r="C181" s="13"/>
      <c r="D181" s="73"/>
      <c r="E181" s="73">
        <v>3.98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981370</v>
      </c>
      <c r="B182" s="13" t="s">
        <v>573</v>
      </c>
      <c r="C182" s="13"/>
      <c r="D182" s="73"/>
      <c r="E182" s="73">
        <v>1.99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981400</v>
      </c>
      <c r="B183" s="13" t="s">
        <v>11</v>
      </c>
      <c r="C183" s="13"/>
      <c r="D183" s="73"/>
      <c r="E183" s="73">
        <v>4.12</v>
      </c>
      <c r="F183" s="13" t="s">
        <v>674</v>
      </c>
      <c r="G183" s="13"/>
      <c r="H183" s="13"/>
      <c r="I183" s="13"/>
      <c r="J183" s="13"/>
      <c r="K183" s="13"/>
    </row>
    <row r="184" spans="1:11" ht="20" x14ac:dyDescent="0.4">
      <c r="A184" s="13">
        <v>981640</v>
      </c>
      <c r="B184" s="13" t="s">
        <v>459</v>
      </c>
      <c r="C184" s="13"/>
      <c r="D184" s="73"/>
      <c r="E184" s="73">
        <v>3.46</v>
      </c>
      <c r="F184" s="13" t="s">
        <v>674</v>
      </c>
      <c r="G184" s="13"/>
      <c r="H184" s="13"/>
      <c r="I184" s="13"/>
      <c r="J184" s="13"/>
      <c r="K184" s="13"/>
    </row>
    <row r="185" spans="1:11" ht="40" x14ac:dyDescent="0.4">
      <c r="A185" s="13">
        <v>980000</v>
      </c>
      <c r="B185" s="13" t="s">
        <v>93</v>
      </c>
      <c r="C185" s="13"/>
      <c r="D185" s="73"/>
      <c r="E185" s="73">
        <v>0</v>
      </c>
      <c r="F185" s="13" t="s">
        <v>675</v>
      </c>
      <c r="G185" s="13"/>
      <c r="H185" s="13" t="s">
        <v>472</v>
      </c>
      <c r="I185" s="13"/>
      <c r="J185" s="13"/>
      <c r="K185" s="13"/>
    </row>
    <row r="186" spans="1:11" ht="20" x14ac:dyDescent="0.4">
      <c r="A186" s="13">
        <v>980091</v>
      </c>
      <c r="B186" s="13" t="s">
        <v>668</v>
      </c>
      <c r="C186" s="13"/>
      <c r="D186" s="73"/>
      <c r="E186" s="73">
        <v>0.39</v>
      </c>
      <c r="F186" s="13" t="s">
        <v>675</v>
      </c>
      <c r="G186" s="13"/>
      <c r="H186" s="13"/>
      <c r="I186" s="13"/>
      <c r="J186" s="13"/>
      <c r="K186" s="13"/>
    </row>
    <row r="187" spans="1:11" ht="40" x14ac:dyDescent="0.4">
      <c r="A187" s="13">
        <v>980100</v>
      </c>
      <c r="B187" s="13" t="s">
        <v>96</v>
      </c>
      <c r="C187" s="13"/>
      <c r="D187" s="73"/>
      <c r="E187" s="73">
        <v>0</v>
      </c>
      <c r="F187" s="13" t="s">
        <v>675</v>
      </c>
      <c r="G187" s="13"/>
      <c r="H187" s="13" t="s">
        <v>472</v>
      </c>
      <c r="I187" s="13"/>
      <c r="J187" s="13"/>
      <c r="K187" s="13"/>
    </row>
    <row r="188" spans="1:11" ht="20" x14ac:dyDescent="0.4">
      <c r="A188" s="13">
        <v>983513</v>
      </c>
      <c r="B188" s="13" t="s">
        <v>428</v>
      </c>
      <c r="C188" s="13"/>
      <c r="D188" s="73"/>
      <c r="E188" s="73">
        <v>1.98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0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 t="s">
        <v>479</v>
      </c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 t="s">
        <v>479</v>
      </c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 t="s">
        <v>479</v>
      </c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/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 t="s">
        <v>479</v>
      </c>
      <c r="I252" s="13"/>
      <c r="J252" s="13"/>
      <c r="K252" s="13"/>
    </row>
    <row r="253" spans="1:11" ht="20" x14ac:dyDescent="0.4">
      <c r="A253" s="13">
        <v>995186</v>
      </c>
      <c r="B253" s="13" t="s">
        <v>689</v>
      </c>
      <c r="C253" s="13" t="s">
        <v>462</v>
      </c>
      <c r="D253" s="73"/>
      <c r="E253" s="73">
        <v>2.99</v>
      </c>
      <c r="F253" s="13" t="s">
        <v>740</v>
      </c>
      <c r="G253" s="13"/>
      <c r="H253" s="13"/>
      <c r="I253" s="13"/>
      <c r="J253" s="13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20" x14ac:dyDescent="0.4">
      <c r="A257" s="13">
        <v>995206</v>
      </c>
      <c r="B257" s="13" t="s">
        <v>738</v>
      </c>
      <c r="C257" s="13"/>
      <c r="D257" s="73"/>
      <c r="E257" s="73">
        <v>3.99</v>
      </c>
      <c r="F257" s="13" t="s">
        <v>740</v>
      </c>
      <c r="G257" s="13"/>
      <c r="H257" s="13"/>
      <c r="I257" s="13"/>
      <c r="J257" s="13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3.35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3.99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A2:A3"/>
    <mergeCell ref="D2:E2"/>
    <mergeCell ref="B2:B3"/>
    <mergeCell ref="C2:C3"/>
    <mergeCell ref="J1:K1"/>
  </mergeCells>
  <conditionalFormatting sqref="A4:I4">
    <cfRule type="expression" dxfId="17" priority="1040" stopIfTrue="1">
      <formula>AND(OR(NOT(ISERROR(FIND("YB",#REF!))),NOT(ISERROR(FIND("YNB",#REF!)))),AND(ISERROR(FIND("SB",#REF!)),ISERROR(FIND("SNB",#REF!))))</formula>
    </cfRule>
    <cfRule type="expression" dxfId="16" priority="1041" stopIfTrue="1">
      <formula>NOT(ISERROR(FIND("B",#REF!)))</formula>
    </cfRule>
  </conditionalFormatting>
  <conditionalFormatting sqref="K4">
    <cfRule type="expression" dxfId="15" priority="1030" stopIfTrue="1">
      <formula>AND(OR(NOT(ISERROR(FIND("YB",#REF!))),NOT(ISERROR(FIND("YNB",#REF!)))),AND(ISERROR(FIND("SB",#REF!)),ISERROR(FIND("SNB",#REF!))))</formula>
    </cfRule>
    <cfRule type="expression" dxfId="14" priority="1031" stopIfTrue="1">
      <formula>NOT(ISERROR(FIND("B",#REF!)))</formula>
    </cfRule>
  </conditionalFormatting>
  <conditionalFormatting sqref="A3 D3:E3 G3:J3">
    <cfRule type="expression" dxfId="13" priority="1036" stopIfTrue="1">
      <formula>AND(OR(NOT(ISERROR(FIND("YB",#REF!))),NOT(ISERROR(FIND("YNB",#REF!)))),AND(ISERROR(FIND("SB",#REF!)),ISERROR(FIND("SNB",#REF!))))</formula>
    </cfRule>
    <cfRule type="expression" dxfId="12" priority="1037" stopIfTrue="1">
      <formula>NOT(ISERROR(FIND("B",#REF!)))</formula>
    </cfRule>
  </conditionalFormatting>
  <conditionalFormatting sqref="F3">
    <cfRule type="expression" dxfId="11" priority="1034" stopIfTrue="1">
      <formula>AND(OR(NOT(ISERROR(FIND("YB",#REF!))),NOT(ISERROR(FIND("YNB",#REF!)))),AND(ISERROR(FIND("SB",#REF!)),ISERROR(FIND("SNB",#REF!))))</formula>
    </cfRule>
    <cfRule type="expression" dxfId="10" priority="1035" stopIfTrue="1">
      <formula>NOT(ISERROR(FIND("B",#REF!)))</formula>
    </cfRule>
  </conditionalFormatting>
  <conditionalFormatting sqref="J4">
    <cfRule type="expression" dxfId="9" priority="1032" stopIfTrue="1">
      <formula>AND(OR(NOT(ISERROR(FIND("YB",#REF!))),NOT(ISERROR(FIND("YNB",#REF!)))),AND(ISERROR(FIND("SB",#REF!)),ISERROR(FIND("SNB",#REF!))))</formula>
    </cfRule>
    <cfRule type="expression" dxfId="8" priority="1033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rgb="FF7030A0"/>
    <pageSetUpPr fitToPage="1"/>
  </sheetPr>
  <dimension ref="A1:M173"/>
  <sheetViews>
    <sheetView workbookViewId="0">
      <pane ySplit="2" topLeftCell="A141" activePane="bottomLeft" state="frozen"/>
      <selection activeCell="A2" sqref="A2"/>
      <selection pane="bottomLeft" activeCell="M182" sqref="M182"/>
    </sheetView>
  </sheetViews>
  <sheetFormatPr defaultColWidth="9" defaultRowHeight="14.5" x14ac:dyDescent="0.35"/>
  <cols>
    <col min="1" max="1" width="5" bestFit="1" customWidth="1"/>
    <col min="2" max="2" width="8" bestFit="1" customWidth="1"/>
    <col min="3" max="3" width="32.7265625" customWidth="1"/>
    <col min="4" max="4" width="7" bestFit="1" customWidth="1"/>
    <col min="5" max="5" width="30.7265625" bestFit="1" customWidth="1"/>
    <col min="6" max="6" width="8" bestFit="1" customWidth="1"/>
    <col min="7" max="7" width="5.7265625" bestFit="1" customWidth="1"/>
    <col min="8" max="8" width="5" bestFit="1" customWidth="1"/>
    <col min="9" max="9" width="16" bestFit="1" customWidth="1"/>
    <col min="10" max="10" width="15.7265625" bestFit="1" customWidth="1"/>
    <col min="11" max="11" width="15" bestFit="1" customWidth="1"/>
    <col min="13" max="13" width="12.7265625" bestFit="1" customWidth="1"/>
  </cols>
  <sheetData>
    <row r="1" spans="1:13" ht="18.5" x14ac:dyDescent="0.45">
      <c r="A1" s="352" t="s">
        <v>9</v>
      </c>
      <c r="B1" s="352"/>
      <c r="C1" s="352"/>
      <c r="D1" s="352"/>
      <c r="E1" s="352"/>
      <c r="F1" s="352"/>
      <c r="G1" s="352"/>
      <c r="H1" s="352"/>
      <c r="I1" s="352"/>
      <c r="J1" s="352"/>
    </row>
    <row r="2" spans="1:13" ht="29" x14ac:dyDescent="0.35">
      <c r="A2" s="97" t="s">
        <v>20</v>
      </c>
      <c r="B2" s="97" t="s">
        <v>134</v>
      </c>
      <c r="C2" s="97" t="s">
        <v>135</v>
      </c>
      <c r="D2" s="97" t="s">
        <v>136</v>
      </c>
      <c r="E2" s="97" t="s">
        <v>13</v>
      </c>
      <c r="F2" s="97" t="s">
        <v>33</v>
      </c>
      <c r="G2" s="97" t="s">
        <v>582</v>
      </c>
      <c r="H2" s="97" t="s">
        <v>16</v>
      </c>
      <c r="I2" s="97" t="s">
        <v>166</v>
      </c>
      <c r="J2" s="97" t="s">
        <v>3</v>
      </c>
      <c r="K2" s="97" t="s">
        <v>2</v>
      </c>
      <c r="L2" s="97" t="s">
        <v>137</v>
      </c>
      <c r="M2" s="97" t="s">
        <v>138</v>
      </c>
    </row>
    <row r="3" spans="1:13" x14ac:dyDescent="0.35">
      <c r="A3" s="119" t="s">
        <v>9</v>
      </c>
      <c r="B3" s="120">
        <v>1009</v>
      </c>
      <c r="C3" s="119" t="s">
        <v>536</v>
      </c>
      <c r="D3" s="119">
        <v>980000</v>
      </c>
      <c r="E3" s="119" t="s">
        <v>93</v>
      </c>
      <c r="F3" s="119">
        <v>37.5</v>
      </c>
      <c r="G3" s="121"/>
      <c r="H3" s="121">
        <v>0.49</v>
      </c>
      <c r="I3" s="121">
        <f>H3-G3</f>
        <v>0.49</v>
      </c>
      <c r="J3" s="119"/>
      <c r="K3" s="119"/>
      <c r="L3" s="119"/>
      <c r="M3" s="122"/>
    </row>
    <row r="4" spans="1:13" x14ac:dyDescent="0.35">
      <c r="A4" s="101" t="s">
        <v>9</v>
      </c>
      <c r="B4" s="123">
        <v>1009</v>
      </c>
      <c r="C4" s="101" t="s">
        <v>536</v>
      </c>
      <c r="D4" s="101">
        <v>980100</v>
      </c>
      <c r="E4" s="101" t="s">
        <v>96</v>
      </c>
      <c r="F4" s="101">
        <v>40</v>
      </c>
      <c r="G4" s="124"/>
      <c r="H4" s="124">
        <v>0.66</v>
      </c>
      <c r="I4" s="121">
        <f t="shared" ref="I4:I67" si="0">H4-G4</f>
        <v>0.66</v>
      </c>
      <c r="J4" s="101"/>
      <c r="K4" s="101"/>
      <c r="L4" s="101"/>
      <c r="M4" s="125"/>
    </row>
    <row r="5" spans="1:13" ht="15" thickBot="1" x14ac:dyDescent="0.4">
      <c r="A5" s="130" t="s">
        <v>9</v>
      </c>
      <c r="B5" s="131">
        <v>1009</v>
      </c>
      <c r="C5" s="130" t="s">
        <v>536</v>
      </c>
      <c r="D5" s="130">
        <v>987594</v>
      </c>
      <c r="E5" s="130" t="s">
        <v>448</v>
      </c>
      <c r="F5" s="130">
        <v>30</v>
      </c>
      <c r="G5" s="132">
        <v>0.79</v>
      </c>
      <c r="H5" s="132">
        <v>0.95</v>
      </c>
      <c r="I5" s="132">
        <f t="shared" si="0"/>
        <v>0.15999999999999992</v>
      </c>
      <c r="J5" s="130" t="s">
        <v>51</v>
      </c>
      <c r="K5" s="130" t="s">
        <v>200</v>
      </c>
      <c r="L5" s="130"/>
      <c r="M5" s="133">
        <v>44813</v>
      </c>
    </row>
    <row r="6" spans="1:13" x14ac:dyDescent="0.35">
      <c r="A6" s="119" t="s">
        <v>9</v>
      </c>
      <c r="B6" s="120">
        <v>1010</v>
      </c>
      <c r="C6" s="119" t="s">
        <v>537</v>
      </c>
      <c r="D6" s="119">
        <v>980000</v>
      </c>
      <c r="E6" s="119" t="s">
        <v>93</v>
      </c>
      <c r="F6" s="119">
        <v>37.5</v>
      </c>
      <c r="G6" s="121"/>
      <c r="H6" s="121">
        <v>0.36</v>
      </c>
      <c r="I6" s="121">
        <f t="shared" si="0"/>
        <v>0.36</v>
      </c>
      <c r="J6" s="119"/>
      <c r="K6" s="119"/>
      <c r="L6" s="119"/>
      <c r="M6" s="122"/>
    </row>
    <row r="7" spans="1:13" x14ac:dyDescent="0.35">
      <c r="A7" s="101" t="s">
        <v>9</v>
      </c>
      <c r="B7" s="123">
        <v>1010</v>
      </c>
      <c r="C7" s="101" t="s">
        <v>537</v>
      </c>
      <c r="D7" s="101">
        <v>980100</v>
      </c>
      <c r="E7" s="101" t="s">
        <v>96</v>
      </c>
      <c r="F7" s="101">
        <v>40</v>
      </c>
      <c r="G7" s="124"/>
      <c r="H7" s="124">
        <v>0.57999999999999996</v>
      </c>
      <c r="I7" s="121">
        <f t="shared" si="0"/>
        <v>0.57999999999999996</v>
      </c>
      <c r="J7" s="101"/>
      <c r="K7" s="101"/>
      <c r="L7" s="101"/>
      <c r="M7" s="125"/>
    </row>
    <row r="8" spans="1:13" ht="15" thickBot="1" x14ac:dyDescent="0.4">
      <c r="A8" s="130" t="s">
        <v>9</v>
      </c>
      <c r="B8" s="131">
        <v>1010</v>
      </c>
      <c r="C8" s="130" t="s">
        <v>537</v>
      </c>
      <c r="D8" s="130">
        <v>987594</v>
      </c>
      <c r="E8" s="130" t="s">
        <v>448</v>
      </c>
      <c r="F8" s="130">
        <v>30</v>
      </c>
      <c r="G8" s="132">
        <v>1.59</v>
      </c>
      <c r="H8" s="132">
        <v>0.75</v>
      </c>
      <c r="I8" s="132">
        <f t="shared" si="0"/>
        <v>-0.84000000000000008</v>
      </c>
      <c r="J8" s="130" t="s">
        <v>51</v>
      </c>
      <c r="K8" s="130" t="s">
        <v>200</v>
      </c>
      <c r="L8" s="130"/>
      <c r="M8" s="133">
        <v>44813</v>
      </c>
    </row>
    <row r="9" spans="1:13" x14ac:dyDescent="0.35">
      <c r="A9" s="119" t="s">
        <v>9</v>
      </c>
      <c r="B9" s="120">
        <v>1015</v>
      </c>
      <c r="C9" s="119" t="s">
        <v>538</v>
      </c>
      <c r="D9" s="119">
        <v>980000</v>
      </c>
      <c r="E9" s="119" t="s">
        <v>93</v>
      </c>
      <c r="F9" s="119">
        <v>37.5</v>
      </c>
      <c r="G9" s="121"/>
      <c r="H9" s="121">
        <v>0.4</v>
      </c>
      <c r="I9" s="121">
        <f t="shared" si="0"/>
        <v>0.4</v>
      </c>
      <c r="J9" s="119"/>
      <c r="K9" s="119"/>
      <c r="L9" s="119"/>
      <c r="M9" s="122"/>
    </row>
    <row r="10" spans="1:13" x14ac:dyDescent="0.35">
      <c r="A10" s="101" t="s">
        <v>9</v>
      </c>
      <c r="B10" s="123">
        <v>1015</v>
      </c>
      <c r="C10" s="101" t="s">
        <v>538</v>
      </c>
      <c r="D10" s="101">
        <v>980100</v>
      </c>
      <c r="E10" s="101" t="s">
        <v>96</v>
      </c>
      <c r="F10" s="101">
        <v>40</v>
      </c>
      <c r="G10" s="124"/>
      <c r="H10" s="124">
        <v>0.59</v>
      </c>
      <c r="I10" s="121">
        <f t="shared" si="0"/>
        <v>0.59</v>
      </c>
      <c r="J10" s="101"/>
      <c r="K10" s="101"/>
      <c r="L10" s="101"/>
      <c r="M10" s="125"/>
    </row>
    <row r="11" spans="1:13" ht="15" thickBot="1" x14ac:dyDescent="0.4">
      <c r="A11" s="130" t="s">
        <v>9</v>
      </c>
      <c r="B11" s="131">
        <v>1015</v>
      </c>
      <c r="C11" s="130" t="s">
        <v>538</v>
      </c>
      <c r="D11" s="130">
        <v>987594</v>
      </c>
      <c r="E11" s="130" t="s">
        <v>448</v>
      </c>
      <c r="F11" s="130">
        <v>30</v>
      </c>
      <c r="G11" s="132">
        <v>0.79</v>
      </c>
      <c r="H11" s="132">
        <v>0.75</v>
      </c>
      <c r="I11" s="132">
        <f t="shared" si="0"/>
        <v>-4.0000000000000036E-2</v>
      </c>
      <c r="J11" s="130" t="s">
        <v>51</v>
      </c>
      <c r="K11" s="130" t="s">
        <v>200</v>
      </c>
      <c r="L11" s="130"/>
      <c r="M11" s="133">
        <v>44813</v>
      </c>
    </row>
    <row r="12" spans="1:13" x14ac:dyDescent="0.35">
      <c r="A12" s="119" t="s">
        <v>9</v>
      </c>
      <c r="B12" s="120">
        <v>1016</v>
      </c>
      <c r="C12" s="119" t="s">
        <v>539</v>
      </c>
      <c r="D12" s="119">
        <v>980000</v>
      </c>
      <c r="E12" s="119" t="s">
        <v>93</v>
      </c>
      <c r="F12" s="119">
        <v>37.5</v>
      </c>
      <c r="G12" s="121"/>
      <c r="H12" s="121">
        <v>0.45</v>
      </c>
      <c r="I12" s="121">
        <f t="shared" si="0"/>
        <v>0.45</v>
      </c>
      <c r="J12" s="119"/>
      <c r="K12" s="119"/>
      <c r="L12" s="119"/>
      <c r="M12" s="122"/>
    </row>
    <row r="13" spans="1:13" x14ac:dyDescent="0.35">
      <c r="A13" s="101" t="s">
        <v>9</v>
      </c>
      <c r="B13" s="123">
        <v>1016</v>
      </c>
      <c r="C13" s="101" t="s">
        <v>539</v>
      </c>
      <c r="D13" s="101">
        <v>980100</v>
      </c>
      <c r="E13" s="101" t="s">
        <v>96</v>
      </c>
      <c r="F13" s="101">
        <v>40</v>
      </c>
      <c r="G13" s="124"/>
      <c r="H13" s="124">
        <v>0.56999999999999995</v>
      </c>
      <c r="I13" s="121">
        <f t="shared" si="0"/>
        <v>0.56999999999999995</v>
      </c>
      <c r="J13" s="101"/>
      <c r="K13" s="101"/>
      <c r="L13" s="101"/>
      <c r="M13" s="125"/>
    </row>
    <row r="14" spans="1:13" ht="15" thickBot="1" x14ac:dyDescent="0.4">
      <c r="A14" s="126" t="s">
        <v>9</v>
      </c>
      <c r="B14" s="127">
        <v>1016</v>
      </c>
      <c r="C14" s="126" t="s">
        <v>539</v>
      </c>
      <c r="D14" s="126">
        <v>987594</v>
      </c>
      <c r="E14" s="126" t="s">
        <v>448</v>
      </c>
      <c r="F14" s="126">
        <v>30</v>
      </c>
      <c r="G14" s="128"/>
      <c r="H14" s="128">
        <v>0.75</v>
      </c>
      <c r="I14" s="128">
        <f t="shared" si="0"/>
        <v>0.75</v>
      </c>
      <c r="J14" s="126"/>
      <c r="K14" s="126"/>
      <c r="L14" s="126"/>
      <c r="M14" s="129"/>
    </row>
    <row r="15" spans="1:13" x14ac:dyDescent="0.35">
      <c r="A15" s="119" t="s">
        <v>9</v>
      </c>
      <c r="B15" s="120">
        <v>1017</v>
      </c>
      <c r="C15" s="119" t="s">
        <v>540</v>
      </c>
      <c r="D15" s="119">
        <v>980000</v>
      </c>
      <c r="E15" s="119" t="s">
        <v>93</v>
      </c>
      <c r="F15" s="119">
        <v>37.5</v>
      </c>
      <c r="G15" s="121"/>
      <c r="H15" s="121">
        <v>0.46</v>
      </c>
      <c r="I15" s="121">
        <f t="shared" si="0"/>
        <v>0.46</v>
      </c>
      <c r="J15" s="119"/>
      <c r="K15" s="119"/>
      <c r="L15" s="119"/>
      <c r="M15" s="122"/>
    </row>
    <row r="16" spans="1:13" x14ac:dyDescent="0.35">
      <c r="A16" s="101" t="s">
        <v>9</v>
      </c>
      <c r="B16" s="123">
        <v>1017</v>
      </c>
      <c r="C16" s="101" t="s">
        <v>540</v>
      </c>
      <c r="D16" s="101">
        <v>980100</v>
      </c>
      <c r="E16" s="101" t="s">
        <v>96</v>
      </c>
      <c r="F16" s="101">
        <v>40</v>
      </c>
      <c r="G16" s="124"/>
      <c r="H16" s="124">
        <v>0.55000000000000004</v>
      </c>
      <c r="I16" s="121">
        <f t="shared" si="0"/>
        <v>0.55000000000000004</v>
      </c>
      <c r="J16" s="101"/>
      <c r="K16" s="101"/>
      <c r="L16" s="101"/>
      <c r="M16" s="125"/>
    </row>
    <row r="17" spans="1:13" ht="15" thickBot="1" x14ac:dyDescent="0.4">
      <c r="A17" s="130" t="s">
        <v>9</v>
      </c>
      <c r="B17" s="131">
        <v>1017</v>
      </c>
      <c r="C17" s="130" t="s">
        <v>540</v>
      </c>
      <c r="D17" s="130">
        <v>987594</v>
      </c>
      <c r="E17" s="130" t="s">
        <v>448</v>
      </c>
      <c r="F17" s="130">
        <v>30</v>
      </c>
      <c r="G17" s="132">
        <v>0.79</v>
      </c>
      <c r="H17" s="132">
        <v>0.75</v>
      </c>
      <c r="I17" s="132">
        <f t="shared" si="0"/>
        <v>-4.0000000000000036E-2</v>
      </c>
      <c r="J17" s="130" t="s">
        <v>51</v>
      </c>
      <c r="K17" s="130" t="s">
        <v>200</v>
      </c>
      <c r="L17" s="130"/>
      <c r="M17" s="133">
        <v>44813</v>
      </c>
    </row>
    <row r="18" spans="1:13" x14ac:dyDescent="0.35">
      <c r="A18" s="139" t="s">
        <v>9</v>
      </c>
      <c r="B18" s="140">
        <v>1018</v>
      </c>
      <c r="C18" s="139" t="s">
        <v>541</v>
      </c>
      <c r="D18" s="139">
        <v>980000</v>
      </c>
      <c r="E18" s="139" t="s">
        <v>93</v>
      </c>
      <c r="F18" s="139">
        <v>37.5</v>
      </c>
      <c r="G18" s="137">
        <v>0.44</v>
      </c>
      <c r="H18" s="137">
        <v>0.4</v>
      </c>
      <c r="I18" s="137">
        <f t="shared" si="0"/>
        <v>-3.999999999999998E-2</v>
      </c>
      <c r="J18" s="139" t="s">
        <v>51</v>
      </c>
      <c r="K18" s="139" t="s">
        <v>200</v>
      </c>
      <c r="L18" s="139"/>
      <c r="M18" s="141">
        <v>44813</v>
      </c>
    </row>
    <row r="19" spans="1:13" x14ac:dyDescent="0.35">
      <c r="A19" s="101" t="s">
        <v>9</v>
      </c>
      <c r="B19" s="123">
        <v>1018</v>
      </c>
      <c r="C19" s="101" t="s">
        <v>541</v>
      </c>
      <c r="D19" s="101">
        <v>980100</v>
      </c>
      <c r="E19" s="101" t="s">
        <v>96</v>
      </c>
      <c r="F19" s="101">
        <v>40</v>
      </c>
      <c r="G19" s="124"/>
      <c r="H19" s="124">
        <v>0.56000000000000005</v>
      </c>
      <c r="I19" s="121">
        <f t="shared" si="0"/>
        <v>0.56000000000000005</v>
      </c>
      <c r="J19" s="101"/>
      <c r="K19" s="101"/>
      <c r="L19" s="101"/>
      <c r="M19" s="125"/>
    </row>
    <row r="20" spans="1:13" ht="15" thickBot="1" x14ac:dyDescent="0.4">
      <c r="A20" s="130" t="s">
        <v>9</v>
      </c>
      <c r="B20" s="131">
        <v>1018</v>
      </c>
      <c r="C20" s="130" t="s">
        <v>541</v>
      </c>
      <c r="D20" s="130">
        <v>987594</v>
      </c>
      <c r="E20" s="130" t="s">
        <v>448</v>
      </c>
      <c r="F20" s="130">
        <v>30</v>
      </c>
      <c r="G20" s="132">
        <v>0.79</v>
      </c>
      <c r="H20" s="132">
        <v>0.75</v>
      </c>
      <c r="I20" s="132">
        <f t="shared" si="0"/>
        <v>-4.0000000000000036E-2</v>
      </c>
      <c r="J20" s="130" t="s">
        <v>51</v>
      </c>
      <c r="K20" s="130" t="s">
        <v>200</v>
      </c>
      <c r="L20" s="130"/>
      <c r="M20" s="133">
        <v>44813</v>
      </c>
    </row>
    <row r="21" spans="1:13" x14ac:dyDescent="0.35">
      <c r="A21" s="119" t="s">
        <v>9</v>
      </c>
      <c r="B21" s="120">
        <v>1033</v>
      </c>
      <c r="C21" s="119" t="s">
        <v>542</v>
      </c>
      <c r="D21" s="119">
        <v>980000</v>
      </c>
      <c r="E21" s="119" t="s">
        <v>93</v>
      </c>
      <c r="F21" s="119">
        <v>37.5</v>
      </c>
      <c r="G21" s="121"/>
      <c r="H21" s="121">
        <v>0.48</v>
      </c>
      <c r="I21" s="121">
        <f t="shared" si="0"/>
        <v>0.48</v>
      </c>
      <c r="J21" s="119"/>
      <c r="K21" s="119"/>
      <c r="L21" s="119"/>
      <c r="M21" s="122"/>
    </row>
    <row r="22" spans="1:13" x14ac:dyDescent="0.35">
      <c r="A22" s="101" t="s">
        <v>9</v>
      </c>
      <c r="B22" s="123">
        <v>1033</v>
      </c>
      <c r="C22" s="101" t="s">
        <v>542</v>
      </c>
      <c r="D22" s="101">
        <v>980100</v>
      </c>
      <c r="E22" s="101" t="s">
        <v>96</v>
      </c>
      <c r="F22" s="101">
        <v>40</v>
      </c>
      <c r="G22" s="124"/>
      <c r="H22" s="124">
        <v>0.52</v>
      </c>
      <c r="I22" s="121">
        <f t="shared" si="0"/>
        <v>0.52</v>
      </c>
      <c r="J22" s="101"/>
      <c r="K22" s="101"/>
      <c r="L22" s="101"/>
      <c r="M22" s="125"/>
    </row>
    <row r="23" spans="1:13" ht="15" thickBot="1" x14ac:dyDescent="0.4">
      <c r="A23" s="130" t="s">
        <v>9</v>
      </c>
      <c r="B23" s="131">
        <v>1033</v>
      </c>
      <c r="C23" s="130" t="s">
        <v>542</v>
      </c>
      <c r="D23" s="130">
        <v>987594</v>
      </c>
      <c r="E23" s="130" t="s">
        <v>448</v>
      </c>
      <c r="F23" s="130">
        <v>30</v>
      </c>
      <c r="G23" s="132">
        <v>0.79</v>
      </c>
      <c r="H23" s="132">
        <v>0.75</v>
      </c>
      <c r="I23" s="132">
        <f t="shared" si="0"/>
        <v>-4.0000000000000036E-2</v>
      </c>
      <c r="J23" s="130" t="s">
        <v>51</v>
      </c>
      <c r="K23" s="130" t="s">
        <v>200</v>
      </c>
      <c r="L23" s="130"/>
      <c r="M23" s="133">
        <v>44813</v>
      </c>
    </row>
    <row r="24" spans="1:13" x14ac:dyDescent="0.35">
      <c r="A24" s="119" t="s">
        <v>9</v>
      </c>
      <c r="B24" s="120">
        <v>1040</v>
      </c>
      <c r="C24" s="119" t="s">
        <v>543</v>
      </c>
      <c r="D24" s="119">
        <v>980000</v>
      </c>
      <c r="E24" s="119" t="s">
        <v>93</v>
      </c>
      <c r="F24" s="119">
        <v>37.5</v>
      </c>
      <c r="G24" s="121"/>
      <c r="H24" s="121">
        <v>0.4</v>
      </c>
      <c r="I24" s="121">
        <f t="shared" si="0"/>
        <v>0.4</v>
      </c>
      <c r="J24" s="119"/>
      <c r="K24" s="119"/>
      <c r="L24" s="119"/>
      <c r="M24" s="122"/>
    </row>
    <row r="25" spans="1:13" x14ac:dyDescent="0.35">
      <c r="A25" s="101" t="s">
        <v>9</v>
      </c>
      <c r="B25" s="123">
        <v>1040</v>
      </c>
      <c r="C25" s="101" t="s">
        <v>543</v>
      </c>
      <c r="D25" s="101">
        <v>980100</v>
      </c>
      <c r="E25" s="101" t="s">
        <v>96</v>
      </c>
      <c r="F25" s="101">
        <v>40</v>
      </c>
      <c r="G25" s="124"/>
      <c r="H25" s="124">
        <v>0.47</v>
      </c>
      <c r="I25" s="121">
        <f t="shared" si="0"/>
        <v>0.47</v>
      </c>
      <c r="J25" s="101"/>
      <c r="K25" s="101"/>
      <c r="L25" s="101"/>
      <c r="M25" s="125"/>
    </row>
    <row r="26" spans="1:13" ht="15" thickBot="1" x14ac:dyDescent="0.4">
      <c r="A26" s="130" t="s">
        <v>9</v>
      </c>
      <c r="B26" s="131">
        <v>1040</v>
      </c>
      <c r="C26" s="130" t="s">
        <v>543</v>
      </c>
      <c r="D26" s="130">
        <v>987594</v>
      </c>
      <c r="E26" s="130" t="s">
        <v>448</v>
      </c>
      <c r="F26" s="130">
        <v>30</v>
      </c>
      <c r="G26" s="132">
        <v>0.79</v>
      </c>
      <c r="H26" s="132">
        <v>0.75</v>
      </c>
      <c r="I26" s="132">
        <f t="shared" si="0"/>
        <v>-4.0000000000000036E-2</v>
      </c>
      <c r="J26" s="130" t="s">
        <v>51</v>
      </c>
      <c r="K26" s="130" t="s">
        <v>200</v>
      </c>
      <c r="L26" s="130"/>
      <c r="M26" s="133">
        <v>44813</v>
      </c>
    </row>
    <row r="27" spans="1:13" x14ac:dyDescent="0.35">
      <c r="A27" s="119" t="s">
        <v>9</v>
      </c>
      <c r="B27" s="120">
        <v>1042</v>
      </c>
      <c r="C27" s="119" t="s">
        <v>245</v>
      </c>
      <c r="D27" s="119">
        <v>980000</v>
      </c>
      <c r="E27" s="119" t="s">
        <v>93</v>
      </c>
      <c r="F27" s="119">
        <v>37.5</v>
      </c>
      <c r="G27" s="121"/>
      <c r="H27" s="121">
        <v>0.49</v>
      </c>
      <c r="I27" s="121">
        <f t="shared" si="0"/>
        <v>0.49</v>
      </c>
      <c r="J27" s="119"/>
      <c r="K27" s="119"/>
      <c r="L27" s="119"/>
      <c r="M27" s="122"/>
    </row>
    <row r="28" spans="1:13" x14ac:dyDescent="0.35">
      <c r="A28" s="101" t="s">
        <v>9</v>
      </c>
      <c r="B28" s="123">
        <v>1042</v>
      </c>
      <c r="C28" s="101" t="s">
        <v>245</v>
      </c>
      <c r="D28" s="101">
        <v>980100</v>
      </c>
      <c r="E28" s="101" t="s">
        <v>96</v>
      </c>
      <c r="F28" s="101">
        <v>40</v>
      </c>
      <c r="G28" s="124"/>
      <c r="H28" s="124">
        <v>0.63</v>
      </c>
      <c r="I28" s="121">
        <f t="shared" si="0"/>
        <v>0.63</v>
      </c>
      <c r="J28" s="101"/>
      <c r="K28" s="101"/>
      <c r="L28" s="101"/>
      <c r="M28" s="125"/>
    </row>
    <row r="29" spans="1:13" ht="15" thickBot="1" x14ac:dyDescent="0.4">
      <c r="A29" s="130" t="s">
        <v>9</v>
      </c>
      <c r="B29" s="131">
        <v>1042</v>
      </c>
      <c r="C29" s="130" t="s">
        <v>245</v>
      </c>
      <c r="D29" s="130">
        <v>987594</v>
      </c>
      <c r="E29" s="130" t="s">
        <v>448</v>
      </c>
      <c r="F29" s="130">
        <v>30</v>
      </c>
      <c r="G29" s="132">
        <v>0.79</v>
      </c>
      <c r="H29" s="132">
        <v>0.75</v>
      </c>
      <c r="I29" s="132">
        <f t="shared" si="0"/>
        <v>-4.0000000000000036E-2</v>
      </c>
      <c r="J29" s="130" t="s">
        <v>51</v>
      </c>
      <c r="K29" s="130" t="s">
        <v>200</v>
      </c>
      <c r="L29" s="130"/>
      <c r="M29" s="133">
        <v>44813</v>
      </c>
    </row>
    <row r="30" spans="1:13" x14ac:dyDescent="0.35">
      <c r="A30" s="139" t="s">
        <v>9</v>
      </c>
      <c r="B30" s="140">
        <v>1044</v>
      </c>
      <c r="C30" s="139" t="s">
        <v>544</v>
      </c>
      <c r="D30" s="139">
        <v>980000</v>
      </c>
      <c r="E30" s="139" t="s">
        <v>93</v>
      </c>
      <c r="F30" s="139">
        <v>37.5</v>
      </c>
      <c r="G30" s="137">
        <v>0.48</v>
      </c>
      <c r="H30" s="137">
        <v>0.46</v>
      </c>
      <c r="I30" s="137">
        <f t="shared" si="0"/>
        <v>-1.9999999999999962E-2</v>
      </c>
      <c r="J30" s="139" t="s">
        <v>51</v>
      </c>
      <c r="K30" s="139" t="s">
        <v>200</v>
      </c>
      <c r="L30" s="139"/>
      <c r="M30" s="141">
        <v>44813</v>
      </c>
    </row>
    <row r="31" spans="1:13" x14ac:dyDescent="0.35">
      <c r="A31" s="101" t="s">
        <v>9</v>
      </c>
      <c r="B31" s="123">
        <v>1044</v>
      </c>
      <c r="C31" s="101" t="s">
        <v>544</v>
      </c>
      <c r="D31" s="101">
        <v>980100</v>
      </c>
      <c r="E31" s="101" t="s">
        <v>96</v>
      </c>
      <c r="F31" s="101">
        <v>40</v>
      </c>
      <c r="G31" s="124"/>
      <c r="H31" s="124">
        <v>0.61</v>
      </c>
      <c r="I31" s="121">
        <f t="shared" si="0"/>
        <v>0.61</v>
      </c>
      <c r="J31" s="101"/>
      <c r="K31" s="101"/>
      <c r="L31" s="101"/>
      <c r="M31" s="125"/>
    </row>
    <row r="32" spans="1:13" ht="15" thickBot="1" x14ac:dyDescent="0.4">
      <c r="A32" s="130" t="s">
        <v>9</v>
      </c>
      <c r="B32" s="131">
        <v>1044</v>
      </c>
      <c r="C32" s="130" t="s">
        <v>544</v>
      </c>
      <c r="D32" s="130">
        <v>987594</v>
      </c>
      <c r="E32" s="130" t="s">
        <v>448</v>
      </c>
      <c r="F32" s="130">
        <v>30</v>
      </c>
      <c r="G32" s="132">
        <v>0.79</v>
      </c>
      <c r="H32" s="132">
        <v>0.75</v>
      </c>
      <c r="I32" s="132">
        <f t="shared" si="0"/>
        <v>-4.0000000000000036E-2</v>
      </c>
      <c r="J32" s="130" t="s">
        <v>51</v>
      </c>
      <c r="K32" s="130" t="s">
        <v>200</v>
      </c>
      <c r="L32" s="130"/>
      <c r="M32" s="133">
        <v>44813</v>
      </c>
    </row>
    <row r="33" spans="1:13" x14ac:dyDescent="0.35">
      <c r="A33" s="119" t="s">
        <v>9</v>
      </c>
      <c r="B33" s="120">
        <v>1045</v>
      </c>
      <c r="C33" s="119" t="s">
        <v>545</v>
      </c>
      <c r="D33" s="119">
        <v>980000</v>
      </c>
      <c r="E33" s="119" t="s">
        <v>93</v>
      </c>
      <c r="F33" s="119">
        <v>37.5</v>
      </c>
      <c r="G33" s="121"/>
      <c r="H33" s="121">
        <v>0.46</v>
      </c>
      <c r="I33" s="121">
        <f t="shared" si="0"/>
        <v>0.46</v>
      </c>
      <c r="J33" s="119"/>
      <c r="K33" s="119"/>
      <c r="L33" s="119"/>
      <c r="M33" s="122"/>
    </row>
    <row r="34" spans="1:13" x14ac:dyDescent="0.35">
      <c r="A34" s="101" t="s">
        <v>9</v>
      </c>
      <c r="B34" s="123">
        <v>1045</v>
      </c>
      <c r="C34" s="101" t="s">
        <v>545</v>
      </c>
      <c r="D34" s="101">
        <v>980100</v>
      </c>
      <c r="E34" s="101" t="s">
        <v>96</v>
      </c>
      <c r="F34" s="101">
        <v>40</v>
      </c>
      <c r="G34" s="124"/>
      <c r="H34" s="124">
        <v>0.64</v>
      </c>
      <c r="I34" s="121">
        <f t="shared" si="0"/>
        <v>0.64</v>
      </c>
      <c r="J34" s="101"/>
      <c r="K34" s="101"/>
      <c r="L34" s="101"/>
      <c r="M34" s="125"/>
    </row>
    <row r="35" spans="1:13" ht="15" thickBot="1" x14ac:dyDescent="0.4">
      <c r="A35" s="130" t="s">
        <v>9</v>
      </c>
      <c r="B35" s="131">
        <v>1045</v>
      </c>
      <c r="C35" s="130" t="s">
        <v>545</v>
      </c>
      <c r="D35" s="130">
        <v>987594</v>
      </c>
      <c r="E35" s="130" t="s">
        <v>448</v>
      </c>
      <c r="F35" s="130">
        <v>30</v>
      </c>
      <c r="G35" s="132">
        <v>0.79</v>
      </c>
      <c r="H35" s="132">
        <v>0.75</v>
      </c>
      <c r="I35" s="132">
        <f t="shared" si="0"/>
        <v>-4.0000000000000036E-2</v>
      </c>
      <c r="J35" s="130" t="s">
        <v>51</v>
      </c>
      <c r="K35" s="130" t="s">
        <v>200</v>
      </c>
      <c r="L35" s="130"/>
      <c r="M35" s="133">
        <v>44813</v>
      </c>
    </row>
    <row r="36" spans="1:13" x14ac:dyDescent="0.35">
      <c r="A36" s="119" t="s">
        <v>9</v>
      </c>
      <c r="B36" s="120">
        <v>1052</v>
      </c>
      <c r="C36" s="119" t="s">
        <v>546</v>
      </c>
      <c r="D36" s="119">
        <v>980000</v>
      </c>
      <c r="E36" s="119" t="s">
        <v>93</v>
      </c>
      <c r="F36" s="119">
        <v>37.5</v>
      </c>
      <c r="G36" s="121"/>
      <c r="H36" s="121">
        <v>0.49</v>
      </c>
      <c r="I36" s="121">
        <f t="shared" si="0"/>
        <v>0.49</v>
      </c>
      <c r="J36" s="119"/>
      <c r="K36" s="119"/>
      <c r="L36" s="119"/>
      <c r="M36" s="122"/>
    </row>
    <row r="37" spans="1:13" x14ac:dyDescent="0.35">
      <c r="A37" s="101" t="s">
        <v>9</v>
      </c>
      <c r="B37" s="123">
        <v>1052</v>
      </c>
      <c r="C37" s="101" t="s">
        <v>546</v>
      </c>
      <c r="D37" s="101">
        <v>980100</v>
      </c>
      <c r="E37" s="101" t="s">
        <v>96</v>
      </c>
      <c r="F37" s="101">
        <v>40</v>
      </c>
      <c r="G37" s="124"/>
      <c r="H37" s="124">
        <v>0.65</v>
      </c>
      <c r="I37" s="121">
        <f t="shared" si="0"/>
        <v>0.65</v>
      </c>
      <c r="J37" s="101"/>
      <c r="K37" s="101"/>
      <c r="L37" s="101"/>
      <c r="M37" s="125"/>
    </row>
    <row r="38" spans="1:13" ht="15" thickBot="1" x14ac:dyDescent="0.4">
      <c r="A38" s="130" t="s">
        <v>9</v>
      </c>
      <c r="B38" s="131">
        <v>1052</v>
      </c>
      <c r="C38" s="130" t="s">
        <v>546</v>
      </c>
      <c r="D38" s="130">
        <v>987594</v>
      </c>
      <c r="E38" s="130" t="s">
        <v>448</v>
      </c>
      <c r="F38" s="130">
        <v>30</v>
      </c>
      <c r="G38" s="132">
        <v>0.79</v>
      </c>
      <c r="H38" s="132">
        <v>0.95</v>
      </c>
      <c r="I38" s="132">
        <f t="shared" si="0"/>
        <v>0.15999999999999992</v>
      </c>
      <c r="J38" s="130" t="s">
        <v>51</v>
      </c>
      <c r="K38" s="130" t="s">
        <v>200</v>
      </c>
      <c r="L38" s="130"/>
      <c r="M38" s="133">
        <v>44813</v>
      </c>
    </row>
    <row r="39" spans="1:13" x14ac:dyDescent="0.35">
      <c r="A39" s="119" t="s">
        <v>9</v>
      </c>
      <c r="B39" s="120">
        <v>1056</v>
      </c>
      <c r="C39" s="119" t="s">
        <v>547</v>
      </c>
      <c r="D39" s="119">
        <v>980000</v>
      </c>
      <c r="E39" s="119" t="s">
        <v>93</v>
      </c>
      <c r="F39" s="119">
        <v>37.5</v>
      </c>
      <c r="G39" s="121"/>
      <c r="H39" s="121">
        <v>0.49</v>
      </c>
      <c r="I39" s="121">
        <f t="shared" si="0"/>
        <v>0.49</v>
      </c>
      <c r="J39" s="119"/>
      <c r="K39" s="119"/>
      <c r="L39" s="119"/>
      <c r="M39" s="122"/>
    </row>
    <row r="40" spans="1:13" x14ac:dyDescent="0.35">
      <c r="A40" s="101" t="s">
        <v>9</v>
      </c>
      <c r="B40" s="123">
        <v>1056</v>
      </c>
      <c r="C40" s="101" t="s">
        <v>547</v>
      </c>
      <c r="D40" s="101">
        <v>980100</v>
      </c>
      <c r="E40" s="101" t="s">
        <v>96</v>
      </c>
      <c r="F40" s="101">
        <v>40</v>
      </c>
      <c r="G40" s="124"/>
      <c r="H40" s="124">
        <v>0.59</v>
      </c>
      <c r="I40" s="121">
        <f t="shared" si="0"/>
        <v>0.59</v>
      </c>
      <c r="J40" s="101"/>
      <c r="K40" s="101"/>
      <c r="L40" s="101"/>
      <c r="M40" s="125"/>
    </row>
    <row r="41" spans="1:13" ht="15" thickBot="1" x14ac:dyDescent="0.4">
      <c r="A41" s="130" t="s">
        <v>9</v>
      </c>
      <c r="B41" s="131">
        <v>1056</v>
      </c>
      <c r="C41" s="130" t="s">
        <v>547</v>
      </c>
      <c r="D41" s="130">
        <v>987594</v>
      </c>
      <c r="E41" s="130" t="s">
        <v>448</v>
      </c>
      <c r="F41" s="130">
        <v>30</v>
      </c>
      <c r="G41" s="132">
        <v>0.79</v>
      </c>
      <c r="H41" s="132">
        <v>0.75</v>
      </c>
      <c r="I41" s="132">
        <f t="shared" si="0"/>
        <v>-4.0000000000000036E-2</v>
      </c>
      <c r="J41" s="130" t="s">
        <v>51</v>
      </c>
      <c r="K41" s="130" t="s">
        <v>200</v>
      </c>
      <c r="L41" s="130"/>
      <c r="M41" s="133">
        <v>44813</v>
      </c>
    </row>
    <row r="42" spans="1:13" x14ac:dyDescent="0.35">
      <c r="A42" s="119" t="s">
        <v>9</v>
      </c>
      <c r="B42" s="120">
        <v>1058</v>
      </c>
      <c r="C42" s="119" t="s">
        <v>252</v>
      </c>
      <c r="D42" s="119">
        <v>980000</v>
      </c>
      <c r="E42" s="119" t="s">
        <v>93</v>
      </c>
      <c r="F42" s="119">
        <v>37.5</v>
      </c>
      <c r="G42" s="121"/>
      <c r="H42" s="121">
        <v>0.44</v>
      </c>
      <c r="I42" s="121">
        <f t="shared" si="0"/>
        <v>0.44</v>
      </c>
      <c r="J42" s="119"/>
      <c r="K42" s="119"/>
      <c r="L42" s="119"/>
      <c r="M42" s="122"/>
    </row>
    <row r="43" spans="1:13" x14ac:dyDescent="0.35">
      <c r="A43" s="101" t="s">
        <v>9</v>
      </c>
      <c r="B43" s="123">
        <v>1058</v>
      </c>
      <c r="C43" s="101" t="s">
        <v>252</v>
      </c>
      <c r="D43" s="101">
        <v>980100</v>
      </c>
      <c r="E43" s="101" t="s">
        <v>96</v>
      </c>
      <c r="F43" s="101">
        <v>40</v>
      </c>
      <c r="G43" s="124"/>
      <c r="H43" s="124">
        <v>0.59</v>
      </c>
      <c r="I43" s="121">
        <f t="shared" si="0"/>
        <v>0.59</v>
      </c>
      <c r="J43" s="101"/>
      <c r="K43" s="101"/>
      <c r="L43" s="101"/>
      <c r="M43" s="125"/>
    </row>
    <row r="44" spans="1:13" ht="15" thickBot="1" x14ac:dyDescent="0.4">
      <c r="A44" s="130" t="s">
        <v>9</v>
      </c>
      <c r="B44" s="131">
        <v>1058</v>
      </c>
      <c r="C44" s="130" t="s">
        <v>252</v>
      </c>
      <c r="D44" s="130">
        <v>987594</v>
      </c>
      <c r="E44" s="130" t="s">
        <v>448</v>
      </c>
      <c r="F44" s="130">
        <v>30</v>
      </c>
      <c r="G44" s="132">
        <v>0.79</v>
      </c>
      <c r="H44" s="132">
        <v>0.75</v>
      </c>
      <c r="I44" s="132">
        <f t="shared" si="0"/>
        <v>-4.0000000000000036E-2</v>
      </c>
      <c r="J44" s="130" t="s">
        <v>51</v>
      </c>
      <c r="K44" s="130" t="s">
        <v>200</v>
      </c>
      <c r="L44" s="130"/>
      <c r="M44" s="133">
        <v>44813</v>
      </c>
    </row>
    <row r="45" spans="1:13" x14ac:dyDescent="0.35">
      <c r="A45" s="119" t="s">
        <v>9</v>
      </c>
      <c r="B45" s="120">
        <v>1064</v>
      </c>
      <c r="C45" s="119" t="s">
        <v>548</v>
      </c>
      <c r="D45" s="119">
        <v>980000</v>
      </c>
      <c r="E45" s="119" t="s">
        <v>93</v>
      </c>
      <c r="F45" s="119">
        <v>37.5</v>
      </c>
      <c r="G45" s="121"/>
      <c r="H45" s="121">
        <v>0.39</v>
      </c>
      <c r="I45" s="121">
        <f t="shared" si="0"/>
        <v>0.39</v>
      </c>
      <c r="J45" s="119"/>
      <c r="K45" s="119"/>
      <c r="L45" s="119"/>
      <c r="M45" s="122"/>
    </row>
    <row r="46" spans="1:13" x14ac:dyDescent="0.35">
      <c r="A46" s="101" t="s">
        <v>9</v>
      </c>
      <c r="B46" s="123">
        <v>1064</v>
      </c>
      <c r="C46" s="101" t="s">
        <v>548</v>
      </c>
      <c r="D46" s="101">
        <v>980100</v>
      </c>
      <c r="E46" s="101" t="s">
        <v>96</v>
      </c>
      <c r="F46" s="101">
        <v>40</v>
      </c>
      <c r="G46" s="124"/>
      <c r="H46" s="124">
        <v>0.59</v>
      </c>
      <c r="I46" s="121">
        <f t="shared" si="0"/>
        <v>0.59</v>
      </c>
      <c r="J46" s="101"/>
      <c r="K46" s="101"/>
      <c r="L46" s="101"/>
      <c r="M46" s="125"/>
    </row>
    <row r="47" spans="1:13" ht="15" thickBot="1" x14ac:dyDescent="0.4">
      <c r="A47" s="130" t="s">
        <v>9</v>
      </c>
      <c r="B47" s="131">
        <v>1064</v>
      </c>
      <c r="C47" s="130" t="s">
        <v>548</v>
      </c>
      <c r="D47" s="130">
        <v>987594</v>
      </c>
      <c r="E47" s="130" t="s">
        <v>448</v>
      </c>
      <c r="F47" s="130">
        <v>30</v>
      </c>
      <c r="G47" s="132">
        <v>0.79</v>
      </c>
      <c r="H47" s="132">
        <v>0.75</v>
      </c>
      <c r="I47" s="132">
        <f t="shared" si="0"/>
        <v>-4.0000000000000036E-2</v>
      </c>
      <c r="J47" s="130" t="s">
        <v>51</v>
      </c>
      <c r="K47" s="130" t="s">
        <v>200</v>
      </c>
      <c r="L47" s="130"/>
      <c r="M47" s="133">
        <v>44813</v>
      </c>
    </row>
    <row r="48" spans="1:13" x14ac:dyDescent="0.35">
      <c r="A48" s="119" t="s">
        <v>9</v>
      </c>
      <c r="B48" s="120">
        <v>1074</v>
      </c>
      <c r="C48" s="119" t="s">
        <v>256</v>
      </c>
      <c r="D48" s="119">
        <v>980000</v>
      </c>
      <c r="E48" s="119" t="s">
        <v>93</v>
      </c>
      <c r="F48" s="119">
        <v>37.5</v>
      </c>
      <c r="G48" s="121"/>
      <c r="H48" s="121">
        <v>0.45</v>
      </c>
      <c r="I48" s="121">
        <f t="shared" si="0"/>
        <v>0.45</v>
      </c>
      <c r="J48" s="119"/>
      <c r="K48" s="119"/>
      <c r="L48" s="119"/>
      <c r="M48" s="122"/>
    </row>
    <row r="49" spans="1:13" x14ac:dyDescent="0.35">
      <c r="A49" s="101" t="s">
        <v>9</v>
      </c>
      <c r="B49" s="123">
        <v>1074</v>
      </c>
      <c r="C49" s="101" t="s">
        <v>256</v>
      </c>
      <c r="D49" s="101">
        <v>980100</v>
      </c>
      <c r="E49" s="101" t="s">
        <v>96</v>
      </c>
      <c r="F49" s="101">
        <v>40</v>
      </c>
      <c r="G49" s="124"/>
      <c r="H49" s="124">
        <v>0.53</v>
      </c>
      <c r="I49" s="121">
        <f t="shared" si="0"/>
        <v>0.53</v>
      </c>
      <c r="J49" s="101"/>
      <c r="K49" s="101"/>
      <c r="L49" s="101"/>
      <c r="M49" s="125"/>
    </row>
    <row r="50" spans="1:13" ht="15" thickBot="1" x14ac:dyDescent="0.4">
      <c r="A50" s="130" t="s">
        <v>9</v>
      </c>
      <c r="B50" s="131">
        <v>1074</v>
      </c>
      <c r="C50" s="130" t="s">
        <v>256</v>
      </c>
      <c r="D50" s="130">
        <v>987594</v>
      </c>
      <c r="E50" s="130" t="s">
        <v>448</v>
      </c>
      <c r="F50" s="130">
        <v>30</v>
      </c>
      <c r="G50" s="132">
        <v>0.79</v>
      </c>
      <c r="H50" s="132">
        <v>0.85</v>
      </c>
      <c r="I50" s="132">
        <f t="shared" si="0"/>
        <v>5.9999999999999942E-2</v>
      </c>
      <c r="J50" s="130" t="s">
        <v>51</v>
      </c>
      <c r="K50" s="130" t="s">
        <v>200</v>
      </c>
      <c r="L50" s="130"/>
      <c r="M50" s="133">
        <v>44813</v>
      </c>
    </row>
    <row r="51" spans="1:13" x14ac:dyDescent="0.35">
      <c r="A51" s="119" t="s">
        <v>9</v>
      </c>
      <c r="B51" s="120">
        <v>1080</v>
      </c>
      <c r="C51" s="119" t="s">
        <v>549</v>
      </c>
      <c r="D51" s="119">
        <v>980000</v>
      </c>
      <c r="E51" s="119" t="s">
        <v>93</v>
      </c>
      <c r="F51" s="119">
        <v>37.5</v>
      </c>
      <c r="G51" s="121"/>
      <c r="H51" s="121">
        <v>0.46</v>
      </c>
      <c r="I51" s="121">
        <f t="shared" si="0"/>
        <v>0.46</v>
      </c>
      <c r="J51" s="119"/>
      <c r="K51" s="119"/>
      <c r="L51" s="119"/>
      <c r="M51" s="122"/>
    </row>
    <row r="52" spans="1:13" x14ac:dyDescent="0.35">
      <c r="A52" s="101" t="s">
        <v>9</v>
      </c>
      <c r="B52" s="123">
        <v>1080</v>
      </c>
      <c r="C52" s="101" t="s">
        <v>549</v>
      </c>
      <c r="D52" s="101">
        <v>980100</v>
      </c>
      <c r="E52" s="101" t="s">
        <v>96</v>
      </c>
      <c r="F52" s="101">
        <v>40</v>
      </c>
      <c r="G52" s="124"/>
      <c r="H52" s="124">
        <v>0.65</v>
      </c>
      <c r="I52" s="121">
        <f t="shared" si="0"/>
        <v>0.65</v>
      </c>
      <c r="J52" s="101"/>
      <c r="K52" s="101"/>
      <c r="L52" s="101"/>
      <c r="M52" s="125"/>
    </row>
    <row r="53" spans="1:13" ht="15" thickBot="1" x14ac:dyDescent="0.4">
      <c r="A53" s="130" t="s">
        <v>9</v>
      </c>
      <c r="B53" s="131">
        <v>1080</v>
      </c>
      <c r="C53" s="130" t="s">
        <v>549</v>
      </c>
      <c r="D53" s="130">
        <v>987594</v>
      </c>
      <c r="E53" s="130" t="s">
        <v>448</v>
      </c>
      <c r="F53" s="130">
        <v>30</v>
      </c>
      <c r="G53" s="132">
        <v>0.79</v>
      </c>
      <c r="H53" s="132">
        <v>0.95</v>
      </c>
      <c r="I53" s="132">
        <f t="shared" si="0"/>
        <v>0.15999999999999992</v>
      </c>
      <c r="J53" s="130" t="s">
        <v>51</v>
      </c>
      <c r="K53" s="130" t="s">
        <v>200</v>
      </c>
      <c r="L53" s="130"/>
      <c r="M53" s="133">
        <v>44813</v>
      </c>
    </row>
    <row r="54" spans="1:13" x14ac:dyDescent="0.35">
      <c r="A54" s="119" t="s">
        <v>9</v>
      </c>
      <c r="B54" s="120">
        <v>1088</v>
      </c>
      <c r="C54" s="119" t="s">
        <v>245</v>
      </c>
      <c r="D54" s="119">
        <v>980000</v>
      </c>
      <c r="E54" s="119" t="s">
        <v>93</v>
      </c>
      <c r="F54" s="119">
        <v>37.5</v>
      </c>
      <c r="G54" s="121"/>
      <c r="H54" s="121">
        <v>0.49</v>
      </c>
      <c r="I54" s="121">
        <f t="shared" si="0"/>
        <v>0.49</v>
      </c>
      <c r="J54" s="119"/>
      <c r="K54" s="119"/>
      <c r="L54" s="119"/>
      <c r="M54" s="122"/>
    </row>
    <row r="55" spans="1:13" x14ac:dyDescent="0.35">
      <c r="A55" s="101" t="s">
        <v>9</v>
      </c>
      <c r="B55" s="123">
        <v>1088</v>
      </c>
      <c r="C55" s="101" t="s">
        <v>245</v>
      </c>
      <c r="D55" s="101">
        <v>980100</v>
      </c>
      <c r="E55" s="101" t="s">
        <v>96</v>
      </c>
      <c r="F55" s="101">
        <v>40</v>
      </c>
      <c r="G55" s="124"/>
      <c r="H55" s="124">
        <v>0.59</v>
      </c>
      <c r="I55" s="121">
        <f t="shared" si="0"/>
        <v>0.59</v>
      </c>
      <c r="J55" s="101"/>
      <c r="K55" s="101"/>
      <c r="L55" s="101"/>
      <c r="M55" s="125"/>
    </row>
    <row r="56" spans="1:13" ht="15" thickBot="1" x14ac:dyDescent="0.4">
      <c r="A56" s="130" t="s">
        <v>9</v>
      </c>
      <c r="B56" s="131">
        <v>1088</v>
      </c>
      <c r="C56" s="130" t="s">
        <v>245</v>
      </c>
      <c r="D56" s="130">
        <v>987594</v>
      </c>
      <c r="E56" s="130" t="s">
        <v>448</v>
      </c>
      <c r="F56" s="130">
        <v>30</v>
      </c>
      <c r="G56" s="132">
        <v>1.35</v>
      </c>
      <c r="H56" s="132">
        <v>0.85</v>
      </c>
      <c r="I56" s="132">
        <f t="shared" si="0"/>
        <v>-0.50000000000000011</v>
      </c>
      <c r="J56" s="130" t="s">
        <v>51</v>
      </c>
      <c r="K56" s="130" t="s">
        <v>200</v>
      </c>
      <c r="L56" s="130"/>
      <c r="M56" s="133">
        <v>44813</v>
      </c>
    </row>
    <row r="57" spans="1:13" x14ac:dyDescent="0.35">
      <c r="A57" s="119" t="s">
        <v>9</v>
      </c>
      <c r="B57" s="120">
        <v>1089</v>
      </c>
      <c r="C57" s="119" t="s">
        <v>550</v>
      </c>
      <c r="D57" s="119">
        <v>980000</v>
      </c>
      <c r="E57" s="119" t="s">
        <v>93</v>
      </c>
      <c r="F57" s="119">
        <v>37.5</v>
      </c>
      <c r="G57" s="121"/>
      <c r="H57" s="121">
        <v>0.57999999999999996</v>
      </c>
      <c r="I57" s="121">
        <f t="shared" si="0"/>
        <v>0.57999999999999996</v>
      </c>
      <c r="J57" s="119"/>
      <c r="K57" s="119"/>
      <c r="L57" s="119"/>
      <c r="M57" s="122"/>
    </row>
    <row r="58" spans="1:13" x14ac:dyDescent="0.35">
      <c r="A58" s="101" t="s">
        <v>9</v>
      </c>
      <c r="B58" s="123">
        <v>1089</v>
      </c>
      <c r="C58" s="101" t="s">
        <v>550</v>
      </c>
      <c r="D58" s="101">
        <v>980100</v>
      </c>
      <c r="E58" s="101" t="s">
        <v>96</v>
      </c>
      <c r="F58" s="101">
        <v>40</v>
      </c>
      <c r="G58" s="124"/>
      <c r="H58" s="124">
        <v>0.67</v>
      </c>
      <c r="I58" s="121">
        <f t="shared" si="0"/>
        <v>0.67</v>
      </c>
      <c r="J58" s="101"/>
      <c r="K58" s="101"/>
      <c r="L58" s="101"/>
      <c r="M58" s="125"/>
    </row>
    <row r="59" spans="1:13" ht="15" thickBot="1" x14ac:dyDescent="0.4">
      <c r="A59" s="126" t="s">
        <v>9</v>
      </c>
      <c r="B59" s="127">
        <v>1089</v>
      </c>
      <c r="C59" s="126" t="s">
        <v>550</v>
      </c>
      <c r="D59" s="126">
        <v>987594</v>
      </c>
      <c r="E59" s="126" t="s">
        <v>448</v>
      </c>
      <c r="F59" s="126">
        <v>30</v>
      </c>
      <c r="G59" s="128"/>
      <c r="H59" s="128">
        <v>0.98</v>
      </c>
      <c r="I59" s="128">
        <f t="shared" si="0"/>
        <v>0.98</v>
      </c>
      <c r="J59" s="126"/>
      <c r="K59" s="126"/>
      <c r="L59" s="126"/>
      <c r="M59" s="129"/>
    </row>
    <row r="60" spans="1:13" x14ac:dyDescent="0.35">
      <c r="A60" s="119" t="s">
        <v>9</v>
      </c>
      <c r="B60" s="120">
        <v>1092</v>
      </c>
      <c r="C60" s="119" t="s">
        <v>259</v>
      </c>
      <c r="D60" s="119">
        <v>980000</v>
      </c>
      <c r="E60" s="119" t="s">
        <v>93</v>
      </c>
      <c r="F60" s="119">
        <v>37.5</v>
      </c>
      <c r="G60" s="121"/>
      <c r="H60" s="121">
        <v>0.49</v>
      </c>
      <c r="I60" s="121">
        <f t="shared" si="0"/>
        <v>0.49</v>
      </c>
      <c r="J60" s="119"/>
      <c r="K60" s="119"/>
      <c r="L60" s="119"/>
      <c r="M60" s="122"/>
    </row>
    <row r="61" spans="1:13" x14ac:dyDescent="0.35">
      <c r="A61" s="101" t="s">
        <v>9</v>
      </c>
      <c r="B61" s="123">
        <v>1092</v>
      </c>
      <c r="C61" s="101" t="s">
        <v>259</v>
      </c>
      <c r="D61" s="101">
        <v>980100</v>
      </c>
      <c r="E61" s="101" t="s">
        <v>96</v>
      </c>
      <c r="F61" s="101">
        <v>40</v>
      </c>
      <c r="G61" s="124"/>
      <c r="H61" s="124">
        <v>0.59</v>
      </c>
      <c r="I61" s="121">
        <f t="shared" si="0"/>
        <v>0.59</v>
      </c>
      <c r="J61" s="101"/>
      <c r="K61" s="101"/>
      <c r="L61" s="101"/>
      <c r="M61" s="125"/>
    </row>
    <row r="62" spans="1:13" ht="15" thickBot="1" x14ac:dyDescent="0.4">
      <c r="A62" s="130" t="s">
        <v>9</v>
      </c>
      <c r="B62" s="131">
        <v>1092</v>
      </c>
      <c r="C62" s="130" t="s">
        <v>259</v>
      </c>
      <c r="D62" s="130">
        <v>987594</v>
      </c>
      <c r="E62" s="130" t="s">
        <v>448</v>
      </c>
      <c r="F62" s="130">
        <v>30</v>
      </c>
      <c r="G62" s="132">
        <v>0.79</v>
      </c>
      <c r="H62" s="132">
        <v>0.75</v>
      </c>
      <c r="I62" s="132">
        <f t="shared" si="0"/>
        <v>-4.0000000000000036E-2</v>
      </c>
      <c r="J62" s="130" t="s">
        <v>51</v>
      </c>
      <c r="K62" s="130" t="s">
        <v>200</v>
      </c>
      <c r="L62" s="130"/>
      <c r="M62" s="133">
        <v>44813</v>
      </c>
    </row>
    <row r="63" spans="1:13" x14ac:dyDescent="0.35">
      <c r="A63" s="119" t="s">
        <v>9</v>
      </c>
      <c r="B63" s="120">
        <v>1097</v>
      </c>
      <c r="C63" s="119" t="s">
        <v>551</v>
      </c>
      <c r="D63" s="119">
        <v>980000</v>
      </c>
      <c r="E63" s="119" t="s">
        <v>93</v>
      </c>
      <c r="F63" s="119">
        <v>37.5</v>
      </c>
      <c r="G63" s="121"/>
      <c r="H63" s="121">
        <v>0.46</v>
      </c>
      <c r="I63" s="121">
        <f t="shared" si="0"/>
        <v>0.46</v>
      </c>
      <c r="J63" s="119"/>
      <c r="K63" s="119"/>
      <c r="L63" s="119"/>
      <c r="M63" s="122"/>
    </row>
    <row r="64" spans="1:13" x14ac:dyDescent="0.35">
      <c r="A64" s="101" t="s">
        <v>9</v>
      </c>
      <c r="B64" s="123">
        <v>1097</v>
      </c>
      <c r="C64" s="101" t="s">
        <v>551</v>
      </c>
      <c r="D64" s="101">
        <v>980100</v>
      </c>
      <c r="E64" s="101" t="s">
        <v>96</v>
      </c>
      <c r="F64" s="101">
        <v>40</v>
      </c>
      <c r="G64" s="124"/>
      <c r="H64" s="124">
        <v>0.57999999999999996</v>
      </c>
      <c r="I64" s="121">
        <f t="shared" si="0"/>
        <v>0.57999999999999996</v>
      </c>
      <c r="J64" s="101"/>
      <c r="K64" s="101"/>
      <c r="L64" s="101"/>
      <c r="M64" s="125"/>
    </row>
    <row r="65" spans="1:13" ht="15" thickBot="1" x14ac:dyDescent="0.4">
      <c r="A65" s="130" t="s">
        <v>9</v>
      </c>
      <c r="B65" s="131">
        <v>1097</v>
      </c>
      <c r="C65" s="130" t="s">
        <v>551</v>
      </c>
      <c r="D65" s="130">
        <v>987594</v>
      </c>
      <c r="E65" s="130" t="s">
        <v>448</v>
      </c>
      <c r="F65" s="130">
        <v>30</v>
      </c>
      <c r="G65" s="132">
        <v>0.79</v>
      </c>
      <c r="H65" s="132">
        <v>0.75</v>
      </c>
      <c r="I65" s="132">
        <f t="shared" si="0"/>
        <v>-4.0000000000000036E-2</v>
      </c>
      <c r="J65" s="130" t="s">
        <v>51</v>
      </c>
      <c r="K65" s="130" t="s">
        <v>200</v>
      </c>
      <c r="L65" s="130"/>
      <c r="M65" s="133">
        <v>44813</v>
      </c>
    </row>
    <row r="66" spans="1:13" x14ac:dyDescent="0.35">
      <c r="A66" s="119" t="s">
        <v>9</v>
      </c>
      <c r="B66" s="120">
        <v>1099</v>
      </c>
      <c r="C66" s="119" t="s">
        <v>552</v>
      </c>
      <c r="D66" s="119">
        <v>980000</v>
      </c>
      <c r="E66" s="119" t="s">
        <v>93</v>
      </c>
      <c r="F66" s="119">
        <v>37.5</v>
      </c>
      <c r="G66" s="121"/>
      <c r="H66" s="121">
        <v>0.47</v>
      </c>
      <c r="I66" s="121">
        <f t="shared" si="0"/>
        <v>0.47</v>
      </c>
      <c r="J66" s="119"/>
      <c r="K66" s="119"/>
      <c r="L66" s="119"/>
      <c r="M66" s="122"/>
    </row>
    <row r="67" spans="1:13" x14ac:dyDescent="0.35">
      <c r="A67" s="101" t="s">
        <v>9</v>
      </c>
      <c r="B67" s="123">
        <v>1099</v>
      </c>
      <c r="C67" s="101" t="s">
        <v>552</v>
      </c>
      <c r="D67" s="101">
        <v>980100</v>
      </c>
      <c r="E67" s="101" t="s">
        <v>96</v>
      </c>
      <c r="F67" s="101">
        <v>40</v>
      </c>
      <c r="G67" s="124"/>
      <c r="H67" s="124">
        <v>0.59</v>
      </c>
      <c r="I67" s="121">
        <f t="shared" si="0"/>
        <v>0.59</v>
      </c>
      <c r="J67" s="101"/>
      <c r="K67" s="101"/>
      <c r="L67" s="101"/>
      <c r="M67" s="125"/>
    </row>
    <row r="68" spans="1:13" ht="15" thickBot="1" x14ac:dyDescent="0.4">
      <c r="A68" s="130" t="s">
        <v>9</v>
      </c>
      <c r="B68" s="131">
        <v>1099</v>
      </c>
      <c r="C68" s="130" t="s">
        <v>552</v>
      </c>
      <c r="D68" s="130">
        <v>987594</v>
      </c>
      <c r="E68" s="130" t="s">
        <v>448</v>
      </c>
      <c r="F68" s="130">
        <v>30</v>
      </c>
      <c r="G68" s="132">
        <v>0.79</v>
      </c>
      <c r="H68" s="132">
        <v>0.75</v>
      </c>
      <c r="I68" s="132">
        <f t="shared" ref="I68:I131" si="1">H68-G68</f>
        <v>-4.0000000000000036E-2</v>
      </c>
      <c r="J68" s="130" t="s">
        <v>51</v>
      </c>
      <c r="K68" s="130" t="s">
        <v>200</v>
      </c>
      <c r="L68" s="130"/>
      <c r="M68" s="133">
        <v>44813</v>
      </c>
    </row>
    <row r="69" spans="1:13" x14ac:dyDescent="0.35">
      <c r="A69" s="119" t="s">
        <v>9</v>
      </c>
      <c r="B69" s="120">
        <v>1107</v>
      </c>
      <c r="C69" s="119" t="s">
        <v>553</v>
      </c>
      <c r="D69" s="119">
        <v>980000</v>
      </c>
      <c r="E69" s="119" t="s">
        <v>93</v>
      </c>
      <c r="F69" s="119">
        <v>37.5</v>
      </c>
      <c r="G69" s="121"/>
      <c r="H69" s="121">
        <v>0.49</v>
      </c>
      <c r="I69" s="121">
        <f t="shared" si="1"/>
        <v>0.49</v>
      </c>
      <c r="J69" s="119"/>
      <c r="K69" s="119"/>
      <c r="L69" s="119"/>
      <c r="M69" s="122"/>
    </row>
    <row r="70" spans="1:13" x14ac:dyDescent="0.35">
      <c r="A70" s="101" t="s">
        <v>9</v>
      </c>
      <c r="B70" s="123">
        <v>1107</v>
      </c>
      <c r="C70" s="101" t="s">
        <v>553</v>
      </c>
      <c r="D70" s="101">
        <v>980100</v>
      </c>
      <c r="E70" s="101" t="s">
        <v>96</v>
      </c>
      <c r="F70" s="101">
        <v>40</v>
      </c>
      <c r="G70" s="124"/>
      <c r="H70" s="124">
        <v>0.61</v>
      </c>
      <c r="I70" s="121">
        <f t="shared" si="1"/>
        <v>0.61</v>
      </c>
      <c r="J70" s="101"/>
      <c r="K70" s="101"/>
      <c r="L70" s="101"/>
      <c r="M70" s="125"/>
    </row>
    <row r="71" spans="1:13" ht="15" thickBot="1" x14ac:dyDescent="0.4">
      <c r="A71" s="130" t="s">
        <v>9</v>
      </c>
      <c r="B71" s="131">
        <v>1107</v>
      </c>
      <c r="C71" s="130" t="s">
        <v>553</v>
      </c>
      <c r="D71" s="130">
        <v>987594</v>
      </c>
      <c r="E71" s="130" t="s">
        <v>448</v>
      </c>
      <c r="F71" s="130">
        <v>30</v>
      </c>
      <c r="G71" s="132">
        <v>0.85</v>
      </c>
      <c r="H71" s="132">
        <v>0.95</v>
      </c>
      <c r="I71" s="132">
        <f t="shared" si="1"/>
        <v>9.9999999999999978E-2</v>
      </c>
      <c r="J71" s="130" t="s">
        <v>51</v>
      </c>
      <c r="K71" s="130" t="s">
        <v>200</v>
      </c>
      <c r="L71" s="130"/>
      <c r="M71" s="133">
        <v>44813</v>
      </c>
    </row>
    <row r="72" spans="1:13" x14ac:dyDescent="0.35">
      <c r="A72" s="119" t="s">
        <v>9</v>
      </c>
      <c r="B72" s="120">
        <v>1110</v>
      </c>
      <c r="C72" s="119" t="s">
        <v>554</v>
      </c>
      <c r="D72" s="119">
        <v>980000</v>
      </c>
      <c r="E72" s="119" t="s">
        <v>93</v>
      </c>
      <c r="F72" s="119">
        <v>37.5</v>
      </c>
      <c r="G72" s="121"/>
      <c r="H72" s="121">
        <v>0.35</v>
      </c>
      <c r="I72" s="121">
        <f t="shared" si="1"/>
        <v>0.35</v>
      </c>
      <c r="J72" s="119"/>
      <c r="K72" s="119"/>
      <c r="L72" s="119"/>
      <c r="M72" s="122"/>
    </row>
    <row r="73" spans="1:13" x14ac:dyDescent="0.35">
      <c r="A73" s="101" t="s">
        <v>9</v>
      </c>
      <c r="B73" s="123">
        <v>1110</v>
      </c>
      <c r="C73" s="101" t="s">
        <v>554</v>
      </c>
      <c r="D73" s="101">
        <v>980100</v>
      </c>
      <c r="E73" s="101" t="s">
        <v>96</v>
      </c>
      <c r="F73" s="101">
        <v>40</v>
      </c>
      <c r="G73" s="124"/>
      <c r="H73" s="124">
        <v>0.59</v>
      </c>
      <c r="I73" s="121">
        <f t="shared" si="1"/>
        <v>0.59</v>
      </c>
      <c r="J73" s="101"/>
      <c r="K73" s="101"/>
      <c r="L73" s="101"/>
      <c r="M73" s="125"/>
    </row>
    <row r="74" spans="1:13" ht="15" thickBot="1" x14ac:dyDescent="0.4">
      <c r="A74" s="130" t="s">
        <v>9</v>
      </c>
      <c r="B74" s="131">
        <v>1110</v>
      </c>
      <c r="C74" s="130" t="s">
        <v>554</v>
      </c>
      <c r="D74" s="130">
        <v>987594</v>
      </c>
      <c r="E74" s="130" t="s">
        <v>448</v>
      </c>
      <c r="F74" s="130">
        <v>30</v>
      </c>
      <c r="G74" s="132">
        <v>0.79</v>
      </c>
      <c r="H74" s="132">
        <v>0.75</v>
      </c>
      <c r="I74" s="132">
        <f t="shared" si="1"/>
        <v>-4.0000000000000036E-2</v>
      </c>
      <c r="J74" s="130" t="s">
        <v>51</v>
      </c>
      <c r="K74" s="130" t="s">
        <v>200</v>
      </c>
      <c r="L74" s="130"/>
      <c r="M74" s="133">
        <v>44813</v>
      </c>
    </row>
    <row r="75" spans="1:13" x14ac:dyDescent="0.35">
      <c r="A75" s="119" t="s">
        <v>9</v>
      </c>
      <c r="B75" s="120">
        <v>1116</v>
      </c>
      <c r="C75" s="119" t="s">
        <v>555</v>
      </c>
      <c r="D75" s="119">
        <v>980000</v>
      </c>
      <c r="E75" s="119" t="s">
        <v>93</v>
      </c>
      <c r="F75" s="119">
        <v>37.5</v>
      </c>
      <c r="G75" s="121"/>
      <c r="H75" s="121">
        <v>0.49</v>
      </c>
      <c r="I75" s="121">
        <f t="shared" si="1"/>
        <v>0.49</v>
      </c>
      <c r="J75" s="119"/>
      <c r="K75" s="119"/>
      <c r="L75" s="119"/>
      <c r="M75" s="122"/>
    </row>
    <row r="76" spans="1:13" x14ac:dyDescent="0.35">
      <c r="A76" s="101" t="s">
        <v>9</v>
      </c>
      <c r="B76" s="123">
        <v>1116</v>
      </c>
      <c r="C76" s="101" t="s">
        <v>555</v>
      </c>
      <c r="D76" s="101">
        <v>980100</v>
      </c>
      <c r="E76" s="101" t="s">
        <v>96</v>
      </c>
      <c r="F76" s="101">
        <v>40</v>
      </c>
      <c r="G76" s="124"/>
      <c r="H76" s="124">
        <v>0.65</v>
      </c>
      <c r="I76" s="121">
        <f t="shared" si="1"/>
        <v>0.65</v>
      </c>
      <c r="J76" s="101"/>
      <c r="K76" s="101"/>
      <c r="L76" s="101"/>
      <c r="M76" s="125"/>
    </row>
    <row r="77" spans="1:13" ht="15" thickBot="1" x14ac:dyDescent="0.4">
      <c r="A77" s="130" t="s">
        <v>9</v>
      </c>
      <c r="B77" s="131">
        <v>1116</v>
      </c>
      <c r="C77" s="130" t="s">
        <v>555</v>
      </c>
      <c r="D77" s="130">
        <v>987594</v>
      </c>
      <c r="E77" s="130" t="s">
        <v>448</v>
      </c>
      <c r="F77" s="130">
        <v>30</v>
      </c>
      <c r="G77" s="132">
        <v>0.79</v>
      </c>
      <c r="H77" s="132">
        <v>0.75</v>
      </c>
      <c r="I77" s="132">
        <f t="shared" si="1"/>
        <v>-4.0000000000000036E-2</v>
      </c>
      <c r="J77" s="130" t="s">
        <v>51</v>
      </c>
      <c r="K77" s="130" t="s">
        <v>200</v>
      </c>
      <c r="L77" s="130"/>
      <c r="M77" s="133">
        <v>44813</v>
      </c>
    </row>
    <row r="78" spans="1:13" x14ac:dyDescent="0.35">
      <c r="A78" s="119" t="s">
        <v>9</v>
      </c>
      <c r="B78" s="120">
        <v>1120</v>
      </c>
      <c r="C78" s="119" t="s">
        <v>556</v>
      </c>
      <c r="D78" s="119">
        <v>980000</v>
      </c>
      <c r="E78" s="119" t="s">
        <v>93</v>
      </c>
      <c r="F78" s="119">
        <v>37.5</v>
      </c>
      <c r="G78" s="121"/>
      <c r="H78" s="121">
        <v>0.48</v>
      </c>
      <c r="I78" s="121">
        <f t="shared" si="1"/>
        <v>0.48</v>
      </c>
      <c r="J78" s="119"/>
      <c r="K78" s="119"/>
      <c r="L78" s="119"/>
      <c r="M78" s="122"/>
    </row>
    <row r="79" spans="1:13" x14ac:dyDescent="0.35">
      <c r="A79" s="101" t="s">
        <v>9</v>
      </c>
      <c r="B79" s="123">
        <v>1120</v>
      </c>
      <c r="C79" s="101" t="s">
        <v>556</v>
      </c>
      <c r="D79" s="101">
        <v>980100</v>
      </c>
      <c r="E79" s="101" t="s">
        <v>96</v>
      </c>
      <c r="F79" s="101">
        <v>40</v>
      </c>
      <c r="G79" s="124"/>
      <c r="H79" s="124">
        <v>0.64</v>
      </c>
      <c r="I79" s="121">
        <f t="shared" si="1"/>
        <v>0.64</v>
      </c>
      <c r="J79" s="101"/>
      <c r="K79" s="101"/>
      <c r="L79" s="101"/>
      <c r="M79" s="125"/>
    </row>
    <row r="80" spans="1:13" ht="15" thickBot="1" x14ac:dyDescent="0.4">
      <c r="A80" s="126" t="s">
        <v>9</v>
      </c>
      <c r="B80" s="127">
        <v>1120</v>
      </c>
      <c r="C80" s="126" t="s">
        <v>556</v>
      </c>
      <c r="D80" s="126">
        <v>987594</v>
      </c>
      <c r="E80" s="126" t="s">
        <v>448</v>
      </c>
      <c r="F80" s="126">
        <v>30</v>
      </c>
      <c r="G80" s="128"/>
      <c r="H80" s="128">
        <v>0.75</v>
      </c>
      <c r="I80" s="128">
        <f t="shared" si="1"/>
        <v>0.75</v>
      </c>
      <c r="J80" s="126"/>
      <c r="K80" s="126"/>
      <c r="L80" s="126"/>
      <c r="M80" s="129"/>
    </row>
    <row r="81" spans="1:13" x14ac:dyDescent="0.35">
      <c r="A81" s="119" t="s">
        <v>9</v>
      </c>
      <c r="B81" s="120">
        <v>1126</v>
      </c>
      <c r="C81" s="119" t="s">
        <v>557</v>
      </c>
      <c r="D81" s="119">
        <v>980000</v>
      </c>
      <c r="E81" s="119" t="s">
        <v>93</v>
      </c>
      <c r="F81" s="119">
        <v>37.5</v>
      </c>
      <c r="G81" s="121"/>
      <c r="H81" s="121">
        <v>0.49</v>
      </c>
      <c r="I81" s="121">
        <f t="shared" si="1"/>
        <v>0.49</v>
      </c>
      <c r="J81" s="119"/>
      <c r="K81" s="119"/>
      <c r="L81" s="119"/>
      <c r="M81" s="122"/>
    </row>
    <row r="82" spans="1:13" x14ac:dyDescent="0.35">
      <c r="A82" s="101" t="s">
        <v>9</v>
      </c>
      <c r="B82" s="123">
        <v>1126</v>
      </c>
      <c r="C82" s="101" t="s">
        <v>557</v>
      </c>
      <c r="D82" s="101">
        <v>980100</v>
      </c>
      <c r="E82" s="101" t="s">
        <v>96</v>
      </c>
      <c r="F82" s="101">
        <v>40</v>
      </c>
      <c r="G82" s="124"/>
      <c r="H82" s="124">
        <v>0.65</v>
      </c>
      <c r="I82" s="121">
        <f t="shared" si="1"/>
        <v>0.65</v>
      </c>
      <c r="J82" s="101"/>
      <c r="K82" s="101"/>
      <c r="L82" s="101"/>
      <c r="M82" s="125"/>
    </row>
    <row r="83" spans="1:13" ht="15" thickBot="1" x14ac:dyDescent="0.4">
      <c r="A83" s="130" t="s">
        <v>9</v>
      </c>
      <c r="B83" s="131">
        <v>1126</v>
      </c>
      <c r="C83" s="130" t="s">
        <v>557</v>
      </c>
      <c r="D83" s="130">
        <v>987594</v>
      </c>
      <c r="E83" s="130" t="s">
        <v>448</v>
      </c>
      <c r="F83" s="130">
        <v>30</v>
      </c>
      <c r="G83" s="132">
        <v>0.79</v>
      </c>
      <c r="H83" s="132">
        <v>0.75</v>
      </c>
      <c r="I83" s="132">
        <f t="shared" si="1"/>
        <v>-4.0000000000000036E-2</v>
      </c>
      <c r="J83" s="130" t="s">
        <v>51</v>
      </c>
      <c r="K83" s="130" t="s">
        <v>200</v>
      </c>
      <c r="L83" s="130"/>
      <c r="M83" s="133">
        <v>44813</v>
      </c>
    </row>
    <row r="84" spans="1:13" x14ac:dyDescent="0.35">
      <c r="A84" s="119" t="s">
        <v>9</v>
      </c>
      <c r="B84" s="120">
        <v>1136</v>
      </c>
      <c r="C84" s="119" t="s">
        <v>558</v>
      </c>
      <c r="D84" s="119">
        <v>980000</v>
      </c>
      <c r="E84" s="119" t="s">
        <v>93</v>
      </c>
      <c r="F84" s="119">
        <v>37.5</v>
      </c>
      <c r="G84" s="121"/>
      <c r="H84" s="121">
        <v>0.48</v>
      </c>
      <c r="I84" s="121">
        <f t="shared" si="1"/>
        <v>0.48</v>
      </c>
      <c r="J84" s="119"/>
      <c r="K84" s="119"/>
      <c r="L84" s="119"/>
      <c r="M84" s="122"/>
    </row>
    <row r="85" spans="1:13" x14ac:dyDescent="0.35">
      <c r="A85" s="101" t="s">
        <v>9</v>
      </c>
      <c r="B85" s="123">
        <v>1136</v>
      </c>
      <c r="C85" s="101" t="s">
        <v>558</v>
      </c>
      <c r="D85" s="101">
        <v>980100</v>
      </c>
      <c r="E85" s="101" t="s">
        <v>96</v>
      </c>
      <c r="F85" s="101">
        <v>40</v>
      </c>
      <c r="G85" s="124"/>
      <c r="H85" s="124">
        <v>0.57999999999999996</v>
      </c>
      <c r="I85" s="121">
        <f t="shared" si="1"/>
        <v>0.57999999999999996</v>
      </c>
      <c r="J85" s="101"/>
      <c r="K85" s="101"/>
      <c r="L85" s="101"/>
      <c r="M85" s="125"/>
    </row>
    <row r="86" spans="1:13" ht="15" thickBot="1" x14ac:dyDescent="0.4">
      <c r="A86" s="130" t="s">
        <v>9</v>
      </c>
      <c r="B86" s="131">
        <v>1136</v>
      </c>
      <c r="C86" s="130" t="s">
        <v>558</v>
      </c>
      <c r="D86" s="130">
        <v>987594</v>
      </c>
      <c r="E86" s="130" t="s">
        <v>448</v>
      </c>
      <c r="F86" s="130">
        <v>30</v>
      </c>
      <c r="G86" s="132">
        <v>0.79</v>
      </c>
      <c r="H86" s="132">
        <v>0.75</v>
      </c>
      <c r="I86" s="132">
        <f t="shared" si="1"/>
        <v>-4.0000000000000036E-2</v>
      </c>
      <c r="J86" s="130" t="s">
        <v>51</v>
      </c>
      <c r="K86" s="130" t="s">
        <v>200</v>
      </c>
      <c r="L86" s="130"/>
      <c r="M86" s="133">
        <v>44813</v>
      </c>
    </row>
    <row r="87" spans="1:13" x14ac:dyDescent="0.35">
      <c r="A87" s="119" t="s">
        <v>9</v>
      </c>
      <c r="B87" s="120">
        <v>1141</v>
      </c>
      <c r="C87" s="119" t="s">
        <v>548</v>
      </c>
      <c r="D87" s="119">
        <v>980000</v>
      </c>
      <c r="E87" s="119" t="s">
        <v>93</v>
      </c>
      <c r="F87" s="119">
        <v>37.5</v>
      </c>
      <c r="G87" s="121"/>
      <c r="H87" s="121">
        <v>0.45</v>
      </c>
      <c r="I87" s="121">
        <f t="shared" si="1"/>
        <v>0.45</v>
      </c>
      <c r="J87" s="119"/>
      <c r="K87" s="119"/>
      <c r="L87" s="119"/>
      <c r="M87" s="122"/>
    </row>
    <row r="88" spans="1:13" x14ac:dyDescent="0.35">
      <c r="A88" s="101" t="s">
        <v>9</v>
      </c>
      <c r="B88" s="123">
        <v>1141</v>
      </c>
      <c r="C88" s="101" t="s">
        <v>548</v>
      </c>
      <c r="D88" s="101">
        <v>980100</v>
      </c>
      <c r="E88" s="101" t="s">
        <v>96</v>
      </c>
      <c r="F88" s="101">
        <v>40</v>
      </c>
      <c r="G88" s="124"/>
      <c r="H88" s="124">
        <v>0.64</v>
      </c>
      <c r="I88" s="121">
        <f t="shared" si="1"/>
        <v>0.64</v>
      </c>
      <c r="J88" s="101"/>
      <c r="K88" s="101"/>
      <c r="L88" s="101"/>
      <c r="M88" s="125"/>
    </row>
    <row r="89" spans="1:13" ht="15" thickBot="1" x14ac:dyDescent="0.4">
      <c r="A89" s="130" t="s">
        <v>9</v>
      </c>
      <c r="B89" s="131">
        <v>1141</v>
      </c>
      <c r="C89" s="130" t="s">
        <v>548</v>
      </c>
      <c r="D89" s="130">
        <v>987594</v>
      </c>
      <c r="E89" s="130" t="s">
        <v>448</v>
      </c>
      <c r="F89" s="130">
        <v>30</v>
      </c>
      <c r="G89" s="132">
        <v>0.79</v>
      </c>
      <c r="H89" s="132">
        <v>0.75</v>
      </c>
      <c r="I89" s="132">
        <f t="shared" si="1"/>
        <v>-4.0000000000000036E-2</v>
      </c>
      <c r="J89" s="130" t="s">
        <v>51</v>
      </c>
      <c r="K89" s="130" t="s">
        <v>200</v>
      </c>
      <c r="L89" s="130"/>
      <c r="M89" s="133">
        <v>44813</v>
      </c>
    </row>
    <row r="90" spans="1:13" x14ac:dyDescent="0.35">
      <c r="A90" s="119" t="s">
        <v>9</v>
      </c>
      <c r="B90" s="120">
        <v>1157</v>
      </c>
      <c r="C90" s="119" t="s">
        <v>281</v>
      </c>
      <c r="D90" s="119">
        <v>980000</v>
      </c>
      <c r="E90" s="119" t="s">
        <v>93</v>
      </c>
      <c r="F90" s="119">
        <v>37.5</v>
      </c>
      <c r="G90" s="121"/>
      <c r="H90" s="121">
        <v>0.46</v>
      </c>
      <c r="I90" s="121">
        <f t="shared" si="1"/>
        <v>0.46</v>
      </c>
      <c r="J90" s="119"/>
      <c r="K90" s="119"/>
      <c r="L90" s="119"/>
      <c r="M90" s="122"/>
    </row>
    <row r="91" spans="1:13" x14ac:dyDescent="0.35">
      <c r="A91" s="101" t="s">
        <v>9</v>
      </c>
      <c r="B91" s="123">
        <v>1157</v>
      </c>
      <c r="C91" s="101" t="s">
        <v>281</v>
      </c>
      <c r="D91" s="101">
        <v>980100</v>
      </c>
      <c r="E91" s="101" t="s">
        <v>96</v>
      </c>
      <c r="F91" s="101">
        <v>40</v>
      </c>
      <c r="G91" s="124"/>
      <c r="H91" s="124">
        <v>0.64</v>
      </c>
      <c r="I91" s="121">
        <f t="shared" si="1"/>
        <v>0.64</v>
      </c>
      <c r="J91" s="101"/>
      <c r="K91" s="101"/>
      <c r="L91" s="101"/>
      <c r="M91" s="125"/>
    </row>
    <row r="92" spans="1:13" ht="15" thickBot="1" x14ac:dyDescent="0.4">
      <c r="A92" s="130" t="s">
        <v>9</v>
      </c>
      <c r="B92" s="131">
        <v>1157</v>
      </c>
      <c r="C92" s="130" t="s">
        <v>281</v>
      </c>
      <c r="D92" s="130">
        <v>987594</v>
      </c>
      <c r="E92" s="130" t="s">
        <v>448</v>
      </c>
      <c r="F92" s="130">
        <v>30</v>
      </c>
      <c r="G92" s="132">
        <v>0.79</v>
      </c>
      <c r="H92" s="132">
        <v>0.75</v>
      </c>
      <c r="I92" s="132">
        <f t="shared" si="1"/>
        <v>-4.0000000000000036E-2</v>
      </c>
      <c r="J92" s="130" t="s">
        <v>51</v>
      </c>
      <c r="K92" s="130" t="s">
        <v>200</v>
      </c>
      <c r="L92" s="130"/>
      <c r="M92" s="133">
        <v>44813</v>
      </c>
    </row>
    <row r="93" spans="1:13" x14ac:dyDescent="0.35">
      <c r="A93" s="119" t="s">
        <v>9</v>
      </c>
      <c r="B93" s="120">
        <v>1161</v>
      </c>
      <c r="C93" s="119" t="s">
        <v>559</v>
      </c>
      <c r="D93" s="119">
        <v>980000</v>
      </c>
      <c r="E93" s="119" t="s">
        <v>93</v>
      </c>
      <c r="F93" s="119">
        <v>37.5</v>
      </c>
      <c r="G93" s="121"/>
      <c r="H93" s="121">
        <v>0.49</v>
      </c>
      <c r="I93" s="121">
        <f t="shared" si="1"/>
        <v>0.49</v>
      </c>
      <c r="J93" s="119"/>
      <c r="K93" s="119"/>
      <c r="L93" s="119"/>
      <c r="M93" s="122"/>
    </row>
    <row r="94" spans="1:13" x14ac:dyDescent="0.35">
      <c r="A94" s="101" t="s">
        <v>9</v>
      </c>
      <c r="B94" s="123">
        <v>1161</v>
      </c>
      <c r="C94" s="101" t="s">
        <v>559</v>
      </c>
      <c r="D94" s="101">
        <v>980100</v>
      </c>
      <c r="E94" s="101" t="s">
        <v>96</v>
      </c>
      <c r="F94" s="101">
        <v>40</v>
      </c>
      <c r="G94" s="124"/>
      <c r="H94" s="124">
        <v>0.65</v>
      </c>
      <c r="I94" s="121">
        <f t="shared" si="1"/>
        <v>0.65</v>
      </c>
      <c r="J94" s="101"/>
      <c r="K94" s="101"/>
      <c r="L94" s="101"/>
      <c r="M94" s="125"/>
    </row>
    <row r="95" spans="1:13" ht="15" thickBot="1" x14ac:dyDescent="0.4">
      <c r="A95" s="126" t="s">
        <v>9</v>
      </c>
      <c r="B95" s="127">
        <v>1161</v>
      </c>
      <c r="C95" s="126" t="s">
        <v>559</v>
      </c>
      <c r="D95" s="126">
        <v>987594</v>
      </c>
      <c r="E95" s="126" t="s">
        <v>448</v>
      </c>
      <c r="F95" s="126">
        <v>30</v>
      </c>
      <c r="G95" s="128"/>
      <c r="H95" s="128">
        <v>0.85</v>
      </c>
      <c r="I95" s="128">
        <f t="shared" si="1"/>
        <v>0.85</v>
      </c>
      <c r="J95" s="126"/>
      <c r="K95" s="126"/>
      <c r="L95" s="126"/>
      <c r="M95" s="129"/>
    </row>
    <row r="96" spans="1:13" x14ac:dyDescent="0.35">
      <c r="A96" s="139" t="s">
        <v>9</v>
      </c>
      <c r="B96" s="140">
        <v>1163</v>
      </c>
      <c r="C96" s="139" t="s">
        <v>560</v>
      </c>
      <c r="D96" s="139">
        <v>980000</v>
      </c>
      <c r="E96" s="139" t="s">
        <v>93</v>
      </c>
      <c r="F96" s="139">
        <v>37.5</v>
      </c>
      <c r="G96" s="137">
        <v>0.48</v>
      </c>
      <c r="H96" s="137">
        <v>0.46</v>
      </c>
      <c r="I96" s="137">
        <f t="shared" si="1"/>
        <v>-1.9999999999999962E-2</v>
      </c>
      <c r="J96" s="139" t="s">
        <v>51</v>
      </c>
      <c r="K96" s="139" t="s">
        <v>200</v>
      </c>
      <c r="L96" s="139"/>
      <c r="M96" s="141">
        <v>44813</v>
      </c>
    </row>
    <row r="97" spans="1:13" x14ac:dyDescent="0.35">
      <c r="A97" s="101" t="s">
        <v>9</v>
      </c>
      <c r="B97" s="123">
        <v>1163</v>
      </c>
      <c r="C97" s="101" t="s">
        <v>560</v>
      </c>
      <c r="D97" s="101">
        <v>980100</v>
      </c>
      <c r="E97" s="101" t="s">
        <v>96</v>
      </c>
      <c r="F97" s="101">
        <v>40</v>
      </c>
      <c r="G97" s="124"/>
      <c r="H97" s="124">
        <v>0.61</v>
      </c>
      <c r="I97" s="121">
        <f t="shared" si="1"/>
        <v>0.61</v>
      </c>
      <c r="J97" s="101"/>
      <c r="K97" s="101"/>
      <c r="L97" s="101"/>
      <c r="M97" s="125"/>
    </row>
    <row r="98" spans="1:13" ht="15" thickBot="1" x14ac:dyDescent="0.4">
      <c r="A98" s="130" t="s">
        <v>9</v>
      </c>
      <c r="B98" s="131">
        <v>1163</v>
      </c>
      <c r="C98" s="130" t="s">
        <v>560</v>
      </c>
      <c r="D98" s="130">
        <v>987594</v>
      </c>
      <c r="E98" s="130" t="s">
        <v>448</v>
      </c>
      <c r="F98" s="130">
        <v>30</v>
      </c>
      <c r="G98" s="132">
        <v>0.79</v>
      </c>
      <c r="H98" s="132">
        <v>0.75</v>
      </c>
      <c r="I98" s="132">
        <f t="shared" si="1"/>
        <v>-4.0000000000000036E-2</v>
      </c>
      <c r="J98" s="130" t="s">
        <v>51</v>
      </c>
      <c r="K98" s="130" t="s">
        <v>200</v>
      </c>
      <c r="L98" s="130"/>
      <c r="M98" s="133">
        <v>44813</v>
      </c>
    </row>
    <row r="99" spans="1:13" x14ac:dyDescent="0.35">
      <c r="A99" s="119" t="s">
        <v>9</v>
      </c>
      <c r="B99" s="120">
        <v>1170</v>
      </c>
      <c r="C99" s="119" t="s">
        <v>285</v>
      </c>
      <c r="D99" s="119">
        <v>980000</v>
      </c>
      <c r="E99" s="119" t="s">
        <v>93</v>
      </c>
      <c r="F99" s="119">
        <v>37.5</v>
      </c>
      <c r="G99" s="121"/>
      <c r="H99" s="121">
        <v>0.59</v>
      </c>
      <c r="I99" s="121">
        <f t="shared" si="1"/>
        <v>0.59</v>
      </c>
      <c r="J99" s="119"/>
      <c r="K99" s="119"/>
      <c r="L99" s="119"/>
      <c r="M99" s="122"/>
    </row>
    <row r="100" spans="1:13" x14ac:dyDescent="0.35">
      <c r="A100" s="101" t="s">
        <v>9</v>
      </c>
      <c r="B100" s="123">
        <v>1170</v>
      </c>
      <c r="C100" s="101" t="s">
        <v>285</v>
      </c>
      <c r="D100" s="101">
        <v>980100</v>
      </c>
      <c r="E100" s="101" t="s">
        <v>96</v>
      </c>
      <c r="F100" s="101">
        <v>40</v>
      </c>
      <c r="G100" s="124"/>
      <c r="H100" s="124">
        <v>0.63</v>
      </c>
      <c r="I100" s="121">
        <f t="shared" si="1"/>
        <v>0.63</v>
      </c>
      <c r="J100" s="101"/>
      <c r="K100" s="101"/>
      <c r="L100" s="101"/>
      <c r="M100" s="125"/>
    </row>
    <row r="101" spans="1:13" ht="15" thickBot="1" x14ac:dyDescent="0.4">
      <c r="A101" s="130" t="s">
        <v>9</v>
      </c>
      <c r="B101" s="131">
        <v>1170</v>
      </c>
      <c r="C101" s="130" t="s">
        <v>285</v>
      </c>
      <c r="D101" s="130">
        <v>987594</v>
      </c>
      <c r="E101" s="130" t="s">
        <v>448</v>
      </c>
      <c r="F101" s="130">
        <v>30</v>
      </c>
      <c r="G101" s="132">
        <v>0.79</v>
      </c>
      <c r="H101" s="132">
        <v>0.89</v>
      </c>
      <c r="I101" s="132">
        <f t="shared" si="1"/>
        <v>9.9999999999999978E-2</v>
      </c>
      <c r="J101" s="130" t="s">
        <v>51</v>
      </c>
      <c r="K101" s="130" t="s">
        <v>200</v>
      </c>
      <c r="L101" s="130"/>
      <c r="M101" s="133">
        <v>44813</v>
      </c>
    </row>
    <row r="102" spans="1:13" x14ac:dyDescent="0.35">
      <c r="A102" s="119" t="s">
        <v>9</v>
      </c>
      <c r="B102" s="120">
        <v>1186</v>
      </c>
      <c r="C102" s="119" t="s">
        <v>311</v>
      </c>
      <c r="D102" s="119">
        <v>980000</v>
      </c>
      <c r="E102" s="119" t="s">
        <v>93</v>
      </c>
      <c r="F102" s="119">
        <v>37.5</v>
      </c>
      <c r="G102" s="121"/>
      <c r="H102" s="121">
        <v>0.49</v>
      </c>
      <c r="I102" s="121">
        <f t="shared" si="1"/>
        <v>0.49</v>
      </c>
      <c r="J102" s="119"/>
      <c r="K102" s="119"/>
      <c r="L102" s="119"/>
      <c r="M102" s="122"/>
    </row>
    <row r="103" spans="1:13" x14ac:dyDescent="0.35">
      <c r="A103" s="101" t="s">
        <v>9</v>
      </c>
      <c r="B103" s="123">
        <v>1186</v>
      </c>
      <c r="C103" s="101" t="s">
        <v>311</v>
      </c>
      <c r="D103" s="101">
        <v>980100</v>
      </c>
      <c r="E103" s="101" t="s">
        <v>96</v>
      </c>
      <c r="F103" s="101">
        <v>40</v>
      </c>
      <c r="G103" s="124"/>
      <c r="H103" s="124">
        <v>0.62</v>
      </c>
      <c r="I103" s="121">
        <f t="shared" si="1"/>
        <v>0.62</v>
      </c>
      <c r="J103" s="101"/>
      <c r="K103" s="101"/>
      <c r="L103" s="101"/>
      <c r="M103" s="125"/>
    </row>
    <row r="104" spans="1:13" ht="15" thickBot="1" x14ac:dyDescent="0.4">
      <c r="A104" s="130" t="s">
        <v>9</v>
      </c>
      <c r="B104" s="131">
        <v>1186</v>
      </c>
      <c r="C104" s="130" t="s">
        <v>311</v>
      </c>
      <c r="D104" s="130">
        <v>987594</v>
      </c>
      <c r="E104" s="130" t="s">
        <v>448</v>
      </c>
      <c r="F104" s="130">
        <v>30</v>
      </c>
      <c r="G104" s="132">
        <v>0.79</v>
      </c>
      <c r="H104" s="132">
        <v>0.89</v>
      </c>
      <c r="I104" s="132">
        <f t="shared" si="1"/>
        <v>9.9999999999999978E-2</v>
      </c>
      <c r="J104" s="130" t="s">
        <v>51</v>
      </c>
      <c r="K104" s="130" t="s">
        <v>200</v>
      </c>
      <c r="L104" s="130"/>
      <c r="M104" s="133">
        <v>44813</v>
      </c>
    </row>
    <row r="105" spans="1:13" x14ac:dyDescent="0.35">
      <c r="A105" s="119" t="s">
        <v>9</v>
      </c>
      <c r="B105" s="120">
        <v>1193</v>
      </c>
      <c r="C105" s="119" t="s">
        <v>561</v>
      </c>
      <c r="D105" s="119">
        <v>980000</v>
      </c>
      <c r="E105" s="119" t="s">
        <v>93</v>
      </c>
      <c r="F105" s="119">
        <v>37.5</v>
      </c>
      <c r="G105" s="121"/>
      <c r="H105" s="121">
        <v>0.41</v>
      </c>
      <c r="I105" s="121">
        <f t="shared" si="1"/>
        <v>0.41</v>
      </c>
      <c r="J105" s="119"/>
      <c r="K105" s="119"/>
      <c r="L105" s="119"/>
      <c r="M105" s="122"/>
    </row>
    <row r="106" spans="1:13" x14ac:dyDescent="0.35">
      <c r="A106" s="101" t="s">
        <v>9</v>
      </c>
      <c r="B106" s="123">
        <v>1193</v>
      </c>
      <c r="C106" s="101" t="s">
        <v>561</v>
      </c>
      <c r="D106" s="101">
        <v>980100</v>
      </c>
      <c r="E106" s="101" t="s">
        <v>96</v>
      </c>
      <c r="F106" s="101">
        <v>40</v>
      </c>
      <c r="G106" s="124"/>
      <c r="H106" s="124">
        <v>0.64</v>
      </c>
      <c r="I106" s="121">
        <f t="shared" si="1"/>
        <v>0.64</v>
      </c>
      <c r="J106" s="101"/>
      <c r="K106" s="101"/>
      <c r="L106" s="101"/>
      <c r="M106" s="125"/>
    </row>
    <row r="107" spans="1:13" ht="15" thickBot="1" x14ac:dyDescent="0.4">
      <c r="A107" s="130" t="s">
        <v>9</v>
      </c>
      <c r="B107" s="131">
        <v>1193</v>
      </c>
      <c r="C107" s="130" t="s">
        <v>561</v>
      </c>
      <c r="D107" s="130">
        <v>987594</v>
      </c>
      <c r="E107" s="130" t="s">
        <v>448</v>
      </c>
      <c r="F107" s="130">
        <v>30</v>
      </c>
      <c r="G107" s="132">
        <v>0.79</v>
      </c>
      <c r="H107" s="132">
        <v>0.75</v>
      </c>
      <c r="I107" s="132">
        <f t="shared" si="1"/>
        <v>-4.0000000000000036E-2</v>
      </c>
      <c r="J107" s="130" t="s">
        <v>51</v>
      </c>
      <c r="K107" s="130" t="s">
        <v>200</v>
      </c>
      <c r="L107" s="130"/>
      <c r="M107" s="133">
        <v>44813</v>
      </c>
    </row>
    <row r="108" spans="1:13" x14ac:dyDescent="0.35">
      <c r="A108" s="119" t="s">
        <v>9</v>
      </c>
      <c r="B108" s="120">
        <v>1208</v>
      </c>
      <c r="C108" s="119" t="s">
        <v>319</v>
      </c>
      <c r="D108" s="119">
        <v>980000</v>
      </c>
      <c r="E108" s="119" t="s">
        <v>93</v>
      </c>
      <c r="F108" s="119">
        <v>37.5</v>
      </c>
      <c r="G108" s="121"/>
      <c r="H108" s="121">
        <v>0.53</v>
      </c>
      <c r="I108" s="121">
        <f t="shared" si="1"/>
        <v>0.53</v>
      </c>
      <c r="J108" s="119"/>
      <c r="K108" s="119"/>
      <c r="L108" s="119"/>
      <c r="M108" s="122"/>
    </row>
    <row r="109" spans="1:13" x14ac:dyDescent="0.35">
      <c r="A109" s="101" t="s">
        <v>9</v>
      </c>
      <c r="B109" s="123">
        <v>1208</v>
      </c>
      <c r="C109" s="101" t="s">
        <v>319</v>
      </c>
      <c r="D109" s="101">
        <v>980100</v>
      </c>
      <c r="E109" s="101" t="s">
        <v>96</v>
      </c>
      <c r="F109" s="101">
        <v>40</v>
      </c>
      <c r="G109" s="124"/>
      <c r="H109" s="124">
        <v>0.64</v>
      </c>
      <c r="I109" s="121">
        <f t="shared" si="1"/>
        <v>0.64</v>
      </c>
      <c r="J109" s="101"/>
      <c r="K109" s="101"/>
      <c r="L109" s="101"/>
      <c r="M109" s="125"/>
    </row>
    <row r="110" spans="1:13" ht="15" thickBot="1" x14ac:dyDescent="0.4">
      <c r="A110" s="130" t="s">
        <v>9</v>
      </c>
      <c r="B110" s="131">
        <v>1208</v>
      </c>
      <c r="C110" s="130" t="s">
        <v>319</v>
      </c>
      <c r="D110" s="130">
        <v>987594</v>
      </c>
      <c r="E110" s="130" t="s">
        <v>448</v>
      </c>
      <c r="F110" s="130">
        <v>30</v>
      </c>
      <c r="G110" s="132">
        <v>0.79</v>
      </c>
      <c r="H110" s="132">
        <v>0.89</v>
      </c>
      <c r="I110" s="132">
        <f t="shared" si="1"/>
        <v>9.9999999999999978E-2</v>
      </c>
      <c r="J110" s="130" t="s">
        <v>51</v>
      </c>
      <c r="K110" s="130" t="s">
        <v>200</v>
      </c>
      <c r="L110" s="130"/>
      <c r="M110" s="133">
        <v>44813</v>
      </c>
    </row>
    <row r="111" spans="1:13" x14ac:dyDescent="0.35">
      <c r="A111" s="119" t="s">
        <v>9</v>
      </c>
      <c r="B111" s="120">
        <v>1247</v>
      </c>
      <c r="C111" s="119" t="s">
        <v>318</v>
      </c>
      <c r="D111" s="119">
        <v>980000</v>
      </c>
      <c r="E111" s="119" t="s">
        <v>93</v>
      </c>
      <c r="F111" s="119">
        <v>37.5</v>
      </c>
      <c r="G111" s="121"/>
      <c r="H111" s="121">
        <v>0.59</v>
      </c>
      <c r="I111" s="121">
        <f t="shared" si="1"/>
        <v>0.59</v>
      </c>
      <c r="J111" s="119"/>
      <c r="K111" s="119"/>
      <c r="L111" s="119"/>
      <c r="M111" s="122"/>
    </row>
    <row r="112" spans="1:13" x14ac:dyDescent="0.35">
      <c r="A112" s="101" t="s">
        <v>9</v>
      </c>
      <c r="B112" s="123">
        <v>1247</v>
      </c>
      <c r="C112" s="101" t="s">
        <v>318</v>
      </c>
      <c r="D112" s="101">
        <v>980100</v>
      </c>
      <c r="E112" s="101" t="s">
        <v>96</v>
      </c>
      <c r="F112" s="101">
        <v>40</v>
      </c>
      <c r="G112" s="124"/>
      <c r="H112" s="124">
        <v>0.66</v>
      </c>
      <c r="I112" s="121">
        <f t="shared" si="1"/>
        <v>0.66</v>
      </c>
      <c r="J112" s="101"/>
      <c r="K112" s="101"/>
      <c r="L112" s="101"/>
      <c r="M112" s="125"/>
    </row>
    <row r="113" spans="1:13" ht="15" thickBot="1" x14ac:dyDescent="0.4">
      <c r="A113" s="130" t="s">
        <v>9</v>
      </c>
      <c r="B113" s="131">
        <v>1247</v>
      </c>
      <c r="C113" s="130" t="s">
        <v>318</v>
      </c>
      <c r="D113" s="130">
        <v>987594</v>
      </c>
      <c r="E113" s="130" t="s">
        <v>448</v>
      </c>
      <c r="F113" s="130">
        <v>30</v>
      </c>
      <c r="G113" s="132">
        <v>0.79</v>
      </c>
      <c r="H113" s="132">
        <v>0.89</v>
      </c>
      <c r="I113" s="132">
        <f t="shared" si="1"/>
        <v>9.9999999999999978E-2</v>
      </c>
      <c r="J113" s="130" t="s">
        <v>51</v>
      </c>
      <c r="K113" s="130" t="s">
        <v>200</v>
      </c>
      <c r="L113" s="130"/>
      <c r="M113" s="133">
        <v>44813</v>
      </c>
    </row>
    <row r="114" spans="1:13" x14ac:dyDescent="0.35">
      <c r="A114" s="119" t="s">
        <v>9</v>
      </c>
      <c r="B114" s="120">
        <v>1248</v>
      </c>
      <c r="C114" s="119" t="s">
        <v>293</v>
      </c>
      <c r="D114" s="119">
        <v>980000</v>
      </c>
      <c r="E114" s="119" t="s">
        <v>93</v>
      </c>
      <c r="F114" s="119">
        <v>37.5</v>
      </c>
      <c r="G114" s="121"/>
      <c r="H114" s="121">
        <v>0.59</v>
      </c>
      <c r="I114" s="121">
        <f t="shared" si="1"/>
        <v>0.59</v>
      </c>
      <c r="J114" s="119"/>
      <c r="K114" s="119"/>
      <c r="L114" s="119"/>
      <c r="M114" s="122"/>
    </row>
    <row r="115" spans="1:13" x14ac:dyDescent="0.35">
      <c r="A115" s="101" t="s">
        <v>9</v>
      </c>
      <c r="B115" s="123">
        <v>1248</v>
      </c>
      <c r="C115" s="101" t="s">
        <v>293</v>
      </c>
      <c r="D115" s="101">
        <v>980100</v>
      </c>
      <c r="E115" s="101" t="s">
        <v>96</v>
      </c>
      <c r="F115" s="101">
        <v>40</v>
      </c>
      <c r="G115" s="124"/>
      <c r="H115" s="124">
        <v>0.69</v>
      </c>
      <c r="I115" s="121">
        <f t="shared" si="1"/>
        <v>0.69</v>
      </c>
      <c r="J115" s="101"/>
      <c r="K115" s="101"/>
      <c r="L115" s="101"/>
      <c r="M115" s="125"/>
    </row>
    <row r="116" spans="1:13" ht="15" thickBot="1" x14ac:dyDescent="0.4">
      <c r="A116" s="130" t="s">
        <v>9</v>
      </c>
      <c r="B116" s="131">
        <v>1248</v>
      </c>
      <c r="C116" s="130" t="s">
        <v>293</v>
      </c>
      <c r="D116" s="130">
        <v>987594</v>
      </c>
      <c r="E116" s="130" t="s">
        <v>448</v>
      </c>
      <c r="F116" s="130">
        <v>30</v>
      </c>
      <c r="G116" s="132">
        <v>0.79</v>
      </c>
      <c r="H116" s="132">
        <v>0.89</v>
      </c>
      <c r="I116" s="132">
        <f t="shared" si="1"/>
        <v>9.9999999999999978E-2</v>
      </c>
      <c r="J116" s="130" t="s">
        <v>51</v>
      </c>
      <c r="K116" s="130" t="s">
        <v>200</v>
      </c>
      <c r="L116" s="130"/>
      <c r="M116" s="133">
        <v>44813</v>
      </c>
    </row>
    <row r="117" spans="1:13" x14ac:dyDescent="0.35">
      <c r="A117" s="119" t="s">
        <v>9</v>
      </c>
      <c r="B117" s="120">
        <v>1262</v>
      </c>
      <c r="C117" s="119" t="s">
        <v>294</v>
      </c>
      <c r="D117" s="119">
        <v>980000</v>
      </c>
      <c r="E117" s="119" t="s">
        <v>93</v>
      </c>
      <c r="F117" s="119">
        <v>37.5</v>
      </c>
      <c r="G117" s="121"/>
      <c r="H117" s="121">
        <v>0.49</v>
      </c>
      <c r="I117" s="121">
        <f t="shared" si="1"/>
        <v>0.49</v>
      </c>
      <c r="J117" s="119"/>
      <c r="K117" s="119"/>
      <c r="L117" s="119"/>
      <c r="M117" s="122"/>
    </row>
    <row r="118" spans="1:13" x14ac:dyDescent="0.35">
      <c r="A118" s="101" t="s">
        <v>9</v>
      </c>
      <c r="B118" s="123">
        <v>1262</v>
      </c>
      <c r="C118" s="101" t="s">
        <v>294</v>
      </c>
      <c r="D118" s="101">
        <v>980100</v>
      </c>
      <c r="E118" s="101" t="s">
        <v>96</v>
      </c>
      <c r="F118" s="101">
        <v>40</v>
      </c>
      <c r="G118" s="124"/>
      <c r="H118" s="124">
        <v>0.64</v>
      </c>
      <c r="I118" s="121">
        <f t="shared" si="1"/>
        <v>0.64</v>
      </c>
      <c r="J118" s="101"/>
      <c r="K118" s="101"/>
      <c r="L118" s="101"/>
      <c r="M118" s="125"/>
    </row>
    <row r="119" spans="1:13" ht="15" thickBot="1" x14ac:dyDescent="0.4">
      <c r="A119" s="130" t="s">
        <v>9</v>
      </c>
      <c r="B119" s="131">
        <v>1262</v>
      </c>
      <c r="C119" s="130" t="s">
        <v>294</v>
      </c>
      <c r="D119" s="130">
        <v>987594</v>
      </c>
      <c r="E119" s="130" t="s">
        <v>448</v>
      </c>
      <c r="F119" s="130">
        <v>30</v>
      </c>
      <c r="G119" s="132">
        <v>0.79</v>
      </c>
      <c r="H119" s="132">
        <v>0.89</v>
      </c>
      <c r="I119" s="132">
        <f t="shared" si="1"/>
        <v>9.9999999999999978E-2</v>
      </c>
      <c r="J119" s="130" t="s">
        <v>51</v>
      </c>
      <c r="K119" s="130" t="s">
        <v>200</v>
      </c>
      <c r="L119" s="130"/>
      <c r="M119" s="133">
        <v>44813</v>
      </c>
    </row>
    <row r="120" spans="1:13" x14ac:dyDescent="0.35">
      <c r="A120" s="119" t="s">
        <v>9</v>
      </c>
      <c r="B120" s="120">
        <v>1290</v>
      </c>
      <c r="C120" s="119" t="s">
        <v>562</v>
      </c>
      <c r="D120" s="119">
        <v>980000</v>
      </c>
      <c r="E120" s="119" t="s">
        <v>93</v>
      </c>
      <c r="F120" s="119">
        <v>37.5</v>
      </c>
      <c r="G120" s="121"/>
      <c r="H120" s="121">
        <v>0.49</v>
      </c>
      <c r="I120" s="121">
        <f t="shared" si="1"/>
        <v>0.49</v>
      </c>
      <c r="J120" s="119"/>
      <c r="K120" s="119"/>
      <c r="L120" s="119"/>
      <c r="M120" s="122"/>
    </row>
    <row r="121" spans="1:13" x14ac:dyDescent="0.35">
      <c r="A121" s="101" t="s">
        <v>9</v>
      </c>
      <c r="B121" s="123">
        <v>1290</v>
      </c>
      <c r="C121" s="101" t="s">
        <v>562</v>
      </c>
      <c r="D121" s="101">
        <v>980100</v>
      </c>
      <c r="E121" s="101" t="s">
        <v>96</v>
      </c>
      <c r="F121" s="101">
        <v>40</v>
      </c>
      <c r="G121" s="124"/>
      <c r="H121" s="124">
        <v>0.59</v>
      </c>
      <c r="I121" s="121">
        <f t="shared" si="1"/>
        <v>0.59</v>
      </c>
      <c r="J121" s="101"/>
      <c r="K121" s="101"/>
      <c r="L121" s="101"/>
      <c r="M121" s="125"/>
    </row>
    <row r="122" spans="1:13" ht="15" thickBot="1" x14ac:dyDescent="0.4">
      <c r="A122" s="130" t="s">
        <v>9</v>
      </c>
      <c r="B122" s="131">
        <v>1290</v>
      </c>
      <c r="C122" s="130" t="s">
        <v>562</v>
      </c>
      <c r="D122" s="130">
        <v>987594</v>
      </c>
      <c r="E122" s="130" t="s">
        <v>448</v>
      </c>
      <c r="F122" s="130">
        <v>30</v>
      </c>
      <c r="G122" s="132">
        <v>0.79</v>
      </c>
      <c r="H122" s="132">
        <v>0.89</v>
      </c>
      <c r="I122" s="132">
        <f t="shared" si="1"/>
        <v>9.9999999999999978E-2</v>
      </c>
      <c r="J122" s="130" t="s">
        <v>51</v>
      </c>
      <c r="K122" s="130" t="s">
        <v>200</v>
      </c>
      <c r="L122" s="130"/>
      <c r="M122" s="133">
        <v>44813</v>
      </c>
    </row>
    <row r="123" spans="1:13" x14ac:dyDescent="0.35">
      <c r="A123" s="119" t="s">
        <v>9</v>
      </c>
      <c r="B123" s="120">
        <v>1412</v>
      </c>
      <c r="C123" s="119" t="s">
        <v>328</v>
      </c>
      <c r="D123" s="119">
        <v>980000</v>
      </c>
      <c r="E123" s="119" t="s">
        <v>93</v>
      </c>
      <c r="F123" s="119">
        <v>37.5</v>
      </c>
      <c r="G123" s="121"/>
      <c r="H123" s="121">
        <v>0.45</v>
      </c>
      <c r="I123" s="121">
        <f t="shared" si="1"/>
        <v>0.45</v>
      </c>
      <c r="J123" s="119"/>
      <c r="K123" s="119"/>
      <c r="L123" s="119"/>
      <c r="M123" s="122"/>
    </row>
    <row r="124" spans="1:13" x14ac:dyDescent="0.35">
      <c r="A124" s="101" t="s">
        <v>9</v>
      </c>
      <c r="B124" s="123">
        <v>1412</v>
      </c>
      <c r="C124" s="101" t="s">
        <v>328</v>
      </c>
      <c r="D124" s="101">
        <v>980100</v>
      </c>
      <c r="E124" s="101" t="s">
        <v>96</v>
      </c>
      <c r="F124" s="101">
        <v>40</v>
      </c>
      <c r="G124" s="124"/>
      <c r="H124" s="124">
        <v>0.66</v>
      </c>
      <c r="I124" s="121">
        <f t="shared" si="1"/>
        <v>0.66</v>
      </c>
      <c r="J124" s="101"/>
      <c r="K124" s="101"/>
      <c r="L124" s="101"/>
      <c r="M124" s="125"/>
    </row>
    <row r="125" spans="1:13" ht="15" thickBot="1" x14ac:dyDescent="0.4">
      <c r="A125" s="130" t="s">
        <v>9</v>
      </c>
      <c r="B125" s="131">
        <v>1412</v>
      </c>
      <c r="C125" s="130" t="s">
        <v>328</v>
      </c>
      <c r="D125" s="130">
        <v>987594</v>
      </c>
      <c r="E125" s="130" t="s">
        <v>448</v>
      </c>
      <c r="F125" s="130">
        <v>30</v>
      </c>
      <c r="G125" s="132">
        <v>0.79</v>
      </c>
      <c r="H125" s="132">
        <v>0.95</v>
      </c>
      <c r="I125" s="132">
        <f t="shared" si="1"/>
        <v>0.15999999999999992</v>
      </c>
      <c r="J125" s="130" t="s">
        <v>51</v>
      </c>
      <c r="K125" s="130" t="s">
        <v>200</v>
      </c>
      <c r="L125" s="130"/>
      <c r="M125" s="133">
        <v>44813</v>
      </c>
    </row>
    <row r="126" spans="1:13" x14ac:dyDescent="0.35">
      <c r="A126" s="119" t="s">
        <v>9</v>
      </c>
      <c r="B126" s="120">
        <v>1415</v>
      </c>
      <c r="C126" s="119" t="s">
        <v>316</v>
      </c>
      <c r="D126" s="119">
        <v>980000</v>
      </c>
      <c r="E126" s="119" t="s">
        <v>93</v>
      </c>
      <c r="F126" s="119">
        <v>37.5</v>
      </c>
      <c r="G126" s="121"/>
      <c r="H126" s="121">
        <v>0.69</v>
      </c>
      <c r="I126" s="121">
        <f t="shared" si="1"/>
        <v>0.69</v>
      </c>
      <c r="J126" s="119"/>
      <c r="K126" s="119"/>
      <c r="L126" s="119"/>
      <c r="M126" s="122"/>
    </row>
    <row r="127" spans="1:13" x14ac:dyDescent="0.35">
      <c r="A127" s="101" t="s">
        <v>9</v>
      </c>
      <c r="B127" s="123">
        <v>1415</v>
      </c>
      <c r="C127" s="101" t="s">
        <v>316</v>
      </c>
      <c r="D127" s="101">
        <v>980100</v>
      </c>
      <c r="E127" s="101" t="s">
        <v>96</v>
      </c>
      <c r="F127" s="101">
        <v>40</v>
      </c>
      <c r="G127" s="124"/>
      <c r="H127" s="124">
        <v>0.64</v>
      </c>
      <c r="I127" s="121">
        <f t="shared" si="1"/>
        <v>0.64</v>
      </c>
      <c r="J127" s="101"/>
      <c r="K127" s="101"/>
      <c r="L127" s="101"/>
      <c r="M127" s="125"/>
    </row>
    <row r="128" spans="1:13" ht="15" thickBot="1" x14ac:dyDescent="0.4">
      <c r="A128" s="130" t="s">
        <v>9</v>
      </c>
      <c r="B128" s="131">
        <v>1415</v>
      </c>
      <c r="C128" s="130" t="s">
        <v>316</v>
      </c>
      <c r="D128" s="130">
        <v>987594</v>
      </c>
      <c r="E128" s="130" t="s">
        <v>448</v>
      </c>
      <c r="F128" s="130">
        <v>30</v>
      </c>
      <c r="G128" s="132">
        <v>0.79</v>
      </c>
      <c r="H128" s="132">
        <v>0.89</v>
      </c>
      <c r="I128" s="132">
        <f t="shared" si="1"/>
        <v>9.9999999999999978E-2</v>
      </c>
      <c r="J128" s="130" t="s">
        <v>51</v>
      </c>
      <c r="K128" s="130" t="s">
        <v>200</v>
      </c>
      <c r="L128" s="130"/>
      <c r="M128" s="133">
        <v>44813</v>
      </c>
    </row>
    <row r="129" spans="1:13" x14ac:dyDescent="0.35">
      <c r="A129" s="119" t="s">
        <v>9</v>
      </c>
      <c r="B129" s="120">
        <v>1416</v>
      </c>
      <c r="C129" s="119" t="s">
        <v>370</v>
      </c>
      <c r="D129" s="119">
        <v>980000</v>
      </c>
      <c r="E129" s="119" t="s">
        <v>93</v>
      </c>
      <c r="F129" s="119">
        <v>37.5</v>
      </c>
      <c r="G129" s="121"/>
      <c r="H129" s="121">
        <v>0.49</v>
      </c>
      <c r="I129" s="121">
        <f t="shared" si="1"/>
        <v>0.49</v>
      </c>
      <c r="J129" s="119"/>
      <c r="K129" s="119"/>
      <c r="L129" s="119"/>
      <c r="M129" s="122"/>
    </row>
    <row r="130" spans="1:13" x14ac:dyDescent="0.35">
      <c r="A130" s="101" t="s">
        <v>9</v>
      </c>
      <c r="B130" s="123">
        <v>1416</v>
      </c>
      <c r="C130" s="101" t="s">
        <v>370</v>
      </c>
      <c r="D130" s="101">
        <v>980100</v>
      </c>
      <c r="E130" s="101" t="s">
        <v>96</v>
      </c>
      <c r="F130" s="101">
        <v>40</v>
      </c>
      <c r="G130" s="124"/>
      <c r="H130" s="124">
        <v>0.59</v>
      </c>
      <c r="I130" s="121">
        <f t="shared" si="1"/>
        <v>0.59</v>
      </c>
      <c r="J130" s="101"/>
      <c r="K130" s="101"/>
      <c r="L130" s="101"/>
      <c r="M130" s="125"/>
    </row>
    <row r="131" spans="1:13" ht="15" thickBot="1" x14ac:dyDescent="0.4">
      <c r="A131" s="130" t="s">
        <v>9</v>
      </c>
      <c r="B131" s="131">
        <v>1416</v>
      </c>
      <c r="C131" s="130" t="s">
        <v>370</v>
      </c>
      <c r="D131" s="130">
        <v>987594</v>
      </c>
      <c r="E131" s="130" t="s">
        <v>448</v>
      </c>
      <c r="F131" s="130">
        <v>30</v>
      </c>
      <c r="G131" s="132">
        <v>0.79</v>
      </c>
      <c r="H131" s="132">
        <v>0.75</v>
      </c>
      <c r="I131" s="132">
        <f t="shared" si="1"/>
        <v>-4.0000000000000036E-2</v>
      </c>
      <c r="J131" s="130" t="s">
        <v>51</v>
      </c>
      <c r="K131" s="130" t="s">
        <v>200</v>
      </c>
      <c r="L131" s="130"/>
      <c r="M131" s="133">
        <v>44813</v>
      </c>
    </row>
    <row r="132" spans="1:13" x14ac:dyDescent="0.35">
      <c r="A132" s="119" t="s">
        <v>9</v>
      </c>
      <c r="B132" s="120">
        <v>1417</v>
      </c>
      <c r="C132" s="119" t="s">
        <v>563</v>
      </c>
      <c r="D132" s="119">
        <v>980000</v>
      </c>
      <c r="E132" s="119" t="s">
        <v>93</v>
      </c>
      <c r="F132" s="119">
        <v>37.5</v>
      </c>
      <c r="G132" s="121"/>
      <c r="H132" s="121">
        <v>0.51</v>
      </c>
      <c r="I132" s="121">
        <f t="shared" ref="I132:I173" si="2">H132-G132</f>
        <v>0.51</v>
      </c>
      <c r="J132" s="119"/>
      <c r="K132" s="119"/>
      <c r="L132" s="119"/>
      <c r="M132" s="122"/>
    </row>
    <row r="133" spans="1:13" x14ac:dyDescent="0.35">
      <c r="A133" s="101" t="s">
        <v>9</v>
      </c>
      <c r="B133" s="123">
        <v>1417</v>
      </c>
      <c r="C133" s="101" t="s">
        <v>563</v>
      </c>
      <c r="D133" s="101">
        <v>980100</v>
      </c>
      <c r="E133" s="101" t="s">
        <v>96</v>
      </c>
      <c r="F133" s="101">
        <v>40</v>
      </c>
      <c r="G133" s="124"/>
      <c r="H133" s="124">
        <v>0.6</v>
      </c>
      <c r="I133" s="121">
        <f t="shared" si="2"/>
        <v>0.6</v>
      </c>
      <c r="J133" s="101"/>
      <c r="K133" s="101"/>
      <c r="L133" s="101"/>
      <c r="M133" s="125"/>
    </row>
    <row r="134" spans="1:13" ht="15" thickBot="1" x14ac:dyDescent="0.4">
      <c r="A134" s="130" t="s">
        <v>9</v>
      </c>
      <c r="B134" s="131">
        <v>1417</v>
      </c>
      <c r="C134" s="130" t="s">
        <v>563</v>
      </c>
      <c r="D134" s="130">
        <v>987594</v>
      </c>
      <c r="E134" s="130" t="s">
        <v>448</v>
      </c>
      <c r="F134" s="130">
        <v>30</v>
      </c>
      <c r="G134" s="132">
        <v>0.79</v>
      </c>
      <c r="H134" s="132">
        <v>0.75</v>
      </c>
      <c r="I134" s="132">
        <f t="shared" si="2"/>
        <v>-4.0000000000000036E-2</v>
      </c>
      <c r="J134" s="130" t="s">
        <v>51</v>
      </c>
      <c r="K134" s="130" t="s">
        <v>200</v>
      </c>
      <c r="L134" s="130"/>
      <c r="M134" s="133">
        <v>44813</v>
      </c>
    </row>
    <row r="135" spans="1:13" x14ac:dyDescent="0.35">
      <c r="A135" s="119" t="s">
        <v>9</v>
      </c>
      <c r="B135" s="120">
        <v>1418</v>
      </c>
      <c r="C135" s="119" t="s">
        <v>564</v>
      </c>
      <c r="D135" s="119">
        <v>980000</v>
      </c>
      <c r="E135" s="119" t="s">
        <v>93</v>
      </c>
      <c r="F135" s="119">
        <v>37.5</v>
      </c>
      <c r="G135" s="121"/>
      <c r="H135" s="121">
        <v>0.49</v>
      </c>
      <c r="I135" s="121">
        <f t="shared" si="2"/>
        <v>0.49</v>
      </c>
      <c r="J135" s="119"/>
      <c r="K135" s="119"/>
      <c r="L135" s="119"/>
      <c r="M135" s="122"/>
    </row>
    <row r="136" spans="1:13" x14ac:dyDescent="0.35">
      <c r="A136" s="101" t="s">
        <v>9</v>
      </c>
      <c r="B136" s="123">
        <v>1418</v>
      </c>
      <c r="C136" s="101" t="s">
        <v>564</v>
      </c>
      <c r="D136" s="101">
        <v>980100</v>
      </c>
      <c r="E136" s="101" t="s">
        <v>96</v>
      </c>
      <c r="F136" s="101">
        <v>40</v>
      </c>
      <c r="G136" s="124"/>
      <c r="H136" s="124">
        <v>0.61</v>
      </c>
      <c r="I136" s="121">
        <f t="shared" si="2"/>
        <v>0.61</v>
      </c>
      <c r="J136" s="101"/>
      <c r="K136" s="101"/>
      <c r="L136" s="101"/>
      <c r="M136" s="125"/>
    </row>
    <row r="137" spans="1:13" ht="15" thickBot="1" x14ac:dyDescent="0.4">
      <c r="A137" s="130" t="s">
        <v>9</v>
      </c>
      <c r="B137" s="131">
        <v>1418</v>
      </c>
      <c r="C137" s="130" t="s">
        <v>564</v>
      </c>
      <c r="D137" s="130">
        <v>987594</v>
      </c>
      <c r="E137" s="130" t="s">
        <v>448</v>
      </c>
      <c r="F137" s="130">
        <v>30</v>
      </c>
      <c r="G137" s="132">
        <v>0.79</v>
      </c>
      <c r="H137" s="132">
        <v>0.75</v>
      </c>
      <c r="I137" s="132">
        <f t="shared" si="2"/>
        <v>-4.0000000000000036E-2</v>
      </c>
      <c r="J137" s="130" t="s">
        <v>51</v>
      </c>
      <c r="K137" s="130" t="s">
        <v>200</v>
      </c>
      <c r="L137" s="130"/>
      <c r="M137" s="133">
        <v>44813</v>
      </c>
    </row>
    <row r="138" spans="1:13" x14ac:dyDescent="0.35">
      <c r="A138" s="119" t="s">
        <v>9</v>
      </c>
      <c r="B138" s="120">
        <v>1420</v>
      </c>
      <c r="C138" s="119" t="s">
        <v>565</v>
      </c>
      <c r="D138" s="119">
        <v>980000</v>
      </c>
      <c r="E138" s="119" t="s">
        <v>93</v>
      </c>
      <c r="F138" s="119">
        <v>37.5</v>
      </c>
      <c r="G138" s="121"/>
      <c r="H138" s="121">
        <v>0.49</v>
      </c>
      <c r="I138" s="121">
        <f t="shared" si="2"/>
        <v>0.49</v>
      </c>
      <c r="J138" s="119"/>
      <c r="K138" s="119"/>
      <c r="L138" s="119"/>
      <c r="M138" s="122"/>
    </row>
    <row r="139" spans="1:13" x14ac:dyDescent="0.35">
      <c r="A139" s="101" t="s">
        <v>9</v>
      </c>
      <c r="B139" s="123">
        <v>1420</v>
      </c>
      <c r="C139" s="101" t="s">
        <v>565</v>
      </c>
      <c r="D139" s="101">
        <v>980100</v>
      </c>
      <c r="E139" s="101" t="s">
        <v>96</v>
      </c>
      <c r="F139" s="101">
        <v>40</v>
      </c>
      <c r="G139" s="124"/>
      <c r="H139" s="124">
        <v>0.56999999999999995</v>
      </c>
      <c r="I139" s="121">
        <f t="shared" si="2"/>
        <v>0.56999999999999995</v>
      </c>
      <c r="J139" s="101"/>
      <c r="K139" s="101"/>
      <c r="L139" s="101"/>
      <c r="M139" s="125"/>
    </row>
    <row r="140" spans="1:13" ht="15" thickBot="1" x14ac:dyDescent="0.4">
      <c r="A140" s="130" t="s">
        <v>9</v>
      </c>
      <c r="B140" s="131">
        <v>1420</v>
      </c>
      <c r="C140" s="130" t="s">
        <v>565</v>
      </c>
      <c r="D140" s="130">
        <v>987594</v>
      </c>
      <c r="E140" s="130" t="s">
        <v>448</v>
      </c>
      <c r="F140" s="130">
        <v>30</v>
      </c>
      <c r="G140" s="132">
        <v>0.79</v>
      </c>
      <c r="H140" s="132">
        <v>0.89</v>
      </c>
      <c r="I140" s="132">
        <f t="shared" si="2"/>
        <v>9.9999999999999978E-2</v>
      </c>
      <c r="J140" s="130" t="s">
        <v>51</v>
      </c>
      <c r="K140" s="130" t="s">
        <v>200</v>
      </c>
      <c r="L140" s="130"/>
      <c r="M140" s="133">
        <v>44813</v>
      </c>
    </row>
    <row r="141" spans="1:13" x14ac:dyDescent="0.35">
      <c r="A141" s="119" t="s">
        <v>9</v>
      </c>
      <c r="B141" s="120">
        <v>1426</v>
      </c>
      <c r="C141" s="119" t="s">
        <v>302</v>
      </c>
      <c r="D141" s="119">
        <v>980000</v>
      </c>
      <c r="E141" s="119" t="s">
        <v>93</v>
      </c>
      <c r="F141" s="119">
        <v>37.5</v>
      </c>
      <c r="G141" s="121"/>
      <c r="H141" s="121">
        <v>0.46</v>
      </c>
      <c r="I141" s="121">
        <f t="shared" si="2"/>
        <v>0.46</v>
      </c>
      <c r="J141" s="119"/>
      <c r="K141" s="119"/>
      <c r="L141" s="119"/>
      <c r="M141" s="122"/>
    </row>
    <row r="142" spans="1:13" x14ac:dyDescent="0.35">
      <c r="A142" s="101" t="s">
        <v>9</v>
      </c>
      <c r="B142" s="123">
        <v>1426</v>
      </c>
      <c r="C142" s="101" t="s">
        <v>302</v>
      </c>
      <c r="D142" s="101">
        <v>980100</v>
      </c>
      <c r="E142" s="101" t="s">
        <v>96</v>
      </c>
      <c r="F142" s="101">
        <v>40</v>
      </c>
      <c r="G142" s="124"/>
      <c r="H142" s="124">
        <v>0.62</v>
      </c>
      <c r="I142" s="121">
        <f t="shared" si="2"/>
        <v>0.62</v>
      </c>
      <c r="J142" s="101"/>
      <c r="K142" s="101"/>
      <c r="L142" s="101"/>
      <c r="M142" s="125"/>
    </row>
    <row r="143" spans="1:13" ht="15" thickBot="1" x14ac:dyDescent="0.4">
      <c r="A143" s="130" t="s">
        <v>9</v>
      </c>
      <c r="B143" s="131">
        <v>1426</v>
      </c>
      <c r="C143" s="130" t="s">
        <v>302</v>
      </c>
      <c r="D143" s="130">
        <v>987594</v>
      </c>
      <c r="E143" s="130" t="s">
        <v>448</v>
      </c>
      <c r="F143" s="130">
        <v>30</v>
      </c>
      <c r="G143" s="132">
        <v>0.85</v>
      </c>
      <c r="H143" s="132">
        <v>0.95</v>
      </c>
      <c r="I143" s="132">
        <f t="shared" si="2"/>
        <v>9.9999999999999978E-2</v>
      </c>
      <c r="J143" s="130" t="s">
        <v>51</v>
      </c>
      <c r="K143" s="130" t="s">
        <v>200</v>
      </c>
      <c r="L143" s="130"/>
      <c r="M143" s="133">
        <v>44813</v>
      </c>
    </row>
    <row r="144" spans="1:13" x14ac:dyDescent="0.35">
      <c r="A144" s="119" t="s">
        <v>9</v>
      </c>
      <c r="B144" s="120">
        <v>1428</v>
      </c>
      <c r="C144" s="119" t="s">
        <v>566</v>
      </c>
      <c r="D144" s="119">
        <v>980000</v>
      </c>
      <c r="E144" s="119" t="s">
        <v>93</v>
      </c>
      <c r="F144" s="119">
        <v>37.5</v>
      </c>
      <c r="G144" s="121"/>
      <c r="H144" s="121">
        <v>0.55000000000000004</v>
      </c>
      <c r="I144" s="121">
        <f t="shared" si="2"/>
        <v>0.55000000000000004</v>
      </c>
      <c r="J144" s="119"/>
      <c r="K144" s="119"/>
      <c r="L144" s="119"/>
      <c r="M144" s="122"/>
    </row>
    <row r="145" spans="1:13" x14ac:dyDescent="0.35">
      <c r="A145" s="134" t="s">
        <v>9</v>
      </c>
      <c r="B145" s="135">
        <v>1428</v>
      </c>
      <c r="C145" s="134" t="s">
        <v>566</v>
      </c>
      <c r="D145" s="134">
        <v>980100</v>
      </c>
      <c r="E145" s="134" t="s">
        <v>96</v>
      </c>
      <c r="F145" s="134">
        <v>40</v>
      </c>
      <c r="G145" s="136">
        <v>0.65</v>
      </c>
      <c r="H145" s="136">
        <v>0.67</v>
      </c>
      <c r="I145" s="137">
        <f t="shared" si="2"/>
        <v>2.0000000000000018E-2</v>
      </c>
      <c r="J145" s="134" t="s">
        <v>51</v>
      </c>
      <c r="K145" s="134" t="s">
        <v>200</v>
      </c>
      <c r="L145" s="134"/>
      <c r="M145" s="138">
        <v>44813</v>
      </c>
    </row>
    <row r="146" spans="1:13" ht="15" thickBot="1" x14ac:dyDescent="0.4">
      <c r="A146" s="126" t="s">
        <v>9</v>
      </c>
      <c r="B146" s="127">
        <v>1428</v>
      </c>
      <c r="C146" s="126" t="s">
        <v>566</v>
      </c>
      <c r="D146" s="126">
        <v>987594</v>
      </c>
      <c r="E146" s="126" t="s">
        <v>448</v>
      </c>
      <c r="F146" s="126">
        <v>30</v>
      </c>
      <c r="G146" s="128"/>
      <c r="H146" s="128">
        <v>0.79</v>
      </c>
      <c r="I146" s="128">
        <f t="shared" si="2"/>
        <v>0.79</v>
      </c>
      <c r="J146" s="126"/>
      <c r="K146" s="126"/>
      <c r="L146" s="126"/>
      <c r="M146" s="129"/>
    </row>
    <row r="147" spans="1:13" x14ac:dyDescent="0.35">
      <c r="A147" s="139" t="s">
        <v>9</v>
      </c>
      <c r="B147" s="140">
        <v>1430</v>
      </c>
      <c r="C147" s="139" t="s">
        <v>331</v>
      </c>
      <c r="D147" s="139">
        <v>980000</v>
      </c>
      <c r="E147" s="139" t="s">
        <v>93</v>
      </c>
      <c r="F147" s="139">
        <v>37.5</v>
      </c>
      <c r="G147" s="137">
        <v>0.54</v>
      </c>
      <c r="H147" s="137">
        <v>0.55000000000000004</v>
      </c>
      <c r="I147" s="137">
        <f t="shared" si="2"/>
        <v>1.0000000000000009E-2</v>
      </c>
      <c r="J147" s="139" t="s">
        <v>51</v>
      </c>
      <c r="K147" s="139" t="s">
        <v>200</v>
      </c>
      <c r="L147" s="139"/>
      <c r="M147" s="141">
        <v>44813</v>
      </c>
    </row>
    <row r="148" spans="1:13" x14ac:dyDescent="0.35">
      <c r="A148" s="101" t="s">
        <v>9</v>
      </c>
      <c r="B148" s="123">
        <v>1430</v>
      </c>
      <c r="C148" s="101" t="s">
        <v>331</v>
      </c>
      <c r="D148" s="101">
        <v>980100</v>
      </c>
      <c r="E148" s="101" t="s">
        <v>96</v>
      </c>
      <c r="F148" s="101">
        <v>40</v>
      </c>
      <c r="G148" s="124"/>
      <c r="H148" s="124">
        <v>0.63</v>
      </c>
      <c r="I148" s="121">
        <f t="shared" si="2"/>
        <v>0.63</v>
      </c>
      <c r="J148" s="101"/>
      <c r="K148" s="101"/>
      <c r="L148" s="101"/>
      <c r="M148" s="125"/>
    </row>
    <row r="149" spans="1:13" ht="15" thickBot="1" x14ac:dyDescent="0.4">
      <c r="A149" s="130" t="s">
        <v>9</v>
      </c>
      <c r="B149" s="131">
        <v>1430</v>
      </c>
      <c r="C149" s="130" t="s">
        <v>331</v>
      </c>
      <c r="D149" s="130">
        <v>987594</v>
      </c>
      <c r="E149" s="130" t="s">
        <v>448</v>
      </c>
      <c r="F149" s="130">
        <v>30</v>
      </c>
      <c r="G149" s="132">
        <v>0.79</v>
      </c>
      <c r="H149" s="132">
        <v>0.89</v>
      </c>
      <c r="I149" s="132">
        <f t="shared" si="2"/>
        <v>9.9999999999999978E-2</v>
      </c>
      <c r="J149" s="130" t="s">
        <v>51</v>
      </c>
      <c r="K149" s="130" t="s">
        <v>200</v>
      </c>
      <c r="L149" s="130"/>
      <c r="M149" s="133">
        <v>44813</v>
      </c>
    </row>
    <row r="150" spans="1:13" x14ac:dyDescent="0.35">
      <c r="A150" s="119" t="s">
        <v>9</v>
      </c>
      <c r="B150" s="120">
        <v>1432</v>
      </c>
      <c r="C150" s="119" t="s">
        <v>567</v>
      </c>
      <c r="D150" s="119">
        <v>980000</v>
      </c>
      <c r="E150" s="119" t="s">
        <v>93</v>
      </c>
      <c r="F150" s="119">
        <v>37.5</v>
      </c>
      <c r="G150" s="121"/>
      <c r="H150" s="121">
        <v>0.49</v>
      </c>
      <c r="I150" s="121">
        <f t="shared" si="2"/>
        <v>0.49</v>
      </c>
      <c r="J150" s="119"/>
      <c r="K150" s="119"/>
      <c r="L150" s="119"/>
      <c r="M150" s="122"/>
    </row>
    <row r="151" spans="1:13" x14ac:dyDescent="0.35">
      <c r="A151" s="101" t="s">
        <v>9</v>
      </c>
      <c r="B151" s="123">
        <v>1432</v>
      </c>
      <c r="C151" s="101" t="s">
        <v>567</v>
      </c>
      <c r="D151" s="101">
        <v>980100</v>
      </c>
      <c r="E151" s="101" t="s">
        <v>96</v>
      </c>
      <c r="F151" s="101">
        <v>40</v>
      </c>
      <c r="G151" s="124"/>
      <c r="H151" s="124">
        <v>0.59</v>
      </c>
      <c r="I151" s="121">
        <f t="shared" si="2"/>
        <v>0.59</v>
      </c>
      <c r="J151" s="101"/>
      <c r="K151" s="101"/>
      <c r="L151" s="101"/>
      <c r="M151" s="125"/>
    </row>
    <row r="152" spans="1:13" ht="15" thickBot="1" x14ac:dyDescent="0.4">
      <c r="A152" s="130" t="s">
        <v>9</v>
      </c>
      <c r="B152" s="131">
        <v>1432</v>
      </c>
      <c r="C152" s="130" t="s">
        <v>567</v>
      </c>
      <c r="D152" s="130">
        <v>987594</v>
      </c>
      <c r="E152" s="130" t="s">
        <v>448</v>
      </c>
      <c r="F152" s="130">
        <v>30</v>
      </c>
      <c r="G152" s="132">
        <v>0.79</v>
      </c>
      <c r="H152" s="132">
        <v>0.75</v>
      </c>
      <c r="I152" s="132">
        <f t="shared" si="2"/>
        <v>-4.0000000000000036E-2</v>
      </c>
      <c r="J152" s="130" t="s">
        <v>51</v>
      </c>
      <c r="K152" s="130" t="s">
        <v>200</v>
      </c>
      <c r="L152" s="130"/>
      <c r="M152" s="133">
        <v>44813</v>
      </c>
    </row>
    <row r="153" spans="1:13" x14ac:dyDescent="0.35">
      <c r="A153" s="119" t="s">
        <v>9</v>
      </c>
      <c r="B153" s="120">
        <v>1439</v>
      </c>
      <c r="C153" s="119" t="s">
        <v>317</v>
      </c>
      <c r="D153" s="119">
        <v>980000</v>
      </c>
      <c r="E153" s="119" t="s">
        <v>93</v>
      </c>
      <c r="F153" s="119">
        <v>37.5</v>
      </c>
      <c r="G153" s="121"/>
      <c r="H153" s="121">
        <v>0.49</v>
      </c>
      <c r="I153" s="121">
        <f t="shared" si="2"/>
        <v>0.49</v>
      </c>
      <c r="J153" s="119"/>
      <c r="K153" s="119"/>
      <c r="L153" s="119"/>
      <c r="M153" s="122"/>
    </row>
    <row r="154" spans="1:13" x14ac:dyDescent="0.35">
      <c r="A154" s="101" t="s">
        <v>9</v>
      </c>
      <c r="B154" s="123">
        <v>1439</v>
      </c>
      <c r="C154" s="101" t="s">
        <v>317</v>
      </c>
      <c r="D154" s="101">
        <v>980100</v>
      </c>
      <c r="E154" s="101" t="s">
        <v>96</v>
      </c>
      <c r="F154" s="101">
        <v>40</v>
      </c>
      <c r="G154" s="124"/>
      <c r="H154" s="124">
        <v>0.59</v>
      </c>
      <c r="I154" s="121">
        <f t="shared" si="2"/>
        <v>0.59</v>
      </c>
      <c r="J154" s="101"/>
      <c r="K154" s="101"/>
      <c r="L154" s="101"/>
      <c r="M154" s="125"/>
    </row>
    <row r="155" spans="1:13" ht="15" thickBot="1" x14ac:dyDescent="0.4">
      <c r="A155" s="130" t="s">
        <v>9</v>
      </c>
      <c r="B155" s="131">
        <v>1439</v>
      </c>
      <c r="C155" s="130" t="s">
        <v>317</v>
      </c>
      <c r="D155" s="130">
        <v>987594</v>
      </c>
      <c r="E155" s="130" t="s">
        <v>448</v>
      </c>
      <c r="F155" s="130">
        <v>30</v>
      </c>
      <c r="G155" s="132">
        <v>0.79</v>
      </c>
      <c r="H155" s="132">
        <v>0.89</v>
      </c>
      <c r="I155" s="132">
        <f t="shared" si="2"/>
        <v>9.9999999999999978E-2</v>
      </c>
      <c r="J155" s="130" t="s">
        <v>51</v>
      </c>
      <c r="K155" s="130" t="s">
        <v>200</v>
      </c>
      <c r="L155" s="130"/>
      <c r="M155" s="133">
        <v>44813</v>
      </c>
    </row>
    <row r="156" spans="1:13" x14ac:dyDescent="0.35">
      <c r="A156" s="119" t="s">
        <v>9</v>
      </c>
      <c r="B156" s="120">
        <v>1444</v>
      </c>
      <c r="C156" s="119" t="s">
        <v>320</v>
      </c>
      <c r="D156" s="119">
        <v>980000</v>
      </c>
      <c r="E156" s="119" t="s">
        <v>93</v>
      </c>
      <c r="F156" s="119">
        <v>37.5</v>
      </c>
      <c r="G156" s="121"/>
      <c r="H156" s="121">
        <v>0.57999999999999996</v>
      </c>
      <c r="I156" s="121">
        <f t="shared" si="2"/>
        <v>0.57999999999999996</v>
      </c>
      <c r="J156" s="119"/>
      <c r="K156" s="119"/>
      <c r="L156" s="119"/>
      <c r="M156" s="122"/>
    </row>
    <row r="157" spans="1:13" x14ac:dyDescent="0.35">
      <c r="A157" s="101" t="s">
        <v>9</v>
      </c>
      <c r="B157" s="123">
        <v>1444</v>
      </c>
      <c r="C157" s="101" t="s">
        <v>320</v>
      </c>
      <c r="D157" s="101">
        <v>980100</v>
      </c>
      <c r="E157" s="101" t="s">
        <v>96</v>
      </c>
      <c r="F157" s="101">
        <v>40</v>
      </c>
      <c r="G157" s="124"/>
      <c r="H157" s="124">
        <v>0.68</v>
      </c>
      <c r="I157" s="121">
        <f t="shared" si="2"/>
        <v>0.68</v>
      </c>
      <c r="J157" s="101"/>
      <c r="K157" s="101"/>
      <c r="L157" s="101"/>
      <c r="M157" s="125"/>
    </row>
    <row r="158" spans="1:13" ht="15" thickBot="1" x14ac:dyDescent="0.4">
      <c r="A158" s="130" t="s">
        <v>9</v>
      </c>
      <c r="B158" s="131">
        <v>1444</v>
      </c>
      <c r="C158" s="130" t="s">
        <v>320</v>
      </c>
      <c r="D158" s="130">
        <v>987594</v>
      </c>
      <c r="E158" s="130" t="s">
        <v>448</v>
      </c>
      <c r="F158" s="130">
        <v>30</v>
      </c>
      <c r="G158" s="132">
        <v>0.79</v>
      </c>
      <c r="H158" s="132">
        <v>0.75</v>
      </c>
      <c r="I158" s="132">
        <f t="shared" si="2"/>
        <v>-4.0000000000000036E-2</v>
      </c>
      <c r="J158" s="130" t="s">
        <v>51</v>
      </c>
      <c r="K158" s="130" t="s">
        <v>200</v>
      </c>
      <c r="L158" s="130"/>
      <c r="M158" s="133">
        <v>44813</v>
      </c>
    </row>
    <row r="159" spans="1:13" x14ac:dyDescent="0.35">
      <c r="A159" s="119" t="s">
        <v>9</v>
      </c>
      <c r="B159" s="120">
        <v>1445</v>
      </c>
      <c r="C159" s="119" t="s">
        <v>315</v>
      </c>
      <c r="D159" s="119">
        <v>980000</v>
      </c>
      <c r="E159" s="119" t="s">
        <v>93</v>
      </c>
      <c r="F159" s="119">
        <v>37.5</v>
      </c>
      <c r="G159" s="121"/>
      <c r="H159" s="121">
        <v>0.59</v>
      </c>
      <c r="I159" s="121">
        <f t="shared" si="2"/>
        <v>0.59</v>
      </c>
      <c r="J159" s="119"/>
      <c r="K159" s="119"/>
      <c r="L159" s="119"/>
      <c r="M159" s="122"/>
    </row>
    <row r="160" spans="1:13" x14ac:dyDescent="0.35">
      <c r="A160" s="101" t="s">
        <v>9</v>
      </c>
      <c r="B160" s="123">
        <v>1445</v>
      </c>
      <c r="C160" s="101" t="s">
        <v>315</v>
      </c>
      <c r="D160" s="101">
        <v>980100</v>
      </c>
      <c r="E160" s="101" t="s">
        <v>96</v>
      </c>
      <c r="F160" s="101">
        <v>40</v>
      </c>
      <c r="G160" s="124"/>
      <c r="H160" s="124">
        <v>0.69</v>
      </c>
      <c r="I160" s="121">
        <f t="shared" si="2"/>
        <v>0.69</v>
      </c>
      <c r="J160" s="101"/>
      <c r="K160" s="101"/>
      <c r="L160" s="101"/>
      <c r="M160" s="125"/>
    </row>
    <row r="161" spans="1:13" ht="15" thickBot="1" x14ac:dyDescent="0.4">
      <c r="A161" s="130" t="s">
        <v>9</v>
      </c>
      <c r="B161" s="131">
        <v>1445</v>
      </c>
      <c r="C161" s="130" t="s">
        <v>315</v>
      </c>
      <c r="D161" s="130">
        <v>987594</v>
      </c>
      <c r="E161" s="130" t="s">
        <v>448</v>
      </c>
      <c r="F161" s="130">
        <v>30</v>
      </c>
      <c r="G161" s="132">
        <v>0.79</v>
      </c>
      <c r="H161" s="132">
        <v>0.89</v>
      </c>
      <c r="I161" s="132">
        <f t="shared" si="2"/>
        <v>9.9999999999999978E-2</v>
      </c>
      <c r="J161" s="130" t="s">
        <v>51</v>
      </c>
      <c r="K161" s="130" t="s">
        <v>200</v>
      </c>
      <c r="L161" s="130"/>
      <c r="M161" s="133">
        <v>44813</v>
      </c>
    </row>
    <row r="162" spans="1:13" x14ac:dyDescent="0.35">
      <c r="A162" s="119" t="s">
        <v>9</v>
      </c>
      <c r="B162" s="120">
        <v>1453</v>
      </c>
      <c r="C162" s="119" t="s">
        <v>754</v>
      </c>
      <c r="D162" s="119">
        <v>980000</v>
      </c>
      <c r="E162" s="119" t="s">
        <v>93</v>
      </c>
      <c r="F162" s="119">
        <v>37.5</v>
      </c>
      <c r="G162" s="121"/>
      <c r="H162" s="121">
        <v>0.52</v>
      </c>
      <c r="I162" s="121">
        <f t="shared" si="2"/>
        <v>0.52</v>
      </c>
      <c r="J162" s="119"/>
      <c r="K162" s="119"/>
      <c r="L162" s="119"/>
      <c r="M162" s="122"/>
    </row>
    <row r="163" spans="1:13" x14ac:dyDescent="0.35">
      <c r="A163" s="101" t="s">
        <v>9</v>
      </c>
      <c r="B163" s="123">
        <v>1453</v>
      </c>
      <c r="C163" s="101" t="s">
        <v>754</v>
      </c>
      <c r="D163" s="101">
        <v>980100</v>
      </c>
      <c r="E163" s="101" t="s">
        <v>96</v>
      </c>
      <c r="F163" s="101">
        <v>40</v>
      </c>
      <c r="G163" s="124"/>
      <c r="H163" s="124">
        <v>0.59</v>
      </c>
      <c r="I163" s="121">
        <f t="shared" si="2"/>
        <v>0.59</v>
      </c>
      <c r="J163" s="101"/>
      <c r="K163" s="101"/>
      <c r="L163" s="101"/>
      <c r="M163" s="125"/>
    </row>
    <row r="164" spans="1:13" ht="15" thickBot="1" x14ac:dyDescent="0.4">
      <c r="A164" s="126" t="s">
        <v>9</v>
      </c>
      <c r="B164" s="127">
        <v>1453</v>
      </c>
      <c r="C164" s="126" t="s">
        <v>754</v>
      </c>
      <c r="D164" s="126">
        <v>987594</v>
      </c>
      <c r="E164" s="126" t="s">
        <v>448</v>
      </c>
      <c r="F164" s="126">
        <v>30</v>
      </c>
      <c r="G164" s="128"/>
      <c r="H164" s="128">
        <v>0.79</v>
      </c>
      <c r="I164" s="128">
        <f t="shared" si="2"/>
        <v>0.79</v>
      </c>
      <c r="J164" s="126"/>
      <c r="K164" s="126"/>
      <c r="L164" s="126"/>
      <c r="M164" s="129"/>
    </row>
    <row r="165" spans="1:13" x14ac:dyDescent="0.35">
      <c r="A165" s="119" t="s">
        <v>9</v>
      </c>
      <c r="B165" s="120">
        <v>1457</v>
      </c>
      <c r="C165" s="119" t="s">
        <v>313</v>
      </c>
      <c r="D165" s="119">
        <v>980000</v>
      </c>
      <c r="E165" s="119" t="s">
        <v>93</v>
      </c>
      <c r="F165" s="119">
        <v>37.5</v>
      </c>
      <c r="G165" s="121"/>
      <c r="H165" s="121">
        <v>0.59</v>
      </c>
      <c r="I165" s="121">
        <f t="shared" si="2"/>
        <v>0.59</v>
      </c>
      <c r="J165" s="119"/>
      <c r="K165" s="119"/>
      <c r="L165" s="119"/>
      <c r="M165" s="122"/>
    </row>
    <row r="166" spans="1:13" x14ac:dyDescent="0.35">
      <c r="A166" s="101" t="s">
        <v>9</v>
      </c>
      <c r="B166" s="123">
        <v>1457</v>
      </c>
      <c r="C166" s="101" t="s">
        <v>313</v>
      </c>
      <c r="D166" s="101">
        <v>980100</v>
      </c>
      <c r="E166" s="101" t="s">
        <v>96</v>
      </c>
      <c r="F166" s="101">
        <v>40</v>
      </c>
      <c r="G166" s="124"/>
      <c r="H166" s="124">
        <v>0.69</v>
      </c>
      <c r="I166" s="121">
        <f t="shared" si="2"/>
        <v>0.69</v>
      </c>
      <c r="J166" s="101"/>
      <c r="K166" s="101"/>
      <c r="L166" s="101"/>
      <c r="M166" s="125"/>
    </row>
    <row r="167" spans="1:13" ht="15" thickBot="1" x14ac:dyDescent="0.4">
      <c r="A167" s="130" t="s">
        <v>9</v>
      </c>
      <c r="B167" s="131">
        <v>1457</v>
      </c>
      <c r="C167" s="130" t="s">
        <v>313</v>
      </c>
      <c r="D167" s="130">
        <v>987594</v>
      </c>
      <c r="E167" s="130" t="s">
        <v>448</v>
      </c>
      <c r="F167" s="130">
        <v>30</v>
      </c>
      <c r="G167" s="132">
        <v>0.79</v>
      </c>
      <c r="H167" s="132">
        <v>0.89</v>
      </c>
      <c r="I167" s="132">
        <f t="shared" si="2"/>
        <v>9.9999999999999978E-2</v>
      </c>
      <c r="J167" s="130" t="s">
        <v>51</v>
      </c>
      <c r="K167" s="130" t="s">
        <v>200</v>
      </c>
      <c r="L167" s="130"/>
      <c r="M167" s="133">
        <v>44813</v>
      </c>
    </row>
    <row r="168" spans="1:13" x14ac:dyDescent="0.35">
      <c r="A168" s="119" t="s">
        <v>9</v>
      </c>
      <c r="B168" s="120">
        <v>1477</v>
      </c>
      <c r="C168" s="119" t="s">
        <v>667</v>
      </c>
      <c r="D168" s="119">
        <v>980000</v>
      </c>
      <c r="E168" s="119" t="s">
        <v>93</v>
      </c>
      <c r="F168" s="119">
        <v>37.5</v>
      </c>
      <c r="G168" s="121"/>
      <c r="H168" s="121">
        <v>0.56000000000000005</v>
      </c>
      <c r="I168" s="121">
        <f t="shared" si="2"/>
        <v>0.56000000000000005</v>
      </c>
      <c r="J168" s="119"/>
      <c r="K168" s="119"/>
      <c r="L168" s="119"/>
      <c r="M168" s="122"/>
    </row>
    <row r="169" spans="1:13" x14ac:dyDescent="0.35">
      <c r="A169" s="101" t="s">
        <v>9</v>
      </c>
      <c r="B169" s="123">
        <v>1477</v>
      </c>
      <c r="C169" s="101" t="s">
        <v>667</v>
      </c>
      <c r="D169" s="101">
        <v>980100</v>
      </c>
      <c r="E169" s="101" t="s">
        <v>96</v>
      </c>
      <c r="F169" s="101">
        <v>40</v>
      </c>
      <c r="G169" s="124"/>
      <c r="H169" s="124">
        <v>0.67</v>
      </c>
      <c r="I169" s="121">
        <f t="shared" si="2"/>
        <v>0.67</v>
      </c>
      <c r="J169" s="101"/>
      <c r="K169" s="101"/>
      <c r="L169" s="101"/>
      <c r="M169" s="125"/>
    </row>
    <row r="170" spans="1:13" ht="15" thickBot="1" x14ac:dyDescent="0.4">
      <c r="A170" s="130" t="s">
        <v>9</v>
      </c>
      <c r="B170" s="131">
        <v>1477</v>
      </c>
      <c r="C170" s="130" t="s">
        <v>667</v>
      </c>
      <c r="D170" s="130">
        <v>987594</v>
      </c>
      <c r="E170" s="130" t="s">
        <v>448</v>
      </c>
      <c r="F170" s="130">
        <v>30</v>
      </c>
      <c r="G170" s="132">
        <v>0.79</v>
      </c>
      <c r="H170" s="132">
        <v>0.89</v>
      </c>
      <c r="I170" s="132">
        <f t="shared" si="2"/>
        <v>9.9999999999999978E-2</v>
      </c>
      <c r="J170" s="130" t="s">
        <v>51</v>
      </c>
      <c r="K170" s="130" t="s">
        <v>200</v>
      </c>
      <c r="L170" s="130"/>
      <c r="M170" s="133">
        <v>44813</v>
      </c>
    </row>
    <row r="171" spans="1:13" x14ac:dyDescent="0.35">
      <c r="A171" s="119" t="s">
        <v>9</v>
      </c>
      <c r="B171" s="120">
        <v>1497</v>
      </c>
      <c r="C171" s="119" t="s">
        <v>690</v>
      </c>
      <c r="D171" s="119">
        <v>980000</v>
      </c>
      <c r="E171" s="119" t="s">
        <v>93</v>
      </c>
      <c r="F171" s="119">
        <v>37.5</v>
      </c>
      <c r="G171" s="121"/>
      <c r="H171" s="121">
        <v>0.55000000000000004</v>
      </c>
      <c r="I171" s="121">
        <f t="shared" si="2"/>
        <v>0.55000000000000004</v>
      </c>
      <c r="J171" s="119"/>
      <c r="K171" s="119"/>
      <c r="L171" s="119"/>
      <c r="M171" s="122"/>
    </row>
    <row r="172" spans="1:13" x14ac:dyDescent="0.35">
      <c r="A172" s="101" t="s">
        <v>9</v>
      </c>
      <c r="B172" s="123">
        <v>1497</v>
      </c>
      <c r="C172" s="101" t="s">
        <v>690</v>
      </c>
      <c r="D172" s="101">
        <v>980100</v>
      </c>
      <c r="E172" s="101" t="s">
        <v>96</v>
      </c>
      <c r="F172" s="101">
        <v>40</v>
      </c>
      <c r="G172" s="124"/>
      <c r="H172" s="124">
        <v>0.63</v>
      </c>
      <c r="I172" s="121">
        <f t="shared" si="2"/>
        <v>0.63</v>
      </c>
      <c r="J172" s="101"/>
      <c r="K172" s="101"/>
      <c r="L172" s="101"/>
      <c r="M172" s="125"/>
    </row>
    <row r="173" spans="1:13" ht="15" thickBot="1" x14ac:dyDescent="0.4">
      <c r="A173" s="130" t="s">
        <v>9</v>
      </c>
      <c r="B173" s="131">
        <v>1497</v>
      </c>
      <c r="C173" s="130" t="s">
        <v>690</v>
      </c>
      <c r="D173" s="130">
        <v>987594</v>
      </c>
      <c r="E173" s="130" t="s">
        <v>448</v>
      </c>
      <c r="F173" s="130">
        <v>30</v>
      </c>
      <c r="G173" s="132">
        <v>0.79</v>
      </c>
      <c r="H173" s="132">
        <v>0.75</v>
      </c>
      <c r="I173" s="132">
        <f t="shared" si="2"/>
        <v>-4.0000000000000036E-2</v>
      </c>
      <c r="J173" s="130" t="s">
        <v>51</v>
      </c>
      <c r="K173" s="130" t="s">
        <v>200</v>
      </c>
      <c r="L173" s="130"/>
      <c r="M173" s="133">
        <v>44813</v>
      </c>
    </row>
  </sheetData>
  <autoFilter ref="A2:M170" xr:uid="{00000000-0009-0000-0000-000014000000}">
    <sortState xmlns:xlrd2="http://schemas.microsoft.com/office/spreadsheetml/2017/richdata2" ref="A3:M170">
      <sortCondition ref="B2:B160"/>
    </sortState>
  </autoFilter>
  <mergeCells count="1">
    <mergeCell ref="A1:J1"/>
  </mergeCells>
  <phoneticPr fontId="22" type="noConversion"/>
  <pageMargins left="0.25" right="0.25" top="0.75" bottom="0.75" header="0.3" footer="0.3"/>
  <pageSetup scale="63" fitToHeight="0" orientation="portrait" r:id="rId1"/>
  <headerFooter>
    <oddHeader>&amp;C&amp;B Store Specific Prices: GRM&amp;RPage &amp;Pof&amp;N</oddHeader>
    <oddFooter>&amp;L&amp;B Department: Purchasing Produce&amp;C&amp;B Storage Location: Freshness Cart&amp;R&amp;B EFFECTIVE ONLY ON: 11/19/2021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/>
  <dimension ref="A1"/>
  <sheetViews>
    <sheetView workbookViewId="0">
      <selection sqref="A1:XFD1048576"/>
    </sheetView>
  </sheetViews>
  <sheetFormatPr defaultColWidth="8.7265625" defaultRowHeight="14.5" x14ac:dyDescent="0.35"/>
  <cols>
    <col min="1" max="16384" width="8.7265625" style="353"/>
  </cols>
  <sheetData/>
  <mergeCells count="1">
    <mergeCell ref="A1:XFD104857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DD43-5B4A-4594-8C9E-659AAC145E7A}">
  <sheetPr codeName="Sheet20">
    <tabColor rgb="FF00B0F0"/>
    <pageSetUpPr fitToPage="1"/>
  </sheetPr>
  <dimension ref="A1:K327"/>
  <sheetViews>
    <sheetView zoomScale="70" zoomScaleNormal="70" workbookViewId="0">
      <pane ySplit="4" topLeftCell="A113" activePane="bottomLeft" state="frozen"/>
      <selection activeCell="C8" sqref="C8"/>
      <selection pane="bottomLeft" activeCell="H116" sqref="H116"/>
    </sheetView>
  </sheetViews>
  <sheetFormatPr defaultRowHeight="14.5" x14ac:dyDescent="0.35"/>
  <cols>
    <col min="1" max="1" width="15.7265625" customWidth="1"/>
    <col min="2" max="2" width="63.7265625" customWidth="1"/>
    <col min="3" max="3" width="9.26953125" customWidth="1"/>
    <col min="4" max="5" width="11.7265625" customWidth="1"/>
    <col min="6" max="6" width="23.7265625" customWidth="1"/>
    <col min="7" max="7" width="36.54296875" customWidth="1"/>
    <col min="8" max="8" width="32.7265625" customWidth="1"/>
    <col min="9" max="9" width="16.7265625" customWidth="1"/>
    <col min="10" max="10" width="20.7265625" customWidth="1"/>
    <col min="11" max="11" width="10.7265625" customWidth="1"/>
  </cols>
  <sheetData>
    <row r="1" spans="1:11" ht="58.15" customHeight="1" x14ac:dyDescent="1">
      <c r="A1" s="16">
        <v>44819</v>
      </c>
      <c r="B1" s="1" t="s">
        <v>143</v>
      </c>
      <c r="I1" s="14"/>
      <c r="J1" s="341" t="s">
        <v>133</v>
      </c>
      <c r="K1" s="342"/>
    </row>
    <row r="2" spans="1:11" ht="16.149999999999999" customHeight="1" x14ac:dyDescent="0.35">
      <c r="A2" s="339" t="s">
        <v>12</v>
      </c>
      <c r="B2" s="340" t="s">
        <v>13</v>
      </c>
      <c r="C2" s="340" t="s">
        <v>14</v>
      </c>
      <c r="D2" s="340" t="s">
        <v>30</v>
      </c>
      <c r="E2" s="340"/>
      <c r="F2" s="19"/>
      <c r="G2" s="19"/>
      <c r="H2" s="19"/>
      <c r="I2" s="20"/>
      <c r="J2" s="20"/>
      <c r="K2" s="21"/>
    </row>
    <row r="3" spans="1:11" ht="49.9" customHeight="1" x14ac:dyDescent="0.35">
      <c r="A3" s="344"/>
      <c r="B3" s="345"/>
      <c r="C3" s="345"/>
      <c r="D3" s="27" t="s">
        <v>15</v>
      </c>
      <c r="E3" s="27" t="s">
        <v>16</v>
      </c>
      <c r="F3" s="27" t="s">
        <v>29</v>
      </c>
      <c r="G3" s="27" t="s">
        <v>3</v>
      </c>
      <c r="H3" s="27" t="s">
        <v>2</v>
      </c>
      <c r="I3" s="27" t="s">
        <v>1</v>
      </c>
      <c r="J3" s="28" t="s">
        <v>17</v>
      </c>
      <c r="K3" s="28" t="s">
        <v>18</v>
      </c>
    </row>
    <row r="4" spans="1:11" ht="20" x14ac:dyDescent="0.35">
      <c r="A4" s="23"/>
      <c r="B4" s="24" t="s">
        <v>19</v>
      </c>
      <c r="C4" s="24"/>
      <c r="D4" s="25"/>
      <c r="E4" s="25"/>
      <c r="F4" s="25"/>
      <c r="G4" s="25"/>
      <c r="H4" s="25"/>
      <c r="I4" s="25"/>
      <c r="J4" s="26"/>
      <c r="K4" s="26"/>
    </row>
    <row r="5" spans="1:11" ht="20" x14ac:dyDescent="0.4">
      <c r="A5" s="151">
        <v>980821</v>
      </c>
      <c r="B5" s="151" t="s">
        <v>819</v>
      </c>
      <c r="C5" s="151"/>
      <c r="D5" s="153">
        <v>0.62</v>
      </c>
      <c r="E5" s="153">
        <v>0.39</v>
      </c>
      <c r="F5" s="151"/>
      <c r="G5" s="151" t="s">
        <v>6</v>
      </c>
      <c r="H5" s="151" t="s">
        <v>7</v>
      </c>
      <c r="I5" s="152">
        <v>44824</v>
      </c>
      <c r="J5" s="151" t="s">
        <v>820</v>
      </c>
      <c r="K5" s="151"/>
    </row>
    <row r="6" spans="1:11" ht="20" x14ac:dyDescent="0.4">
      <c r="A6" s="151">
        <v>986973</v>
      </c>
      <c r="B6" s="151" t="s">
        <v>111</v>
      </c>
      <c r="C6" s="151"/>
      <c r="D6" s="153">
        <v>2.99</v>
      </c>
      <c r="E6" s="153">
        <v>1.99</v>
      </c>
      <c r="F6" s="151"/>
      <c r="G6" s="151" t="s">
        <v>688</v>
      </c>
      <c r="H6" s="151" t="s">
        <v>662</v>
      </c>
      <c r="I6" s="152">
        <v>44824</v>
      </c>
      <c r="J6" s="151" t="s">
        <v>27</v>
      </c>
      <c r="K6" s="151"/>
    </row>
    <row r="7" spans="1:11" ht="20" x14ac:dyDescent="0.4">
      <c r="A7" s="151">
        <v>982202</v>
      </c>
      <c r="B7" s="151" t="s">
        <v>821</v>
      </c>
      <c r="C7" s="151"/>
      <c r="D7" s="153">
        <v>2.99</v>
      </c>
      <c r="E7" s="153">
        <v>1.49</v>
      </c>
      <c r="F7" s="151"/>
      <c r="G7" s="151" t="s">
        <v>688</v>
      </c>
      <c r="H7" s="151" t="s">
        <v>662</v>
      </c>
      <c r="I7" s="152">
        <v>44824</v>
      </c>
      <c r="J7" s="151" t="s">
        <v>823</v>
      </c>
      <c r="K7" s="151"/>
    </row>
    <row r="8" spans="1:11" ht="20" x14ac:dyDescent="0.4">
      <c r="A8" s="151">
        <v>983671</v>
      </c>
      <c r="B8" s="151" t="s">
        <v>825</v>
      </c>
      <c r="C8" s="151"/>
      <c r="D8" s="153">
        <v>4.49</v>
      </c>
      <c r="E8" s="153">
        <v>2.99</v>
      </c>
      <c r="F8" s="151"/>
      <c r="G8" s="151" t="s">
        <v>688</v>
      </c>
      <c r="H8" s="151" t="s">
        <v>662</v>
      </c>
      <c r="I8" s="152">
        <v>44824</v>
      </c>
      <c r="J8" s="151" t="s">
        <v>27</v>
      </c>
      <c r="K8" s="151"/>
    </row>
    <row r="9" spans="1:11" ht="20" x14ac:dyDescent="0.4">
      <c r="A9" s="151">
        <v>988020</v>
      </c>
      <c r="B9" s="151" t="s">
        <v>78</v>
      </c>
      <c r="C9" s="151"/>
      <c r="D9" s="153">
        <v>3.49</v>
      </c>
      <c r="E9" s="153">
        <v>2.4900000000000002</v>
      </c>
      <c r="F9" s="151"/>
      <c r="G9" s="151" t="s">
        <v>6</v>
      </c>
      <c r="H9" s="151" t="s">
        <v>7</v>
      </c>
      <c r="I9" s="152">
        <v>44824</v>
      </c>
      <c r="J9" s="151" t="s">
        <v>27</v>
      </c>
      <c r="K9" s="151"/>
    </row>
    <row r="10" spans="1:11" ht="20" x14ac:dyDescent="0.4">
      <c r="A10" s="151">
        <v>985605</v>
      </c>
      <c r="B10" s="151" t="s">
        <v>826</v>
      </c>
      <c r="C10" s="151"/>
      <c r="D10" s="153">
        <v>1.39</v>
      </c>
      <c r="E10" s="153">
        <v>0.99</v>
      </c>
      <c r="F10" s="151"/>
      <c r="G10" s="151" t="s">
        <v>6</v>
      </c>
      <c r="H10" s="151" t="s">
        <v>7</v>
      </c>
      <c r="I10" s="152">
        <v>44824</v>
      </c>
      <c r="J10" s="151" t="s">
        <v>805</v>
      </c>
      <c r="K10" s="151"/>
    </row>
    <row r="11" spans="1:11" ht="18" x14ac:dyDescent="0.4">
      <c r="A11" s="58"/>
      <c r="B11" s="58" t="s">
        <v>132</v>
      </c>
      <c r="C11" s="58"/>
      <c r="D11" s="58"/>
      <c r="E11" s="58"/>
      <c r="F11" s="58"/>
      <c r="G11" s="58"/>
      <c r="H11" s="58"/>
      <c r="I11" s="58"/>
      <c r="J11" s="58"/>
      <c r="K11" s="58"/>
    </row>
    <row r="12" spans="1:11" ht="20" x14ac:dyDescent="0.4">
      <c r="A12" s="59"/>
      <c r="B12" s="60" t="s">
        <v>221</v>
      </c>
      <c r="C12" s="59"/>
      <c r="D12" s="72"/>
      <c r="E12" s="72"/>
      <c r="F12" s="59"/>
      <c r="G12" s="59"/>
      <c r="H12" s="59"/>
      <c r="I12" s="59"/>
      <c r="J12" s="59"/>
      <c r="K12" s="59"/>
    </row>
    <row r="13" spans="1:11" ht="20" x14ac:dyDescent="0.4">
      <c r="A13" s="13">
        <v>995076</v>
      </c>
      <c r="B13" s="13" t="s">
        <v>26</v>
      </c>
      <c r="C13" s="13" t="s">
        <v>462</v>
      </c>
      <c r="D13" s="73"/>
      <c r="E13" s="73">
        <v>3.13</v>
      </c>
      <c r="F13" s="13" t="s">
        <v>40</v>
      </c>
      <c r="G13" s="13"/>
      <c r="H13" s="13"/>
      <c r="I13" s="13"/>
      <c r="J13" s="13"/>
      <c r="K13" s="13"/>
    </row>
    <row r="14" spans="1:11" ht="20" x14ac:dyDescent="0.4">
      <c r="A14" s="13">
        <v>995165</v>
      </c>
      <c r="B14" s="13" t="s">
        <v>758</v>
      </c>
      <c r="C14" s="13" t="s">
        <v>462</v>
      </c>
      <c r="D14" s="73"/>
      <c r="E14" s="73">
        <v>3.89</v>
      </c>
      <c r="F14" s="13" t="s">
        <v>40</v>
      </c>
      <c r="G14" s="13"/>
      <c r="H14" s="13"/>
      <c r="I14" s="13"/>
      <c r="J14" s="13"/>
      <c r="K14" s="13"/>
    </row>
    <row r="15" spans="1:11" ht="20" x14ac:dyDescent="0.4">
      <c r="A15" s="13">
        <v>995035</v>
      </c>
      <c r="B15" s="13" t="s">
        <v>55</v>
      </c>
      <c r="C15" s="13" t="s">
        <v>462</v>
      </c>
      <c r="D15" s="73"/>
      <c r="E15" s="73">
        <v>2.99</v>
      </c>
      <c r="F15" s="13" t="s">
        <v>40</v>
      </c>
      <c r="G15" s="13"/>
      <c r="H15" s="13"/>
      <c r="I15" s="13"/>
      <c r="J15" s="13"/>
      <c r="K15" s="13"/>
    </row>
    <row r="16" spans="1:11" ht="20" x14ac:dyDescent="0.4">
      <c r="A16" s="13">
        <v>988703</v>
      </c>
      <c r="B16" s="13" t="s">
        <v>600</v>
      </c>
      <c r="C16" s="13" t="s">
        <v>462</v>
      </c>
      <c r="D16" s="73"/>
      <c r="E16" s="73">
        <v>2.4900000000000002</v>
      </c>
      <c r="F16" s="13" t="s">
        <v>40</v>
      </c>
      <c r="G16" s="13"/>
      <c r="H16" s="13"/>
      <c r="I16" s="13"/>
      <c r="J16" s="13"/>
      <c r="K16" s="13"/>
    </row>
    <row r="17" spans="1:11" ht="20" x14ac:dyDescent="0.4">
      <c r="A17" s="13">
        <v>995006</v>
      </c>
      <c r="B17" s="13" t="s">
        <v>57</v>
      </c>
      <c r="C17" s="13" t="s">
        <v>462</v>
      </c>
      <c r="D17" s="73"/>
      <c r="E17" s="73">
        <v>2.4900000000000002</v>
      </c>
      <c r="F17" s="13" t="s">
        <v>40</v>
      </c>
      <c r="G17" s="13"/>
      <c r="H17" s="13"/>
      <c r="I17" s="13"/>
      <c r="J17" s="13"/>
      <c r="K17" s="13"/>
    </row>
    <row r="18" spans="1:11" ht="20" x14ac:dyDescent="0.4">
      <c r="A18" s="13">
        <v>995154</v>
      </c>
      <c r="B18" s="13" t="s">
        <v>751</v>
      </c>
      <c r="C18" s="13" t="s">
        <v>462</v>
      </c>
      <c r="D18" s="73"/>
      <c r="E18" s="73">
        <v>2.98</v>
      </c>
      <c r="F18" s="13" t="s">
        <v>40</v>
      </c>
      <c r="G18" s="13"/>
      <c r="H18" s="13"/>
      <c r="I18" s="13"/>
      <c r="J18" s="13"/>
      <c r="K18" s="13"/>
    </row>
    <row r="19" spans="1:11" ht="20" x14ac:dyDescent="0.4">
      <c r="A19" s="13">
        <v>995022</v>
      </c>
      <c r="B19" s="13" t="s">
        <v>60</v>
      </c>
      <c r="C19" s="13" t="s">
        <v>462</v>
      </c>
      <c r="D19" s="73"/>
      <c r="E19" s="73">
        <v>1.99</v>
      </c>
      <c r="F19" s="13" t="s">
        <v>40</v>
      </c>
      <c r="G19" s="13"/>
      <c r="H19" s="13"/>
      <c r="I19" s="13"/>
      <c r="J19" s="13"/>
      <c r="K19" s="13"/>
    </row>
    <row r="20" spans="1:11" ht="20" x14ac:dyDescent="0.4">
      <c r="A20" s="13">
        <v>995211</v>
      </c>
      <c r="B20" s="13" t="s">
        <v>784</v>
      </c>
      <c r="C20" s="13" t="s">
        <v>462</v>
      </c>
      <c r="D20" s="73"/>
      <c r="E20" s="73">
        <v>2.75</v>
      </c>
      <c r="F20" s="13" t="s">
        <v>40</v>
      </c>
      <c r="G20" s="13"/>
      <c r="H20" s="13"/>
      <c r="I20" s="13"/>
      <c r="J20" s="13"/>
      <c r="K20" s="13"/>
    </row>
    <row r="21" spans="1:11" ht="20" x14ac:dyDescent="0.4">
      <c r="A21" s="13">
        <v>995195</v>
      </c>
      <c r="B21" s="13" t="s">
        <v>723</v>
      </c>
      <c r="C21" s="13" t="s">
        <v>462</v>
      </c>
      <c r="D21" s="73"/>
      <c r="E21" s="73">
        <v>2.99</v>
      </c>
      <c r="F21" s="13" t="s">
        <v>40</v>
      </c>
      <c r="G21" s="13"/>
      <c r="H21" s="13"/>
      <c r="I21" s="13"/>
      <c r="J21" s="13"/>
      <c r="K21" s="13"/>
    </row>
    <row r="22" spans="1:11" ht="20" x14ac:dyDescent="0.4">
      <c r="A22" s="13">
        <v>995197</v>
      </c>
      <c r="B22" s="13" t="s">
        <v>806</v>
      </c>
      <c r="C22" s="13" t="s">
        <v>462</v>
      </c>
      <c r="D22" s="73"/>
      <c r="E22" s="73">
        <v>0</v>
      </c>
      <c r="F22" s="13" t="s">
        <v>40</v>
      </c>
      <c r="G22" s="13"/>
      <c r="H22" s="13"/>
      <c r="I22" s="13"/>
      <c r="J22" s="13"/>
      <c r="K22" s="13"/>
    </row>
    <row r="23" spans="1:11" ht="20" x14ac:dyDescent="0.4">
      <c r="A23" s="13">
        <v>995198</v>
      </c>
      <c r="B23" s="13" t="s">
        <v>807</v>
      </c>
      <c r="C23" s="13" t="s">
        <v>462</v>
      </c>
      <c r="D23" s="73"/>
      <c r="E23" s="73">
        <v>3.49</v>
      </c>
      <c r="F23" s="13" t="s">
        <v>40</v>
      </c>
      <c r="G23" s="13"/>
      <c r="H23" s="13"/>
      <c r="I23" s="13"/>
      <c r="J23" s="13"/>
      <c r="K23" s="13"/>
    </row>
    <row r="24" spans="1:11" ht="20" x14ac:dyDescent="0.4">
      <c r="A24" s="13">
        <v>995032</v>
      </c>
      <c r="B24" s="13" t="s">
        <v>61</v>
      </c>
      <c r="C24" s="13" t="s">
        <v>462</v>
      </c>
      <c r="D24" s="73"/>
      <c r="E24" s="73">
        <v>3.49</v>
      </c>
      <c r="F24" s="13" t="s">
        <v>40</v>
      </c>
      <c r="G24" s="13"/>
      <c r="H24" s="13"/>
      <c r="I24" s="13"/>
      <c r="J24" s="13"/>
      <c r="K24" s="13"/>
    </row>
    <row r="25" spans="1:11" ht="20" x14ac:dyDescent="0.4">
      <c r="A25" s="13">
        <v>995070</v>
      </c>
      <c r="B25" s="13" t="s">
        <v>437</v>
      </c>
      <c r="C25" s="13" t="s">
        <v>462</v>
      </c>
      <c r="D25" s="73"/>
      <c r="E25" s="73">
        <v>3.13</v>
      </c>
      <c r="F25" s="13" t="s">
        <v>40</v>
      </c>
      <c r="G25" s="13"/>
      <c r="H25" s="13"/>
      <c r="I25" s="13"/>
      <c r="J25" s="13"/>
      <c r="K25" s="13"/>
    </row>
    <row r="26" spans="1:11" ht="20" x14ac:dyDescent="0.4">
      <c r="A26" s="13">
        <v>995138</v>
      </c>
      <c r="B26" s="13" t="s">
        <v>465</v>
      </c>
      <c r="C26" s="13" t="s">
        <v>462</v>
      </c>
      <c r="D26" s="73"/>
      <c r="E26" s="73">
        <v>3.98</v>
      </c>
      <c r="F26" s="13" t="s">
        <v>40</v>
      </c>
      <c r="G26" s="13"/>
      <c r="H26" s="13"/>
      <c r="I26" s="13"/>
      <c r="J26" s="13"/>
      <c r="K26" s="13"/>
    </row>
    <row r="27" spans="1:11" ht="20" x14ac:dyDescent="0.4">
      <c r="A27" s="13">
        <v>995000</v>
      </c>
      <c r="B27" s="13" t="s">
        <v>83</v>
      </c>
      <c r="C27" s="13" t="s">
        <v>462</v>
      </c>
      <c r="D27" s="73"/>
      <c r="E27" s="73">
        <v>2.73</v>
      </c>
      <c r="F27" s="13" t="s">
        <v>40</v>
      </c>
      <c r="G27" s="13"/>
      <c r="H27" s="13"/>
      <c r="I27" s="13"/>
      <c r="J27" s="13"/>
      <c r="K27" s="13"/>
    </row>
    <row r="28" spans="1:11" ht="20" x14ac:dyDescent="0.4">
      <c r="A28" s="13">
        <v>995005</v>
      </c>
      <c r="B28" s="13" t="s">
        <v>56</v>
      </c>
      <c r="C28" s="13" t="s">
        <v>462</v>
      </c>
      <c r="D28" s="73"/>
      <c r="E28" s="73">
        <v>1.78</v>
      </c>
      <c r="F28" s="13" t="s">
        <v>40</v>
      </c>
      <c r="G28" s="13"/>
      <c r="H28" s="13" t="s">
        <v>52</v>
      </c>
      <c r="I28" s="13"/>
      <c r="J28" s="13"/>
      <c r="K28" s="13"/>
    </row>
    <row r="29" spans="1:11" ht="20" x14ac:dyDescent="0.4">
      <c r="A29" s="13">
        <v>995210</v>
      </c>
      <c r="B29" s="13" t="s">
        <v>783</v>
      </c>
      <c r="C29" s="13" t="s">
        <v>462</v>
      </c>
      <c r="D29" s="73"/>
      <c r="E29" s="73">
        <v>2.98</v>
      </c>
      <c r="F29" s="13" t="s">
        <v>40</v>
      </c>
      <c r="G29" s="13"/>
      <c r="H29" s="13"/>
      <c r="I29" s="13"/>
      <c r="J29" s="13"/>
      <c r="K29" s="13"/>
    </row>
    <row r="30" spans="1:11" ht="20" x14ac:dyDescent="0.4">
      <c r="A30" s="13">
        <v>995100</v>
      </c>
      <c r="B30" s="13" t="s">
        <v>367</v>
      </c>
      <c r="C30" s="13" t="s">
        <v>462</v>
      </c>
      <c r="D30" s="73"/>
      <c r="E30" s="73">
        <v>3.49</v>
      </c>
      <c r="F30" s="13" t="s">
        <v>40</v>
      </c>
      <c r="G30" s="13"/>
      <c r="H30" s="13"/>
      <c r="I30" s="13"/>
      <c r="J30" s="13"/>
      <c r="K30" s="13"/>
    </row>
    <row r="31" spans="1:11" ht="20" x14ac:dyDescent="0.4">
      <c r="A31" s="13">
        <v>995180</v>
      </c>
      <c r="B31" s="13" t="s">
        <v>691</v>
      </c>
      <c r="C31" s="13" t="s">
        <v>462</v>
      </c>
      <c r="D31" s="73"/>
      <c r="E31" s="73">
        <v>4.99</v>
      </c>
      <c r="F31" s="13" t="s">
        <v>40</v>
      </c>
      <c r="G31" s="13"/>
      <c r="H31" s="13"/>
      <c r="I31" s="13"/>
      <c r="J31" s="13"/>
      <c r="K31" s="13"/>
    </row>
    <row r="32" spans="1:11" ht="20" x14ac:dyDescent="0.4">
      <c r="A32" s="13">
        <v>995021</v>
      </c>
      <c r="B32" s="13" t="s">
        <v>63</v>
      </c>
      <c r="C32" s="13"/>
      <c r="D32" s="73"/>
      <c r="E32" s="73">
        <v>3.49</v>
      </c>
      <c r="F32" s="13" t="s">
        <v>40</v>
      </c>
      <c r="G32" s="13"/>
      <c r="H32" s="13"/>
      <c r="I32" s="13"/>
      <c r="J32" s="13"/>
      <c r="K32" s="13"/>
    </row>
    <row r="33" spans="1:11" ht="20" x14ac:dyDescent="0.4">
      <c r="A33" s="13">
        <v>995101</v>
      </c>
      <c r="B33" s="13" t="s">
        <v>149</v>
      </c>
      <c r="C33" s="13" t="s">
        <v>462</v>
      </c>
      <c r="D33" s="73"/>
      <c r="E33" s="73">
        <v>3.49</v>
      </c>
      <c r="F33" s="13" t="s">
        <v>40</v>
      </c>
      <c r="G33" s="13"/>
      <c r="H33" s="13"/>
      <c r="I33" s="13"/>
      <c r="J33" s="13"/>
      <c r="K33" s="13"/>
    </row>
    <row r="34" spans="1:11" ht="20" x14ac:dyDescent="0.4">
      <c r="A34" s="13">
        <v>995207</v>
      </c>
      <c r="B34" s="13" t="s">
        <v>808</v>
      </c>
      <c r="C34" s="13" t="s">
        <v>462</v>
      </c>
      <c r="D34" s="73"/>
      <c r="E34" s="73">
        <v>3.49</v>
      </c>
      <c r="F34" s="13" t="s">
        <v>40</v>
      </c>
      <c r="G34" s="13"/>
      <c r="H34" s="13"/>
      <c r="I34" s="13"/>
      <c r="J34" s="13"/>
      <c r="K34" s="13"/>
    </row>
    <row r="35" spans="1:11" ht="20" x14ac:dyDescent="0.4">
      <c r="A35" s="13">
        <v>995108</v>
      </c>
      <c r="B35" s="13" t="s">
        <v>714</v>
      </c>
      <c r="C35" s="13"/>
      <c r="D35" s="73"/>
      <c r="E35" s="73">
        <v>3.49</v>
      </c>
      <c r="F35" s="13" t="s">
        <v>40</v>
      </c>
      <c r="G35" s="13"/>
      <c r="H35" s="13"/>
      <c r="I35" s="13"/>
      <c r="J35" s="13"/>
      <c r="K35" s="13"/>
    </row>
    <row r="36" spans="1:11" ht="20" x14ac:dyDescent="0.4">
      <c r="A36" s="13">
        <v>995111</v>
      </c>
      <c r="B36" s="13" t="s">
        <v>772</v>
      </c>
      <c r="C36" s="13" t="s">
        <v>462</v>
      </c>
      <c r="D36" s="73"/>
      <c r="E36" s="73">
        <v>3.49</v>
      </c>
      <c r="F36" s="13" t="s">
        <v>40</v>
      </c>
      <c r="G36" s="13"/>
      <c r="H36" s="13"/>
      <c r="I36" s="13"/>
      <c r="J36" s="13"/>
      <c r="K36" s="13"/>
    </row>
    <row r="37" spans="1:11" ht="40" x14ac:dyDescent="0.4">
      <c r="A37" s="13">
        <v>995015</v>
      </c>
      <c r="B37" s="13" t="s">
        <v>711</v>
      </c>
      <c r="C37" s="13"/>
      <c r="D37" s="73"/>
      <c r="E37" s="73">
        <v>3.47</v>
      </c>
      <c r="F37" s="13" t="s">
        <v>40</v>
      </c>
      <c r="G37" s="13"/>
      <c r="H37" s="13" t="s">
        <v>41</v>
      </c>
      <c r="I37" s="13"/>
      <c r="J37" s="13"/>
      <c r="K37" s="13"/>
    </row>
    <row r="38" spans="1:11" ht="20" x14ac:dyDescent="0.4">
      <c r="A38" s="13">
        <v>995012</v>
      </c>
      <c r="B38" s="13" t="s">
        <v>699</v>
      </c>
      <c r="C38" s="13"/>
      <c r="D38" s="73"/>
      <c r="E38" s="73">
        <v>3.47</v>
      </c>
      <c r="F38" s="13" t="s">
        <v>40</v>
      </c>
      <c r="G38" s="13"/>
      <c r="H38" s="13"/>
      <c r="I38" s="13"/>
      <c r="J38" s="13"/>
      <c r="K38" s="13"/>
    </row>
    <row r="39" spans="1:11" ht="20" x14ac:dyDescent="0.4">
      <c r="A39" s="13">
        <v>995067</v>
      </c>
      <c r="B39" s="13" t="s">
        <v>42</v>
      </c>
      <c r="C39" s="13" t="s">
        <v>462</v>
      </c>
      <c r="D39" s="73"/>
      <c r="E39" s="73">
        <v>3.13</v>
      </c>
      <c r="F39" s="13" t="s">
        <v>40</v>
      </c>
      <c r="G39" s="13"/>
      <c r="H39" s="13"/>
      <c r="I39" s="13"/>
      <c r="J39" s="13"/>
      <c r="K39" s="13"/>
    </row>
    <row r="40" spans="1:11" ht="20" x14ac:dyDescent="0.4">
      <c r="A40" s="13">
        <v>995068</v>
      </c>
      <c r="B40" s="13" t="s">
        <v>43</v>
      </c>
      <c r="C40" s="13" t="s">
        <v>462</v>
      </c>
      <c r="D40" s="73"/>
      <c r="E40" s="73">
        <v>2.85</v>
      </c>
      <c r="F40" s="13" t="s">
        <v>40</v>
      </c>
      <c r="G40" s="13"/>
      <c r="H40" s="13"/>
      <c r="I40" s="13"/>
      <c r="J40" s="13"/>
      <c r="K40" s="13"/>
    </row>
    <row r="41" spans="1:11" ht="20" x14ac:dyDescent="0.4">
      <c r="A41" s="13">
        <v>995140</v>
      </c>
      <c r="B41" s="13" t="s">
        <v>782</v>
      </c>
      <c r="C41" s="13" t="s">
        <v>462</v>
      </c>
      <c r="D41" s="73"/>
      <c r="E41" s="73">
        <v>5.13</v>
      </c>
      <c r="F41" s="13" t="s">
        <v>40</v>
      </c>
      <c r="G41" s="13"/>
      <c r="H41" s="13"/>
      <c r="I41" s="13"/>
      <c r="J41" s="13"/>
      <c r="K41" s="13"/>
    </row>
    <row r="42" spans="1:11" ht="20" x14ac:dyDescent="0.4">
      <c r="A42" s="13">
        <v>995137</v>
      </c>
      <c r="B42" s="13" t="s">
        <v>464</v>
      </c>
      <c r="C42" s="13" t="s">
        <v>462</v>
      </c>
      <c r="D42" s="73"/>
      <c r="E42" s="73">
        <v>3.98</v>
      </c>
      <c r="F42" s="13" t="s">
        <v>40</v>
      </c>
      <c r="G42" s="13"/>
      <c r="H42" s="13"/>
      <c r="I42" s="13"/>
      <c r="J42" s="13"/>
      <c r="K42" s="13"/>
    </row>
    <row r="43" spans="1:11" ht="20" x14ac:dyDescent="0.4">
      <c r="A43" s="13">
        <v>995026</v>
      </c>
      <c r="B43" s="13" t="s">
        <v>50</v>
      </c>
      <c r="C43" s="13" t="s">
        <v>462</v>
      </c>
      <c r="D43" s="73"/>
      <c r="E43" s="73">
        <v>2.29</v>
      </c>
      <c r="F43" s="13" t="s">
        <v>40</v>
      </c>
      <c r="G43" s="13"/>
      <c r="H43" s="13"/>
      <c r="I43" s="13"/>
      <c r="J43" s="13"/>
      <c r="K43" s="13"/>
    </row>
    <row r="44" spans="1:11" ht="20" x14ac:dyDescent="0.4">
      <c r="A44" s="13">
        <v>995008</v>
      </c>
      <c r="B44" s="13" t="s">
        <v>58</v>
      </c>
      <c r="C44" s="13"/>
      <c r="D44" s="73"/>
      <c r="E44" s="73">
        <v>1.98</v>
      </c>
      <c r="F44" s="13" t="s">
        <v>40</v>
      </c>
      <c r="G44" s="13"/>
      <c r="H44" s="13"/>
      <c r="I44" s="13"/>
      <c r="J44" s="13"/>
      <c r="K44" s="13"/>
    </row>
    <row r="45" spans="1:11" ht="20" x14ac:dyDescent="0.4">
      <c r="A45" s="13">
        <v>995004</v>
      </c>
      <c r="B45" s="13" t="s">
        <v>59</v>
      </c>
      <c r="C45" s="13" t="s">
        <v>462</v>
      </c>
      <c r="D45" s="73"/>
      <c r="E45" s="73">
        <v>3.47</v>
      </c>
      <c r="F45" s="13" t="s">
        <v>40</v>
      </c>
      <c r="G45" s="13"/>
      <c r="H45" s="13"/>
      <c r="I45" s="13"/>
      <c r="J45" s="13"/>
      <c r="K45" s="13"/>
    </row>
    <row r="46" spans="1:11" ht="40" x14ac:dyDescent="0.4">
      <c r="A46" s="13">
        <v>995018</v>
      </c>
      <c r="B46" s="13" t="s">
        <v>450</v>
      </c>
      <c r="C46" s="13" t="s">
        <v>462</v>
      </c>
      <c r="D46" s="73"/>
      <c r="E46" s="73">
        <v>5.34</v>
      </c>
      <c r="F46" s="13" t="s">
        <v>40</v>
      </c>
      <c r="G46" s="13"/>
      <c r="H46" s="13"/>
      <c r="I46" s="13"/>
      <c r="J46" s="13"/>
      <c r="K46" s="13"/>
    </row>
    <row r="47" spans="1:11" ht="20" x14ac:dyDescent="0.4">
      <c r="A47" s="13">
        <v>995011</v>
      </c>
      <c r="B47" s="13" t="s">
        <v>579</v>
      </c>
      <c r="C47" s="13" t="s">
        <v>462</v>
      </c>
      <c r="D47" s="73"/>
      <c r="E47" s="73">
        <v>3.47</v>
      </c>
      <c r="F47" s="13" t="s">
        <v>40</v>
      </c>
      <c r="G47" s="13"/>
      <c r="H47" s="13"/>
      <c r="I47" s="13"/>
      <c r="J47" s="13"/>
      <c r="K47" s="13"/>
    </row>
    <row r="48" spans="1:11" ht="20" x14ac:dyDescent="0.4">
      <c r="A48" s="13">
        <v>995019</v>
      </c>
      <c r="B48" s="13" t="s">
        <v>580</v>
      </c>
      <c r="C48" s="13" t="s">
        <v>462</v>
      </c>
      <c r="D48" s="73"/>
      <c r="E48" s="73">
        <v>5.34</v>
      </c>
      <c r="F48" s="13" t="s">
        <v>40</v>
      </c>
      <c r="G48" s="13"/>
      <c r="H48" s="13"/>
      <c r="I48" s="13"/>
      <c r="J48" s="13"/>
      <c r="K48" s="13"/>
    </row>
    <row r="49" spans="1:11" ht="20" x14ac:dyDescent="0.4">
      <c r="A49" s="13">
        <v>995212</v>
      </c>
      <c r="B49" s="13" t="s">
        <v>750</v>
      </c>
      <c r="C49" s="13" t="s">
        <v>462</v>
      </c>
      <c r="D49" s="73"/>
      <c r="E49" s="73">
        <v>3.47</v>
      </c>
      <c r="F49" s="13" t="s">
        <v>40</v>
      </c>
      <c r="G49" s="13"/>
      <c r="H49" s="13"/>
      <c r="I49" s="13"/>
      <c r="J49" s="13"/>
      <c r="K49" s="13"/>
    </row>
    <row r="50" spans="1:11" ht="20" x14ac:dyDescent="0.4">
      <c r="A50" s="13">
        <v>995181</v>
      </c>
      <c r="B50" s="13" t="s">
        <v>661</v>
      </c>
      <c r="C50" s="13" t="s">
        <v>462</v>
      </c>
      <c r="D50" s="73"/>
      <c r="E50" s="73">
        <v>4.99</v>
      </c>
      <c r="F50" s="13" t="s">
        <v>40</v>
      </c>
      <c r="G50" s="13"/>
      <c r="H50" s="13"/>
      <c r="I50" s="13"/>
      <c r="J50" s="13"/>
      <c r="K50" s="13"/>
    </row>
    <row r="51" spans="1:11" ht="20" x14ac:dyDescent="0.4">
      <c r="A51" s="13">
        <v>995179</v>
      </c>
      <c r="B51" s="13" t="s">
        <v>660</v>
      </c>
      <c r="C51" s="13" t="s">
        <v>462</v>
      </c>
      <c r="D51" s="73"/>
      <c r="E51" s="73">
        <v>4.99</v>
      </c>
      <c r="F51" s="13" t="s">
        <v>40</v>
      </c>
      <c r="G51" s="13"/>
      <c r="H51" s="13"/>
      <c r="I51" s="13"/>
      <c r="J51" s="13"/>
      <c r="K51" s="13"/>
    </row>
    <row r="52" spans="1:11" ht="20" x14ac:dyDescent="0.4">
      <c r="A52" s="13">
        <v>995069</v>
      </c>
      <c r="B52" s="13" t="s">
        <v>422</v>
      </c>
      <c r="C52" s="13" t="s">
        <v>462</v>
      </c>
      <c r="D52" s="73"/>
      <c r="E52" s="73">
        <v>3.13</v>
      </c>
      <c r="F52" s="13" t="s">
        <v>40</v>
      </c>
      <c r="G52" s="13"/>
      <c r="H52" s="13"/>
      <c r="I52" s="13"/>
      <c r="J52" s="13"/>
      <c r="K52" s="13"/>
    </row>
    <row r="53" spans="1:11" ht="40" x14ac:dyDescent="0.4">
      <c r="A53" s="13">
        <v>995131</v>
      </c>
      <c r="B53" s="13" t="s">
        <v>397</v>
      </c>
      <c r="C53" s="13"/>
      <c r="D53" s="73"/>
      <c r="E53" s="73">
        <v>3.13</v>
      </c>
      <c r="F53" s="13" t="s">
        <v>40</v>
      </c>
      <c r="G53" s="13"/>
      <c r="H53" s="13" t="s">
        <v>41</v>
      </c>
      <c r="I53" s="13"/>
      <c r="J53" s="13"/>
      <c r="K53" s="13"/>
    </row>
    <row r="54" spans="1:11" ht="20" x14ac:dyDescent="0.4">
      <c r="A54" s="13">
        <v>995133</v>
      </c>
      <c r="B54" s="13" t="s">
        <v>398</v>
      </c>
      <c r="C54" s="13" t="s">
        <v>462</v>
      </c>
      <c r="D54" s="73"/>
      <c r="E54" s="73">
        <v>2.89</v>
      </c>
      <c r="F54" s="13" t="s">
        <v>40</v>
      </c>
      <c r="G54" s="13"/>
      <c r="H54" s="13"/>
      <c r="I54" s="13"/>
      <c r="J54" s="13"/>
      <c r="K54" s="13"/>
    </row>
    <row r="55" spans="1:11" ht="20" x14ac:dyDescent="0.4">
      <c r="A55" s="13">
        <v>995027</v>
      </c>
      <c r="B55" s="13" t="s">
        <v>426</v>
      </c>
      <c r="C55" s="13" t="s">
        <v>462</v>
      </c>
      <c r="D55" s="73"/>
      <c r="E55" s="73">
        <v>4.49</v>
      </c>
      <c r="F55" s="13" t="s">
        <v>40</v>
      </c>
      <c r="G55" s="13"/>
      <c r="H55" s="13"/>
      <c r="I55" s="13"/>
      <c r="J55" s="13"/>
      <c r="K55" s="13"/>
    </row>
    <row r="56" spans="1:11" ht="20" x14ac:dyDescent="0.4">
      <c r="A56" s="13">
        <v>995001</v>
      </c>
      <c r="B56" s="13" t="s">
        <v>433</v>
      </c>
      <c r="C56" s="13" t="s">
        <v>462</v>
      </c>
      <c r="D56" s="73"/>
      <c r="E56" s="73">
        <v>2.72</v>
      </c>
      <c r="F56" s="13" t="s">
        <v>40</v>
      </c>
      <c r="G56" s="13"/>
      <c r="H56" s="13"/>
      <c r="I56" s="13"/>
      <c r="J56" s="13"/>
      <c r="K56" s="13"/>
    </row>
    <row r="57" spans="1:11" ht="20" x14ac:dyDescent="0.4">
      <c r="A57" s="13">
        <v>995164</v>
      </c>
      <c r="B57" s="13" t="s">
        <v>637</v>
      </c>
      <c r="C57" s="13" t="s">
        <v>462</v>
      </c>
      <c r="D57" s="73"/>
      <c r="E57" s="73">
        <v>2.2799999999999998</v>
      </c>
      <c r="F57" s="13" t="s">
        <v>40</v>
      </c>
      <c r="G57" s="13"/>
      <c r="H57" s="13"/>
      <c r="I57" s="13"/>
      <c r="J57" s="13"/>
      <c r="K57" s="13"/>
    </row>
    <row r="58" spans="1:11" ht="20" x14ac:dyDescent="0.4">
      <c r="A58" s="13">
        <v>995014</v>
      </c>
      <c r="B58" s="13" t="s">
        <v>65</v>
      </c>
      <c r="C58" s="13" t="s">
        <v>462</v>
      </c>
      <c r="D58" s="73"/>
      <c r="E58" s="73">
        <v>3.47</v>
      </c>
      <c r="F58" s="13" t="s">
        <v>40</v>
      </c>
      <c r="G58" s="13"/>
      <c r="H58" s="13"/>
      <c r="I58" s="13"/>
      <c r="J58" s="13"/>
      <c r="K58" s="13"/>
    </row>
    <row r="59" spans="1:11" ht="20" x14ac:dyDescent="0.4">
      <c r="A59" s="13">
        <v>995077</v>
      </c>
      <c r="B59" s="13" t="s">
        <v>46</v>
      </c>
      <c r="C59" s="13" t="s">
        <v>462</v>
      </c>
      <c r="D59" s="73"/>
      <c r="E59" s="73">
        <v>5.13</v>
      </c>
      <c r="F59" s="13" t="s">
        <v>40</v>
      </c>
      <c r="G59" s="13"/>
      <c r="H59" s="13"/>
      <c r="I59" s="13"/>
      <c r="J59" s="13"/>
      <c r="K59" s="13"/>
    </row>
    <row r="60" spans="1:11" ht="20" x14ac:dyDescent="0.4">
      <c r="A60" s="13">
        <v>995078</v>
      </c>
      <c r="B60" s="13" t="s">
        <v>47</v>
      </c>
      <c r="C60" s="13" t="s">
        <v>462</v>
      </c>
      <c r="D60" s="73"/>
      <c r="E60" s="73">
        <v>5.13</v>
      </c>
      <c r="F60" s="13" t="s">
        <v>40</v>
      </c>
      <c r="G60" s="13"/>
      <c r="H60" s="13"/>
      <c r="I60" s="13"/>
      <c r="J60" s="13"/>
      <c r="K60" s="13"/>
    </row>
    <row r="61" spans="1:11" ht="20" x14ac:dyDescent="0.4">
      <c r="A61" s="13">
        <v>985160</v>
      </c>
      <c r="B61" s="13" t="s">
        <v>53</v>
      </c>
      <c r="C61" s="13"/>
      <c r="D61" s="73"/>
      <c r="E61" s="73">
        <v>2.98</v>
      </c>
      <c r="F61" s="13" t="s">
        <v>40</v>
      </c>
      <c r="G61" s="13"/>
      <c r="H61" s="13"/>
      <c r="I61" s="13"/>
      <c r="J61" s="13"/>
      <c r="K61" s="13"/>
    </row>
    <row r="62" spans="1:11" ht="20" x14ac:dyDescent="0.4">
      <c r="A62" s="13">
        <v>985190</v>
      </c>
      <c r="B62" s="13" t="s">
        <v>458</v>
      </c>
      <c r="C62" s="13"/>
      <c r="D62" s="73"/>
      <c r="E62" s="73">
        <v>3.96</v>
      </c>
      <c r="F62" s="13" t="s">
        <v>40</v>
      </c>
      <c r="G62" s="13"/>
      <c r="H62" s="13"/>
      <c r="I62" s="13"/>
      <c r="J62" s="13"/>
      <c r="K62" s="13"/>
    </row>
    <row r="63" spans="1:11" ht="40" x14ac:dyDescent="0.4">
      <c r="A63" s="13">
        <v>985060</v>
      </c>
      <c r="B63" s="13" t="s">
        <v>453</v>
      </c>
      <c r="C63" s="13"/>
      <c r="D63" s="73"/>
      <c r="E63" s="73">
        <v>1.55</v>
      </c>
      <c r="F63" s="13" t="s">
        <v>40</v>
      </c>
      <c r="G63" s="13"/>
      <c r="H63" s="13" t="s">
        <v>41</v>
      </c>
      <c r="I63" s="13"/>
      <c r="J63" s="13"/>
      <c r="K63" s="13"/>
    </row>
    <row r="64" spans="1:11" ht="20" x14ac:dyDescent="0.4">
      <c r="A64" s="13">
        <v>985011</v>
      </c>
      <c r="B64" s="13" t="s">
        <v>54</v>
      </c>
      <c r="C64" s="13"/>
      <c r="D64" s="73"/>
      <c r="E64" s="73">
        <v>2.48</v>
      </c>
      <c r="F64" s="13" t="s">
        <v>40</v>
      </c>
      <c r="G64" s="13"/>
      <c r="H64" s="13"/>
      <c r="I64" s="13"/>
      <c r="J64" s="13"/>
      <c r="K64" s="13"/>
    </row>
    <row r="65" spans="1:11" ht="20" x14ac:dyDescent="0.4">
      <c r="A65" s="13">
        <v>985111</v>
      </c>
      <c r="B65" s="13" t="s">
        <v>399</v>
      </c>
      <c r="C65" s="13"/>
      <c r="D65" s="73"/>
      <c r="E65" s="73">
        <v>2.48</v>
      </c>
      <c r="F65" s="13" t="s">
        <v>40</v>
      </c>
      <c r="G65" s="13"/>
      <c r="H65" s="13"/>
      <c r="I65" s="13"/>
      <c r="J65" s="13"/>
      <c r="K65" s="13"/>
    </row>
    <row r="66" spans="1:11" ht="20" x14ac:dyDescent="0.4">
      <c r="A66" s="13">
        <v>995147</v>
      </c>
      <c r="B66" s="13" t="s">
        <v>456</v>
      </c>
      <c r="C66" s="13" t="s">
        <v>462</v>
      </c>
      <c r="D66" s="73"/>
      <c r="E66" s="73">
        <v>2.84</v>
      </c>
      <c r="F66" s="13" t="s">
        <v>40</v>
      </c>
      <c r="G66" s="13"/>
      <c r="H66" s="13"/>
      <c r="I66" s="13"/>
      <c r="J66" s="13"/>
      <c r="K66" s="13"/>
    </row>
    <row r="67" spans="1:11" ht="20" x14ac:dyDescent="0.4">
      <c r="A67" s="13">
        <v>987592</v>
      </c>
      <c r="B67" s="13" t="s">
        <v>636</v>
      </c>
      <c r="C67" s="13" t="s">
        <v>462</v>
      </c>
      <c r="D67" s="73"/>
      <c r="E67" s="73">
        <v>1.77</v>
      </c>
      <c r="F67" s="13" t="s">
        <v>40</v>
      </c>
      <c r="G67" s="13"/>
      <c r="H67" s="13"/>
      <c r="I67" s="13"/>
      <c r="J67" s="13"/>
      <c r="K67" s="13"/>
    </row>
    <row r="68" spans="1:11" ht="40" x14ac:dyDescent="0.4">
      <c r="A68" s="13">
        <v>987594</v>
      </c>
      <c r="B68" s="13" t="s">
        <v>448</v>
      </c>
      <c r="C68" s="13"/>
      <c r="D68" s="73"/>
      <c r="E68" s="73">
        <v>0</v>
      </c>
      <c r="F68" s="13" t="s">
        <v>40</v>
      </c>
      <c r="G68" s="13"/>
      <c r="H68" s="13" t="s">
        <v>471</v>
      </c>
      <c r="I68" s="13"/>
      <c r="J68" s="13"/>
      <c r="K68" s="13"/>
    </row>
    <row r="69" spans="1:11" ht="20" x14ac:dyDescent="0.4">
      <c r="A69" s="13">
        <v>987591</v>
      </c>
      <c r="B69" s="13" t="s">
        <v>67</v>
      </c>
      <c r="C69" s="13"/>
      <c r="D69" s="73"/>
      <c r="E69" s="73">
        <v>1.98</v>
      </c>
      <c r="F69" s="13" t="s">
        <v>40</v>
      </c>
      <c r="G69" s="13"/>
      <c r="H69" s="13"/>
      <c r="I69" s="13"/>
      <c r="J69" s="13"/>
      <c r="K69" s="13"/>
    </row>
    <row r="70" spans="1:11" ht="20" x14ac:dyDescent="0.4">
      <c r="A70" s="13">
        <v>987614</v>
      </c>
      <c r="B70" s="13" t="s">
        <v>25</v>
      </c>
      <c r="C70" s="13"/>
      <c r="D70" s="73"/>
      <c r="E70" s="73">
        <v>1.39</v>
      </c>
      <c r="F70" s="13" t="s">
        <v>40</v>
      </c>
      <c r="G70" s="13"/>
      <c r="H70" s="13"/>
      <c r="I70" s="13"/>
      <c r="J70" s="13"/>
      <c r="K70" s="13"/>
    </row>
    <row r="71" spans="1:11" ht="20" x14ac:dyDescent="0.4">
      <c r="A71" s="13">
        <v>995045</v>
      </c>
      <c r="B71" s="13" t="s">
        <v>424</v>
      </c>
      <c r="C71" s="13"/>
      <c r="D71" s="73"/>
      <c r="E71" s="73">
        <v>4.17</v>
      </c>
      <c r="F71" s="13" t="s">
        <v>40</v>
      </c>
      <c r="G71" s="13"/>
      <c r="H71" s="13"/>
      <c r="I71" s="13"/>
      <c r="J71" s="13"/>
      <c r="K71" s="13"/>
    </row>
    <row r="72" spans="1:11" ht="20" x14ac:dyDescent="0.4">
      <c r="A72" s="13">
        <v>995051</v>
      </c>
      <c r="B72" s="13" t="s">
        <v>87</v>
      </c>
      <c r="C72" s="13"/>
      <c r="D72" s="73"/>
      <c r="E72" s="73">
        <v>5.19</v>
      </c>
      <c r="F72" s="13" t="s">
        <v>40</v>
      </c>
      <c r="G72" s="13"/>
      <c r="H72" s="13"/>
      <c r="I72" s="13"/>
      <c r="J72" s="13"/>
      <c r="K72" s="13"/>
    </row>
    <row r="73" spans="1:11" ht="20" x14ac:dyDescent="0.4">
      <c r="A73" s="13">
        <v>995053</v>
      </c>
      <c r="B73" s="13" t="s">
        <v>86</v>
      </c>
      <c r="C73" s="13"/>
      <c r="D73" s="73"/>
      <c r="E73" s="73">
        <v>5.19</v>
      </c>
      <c r="F73" s="13" t="s">
        <v>40</v>
      </c>
      <c r="G73" s="13"/>
      <c r="H73" s="13"/>
      <c r="I73" s="13"/>
      <c r="J73" s="13"/>
      <c r="K73" s="13"/>
    </row>
    <row r="74" spans="1:11" ht="20" x14ac:dyDescent="0.4">
      <c r="A74" s="13">
        <v>995158</v>
      </c>
      <c r="B74" s="13" t="s">
        <v>605</v>
      </c>
      <c r="C74" s="13"/>
      <c r="D74" s="73"/>
      <c r="E74" s="73">
        <v>4.49</v>
      </c>
      <c r="F74" s="13" t="s">
        <v>40</v>
      </c>
      <c r="G74" s="13"/>
      <c r="H74" s="13"/>
      <c r="I74" s="13"/>
      <c r="J74" s="13"/>
      <c r="K74" s="13"/>
    </row>
    <row r="75" spans="1:11" ht="20" x14ac:dyDescent="0.4">
      <c r="A75" s="13">
        <v>989088</v>
      </c>
      <c r="B75" s="13" t="s">
        <v>85</v>
      </c>
      <c r="C75" s="13"/>
      <c r="D75" s="73"/>
      <c r="E75" s="73">
        <v>0.88</v>
      </c>
      <c r="F75" s="13" t="s">
        <v>40</v>
      </c>
      <c r="G75" s="13"/>
      <c r="H75" s="13"/>
      <c r="I75" s="13"/>
      <c r="J75" s="13"/>
      <c r="K75" s="13"/>
    </row>
    <row r="76" spans="1:11" ht="20" x14ac:dyDescent="0.4">
      <c r="A76" s="13">
        <v>989089</v>
      </c>
      <c r="B76" s="13" t="s">
        <v>84</v>
      </c>
      <c r="C76" s="13"/>
      <c r="D76" s="73"/>
      <c r="E76" s="73">
        <v>0.85</v>
      </c>
      <c r="F76" s="13" t="s">
        <v>40</v>
      </c>
      <c r="G76" s="13"/>
      <c r="H76" s="13"/>
      <c r="I76" s="13"/>
      <c r="J76" s="13"/>
      <c r="K76" s="13"/>
    </row>
    <row r="77" spans="1:11" ht="20" x14ac:dyDescent="0.4">
      <c r="A77" s="13">
        <v>995106</v>
      </c>
      <c r="B77" s="13" t="s">
        <v>153</v>
      </c>
      <c r="C77" s="13"/>
      <c r="D77" s="73"/>
      <c r="E77" s="73">
        <v>2.98</v>
      </c>
      <c r="F77" s="13" t="s">
        <v>40</v>
      </c>
      <c r="G77" s="13"/>
      <c r="H77" s="13"/>
      <c r="I77" s="13"/>
      <c r="J77" s="13"/>
      <c r="K77" s="13"/>
    </row>
    <row r="78" spans="1:11" ht="20" x14ac:dyDescent="0.4">
      <c r="A78" s="13">
        <v>995084</v>
      </c>
      <c r="B78" s="13" t="s">
        <v>48</v>
      </c>
      <c r="C78" s="13"/>
      <c r="D78" s="73"/>
      <c r="E78" s="73">
        <v>2.78</v>
      </c>
      <c r="F78" s="13" t="s">
        <v>40</v>
      </c>
      <c r="G78" s="13"/>
      <c r="H78" s="13"/>
      <c r="I78" s="13"/>
      <c r="J78" s="13"/>
      <c r="K78" s="13"/>
    </row>
    <row r="79" spans="1:11" ht="20" x14ac:dyDescent="0.4">
      <c r="A79" s="13">
        <v>995192</v>
      </c>
      <c r="B79" s="13" t="s">
        <v>706</v>
      </c>
      <c r="C79" s="13" t="s">
        <v>462</v>
      </c>
      <c r="D79" s="73"/>
      <c r="E79" s="73">
        <v>6.18</v>
      </c>
      <c r="F79" s="13" t="s">
        <v>40</v>
      </c>
      <c r="G79" s="13"/>
      <c r="H79" s="13"/>
      <c r="I79" s="13"/>
      <c r="J79" s="13"/>
      <c r="K79" s="13"/>
    </row>
    <row r="80" spans="1:11" ht="20" x14ac:dyDescent="0.4">
      <c r="A80" s="13">
        <v>995046</v>
      </c>
      <c r="B80" s="13" t="s">
        <v>425</v>
      </c>
      <c r="C80" s="13"/>
      <c r="D80" s="73"/>
      <c r="E80" s="73">
        <v>2.78</v>
      </c>
      <c r="F80" s="13" t="s">
        <v>40</v>
      </c>
      <c r="G80" s="13"/>
      <c r="H80" s="13"/>
      <c r="I80" s="13"/>
      <c r="J80" s="13"/>
      <c r="K80" s="13"/>
    </row>
    <row r="81" spans="1:11" ht="20" x14ac:dyDescent="0.4">
      <c r="A81" s="13">
        <v>995177</v>
      </c>
      <c r="B81" s="13" t="s">
        <v>635</v>
      </c>
      <c r="C81" s="13" t="s">
        <v>462</v>
      </c>
      <c r="D81" s="73"/>
      <c r="E81" s="73">
        <v>4.49</v>
      </c>
      <c r="F81" s="13" t="s">
        <v>40</v>
      </c>
      <c r="G81" s="13"/>
      <c r="H81" s="13"/>
      <c r="I81" s="13"/>
      <c r="J81" s="13"/>
      <c r="K81" s="13"/>
    </row>
    <row r="82" spans="1:11" ht="20" x14ac:dyDescent="0.4">
      <c r="A82" s="13">
        <v>995194</v>
      </c>
      <c r="B82" s="13" t="s">
        <v>696</v>
      </c>
      <c r="C82" s="13" t="s">
        <v>462</v>
      </c>
      <c r="D82" s="73"/>
      <c r="E82" s="73">
        <v>4.49</v>
      </c>
      <c r="F82" s="13" t="s">
        <v>40</v>
      </c>
      <c r="G82" s="13"/>
      <c r="H82" s="13"/>
      <c r="I82" s="13"/>
      <c r="J82" s="13"/>
      <c r="K82" s="13"/>
    </row>
    <row r="83" spans="1:11" ht="20" x14ac:dyDescent="0.4">
      <c r="A83" s="13">
        <v>995123</v>
      </c>
      <c r="B83" s="13" t="s">
        <v>601</v>
      </c>
      <c r="C83" s="13" t="s">
        <v>462</v>
      </c>
      <c r="D83" s="73"/>
      <c r="E83" s="73">
        <v>2.78</v>
      </c>
      <c r="F83" s="13" t="s">
        <v>40</v>
      </c>
      <c r="G83" s="13"/>
      <c r="H83" s="13"/>
      <c r="I83" s="13"/>
      <c r="J83" s="13"/>
      <c r="K83" s="13"/>
    </row>
    <row r="84" spans="1:11" ht="20" x14ac:dyDescent="0.4">
      <c r="A84" s="13">
        <v>995097</v>
      </c>
      <c r="B84" s="13" t="s">
        <v>394</v>
      </c>
      <c r="C84" s="13"/>
      <c r="D84" s="73"/>
      <c r="E84" s="73">
        <v>2.39</v>
      </c>
      <c r="F84" s="13" t="s">
        <v>40</v>
      </c>
      <c r="G84" s="13"/>
      <c r="H84" s="13"/>
      <c r="I84" s="13"/>
      <c r="J84" s="13"/>
      <c r="K84" s="13"/>
    </row>
    <row r="85" spans="1:11" ht="20" x14ac:dyDescent="0.4">
      <c r="A85" s="13">
        <v>987691</v>
      </c>
      <c r="B85" s="13" t="s">
        <v>77</v>
      </c>
      <c r="C85" s="13" t="s">
        <v>462</v>
      </c>
      <c r="D85" s="73"/>
      <c r="E85" s="73">
        <v>3.69</v>
      </c>
      <c r="F85" s="13" t="s">
        <v>40</v>
      </c>
      <c r="G85" s="13"/>
      <c r="H85" s="13"/>
      <c r="I85" s="13"/>
      <c r="J85" s="13"/>
      <c r="K85" s="13"/>
    </row>
    <row r="86" spans="1:11" ht="20" x14ac:dyDescent="0.4">
      <c r="A86" s="13">
        <v>987690</v>
      </c>
      <c r="B86" s="13" t="s">
        <v>105</v>
      </c>
      <c r="C86" s="13" t="s">
        <v>462</v>
      </c>
      <c r="D86" s="73"/>
      <c r="E86" s="73">
        <v>3.29</v>
      </c>
      <c r="F86" s="13" t="s">
        <v>40</v>
      </c>
      <c r="G86" s="13"/>
      <c r="H86" s="13"/>
      <c r="I86" s="13"/>
      <c r="J86" s="13"/>
      <c r="K86" s="13"/>
    </row>
    <row r="87" spans="1:11" ht="20" x14ac:dyDescent="0.4">
      <c r="A87" s="13">
        <v>995085</v>
      </c>
      <c r="B87" s="13" t="s">
        <v>49</v>
      </c>
      <c r="C87" s="13" t="s">
        <v>462</v>
      </c>
      <c r="D87" s="73"/>
      <c r="E87" s="73">
        <v>2.78</v>
      </c>
      <c r="F87" s="13" t="s">
        <v>40</v>
      </c>
      <c r="G87" s="13"/>
      <c r="H87" s="13"/>
      <c r="I87" s="13"/>
      <c r="J87" s="13"/>
      <c r="K87" s="13"/>
    </row>
    <row r="88" spans="1:11" ht="20" x14ac:dyDescent="0.4">
      <c r="A88" s="13">
        <v>995166</v>
      </c>
      <c r="B88" s="13" t="s">
        <v>602</v>
      </c>
      <c r="C88" s="13" t="s">
        <v>462</v>
      </c>
      <c r="D88" s="73"/>
      <c r="E88" s="73">
        <v>2.78</v>
      </c>
      <c r="F88" s="13" t="s">
        <v>40</v>
      </c>
      <c r="G88" s="13"/>
      <c r="H88" s="13"/>
      <c r="I88" s="13"/>
      <c r="J88" s="13"/>
      <c r="K88" s="13"/>
    </row>
    <row r="89" spans="1:11" ht="20" x14ac:dyDescent="0.4">
      <c r="A89" s="13">
        <v>995184</v>
      </c>
      <c r="B89" s="13" t="s">
        <v>671</v>
      </c>
      <c r="C89" s="13" t="s">
        <v>462</v>
      </c>
      <c r="D89" s="73"/>
      <c r="E89" s="73">
        <v>2.5</v>
      </c>
      <c r="F89" s="13" t="s">
        <v>40</v>
      </c>
      <c r="G89" s="13"/>
      <c r="H89" s="13"/>
      <c r="I89" s="13"/>
      <c r="J89" s="13"/>
      <c r="K89" s="13"/>
    </row>
    <row r="90" spans="1:11" ht="20" x14ac:dyDescent="0.4">
      <c r="A90" s="13">
        <v>986250</v>
      </c>
      <c r="B90" s="13" t="s">
        <v>24</v>
      </c>
      <c r="C90" s="13"/>
      <c r="D90" s="73"/>
      <c r="E90" s="73">
        <v>2.99</v>
      </c>
      <c r="F90" s="13" t="s">
        <v>40</v>
      </c>
      <c r="G90" s="13"/>
      <c r="H90" s="13"/>
      <c r="I90" s="13"/>
      <c r="J90" s="13"/>
      <c r="K90" s="13"/>
    </row>
    <row r="91" spans="1:11" ht="20" x14ac:dyDescent="0.4">
      <c r="A91" s="13">
        <v>986270</v>
      </c>
      <c r="B91" s="13" t="s">
        <v>76</v>
      </c>
      <c r="C91" s="13"/>
      <c r="D91" s="73"/>
      <c r="E91" s="73">
        <v>3.99</v>
      </c>
      <c r="F91" s="13" t="s">
        <v>40</v>
      </c>
      <c r="G91" s="13"/>
      <c r="H91" s="13"/>
      <c r="I91" s="13"/>
      <c r="J91" s="13"/>
      <c r="K91" s="13"/>
    </row>
    <row r="92" spans="1:11" ht="40" x14ac:dyDescent="0.4">
      <c r="A92" s="13">
        <v>995200</v>
      </c>
      <c r="B92" s="13" t="s">
        <v>749</v>
      </c>
      <c r="C92" s="13"/>
      <c r="D92" s="73"/>
      <c r="E92" s="73">
        <v>4.99</v>
      </c>
      <c r="F92" s="13" t="s">
        <v>40</v>
      </c>
      <c r="G92" s="13"/>
      <c r="H92" s="13"/>
      <c r="I92" s="13"/>
      <c r="J92" s="13"/>
      <c r="K92" s="13"/>
    </row>
    <row r="93" spans="1:11" ht="20" x14ac:dyDescent="0.4">
      <c r="A93" s="13">
        <v>995201</v>
      </c>
      <c r="B93" s="13" t="s">
        <v>747</v>
      </c>
      <c r="C93" s="13"/>
      <c r="D93" s="73"/>
      <c r="E93" s="73">
        <v>4.99</v>
      </c>
      <c r="F93" s="13" t="s">
        <v>40</v>
      </c>
      <c r="G93" s="13"/>
      <c r="H93" s="13"/>
      <c r="I93" s="13"/>
      <c r="J93" s="13"/>
      <c r="K93" s="13"/>
    </row>
    <row r="94" spans="1:11" ht="20" x14ac:dyDescent="0.4">
      <c r="A94" s="13">
        <v>995104</v>
      </c>
      <c r="B94" s="13" t="s">
        <v>150</v>
      </c>
      <c r="C94" s="13" t="s">
        <v>462</v>
      </c>
      <c r="D94" s="73"/>
      <c r="E94" s="73">
        <v>2.98</v>
      </c>
      <c r="F94" s="13" t="s">
        <v>40</v>
      </c>
      <c r="G94" s="13"/>
      <c r="H94" s="13"/>
      <c r="I94" s="13"/>
      <c r="J94" s="13"/>
      <c r="K94" s="13"/>
    </row>
    <row r="95" spans="1:11" ht="20" x14ac:dyDescent="0.4">
      <c r="A95" s="13">
        <v>995103</v>
      </c>
      <c r="B95" s="13" t="s">
        <v>151</v>
      </c>
      <c r="C95" s="13" t="s">
        <v>462</v>
      </c>
      <c r="D95" s="73"/>
      <c r="E95" s="73">
        <v>2.98</v>
      </c>
      <c r="F95" s="13" t="s">
        <v>40</v>
      </c>
      <c r="G95" s="13"/>
      <c r="H95" s="13"/>
      <c r="I95" s="13"/>
      <c r="J95" s="13"/>
      <c r="K95" s="13"/>
    </row>
    <row r="96" spans="1:11" ht="20" x14ac:dyDescent="0.4">
      <c r="A96" s="13">
        <v>995009</v>
      </c>
      <c r="B96" s="13" t="s">
        <v>64</v>
      </c>
      <c r="C96" s="13" t="s">
        <v>462</v>
      </c>
      <c r="D96" s="73"/>
      <c r="E96" s="73">
        <v>1.59</v>
      </c>
      <c r="F96" s="13" t="s">
        <v>40</v>
      </c>
      <c r="G96" s="13"/>
      <c r="H96" s="13"/>
      <c r="I96" s="13"/>
      <c r="J96" s="13"/>
      <c r="K96" s="13"/>
    </row>
    <row r="97" spans="1:11" ht="20" x14ac:dyDescent="0.4">
      <c r="A97" s="13">
        <v>995072</v>
      </c>
      <c r="B97" s="13" t="s">
        <v>45</v>
      </c>
      <c r="C97" s="13" t="s">
        <v>462</v>
      </c>
      <c r="D97" s="73"/>
      <c r="E97" s="73">
        <v>2.09</v>
      </c>
      <c r="F97" s="13" t="s">
        <v>40</v>
      </c>
      <c r="G97" s="13"/>
      <c r="H97" s="13"/>
      <c r="I97" s="13"/>
      <c r="J97" s="13"/>
      <c r="K97" s="13"/>
    </row>
    <row r="98" spans="1:11" ht="20" x14ac:dyDescent="0.4">
      <c r="A98" s="13">
        <v>995071</v>
      </c>
      <c r="B98" s="13" t="s">
        <v>44</v>
      </c>
      <c r="C98" s="13" t="s">
        <v>462</v>
      </c>
      <c r="D98" s="73"/>
      <c r="E98" s="73">
        <v>2.78</v>
      </c>
      <c r="F98" s="13" t="s">
        <v>40</v>
      </c>
      <c r="G98" s="13"/>
      <c r="H98" s="13"/>
      <c r="I98" s="13"/>
      <c r="J98" s="13"/>
      <c r="K98" s="13"/>
    </row>
    <row r="99" spans="1:11" ht="20" x14ac:dyDescent="0.4">
      <c r="A99" s="13">
        <v>988545</v>
      </c>
      <c r="B99" s="13" t="s">
        <v>670</v>
      </c>
      <c r="C99" s="13" t="s">
        <v>462</v>
      </c>
      <c r="D99" s="73"/>
      <c r="E99" s="73">
        <v>3.29</v>
      </c>
      <c r="F99" s="13" t="s">
        <v>40</v>
      </c>
      <c r="G99" s="13"/>
      <c r="H99" s="13"/>
      <c r="I99" s="13"/>
      <c r="J99" s="13"/>
      <c r="K99" s="13"/>
    </row>
    <row r="100" spans="1:11" ht="20" x14ac:dyDescent="0.4">
      <c r="A100" s="13">
        <v>995086</v>
      </c>
      <c r="B100" s="13" t="s">
        <v>463</v>
      </c>
      <c r="C100" s="13" t="s">
        <v>462</v>
      </c>
      <c r="D100" s="73"/>
      <c r="E100" s="73">
        <v>6.18</v>
      </c>
      <c r="F100" s="13" t="s">
        <v>40</v>
      </c>
      <c r="G100" s="13"/>
      <c r="H100" s="13"/>
      <c r="I100" s="13"/>
      <c r="J100" s="13"/>
      <c r="K100" s="13"/>
    </row>
    <row r="101" spans="1:11" ht="20" x14ac:dyDescent="0.4">
      <c r="A101" s="13">
        <v>985861</v>
      </c>
      <c r="B101" s="13" t="s">
        <v>619</v>
      </c>
      <c r="C101" s="13"/>
      <c r="D101" s="73"/>
      <c r="E101" s="73">
        <v>0.85</v>
      </c>
      <c r="F101" s="13" t="s">
        <v>40</v>
      </c>
      <c r="G101" s="13"/>
      <c r="H101" s="13"/>
      <c r="I101" s="13"/>
      <c r="J101" s="13"/>
      <c r="K101" s="13"/>
    </row>
    <row r="102" spans="1:11" ht="20" x14ac:dyDescent="0.4">
      <c r="A102" s="13">
        <v>988760</v>
      </c>
      <c r="B102" s="13" t="s">
        <v>68</v>
      </c>
      <c r="C102" s="13"/>
      <c r="D102" s="73"/>
      <c r="E102" s="73">
        <v>2.99</v>
      </c>
      <c r="F102" s="13" t="s">
        <v>40</v>
      </c>
      <c r="G102" s="13"/>
      <c r="H102" s="13"/>
      <c r="I102" s="13"/>
      <c r="J102" s="13"/>
      <c r="K102" s="13"/>
    </row>
    <row r="103" spans="1:11" ht="20" x14ac:dyDescent="0.4">
      <c r="A103" s="13">
        <v>986293</v>
      </c>
      <c r="B103" s="13" t="s">
        <v>630</v>
      </c>
      <c r="C103" s="13"/>
      <c r="D103" s="73"/>
      <c r="E103" s="73">
        <v>3.72</v>
      </c>
      <c r="F103" s="13" t="s">
        <v>40</v>
      </c>
      <c r="G103" s="13"/>
      <c r="H103" s="13"/>
      <c r="I103" s="13"/>
      <c r="J103" s="13"/>
      <c r="K103" s="13"/>
    </row>
    <row r="104" spans="1:11" ht="20" x14ac:dyDescent="0.4">
      <c r="A104" s="13">
        <v>986231</v>
      </c>
      <c r="B104" s="13" t="s">
        <v>781</v>
      </c>
      <c r="C104" s="13"/>
      <c r="D104" s="73"/>
      <c r="E104" s="73">
        <v>3.98</v>
      </c>
      <c r="F104" s="13" t="s">
        <v>40</v>
      </c>
      <c r="G104" s="13"/>
      <c r="H104" s="13"/>
      <c r="I104" s="13"/>
      <c r="J104" s="13"/>
      <c r="K104" s="13"/>
    </row>
    <row r="105" spans="1:11" ht="20" x14ac:dyDescent="0.4">
      <c r="A105" s="13">
        <v>987692</v>
      </c>
      <c r="B105" s="13" t="s">
        <v>79</v>
      </c>
      <c r="C105" s="13"/>
      <c r="D105" s="73"/>
      <c r="E105" s="73">
        <v>1.94</v>
      </c>
      <c r="F105" s="13" t="s">
        <v>40</v>
      </c>
      <c r="G105" s="13"/>
      <c r="H105" s="13"/>
      <c r="I105" s="13"/>
      <c r="J105" s="13"/>
      <c r="K105" s="13"/>
    </row>
    <row r="106" spans="1:11" ht="20" x14ac:dyDescent="0.4">
      <c r="A106" s="13">
        <v>995176</v>
      </c>
      <c r="B106" s="13" t="s">
        <v>729</v>
      </c>
      <c r="C106" s="13" t="s">
        <v>462</v>
      </c>
      <c r="D106" s="73"/>
      <c r="E106" s="73">
        <v>3.69</v>
      </c>
      <c r="F106" s="13" t="s">
        <v>40</v>
      </c>
      <c r="G106" s="13"/>
      <c r="H106" s="13"/>
      <c r="I106" s="13"/>
      <c r="J106" s="13"/>
      <c r="K106" s="13"/>
    </row>
    <row r="107" spans="1:11" ht="20" x14ac:dyDescent="0.4">
      <c r="A107" s="13">
        <v>995178</v>
      </c>
      <c r="B107" s="13" t="s">
        <v>704</v>
      </c>
      <c r="C107" s="13" t="s">
        <v>462</v>
      </c>
      <c r="D107" s="73"/>
      <c r="E107" s="73">
        <v>4.6900000000000004</v>
      </c>
      <c r="F107" s="13" t="s">
        <v>40</v>
      </c>
      <c r="G107" s="13"/>
      <c r="H107" s="13"/>
      <c r="I107" s="13"/>
      <c r="J107" s="13"/>
      <c r="K107" s="13"/>
    </row>
    <row r="108" spans="1:11" ht="20" x14ac:dyDescent="0.4">
      <c r="A108" s="13">
        <v>995152</v>
      </c>
      <c r="B108" s="13" t="s">
        <v>568</v>
      </c>
      <c r="C108" s="13" t="s">
        <v>462</v>
      </c>
      <c r="D108" s="73"/>
      <c r="E108" s="73">
        <v>2.99</v>
      </c>
      <c r="F108" s="13" t="s">
        <v>40</v>
      </c>
      <c r="G108" s="13"/>
      <c r="H108" s="13"/>
      <c r="I108" s="13"/>
      <c r="J108" s="13"/>
      <c r="K108" s="13"/>
    </row>
    <row r="109" spans="1:11" ht="20" x14ac:dyDescent="0.4">
      <c r="A109" s="13">
        <v>988970</v>
      </c>
      <c r="B109" s="13" t="s">
        <v>71</v>
      </c>
      <c r="C109" s="13" t="s">
        <v>462</v>
      </c>
      <c r="D109" s="73"/>
      <c r="E109" s="73">
        <v>2.33</v>
      </c>
      <c r="F109" s="13" t="s">
        <v>40</v>
      </c>
      <c r="G109" s="13"/>
      <c r="H109" s="13"/>
      <c r="I109" s="13"/>
      <c r="J109" s="13"/>
      <c r="K109" s="13"/>
    </row>
    <row r="110" spans="1:11" ht="20" x14ac:dyDescent="0.4">
      <c r="A110" s="13">
        <v>988810</v>
      </c>
      <c r="B110" s="13" t="s">
        <v>75</v>
      </c>
      <c r="C110" s="13" t="s">
        <v>462</v>
      </c>
      <c r="D110" s="73"/>
      <c r="E110" s="73">
        <v>2.08</v>
      </c>
      <c r="F110" s="13" t="s">
        <v>40</v>
      </c>
      <c r="G110" s="13"/>
      <c r="H110" s="13"/>
      <c r="I110" s="13"/>
      <c r="J110" s="13"/>
      <c r="K110" s="13"/>
    </row>
    <row r="111" spans="1:11" ht="20" x14ac:dyDescent="0.4">
      <c r="A111" s="13">
        <v>988850</v>
      </c>
      <c r="B111" s="13" t="s">
        <v>69</v>
      </c>
      <c r="C111" s="13" t="s">
        <v>462</v>
      </c>
      <c r="D111" s="73"/>
      <c r="E111" s="73">
        <v>2.1800000000000002</v>
      </c>
      <c r="F111" s="13" t="s">
        <v>40</v>
      </c>
      <c r="G111" s="13"/>
      <c r="H111" s="13"/>
      <c r="I111" s="13"/>
      <c r="J111" s="13"/>
      <c r="K111" s="13"/>
    </row>
    <row r="112" spans="1:11" ht="20" x14ac:dyDescent="0.4">
      <c r="A112" s="13">
        <v>988890</v>
      </c>
      <c r="B112" s="13" t="s">
        <v>72</v>
      </c>
      <c r="C112" s="13"/>
      <c r="D112" s="73"/>
      <c r="E112" s="73">
        <v>2.54</v>
      </c>
      <c r="F112" s="13" t="s">
        <v>40</v>
      </c>
      <c r="G112" s="13"/>
      <c r="H112" s="13"/>
      <c r="I112" s="13"/>
      <c r="J112" s="13"/>
      <c r="K112" s="13"/>
    </row>
    <row r="113" spans="1:11" ht="20" x14ac:dyDescent="0.4">
      <c r="A113" s="13">
        <v>988930</v>
      </c>
      <c r="B113" s="13" t="s">
        <v>73</v>
      </c>
      <c r="C113" s="13" t="s">
        <v>462</v>
      </c>
      <c r="D113" s="73"/>
      <c r="E113" s="73">
        <v>2.67</v>
      </c>
      <c r="F113" s="13" t="s">
        <v>40</v>
      </c>
      <c r="G113" s="13"/>
      <c r="H113" s="13"/>
      <c r="I113" s="13"/>
      <c r="J113" s="13"/>
      <c r="K113" s="13"/>
    </row>
    <row r="114" spans="1:11" ht="20" x14ac:dyDescent="0.4">
      <c r="A114" s="13">
        <v>989007</v>
      </c>
      <c r="B114" s="13" t="s">
        <v>613</v>
      </c>
      <c r="C114" s="13" t="s">
        <v>462</v>
      </c>
      <c r="D114" s="73"/>
      <c r="E114" s="73">
        <v>3.79</v>
      </c>
      <c r="F114" s="13" t="s">
        <v>40</v>
      </c>
      <c r="G114" s="13"/>
      <c r="H114" s="13"/>
      <c r="I114" s="13"/>
      <c r="J114" s="13"/>
      <c r="K114" s="13"/>
    </row>
    <row r="115" spans="1:11" ht="20" x14ac:dyDescent="0.4">
      <c r="A115" s="13">
        <v>985760</v>
      </c>
      <c r="B115" s="13" t="s">
        <v>70</v>
      </c>
      <c r="C115" s="13"/>
      <c r="D115" s="73"/>
      <c r="E115" s="73">
        <v>2.99</v>
      </c>
      <c r="F115" s="13" t="s">
        <v>40</v>
      </c>
      <c r="G115" s="13"/>
      <c r="H115" s="13"/>
      <c r="I115" s="13"/>
      <c r="J115" s="13"/>
      <c r="K115" s="13"/>
    </row>
    <row r="116" spans="1:11" ht="20" x14ac:dyDescent="0.4">
      <c r="A116" s="13">
        <v>995144</v>
      </c>
      <c r="B116" s="13" t="s">
        <v>608</v>
      </c>
      <c r="C116" s="13"/>
      <c r="D116" s="73"/>
      <c r="E116" s="73">
        <v>4.18</v>
      </c>
      <c r="F116" s="13" t="s">
        <v>40</v>
      </c>
      <c r="G116" s="13"/>
      <c r="H116" s="13"/>
      <c r="I116" s="13"/>
      <c r="J116" s="13"/>
      <c r="K116" s="13"/>
    </row>
    <row r="117" spans="1:11" ht="20" x14ac:dyDescent="0.4">
      <c r="A117" s="13">
        <v>988532</v>
      </c>
      <c r="B117" s="13" t="s">
        <v>571</v>
      </c>
      <c r="C117" s="13"/>
      <c r="D117" s="73"/>
      <c r="E117" s="73">
        <v>1.99</v>
      </c>
      <c r="F117" s="13" t="s">
        <v>40</v>
      </c>
      <c r="G117" s="13"/>
      <c r="H117" s="13"/>
      <c r="I117" s="13"/>
      <c r="J117" s="13"/>
      <c r="K117" s="13"/>
    </row>
    <row r="118" spans="1:11" ht="20" x14ac:dyDescent="0.4">
      <c r="A118" s="13">
        <v>984831</v>
      </c>
      <c r="B118" s="13" t="s">
        <v>74</v>
      </c>
      <c r="C118" s="13"/>
      <c r="D118" s="73"/>
      <c r="E118" s="73">
        <v>2.99</v>
      </c>
      <c r="F118" s="13" t="s">
        <v>40</v>
      </c>
      <c r="G118" s="13"/>
      <c r="H118" s="13"/>
      <c r="I118" s="13"/>
      <c r="J118" s="13"/>
      <c r="K118" s="13"/>
    </row>
    <row r="119" spans="1:11" ht="20" x14ac:dyDescent="0.4">
      <c r="A119" s="13">
        <v>983810</v>
      </c>
      <c r="B119" s="13" t="s">
        <v>748</v>
      </c>
      <c r="C119" s="13"/>
      <c r="D119" s="73"/>
      <c r="E119" s="73">
        <v>3.99</v>
      </c>
      <c r="F119" s="13" t="s">
        <v>40</v>
      </c>
      <c r="G119" s="13"/>
      <c r="H119" s="13"/>
      <c r="I119" s="13"/>
      <c r="J119" s="13"/>
      <c r="K119" s="13"/>
    </row>
    <row r="120" spans="1:11" ht="20" x14ac:dyDescent="0.4">
      <c r="A120" s="13">
        <v>984080</v>
      </c>
      <c r="B120" s="13" t="s">
        <v>717</v>
      </c>
      <c r="C120" s="13"/>
      <c r="D120" s="73"/>
      <c r="E120" s="73">
        <v>4.9800000000000004</v>
      </c>
      <c r="F120" s="13" t="s">
        <v>40</v>
      </c>
      <c r="G120" s="13"/>
      <c r="H120" s="13"/>
      <c r="I120" s="13"/>
      <c r="J120" s="13"/>
      <c r="K120" s="13"/>
    </row>
    <row r="121" spans="1:11" ht="20" x14ac:dyDescent="0.4">
      <c r="A121" s="13">
        <v>985997</v>
      </c>
      <c r="B121" s="13" t="s">
        <v>735</v>
      </c>
      <c r="C121" s="13" t="s">
        <v>462</v>
      </c>
      <c r="D121" s="73"/>
      <c r="E121" s="73">
        <v>3.99</v>
      </c>
      <c r="F121" s="13" t="s">
        <v>40</v>
      </c>
      <c r="G121" s="13"/>
      <c r="H121" s="13"/>
      <c r="I121" s="13"/>
      <c r="J121" s="13"/>
      <c r="K121" s="13"/>
    </row>
    <row r="122" spans="1:11" ht="20" x14ac:dyDescent="0.4">
      <c r="A122" s="13">
        <v>995042</v>
      </c>
      <c r="B122" s="13" t="s">
        <v>443</v>
      </c>
      <c r="C122" s="13" t="s">
        <v>462</v>
      </c>
      <c r="D122" s="73"/>
      <c r="E122" s="73">
        <v>5.48</v>
      </c>
      <c r="F122" s="13" t="s">
        <v>40</v>
      </c>
      <c r="G122" s="13"/>
      <c r="H122" s="13"/>
      <c r="I122" s="13"/>
      <c r="J122" s="13"/>
      <c r="K122" s="13"/>
    </row>
    <row r="123" spans="1:11" ht="20" x14ac:dyDescent="0.4">
      <c r="A123" s="13">
        <v>995116</v>
      </c>
      <c r="B123" s="13" t="s">
        <v>369</v>
      </c>
      <c r="C123" s="13" t="s">
        <v>462</v>
      </c>
      <c r="D123" s="73"/>
      <c r="E123" s="73">
        <v>3.97</v>
      </c>
      <c r="F123" s="13" t="s">
        <v>40</v>
      </c>
      <c r="G123" s="13"/>
      <c r="H123" s="13"/>
      <c r="I123" s="13"/>
      <c r="J123" s="13"/>
      <c r="K123" s="13"/>
    </row>
    <row r="124" spans="1:11" ht="20" x14ac:dyDescent="0.4">
      <c r="A124" s="13">
        <v>995102</v>
      </c>
      <c r="B124" s="13" t="s">
        <v>66</v>
      </c>
      <c r="C124" s="13" t="s">
        <v>462</v>
      </c>
      <c r="D124" s="73"/>
      <c r="E124" s="73">
        <v>3.97</v>
      </c>
      <c r="F124" s="13" t="s">
        <v>40</v>
      </c>
      <c r="G124" s="13"/>
      <c r="H124" s="13"/>
      <c r="I124" s="13"/>
      <c r="J124" s="13"/>
      <c r="K124" s="13"/>
    </row>
    <row r="125" spans="1:11" ht="20" x14ac:dyDescent="0.4">
      <c r="A125" s="13">
        <v>995043</v>
      </c>
      <c r="B125" s="13" t="s">
        <v>446</v>
      </c>
      <c r="C125" s="13" t="s">
        <v>462</v>
      </c>
      <c r="D125" s="73"/>
      <c r="E125" s="73">
        <v>4.4800000000000004</v>
      </c>
      <c r="F125" s="13" t="s">
        <v>40</v>
      </c>
      <c r="G125" s="13"/>
      <c r="H125" s="13"/>
      <c r="I125" s="13"/>
      <c r="J125" s="13"/>
      <c r="K125" s="13"/>
    </row>
    <row r="126" spans="1:11" ht="20" x14ac:dyDescent="0.4">
      <c r="A126" s="13">
        <v>995041</v>
      </c>
      <c r="B126" s="13" t="s">
        <v>442</v>
      </c>
      <c r="C126" s="13"/>
      <c r="D126" s="73"/>
      <c r="E126" s="73">
        <v>4.4800000000000004</v>
      </c>
      <c r="F126" s="13" t="s">
        <v>40</v>
      </c>
      <c r="G126" s="13"/>
      <c r="H126" s="13"/>
      <c r="I126" s="13"/>
      <c r="J126" s="13"/>
      <c r="K126" s="13"/>
    </row>
    <row r="127" spans="1:11" ht="20" x14ac:dyDescent="0.4">
      <c r="A127" s="13">
        <v>995115</v>
      </c>
      <c r="B127" s="13" t="s">
        <v>368</v>
      </c>
      <c r="C127" s="13" t="s">
        <v>462</v>
      </c>
      <c r="D127" s="73"/>
      <c r="E127" s="73">
        <v>3.24</v>
      </c>
      <c r="F127" s="13" t="s">
        <v>40</v>
      </c>
      <c r="G127" s="13"/>
      <c r="H127" s="13"/>
      <c r="I127" s="13"/>
      <c r="J127" s="13"/>
      <c r="K127" s="13"/>
    </row>
    <row r="128" spans="1:11" ht="20" x14ac:dyDescent="0.4">
      <c r="A128" s="13">
        <v>995150</v>
      </c>
      <c r="B128" s="13" t="s">
        <v>593</v>
      </c>
      <c r="C128" s="13" t="s">
        <v>462</v>
      </c>
      <c r="D128" s="73"/>
      <c r="E128" s="73">
        <v>2.98</v>
      </c>
      <c r="F128" s="13" t="s">
        <v>40</v>
      </c>
      <c r="G128" s="13"/>
      <c r="H128" s="13"/>
      <c r="I128" s="13"/>
      <c r="J128" s="13"/>
      <c r="K128" s="13"/>
    </row>
    <row r="129" spans="1:11" ht="20" x14ac:dyDescent="0.4">
      <c r="A129" s="13">
        <v>983762</v>
      </c>
      <c r="B129" s="13" t="s">
        <v>789</v>
      </c>
      <c r="C129" s="13"/>
      <c r="D129" s="73"/>
      <c r="E129" s="73">
        <v>3.49</v>
      </c>
      <c r="F129" s="13" t="s">
        <v>40</v>
      </c>
      <c r="G129" s="13"/>
      <c r="H129" s="13"/>
      <c r="I129" s="13"/>
      <c r="J129" s="13"/>
      <c r="K129" s="13"/>
    </row>
    <row r="130" spans="1:11" ht="20" x14ac:dyDescent="0.4">
      <c r="A130" s="13">
        <v>984582</v>
      </c>
      <c r="B130" s="13" t="s">
        <v>569</v>
      </c>
      <c r="C130" s="13"/>
      <c r="D130" s="73"/>
      <c r="E130" s="73">
        <v>4.8600000000000003</v>
      </c>
      <c r="F130" s="13" t="s">
        <v>40</v>
      </c>
      <c r="G130" s="13"/>
      <c r="H130" s="13"/>
      <c r="I130" s="13"/>
      <c r="J130" s="13"/>
      <c r="K130" s="13"/>
    </row>
    <row r="131" spans="1:11" ht="20" x14ac:dyDescent="0.4">
      <c r="A131" s="13">
        <v>984541</v>
      </c>
      <c r="B131" s="13" t="s">
        <v>82</v>
      </c>
      <c r="C131" s="13"/>
      <c r="D131" s="73"/>
      <c r="E131" s="73">
        <v>3.18</v>
      </c>
      <c r="F131" s="13" t="s">
        <v>40</v>
      </c>
      <c r="G131" s="13"/>
      <c r="H131" s="13"/>
      <c r="I131" s="13"/>
      <c r="J131" s="13"/>
      <c r="K131" s="13"/>
    </row>
    <row r="132" spans="1:11" ht="20" x14ac:dyDescent="0.4">
      <c r="A132" s="13">
        <v>984542</v>
      </c>
      <c r="B132" s="13" t="s">
        <v>421</v>
      </c>
      <c r="C132" s="13"/>
      <c r="D132" s="73"/>
      <c r="E132" s="73">
        <v>5.09</v>
      </c>
      <c r="F132" s="13" t="s">
        <v>40</v>
      </c>
      <c r="G132" s="13"/>
      <c r="H132" s="13"/>
      <c r="I132" s="13"/>
      <c r="J132" s="13"/>
      <c r="K132" s="13"/>
    </row>
    <row r="133" spans="1:11" ht="20" x14ac:dyDescent="0.4">
      <c r="A133" s="13">
        <v>984500</v>
      </c>
      <c r="B133" s="13" t="s">
        <v>693</v>
      </c>
      <c r="C133" s="13"/>
      <c r="D133" s="73"/>
      <c r="E133" s="73">
        <v>3.86</v>
      </c>
      <c r="F133" s="13" t="s">
        <v>40</v>
      </c>
      <c r="G133" s="13"/>
      <c r="H133" s="13"/>
      <c r="I133" s="13"/>
      <c r="J133" s="13"/>
      <c r="K133" s="13"/>
    </row>
    <row r="134" spans="1:11" ht="20" x14ac:dyDescent="0.4">
      <c r="A134" s="13">
        <v>984461</v>
      </c>
      <c r="B134" s="13" t="s">
        <v>615</v>
      </c>
      <c r="C134" s="13"/>
      <c r="D134" s="73"/>
      <c r="E134" s="73">
        <v>5.12</v>
      </c>
      <c r="F134" s="13" t="s">
        <v>40</v>
      </c>
      <c r="G134" s="13"/>
      <c r="H134" s="13"/>
      <c r="I134" s="13"/>
      <c r="J134" s="13"/>
      <c r="K134" s="13"/>
    </row>
    <row r="135" spans="1:11" ht="20" x14ac:dyDescent="0.4">
      <c r="A135" s="13">
        <v>984460</v>
      </c>
      <c r="B135" s="13" t="s">
        <v>81</v>
      </c>
      <c r="C135" s="13"/>
      <c r="D135" s="73"/>
      <c r="E135" s="73">
        <v>2.58</v>
      </c>
      <c r="F135" s="13" t="s">
        <v>40</v>
      </c>
      <c r="G135" s="13"/>
      <c r="H135" s="13"/>
      <c r="I135" s="13"/>
      <c r="J135" s="13"/>
      <c r="K135" s="13"/>
    </row>
    <row r="136" spans="1:11" ht="20" x14ac:dyDescent="0.4">
      <c r="A136" s="13">
        <v>984620</v>
      </c>
      <c r="B136" s="13" t="s">
        <v>4</v>
      </c>
      <c r="C136" s="13"/>
      <c r="D136" s="73"/>
      <c r="E136" s="73">
        <v>3.48</v>
      </c>
      <c r="F136" s="13" t="s">
        <v>40</v>
      </c>
      <c r="G136" s="13"/>
      <c r="H136" s="13"/>
      <c r="I136" s="13"/>
      <c r="J136" s="13"/>
      <c r="K136" s="13"/>
    </row>
    <row r="137" spans="1:11" ht="20" x14ac:dyDescent="0.4">
      <c r="A137" s="13">
        <v>984621</v>
      </c>
      <c r="B137" s="13" t="s">
        <v>799</v>
      </c>
      <c r="C137" s="13"/>
      <c r="D137" s="73"/>
      <c r="E137" s="73">
        <v>5.94</v>
      </c>
      <c r="F137" s="13" t="s">
        <v>40</v>
      </c>
      <c r="G137" s="13"/>
      <c r="H137" s="13"/>
      <c r="I137" s="13"/>
      <c r="J137" s="13"/>
      <c r="K137" s="13"/>
    </row>
    <row r="138" spans="1:11" ht="20" x14ac:dyDescent="0.4">
      <c r="A138" s="13">
        <v>984700</v>
      </c>
      <c r="B138" s="13" t="s">
        <v>80</v>
      </c>
      <c r="C138" s="13"/>
      <c r="D138" s="73"/>
      <c r="E138" s="73">
        <v>2.88</v>
      </c>
      <c r="F138" s="13" t="s">
        <v>40</v>
      </c>
      <c r="G138" s="13"/>
      <c r="H138" s="13"/>
      <c r="I138" s="13"/>
      <c r="J138" s="13"/>
      <c r="K138" s="13"/>
    </row>
    <row r="139" spans="1:11" ht="20" x14ac:dyDescent="0.4">
      <c r="A139" s="13">
        <v>984702</v>
      </c>
      <c r="B139" s="13" t="s">
        <v>800</v>
      </c>
      <c r="C139" s="13"/>
      <c r="D139" s="73"/>
      <c r="E139" s="73">
        <v>4.9800000000000004</v>
      </c>
      <c r="F139" s="13" t="s">
        <v>40</v>
      </c>
      <c r="G139" s="13"/>
      <c r="H139" s="13"/>
      <c r="I139" s="13"/>
      <c r="J139" s="13"/>
      <c r="K139" s="13"/>
    </row>
    <row r="140" spans="1:11" ht="20" x14ac:dyDescent="0.4">
      <c r="A140" s="13">
        <v>982960</v>
      </c>
      <c r="B140" s="13" t="s">
        <v>818</v>
      </c>
      <c r="C140" s="13"/>
      <c r="D140" s="73"/>
      <c r="E140" s="73">
        <v>3.99</v>
      </c>
      <c r="F140" s="13" t="s">
        <v>40</v>
      </c>
      <c r="G140" s="13"/>
      <c r="H140" s="13" t="s">
        <v>473</v>
      </c>
      <c r="I140" s="13"/>
      <c r="J140" s="13"/>
      <c r="K140" s="13"/>
    </row>
    <row r="141" spans="1:11" ht="20" x14ac:dyDescent="0.4">
      <c r="A141" s="13">
        <v>982830</v>
      </c>
      <c r="B141" s="13" t="s">
        <v>454</v>
      </c>
      <c r="C141" s="13"/>
      <c r="D141" s="73"/>
      <c r="E141" s="73">
        <v>1.78</v>
      </c>
      <c r="F141" s="13" t="s">
        <v>40</v>
      </c>
      <c r="G141" s="13"/>
      <c r="H141" s="13"/>
      <c r="I141" s="13"/>
      <c r="J141" s="13"/>
      <c r="K141" s="13"/>
    </row>
    <row r="142" spans="1:11" ht="20" x14ac:dyDescent="0.4">
      <c r="A142" s="13">
        <v>982800</v>
      </c>
      <c r="B142" s="13" t="s">
        <v>760</v>
      </c>
      <c r="C142" s="13"/>
      <c r="D142" s="73"/>
      <c r="E142" s="73">
        <v>4.99</v>
      </c>
      <c r="F142" s="13" t="s">
        <v>40</v>
      </c>
      <c r="G142" s="13"/>
      <c r="H142" s="13"/>
      <c r="I142" s="13"/>
      <c r="J142" s="13"/>
      <c r="K142" s="13"/>
    </row>
    <row r="143" spans="1:11" ht="20" x14ac:dyDescent="0.4">
      <c r="A143" s="13">
        <v>982740</v>
      </c>
      <c r="B143" s="13" t="s">
        <v>445</v>
      </c>
      <c r="C143" s="13"/>
      <c r="D143" s="73"/>
      <c r="E143" s="73">
        <v>1.68</v>
      </c>
      <c r="F143" s="13" t="s">
        <v>40</v>
      </c>
      <c r="G143" s="13"/>
      <c r="H143" s="13"/>
      <c r="I143" s="13"/>
      <c r="J143" s="13"/>
      <c r="K143" s="13"/>
    </row>
    <row r="144" spans="1:11" ht="20" x14ac:dyDescent="0.4">
      <c r="A144" s="13">
        <v>982710</v>
      </c>
      <c r="B144" s="13" t="s">
        <v>759</v>
      </c>
      <c r="C144" s="13"/>
      <c r="D144" s="73"/>
      <c r="E144" s="73">
        <v>4.99</v>
      </c>
      <c r="F144" s="13" t="s">
        <v>40</v>
      </c>
      <c r="G144" s="13"/>
      <c r="H144" s="13"/>
      <c r="I144" s="13"/>
      <c r="J144" s="13"/>
      <c r="K144" s="13"/>
    </row>
    <row r="145" spans="1:11" ht="20" x14ac:dyDescent="0.4">
      <c r="A145" s="13">
        <v>982650</v>
      </c>
      <c r="B145" s="13" t="s">
        <v>444</v>
      </c>
      <c r="C145" s="13"/>
      <c r="D145" s="73"/>
      <c r="E145" s="73">
        <v>1.78</v>
      </c>
      <c r="F145" s="13" t="s">
        <v>40</v>
      </c>
      <c r="G145" s="13"/>
      <c r="H145" s="13"/>
      <c r="I145" s="13"/>
      <c r="J145" s="13"/>
      <c r="K145" s="13"/>
    </row>
    <row r="146" spans="1:11" ht="20" x14ac:dyDescent="0.4">
      <c r="A146" s="13">
        <v>986050</v>
      </c>
      <c r="B146" s="13" t="s">
        <v>809</v>
      </c>
      <c r="C146" s="13"/>
      <c r="D146" s="73"/>
      <c r="E146" s="73">
        <v>5.48</v>
      </c>
      <c r="F146" s="13" t="s">
        <v>811</v>
      </c>
      <c r="G146" s="13"/>
      <c r="H146" s="13"/>
      <c r="I146" s="13"/>
      <c r="J146" s="13"/>
      <c r="K146" s="13"/>
    </row>
    <row r="147" spans="1:11" ht="20" x14ac:dyDescent="0.4">
      <c r="A147" s="13">
        <v>986170</v>
      </c>
      <c r="B147" s="13" t="s">
        <v>812</v>
      </c>
      <c r="C147" s="13"/>
      <c r="D147" s="73"/>
      <c r="E147" s="73">
        <v>6.99</v>
      </c>
      <c r="F147" s="13" t="s">
        <v>811</v>
      </c>
      <c r="G147" s="13"/>
      <c r="H147" s="13"/>
      <c r="I147" s="13"/>
      <c r="J147" s="13"/>
      <c r="K147" s="13"/>
    </row>
    <row r="148" spans="1:11" ht="20" x14ac:dyDescent="0.4">
      <c r="A148" s="13">
        <v>980211</v>
      </c>
      <c r="B148" s="13" t="s">
        <v>722</v>
      </c>
      <c r="C148" s="13"/>
      <c r="D148" s="73"/>
      <c r="E148" s="73">
        <v>3.99</v>
      </c>
      <c r="F148" s="13" t="s">
        <v>400</v>
      </c>
      <c r="G148" s="13"/>
      <c r="H148" s="13"/>
      <c r="I148" s="13"/>
      <c r="J148" s="13"/>
      <c r="K148" s="13"/>
    </row>
    <row r="149" spans="1:11" ht="20" x14ac:dyDescent="0.4">
      <c r="A149" s="13">
        <v>980220</v>
      </c>
      <c r="B149" s="13" t="s">
        <v>777</v>
      </c>
      <c r="C149" s="13"/>
      <c r="D149" s="73"/>
      <c r="E149" s="73">
        <v>4.99</v>
      </c>
      <c r="F149" s="13" t="s">
        <v>400</v>
      </c>
      <c r="G149" s="13"/>
      <c r="H149" s="13"/>
      <c r="I149" s="13"/>
      <c r="J149" s="13"/>
      <c r="K149" s="13"/>
    </row>
    <row r="150" spans="1:11" ht="20" x14ac:dyDescent="0.4">
      <c r="A150" s="13">
        <v>980500</v>
      </c>
      <c r="B150" s="13" t="s">
        <v>22</v>
      </c>
      <c r="C150" s="13"/>
      <c r="D150" s="73"/>
      <c r="E150" s="73">
        <v>3.09</v>
      </c>
      <c r="F150" s="13" t="s">
        <v>400</v>
      </c>
      <c r="G150" s="13"/>
      <c r="H150" s="13"/>
      <c r="I150" s="13"/>
      <c r="J150" s="13"/>
      <c r="K150" s="13"/>
    </row>
    <row r="151" spans="1:11" ht="20" x14ac:dyDescent="0.4">
      <c r="A151" s="13">
        <v>980730</v>
      </c>
      <c r="B151" s="13" t="s">
        <v>88</v>
      </c>
      <c r="C151" s="13"/>
      <c r="D151" s="73"/>
      <c r="E151" s="73">
        <v>4.1900000000000004</v>
      </c>
      <c r="F151" s="13" t="s">
        <v>400</v>
      </c>
      <c r="G151" s="13"/>
      <c r="H151" s="13"/>
      <c r="I151" s="13"/>
      <c r="J151" s="13"/>
      <c r="K151" s="13"/>
    </row>
    <row r="152" spans="1:11" ht="20" x14ac:dyDescent="0.4">
      <c r="A152" s="13">
        <v>980831</v>
      </c>
      <c r="B152" s="13" t="s">
        <v>89</v>
      </c>
      <c r="C152" s="13"/>
      <c r="D152" s="73"/>
      <c r="E152" s="73">
        <v>3.49</v>
      </c>
      <c r="F152" s="13" t="s">
        <v>400</v>
      </c>
      <c r="G152" s="13"/>
      <c r="H152" s="13"/>
      <c r="I152" s="13"/>
      <c r="J152" s="13"/>
      <c r="K152" s="13"/>
    </row>
    <row r="153" spans="1:11" ht="20" x14ac:dyDescent="0.4">
      <c r="A153" s="13">
        <v>980833</v>
      </c>
      <c r="B153" s="13" t="s">
        <v>90</v>
      </c>
      <c r="C153" s="13"/>
      <c r="D153" s="73"/>
      <c r="E153" s="73">
        <v>4.6900000000000004</v>
      </c>
      <c r="F153" s="13" t="s">
        <v>400</v>
      </c>
      <c r="G153" s="13"/>
      <c r="H153" s="13"/>
      <c r="I153" s="13"/>
      <c r="J153" s="13"/>
      <c r="K153" s="13"/>
    </row>
    <row r="154" spans="1:11" ht="20" x14ac:dyDescent="0.4">
      <c r="A154" s="13">
        <v>980921</v>
      </c>
      <c r="B154" s="13" t="s">
        <v>438</v>
      </c>
      <c r="C154" s="13"/>
      <c r="D154" s="73"/>
      <c r="E154" s="73">
        <v>0.32</v>
      </c>
      <c r="F154" s="13" t="s">
        <v>400</v>
      </c>
      <c r="G154" s="13"/>
      <c r="H154" s="13"/>
      <c r="I154" s="13"/>
      <c r="J154" s="13"/>
      <c r="K154" s="13"/>
    </row>
    <row r="155" spans="1:11" ht="20" x14ac:dyDescent="0.4">
      <c r="A155" s="13">
        <v>980990</v>
      </c>
      <c r="B155" s="13" t="s">
        <v>97</v>
      </c>
      <c r="C155" s="13"/>
      <c r="D155" s="73"/>
      <c r="E155" s="73">
        <v>4.38</v>
      </c>
      <c r="F155" s="13" t="s">
        <v>400</v>
      </c>
      <c r="G155" s="13"/>
      <c r="H155" s="13"/>
      <c r="I155" s="13"/>
      <c r="J155" s="13"/>
      <c r="K155" s="13"/>
    </row>
    <row r="156" spans="1:11" ht="20" x14ac:dyDescent="0.4">
      <c r="A156" s="13">
        <v>983101</v>
      </c>
      <c r="B156" s="13" t="s">
        <v>618</v>
      </c>
      <c r="C156" s="13"/>
      <c r="D156" s="73"/>
      <c r="E156" s="73">
        <v>2.79</v>
      </c>
      <c r="F156" s="13" t="s">
        <v>401</v>
      </c>
      <c r="G156" s="13"/>
      <c r="H156" s="13"/>
      <c r="I156" s="13"/>
      <c r="J156" s="13"/>
      <c r="K156" s="13"/>
    </row>
    <row r="157" spans="1:11" ht="20" x14ac:dyDescent="0.4">
      <c r="A157" s="13">
        <v>983201</v>
      </c>
      <c r="B157" s="13" t="s">
        <v>430</v>
      </c>
      <c r="C157" s="13"/>
      <c r="D157" s="73"/>
      <c r="E157" s="73">
        <v>4.38</v>
      </c>
      <c r="F157" s="13" t="s">
        <v>401</v>
      </c>
      <c r="G157" s="13"/>
      <c r="H157" s="13"/>
      <c r="I157" s="13"/>
      <c r="J157" s="13"/>
      <c r="K157" s="13"/>
    </row>
    <row r="158" spans="1:11" ht="20" x14ac:dyDescent="0.4">
      <c r="A158" s="13">
        <v>983301</v>
      </c>
      <c r="B158" s="13" t="s">
        <v>603</v>
      </c>
      <c r="C158" s="13"/>
      <c r="D158" s="73"/>
      <c r="E158" s="73">
        <v>3.98</v>
      </c>
      <c r="F158" s="13" t="s">
        <v>401</v>
      </c>
      <c r="G158" s="13"/>
      <c r="H158" s="13"/>
      <c r="I158" s="13"/>
      <c r="J158" s="13"/>
      <c r="K158" s="13"/>
    </row>
    <row r="159" spans="1:11" ht="20" x14ac:dyDescent="0.4">
      <c r="A159" s="13">
        <v>995082</v>
      </c>
      <c r="B159" s="13" t="s">
        <v>721</v>
      </c>
      <c r="C159" s="13"/>
      <c r="D159" s="73"/>
      <c r="E159" s="73">
        <v>3.99</v>
      </c>
      <c r="F159" s="13" t="s">
        <v>401</v>
      </c>
      <c r="G159" s="13"/>
      <c r="H159" s="13"/>
      <c r="I159" s="13"/>
      <c r="J159" s="13"/>
      <c r="K159" s="13"/>
    </row>
    <row r="160" spans="1:11" ht="20" x14ac:dyDescent="0.4">
      <c r="A160" s="13">
        <v>982102</v>
      </c>
      <c r="B160" s="13" t="s">
        <v>701</v>
      </c>
      <c r="C160" s="13"/>
      <c r="D160" s="73"/>
      <c r="E160" s="73">
        <v>2.99</v>
      </c>
      <c r="F160" s="13" t="s">
        <v>634</v>
      </c>
      <c r="G160" s="13"/>
      <c r="H160" s="13"/>
      <c r="I160" s="13"/>
      <c r="J160" s="13"/>
      <c r="K160" s="13"/>
    </row>
    <row r="161" spans="1:11" ht="20" x14ac:dyDescent="0.4">
      <c r="A161" s="13">
        <v>982130</v>
      </c>
      <c r="B161" s="13" t="s">
        <v>702</v>
      </c>
      <c r="C161" s="13"/>
      <c r="D161" s="73"/>
      <c r="E161" s="73">
        <v>3.98</v>
      </c>
      <c r="F161" s="13" t="s">
        <v>634</v>
      </c>
      <c r="G161" s="13"/>
      <c r="H161" s="13"/>
      <c r="I161" s="13"/>
      <c r="J161" s="13"/>
      <c r="K161" s="13"/>
    </row>
    <row r="162" spans="1:11" ht="20" x14ac:dyDescent="0.4">
      <c r="A162" s="13">
        <v>982230</v>
      </c>
      <c r="B162" s="13" t="s">
        <v>700</v>
      </c>
      <c r="C162" s="13"/>
      <c r="D162" s="73"/>
      <c r="E162" s="73">
        <v>3.98</v>
      </c>
      <c r="F162" s="13" t="s">
        <v>634</v>
      </c>
      <c r="G162" s="13"/>
      <c r="H162" s="13"/>
      <c r="I162" s="13"/>
      <c r="J162" s="13"/>
      <c r="K162" s="13"/>
    </row>
    <row r="163" spans="1:11" ht="20" x14ac:dyDescent="0.4">
      <c r="A163" s="13">
        <v>982400</v>
      </c>
      <c r="B163" s="13" t="s">
        <v>720</v>
      </c>
      <c r="C163" s="13"/>
      <c r="D163" s="73"/>
      <c r="E163" s="73">
        <v>2.99</v>
      </c>
      <c r="F163" s="13" t="s">
        <v>634</v>
      </c>
      <c r="G163" s="13"/>
      <c r="H163" s="13"/>
      <c r="I163" s="13"/>
      <c r="J163" s="13"/>
      <c r="K163" s="13"/>
    </row>
    <row r="164" spans="1:11" ht="20" x14ac:dyDescent="0.4">
      <c r="A164" s="13">
        <v>982430</v>
      </c>
      <c r="B164" s="13" t="s">
        <v>632</v>
      </c>
      <c r="C164" s="13"/>
      <c r="D164" s="73"/>
      <c r="E164" s="73">
        <v>4.28</v>
      </c>
      <c r="F164" s="13" t="s">
        <v>634</v>
      </c>
      <c r="G164" s="13"/>
      <c r="H164" s="13"/>
      <c r="I164" s="13"/>
      <c r="J164" s="13"/>
      <c r="K164" s="13"/>
    </row>
    <row r="165" spans="1:11" ht="20" x14ac:dyDescent="0.4">
      <c r="A165" s="13">
        <v>981699</v>
      </c>
      <c r="B165" s="13" t="s">
        <v>91</v>
      </c>
      <c r="C165" s="13"/>
      <c r="D165" s="73"/>
      <c r="E165" s="73">
        <v>4.67</v>
      </c>
      <c r="F165" s="13" t="s">
        <v>402</v>
      </c>
      <c r="G165" s="13"/>
      <c r="H165" s="13"/>
      <c r="I165" s="13"/>
      <c r="J165" s="13"/>
      <c r="K165" s="13"/>
    </row>
    <row r="166" spans="1:11" ht="20" x14ac:dyDescent="0.4">
      <c r="A166" s="13">
        <v>981700</v>
      </c>
      <c r="B166" s="13" t="s">
        <v>745</v>
      </c>
      <c r="C166" s="13"/>
      <c r="D166" s="73"/>
      <c r="E166" s="73">
        <v>1.98</v>
      </c>
      <c r="F166" s="13" t="s">
        <v>402</v>
      </c>
      <c r="G166" s="13"/>
      <c r="H166" s="13"/>
      <c r="I166" s="13"/>
      <c r="J166" s="13"/>
      <c r="K166" s="13"/>
    </row>
    <row r="167" spans="1:11" ht="20" x14ac:dyDescent="0.4">
      <c r="A167" s="13">
        <v>981130</v>
      </c>
      <c r="B167" s="13" t="s">
        <v>436</v>
      </c>
      <c r="C167" s="13"/>
      <c r="D167" s="73"/>
      <c r="E167" s="73">
        <v>2.78</v>
      </c>
      <c r="F167" s="13" t="s">
        <v>674</v>
      </c>
      <c r="G167" s="13"/>
      <c r="H167" s="13"/>
      <c r="I167" s="13"/>
      <c r="J167" s="13"/>
      <c r="K167" s="13"/>
    </row>
    <row r="168" spans="1:11" ht="20" x14ac:dyDescent="0.4">
      <c r="A168" s="13">
        <v>981131</v>
      </c>
      <c r="B168" s="13" t="s">
        <v>773</v>
      </c>
      <c r="C168" s="13"/>
      <c r="D168" s="73"/>
      <c r="E168" s="73">
        <v>2.29</v>
      </c>
      <c r="F168" s="13" t="s">
        <v>674</v>
      </c>
      <c r="G168" s="13"/>
      <c r="H168" s="13"/>
      <c r="I168" s="13"/>
      <c r="J168" s="13"/>
      <c r="K168" s="13"/>
    </row>
    <row r="169" spans="1:11" ht="20" x14ac:dyDescent="0.4">
      <c r="A169" s="13">
        <v>981168</v>
      </c>
      <c r="B169" s="13" t="s">
        <v>623</v>
      </c>
      <c r="C169" s="13"/>
      <c r="D169" s="73"/>
      <c r="E169" s="73">
        <v>3.49</v>
      </c>
      <c r="F169" s="13" t="s">
        <v>674</v>
      </c>
      <c r="G169" s="13"/>
      <c r="H169" s="13"/>
      <c r="I169" s="13"/>
      <c r="J169" s="13"/>
      <c r="K169" s="13"/>
    </row>
    <row r="170" spans="1:11" ht="20" x14ac:dyDescent="0.4">
      <c r="A170" s="13">
        <v>981187</v>
      </c>
      <c r="B170" s="13" t="s">
        <v>775</v>
      </c>
      <c r="C170" s="13"/>
      <c r="D170" s="73"/>
      <c r="E170" s="73">
        <v>5.97</v>
      </c>
      <c r="F170" s="13" t="s">
        <v>674</v>
      </c>
      <c r="G170" s="13"/>
      <c r="H170" s="13"/>
      <c r="I170" s="13"/>
      <c r="J170" s="13"/>
      <c r="K170" s="13"/>
    </row>
    <row r="171" spans="1:11" ht="20" x14ac:dyDescent="0.4">
      <c r="A171" s="13">
        <v>981200</v>
      </c>
      <c r="B171" s="13" t="s">
        <v>788</v>
      </c>
      <c r="C171" s="13"/>
      <c r="D171" s="73"/>
      <c r="E171" s="73">
        <v>1.79</v>
      </c>
      <c r="F171" s="13" t="s">
        <v>674</v>
      </c>
      <c r="G171" s="13"/>
      <c r="H171" s="13"/>
      <c r="I171" s="13"/>
      <c r="J171" s="13"/>
      <c r="K171" s="13"/>
    </row>
    <row r="172" spans="1:11" ht="20" x14ac:dyDescent="0.4">
      <c r="A172" s="13">
        <v>981202</v>
      </c>
      <c r="B172" s="13" t="s">
        <v>611</v>
      </c>
      <c r="C172" s="13"/>
      <c r="D172" s="73"/>
      <c r="E172" s="73">
        <v>2.08</v>
      </c>
      <c r="F172" s="13" t="s">
        <v>674</v>
      </c>
      <c r="G172" s="13"/>
      <c r="H172" s="13"/>
      <c r="I172" s="13"/>
      <c r="J172" s="13"/>
      <c r="K172" s="13"/>
    </row>
    <row r="173" spans="1:11" ht="20" x14ac:dyDescent="0.4">
      <c r="A173" s="13">
        <v>981203</v>
      </c>
      <c r="B173" s="13" t="s">
        <v>774</v>
      </c>
      <c r="C173" s="13"/>
      <c r="D173" s="73"/>
      <c r="E173" s="73">
        <v>1.19</v>
      </c>
      <c r="F173" s="13" t="s">
        <v>674</v>
      </c>
      <c r="G173" s="13"/>
      <c r="H173" s="13"/>
      <c r="I173" s="13"/>
      <c r="J173" s="13"/>
      <c r="K173" s="13"/>
    </row>
    <row r="174" spans="1:11" ht="20" x14ac:dyDescent="0.4">
      <c r="A174" s="13">
        <v>981207</v>
      </c>
      <c r="B174" s="13" t="s">
        <v>594</v>
      </c>
      <c r="C174" s="13"/>
      <c r="D174" s="73"/>
      <c r="E174" s="73">
        <v>3.35</v>
      </c>
      <c r="F174" s="13" t="s">
        <v>674</v>
      </c>
      <c r="G174" s="13"/>
      <c r="H174" s="13"/>
      <c r="I174" s="13"/>
      <c r="J174" s="13"/>
      <c r="K174" s="13"/>
    </row>
    <row r="175" spans="1:11" ht="20" x14ac:dyDescent="0.4">
      <c r="A175" s="13">
        <v>981220</v>
      </c>
      <c r="B175" s="13" t="s">
        <v>10</v>
      </c>
      <c r="C175" s="13"/>
      <c r="D175" s="73"/>
      <c r="E175" s="73">
        <v>4.79</v>
      </c>
      <c r="F175" s="13" t="s">
        <v>674</v>
      </c>
      <c r="G175" s="13"/>
      <c r="H175" s="13"/>
      <c r="I175" s="13"/>
      <c r="J175" s="13"/>
      <c r="K175" s="13"/>
    </row>
    <row r="176" spans="1:11" ht="20" x14ac:dyDescent="0.4">
      <c r="A176" s="13">
        <v>981240</v>
      </c>
      <c r="B176" s="13" t="s">
        <v>420</v>
      </c>
      <c r="C176" s="13"/>
      <c r="D176" s="73"/>
      <c r="E176" s="73">
        <v>4.88</v>
      </c>
      <c r="F176" s="13" t="s">
        <v>674</v>
      </c>
      <c r="G176" s="13"/>
      <c r="H176" s="13"/>
      <c r="I176" s="13"/>
      <c r="J176" s="13"/>
      <c r="K176" s="13"/>
    </row>
    <row r="177" spans="1:11" ht="20" x14ac:dyDescent="0.4">
      <c r="A177" s="13">
        <v>981260</v>
      </c>
      <c r="B177" s="13" t="s">
        <v>609</v>
      </c>
      <c r="C177" s="13"/>
      <c r="D177" s="73"/>
      <c r="E177" s="73">
        <v>5.24</v>
      </c>
      <c r="F177" s="13" t="s">
        <v>674</v>
      </c>
      <c r="G177" s="13"/>
      <c r="H177" s="13"/>
      <c r="I177" s="13"/>
      <c r="J177" s="13"/>
      <c r="K177" s="13"/>
    </row>
    <row r="178" spans="1:11" ht="20" x14ac:dyDescent="0.4">
      <c r="A178" s="13">
        <v>981280</v>
      </c>
      <c r="B178" s="13" t="s">
        <v>28</v>
      </c>
      <c r="C178" s="13"/>
      <c r="D178" s="73"/>
      <c r="E178" s="73">
        <v>3.75</v>
      </c>
      <c r="F178" s="13" t="s">
        <v>674</v>
      </c>
      <c r="G178" s="13"/>
      <c r="H178" s="13"/>
      <c r="I178" s="13"/>
      <c r="J178" s="13"/>
      <c r="K178" s="13"/>
    </row>
    <row r="179" spans="1:11" ht="20" x14ac:dyDescent="0.4">
      <c r="A179" s="13">
        <v>981300</v>
      </c>
      <c r="B179" s="13" t="s">
        <v>92</v>
      </c>
      <c r="C179" s="13"/>
      <c r="D179" s="73"/>
      <c r="E179" s="73">
        <v>4.05</v>
      </c>
      <c r="F179" s="13" t="s">
        <v>674</v>
      </c>
      <c r="G179" s="13"/>
      <c r="H179" s="13"/>
      <c r="I179" s="13"/>
      <c r="J179" s="13"/>
      <c r="K179" s="13"/>
    </row>
    <row r="180" spans="1:11" ht="20" x14ac:dyDescent="0.4">
      <c r="A180" s="13">
        <v>981340</v>
      </c>
      <c r="B180" s="13" t="s">
        <v>813</v>
      </c>
      <c r="C180" s="13"/>
      <c r="D180" s="73"/>
      <c r="E180" s="73">
        <v>3.98</v>
      </c>
      <c r="F180" s="13" t="s">
        <v>674</v>
      </c>
      <c r="G180" s="13"/>
      <c r="H180" s="13"/>
      <c r="I180" s="13"/>
      <c r="J180" s="13"/>
      <c r="K180" s="13"/>
    </row>
    <row r="181" spans="1:11" ht="20" x14ac:dyDescent="0.4">
      <c r="A181" s="13">
        <v>981370</v>
      </c>
      <c r="B181" s="13" t="s">
        <v>573</v>
      </c>
      <c r="C181" s="13"/>
      <c r="D181" s="73"/>
      <c r="E181" s="73">
        <v>1.99</v>
      </c>
      <c r="F181" s="13" t="s">
        <v>674</v>
      </c>
      <c r="G181" s="13"/>
      <c r="H181" s="13"/>
      <c r="I181" s="13"/>
      <c r="J181" s="13"/>
      <c r="K181" s="13"/>
    </row>
    <row r="182" spans="1:11" ht="20" x14ac:dyDescent="0.4">
      <c r="A182" s="13">
        <v>981400</v>
      </c>
      <c r="B182" s="13" t="s">
        <v>11</v>
      </c>
      <c r="C182" s="13"/>
      <c r="D182" s="73"/>
      <c r="E182" s="73">
        <v>4.12</v>
      </c>
      <c r="F182" s="13" t="s">
        <v>674</v>
      </c>
      <c r="G182" s="13"/>
      <c r="H182" s="13"/>
      <c r="I182" s="13"/>
      <c r="J182" s="13"/>
      <c r="K182" s="13"/>
    </row>
    <row r="183" spans="1:11" ht="20" x14ac:dyDescent="0.4">
      <c r="A183" s="13">
        <v>981640</v>
      </c>
      <c r="B183" s="13" t="s">
        <v>459</v>
      </c>
      <c r="C183" s="13"/>
      <c r="D183" s="73"/>
      <c r="E183" s="73">
        <v>3.46</v>
      </c>
      <c r="F183" s="13" t="s">
        <v>674</v>
      </c>
      <c r="G183" s="13"/>
      <c r="H183" s="13"/>
      <c r="I183" s="13"/>
      <c r="J183" s="13"/>
      <c r="K183" s="13"/>
    </row>
    <row r="184" spans="1:11" ht="40" x14ac:dyDescent="0.4">
      <c r="A184" s="13">
        <v>980000</v>
      </c>
      <c r="B184" s="13" t="s">
        <v>93</v>
      </c>
      <c r="C184" s="13"/>
      <c r="D184" s="73"/>
      <c r="E184" s="73">
        <v>0</v>
      </c>
      <c r="F184" s="13" t="s">
        <v>675</v>
      </c>
      <c r="G184" s="13"/>
      <c r="H184" s="13" t="s">
        <v>471</v>
      </c>
      <c r="I184" s="13"/>
      <c r="J184" s="13"/>
      <c r="K184" s="13"/>
    </row>
    <row r="185" spans="1:11" ht="20" x14ac:dyDescent="0.4">
      <c r="A185" s="13">
        <v>980091</v>
      </c>
      <c r="B185" s="13" t="s">
        <v>668</v>
      </c>
      <c r="C185" s="13"/>
      <c r="D185" s="73"/>
      <c r="E185" s="73">
        <v>0.39</v>
      </c>
      <c r="F185" s="13" t="s">
        <v>675</v>
      </c>
      <c r="G185" s="13"/>
      <c r="H185" s="13"/>
      <c r="I185" s="13"/>
      <c r="J185" s="13"/>
      <c r="K185" s="13"/>
    </row>
    <row r="186" spans="1:11" ht="40" x14ac:dyDescent="0.4">
      <c r="A186" s="13">
        <v>980100</v>
      </c>
      <c r="B186" s="13" t="s">
        <v>96</v>
      </c>
      <c r="C186" s="13"/>
      <c r="D186" s="73"/>
      <c r="E186" s="73">
        <v>0</v>
      </c>
      <c r="F186" s="13" t="s">
        <v>675</v>
      </c>
      <c r="G186" s="13"/>
      <c r="H186" s="13" t="s">
        <v>471</v>
      </c>
      <c r="I186" s="13"/>
      <c r="J186" s="13"/>
      <c r="K186" s="13"/>
    </row>
    <row r="187" spans="1:11" ht="20" x14ac:dyDescent="0.4">
      <c r="A187" s="13">
        <v>983513</v>
      </c>
      <c r="B187" s="13" t="s">
        <v>428</v>
      </c>
      <c r="C187" s="13"/>
      <c r="D187" s="73"/>
      <c r="E187" s="73">
        <v>1.98</v>
      </c>
      <c r="F187" s="13" t="s">
        <v>676</v>
      </c>
      <c r="G187" s="13"/>
      <c r="H187" s="13"/>
      <c r="I187" s="13"/>
      <c r="J187" s="13"/>
      <c r="K187" s="13"/>
    </row>
    <row r="188" spans="1:11" ht="20" x14ac:dyDescent="0.4">
      <c r="A188" s="13">
        <v>983531</v>
      </c>
      <c r="B188" s="13" t="s">
        <v>429</v>
      </c>
      <c r="C188" s="13"/>
      <c r="D188" s="73"/>
      <c r="E188" s="73">
        <v>1.29</v>
      </c>
      <c r="F188" s="13" t="s">
        <v>676</v>
      </c>
      <c r="G188" s="13"/>
      <c r="H188" s="13"/>
      <c r="I188" s="13"/>
      <c r="J188" s="13"/>
      <c r="K188" s="13"/>
    </row>
    <row r="189" spans="1:11" ht="20" x14ac:dyDescent="0.4">
      <c r="A189" s="13">
        <v>983610</v>
      </c>
      <c r="B189" s="13" t="s">
        <v>431</v>
      </c>
      <c r="C189" s="13"/>
      <c r="D189" s="73"/>
      <c r="E189" s="73">
        <v>1.28</v>
      </c>
      <c r="F189" s="13" t="s">
        <v>676</v>
      </c>
      <c r="G189" s="13"/>
      <c r="H189" s="13"/>
      <c r="I189" s="13"/>
      <c r="J189" s="13"/>
      <c r="K189" s="13"/>
    </row>
    <row r="190" spans="1:11" ht="20" x14ac:dyDescent="0.4">
      <c r="A190" s="13">
        <v>983651</v>
      </c>
      <c r="B190" s="13" t="s">
        <v>694</v>
      </c>
      <c r="C190" s="13"/>
      <c r="D190" s="73"/>
      <c r="E190" s="73">
        <v>0.99</v>
      </c>
      <c r="F190" s="13" t="s">
        <v>676</v>
      </c>
      <c r="G190" s="13"/>
      <c r="H190" s="13"/>
      <c r="I190" s="13"/>
      <c r="J190" s="13"/>
      <c r="K190" s="13"/>
    </row>
    <row r="191" spans="1:11" ht="20" x14ac:dyDescent="0.4">
      <c r="A191" s="13">
        <v>983672</v>
      </c>
      <c r="B191" s="13" t="s">
        <v>726</v>
      </c>
      <c r="C191" s="13"/>
      <c r="D191" s="73"/>
      <c r="E191" s="73">
        <v>4.4800000000000004</v>
      </c>
      <c r="F191" s="13" t="s">
        <v>676</v>
      </c>
      <c r="G191" s="13"/>
      <c r="H191" s="13"/>
      <c r="I191" s="13"/>
      <c r="J191" s="13"/>
      <c r="K191" s="13"/>
    </row>
    <row r="192" spans="1:11" ht="20" x14ac:dyDescent="0.4">
      <c r="A192" s="13">
        <v>983721</v>
      </c>
      <c r="B192" s="13" t="s">
        <v>469</v>
      </c>
      <c r="C192" s="13"/>
      <c r="D192" s="73"/>
      <c r="E192" s="73">
        <v>2.1800000000000002</v>
      </c>
      <c r="F192" s="13" t="s">
        <v>676</v>
      </c>
      <c r="G192" s="13"/>
      <c r="H192" s="13"/>
      <c r="I192" s="13"/>
      <c r="J192" s="13"/>
      <c r="K192" s="13"/>
    </row>
    <row r="193" spans="1:11" ht="20" x14ac:dyDescent="0.4">
      <c r="A193" s="13">
        <v>983725</v>
      </c>
      <c r="B193" s="13" t="s">
        <v>698</v>
      </c>
      <c r="C193" s="13"/>
      <c r="D193" s="73"/>
      <c r="E193" s="73">
        <v>2.69</v>
      </c>
      <c r="F193" s="13" t="s">
        <v>676</v>
      </c>
      <c r="G193" s="13"/>
      <c r="H193" s="13"/>
      <c r="I193" s="13"/>
      <c r="J193" s="13"/>
      <c r="K193" s="13"/>
    </row>
    <row r="194" spans="1:11" ht="20" x14ac:dyDescent="0.4">
      <c r="A194" s="13">
        <v>983763</v>
      </c>
      <c r="B194" s="13" t="s">
        <v>467</v>
      </c>
      <c r="C194" s="13"/>
      <c r="D194" s="73"/>
      <c r="E194" s="73">
        <v>2.2799999999999998</v>
      </c>
      <c r="F194" s="13" t="s">
        <v>676</v>
      </c>
      <c r="G194" s="13"/>
      <c r="H194" s="13"/>
      <c r="I194" s="13"/>
      <c r="J194" s="13"/>
      <c r="K194" s="13"/>
    </row>
    <row r="195" spans="1:11" ht="20" x14ac:dyDescent="0.4">
      <c r="A195" s="13">
        <v>984005</v>
      </c>
      <c r="B195" s="13" t="s">
        <v>755</v>
      </c>
      <c r="C195" s="13"/>
      <c r="D195" s="73"/>
      <c r="E195" s="73">
        <v>2.99</v>
      </c>
      <c r="F195" s="13" t="s">
        <v>676</v>
      </c>
      <c r="G195" s="13"/>
      <c r="H195" s="13"/>
      <c r="I195" s="13"/>
      <c r="J195" s="13"/>
      <c r="K195" s="13"/>
    </row>
    <row r="196" spans="1:11" ht="20" x14ac:dyDescent="0.4">
      <c r="A196" s="13">
        <v>984032</v>
      </c>
      <c r="B196" s="13" t="s">
        <v>94</v>
      </c>
      <c r="C196" s="13"/>
      <c r="D196" s="73"/>
      <c r="E196" s="73">
        <v>1.47</v>
      </c>
      <c r="F196" s="13" t="s">
        <v>676</v>
      </c>
      <c r="G196" s="13"/>
      <c r="H196" s="13"/>
      <c r="I196" s="13"/>
      <c r="J196" s="13"/>
      <c r="K196" s="13"/>
    </row>
    <row r="197" spans="1:11" ht="20" x14ac:dyDescent="0.4">
      <c r="A197" s="13">
        <v>984050</v>
      </c>
      <c r="B197" s="13" t="s">
        <v>95</v>
      </c>
      <c r="C197" s="13"/>
      <c r="D197" s="73"/>
      <c r="E197" s="73">
        <v>1.1299999999999999</v>
      </c>
      <c r="F197" s="13" t="s">
        <v>676</v>
      </c>
      <c r="G197" s="13"/>
      <c r="H197" s="13"/>
      <c r="I197" s="13"/>
      <c r="J197" s="13"/>
      <c r="K197" s="13"/>
    </row>
    <row r="198" spans="1:11" ht="20" x14ac:dyDescent="0.4">
      <c r="A198" s="13">
        <v>984071</v>
      </c>
      <c r="B198" s="13" t="s">
        <v>756</v>
      </c>
      <c r="C198" s="13"/>
      <c r="D198" s="73"/>
      <c r="E198" s="73">
        <v>5.99</v>
      </c>
      <c r="F198" s="13" t="s">
        <v>676</v>
      </c>
      <c r="G198" s="13"/>
      <c r="H198" s="13"/>
      <c r="I198" s="13"/>
      <c r="J198" s="13"/>
      <c r="K198" s="13"/>
    </row>
    <row r="199" spans="1:11" ht="20" x14ac:dyDescent="0.4">
      <c r="A199" s="13">
        <v>984161</v>
      </c>
      <c r="B199" s="13" t="s">
        <v>716</v>
      </c>
      <c r="C199" s="13"/>
      <c r="D199" s="73"/>
      <c r="E199" s="73">
        <v>2.48</v>
      </c>
      <c r="F199" s="13" t="s">
        <v>676</v>
      </c>
      <c r="G199" s="13"/>
      <c r="H199" s="13"/>
      <c r="I199" s="13"/>
      <c r="J199" s="13"/>
      <c r="K199" s="13"/>
    </row>
    <row r="200" spans="1:11" ht="20" x14ac:dyDescent="0.4">
      <c r="A200" s="13">
        <v>984910</v>
      </c>
      <c r="B200" s="13" t="s">
        <v>616</v>
      </c>
      <c r="C200" s="13"/>
      <c r="D200" s="73"/>
      <c r="E200" s="73">
        <v>4.99</v>
      </c>
      <c r="F200" s="13" t="s">
        <v>676</v>
      </c>
      <c r="G200" s="13"/>
      <c r="H200" s="13"/>
      <c r="I200" s="13"/>
      <c r="J200" s="13"/>
      <c r="K200" s="13"/>
    </row>
    <row r="201" spans="1:11" ht="20" x14ac:dyDescent="0.4">
      <c r="A201" s="13">
        <v>984911</v>
      </c>
      <c r="B201" s="13" t="s">
        <v>672</v>
      </c>
      <c r="C201" s="13"/>
      <c r="D201" s="73"/>
      <c r="E201" s="73">
        <v>5.99</v>
      </c>
      <c r="F201" s="13" t="s">
        <v>676</v>
      </c>
      <c r="G201" s="13"/>
      <c r="H201" s="13"/>
      <c r="I201" s="13"/>
      <c r="J201" s="13"/>
      <c r="K201" s="13"/>
    </row>
    <row r="202" spans="1:11" ht="20" x14ac:dyDescent="0.4">
      <c r="A202" s="13">
        <v>984912</v>
      </c>
      <c r="B202" s="13" t="s">
        <v>673</v>
      </c>
      <c r="C202" s="13"/>
      <c r="D202" s="73"/>
      <c r="E202" s="73">
        <v>5.99</v>
      </c>
      <c r="F202" s="13" t="s">
        <v>676</v>
      </c>
      <c r="G202" s="13"/>
      <c r="H202" s="13"/>
      <c r="I202" s="13"/>
      <c r="J202" s="13"/>
      <c r="K202" s="13"/>
    </row>
    <row r="203" spans="1:11" ht="20" x14ac:dyDescent="0.4">
      <c r="A203" s="13">
        <v>985601</v>
      </c>
      <c r="B203" s="13" t="s">
        <v>432</v>
      </c>
      <c r="C203" s="13"/>
      <c r="D203" s="73"/>
      <c r="E203" s="73">
        <v>0.65</v>
      </c>
      <c r="F203" s="13" t="s">
        <v>677</v>
      </c>
      <c r="G203" s="13"/>
      <c r="H203" s="13"/>
      <c r="I203" s="13"/>
      <c r="J203" s="13"/>
      <c r="K203" s="13"/>
    </row>
    <row r="204" spans="1:11" ht="20" x14ac:dyDescent="0.4">
      <c r="A204" s="13">
        <v>985612</v>
      </c>
      <c r="B204" s="13" t="s">
        <v>101</v>
      </c>
      <c r="C204" s="13"/>
      <c r="D204" s="73"/>
      <c r="E204" s="73">
        <v>2.19</v>
      </c>
      <c r="F204" s="13" t="s">
        <v>677</v>
      </c>
      <c r="G204" s="13"/>
      <c r="H204" s="13"/>
      <c r="I204" s="13"/>
      <c r="J204" s="13"/>
      <c r="K204" s="13"/>
    </row>
    <row r="205" spans="1:11" ht="20" x14ac:dyDescent="0.4">
      <c r="A205" s="13">
        <v>985613</v>
      </c>
      <c r="B205" s="13" t="s">
        <v>612</v>
      </c>
      <c r="C205" s="13"/>
      <c r="D205" s="73"/>
      <c r="E205" s="73">
        <v>2.99</v>
      </c>
      <c r="F205" s="13" t="s">
        <v>677</v>
      </c>
      <c r="G205" s="13"/>
      <c r="H205" s="13"/>
      <c r="I205" s="13"/>
      <c r="J205" s="13"/>
      <c r="K205" s="13"/>
    </row>
    <row r="206" spans="1:11" ht="20" x14ac:dyDescent="0.4">
      <c r="A206" s="13">
        <v>985614</v>
      </c>
      <c r="B206" s="13" t="s">
        <v>709</v>
      </c>
      <c r="C206" s="13"/>
      <c r="D206" s="73"/>
      <c r="E206" s="73">
        <v>3.99</v>
      </c>
      <c r="F206" s="13" t="s">
        <v>677</v>
      </c>
      <c r="G206" s="13"/>
      <c r="H206" s="13"/>
      <c r="I206" s="13"/>
      <c r="J206" s="13"/>
      <c r="K206" s="13"/>
    </row>
    <row r="207" spans="1:11" ht="20" x14ac:dyDescent="0.4">
      <c r="A207" s="13">
        <v>985630</v>
      </c>
      <c r="B207" s="13" t="s">
        <v>457</v>
      </c>
      <c r="C207" s="13"/>
      <c r="D207" s="73"/>
      <c r="E207" s="73">
        <v>2.46</v>
      </c>
      <c r="F207" s="13" t="s">
        <v>677</v>
      </c>
      <c r="G207" s="13"/>
      <c r="H207" s="13"/>
      <c r="I207" s="13"/>
      <c r="J207" s="13"/>
      <c r="K207" s="13"/>
    </row>
    <row r="208" spans="1:11" ht="20" x14ac:dyDescent="0.4">
      <c r="A208" s="13">
        <v>985701</v>
      </c>
      <c r="B208" s="13" t="s">
        <v>468</v>
      </c>
      <c r="C208" s="13"/>
      <c r="D208" s="73"/>
      <c r="E208" s="73">
        <v>1.48</v>
      </c>
      <c r="F208" s="13" t="s">
        <v>678</v>
      </c>
      <c r="G208" s="13"/>
      <c r="H208" s="13"/>
      <c r="I208" s="13"/>
      <c r="J208" s="13"/>
      <c r="K208" s="13"/>
    </row>
    <row r="209" spans="1:11" ht="20" x14ac:dyDescent="0.4">
      <c r="A209" s="13">
        <v>985702</v>
      </c>
      <c r="B209" s="13" t="s">
        <v>733</v>
      </c>
      <c r="C209" s="13"/>
      <c r="D209" s="73"/>
      <c r="E209" s="73">
        <v>2.4900000000000002</v>
      </c>
      <c r="F209" s="13" t="s">
        <v>678</v>
      </c>
      <c r="G209" s="13"/>
      <c r="H209" s="13" t="s">
        <v>479</v>
      </c>
      <c r="I209" s="13"/>
      <c r="J209" s="13"/>
      <c r="K209" s="13"/>
    </row>
    <row r="210" spans="1:11" ht="20" x14ac:dyDescent="0.4">
      <c r="A210" s="13">
        <v>987560</v>
      </c>
      <c r="B210" s="13" t="s">
        <v>102</v>
      </c>
      <c r="C210" s="13"/>
      <c r="D210" s="73"/>
      <c r="E210" s="73">
        <v>1.69</v>
      </c>
      <c r="F210" s="13" t="s">
        <v>678</v>
      </c>
      <c r="G210" s="13"/>
      <c r="H210" s="13"/>
      <c r="I210" s="13"/>
      <c r="J210" s="13"/>
      <c r="K210" s="13"/>
    </row>
    <row r="211" spans="1:11" ht="20" x14ac:dyDescent="0.4">
      <c r="A211" s="13">
        <v>987900</v>
      </c>
      <c r="B211" s="13" t="s">
        <v>455</v>
      </c>
      <c r="C211" s="13"/>
      <c r="D211" s="73"/>
      <c r="E211" s="73">
        <v>1.39</v>
      </c>
      <c r="F211" s="13" t="s">
        <v>678</v>
      </c>
      <c r="G211" s="13"/>
      <c r="H211" s="13"/>
      <c r="I211" s="13"/>
      <c r="J211" s="13"/>
      <c r="K211" s="13"/>
    </row>
    <row r="212" spans="1:11" ht="20" x14ac:dyDescent="0.4">
      <c r="A212" s="13">
        <v>988490</v>
      </c>
      <c r="B212" s="13" t="s">
        <v>460</v>
      </c>
      <c r="C212" s="13"/>
      <c r="D212" s="73"/>
      <c r="E212" s="73">
        <v>0.79</v>
      </c>
      <c r="F212" s="13" t="s">
        <v>678</v>
      </c>
      <c r="G212" s="13"/>
      <c r="H212" s="13"/>
      <c r="I212" s="13"/>
      <c r="J212" s="13"/>
      <c r="K212" s="13"/>
    </row>
    <row r="213" spans="1:11" ht="20" x14ac:dyDescent="0.4">
      <c r="A213" s="13">
        <v>988571</v>
      </c>
      <c r="B213" s="13" t="s">
        <v>441</v>
      </c>
      <c r="C213" s="13"/>
      <c r="D213" s="73"/>
      <c r="E213" s="73">
        <v>2.4900000000000002</v>
      </c>
      <c r="F213" s="13" t="s">
        <v>678</v>
      </c>
      <c r="G213" s="13"/>
      <c r="H213" s="13"/>
      <c r="I213" s="13"/>
      <c r="J213" s="13"/>
      <c r="K213" s="13"/>
    </row>
    <row r="214" spans="1:11" ht="20" x14ac:dyDescent="0.4">
      <c r="A214" s="13">
        <v>988620</v>
      </c>
      <c r="B214" s="13" t="s">
        <v>103</v>
      </c>
      <c r="C214" s="13"/>
      <c r="D214" s="73"/>
      <c r="E214" s="73">
        <v>2.59</v>
      </c>
      <c r="F214" s="13" t="s">
        <v>678</v>
      </c>
      <c r="G214" s="13"/>
      <c r="H214" s="13"/>
      <c r="I214" s="13"/>
      <c r="J214" s="13"/>
      <c r="K214" s="13"/>
    </row>
    <row r="215" spans="1:11" ht="20" x14ac:dyDescent="0.4">
      <c r="A215" s="13">
        <v>988650</v>
      </c>
      <c r="B215" s="13" t="s">
        <v>592</v>
      </c>
      <c r="C215" s="13"/>
      <c r="D215" s="73"/>
      <c r="E215" s="73">
        <v>0.98</v>
      </c>
      <c r="F215" s="13" t="s">
        <v>678</v>
      </c>
      <c r="G215" s="13"/>
      <c r="H215" s="13"/>
      <c r="I215" s="13"/>
      <c r="J215" s="13"/>
      <c r="K215" s="13"/>
    </row>
    <row r="216" spans="1:11" ht="20" x14ac:dyDescent="0.4">
      <c r="A216" s="13">
        <v>987590</v>
      </c>
      <c r="B216" s="13" t="s">
        <v>104</v>
      </c>
      <c r="C216" s="13"/>
      <c r="D216" s="73"/>
      <c r="E216" s="73">
        <v>1.59</v>
      </c>
      <c r="F216" s="13" t="s">
        <v>679</v>
      </c>
      <c r="G216" s="13"/>
      <c r="H216" s="13"/>
      <c r="I216" s="13"/>
      <c r="J216" s="13"/>
      <c r="K216" s="13"/>
    </row>
    <row r="217" spans="1:11" ht="20" x14ac:dyDescent="0.4">
      <c r="A217" s="13">
        <v>987593</v>
      </c>
      <c r="B217" s="13" t="s">
        <v>725</v>
      </c>
      <c r="C217" s="13" t="s">
        <v>462</v>
      </c>
      <c r="D217" s="73"/>
      <c r="E217" s="73">
        <v>1.77</v>
      </c>
      <c r="F217" s="13" t="s">
        <v>679</v>
      </c>
      <c r="G217" s="13"/>
      <c r="H217" s="13"/>
      <c r="I217" s="13"/>
      <c r="J217" s="13"/>
      <c r="K217" s="13"/>
    </row>
    <row r="218" spans="1:11" ht="20" x14ac:dyDescent="0.4">
      <c r="A218" s="13">
        <v>985650</v>
      </c>
      <c r="B218" s="13" t="s">
        <v>440</v>
      </c>
      <c r="C218" s="13"/>
      <c r="D218" s="73"/>
      <c r="E218" s="73">
        <v>1.47</v>
      </c>
      <c r="F218" s="13" t="s">
        <v>680</v>
      </c>
      <c r="G218" s="13"/>
      <c r="H218" s="13"/>
      <c r="I218" s="13"/>
      <c r="J218" s="13"/>
      <c r="K218" s="13"/>
    </row>
    <row r="219" spans="1:11" ht="20" x14ac:dyDescent="0.4">
      <c r="A219" s="117">
        <v>986090</v>
      </c>
      <c r="B219" s="117" t="s">
        <v>835</v>
      </c>
      <c r="C219" s="117"/>
      <c r="D219" s="118"/>
      <c r="E219" s="118">
        <v>3.68</v>
      </c>
      <c r="F219" s="117" t="s">
        <v>680</v>
      </c>
      <c r="G219" s="117" t="s">
        <v>16</v>
      </c>
      <c r="H219" s="117" t="s">
        <v>473</v>
      </c>
      <c r="I219" s="117"/>
      <c r="J219" s="117" t="s">
        <v>834</v>
      </c>
      <c r="K219" s="13"/>
    </row>
    <row r="220" spans="1:11" ht="20" x14ac:dyDescent="0.4">
      <c r="A220" s="117">
        <v>986120</v>
      </c>
      <c r="B220" s="117" t="s">
        <v>836</v>
      </c>
      <c r="C220" s="117"/>
      <c r="D220" s="118"/>
      <c r="E220" s="118">
        <v>3.68</v>
      </c>
      <c r="F220" s="117" t="s">
        <v>680</v>
      </c>
      <c r="G220" s="117" t="s">
        <v>16</v>
      </c>
      <c r="H220" s="117" t="s">
        <v>473</v>
      </c>
      <c r="I220" s="117"/>
      <c r="J220" s="117" t="s">
        <v>834</v>
      </c>
      <c r="K220" s="13"/>
    </row>
    <row r="221" spans="1:11" ht="20" x14ac:dyDescent="0.4">
      <c r="A221" s="117">
        <v>986140</v>
      </c>
      <c r="B221" s="117" t="s">
        <v>837</v>
      </c>
      <c r="C221" s="117"/>
      <c r="D221" s="118"/>
      <c r="E221" s="118">
        <v>2.98</v>
      </c>
      <c r="F221" s="117" t="s">
        <v>680</v>
      </c>
      <c r="G221" s="117" t="s">
        <v>16</v>
      </c>
      <c r="H221" s="117" t="s">
        <v>473</v>
      </c>
      <c r="I221" s="117"/>
      <c r="J221" s="117" t="s">
        <v>834</v>
      </c>
      <c r="K221" s="13"/>
    </row>
    <row r="222" spans="1:11" ht="20" x14ac:dyDescent="0.4">
      <c r="A222" s="117">
        <v>986211</v>
      </c>
      <c r="B222" s="117" t="s">
        <v>838</v>
      </c>
      <c r="C222" s="117"/>
      <c r="D222" s="118"/>
      <c r="E222" s="118">
        <v>3.68</v>
      </c>
      <c r="F222" s="117" t="s">
        <v>680</v>
      </c>
      <c r="G222" s="117" t="s">
        <v>16</v>
      </c>
      <c r="H222" s="117" t="s">
        <v>473</v>
      </c>
      <c r="I222" s="117"/>
      <c r="J222" s="117" t="s">
        <v>834</v>
      </c>
      <c r="K222" s="13"/>
    </row>
    <row r="223" spans="1:11" ht="20" x14ac:dyDescent="0.4">
      <c r="A223" s="13">
        <v>987730</v>
      </c>
      <c r="B223" s="13" t="s">
        <v>610</v>
      </c>
      <c r="C223" s="13"/>
      <c r="D223" s="73"/>
      <c r="E223" s="73">
        <v>1.18</v>
      </c>
      <c r="F223" s="13" t="s">
        <v>680</v>
      </c>
      <c r="G223" s="13"/>
      <c r="H223" s="13"/>
      <c r="I223" s="13"/>
      <c r="J223" s="13"/>
      <c r="K223" s="13"/>
    </row>
    <row r="224" spans="1:11" ht="20" x14ac:dyDescent="0.4">
      <c r="A224" s="13">
        <v>987760</v>
      </c>
      <c r="B224" s="13" t="s">
        <v>581</v>
      </c>
      <c r="C224" s="13"/>
      <c r="D224" s="73"/>
      <c r="E224" s="73">
        <v>1.18</v>
      </c>
      <c r="F224" s="13" t="s">
        <v>680</v>
      </c>
      <c r="G224" s="13"/>
      <c r="H224" s="13"/>
      <c r="I224" s="13"/>
      <c r="J224" s="13"/>
      <c r="K224" s="13"/>
    </row>
    <row r="225" spans="1:11" ht="20" x14ac:dyDescent="0.4">
      <c r="A225" s="13">
        <v>987790</v>
      </c>
      <c r="B225" s="13" t="s">
        <v>466</v>
      </c>
      <c r="C225" s="13"/>
      <c r="D225" s="73"/>
      <c r="E225" s="73">
        <v>1.48</v>
      </c>
      <c r="F225" s="13" t="s">
        <v>680</v>
      </c>
      <c r="G225" s="13"/>
      <c r="H225" s="13"/>
      <c r="I225" s="13"/>
      <c r="J225" s="13"/>
      <c r="K225" s="13"/>
    </row>
    <row r="226" spans="1:11" ht="20" x14ac:dyDescent="0.4">
      <c r="A226" s="13">
        <v>986400</v>
      </c>
      <c r="B226" s="13" t="s">
        <v>588</v>
      </c>
      <c r="C226" s="13"/>
      <c r="D226" s="73"/>
      <c r="E226" s="73">
        <v>1.98</v>
      </c>
      <c r="F226" s="13" t="s">
        <v>681</v>
      </c>
      <c r="G226" s="13"/>
      <c r="H226" s="13"/>
      <c r="I226" s="13"/>
      <c r="J226" s="13"/>
      <c r="K226" s="13"/>
    </row>
    <row r="227" spans="1:11" ht="20" x14ac:dyDescent="0.4">
      <c r="A227" s="13">
        <v>986405</v>
      </c>
      <c r="B227" s="13" t="s">
        <v>710</v>
      </c>
      <c r="C227" s="13"/>
      <c r="D227" s="73"/>
      <c r="E227" s="73">
        <v>3.98</v>
      </c>
      <c r="F227" s="13" t="s">
        <v>681</v>
      </c>
      <c r="G227" s="13"/>
      <c r="H227" s="13"/>
      <c r="I227" s="13"/>
      <c r="J227" s="13"/>
      <c r="K227" s="13"/>
    </row>
    <row r="228" spans="1:11" ht="20" x14ac:dyDescent="0.4">
      <c r="A228" s="13">
        <v>986480</v>
      </c>
      <c r="B228" s="13" t="s">
        <v>572</v>
      </c>
      <c r="C228" s="13"/>
      <c r="D228" s="73"/>
      <c r="E228" s="73">
        <v>2.89</v>
      </c>
      <c r="F228" s="13" t="s">
        <v>681</v>
      </c>
      <c r="G228" s="13"/>
      <c r="H228" s="13"/>
      <c r="I228" s="13"/>
      <c r="J228" s="13"/>
      <c r="K228" s="13"/>
    </row>
    <row r="229" spans="1:11" ht="20" x14ac:dyDescent="0.4">
      <c r="A229" s="13">
        <v>986650</v>
      </c>
      <c r="B229" s="13" t="s">
        <v>106</v>
      </c>
      <c r="C229" s="13"/>
      <c r="D229" s="73"/>
      <c r="E229" s="73">
        <v>1.39</v>
      </c>
      <c r="F229" s="13" t="s">
        <v>681</v>
      </c>
      <c r="G229" s="13"/>
      <c r="H229" s="13"/>
      <c r="I229" s="13"/>
      <c r="J229" s="13"/>
      <c r="K229" s="13"/>
    </row>
    <row r="230" spans="1:11" ht="20" x14ac:dyDescent="0.4">
      <c r="A230" s="13">
        <v>986678</v>
      </c>
      <c r="B230" s="13" t="s">
        <v>585</v>
      </c>
      <c r="C230" s="13"/>
      <c r="D230" s="73"/>
      <c r="E230" s="73">
        <v>2.39</v>
      </c>
      <c r="F230" s="13" t="s">
        <v>681</v>
      </c>
      <c r="G230" s="13"/>
      <c r="H230" s="13"/>
      <c r="I230" s="13"/>
      <c r="J230" s="13"/>
      <c r="K230" s="13"/>
    </row>
    <row r="231" spans="1:11" ht="20" x14ac:dyDescent="0.4">
      <c r="A231" s="13">
        <v>986730</v>
      </c>
      <c r="B231" s="13" t="s">
        <v>107</v>
      </c>
      <c r="C231" s="13"/>
      <c r="D231" s="73"/>
      <c r="E231" s="73">
        <v>2.4900000000000002</v>
      </c>
      <c r="F231" s="13" t="s">
        <v>681</v>
      </c>
      <c r="G231" s="13"/>
      <c r="H231" s="13"/>
      <c r="I231" s="13"/>
      <c r="J231" s="13"/>
      <c r="K231" s="13"/>
    </row>
    <row r="232" spans="1:11" ht="20" x14ac:dyDescent="0.4">
      <c r="A232" s="13">
        <v>986785</v>
      </c>
      <c r="B232" s="13" t="s">
        <v>99</v>
      </c>
      <c r="C232" s="13"/>
      <c r="D232" s="73"/>
      <c r="E232" s="73">
        <v>3.49</v>
      </c>
      <c r="F232" s="13" t="s">
        <v>681</v>
      </c>
      <c r="G232" s="13"/>
      <c r="H232" s="13"/>
      <c r="I232" s="13"/>
      <c r="J232" s="13"/>
      <c r="K232" s="13"/>
    </row>
    <row r="233" spans="1:11" ht="20" x14ac:dyDescent="0.4">
      <c r="A233" s="13">
        <v>986810</v>
      </c>
      <c r="B233" s="13" t="s">
        <v>108</v>
      </c>
      <c r="C233" s="13"/>
      <c r="D233" s="73"/>
      <c r="E233" s="73">
        <v>3.98</v>
      </c>
      <c r="F233" s="13" t="s">
        <v>681</v>
      </c>
      <c r="G233" s="13"/>
      <c r="H233" s="13"/>
      <c r="I233" s="13"/>
      <c r="J233" s="13"/>
      <c r="K233" s="13"/>
    </row>
    <row r="234" spans="1:11" ht="20" x14ac:dyDescent="0.4">
      <c r="A234" s="13">
        <v>986811</v>
      </c>
      <c r="B234" s="13" t="s">
        <v>731</v>
      </c>
      <c r="C234" s="13"/>
      <c r="D234" s="73"/>
      <c r="E234" s="73">
        <v>2.99</v>
      </c>
      <c r="F234" s="13" t="s">
        <v>681</v>
      </c>
      <c r="G234" s="13"/>
      <c r="H234" s="13" t="s">
        <v>479</v>
      </c>
      <c r="I234" s="13"/>
      <c r="J234" s="13"/>
      <c r="K234" s="13"/>
    </row>
    <row r="235" spans="1:11" ht="20" x14ac:dyDescent="0.4">
      <c r="A235" s="13">
        <v>986890</v>
      </c>
      <c r="B235" s="13" t="s">
        <v>109</v>
      </c>
      <c r="C235" s="13"/>
      <c r="D235" s="73"/>
      <c r="E235" s="73">
        <v>3.28</v>
      </c>
      <c r="F235" s="13" t="s">
        <v>681</v>
      </c>
      <c r="G235" s="13"/>
      <c r="H235" s="13"/>
      <c r="I235" s="13"/>
      <c r="J235" s="13"/>
      <c r="K235" s="13"/>
    </row>
    <row r="236" spans="1:11" ht="20" x14ac:dyDescent="0.4">
      <c r="A236" s="13">
        <v>986915</v>
      </c>
      <c r="B236" s="13" t="s">
        <v>110</v>
      </c>
      <c r="C236" s="13"/>
      <c r="D236" s="73"/>
      <c r="E236" s="73">
        <v>2.98</v>
      </c>
      <c r="F236" s="13" t="s">
        <v>681</v>
      </c>
      <c r="G236" s="13"/>
      <c r="H236" s="13"/>
      <c r="I236" s="13"/>
      <c r="J236" s="13"/>
      <c r="K236" s="13"/>
    </row>
    <row r="237" spans="1:11" ht="20" x14ac:dyDescent="0.4">
      <c r="A237" s="13">
        <v>986974</v>
      </c>
      <c r="B237" s="13" t="s">
        <v>578</v>
      </c>
      <c r="C237" s="13"/>
      <c r="D237" s="73"/>
      <c r="E237" s="73">
        <v>3.29</v>
      </c>
      <c r="F237" s="13" t="s">
        <v>681</v>
      </c>
      <c r="G237" s="13"/>
      <c r="H237" s="13"/>
      <c r="I237" s="13"/>
      <c r="J237" s="13"/>
      <c r="K237" s="13"/>
    </row>
    <row r="238" spans="1:11" ht="20" x14ac:dyDescent="0.4">
      <c r="A238" s="13">
        <v>986975</v>
      </c>
      <c r="B238" s="13" t="s">
        <v>112</v>
      </c>
      <c r="C238" s="13"/>
      <c r="D238" s="73"/>
      <c r="E238" s="73">
        <v>5.99</v>
      </c>
      <c r="F238" s="13" t="s">
        <v>681</v>
      </c>
      <c r="G238" s="13"/>
      <c r="H238" s="13"/>
      <c r="I238" s="13"/>
      <c r="J238" s="13"/>
      <c r="K238" s="13"/>
    </row>
    <row r="239" spans="1:11" ht="20" x14ac:dyDescent="0.4">
      <c r="A239" s="13">
        <v>987060</v>
      </c>
      <c r="B239" s="13" t="s">
        <v>614</v>
      </c>
      <c r="C239" s="13"/>
      <c r="D239" s="73"/>
      <c r="E239" s="73">
        <v>1.88</v>
      </c>
      <c r="F239" s="13" t="s">
        <v>681</v>
      </c>
      <c r="G239" s="13"/>
      <c r="H239" s="13" t="s">
        <v>479</v>
      </c>
      <c r="I239" s="13"/>
      <c r="J239" s="13"/>
      <c r="K239" s="13"/>
    </row>
    <row r="240" spans="1:11" ht="20" x14ac:dyDescent="0.4">
      <c r="A240" s="13">
        <v>983451</v>
      </c>
      <c r="B240" s="13" t="s">
        <v>452</v>
      </c>
      <c r="C240" s="13"/>
      <c r="D240" s="73"/>
      <c r="E240" s="73">
        <v>0.92</v>
      </c>
      <c r="F240" s="13" t="s">
        <v>682</v>
      </c>
      <c r="G240" s="13"/>
      <c r="H240" s="13"/>
      <c r="I240" s="13"/>
      <c r="J240" s="13"/>
      <c r="K240" s="13"/>
    </row>
    <row r="241" spans="1:11" ht="20" x14ac:dyDescent="0.4">
      <c r="A241" s="13">
        <v>983470</v>
      </c>
      <c r="B241" s="13" t="s">
        <v>713</v>
      </c>
      <c r="C241" s="13"/>
      <c r="D241" s="73"/>
      <c r="E241" s="73">
        <v>3.98</v>
      </c>
      <c r="F241" s="13" t="s">
        <v>682</v>
      </c>
      <c r="G241" s="13"/>
      <c r="H241" s="13"/>
      <c r="I241" s="13"/>
      <c r="J241" s="13"/>
      <c r="K241" s="13"/>
    </row>
    <row r="242" spans="1:11" ht="20" x14ac:dyDescent="0.4">
      <c r="A242" s="13">
        <v>983501</v>
      </c>
      <c r="B242" s="13" t="s">
        <v>98</v>
      </c>
      <c r="C242" s="13"/>
      <c r="D242" s="73"/>
      <c r="E242" s="73">
        <v>4.6900000000000004</v>
      </c>
      <c r="F242" s="13" t="s">
        <v>682</v>
      </c>
      <c r="G242" s="13"/>
      <c r="H242" s="13"/>
      <c r="I242" s="13"/>
      <c r="J242" s="13"/>
      <c r="K242" s="13"/>
    </row>
    <row r="243" spans="1:11" ht="20" x14ac:dyDescent="0.4">
      <c r="A243" s="13">
        <v>987110</v>
      </c>
      <c r="B243" s="13" t="s">
        <v>113</v>
      </c>
      <c r="C243" s="13"/>
      <c r="D243" s="73"/>
      <c r="E243" s="73">
        <v>2.99</v>
      </c>
      <c r="F243" s="13" t="s">
        <v>683</v>
      </c>
      <c r="G243" s="13"/>
      <c r="H243" s="13"/>
      <c r="I243" s="13"/>
      <c r="J243" s="13"/>
      <c r="K243" s="13"/>
    </row>
    <row r="244" spans="1:11" ht="20" x14ac:dyDescent="0.4">
      <c r="A244" s="13">
        <v>987211</v>
      </c>
      <c r="B244" s="13" t="s">
        <v>23</v>
      </c>
      <c r="C244" s="13"/>
      <c r="D244" s="73"/>
      <c r="E244" s="73">
        <v>2.39</v>
      </c>
      <c r="F244" s="13" t="s">
        <v>683</v>
      </c>
      <c r="G244" s="13"/>
      <c r="H244" s="13"/>
      <c r="I244" s="13"/>
      <c r="J244" s="13"/>
      <c r="K244" s="13"/>
    </row>
    <row r="245" spans="1:11" ht="20" x14ac:dyDescent="0.4">
      <c r="A245" s="13">
        <v>987260</v>
      </c>
      <c r="B245" s="13" t="s">
        <v>114</v>
      </c>
      <c r="C245" s="13"/>
      <c r="D245" s="73"/>
      <c r="E245" s="73">
        <v>3.52</v>
      </c>
      <c r="F245" s="13" t="s">
        <v>683</v>
      </c>
      <c r="G245" s="13"/>
      <c r="H245" s="13"/>
      <c r="I245" s="13"/>
      <c r="J245" s="13"/>
      <c r="K245" s="13"/>
    </row>
    <row r="246" spans="1:11" ht="20" x14ac:dyDescent="0.4">
      <c r="A246" s="13">
        <v>987261</v>
      </c>
      <c r="B246" s="13" t="s">
        <v>115</v>
      </c>
      <c r="C246" s="13"/>
      <c r="D246" s="73"/>
      <c r="E246" s="73">
        <v>3.49</v>
      </c>
      <c r="F246" s="13" t="s">
        <v>683</v>
      </c>
      <c r="G246" s="13"/>
      <c r="H246" s="13"/>
      <c r="I246" s="13"/>
      <c r="J246" s="13"/>
      <c r="K246" s="13"/>
    </row>
    <row r="247" spans="1:11" ht="20" x14ac:dyDescent="0.4">
      <c r="A247" s="13">
        <v>987268</v>
      </c>
      <c r="B247" s="13" t="s">
        <v>574</v>
      </c>
      <c r="C247" s="13"/>
      <c r="D247" s="73"/>
      <c r="E247" s="73">
        <v>1.99</v>
      </c>
      <c r="F247" s="13" t="s">
        <v>683</v>
      </c>
      <c r="G247" s="13"/>
      <c r="H247" s="13"/>
      <c r="I247" s="13"/>
      <c r="J247" s="13"/>
      <c r="K247" s="13"/>
    </row>
    <row r="248" spans="1:11" ht="20" x14ac:dyDescent="0.4">
      <c r="A248" s="13">
        <v>987290</v>
      </c>
      <c r="B248" s="13" t="s">
        <v>100</v>
      </c>
      <c r="C248" s="13"/>
      <c r="D248" s="73"/>
      <c r="E248" s="73">
        <v>3.46</v>
      </c>
      <c r="F248" s="13" t="s">
        <v>683</v>
      </c>
      <c r="G248" s="13"/>
      <c r="H248" s="13"/>
      <c r="I248" s="13"/>
      <c r="J248" s="13"/>
      <c r="K248" s="13"/>
    </row>
    <row r="249" spans="1:11" ht="20" x14ac:dyDescent="0.4">
      <c r="A249" s="13">
        <v>987310</v>
      </c>
      <c r="B249" s="13" t="s">
        <v>116</v>
      </c>
      <c r="C249" s="13"/>
      <c r="D249" s="73"/>
      <c r="E249" s="73">
        <v>2.98</v>
      </c>
      <c r="F249" s="13" t="s">
        <v>683</v>
      </c>
      <c r="G249" s="13"/>
      <c r="H249" s="13"/>
      <c r="I249" s="13"/>
      <c r="J249" s="13"/>
      <c r="K249" s="13"/>
    </row>
    <row r="250" spans="1:11" ht="20" x14ac:dyDescent="0.4">
      <c r="A250" s="13">
        <v>987345</v>
      </c>
      <c r="B250" s="13" t="s">
        <v>669</v>
      </c>
      <c r="C250" s="13"/>
      <c r="D250" s="73"/>
      <c r="E250" s="73">
        <v>3.46</v>
      </c>
      <c r="F250" s="13" t="s">
        <v>683</v>
      </c>
      <c r="G250" s="13"/>
      <c r="H250" s="13" t="s">
        <v>479</v>
      </c>
      <c r="I250" s="13"/>
      <c r="J250" s="13"/>
      <c r="K250" s="13"/>
    </row>
    <row r="251" spans="1:11" ht="20" x14ac:dyDescent="0.4">
      <c r="A251" s="13">
        <v>987360</v>
      </c>
      <c r="B251" s="13" t="s">
        <v>595</v>
      </c>
      <c r="C251" s="13"/>
      <c r="D251" s="73"/>
      <c r="E251" s="73">
        <v>0.79</v>
      </c>
      <c r="F251" s="13" t="s">
        <v>683</v>
      </c>
      <c r="G251" s="13"/>
      <c r="H251" s="13"/>
      <c r="I251" s="13"/>
      <c r="J251" s="13"/>
      <c r="K251" s="13"/>
    </row>
    <row r="252" spans="1:11" ht="20" x14ac:dyDescent="0.4">
      <c r="A252" s="13">
        <v>987361</v>
      </c>
      <c r="B252" s="13" t="s">
        <v>746</v>
      </c>
      <c r="C252" s="13"/>
      <c r="D252" s="73"/>
      <c r="E252" s="73">
        <v>4.99</v>
      </c>
      <c r="F252" s="13" t="s">
        <v>683</v>
      </c>
      <c r="G252" s="13"/>
      <c r="H252" s="13"/>
      <c r="I252" s="13"/>
      <c r="J252" s="13"/>
      <c r="K252" s="13"/>
    </row>
    <row r="253" spans="1:11" ht="40" x14ac:dyDescent="0.4">
      <c r="A253" s="117">
        <v>995186</v>
      </c>
      <c r="B253" s="117" t="s">
        <v>689</v>
      </c>
      <c r="C253" s="117" t="s">
        <v>462</v>
      </c>
      <c r="D253" s="118">
        <v>2.99</v>
      </c>
      <c r="E253" s="118">
        <v>1.79</v>
      </c>
      <c r="F253" s="117" t="s">
        <v>740</v>
      </c>
      <c r="G253" s="117" t="s">
        <v>6</v>
      </c>
      <c r="H253" s="117" t="s">
        <v>41</v>
      </c>
      <c r="I253" s="147">
        <v>44820</v>
      </c>
      <c r="J253" s="117"/>
      <c r="K253" s="13"/>
    </row>
    <row r="254" spans="1:11" ht="20" x14ac:dyDescent="0.4">
      <c r="A254" s="13">
        <v>995188</v>
      </c>
      <c r="B254" s="13" t="s">
        <v>697</v>
      </c>
      <c r="C254" s="13" t="s">
        <v>462</v>
      </c>
      <c r="D254" s="73"/>
      <c r="E254" s="73">
        <v>2.99</v>
      </c>
      <c r="F254" s="13" t="s">
        <v>740</v>
      </c>
      <c r="G254" s="13"/>
      <c r="H254" s="13"/>
      <c r="I254" s="13"/>
      <c r="J254" s="13"/>
      <c r="K254" s="13"/>
    </row>
    <row r="255" spans="1:11" ht="20" x14ac:dyDescent="0.4">
      <c r="A255" s="13">
        <v>995202</v>
      </c>
      <c r="B255" s="13" t="s">
        <v>736</v>
      </c>
      <c r="C255" s="13"/>
      <c r="D255" s="73"/>
      <c r="E255" s="73">
        <v>2.99</v>
      </c>
      <c r="F255" s="13" t="s">
        <v>740</v>
      </c>
      <c r="G255" s="13"/>
      <c r="H255" s="13"/>
      <c r="I255" s="13"/>
      <c r="J255" s="13"/>
      <c r="K255" s="13"/>
    </row>
    <row r="256" spans="1:11" ht="20" x14ac:dyDescent="0.4">
      <c r="A256" s="13">
        <v>995203</v>
      </c>
      <c r="B256" s="13" t="s">
        <v>737</v>
      </c>
      <c r="C256" s="13"/>
      <c r="D256" s="73"/>
      <c r="E256" s="73">
        <v>2.99</v>
      </c>
      <c r="F256" s="13" t="s">
        <v>740</v>
      </c>
      <c r="G256" s="13"/>
      <c r="H256" s="13"/>
      <c r="I256" s="13"/>
      <c r="J256" s="13"/>
      <c r="K256" s="13"/>
    </row>
    <row r="257" spans="1:11" ht="40" x14ac:dyDescent="0.4">
      <c r="A257" s="117">
        <v>995206</v>
      </c>
      <c r="B257" s="117" t="s">
        <v>738</v>
      </c>
      <c r="C257" s="117"/>
      <c r="D257" s="118">
        <v>3.99</v>
      </c>
      <c r="E257" s="118">
        <v>2.39</v>
      </c>
      <c r="F257" s="117" t="s">
        <v>740</v>
      </c>
      <c r="G257" s="117" t="s">
        <v>6</v>
      </c>
      <c r="H257" s="117" t="s">
        <v>41</v>
      </c>
      <c r="I257" s="147">
        <v>44820</v>
      </c>
      <c r="J257" s="117"/>
      <c r="K257" s="13"/>
    </row>
    <row r="258" spans="1:11" ht="20" x14ac:dyDescent="0.4">
      <c r="A258" s="13">
        <v>995208</v>
      </c>
      <c r="B258" s="13" t="s">
        <v>752</v>
      </c>
      <c r="C258" s="13" t="s">
        <v>462</v>
      </c>
      <c r="D258" s="73"/>
      <c r="E258" s="73">
        <v>2.97</v>
      </c>
      <c r="F258" s="13" t="s">
        <v>740</v>
      </c>
      <c r="G258" s="13"/>
      <c r="H258" s="13"/>
      <c r="I258" s="13"/>
      <c r="J258" s="13"/>
      <c r="K258" s="13"/>
    </row>
    <row r="259" spans="1:11" ht="20" x14ac:dyDescent="0.4">
      <c r="A259" s="13">
        <v>995209</v>
      </c>
      <c r="B259" s="13" t="s">
        <v>753</v>
      </c>
      <c r="C259" s="13" t="s">
        <v>462</v>
      </c>
      <c r="D259" s="73"/>
      <c r="E259" s="73">
        <v>2.97</v>
      </c>
      <c r="F259" s="13" t="s">
        <v>740</v>
      </c>
      <c r="G259" s="13"/>
      <c r="H259" s="13"/>
      <c r="I259" s="13"/>
      <c r="J259" s="13"/>
      <c r="K259" s="13"/>
    </row>
    <row r="260" spans="1:11" ht="20" x14ac:dyDescent="0.4">
      <c r="A260" s="13">
        <v>985950</v>
      </c>
      <c r="B260" s="13" t="s">
        <v>117</v>
      </c>
      <c r="C260" s="13"/>
      <c r="D260" s="73"/>
      <c r="E260" s="73">
        <v>1.49</v>
      </c>
      <c r="F260" s="13" t="s">
        <v>684</v>
      </c>
      <c r="G260" s="13"/>
      <c r="H260" s="13"/>
      <c r="I260" s="13"/>
      <c r="J260" s="13"/>
      <c r="K260" s="13"/>
    </row>
    <row r="261" spans="1:11" ht="20" x14ac:dyDescent="0.4">
      <c r="A261" s="13">
        <v>985990</v>
      </c>
      <c r="B261" s="13" t="s">
        <v>461</v>
      </c>
      <c r="C261" s="13"/>
      <c r="D261" s="73"/>
      <c r="E261" s="73">
        <v>2.98</v>
      </c>
      <c r="F261" s="13" t="s">
        <v>684</v>
      </c>
      <c r="G261" s="13"/>
      <c r="H261" s="13"/>
      <c r="I261" s="13"/>
      <c r="J261" s="13"/>
      <c r="K261" s="13"/>
    </row>
    <row r="262" spans="1:11" ht="20" x14ac:dyDescent="0.4">
      <c r="A262" s="13">
        <v>989461</v>
      </c>
      <c r="B262" s="13" t="s">
        <v>119</v>
      </c>
      <c r="C262" s="13"/>
      <c r="D262" s="73"/>
      <c r="E262" s="73">
        <v>3.29</v>
      </c>
      <c r="F262" s="13" t="s">
        <v>684</v>
      </c>
      <c r="G262" s="13"/>
      <c r="H262" s="13"/>
      <c r="I262" s="13"/>
      <c r="J262" s="13"/>
      <c r="K262" s="13"/>
    </row>
    <row r="263" spans="1:11" ht="20" x14ac:dyDescent="0.4">
      <c r="A263" s="13">
        <v>989260</v>
      </c>
      <c r="B263" s="13" t="s">
        <v>120</v>
      </c>
      <c r="C263" s="13"/>
      <c r="D263" s="73"/>
      <c r="E263" s="73">
        <v>4.38</v>
      </c>
      <c r="F263" s="13" t="s">
        <v>685</v>
      </c>
      <c r="G263" s="13"/>
      <c r="H263" s="13"/>
      <c r="I263" s="13"/>
      <c r="J263" s="13"/>
      <c r="K263" s="13"/>
    </row>
    <row r="264" spans="1:11" ht="20" x14ac:dyDescent="0.4">
      <c r="A264" s="13">
        <v>989280</v>
      </c>
      <c r="B264" s="13" t="s">
        <v>590</v>
      </c>
      <c r="C264" s="13"/>
      <c r="D264" s="73"/>
      <c r="E264" s="73">
        <v>3.25</v>
      </c>
      <c r="F264" s="13" t="s">
        <v>685</v>
      </c>
      <c r="G264" s="13"/>
      <c r="H264" s="13"/>
      <c r="I264" s="13"/>
      <c r="J264" s="13"/>
      <c r="K264" s="13"/>
    </row>
    <row r="265" spans="1:11" ht="20" x14ac:dyDescent="0.4">
      <c r="A265" s="13">
        <v>989301</v>
      </c>
      <c r="B265" s="13" t="s">
        <v>786</v>
      </c>
      <c r="C265" s="13"/>
      <c r="D265" s="73"/>
      <c r="E265" s="73">
        <v>4.28</v>
      </c>
      <c r="F265" s="13" t="s">
        <v>685</v>
      </c>
      <c r="G265" s="13"/>
      <c r="H265" s="13"/>
      <c r="I265" s="13"/>
      <c r="J265" s="13"/>
      <c r="K265" s="13"/>
    </row>
    <row r="266" spans="1:11" ht="20" x14ac:dyDescent="0.4">
      <c r="A266" s="13">
        <v>989330</v>
      </c>
      <c r="B266" s="13" t="s">
        <v>787</v>
      </c>
      <c r="C266" s="13"/>
      <c r="D266" s="73"/>
      <c r="E266" s="73">
        <v>3.35</v>
      </c>
      <c r="F266" s="13" t="s">
        <v>685</v>
      </c>
      <c r="G266" s="13"/>
      <c r="H266" s="13"/>
      <c r="I266" s="13"/>
      <c r="J266" s="13"/>
      <c r="K266" s="13"/>
    </row>
    <row r="267" spans="1:11" ht="20" x14ac:dyDescent="0.4">
      <c r="A267" s="13">
        <v>989360</v>
      </c>
      <c r="B267" s="13" t="s">
        <v>121</v>
      </c>
      <c r="C267" s="13"/>
      <c r="D267" s="73"/>
      <c r="E267" s="73">
        <v>2.89</v>
      </c>
      <c r="F267" s="13" t="s">
        <v>685</v>
      </c>
      <c r="G267" s="13"/>
      <c r="H267" s="13"/>
      <c r="I267" s="13"/>
      <c r="J267" s="13"/>
      <c r="K267" s="13"/>
    </row>
    <row r="268" spans="1:11" ht="20" x14ac:dyDescent="0.4">
      <c r="A268" s="13">
        <v>989489</v>
      </c>
      <c r="B268" s="13" t="s">
        <v>620</v>
      </c>
      <c r="C268" s="13"/>
      <c r="D268" s="73"/>
      <c r="E268" s="73">
        <v>1.58</v>
      </c>
      <c r="F268" s="13" t="s">
        <v>685</v>
      </c>
      <c r="G268" s="13"/>
      <c r="H268" s="13"/>
      <c r="I268" s="13"/>
      <c r="J268" s="13"/>
      <c r="K268" s="13"/>
    </row>
    <row r="269" spans="1:11" ht="20" x14ac:dyDescent="0.4">
      <c r="A269" s="13">
        <v>989560</v>
      </c>
      <c r="B269" s="13" t="s">
        <v>122</v>
      </c>
      <c r="C269" s="13"/>
      <c r="D269" s="73"/>
      <c r="E269" s="73">
        <v>4.97</v>
      </c>
      <c r="F269" s="13" t="s">
        <v>685</v>
      </c>
      <c r="G269" s="13"/>
      <c r="H269" s="13"/>
      <c r="I269" s="13"/>
      <c r="J269" s="13"/>
      <c r="K269" s="13"/>
    </row>
    <row r="270" spans="1:11" ht="20" x14ac:dyDescent="0.4">
      <c r="A270" s="13">
        <v>989562</v>
      </c>
      <c r="B270" s="13" t="s">
        <v>577</v>
      </c>
      <c r="C270" s="13"/>
      <c r="D270" s="73"/>
      <c r="E270" s="73">
        <v>0</v>
      </c>
      <c r="F270" s="13" t="s">
        <v>685</v>
      </c>
      <c r="G270" s="13"/>
      <c r="H270" s="13" t="s">
        <v>479</v>
      </c>
      <c r="I270" s="13"/>
      <c r="J270" s="13"/>
      <c r="K270" s="13"/>
    </row>
    <row r="271" spans="1:11" ht="20" x14ac:dyDescent="0.4">
      <c r="A271" s="13">
        <v>989623</v>
      </c>
      <c r="B271" s="13" t="s">
        <v>447</v>
      </c>
      <c r="C271" s="13"/>
      <c r="D271" s="73"/>
      <c r="E271" s="73">
        <v>3.29</v>
      </c>
      <c r="F271" s="13" t="s">
        <v>685</v>
      </c>
      <c r="G271" s="13"/>
      <c r="H271" s="13"/>
      <c r="I271" s="13"/>
      <c r="J271" s="13"/>
      <c r="K271" s="13"/>
    </row>
    <row r="272" spans="1:11" ht="20" x14ac:dyDescent="0.4">
      <c r="A272" s="13">
        <v>989660</v>
      </c>
      <c r="B272" s="13" t="s">
        <v>123</v>
      </c>
      <c r="C272" s="13"/>
      <c r="D272" s="73"/>
      <c r="E272" s="73">
        <v>7.48</v>
      </c>
      <c r="F272" s="13" t="s">
        <v>685</v>
      </c>
      <c r="G272" s="13"/>
      <c r="H272" s="13"/>
      <c r="I272" s="13"/>
      <c r="J272" s="13"/>
      <c r="K272" s="13"/>
    </row>
    <row r="273" spans="1:11" ht="20" x14ac:dyDescent="0.4">
      <c r="A273" s="13">
        <v>989680</v>
      </c>
      <c r="B273" s="13" t="s">
        <v>692</v>
      </c>
      <c r="C273" s="13"/>
      <c r="D273" s="73"/>
      <c r="E273" s="73">
        <v>5.68</v>
      </c>
      <c r="F273" s="13" t="s">
        <v>685</v>
      </c>
      <c r="G273" s="13"/>
      <c r="H273" s="13"/>
      <c r="I273" s="13"/>
      <c r="J273" s="13"/>
      <c r="K273" s="13"/>
    </row>
    <row r="274" spans="1:11" ht="20" x14ac:dyDescent="0.4">
      <c r="A274" s="13">
        <v>989710</v>
      </c>
      <c r="B274" s="13" t="s">
        <v>124</v>
      </c>
      <c r="C274" s="13"/>
      <c r="D274" s="73"/>
      <c r="E274" s="73">
        <v>5.98</v>
      </c>
      <c r="F274" s="13" t="s">
        <v>685</v>
      </c>
      <c r="G274" s="13"/>
      <c r="H274" s="13"/>
      <c r="I274" s="13"/>
      <c r="J274" s="13"/>
      <c r="K274" s="13"/>
    </row>
    <row r="275" spans="1:11" ht="20" x14ac:dyDescent="0.4">
      <c r="A275" s="13">
        <v>989722</v>
      </c>
      <c r="B275" s="13" t="s">
        <v>419</v>
      </c>
      <c r="C275" s="13"/>
      <c r="D275" s="73"/>
      <c r="E275" s="73">
        <v>3.77</v>
      </c>
      <c r="F275" s="13" t="s">
        <v>685</v>
      </c>
      <c r="G275" s="13"/>
      <c r="H275" s="13"/>
      <c r="I275" s="13"/>
      <c r="J275" s="13"/>
      <c r="K275" s="13"/>
    </row>
    <row r="276" spans="1:11" ht="20" x14ac:dyDescent="0.4">
      <c r="A276" s="13">
        <v>989760</v>
      </c>
      <c r="B276" s="13" t="s">
        <v>604</v>
      </c>
      <c r="C276" s="13"/>
      <c r="D276" s="73"/>
      <c r="E276" s="73">
        <v>3.77</v>
      </c>
      <c r="F276" s="13" t="s">
        <v>685</v>
      </c>
      <c r="G276" s="13"/>
      <c r="H276" s="13"/>
      <c r="I276" s="13"/>
      <c r="J276" s="13"/>
      <c r="K276" s="13"/>
    </row>
    <row r="277" spans="1:11" ht="20" x14ac:dyDescent="0.4">
      <c r="A277" s="13">
        <v>989765</v>
      </c>
      <c r="B277" s="13" t="s">
        <v>439</v>
      </c>
      <c r="C277" s="13"/>
      <c r="D277" s="73"/>
      <c r="E277" s="73">
        <v>6.58</v>
      </c>
      <c r="F277" s="13" t="s">
        <v>685</v>
      </c>
      <c r="G277" s="13"/>
      <c r="H277" s="13"/>
      <c r="I277" s="13"/>
      <c r="J277" s="13"/>
      <c r="K277" s="13"/>
    </row>
    <row r="278" spans="1:11" ht="20" x14ac:dyDescent="0.4">
      <c r="A278" s="13">
        <v>989800</v>
      </c>
      <c r="B278" s="13" t="s">
        <v>434</v>
      </c>
      <c r="C278" s="13"/>
      <c r="D278" s="73"/>
      <c r="E278" s="73">
        <v>0.88</v>
      </c>
      <c r="F278" s="13" t="s">
        <v>685</v>
      </c>
      <c r="G278" s="13"/>
      <c r="H278" s="13"/>
      <c r="I278" s="13"/>
      <c r="J278" s="13"/>
      <c r="K278" s="13"/>
    </row>
    <row r="279" spans="1:11" ht="20" x14ac:dyDescent="0.4">
      <c r="A279" s="13">
        <v>989810</v>
      </c>
      <c r="B279" s="13" t="s">
        <v>125</v>
      </c>
      <c r="C279" s="13"/>
      <c r="D279" s="73"/>
      <c r="E279" s="73">
        <v>2.44</v>
      </c>
      <c r="F279" s="13" t="s">
        <v>685</v>
      </c>
      <c r="G279" s="13"/>
      <c r="H279" s="13"/>
      <c r="I279" s="13"/>
      <c r="J279" s="13"/>
      <c r="K279" s="13"/>
    </row>
    <row r="280" spans="1:11" ht="20" x14ac:dyDescent="0.4">
      <c r="A280" s="13">
        <v>989813</v>
      </c>
      <c r="B280" s="13" t="s">
        <v>708</v>
      </c>
      <c r="C280" s="13"/>
      <c r="D280" s="73"/>
      <c r="E280" s="73">
        <v>4.78</v>
      </c>
      <c r="F280" s="13" t="s">
        <v>685</v>
      </c>
      <c r="G280" s="13"/>
      <c r="H280" s="13"/>
      <c r="I280" s="13"/>
      <c r="J280" s="13"/>
      <c r="K280" s="13"/>
    </row>
    <row r="281" spans="1:11" ht="20" x14ac:dyDescent="0.4">
      <c r="A281" s="13">
        <v>989830</v>
      </c>
      <c r="B281" s="13" t="s">
        <v>629</v>
      </c>
      <c r="C281" s="13"/>
      <c r="D281" s="73"/>
      <c r="E281" s="73">
        <v>5.68</v>
      </c>
      <c r="F281" s="13" t="s">
        <v>685</v>
      </c>
      <c r="G281" s="13"/>
      <c r="H281" s="13"/>
      <c r="I281" s="13"/>
      <c r="J281" s="13"/>
      <c r="K281" s="13"/>
    </row>
    <row r="282" spans="1:11" ht="20" x14ac:dyDescent="0.4">
      <c r="A282" s="13">
        <v>989086</v>
      </c>
      <c r="B282" s="13" t="s">
        <v>118</v>
      </c>
      <c r="C282" s="13"/>
      <c r="D282" s="73"/>
      <c r="E282" s="73">
        <v>2.08</v>
      </c>
      <c r="F282" s="13" t="s">
        <v>686</v>
      </c>
      <c r="G282" s="13"/>
      <c r="H282" s="13"/>
      <c r="I282" s="13"/>
      <c r="J282" s="13"/>
      <c r="K282" s="13"/>
    </row>
    <row r="283" spans="1:11" ht="20" x14ac:dyDescent="0.4">
      <c r="A283" s="13">
        <v>989210</v>
      </c>
      <c r="B283" s="13" t="s">
        <v>396</v>
      </c>
      <c r="C283" s="13"/>
      <c r="D283" s="73"/>
      <c r="E283" s="73">
        <v>3.49</v>
      </c>
      <c r="F283" s="13" t="s">
        <v>686</v>
      </c>
      <c r="G283" s="13"/>
      <c r="H283" s="13"/>
      <c r="I283" s="13"/>
      <c r="J283" s="13"/>
      <c r="K283" s="13"/>
    </row>
    <row r="284" spans="1:11" ht="20" x14ac:dyDescent="0.4">
      <c r="A284" s="13">
        <v>989211</v>
      </c>
      <c r="B284" s="13" t="s">
        <v>666</v>
      </c>
      <c r="C284" s="13"/>
      <c r="D284" s="73"/>
      <c r="E284" s="73">
        <v>3.49</v>
      </c>
      <c r="F284" s="13" t="s">
        <v>686</v>
      </c>
      <c r="G284" s="13"/>
      <c r="H284" s="13"/>
      <c r="I284" s="13"/>
      <c r="J284" s="13"/>
      <c r="K284" s="13"/>
    </row>
    <row r="285" spans="1:11" ht="20" x14ac:dyDescent="0.4">
      <c r="A285" s="13">
        <v>989212</v>
      </c>
      <c r="B285" s="13" t="s">
        <v>395</v>
      </c>
      <c r="C285" s="13"/>
      <c r="D285" s="73"/>
      <c r="E285" s="73">
        <v>3.49</v>
      </c>
      <c r="F285" s="13" t="s">
        <v>686</v>
      </c>
      <c r="G285" s="13"/>
      <c r="H285" s="13"/>
      <c r="I285" s="13"/>
      <c r="J285" s="13"/>
      <c r="K285" s="13"/>
    </row>
    <row r="286" spans="1:11" ht="20" x14ac:dyDescent="0.4">
      <c r="A286" s="13">
        <v>248459</v>
      </c>
      <c r="B286" s="13" t="s">
        <v>765</v>
      </c>
      <c r="C286" s="13"/>
      <c r="D286" s="73"/>
      <c r="E286" s="73">
        <v>0</v>
      </c>
      <c r="F286" s="13" t="s">
        <v>687</v>
      </c>
      <c r="G286" s="13"/>
      <c r="H286" s="13"/>
      <c r="I286" s="13"/>
      <c r="J286" s="13"/>
      <c r="K286" s="13"/>
    </row>
    <row r="287" spans="1:11" ht="20" x14ac:dyDescent="0.4">
      <c r="A287" s="13">
        <v>264409</v>
      </c>
      <c r="B287" s="13" t="s">
        <v>817</v>
      </c>
      <c r="C287" s="13"/>
      <c r="D287" s="73"/>
      <c r="E287" s="73">
        <v>0</v>
      </c>
      <c r="F287" s="13" t="s">
        <v>687</v>
      </c>
      <c r="G287" s="13"/>
      <c r="H287" s="13"/>
      <c r="I287" s="13"/>
      <c r="J287" s="13"/>
      <c r="K287" s="13"/>
    </row>
    <row r="288" spans="1:11" ht="40" x14ac:dyDescent="0.4">
      <c r="A288" s="13">
        <v>990000</v>
      </c>
      <c r="B288" s="13" t="s">
        <v>591</v>
      </c>
      <c r="C288" s="13" t="s">
        <v>202</v>
      </c>
      <c r="D288" s="73"/>
      <c r="E288" s="73">
        <v>9.99</v>
      </c>
      <c r="F288" s="13" t="s">
        <v>687</v>
      </c>
      <c r="G288" s="13"/>
      <c r="H288" s="13"/>
      <c r="I288" s="13"/>
      <c r="J288" s="13"/>
      <c r="K288" s="13"/>
    </row>
    <row r="289" spans="1:11" ht="20" x14ac:dyDescent="0.4">
      <c r="A289" s="13">
        <v>990003</v>
      </c>
      <c r="B289" s="13" t="s">
        <v>762</v>
      </c>
      <c r="C289" s="115">
        <v>44832</v>
      </c>
      <c r="D289" s="73"/>
      <c r="E289" s="73">
        <v>3.99</v>
      </c>
      <c r="F289" s="13" t="s">
        <v>687</v>
      </c>
      <c r="G289" s="13"/>
      <c r="H289" s="13"/>
      <c r="I289" s="13"/>
      <c r="J289" s="13"/>
      <c r="K289" s="13"/>
    </row>
    <row r="290" spans="1:11" ht="40" x14ac:dyDescent="0.4">
      <c r="A290" s="13">
        <v>990062</v>
      </c>
      <c r="B290" s="13" t="s">
        <v>586</v>
      </c>
      <c r="C290" s="13" t="s">
        <v>202</v>
      </c>
      <c r="D290" s="73"/>
      <c r="E290" s="73">
        <v>7.99</v>
      </c>
      <c r="F290" s="13" t="s">
        <v>687</v>
      </c>
      <c r="G290" s="13"/>
      <c r="H290" s="13"/>
      <c r="I290" s="13"/>
      <c r="J290" s="13"/>
      <c r="K290" s="13"/>
    </row>
    <row r="291" spans="1:11" ht="40" x14ac:dyDescent="0.4">
      <c r="A291" s="13">
        <v>990066</v>
      </c>
      <c r="B291" s="13" t="s">
        <v>780</v>
      </c>
      <c r="C291" s="115">
        <v>44825</v>
      </c>
      <c r="D291" s="73">
        <v>3.99</v>
      </c>
      <c r="E291" s="73">
        <v>2.99</v>
      </c>
      <c r="F291" s="13" t="s">
        <v>687</v>
      </c>
      <c r="G291" s="13"/>
      <c r="H291" s="13" t="s">
        <v>41</v>
      </c>
      <c r="I291" s="13"/>
      <c r="J291" s="13"/>
      <c r="K291" s="13"/>
    </row>
    <row r="292" spans="1:11" ht="20" x14ac:dyDescent="0.4">
      <c r="A292" s="13">
        <v>990083</v>
      </c>
      <c r="B292" s="13" t="s">
        <v>816</v>
      </c>
      <c r="C292" s="115">
        <v>44839</v>
      </c>
      <c r="D292" s="73"/>
      <c r="E292" s="73">
        <v>12.99</v>
      </c>
      <c r="F292" s="13" t="s">
        <v>687</v>
      </c>
      <c r="G292" s="13"/>
      <c r="H292" s="13"/>
      <c r="I292" s="13"/>
      <c r="J292" s="13"/>
      <c r="K292" s="13"/>
    </row>
    <row r="293" spans="1:11" ht="40" x14ac:dyDescent="0.4">
      <c r="A293" s="13">
        <v>990800</v>
      </c>
      <c r="B293" s="13" t="s">
        <v>617</v>
      </c>
      <c r="C293" s="13" t="s">
        <v>202</v>
      </c>
      <c r="D293" s="73"/>
      <c r="E293" s="73">
        <v>8.99</v>
      </c>
      <c r="F293" s="13" t="s">
        <v>687</v>
      </c>
      <c r="G293" s="13"/>
      <c r="H293" s="13"/>
      <c r="I293" s="13"/>
      <c r="J293" s="13"/>
      <c r="K293" s="13"/>
    </row>
    <row r="294" spans="1:11" ht="40" x14ac:dyDescent="0.4">
      <c r="A294" s="13">
        <v>990802</v>
      </c>
      <c r="B294" s="13" t="s">
        <v>427</v>
      </c>
      <c r="C294" s="13" t="s">
        <v>202</v>
      </c>
      <c r="D294" s="73"/>
      <c r="E294" s="73">
        <v>4.99</v>
      </c>
      <c r="F294" s="13" t="s">
        <v>687</v>
      </c>
      <c r="G294" s="13"/>
      <c r="H294" s="13"/>
      <c r="I294" s="13"/>
      <c r="J294" s="13"/>
      <c r="K294" s="13"/>
    </row>
    <row r="295" spans="1:11" ht="40" x14ac:dyDescent="0.4">
      <c r="A295" s="13">
        <v>990804</v>
      </c>
      <c r="B295" s="13" t="s">
        <v>626</v>
      </c>
      <c r="C295" s="13" t="s">
        <v>202</v>
      </c>
      <c r="D295" s="73"/>
      <c r="E295" s="73">
        <v>4.99</v>
      </c>
      <c r="F295" s="13" t="s">
        <v>687</v>
      </c>
      <c r="G295" s="13"/>
      <c r="H295" s="13"/>
      <c r="I295" s="13"/>
      <c r="J295" s="13"/>
      <c r="K295" s="13"/>
    </row>
    <row r="296" spans="1:11" ht="40" x14ac:dyDescent="0.4">
      <c r="A296" s="13">
        <v>990805</v>
      </c>
      <c r="B296" s="13" t="s">
        <v>624</v>
      </c>
      <c r="C296" s="13" t="s">
        <v>202</v>
      </c>
      <c r="D296" s="73"/>
      <c r="E296" s="73">
        <v>5.99</v>
      </c>
      <c r="F296" s="13" t="s">
        <v>687</v>
      </c>
      <c r="G296" s="13"/>
      <c r="H296" s="13"/>
      <c r="I296" s="13"/>
      <c r="J296" s="13"/>
      <c r="K296" s="13"/>
    </row>
    <row r="297" spans="1:11" ht="40" x14ac:dyDescent="0.4">
      <c r="A297" s="13">
        <v>990807</v>
      </c>
      <c r="B297" s="13" t="s">
        <v>625</v>
      </c>
      <c r="C297" s="13" t="s">
        <v>202</v>
      </c>
      <c r="D297" s="73"/>
      <c r="E297" s="73">
        <v>12.99</v>
      </c>
      <c r="F297" s="13" t="s">
        <v>687</v>
      </c>
      <c r="G297" s="13"/>
      <c r="H297" s="13"/>
      <c r="I297" s="13"/>
      <c r="J297" s="13"/>
      <c r="K297" s="13"/>
    </row>
    <row r="298" spans="1:11" ht="40" x14ac:dyDescent="0.4">
      <c r="A298" s="13">
        <v>990808</v>
      </c>
      <c r="B298" s="13" t="s">
        <v>589</v>
      </c>
      <c r="C298" s="13" t="s">
        <v>202</v>
      </c>
      <c r="D298" s="73"/>
      <c r="E298" s="73">
        <v>19.989999999999998</v>
      </c>
      <c r="F298" s="13" t="s">
        <v>687</v>
      </c>
      <c r="G298" s="13"/>
      <c r="H298" s="13"/>
      <c r="I298" s="13"/>
      <c r="J298" s="13"/>
      <c r="K298" s="13"/>
    </row>
    <row r="299" spans="1:11" ht="40" x14ac:dyDescent="0.4">
      <c r="A299" s="13">
        <v>990810</v>
      </c>
      <c r="B299" s="13" t="s">
        <v>423</v>
      </c>
      <c r="C299" s="13" t="s">
        <v>202</v>
      </c>
      <c r="D299" s="73"/>
      <c r="E299" s="73">
        <v>4.99</v>
      </c>
      <c r="F299" s="13" t="s">
        <v>687</v>
      </c>
      <c r="G299" s="13"/>
      <c r="H299" s="13"/>
      <c r="I299" s="13"/>
      <c r="J299" s="13"/>
      <c r="K299" s="13"/>
    </row>
    <row r="300" spans="1:11" ht="40" x14ac:dyDescent="0.4">
      <c r="A300" s="13">
        <v>990820</v>
      </c>
      <c r="B300" s="13" t="s">
        <v>640</v>
      </c>
      <c r="C300" s="13" t="s">
        <v>202</v>
      </c>
      <c r="D300" s="73"/>
      <c r="E300" s="73">
        <v>3.99</v>
      </c>
      <c r="F300" s="13" t="s">
        <v>687</v>
      </c>
      <c r="G300" s="13"/>
      <c r="H300" s="13"/>
      <c r="I300" s="13"/>
      <c r="J300" s="13"/>
      <c r="K300" s="13"/>
    </row>
    <row r="301" spans="1:11" ht="40" x14ac:dyDescent="0.4">
      <c r="A301" s="13">
        <v>990822</v>
      </c>
      <c r="B301" s="13" t="s">
        <v>718</v>
      </c>
      <c r="C301" s="13" t="s">
        <v>202</v>
      </c>
      <c r="D301" s="73"/>
      <c r="E301" s="73">
        <v>7.99</v>
      </c>
      <c r="F301" s="13" t="s">
        <v>687</v>
      </c>
      <c r="G301" s="13"/>
      <c r="H301" s="13"/>
      <c r="I301" s="13"/>
      <c r="J301" s="13"/>
      <c r="K301" s="13"/>
    </row>
    <row r="302" spans="1:11" ht="40" x14ac:dyDescent="0.4">
      <c r="A302" s="13">
        <v>990823</v>
      </c>
      <c r="B302" s="13" t="s">
        <v>664</v>
      </c>
      <c r="C302" s="13" t="s">
        <v>202</v>
      </c>
      <c r="D302" s="73"/>
      <c r="E302" s="73">
        <v>5.99</v>
      </c>
      <c r="F302" s="13" t="s">
        <v>687</v>
      </c>
      <c r="G302" s="13"/>
      <c r="H302" s="13"/>
      <c r="I302" s="13"/>
      <c r="J302" s="13"/>
      <c r="K302" s="13"/>
    </row>
    <row r="303" spans="1:11" ht="40" x14ac:dyDescent="0.4">
      <c r="A303" s="13">
        <v>990824</v>
      </c>
      <c r="B303" s="13" t="s">
        <v>127</v>
      </c>
      <c r="C303" s="13" t="s">
        <v>202</v>
      </c>
      <c r="D303" s="73"/>
      <c r="E303" s="73">
        <v>9.99</v>
      </c>
      <c r="F303" s="13" t="s">
        <v>687</v>
      </c>
      <c r="G303" s="13"/>
      <c r="H303" s="13"/>
      <c r="I303" s="13"/>
      <c r="J303" s="13"/>
      <c r="K303" s="13"/>
    </row>
    <row r="304" spans="1:11" ht="40" x14ac:dyDescent="0.4">
      <c r="A304" s="13">
        <v>990827</v>
      </c>
      <c r="B304" s="13" t="s">
        <v>622</v>
      </c>
      <c r="C304" s="13" t="s">
        <v>202</v>
      </c>
      <c r="D304" s="73"/>
      <c r="E304" s="73">
        <v>6.99</v>
      </c>
      <c r="F304" s="13" t="s">
        <v>687</v>
      </c>
      <c r="G304" s="13"/>
      <c r="H304" s="13"/>
      <c r="I304" s="13"/>
      <c r="J304" s="13"/>
      <c r="K304" s="13"/>
    </row>
    <row r="305" spans="1:11" ht="40" x14ac:dyDescent="0.4">
      <c r="A305" s="13">
        <v>990834</v>
      </c>
      <c r="B305" s="13" t="s">
        <v>776</v>
      </c>
      <c r="C305" s="13" t="s">
        <v>202</v>
      </c>
      <c r="D305" s="73"/>
      <c r="E305" s="73">
        <v>3.99</v>
      </c>
      <c r="F305" s="13" t="s">
        <v>687</v>
      </c>
      <c r="G305" s="13"/>
      <c r="H305" s="13"/>
      <c r="I305" s="13"/>
      <c r="J305" s="13"/>
      <c r="K305" s="13"/>
    </row>
    <row r="306" spans="1:11" ht="40" x14ac:dyDescent="0.4">
      <c r="A306" s="13">
        <v>990840</v>
      </c>
      <c r="B306" s="13" t="s">
        <v>779</v>
      </c>
      <c r="C306" s="13" t="s">
        <v>202</v>
      </c>
      <c r="D306" s="73"/>
      <c r="E306" s="73">
        <v>4.99</v>
      </c>
      <c r="F306" s="13" t="s">
        <v>687</v>
      </c>
      <c r="G306" s="13"/>
      <c r="H306" s="13"/>
      <c r="I306" s="13"/>
      <c r="J306" s="13"/>
      <c r="K306" s="13"/>
    </row>
    <row r="307" spans="1:11" ht="20" x14ac:dyDescent="0.4">
      <c r="A307" s="13">
        <v>991204</v>
      </c>
      <c r="B307" s="13" t="s">
        <v>761</v>
      </c>
      <c r="C307" s="115">
        <v>44864</v>
      </c>
      <c r="D307" s="73"/>
      <c r="E307" s="73">
        <v>4.8899999999999997</v>
      </c>
      <c r="F307" s="13" t="s">
        <v>687</v>
      </c>
      <c r="G307" s="13"/>
      <c r="H307" s="13"/>
      <c r="I307" s="13"/>
      <c r="J307" s="13"/>
      <c r="K307" s="13"/>
    </row>
    <row r="308" spans="1:11" ht="40" x14ac:dyDescent="0.4">
      <c r="A308" s="13">
        <v>991248</v>
      </c>
      <c r="B308" s="13" t="s">
        <v>365</v>
      </c>
      <c r="C308" s="13" t="s">
        <v>202</v>
      </c>
      <c r="D308" s="73"/>
      <c r="E308" s="73">
        <v>9.99</v>
      </c>
      <c r="F308" s="13" t="s">
        <v>687</v>
      </c>
      <c r="G308" s="13"/>
      <c r="H308" s="13"/>
      <c r="I308" s="13"/>
      <c r="J308" s="13"/>
      <c r="K308" s="13"/>
    </row>
    <row r="309" spans="1:11" ht="20" x14ac:dyDescent="0.4">
      <c r="A309" s="13">
        <v>992951</v>
      </c>
      <c r="B309" s="13" t="s">
        <v>815</v>
      </c>
      <c r="C309" s="115">
        <v>44839</v>
      </c>
      <c r="D309" s="73"/>
      <c r="E309" s="73">
        <v>3.99</v>
      </c>
      <c r="F309" s="13" t="s">
        <v>687</v>
      </c>
      <c r="G309" s="13"/>
      <c r="H309" s="13"/>
      <c r="I309" s="13"/>
      <c r="J309" s="13"/>
      <c r="K309" s="13"/>
    </row>
    <row r="310" spans="1:11" ht="20" x14ac:dyDescent="0.4">
      <c r="A310" s="13">
        <v>992956</v>
      </c>
      <c r="B310" s="13" t="s">
        <v>814</v>
      </c>
      <c r="C310" s="115">
        <v>44839</v>
      </c>
      <c r="D310" s="73"/>
      <c r="E310" s="73">
        <v>8.99</v>
      </c>
      <c r="F310" s="13" t="s">
        <v>687</v>
      </c>
      <c r="G310" s="13"/>
      <c r="H310" s="13"/>
      <c r="I310" s="13"/>
      <c r="J310" s="13"/>
      <c r="K310" s="13"/>
    </row>
    <row r="311" spans="1:11" ht="20" x14ac:dyDescent="0.4">
      <c r="A311" s="13">
        <v>992961</v>
      </c>
      <c r="B311" s="13" t="s">
        <v>764</v>
      </c>
      <c r="C311" s="115">
        <v>44825</v>
      </c>
      <c r="D311" s="73"/>
      <c r="E311" s="73">
        <v>6.99</v>
      </c>
      <c r="F311" s="13" t="s">
        <v>687</v>
      </c>
      <c r="G311" s="13"/>
      <c r="H311" s="13"/>
      <c r="I311" s="13"/>
      <c r="J311" s="13"/>
      <c r="K311" s="13"/>
    </row>
    <row r="312" spans="1:11" ht="20" x14ac:dyDescent="0.4">
      <c r="A312" s="13">
        <v>992973</v>
      </c>
      <c r="B312" s="13" t="s">
        <v>790</v>
      </c>
      <c r="C312" s="115">
        <v>44828</v>
      </c>
      <c r="D312" s="73"/>
      <c r="E312" s="73">
        <v>5.99</v>
      </c>
      <c r="F312" s="13" t="s">
        <v>687</v>
      </c>
      <c r="G312" s="13"/>
      <c r="H312" s="13"/>
      <c r="I312" s="13"/>
      <c r="J312" s="13"/>
      <c r="K312" s="13"/>
    </row>
    <row r="313" spans="1:11" ht="20" x14ac:dyDescent="0.4">
      <c r="A313" s="13">
        <v>992978</v>
      </c>
      <c r="B313" s="13" t="s">
        <v>763</v>
      </c>
      <c r="C313" s="115">
        <v>44825</v>
      </c>
      <c r="D313" s="73"/>
      <c r="E313" s="73">
        <v>6.99</v>
      </c>
      <c r="F313" s="13" t="s">
        <v>687</v>
      </c>
      <c r="G313" s="13"/>
      <c r="H313" s="13"/>
      <c r="I313" s="13"/>
      <c r="J313" s="13"/>
      <c r="K313" s="13"/>
    </row>
    <row r="314" spans="1:11" ht="20" x14ac:dyDescent="0.4">
      <c r="A314" s="13">
        <v>992987</v>
      </c>
      <c r="B314" s="13" t="s">
        <v>724</v>
      </c>
      <c r="C314" s="115">
        <v>44821</v>
      </c>
      <c r="D314" s="73"/>
      <c r="E314" s="73">
        <v>12.99</v>
      </c>
      <c r="F314" s="13" t="s">
        <v>687</v>
      </c>
      <c r="G314" s="13"/>
      <c r="H314" s="13"/>
      <c r="I314" s="13"/>
      <c r="J314" s="13"/>
      <c r="K314" s="13"/>
    </row>
    <row r="315" spans="1:11" ht="20" x14ac:dyDescent="0.4">
      <c r="A315" s="13">
        <v>992992</v>
      </c>
      <c r="B315" s="13" t="s">
        <v>801</v>
      </c>
      <c r="C315" s="115">
        <v>44925</v>
      </c>
      <c r="D315" s="73"/>
      <c r="E315" s="73">
        <v>6.99</v>
      </c>
      <c r="F315" s="13" t="s">
        <v>687</v>
      </c>
      <c r="G315" s="13"/>
      <c r="H315" s="13"/>
      <c r="I315" s="13"/>
      <c r="J315" s="13"/>
      <c r="K315" s="13"/>
    </row>
    <row r="316" spans="1:11" ht="20" x14ac:dyDescent="0.4">
      <c r="A316" s="13">
        <v>992994</v>
      </c>
      <c r="B316" s="13" t="s">
        <v>802</v>
      </c>
      <c r="C316" s="115">
        <v>44832</v>
      </c>
      <c r="D316" s="73"/>
      <c r="E316" s="73">
        <v>5.99</v>
      </c>
      <c r="F316" s="13" t="s">
        <v>687</v>
      </c>
      <c r="G316" s="13"/>
      <c r="H316" s="13"/>
      <c r="I316" s="13"/>
      <c r="J316" s="13"/>
      <c r="K316" s="13"/>
    </row>
    <row r="317" spans="1:11" ht="40" x14ac:dyDescent="0.4">
      <c r="A317" s="13">
        <v>993001</v>
      </c>
      <c r="B317" s="13" t="s">
        <v>734</v>
      </c>
      <c r="C317" s="13" t="s">
        <v>202</v>
      </c>
      <c r="D317" s="73"/>
      <c r="E317" s="73">
        <v>2.99</v>
      </c>
      <c r="F317" s="13" t="s">
        <v>687</v>
      </c>
      <c r="G317" s="13"/>
      <c r="H317" s="13"/>
      <c r="I317" s="13"/>
      <c r="J317" s="13"/>
      <c r="K317" s="13"/>
    </row>
    <row r="318" spans="1:11" ht="40" x14ac:dyDescent="0.4">
      <c r="A318" s="13">
        <v>993015</v>
      </c>
      <c r="B318" s="13" t="s">
        <v>449</v>
      </c>
      <c r="C318" s="13" t="s">
        <v>202</v>
      </c>
      <c r="D318" s="73"/>
      <c r="E318" s="73">
        <v>5.99</v>
      </c>
      <c r="F318" s="13" t="s">
        <v>687</v>
      </c>
      <c r="G318" s="13"/>
      <c r="H318" s="13"/>
      <c r="I318" s="13"/>
      <c r="J318" s="13"/>
      <c r="K318" s="13"/>
    </row>
    <row r="319" spans="1:11" ht="40" x14ac:dyDescent="0.4">
      <c r="A319" s="13">
        <v>993031</v>
      </c>
      <c r="B319" s="13" t="s">
        <v>778</v>
      </c>
      <c r="C319" s="115">
        <v>44835</v>
      </c>
      <c r="D319" s="73">
        <v>7.99</v>
      </c>
      <c r="E319" s="73">
        <v>3.99</v>
      </c>
      <c r="F319" s="13" t="s">
        <v>687</v>
      </c>
      <c r="G319" s="13"/>
      <c r="H319" s="13" t="s">
        <v>41</v>
      </c>
      <c r="I319" s="13"/>
      <c r="J319" s="13"/>
      <c r="K319" s="13"/>
    </row>
    <row r="320" spans="1:11" ht="20" x14ac:dyDescent="0.4">
      <c r="A320" s="13">
        <v>994150</v>
      </c>
      <c r="B320" s="13" t="s">
        <v>792</v>
      </c>
      <c r="C320" s="115">
        <v>44925</v>
      </c>
      <c r="D320" s="73"/>
      <c r="E320" s="73">
        <v>3.99</v>
      </c>
      <c r="F320" s="13" t="s">
        <v>687</v>
      </c>
      <c r="G320" s="13"/>
      <c r="H320" s="13"/>
      <c r="I320" s="13"/>
      <c r="J320" s="13"/>
      <c r="K320" s="13"/>
    </row>
    <row r="321" spans="1:11" ht="20" x14ac:dyDescent="0.4">
      <c r="A321" s="13">
        <v>994153</v>
      </c>
      <c r="B321" s="13" t="s">
        <v>793</v>
      </c>
      <c r="C321" s="115">
        <v>44925</v>
      </c>
      <c r="D321" s="73"/>
      <c r="E321" s="73">
        <v>3.99</v>
      </c>
      <c r="F321" s="13" t="s">
        <v>687</v>
      </c>
      <c r="G321" s="13"/>
      <c r="H321" s="13"/>
      <c r="I321" s="13"/>
      <c r="J321" s="13"/>
      <c r="K321" s="13"/>
    </row>
    <row r="322" spans="1:11" ht="20" x14ac:dyDescent="0.4">
      <c r="A322" s="13">
        <v>994154</v>
      </c>
      <c r="B322" s="13" t="s">
        <v>794</v>
      </c>
      <c r="C322" s="115">
        <v>44925</v>
      </c>
      <c r="D322" s="73"/>
      <c r="E322" s="73">
        <v>0.99</v>
      </c>
      <c r="F322" s="13" t="s">
        <v>687</v>
      </c>
      <c r="G322" s="13"/>
      <c r="H322" s="13"/>
      <c r="I322" s="13"/>
      <c r="J322" s="13"/>
      <c r="K322" s="13"/>
    </row>
    <row r="323" spans="1:11" ht="20" x14ac:dyDescent="0.4">
      <c r="A323" s="13">
        <v>994155</v>
      </c>
      <c r="B323" s="13" t="s">
        <v>796</v>
      </c>
      <c r="C323" s="115">
        <v>44925</v>
      </c>
      <c r="D323" s="73"/>
      <c r="E323" s="73">
        <v>9.99</v>
      </c>
      <c r="F323" s="13" t="s">
        <v>687</v>
      </c>
      <c r="G323" s="13"/>
      <c r="H323" s="13"/>
      <c r="I323" s="13"/>
      <c r="J323" s="13"/>
      <c r="K323" s="13"/>
    </row>
    <row r="324" spans="1:11" ht="20" x14ac:dyDescent="0.4">
      <c r="A324" s="13">
        <v>994156</v>
      </c>
      <c r="B324" s="13" t="s">
        <v>795</v>
      </c>
      <c r="C324" s="115">
        <v>44925</v>
      </c>
      <c r="D324" s="73"/>
      <c r="E324" s="73">
        <v>3.99</v>
      </c>
      <c r="F324" s="13" t="s">
        <v>687</v>
      </c>
      <c r="G324" s="13"/>
      <c r="H324" s="13"/>
      <c r="I324" s="13"/>
      <c r="J324" s="13"/>
      <c r="K324" s="13"/>
    </row>
    <row r="325" spans="1:11" ht="40" x14ac:dyDescent="0.4">
      <c r="A325" s="13">
        <v>994159</v>
      </c>
      <c r="B325" s="13" t="s">
        <v>380</v>
      </c>
      <c r="C325" s="13" t="s">
        <v>202</v>
      </c>
      <c r="D325" s="73"/>
      <c r="E325" s="73">
        <v>7.99</v>
      </c>
      <c r="F325" s="13" t="s">
        <v>687</v>
      </c>
      <c r="G325" s="13"/>
      <c r="H325" s="13"/>
      <c r="I325" s="13"/>
      <c r="J325" s="13"/>
      <c r="K325" s="13"/>
    </row>
    <row r="326" spans="1:11" ht="20" x14ac:dyDescent="0.4">
      <c r="A326" s="13">
        <v>994161</v>
      </c>
      <c r="B326" s="13" t="s">
        <v>798</v>
      </c>
      <c r="C326" s="115">
        <v>44925</v>
      </c>
      <c r="D326" s="73"/>
      <c r="E326" s="73">
        <v>0.99</v>
      </c>
      <c r="F326" s="13" t="s">
        <v>687</v>
      </c>
      <c r="G326" s="13"/>
      <c r="H326" s="13"/>
      <c r="I326" s="13"/>
      <c r="J326" s="13"/>
      <c r="K326" s="13"/>
    </row>
    <row r="327" spans="1:11" ht="20" x14ac:dyDescent="0.4">
      <c r="A327" s="13">
        <v>994163</v>
      </c>
      <c r="B327" s="13" t="s">
        <v>797</v>
      </c>
      <c r="C327" s="115">
        <v>44925</v>
      </c>
      <c r="D327" s="73"/>
      <c r="E327" s="73">
        <v>0.99</v>
      </c>
      <c r="F327" s="13" t="s">
        <v>687</v>
      </c>
      <c r="G327" s="13"/>
      <c r="H327" s="13"/>
      <c r="I327" s="13"/>
      <c r="J327" s="13"/>
      <c r="K327" s="13"/>
    </row>
  </sheetData>
  <mergeCells count="5">
    <mergeCell ref="J1:K1"/>
    <mergeCell ref="A2:A3"/>
    <mergeCell ref="B2:B3"/>
    <mergeCell ref="C2:C3"/>
    <mergeCell ref="D2:E2"/>
  </mergeCells>
  <conditionalFormatting sqref="A3 D3:E3 G3:J3">
    <cfRule type="expression" dxfId="7" priority="7" stopIfTrue="1">
      <formula>AND(OR(NOT(ISERROR(FIND("YB",#REF!))),NOT(ISERROR(FIND("YNB",#REF!)))),AND(ISERROR(FIND("SB",#REF!)),ISERROR(FIND("SNB",#REF!))))</formula>
    </cfRule>
    <cfRule type="expression" dxfId="6" priority="8" stopIfTrue="1">
      <formula>NOT(ISERROR(FIND("B",#REF!)))</formula>
    </cfRule>
  </conditionalFormatting>
  <conditionalFormatting sqref="K4">
    <cfRule type="expression" dxfId="5" priority="1" stopIfTrue="1">
      <formula>AND(OR(NOT(ISERROR(FIND("YB",#REF!))),NOT(ISERROR(FIND("YNB",#REF!)))),AND(ISERROR(FIND("SB",#REF!)),ISERROR(FIND("SNB",#REF!))))</formula>
    </cfRule>
    <cfRule type="expression" dxfId="4" priority="2" stopIfTrue="1">
      <formula>NOT(ISERROR(FIND("B",#REF!)))</formula>
    </cfRule>
  </conditionalFormatting>
  <conditionalFormatting sqref="F3">
    <cfRule type="expression" dxfId="3" priority="5" stopIfTrue="1">
      <formula>AND(OR(NOT(ISERROR(FIND("YB",#REF!))),NOT(ISERROR(FIND("YNB",#REF!)))),AND(ISERROR(FIND("SB",#REF!)),ISERROR(FIND("SNB",#REF!))))</formula>
    </cfRule>
    <cfRule type="expression" dxfId="2" priority="6" stopIfTrue="1">
      <formula>NOT(ISERROR(FIND("B",#REF!)))</formula>
    </cfRule>
  </conditionalFormatting>
  <conditionalFormatting sqref="A4:J4">
    <cfRule type="expression" dxfId="1" priority="3" stopIfTrue="1">
      <formula>AND(OR(NOT(ISERROR(FIND("YB",#REF!))),NOT(ISERROR(FIND("YNB",#REF!)))),AND(ISERROR(FIND("SB",#REF!)),ISERROR(FIND("SNB",#REF!))))</formula>
    </cfRule>
    <cfRule type="expression" dxfId="0" priority="4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7B4C53EBC8644B8EA25A3552875B03" ma:contentTypeVersion="10" ma:contentTypeDescription="Create a new document." ma:contentTypeScope="" ma:versionID="6d8b9f5df18bf69db3b380e1dd945392">
  <xsd:schema xmlns:xsd="http://www.w3.org/2001/XMLSchema" xmlns:xs="http://www.w3.org/2001/XMLSchema" xmlns:p="http://schemas.microsoft.com/office/2006/metadata/properties" xmlns:ns3="a5a65c29-a302-40b0-8d34-a9e06e518c34" targetNamespace="http://schemas.microsoft.com/office/2006/metadata/properties" ma:root="true" ma:fieldsID="d5adae628d36a54e2c6b76d46897a114" ns3:_="">
    <xsd:import namespace="a5a65c29-a302-40b0-8d34-a9e06e518c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a65c29-a302-40b0-8d34-a9e06e518c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C00ABD-58E8-4643-8DA9-0602018C3BD0}">
  <ds:schemaRefs>
    <ds:schemaRef ds:uri="a5a65c29-a302-40b0-8d34-a9e06e518c34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191CA62-C9EC-4D91-9080-3614F87CF9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a65c29-a302-40b0-8d34-a9e06e518c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55A3FD-53CA-4D5B-8E2E-34A609E921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Admin</vt:lpstr>
      <vt:lpstr>Store Specific Prices</vt:lpstr>
      <vt:lpstr>US</vt:lpstr>
      <vt:lpstr>Dashboard</vt:lpstr>
      <vt:lpstr>S.O. ALL</vt:lpstr>
      <vt:lpstr>P01 PYE</vt:lpstr>
      <vt:lpstr>P02 PYE</vt:lpstr>
      <vt:lpstr>P03 PYE</vt:lpstr>
      <vt:lpstr>P04 PYE</vt:lpstr>
      <vt:lpstr>P08 PYE</vt:lpstr>
      <vt:lpstr>SS - PYE</vt:lpstr>
      <vt:lpstr>P02 FRG</vt:lpstr>
      <vt:lpstr>P04 FRG</vt:lpstr>
      <vt:lpstr>P05 FRG</vt:lpstr>
      <vt:lpstr>EXPRESS</vt:lpstr>
      <vt:lpstr>SS - FRG</vt:lpstr>
      <vt:lpstr>P05 GRM</vt:lpstr>
      <vt:lpstr>P06 GRM</vt:lpstr>
      <vt:lpstr>P07 GRM</vt:lpstr>
      <vt:lpstr>SS - GRM</vt:lpstr>
      <vt:lpstr>Return</vt:lpstr>
      <vt:lpstr>P08 FRG</vt:lpstr>
      <vt:lpstr>'Store Specific Prices'!Print_Area</vt:lpstr>
      <vt:lpstr>US!Print_Area</vt:lpstr>
      <vt:lpstr>'SS - FRG'!Print_Titles</vt:lpstr>
      <vt:lpstr>'SS - GRM'!Print_Titles</vt:lpstr>
      <vt:lpstr>'SS - PYE'!Print_Titles</vt:lpstr>
      <vt:lpstr>US!Print_Titles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Tammy</dc:creator>
  <cp:lastModifiedBy>Tushar Thomas</cp:lastModifiedBy>
  <cp:lastPrinted>2022-08-26T15:12:37Z</cp:lastPrinted>
  <dcterms:created xsi:type="dcterms:W3CDTF">2020-12-08T13:03:08Z</dcterms:created>
  <dcterms:modified xsi:type="dcterms:W3CDTF">2022-09-18T21:30:07Z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0x0101006F7B4C53EBC8644B8EA25A3552875B03</vt:lpwstr>
  </property>
</Properties>
</file>