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K:\Purchasing\Purchasing\2.0 Category\10 11 12 Fruit, Veg, Plants &amp; Flowers\Category 10, 11\10, 11 Fresh Memo\Fresh Memo Changes\Buyer Sheets\"/>
    </mc:Choice>
  </mc:AlternateContent>
  <xr:revisionPtr revIDLastSave="0" documentId="13_ncr:1_{D38261C1-56CC-45C3-A908-1BA616C2AA75}" xr6:coauthVersionLast="47" xr6:coauthVersionMax="47" xr10:uidLastSave="{00000000-0000-0000-0000-000000000000}"/>
  <bookViews>
    <workbookView xWindow="16860" yWindow="-16320" windowWidth="29040" windowHeight="15840" firstSheet="2" activeTab="2" xr2:uid="{45DE53C9-84F7-4201-AC3C-9AF98A1BDB5C}"/>
  </bookViews>
  <sheets>
    <sheet name="Dropdowns" sheetId="3" state="hidden" r:id="rId1"/>
    <sheet name="Validations" sheetId="4" state="hidden" r:id="rId2"/>
    <sheet name="FM Changes" sheetId="1" r:id="rId3"/>
    <sheet name="VLOOKUPS" sheetId="2" r:id="rId4"/>
  </sheets>
  <definedNames>
    <definedName name="_xlnm._FilterDatabase" localSheetId="2" hidden="1">'FM Changes'!$A$2:$AA$5021</definedName>
    <definedName name="_xlnm._FilterDatabase" localSheetId="3" hidden="1">VLOOKUPS!$A$1:$B$729</definedName>
    <definedName name="ExternalData_1" localSheetId="3" hidden="1">VLOOKUPS!$A$1:$B$3453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5384" i="1" l="1"/>
  <c r="B5384" i="1"/>
  <c r="I5383" i="1"/>
  <c r="B5383" i="1"/>
  <c r="I5382" i="1"/>
  <c r="B5382" i="1"/>
  <c r="I5381" i="1"/>
  <c r="B5381" i="1"/>
  <c r="I5380" i="1" l="1"/>
  <c r="B5380" i="1"/>
  <c r="I5379" i="1"/>
  <c r="B5379" i="1"/>
  <c r="I5378" i="1"/>
  <c r="B5378" i="1"/>
  <c r="I5377" i="1"/>
  <c r="B5377" i="1"/>
  <c r="I5376" i="1"/>
  <c r="B5376" i="1"/>
  <c r="I5375" i="1"/>
  <c r="B5375" i="1"/>
  <c r="I5374" i="1"/>
  <c r="B5374" i="1"/>
  <c r="I5373" i="1"/>
  <c r="B5373" i="1"/>
  <c r="I5372" i="1"/>
  <c r="B5372" i="1"/>
  <c r="I5371" i="1"/>
  <c r="B5371" i="1"/>
  <c r="I5370" i="1" l="1"/>
  <c r="B5370" i="1"/>
  <c r="I5369" i="1"/>
  <c r="B5369" i="1"/>
  <c r="I5368" i="1"/>
  <c r="B5368" i="1"/>
  <c r="I5367" i="1"/>
  <c r="B5367" i="1"/>
  <c r="I5366" i="1"/>
  <c r="B5366" i="1"/>
  <c r="I5365" i="1" l="1"/>
  <c r="B5365" i="1"/>
  <c r="I5364" i="1"/>
  <c r="B5364" i="1"/>
  <c r="I5363" i="1"/>
  <c r="B5363" i="1"/>
  <c r="I5362" i="1"/>
  <c r="B5362" i="1"/>
  <c r="I5361" i="1"/>
  <c r="B5361" i="1"/>
  <c r="I5360" i="1"/>
  <c r="B5360" i="1"/>
  <c r="I5359" i="1"/>
  <c r="I5358" i="1"/>
  <c r="I5357" i="1"/>
  <c r="B5359" i="1"/>
  <c r="B5358" i="1"/>
  <c r="B5357" i="1"/>
  <c r="I5356" i="1"/>
  <c r="B5356" i="1"/>
  <c r="I5355" i="1"/>
  <c r="B5355" i="1"/>
  <c r="I5354" i="1"/>
  <c r="B5354" i="1"/>
  <c r="I5353" i="1"/>
  <c r="B5353" i="1"/>
  <c r="I5352" i="1"/>
  <c r="B5352" i="1"/>
  <c r="I5351" i="1"/>
  <c r="B5351" i="1"/>
  <c r="I5350" i="1"/>
  <c r="B5350" i="1"/>
  <c r="I5349" i="1"/>
  <c r="B5349" i="1"/>
  <c r="I5348" i="1"/>
  <c r="B5348" i="1"/>
  <c r="I5347" i="1"/>
  <c r="B5347" i="1"/>
  <c r="I5346" i="1"/>
  <c r="B5346" i="1"/>
  <c r="I5345" i="1"/>
  <c r="B5345" i="1"/>
  <c r="I5344" i="1"/>
  <c r="B5344" i="1"/>
  <c r="I5343" i="1"/>
  <c r="B5343" i="1"/>
  <c r="I5342" i="1"/>
  <c r="B5342" i="1"/>
  <c r="I5341" i="1"/>
  <c r="B5341" i="1"/>
  <c r="I5340" i="1"/>
  <c r="B5340" i="1"/>
  <c r="I5339" i="1"/>
  <c r="B5339" i="1"/>
  <c r="I5338" i="1"/>
  <c r="B5338" i="1"/>
  <c r="I5337" i="1"/>
  <c r="B5337" i="1"/>
  <c r="I5336" i="1"/>
  <c r="B5336" i="1"/>
  <c r="I5335" i="1"/>
  <c r="B5335" i="1"/>
  <c r="I5334" i="1"/>
  <c r="B5334" i="1"/>
  <c r="I5333" i="1"/>
  <c r="B5333" i="1"/>
  <c r="I5332" i="1"/>
  <c r="B5332" i="1"/>
  <c r="I5331" i="1"/>
  <c r="B5331" i="1"/>
  <c r="I5330" i="1"/>
  <c r="B5330" i="1"/>
  <c r="I5329" i="1"/>
  <c r="B5329" i="1"/>
  <c r="I5328" i="1"/>
  <c r="B5328" i="1" l="1"/>
  <c r="I5327" i="1"/>
  <c r="B5327" i="1"/>
  <c r="I5326" i="1"/>
  <c r="B5326" i="1"/>
  <c r="I5325" i="1"/>
  <c r="B5325" i="1"/>
  <c r="I5324" i="1"/>
  <c r="B5324" i="1"/>
  <c r="I5323" i="1"/>
  <c r="B5323" i="1"/>
  <c r="I5322" i="1"/>
  <c r="B5322" i="1"/>
  <c r="I5321" i="1"/>
  <c r="B5321" i="1"/>
  <c r="I5320" i="1"/>
  <c r="B5320" i="1"/>
  <c r="I5319" i="1"/>
  <c r="B5319" i="1"/>
  <c r="I5318" i="1"/>
  <c r="B5318" i="1"/>
  <c r="I5317" i="1"/>
  <c r="B5317" i="1"/>
  <c r="I5316" i="1"/>
  <c r="B5316" i="1"/>
  <c r="I5315" i="1" l="1"/>
  <c r="B5315" i="1"/>
  <c r="I5314" i="1"/>
  <c r="B5314" i="1"/>
  <c r="I5313" i="1" l="1"/>
  <c r="B5313" i="1"/>
  <c r="I5312" i="1"/>
  <c r="B5312" i="1"/>
  <c r="I5311" i="1"/>
  <c r="I5310" i="1"/>
  <c r="B5310" i="1"/>
  <c r="B5311" i="1"/>
  <c r="I5309" i="1"/>
  <c r="B5309" i="1"/>
  <c r="I5308" i="1"/>
  <c r="B5308" i="1"/>
  <c r="I5307" i="1"/>
  <c r="B5307" i="1"/>
  <c r="I5306" i="1"/>
  <c r="B5306" i="1"/>
  <c r="I5305" i="1"/>
  <c r="B5305" i="1"/>
  <c r="I5303" i="1"/>
  <c r="B5303" i="1"/>
  <c r="I5304" i="1"/>
  <c r="B5304" i="1"/>
  <c r="I5302" i="1"/>
  <c r="B5302" i="1"/>
  <c r="I5301" i="1"/>
  <c r="B5301" i="1"/>
  <c r="I5300" i="1"/>
  <c r="B5300" i="1"/>
  <c r="I5299" i="1"/>
  <c r="B5299" i="1"/>
  <c r="I5298" i="1"/>
  <c r="B5298" i="1"/>
  <c r="I5297" i="1"/>
  <c r="B5297" i="1"/>
  <c r="I5296" i="1"/>
  <c r="B5296" i="1"/>
  <c r="I5295" i="1"/>
  <c r="B5295" i="1"/>
  <c r="I5294" i="1"/>
  <c r="B5294" i="1"/>
  <c r="I5293" i="1"/>
  <c r="B5293" i="1"/>
  <c r="I5292" i="1"/>
  <c r="B5292" i="1"/>
  <c r="I5291" i="1"/>
  <c r="B5291" i="1"/>
  <c r="I5290" i="1"/>
  <c r="B5290" i="1"/>
  <c r="I5289" i="1"/>
  <c r="B5289" i="1"/>
  <c r="I5288" i="1"/>
  <c r="B5288" i="1"/>
  <c r="I5287" i="1"/>
  <c r="B5287" i="1"/>
  <c r="I5286" i="1"/>
  <c r="B5286" i="1"/>
  <c r="I5285" i="1"/>
  <c r="B5285" i="1"/>
  <c r="I5284" i="1"/>
  <c r="B5284" i="1"/>
  <c r="I5283" i="1"/>
  <c r="B5283" i="1"/>
  <c r="I5282" i="1"/>
  <c r="B5282" i="1"/>
  <c r="I5281" i="1"/>
  <c r="B5281" i="1"/>
  <c r="I5280" i="1"/>
  <c r="B5280" i="1"/>
  <c r="I5279" i="1"/>
  <c r="B5279" i="1"/>
  <c r="I5278" i="1"/>
  <c r="B5278" i="1"/>
  <c r="I5277" i="1"/>
  <c r="B5277" i="1"/>
  <c r="I5276" i="1"/>
  <c r="B5276" i="1"/>
  <c r="I5275" i="1"/>
  <c r="B5275" i="1"/>
  <c r="I5274" i="1"/>
  <c r="B5274" i="1"/>
  <c r="I5273" i="1"/>
  <c r="B5273" i="1"/>
  <c r="I5272" i="1"/>
  <c r="B5272" i="1"/>
  <c r="I5271" i="1"/>
  <c r="B5271" i="1"/>
  <c r="I5270" i="1"/>
  <c r="B5270" i="1"/>
  <c r="I5269" i="1"/>
  <c r="B5269" i="1"/>
  <c r="I5268" i="1"/>
  <c r="B5268" i="1"/>
  <c r="I5267" i="1"/>
  <c r="B5267" i="1"/>
  <c r="I5266" i="1"/>
  <c r="B5266" i="1"/>
  <c r="I5265" i="1"/>
  <c r="B5265" i="1"/>
  <c r="I5264" i="1"/>
  <c r="B5264" i="1"/>
  <c r="I5263" i="1"/>
  <c r="B5263" i="1"/>
  <c r="I5262" i="1"/>
  <c r="B5262" i="1"/>
  <c r="I5261" i="1"/>
  <c r="B5261" i="1"/>
  <c r="I5260" i="1"/>
  <c r="B5260" i="1"/>
  <c r="I5259" i="1"/>
  <c r="B5259" i="1"/>
  <c r="I5258" i="1"/>
  <c r="B5258" i="1"/>
  <c r="I5257" i="1"/>
  <c r="B5257" i="1"/>
  <c r="I5256" i="1"/>
  <c r="B5256" i="1"/>
  <c r="I5255" i="1"/>
  <c r="B5255" i="1"/>
  <c r="I5254" i="1"/>
  <c r="B5254" i="1"/>
  <c r="I5253" i="1"/>
  <c r="B5253" i="1"/>
  <c r="I5252" i="1"/>
  <c r="B5252" i="1"/>
  <c r="I5251" i="1"/>
  <c r="B5251" i="1"/>
  <c r="I5250" i="1"/>
  <c r="B5250" i="1"/>
  <c r="I5249" i="1"/>
  <c r="B5249" i="1"/>
  <c r="I5248" i="1"/>
  <c r="B5248" i="1"/>
  <c r="I5247" i="1"/>
  <c r="B5247" i="1"/>
  <c r="I5246" i="1"/>
  <c r="B5246" i="1"/>
  <c r="I5245" i="1"/>
  <c r="B5245" i="1"/>
  <c r="I5244" i="1"/>
  <c r="B5244" i="1"/>
  <c r="I5243" i="1"/>
  <c r="B5243" i="1"/>
  <c r="I5242" i="1"/>
  <c r="B5242" i="1"/>
  <c r="I5241" i="1"/>
  <c r="B5241" i="1"/>
  <c r="I5240" i="1"/>
  <c r="B5240" i="1"/>
  <c r="I5239" i="1"/>
  <c r="B5239" i="1"/>
  <c r="I5238" i="1"/>
  <c r="B5238" i="1"/>
  <c r="I5237" i="1"/>
  <c r="B5237" i="1"/>
  <c r="I5236" i="1"/>
  <c r="B5236" i="1"/>
  <c r="I5235" i="1"/>
  <c r="B5235" i="1"/>
  <c r="I5234" i="1"/>
  <c r="B5234" i="1"/>
  <c r="I5233" i="1"/>
  <c r="B5233" i="1"/>
  <c r="I5232" i="1"/>
  <c r="B5232" i="1"/>
  <c r="I5231" i="1"/>
  <c r="B5231" i="1"/>
  <c r="I5230" i="1"/>
  <c r="B5230" i="1"/>
  <c r="I5229" i="1"/>
  <c r="B5229" i="1"/>
  <c r="I5228" i="1"/>
  <c r="B5228" i="1"/>
  <c r="I5227" i="1"/>
  <c r="B5227" i="1"/>
  <c r="I5226" i="1"/>
  <c r="B5226" i="1"/>
  <c r="I5225" i="1"/>
  <c r="B5225" i="1"/>
  <c r="I5224" i="1"/>
  <c r="B5224" i="1"/>
  <c r="I5223" i="1"/>
  <c r="B5223" i="1"/>
  <c r="I5222" i="1"/>
  <c r="B5222" i="1"/>
  <c r="I5221" i="1"/>
  <c r="B5221" i="1"/>
  <c r="I5220" i="1"/>
  <c r="B5220" i="1"/>
  <c r="I5219" i="1"/>
  <c r="B5219" i="1"/>
  <c r="I5218" i="1"/>
  <c r="B5218" i="1"/>
  <c r="I5217" i="1"/>
  <c r="B5217" i="1"/>
  <c r="I5216" i="1"/>
  <c r="B5216" i="1"/>
  <c r="I5215" i="1"/>
  <c r="B5215" i="1"/>
  <c r="I5214" i="1"/>
  <c r="B5213" i="1"/>
  <c r="B5214" i="1"/>
  <c r="I5213" i="1"/>
  <c r="I5212" i="1"/>
  <c r="B5212" i="1"/>
  <c r="I5211" i="1"/>
  <c r="B5211" i="1"/>
  <c r="I5210" i="1"/>
  <c r="B5210" i="1"/>
  <c r="I5209" i="1"/>
  <c r="B5209" i="1"/>
  <c r="I5208" i="1"/>
  <c r="B5208" i="1"/>
  <c r="I5207" i="1"/>
  <c r="B5207" i="1"/>
  <c r="I5206" i="1"/>
  <c r="B5206" i="1"/>
  <c r="I5205" i="1"/>
  <c r="B5205" i="1"/>
  <c r="I5204" i="1"/>
  <c r="B5204" i="1"/>
  <c r="I5203" i="1"/>
  <c r="B5203" i="1"/>
  <c r="I5202" i="1"/>
  <c r="B5202" i="1"/>
  <c r="I5201" i="1"/>
  <c r="B5201" i="1"/>
  <c r="I5200" i="1"/>
  <c r="B5200" i="1"/>
  <c r="I5199" i="1"/>
  <c r="B5199" i="1"/>
  <c r="I5198" i="1"/>
  <c r="B5198" i="1"/>
  <c r="I5197" i="1"/>
  <c r="B5197" i="1"/>
  <c r="I5196" i="1"/>
  <c r="B5196" i="1"/>
  <c r="I5195" i="1"/>
  <c r="B5195" i="1"/>
  <c r="I5194" i="1"/>
  <c r="B5194" i="1"/>
  <c r="I5193" i="1"/>
  <c r="B5193" i="1"/>
  <c r="I5192" i="1"/>
  <c r="B5192" i="1"/>
  <c r="I5191" i="1"/>
  <c r="B5191" i="1"/>
  <c r="I5190" i="1"/>
  <c r="B5190" i="1"/>
  <c r="I5189" i="1"/>
  <c r="B5189" i="1"/>
  <c r="I5188" i="1"/>
  <c r="B5188" i="1"/>
  <c r="B5187" i="1"/>
  <c r="I5187" i="1"/>
  <c r="I5186" i="1"/>
  <c r="B5186" i="1"/>
  <c r="I5185" i="1"/>
  <c r="B5185" i="1"/>
  <c r="I5184" i="1"/>
  <c r="B5184" i="1"/>
  <c r="I5183" i="1"/>
  <c r="B5183" i="1"/>
  <c r="I5182" i="1"/>
  <c r="B5182" i="1"/>
  <c r="I5181" i="1"/>
  <c r="B5181" i="1"/>
  <c r="I5180" i="1"/>
  <c r="B5180" i="1"/>
  <c r="I5179" i="1"/>
  <c r="B5179" i="1"/>
  <c r="I5178" i="1"/>
  <c r="B5178" i="1"/>
  <c r="I5177" i="1"/>
  <c r="B5177" i="1"/>
  <c r="I5176" i="1"/>
  <c r="B5176" i="1"/>
  <c r="I5175" i="1"/>
  <c r="B5175" i="1"/>
  <c r="I5174" i="1"/>
  <c r="B5174" i="1"/>
  <c r="I5173" i="1"/>
  <c r="B5173" i="1"/>
  <c r="I5172" i="1"/>
  <c r="B5172" i="1"/>
  <c r="I5171" i="1"/>
  <c r="B5171" i="1"/>
  <c r="I5170" i="1"/>
  <c r="B5170" i="1"/>
  <c r="I5169" i="1"/>
  <c r="B5169" i="1"/>
  <c r="I5168" i="1"/>
  <c r="B5168" i="1"/>
  <c r="I5167" i="1"/>
  <c r="B5167" i="1"/>
  <c r="I5166" i="1"/>
  <c r="B5166" i="1"/>
  <c r="I5165" i="1"/>
  <c r="B5165" i="1"/>
  <c r="I5164" i="1"/>
  <c r="B5164" i="1"/>
  <c r="I5163" i="1"/>
  <c r="B5163" i="1"/>
  <c r="I5162" i="1"/>
  <c r="B5162" i="1"/>
  <c r="I5161" i="1"/>
  <c r="B5161" i="1"/>
  <c r="I5160" i="1"/>
  <c r="B5160" i="1"/>
  <c r="I5159" i="1"/>
  <c r="B5159" i="1"/>
  <c r="I5158" i="1"/>
  <c r="B5158" i="1"/>
  <c r="I5157" i="1"/>
  <c r="B5157" i="1"/>
  <c r="I5156" i="1"/>
  <c r="B5156" i="1"/>
  <c r="I5155" i="1"/>
  <c r="B5155" i="1"/>
  <c r="I5154" i="1"/>
  <c r="B5154" i="1"/>
  <c r="I5153" i="1" l="1"/>
  <c r="B5153" i="1"/>
  <c r="I5152" i="1"/>
  <c r="B5152" i="1"/>
  <c r="I5151" i="1"/>
  <c r="B5151" i="1"/>
  <c r="I5150" i="1"/>
  <c r="B5150" i="1"/>
  <c r="I5149" i="1"/>
  <c r="B5149" i="1"/>
  <c r="I5148" i="1"/>
  <c r="B5148" i="1"/>
  <c r="I5147" i="1"/>
  <c r="B5147" i="1"/>
  <c r="I5146" i="1"/>
  <c r="B5146" i="1"/>
  <c r="I5145" i="1"/>
  <c r="B5145" i="1"/>
  <c r="I5144" i="1"/>
  <c r="B5144" i="1"/>
  <c r="I5143" i="1"/>
  <c r="B5143" i="1"/>
  <c r="I5142" i="1"/>
  <c r="B5142" i="1"/>
  <c r="I5141" i="1"/>
  <c r="B5141" i="1"/>
  <c r="I5140" i="1"/>
  <c r="B5140" i="1"/>
  <c r="I5139" i="1"/>
  <c r="B5139" i="1"/>
  <c r="I5138" i="1"/>
  <c r="B5138" i="1"/>
  <c r="I5137" i="1"/>
  <c r="B5137" i="1"/>
  <c r="I5136" i="1"/>
  <c r="B5136" i="1"/>
  <c r="I5135" i="1"/>
  <c r="B5135" i="1"/>
  <c r="I5134" i="1"/>
  <c r="B5134" i="1"/>
  <c r="I5133" i="1"/>
  <c r="B5133" i="1"/>
  <c r="I5132" i="1"/>
  <c r="B5132" i="1"/>
  <c r="I5131" i="1"/>
  <c r="B5131" i="1"/>
  <c r="I5130" i="1"/>
  <c r="B5130" i="1"/>
  <c r="I5129" i="1" l="1"/>
  <c r="B5129" i="1"/>
  <c r="I5128" i="1"/>
  <c r="B5128" i="1"/>
  <c r="I5127" i="1"/>
  <c r="B5127" i="1"/>
  <c r="I5126" i="1"/>
  <c r="B5126" i="1"/>
  <c r="I5125" i="1"/>
  <c r="B5125" i="1"/>
  <c r="I5124" i="1"/>
  <c r="B5124" i="1"/>
  <c r="I5123" i="1"/>
  <c r="B5123" i="1"/>
  <c r="I5122" i="1"/>
  <c r="B5122" i="1"/>
  <c r="I5121" i="1"/>
  <c r="B5121" i="1"/>
  <c r="I5120" i="1"/>
  <c r="B5120" i="1"/>
  <c r="I5119" i="1"/>
  <c r="B5119" i="1"/>
  <c r="I5118" i="1"/>
  <c r="B5118" i="1"/>
  <c r="I5117" i="1"/>
  <c r="B5117" i="1"/>
  <c r="I5116" i="1"/>
  <c r="B5116" i="1"/>
  <c r="I5115" i="1"/>
  <c r="B5115" i="1"/>
  <c r="I5114" i="1"/>
  <c r="B5114" i="1"/>
  <c r="I5113" i="1"/>
  <c r="B5113" i="1"/>
  <c r="I5112" i="1"/>
  <c r="B5112" i="1"/>
  <c r="I5111" i="1"/>
  <c r="B5111" i="1"/>
  <c r="I5110" i="1"/>
  <c r="B5110" i="1"/>
  <c r="I5109" i="1"/>
  <c r="B5109" i="1"/>
  <c r="I5108" i="1"/>
  <c r="B5108" i="1"/>
  <c r="I5107" i="1"/>
  <c r="B5107" i="1"/>
  <c r="I5106" i="1"/>
  <c r="B5106" i="1"/>
  <c r="I5105" i="1"/>
  <c r="B5105" i="1"/>
  <c r="I5104" i="1"/>
  <c r="B5104" i="1"/>
  <c r="I5103" i="1"/>
  <c r="B5103" i="1"/>
  <c r="I5102" i="1"/>
  <c r="B5102" i="1"/>
  <c r="I5101" i="1"/>
  <c r="B5101" i="1"/>
  <c r="I5100" i="1"/>
  <c r="B5100" i="1"/>
  <c r="I5099" i="1"/>
  <c r="B5099" i="1"/>
  <c r="I5098" i="1"/>
  <c r="B5098" i="1"/>
  <c r="I5097" i="1"/>
  <c r="B5097" i="1"/>
  <c r="I5096" i="1"/>
  <c r="B5096" i="1"/>
  <c r="I5095" i="1"/>
  <c r="B5095" i="1"/>
  <c r="I5094" i="1"/>
  <c r="B5094" i="1"/>
  <c r="I5093" i="1"/>
  <c r="B5093" i="1"/>
  <c r="I5092" i="1"/>
  <c r="B5092" i="1"/>
  <c r="I5091" i="1" l="1"/>
  <c r="B5091" i="1"/>
  <c r="I5090" i="1"/>
  <c r="B5090" i="1"/>
  <c r="I5089" i="1"/>
  <c r="B5089" i="1"/>
  <c r="I5088" i="1"/>
  <c r="B5088" i="1"/>
  <c r="I5087" i="1"/>
  <c r="B5087" i="1"/>
  <c r="I5086" i="1"/>
  <c r="B5086" i="1"/>
  <c r="I5085" i="1"/>
  <c r="B5085" i="1"/>
  <c r="I5084" i="1"/>
  <c r="B5084" i="1"/>
  <c r="I5083" i="1"/>
  <c r="B5083" i="1"/>
  <c r="I5082" i="1"/>
  <c r="I5081" i="1"/>
  <c r="B5082" i="1"/>
  <c r="B5081" i="1"/>
  <c r="I5080" i="1"/>
  <c r="B5080" i="1"/>
  <c r="I5079" i="1"/>
  <c r="B5079" i="1"/>
  <c r="I5078" i="1"/>
  <c r="B5078" i="1"/>
  <c r="I5077" i="1"/>
  <c r="B5077" i="1"/>
  <c r="I5076" i="1"/>
  <c r="B5076" i="1" l="1"/>
  <c r="I5075" i="1"/>
  <c r="B5075" i="1"/>
  <c r="I5074" i="1"/>
  <c r="B5074" i="1"/>
  <c r="I5073" i="1"/>
  <c r="B5073" i="1"/>
  <c r="I5072" i="1"/>
  <c r="B5072" i="1"/>
  <c r="I5071" i="1"/>
  <c r="B5071" i="1"/>
  <c r="I5070" i="1"/>
  <c r="B5070" i="1"/>
  <c r="I5069" i="1"/>
  <c r="B5069" i="1"/>
  <c r="I5068" i="1"/>
  <c r="B5068" i="1"/>
  <c r="I5067" i="1"/>
  <c r="B5067" i="1"/>
  <c r="I5066" i="1"/>
  <c r="B5066" i="1"/>
  <c r="I5065" i="1"/>
  <c r="B5065" i="1"/>
  <c r="I5064" i="1"/>
  <c r="B5064" i="1"/>
  <c r="I5063" i="1"/>
  <c r="B5063" i="1"/>
  <c r="I5062" i="1"/>
  <c r="B5062" i="1"/>
  <c r="I5061" i="1"/>
  <c r="B5061" i="1"/>
  <c r="I5060" i="1"/>
  <c r="B5060" i="1"/>
  <c r="I5059" i="1"/>
  <c r="B5059" i="1"/>
  <c r="I5058" i="1"/>
  <c r="B5058" i="1"/>
  <c r="I5057" i="1"/>
  <c r="B5057" i="1"/>
  <c r="I5056" i="1"/>
  <c r="B5056" i="1"/>
  <c r="I5055" i="1"/>
  <c r="B5055" i="1"/>
  <c r="I5054" i="1"/>
  <c r="B5054" i="1"/>
  <c r="I5053" i="1"/>
  <c r="B5053" i="1"/>
  <c r="I5052" i="1"/>
  <c r="B5052" i="1"/>
  <c r="I5051" i="1"/>
  <c r="I5050" i="1"/>
  <c r="B5051" i="1"/>
  <c r="B5050" i="1" l="1"/>
  <c r="I5049" i="1"/>
  <c r="B5049" i="1"/>
  <c r="I5048" i="1"/>
  <c r="B5048" i="1"/>
  <c r="I5047" i="1"/>
  <c r="B5047" i="1"/>
  <c r="I5046" i="1"/>
  <c r="B5046" i="1"/>
  <c r="I5045" i="1"/>
  <c r="B5045" i="1"/>
  <c r="I5044" i="1"/>
  <c r="B5044" i="1"/>
  <c r="I5043" i="1"/>
  <c r="B5043" i="1"/>
  <c r="I5042" i="1"/>
  <c r="B5042" i="1"/>
  <c r="I5041" i="1"/>
  <c r="B5041" i="1"/>
  <c r="I5040" i="1"/>
  <c r="B5040" i="1"/>
  <c r="I5039" i="1"/>
  <c r="B5039" i="1"/>
  <c r="I5038" i="1"/>
  <c r="B5038" i="1"/>
  <c r="I5037" i="1"/>
  <c r="B5037" i="1"/>
  <c r="I5036" i="1"/>
  <c r="B5036" i="1"/>
  <c r="I5035" i="1"/>
  <c r="B5035" i="1"/>
  <c r="I5034" i="1" l="1"/>
  <c r="B5034" i="1"/>
  <c r="I5033" i="1"/>
  <c r="B5033" i="1"/>
  <c r="I5032" i="1"/>
  <c r="B5032" i="1"/>
  <c r="I5031" i="1"/>
  <c r="B5031" i="1"/>
  <c r="I5030" i="1"/>
  <c r="B5030" i="1"/>
  <c r="I5029" i="1"/>
  <c r="B5029" i="1"/>
  <c r="I5028" i="1"/>
  <c r="B5028" i="1"/>
  <c r="I5027" i="1"/>
  <c r="B5027" i="1"/>
  <c r="I5026" i="1"/>
  <c r="B5026" i="1"/>
  <c r="I5025" i="1"/>
  <c r="B5025" i="1"/>
  <c r="I5024" i="1"/>
  <c r="B5024" i="1"/>
  <c r="I5023" i="1"/>
  <c r="B5023" i="1"/>
  <c r="I5022" i="1"/>
  <c r="B5022" i="1"/>
  <c r="I5021" i="1"/>
  <c r="B5021" i="1"/>
  <c r="I5020" i="1"/>
  <c r="B5020" i="1"/>
  <c r="I5019" i="1"/>
  <c r="B5019" i="1"/>
  <c r="I5018" i="1"/>
  <c r="B5018" i="1"/>
  <c r="I5017" i="1"/>
  <c r="B5017" i="1"/>
  <c r="I5016" i="1"/>
  <c r="B5016" i="1"/>
  <c r="I5015" i="1" l="1"/>
  <c r="B5015" i="1"/>
  <c r="I5014" i="1"/>
  <c r="B5014" i="1"/>
  <c r="I5013" i="1"/>
  <c r="B5013" i="1"/>
  <c r="I5012" i="1"/>
  <c r="B5012" i="1"/>
  <c r="I5011" i="1"/>
  <c r="B5011" i="1"/>
  <c r="I5010" i="1"/>
  <c r="B5010" i="1"/>
  <c r="I5009" i="1" l="1"/>
  <c r="B5009" i="1"/>
  <c r="I5008" i="1"/>
  <c r="B5008" i="1"/>
  <c r="I5007" i="1"/>
  <c r="B5007" i="1" l="1"/>
  <c r="I5006" i="1" l="1"/>
  <c r="B5006" i="1"/>
  <c r="I5005" i="1"/>
  <c r="B5005" i="1"/>
  <c r="I5004" i="1"/>
  <c r="B5004" i="1"/>
  <c r="I5003" i="1"/>
  <c r="B5003" i="1"/>
  <c r="I5002" i="1"/>
  <c r="B5002" i="1"/>
  <c r="I5001" i="1"/>
  <c r="B5001" i="1"/>
  <c r="I5000" i="1"/>
  <c r="B5000" i="1"/>
  <c r="I4999" i="1" l="1"/>
  <c r="B4999" i="1"/>
  <c r="I4998" i="1"/>
  <c r="B4998" i="1"/>
  <c r="I4997" i="1" l="1"/>
  <c r="B4997" i="1"/>
  <c r="I4996" i="1"/>
  <c r="B4996" i="1"/>
  <c r="I4995" i="1"/>
  <c r="B4995" i="1"/>
  <c r="I4994" i="1"/>
  <c r="B4994" i="1"/>
  <c r="I4993" i="1"/>
  <c r="B4993" i="1"/>
  <c r="I4992" i="1" l="1"/>
  <c r="B4992" i="1"/>
  <c r="I4991" i="1"/>
  <c r="B4991" i="1"/>
  <c r="I4990" i="1"/>
  <c r="B4990" i="1"/>
  <c r="I4989" i="1"/>
  <c r="B4989" i="1"/>
  <c r="I4988" i="1" l="1"/>
  <c r="B4988" i="1"/>
  <c r="I4987" i="1"/>
  <c r="B4987" i="1"/>
  <c r="I4986" i="1"/>
  <c r="B4986" i="1"/>
  <c r="I4985" i="1"/>
  <c r="B4985" i="1"/>
  <c r="I5385" i="1"/>
  <c r="I5386" i="1"/>
  <c r="I5387" i="1"/>
  <c r="I5388" i="1"/>
  <c r="I5389" i="1"/>
  <c r="I5390" i="1"/>
  <c r="I5391" i="1"/>
  <c r="I5392" i="1"/>
  <c r="I5393" i="1"/>
  <c r="I5394" i="1"/>
  <c r="I5395" i="1"/>
  <c r="I5396" i="1"/>
  <c r="I5397" i="1"/>
  <c r="I5398" i="1"/>
  <c r="I5399" i="1"/>
  <c r="I5400" i="1"/>
  <c r="I5401" i="1"/>
  <c r="I5402" i="1"/>
  <c r="I5403" i="1"/>
  <c r="I5404" i="1"/>
  <c r="I5405" i="1"/>
  <c r="I5406" i="1"/>
  <c r="I5407" i="1"/>
  <c r="I5408" i="1"/>
  <c r="I5409" i="1"/>
  <c r="I5410" i="1"/>
  <c r="I5411" i="1"/>
  <c r="I5412" i="1"/>
  <c r="I5413" i="1"/>
  <c r="I5414" i="1"/>
  <c r="I5415" i="1"/>
  <c r="I5416" i="1"/>
  <c r="I5417" i="1"/>
  <c r="I5418" i="1"/>
  <c r="I5419" i="1"/>
  <c r="I5420" i="1"/>
  <c r="I5421" i="1"/>
  <c r="I5422" i="1"/>
  <c r="I5423" i="1"/>
  <c r="I5424" i="1"/>
  <c r="I5425" i="1"/>
  <c r="I5426" i="1"/>
  <c r="I5427" i="1"/>
  <c r="I5428" i="1"/>
  <c r="I5429" i="1"/>
  <c r="I5430" i="1"/>
  <c r="I5431" i="1"/>
  <c r="I5432" i="1"/>
  <c r="I5433" i="1"/>
  <c r="I5434" i="1"/>
  <c r="I5435" i="1"/>
  <c r="I5436" i="1"/>
  <c r="I5437" i="1"/>
  <c r="I5438" i="1"/>
  <c r="I5439" i="1"/>
  <c r="I5440" i="1"/>
  <c r="I5441" i="1"/>
  <c r="I5442" i="1"/>
  <c r="I5443" i="1"/>
  <c r="I5444" i="1"/>
  <c r="I5445" i="1"/>
  <c r="I5446" i="1"/>
  <c r="I5447" i="1"/>
  <c r="I5448" i="1"/>
  <c r="I5449" i="1"/>
  <c r="I5450" i="1"/>
  <c r="I5451" i="1"/>
  <c r="I5452" i="1"/>
  <c r="I5453" i="1"/>
  <c r="I5454" i="1"/>
  <c r="I5455" i="1"/>
  <c r="I5456" i="1"/>
  <c r="I5457" i="1"/>
  <c r="I5458" i="1"/>
  <c r="I5459" i="1"/>
  <c r="I5460" i="1"/>
  <c r="I5461" i="1"/>
  <c r="I5462" i="1"/>
  <c r="I5463" i="1"/>
  <c r="I5464" i="1"/>
  <c r="I5465" i="1"/>
  <c r="I5466" i="1"/>
  <c r="I5467" i="1"/>
  <c r="I5468" i="1"/>
  <c r="I5469" i="1"/>
  <c r="I5470" i="1"/>
  <c r="I5471" i="1"/>
  <c r="I5472" i="1"/>
  <c r="I5473" i="1"/>
  <c r="I5474" i="1"/>
  <c r="I5475" i="1"/>
  <c r="I5476" i="1"/>
  <c r="I5477" i="1"/>
  <c r="I5478" i="1"/>
  <c r="I5479" i="1"/>
  <c r="I5480"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I4984" i="1"/>
  <c r="B4984" i="1"/>
  <c r="I4983" i="1"/>
  <c r="B4983" i="1"/>
  <c r="I4982" i="1"/>
  <c r="B4982" i="1"/>
  <c r="I4981" i="1"/>
  <c r="B4981" i="1"/>
  <c r="I4980" i="1"/>
  <c r="B4980" i="1"/>
  <c r="I4979" i="1"/>
  <c r="B4979" i="1"/>
  <c r="I4978" i="1"/>
  <c r="B4978" i="1"/>
  <c r="I4977" i="1"/>
  <c r="B4977" i="1"/>
  <c r="I4976" i="1"/>
  <c r="B4976" i="1"/>
  <c r="I4975" i="1"/>
  <c r="B4975" i="1"/>
  <c r="I4974" i="1"/>
  <c r="B4974" i="1"/>
  <c r="I4973" i="1"/>
  <c r="B4973" i="1"/>
  <c r="I4972" i="1"/>
  <c r="B4972" i="1"/>
  <c r="I4971" i="1"/>
  <c r="B4971" i="1"/>
  <c r="I4970" i="1"/>
  <c r="B4970" i="1"/>
  <c r="I4969" i="1"/>
  <c r="B4969" i="1"/>
  <c r="I4968" i="1"/>
  <c r="B4968" i="1"/>
  <c r="I4967" i="1"/>
  <c r="B4967" i="1"/>
  <c r="I4966" i="1"/>
  <c r="B4966" i="1"/>
  <c r="I4965" i="1"/>
  <c r="B4965" i="1"/>
  <c r="I4964" i="1"/>
  <c r="B4964" i="1"/>
  <c r="I4963" i="1"/>
  <c r="B4963" i="1"/>
  <c r="I4962" i="1"/>
  <c r="B4962" i="1"/>
  <c r="I4961" i="1"/>
  <c r="B4961" i="1"/>
  <c r="I4960" i="1"/>
  <c r="B4960" i="1"/>
  <c r="I4959" i="1"/>
  <c r="B4959" i="1"/>
  <c r="I4958" i="1"/>
  <c r="B4958" i="1"/>
  <c r="I4957" i="1" l="1"/>
  <c r="B4957" i="1"/>
  <c r="I4956" i="1" l="1"/>
  <c r="B4956" i="1"/>
  <c r="I4955" i="1"/>
  <c r="B4955" i="1"/>
  <c r="I4954" i="1"/>
  <c r="B4954" i="1"/>
  <c r="I4953" i="1"/>
  <c r="B4953" i="1"/>
  <c r="I4952" i="1" l="1"/>
  <c r="B4952" i="1"/>
  <c r="I4951" i="1"/>
  <c r="B4951" i="1"/>
  <c r="I4950" i="1" l="1"/>
  <c r="B4950" i="1"/>
  <c r="I4949" i="1"/>
  <c r="B4949" i="1"/>
  <c r="I4948" i="1"/>
  <c r="B4948" i="1"/>
  <c r="I4947" i="1"/>
  <c r="B4947" i="1"/>
  <c r="I4946" i="1"/>
  <c r="B4946" i="1"/>
  <c r="I4945" i="1"/>
  <c r="B4945" i="1"/>
  <c r="I4944" i="1"/>
  <c r="B4944" i="1"/>
  <c r="I4943" i="1"/>
  <c r="B4943" i="1"/>
  <c r="I4942" i="1"/>
  <c r="B4942" i="1"/>
  <c r="I4941" i="1"/>
  <c r="B4941" i="1"/>
  <c r="I4940" i="1" l="1"/>
  <c r="B4940" i="1"/>
  <c r="I4939" i="1"/>
  <c r="B4939" i="1"/>
  <c r="I4938" i="1"/>
  <c r="B4938" i="1"/>
  <c r="I4937" i="1" l="1"/>
  <c r="B4937" i="1"/>
  <c r="I4936" i="1"/>
  <c r="B4936" i="1"/>
  <c r="I4935" i="1" l="1"/>
  <c r="B4935" i="1"/>
  <c r="I4934" i="1"/>
  <c r="B4934" i="1"/>
  <c r="I4933" i="1"/>
  <c r="B4933" i="1"/>
  <c r="I4932" i="1"/>
  <c r="B4932" i="1"/>
  <c r="I4931" i="1"/>
  <c r="B4931" i="1"/>
  <c r="I4930" i="1"/>
  <c r="B4930" i="1"/>
  <c r="I4929" i="1"/>
  <c r="B4929" i="1"/>
  <c r="I4928" i="1"/>
  <c r="B4928" i="1"/>
  <c r="I4927" i="1"/>
  <c r="B4927" i="1"/>
  <c r="I4926" i="1"/>
  <c r="B4926" i="1"/>
  <c r="I4925" i="1"/>
  <c r="B4925" i="1"/>
  <c r="I4924" i="1"/>
  <c r="B4924" i="1"/>
  <c r="I4923" i="1"/>
  <c r="B4923" i="1"/>
  <c r="I4922" i="1"/>
  <c r="B4922" i="1"/>
  <c r="I4921" i="1"/>
  <c r="B4921" i="1"/>
  <c r="I4920" i="1"/>
  <c r="B4920" i="1"/>
  <c r="I4919" i="1"/>
  <c r="B4919" i="1"/>
  <c r="I4918" i="1"/>
  <c r="B4918" i="1"/>
  <c r="I4917" i="1"/>
  <c r="B4917" i="1"/>
  <c r="I4916" i="1" l="1"/>
  <c r="B4916" i="1"/>
  <c r="I4915" i="1"/>
  <c r="B4915" i="1"/>
  <c r="I4914" i="1"/>
  <c r="B4914" i="1"/>
  <c r="I4913" i="1"/>
  <c r="B4913" i="1"/>
  <c r="I4912" i="1"/>
  <c r="B4912" i="1"/>
  <c r="I4911" i="1"/>
  <c r="B4911" i="1"/>
  <c r="I4910" i="1"/>
  <c r="B4910" i="1"/>
  <c r="I4909" i="1"/>
  <c r="B4909" i="1"/>
  <c r="I4908" i="1"/>
  <c r="B4908" i="1"/>
  <c r="I4907" i="1"/>
  <c r="B4907" i="1"/>
  <c r="I4906" i="1"/>
  <c r="B4906" i="1"/>
  <c r="I4905" i="1"/>
  <c r="B4905" i="1"/>
  <c r="I4904" i="1"/>
  <c r="B4904" i="1" l="1"/>
  <c r="I4903" i="1"/>
  <c r="B4903" i="1"/>
  <c r="I4902" i="1"/>
  <c r="B4902" i="1"/>
  <c r="I4901" i="1"/>
  <c r="B4901" i="1"/>
  <c r="I4900" i="1"/>
  <c r="B4900" i="1"/>
  <c r="I4899" i="1"/>
  <c r="B4899" i="1"/>
  <c r="I4898" i="1"/>
  <c r="B4898" i="1"/>
  <c r="I4897" i="1"/>
  <c r="B4897" i="1"/>
  <c r="I4896" i="1"/>
  <c r="B4896" i="1"/>
  <c r="I4895" i="1"/>
  <c r="B4895" i="1"/>
  <c r="I4894" i="1"/>
  <c r="B4894" i="1"/>
  <c r="I4893" i="1"/>
  <c r="B4893" i="1"/>
  <c r="I4891" i="1"/>
  <c r="I4892" i="1"/>
  <c r="B4892" i="1"/>
  <c r="B4891" i="1" l="1"/>
  <c r="I4890" i="1"/>
  <c r="B4890" i="1"/>
  <c r="I4889" i="1"/>
  <c r="B4889" i="1"/>
  <c r="I4888" i="1"/>
  <c r="B4888" i="1"/>
  <c r="I4887" i="1"/>
  <c r="B4887" i="1"/>
  <c r="I4886" i="1"/>
  <c r="B4886" i="1"/>
  <c r="I4885" i="1"/>
  <c r="B4885" i="1"/>
  <c r="I4884" i="1"/>
  <c r="B4884" i="1"/>
  <c r="I4883" i="1"/>
  <c r="B4883" i="1"/>
  <c r="I4882" i="1"/>
  <c r="B4882" i="1"/>
  <c r="I4881" i="1"/>
  <c r="B4881" i="1"/>
  <c r="I4880" i="1"/>
  <c r="B4880" i="1"/>
  <c r="I4879" i="1"/>
  <c r="B4879" i="1"/>
  <c r="I4878" i="1"/>
  <c r="B4878" i="1"/>
  <c r="I4877" i="1" l="1"/>
  <c r="B4877" i="1"/>
  <c r="I4876" i="1"/>
  <c r="B4876" i="1"/>
  <c r="I4875" i="1"/>
  <c r="B4875" i="1"/>
  <c r="I4874" i="1"/>
  <c r="B4874" i="1"/>
  <c r="I4873" i="1"/>
  <c r="B4873" i="1"/>
  <c r="I4872" i="1"/>
  <c r="B4872" i="1"/>
  <c r="I4871" i="1"/>
  <c r="B4871" i="1"/>
  <c r="I4870" i="1"/>
  <c r="B4870" i="1"/>
  <c r="I4869" i="1"/>
  <c r="B4869" i="1"/>
  <c r="I4868" i="1"/>
  <c r="B4868" i="1"/>
  <c r="I4867" i="1"/>
  <c r="B4867" i="1"/>
  <c r="I4866" i="1"/>
  <c r="B4866" i="1"/>
  <c r="I4865" i="1" l="1"/>
  <c r="B4865" i="1"/>
  <c r="I4864" i="1"/>
  <c r="B4864" i="1"/>
  <c r="I4863" i="1" l="1"/>
  <c r="B4863" i="1"/>
  <c r="I4862" i="1" l="1"/>
  <c r="B4862" i="1"/>
  <c r="I4861" i="1"/>
  <c r="B4861" i="1"/>
  <c r="I4860" i="1"/>
  <c r="B4860" i="1"/>
  <c r="I4859" i="1"/>
  <c r="B4859" i="1"/>
  <c r="I4858" i="1"/>
  <c r="B4858" i="1"/>
  <c r="I4857" i="1"/>
  <c r="B4857" i="1"/>
  <c r="I4856" i="1"/>
  <c r="B4856" i="1"/>
  <c r="I4855" i="1"/>
  <c r="B4855" i="1"/>
  <c r="I4854" i="1"/>
  <c r="B4854" i="1" l="1"/>
  <c r="I4853" i="1"/>
  <c r="B4853" i="1"/>
  <c r="I4852" i="1"/>
  <c r="B4852" i="1"/>
  <c r="I4851" i="1"/>
  <c r="B4851" i="1"/>
  <c r="I4850" i="1"/>
  <c r="B4850" i="1"/>
  <c r="I4849" i="1"/>
  <c r="B4849" i="1"/>
  <c r="I4848" i="1"/>
  <c r="B4848" i="1"/>
  <c r="I4847" i="1"/>
  <c r="B4847" i="1"/>
  <c r="I4846" i="1"/>
  <c r="B4846" i="1"/>
  <c r="I4845" i="1"/>
  <c r="B4845" i="1"/>
  <c r="I4844" i="1"/>
  <c r="B4844" i="1"/>
  <c r="I4843" i="1"/>
  <c r="B4843" i="1"/>
  <c r="I4842" i="1"/>
  <c r="B4842" i="1"/>
  <c r="I4841" i="1"/>
  <c r="B4841" i="1"/>
  <c r="I4840" i="1" l="1"/>
  <c r="B4840" i="1"/>
  <c r="I4839" i="1" l="1"/>
  <c r="B4839" i="1"/>
  <c r="I4838" i="1"/>
  <c r="B4838" i="1"/>
  <c r="I4837" i="1"/>
  <c r="B4837" i="1"/>
  <c r="I4836" i="1"/>
  <c r="B4836" i="1"/>
  <c r="I4835" i="1"/>
  <c r="B4835" i="1"/>
  <c r="I4834" i="1"/>
  <c r="B4834" i="1"/>
  <c r="I4833" i="1" l="1"/>
  <c r="B4833" i="1"/>
  <c r="I4832" i="1" l="1"/>
  <c r="B4832" i="1"/>
  <c r="I4831" i="1" l="1"/>
  <c r="B4831" i="1"/>
  <c r="I4830" i="1"/>
  <c r="B4830" i="1"/>
  <c r="I4829" i="1"/>
  <c r="B4829" i="1"/>
  <c r="I4828" i="1"/>
  <c r="B4828" i="1"/>
  <c r="I4827" i="1"/>
  <c r="B4827" i="1"/>
  <c r="I4826" i="1"/>
  <c r="B4826" i="1"/>
  <c r="I4825" i="1"/>
  <c r="B4825" i="1"/>
  <c r="I4824" i="1"/>
  <c r="B4824" i="1"/>
  <c r="I4823" i="1"/>
  <c r="B4823" i="1"/>
  <c r="I4822" i="1"/>
  <c r="B4822" i="1"/>
  <c r="I4821" i="1"/>
  <c r="B4821" i="1"/>
  <c r="I4820" i="1"/>
  <c r="B4820" i="1"/>
  <c r="I4819" i="1"/>
  <c r="B4819" i="1"/>
  <c r="I4818" i="1"/>
  <c r="B4818" i="1" l="1"/>
  <c r="I4817" i="1"/>
  <c r="B4817" i="1"/>
  <c r="I4816" i="1"/>
  <c r="B4816" i="1"/>
  <c r="I4815" i="1"/>
  <c r="B4815" i="1"/>
  <c r="I4814" i="1"/>
  <c r="B4814" i="1"/>
  <c r="I4813" i="1"/>
  <c r="B4813" i="1"/>
  <c r="I4812" i="1"/>
  <c r="B4812" i="1"/>
  <c r="I4811" i="1" l="1"/>
  <c r="B4811" i="1"/>
  <c r="I4810" i="1"/>
  <c r="I4809" i="1" l="1"/>
  <c r="B4810" i="1"/>
  <c r="B4809" i="1"/>
  <c r="I4808" i="1"/>
  <c r="B4808" i="1"/>
  <c r="I4807" i="1"/>
  <c r="B4807" i="1"/>
  <c r="I4806" i="1"/>
  <c r="B4806" i="1"/>
  <c r="I4805" i="1"/>
  <c r="B4805" i="1"/>
  <c r="I4804" i="1"/>
  <c r="B4804" i="1"/>
  <c r="I4803" i="1"/>
  <c r="B4803" i="1"/>
  <c r="I4802" i="1" l="1"/>
  <c r="B4802" i="1"/>
  <c r="I4801" i="1"/>
  <c r="B4801" i="1"/>
  <c r="I4800" i="1"/>
  <c r="B4800" i="1"/>
  <c r="I4799" i="1" l="1"/>
  <c r="B4799" i="1"/>
  <c r="I4798" i="1"/>
  <c r="B4798" i="1"/>
  <c r="I4797" i="1"/>
  <c r="B4797" i="1"/>
  <c r="I4796" i="1"/>
  <c r="B4796" i="1"/>
  <c r="I4795" i="1"/>
  <c r="B4795" i="1"/>
  <c r="I4794" i="1" l="1"/>
  <c r="B4794" i="1"/>
  <c r="I4793" i="1"/>
  <c r="B4793" i="1"/>
  <c r="I4792" i="1"/>
  <c r="B4792" i="1"/>
  <c r="I4791" i="1"/>
  <c r="B4791" i="1"/>
  <c r="I4790" i="1"/>
  <c r="B4790" i="1"/>
  <c r="I4789" i="1" l="1"/>
  <c r="B4789" i="1"/>
  <c r="I4788" i="1"/>
  <c r="B4788" i="1"/>
  <c r="I4787" i="1"/>
  <c r="B4787" i="1"/>
  <c r="I4786" i="1"/>
  <c r="B4786" i="1"/>
  <c r="I4785" i="1"/>
  <c r="B4785" i="1"/>
  <c r="I4784" i="1"/>
  <c r="B4784" i="1"/>
  <c r="I4783" i="1"/>
  <c r="B4783" i="1"/>
  <c r="I4782" i="1"/>
  <c r="B4782" i="1"/>
  <c r="I4781" i="1"/>
  <c r="B4781" i="1"/>
  <c r="I4780" i="1"/>
  <c r="B4780" i="1"/>
  <c r="I4779" i="1"/>
  <c r="B4779" i="1"/>
  <c r="I4778" i="1"/>
  <c r="B4778" i="1"/>
  <c r="I4777" i="1"/>
  <c r="B4777" i="1"/>
  <c r="I4776" i="1"/>
  <c r="B4776" i="1"/>
  <c r="I4775" i="1"/>
  <c r="B4775" i="1"/>
  <c r="I4774" i="1"/>
  <c r="B4774" i="1"/>
  <c r="I4773" i="1"/>
  <c r="B4773" i="1"/>
  <c r="I4772" i="1"/>
  <c r="B4772" i="1"/>
  <c r="I4771" i="1"/>
  <c r="B4771" i="1"/>
  <c r="I4770" i="1"/>
  <c r="B4770" i="1" l="1"/>
  <c r="I4769" i="1"/>
  <c r="B4769" i="1"/>
  <c r="I4768" i="1"/>
  <c r="B4768" i="1"/>
  <c r="I4767" i="1"/>
  <c r="B4767" i="1"/>
  <c r="I4766" i="1" l="1"/>
  <c r="B4766" i="1"/>
  <c r="I4765" i="1"/>
  <c r="B4765" i="1"/>
  <c r="I4764" i="1"/>
  <c r="B4764" i="1"/>
  <c r="I4763" i="1" l="1"/>
  <c r="B4763" i="1"/>
  <c r="I4762" i="1"/>
  <c r="B4762" i="1"/>
  <c r="I4761" i="1"/>
  <c r="B4761" i="1"/>
  <c r="I4760" i="1"/>
  <c r="B4760" i="1"/>
  <c r="I4759" i="1"/>
  <c r="B4759" i="1"/>
  <c r="I4758" i="1"/>
  <c r="B4758" i="1"/>
  <c r="I4757" i="1"/>
  <c r="B4757" i="1"/>
  <c r="I4755" i="1"/>
  <c r="I4756" i="1"/>
  <c r="B4756" i="1"/>
  <c r="B4755" i="1"/>
  <c r="I4754" i="1"/>
  <c r="B4754" i="1"/>
  <c r="I4753" i="1"/>
  <c r="B4753" i="1"/>
  <c r="I4752" i="1"/>
  <c r="B4752" i="1"/>
  <c r="I4751" i="1"/>
  <c r="B4751" i="1"/>
  <c r="I4750" i="1"/>
  <c r="B4750" i="1"/>
  <c r="I4749" i="1"/>
  <c r="B4749" i="1"/>
  <c r="I4748" i="1"/>
  <c r="B4748" i="1"/>
  <c r="I4747" i="1"/>
  <c r="B4747" i="1"/>
  <c r="I4746" i="1"/>
  <c r="B4746" i="1"/>
  <c r="I4745" i="1"/>
  <c r="B4745" i="1"/>
  <c r="I4744" i="1"/>
  <c r="B4744" i="1"/>
  <c r="I4743" i="1"/>
  <c r="B4743" i="1"/>
  <c r="I4742" i="1"/>
  <c r="B4742" i="1"/>
  <c r="I4741" i="1"/>
  <c r="B4741" i="1"/>
  <c r="I4740" i="1"/>
  <c r="B4740" i="1"/>
  <c r="I4739" i="1"/>
  <c r="B4739" i="1"/>
  <c r="I4738" i="1" l="1"/>
  <c r="B4738" i="1"/>
  <c r="I4737" i="1"/>
  <c r="B4737" i="1"/>
  <c r="I4736" i="1" l="1"/>
  <c r="B4736" i="1"/>
  <c r="I4735" i="1"/>
  <c r="B4735" i="1"/>
  <c r="I4734" i="1"/>
  <c r="B4734" i="1"/>
  <c r="I4733" i="1"/>
  <c r="B4733" i="1"/>
  <c r="I4732" i="1"/>
  <c r="B4732" i="1"/>
  <c r="I4731" i="1"/>
  <c r="B4731" i="1"/>
  <c r="I4730" i="1"/>
  <c r="B4730" i="1"/>
  <c r="I4729" i="1"/>
  <c r="B4729" i="1"/>
  <c r="I4728" i="1"/>
  <c r="B4728" i="1"/>
  <c r="I4727" i="1"/>
  <c r="B4727" i="1"/>
  <c r="I4726" i="1"/>
  <c r="B4726" i="1"/>
  <c r="I4725" i="1"/>
  <c r="I4724" i="1"/>
  <c r="B4724" i="1"/>
  <c r="B4725" i="1"/>
  <c r="I4723" i="1"/>
  <c r="B4723" i="1" l="1"/>
  <c r="I4722" i="1"/>
  <c r="B4722" i="1"/>
  <c r="I4721" i="1"/>
  <c r="B4721" i="1"/>
  <c r="I4720" i="1"/>
  <c r="B4720" i="1"/>
  <c r="I4719" i="1"/>
  <c r="B4719" i="1"/>
  <c r="I4718" i="1"/>
  <c r="B4718" i="1"/>
  <c r="I4717" i="1"/>
  <c r="B4717" i="1"/>
  <c r="I4716" i="1"/>
  <c r="B4716" i="1"/>
  <c r="I4715" i="1"/>
  <c r="B4715" i="1"/>
  <c r="I4714" i="1" l="1"/>
  <c r="B4714" i="1"/>
  <c r="I4713" i="1"/>
  <c r="B4713" i="1"/>
  <c r="I4712" i="1"/>
  <c r="B4712" i="1"/>
  <c r="I4711" i="1"/>
  <c r="B4711" i="1"/>
  <c r="I4710" i="1"/>
  <c r="B4710" i="1"/>
  <c r="I4709" i="1"/>
  <c r="B4709" i="1"/>
  <c r="I4708" i="1" l="1"/>
  <c r="B4708" i="1"/>
  <c r="I4707" i="1"/>
  <c r="B4707" i="1"/>
  <c r="I4706" i="1"/>
  <c r="B4706" i="1"/>
  <c r="I4705" i="1"/>
  <c r="B4705" i="1"/>
  <c r="I4704" i="1"/>
  <c r="B4704" i="1"/>
  <c r="I4703" i="1"/>
  <c r="B4703" i="1"/>
  <c r="I4702" i="1"/>
  <c r="B4702" i="1"/>
  <c r="I4701" i="1"/>
  <c r="B4701" i="1"/>
  <c r="I4700" i="1"/>
  <c r="B4700" i="1"/>
  <c r="I4699" i="1"/>
  <c r="B4699" i="1"/>
  <c r="I4698" i="1"/>
  <c r="B4698" i="1"/>
  <c r="I4697" i="1"/>
  <c r="B4697" i="1"/>
  <c r="I4696" i="1"/>
  <c r="B4696" i="1"/>
  <c r="I4695" i="1"/>
  <c r="B4695" i="1"/>
  <c r="I4694" i="1"/>
  <c r="B4694" i="1"/>
  <c r="I4693" i="1"/>
  <c r="B4693" i="1"/>
  <c r="I4692" i="1"/>
  <c r="B4692" i="1"/>
  <c r="I4691" i="1"/>
  <c r="B4691" i="1"/>
  <c r="I4690" i="1"/>
  <c r="B4690" i="1"/>
  <c r="I4689" i="1"/>
  <c r="B4689" i="1"/>
  <c r="I4688" i="1"/>
  <c r="B4688" i="1"/>
  <c r="I4687" i="1" l="1"/>
  <c r="B4687" i="1"/>
  <c r="I4686" i="1"/>
  <c r="B4686" i="1"/>
  <c r="I4685" i="1"/>
  <c r="B4685" i="1"/>
  <c r="I4684" i="1"/>
  <c r="B4684" i="1"/>
  <c r="I4683" i="1"/>
  <c r="B4683" i="1"/>
  <c r="I4682" i="1"/>
  <c r="I4681" i="1"/>
  <c r="B4681" i="1"/>
  <c r="B4682" i="1"/>
  <c r="I4680" i="1"/>
  <c r="B4680" i="1"/>
  <c r="I4679" i="1"/>
  <c r="B4679" i="1"/>
  <c r="I4678" i="1"/>
  <c r="B4678" i="1"/>
  <c r="I4677" i="1"/>
  <c r="B4677" i="1"/>
  <c r="I4676" i="1" l="1"/>
  <c r="B4676" i="1"/>
  <c r="I4675" i="1"/>
  <c r="B4675" i="1"/>
  <c r="I4674" i="1"/>
  <c r="B4674" i="1"/>
  <c r="I4673" i="1"/>
  <c r="B4673" i="1"/>
  <c r="I4672" i="1" l="1"/>
  <c r="B4672" i="1"/>
  <c r="I4671" i="1"/>
  <c r="B4671" i="1"/>
  <c r="I4670" i="1"/>
  <c r="B4670" i="1"/>
  <c r="I4669" i="1" l="1"/>
  <c r="B4669" i="1"/>
  <c r="I4668" i="1"/>
  <c r="B4668" i="1"/>
  <c r="I4667" i="1"/>
  <c r="B4667" i="1"/>
  <c r="I4666" i="1" l="1"/>
  <c r="B4666" i="1"/>
  <c r="I4665" i="1"/>
  <c r="B4665" i="1"/>
  <c r="I4664" i="1"/>
  <c r="B4664" i="1"/>
  <c r="I4663" i="1" l="1"/>
  <c r="B4663" i="1"/>
  <c r="I4662" i="1"/>
  <c r="B4662" i="1"/>
  <c r="I4661" i="1" l="1"/>
  <c r="B4661" i="1"/>
  <c r="I4660" i="1"/>
  <c r="B4660" i="1"/>
  <c r="I4659" i="1"/>
  <c r="B4659" i="1"/>
  <c r="I4658" i="1" l="1"/>
  <c r="B4658" i="1"/>
  <c r="I4657" i="1"/>
  <c r="B4657" i="1"/>
  <c r="I4656" i="1"/>
  <c r="B4656" i="1"/>
  <c r="I4655" i="1"/>
  <c r="B4655" i="1"/>
  <c r="I4654" i="1"/>
  <c r="B4654" i="1"/>
  <c r="I4653" i="1"/>
  <c r="B4653" i="1"/>
  <c r="I4652" i="1"/>
  <c r="B4652" i="1"/>
  <c r="I4651" i="1"/>
  <c r="B4651" i="1"/>
  <c r="I4650" i="1"/>
  <c r="B4650" i="1"/>
  <c r="I4649" i="1"/>
  <c r="B4649" i="1"/>
  <c r="I4648" i="1"/>
  <c r="B4648" i="1"/>
  <c r="I4647" i="1"/>
  <c r="B4647" i="1"/>
  <c r="I4646" i="1"/>
  <c r="B4646" i="1"/>
  <c r="I4645" i="1"/>
  <c r="B4645" i="1"/>
  <c r="I4644" i="1"/>
  <c r="B4644" i="1"/>
  <c r="I4643" i="1"/>
  <c r="B4643" i="1"/>
  <c r="I4642" i="1" l="1"/>
  <c r="B4642" i="1"/>
  <c r="I4641" i="1"/>
  <c r="B4641" i="1"/>
  <c r="I4640" i="1" l="1"/>
  <c r="B4640" i="1"/>
  <c r="I4639" i="1"/>
  <c r="B4639" i="1"/>
  <c r="I4638" i="1"/>
  <c r="B4638" i="1"/>
  <c r="I4637" i="1" l="1"/>
  <c r="B4637" i="1"/>
  <c r="I4636" i="1"/>
  <c r="B4636" i="1"/>
  <c r="I4635" i="1" l="1"/>
  <c r="B4635" i="1"/>
  <c r="I4634" i="1"/>
  <c r="B4634" i="1"/>
  <c r="I4633" i="1"/>
  <c r="B4633" i="1"/>
  <c r="I4632" i="1"/>
  <c r="B4632" i="1"/>
  <c r="I4631" i="1"/>
  <c r="B4631" i="1"/>
  <c r="I4630" i="1"/>
  <c r="B4630" i="1"/>
  <c r="I4629" i="1"/>
  <c r="B4629" i="1"/>
  <c r="I4628" i="1"/>
  <c r="B4628" i="1"/>
  <c r="I4627" i="1"/>
  <c r="B4627" i="1"/>
  <c r="I4626" i="1"/>
  <c r="B4626" i="1"/>
  <c r="I4625" i="1"/>
  <c r="B4625" i="1"/>
  <c r="I4624" i="1"/>
  <c r="B4624" i="1"/>
  <c r="I4623" i="1"/>
  <c r="B4623" i="1"/>
  <c r="I4622" i="1"/>
  <c r="B4622" i="1"/>
  <c r="I4621" i="1"/>
  <c r="B4621" i="1"/>
  <c r="I4620" i="1"/>
  <c r="B4620" i="1"/>
  <c r="I4619" i="1"/>
  <c r="B4619" i="1"/>
  <c r="I4618" i="1"/>
  <c r="B4618" i="1"/>
  <c r="I4617" i="1"/>
  <c r="B4617" i="1"/>
  <c r="I4616" i="1"/>
  <c r="B4616" i="1"/>
  <c r="I4615" i="1"/>
  <c r="B4615" i="1"/>
  <c r="I4614" i="1"/>
  <c r="B4614" i="1"/>
  <c r="I4613" i="1"/>
  <c r="B4613" i="1"/>
  <c r="I4612" i="1"/>
  <c r="B4612" i="1"/>
  <c r="I4611" i="1"/>
  <c r="B4611" i="1"/>
  <c r="I4610" i="1"/>
  <c r="B4610" i="1"/>
  <c r="I4609" i="1"/>
  <c r="B4609" i="1"/>
  <c r="I4608" i="1"/>
  <c r="B4608" i="1"/>
  <c r="I4607" i="1"/>
  <c r="B4607" i="1"/>
  <c r="B4606" i="1"/>
  <c r="I4606" i="1"/>
  <c r="I4605" i="1"/>
  <c r="B4605" i="1"/>
  <c r="I4604" i="1" l="1"/>
  <c r="B4604" i="1"/>
  <c r="I4603" i="1"/>
  <c r="B4603" i="1"/>
  <c r="I4602" i="1"/>
  <c r="B4602" i="1"/>
  <c r="I4601" i="1"/>
  <c r="B4601" i="1"/>
  <c r="I4600" i="1"/>
  <c r="B4600" i="1"/>
  <c r="I4599" i="1"/>
  <c r="B4599" i="1"/>
  <c r="I4598" i="1"/>
  <c r="B4598" i="1"/>
  <c r="I4597" i="1" l="1"/>
  <c r="B4597" i="1"/>
  <c r="I4596" i="1"/>
  <c r="B4596" i="1"/>
  <c r="I4595" i="1"/>
  <c r="B4595" i="1"/>
  <c r="I4594" i="1"/>
  <c r="B4594" i="1"/>
  <c r="I4593" i="1"/>
  <c r="B4593" i="1"/>
  <c r="I4592" i="1"/>
  <c r="B4592" i="1"/>
  <c r="I4591" i="1"/>
  <c r="B4591" i="1"/>
  <c r="I4590" i="1" l="1"/>
  <c r="B4590" i="1"/>
  <c r="I4589" i="1"/>
  <c r="B4589" i="1"/>
  <c r="I4588" i="1"/>
  <c r="B4588" i="1"/>
  <c r="I4587" i="1"/>
  <c r="B4587" i="1"/>
  <c r="I4586" i="1"/>
  <c r="B4586" i="1"/>
  <c r="I4585" i="1"/>
  <c r="B4585" i="1"/>
  <c r="I4584" i="1"/>
  <c r="B4584" i="1"/>
  <c r="I4583" i="1"/>
  <c r="B4583" i="1"/>
  <c r="I4582" i="1"/>
  <c r="B4582" i="1"/>
  <c r="I4581" i="1"/>
  <c r="B4581" i="1"/>
  <c r="I4580" i="1"/>
  <c r="B4580" i="1"/>
  <c r="I4579" i="1"/>
  <c r="B4579" i="1"/>
  <c r="I4578" i="1"/>
  <c r="B4578" i="1"/>
  <c r="I4577" i="1"/>
  <c r="B4577" i="1"/>
  <c r="I4576" i="1"/>
  <c r="B4576" i="1"/>
  <c r="I4575" i="1"/>
  <c r="B4575" i="1"/>
  <c r="I4574" i="1"/>
  <c r="B4574" i="1"/>
  <c r="I4573" i="1"/>
  <c r="B4573" i="1"/>
  <c r="I4572" i="1"/>
  <c r="B4572" i="1"/>
  <c r="I4571" i="1"/>
  <c r="B4571" i="1"/>
  <c r="I4570" i="1"/>
  <c r="B4570" i="1"/>
  <c r="I4569" i="1"/>
  <c r="B4569" i="1"/>
  <c r="I4568" i="1"/>
  <c r="B4568" i="1"/>
  <c r="I4567" i="1"/>
  <c r="B4567" i="1"/>
  <c r="I4566" i="1"/>
  <c r="B4566" i="1"/>
  <c r="I4565" i="1"/>
  <c r="B4565" i="1"/>
  <c r="I4564" i="1"/>
  <c r="B4564" i="1"/>
  <c r="I4563" i="1" l="1"/>
  <c r="B4563" i="1"/>
  <c r="I4562" i="1"/>
  <c r="B4562" i="1"/>
  <c r="I4561" i="1"/>
  <c r="B4561" i="1"/>
  <c r="I4560" i="1"/>
  <c r="B4560" i="1"/>
  <c r="I4559" i="1"/>
  <c r="B4559" i="1"/>
  <c r="I4558" i="1"/>
  <c r="B4558" i="1"/>
  <c r="I4557" i="1"/>
  <c r="B4557" i="1"/>
  <c r="I4556" i="1"/>
  <c r="B4556" i="1"/>
  <c r="I4555" i="1" l="1"/>
  <c r="B4555" i="1"/>
  <c r="I4554" i="1"/>
  <c r="B4554" i="1" l="1"/>
  <c r="I4553" i="1"/>
  <c r="B4553" i="1"/>
  <c r="I4552" i="1"/>
  <c r="B4552" i="1"/>
  <c r="I4551" i="1"/>
  <c r="B4551" i="1"/>
  <c r="I4550" i="1"/>
  <c r="B4550" i="1"/>
  <c r="I4549" i="1"/>
  <c r="B4549" i="1"/>
  <c r="I4548" i="1"/>
  <c r="B4548" i="1"/>
  <c r="I4547" i="1"/>
  <c r="B4547" i="1"/>
  <c r="I4546" i="1"/>
  <c r="B4546" i="1"/>
  <c r="I4545" i="1"/>
  <c r="B4545" i="1"/>
  <c r="I4544" i="1"/>
  <c r="B4544" i="1"/>
  <c r="I4543" i="1"/>
  <c r="B4543" i="1"/>
  <c r="I4542" i="1"/>
  <c r="B4542" i="1"/>
  <c r="I4541" i="1"/>
  <c r="B4541" i="1"/>
  <c r="I4540" i="1"/>
  <c r="B4540" i="1"/>
  <c r="I4539" i="1"/>
  <c r="B4539" i="1"/>
  <c r="I4538" i="1"/>
  <c r="B4538" i="1"/>
  <c r="I4537" i="1"/>
  <c r="B4537" i="1"/>
  <c r="I4536" i="1"/>
  <c r="B4536" i="1"/>
  <c r="I4535" i="1"/>
  <c r="B4535" i="1"/>
  <c r="I4534" i="1"/>
  <c r="B4534" i="1"/>
  <c r="I4533" i="1"/>
  <c r="B4533" i="1"/>
  <c r="I4532" i="1" l="1"/>
  <c r="B4532" i="1"/>
  <c r="I4531" i="1"/>
  <c r="B4531" i="1"/>
  <c r="I4530" i="1"/>
  <c r="B4530" i="1"/>
  <c r="I4529" i="1"/>
  <c r="B4529" i="1"/>
  <c r="I4528" i="1"/>
  <c r="B4528" i="1"/>
  <c r="I4527" i="1" l="1"/>
  <c r="B4527" i="1"/>
  <c r="I4526" i="1"/>
  <c r="B4526" i="1"/>
  <c r="I4525" i="1"/>
  <c r="B4525" i="1"/>
  <c r="I4524" i="1"/>
  <c r="B4524" i="1"/>
  <c r="I4523" i="1"/>
  <c r="B4523" i="1"/>
  <c r="I4522" i="1"/>
  <c r="B4522" i="1"/>
  <c r="I4521" i="1"/>
  <c r="B4521" i="1"/>
  <c r="I4520" i="1"/>
  <c r="B4520" i="1"/>
  <c r="I4519" i="1"/>
  <c r="B4519" i="1"/>
  <c r="I4518" i="1"/>
  <c r="B4518" i="1"/>
  <c r="I4517" i="1"/>
  <c r="B4517" i="1"/>
  <c r="I4516" i="1" l="1"/>
  <c r="B4516" i="1"/>
  <c r="I4515" i="1"/>
  <c r="B4515" i="1"/>
  <c r="I4514" i="1"/>
  <c r="B4514" i="1"/>
  <c r="I4513" i="1"/>
  <c r="B4513" i="1"/>
  <c r="I4512" i="1" l="1"/>
  <c r="B4512" i="1"/>
  <c r="I4511" i="1"/>
  <c r="B4511" i="1"/>
  <c r="I4510" i="1"/>
  <c r="B4510" i="1"/>
  <c r="I4509" i="1"/>
  <c r="B4509" i="1"/>
  <c r="I4508" i="1"/>
  <c r="B4508" i="1"/>
  <c r="I4507" i="1"/>
  <c r="B4507" i="1"/>
  <c r="I4506" i="1"/>
  <c r="B4506" i="1"/>
  <c r="I4505" i="1"/>
  <c r="B4505" i="1"/>
  <c r="I4504" i="1"/>
  <c r="B4504" i="1"/>
  <c r="I4503" i="1"/>
  <c r="B4503" i="1"/>
  <c r="I4502" i="1"/>
  <c r="B4502" i="1"/>
  <c r="I4501" i="1"/>
  <c r="B4501" i="1"/>
  <c r="I4499" i="1"/>
  <c r="B4499" i="1"/>
  <c r="I4498" i="1"/>
  <c r="B4498" i="1"/>
  <c r="I4497" i="1"/>
  <c r="B4497" i="1"/>
  <c r="I4496" i="1"/>
  <c r="B4496" i="1"/>
  <c r="I4476" i="1" l="1"/>
  <c r="B4476" i="1"/>
  <c r="I4495" i="1"/>
  <c r="B4495" i="1"/>
  <c r="I4494" i="1"/>
  <c r="B4494" i="1"/>
  <c r="I4493" i="1"/>
  <c r="B4493" i="1"/>
  <c r="I4492" i="1"/>
  <c r="B4492" i="1"/>
  <c r="I4491" i="1"/>
  <c r="B4491" i="1"/>
  <c r="I4490" i="1"/>
  <c r="B4490" i="1"/>
  <c r="I4489" i="1" l="1"/>
  <c r="B4489" i="1"/>
  <c r="I4488" i="1"/>
  <c r="B4488" i="1"/>
  <c r="I4487" i="1"/>
  <c r="B4487" i="1"/>
  <c r="I4486" i="1"/>
  <c r="B4486" i="1"/>
  <c r="I4485" i="1"/>
  <c r="B4485" i="1"/>
  <c r="I4484" i="1"/>
  <c r="B4484" i="1" l="1"/>
  <c r="I4483" i="1"/>
  <c r="B4483" i="1"/>
  <c r="I4482" i="1"/>
  <c r="B4482" i="1"/>
  <c r="I4481" i="1"/>
  <c r="B4481" i="1"/>
  <c r="I4480" i="1"/>
  <c r="B4480" i="1"/>
  <c r="I4479" i="1"/>
  <c r="B4479" i="1"/>
  <c r="I4478" i="1"/>
  <c r="B4478" i="1"/>
  <c r="I4477" i="1"/>
  <c r="B4477" i="1"/>
  <c r="I4475" i="1"/>
  <c r="B4475" i="1"/>
  <c r="I4474" i="1" l="1"/>
  <c r="B4474" i="1"/>
  <c r="I4473" i="1"/>
  <c r="B4473" i="1"/>
  <c r="I4472" i="1"/>
  <c r="B4472" i="1"/>
  <c r="I4471" i="1"/>
  <c r="B4471" i="1"/>
  <c r="I4470" i="1"/>
  <c r="B4470" i="1"/>
  <c r="I4469" i="1"/>
  <c r="B4469" i="1"/>
  <c r="I4468" i="1"/>
  <c r="B4468" i="1"/>
  <c r="I4467" i="1"/>
  <c r="B4467" i="1"/>
  <c r="I4466" i="1"/>
  <c r="B4466" i="1"/>
  <c r="I4465" i="1"/>
  <c r="B4465" i="1"/>
  <c r="I4464" i="1"/>
  <c r="B4464" i="1"/>
  <c r="I4463" i="1"/>
  <c r="B4463" i="1"/>
  <c r="I4462" i="1"/>
  <c r="B4462" i="1"/>
  <c r="I4461" i="1"/>
  <c r="B4461" i="1"/>
  <c r="I4460" i="1"/>
  <c r="B4460" i="1"/>
  <c r="I4459" i="1"/>
  <c r="B4459" i="1"/>
  <c r="I4458" i="1"/>
  <c r="B4458" i="1"/>
  <c r="I4457" i="1"/>
  <c r="B4457" i="1"/>
  <c r="I4456" i="1"/>
  <c r="B4456" i="1"/>
  <c r="I4455" i="1" l="1"/>
  <c r="B4455" i="1"/>
  <c r="I4454" i="1"/>
  <c r="B4454" i="1"/>
  <c r="I4453" i="1"/>
  <c r="B4453" i="1"/>
  <c r="I4452" i="1"/>
  <c r="B4452" i="1"/>
  <c r="I4451" i="1"/>
  <c r="B4451" i="1"/>
  <c r="I4450" i="1"/>
  <c r="B4450" i="1"/>
  <c r="I4449" i="1"/>
  <c r="B4449" i="1"/>
  <c r="I4448" i="1"/>
  <c r="B4448" i="1"/>
  <c r="I4447" i="1"/>
  <c r="B4447" i="1"/>
  <c r="I4446" i="1"/>
  <c r="B4446" i="1"/>
  <c r="I4445" i="1"/>
  <c r="B4445" i="1"/>
  <c r="I4444" i="1"/>
  <c r="B4444" i="1"/>
  <c r="I4443" i="1"/>
  <c r="B4443" i="1"/>
  <c r="I4442" i="1"/>
  <c r="B4442" i="1"/>
  <c r="I4441" i="1"/>
  <c r="B4441" i="1"/>
  <c r="I4440" i="1"/>
  <c r="B4440" i="1"/>
  <c r="I4439" i="1" l="1"/>
  <c r="B4439" i="1"/>
  <c r="I4438" i="1"/>
  <c r="B4438" i="1"/>
  <c r="I4437" i="1"/>
  <c r="B4437" i="1"/>
  <c r="I4436" i="1"/>
  <c r="B4436" i="1"/>
  <c r="I4435" i="1"/>
  <c r="B4435" i="1"/>
  <c r="B4434" i="1"/>
  <c r="I4434" i="1"/>
  <c r="I4433" i="1"/>
  <c r="B4433" i="1"/>
  <c r="I4432" i="1"/>
  <c r="B4432" i="1"/>
  <c r="I4431" i="1" l="1"/>
  <c r="B4431" i="1"/>
  <c r="I4430" i="1"/>
  <c r="B4430" i="1"/>
  <c r="I4421" i="1"/>
  <c r="I4426" i="1"/>
  <c r="I4429" i="1"/>
  <c r="B4429" i="1"/>
  <c r="I4428" i="1"/>
  <c r="B4428" i="1"/>
  <c r="I4427" i="1"/>
  <c r="B4427" i="1"/>
  <c r="B4426" i="1"/>
  <c r="I4425" i="1"/>
  <c r="B4425" i="1"/>
  <c r="I4424" i="1"/>
  <c r="B4424" i="1"/>
  <c r="I4423" i="1"/>
  <c r="B4423" i="1"/>
  <c r="I4422" i="1"/>
  <c r="B4422" i="1"/>
  <c r="B4421" i="1"/>
  <c r="I4420" i="1"/>
  <c r="B4420" i="1"/>
  <c r="I4419" i="1"/>
  <c r="B4419" i="1"/>
  <c r="I4418" i="1"/>
  <c r="B4418" i="1"/>
  <c r="I4417" i="1" l="1"/>
  <c r="B4417" i="1"/>
  <c r="I4416" i="1"/>
  <c r="B4416" i="1"/>
  <c r="I4415" i="1"/>
  <c r="B4415" i="1"/>
  <c r="I4414" i="1"/>
  <c r="B4414" i="1" l="1"/>
  <c r="I4413" i="1"/>
  <c r="B4413" i="1"/>
  <c r="I4412" i="1"/>
  <c r="B4412" i="1"/>
  <c r="I4411" i="1" l="1"/>
  <c r="B4411" i="1"/>
  <c r="I4410" i="1"/>
  <c r="B4410" i="1"/>
  <c r="I4409" i="1"/>
  <c r="B4409" i="1" l="1"/>
  <c r="I4408" i="1"/>
  <c r="B4408" i="1"/>
  <c r="I4407" i="1"/>
  <c r="B4407" i="1"/>
  <c r="I4406" i="1"/>
  <c r="B4406" i="1"/>
  <c r="I4405" i="1"/>
  <c r="B4405" i="1"/>
  <c r="I4404" i="1"/>
  <c r="B4404" i="1"/>
  <c r="I4403" i="1"/>
  <c r="B4403" i="1"/>
  <c r="I4402" i="1"/>
  <c r="I4401" i="1"/>
  <c r="B4402" i="1"/>
  <c r="B4401" i="1"/>
  <c r="I4400" i="1"/>
  <c r="B4400" i="1"/>
  <c r="I4399" i="1"/>
  <c r="B4399" i="1"/>
  <c r="I4398" i="1" l="1"/>
  <c r="B4398" i="1" l="1"/>
  <c r="I4397" i="1"/>
  <c r="B4397" i="1"/>
  <c r="I4396" i="1"/>
  <c r="B4396" i="1"/>
  <c r="I4395" i="1"/>
  <c r="B4395" i="1"/>
  <c r="I4394" i="1"/>
  <c r="B4394" i="1"/>
  <c r="I4393" i="1"/>
  <c r="B4393" i="1"/>
  <c r="I4392" i="1"/>
  <c r="B4392" i="1"/>
  <c r="I4391" i="1"/>
  <c r="B4391" i="1"/>
  <c r="I4390" i="1"/>
  <c r="B4390" i="1"/>
  <c r="I4389" i="1"/>
  <c r="B4389" i="1"/>
  <c r="I4388" i="1"/>
  <c r="B4388" i="1"/>
  <c r="I4387" i="1" l="1"/>
  <c r="B4387" i="1"/>
  <c r="I4386" i="1"/>
  <c r="B4386" i="1"/>
  <c r="I4385" i="1" l="1"/>
  <c r="B4385" i="1"/>
  <c r="I4384" i="1"/>
  <c r="B4384" i="1"/>
  <c r="I4383" i="1"/>
  <c r="B4383" i="1"/>
  <c r="I4382" i="1"/>
  <c r="B4382" i="1"/>
  <c r="I4381" i="1"/>
  <c r="B4381" i="1"/>
  <c r="I4380" i="1"/>
  <c r="B4380" i="1"/>
  <c r="I4379" i="1"/>
  <c r="B4379" i="1"/>
  <c r="I4378" i="1"/>
  <c r="B4378" i="1"/>
  <c r="I4377" i="1"/>
  <c r="B4377" i="1"/>
  <c r="I4376" i="1"/>
  <c r="B4376" i="1"/>
  <c r="I4375" i="1"/>
  <c r="B4375" i="1"/>
  <c r="I4374" i="1" l="1"/>
  <c r="B4374" i="1"/>
  <c r="I4373" i="1"/>
  <c r="B4373" i="1"/>
  <c r="I4372" i="1"/>
  <c r="B4372" i="1"/>
  <c r="I4371" i="1"/>
  <c r="B4371" i="1"/>
  <c r="I4370" i="1"/>
  <c r="B4370" i="1"/>
  <c r="I4369" i="1"/>
  <c r="B4369" i="1"/>
  <c r="I4368" i="1"/>
  <c r="B4368" i="1"/>
  <c r="I4367" i="1"/>
  <c r="B4367" i="1"/>
  <c r="I4366" i="1"/>
  <c r="B4366" i="1"/>
  <c r="I4365" i="1"/>
  <c r="B4365" i="1"/>
  <c r="I4364" i="1"/>
  <c r="B4364" i="1" l="1"/>
  <c r="I4363" i="1"/>
  <c r="B4363" i="1"/>
  <c r="I4362" i="1"/>
  <c r="B4362" i="1"/>
  <c r="I4361" i="1"/>
  <c r="B4361" i="1"/>
  <c r="I4360" i="1"/>
  <c r="B4360" i="1"/>
  <c r="I4359" i="1"/>
  <c r="B4359" i="1"/>
  <c r="I4358" i="1"/>
  <c r="B4358" i="1"/>
  <c r="I4357" i="1"/>
  <c r="B4357" i="1"/>
  <c r="I4356" i="1"/>
  <c r="B4356" i="1"/>
  <c r="I4355" i="1"/>
  <c r="B4355" i="1"/>
  <c r="I4354" i="1"/>
  <c r="B4354" i="1" l="1"/>
  <c r="I4353" i="1" l="1"/>
  <c r="B4353" i="1"/>
  <c r="I4352" i="1"/>
  <c r="B4352" i="1"/>
  <c r="I4351" i="1"/>
  <c r="B4351" i="1"/>
  <c r="I4350" i="1"/>
  <c r="B4350" i="1"/>
  <c r="I4349" i="1"/>
  <c r="B4349" i="1"/>
  <c r="I4348" i="1"/>
  <c r="B4348" i="1"/>
  <c r="I4347" i="1"/>
  <c r="B4347" i="1"/>
  <c r="B4346" i="1" l="1"/>
  <c r="I4346" i="1"/>
  <c r="I4345" i="1"/>
  <c r="B4345" i="1"/>
  <c r="I4344" i="1"/>
  <c r="B4344" i="1"/>
  <c r="I4343" i="1"/>
  <c r="B4343" i="1"/>
  <c r="I4342" i="1"/>
  <c r="B4342" i="1"/>
  <c r="I4341" i="1"/>
  <c r="B4341" i="1"/>
  <c r="I4340" i="1" l="1"/>
  <c r="B4340" i="1"/>
  <c r="I4339" i="1"/>
  <c r="B4339" i="1"/>
  <c r="I4338" i="1"/>
  <c r="B4338" i="1"/>
  <c r="I4337" i="1" l="1"/>
  <c r="B4337" i="1"/>
  <c r="I4336" i="1"/>
  <c r="B4336" i="1"/>
  <c r="I4335" i="1"/>
  <c r="B4335" i="1"/>
  <c r="I4334" i="1"/>
  <c r="B4334" i="1"/>
  <c r="I4333" i="1" l="1"/>
  <c r="B4333" i="1"/>
  <c r="B2" i="1"/>
  <c r="I4332" i="1"/>
  <c r="B4332" i="1"/>
  <c r="I4331" i="1"/>
  <c r="B4331" i="1"/>
  <c r="I4330" i="1"/>
  <c r="B4330" i="1"/>
  <c r="I4329" i="1"/>
  <c r="B4329" i="1"/>
  <c r="I4328" i="1"/>
  <c r="B4328" i="1"/>
  <c r="I4327" i="1"/>
  <c r="B4327" i="1"/>
  <c r="I4326" i="1"/>
  <c r="B4326" i="1"/>
  <c r="I4325" i="1"/>
  <c r="B4325" i="1"/>
  <c r="I4324" i="1"/>
  <c r="B4324" i="1"/>
  <c r="I4323" i="1"/>
  <c r="B4323" i="1"/>
  <c r="I4322" i="1"/>
  <c r="B4322" i="1"/>
  <c r="I4321" i="1"/>
  <c r="B4321" i="1"/>
  <c r="I4320" i="1" l="1"/>
  <c r="B4320" i="1"/>
  <c r="I4319" i="1"/>
  <c r="B4319" i="1"/>
  <c r="I4318" i="1"/>
  <c r="B4318" i="1" l="1"/>
  <c r="I4317" i="1"/>
  <c r="B4317" i="1"/>
  <c r="I4316" i="1"/>
  <c r="B4316" i="1"/>
  <c r="I4315" i="1"/>
  <c r="B4315" i="1"/>
  <c r="I4314" i="1" l="1"/>
  <c r="B4314" i="1"/>
  <c r="I4313" i="1" l="1"/>
  <c r="B4313" i="1"/>
  <c r="B4500" i="1"/>
  <c r="I4312" i="1"/>
  <c r="B4312" i="1"/>
  <c r="I4311" i="1"/>
  <c r="B4311" i="1"/>
  <c r="I4310" i="1"/>
  <c r="B4310" i="1"/>
  <c r="I4309" i="1"/>
  <c r="B4309" i="1"/>
  <c r="I4308" i="1"/>
  <c r="B4308" i="1"/>
  <c r="I4307" i="1"/>
  <c r="B4307" i="1"/>
  <c r="I4306" i="1"/>
  <c r="B4306" i="1" l="1"/>
  <c r="I4305" i="1"/>
  <c r="B4305" i="1"/>
  <c r="I4304" i="1"/>
  <c r="B4304" i="1"/>
  <c r="I4303" i="1"/>
  <c r="B4303" i="1"/>
  <c r="I4302" i="1" l="1"/>
  <c r="B4302" i="1"/>
  <c r="I4301" i="1"/>
  <c r="B4301" i="1"/>
  <c r="I4300" i="1"/>
  <c r="B4300" i="1"/>
  <c r="I4299" i="1"/>
  <c r="B4299" i="1"/>
  <c r="I4298" i="1"/>
  <c r="B4298" i="1"/>
  <c r="I4297" i="1"/>
  <c r="B4297" i="1"/>
  <c r="I4296" i="1"/>
  <c r="B4296" i="1"/>
  <c r="I4295" i="1"/>
  <c r="B4295" i="1"/>
  <c r="I4294" i="1"/>
  <c r="B4294" i="1"/>
  <c r="I4293" i="1"/>
  <c r="B4293" i="1"/>
  <c r="I4292" i="1"/>
  <c r="B4292" i="1"/>
  <c r="I4291" i="1"/>
  <c r="B4291" i="1"/>
  <c r="I4290" i="1"/>
  <c r="B4290" i="1"/>
  <c r="I4289" i="1"/>
  <c r="B4289" i="1"/>
  <c r="I4288" i="1"/>
  <c r="B4288" i="1"/>
  <c r="I4287" i="1"/>
  <c r="B4287" i="1"/>
  <c r="I4286" i="1"/>
  <c r="B4286" i="1"/>
  <c r="I4285" i="1"/>
  <c r="B4285" i="1"/>
  <c r="I4284" i="1"/>
  <c r="B4284" i="1" l="1"/>
  <c r="I4283" i="1"/>
  <c r="B4283" i="1"/>
  <c r="I4282" i="1"/>
  <c r="B4282" i="1"/>
  <c r="I4281" i="1"/>
  <c r="B4281" i="1"/>
  <c r="I4280" i="1"/>
  <c r="B4280" i="1"/>
  <c r="I4279" i="1"/>
  <c r="B4279" i="1"/>
  <c r="I4278" i="1"/>
  <c r="B4278" i="1"/>
  <c r="I4277" i="1"/>
  <c r="B4277" i="1"/>
  <c r="I4276" i="1"/>
  <c r="B4276" i="1"/>
  <c r="I4275" i="1"/>
  <c r="B4275" i="1"/>
  <c r="I4274" i="1"/>
  <c r="B4274" i="1" l="1"/>
  <c r="I4273" i="1"/>
  <c r="B4273" i="1"/>
  <c r="I4272" i="1"/>
  <c r="B4272" i="1"/>
  <c r="I4271" i="1"/>
  <c r="B4271" i="1"/>
  <c r="I4270" i="1"/>
  <c r="B4270" i="1"/>
  <c r="I4269" i="1"/>
  <c r="B4269" i="1"/>
  <c r="I4268" i="1"/>
  <c r="B4268" i="1"/>
  <c r="I4267" i="1"/>
  <c r="B4267" i="1"/>
  <c r="I4266" i="1"/>
  <c r="B4266" i="1"/>
  <c r="I4265" i="1"/>
  <c r="B4265" i="1"/>
  <c r="I4264" i="1"/>
  <c r="B4264" i="1"/>
  <c r="I4263" i="1" l="1"/>
  <c r="B4263" i="1"/>
  <c r="I4262" i="1"/>
  <c r="B4262" i="1"/>
  <c r="I4261" i="1" l="1"/>
  <c r="B4261" i="1"/>
  <c r="I4260" i="1"/>
  <c r="B4260" i="1"/>
  <c r="I4259" i="1"/>
  <c r="B4259" i="1"/>
  <c r="I4258" i="1"/>
  <c r="I4257" i="1"/>
  <c r="B4258" i="1"/>
  <c r="B4257" i="1"/>
  <c r="I4256" i="1"/>
  <c r="B4256" i="1"/>
  <c r="I4255" i="1"/>
  <c r="B4255" i="1"/>
  <c r="I4254" i="1"/>
  <c r="B4254" i="1"/>
  <c r="I4253" i="1" l="1"/>
  <c r="B4253" i="1"/>
  <c r="I4252" i="1"/>
  <c r="B4252" i="1"/>
  <c r="I4251" i="1"/>
  <c r="B4251" i="1"/>
  <c r="I4250" i="1"/>
  <c r="I4249" i="1"/>
  <c r="B4250" i="1"/>
  <c r="B4249" i="1"/>
  <c r="I4248" i="1"/>
  <c r="B4248" i="1"/>
  <c r="I4247" i="1" l="1"/>
  <c r="B4247" i="1"/>
  <c r="I4246" i="1"/>
  <c r="B4246" i="1"/>
  <c r="I4245" i="1"/>
  <c r="B4245" i="1"/>
  <c r="I4244" i="1"/>
  <c r="B4244" i="1"/>
  <c r="I4243" i="1"/>
  <c r="B4243" i="1"/>
  <c r="I4242" i="1"/>
  <c r="B4242" i="1"/>
  <c r="I4241" i="1"/>
  <c r="B4241" i="1"/>
  <c r="I4240" i="1"/>
  <c r="B4240" i="1"/>
  <c r="I4239" i="1"/>
  <c r="B4239" i="1"/>
  <c r="I4238" i="1"/>
  <c r="B4238" i="1"/>
  <c r="I4237" i="1"/>
  <c r="B4237" i="1"/>
  <c r="I4236" i="1"/>
  <c r="B4236" i="1"/>
  <c r="I4235" i="1" l="1"/>
  <c r="B4235" i="1"/>
  <c r="I4234" i="1"/>
  <c r="B4234" i="1"/>
  <c r="I4233" i="1"/>
  <c r="B4233" i="1"/>
  <c r="I4232" i="1"/>
  <c r="B4232" i="1" l="1"/>
  <c r="I4231" i="1"/>
  <c r="B4231" i="1"/>
  <c r="I4230" i="1"/>
  <c r="B4230" i="1"/>
  <c r="I4229" i="1"/>
  <c r="B4229" i="1"/>
  <c r="I4228" i="1"/>
  <c r="B4228" i="1"/>
  <c r="I4227" i="1"/>
  <c r="B4227" i="1"/>
  <c r="I4226" i="1" l="1"/>
  <c r="B4226" i="1"/>
  <c r="I4199" i="1"/>
  <c r="I4225" i="1"/>
  <c r="B4225" i="1"/>
  <c r="I4224" i="1" l="1"/>
  <c r="B4224" i="1"/>
  <c r="I4223" i="1"/>
  <c r="B4223" i="1"/>
  <c r="I4222" i="1"/>
  <c r="B4222" i="1"/>
  <c r="I4221" i="1"/>
  <c r="B4221" i="1"/>
  <c r="I4220" i="1"/>
  <c r="B4220" i="1"/>
  <c r="I4219" i="1" l="1"/>
  <c r="B4219" i="1"/>
  <c r="I4218" i="1"/>
  <c r="B4218" i="1"/>
  <c r="I4217" i="1"/>
  <c r="B4217" i="1"/>
  <c r="I4216" i="1" l="1"/>
  <c r="B4216" i="1"/>
  <c r="I4215" i="1"/>
  <c r="B4215" i="1"/>
  <c r="I4214" i="1"/>
  <c r="B4214" i="1"/>
  <c r="I4213" i="1" l="1"/>
  <c r="B4213" i="1"/>
  <c r="I4212" i="1"/>
  <c r="B4212" i="1"/>
  <c r="I4211" i="1"/>
  <c r="B4211" i="1"/>
  <c r="I4210" i="1"/>
  <c r="B4210" i="1"/>
  <c r="I4209" i="1"/>
  <c r="B4209" i="1"/>
  <c r="I4208" i="1"/>
  <c r="B4208" i="1"/>
  <c r="I4207" i="1"/>
  <c r="B4207" i="1"/>
  <c r="I4206" i="1"/>
  <c r="B4206" i="1"/>
  <c r="I4205" i="1"/>
  <c r="B4205" i="1"/>
  <c r="I4204" i="1"/>
  <c r="B4204" i="1"/>
  <c r="I4203" i="1" l="1"/>
  <c r="B4203" i="1"/>
  <c r="I4202" i="1"/>
  <c r="B4202" i="1"/>
  <c r="I4201" i="1"/>
  <c r="B4201" i="1"/>
  <c r="I4200" i="1"/>
  <c r="B4200" i="1"/>
  <c r="B4199" i="1"/>
  <c r="I4198" i="1"/>
  <c r="B4198" i="1"/>
  <c r="I4197" i="1"/>
  <c r="B4197" i="1"/>
  <c r="I4196" i="1"/>
  <c r="B4196" i="1"/>
  <c r="I4195" i="1"/>
  <c r="B4195" i="1"/>
  <c r="I4194" i="1"/>
  <c r="B4194" i="1"/>
  <c r="I4193" i="1"/>
  <c r="B4193" i="1"/>
  <c r="I4192" i="1"/>
  <c r="B4192" i="1"/>
  <c r="I4191" i="1"/>
  <c r="B4191" i="1"/>
  <c r="I4190" i="1"/>
  <c r="B4190" i="1"/>
  <c r="I4189" i="1"/>
  <c r="B4189" i="1"/>
  <c r="I4188" i="1"/>
  <c r="B4188" i="1"/>
  <c r="I4187" i="1"/>
  <c r="B4187" i="1"/>
  <c r="I4186" i="1"/>
  <c r="B4186" i="1"/>
  <c r="I4185" i="1" l="1"/>
  <c r="B4185" i="1"/>
  <c r="I4184" i="1"/>
  <c r="B4184" i="1"/>
  <c r="I4183" i="1"/>
  <c r="B4183" i="1"/>
  <c r="I4182" i="1"/>
  <c r="B4182" i="1"/>
  <c r="I4181" i="1"/>
  <c r="B4181" i="1"/>
  <c r="I4180" i="1"/>
  <c r="B4180" i="1"/>
  <c r="I4179" i="1"/>
  <c r="B4179" i="1"/>
  <c r="I4178" i="1"/>
  <c r="B4178" i="1"/>
  <c r="I4177" i="1"/>
  <c r="B4177" i="1"/>
  <c r="I4176" i="1"/>
  <c r="B4176" i="1"/>
  <c r="I4175" i="1"/>
  <c r="B4175" i="1"/>
  <c r="I4174" i="1"/>
  <c r="B4174" i="1"/>
  <c r="I4173" i="1"/>
  <c r="B4173" i="1"/>
  <c r="I4172" i="1"/>
  <c r="B4172" i="1"/>
  <c r="I4171" i="1"/>
  <c r="B4171" i="1" l="1"/>
  <c r="I4170" i="1"/>
  <c r="B4170" i="1"/>
  <c r="I4169" i="1"/>
  <c r="B4169" i="1"/>
  <c r="I4168" i="1"/>
  <c r="B4168" i="1"/>
  <c r="I4167" i="1"/>
  <c r="B4167" i="1"/>
  <c r="I4166" i="1"/>
  <c r="B4166" i="1"/>
  <c r="I4165" i="1"/>
  <c r="B4165" i="1"/>
  <c r="I4164" i="1"/>
  <c r="B4164" i="1"/>
  <c r="I4163" i="1"/>
  <c r="B4163" i="1"/>
  <c r="I4162" i="1"/>
  <c r="B4162" i="1"/>
  <c r="I4161" i="1"/>
  <c r="B4161" i="1"/>
  <c r="I4160" i="1"/>
  <c r="B4160" i="1"/>
  <c r="I4159" i="1"/>
  <c r="B4159" i="1"/>
  <c r="I4158" i="1"/>
  <c r="B4158" i="1"/>
  <c r="I4157" i="1"/>
  <c r="B4157" i="1"/>
  <c r="I4156" i="1"/>
  <c r="B4156" i="1"/>
  <c r="I4155" i="1"/>
  <c r="B4155" i="1"/>
  <c r="I4154" i="1"/>
  <c r="B4154" i="1"/>
  <c r="I4153" i="1"/>
  <c r="B4153" i="1"/>
  <c r="I4152" i="1" l="1"/>
  <c r="B4152" i="1"/>
  <c r="I4151" i="1"/>
  <c r="B4151" i="1"/>
  <c r="I4150" i="1"/>
  <c r="B4150" i="1" l="1"/>
  <c r="I4149" i="1"/>
  <c r="B4149" i="1"/>
  <c r="I4148" i="1"/>
  <c r="B4148" i="1"/>
  <c r="I4147" i="1"/>
  <c r="B4147" i="1"/>
  <c r="I4146" i="1"/>
  <c r="B4146" i="1"/>
  <c r="I4145" i="1" l="1"/>
  <c r="B4145" i="1"/>
  <c r="I4144" i="1"/>
  <c r="B4144" i="1"/>
  <c r="I4143" i="1"/>
  <c r="B4143" i="1"/>
  <c r="I4140" i="1"/>
  <c r="I4142" i="1"/>
  <c r="B4142" i="1"/>
  <c r="I4141" i="1"/>
  <c r="B4141" i="1"/>
  <c r="B4140" i="1"/>
  <c r="I4139" i="1" l="1"/>
  <c r="B4139" i="1"/>
  <c r="I4138" i="1"/>
  <c r="B4138" i="1"/>
  <c r="I4137" i="1"/>
  <c r="B4137" i="1"/>
  <c r="I4136" i="1"/>
  <c r="B4136" i="1"/>
  <c r="I4135" i="1"/>
  <c r="B4135" i="1"/>
  <c r="I4134" i="1"/>
  <c r="B4134" i="1"/>
  <c r="I4133" i="1"/>
  <c r="B4133" i="1"/>
  <c r="I4132" i="1"/>
  <c r="B4132" i="1"/>
  <c r="I4131" i="1"/>
  <c r="B4131" i="1"/>
  <c r="I4130" i="1"/>
  <c r="B4130" i="1"/>
  <c r="I4129" i="1"/>
  <c r="B4129" i="1" l="1"/>
  <c r="I4127" i="1"/>
  <c r="I4128" i="1"/>
  <c r="B4128" i="1"/>
  <c r="B4127" i="1"/>
  <c r="I4126" i="1"/>
  <c r="B4126" i="1"/>
  <c r="I4125" i="1"/>
  <c r="B4125" i="1"/>
  <c r="I4124" i="1"/>
  <c r="B4124" i="1"/>
  <c r="I4123" i="1"/>
  <c r="B4123" i="1"/>
  <c r="I4122" i="1"/>
  <c r="B4122" i="1"/>
  <c r="I4121" i="1"/>
  <c r="B4121" i="1"/>
  <c r="I4120" i="1"/>
  <c r="B4120" i="1"/>
  <c r="I4119" i="1"/>
  <c r="B4119" i="1"/>
  <c r="I4118" i="1"/>
  <c r="B4118" i="1"/>
  <c r="I4117" i="1"/>
  <c r="B4117" i="1"/>
  <c r="I4116" i="1"/>
  <c r="B4116" i="1"/>
  <c r="I4115" i="1"/>
  <c r="B4115" i="1"/>
  <c r="I4114" i="1"/>
  <c r="B4114" i="1"/>
  <c r="I4113" i="1"/>
  <c r="B4113" i="1"/>
  <c r="I4112" i="1"/>
  <c r="B4112" i="1"/>
  <c r="I4111" i="1"/>
  <c r="B4111" i="1"/>
  <c r="I4110" i="1"/>
  <c r="B4110" i="1"/>
  <c r="I4109" i="1"/>
  <c r="B4109" i="1"/>
  <c r="I4108" i="1"/>
  <c r="B4108" i="1"/>
  <c r="I4107" i="1"/>
  <c r="B4107" i="1"/>
  <c r="I4106" i="1"/>
  <c r="B4106" i="1"/>
  <c r="I4105" i="1"/>
  <c r="B4105" i="1"/>
  <c r="I4104" i="1"/>
  <c r="B4104" i="1"/>
  <c r="I4103" i="1" l="1"/>
  <c r="B4103" i="1"/>
  <c r="I4102" i="1"/>
  <c r="B4102" i="1"/>
  <c r="I4101" i="1"/>
  <c r="B4101" i="1"/>
  <c r="I4100" i="1"/>
  <c r="B4100" i="1"/>
  <c r="I4099" i="1"/>
  <c r="B4099" i="1"/>
  <c r="I4098" i="1" l="1"/>
  <c r="B4098" i="1"/>
  <c r="I4097" i="1"/>
  <c r="B4097" i="1"/>
  <c r="I4096" i="1"/>
  <c r="B4096" i="1"/>
  <c r="I4095" i="1"/>
  <c r="B4095" i="1"/>
  <c r="I4094" i="1"/>
  <c r="B4094" i="1"/>
  <c r="I4093" i="1"/>
  <c r="B4093" i="1"/>
  <c r="I4092" i="1"/>
  <c r="B4092" i="1"/>
  <c r="I4091" i="1"/>
  <c r="B4091" i="1"/>
  <c r="I4090" i="1"/>
  <c r="B4090" i="1"/>
  <c r="I4089" i="1"/>
  <c r="B4089" i="1"/>
  <c r="I4088" i="1" l="1"/>
  <c r="B4088" i="1"/>
  <c r="I4087" i="1"/>
  <c r="B4087" i="1"/>
  <c r="I4086" i="1"/>
  <c r="B4086" i="1"/>
  <c r="I4083" i="1" l="1"/>
  <c r="B4083" i="1"/>
  <c r="I4082" i="1"/>
  <c r="B4082" i="1"/>
  <c r="I4081" i="1"/>
  <c r="B4081" i="1"/>
  <c r="I4080" i="1"/>
  <c r="B4080" i="1"/>
  <c r="I4079" i="1"/>
  <c r="B4079" i="1"/>
  <c r="I4078" i="1"/>
  <c r="B4078" i="1"/>
  <c r="I4077" i="1"/>
  <c r="B4077" i="1"/>
  <c r="I4076" i="1"/>
  <c r="B4076" i="1"/>
  <c r="I4075" i="1"/>
  <c r="B4075" i="1"/>
  <c r="I4074" i="1"/>
  <c r="B4074" i="1"/>
  <c r="I4073" i="1"/>
  <c r="B4073" i="1"/>
  <c r="I4072" i="1"/>
  <c r="B4072" i="1"/>
  <c r="I4071" i="1"/>
  <c r="B4071" i="1"/>
  <c r="I4070" i="1"/>
  <c r="B4070" i="1"/>
  <c r="I4069" i="1"/>
  <c r="B4069" i="1"/>
  <c r="I4068" i="1" l="1"/>
  <c r="B4068" i="1"/>
  <c r="B4067" i="1"/>
  <c r="I4067" i="1"/>
  <c r="I4066" i="1"/>
  <c r="B4066" i="1"/>
  <c r="I4065" i="1"/>
  <c r="B4065" i="1"/>
  <c r="I4064" i="1"/>
  <c r="B4064" i="1"/>
  <c r="I4063" i="1"/>
  <c r="B4063" i="1"/>
  <c r="I4062" i="1"/>
  <c r="B4062" i="1"/>
  <c r="I4061" i="1"/>
  <c r="B4061" i="1"/>
  <c r="I4060" i="1"/>
  <c r="B4060" i="1"/>
  <c r="I4059" i="1"/>
  <c r="B4059" i="1"/>
  <c r="I4058" i="1"/>
  <c r="B4058" i="1"/>
  <c r="I4057" i="1"/>
  <c r="B4057" i="1"/>
  <c r="I4056" i="1"/>
  <c r="B4056" i="1"/>
  <c r="I4055" i="1"/>
  <c r="B4055" i="1"/>
  <c r="I4054" i="1"/>
  <c r="B4054" i="1"/>
  <c r="I4053" i="1"/>
  <c r="B4053" i="1"/>
  <c r="I4052" i="1"/>
  <c r="B4052" i="1"/>
  <c r="I4051" i="1"/>
  <c r="B4051" i="1" l="1"/>
  <c r="I4050" i="1"/>
  <c r="I4049" i="1"/>
  <c r="B4050" i="1"/>
  <c r="B4049" i="1"/>
  <c r="I4048" i="1"/>
  <c r="B4048" i="1"/>
  <c r="I4047" i="1"/>
  <c r="B4047" i="1"/>
  <c r="I4046" i="1"/>
  <c r="B4046" i="1"/>
  <c r="I4045" i="1"/>
  <c r="B4045" i="1"/>
  <c r="I4044" i="1"/>
  <c r="B4044" i="1"/>
  <c r="I4043" i="1"/>
  <c r="B4043" i="1"/>
  <c r="I4042" i="1"/>
  <c r="B4042" i="1"/>
  <c r="I4041" i="1"/>
  <c r="B4041" i="1"/>
  <c r="I4040" i="1"/>
  <c r="B4040" i="1"/>
  <c r="I4039" i="1"/>
  <c r="B4039" i="1"/>
  <c r="I4038" i="1"/>
  <c r="B4038" i="1"/>
  <c r="I4037" i="1"/>
  <c r="B4037" i="1"/>
  <c r="I4036" i="1"/>
  <c r="B4036" i="1"/>
  <c r="I4035" i="1"/>
  <c r="B4035" i="1"/>
  <c r="I4034" i="1"/>
  <c r="B4034" i="1"/>
  <c r="I4033" i="1"/>
  <c r="B4033" i="1"/>
  <c r="I4032" i="1"/>
  <c r="B4032" i="1"/>
  <c r="I4031" i="1"/>
  <c r="B4031" i="1"/>
  <c r="I4030" i="1"/>
  <c r="B4030" i="1"/>
  <c r="I4029" i="1"/>
  <c r="B4029" i="1"/>
  <c r="I4028" i="1"/>
  <c r="B4028" i="1"/>
  <c r="I4027" i="1"/>
  <c r="B4027" i="1"/>
  <c r="I4026" i="1" l="1"/>
  <c r="B4026" i="1"/>
  <c r="I4025" i="1"/>
  <c r="B4025" i="1"/>
  <c r="I4024" i="1"/>
  <c r="B4024" i="1"/>
  <c r="I4023" i="1" l="1"/>
  <c r="B4023" i="1"/>
  <c r="I4022" i="1"/>
  <c r="B4022" i="1"/>
  <c r="I4021" i="1"/>
  <c r="B4021" i="1"/>
  <c r="I4020" i="1"/>
  <c r="B4020" i="1"/>
  <c r="I4019" i="1" l="1"/>
  <c r="B4019" i="1"/>
  <c r="I4018" i="1" l="1"/>
  <c r="B4018" i="1"/>
  <c r="I4017" i="1"/>
  <c r="B4017" i="1"/>
  <c r="I4016" i="1"/>
  <c r="B4016" i="1"/>
  <c r="I4015" i="1"/>
  <c r="B4015" i="1"/>
  <c r="I4014" i="1"/>
  <c r="B4014" i="1"/>
  <c r="I4013" i="1"/>
  <c r="B4013" i="1"/>
  <c r="I4012" i="1"/>
  <c r="B4012" i="1"/>
  <c r="I4011" i="1"/>
  <c r="B4011" i="1"/>
  <c r="I4010" i="1"/>
  <c r="B4010" i="1"/>
  <c r="B4009" i="1"/>
  <c r="I4009" i="1"/>
  <c r="I4008" i="1"/>
  <c r="B4008" i="1"/>
  <c r="I4007" i="1"/>
  <c r="B4007" i="1"/>
  <c r="I4006" i="1"/>
  <c r="B4006" i="1"/>
  <c r="I4005" i="1"/>
  <c r="B4005" i="1"/>
  <c r="I4004" i="1"/>
  <c r="B4004" i="1"/>
  <c r="I4003" i="1"/>
  <c r="B4003" i="1"/>
  <c r="I4002" i="1"/>
  <c r="B4002" i="1"/>
  <c r="I4001" i="1"/>
  <c r="B4001" i="1"/>
  <c r="I4000" i="1"/>
  <c r="B4000" i="1"/>
  <c r="I3999" i="1"/>
  <c r="B3999" i="1"/>
  <c r="I3998" i="1"/>
  <c r="B3998" i="1"/>
  <c r="I3997" i="1"/>
  <c r="B3997" i="1"/>
  <c r="I3996" i="1"/>
  <c r="B3996" i="1"/>
  <c r="I3995" i="1"/>
  <c r="B3995" i="1"/>
  <c r="I3994" i="1"/>
  <c r="B3994" i="1"/>
  <c r="I3993" i="1"/>
  <c r="B3993" i="1"/>
  <c r="I3992" i="1"/>
  <c r="B3992" i="1"/>
  <c r="I3991" i="1"/>
  <c r="B3991" i="1"/>
  <c r="I3990" i="1"/>
  <c r="B3990" i="1"/>
  <c r="I3988" i="1"/>
  <c r="I3989" i="1"/>
  <c r="B3989" i="1"/>
  <c r="B3988" i="1"/>
  <c r="I3987" i="1"/>
  <c r="B3987" i="1"/>
  <c r="I3986" i="1"/>
  <c r="B3986" i="1"/>
  <c r="I3985" i="1"/>
  <c r="B3985" i="1"/>
  <c r="I3984" i="1"/>
  <c r="B3984" i="1"/>
  <c r="I3983" i="1"/>
  <c r="B3983" i="1"/>
  <c r="I3982" i="1"/>
  <c r="B3982" i="1"/>
  <c r="I3981" i="1"/>
  <c r="B3981" i="1"/>
  <c r="I3980" i="1"/>
  <c r="B3980" i="1"/>
  <c r="I3979" i="1"/>
  <c r="B3979" i="1"/>
  <c r="I3978" i="1"/>
  <c r="B3978" i="1"/>
  <c r="I3977" i="1"/>
  <c r="B3977" i="1"/>
  <c r="I3976" i="1"/>
  <c r="B3976" i="1"/>
  <c r="I3975" i="1"/>
  <c r="B3975" i="1"/>
  <c r="I3974" i="1"/>
  <c r="B3974" i="1"/>
  <c r="I3973" i="1"/>
  <c r="B3973" i="1"/>
  <c r="I3972" i="1"/>
  <c r="B3972" i="1"/>
  <c r="I3971" i="1"/>
  <c r="B3971" i="1"/>
  <c r="I3970" i="1"/>
  <c r="B3970" i="1"/>
  <c r="I3969" i="1"/>
  <c r="B3969" i="1"/>
  <c r="I3968" i="1"/>
  <c r="B3968" i="1"/>
  <c r="I3967" i="1"/>
  <c r="B3967" i="1"/>
  <c r="I3966" i="1"/>
  <c r="B3966" i="1"/>
  <c r="I3965" i="1"/>
  <c r="B3965" i="1"/>
  <c r="I3964" i="1"/>
  <c r="B3964" i="1"/>
  <c r="I3963" i="1"/>
  <c r="I4085" i="1"/>
  <c r="B3963" i="1"/>
  <c r="I3962" i="1"/>
  <c r="B3962" i="1"/>
  <c r="I3961" i="1"/>
  <c r="B3961" i="1"/>
  <c r="I3960" i="1"/>
  <c r="B3960" i="1"/>
  <c r="I3959" i="1"/>
  <c r="B3959" i="1"/>
  <c r="I3958" i="1"/>
  <c r="B3958" i="1"/>
  <c r="I3957" i="1"/>
  <c r="B3957" i="1"/>
  <c r="I3956" i="1"/>
  <c r="B3956" i="1"/>
  <c r="I3955" i="1"/>
  <c r="B3955" i="1"/>
  <c r="I3954" i="1"/>
  <c r="B3954" i="1"/>
  <c r="I3953" i="1"/>
  <c r="B3953" i="1"/>
  <c r="I3952" i="1"/>
  <c r="B3952" i="1"/>
  <c r="I3951" i="1"/>
  <c r="B3951" i="1"/>
  <c r="I3950" i="1"/>
  <c r="B3950" i="1"/>
  <c r="I3949" i="1"/>
  <c r="B3949" i="1"/>
  <c r="I3948" i="1"/>
  <c r="B3948" i="1"/>
  <c r="I3947" i="1"/>
  <c r="B3947" i="1"/>
  <c r="I3946" i="1"/>
  <c r="B3946" i="1"/>
  <c r="I3945" i="1"/>
  <c r="B3945" i="1"/>
  <c r="I3944" i="1"/>
  <c r="B3944" i="1"/>
  <c r="I3943" i="1"/>
  <c r="B3943" i="1" l="1"/>
  <c r="I3942" i="1"/>
  <c r="B3942" i="1"/>
  <c r="I3941" i="1"/>
  <c r="B3941" i="1"/>
  <c r="I3940" i="1"/>
  <c r="B3940" i="1"/>
  <c r="I3939" i="1"/>
  <c r="B3939" i="1"/>
  <c r="I3938" i="1"/>
  <c r="B3938" i="1"/>
  <c r="I3937" i="1"/>
  <c r="B3937" i="1"/>
  <c r="B4085" i="1"/>
  <c r="I4084" i="1"/>
  <c r="B4084" i="1"/>
  <c r="I3930" i="1"/>
  <c r="B3930" i="1"/>
  <c r="I3936" i="1"/>
  <c r="B3936" i="1"/>
  <c r="I3935" i="1"/>
  <c r="B3935" i="1"/>
  <c r="I3934" i="1"/>
  <c r="B3934" i="1"/>
  <c r="I3933" i="1"/>
  <c r="B3933" i="1"/>
  <c r="I3932" i="1"/>
  <c r="B3932" i="1"/>
  <c r="I3931" i="1"/>
  <c r="B3931" i="1"/>
  <c r="I3929" i="1"/>
  <c r="B3929" i="1"/>
  <c r="I3928" i="1"/>
  <c r="B3928" i="1"/>
  <c r="I3927" i="1"/>
  <c r="B3927" i="1"/>
  <c r="I3926" i="1"/>
  <c r="B3926" i="1"/>
  <c r="I3925" i="1"/>
  <c r="B3925" i="1"/>
  <c r="I3924" i="1"/>
  <c r="B3924" i="1"/>
  <c r="I3923" i="1"/>
  <c r="B3923" i="1"/>
  <c r="I3922" i="1"/>
  <c r="B3922" i="1"/>
  <c r="I3921" i="1"/>
  <c r="B3921" i="1"/>
  <c r="I3920" i="1"/>
  <c r="B3920" i="1"/>
  <c r="I3919" i="1"/>
  <c r="B3919" i="1"/>
  <c r="I3918" i="1"/>
  <c r="B3918" i="1"/>
  <c r="I3917" i="1"/>
  <c r="B3917" i="1"/>
  <c r="I3916" i="1"/>
  <c r="B3916" i="1"/>
  <c r="I3915" i="1"/>
  <c r="B3915" i="1"/>
  <c r="I3896" i="1"/>
  <c r="I3914" i="1"/>
  <c r="B3914" i="1"/>
  <c r="I3913" i="1"/>
  <c r="B3913" i="1"/>
  <c r="I3912" i="1"/>
  <c r="B3912" i="1"/>
  <c r="I3911" i="1"/>
  <c r="B3911" i="1"/>
  <c r="I3910" i="1"/>
  <c r="B3910" i="1"/>
  <c r="I3909" i="1"/>
  <c r="B3909" i="1"/>
  <c r="I3908" i="1"/>
  <c r="B3908" i="1"/>
  <c r="I3907" i="1"/>
  <c r="B3907" i="1"/>
  <c r="I3906" i="1"/>
  <c r="B3906" i="1"/>
  <c r="I3905" i="1"/>
  <c r="B3905" i="1"/>
  <c r="I3904" i="1" l="1"/>
  <c r="B3904" i="1"/>
  <c r="I3903" i="1"/>
  <c r="B3903" i="1"/>
  <c r="I3902" i="1"/>
  <c r="B3902" i="1"/>
  <c r="I3901" i="1"/>
  <c r="B3901" i="1"/>
  <c r="I3900" i="1"/>
  <c r="B3900" i="1"/>
  <c r="I3899" i="1"/>
  <c r="B3899" i="1"/>
  <c r="I3898" i="1"/>
  <c r="B3898" i="1"/>
  <c r="I3897" i="1"/>
  <c r="B3897" i="1"/>
  <c r="B3896" i="1"/>
  <c r="I3895" i="1"/>
  <c r="B3895" i="1"/>
  <c r="I3894" i="1"/>
  <c r="B3894" i="1"/>
  <c r="I3893" i="1"/>
  <c r="B3893" i="1"/>
  <c r="I3892" i="1"/>
  <c r="B3892" i="1"/>
  <c r="I3891" i="1"/>
  <c r="B3891" i="1"/>
  <c r="I3890" i="1"/>
  <c r="B3890" i="1"/>
  <c r="I3889" i="1"/>
  <c r="B3889" i="1"/>
  <c r="I3888" i="1"/>
  <c r="B3888" i="1"/>
  <c r="I3887" i="1"/>
  <c r="B3887" i="1"/>
  <c r="I3886" i="1"/>
  <c r="B3886" i="1"/>
  <c r="I3885" i="1"/>
  <c r="B3885" i="1"/>
  <c r="I3884" i="1"/>
  <c r="B3884" i="1"/>
  <c r="I3883" i="1" l="1"/>
  <c r="B3883" i="1"/>
  <c r="I3882" i="1"/>
  <c r="B3882" i="1"/>
  <c r="I3881" i="1"/>
  <c r="B3881" i="1"/>
  <c r="I3880" i="1" l="1"/>
  <c r="B3880" i="1"/>
  <c r="I3879" i="1"/>
  <c r="B3879" i="1"/>
  <c r="I3878" i="1"/>
  <c r="B3878" i="1"/>
  <c r="I3877" i="1"/>
  <c r="B3877" i="1"/>
  <c r="I3876" i="1"/>
  <c r="B3876" i="1"/>
  <c r="I3875" i="1"/>
  <c r="B3875" i="1"/>
  <c r="I3874" i="1"/>
  <c r="B3874" i="1"/>
  <c r="I3873" i="1"/>
  <c r="B3873" i="1"/>
  <c r="I3872" i="1"/>
  <c r="B3872" i="1"/>
  <c r="I3871" i="1"/>
  <c r="B3871" i="1"/>
  <c r="I3870" i="1" l="1"/>
  <c r="B3870" i="1"/>
  <c r="I3869" i="1"/>
  <c r="F3869" i="1"/>
  <c r="B3869" i="1"/>
  <c r="I3868" i="1"/>
  <c r="B3868" i="1"/>
  <c r="I3867" i="1"/>
  <c r="B3867" i="1"/>
  <c r="I3866" i="1"/>
  <c r="B3866" i="1"/>
  <c r="I3865" i="1"/>
  <c r="B3865" i="1"/>
  <c r="I3864" i="1"/>
  <c r="B3864" i="1"/>
  <c r="I3863" i="1"/>
  <c r="B3863" i="1"/>
  <c r="I3862" i="1" l="1"/>
  <c r="B3862" i="1"/>
  <c r="I3861" i="1"/>
  <c r="B3861" i="1"/>
  <c r="I3860" i="1"/>
  <c r="B3860" i="1"/>
  <c r="I3859" i="1"/>
  <c r="B3859" i="1"/>
  <c r="I3858" i="1"/>
  <c r="B3858" i="1"/>
  <c r="I3857" i="1"/>
  <c r="B3857" i="1"/>
  <c r="I3856" i="1"/>
  <c r="B3856" i="1"/>
  <c r="I3855" i="1"/>
  <c r="B3855" i="1"/>
  <c r="I3854" i="1"/>
  <c r="B3854" i="1"/>
  <c r="I3853" i="1"/>
  <c r="B3853" i="1"/>
  <c r="I3852" i="1"/>
  <c r="B3852" i="1"/>
  <c r="I3851" i="1"/>
  <c r="B3851" i="1"/>
  <c r="I3850" i="1"/>
  <c r="B3850" i="1"/>
  <c r="I3849" i="1"/>
  <c r="B3849" i="1"/>
  <c r="I3848" i="1"/>
  <c r="B3848" i="1"/>
  <c r="I3847" i="1"/>
  <c r="B3847" i="1"/>
  <c r="I3846" i="1"/>
  <c r="B3846" i="1"/>
  <c r="I3845" i="1"/>
  <c r="B3845" i="1"/>
  <c r="I3844" i="1"/>
  <c r="B3844" i="1"/>
  <c r="I3843" i="1"/>
  <c r="B3843" i="1"/>
  <c r="I3842" i="1"/>
  <c r="B3842" i="1"/>
  <c r="I3841" i="1"/>
  <c r="B3841" i="1"/>
  <c r="I3840" i="1"/>
  <c r="B3840" i="1"/>
  <c r="I3839" i="1"/>
  <c r="B3839" i="1"/>
  <c r="I3838" i="1"/>
  <c r="B3838" i="1"/>
  <c r="I3837" i="1"/>
  <c r="B3837" i="1"/>
  <c r="I3836" i="1"/>
  <c r="B3836" i="1"/>
  <c r="I3835" i="1"/>
  <c r="B3835" i="1"/>
  <c r="I3834" i="1"/>
  <c r="I3833" i="1"/>
  <c r="I3832" i="1"/>
  <c r="B3834" i="1"/>
  <c r="B3833" i="1"/>
  <c r="B3832" i="1"/>
  <c r="I3831" i="1"/>
  <c r="B3831" i="1"/>
  <c r="I3830" i="1"/>
  <c r="B3830" i="1"/>
  <c r="I3829" i="1"/>
  <c r="B3829" i="1"/>
  <c r="I3828" i="1"/>
  <c r="B3828" i="1"/>
  <c r="I3827" i="1"/>
  <c r="B3827" i="1"/>
  <c r="I3826" i="1"/>
  <c r="B3826" i="1"/>
  <c r="I3824" i="1"/>
  <c r="I3825" i="1"/>
  <c r="B3825" i="1"/>
  <c r="B3824" i="1"/>
  <c r="I3823" i="1"/>
  <c r="B3823" i="1"/>
  <c r="I3822" i="1"/>
  <c r="B3822" i="1"/>
  <c r="I3821" i="1"/>
  <c r="B3821" i="1"/>
  <c r="I3820" i="1"/>
  <c r="B3820" i="1"/>
  <c r="I3819" i="1"/>
  <c r="B3819" i="1"/>
  <c r="I3818" i="1"/>
  <c r="B3818" i="1"/>
  <c r="I3817" i="1"/>
  <c r="B3817" i="1"/>
  <c r="I3816" i="1"/>
  <c r="B3816" i="1"/>
  <c r="I3815" i="1"/>
  <c r="B3815" i="1"/>
  <c r="I3814" i="1"/>
  <c r="B3814" i="1"/>
  <c r="I3813" i="1"/>
  <c r="B3813" i="1"/>
  <c r="I3812" i="1"/>
  <c r="B3812" i="1"/>
  <c r="I3811" i="1"/>
  <c r="B3811" i="1"/>
  <c r="I3810" i="1"/>
  <c r="B3810" i="1"/>
  <c r="I3809" i="1"/>
  <c r="B3809" i="1"/>
  <c r="I3808" i="1"/>
  <c r="B3808" i="1"/>
  <c r="I3807" i="1"/>
  <c r="B3807" i="1"/>
  <c r="I3806" i="1"/>
  <c r="B3806" i="1"/>
  <c r="I3805" i="1"/>
  <c r="B3805" i="1"/>
  <c r="I3804" i="1"/>
  <c r="B3804" i="1"/>
  <c r="I3803" i="1"/>
  <c r="B3803" i="1"/>
  <c r="I3802" i="1"/>
  <c r="B3802" i="1"/>
  <c r="I3801" i="1"/>
  <c r="B3801" i="1"/>
  <c r="I3800" i="1"/>
  <c r="B3800" i="1"/>
  <c r="I3799" i="1"/>
  <c r="B3799" i="1"/>
  <c r="I3798" i="1"/>
  <c r="B3798" i="1"/>
  <c r="I3797" i="1"/>
  <c r="B3797" i="1"/>
  <c r="I3796" i="1"/>
  <c r="B3796" i="1"/>
  <c r="I3795" i="1"/>
  <c r="B3795" i="1"/>
  <c r="I3794" i="1"/>
  <c r="B3794" i="1"/>
  <c r="I3793" i="1"/>
  <c r="B3793" i="1"/>
  <c r="I3792" i="1"/>
  <c r="B3792" i="1"/>
  <c r="I3791" i="1"/>
  <c r="B3791" i="1"/>
  <c r="I3790" i="1"/>
  <c r="B3790" i="1"/>
  <c r="I3789" i="1"/>
  <c r="B3789" i="1"/>
  <c r="I3788" i="1"/>
  <c r="B3788" i="1"/>
  <c r="I3787" i="1"/>
  <c r="B3787" i="1"/>
  <c r="I3786" i="1"/>
  <c r="B3786" i="1"/>
  <c r="I3785" i="1"/>
  <c r="B3785" i="1"/>
  <c r="I3784" i="1"/>
  <c r="B3784" i="1"/>
  <c r="I3783" i="1"/>
  <c r="B3783" i="1"/>
  <c r="I3782" i="1"/>
  <c r="B3782" i="1"/>
  <c r="I3781" i="1"/>
  <c r="B3781" i="1"/>
  <c r="I3780" i="1"/>
  <c r="B3780" i="1"/>
  <c r="I3779" i="1"/>
  <c r="B3779" i="1"/>
  <c r="I3778" i="1"/>
  <c r="B3778" i="1"/>
  <c r="I3777" i="1"/>
  <c r="B3777" i="1"/>
  <c r="I3776" i="1"/>
  <c r="B3776" i="1"/>
  <c r="I3775" i="1"/>
  <c r="B3775" i="1"/>
  <c r="I3774" i="1"/>
  <c r="B3774" i="1"/>
  <c r="I3773" i="1"/>
  <c r="B3773" i="1"/>
  <c r="I3772" i="1"/>
  <c r="B3772" i="1"/>
  <c r="I3771" i="1"/>
  <c r="B3771" i="1"/>
  <c r="I3770" i="1"/>
  <c r="B3770" i="1"/>
  <c r="I3769" i="1"/>
  <c r="B3769" i="1"/>
  <c r="I3768" i="1"/>
  <c r="B3768" i="1"/>
  <c r="I3767" i="1"/>
  <c r="B3767" i="1"/>
  <c r="I3766" i="1"/>
  <c r="B3766" i="1"/>
  <c r="I3765" i="1"/>
  <c r="B3765" i="1"/>
  <c r="I3764" i="1"/>
  <c r="B3764" i="1"/>
  <c r="I3763" i="1"/>
  <c r="B3763" i="1"/>
  <c r="I3762" i="1"/>
  <c r="B3762" i="1"/>
  <c r="I3761" i="1"/>
  <c r="B3761" i="1"/>
  <c r="I3760" i="1"/>
  <c r="B3760" i="1"/>
  <c r="I3759" i="1"/>
  <c r="B3759" i="1"/>
  <c r="I3758" i="1"/>
  <c r="B3758" i="1"/>
  <c r="I3757" i="1"/>
  <c r="B3757" i="1"/>
  <c r="I3756" i="1"/>
  <c r="B3756" i="1"/>
  <c r="I3755" i="1"/>
  <c r="B3755" i="1"/>
  <c r="I3754" i="1"/>
  <c r="B3754" i="1"/>
  <c r="I3753" i="1"/>
  <c r="B3753" i="1"/>
  <c r="I3752" i="1"/>
  <c r="B3752" i="1"/>
  <c r="I3751" i="1"/>
  <c r="B3751" i="1"/>
  <c r="I3750" i="1"/>
  <c r="B3750" i="1"/>
  <c r="I3749" i="1"/>
  <c r="B3749" i="1"/>
  <c r="I3748" i="1"/>
  <c r="B3748" i="1"/>
  <c r="I3747" i="1"/>
  <c r="B3747" i="1"/>
  <c r="I3746" i="1"/>
  <c r="B3746" i="1"/>
  <c r="I3745" i="1"/>
  <c r="B3745" i="1"/>
  <c r="I3744" i="1"/>
  <c r="B3744" i="1"/>
  <c r="I3743" i="1"/>
  <c r="B3743" i="1"/>
  <c r="I3742" i="1"/>
  <c r="B3742" i="1"/>
  <c r="I3741" i="1"/>
  <c r="B3741" i="1"/>
  <c r="I3740" i="1"/>
  <c r="B3740" i="1"/>
  <c r="I3739" i="1"/>
  <c r="B3739" i="1"/>
  <c r="I3738" i="1"/>
  <c r="B3738" i="1"/>
  <c r="I3737" i="1"/>
  <c r="B3737" i="1"/>
  <c r="I3736" i="1"/>
  <c r="B3736" i="1"/>
  <c r="I3735" i="1"/>
  <c r="B3735" i="1"/>
  <c r="I3734" i="1"/>
  <c r="B3734" i="1"/>
  <c r="I3733" i="1"/>
  <c r="B3733" i="1"/>
  <c r="I3732" i="1"/>
  <c r="B3732" i="1"/>
  <c r="I3731" i="1"/>
  <c r="B3731" i="1"/>
  <c r="I3730" i="1"/>
  <c r="B3730" i="1"/>
  <c r="I3729" i="1"/>
  <c r="B3729" i="1"/>
  <c r="I3728" i="1"/>
  <c r="B3728" i="1"/>
  <c r="I3727" i="1"/>
  <c r="B3727" i="1"/>
  <c r="I3726" i="1"/>
  <c r="B3726" i="1"/>
  <c r="I3725" i="1"/>
  <c r="B3725" i="1"/>
  <c r="I3724" i="1"/>
  <c r="B3724" i="1"/>
  <c r="B3723" i="1"/>
  <c r="I3723" i="1"/>
  <c r="I3722" i="1"/>
  <c r="B3722" i="1"/>
  <c r="I3721" i="1"/>
  <c r="B3721" i="1"/>
  <c r="I3720" i="1"/>
  <c r="B3720" i="1"/>
  <c r="I3719" i="1"/>
  <c r="B3719" i="1"/>
  <c r="I3718" i="1"/>
  <c r="B3718" i="1"/>
  <c r="I3717" i="1"/>
  <c r="B3717" i="1"/>
  <c r="I3716" i="1"/>
  <c r="B3716" i="1"/>
  <c r="I3715" i="1"/>
  <c r="B3715" i="1"/>
  <c r="I3714" i="1"/>
  <c r="B3714" i="1"/>
  <c r="I3713" i="1"/>
  <c r="B3713" i="1"/>
  <c r="I3712" i="1"/>
  <c r="B3712" i="1"/>
  <c r="I3711" i="1"/>
  <c r="B3711" i="1"/>
  <c r="I3710" i="1"/>
  <c r="B3710" i="1"/>
  <c r="I3709" i="1"/>
  <c r="B3709" i="1"/>
  <c r="I3708" i="1"/>
  <c r="B3708" i="1"/>
  <c r="I3707" i="1"/>
  <c r="B3707" i="1"/>
  <c r="I3706" i="1"/>
  <c r="B3706" i="1"/>
  <c r="I3705" i="1"/>
  <c r="B3705" i="1"/>
  <c r="I3704" i="1"/>
  <c r="B3704" i="1"/>
  <c r="I3703" i="1"/>
  <c r="B3703" i="1"/>
  <c r="I3702" i="1"/>
  <c r="B3702" i="1"/>
  <c r="I3701" i="1"/>
  <c r="B3701" i="1"/>
  <c r="I3700" i="1"/>
  <c r="B3700" i="1"/>
  <c r="I3699" i="1"/>
  <c r="B3699" i="1"/>
  <c r="I3698" i="1"/>
  <c r="B3698" i="1"/>
  <c r="I3697" i="1"/>
  <c r="B3697" i="1"/>
  <c r="I3696" i="1"/>
  <c r="B3696" i="1"/>
  <c r="I3695" i="1"/>
  <c r="B3695" i="1"/>
  <c r="I3694" i="1"/>
  <c r="B3694" i="1"/>
  <c r="I3693" i="1"/>
  <c r="B3693" i="1"/>
  <c r="I3692" i="1"/>
  <c r="B3692" i="1"/>
  <c r="I3691" i="1"/>
  <c r="B3691" i="1"/>
  <c r="I3690" i="1"/>
  <c r="B3690" i="1"/>
  <c r="I3689" i="1" l="1"/>
  <c r="B3689" i="1"/>
  <c r="I3688" i="1"/>
  <c r="B3688" i="1"/>
  <c r="I3687" i="1"/>
  <c r="B3687" i="1"/>
  <c r="I3686" i="1"/>
  <c r="B3686" i="1"/>
  <c r="I3685" i="1"/>
  <c r="B3685" i="1"/>
  <c r="I3684" i="1"/>
  <c r="B3684" i="1"/>
  <c r="I3683" i="1"/>
  <c r="B3683" i="1"/>
  <c r="I3682" i="1"/>
  <c r="B3682" i="1"/>
  <c r="I3681" i="1"/>
  <c r="B3681" i="1"/>
  <c r="I3680" i="1"/>
  <c r="B3680" i="1"/>
  <c r="I3679" i="1"/>
  <c r="B3679" i="1"/>
  <c r="I3678" i="1"/>
  <c r="B3678" i="1"/>
  <c r="I3677" i="1"/>
  <c r="B3677" i="1"/>
  <c r="I3676" i="1"/>
  <c r="B3676" i="1"/>
  <c r="I3675" i="1"/>
  <c r="B3675" i="1"/>
  <c r="I3674" i="1"/>
  <c r="B3674" i="1"/>
  <c r="I3673" i="1"/>
  <c r="B3673" i="1"/>
  <c r="I3672" i="1"/>
  <c r="B3672" i="1"/>
  <c r="I3671" i="1"/>
  <c r="B3671" i="1"/>
  <c r="I3670" i="1"/>
  <c r="B3670" i="1"/>
  <c r="I3669" i="1"/>
  <c r="B3669" i="1"/>
  <c r="I3668" i="1"/>
  <c r="B3668" i="1"/>
  <c r="I3667" i="1"/>
  <c r="B3667" i="1"/>
  <c r="I3666" i="1"/>
  <c r="B3666" i="1"/>
  <c r="I3665" i="1"/>
  <c r="B3665" i="1"/>
  <c r="I3664" i="1"/>
  <c r="B3664" i="1"/>
  <c r="I3663" i="1"/>
  <c r="B3663" i="1"/>
  <c r="I3662" i="1"/>
  <c r="B3662" i="1"/>
  <c r="I3661" i="1" l="1"/>
  <c r="B3661" i="1"/>
  <c r="I3660" i="1"/>
  <c r="B3660" i="1"/>
  <c r="I3659" i="1"/>
  <c r="B3659" i="1"/>
  <c r="I3658" i="1"/>
  <c r="B3658" i="1"/>
  <c r="I3657" i="1"/>
  <c r="B3657" i="1"/>
  <c r="I3656" i="1"/>
  <c r="B3656" i="1"/>
  <c r="I3655" i="1"/>
  <c r="B3655" i="1"/>
  <c r="I3654" i="1"/>
  <c r="B3654" i="1"/>
  <c r="I3653" i="1"/>
  <c r="B3653" i="1"/>
  <c r="I3652" i="1"/>
  <c r="B3652" i="1"/>
  <c r="I3651" i="1"/>
  <c r="B3651" i="1"/>
  <c r="I3650" i="1"/>
  <c r="B3650" i="1"/>
  <c r="I3649" i="1"/>
  <c r="B3649" i="1"/>
  <c r="I3648" i="1" l="1"/>
  <c r="B3648" i="1"/>
  <c r="I3647" i="1" l="1"/>
  <c r="B3647" i="1"/>
  <c r="I3646" i="1"/>
  <c r="B3646" i="1"/>
  <c r="I3645" i="1"/>
  <c r="B3645" i="1"/>
  <c r="I3644" i="1"/>
  <c r="B3644" i="1"/>
  <c r="I3643" i="1"/>
  <c r="B3643" i="1"/>
  <c r="I3642" i="1"/>
  <c r="B3642" i="1"/>
  <c r="I3641" i="1"/>
  <c r="B3641" i="1"/>
  <c r="I3640" i="1"/>
  <c r="B3640" i="1"/>
  <c r="I3639" i="1"/>
  <c r="B3639" i="1"/>
  <c r="I3638" i="1"/>
  <c r="B3638" i="1"/>
  <c r="I3637" i="1"/>
  <c r="B3637" i="1"/>
  <c r="I3636" i="1"/>
  <c r="B3636" i="1"/>
  <c r="I3635" i="1"/>
  <c r="B3635" i="1"/>
  <c r="I3634" i="1"/>
  <c r="B3634" i="1"/>
  <c r="I3633" i="1"/>
  <c r="B3633" i="1"/>
  <c r="I3632" i="1"/>
  <c r="B3632" i="1"/>
  <c r="I3631" i="1" l="1"/>
  <c r="B3631" i="1"/>
  <c r="I3630" i="1"/>
  <c r="B3630" i="1"/>
  <c r="I3629" i="1"/>
  <c r="B3629" i="1"/>
  <c r="I3628" i="1"/>
  <c r="B3628" i="1"/>
  <c r="I3627" i="1"/>
  <c r="B3627" i="1"/>
  <c r="I3626" i="1"/>
  <c r="B3626" i="1"/>
  <c r="I3625" i="1"/>
  <c r="B3625" i="1"/>
  <c r="I3624" i="1"/>
  <c r="B3624" i="1"/>
  <c r="I3623" i="1"/>
  <c r="B3623" i="1"/>
  <c r="I3622" i="1" l="1"/>
  <c r="B3622" i="1"/>
  <c r="I3621" i="1"/>
  <c r="B3621" i="1"/>
  <c r="I3620" i="1"/>
  <c r="B3620" i="1"/>
  <c r="I3619" i="1"/>
  <c r="B3619" i="1"/>
  <c r="I3618" i="1"/>
  <c r="B3618" i="1"/>
  <c r="I3617" i="1"/>
  <c r="B3617" i="1"/>
  <c r="I3616" i="1"/>
  <c r="B3616" i="1"/>
  <c r="I3615" i="1"/>
  <c r="B3615" i="1"/>
  <c r="I3614" i="1"/>
  <c r="B3614" i="1"/>
  <c r="I3613" i="1"/>
  <c r="B3613" i="1"/>
  <c r="I3612" i="1" l="1"/>
  <c r="B3612" i="1"/>
  <c r="I3611" i="1"/>
  <c r="B3611" i="1"/>
  <c r="I3610" i="1"/>
  <c r="B3610" i="1"/>
  <c r="I3609" i="1"/>
  <c r="B3609" i="1"/>
  <c r="I3608" i="1"/>
  <c r="B3608" i="1"/>
  <c r="I3607" i="1" l="1"/>
  <c r="B3607" i="1"/>
  <c r="I3606" i="1"/>
  <c r="B3606" i="1"/>
  <c r="I3605" i="1"/>
  <c r="B3605" i="1"/>
  <c r="I3604" i="1"/>
  <c r="B3604" i="1"/>
  <c r="I3603" i="1"/>
  <c r="B3603" i="1"/>
  <c r="I3602" i="1"/>
  <c r="B3602" i="1"/>
  <c r="I3601" i="1"/>
  <c r="B3601" i="1"/>
  <c r="I3600" i="1"/>
  <c r="B3600" i="1"/>
  <c r="I3599" i="1"/>
  <c r="B3599" i="1"/>
  <c r="I3598" i="1"/>
  <c r="B3598" i="1"/>
  <c r="I3597" i="1"/>
  <c r="B3597" i="1"/>
  <c r="I3596" i="1"/>
  <c r="B3596" i="1"/>
  <c r="I3595" i="1"/>
  <c r="B3595" i="1"/>
  <c r="I3594" i="1"/>
  <c r="B3594" i="1"/>
  <c r="I3593" i="1"/>
  <c r="B3593" i="1"/>
  <c r="I3592" i="1"/>
  <c r="B3592" i="1"/>
  <c r="I3591" i="1"/>
  <c r="B3591" i="1"/>
  <c r="I3590" i="1"/>
  <c r="B3590" i="1"/>
  <c r="I3589" i="1"/>
  <c r="B3589" i="1"/>
  <c r="I3588" i="1"/>
  <c r="B3588" i="1"/>
  <c r="I3587" i="1"/>
  <c r="B3587" i="1"/>
  <c r="I3586" i="1"/>
  <c r="B3586" i="1"/>
  <c r="I3585" i="1"/>
  <c r="B3585" i="1"/>
  <c r="I3584" i="1"/>
  <c r="B3584" i="1"/>
  <c r="I3583" i="1"/>
  <c r="B3583" i="1"/>
  <c r="I3582" i="1"/>
  <c r="B3582" i="1"/>
  <c r="I3581" i="1"/>
  <c r="B3581" i="1"/>
  <c r="I3580" i="1"/>
  <c r="B3580" i="1"/>
  <c r="I3579" i="1"/>
  <c r="B3579" i="1"/>
  <c r="I3578" i="1"/>
  <c r="B3578" i="1"/>
  <c r="I3567" i="1"/>
  <c r="B3567" i="1"/>
  <c r="I3577" i="1"/>
  <c r="B3577" i="1"/>
  <c r="I3576" i="1"/>
  <c r="B3576" i="1"/>
  <c r="I3575" i="1"/>
  <c r="B3575" i="1"/>
  <c r="I3574" i="1"/>
  <c r="B3574" i="1"/>
  <c r="I3573" i="1"/>
  <c r="B3573" i="1"/>
  <c r="I3572" i="1"/>
  <c r="B3572" i="1"/>
  <c r="I3571" i="1"/>
  <c r="B3571" i="1"/>
  <c r="I3570" i="1"/>
  <c r="B3570" i="1"/>
  <c r="I3569" i="1"/>
  <c r="B3569" i="1"/>
  <c r="I3568" i="1"/>
  <c r="B3568" i="1"/>
  <c r="I3566" i="1"/>
  <c r="B3566" i="1"/>
  <c r="I3565" i="1"/>
  <c r="B3565" i="1"/>
  <c r="I3564" i="1"/>
  <c r="B3564" i="1"/>
  <c r="I3563" i="1" l="1"/>
  <c r="B3563" i="1"/>
  <c r="I3562" i="1"/>
  <c r="B3562" i="1"/>
  <c r="I3561" i="1"/>
  <c r="B3561" i="1"/>
  <c r="I3560" i="1"/>
  <c r="B3560" i="1"/>
  <c r="I3559" i="1"/>
  <c r="B3559" i="1"/>
  <c r="I3511" i="1"/>
  <c r="I3558" i="1"/>
  <c r="B3558" i="1"/>
  <c r="I3557" i="1" l="1"/>
  <c r="B3557" i="1"/>
  <c r="I3556" i="1"/>
  <c r="B3556" i="1"/>
  <c r="I3555" i="1"/>
  <c r="B3555" i="1"/>
  <c r="I3554" i="1"/>
  <c r="B3554" i="1"/>
  <c r="I3553" i="1"/>
  <c r="B3553" i="1"/>
  <c r="I3552" i="1"/>
  <c r="B3552" i="1"/>
  <c r="I3551" i="1"/>
  <c r="B3551" i="1"/>
  <c r="I3550" i="1"/>
  <c r="B3550" i="1"/>
  <c r="I3549" i="1"/>
  <c r="B3549" i="1"/>
  <c r="I3548" i="1"/>
  <c r="B3548" i="1"/>
  <c r="I3547" i="1"/>
  <c r="B3547" i="1"/>
  <c r="I3546" i="1"/>
  <c r="B3546" i="1"/>
  <c r="I3545" i="1"/>
  <c r="B3545" i="1"/>
  <c r="I3544" i="1"/>
  <c r="B3544" i="1"/>
  <c r="I3543" i="1"/>
  <c r="B3543" i="1"/>
  <c r="I3542" i="1"/>
  <c r="B3542" i="1"/>
  <c r="I3541" i="1"/>
  <c r="B3541" i="1"/>
  <c r="I3540" i="1"/>
  <c r="B3540" i="1"/>
  <c r="I3539" i="1"/>
  <c r="B3539" i="1"/>
  <c r="I3538" i="1"/>
  <c r="B3538" i="1"/>
  <c r="I3537" i="1"/>
  <c r="B3537" i="1"/>
  <c r="I3536" i="1"/>
  <c r="B3536" i="1"/>
  <c r="I3535" i="1"/>
  <c r="B3535" i="1"/>
  <c r="I3534" i="1"/>
  <c r="B3534" i="1"/>
  <c r="I3533" i="1"/>
  <c r="B3533" i="1"/>
  <c r="I3532" i="1"/>
  <c r="B3532" i="1"/>
  <c r="I3531" i="1"/>
  <c r="B3531" i="1"/>
  <c r="I3530" i="1"/>
  <c r="B3530" i="1"/>
  <c r="I3529" i="1"/>
  <c r="B3529" i="1"/>
  <c r="I3510" i="1"/>
  <c r="B3510" i="1"/>
  <c r="I3528" i="1"/>
  <c r="B3528" i="1"/>
  <c r="I3527" i="1"/>
  <c r="B3527" i="1"/>
  <c r="I3526" i="1"/>
  <c r="B3526" i="1"/>
  <c r="I3525" i="1"/>
  <c r="B3525" i="1"/>
  <c r="I3524" i="1"/>
  <c r="B3524" i="1"/>
  <c r="I3523" i="1"/>
  <c r="B3523" i="1"/>
  <c r="I3522" i="1"/>
  <c r="B3522" i="1"/>
  <c r="I3521" i="1"/>
  <c r="B3521" i="1"/>
  <c r="I3520" i="1"/>
  <c r="B3520" i="1"/>
  <c r="I3519" i="1"/>
  <c r="B3519" i="1"/>
  <c r="I3518" i="1"/>
  <c r="B3518" i="1"/>
  <c r="I3517" i="1"/>
  <c r="B3517" i="1"/>
  <c r="I3516" i="1"/>
  <c r="B3516" i="1"/>
  <c r="I3515" i="1"/>
  <c r="B3515" i="1"/>
  <c r="I3514" i="1"/>
  <c r="B3514" i="1"/>
  <c r="I3513" i="1"/>
  <c r="B3513" i="1"/>
  <c r="I3512" i="1"/>
  <c r="B3512" i="1"/>
  <c r="B3511" i="1"/>
  <c r="I3509" i="1"/>
  <c r="B3509" i="1"/>
  <c r="I3508" i="1"/>
  <c r="B3508" i="1"/>
  <c r="I3507" i="1"/>
  <c r="B3507" i="1"/>
  <c r="I3506" i="1"/>
  <c r="B3506" i="1"/>
  <c r="I3505" i="1"/>
  <c r="B3505" i="1"/>
  <c r="I3504" i="1"/>
  <c r="B3504" i="1"/>
  <c r="I3503" i="1"/>
  <c r="B3503" i="1"/>
  <c r="I3502" i="1"/>
  <c r="B3502" i="1"/>
  <c r="I3501" i="1"/>
  <c r="B3501" i="1"/>
  <c r="I3500" i="1"/>
  <c r="B3500" i="1"/>
  <c r="I3499" i="1"/>
  <c r="B3499" i="1"/>
  <c r="I3498" i="1"/>
  <c r="B3498" i="1"/>
  <c r="I3497" i="1"/>
  <c r="B3497" i="1"/>
  <c r="I3496" i="1"/>
  <c r="B3496" i="1"/>
  <c r="I3495" i="1"/>
  <c r="B3495" i="1"/>
  <c r="I3494" i="1"/>
  <c r="B3494" i="1"/>
  <c r="I3493" i="1"/>
  <c r="B3493" i="1"/>
  <c r="I3492" i="1"/>
  <c r="B3492" i="1"/>
  <c r="I3491" i="1"/>
  <c r="B3491" i="1"/>
  <c r="I3490" i="1"/>
  <c r="B3490" i="1"/>
  <c r="I3489" i="1"/>
  <c r="B3489" i="1"/>
  <c r="I3488" i="1"/>
  <c r="B3488" i="1"/>
  <c r="I3487" i="1"/>
  <c r="B3487" i="1"/>
  <c r="I3486" i="1"/>
  <c r="B3486" i="1"/>
  <c r="I3485" i="1"/>
  <c r="B3485" i="1"/>
  <c r="I3484" i="1"/>
  <c r="B3484" i="1"/>
  <c r="I3483" i="1"/>
  <c r="B3483" i="1"/>
  <c r="I3482" i="1"/>
  <c r="B3482" i="1"/>
  <c r="I3481" i="1"/>
  <c r="B3481" i="1"/>
  <c r="I3480" i="1"/>
  <c r="B3480" i="1"/>
  <c r="I3479" i="1"/>
  <c r="B3479" i="1"/>
  <c r="I3478" i="1"/>
  <c r="B3478" i="1"/>
  <c r="I3477" i="1"/>
  <c r="B3477" i="1"/>
  <c r="I3476" i="1"/>
  <c r="B3476" i="1"/>
  <c r="I3475" i="1"/>
  <c r="B3475" i="1"/>
  <c r="I3474" i="1"/>
  <c r="B3474" i="1"/>
  <c r="I3473" i="1"/>
  <c r="B3473" i="1"/>
  <c r="I3472" i="1"/>
  <c r="B3472" i="1"/>
  <c r="I3471" i="1"/>
  <c r="B3471" i="1"/>
  <c r="I3470" i="1"/>
  <c r="B3470" i="1"/>
  <c r="I3469" i="1"/>
  <c r="B3469" i="1"/>
  <c r="I3468" i="1"/>
  <c r="B3468" i="1"/>
  <c r="I3467" i="1"/>
  <c r="B3467" i="1"/>
  <c r="I3466" i="1"/>
  <c r="B3466" i="1"/>
  <c r="I3465" i="1"/>
  <c r="B3465" i="1"/>
  <c r="I3464" i="1"/>
  <c r="B3464" i="1"/>
  <c r="I3463" i="1"/>
  <c r="B3463" i="1"/>
  <c r="I3462" i="1"/>
  <c r="B3462" i="1"/>
  <c r="I3461" i="1"/>
  <c r="B3461" i="1"/>
  <c r="I3460" i="1"/>
  <c r="B3460" i="1"/>
  <c r="I3459" i="1"/>
  <c r="B3459" i="1"/>
  <c r="I3458" i="1"/>
  <c r="B3458" i="1"/>
  <c r="I3457" i="1"/>
  <c r="B3457" i="1"/>
  <c r="I3456" i="1"/>
  <c r="B3456" i="1"/>
  <c r="I3455" i="1"/>
  <c r="B3455" i="1"/>
  <c r="I3454" i="1"/>
  <c r="B3454" i="1"/>
  <c r="I3453" i="1"/>
  <c r="B3453" i="1"/>
  <c r="I3452" i="1"/>
  <c r="B3452" i="1"/>
  <c r="I3451" i="1"/>
  <c r="B3451" i="1"/>
  <c r="I3450" i="1"/>
  <c r="B3450" i="1"/>
  <c r="I3449" i="1"/>
  <c r="B3449" i="1"/>
  <c r="I3448" i="1"/>
  <c r="B3448" i="1"/>
  <c r="I3447" i="1"/>
  <c r="B3447" i="1"/>
  <c r="I3446" i="1"/>
  <c r="B3446" i="1"/>
  <c r="I3445" i="1"/>
  <c r="B3445" i="1"/>
  <c r="I3444" i="1"/>
  <c r="B3444" i="1"/>
  <c r="I3443" i="1"/>
  <c r="B3443" i="1"/>
  <c r="I3442" i="1"/>
  <c r="B3442" i="1"/>
  <c r="I3441" i="1"/>
  <c r="B3441" i="1"/>
  <c r="I3440" i="1"/>
  <c r="B3440" i="1"/>
  <c r="I3439" i="1"/>
  <c r="B3439" i="1"/>
  <c r="I3438" i="1"/>
  <c r="B3438" i="1"/>
  <c r="I3437" i="1"/>
  <c r="B3437" i="1"/>
  <c r="I3436" i="1"/>
  <c r="B3436" i="1"/>
  <c r="I3435" i="1"/>
  <c r="B3435" i="1"/>
  <c r="I3434" i="1"/>
  <c r="B3434" i="1"/>
  <c r="B3433" i="1"/>
  <c r="I3433" i="1"/>
  <c r="I3432" i="1"/>
  <c r="B3432" i="1"/>
  <c r="I3431" i="1"/>
  <c r="B3431" i="1"/>
  <c r="I3430" i="1"/>
  <c r="B3430" i="1"/>
  <c r="I3429" i="1"/>
  <c r="B3429" i="1"/>
  <c r="I3428" i="1"/>
  <c r="B3428" i="1"/>
  <c r="I3427" i="1"/>
  <c r="B3427" i="1"/>
  <c r="I3426" i="1"/>
  <c r="B3426" i="1"/>
  <c r="I3425" i="1"/>
  <c r="B3425" i="1"/>
  <c r="I3424" i="1"/>
  <c r="B3424" i="1"/>
  <c r="I3423" i="1"/>
  <c r="B3423" i="1"/>
  <c r="I3422" i="1"/>
  <c r="B3422" i="1"/>
  <c r="I3421" i="1"/>
  <c r="B3421" i="1"/>
  <c r="I3420" i="1"/>
  <c r="B3420" i="1"/>
  <c r="I3419" i="1"/>
  <c r="B3419" i="1"/>
  <c r="I3418" i="1"/>
  <c r="B3418" i="1"/>
  <c r="I3417" i="1"/>
  <c r="B3417" i="1"/>
  <c r="I3416" i="1"/>
  <c r="B3416" i="1"/>
  <c r="I3415" i="1"/>
  <c r="B3415" i="1"/>
  <c r="I3414" i="1"/>
  <c r="B3414" i="1"/>
  <c r="I3413" i="1" l="1"/>
  <c r="B3413" i="1"/>
  <c r="I3412" i="1"/>
  <c r="B3412" i="1"/>
  <c r="I3411" i="1"/>
  <c r="B3411" i="1"/>
  <c r="I3410" i="1"/>
  <c r="B3410" i="1"/>
  <c r="I3409" i="1"/>
  <c r="B3409" i="1"/>
  <c r="I3408" i="1"/>
  <c r="B3408" i="1"/>
  <c r="I3407" i="1"/>
  <c r="B3407" i="1"/>
  <c r="I3406" i="1"/>
  <c r="B3406" i="1"/>
  <c r="I3405" i="1"/>
  <c r="B3405" i="1"/>
  <c r="I3404" i="1"/>
  <c r="B3404" i="1"/>
  <c r="I3403" i="1"/>
  <c r="B3403" i="1"/>
  <c r="I3402" i="1"/>
  <c r="B3402" i="1"/>
  <c r="I3401" i="1"/>
  <c r="B3401" i="1"/>
  <c r="I3400" i="1"/>
  <c r="B3400" i="1"/>
  <c r="I3399" i="1"/>
  <c r="B3399" i="1"/>
  <c r="I3398" i="1"/>
  <c r="B3398" i="1"/>
  <c r="I3397" i="1"/>
  <c r="B3397" i="1"/>
  <c r="I3396" i="1"/>
  <c r="B3396" i="1"/>
  <c r="I3395" i="1"/>
  <c r="B3395" i="1"/>
  <c r="I3394" i="1"/>
  <c r="B3394" i="1"/>
  <c r="I3393" i="1"/>
  <c r="B3393" i="1"/>
  <c r="I3392" i="1"/>
  <c r="B3392" i="1"/>
  <c r="I3391" i="1"/>
  <c r="B3391" i="1"/>
  <c r="I3390" i="1"/>
  <c r="B3390" i="1"/>
  <c r="I3389" i="1"/>
  <c r="B3389" i="1"/>
  <c r="I3388" i="1"/>
  <c r="B3388" i="1"/>
  <c r="I3387" i="1"/>
  <c r="B3387" i="1"/>
  <c r="I3386" i="1"/>
  <c r="B3386" i="1"/>
  <c r="I3385" i="1" l="1"/>
  <c r="B3385" i="1"/>
  <c r="I3384" i="1"/>
  <c r="B3384" i="1"/>
  <c r="I3383" i="1"/>
  <c r="B3383" i="1"/>
  <c r="I3382" i="1"/>
  <c r="B3382" i="1"/>
  <c r="I3381" i="1"/>
  <c r="B3381" i="1"/>
  <c r="I3380" i="1"/>
  <c r="B3380" i="1"/>
  <c r="I3379" i="1"/>
  <c r="B3379" i="1"/>
  <c r="I3378" i="1"/>
  <c r="B3378" i="1"/>
  <c r="I3377" i="1"/>
  <c r="B3377" i="1"/>
  <c r="I3376" i="1"/>
  <c r="B3376" i="1"/>
  <c r="I3375" i="1"/>
  <c r="B3375" i="1"/>
  <c r="I3374" i="1"/>
  <c r="B3374" i="1"/>
  <c r="I3373" i="1"/>
  <c r="B3373" i="1"/>
  <c r="I3372" i="1"/>
  <c r="B3372" i="1"/>
  <c r="I3371" i="1"/>
  <c r="I3370" i="1"/>
  <c r="B3371" i="1"/>
  <c r="B3370" i="1" l="1"/>
  <c r="I3369" i="1"/>
  <c r="B3369" i="1"/>
  <c r="I3368" i="1"/>
  <c r="B3368" i="1"/>
  <c r="I3367" i="1"/>
  <c r="B3367" i="1"/>
  <c r="I3366" i="1"/>
  <c r="B3366" i="1"/>
  <c r="I3365" i="1"/>
  <c r="B3365" i="1"/>
  <c r="I3364" i="1"/>
  <c r="B3364" i="1"/>
  <c r="I3363" i="1"/>
  <c r="B3363" i="1"/>
  <c r="I3362" i="1"/>
  <c r="B3362" i="1"/>
  <c r="I3361" i="1"/>
  <c r="B3361" i="1"/>
  <c r="I3360" i="1"/>
  <c r="B3360" i="1"/>
  <c r="I3359" i="1"/>
  <c r="B3359" i="1"/>
  <c r="I3358" i="1"/>
  <c r="B3358" i="1"/>
  <c r="I3357" i="1"/>
  <c r="B3357" i="1"/>
  <c r="I3356" i="1"/>
  <c r="B3356" i="1"/>
  <c r="I3355" i="1"/>
  <c r="B3355" i="1"/>
  <c r="I3354" i="1"/>
  <c r="B3354" i="1"/>
  <c r="I3353" i="1"/>
  <c r="B3353" i="1"/>
  <c r="I3352" i="1"/>
  <c r="B3352" i="1"/>
  <c r="I3351" i="1"/>
  <c r="B3351" i="1"/>
  <c r="I3350" i="1"/>
  <c r="B3350" i="1"/>
  <c r="I3349" i="1" l="1"/>
  <c r="B3349" i="1"/>
  <c r="I3348" i="1"/>
  <c r="B3348" i="1"/>
  <c r="I3347" i="1"/>
  <c r="B3347" i="1"/>
  <c r="I3346" i="1"/>
  <c r="B3346" i="1"/>
  <c r="I3345" i="1"/>
  <c r="B3345" i="1"/>
  <c r="I3344" i="1"/>
  <c r="B3344" i="1"/>
  <c r="I3343" i="1"/>
  <c r="B3343" i="1"/>
  <c r="I3342" i="1"/>
  <c r="B3342" i="1"/>
  <c r="I3341" i="1"/>
  <c r="B3341" i="1"/>
  <c r="I3340" i="1"/>
  <c r="B3340" i="1"/>
  <c r="I3339" i="1"/>
  <c r="B3339" i="1"/>
  <c r="I3338" i="1"/>
  <c r="B3338" i="1"/>
  <c r="I3337" i="1"/>
  <c r="B3337" i="1"/>
  <c r="I3336" i="1"/>
  <c r="B3336" i="1"/>
  <c r="I3335" i="1"/>
  <c r="B3335" i="1"/>
  <c r="I3334" i="1"/>
  <c r="B3334" i="1"/>
  <c r="I3333" i="1"/>
  <c r="B3333" i="1"/>
  <c r="I3332" i="1"/>
  <c r="B3332" i="1"/>
  <c r="I3331" i="1"/>
  <c r="B3331" i="1"/>
  <c r="I3330" i="1"/>
  <c r="B3330" i="1"/>
  <c r="I3329" i="1"/>
  <c r="B3329" i="1"/>
  <c r="I3328" i="1"/>
  <c r="B3328" i="1"/>
  <c r="I3327" i="1"/>
  <c r="B3327" i="1"/>
  <c r="I3326" i="1"/>
  <c r="B3326" i="1"/>
  <c r="I3325" i="1"/>
  <c r="B3325" i="1"/>
  <c r="I3324" i="1"/>
  <c r="B3324" i="1"/>
  <c r="I3323" i="1"/>
  <c r="B3323" i="1"/>
  <c r="I3322" i="1"/>
  <c r="B3322" i="1"/>
  <c r="I3321" i="1"/>
  <c r="B3321" i="1"/>
  <c r="I3320" i="1"/>
  <c r="B3320" i="1"/>
  <c r="I3319" i="1" l="1"/>
  <c r="B3319" i="1"/>
  <c r="I3318" i="1"/>
  <c r="B3318" i="1"/>
  <c r="I3317" i="1"/>
  <c r="B3317" i="1"/>
  <c r="I3316" i="1"/>
  <c r="B3316" i="1"/>
  <c r="I3315" i="1"/>
  <c r="B3315" i="1"/>
  <c r="I3314" i="1"/>
  <c r="B3314" i="1"/>
  <c r="I3313" i="1"/>
  <c r="B3313" i="1"/>
  <c r="I3312" i="1"/>
  <c r="B3312" i="1"/>
  <c r="I3311" i="1"/>
  <c r="B3311" i="1"/>
  <c r="I3310" i="1"/>
  <c r="B3310" i="1"/>
  <c r="I3309" i="1"/>
  <c r="B3309" i="1"/>
  <c r="I3308" i="1"/>
  <c r="B3308" i="1"/>
  <c r="I3307" i="1"/>
  <c r="B3307" i="1"/>
  <c r="I3306" i="1"/>
  <c r="B3306" i="1"/>
  <c r="I3305" i="1"/>
  <c r="B3305" i="1"/>
  <c r="I3304" i="1"/>
  <c r="B3304" i="1"/>
  <c r="I3303" i="1"/>
  <c r="B3303" i="1"/>
  <c r="I3302" i="1"/>
  <c r="B3302" i="1"/>
  <c r="I3301" i="1"/>
  <c r="B3301" i="1"/>
  <c r="I3300" i="1"/>
  <c r="B3300" i="1"/>
  <c r="I3299" i="1"/>
  <c r="B3299" i="1"/>
  <c r="I3298" i="1"/>
  <c r="B3298" i="1"/>
  <c r="I3297" i="1"/>
  <c r="B3297" i="1"/>
  <c r="I3296" i="1"/>
  <c r="B3296" i="1"/>
  <c r="I3295" i="1"/>
  <c r="B3295" i="1"/>
  <c r="B3294" i="1" l="1"/>
  <c r="I3294" i="1"/>
  <c r="I3293" i="1"/>
  <c r="B3293" i="1"/>
  <c r="I3292" i="1"/>
  <c r="B3292" i="1" l="1"/>
  <c r="I3291" i="1"/>
  <c r="B3291" i="1"/>
  <c r="I3290" i="1"/>
  <c r="B3290" i="1"/>
  <c r="I3289" i="1"/>
  <c r="B3289" i="1"/>
  <c r="I3288" i="1"/>
  <c r="B3288" i="1"/>
  <c r="I3287" i="1"/>
  <c r="B3287" i="1"/>
  <c r="I3286" i="1"/>
  <c r="B3286" i="1"/>
  <c r="I3285" i="1" l="1"/>
  <c r="B3285" i="1"/>
  <c r="I3284" i="1"/>
  <c r="B3284" i="1"/>
  <c r="I3283" i="1"/>
  <c r="B3283" i="1"/>
  <c r="I3282" i="1"/>
  <c r="B3282" i="1"/>
  <c r="I3281" i="1"/>
  <c r="B3281" i="1"/>
  <c r="I3280" i="1"/>
  <c r="B3280" i="1"/>
  <c r="I3279" i="1"/>
  <c r="B3279" i="1"/>
  <c r="I3278" i="1"/>
  <c r="B3278" i="1"/>
  <c r="I3277" i="1"/>
  <c r="B3277" i="1"/>
  <c r="I3276" i="1"/>
  <c r="B3276" i="1"/>
  <c r="I3275" i="1"/>
  <c r="B3275" i="1"/>
  <c r="I3274" i="1"/>
  <c r="B3274" i="1"/>
  <c r="I3273" i="1"/>
  <c r="B3273" i="1"/>
  <c r="I3272" i="1"/>
  <c r="B3272" i="1"/>
  <c r="I3271" i="1"/>
  <c r="B3271" i="1"/>
  <c r="I3270" i="1"/>
  <c r="B3270" i="1"/>
  <c r="I3269" i="1"/>
  <c r="B3269" i="1"/>
  <c r="I3268" i="1"/>
  <c r="B3268" i="1"/>
  <c r="I3267" i="1"/>
  <c r="B3267" i="1"/>
  <c r="I3266" i="1"/>
  <c r="B3266" i="1"/>
  <c r="I3265" i="1"/>
  <c r="B3265" i="1"/>
  <c r="I3264" i="1"/>
  <c r="B3264" i="1"/>
  <c r="I3263" i="1"/>
  <c r="B3263" i="1"/>
  <c r="I3262" i="1"/>
  <c r="B3262" i="1"/>
  <c r="I3261" i="1" l="1"/>
  <c r="B3261" i="1"/>
  <c r="I3260" i="1"/>
  <c r="B3260" i="1"/>
  <c r="I3259" i="1" l="1"/>
  <c r="B3259" i="1"/>
  <c r="I3258" i="1"/>
  <c r="B3258" i="1"/>
  <c r="I3257" i="1"/>
  <c r="B3257" i="1"/>
  <c r="I3256" i="1"/>
  <c r="B3256" i="1"/>
  <c r="I3255" i="1"/>
  <c r="B3255" i="1"/>
  <c r="I3254" i="1"/>
  <c r="B3254" i="1"/>
  <c r="I3253" i="1"/>
  <c r="B3253" i="1"/>
  <c r="I3252" i="1"/>
  <c r="B3252" i="1"/>
  <c r="I3251" i="1"/>
  <c r="B3251" i="1"/>
  <c r="I3250" i="1"/>
  <c r="B3250" i="1"/>
  <c r="I3249" i="1"/>
  <c r="B3249" i="1"/>
  <c r="I3248" i="1"/>
  <c r="B3248" i="1"/>
  <c r="I3247" i="1" l="1"/>
  <c r="B3247" i="1"/>
  <c r="I3246" i="1"/>
  <c r="B3246" i="1"/>
  <c r="I3245" i="1"/>
  <c r="B3245" i="1"/>
  <c r="I3244" i="1"/>
  <c r="B3244" i="1"/>
  <c r="I3243" i="1"/>
  <c r="B3243" i="1"/>
  <c r="I3242" i="1"/>
  <c r="B3242" i="1"/>
  <c r="I3241" i="1"/>
  <c r="B3241" i="1"/>
  <c r="I3240" i="1"/>
  <c r="B3240" i="1"/>
  <c r="I3239" i="1"/>
  <c r="B3239" i="1"/>
  <c r="I3238" i="1"/>
  <c r="B3238" i="1"/>
  <c r="I3237" i="1"/>
  <c r="B3237" i="1"/>
  <c r="I3236" i="1"/>
  <c r="B3236" i="1"/>
  <c r="I3235" i="1" l="1"/>
  <c r="B3235" i="1"/>
  <c r="I3234" i="1"/>
  <c r="B3234" i="1"/>
  <c r="I3233" i="1"/>
  <c r="B3233" i="1"/>
  <c r="I3232" i="1"/>
  <c r="B3232" i="1"/>
  <c r="I3231" i="1"/>
  <c r="B3231" i="1"/>
  <c r="I3230" i="1"/>
  <c r="B3230" i="1"/>
  <c r="I3229" i="1"/>
  <c r="B3229" i="1"/>
  <c r="I3228" i="1"/>
  <c r="B3228" i="1"/>
  <c r="I3227" i="1"/>
  <c r="B3227" i="1"/>
  <c r="I3226" i="1"/>
  <c r="B3226" i="1"/>
  <c r="I3225" i="1"/>
  <c r="B3225" i="1"/>
  <c r="I3224" i="1"/>
  <c r="B3224" i="1"/>
  <c r="I3223" i="1"/>
  <c r="B3223" i="1"/>
  <c r="I3222" i="1"/>
  <c r="B3222" i="1"/>
  <c r="I3221" i="1"/>
  <c r="B3221" i="1"/>
  <c r="I3220" i="1"/>
  <c r="B3220" i="1"/>
  <c r="I3219" i="1"/>
  <c r="B3219" i="1"/>
  <c r="I3218" i="1"/>
  <c r="B3218" i="1" l="1"/>
  <c r="I3217" i="1"/>
  <c r="B3217" i="1"/>
  <c r="I3216" i="1"/>
  <c r="B3216" i="1"/>
  <c r="I3215" i="1"/>
  <c r="B3215" i="1"/>
  <c r="I3214" i="1"/>
  <c r="B3214" i="1"/>
  <c r="I3213" i="1"/>
  <c r="B3213" i="1"/>
  <c r="I3212" i="1"/>
  <c r="B3212" i="1"/>
  <c r="I3211" i="1"/>
  <c r="B3211" i="1"/>
  <c r="I3210" i="1"/>
  <c r="B3210" i="1"/>
  <c r="I3209" i="1"/>
  <c r="B3209" i="1"/>
  <c r="I3208" i="1"/>
  <c r="B3208" i="1"/>
  <c r="I3207" i="1" l="1"/>
  <c r="B3207" i="1"/>
  <c r="I3206" i="1"/>
  <c r="B3206" i="1"/>
  <c r="I3205" i="1"/>
  <c r="B3205" i="1"/>
  <c r="I3204" i="1"/>
  <c r="B3204" i="1"/>
  <c r="I3203" i="1"/>
  <c r="B3203" i="1"/>
  <c r="I3202" i="1"/>
  <c r="B3202" i="1"/>
  <c r="I3201" i="1"/>
  <c r="B3201" i="1"/>
  <c r="I3200" i="1"/>
  <c r="B3200" i="1"/>
  <c r="I3199" i="1"/>
  <c r="B3199" i="1"/>
  <c r="I3198" i="1"/>
  <c r="B3198" i="1"/>
  <c r="I3197" i="1"/>
  <c r="B3197" i="1"/>
  <c r="I3196" i="1"/>
  <c r="B3196" i="1" l="1"/>
  <c r="I3195" i="1"/>
  <c r="B3195" i="1"/>
  <c r="I3194" i="1"/>
  <c r="B3194" i="1"/>
  <c r="I3193" i="1"/>
  <c r="B3193" i="1"/>
  <c r="I3192" i="1"/>
  <c r="B3192" i="1"/>
  <c r="I3190" i="1"/>
  <c r="I3191" i="1"/>
  <c r="B3191" i="1"/>
  <c r="B3190" i="1"/>
  <c r="I3189" i="1"/>
  <c r="B3189" i="1"/>
  <c r="I3188" i="1"/>
  <c r="B3188" i="1"/>
  <c r="I3187" i="1"/>
  <c r="B3187" i="1"/>
  <c r="I3186" i="1"/>
  <c r="B3186" i="1"/>
  <c r="I3185" i="1"/>
  <c r="B3185" i="1"/>
  <c r="I3184" i="1" l="1"/>
  <c r="B3184" i="1"/>
  <c r="I3183" i="1"/>
  <c r="B3183" i="1"/>
  <c r="I3182" i="1"/>
  <c r="B3182" i="1"/>
  <c r="I3181" i="1"/>
  <c r="B3181" i="1"/>
  <c r="I3180" i="1"/>
  <c r="B3180" i="1"/>
  <c r="I3179" i="1"/>
  <c r="B3179" i="1"/>
  <c r="I3178" i="1"/>
  <c r="B3178" i="1"/>
  <c r="I3177" i="1"/>
  <c r="B3177" i="1"/>
  <c r="I3176" i="1"/>
  <c r="B3176" i="1"/>
  <c r="I3175" i="1"/>
  <c r="B3175" i="1"/>
  <c r="I3174" i="1"/>
  <c r="B3174" i="1"/>
  <c r="I3173" i="1"/>
  <c r="B3173" i="1"/>
  <c r="I3172" i="1"/>
  <c r="B3172" i="1"/>
  <c r="I3171" i="1"/>
  <c r="B3171" i="1"/>
  <c r="I3170" i="1"/>
  <c r="B3170" i="1"/>
  <c r="I3169" i="1" l="1"/>
  <c r="B3169" i="1"/>
  <c r="I3168" i="1" l="1"/>
  <c r="B3168" i="1"/>
  <c r="I3167" i="1"/>
  <c r="B3167" i="1"/>
  <c r="I3166" i="1"/>
  <c r="B3166" i="1"/>
  <c r="I3165" i="1"/>
  <c r="B3165" i="1"/>
  <c r="I3164" i="1"/>
  <c r="B3164" i="1"/>
  <c r="I3163" i="1"/>
  <c r="B3163" i="1"/>
  <c r="I3162" i="1"/>
  <c r="B3162" i="1"/>
  <c r="I3161" i="1"/>
  <c r="B3161" i="1"/>
  <c r="I3160" i="1"/>
  <c r="B3160" i="1"/>
  <c r="I3159" i="1"/>
  <c r="B3159" i="1"/>
  <c r="I3158" i="1"/>
  <c r="B3158" i="1"/>
  <c r="I3157" i="1"/>
  <c r="B3157" i="1"/>
  <c r="I3156" i="1"/>
  <c r="B3156" i="1"/>
  <c r="I3155" i="1"/>
  <c r="B3155" i="1"/>
  <c r="I3154" i="1"/>
  <c r="B3154" i="1"/>
  <c r="I3153" i="1"/>
  <c r="B3153" i="1"/>
  <c r="I3152" i="1"/>
  <c r="B3152" i="1"/>
  <c r="I3151" i="1"/>
  <c r="B3151" i="1"/>
  <c r="I3150" i="1"/>
  <c r="B3150" i="1"/>
  <c r="I3149" i="1" l="1"/>
  <c r="B3149" i="1"/>
  <c r="I3148" i="1"/>
  <c r="B3148" i="1"/>
  <c r="I3147" i="1"/>
  <c r="B3147" i="1"/>
  <c r="I3146" i="1"/>
  <c r="B3146" i="1"/>
  <c r="I3145" i="1"/>
  <c r="B3145" i="1"/>
  <c r="I3144" i="1"/>
  <c r="B3144" i="1"/>
  <c r="I3143" i="1"/>
  <c r="B3143" i="1"/>
  <c r="I3142" i="1"/>
  <c r="B3142" i="1"/>
  <c r="I3141" i="1"/>
  <c r="B3141" i="1"/>
  <c r="I3140" i="1"/>
  <c r="B3140" i="1"/>
  <c r="I3139" i="1"/>
  <c r="B3139" i="1"/>
  <c r="I3138" i="1"/>
  <c r="B3138" i="1"/>
  <c r="I3137" i="1"/>
  <c r="B3137" i="1"/>
  <c r="I3136" i="1"/>
  <c r="B3136" i="1"/>
  <c r="I3135" i="1"/>
  <c r="B3135" i="1"/>
  <c r="I3134" i="1"/>
  <c r="B3134" i="1"/>
  <c r="I3133" i="1"/>
  <c r="B3133" i="1"/>
  <c r="I3132" i="1"/>
  <c r="B3132" i="1"/>
  <c r="I3131" i="1"/>
  <c r="B3131" i="1"/>
  <c r="I3130" i="1"/>
  <c r="B3130" i="1"/>
  <c r="I3129" i="1"/>
  <c r="B3129" i="1"/>
  <c r="I3128" i="1"/>
  <c r="B3128" i="1"/>
  <c r="I3127" i="1"/>
  <c r="B3127" i="1"/>
  <c r="I3126" i="1"/>
  <c r="B3126" i="1"/>
  <c r="I3125" i="1"/>
  <c r="B3125" i="1"/>
  <c r="I3124" i="1"/>
  <c r="B3124" i="1"/>
  <c r="I3123" i="1"/>
  <c r="B3123" i="1"/>
  <c r="I3122" i="1"/>
  <c r="B3122" i="1"/>
  <c r="I3121" i="1"/>
  <c r="B3121" i="1"/>
  <c r="I3120" i="1"/>
  <c r="B3120" i="1"/>
  <c r="I3119" i="1"/>
  <c r="B3119" i="1"/>
  <c r="I3118" i="1"/>
  <c r="B3118" i="1"/>
  <c r="I3117" i="1"/>
  <c r="B3117" i="1"/>
  <c r="I3116" i="1" l="1"/>
  <c r="B3116" i="1"/>
  <c r="I3115" i="1"/>
  <c r="B3115" i="1"/>
  <c r="I3114" i="1"/>
  <c r="B3114" i="1"/>
  <c r="I3113" i="1"/>
  <c r="B3113" i="1"/>
  <c r="I3112" i="1"/>
  <c r="B3112" i="1"/>
  <c r="I3111" i="1"/>
  <c r="B3111" i="1"/>
  <c r="I3110" i="1"/>
  <c r="B3110" i="1"/>
  <c r="I3109" i="1"/>
  <c r="B3109" i="1"/>
  <c r="I3108" i="1"/>
  <c r="B3108" i="1"/>
  <c r="I3107" i="1"/>
  <c r="B3107" i="1"/>
  <c r="I3106" i="1"/>
  <c r="B3106" i="1"/>
  <c r="I3105" i="1"/>
  <c r="B3105" i="1"/>
  <c r="I3104" i="1"/>
  <c r="B3104" i="1"/>
  <c r="I3103" i="1"/>
  <c r="B3103" i="1"/>
  <c r="I3102" i="1"/>
  <c r="B3102" i="1"/>
  <c r="I3101" i="1" l="1"/>
  <c r="B3101" i="1"/>
  <c r="I3100" i="1" l="1"/>
  <c r="B3100" i="1"/>
  <c r="I3099" i="1"/>
  <c r="B3099" i="1"/>
  <c r="I3098" i="1"/>
  <c r="B3098" i="1"/>
  <c r="I3097" i="1"/>
  <c r="B3097" i="1"/>
  <c r="I3096" i="1"/>
  <c r="B3096" i="1"/>
  <c r="I3095" i="1"/>
  <c r="B3095" i="1"/>
  <c r="I3094" i="1"/>
  <c r="B3094" i="1"/>
  <c r="I3093" i="1"/>
  <c r="B3093" i="1"/>
  <c r="I3092" i="1"/>
  <c r="B3092" i="1"/>
  <c r="I3075" i="1" l="1"/>
  <c r="B3075" i="1"/>
  <c r="I3074" i="1"/>
  <c r="B3074" i="1"/>
  <c r="I3091" i="1"/>
  <c r="B3091" i="1"/>
  <c r="I3090" i="1"/>
  <c r="B3090" i="1"/>
  <c r="I3089" i="1"/>
  <c r="B3089" i="1"/>
  <c r="I3088" i="1"/>
  <c r="B3088" i="1"/>
  <c r="I3087" i="1" l="1"/>
  <c r="B3087" i="1"/>
  <c r="I3086" i="1" l="1"/>
  <c r="B3086" i="1"/>
  <c r="I3085" i="1"/>
  <c r="B3085" i="1"/>
  <c r="I3084" i="1"/>
  <c r="B3084" i="1"/>
  <c r="I3083" i="1"/>
  <c r="B3083" i="1"/>
  <c r="I3082" i="1"/>
  <c r="B3082" i="1"/>
  <c r="I3081" i="1"/>
  <c r="B3081" i="1"/>
  <c r="I3080" i="1"/>
  <c r="B3080" i="1"/>
  <c r="I3079" i="1"/>
  <c r="B3079" i="1"/>
  <c r="I3078" i="1"/>
  <c r="B3078" i="1"/>
  <c r="I3077" i="1"/>
  <c r="B3077" i="1"/>
  <c r="I3076" i="1"/>
  <c r="B3076" i="1"/>
  <c r="I3073" i="1" l="1"/>
  <c r="B3073" i="1"/>
  <c r="I3072" i="1"/>
  <c r="B3072" i="1"/>
  <c r="I3071" i="1"/>
  <c r="B3071" i="1"/>
  <c r="I3070" i="1"/>
  <c r="B3070" i="1"/>
  <c r="B3069" i="1" l="1"/>
  <c r="B3068" i="1"/>
  <c r="I3067" i="1"/>
  <c r="I3069" i="1"/>
  <c r="I3068" i="1"/>
  <c r="B3067" i="1"/>
  <c r="I3066" i="1" l="1"/>
  <c r="B3066" i="1"/>
  <c r="I3065" i="1"/>
  <c r="B3065" i="1"/>
  <c r="I3064" i="1"/>
  <c r="B3064" i="1"/>
  <c r="I3063" i="1"/>
  <c r="B3063" i="1"/>
  <c r="I3062" i="1"/>
  <c r="B3062" i="1"/>
  <c r="I3061" i="1"/>
  <c r="B3061" i="1"/>
  <c r="I3060" i="1"/>
  <c r="B3060" i="1"/>
  <c r="I3059" i="1"/>
  <c r="B3059" i="1"/>
  <c r="I3058" i="1"/>
  <c r="B3058" i="1"/>
  <c r="I3057" i="1"/>
  <c r="B3057" i="1"/>
  <c r="I3056" i="1"/>
  <c r="B3056" i="1"/>
  <c r="I3055" i="1"/>
  <c r="B3055" i="1"/>
  <c r="I3054" i="1"/>
  <c r="B3054" i="1"/>
  <c r="I3053" i="1"/>
  <c r="B3053" i="1"/>
  <c r="I3052" i="1" l="1"/>
  <c r="B3052" i="1"/>
  <c r="I3051" i="1"/>
  <c r="B3051" i="1"/>
  <c r="I3050" i="1"/>
  <c r="B3050" i="1"/>
  <c r="I3049" i="1"/>
  <c r="B3049" i="1"/>
  <c r="I3048" i="1" l="1"/>
  <c r="B3048" i="1"/>
  <c r="I3047" i="1"/>
  <c r="B3047" i="1"/>
  <c r="I3046" i="1"/>
  <c r="B3046" i="1"/>
  <c r="I3045" i="1"/>
  <c r="B3045" i="1"/>
  <c r="I3044" i="1"/>
  <c r="B3044" i="1"/>
  <c r="I3043" i="1"/>
  <c r="B3043" i="1"/>
  <c r="I3042" i="1"/>
  <c r="B3042" i="1"/>
  <c r="I3041" i="1" l="1"/>
  <c r="B3041" i="1"/>
  <c r="B3040" i="1"/>
  <c r="I3040" i="1"/>
  <c r="I3039" i="1" l="1"/>
  <c r="B3039" i="1"/>
  <c r="I3038" i="1"/>
  <c r="B3038" i="1"/>
  <c r="I3037" i="1" l="1"/>
  <c r="B3037" i="1"/>
  <c r="I3036" i="1"/>
  <c r="B3036" i="1"/>
  <c r="I3035" i="1" l="1"/>
  <c r="B3035" i="1"/>
  <c r="I3034" i="1"/>
  <c r="B3034" i="1"/>
  <c r="I3033" i="1"/>
  <c r="B3033" i="1"/>
  <c r="I3032" i="1" l="1"/>
  <c r="B3032" i="1"/>
  <c r="I3031" i="1"/>
  <c r="B3031" i="1"/>
  <c r="I3030" i="1"/>
  <c r="B3030" i="1"/>
  <c r="I3029" i="1" l="1"/>
  <c r="B3029" i="1"/>
  <c r="I3028" i="1"/>
  <c r="B3028" i="1"/>
  <c r="I3027" i="1" l="1"/>
  <c r="B3027" i="1"/>
  <c r="I3026" i="1" l="1"/>
  <c r="B3026" i="1"/>
  <c r="I3025" i="1"/>
  <c r="B3025" i="1"/>
  <c r="I3024" i="1"/>
  <c r="B3024" i="1"/>
  <c r="I3023" i="1" l="1"/>
  <c r="B3023" i="1"/>
  <c r="I3022" i="1"/>
  <c r="B3022" i="1"/>
  <c r="I3021" i="1" l="1"/>
  <c r="B3021" i="1"/>
  <c r="I3020" i="1"/>
  <c r="B3020" i="1"/>
  <c r="I3019" i="1" l="1"/>
  <c r="B3019" i="1"/>
  <c r="I3018" i="1"/>
  <c r="B3018" i="1"/>
  <c r="I3017" i="1"/>
  <c r="B3017" i="1"/>
  <c r="I3016" i="1"/>
  <c r="B3016" i="1"/>
  <c r="I3015" i="1"/>
  <c r="B3015" i="1"/>
  <c r="I3014" i="1"/>
  <c r="B3014" i="1"/>
  <c r="I3013" i="1"/>
  <c r="B3013" i="1"/>
  <c r="I3012" i="1"/>
  <c r="B3012" i="1"/>
  <c r="I3011" i="1"/>
  <c r="B3011" i="1"/>
  <c r="I3010" i="1"/>
  <c r="B3010" i="1"/>
  <c r="I3009" i="1"/>
  <c r="B3009" i="1"/>
  <c r="I3008" i="1"/>
  <c r="B3008" i="1"/>
  <c r="I3007" i="1"/>
  <c r="B3007" i="1"/>
  <c r="I3006" i="1" l="1"/>
  <c r="B3006" i="1"/>
  <c r="I3005" i="1"/>
  <c r="B3005" i="1"/>
  <c r="I3004" i="1"/>
  <c r="B3004" i="1"/>
  <c r="I3003" i="1"/>
  <c r="B3003" i="1"/>
  <c r="I3002" i="1"/>
  <c r="B3002" i="1"/>
  <c r="I3001" i="1"/>
  <c r="B3001" i="1"/>
  <c r="I3000" i="1"/>
  <c r="B3000" i="1"/>
  <c r="I2999" i="1"/>
  <c r="B2999" i="1"/>
  <c r="I2998" i="1"/>
  <c r="B2998" i="1"/>
  <c r="I2997" i="1"/>
  <c r="B2997" i="1"/>
  <c r="I2996" i="1"/>
  <c r="B2996" i="1"/>
  <c r="I2995" i="1"/>
  <c r="B2995" i="1"/>
  <c r="I2994" i="1"/>
  <c r="B2994" i="1"/>
  <c r="I2993" i="1"/>
  <c r="B2993" i="1"/>
  <c r="I2992" i="1" l="1"/>
  <c r="B2992" i="1"/>
  <c r="I2991" i="1" l="1"/>
  <c r="I2990" i="1"/>
  <c r="B2991" i="1"/>
  <c r="B2990" i="1"/>
  <c r="I2978" i="1"/>
  <c r="B2978" i="1"/>
  <c r="I2977" i="1"/>
  <c r="B2977" i="1"/>
  <c r="I2976" i="1"/>
  <c r="B2976" i="1"/>
  <c r="I2975" i="1"/>
  <c r="B2975" i="1"/>
  <c r="I2989" i="1" l="1"/>
  <c r="B2989" i="1"/>
  <c r="I2988" i="1"/>
  <c r="B2988" i="1"/>
  <c r="I2987" i="1"/>
  <c r="B2987" i="1"/>
  <c r="I2986" i="1"/>
  <c r="B2986" i="1"/>
  <c r="I2985" i="1" l="1"/>
  <c r="B2985" i="1"/>
  <c r="I2984" i="1"/>
  <c r="B2984" i="1"/>
  <c r="I2983" i="1" l="1"/>
  <c r="B2983" i="1"/>
  <c r="I2982" i="1"/>
  <c r="B2982" i="1"/>
  <c r="I2981" i="1"/>
  <c r="B2981" i="1"/>
  <c r="I2980" i="1"/>
  <c r="B2980" i="1"/>
  <c r="I2979" i="1"/>
  <c r="B2979" i="1"/>
  <c r="I2970" i="1" l="1"/>
  <c r="B2970" i="1"/>
  <c r="I2974" i="1" l="1"/>
  <c r="B2974" i="1"/>
  <c r="I2973" i="1"/>
  <c r="B2973" i="1"/>
  <c r="I2972" i="1"/>
  <c r="B2972" i="1"/>
  <c r="I2971" i="1"/>
  <c r="B2971" i="1"/>
  <c r="I2969" i="1" l="1"/>
  <c r="B2969" i="1"/>
  <c r="I2968" i="1"/>
  <c r="B2968" i="1"/>
  <c r="I2967" i="1" l="1"/>
  <c r="B2967" i="1"/>
  <c r="I2966" i="1"/>
  <c r="B2966" i="1"/>
  <c r="I2965" i="1"/>
  <c r="B2965" i="1"/>
  <c r="I2964" i="1"/>
  <c r="B2964" i="1"/>
  <c r="I2963" i="1"/>
  <c r="B2963" i="1"/>
  <c r="I2962" i="1"/>
  <c r="B2962" i="1"/>
  <c r="I2961" i="1"/>
  <c r="B2961" i="1"/>
  <c r="I2960" i="1"/>
  <c r="B2960" i="1"/>
  <c r="I2959" i="1"/>
  <c r="B2959" i="1"/>
  <c r="I2958" i="1"/>
  <c r="B2958" i="1"/>
  <c r="I2957" i="1"/>
  <c r="B2957" i="1"/>
  <c r="I2956" i="1"/>
  <c r="B2956" i="1"/>
  <c r="I2955" i="1"/>
  <c r="B2955" i="1"/>
  <c r="I2954" i="1" l="1"/>
  <c r="B2954" i="1"/>
  <c r="I2953" i="1"/>
  <c r="B2953" i="1"/>
  <c r="I2952" i="1"/>
  <c r="B2952" i="1"/>
  <c r="I2951" i="1" l="1"/>
  <c r="B2951" i="1"/>
  <c r="I2950" i="1" l="1"/>
  <c r="B2950" i="1"/>
  <c r="I2949" i="1"/>
  <c r="B2949" i="1"/>
  <c r="I2948" i="1"/>
  <c r="B2948" i="1"/>
  <c r="I2947" i="1"/>
  <c r="B2947" i="1"/>
  <c r="I2946" i="1" l="1"/>
  <c r="B2946" i="1"/>
  <c r="I2945" i="1"/>
  <c r="B2945" i="1"/>
  <c r="I2944" i="1" l="1"/>
  <c r="B2944" i="1"/>
  <c r="I2943" i="1"/>
  <c r="B2943" i="1"/>
  <c r="I2942" i="1"/>
  <c r="B2942" i="1"/>
  <c r="I2941" i="1"/>
  <c r="B2941" i="1"/>
  <c r="I2940" i="1"/>
  <c r="B2940" i="1"/>
  <c r="I2939" i="1" l="1"/>
  <c r="B2939" i="1"/>
  <c r="I2938" i="1"/>
  <c r="B2938" i="1"/>
  <c r="I2937" i="1"/>
  <c r="B2937" i="1"/>
  <c r="I2936" i="1"/>
  <c r="B2936" i="1"/>
  <c r="I2935" i="1"/>
  <c r="B2935" i="1"/>
  <c r="I2934" i="1"/>
  <c r="B2934" i="1"/>
  <c r="I2933" i="1"/>
  <c r="B2933" i="1"/>
  <c r="I2932" i="1"/>
  <c r="B2932" i="1"/>
  <c r="I2931" i="1"/>
  <c r="B2931" i="1"/>
  <c r="I2930" i="1"/>
  <c r="B2930" i="1"/>
  <c r="I2929" i="1" l="1"/>
  <c r="B2929" i="1"/>
  <c r="I2928" i="1"/>
  <c r="B2928" i="1"/>
  <c r="I2927" i="1"/>
  <c r="B2927" i="1"/>
  <c r="I2926" i="1"/>
  <c r="B2926" i="1"/>
  <c r="I2925" i="1"/>
  <c r="B2925" i="1"/>
  <c r="I2924" i="1"/>
  <c r="B2924" i="1"/>
  <c r="I2923" i="1"/>
  <c r="B2923" i="1"/>
  <c r="I2922" i="1"/>
  <c r="B2922" i="1"/>
  <c r="I2921" i="1" l="1"/>
  <c r="B2921" i="1"/>
  <c r="I2920" i="1"/>
  <c r="B2920" i="1"/>
  <c r="I2919" i="1"/>
  <c r="B2919" i="1"/>
  <c r="I2918" i="1"/>
  <c r="B2918" i="1"/>
  <c r="I2917" i="1"/>
  <c r="B2917" i="1"/>
  <c r="I2916" i="1"/>
  <c r="B2916" i="1"/>
  <c r="I2915" i="1"/>
  <c r="B2915" i="1"/>
  <c r="I2914" i="1"/>
  <c r="B2914" i="1"/>
  <c r="I2913" i="1"/>
  <c r="B2913" i="1"/>
  <c r="I2912" i="1"/>
  <c r="B2912" i="1"/>
  <c r="I2911" i="1"/>
  <c r="B2911" i="1"/>
  <c r="I2910" i="1"/>
  <c r="B2910" i="1"/>
  <c r="I2909" i="1"/>
  <c r="B2909" i="1"/>
  <c r="I2908" i="1"/>
  <c r="B2908" i="1"/>
  <c r="I2907" i="1" l="1"/>
  <c r="B2907" i="1"/>
  <c r="I2906" i="1"/>
  <c r="B2906" i="1"/>
  <c r="I2905" i="1" l="1"/>
  <c r="B2905" i="1"/>
  <c r="I2904" i="1" l="1"/>
  <c r="B2904" i="1"/>
  <c r="I2903" i="1"/>
  <c r="B2903" i="1"/>
  <c r="I2902" i="1"/>
  <c r="B2902" i="1"/>
  <c r="I2901" i="1"/>
  <c r="B2901" i="1"/>
  <c r="I2900" i="1"/>
  <c r="B2900" i="1"/>
  <c r="I2899" i="1"/>
  <c r="B2899" i="1"/>
  <c r="I2898" i="1"/>
  <c r="B2898" i="1"/>
  <c r="I2897" i="1"/>
  <c r="B2897" i="1"/>
  <c r="I2896" i="1"/>
  <c r="B2896" i="1" l="1"/>
  <c r="I2895" i="1" l="1"/>
  <c r="B2895" i="1"/>
  <c r="I2894" i="1" l="1"/>
  <c r="B2894" i="1"/>
  <c r="I2893" i="1" l="1"/>
  <c r="B2893" i="1"/>
  <c r="I2892" i="1"/>
  <c r="B2892" i="1"/>
  <c r="I2891" i="1" l="1"/>
  <c r="B2891" i="1"/>
  <c r="I2890" i="1"/>
  <c r="B2890" i="1"/>
  <c r="I2889" i="1"/>
  <c r="B2889" i="1"/>
  <c r="I2888" i="1"/>
  <c r="B2888" i="1"/>
  <c r="I2887" i="1"/>
  <c r="B2887" i="1"/>
  <c r="I2886" i="1"/>
  <c r="B2886" i="1"/>
  <c r="I2885" i="1"/>
  <c r="B2885" i="1"/>
  <c r="I2884" i="1"/>
  <c r="B2884" i="1"/>
  <c r="I2883" i="1"/>
  <c r="B2883" i="1"/>
  <c r="I2882" i="1"/>
  <c r="B2882" i="1"/>
  <c r="I2881" i="1" l="1"/>
  <c r="B2881" i="1"/>
  <c r="I2880" i="1"/>
  <c r="B2880" i="1"/>
  <c r="I2879" i="1" l="1"/>
  <c r="B2879" i="1"/>
  <c r="I2878" i="1"/>
  <c r="B2878" i="1"/>
  <c r="I2877" i="1"/>
  <c r="B2877" i="1"/>
  <c r="I2876" i="1"/>
  <c r="B2876" i="1"/>
  <c r="I2875" i="1"/>
  <c r="B2875" i="1"/>
  <c r="I2874" i="1"/>
  <c r="B2874" i="1"/>
  <c r="I2873" i="1"/>
  <c r="B2873" i="1"/>
  <c r="I2872" i="1" l="1"/>
  <c r="B2872" i="1"/>
  <c r="I2871" i="1"/>
  <c r="B2871" i="1"/>
  <c r="I2870" i="1"/>
  <c r="B2870" i="1"/>
  <c r="I2869" i="1"/>
  <c r="B2869" i="1"/>
  <c r="I2868" i="1"/>
  <c r="B2868" i="1"/>
  <c r="I2867" i="1"/>
  <c r="B2867" i="1"/>
  <c r="I2866" i="1" l="1"/>
  <c r="B2866" i="1"/>
  <c r="I2865" i="1"/>
  <c r="B2865" i="1"/>
  <c r="I2864" i="1"/>
  <c r="B2864" i="1"/>
  <c r="I2863" i="1"/>
  <c r="B2863" i="1"/>
  <c r="I2862" i="1"/>
  <c r="B2862" i="1"/>
  <c r="I2861" i="1"/>
  <c r="B2861" i="1"/>
  <c r="I2860" i="1"/>
  <c r="B2860" i="1"/>
  <c r="I2859" i="1"/>
  <c r="B2859" i="1"/>
  <c r="B2858" i="1"/>
  <c r="B2857" i="1"/>
  <c r="I2858" i="1"/>
  <c r="I2857" i="1"/>
  <c r="I2850" i="1" l="1"/>
  <c r="B2850" i="1"/>
  <c r="I2849" i="1"/>
  <c r="B2849" i="1"/>
  <c r="I2848" i="1"/>
  <c r="B2848" i="1"/>
  <c r="I2854" i="1" l="1"/>
  <c r="B2854" i="1"/>
  <c r="I2856" i="1"/>
  <c r="I2855" i="1"/>
  <c r="I2853" i="1"/>
  <c r="I2852" i="1"/>
  <c r="I2851" i="1"/>
  <c r="I2847" i="1"/>
  <c r="I2846" i="1"/>
  <c r="I2845" i="1"/>
  <c r="I2844" i="1"/>
  <c r="I2843" i="1"/>
  <c r="I2842" i="1"/>
  <c r="I2841" i="1"/>
  <c r="B2856" i="1"/>
  <c r="B2855" i="1"/>
  <c r="B2853" i="1"/>
  <c r="B2852" i="1"/>
  <c r="B2851" i="1"/>
  <c r="B2847" i="1"/>
  <c r="B2846" i="1"/>
  <c r="B2845" i="1"/>
  <c r="B2844" i="1"/>
  <c r="B2843" i="1"/>
  <c r="B2842" i="1"/>
  <c r="B2841" i="1"/>
  <c r="I2840" i="1" l="1"/>
  <c r="I2839" i="1"/>
  <c r="I2838" i="1"/>
  <c r="B2840" i="1"/>
  <c r="B2839" i="1"/>
  <c r="B2838" i="1"/>
  <c r="I2837" i="1" l="1"/>
  <c r="B2837" i="1"/>
  <c r="I2836" i="1"/>
  <c r="B2836" i="1"/>
  <c r="I2835" i="1" l="1"/>
  <c r="B2835" i="1"/>
  <c r="I2834" i="1" l="1"/>
  <c r="B2834" i="1"/>
  <c r="I2833" i="1"/>
  <c r="B2833" i="1"/>
  <c r="B2831" i="1"/>
  <c r="I2832" i="1" l="1"/>
  <c r="B2832" i="1"/>
  <c r="I2831" i="1"/>
  <c r="I2830" i="1" l="1"/>
  <c r="B2830" i="1"/>
  <c r="I2829" i="1"/>
  <c r="B2829" i="1"/>
  <c r="I2828" i="1"/>
  <c r="B2828" i="1"/>
  <c r="I2827" i="1"/>
  <c r="B2827" i="1"/>
  <c r="I2826" i="1"/>
  <c r="B2826" i="1"/>
  <c r="I2825" i="1"/>
  <c r="B2825" i="1"/>
  <c r="I2824" i="1"/>
  <c r="B2824" i="1"/>
  <c r="I2823" i="1"/>
  <c r="B2823" i="1"/>
  <c r="I2822" i="1"/>
  <c r="B2822" i="1"/>
  <c r="I2821" i="1"/>
  <c r="B2821" i="1"/>
  <c r="I2820" i="1"/>
  <c r="B2820" i="1"/>
  <c r="I2819" i="1"/>
  <c r="B2819" i="1"/>
  <c r="I2818" i="1"/>
  <c r="B2818" i="1"/>
  <c r="I2817" i="1"/>
  <c r="B2817" i="1"/>
  <c r="I2816" i="1"/>
  <c r="B2816" i="1" l="1"/>
  <c r="I2815" i="1"/>
  <c r="B2815" i="1"/>
  <c r="I2814" i="1"/>
  <c r="B2814" i="1"/>
  <c r="I2813" i="1"/>
  <c r="B2813" i="1"/>
  <c r="I2812" i="1"/>
  <c r="B2812" i="1"/>
  <c r="I2811" i="1"/>
  <c r="B2811" i="1"/>
  <c r="I2810" i="1"/>
  <c r="B2810" i="1"/>
  <c r="I2809" i="1"/>
  <c r="B2809" i="1"/>
  <c r="I2808" i="1"/>
  <c r="B2808" i="1"/>
  <c r="I2807" i="1"/>
  <c r="B2807" i="1"/>
  <c r="I2806" i="1"/>
  <c r="B2806" i="1"/>
  <c r="I2805" i="1"/>
  <c r="B2805" i="1"/>
  <c r="I2804" i="1"/>
  <c r="B2804" i="1"/>
  <c r="I2803" i="1"/>
  <c r="B2803" i="1"/>
  <c r="I2802" i="1" l="1"/>
  <c r="B2802" i="1"/>
  <c r="I2801" i="1"/>
  <c r="B2801" i="1"/>
  <c r="I2800" i="1"/>
  <c r="B2800" i="1"/>
  <c r="I2799" i="1"/>
  <c r="B2799" i="1"/>
  <c r="I2798" i="1"/>
  <c r="B2798" i="1"/>
  <c r="I2797" i="1"/>
  <c r="B2797" i="1"/>
  <c r="I2796" i="1"/>
  <c r="B2796" i="1"/>
  <c r="I2795" i="1"/>
  <c r="B2795" i="1"/>
  <c r="I2794" i="1"/>
  <c r="B2794" i="1"/>
  <c r="I2793" i="1"/>
  <c r="B2793" i="1"/>
  <c r="I2792" i="1"/>
  <c r="B2792" i="1"/>
  <c r="I2791" i="1"/>
  <c r="B2791" i="1"/>
  <c r="I2790" i="1"/>
  <c r="B2790" i="1"/>
  <c r="I2789" i="1"/>
  <c r="B2789" i="1"/>
  <c r="I2788" i="1"/>
  <c r="B2788" i="1"/>
  <c r="I2787" i="1"/>
  <c r="B2787" i="1"/>
  <c r="I2786" i="1" l="1"/>
  <c r="B2786" i="1"/>
  <c r="I2785" i="1" l="1"/>
  <c r="B2785" i="1"/>
  <c r="I2784" i="1"/>
  <c r="B2784" i="1"/>
  <c r="I2783" i="1" l="1"/>
  <c r="B2783" i="1"/>
  <c r="I2782" i="1" l="1"/>
  <c r="B2782" i="1"/>
  <c r="I2781" i="1"/>
  <c r="B2781" i="1"/>
  <c r="I2780" i="1"/>
  <c r="B2780" i="1"/>
  <c r="I2779" i="1"/>
  <c r="B2779" i="1"/>
  <c r="I2778" i="1"/>
  <c r="B2778" i="1"/>
  <c r="I2777" i="1"/>
  <c r="B2777" i="1"/>
  <c r="I2776" i="1"/>
  <c r="B2776" i="1"/>
  <c r="I2775" i="1"/>
  <c r="B2775" i="1"/>
  <c r="I2774" i="1"/>
  <c r="B2774" i="1"/>
  <c r="I2773" i="1"/>
  <c r="B2773" i="1"/>
  <c r="I2772" i="1"/>
  <c r="B2772" i="1"/>
  <c r="I2771" i="1"/>
  <c r="B2771" i="1"/>
  <c r="I2770" i="1"/>
  <c r="B2770" i="1"/>
  <c r="I2769" i="1"/>
  <c r="B2769" i="1"/>
  <c r="I2768" i="1"/>
  <c r="B2768" i="1"/>
  <c r="I2767" i="1"/>
  <c r="B2767" i="1"/>
  <c r="I2766" i="1"/>
  <c r="B2766" i="1"/>
  <c r="I2765" i="1"/>
  <c r="B2765" i="1"/>
  <c r="I2764" i="1"/>
  <c r="B2764" i="1"/>
  <c r="I2763" i="1"/>
  <c r="B2763" i="1"/>
  <c r="I2762" i="1" l="1"/>
  <c r="B2762" i="1"/>
  <c r="I2761" i="1"/>
  <c r="B2761" i="1"/>
  <c r="I2760" i="1" l="1"/>
  <c r="B2760" i="1"/>
  <c r="I2759" i="1"/>
  <c r="B2759" i="1"/>
  <c r="I2758" i="1" l="1"/>
  <c r="B2758" i="1"/>
  <c r="I2757" i="1"/>
  <c r="B2757" i="1"/>
  <c r="I2756" i="1"/>
  <c r="B2756" i="1"/>
  <c r="I2755" i="1"/>
  <c r="B2755" i="1"/>
  <c r="I2754" i="1"/>
  <c r="B2754" i="1"/>
  <c r="I2753" i="1"/>
  <c r="B2753" i="1"/>
  <c r="I2752" i="1"/>
  <c r="B2752" i="1"/>
  <c r="I2751" i="1"/>
  <c r="B2751" i="1"/>
  <c r="I2750" i="1"/>
  <c r="B2750" i="1"/>
  <c r="I2749" i="1"/>
  <c r="B2749" i="1"/>
  <c r="I2748" i="1"/>
  <c r="B2748" i="1"/>
  <c r="I2747" i="1"/>
  <c r="B2747" i="1"/>
  <c r="I2746" i="1" l="1"/>
  <c r="B2746" i="1"/>
  <c r="I2745" i="1"/>
  <c r="B2745" i="1"/>
  <c r="I2744" i="1" l="1"/>
  <c r="B2744" i="1"/>
  <c r="I2743" i="1" l="1"/>
  <c r="B2743" i="1"/>
  <c r="I2742" i="1" l="1"/>
  <c r="B2742" i="1"/>
  <c r="I2741" i="1"/>
  <c r="B2741" i="1"/>
  <c r="I2740" i="1"/>
  <c r="B2740" i="1"/>
  <c r="I2739" i="1"/>
  <c r="B2739" i="1"/>
  <c r="I2738" i="1"/>
  <c r="B2738" i="1"/>
  <c r="I2737" i="1"/>
  <c r="B2737" i="1"/>
  <c r="I2736" i="1"/>
  <c r="B2736" i="1"/>
  <c r="I2735" i="1" l="1"/>
  <c r="B2735" i="1"/>
  <c r="I2734" i="1"/>
  <c r="B2734" i="1"/>
  <c r="I2733" i="1" l="1"/>
  <c r="B2733" i="1"/>
  <c r="I2732" i="1"/>
  <c r="B2732" i="1"/>
  <c r="I2731" i="1" l="1"/>
  <c r="B2731" i="1"/>
  <c r="I2730" i="1"/>
  <c r="B2730" i="1"/>
  <c r="I2729" i="1"/>
  <c r="B2729" i="1"/>
  <c r="I2728" i="1"/>
  <c r="B2728" i="1"/>
  <c r="I2727" i="1"/>
  <c r="B2727" i="1"/>
  <c r="I2726" i="1" l="1"/>
  <c r="B2726" i="1"/>
  <c r="I2725" i="1"/>
  <c r="B2725" i="1"/>
  <c r="I2724" i="1"/>
  <c r="B2724" i="1"/>
  <c r="I2723" i="1"/>
  <c r="B2723" i="1"/>
  <c r="I2722" i="1" l="1"/>
  <c r="B2722" i="1"/>
  <c r="I2721" i="1"/>
  <c r="B2721" i="1"/>
  <c r="I2720" i="1" l="1"/>
  <c r="B2720" i="1"/>
  <c r="I2719" i="1" l="1"/>
  <c r="B2719" i="1"/>
  <c r="I2718" i="1"/>
  <c r="B2718" i="1"/>
  <c r="I2717" i="1"/>
  <c r="B2717" i="1"/>
  <c r="I2716" i="1"/>
  <c r="B2716" i="1"/>
  <c r="I2715" i="1"/>
  <c r="B2715" i="1"/>
  <c r="I2714" i="1"/>
  <c r="B2714" i="1"/>
  <c r="I2713" i="1"/>
  <c r="B2713" i="1"/>
  <c r="I2712" i="1"/>
  <c r="B2712" i="1"/>
  <c r="I2711" i="1"/>
  <c r="B2711" i="1"/>
  <c r="I2710" i="1" l="1"/>
  <c r="B2710" i="1"/>
  <c r="I2709" i="1"/>
  <c r="B2709" i="1"/>
  <c r="I2707" i="1" l="1"/>
  <c r="I2695" i="1" l="1"/>
  <c r="I2696" i="1"/>
  <c r="I2697" i="1"/>
  <c r="I2698" i="1"/>
  <c r="I2699" i="1"/>
  <c r="I2700" i="1"/>
  <c r="I2701" i="1"/>
  <c r="I2702" i="1"/>
  <c r="I2703" i="1"/>
  <c r="I2704" i="1"/>
  <c r="I2705" i="1"/>
  <c r="I2706" i="1"/>
  <c r="I2708" i="1"/>
  <c r="B2705" i="1"/>
  <c r="B2706" i="1"/>
  <c r="B2707" i="1"/>
  <c r="B2708" i="1"/>
  <c r="B2695" i="1"/>
  <c r="B2696" i="1"/>
  <c r="B2697" i="1"/>
  <c r="B2698" i="1"/>
  <c r="B2699" i="1"/>
  <c r="B2700" i="1"/>
  <c r="B2701" i="1"/>
  <c r="B2702" i="1"/>
  <c r="B2703" i="1"/>
  <c r="B2704" i="1"/>
  <c r="I2694" i="1" l="1"/>
  <c r="B2694" i="1"/>
  <c r="I2693" i="1"/>
  <c r="B2693" i="1"/>
  <c r="I2692" i="1"/>
  <c r="B2692" i="1"/>
  <c r="I2691" i="1" l="1"/>
  <c r="B2691" i="1"/>
  <c r="I2690" i="1"/>
  <c r="B2690" i="1"/>
  <c r="I2689" i="1"/>
  <c r="B2689" i="1"/>
  <c r="I2688" i="1"/>
  <c r="B2688" i="1"/>
  <c r="I2687" i="1"/>
  <c r="B2687" i="1"/>
  <c r="I2686" i="1"/>
  <c r="B2686" i="1"/>
  <c r="I2685" i="1" l="1"/>
  <c r="B2685" i="1"/>
  <c r="I2684" i="1"/>
  <c r="B2684" i="1"/>
  <c r="I2683" i="1"/>
  <c r="B2683" i="1"/>
  <c r="I2682" i="1"/>
  <c r="B2682" i="1"/>
  <c r="I2681" i="1" l="1"/>
  <c r="B2681" i="1"/>
  <c r="I2680" i="1"/>
  <c r="B2680" i="1"/>
  <c r="I2679" i="1"/>
  <c r="B2679" i="1"/>
  <c r="I2678" i="1"/>
  <c r="B2678" i="1"/>
  <c r="I2677" i="1"/>
  <c r="B2677" i="1"/>
  <c r="I2676" i="1" l="1"/>
  <c r="B2676" i="1"/>
  <c r="I2675" i="1"/>
  <c r="B2675" i="1"/>
  <c r="I2674" i="1"/>
  <c r="B2674" i="1"/>
  <c r="I2673" i="1"/>
  <c r="B2673" i="1"/>
  <c r="I2672" i="1"/>
  <c r="B2672" i="1"/>
  <c r="I2671" i="1"/>
  <c r="B2671" i="1"/>
  <c r="I2670" i="1"/>
  <c r="B2670" i="1"/>
  <c r="I2669" i="1"/>
  <c r="B2669" i="1"/>
  <c r="I2668" i="1"/>
  <c r="B2668" i="1"/>
  <c r="I2667" i="1"/>
  <c r="B2667" i="1"/>
  <c r="I2666" i="1"/>
  <c r="B2666" i="1"/>
  <c r="I2665" i="1"/>
  <c r="B2665" i="1"/>
  <c r="I2664" i="1"/>
  <c r="B2664" i="1"/>
  <c r="I2663" i="1" l="1"/>
  <c r="B2663" i="1"/>
  <c r="I2662" i="1"/>
  <c r="B2662" i="1"/>
  <c r="I2661" i="1"/>
  <c r="B2661" i="1"/>
  <c r="I2660" i="1"/>
  <c r="B2660" i="1"/>
  <c r="I2659" i="1" l="1"/>
  <c r="B2659" i="1"/>
  <c r="B2658" i="1"/>
  <c r="I2658" i="1"/>
  <c r="I2657" i="1" l="1"/>
  <c r="B2657" i="1"/>
  <c r="I2656" i="1"/>
  <c r="B2656" i="1"/>
  <c r="I2655" i="1" l="1"/>
  <c r="B2655" i="1"/>
  <c r="I2654" i="1" l="1"/>
  <c r="B2654" i="1"/>
  <c r="I2653" i="1"/>
  <c r="B2653" i="1"/>
  <c r="I2652" i="1" l="1"/>
  <c r="B2652" i="1"/>
  <c r="I2651" i="1"/>
  <c r="B2651" i="1"/>
  <c r="I2650" i="1"/>
  <c r="B2650" i="1"/>
  <c r="I2649" i="1"/>
  <c r="B2649" i="1"/>
  <c r="I2648" i="1"/>
  <c r="B2648" i="1"/>
  <c r="I2647" i="1"/>
  <c r="B2647" i="1"/>
  <c r="I2646" i="1"/>
  <c r="B2646" i="1"/>
  <c r="I2645" i="1"/>
  <c r="B2645" i="1"/>
  <c r="I2644" i="1"/>
  <c r="B2644" i="1"/>
  <c r="I2643" i="1" l="1"/>
  <c r="B2643" i="1"/>
  <c r="I2642" i="1"/>
  <c r="B2642" i="1"/>
  <c r="I2641" i="1" l="1"/>
  <c r="B2641" i="1"/>
  <c r="I2640" i="1"/>
  <c r="B2640" i="1"/>
  <c r="I2639" i="1"/>
  <c r="B2639" i="1"/>
  <c r="I2638" i="1"/>
  <c r="B2638" i="1"/>
  <c r="I2637" i="1"/>
  <c r="B2637" i="1"/>
  <c r="I2636" i="1"/>
  <c r="B2636" i="1"/>
  <c r="I2635" i="1"/>
  <c r="B2635" i="1"/>
  <c r="I2634" i="1"/>
  <c r="B2634" i="1"/>
  <c r="I2633" i="1"/>
  <c r="B2633" i="1"/>
  <c r="I2632" i="1"/>
  <c r="B2632" i="1"/>
  <c r="I2631" i="1"/>
  <c r="B2631" i="1"/>
  <c r="I2630" i="1"/>
  <c r="B2630" i="1"/>
  <c r="I2629" i="1"/>
  <c r="B2629" i="1"/>
  <c r="I2628" i="1"/>
  <c r="B2628" i="1"/>
  <c r="I2627" i="1"/>
  <c r="B2627" i="1"/>
  <c r="I2626" i="1"/>
  <c r="B2626" i="1"/>
  <c r="I2625" i="1"/>
  <c r="B2625" i="1"/>
  <c r="I2624" i="1"/>
  <c r="B2624" i="1"/>
  <c r="I2623" i="1"/>
  <c r="B2623" i="1"/>
  <c r="I2622" i="1" l="1"/>
  <c r="B2622" i="1"/>
  <c r="I2621" i="1" l="1"/>
  <c r="B2621" i="1"/>
  <c r="I2620" i="1"/>
  <c r="B2620" i="1"/>
  <c r="I2619" i="1"/>
  <c r="B2619" i="1"/>
  <c r="I2618" i="1"/>
  <c r="B2618" i="1"/>
  <c r="I2617" i="1" l="1"/>
  <c r="I2616" i="1"/>
  <c r="B2616" i="1"/>
  <c r="B2617" i="1"/>
  <c r="I2615" i="1"/>
  <c r="B2615" i="1"/>
  <c r="I2614" i="1"/>
  <c r="B2614" i="1"/>
  <c r="I2613" i="1"/>
  <c r="B2613" i="1"/>
  <c r="I2612" i="1"/>
  <c r="B2612" i="1"/>
  <c r="I2611" i="1"/>
  <c r="B2611" i="1"/>
  <c r="I2610" i="1"/>
  <c r="B2610" i="1"/>
  <c r="I2609" i="1"/>
  <c r="B2609" i="1"/>
  <c r="I2608" i="1"/>
  <c r="B2608" i="1"/>
  <c r="I2607" i="1" l="1"/>
  <c r="B2607" i="1"/>
  <c r="I2606" i="1" l="1"/>
  <c r="B2606" i="1"/>
  <c r="I2605" i="1"/>
  <c r="B2605" i="1"/>
  <c r="I2604" i="1"/>
  <c r="B2604" i="1"/>
  <c r="I2603" i="1" l="1"/>
  <c r="B2603" i="1"/>
  <c r="I2602" i="1"/>
  <c r="B2602" i="1"/>
  <c r="I2601" i="1" l="1"/>
  <c r="B2601" i="1"/>
  <c r="I2600" i="1"/>
  <c r="B2600" i="1"/>
  <c r="I2599" i="1"/>
  <c r="B2599" i="1"/>
  <c r="I2598" i="1"/>
  <c r="B2598" i="1"/>
  <c r="I2597" i="1"/>
  <c r="B2597" i="1"/>
  <c r="I2596" i="1"/>
  <c r="B2596" i="1"/>
  <c r="I2595" i="1" l="1"/>
  <c r="B2595" i="1"/>
  <c r="I2594" i="1"/>
  <c r="B2594" i="1"/>
  <c r="I2541" i="1"/>
  <c r="I2593" i="1" l="1"/>
  <c r="B2593" i="1"/>
  <c r="I2592" i="1"/>
  <c r="B2592" i="1"/>
  <c r="I2591" i="1"/>
  <c r="B2591" i="1"/>
  <c r="I2590" i="1" l="1"/>
  <c r="B2590" i="1"/>
  <c r="I2589" i="1"/>
  <c r="B2589" i="1"/>
  <c r="I2588" i="1"/>
  <c r="B2588" i="1"/>
  <c r="I2587" i="1"/>
  <c r="B2587" i="1"/>
  <c r="I2586" i="1"/>
  <c r="B2586" i="1"/>
  <c r="I2585" i="1"/>
  <c r="B2585" i="1"/>
  <c r="I2584" i="1"/>
  <c r="B2584" i="1"/>
  <c r="I2583" i="1"/>
  <c r="B2583" i="1"/>
  <c r="I2582" i="1"/>
  <c r="B2582" i="1"/>
  <c r="I2581" i="1"/>
  <c r="B2581" i="1"/>
  <c r="I2580" i="1"/>
  <c r="B2580" i="1"/>
  <c r="I2579" i="1"/>
  <c r="B2579" i="1"/>
  <c r="I2578" i="1"/>
  <c r="B2578" i="1"/>
  <c r="I2577" i="1"/>
  <c r="B2577" i="1"/>
  <c r="I2576" i="1"/>
  <c r="B2576" i="1"/>
  <c r="I2575" i="1"/>
  <c r="B2575" i="1"/>
  <c r="I2574" i="1"/>
  <c r="B2574" i="1"/>
  <c r="I2573" i="1"/>
  <c r="B2573" i="1"/>
  <c r="I2572" i="1"/>
  <c r="B2572" i="1"/>
  <c r="I2571" i="1" l="1"/>
  <c r="B2571" i="1"/>
  <c r="I2570" i="1"/>
  <c r="B2570" i="1"/>
  <c r="I2569" i="1" l="1"/>
  <c r="B2569" i="1"/>
  <c r="I2568" i="1"/>
  <c r="B2568" i="1"/>
  <c r="I2567" i="1" l="1"/>
  <c r="B2567" i="1"/>
  <c r="I2566" i="1"/>
  <c r="B2566" i="1"/>
  <c r="I2565" i="1"/>
  <c r="B2565" i="1"/>
  <c r="I2564" i="1"/>
  <c r="B2564" i="1"/>
  <c r="I2563" i="1" l="1"/>
  <c r="B2563" i="1"/>
  <c r="I2562" i="1" l="1"/>
  <c r="B2562" i="1"/>
  <c r="I2561" i="1"/>
  <c r="B2561" i="1"/>
  <c r="I2560" i="1" l="1"/>
  <c r="B2560" i="1"/>
  <c r="I2559" i="1"/>
  <c r="B2559" i="1"/>
  <c r="I2558" i="1"/>
  <c r="B2558" i="1"/>
  <c r="I2557" i="1"/>
  <c r="B2557" i="1"/>
  <c r="I2556" i="1" l="1"/>
  <c r="B2556" i="1"/>
  <c r="I2555" i="1"/>
  <c r="B2555" i="1"/>
  <c r="I2554" i="1"/>
  <c r="B2554" i="1"/>
  <c r="I2553" i="1"/>
  <c r="B2553" i="1"/>
  <c r="I2552" i="1"/>
  <c r="B2552" i="1"/>
  <c r="I2551" i="1"/>
  <c r="B2551" i="1"/>
  <c r="I2550" i="1"/>
  <c r="B2550" i="1"/>
  <c r="I2549" i="1" l="1"/>
  <c r="B2549" i="1"/>
  <c r="I2548" i="1"/>
  <c r="B2548" i="1"/>
  <c r="I2547" i="1"/>
  <c r="B2547" i="1"/>
  <c r="I2546" i="1" l="1"/>
  <c r="B2546" i="1"/>
  <c r="I2545" i="1"/>
  <c r="B2545" i="1"/>
  <c r="I2544" i="1"/>
  <c r="B2544" i="1"/>
  <c r="I2543" i="1"/>
  <c r="B2543" i="1"/>
  <c r="I2542" i="1"/>
  <c r="B2542" i="1"/>
  <c r="B2541" i="1"/>
  <c r="I2540" i="1"/>
  <c r="B2540" i="1"/>
  <c r="I2539" i="1"/>
  <c r="B2539" i="1"/>
  <c r="I2538" i="1"/>
  <c r="B2538" i="1"/>
  <c r="I2537" i="1" l="1"/>
  <c r="B2537" i="1"/>
  <c r="I2536" i="1"/>
  <c r="B2536" i="1"/>
  <c r="I2535" i="1" l="1"/>
  <c r="B2535" i="1"/>
  <c r="I2534" i="1"/>
  <c r="B2534" i="1"/>
  <c r="I2533" i="1"/>
  <c r="B2533" i="1"/>
  <c r="I2532" i="1"/>
  <c r="B2532" i="1"/>
  <c r="I2531" i="1"/>
  <c r="B2531" i="1"/>
  <c r="I2530" i="1"/>
  <c r="B2530" i="1"/>
  <c r="I2529" i="1" l="1"/>
  <c r="B2529" i="1"/>
  <c r="I2528" i="1"/>
  <c r="B2528" i="1"/>
  <c r="I2527" i="1" l="1"/>
  <c r="B2527" i="1"/>
  <c r="I2526" i="1" l="1"/>
  <c r="B2526" i="1"/>
  <c r="I2525" i="1"/>
  <c r="B2525" i="1"/>
  <c r="I2524" i="1"/>
  <c r="B2524" i="1"/>
  <c r="I2523" i="1"/>
  <c r="B2523" i="1"/>
  <c r="I2522" i="1"/>
  <c r="B2522" i="1"/>
  <c r="I2521" i="1"/>
  <c r="B2521" i="1"/>
  <c r="I2520" i="1"/>
  <c r="B2520" i="1"/>
  <c r="I2519" i="1"/>
  <c r="B2519" i="1"/>
  <c r="I2518" i="1"/>
  <c r="B2518" i="1"/>
  <c r="I2517" i="1"/>
  <c r="B2517" i="1"/>
  <c r="I2516" i="1"/>
  <c r="B2516" i="1"/>
  <c r="I2515" i="1"/>
  <c r="B2515" i="1"/>
  <c r="I2514" i="1"/>
  <c r="B2514" i="1"/>
  <c r="I2513" i="1"/>
  <c r="B2513" i="1"/>
  <c r="I2512" i="1"/>
  <c r="B2512" i="1"/>
  <c r="I2511" i="1"/>
  <c r="B2511" i="1"/>
  <c r="I2510" i="1"/>
  <c r="B2510" i="1"/>
  <c r="I2509" i="1"/>
  <c r="B2509" i="1"/>
  <c r="I2507" i="1" l="1"/>
  <c r="I2508" i="1"/>
  <c r="B2508" i="1"/>
  <c r="B2507" i="1"/>
  <c r="I2506" i="1"/>
  <c r="B2506" i="1"/>
  <c r="I2505" i="1"/>
  <c r="B2505" i="1"/>
  <c r="I2504" i="1"/>
  <c r="B2504" i="1"/>
  <c r="I2503" i="1"/>
  <c r="B2503" i="1"/>
  <c r="I2502" i="1"/>
  <c r="B2502" i="1"/>
  <c r="I2501" i="1" l="1"/>
  <c r="B2501" i="1"/>
  <c r="I2500" i="1"/>
  <c r="B2500" i="1"/>
  <c r="I2499" i="1"/>
  <c r="B2499" i="1"/>
  <c r="I2498" i="1"/>
  <c r="B2498" i="1"/>
  <c r="I2497" i="1"/>
  <c r="B2497" i="1"/>
  <c r="I2496" i="1"/>
  <c r="B2496" i="1" l="1"/>
  <c r="I2495" i="1" l="1"/>
  <c r="B2495" i="1"/>
  <c r="I2494" i="1"/>
  <c r="B2494" i="1"/>
  <c r="I2493" i="1" l="1"/>
  <c r="B2493" i="1"/>
  <c r="I2492" i="1" l="1"/>
  <c r="B2492" i="1"/>
  <c r="I2491" i="1"/>
  <c r="B2491" i="1"/>
  <c r="I2490" i="1"/>
  <c r="B2490" i="1"/>
  <c r="I2489" i="1"/>
  <c r="B2489" i="1"/>
  <c r="I2488" i="1"/>
  <c r="B2488" i="1"/>
  <c r="I2487" i="1"/>
  <c r="B2487" i="1"/>
  <c r="I2486" i="1"/>
  <c r="B2486" i="1"/>
  <c r="I2485" i="1"/>
  <c r="B2485" i="1"/>
  <c r="I2484" i="1"/>
  <c r="B2484" i="1"/>
  <c r="I2483" i="1" l="1"/>
  <c r="B2483" i="1"/>
  <c r="I2482" i="1"/>
  <c r="B2482" i="1"/>
  <c r="I2481" i="1"/>
  <c r="B2481" i="1"/>
  <c r="I2480" i="1"/>
  <c r="B2480" i="1"/>
  <c r="I2479" i="1"/>
  <c r="B2479" i="1"/>
  <c r="I2478" i="1"/>
  <c r="B2478" i="1" l="1"/>
  <c r="I2477" i="1" l="1"/>
  <c r="B2477" i="1"/>
  <c r="I2476" i="1"/>
  <c r="B2476" i="1"/>
  <c r="I2475" i="1"/>
  <c r="B2475" i="1"/>
  <c r="I2474" i="1"/>
  <c r="B2474" i="1"/>
  <c r="I2473" i="1" l="1"/>
  <c r="B2473" i="1"/>
  <c r="I2472" i="1" l="1"/>
  <c r="B2472" i="1"/>
  <c r="I2471" i="1"/>
  <c r="B2471" i="1"/>
  <c r="I2470" i="1"/>
  <c r="B2470" i="1"/>
  <c r="I2469" i="1"/>
  <c r="B2469" i="1"/>
  <c r="I2468" i="1"/>
  <c r="B2468" i="1"/>
  <c r="I2467" i="1"/>
  <c r="B2467" i="1"/>
  <c r="I2466" i="1"/>
  <c r="B2466" i="1"/>
  <c r="I2465" i="1"/>
  <c r="B2465" i="1"/>
  <c r="I2464" i="1"/>
  <c r="B2464" i="1"/>
  <c r="I2463" i="1"/>
  <c r="B2463" i="1"/>
  <c r="I2462" i="1"/>
  <c r="B2462" i="1"/>
  <c r="I2461" i="1"/>
  <c r="B2461" i="1"/>
  <c r="I2460" i="1"/>
  <c r="B2460" i="1"/>
  <c r="I2459" i="1"/>
  <c r="B2459" i="1"/>
  <c r="I2458" i="1"/>
  <c r="B2458" i="1"/>
  <c r="I2457" i="1"/>
  <c r="B2457" i="1"/>
  <c r="I2456" i="1"/>
  <c r="B2456" i="1"/>
  <c r="I2455" i="1"/>
  <c r="B2455" i="1"/>
  <c r="I2454" i="1" l="1"/>
  <c r="B2454" i="1"/>
  <c r="I2453" i="1"/>
  <c r="B2453" i="1"/>
  <c r="I2452" i="1"/>
  <c r="I2451" i="1"/>
  <c r="B2452" i="1"/>
  <c r="B2451" i="1"/>
  <c r="I2450" i="1" l="1"/>
  <c r="B2450" i="1"/>
  <c r="I2449" i="1"/>
  <c r="B2449" i="1"/>
  <c r="I2448" i="1"/>
  <c r="B2448" i="1"/>
  <c r="I2447" i="1"/>
  <c r="B2447" i="1"/>
  <c r="I2446" i="1"/>
  <c r="B2446" i="1"/>
  <c r="I2445" i="1"/>
  <c r="B2445" i="1"/>
  <c r="I2444" i="1"/>
  <c r="B2444" i="1"/>
  <c r="I2443" i="1"/>
  <c r="B2443" i="1"/>
  <c r="I2442" i="1"/>
  <c r="B2442" i="1"/>
  <c r="I2441" i="1"/>
  <c r="B2441" i="1"/>
  <c r="I2440" i="1"/>
  <c r="B2440" i="1"/>
  <c r="I2439" i="1"/>
  <c r="B2439" i="1"/>
  <c r="I2438" i="1"/>
  <c r="B2438" i="1"/>
  <c r="I2437" i="1"/>
  <c r="B2437" i="1"/>
  <c r="I2436" i="1"/>
  <c r="B2436" i="1"/>
  <c r="B2435" i="1"/>
  <c r="I2435" i="1"/>
  <c r="I2434" i="1"/>
  <c r="B2434" i="1"/>
  <c r="I2433" i="1"/>
  <c r="B2433" i="1"/>
  <c r="I2432" i="1"/>
  <c r="B2432" i="1"/>
  <c r="I2431" i="1"/>
  <c r="B2431" i="1"/>
  <c r="I2430" i="1"/>
  <c r="B2430" i="1"/>
  <c r="I2429" i="1"/>
  <c r="B2429" i="1"/>
  <c r="I2428" i="1"/>
  <c r="B2428" i="1"/>
  <c r="I2427" i="1"/>
  <c r="B2427" i="1"/>
  <c r="I2426" i="1"/>
  <c r="B2426" i="1"/>
  <c r="I2425" i="1"/>
  <c r="B2425" i="1"/>
  <c r="I2424" i="1"/>
  <c r="B2424" i="1"/>
  <c r="I2423" i="1"/>
  <c r="B2423" i="1"/>
  <c r="I2422" i="1"/>
  <c r="B2422" i="1"/>
  <c r="I2421" i="1" l="1"/>
  <c r="B2421" i="1"/>
  <c r="I2420" i="1"/>
  <c r="B2420" i="1"/>
  <c r="I2419" i="1" l="1"/>
  <c r="B2419" i="1"/>
  <c r="I2418" i="1"/>
  <c r="B2418" i="1"/>
  <c r="I2417" i="1"/>
  <c r="B2417" i="1"/>
  <c r="I2416" i="1"/>
  <c r="B2416" i="1"/>
  <c r="I2415" i="1"/>
  <c r="B2415" i="1"/>
  <c r="I2414" i="1"/>
  <c r="B2414" i="1"/>
  <c r="I2413" i="1"/>
  <c r="B2413" i="1"/>
  <c r="I2412" i="1"/>
  <c r="B2412" i="1"/>
  <c r="I2411" i="1"/>
  <c r="B2411" i="1"/>
  <c r="I2410" i="1"/>
  <c r="B2410" i="1"/>
  <c r="I2409" i="1"/>
  <c r="B2409" i="1"/>
  <c r="I2408" i="1"/>
  <c r="B2408" i="1"/>
  <c r="I2407" i="1"/>
  <c r="B2407" i="1"/>
  <c r="I2406" i="1"/>
  <c r="B2406" i="1"/>
  <c r="I2405" i="1"/>
  <c r="B2405" i="1"/>
  <c r="I2404" i="1"/>
  <c r="B2404" i="1"/>
  <c r="I2403" i="1"/>
  <c r="B2403" i="1"/>
  <c r="I2402" i="1"/>
  <c r="B2402" i="1"/>
  <c r="I2401" i="1"/>
  <c r="B2401" i="1"/>
  <c r="I2400" i="1"/>
  <c r="B2400" i="1"/>
  <c r="I2399" i="1"/>
  <c r="B2399" i="1"/>
  <c r="I2398" i="1"/>
  <c r="B2398" i="1"/>
  <c r="I2397" i="1" l="1"/>
  <c r="B2397" i="1"/>
  <c r="I2396" i="1" l="1"/>
  <c r="B2396" i="1"/>
  <c r="I2395" i="1"/>
  <c r="B2395" i="1"/>
  <c r="I2394" i="1"/>
  <c r="B2394" i="1"/>
  <c r="I2393" i="1"/>
  <c r="B2393" i="1"/>
  <c r="I2392" i="1"/>
  <c r="B2392" i="1"/>
  <c r="I2391" i="1"/>
  <c r="B2391" i="1"/>
  <c r="I2390" i="1"/>
  <c r="B2390" i="1"/>
  <c r="I2389" i="1"/>
  <c r="B2389" i="1"/>
  <c r="I2388" i="1"/>
  <c r="B2388" i="1"/>
  <c r="I2387" i="1"/>
  <c r="B2387" i="1"/>
  <c r="I2386" i="1"/>
  <c r="B2386" i="1"/>
  <c r="I2385" i="1" l="1"/>
  <c r="B2385" i="1"/>
  <c r="I2384" i="1"/>
  <c r="B2384" i="1"/>
  <c r="I2383" i="1"/>
  <c r="B2383" i="1"/>
  <c r="I2382" i="1" l="1"/>
  <c r="B2382" i="1"/>
  <c r="I2381" i="1" l="1"/>
  <c r="B2381" i="1"/>
  <c r="I2380" i="1"/>
  <c r="B2380" i="1"/>
  <c r="I2379" i="1"/>
  <c r="B2379" i="1"/>
  <c r="I2378" i="1"/>
  <c r="B2378" i="1"/>
  <c r="I2377" i="1"/>
  <c r="B2377" i="1"/>
  <c r="I2376" i="1"/>
  <c r="B2376" i="1"/>
  <c r="I2375" i="1" l="1"/>
  <c r="B2375" i="1"/>
  <c r="I2374" i="1"/>
  <c r="B2374" i="1"/>
  <c r="I2373" i="1" l="1"/>
  <c r="B2373" i="1"/>
  <c r="I2372" i="1"/>
  <c r="B2372" i="1"/>
  <c r="I2371" i="1" l="1"/>
  <c r="B2371" i="1"/>
  <c r="I2370" i="1"/>
  <c r="B2370" i="1"/>
  <c r="I2369" i="1"/>
  <c r="B2369" i="1"/>
  <c r="I2368" i="1"/>
  <c r="B2368" i="1"/>
  <c r="I2367" i="1"/>
  <c r="B2367" i="1"/>
  <c r="I2366" i="1"/>
  <c r="B2366" i="1"/>
  <c r="I2365" i="1"/>
  <c r="B2365" i="1"/>
  <c r="I2364" i="1"/>
  <c r="B2364" i="1"/>
  <c r="I2363" i="1"/>
  <c r="B2363" i="1"/>
  <c r="I2362" i="1"/>
  <c r="B2362" i="1"/>
  <c r="I2361" i="1"/>
  <c r="B2361" i="1"/>
  <c r="I2360" i="1"/>
  <c r="B2360" i="1"/>
  <c r="I2359" i="1"/>
  <c r="B2359" i="1"/>
  <c r="I2358" i="1"/>
  <c r="B2358" i="1"/>
  <c r="I2357" i="1"/>
  <c r="B2357" i="1"/>
  <c r="I2356" i="1"/>
  <c r="B2356" i="1"/>
  <c r="I2355" i="1"/>
  <c r="B2355" i="1"/>
  <c r="I2354" i="1"/>
  <c r="B2354" i="1"/>
  <c r="I2353" i="1"/>
  <c r="B2353" i="1"/>
  <c r="I2352" i="1"/>
  <c r="B2352" i="1"/>
  <c r="I2351" i="1"/>
  <c r="B2351" i="1"/>
  <c r="I2350" i="1"/>
  <c r="B2350" i="1"/>
  <c r="I2349" i="1"/>
  <c r="B2349" i="1"/>
  <c r="I2348" i="1"/>
  <c r="B2348" i="1"/>
  <c r="I2347" i="1"/>
  <c r="B2347" i="1"/>
  <c r="I2346" i="1"/>
  <c r="B2346" i="1"/>
  <c r="I2345" i="1"/>
  <c r="B2345" i="1"/>
  <c r="I2344" i="1"/>
  <c r="B2344" i="1"/>
  <c r="I2343" i="1"/>
  <c r="B2343" i="1"/>
  <c r="I2342" i="1"/>
  <c r="B2342" i="1"/>
  <c r="I2341" i="1"/>
  <c r="B2341" i="1"/>
  <c r="I2340" i="1"/>
  <c r="B2340" i="1"/>
  <c r="I2339" i="1"/>
  <c r="B2339" i="1"/>
  <c r="I2338" i="1"/>
  <c r="B2338" i="1"/>
  <c r="I2337" i="1"/>
  <c r="B2337" i="1"/>
  <c r="I2336" i="1"/>
  <c r="B2336" i="1"/>
  <c r="I2335" i="1"/>
  <c r="B2335" i="1"/>
  <c r="I2334" i="1"/>
  <c r="B2334" i="1"/>
  <c r="I2333" i="1"/>
  <c r="B2333" i="1"/>
  <c r="I2332" i="1"/>
  <c r="B2332" i="1"/>
  <c r="I2331" i="1"/>
  <c r="B2331" i="1"/>
  <c r="I2330" i="1"/>
  <c r="B2330" i="1"/>
  <c r="I2329" i="1"/>
  <c r="B2329" i="1"/>
  <c r="I2328" i="1"/>
  <c r="B2328" i="1"/>
  <c r="B2327" i="1"/>
  <c r="I2327" i="1"/>
  <c r="I2326" i="1"/>
  <c r="B2326" i="1"/>
  <c r="I2325" i="1"/>
  <c r="B2325" i="1"/>
  <c r="I2324" i="1"/>
  <c r="B2324" i="1"/>
  <c r="I2323" i="1"/>
  <c r="B2323" i="1"/>
  <c r="I2322" i="1"/>
  <c r="B2322" i="1"/>
  <c r="I2321" i="1"/>
  <c r="B2321" i="1"/>
  <c r="I2320" i="1"/>
  <c r="B2320" i="1"/>
  <c r="I2319" i="1"/>
  <c r="B2319" i="1"/>
  <c r="I2318" i="1"/>
  <c r="B2318" i="1"/>
  <c r="I2317" i="1"/>
  <c r="B2316" i="1"/>
  <c r="B2317" i="1"/>
  <c r="I2316" i="1"/>
  <c r="I2246" i="1"/>
  <c r="B2246" i="1"/>
  <c r="I2245" i="1"/>
  <c r="B2245" i="1"/>
  <c r="I2315" i="1"/>
  <c r="B2315" i="1"/>
  <c r="I2314" i="1"/>
  <c r="B2314" i="1"/>
  <c r="I2313" i="1"/>
  <c r="B2313" i="1"/>
  <c r="I2312" i="1"/>
  <c r="B2312" i="1"/>
  <c r="I2311" i="1"/>
  <c r="B2311" i="1"/>
  <c r="I2310" i="1"/>
  <c r="B2310" i="1"/>
  <c r="I2309" i="1"/>
  <c r="B2309" i="1"/>
  <c r="I2308" i="1"/>
  <c r="B2308" i="1"/>
  <c r="I2307" i="1"/>
  <c r="B2307" i="1"/>
  <c r="I2306" i="1"/>
  <c r="B2306" i="1"/>
  <c r="I2305" i="1"/>
  <c r="B2305" i="1"/>
  <c r="I2304" i="1"/>
  <c r="B2304" i="1"/>
  <c r="I2303" i="1"/>
  <c r="B2303" i="1"/>
  <c r="I2302" i="1"/>
  <c r="B2302" i="1"/>
  <c r="I2301" i="1"/>
  <c r="B2301" i="1"/>
  <c r="I2300" i="1"/>
  <c r="B2300" i="1"/>
  <c r="I2299" i="1"/>
  <c r="B2299" i="1"/>
  <c r="I2298" i="1"/>
  <c r="B2298" i="1"/>
  <c r="I2297" i="1"/>
  <c r="B2297" i="1"/>
  <c r="I2296" i="1"/>
  <c r="B2296" i="1"/>
  <c r="I2295" i="1"/>
  <c r="B2295" i="1"/>
  <c r="I2294" i="1"/>
  <c r="B2294" i="1"/>
  <c r="I2293" i="1"/>
  <c r="B2293" i="1"/>
  <c r="I2292" i="1"/>
  <c r="I2291" i="1"/>
  <c r="B2292" i="1"/>
  <c r="B2291" i="1"/>
  <c r="I2290" i="1"/>
  <c r="B2290" i="1"/>
  <c r="I2289" i="1"/>
  <c r="B2289" i="1"/>
  <c r="I2288" i="1"/>
  <c r="B2288" i="1"/>
  <c r="I2287" i="1"/>
  <c r="B2287" i="1"/>
  <c r="I2286" i="1"/>
  <c r="B2286" i="1"/>
  <c r="I2285" i="1"/>
  <c r="B2285" i="1"/>
  <c r="I2284" i="1"/>
  <c r="B2284" i="1"/>
  <c r="I2283" i="1"/>
  <c r="B2283" i="1"/>
  <c r="I2282" i="1"/>
  <c r="B2282" i="1"/>
  <c r="I2281" i="1"/>
  <c r="B2281" i="1"/>
  <c r="I2280" i="1"/>
  <c r="B2280" i="1"/>
  <c r="I2279" i="1"/>
  <c r="B2279" i="1"/>
  <c r="I2278" i="1"/>
  <c r="B2278" i="1"/>
  <c r="I2277" i="1"/>
  <c r="B2277" i="1"/>
  <c r="I2276" i="1"/>
  <c r="B2276" i="1"/>
  <c r="I2275" i="1"/>
  <c r="B2275" i="1"/>
  <c r="I2274" i="1"/>
  <c r="B2274" i="1"/>
  <c r="I2273" i="1"/>
  <c r="B2273" i="1"/>
  <c r="I2272" i="1"/>
  <c r="B2272" i="1"/>
  <c r="I2271" i="1"/>
  <c r="B2271" i="1"/>
  <c r="I2270" i="1"/>
  <c r="B2270" i="1"/>
  <c r="I2269" i="1"/>
  <c r="B2269" i="1"/>
  <c r="I2268" i="1"/>
  <c r="B2268" i="1"/>
  <c r="I2267" i="1"/>
  <c r="B2267" i="1"/>
  <c r="I2266" i="1"/>
  <c r="B2266" i="1"/>
  <c r="I2265" i="1"/>
  <c r="B2265" i="1"/>
  <c r="I2264" i="1"/>
  <c r="B2264" i="1"/>
  <c r="I2263" i="1"/>
  <c r="B2263" i="1"/>
  <c r="I2262" i="1"/>
  <c r="B2262" i="1"/>
  <c r="I2261" i="1"/>
  <c r="B2261" i="1"/>
  <c r="I2260" i="1"/>
  <c r="B2260" i="1"/>
  <c r="I2259" i="1"/>
  <c r="B2259" i="1"/>
  <c r="I2258" i="1"/>
  <c r="B2258" i="1"/>
  <c r="I2257" i="1"/>
  <c r="B2257" i="1"/>
  <c r="I2256" i="1"/>
  <c r="B2256" i="1"/>
  <c r="I2255" i="1"/>
  <c r="B2255" i="1"/>
  <c r="I2254" i="1"/>
  <c r="B2254" i="1"/>
  <c r="I2253" i="1"/>
  <c r="B2253" i="1"/>
  <c r="I2252" i="1"/>
  <c r="B2252" i="1"/>
  <c r="I2251" i="1"/>
  <c r="B2251" i="1"/>
  <c r="I2250" i="1"/>
  <c r="B2250" i="1"/>
  <c r="I2249" i="1"/>
  <c r="B2249" i="1"/>
  <c r="I2248" i="1"/>
  <c r="B2248" i="1"/>
  <c r="I2247" i="1"/>
  <c r="B2247" i="1"/>
  <c r="I2244" i="1"/>
  <c r="B2244" i="1"/>
  <c r="I2243" i="1"/>
  <c r="B2243" i="1"/>
  <c r="I2242" i="1"/>
  <c r="B2242" i="1"/>
  <c r="I2241" i="1"/>
  <c r="B2241" i="1"/>
  <c r="I2240" i="1"/>
  <c r="B2240" i="1"/>
  <c r="I2239" i="1"/>
  <c r="B2239" i="1"/>
  <c r="I2238" i="1"/>
  <c r="B2238" i="1"/>
  <c r="I2237" i="1"/>
  <c r="B2237" i="1"/>
  <c r="I2236" i="1"/>
  <c r="B2236" i="1"/>
  <c r="I2235" i="1"/>
  <c r="B2235" i="1"/>
  <c r="I2234" i="1"/>
  <c r="B2234" i="1"/>
  <c r="B2229" i="1"/>
  <c r="I2233" i="1"/>
  <c r="B2233" i="1"/>
  <c r="I2232" i="1"/>
  <c r="B2232" i="1"/>
  <c r="I2231" i="1"/>
  <c r="B2231" i="1"/>
  <c r="I2230" i="1"/>
  <c r="B2230" i="1"/>
  <c r="I2229" i="1"/>
  <c r="I2228" i="1"/>
  <c r="B2228" i="1"/>
  <c r="I2227" i="1"/>
  <c r="B2227" i="1"/>
  <c r="I2226" i="1"/>
  <c r="B2226" i="1"/>
  <c r="I2225" i="1"/>
  <c r="B2225" i="1"/>
  <c r="I2224" i="1"/>
  <c r="B2224" i="1"/>
  <c r="I2223" i="1"/>
  <c r="B2223" i="1"/>
  <c r="I2222" i="1"/>
  <c r="B2222" i="1"/>
  <c r="I2221" i="1"/>
  <c r="B2221" i="1"/>
  <c r="I2220" i="1"/>
  <c r="B2220" i="1"/>
  <c r="I2219" i="1"/>
  <c r="B2219" i="1"/>
  <c r="I2218" i="1"/>
  <c r="B2218" i="1"/>
  <c r="I2217" i="1"/>
  <c r="B2217" i="1"/>
  <c r="I2216" i="1"/>
  <c r="B2216" i="1"/>
  <c r="I2215" i="1"/>
  <c r="B2215" i="1"/>
  <c r="I2214" i="1"/>
  <c r="B2214" i="1"/>
  <c r="I2213" i="1"/>
  <c r="B2213" i="1"/>
  <c r="I2212" i="1"/>
  <c r="B2212" i="1"/>
  <c r="I2211" i="1"/>
  <c r="B2211" i="1"/>
  <c r="I2210" i="1"/>
  <c r="B2210" i="1"/>
  <c r="I2209" i="1"/>
  <c r="B2209" i="1"/>
  <c r="I2208" i="1"/>
  <c r="B2208" i="1"/>
  <c r="I2207" i="1"/>
  <c r="B2207" i="1"/>
  <c r="I2206" i="1"/>
  <c r="B2206" i="1"/>
  <c r="I2205" i="1"/>
  <c r="B2205" i="1"/>
  <c r="I2204" i="1"/>
  <c r="B2204" i="1"/>
  <c r="I2203" i="1"/>
  <c r="B2203" i="1"/>
  <c r="I2202" i="1"/>
  <c r="B2202" i="1"/>
  <c r="I2201" i="1"/>
  <c r="B2201" i="1"/>
  <c r="I2200" i="1"/>
  <c r="B2200" i="1"/>
  <c r="I2199" i="1"/>
  <c r="B2199" i="1"/>
  <c r="I2198" i="1"/>
  <c r="B2198" i="1"/>
  <c r="I2197" i="1"/>
  <c r="B2197" i="1"/>
  <c r="I2196" i="1"/>
  <c r="B2196" i="1"/>
  <c r="I2195" i="1"/>
  <c r="B2195" i="1"/>
  <c r="I2194" i="1"/>
  <c r="B2194" i="1"/>
  <c r="I2193" i="1"/>
  <c r="B2193" i="1"/>
  <c r="I2192" i="1"/>
  <c r="B2192" i="1"/>
  <c r="I2191" i="1"/>
  <c r="B2191" i="1"/>
  <c r="I2190" i="1"/>
  <c r="B2190" i="1"/>
  <c r="I2189" i="1"/>
  <c r="B2189" i="1"/>
  <c r="I2188" i="1"/>
  <c r="B2188" i="1"/>
  <c r="I2187" i="1"/>
  <c r="B2187" i="1"/>
  <c r="I2186" i="1"/>
  <c r="B2186" i="1"/>
  <c r="I2185" i="1"/>
  <c r="B2185" i="1"/>
  <c r="I2184" i="1"/>
  <c r="B2184" i="1"/>
  <c r="I2183" i="1"/>
  <c r="B2183" i="1"/>
  <c r="I2182" i="1"/>
  <c r="B2182" i="1"/>
  <c r="I2181" i="1"/>
  <c r="B2181" i="1"/>
  <c r="I2180" i="1"/>
  <c r="B2180" i="1"/>
  <c r="I2179" i="1"/>
  <c r="B2179" i="1"/>
  <c r="I2178" i="1"/>
  <c r="B2178" i="1"/>
  <c r="I2177" i="1"/>
  <c r="B2177" i="1"/>
  <c r="I2176" i="1"/>
  <c r="B2176" i="1"/>
  <c r="I2175" i="1"/>
  <c r="B2175" i="1"/>
  <c r="I2174" i="1"/>
  <c r="B2174" i="1"/>
  <c r="I2173" i="1"/>
  <c r="B2173" i="1"/>
  <c r="I2172" i="1"/>
  <c r="B2172" i="1"/>
  <c r="I2170" i="1"/>
  <c r="I2171" i="1"/>
  <c r="B2171" i="1"/>
  <c r="B2170" i="1"/>
  <c r="I2169" i="1"/>
  <c r="B2169" i="1"/>
  <c r="I2168" i="1"/>
  <c r="B2168" i="1"/>
  <c r="I2167" i="1"/>
  <c r="B2167" i="1"/>
  <c r="I2166" i="1"/>
  <c r="B2166" i="1"/>
  <c r="I2165" i="1"/>
  <c r="B2165" i="1"/>
  <c r="I2164" i="1"/>
  <c r="B2164" i="1"/>
  <c r="I2163" i="1"/>
  <c r="B2163" i="1"/>
  <c r="I2162" i="1"/>
  <c r="B2162" i="1"/>
  <c r="I2161" i="1"/>
  <c r="B2161" i="1"/>
  <c r="I2160" i="1"/>
  <c r="B2160" i="1"/>
  <c r="I2159" i="1"/>
  <c r="B2159" i="1"/>
  <c r="I2158" i="1"/>
  <c r="B2158" i="1"/>
  <c r="I2157" i="1"/>
  <c r="B2157" i="1"/>
  <c r="I2156" i="1"/>
  <c r="B2156" i="1"/>
  <c r="I2155" i="1"/>
  <c r="B2155" i="1"/>
  <c r="I2154" i="1"/>
  <c r="B2154" i="1"/>
  <c r="I2153" i="1"/>
  <c r="B2153" i="1"/>
  <c r="I2152" i="1"/>
  <c r="B2152" i="1"/>
  <c r="I2151" i="1"/>
  <c r="B2151" i="1"/>
  <c r="I2150" i="1"/>
  <c r="B2150" i="1"/>
  <c r="I2149" i="1"/>
  <c r="B2149" i="1"/>
  <c r="I2148" i="1"/>
  <c r="B2148" i="1"/>
  <c r="I2147" i="1"/>
  <c r="B2147" i="1"/>
  <c r="I2146" i="1"/>
  <c r="B2146" i="1"/>
  <c r="I2145" i="1"/>
  <c r="B2145" i="1"/>
  <c r="I2144" i="1"/>
  <c r="B2144" i="1"/>
  <c r="I2143" i="1"/>
  <c r="B2143" i="1"/>
  <c r="I2142" i="1"/>
  <c r="B2142" i="1"/>
  <c r="I2141" i="1"/>
  <c r="B2141" i="1"/>
  <c r="I2140" i="1"/>
  <c r="B2140" i="1"/>
  <c r="I2139" i="1"/>
  <c r="B2139" i="1"/>
  <c r="I2138" i="1"/>
  <c r="B2138" i="1"/>
  <c r="I2137" i="1"/>
  <c r="B2137" i="1"/>
  <c r="I2136" i="1"/>
  <c r="B2136" i="1"/>
  <c r="I2135" i="1"/>
  <c r="B2135" i="1"/>
  <c r="I2134" i="1"/>
  <c r="B2134" i="1"/>
  <c r="I2133" i="1"/>
  <c r="B2133" i="1"/>
  <c r="I2132" i="1"/>
  <c r="B2132" i="1"/>
  <c r="I2131" i="1"/>
  <c r="B2131" i="1"/>
  <c r="I2130" i="1"/>
  <c r="B2130" i="1"/>
  <c r="I2129" i="1"/>
  <c r="B2129" i="1"/>
  <c r="I2128" i="1"/>
  <c r="B2128" i="1"/>
  <c r="I2127" i="1"/>
  <c r="B2127" i="1"/>
  <c r="I2126" i="1"/>
  <c r="B2126" i="1"/>
  <c r="I2125" i="1"/>
  <c r="B2125" i="1"/>
  <c r="I2124" i="1"/>
  <c r="B2124" i="1"/>
  <c r="I2123" i="1"/>
  <c r="B2123" i="1"/>
  <c r="I2122" i="1"/>
  <c r="B2122" i="1"/>
  <c r="I2121" i="1"/>
  <c r="B2121" i="1"/>
  <c r="I2120" i="1"/>
  <c r="B2120" i="1"/>
  <c r="I2119" i="1"/>
  <c r="B2119" i="1"/>
  <c r="I2118" i="1"/>
  <c r="B2118" i="1"/>
  <c r="I2117" i="1"/>
  <c r="B2117" i="1"/>
  <c r="I2116" i="1"/>
  <c r="B2116" i="1"/>
  <c r="I2115" i="1"/>
  <c r="B2115" i="1"/>
  <c r="I2114" i="1"/>
  <c r="B2114" i="1"/>
  <c r="I2113" i="1"/>
  <c r="B2113" i="1"/>
  <c r="I2112" i="1"/>
  <c r="B2112" i="1"/>
  <c r="I2111" i="1"/>
  <c r="B2111" i="1"/>
  <c r="I2110" i="1"/>
  <c r="B2110" i="1"/>
  <c r="I2109" i="1"/>
  <c r="B2109" i="1"/>
  <c r="I2108" i="1"/>
  <c r="B2108" i="1"/>
  <c r="I2107" i="1"/>
  <c r="B2107" i="1"/>
  <c r="I2106" i="1"/>
  <c r="B2106" i="1"/>
  <c r="I2105" i="1"/>
  <c r="B2105" i="1"/>
  <c r="I2104" i="1"/>
  <c r="B2104" i="1"/>
  <c r="I2103" i="1"/>
  <c r="B2103" i="1"/>
  <c r="I2102" i="1"/>
  <c r="B2102" i="1"/>
  <c r="I2101" i="1"/>
  <c r="B2101" i="1"/>
  <c r="I2100" i="1"/>
  <c r="B2100" i="1"/>
  <c r="I2099" i="1"/>
  <c r="B2099" i="1"/>
  <c r="I2098" i="1"/>
  <c r="B2098" i="1"/>
  <c r="I2097" i="1"/>
  <c r="B2097" i="1"/>
  <c r="I2096" i="1"/>
  <c r="B2096" i="1"/>
  <c r="I2095" i="1"/>
  <c r="B2095" i="1"/>
  <c r="I2094" i="1"/>
  <c r="B2094" i="1"/>
  <c r="I2093" i="1"/>
  <c r="B2093" i="1"/>
  <c r="I2092" i="1"/>
  <c r="B2092" i="1"/>
  <c r="I2091" i="1"/>
  <c r="B2091" i="1"/>
  <c r="I2090" i="1"/>
  <c r="B2090" i="1"/>
  <c r="I2089" i="1"/>
  <c r="B2089" i="1"/>
  <c r="I2088" i="1"/>
  <c r="B2088" i="1"/>
  <c r="I2087" i="1"/>
  <c r="B2087" i="1"/>
  <c r="B2086" i="1"/>
  <c r="I2086" i="1"/>
  <c r="I2085" i="1"/>
  <c r="B2085" i="1"/>
  <c r="I2084" i="1"/>
  <c r="B2084" i="1"/>
  <c r="I2083" i="1"/>
  <c r="B2083" i="1"/>
  <c r="I2082" i="1"/>
  <c r="B2082" i="1"/>
  <c r="I2081" i="1"/>
  <c r="B2081" i="1"/>
  <c r="I2080" i="1"/>
  <c r="B2080" i="1"/>
  <c r="I2079" i="1"/>
  <c r="B2079" i="1"/>
  <c r="I2078" i="1"/>
  <c r="B2078" i="1"/>
  <c r="I2077" i="1"/>
  <c r="B2077" i="1"/>
  <c r="I2076" i="1"/>
  <c r="B2076" i="1"/>
  <c r="I2075" i="1"/>
  <c r="B2075" i="1"/>
  <c r="I2074" i="1"/>
  <c r="B2074" i="1"/>
  <c r="I2073" i="1"/>
  <c r="B2073" i="1"/>
  <c r="I2072" i="1"/>
  <c r="B2072" i="1"/>
  <c r="I2071" i="1"/>
  <c r="B2071" i="1"/>
  <c r="I2070" i="1"/>
  <c r="B2070" i="1"/>
  <c r="I2069" i="1"/>
  <c r="B2069" i="1"/>
  <c r="I2068" i="1"/>
  <c r="B2068" i="1"/>
  <c r="I2067" i="1"/>
  <c r="B2067" i="1"/>
  <c r="I2066" i="1"/>
  <c r="B2066" i="1"/>
  <c r="I2065" i="1"/>
  <c r="B2065" i="1"/>
  <c r="I2064" i="1"/>
  <c r="B2064" i="1"/>
  <c r="I2063" i="1"/>
  <c r="B2063" i="1"/>
  <c r="I2062" i="1"/>
  <c r="B2062" i="1"/>
  <c r="I2061" i="1"/>
  <c r="B2061" i="1"/>
  <c r="I2060" i="1"/>
  <c r="B2060" i="1"/>
  <c r="I2059" i="1"/>
  <c r="B2059" i="1"/>
  <c r="I2058" i="1"/>
  <c r="B2058" i="1"/>
  <c r="I2057" i="1"/>
  <c r="B2057" i="1"/>
  <c r="I2056" i="1"/>
  <c r="B2056" i="1"/>
  <c r="I2055" i="1"/>
  <c r="B2055" i="1"/>
  <c r="I2054" i="1"/>
  <c r="B2054" i="1"/>
  <c r="I2053" i="1"/>
  <c r="B2053" i="1"/>
  <c r="I2052" i="1"/>
  <c r="B2052" i="1"/>
  <c r="I2051" i="1"/>
  <c r="B2051" i="1"/>
  <c r="I2050" i="1"/>
  <c r="B2050" i="1"/>
  <c r="I2049" i="1"/>
  <c r="B2049" i="1"/>
  <c r="I2048" i="1"/>
  <c r="B2048" i="1"/>
  <c r="I2047" i="1"/>
  <c r="B2047" i="1"/>
  <c r="I2046" i="1"/>
  <c r="B2046" i="1"/>
  <c r="I2045" i="1"/>
  <c r="B2045" i="1"/>
  <c r="I2044" i="1"/>
  <c r="B2044" i="1"/>
  <c r="I2043" i="1"/>
  <c r="B2043" i="1"/>
  <c r="I2042" i="1"/>
  <c r="B2042" i="1"/>
  <c r="I2041" i="1"/>
  <c r="B2041" i="1"/>
  <c r="I2040" i="1"/>
  <c r="B2040" i="1"/>
  <c r="I2039" i="1"/>
  <c r="B2039" i="1"/>
  <c r="I2038" i="1"/>
  <c r="B2038" i="1"/>
  <c r="I2037" i="1"/>
  <c r="B2037" i="1"/>
  <c r="I2036" i="1"/>
  <c r="B2036" i="1"/>
  <c r="I2035" i="1"/>
  <c r="B2035" i="1"/>
  <c r="I2034" i="1"/>
  <c r="B2034" i="1"/>
  <c r="I2033" i="1"/>
  <c r="B2033" i="1"/>
  <c r="I2032" i="1"/>
  <c r="B2032" i="1"/>
  <c r="I2031" i="1"/>
  <c r="B2031" i="1"/>
  <c r="I2030" i="1"/>
  <c r="B2030" i="1"/>
  <c r="I2029" i="1"/>
  <c r="B2029" i="1"/>
  <c r="I2028" i="1"/>
  <c r="B2028" i="1"/>
  <c r="I2027" i="1"/>
  <c r="B2027" i="1"/>
  <c r="I2026" i="1"/>
  <c r="B2026" i="1"/>
  <c r="I2025" i="1"/>
  <c r="B2025" i="1"/>
  <c r="I2024" i="1"/>
  <c r="B2024" i="1"/>
  <c r="I2023" i="1"/>
  <c r="B2023" i="1"/>
  <c r="I2022" i="1"/>
  <c r="B2022" i="1"/>
  <c r="I2021" i="1"/>
  <c r="B2021" i="1"/>
  <c r="I2020" i="1"/>
  <c r="B2020" i="1"/>
  <c r="I2019" i="1"/>
  <c r="B2019" i="1"/>
  <c r="I2018" i="1"/>
  <c r="B2018" i="1"/>
  <c r="I2017" i="1"/>
  <c r="B2017" i="1"/>
  <c r="I2016" i="1"/>
  <c r="B2016" i="1"/>
  <c r="I2015" i="1"/>
  <c r="B2015" i="1"/>
  <c r="I2014" i="1"/>
  <c r="B2014" i="1"/>
  <c r="I2013" i="1"/>
  <c r="B2013" i="1"/>
  <c r="I2012" i="1"/>
  <c r="B2012" i="1"/>
  <c r="I2011" i="1"/>
  <c r="B2011" i="1"/>
  <c r="I2010" i="1"/>
  <c r="B2010" i="1"/>
  <c r="I2009" i="1"/>
  <c r="B2009" i="1"/>
  <c r="I2008" i="1"/>
  <c r="B2008" i="1"/>
  <c r="I2007" i="1"/>
  <c r="B2007" i="1"/>
  <c r="I2006" i="1"/>
  <c r="B2006" i="1"/>
  <c r="I2005" i="1"/>
  <c r="B2005" i="1"/>
  <c r="I2004" i="1"/>
  <c r="B2004" i="1"/>
  <c r="I2003" i="1"/>
  <c r="B2003" i="1"/>
  <c r="I2002" i="1"/>
  <c r="B2002" i="1"/>
  <c r="I2001" i="1"/>
  <c r="B2001" i="1"/>
  <c r="I2000" i="1"/>
  <c r="B2000" i="1"/>
  <c r="I1999" i="1"/>
  <c r="B1999" i="1"/>
  <c r="I1998" i="1"/>
  <c r="B1998" i="1"/>
  <c r="I1997" i="1"/>
  <c r="B1997" i="1"/>
  <c r="I1996" i="1"/>
  <c r="B1996" i="1"/>
  <c r="I1995" i="1"/>
  <c r="B1995" i="1"/>
  <c r="I1994" i="1"/>
  <c r="B1994" i="1"/>
  <c r="I1993" i="1"/>
  <c r="B1993" i="1"/>
  <c r="I1992" i="1"/>
  <c r="B1992" i="1"/>
  <c r="I1991" i="1"/>
  <c r="B1991" i="1"/>
  <c r="I1990" i="1"/>
  <c r="B1990" i="1"/>
  <c r="I1989" i="1"/>
  <c r="B1989" i="1"/>
  <c r="I1988" i="1"/>
  <c r="B1988" i="1"/>
  <c r="I1987" i="1"/>
  <c r="B1987" i="1"/>
  <c r="I1986" i="1"/>
  <c r="B1986" i="1"/>
  <c r="I1985" i="1"/>
  <c r="B1985" i="1"/>
  <c r="I1984" i="1"/>
  <c r="B1984" i="1"/>
  <c r="I1983" i="1"/>
  <c r="B1983" i="1"/>
  <c r="I1982" i="1"/>
  <c r="B1982" i="1"/>
  <c r="I1981" i="1"/>
  <c r="B1981" i="1"/>
  <c r="I1980" i="1"/>
  <c r="B1980" i="1"/>
  <c r="I1979" i="1"/>
  <c r="B1979" i="1"/>
  <c r="I1978" i="1"/>
  <c r="B1978" i="1"/>
  <c r="I1977" i="1"/>
  <c r="B1977" i="1"/>
  <c r="I1976" i="1"/>
  <c r="B1976" i="1"/>
  <c r="I1975" i="1"/>
  <c r="B1975" i="1"/>
  <c r="I1974" i="1"/>
  <c r="B1974" i="1"/>
  <c r="I1973" i="1"/>
  <c r="B1973" i="1"/>
  <c r="I1972" i="1"/>
  <c r="B1972" i="1"/>
  <c r="I1971" i="1"/>
  <c r="B1971" i="1"/>
  <c r="I1970" i="1"/>
  <c r="B1970" i="1"/>
  <c r="I1969" i="1"/>
  <c r="B1969" i="1"/>
  <c r="I1968" i="1"/>
  <c r="B1968" i="1"/>
  <c r="I1967" i="1"/>
  <c r="B1967" i="1"/>
  <c r="I1966" i="1"/>
  <c r="B1966" i="1"/>
  <c r="I1965" i="1"/>
  <c r="B1965" i="1"/>
  <c r="I1964" i="1"/>
  <c r="B1964" i="1"/>
  <c r="I1963" i="1"/>
  <c r="B1963" i="1"/>
  <c r="I1962" i="1"/>
  <c r="B1962" i="1"/>
  <c r="I1961" i="1"/>
  <c r="B1961" i="1"/>
  <c r="I1960" i="1"/>
  <c r="B1960" i="1"/>
  <c r="I1959" i="1"/>
  <c r="B1959" i="1"/>
  <c r="I1958" i="1"/>
  <c r="B1958" i="1"/>
  <c r="I1957" i="1"/>
  <c r="B1957" i="1"/>
  <c r="I1956" i="1"/>
  <c r="B1956" i="1"/>
  <c r="I1955" i="1"/>
  <c r="B1955" i="1"/>
  <c r="I1954" i="1"/>
  <c r="B1954" i="1"/>
  <c r="I1953" i="1"/>
  <c r="B1953" i="1"/>
  <c r="I1952" i="1"/>
  <c r="B1952" i="1"/>
  <c r="I1951" i="1"/>
  <c r="B1951" i="1"/>
  <c r="I1950" i="1"/>
  <c r="B1950" i="1"/>
  <c r="I1949" i="1"/>
  <c r="B1949" i="1"/>
  <c r="I1948" i="1"/>
  <c r="B1948" i="1"/>
  <c r="I1947" i="1"/>
  <c r="B1947" i="1"/>
  <c r="I1946" i="1"/>
  <c r="B1946" i="1"/>
  <c r="I1945" i="1"/>
  <c r="B1945" i="1"/>
  <c r="I1944" i="1"/>
  <c r="B1944" i="1"/>
  <c r="I1943" i="1"/>
  <c r="B1943" i="1"/>
  <c r="I1942" i="1"/>
  <c r="B1942" i="1"/>
  <c r="I1941" i="1"/>
  <c r="B1941" i="1"/>
  <c r="I1940" i="1"/>
  <c r="B1940" i="1"/>
  <c r="I1939" i="1"/>
  <c r="B1939" i="1"/>
  <c r="I1938" i="1"/>
  <c r="B1938" i="1"/>
  <c r="I1937" i="1"/>
  <c r="B1937" i="1"/>
  <c r="I1936" i="1"/>
  <c r="B1936" i="1"/>
  <c r="I1935" i="1"/>
  <c r="B1935" i="1"/>
  <c r="I1934" i="1"/>
  <c r="B1934" i="1"/>
  <c r="I1933" i="1"/>
  <c r="B1933" i="1"/>
  <c r="I1932" i="1"/>
  <c r="B1932" i="1"/>
  <c r="I1931" i="1"/>
  <c r="B1931" i="1"/>
  <c r="I1930" i="1"/>
  <c r="B1930" i="1"/>
  <c r="I1929" i="1"/>
  <c r="B1929" i="1"/>
  <c r="I1928" i="1"/>
  <c r="B1928" i="1"/>
  <c r="I1927" i="1"/>
  <c r="B1927" i="1"/>
  <c r="I1926" i="1"/>
  <c r="B1926" i="1"/>
  <c r="I1925" i="1"/>
  <c r="B1925" i="1"/>
  <c r="I1924" i="1"/>
  <c r="B1924" i="1"/>
  <c r="I1923" i="1"/>
  <c r="B1923" i="1"/>
  <c r="I1922" i="1"/>
  <c r="B1922" i="1"/>
  <c r="I1921" i="1"/>
  <c r="B1921" i="1"/>
  <c r="I1920" i="1"/>
  <c r="B1920" i="1"/>
  <c r="I1919" i="1"/>
  <c r="B1919" i="1"/>
  <c r="I1918" i="1"/>
  <c r="B1918" i="1"/>
  <c r="I1917" i="1"/>
  <c r="B1917" i="1"/>
  <c r="I1916" i="1"/>
  <c r="B1916" i="1"/>
  <c r="I1915" i="1"/>
  <c r="B1915" i="1"/>
  <c r="I1914" i="1"/>
  <c r="B1914" i="1"/>
  <c r="I1913" i="1"/>
  <c r="B1913" i="1"/>
  <c r="I1912" i="1"/>
  <c r="B1912" i="1"/>
  <c r="I1911" i="1"/>
  <c r="B1911" i="1"/>
  <c r="I1910" i="1"/>
  <c r="B1910" i="1"/>
  <c r="I1909" i="1"/>
  <c r="B1909" i="1"/>
  <c r="I1908" i="1"/>
  <c r="B1908" i="1"/>
  <c r="I1907" i="1"/>
  <c r="B1907" i="1"/>
  <c r="I1906" i="1"/>
  <c r="B1906" i="1"/>
  <c r="I1905" i="1"/>
  <c r="B1905" i="1"/>
  <c r="I1904" i="1"/>
  <c r="B1904" i="1"/>
  <c r="I1903" i="1"/>
  <c r="B1903" i="1"/>
  <c r="I1902" i="1"/>
  <c r="B1902" i="1"/>
  <c r="I1901" i="1"/>
  <c r="B1901" i="1"/>
  <c r="I1900" i="1"/>
  <c r="B1900" i="1"/>
  <c r="I1899" i="1"/>
  <c r="B1899" i="1"/>
  <c r="I1898" i="1"/>
  <c r="B1898" i="1"/>
  <c r="I1897" i="1"/>
  <c r="B1897" i="1"/>
  <c r="I1896" i="1"/>
  <c r="B1896" i="1"/>
  <c r="I1895" i="1"/>
  <c r="B1895" i="1"/>
  <c r="I1894" i="1"/>
  <c r="B1894" i="1"/>
  <c r="I1893" i="1"/>
  <c r="B1893" i="1"/>
  <c r="B1631" i="1"/>
  <c r="I1892" i="1"/>
  <c r="B1892" i="1"/>
  <c r="I1891" i="1"/>
  <c r="B1891" i="1"/>
  <c r="I1890" i="1"/>
  <c r="B1890" i="1"/>
  <c r="I1889" i="1"/>
  <c r="B1889" i="1"/>
  <c r="I1888" i="1"/>
  <c r="B1888" i="1"/>
  <c r="I1887" i="1"/>
  <c r="B1887" i="1"/>
  <c r="I1886" i="1"/>
  <c r="B1886" i="1"/>
  <c r="I1885" i="1"/>
  <c r="B1885" i="1"/>
  <c r="I1884" i="1"/>
  <c r="B1884" i="1"/>
  <c r="I1883" i="1"/>
  <c r="B1883" i="1"/>
  <c r="I1882" i="1"/>
  <c r="B1882" i="1"/>
  <c r="I1881" i="1"/>
  <c r="B1881" i="1"/>
  <c r="I1880" i="1"/>
  <c r="B1880" i="1"/>
  <c r="I1879" i="1"/>
  <c r="B1879" i="1"/>
  <c r="I1878" i="1"/>
  <c r="B1878" i="1"/>
  <c r="I1877" i="1"/>
  <c r="B1877" i="1"/>
  <c r="I1876" i="1"/>
  <c r="B1876" i="1"/>
  <c r="I1875" i="1"/>
  <c r="B1875" i="1"/>
  <c r="I1874" i="1"/>
  <c r="B1874" i="1"/>
  <c r="I1873" i="1"/>
  <c r="B1873" i="1"/>
  <c r="I1872" i="1"/>
  <c r="B1872" i="1"/>
  <c r="I1871" i="1"/>
  <c r="B1871" i="1"/>
  <c r="I1870" i="1"/>
  <c r="B1870" i="1"/>
  <c r="I1869" i="1"/>
  <c r="B1869" i="1"/>
  <c r="I1868" i="1"/>
  <c r="B1868" i="1"/>
  <c r="I1867" i="1"/>
  <c r="B1867" i="1"/>
  <c r="I1866" i="1"/>
  <c r="B1866" i="1"/>
  <c r="I1865" i="1"/>
  <c r="B1865" i="1"/>
  <c r="I1864" i="1"/>
  <c r="B1864" i="1"/>
  <c r="I1863" i="1"/>
  <c r="B1863" i="1"/>
  <c r="I1862" i="1"/>
  <c r="B1862" i="1"/>
  <c r="I1861" i="1"/>
  <c r="B1861" i="1"/>
  <c r="I1860" i="1"/>
  <c r="B1860" i="1"/>
  <c r="I1859" i="1"/>
  <c r="B1859" i="1"/>
  <c r="I1858" i="1"/>
  <c r="B1858" i="1"/>
  <c r="I1857" i="1"/>
  <c r="B1857" i="1"/>
  <c r="I1856" i="1"/>
  <c r="B1856" i="1"/>
  <c r="I1855" i="1"/>
  <c r="B1855" i="1"/>
  <c r="I1854" i="1"/>
  <c r="B1854" i="1"/>
  <c r="I1853" i="1"/>
  <c r="B1853" i="1"/>
  <c r="I1852" i="1"/>
  <c r="B1852" i="1"/>
  <c r="I1851" i="1"/>
  <c r="B1851" i="1"/>
  <c r="I1850" i="1"/>
  <c r="B1850" i="1"/>
  <c r="I1849" i="1"/>
  <c r="B1849" i="1"/>
  <c r="I1848" i="1"/>
  <c r="B1848" i="1"/>
  <c r="I1847" i="1"/>
  <c r="B1847" i="1"/>
  <c r="I1846" i="1"/>
  <c r="B1846" i="1"/>
  <c r="I1845" i="1"/>
  <c r="B1845" i="1"/>
  <c r="I1844" i="1"/>
  <c r="B1844" i="1"/>
  <c r="I1843" i="1"/>
  <c r="B1843" i="1"/>
  <c r="I1842" i="1"/>
  <c r="B1842" i="1"/>
  <c r="I1841" i="1"/>
  <c r="B1841" i="1"/>
  <c r="I1840" i="1"/>
  <c r="B1840" i="1"/>
  <c r="I1839" i="1"/>
  <c r="B1839" i="1"/>
  <c r="I1838" i="1"/>
  <c r="B1838" i="1"/>
  <c r="I1837" i="1"/>
  <c r="B1837" i="1"/>
  <c r="I1836" i="1"/>
  <c r="B1836" i="1"/>
  <c r="I1835" i="1"/>
  <c r="B1835" i="1"/>
  <c r="I1834" i="1"/>
  <c r="B1834" i="1"/>
  <c r="I1833" i="1"/>
  <c r="B1833" i="1"/>
  <c r="I1832" i="1"/>
  <c r="B1832" i="1"/>
  <c r="I1831" i="1"/>
  <c r="B1831" i="1"/>
  <c r="I1830" i="1"/>
  <c r="B1830" i="1"/>
  <c r="I1829" i="1"/>
  <c r="B1829" i="1"/>
  <c r="I1828" i="1"/>
  <c r="B1828" i="1"/>
  <c r="I1827" i="1"/>
  <c r="B1827" i="1"/>
  <c r="I1826" i="1"/>
  <c r="B1826" i="1"/>
  <c r="I1825" i="1"/>
  <c r="B1825" i="1"/>
  <c r="I1824" i="1"/>
  <c r="B1824" i="1"/>
  <c r="I1823" i="1"/>
  <c r="B1823" i="1"/>
  <c r="I1822" i="1"/>
  <c r="B1822" i="1"/>
  <c r="I1821" i="1"/>
  <c r="B1821" i="1"/>
  <c r="I1820" i="1"/>
  <c r="B1820" i="1"/>
  <c r="I1819" i="1"/>
  <c r="B1819" i="1"/>
  <c r="I1818" i="1"/>
  <c r="B1818" i="1"/>
  <c r="I1817" i="1"/>
  <c r="B1817" i="1"/>
  <c r="I1816" i="1"/>
  <c r="B1816" i="1"/>
  <c r="I1815" i="1"/>
  <c r="B1815" i="1"/>
  <c r="I1814" i="1"/>
  <c r="B1814" i="1"/>
  <c r="I1813" i="1"/>
  <c r="B1813" i="1"/>
  <c r="I1812" i="1"/>
  <c r="B1812" i="1"/>
  <c r="I1811" i="1"/>
  <c r="B1811" i="1"/>
  <c r="I1810" i="1"/>
  <c r="B1810" i="1"/>
  <c r="I1809" i="1"/>
  <c r="B1809" i="1"/>
  <c r="I1808" i="1"/>
  <c r="B1808" i="1"/>
  <c r="I1807" i="1"/>
  <c r="B1807" i="1"/>
  <c r="I1806" i="1"/>
  <c r="B1806" i="1"/>
  <c r="I1805" i="1"/>
  <c r="B1805" i="1"/>
  <c r="I1804" i="1"/>
  <c r="B1804" i="1"/>
  <c r="I1803" i="1"/>
  <c r="B1803" i="1"/>
  <c r="I1802" i="1"/>
  <c r="B1802" i="1"/>
  <c r="I1801" i="1"/>
  <c r="B1801" i="1"/>
  <c r="I1800" i="1"/>
  <c r="B1800" i="1"/>
  <c r="I1799" i="1"/>
  <c r="B1799" i="1"/>
  <c r="I1798" i="1"/>
  <c r="B1798" i="1"/>
  <c r="I1797" i="1"/>
  <c r="B1797" i="1"/>
  <c r="I1796" i="1"/>
  <c r="B1796" i="1"/>
  <c r="I1795" i="1"/>
  <c r="B1795" i="1"/>
  <c r="I1794" i="1"/>
  <c r="B1794" i="1"/>
  <c r="I1793" i="1"/>
  <c r="B1793" i="1"/>
  <c r="I1792" i="1"/>
  <c r="B1792" i="1"/>
  <c r="I1791" i="1"/>
  <c r="B1791" i="1"/>
  <c r="I1790" i="1"/>
  <c r="B1790" i="1"/>
  <c r="I1789" i="1"/>
  <c r="B1789" i="1"/>
  <c r="I1788" i="1"/>
  <c r="B1788" i="1"/>
  <c r="I1787" i="1"/>
  <c r="B1787" i="1"/>
  <c r="I1786" i="1"/>
  <c r="B1786" i="1"/>
  <c r="I1785" i="1"/>
  <c r="B1785" i="1"/>
  <c r="I1784" i="1"/>
  <c r="B1784" i="1"/>
  <c r="I1783" i="1"/>
  <c r="B1783" i="1"/>
  <c r="I1782" i="1"/>
  <c r="B1782" i="1"/>
  <c r="I1781" i="1"/>
  <c r="B1781" i="1"/>
  <c r="I1780" i="1"/>
  <c r="B1780" i="1"/>
  <c r="I1779" i="1"/>
  <c r="B1779" i="1"/>
  <c r="I1778" i="1"/>
  <c r="B1778" i="1"/>
  <c r="I1777" i="1"/>
  <c r="B1777" i="1"/>
  <c r="I1776" i="1"/>
  <c r="B1776" i="1"/>
  <c r="I1775" i="1"/>
  <c r="B1775" i="1"/>
  <c r="I1774" i="1"/>
  <c r="B1774" i="1"/>
  <c r="I1773" i="1"/>
  <c r="B1773" i="1"/>
  <c r="I1772" i="1"/>
  <c r="B1772" i="1"/>
  <c r="I1771" i="1"/>
  <c r="B1771" i="1"/>
  <c r="I1770" i="1"/>
  <c r="B1770" i="1"/>
  <c r="I1769" i="1"/>
  <c r="B1769" i="1"/>
  <c r="I1768" i="1"/>
  <c r="B1768" i="1"/>
  <c r="I1767" i="1"/>
  <c r="B1767" i="1"/>
  <c r="I1766" i="1"/>
  <c r="B1766" i="1"/>
  <c r="I1765" i="1"/>
  <c r="B1765" i="1"/>
  <c r="I1764" i="1"/>
  <c r="B1764" i="1"/>
  <c r="I1763" i="1"/>
  <c r="B1763" i="1"/>
  <c r="I1762" i="1"/>
  <c r="B1762" i="1"/>
  <c r="I1761" i="1"/>
  <c r="B1761" i="1"/>
  <c r="I1760" i="1"/>
  <c r="B1760" i="1"/>
  <c r="I1759" i="1"/>
  <c r="B1759" i="1"/>
  <c r="I1758" i="1"/>
  <c r="B1758" i="1"/>
  <c r="I1757" i="1"/>
  <c r="B1757" i="1"/>
  <c r="I1756" i="1"/>
  <c r="B1756" i="1"/>
  <c r="I1755" i="1"/>
  <c r="B1755" i="1"/>
  <c r="I1754" i="1"/>
  <c r="B1754" i="1"/>
  <c r="I1753" i="1"/>
  <c r="B1753" i="1"/>
  <c r="I1752" i="1"/>
  <c r="B1752" i="1"/>
  <c r="I1751" i="1"/>
  <c r="B1751" i="1"/>
  <c r="I1750" i="1"/>
  <c r="B1750" i="1"/>
  <c r="I1749" i="1"/>
  <c r="B1749" i="1"/>
  <c r="I1748" i="1"/>
  <c r="B1748" i="1"/>
  <c r="I1747" i="1"/>
  <c r="B1747" i="1"/>
  <c r="I1746" i="1"/>
  <c r="B1746" i="1"/>
  <c r="I1745" i="1"/>
  <c r="B1745" i="1"/>
  <c r="I1744" i="1"/>
  <c r="B1744" i="1"/>
  <c r="I1743" i="1"/>
  <c r="B1743" i="1"/>
  <c r="I1742" i="1"/>
  <c r="B1742" i="1"/>
  <c r="I1741" i="1"/>
  <c r="B1741" i="1"/>
  <c r="I1740" i="1"/>
  <c r="B1740" i="1"/>
  <c r="I1739" i="1"/>
  <c r="B1739" i="1"/>
  <c r="I1738" i="1"/>
  <c r="B1738" i="1"/>
  <c r="I1737" i="1"/>
  <c r="B1737" i="1"/>
  <c r="I1736" i="1"/>
  <c r="B1736" i="1"/>
  <c r="I1735" i="1"/>
  <c r="B1735" i="1"/>
  <c r="I1734" i="1"/>
  <c r="B1734" i="1"/>
  <c r="I1733" i="1"/>
  <c r="B1733" i="1"/>
  <c r="I1732" i="1"/>
  <c r="B1732" i="1"/>
  <c r="I1731" i="1"/>
  <c r="B1731" i="1"/>
  <c r="I1730" i="1"/>
  <c r="B1730" i="1"/>
  <c r="I1729" i="1"/>
  <c r="B1729" i="1"/>
  <c r="I1728" i="1"/>
  <c r="B1728" i="1"/>
  <c r="I1727" i="1"/>
  <c r="B1727" i="1"/>
  <c r="I1726" i="1"/>
  <c r="B1726" i="1"/>
  <c r="I1725" i="1"/>
  <c r="B1725" i="1"/>
  <c r="I1724" i="1"/>
  <c r="B1724" i="1"/>
  <c r="I1723" i="1"/>
  <c r="B1723" i="1"/>
  <c r="I1722" i="1"/>
  <c r="B1722" i="1"/>
  <c r="I1721" i="1"/>
  <c r="B1721" i="1"/>
  <c r="I1720" i="1"/>
  <c r="B1720" i="1"/>
  <c r="I1719" i="1"/>
  <c r="B1719" i="1"/>
  <c r="I1718" i="1"/>
  <c r="B1718" i="1"/>
  <c r="I1717" i="1"/>
  <c r="B1717" i="1"/>
  <c r="I1716" i="1"/>
  <c r="B1716" i="1"/>
  <c r="I1715" i="1"/>
  <c r="B1715" i="1"/>
  <c r="I1714" i="1"/>
  <c r="B1714" i="1"/>
  <c r="I1713" i="1"/>
  <c r="B1713" i="1"/>
  <c r="I1712" i="1"/>
  <c r="B1712" i="1"/>
  <c r="I1711" i="1"/>
  <c r="B1711" i="1"/>
  <c r="I1710" i="1"/>
  <c r="B1710" i="1"/>
  <c r="I1709" i="1"/>
  <c r="B1709" i="1"/>
  <c r="I1708" i="1"/>
  <c r="B1708" i="1"/>
  <c r="I1707" i="1"/>
  <c r="B1707" i="1"/>
  <c r="I1706" i="1"/>
  <c r="B1706" i="1"/>
  <c r="I1705" i="1"/>
  <c r="B1705" i="1"/>
  <c r="I1704" i="1"/>
  <c r="B1704" i="1"/>
  <c r="I1703" i="1"/>
  <c r="B1703" i="1"/>
  <c r="I1702" i="1"/>
  <c r="B1702" i="1"/>
  <c r="I1701" i="1"/>
  <c r="B1701" i="1"/>
  <c r="I1700" i="1"/>
  <c r="B1700" i="1"/>
  <c r="I1699" i="1"/>
  <c r="B1699" i="1"/>
  <c r="I1698" i="1"/>
  <c r="B1698" i="1"/>
  <c r="I1697" i="1"/>
  <c r="B1697" i="1"/>
  <c r="I1696" i="1"/>
  <c r="B1696" i="1"/>
  <c r="I1695" i="1"/>
  <c r="B1695" i="1"/>
  <c r="I1694" i="1"/>
  <c r="B1694" i="1"/>
  <c r="I1693" i="1"/>
  <c r="B1693" i="1"/>
  <c r="I1692" i="1"/>
  <c r="B1692" i="1"/>
  <c r="I1691" i="1"/>
  <c r="B1691" i="1"/>
  <c r="I1690" i="1"/>
  <c r="B1690" i="1"/>
  <c r="I1689" i="1"/>
  <c r="B1689" i="1"/>
  <c r="I1688" i="1"/>
  <c r="B1688" i="1"/>
  <c r="B1687" i="1"/>
  <c r="B1686" i="1"/>
  <c r="I1687" i="1"/>
  <c r="I1686" i="1"/>
  <c r="I1685" i="1"/>
  <c r="B1685" i="1"/>
  <c r="B1683" i="1"/>
  <c r="I1684" i="1"/>
  <c r="I1683" i="1"/>
  <c r="B1684" i="1"/>
  <c r="I1682" i="1"/>
  <c r="B1682" i="1"/>
  <c r="I1681" i="1"/>
  <c r="I1680" i="1"/>
  <c r="B1680" i="1"/>
  <c r="B1681" i="1"/>
  <c r="I1679" i="1"/>
  <c r="B1679" i="1"/>
  <c r="I1678" i="1"/>
  <c r="B1678" i="1"/>
  <c r="B1677" i="1"/>
  <c r="I1677" i="1"/>
  <c r="I1635" i="1"/>
  <c r="I1676" i="1"/>
  <c r="B1676" i="1"/>
  <c r="I1675" i="1"/>
  <c r="B1675" i="1"/>
  <c r="I1674" i="1"/>
  <c r="B1674" i="1"/>
  <c r="I1673" i="1"/>
  <c r="B1673" i="1"/>
  <c r="I1672" i="1"/>
  <c r="B1672" i="1"/>
  <c r="I1671" i="1"/>
  <c r="B1671" i="1"/>
  <c r="I1670" i="1"/>
  <c r="B1670" i="1"/>
  <c r="I1669" i="1"/>
  <c r="B1669" i="1"/>
  <c r="I1668" i="1"/>
  <c r="B1668" i="1"/>
  <c r="I1667" i="1"/>
  <c r="B1667" i="1"/>
  <c r="I1666" i="1"/>
  <c r="B1666" i="1"/>
  <c r="I1665" i="1"/>
  <c r="B1665" i="1"/>
  <c r="I1664" i="1"/>
  <c r="B1664" i="1"/>
  <c r="I1663" i="1"/>
  <c r="B1663" i="1"/>
  <c r="I1662" i="1"/>
  <c r="B1662" i="1"/>
  <c r="I1661" i="1"/>
  <c r="B1661" i="1"/>
  <c r="I1660" i="1"/>
  <c r="B1660" i="1"/>
  <c r="I1659" i="1"/>
  <c r="B1659" i="1"/>
  <c r="I1658" i="1"/>
  <c r="B1658" i="1"/>
  <c r="I1657" i="1"/>
  <c r="B1657" i="1"/>
  <c r="I1656" i="1"/>
  <c r="B1656" i="1"/>
  <c r="I1655" i="1"/>
  <c r="B1655" i="1"/>
  <c r="I1654" i="1"/>
  <c r="B1654" i="1"/>
  <c r="I1653" i="1"/>
  <c r="B1653" i="1"/>
  <c r="I1652" i="1"/>
  <c r="B1652" i="1"/>
  <c r="I1651" i="1"/>
  <c r="B1651" i="1"/>
  <c r="I1650" i="1"/>
  <c r="B1650" i="1"/>
  <c r="I1649" i="1"/>
  <c r="B1649" i="1"/>
  <c r="I1648" i="1"/>
  <c r="B1648" i="1"/>
  <c r="I1647" i="1"/>
  <c r="B1647" i="1"/>
  <c r="I1646" i="1"/>
  <c r="B1646" i="1"/>
  <c r="I1645" i="1"/>
  <c r="B1645" i="1"/>
  <c r="I1644" i="1"/>
  <c r="B1644" i="1"/>
  <c r="I1643" i="1"/>
  <c r="B1643" i="1"/>
  <c r="I1642" i="1"/>
  <c r="B1642" i="1"/>
  <c r="I1641" i="1"/>
  <c r="B1641" i="1"/>
  <c r="I1640" i="1"/>
  <c r="B1640" i="1"/>
  <c r="I1639" i="1"/>
  <c r="B1639" i="1"/>
  <c r="I1638" i="1"/>
  <c r="B1638" i="1"/>
  <c r="I1637" i="1"/>
  <c r="B1637" i="1"/>
  <c r="I1636" i="1"/>
  <c r="B1636" i="1"/>
  <c r="B1635" i="1"/>
  <c r="I1634" i="1"/>
  <c r="B1634" i="1"/>
  <c r="I1633" i="1"/>
  <c r="B1633" i="1"/>
  <c r="I1632" i="1"/>
  <c r="B1632" i="1"/>
  <c r="I1631" i="1"/>
  <c r="I1630" i="1"/>
  <c r="B1630" i="1"/>
  <c r="I1629" i="1"/>
  <c r="B1629" i="1"/>
  <c r="I1628" i="1"/>
  <c r="B1628" i="1"/>
  <c r="I1627" i="1"/>
  <c r="B1627" i="1"/>
  <c r="I1626" i="1"/>
  <c r="B1626" i="1"/>
  <c r="I1625" i="1"/>
  <c r="B1625" i="1"/>
  <c r="I1624" i="1"/>
  <c r="B1624" i="1"/>
  <c r="I1623" i="1"/>
  <c r="B1623" i="1"/>
  <c r="I1622" i="1"/>
  <c r="B1622" i="1"/>
  <c r="I1621" i="1"/>
  <c r="B1621" i="1"/>
  <c r="I1620" i="1"/>
  <c r="B1620" i="1"/>
  <c r="I1619" i="1"/>
  <c r="B1619" i="1"/>
  <c r="I1618" i="1"/>
  <c r="B1618" i="1"/>
  <c r="I1617" i="1"/>
  <c r="B1617" i="1"/>
  <c r="I1616" i="1"/>
  <c r="B1616" i="1"/>
  <c r="I1615" i="1"/>
  <c r="B1615" i="1"/>
  <c r="I1614" i="1"/>
  <c r="B1614" i="1"/>
  <c r="I1613" i="1"/>
  <c r="B1613" i="1"/>
  <c r="I1612" i="1"/>
  <c r="B1612" i="1"/>
  <c r="I1611" i="1"/>
  <c r="B1611" i="1"/>
  <c r="I1610" i="1"/>
  <c r="B1610" i="1"/>
  <c r="I1609" i="1"/>
  <c r="B1609" i="1"/>
  <c r="I1608" i="1"/>
  <c r="B1608" i="1"/>
  <c r="I1607" i="1"/>
  <c r="B1607" i="1"/>
  <c r="I1606" i="1"/>
  <c r="B1606" i="1"/>
  <c r="I1605" i="1"/>
  <c r="B1605" i="1"/>
  <c r="I1604" i="1"/>
  <c r="B1604" i="1"/>
  <c r="I1603" i="1"/>
  <c r="B1603" i="1"/>
  <c r="I1602" i="1"/>
  <c r="B1602" i="1"/>
  <c r="I1601" i="1"/>
  <c r="B1601" i="1"/>
  <c r="I1600" i="1"/>
  <c r="B1600" i="1"/>
  <c r="I1599" i="1"/>
  <c r="B1599" i="1"/>
  <c r="I1598" i="1"/>
  <c r="B1598" i="1"/>
  <c r="I1597" i="1"/>
  <c r="B1597" i="1"/>
  <c r="I1596" i="1"/>
  <c r="B1596" i="1"/>
  <c r="I1595" i="1"/>
  <c r="B1595" i="1"/>
  <c r="I1594" i="1"/>
  <c r="B1594" i="1"/>
  <c r="I1593" i="1"/>
  <c r="B1593" i="1"/>
  <c r="I1592" i="1"/>
  <c r="B1592" i="1"/>
  <c r="I1591" i="1"/>
  <c r="B1591" i="1"/>
  <c r="I1590" i="1"/>
  <c r="B1590" i="1"/>
  <c r="I1589" i="1"/>
  <c r="B1589" i="1"/>
  <c r="I1588" i="1"/>
  <c r="B1588" i="1"/>
  <c r="I1587" i="1"/>
  <c r="B1587" i="1"/>
  <c r="I1586" i="1"/>
  <c r="B1586" i="1"/>
  <c r="I1585" i="1"/>
  <c r="B1585" i="1"/>
  <c r="I1584" i="1"/>
  <c r="B1584" i="1"/>
  <c r="I1583" i="1"/>
  <c r="B1583" i="1"/>
  <c r="I1582" i="1"/>
  <c r="B1582" i="1"/>
  <c r="I1581" i="1"/>
  <c r="B1581" i="1"/>
  <c r="I1580" i="1"/>
  <c r="B1580" i="1"/>
  <c r="I1579" i="1"/>
  <c r="B1579" i="1"/>
  <c r="I1578" i="1"/>
  <c r="B1578" i="1"/>
  <c r="I1577" i="1"/>
  <c r="B1577" i="1"/>
  <c r="I1576" i="1"/>
  <c r="B1576" i="1"/>
  <c r="I1575" i="1"/>
  <c r="B1575" i="1"/>
  <c r="I1574" i="1"/>
  <c r="B1574" i="1"/>
  <c r="I1573" i="1"/>
  <c r="B1573" i="1"/>
  <c r="I1572" i="1"/>
  <c r="B1572" i="1"/>
  <c r="I1571" i="1"/>
  <c r="B1571" i="1"/>
  <c r="I1570" i="1"/>
  <c r="B1570" i="1"/>
  <c r="I1569" i="1"/>
  <c r="B1569" i="1"/>
  <c r="I1568" i="1"/>
  <c r="B1568" i="1"/>
  <c r="I1567" i="1"/>
  <c r="B1567" i="1"/>
  <c r="I1566" i="1"/>
  <c r="B1566" i="1"/>
  <c r="I1565" i="1"/>
  <c r="B1565" i="1"/>
  <c r="I1564" i="1"/>
  <c r="B1564" i="1"/>
  <c r="I1563" i="1"/>
  <c r="B1563" i="1"/>
  <c r="I1562" i="1"/>
  <c r="B1562" i="1"/>
  <c r="I1561" i="1"/>
  <c r="B1561" i="1"/>
  <c r="I1560" i="1"/>
  <c r="B1560" i="1"/>
  <c r="I1559" i="1"/>
  <c r="B1559" i="1"/>
  <c r="I1558" i="1"/>
  <c r="B1558" i="1"/>
  <c r="I1557" i="1"/>
  <c r="B1557" i="1"/>
  <c r="I1556" i="1"/>
  <c r="B1556" i="1"/>
  <c r="I1555" i="1"/>
  <c r="B1555" i="1"/>
  <c r="I1554" i="1"/>
  <c r="B1554" i="1"/>
  <c r="I1553" i="1"/>
  <c r="B1553" i="1"/>
  <c r="I1552" i="1"/>
  <c r="B1552" i="1"/>
  <c r="I1551" i="1"/>
  <c r="B1551" i="1"/>
  <c r="I1550" i="1"/>
  <c r="B1550" i="1"/>
  <c r="I1549" i="1"/>
  <c r="B1549" i="1"/>
  <c r="I1548" i="1"/>
  <c r="B1548" i="1"/>
  <c r="I1547" i="1"/>
  <c r="B1547" i="1"/>
  <c r="I1546" i="1"/>
  <c r="B1546" i="1"/>
  <c r="I1545" i="1"/>
  <c r="B1545" i="1"/>
  <c r="I1544" i="1"/>
  <c r="B1544" i="1"/>
  <c r="I1543" i="1"/>
  <c r="B1543" i="1"/>
  <c r="I1542" i="1"/>
  <c r="B1542" i="1"/>
  <c r="I1541" i="1"/>
  <c r="B1541" i="1"/>
  <c r="I1540" i="1"/>
  <c r="B1540" i="1"/>
  <c r="I1539" i="1"/>
  <c r="B1539" i="1"/>
  <c r="I1538" i="1"/>
  <c r="B1538" i="1"/>
  <c r="I1537" i="1"/>
  <c r="B1537" i="1"/>
  <c r="I1536" i="1"/>
  <c r="B1536" i="1"/>
  <c r="I1535" i="1"/>
  <c r="B1535" i="1"/>
  <c r="I1534" i="1"/>
  <c r="B1534" i="1"/>
  <c r="I1533" i="1"/>
  <c r="B1533" i="1"/>
  <c r="I1532" i="1"/>
  <c r="B1532" i="1"/>
  <c r="I1531" i="1"/>
  <c r="B1531" i="1"/>
  <c r="I1530" i="1"/>
  <c r="B1530" i="1"/>
  <c r="I1529" i="1"/>
  <c r="B1529" i="1"/>
  <c r="I1528" i="1"/>
  <c r="B1528" i="1"/>
  <c r="I1527" i="1"/>
  <c r="B1527" i="1"/>
  <c r="I1526" i="1"/>
  <c r="B1526" i="1"/>
  <c r="I1525" i="1"/>
  <c r="B1525" i="1"/>
  <c r="I1524" i="1"/>
  <c r="B1524" i="1"/>
  <c r="I1523" i="1"/>
  <c r="B1523" i="1"/>
  <c r="I1522" i="1"/>
  <c r="B1522" i="1"/>
  <c r="I1521" i="1"/>
  <c r="B1521" i="1"/>
  <c r="I1520" i="1"/>
  <c r="B1520" i="1"/>
  <c r="I1519" i="1"/>
  <c r="B1519" i="1"/>
  <c r="I1518" i="1"/>
  <c r="B1518" i="1"/>
  <c r="I1517" i="1"/>
  <c r="B1517" i="1"/>
  <c r="I1516" i="1"/>
  <c r="B1516" i="1"/>
  <c r="I1515" i="1"/>
  <c r="B1515" i="1"/>
  <c r="I1514" i="1"/>
  <c r="B1514" i="1"/>
  <c r="I1513" i="1"/>
  <c r="B1513" i="1"/>
  <c r="I1512" i="1"/>
  <c r="B1512" i="1"/>
  <c r="I1511" i="1"/>
  <c r="B1511" i="1"/>
  <c r="I1510" i="1"/>
  <c r="B1510" i="1"/>
  <c r="I1509" i="1"/>
  <c r="B1509" i="1"/>
  <c r="I1508" i="1"/>
  <c r="B1508" i="1"/>
  <c r="I1507" i="1"/>
  <c r="B1507" i="1"/>
  <c r="I1506" i="1"/>
  <c r="B1506" i="1"/>
  <c r="I1505" i="1"/>
  <c r="B1505" i="1"/>
  <c r="I1504" i="1"/>
  <c r="B1504" i="1"/>
  <c r="I1503" i="1"/>
  <c r="B1503" i="1"/>
  <c r="I1502" i="1"/>
  <c r="B1502" i="1"/>
  <c r="I1501" i="1"/>
  <c r="B1501" i="1"/>
  <c r="I1500" i="1"/>
  <c r="B1500" i="1"/>
  <c r="I1499" i="1"/>
  <c r="B1499" i="1"/>
  <c r="I1498" i="1"/>
  <c r="B1498" i="1"/>
  <c r="I1497" i="1"/>
  <c r="B1497" i="1"/>
  <c r="I1496" i="1"/>
  <c r="B1496" i="1"/>
  <c r="I1495" i="1"/>
  <c r="B1495" i="1"/>
  <c r="I1494" i="1"/>
  <c r="B1494" i="1"/>
  <c r="I1493" i="1"/>
  <c r="B1493" i="1"/>
  <c r="I1492" i="1"/>
  <c r="B1492" i="1"/>
  <c r="I1491" i="1"/>
  <c r="B1491" i="1"/>
  <c r="I1490" i="1"/>
  <c r="B1490" i="1"/>
  <c r="I1489" i="1"/>
  <c r="B1489" i="1"/>
  <c r="I1488" i="1"/>
  <c r="B1488" i="1"/>
  <c r="I1487" i="1"/>
  <c r="B1487" i="1"/>
  <c r="I1486" i="1"/>
  <c r="B1486" i="1"/>
  <c r="I1485" i="1"/>
  <c r="B1485" i="1"/>
  <c r="I1484" i="1"/>
  <c r="B1484" i="1"/>
  <c r="I1483" i="1"/>
  <c r="B1483" i="1"/>
  <c r="I1482" i="1"/>
  <c r="B1482" i="1"/>
  <c r="I1481" i="1"/>
  <c r="B1481" i="1"/>
  <c r="I1480" i="1"/>
  <c r="B1480" i="1"/>
  <c r="I1479" i="1"/>
  <c r="B1479" i="1"/>
  <c r="I1478" i="1"/>
  <c r="B1478" i="1"/>
  <c r="I1477" i="1"/>
  <c r="B1477" i="1"/>
  <c r="I1476" i="1"/>
  <c r="B1476" i="1"/>
  <c r="I1475" i="1"/>
  <c r="B1475" i="1"/>
  <c r="I1474" i="1"/>
  <c r="B1474" i="1"/>
  <c r="I1473" i="1"/>
  <c r="B1473" i="1"/>
  <c r="I1472" i="1"/>
  <c r="B1472" i="1"/>
  <c r="I1471" i="1"/>
  <c r="B1471" i="1"/>
  <c r="I1470" i="1"/>
  <c r="B1470" i="1"/>
  <c r="I1469" i="1"/>
  <c r="B1469" i="1"/>
  <c r="I1468" i="1"/>
  <c r="B1468" i="1"/>
  <c r="I1467" i="1"/>
  <c r="B1467" i="1"/>
  <c r="I1466" i="1"/>
  <c r="B1466" i="1"/>
  <c r="I1465" i="1"/>
  <c r="B1465" i="1"/>
  <c r="I1464" i="1"/>
  <c r="B1464" i="1"/>
  <c r="I1463" i="1"/>
  <c r="B1463" i="1"/>
  <c r="I1462" i="1"/>
  <c r="B1462" i="1"/>
  <c r="I1461" i="1"/>
  <c r="B1461" i="1"/>
  <c r="I1460" i="1"/>
  <c r="B1460" i="1"/>
  <c r="I1459" i="1"/>
  <c r="B1459" i="1"/>
  <c r="I1458" i="1"/>
  <c r="B1458" i="1"/>
  <c r="I1457" i="1"/>
  <c r="B1457" i="1"/>
  <c r="I1456" i="1"/>
  <c r="B1456" i="1"/>
  <c r="I1455" i="1"/>
  <c r="B1455" i="1"/>
  <c r="I1454" i="1"/>
  <c r="B1454" i="1"/>
  <c r="I1453" i="1"/>
  <c r="B1453" i="1"/>
  <c r="I1452" i="1"/>
  <c r="B1452" i="1"/>
  <c r="I1451" i="1"/>
  <c r="B1451" i="1"/>
  <c r="B1450" i="1"/>
  <c r="I1450" i="1"/>
  <c r="I1449" i="1"/>
  <c r="B1449" i="1"/>
  <c r="I1448" i="1"/>
  <c r="B1448" i="1"/>
  <c r="I1446" i="1"/>
  <c r="I1447" i="1"/>
  <c r="B1447" i="1"/>
  <c r="B1446" i="1"/>
  <c r="I1445" i="1"/>
  <c r="B1445" i="1"/>
  <c r="I1444" i="1"/>
  <c r="B1444" i="1"/>
  <c r="I1443" i="1"/>
  <c r="B1443" i="1"/>
  <c r="I1442" i="1"/>
  <c r="B1442" i="1"/>
  <c r="I1441" i="1"/>
  <c r="B1441" i="1"/>
  <c r="I1440" i="1"/>
  <c r="B1440" i="1"/>
  <c r="I1439" i="1"/>
  <c r="B1439" i="1"/>
  <c r="I1438" i="1"/>
  <c r="B1438" i="1"/>
  <c r="I1437" i="1"/>
  <c r="B1437" i="1"/>
  <c r="I1436" i="1"/>
  <c r="B1436" i="1"/>
  <c r="I1435" i="1"/>
  <c r="B1435" i="1"/>
  <c r="I1434" i="1"/>
  <c r="B1434" i="1"/>
  <c r="I1433" i="1"/>
  <c r="B1433" i="1"/>
  <c r="I1432" i="1"/>
  <c r="B1432" i="1"/>
  <c r="I1431" i="1"/>
  <c r="B1431" i="1"/>
  <c r="I1430" i="1"/>
  <c r="B1430" i="1"/>
  <c r="I1429" i="1"/>
  <c r="B1429" i="1"/>
  <c r="I1428" i="1"/>
  <c r="B1428" i="1"/>
  <c r="I1427" i="1"/>
  <c r="B1427" i="1"/>
  <c r="I1426" i="1"/>
  <c r="B1426" i="1"/>
  <c r="I1425" i="1"/>
  <c r="B1425" i="1"/>
  <c r="I1424" i="1"/>
  <c r="B1424" i="1"/>
  <c r="I1423" i="1"/>
  <c r="B1423" i="1"/>
  <c r="I1422" i="1"/>
  <c r="B1422" i="1"/>
  <c r="I1421" i="1"/>
  <c r="B1421" i="1"/>
  <c r="I1420" i="1"/>
  <c r="B1420" i="1"/>
  <c r="I1419" i="1"/>
  <c r="B1419" i="1"/>
  <c r="I1418" i="1"/>
  <c r="B1418" i="1"/>
  <c r="I1417" i="1"/>
  <c r="B1417" i="1"/>
  <c r="I1416" i="1"/>
  <c r="B1416" i="1"/>
  <c r="I1415" i="1"/>
  <c r="B1415" i="1"/>
  <c r="I1414" i="1"/>
  <c r="B1414" i="1"/>
  <c r="I1413" i="1"/>
  <c r="B1413" i="1"/>
  <c r="I1412" i="1"/>
  <c r="B1412" i="1"/>
  <c r="I1411" i="1"/>
  <c r="B1411" i="1"/>
  <c r="I1410" i="1"/>
  <c r="B1410" i="1"/>
  <c r="I1409" i="1"/>
  <c r="B1409" i="1"/>
  <c r="I1408" i="1"/>
  <c r="B1408" i="1"/>
  <c r="I1407" i="1"/>
  <c r="B1407" i="1"/>
  <c r="I1406" i="1"/>
  <c r="B1406" i="1"/>
  <c r="I1405" i="1"/>
  <c r="B1405" i="1"/>
  <c r="I1404" i="1"/>
  <c r="B1404" i="1"/>
  <c r="I1403" i="1"/>
  <c r="B1403" i="1"/>
  <c r="I1402" i="1"/>
  <c r="B1402" i="1"/>
  <c r="I1401" i="1"/>
  <c r="B1401" i="1"/>
  <c r="I1400" i="1"/>
  <c r="B1400" i="1"/>
  <c r="I1399" i="1"/>
  <c r="B1399" i="1"/>
  <c r="I1398" i="1"/>
  <c r="B1398" i="1"/>
  <c r="I1397" i="1"/>
  <c r="B1397" i="1"/>
  <c r="I1396" i="1"/>
  <c r="B1396" i="1"/>
  <c r="I1395" i="1"/>
  <c r="B1395" i="1"/>
  <c r="I1394" i="1"/>
  <c r="B1394" i="1"/>
  <c r="I1393" i="1"/>
  <c r="B1393" i="1"/>
  <c r="I1392" i="1"/>
  <c r="B1392" i="1"/>
  <c r="I1391" i="1"/>
  <c r="B1391" i="1"/>
  <c r="I1390" i="1"/>
  <c r="B1390" i="1"/>
  <c r="I1389" i="1"/>
  <c r="B1389" i="1"/>
  <c r="I1388" i="1"/>
  <c r="B1388" i="1"/>
  <c r="I1387" i="1"/>
  <c r="B1387" i="1"/>
  <c r="I1386" i="1"/>
  <c r="B1386" i="1"/>
  <c r="I1385" i="1"/>
  <c r="B1385" i="1"/>
  <c r="I1384" i="1"/>
  <c r="B1384" i="1"/>
  <c r="I1383" i="1"/>
  <c r="B1383" i="1"/>
  <c r="I1382" i="1"/>
  <c r="B1382" i="1"/>
  <c r="I1381" i="1"/>
  <c r="B1381" i="1"/>
  <c r="I1380" i="1"/>
  <c r="B1380" i="1"/>
  <c r="I1379" i="1"/>
  <c r="B1379" i="1"/>
  <c r="I1378" i="1"/>
  <c r="B1378" i="1"/>
  <c r="I1377" i="1"/>
  <c r="B1377" i="1"/>
  <c r="I1376" i="1"/>
  <c r="B1376" i="1"/>
  <c r="I1375" i="1"/>
  <c r="B1375" i="1"/>
  <c r="I1374" i="1"/>
  <c r="B1374" i="1"/>
  <c r="I1373" i="1"/>
  <c r="B1373" i="1"/>
  <c r="I1372" i="1"/>
  <c r="B1372" i="1"/>
  <c r="I1371" i="1"/>
  <c r="B1371" i="1"/>
  <c r="I1370" i="1"/>
  <c r="B1370" i="1"/>
  <c r="I1369" i="1"/>
  <c r="B1369" i="1"/>
  <c r="I1368" i="1"/>
  <c r="B1368" i="1"/>
  <c r="I1367" i="1"/>
  <c r="B1367" i="1"/>
  <c r="I1366" i="1"/>
  <c r="B1366" i="1"/>
  <c r="I1365" i="1"/>
  <c r="B1365" i="1"/>
  <c r="I1364" i="1"/>
  <c r="B1364" i="1"/>
  <c r="I1363" i="1"/>
  <c r="B1363" i="1"/>
  <c r="I1362" i="1"/>
  <c r="B1362" i="1"/>
  <c r="I1361" i="1"/>
  <c r="B1361" i="1"/>
  <c r="I1360" i="1"/>
  <c r="B1360" i="1"/>
  <c r="I1359" i="1"/>
  <c r="B1359" i="1"/>
  <c r="I1358" i="1"/>
  <c r="B1358" i="1"/>
  <c r="I1357" i="1"/>
  <c r="B1357" i="1"/>
  <c r="I1356" i="1"/>
  <c r="B1356" i="1"/>
  <c r="I1355" i="1"/>
  <c r="B1355" i="1"/>
  <c r="I1354" i="1"/>
  <c r="B1354" i="1"/>
  <c r="I1353" i="1"/>
  <c r="B1353" i="1"/>
  <c r="I1352" i="1"/>
  <c r="B1352" i="1"/>
  <c r="I1351" i="1"/>
  <c r="B1351" i="1"/>
  <c r="I1350" i="1"/>
  <c r="B1350" i="1"/>
  <c r="I1349" i="1"/>
  <c r="B1349" i="1"/>
  <c r="I1348" i="1"/>
  <c r="B1348" i="1"/>
  <c r="I1347" i="1"/>
  <c r="B1347" i="1"/>
  <c r="I1346" i="1"/>
  <c r="B1346" i="1"/>
  <c r="I1345" i="1"/>
  <c r="I1344" i="1"/>
  <c r="B1345" i="1"/>
  <c r="B1344" i="1"/>
  <c r="I1343" i="1"/>
  <c r="B1343" i="1"/>
  <c r="I1342" i="1"/>
  <c r="B1342" i="1"/>
  <c r="I1341" i="1"/>
  <c r="B1341" i="1"/>
  <c r="I1340" i="1"/>
  <c r="B1340" i="1"/>
  <c r="I1339" i="1"/>
  <c r="B1339" i="1"/>
  <c r="I1338" i="1"/>
  <c r="B1338" i="1"/>
  <c r="I1337" i="1"/>
  <c r="B1337" i="1"/>
  <c r="I1336" i="1"/>
  <c r="B1336" i="1"/>
  <c r="I1335" i="1"/>
  <c r="B1335" i="1"/>
  <c r="I1334" i="1"/>
  <c r="B1334" i="1"/>
  <c r="I1333" i="1"/>
  <c r="B1333" i="1"/>
  <c r="I1332" i="1"/>
  <c r="B1332" i="1"/>
  <c r="I1331" i="1"/>
  <c r="B1331" i="1"/>
  <c r="I1330" i="1"/>
  <c r="B1330" i="1"/>
  <c r="I1329" i="1"/>
  <c r="B1329" i="1"/>
  <c r="I1328" i="1"/>
  <c r="B1328" i="1"/>
  <c r="I1327" i="1"/>
  <c r="B1327" i="1"/>
  <c r="I1326" i="1"/>
  <c r="B1326" i="1"/>
  <c r="I1325" i="1"/>
  <c r="B1325" i="1"/>
  <c r="I1324" i="1"/>
  <c r="B1324" i="1"/>
  <c r="I1323" i="1"/>
  <c r="B1323" i="1"/>
  <c r="I1322" i="1"/>
  <c r="B1322" i="1"/>
  <c r="I1321" i="1"/>
  <c r="B1321" i="1"/>
  <c r="I1320" i="1"/>
  <c r="B1320" i="1"/>
  <c r="I1319" i="1"/>
  <c r="B1319" i="1"/>
  <c r="I1318" i="1"/>
  <c r="B1318" i="1"/>
  <c r="I1317" i="1"/>
  <c r="B1317" i="1"/>
  <c r="I1316" i="1"/>
  <c r="B1316" i="1"/>
  <c r="I1315" i="1"/>
  <c r="B1315" i="1"/>
  <c r="I1314" i="1"/>
  <c r="B1314" i="1"/>
  <c r="I1313" i="1"/>
  <c r="B1313" i="1"/>
  <c r="I1312" i="1"/>
  <c r="B1312" i="1"/>
  <c r="I1311" i="1"/>
  <c r="B1311" i="1"/>
  <c r="I1310" i="1"/>
  <c r="B1310" i="1"/>
  <c r="I1309" i="1"/>
  <c r="B1309" i="1"/>
  <c r="I1308" i="1"/>
  <c r="B1308" i="1"/>
  <c r="I1307" i="1"/>
  <c r="B1307" i="1"/>
  <c r="I1306" i="1"/>
  <c r="B1306" i="1"/>
  <c r="I1305" i="1"/>
  <c r="B1305" i="1"/>
  <c r="I1304" i="1"/>
  <c r="B1304" i="1"/>
  <c r="I1303" i="1"/>
  <c r="B1303" i="1"/>
  <c r="I1302" i="1"/>
  <c r="B1302" i="1"/>
  <c r="I1301" i="1"/>
  <c r="B1301" i="1"/>
  <c r="I1300" i="1"/>
  <c r="B1300" i="1"/>
  <c r="I1299" i="1"/>
  <c r="B1299" i="1"/>
  <c r="I1298" i="1"/>
  <c r="B1298" i="1"/>
  <c r="I1297" i="1"/>
  <c r="B1297" i="1"/>
  <c r="I1296" i="1"/>
  <c r="B1296" i="1"/>
  <c r="I1295" i="1"/>
  <c r="B1295" i="1"/>
  <c r="I1294" i="1"/>
  <c r="B1294" i="1"/>
  <c r="I1293" i="1"/>
  <c r="B1293" i="1"/>
  <c r="I1292" i="1"/>
  <c r="B1292" i="1"/>
  <c r="I1291" i="1"/>
  <c r="B1291" i="1"/>
  <c r="I1290" i="1"/>
  <c r="B1290" i="1"/>
  <c r="I1289" i="1"/>
  <c r="B1289" i="1"/>
  <c r="I1288" i="1"/>
  <c r="B1288" i="1"/>
  <c r="I1287" i="1"/>
  <c r="B1287" i="1"/>
  <c r="I1286" i="1"/>
  <c r="B1286" i="1"/>
  <c r="I1285" i="1"/>
  <c r="B1285" i="1"/>
  <c r="I1284" i="1"/>
  <c r="B1284" i="1"/>
  <c r="I1283" i="1"/>
  <c r="B1283" i="1"/>
  <c r="I1282" i="1"/>
  <c r="B1282" i="1"/>
  <c r="I1281" i="1"/>
  <c r="B1281" i="1"/>
  <c r="I1280" i="1"/>
  <c r="B1280" i="1"/>
  <c r="I1279" i="1"/>
  <c r="B1279" i="1"/>
  <c r="I1278" i="1"/>
  <c r="B1278" i="1"/>
  <c r="I1277" i="1"/>
  <c r="B1277" i="1"/>
  <c r="I1276" i="1"/>
  <c r="B1276" i="1"/>
  <c r="I1275" i="1"/>
  <c r="B1275" i="1"/>
  <c r="I1274" i="1"/>
  <c r="B1274" i="1"/>
  <c r="I1273" i="1"/>
  <c r="B1273" i="1"/>
  <c r="I1272" i="1"/>
  <c r="B1272" i="1"/>
  <c r="I1271" i="1"/>
  <c r="B1271" i="1"/>
  <c r="I1270" i="1"/>
  <c r="B1270" i="1"/>
  <c r="I1269" i="1"/>
  <c r="B1269" i="1"/>
  <c r="I1268" i="1"/>
  <c r="B1268" i="1"/>
  <c r="I1267" i="1"/>
  <c r="B1267" i="1"/>
  <c r="I1266" i="1"/>
  <c r="B1266" i="1"/>
  <c r="I1265" i="1"/>
  <c r="B1265" i="1"/>
  <c r="I1264" i="1"/>
  <c r="B1264" i="1"/>
  <c r="I1263" i="1"/>
  <c r="B1263" i="1"/>
  <c r="I1262" i="1"/>
  <c r="B1262" i="1"/>
  <c r="I1261" i="1"/>
  <c r="B1261" i="1"/>
  <c r="I1260" i="1"/>
  <c r="B1260" i="1"/>
  <c r="I1259" i="1"/>
  <c r="B1259" i="1"/>
  <c r="I1258" i="1"/>
  <c r="B1258" i="1"/>
  <c r="I1257" i="1"/>
  <c r="B1257" i="1"/>
  <c r="I1256" i="1"/>
  <c r="B1256" i="1"/>
  <c r="I1255" i="1"/>
  <c r="B1255" i="1"/>
  <c r="I1254" i="1"/>
  <c r="B1254" i="1"/>
  <c r="I1253" i="1"/>
  <c r="B1253" i="1"/>
  <c r="I1252" i="1"/>
  <c r="I1251" i="1"/>
  <c r="B1252" i="1"/>
  <c r="B1251" i="1"/>
  <c r="I1250" i="1"/>
  <c r="B1250" i="1"/>
  <c r="I1249" i="1"/>
  <c r="B1249" i="1"/>
  <c r="I1248" i="1"/>
  <c r="B1248" i="1"/>
  <c r="I1247" i="1"/>
  <c r="B1247" i="1"/>
  <c r="I1246" i="1"/>
  <c r="B1246" i="1"/>
  <c r="I1245" i="1"/>
  <c r="B1245" i="1"/>
  <c r="I1244" i="1"/>
  <c r="B1244" i="1"/>
  <c r="I1243" i="1"/>
  <c r="B1243" i="1"/>
  <c r="I1242" i="1"/>
  <c r="B1242" i="1"/>
  <c r="I1241" i="1"/>
  <c r="B1241" i="1"/>
  <c r="I1240" i="1"/>
  <c r="B1240" i="1"/>
  <c r="I1239" i="1"/>
  <c r="B1239" i="1"/>
  <c r="I1238" i="1"/>
  <c r="B1238" i="1"/>
  <c r="I1237" i="1"/>
  <c r="B1237" i="1"/>
  <c r="I1236" i="1"/>
  <c r="B1236" i="1"/>
  <c r="I1235" i="1"/>
  <c r="B1235" i="1"/>
  <c r="I1234" i="1"/>
  <c r="B1234" i="1"/>
  <c r="I1233" i="1"/>
  <c r="B1233" i="1"/>
  <c r="I1232" i="1"/>
  <c r="B1232" i="1"/>
  <c r="I1229" i="1"/>
  <c r="I1227" i="1"/>
  <c r="I1231" i="1"/>
  <c r="B1231" i="1"/>
  <c r="I1230" i="1"/>
  <c r="B1230" i="1"/>
  <c r="B1229" i="1"/>
  <c r="I1228" i="1"/>
  <c r="B1228" i="1"/>
  <c r="B1227" i="1"/>
  <c r="I1226" i="1"/>
  <c r="B1226" i="1"/>
  <c r="I1225" i="1"/>
  <c r="B1225" i="1"/>
  <c r="I1224" i="1"/>
  <c r="B1224" i="1"/>
  <c r="I1223" i="1"/>
  <c r="B1223" i="1"/>
  <c r="I1222" i="1"/>
  <c r="B1222" i="1"/>
  <c r="I1221" i="1"/>
  <c r="B1221" i="1"/>
  <c r="I1220" i="1"/>
  <c r="B1220" i="1"/>
  <c r="I1219" i="1"/>
  <c r="B1219" i="1"/>
  <c r="I1218" i="1"/>
  <c r="B1218" i="1"/>
  <c r="I1217" i="1"/>
  <c r="B1217" i="1"/>
  <c r="I1216" i="1"/>
  <c r="B1216" i="1"/>
  <c r="I1215" i="1"/>
  <c r="B1215" i="1"/>
  <c r="I1214" i="1"/>
  <c r="B1214" i="1"/>
  <c r="I1213" i="1"/>
  <c r="B1213" i="1"/>
  <c r="I1212" i="1"/>
  <c r="B1212" i="1"/>
  <c r="I1211" i="1"/>
  <c r="B1211" i="1"/>
  <c r="I1210" i="1"/>
  <c r="B1210" i="1"/>
  <c r="I1209" i="1"/>
  <c r="B1209" i="1"/>
  <c r="I1208" i="1"/>
  <c r="B1208" i="1"/>
  <c r="I1207" i="1"/>
  <c r="B1207" i="1"/>
  <c r="I1206" i="1"/>
  <c r="B1206" i="1"/>
  <c r="I1205" i="1"/>
  <c r="B1205" i="1"/>
  <c r="I1204" i="1"/>
  <c r="B1204" i="1"/>
  <c r="I1203" i="1"/>
  <c r="B1203" i="1"/>
  <c r="I1202" i="1"/>
  <c r="B1202" i="1"/>
  <c r="I1201" i="1"/>
  <c r="B1201" i="1"/>
  <c r="I1200" i="1"/>
  <c r="B1200" i="1"/>
  <c r="I1199" i="1"/>
  <c r="B1199" i="1"/>
  <c r="I1198" i="1"/>
  <c r="B1198" i="1"/>
  <c r="I1197" i="1"/>
  <c r="B1197" i="1"/>
  <c r="I1196" i="1"/>
  <c r="B1196" i="1"/>
  <c r="I1195" i="1"/>
  <c r="B1195" i="1"/>
  <c r="I1194" i="1"/>
  <c r="B1194" i="1"/>
  <c r="I1193" i="1"/>
  <c r="B1193" i="1"/>
  <c r="I1192" i="1"/>
  <c r="B1192" i="1"/>
  <c r="I1191" i="1"/>
  <c r="B1191" i="1"/>
  <c r="I1190" i="1"/>
  <c r="B1190" i="1"/>
  <c r="I1189" i="1"/>
  <c r="B1189" i="1"/>
  <c r="I1188" i="1"/>
  <c r="B1188" i="1"/>
  <c r="I1187" i="1"/>
  <c r="B1187" i="1"/>
  <c r="I1186" i="1"/>
  <c r="B1186" i="1"/>
  <c r="I1185" i="1"/>
  <c r="B1185" i="1"/>
  <c r="I1184" i="1"/>
  <c r="B1184" i="1"/>
  <c r="I1183" i="1"/>
  <c r="B1183" i="1"/>
  <c r="I1182" i="1"/>
  <c r="B1182" i="1"/>
  <c r="I1181" i="1"/>
  <c r="B1181" i="1"/>
  <c r="I1180" i="1"/>
  <c r="B1180" i="1"/>
  <c r="I1179" i="1"/>
  <c r="B1179" i="1"/>
  <c r="I1178" i="1"/>
  <c r="B1178" i="1"/>
  <c r="I1177" i="1"/>
  <c r="B1177" i="1"/>
  <c r="I1176" i="1"/>
  <c r="B1176" i="1"/>
  <c r="I1175" i="1"/>
  <c r="B1175" i="1"/>
  <c r="I1174" i="1"/>
  <c r="B1174" i="1"/>
  <c r="I1173" i="1"/>
  <c r="B1173" i="1"/>
  <c r="I1172" i="1"/>
  <c r="B1172" i="1"/>
  <c r="I1171" i="1"/>
  <c r="B1171" i="1"/>
  <c r="I1170" i="1"/>
  <c r="B1170" i="1"/>
  <c r="I1169" i="1"/>
  <c r="B1169" i="1"/>
  <c r="I1168" i="1"/>
  <c r="B1168" i="1"/>
  <c r="I1167" i="1"/>
  <c r="B1167" i="1"/>
  <c r="I1166" i="1"/>
  <c r="B1166" i="1"/>
  <c r="I1165" i="1"/>
  <c r="B1165" i="1"/>
  <c r="I1164" i="1"/>
  <c r="B1164" i="1"/>
  <c r="I1163" i="1"/>
  <c r="B1163" i="1"/>
  <c r="I1162" i="1"/>
  <c r="B1162" i="1"/>
  <c r="I1161" i="1"/>
  <c r="B1161" i="1"/>
  <c r="I1160" i="1"/>
  <c r="B1160" i="1"/>
  <c r="I1159" i="1"/>
  <c r="B1159" i="1"/>
  <c r="I1158" i="1"/>
  <c r="B1158" i="1"/>
  <c r="I1157" i="1"/>
  <c r="B1157" i="1"/>
  <c r="I1156" i="1"/>
  <c r="B1156" i="1"/>
  <c r="I1155" i="1"/>
  <c r="B1155" i="1"/>
  <c r="I1154" i="1"/>
  <c r="B1154" i="1"/>
  <c r="I1153" i="1"/>
  <c r="B1153" i="1"/>
  <c r="I1152" i="1"/>
  <c r="B1152" i="1"/>
  <c r="I1151" i="1"/>
  <c r="B1151" i="1"/>
  <c r="I1150" i="1"/>
  <c r="B1150" i="1"/>
  <c r="I1149" i="1"/>
  <c r="B1149" i="1"/>
  <c r="I1148" i="1"/>
  <c r="B1148" i="1"/>
  <c r="I1147" i="1"/>
  <c r="B1147" i="1"/>
  <c r="I1146" i="1"/>
  <c r="B1146" i="1"/>
  <c r="I1145" i="1"/>
  <c r="B1145" i="1"/>
  <c r="I1144" i="1"/>
  <c r="B1144" i="1"/>
  <c r="I1143" i="1"/>
  <c r="B1143" i="1"/>
  <c r="I1142" i="1"/>
  <c r="B1142" i="1"/>
  <c r="I1141" i="1"/>
  <c r="B1141" i="1"/>
  <c r="I1140" i="1"/>
  <c r="B1140" i="1"/>
  <c r="I1139" i="1"/>
  <c r="B1139" i="1"/>
  <c r="I1138" i="1"/>
  <c r="B1138" i="1"/>
  <c r="I1137" i="1"/>
  <c r="B1137" i="1"/>
  <c r="B1136" i="1"/>
  <c r="I1136" i="1"/>
  <c r="I1135" i="1"/>
  <c r="B1135" i="1"/>
  <c r="I1134" i="1"/>
  <c r="B1134" i="1"/>
  <c r="I1133" i="1"/>
  <c r="B1133" i="1"/>
  <c r="I1132" i="1"/>
  <c r="B1132" i="1"/>
  <c r="I1131" i="1"/>
  <c r="B1131" i="1"/>
  <c r="I1130" i="1"/>
  <c r="B1130" i="1"/>
  <c r="I1129" i="1"/>
  <c r="B1129" i="1"/>
  <c r="I1128" i="1"/>
  <c r="B1128" i="1"/>
  <c r="I1127" i="1"/>
  <c r="B1127" i="1"/>
  <c r="I1126" i="1"/>
  <c r="B1126" i="1"/>
  <c r="I1125" i="1"/>
  <c r="B1125" i="1"/>
  <c r="I1124" i="1"/>
  <c r="B1124" i="1"/>
  <c r="I1123" i="1"/>
  <c r="B1123" i="1"/>
  <c r="I1122" i="1"/>
  <c r="B1122" i="1"/>
  <c r="I1121" i="1"/>
  <c r="B1121" i="1"/>
  <c r="I1120" i="1"/>
  <c r="B1120" i="1"/>
  <c r="I1119" i="1"/>
  <c r="B1119" i="1"/>
  <c r="I1118" i="1"/>
  <c r="B1118" i="1"/>
  <c r="I1117" i="1"/>
  <c r="B1117" i="1"/>
  <c r="I1116" i="1"/>
  <c r="B1116" i="1"/>
  <c r="I1115" i="1"/>
  <c r="B1115" i="1"/>
  <c r="I1114" i="1"/>
  <c r="B1114" i="1"/>
  <c r="I1113" i="1"/>
  <c r="B1113" i="1"/>
  <c r="I1112" i="1"/>
  <c r="B1112" i="1"/>
  <c r="I1111" i="1"/>
  <c r="B1111" i="1"/>
  <c r="I1110" i="1"/>
  <c r="B1110" i="1"/>
  <c r="I1109" i="1"/>
  <c r="B1109" i="1"/>
  <c r="I1108" i="1"/>
  <c r="B1108" i="1"/>
  <c r="I1107" i="1"/>
  <c r="B1107" i="1"/>
  <c r="I1106" i="1"/>
  <c r="B1106" i="1"/>
  <c r="I1105" i="1"/>
  <c r="B1105" i="1"/>
  <c r="I1104" i="1"/>
  <c r="B1104" i="1"/>
  <c r="I1103" i="1"/>
  <c r="B1103" i="1"/>
  <c r="I1102" i="1"/>
  <c r="B1102" i="1"/>
  <c r="I1101" i="1"/>
  <c r="B1101" i="1"/>
  <c r="I1100" i="1"/>
  <c r="B1100" i="1"/>
  <c r="I1099" i="1"/>
  <c r="B1099" i="1"/>
  <c r="I1098" i="1"/>
  <c r="B1098" i="1"/>
  <c r="I1097" i="1"/>
  <c r="B1097" i="1"/>
  <c r="I1096" i="1"/>
  <c r="B1096" i="1"/>
  <c r="I1095" i="1"/>
  <c r="B1095" i="1"/>
  <c r="I1094" i="1"/>
  <c r="B1094" i="1"/>
  <c r="I1093" i="1"/>
  <c r="B1093" i="1"/>
  <c r="I1092" i="1"/>
  <c r="B1092" i="1"/>
  <c r="I1091" i="1"/>
  <c r="B1091" i="1"/>
  <c r="I1090" i="1"/>
  <c r="B1090" i="1"/>
  <c r="I1089" i="1"/>
  <c r="B1089" i="1"/>
  <c r="I1088" i="1"/>
  <c r="B1088" i="1"/>
  <c r="I1087" i="1"/>
  <c r="B1087" i="1"/>
  <c r="I1086" i="1"/>
  <c r="B1086" i="1"/>
  <c r="I1085" i="1"/>
  <c r="B1085" i="1"/>
  <c r="I1084" i="1"/>
  <c r="B1084" i="1"/>
  <c r="I1083" i="1"/>
  <c r="B1083" i="1"/>
  <c r="I1082" i="1"/>
  <c r="B1082" i="1"/>
  <c r="I1081" i="1"/>
  <c r="B1081" i="1"/>
  <c r="I1080" i="1"/>
  <c r="B1080" i="1"/>
  <c r="I1079" i="1"/>
  <c r="B1079" i="1"/>
  <c r="I1078" i="1"/>
  <c r="B1078" i="1"/>
  <c r="I1077" i="1"/>
  <c r="B1077" i="1"/>
  <c r="I1076" i="1"/>
  <c r="B1076" i="1"/>
  <c r="I1075" i="1"/>
  <c r="B1075" i="1"/>
  <c r="I1074" i="1"/>
  <c r="B1074" i="1"/>
  <c r="I1073" i="1"/>
  <c r="B1073" i="1"/>
  <c r="I1072" i="1"/>
  <c r="B1072" i="1"/>
  <c r="I1071" i="1"/>
  <c r="B1071" i="1"/>
  <c r="I1070" i="1"/>
  <c r="B1070" i="1"/>
  <c r="I1069" i="1"/>
  <c r="B1069" i="1"/>
  <c r="I1068" i="1"/>
  <c r="B1068" i="1"/>
  <c r="I1067" i="1"/>
  <c r="B1067" i="1"/>
  <c r="I1066" i="1"/>
  <c r="B1066" i="1"/>
  <c r="I1065" i="1"/>
  <c r="B1065" i="1"/>
  <c r="I1064" i="1"/>
  <c r="B1064" i="1"/>
  <c r="I1063" i="1"/>
  <c r="B1063" i="1"/>
  <c r="I1062" i="1"/>
  <c r="B1062" i="1"/>
  <c r="I1061" i="1"/>
  <c r="B1061" i="1"/>
  <c r="I1060" i="1"/>
  <c r="B1060" i="1"/>
  <c r="I1059" i="1"/>
  <c r="B1059" i="1"/>
  <c r="I1058" i="1"/>
  <c r="B1058" i="1"/>
  <c r="I1057" i="1"/>
  <c r="B1057" i="1"/>
  <c r="I1056" i="1"/>
  <c r="B1056" i="1"/>
  <c r="I1055" i="1"/>
  <c r="B1055" i="1"/>
  <c r="I1054" i="1"/>
  <c r="B1054" i="1"/>
  <c r="I1053" i="1"/>
  <c r="B1053" i="1"/>
  <c r="I1052" i="1"/>
  <c r="B1052" i="1"/>
  <c r="I1051" i="1"/>
  <c r="B1051" i="1"/>
  <c r="I1050" i="1"/>
  <c r="B1050" i="1"/>
  <c r="I1049" i="1"/>
  <c r="B1049" i="1"/>
  <c r="I1048" i="1"/>
  <c r="B1048" i="1"/>
  <c r="I1047" i="1"/>
  <c r="B1047" i="1"/>
  <c r="I1046" i="1"/>
  <c r="B1046" i="1"/>
  <c r="I1045" i="1"/>
  <c r="B1045" i="1"/>
  <c r="I1044" i="1"/>
  <c r="B1044" i="1"/>
  <c r="I1043" i="1"/>
  <c r="B1043" i="1"/>
  <c r="I1042" i="1"/>
  <c r="B1042" i="1"/>
  <c r="I1041" i="1"/>
  <c r="B1041" i="1"/>
  <c r="I1040" i="1"/>
  <c r="B1040" i="1"/>
  <c r="I1039" i="1"/>
  <c r="B1039" i="1"/>
  <c r="I1038" i="1"/>
  <c r="B1038" i="1"/>
  <c r="I1037" i="1"/>
  <c r="B1037" i="1"/>
  <c r="I1036" i="1"/>
  <c r="B1036" i="1"/>
  <c r="I1035" i="1"/>
  <c r="B1035" i="1"/>
  <c r="I1034" i="1"/>
  <c r="B1034" i="1"/>
  <c r="I1033" i="1"/>
  <c r="B1033" i="1"/>
  <c r="I1032" i="1"/>
  <c r="B1032" i="1"/>
  <c r="I1031" i="1"/>
  <c r="B1031" i="1"/>
  <c r="I1030" i="1"/>
  <c r="B1030" i="1"/>
  <c r="I1029" i="1"/>
  <c r="B1029" i="1"/>
  <c r="I1028" i="1"/>
  <c r="B1028" i="1"/>
  <c r="I1027" i="1"/>
  <c r="B1027" i="1"/>
  <c r="I1026" i="1"/>
  <c r="B1026" i="1"/>
  <c r="I1025" i="1"/>
  <c r="B1025" i="1"/>
  <c r="I1024" i="1"/>
  <c r="B1024" i="1"/>
  <c r="I1023" i="1"/>
  <c r="B1023" i="1"/>
  <c r="I1022" i="1"/>
  <c r="B1022" i="1"/>
  <c r="I1021" i="1"/>
  <c r="B1021" i="1"/>
  <c r="I1020" i="1"/>
  <c r="B1020" i="1"/>
  <c r="I1019" i="1"/>
  <c r="B1019" i="1"/>
  <c r="I1018" i="1"/>
  <c r="B1018" i="1"/>
  <c r="I1017" i="1"/>
  <c r="B1017" i="1"/>
  <c r="I1016" i="1"/>
  <c r="B1016" i="1"/>
  <c r="I1015" i="1"/>
  <c r="B1015" i="1"/>
  <c r="I1014" i="1"/>
  <c r="B1014" i="1"/>
  <c r="I1013" i="1"/>
  <c r="B1013" i="1"/>
  <c r="I1012" i="1"/>
  <c r="B1012" i="1"/>
  <c r="I1011" i="1"/>
  <c r="B1011" i="1"/>
  <c r="I1010" i="1"/>
  <c r="B1010" i="1"/>
  <c r="I1009" i="1"/>
  <c r="B1009" i="1"/>
  <c r="I1008" i="1"/>
  <c r="B1008" i="1"/>
  <c r="I1007" i="1"/>
  <c r="B1007" i="1"/>
  <c r="I1006" i="1"/>
  <c r="B1006" i="1"/>
  <c r="I1005" i="1"/>
  <c r="B1005" i="1"/>
  <c r="I1004" i="1"/>
  <c r="B1004" i="1"/>
  <c r="I1003" i="1"/>
  <c r="B1003" i="1"/>
  <c r="I1002" i="1"/>
  <c r="B1002" i="1"/>
  <c r="I1001" i="1"/>
  <c r="B1001" i="1"/>
  <c r="I1000" i="1"/>
  <c r="B1000" i="1"/>
  <c r="I999" i="1"/>
  <c r="B999" i="1"/>
  <c r="I998" i="1"/>
  <c r="B998" i="1"/>
  <c r="I997" i="1"/>
  <c r="B997" i="1"/>
  <c r="I996" i="1"/>
  <c r="B996" i="1"/>
  <c r="I995" i="1"/>
  <c r="B995" i="1"/>
  <c r="I994" i="1"/>
  <c r="B994" i="1"/>
  <c r="I993" i="1"/>
  <c r="B993" i="1"/>
  <c r="I992" i="1"/>
  <c r="B992" i="1"/>
  <c r="I991" i="1"/>
  <c r="B991" i="1"/>
  <c r="I990" i="1"/>
  <c r="B990" i="1"/>
  <c r="I989" i="1"/>
  <c r="B989" i="1"/>
  <c r="I988" i="1"/>
  <c r="B988" i="1"/>
  <c r="I987" i="1"/>
  <c r="B987" i="1"/>
  <c r="I986" i="1"/>
  <c r="B986" i="1"/>
  <c r="I985" i="1"/>
  <c r="B985" i="1"/>
  <c r="I984" i="1"/>
  <c r="B984" i="1"/>
  <c r="I983" i="1"/>
  <c r="B983" i="1"/>
  <c r="I982" i="1"/>
  <c r="B982" i="1"/>
  <c r="I981" i="1"/>
  <c r="B981" i="1"/>
  <c r="I980" i="1"/>
  <c r="B980" i="1"/>
  <c r="I979" i="1"/>
  <c r="B979" i="1"/>
  <c r="I978" i="1"/>
  <c r="B978" i="1"/>
  <c r="I977" i="1"/>
  <c r="B977" i="1"/>
  <c r="I976" i="1"/>
  <c r="B976" i="1"/>
  <c r="I975" i="1"/>
  <c r="B975" i="1"/>
  <c r="I974" i="1"/>
  <c r="B974" i="1"/>
  <c r="I973" i="1"/>
  <c r="B973" i="1"/>
  <c r="I972" i="1"/>
  <c r="B972" i="1"/>
  <c r="I971" i="1"/>
  <c r="B971" i="1"/>
  <c r="I970" i="1"/>
  <c r="B970" i="1"/>
  <c r="I969" i="1"/>
  <c r="B969" i="1"/>
  <c r="I968" i="1"/>
  <c r="B968" i="1"/>
  <c r="I967" i="1"/>
  <c r="B967" i="1"/>
  <c r="I965" i="1"/>
  <c r="I966" i="1"/>
  <c r="B966" i="1"/>
  <c r="B965" i="1"/>
  <c r="B964" i="1"/>
  <c r="I964" i="1"/>
  <c r="I963" i="1"/>
  <c r="B963" i="1"/>
  <c r="I962" i="1"/>
  <c r="B962" i="1"/>
  <c r="I961" i="1"/>
  <c r="B961" i="1"/>
  <c r="I960" i="1"/>
  <c r="B960" i="1"/>
  <c r="I959" i="1"/>
  <c r="B959" i="1"/>
  <c r="I958" i="1"/>
  <c r="B958" i="1"/>
  <c r="I957" i="1"/>
  <c r="B957" i="1"/>
  <c r="I956" i="1"/>
  <c r="B956" i="1"/>
  <c r="I955" i="1"/>
  <c r="B955" i="1"/>
  <c r="I954" i="1"/>
  <c r="B954" i="1"/>
  <c r="I953" i="1"/>
  <c r="B953" i="1"/>
  <c r="I952" i="1"/>
  <c r="B952" i="1"/>
  <c r="I951" i="1"/>
  <c r="B951" i="1"/>
  <c r="I950" i="1"/>
  <c r="B950" i="1"/>
  <c r="I949" i="1"/>
  <c r="B949" i="1"/>
  <c r="I948" i="1"/>
  <c r="B948" i="1"/>
  <c r="I947" i="1"/>
  <c r="B947" i="1"/>
  <c r="I946" i="1"/>
  <c r="B946" i="1"/>
  <c r="I945" i="1"/>
  <c r="B945" i="1"/>
  <c r="I944" i="1"/>
  <c r="B944" i="1"/>
  <c r="I943" i="1"/>
  <c r="B943" i="1"/>
  <c r="I942" i="1"/>
  <c r="B942" i="1"/>
  <c r="I941" i="1"/>
  <c r="B941" i="1"/>
  <c r="I940" i="1"/>
  <c r="B940" i="1"/>
  <c r="I939" i="1"/>
  <c r="B939" i="1"/>
  <c r="I938" i="1"/>
  <c r="B938" i="1"/>
  <c r="I937" i="1"/>
  <c r="B937" i="1"/>
  <c r="I936" i="1"/>
  <c r="B936" i="1"/>
  <c r="I935" i="1"/>
  <c r="B935" i="1"/>
  <c r="I934" i="1"/>
  <c r="B934" i="1"/>
  <c r="I933" i="1"/>
  <c r="B933" i="1"/>
  <c r="I932" i="1"/>
  <c r="B932" i="1"/>
  <c r="I931" i="1"/>
  <c r="B931" i="1"/>
  <c r="I930" i="1"/>
  <c r="B930" i="1"/>
  <c r="I929" i="1"/>
  <c r="B929" i="1"/>
  <c r="I928" i="1"/>
  <c r="B928" i="1"/>
  <c r="I927" i="1"/>
  <c r="B927" i="1"/>
  <c r="I926" i="1"/>
  <c r="B926" i="1"/>
  <c r="I925" i="1"/>
  <c r="B925" i="1"/>
  <c r="I924" i="1"/>
  <c r="B924" i="1"/>
  <c r="I923" i="1"/>
  <c r="B923" i="1"/>
  <c r="I922" i="1"/>
  <c r="B922" i="1"/>
  <c r="I921" i="1"/>
  <c r="B921" i="1"/>
  <c r="B920" i="1"/>
  <c r="I920" i="1"/>
  <c r="I919" i="1"/>
  <c r="B919" i="1"/>
  <c r="I918" i="1"/>
  <c r="B918" i="1"/>
  <c r="I917" i="1"/>
  <c r="B917" i="1"/>
  <c r="I916" i="1"/>
  <c r="B916" i="1"/>
  <c r="I915" i="1"/>
  <c r="B915" i="1"/>
  <c r="I914" i="1"/>
  <c r="B914" i="1"/>
  <c r="I913" i="1"/>
  <c r="B913" i="1"/>
  <c r="I912" i="1"/>
  <c r="B912" i="1"/>
  <c r="I911" i="1"/>
  <c r="B911" i="1"/>
  <c r="I910" i="1"/>
  <c r="B910" i="1"/>
  <c r="I909" i="1"/>
  <c r="B909" i="1"/>
  <c r="I908" i="1"/>
  <c r="B908" i="1"/>
  <c r="I907" i="1"/>
  <c r="B907" i="1"/>
  <c r="I906" i="1"/>
  <c r="B906" i="1"/>
  <c r="I905" i="1"/>
  <c r="B905" i="1"/>
  <c r="I904" i="1"/>
  <c r="B904" i="1"/>
  <c r="I903" i="1"/>
  <c r="B903" i="1"/>
  <c r="I902" i="1"/>
  <c r="B902" i="1"/>
  <c r="I901" i="1"/>
  <c r="B901" i="1"/>
  <c r="I900" i="1"/>
  <c r="B900" i="1"/>
  <c r="I899" i="1"/>
  <c r="B899" i="1"/>
  <c r="I898" i="1"/>
  <c r="B898" i="1"/>
  <c r="I897" i="1"/>
  <c r="B897" i="1"/>
  <c r="I896" i="1"/>
  <c r="B896" i="1"/>
  <c r="I895" i="1"/>
  <c r="B895" i="1"/>
  <c r="I894" i="1"/>
  <c r="B894" i="1"/>
  <c r="I893" i="1"/>
  <c r="B893" i="1"/>
  <c r="I892" i="1"/>
  <c r="B892" i="1"/>
  <c r="I891" i="1"/>
  <c r="B891" i="1"/>
  <c r="I890" i="1"/>
  <c r="B890" i="1"/>
  <c r="I889" i="1"/>
  <c r="B889" i="1"/>
  <c r="I888" i="1"/>
  <c r="B888" i="1"/>
  <c r="I887" i="1"/>
  <c r="B887" i="1"/>
  <c r="I886" i="1"/>
  <c r="B886" i="1"/>
  <c r="I885" i="1"/>
  <c r="B885" i="1"/>
  <c r="I884" i="1"/>
  <c r="B884" i="1"/>
  <c r="I883" i="1"/>
  <c r="B883" i="1"/>
  <c r="I882" i="1"/>
  <c r="B882" i="1"/>
  <c r="I881" i="1"/>
  <c r="B881" i="1"/>
  <c r="I880" i="1"/>
  <c r="B880" i="1"/>
  <c r="I879" i="1"/>
  <c r="B879" i="1"/>
  <c r="I878" i="1"/>
  <c r="B878" i="1"/>
  <c r="I877" i="1"/>
  <c r="B877" i="1"/>
  <c r="I876" i="1"/>
  <c r="B876" i="1"/>
  <c r="I875" i="1"/>
  <c r="B875" i="1"/>
  <c r="I874" i="1"/>
  <c r="B874" i="1"/>
  <c r="I873" i="1"/>
  <c r="B873" i="1"/>
  <c r="I872" i="1"/>
  <c r="B872" i="1"/>
  <c r="I871" i="1"/>
  <c r="B871" i="1"/>
  <c r="I870" i="1"/>
  <c r="I869" i="1"/>
  <c r="B870" i="1"/>
  <c r="B869" i="1"/>
  <c r="I868" i="1"/>
  <c r="B868" i="1"/>
  <c r="I867" i="1"/>
  <c r="B867" i="1"/>
  <c r="I866" i="1"/>
  <c r="B866" i="1"/>
  <c r="I865" i="1"/>
  <c r="B865" i="1"/>
  <c r="I864" i="1"/>
  <c r="B864" i="1"/>
  <c r="I863" i="1"/>
  <c r="B863" i="1"/>
  <c r="I862" i="1"/>
  <c r="B862" i="1"/>
  <c r="I861" i="1"/>
  <c r="B861" i="1"/>
  <c r="I860" i="1"/>
  <c r="B860" i="1"/>
  <c r="I859" i="1"/>
  <c r="B859" i="1"/>
  <c r="I858" i="1"/>
  <c r="B858" i="1"/>
  <c r="I857" i="1"/>
  <c r="B857" i="1"/>
  <c r="I856" i="1"/>
  <c r="B856" i="1"/>
  <c r="I855" i="1"/>
  <c r="B855" i="1"/>
  <c r="I854" i="1"/>
  <c r="B854" i="1"/>
  <c r="I853" i="1"/>
  <c r="B853" i="1"/>
  <c r="I852" i="1"/>
  <c r="B852" i="1"/>
  <c r="I851" i="1"/>
  <c r="B851" i="1"/>
  <c r="I850" i="1"/>
  <c r="B850" i="1"/>
  <c r="I849" i="1"/>
  <c r="B849" i="1"/>
  <c r="I848" i="1"/>
  <c r="B848" i="1"/>
  <c r="I847" i="1"/>
  <c r="B847" i="1"/>
  <c r="I846" i="1"/>
  <c r="B846" i="1"/>
  <c r="I845" i="1"/>
  <c r="B845" i="1"/>
  <c r="I844" i="1"/>
  <c r="B844" i="1"/>
  <c r="I843" i="1"/>
  <c r="B843" i="1"/>
  <c r="I842" i="1"/>
  <c r="B842" i="1"/>
  <c r="I841" i="1"/>
  <c r="B841" i="1"/>
  <c r="I840" i="1"/>
  <c r="B840" i="1"/>
  <c r="I839" i="1"/>
  <c r="B839" i="1"/>
  <c r="I838" i="1"/>
  <c r="B838" i="1"/>
  <c r="I837" i="1"/>
  <c r="B837" i="1"/>
  <c r="I836" i="1"/>
  <c r="B836" i="1"/>
  <c r="I835" i="1"/>
  <c r="B835" i="1"/>
  <c r="I834" i="1"/>
  <c r="B834" i="1"/>
  <c r="I833" i="1"/>
  <c r="B833" i="1"/>
  <c r="I832" i="1"/>
  <c r="B832" i="1"/>
  <c r="I831" i="1"/>
  <c r="B831" i="1"/>
  <c r="I830" i="1"/>
  <c r="B830" i="1"/>
  <c r="I829" i="1"/>
  <c r="B829" i="1"/>
  <c r="I828" i="1"/>
  <c r="B828" i="1"/>
  <c r="I827" i="1"/>
  <c r="B827" i="1"/>
  <c r="I826" i="1"/>
  <c r="B826" i="1"/>
  <c r="I825" i="1"/>
  <c r="B825" i="1"/>
  <c r="I824" i="1"/>
  <c r="B824" i="1"/>
  <c r="I823" i="1"/>
  <c r="B823" i="1"/>
  <c r="I822" i="1"/>
  <c r="B822" i="1"/>
  <c r="I821" i="1"/>
  <c r="B821" i="1"/>
  <c r="I820" i="1"/>
  <c r="B820" i="1"/>
  <c r="I819" i="1"/>
  <c r="B819" i="1"/>
  <c r="I818" i="1"/>
  <c r="B818" i="1"/>
  <c r="I817" i="1"/>
  <c r="B817" i="1"/>
  <c r="I816" i="1"/>
  <c r="B816" i="1"/>
  <c r="I815" i="1"/>
  <c r="B815" i="1"/>
  <c r="I814" i="1"/>
  <c r="B814" i="1"/>
  <c r="I813" i="1"/>
  <c r="B813" i="1"/>
  <c r="I812" i="1"/>
  <c r="B812" i="1"/>
  <c r="I811" i="1"/>
  <c r="B811" i="1"/>
  <c r="I810" i="1"/>
  <c r="B810" i="1"/>
  <c r="I809" i="1"/>
  <c r="B809" i="1"/>
  <c r="I808" i="1"/>
  <c r="B808" i="1"/>
  <c r="I807" i="1"/>
  <c r="B807" i="1"/>
  <c r="I806" i="1"/>
  <c r="B806" i="1"/>
  <c r="I805" i="1"/>
  <c r="B805" i="1"/>
  <c r="I804" i="1"/>
  <c r="B804" i="1"/>
  <c r="I803" i="1"/>
  <c r="B803" i="1"/>
  <c r="I802" i="1"/>
  <c r="B802" i="1"/>
  <c r="I801" i="1"/>
  <c r="B801" i="1"/>
  <c r="I800" i="1"/>
  <c r="B800" i="1"/>
  <c r="I799" i="1"/>
  <c r="B799" i="1"/>
  <c r="I798" i="1"/>
  <c r="B798" i="1"/>
  <c r="I797" i="1"/>
  <c r="B797" i="1"/>
  <c r="I796" i="1"/>
  <c r="B796" i="1"/>
  <c r="I795" i="1"/>
  <c r="B795" i="1"/>
  <c r="I794" i="1"/>
  <c r="B794" i="1"/>
  <c r="I793" i="1"/>
  <c r="B793" i="1"/>
  <c r="I792" i="1"/>
  <c r="B792" i="1"/>
  <c r="I791" i="1"/>
  <c r="B791" i="1"/>
  <c r="I790" i="1"/>
  <c r="B790" i="1"/>
  <c r="I789" i="1"/>
  <c r="B789" i="1"/>
  <c r="I788" i="1"/>
  <c r="B788" i="1"/>
  <c r="I787" i="1"/>
  <c r="B787" i="1"/>
  <c r="I786" i="1"/>
  <c r="B786" i="1"/>
  <c r="I785" i="1"/>
  <c r="B785" i="1"/>
  <c r="I784" i="1"/>
  <c r="B784" i="1"/>
  <c r="I783" i="1"/>
  <c r="B783" i="1"/>
  <c r="I782" i="1"/>
  <c r="B782" i="1"/>
  <c r="I781" i="1"/>
  <c r="B781" i="1"/>
  <c r="I780" i="1"/>
  <c r="B780" i="1"/>
  <c r="I779" i="1"/>
  <c r="B779" i="1"/>
  <c r="I778" i="1"/>
  <c r="B778" i="1"/>
  <c r="I777" i="1"/>
  <c r="B777" i="1"/>
  <c r="I776" i="1"/>
  <c r="B776" i="1"/>
  <c r="I775" i="1"/>
  <c r="B775" i="1"/>
  <c r="I774" i="1"/>
  <c r="B774" i="1"/>
  <c r="I773" i="1"/>
  <c r="B773" i="1"/>
  <c r="I772" i="1"/>
  <c r="B772" i="1"/>
  <c r="I771" i="1"/>
  <c r="B771" i="1"/>
  <c r="I770" i="1"/>
  <c r="B770" i="1"/>
  <c r="I769" i="1"/>
  <c r="B769" i="1"/>
  <c r="I768" i="1"/>
  <c r="B768" i="1"/>
  <c r="I767" i="1"/>
  <c r="B767" i="1"/>
  <c r="I766" i="1"/>
  <c r="B766" i="1"/>
  <c r="I765" i="1"/>
  <c r="B765" i="1"/>
  <c r="I764" i="1"/>
  <c r="B764" i="1"/>
  <c r="I763" i="1"/>
  <c r="B763" i="1"/>
  <c r="I762" i="1"/>
  <c r="B762" i="1"/>
  <c r="I761" i="1"/>
  <c r="B761" i="1"/>
  <c r="I760" i="1"/>
  <c r="B760" i="1"/>
  <c r="I759" i="1"/>
  <c r="B759" i="1"/>
  <c r="I758" i="1"/>
  <c r="B758" i="1"/>
  <c r="I757" i="1"/>
  <c r="B757" i="1"/>
  <c r="I756" i="1"/>
  <c r="B756" i="1"/>
  <c r="I755" i="1"/>
  <c r="B755" i="1"/>
  <c r="I754" i="1"/>
  <c r="B754" i="1"/>
  <c r="I753" i="1"/>
  <c r="B753" i="1"/>
  <c r="I752" i="1"/>
  <c r="B752" i="1"/>
  <c r="I751" i="1"/>
  <c r="B751" i="1"/>
  <c r="I750" i="1"/>
  <c r="B750" i="1"/>
  <c r="I749" i="1"/>
  <c r="B749" i="1"/>
  <c r="I748" i="1"/>
  <c r="B748" i="1"/>
  <c r="I747" i="1"/>
  <c r="B747" i="1"/>
  <c r="I746" i="1"/>
  <c r="B746" i="1"/>
  <c r="I745" i="1"/>
  <c r="B745" i="1"/>
  <c r="I744" i="1"/>
  <c r="B744" i="1"/>
  <c r="I743" i="1"/>
  <c r="B743" i="1"/>
  <c r="I742" i="1"/>
  <c r="B742" i="1"/>
  <c r="I741" i="1"/>
  <c r="B741" i="1"/>
  <c r="I740" i="1"/>
  <c r="B740" i="1"/>
  <c r="I739" i="1"/>
  <c r="B739" i="1"/>
  <c r="I738" i="1"/>
  <c r="B738" i="1"/>
  <c r="I737" i="1"/>
  <c r="B737" i="1"/>
  <c r="I736" i="1"/>
  <c r="B736" i="1"/>
  <c r="I735" i="1"/>
  <c r="B735" i="1"/>
  <c r="I734" i="1"/>
  <c r="B734" i="1"/>
  <c r="I733" i="1"/>
  <c r="B733" i="1"/>
  <c r="I732" i="1"/>
  <c r="B732" i="1"/>
  <c r="I731" i="1"/>
  <c r="B731" i="1"/>
  <c r="I730" i="1"/>
  <c r="B730" i="1"/>
  <c r="I729" i="1"/>
  <c r="B729" i="1"/>
  <c r="I728" i="1"/>
  <c r="B728" i="1"/>
  <c r="I727" i="1"/>
  <c r="B727" i="1"/>
  <c r="I726" i="1"/>
  <c r="B726" i="1"/>
  <c r="I725" i="1"/>
  <c r="B725" i="1"/>
  <c r="I724" i="1"/>
  <c r="B724" i="1"/>
  <c r="I723" i="1"/>
  <c r="B723" i="1"/>
  <c r="I722" i="1"/>
  <c r="B722" i="1"/>
  <c r="I721" i="1"/>
  <c r="B721" i="1"/>
  <c r="I720" i="1"/>
  <c r="B720" i="1"/>
  <c r="I719" i="1"/>
  <c r="B719" i="1"/>
  <c r="I718" i="1"/>
  <c r="B718" i="1"/>
  <c r="I717" i="1"/>
  <c r="B717" i="1"/>
  <c r="I716" i="1"/>
  <c r="B716" i="1"/>
  <c r="I715" i="1"/>
  <c r="B715" i="1"/>
  <c r="I714" i="1"/>
  <c r="B714" i="1"/>
  <c r="I713" i="1"/>
  <c r="B713" i="1"/>
  <c r="I712" i="1"/>
  <c r="B712" i="1"/>
  <c r="I711" i="1"/>
  <c r="B711" i="1"/>
  <c r="I710" i="1"/>
  <c r="B710" i="1"/>
  <c r="I709" i="1"/>
  <c r="B709" i="1"/>
  <c r="I708" i="1"/>
  <c r="B708" i="1"/>
  <c r="I707" i="1"/>
  <c r="B707" i="1"/>
  <c r="I706" i="1"/>
  <c r="B706" i="1"/>
  <c r="I705" i="1"/>
  <c r="B705" i="1"/>
  <c r="B704" i="1"/>
  <c r="I704" i="1"/>
  <c r="I703" i="1"/>
  <c r="B703" i="1"/>
  <c r="I702" i="1"/>
  <c r="B702" i="1"/>
  <c r="I701" i="1"/>
  <c r="B701" i="1"/>
  <c r="I700" i="1"/>
  <c r="B700" i="1"/>
  <c r="I699" i="1"/>
  <c r="B699" i="1"/>
  <c r="I698" i="1"/>
  <c r="B698" i="1"/>
  <c r="I697" i="1"/>
  <c r="B697" i="1"/>
  <c r="I696" i="1"/>
  <c r="B696" i="1"/>
  <c r="I695" i="1"/>
  <c r="B695" i="1"/>
  <c r="I694" i="1"/>
  <c r="B694" i="1"/>
  <c r="I693" i="1"/>
  <c r="B693" i="1"/>
  <c r="I692" i="1"/>
  <c r="B692" i="1"/>
  <c r="I691" i="1"/>
  <c r="B691" i="1"/>
  <c r="I690" i="1"/>
  <c r="B690" i="1"/>
  <c r="I689" i="1"/>
  <c r="B689" i="1"/>
  <c r="I688" i="1"/>
  <c r="B688" i="1"/>
  <c r="I687" i="1"/>
  <c r="B687" i="1"/>
  <c r="I686" i="1"/>
  <c r="B686" i="1"/>
  <c r="I685" i="1"/>
  <c r="B685" i="1"/>
  <c r="I684" i="1"/>
  <c r="B684" i="1"/>
  <c r="I683" i="1"/>
  <c r="B683" i="1"/>
  <c r="I682" i="1"/>
  <c r="B682" i="1"/>
  <c r="I681" i="1"/>
  <c r="B681" i="1"/>
  <c r="I680" i="1"/>
  <c r="B680" i="1"/>
  <c r="I679" i="1"/>
  <c r="B679" i="1"/>
  <c r="I678" i="1"/>
  <c r="B678" i="1"/>
  <c r="I677" i="1"/>
  <c r="B677" i="1"/>
  <c r="I676" i="1"/>
  <c r="B676" i="1"/>
  <c r="I675" i="1"/>
  <c r="B675" i="1"/>
  <c r="I674" i="1"/>
  <c r="B674" i="1"/>
  <c r="I673" i="1"/>
  <c r="B673" i="1"/>
  <c r="I672" i="1"/>
  <c r="B672" i="1"/>
  <c r="I671" i="1"/>
  <c r="B671" i="1"/>
  <c r="B670" i="1"/>
  <c r="I669" i="1"/>
  <c r="B669" i="1"/>
  <c r="I668" i="1"/>
  <c r="B668" i="1"/>
  <c r="I667" i="1"/>
  <c r="B667" i="1"/>
  <c r="I666" i="1"/>
  <c r="B666" i="1"/>
  <c r="I665" i="1"/>
  <c r="B665" i="1"/>
  <c r="I664" i="1"/>
  <c r="B664" i="1"/>
  <c r="I663" i="1"/>
  <c r="B663" i="1"/>
  <c r="I662" i="1"/>
  <c r="B662" i="1"/>
  <c r="I661" i="1"/>
  <c r="B661" i="1"/>
  <c r="I660" i="1"/>
  <c r="B660" i="1"/>
  <c r="I659" i="1"/>
  <c r="B659" i="1"/>
  <c r="I658" i="1"/>
  <c r="B658" i="1"/>
  <c r="I657" i="1"/>
  <c r="B657" i="1"/>
  <c r="I656" i="1"/>
  <c r="B656" i="1"/>
  <c r="I655" i="1"/>
  <c r="B655" i="1"/>
  <c r="I654" i="1"/>
  <c r="B654" i="1"/>
  <c r="I653" i="1"/>
  <c r="B653" i="1"/>
  <c r="I652" i="1"/>
  <c r="B652" i="1"/>
  <c r="I651" i="1"/>
  <c r="B651" i="1"/>
  <c r="B650" i="1"/>
  <c r="I650" i="1"/>
  <c r="I649" i="1"/>
  <c r="B649" i="1"/>
  <c r="I648" i="1"/>
  <c r="B648" i="1"/>
  <c r="I647" i="1"/>
  <c r="B647" i="1"/>
  <c r="I646" i="1"/>
  <c r="B646" i="1"/>
  <c r="I645" i="1"/>
  <c r="B645" i="1"/>
  <c r="I644" i="1"/>
  <c r="B644" i="1"/>
  <c r="I643" i="1"/>
  <c r="B643" i="1"/>
  <c r="I642" i="1"/>
  <c r="B642" i="1"/>
  <c r="I641" i="1"/>
  <c r="B641" i="1"/>
  <c r="I640" i="1"/>
  <c r="B640" i="1"/>
  <c r="I639" i="1"/>
  <c r="B639" i="1"/>
  <c r="I638" i="1"/>
  <c r="B638" i="1"/>
  <c r="I637" i="1"/>
  <c r="B637" i="1"/>
  <c r="I636" i="1"/>
  <c r="B636" i="1"/>
  <c r="I635" i="1"/>
  <c r="B635" i="1"/>
  <c r="I634" i="1"/>
  <c r="B634" i="1"/>
  <c r="I633" i="1"/>
  <c r="B633" i="1"/>
  <c r="I632" i="1"/>
  <c r="B632" i="1"/>
  <c r="I631" i="1"/>
  <c r="B631" i="1"/>
  <c r="I630" i="1"/>
  <c r="B630" i="1"/>
  <c r="I629" i="1"/>
  <c r="B629" i="1"/>
  <c r="I628" i="1"/>
  <c r="B628" i="1"/>
  <c r="I627" i="1"/>
  <c r="B627" i="1"/>
  <c r="I626" i="1"/>
  <c r="B626" i="1"/>
  <c r="I625" i="1"/>
  <c r="B625" i="1"/>
  <c r="I624" i="1"/>
  <c r="B624" i="1"/>
  <c r="I623" i="1"/>
  <c r="B623" i="1"/>
  <c r="I622" i="1"/>
  <c r="B622" i="1"/>
  <c r="I621" i="1"/>
  <c r="B621" i="1"/>
  <c r="I620" i="1"/>
  <c r="B620" i="1"/>
  <c r="I619" i="1"/>
  <c r="B619" i="1"/>
  <c r="I618" i="1"/>
  <c r="B618" i="1"/>
  <c r="I617" i="1"/>
  <c r="B617" i="1"/>
  <c r="I616" i="1"/>
  <c r="B616" i="1"/>
  <c r="I615" i="1"/>
  <c r="B615" i="1"/>
  <c r="I614" i="1"/>
  <c r="B614" i="1"/>
  <c r="I613" i="1"/>
  <c r="B613" i="1"/>
  <c r="I612" i="1"/>
  <c r="B612" i="1"/>
  <c r="I611" i="1"/>
  <c r="B611" i="1"/>
  <c r="I610" i="1"/>
  <c r="B610" i="1"/>
  <c r="I602" i="1"/>
  <c r="I609" i="1"/>
  <c r="B609" i="1"/>
  <c r="I608" i="1"/>
  <c r="B608" i="1"/>
  <c r="I607" i="1"/>
  <c r="B607" i="1"/>
  <c r="I606" i="1"/>
  <c r="B606" i="1"/>
  <c r="I605" i="1"/>
  <c r="B605" i="1"/>
  <c r="I604" i="1"/>
  <c r="B604" i="1"/>
  <c r="I603" i="1"/>
  <c r="B603" i="1"/>
  <c r="B602" i="1"/>
  <c r="I601" i="1"/>
  <c r="B601" i="1"/>
  <c r="I600" i="1"/>
  <c r="B600" i="1"/>
  <c r="I599" i="1"/>
  <c r="B599" i="1"/>
  <c r="I598" i="1"/>
  <c r="B598" i="1"/>
  <c r="I597" i="1"/>
  <c r="B597" i="1"/>
  <c r="I596" i="1"/>
  <c r="B596" i="1"/>
  <c r="I595" i="1"/>
  <c r="B595" i="1"/>
  <c r="I594" i="1"/>
  <c r="B594" i="1"/>
  <c r="I593" i="1"/>
  <c r="B593" i="1"/>
  <c r="I592" i="1"/>
  <c r="B592" i="1"/>
  <c r="I591" i="1"/>
  <c r="B591" i="1"/>
  <c r="I590" i="1"/>
  <c r="B590" i="1"/>
  <c r="I589" i="1"/>
  <c r="B589" i="1"/>
  <c r="I588" i="1"/>
  <c r="B588" i="1"/>
  <c r="I587" i="1"/>
  <c r="B587" i="1"/>
  <c r="I586" i="1"/>
  <c r="B586" i="1"/>
  <c r="I585" i="1"/>
  <c r="B585" i="1"/>
  <c r="I584" i="1"/>
  <c r="B584" i="1"/>
  <c r="I583" i="1"/>
  <c r="B583" i="1"/>
  <c r="I582" i="1"/>
  <c r="B582" i="1"/>
  <c r="I581" i="1"/>
  <c r="B581" i="1"/>
  <c r="I580" i="1"/>
  <c r="B580" i="1"/>
  <c r="I579" i="1"/>
  <c r="B579" i="1"/>
  <c r="I578" i="1"/>
  <c r="B578" i="1"/>
  <c r="I577" i="1"/>
  <c r="B577" i="1"/>
  <c r="I576" i="1"/>
  <c r="B576" i="1"/>
  <c r="I575" i="1"/>
  <c r="B575" i="1"/>
  <c r="I574" i="1"/>
  <c r="B574" i="1"/>
  <c r="I573" i="1"/>
  <c r="B573" i="1"/>
  <c r="I572" i="1"/>
  <c r="B572" i="1"/>
  <c r="I571" i="1"/>
  <c r="B571" i="1"/>
  <c r="I570" i="1"/>
  <c r="B570" i="1"/>
  <c r="I569" i="1"/>
  <c r="B569" i="1"/>
  <c r="I568" i="1"/>
  <c r="B568" i="1"/>
  <c r="I567" i="1"/>
  <c r="B567" i="1"/>
  <c r="I566" i="1"/>
  <c r="B566" i="1"/>
  <c r="I565" i="1"/>
  <c r="B565" i="1"/>
  <c r="I564" i="1"/>
  <c r="B564" i="1"/>
  <c r="I563" i="1"/>
  <c r="B563" i="1"/>
  <c r="I562" i="1"/>
  <c r="B562" i="1"/>
  <c r="I561" i="1"/>
  <c r="B561" i="1"/>
  <c r="I560" i="1"/>
  <c r="B560" i="1"/>
  <c r="I559" i="1"/>
  <c r="B559" i="1"/>
  <c r="I558" i="1"/>
  <c r="B558" i="1"/>
  <c r="I557" i="1"/>
  <c r="B557" i="1"/>
  <c r="I556" i="1"/>
  <c r="B556" i="1"/>
  <c r="I555" i="1"/>
  <c r="B555" i="1"/>
  <c r="I554" i="1"/>
  <c r="B554" i="1"/>
  <c r="I553" i="1"/>
  <c r="B553" i="1"/>
  <c r="I552" i="1"/>
  <c r="B552" i="1"/>
  <c r="I551" i="1"/>
  <c r="B551" i="1"/>
  <c r="I550" i="1"/>
  <c r="B550" i="1"/>
  <c r="I549" i="1"/>
  <c r="B549" i="1"/>
  <c r="I548" i="1"/>
  <c r="B548" i="1"/>
  <c r="I547" i="1"/>
  <c r="B547" i="1"/>
  <c r="I546" i="1"/>
  <c r="B546" i="1"/>
  <c r="I545" i="1"/>
  <c r="B545" i="1"/>
  <c r="I544" i="1"/>
  <c r="B544" i="1"/>
  <c r="I543" i="1"/>
  <c r="B543" i="1"/>
  <c r="I542" i="1"/>
  <c r="B542" i="1"/>
  <c r="I541" i="1"/>
  <c r="B541" i="1"/>
  <c r="I540" i="1"/>
  <c r="B540" i="1"/>
  <c r="I539" i="1"/>
  <c r="B539" i="1"/>
  <c r="I538" i="1"/>
  <c r="B538" i="1"/>
  <c r="I537" i="1"/>
  <c r="B537" i="1"/>
  <c r="I536" i="1"/>
  <c r="B536" i="1"/>
  <c r="I535" i="1"/>
  <c r="B535" i="1"/>
  <c r="I534" i="1"/>
  <c r="B534" i="1"/>
  <c r="I533" i="1"/>
  <c r="B533" i="1"/>
  <c r="I532" i="1"/>
  <c r="B532" i="1"/>
  <c r="I531" i="1"/>
  <c r="B531" i="1"/>
  <c r="I530" i="1"/>
  <c r="B530" i="1"/>
  <c r="I529" i="1"/>
  <c r="B529" i="1"/>
  <c r="I528" i="1"/>
  <c r="B528" i="1"/>
  <c r="I527" i="1"/>
  <c r="B527" i="1"/>
  <c r="I526" i="1"/>
  <c r="B526" i="1"/>
  <c r="I525" i="1"/>
  <c r="B525" i="1"/>
  <c r="I524" i="1"/>
  <c r="B524" i="1"/>
  <c r="I523" i="1"/>
  <c r="B523" i="1"/>
  <c r="I522" i="1"/>
  <c r="B522" i="1"/>
  <c r="I521" i="1"/>
  <c r="B521" i="1"/>
  <c r="I520" i="1"/>
  <c r="B520" i="1"/>
  <c r="I519" i="1"/>
  <c r="B519" i="1"/>
  <c r="I518" i="1"/>
  <c r="B518" i="1"/>
  <c r="I517" i="1"/>
  <c r="B517" i="1"/>
  <c r="I516" i="1"/>
  <c r="B516" i="1"/>
  <c r="I515" i="1"/>
  <c r="B515" i="1"/>
  <c r="I514" i="1"/>
  <c r="B514" i="1"/>
  <c r="I513" i="1"/>
  <c r="B513" i="1"/>
  <c r="I512" i="1"/>
  <c r="B512" i="1"/>
  <c r="I511" i="1"/>
  <c r="B511" i="1"/>
  <c r="I510" i="1"/>
  <c r="B510" i="1"/>
  <c r="I509" i="1"/>
  <c r="B509" i="1"/>
  <c r="I508" i="1"/>
  <c r="B508" i="1"/>
  <c r="I507" i="1"/>
  <c r="B507" i="1"/>
  <c r="I506" i="1"/>
  <c r="B506" i="1"/>
  <c r="I505" i="1"/>
  <c r="B505" i="1"/>
  <c r="I504" i="1"/>
  <c r="B504" i="1"/>
  <c r="I503" i="1"/>
  <c r="B503" i="1"/>
  <c r="I502" i="1"/>
  <c r="B502" i="1"/>
  <c r="I501" i="1"/>
  <c r="B501" i="1"/>
  <c r="I500" i="1"/>
  <c r="B500" i="1"/>
  <c r="I499" i="1"/>
  <c r="B499" i="1"/>
  <c r="I498" i="1"/>
  <c r="B498" i="1"/>
  <c r="I497" i="1"/>
  <c r="B497" i="1"/>
  <c r="I496" i="1"/>
  <c r="B496" i="1"/>
  <c r="I495" i="1"/>
  <c r="B495" i="1"/>
  <c r="I494" i="1"/>
  <c r="B494" i="1"/>
  <c r="I493" i="1"/>
  <c r="B493" i="1"/>
  <c r="I492" i="1"/>
  <c r="B492" i="1"/>
  <c r="I491" i="1"/>
  <c r="B491" i="1"/>
  <c r="I490" i="1"/>
  <c r="B490" i="1"/>
  <c r="I489" i="1"/>
  <c r="B489" i="1"/>
  <c r="I488" i="1"/>
  <c r="B488" i="1"/>
  <c r="I487" i="1"/>
  <c r="B487" i="1"/>
  <c r="I486" i="1"/>
  <c r="B486" i="1"/>
  <c r="I485" i="1"/>
  <c r="B485" i="1"/>
  <c r="I484" i="1"/>
  <c r="B484" i="1"/>
  <c r="I483" i="1"/>
  <c r="B483" i="1"/>
  <c r="I482" i="1"/>
  <c r="B482" i="1"/>
  <c r="I481" i="1"/>
  <c r="B481" i="1"/>
  <c r="I480" i="1"/>
  <c r="B480" i="1"/>
  <c r="I479" i="1"/>
  <c r="B479" i="1"/>
  <c r="I478" i="1"/>
  <c r="B478" i="1"/>
  <c r="I477" i="1"/>
  <c r="B477" i="1"/>
  <c r="I476" i="1"/>
  <c r="B476" i="1"/>
  <c r="I475" i="1"/>
  <c r="B475" i="1"/>
  <c r="I473" i="1"/>
  <c r="I474" i="1"/>
  <c r="I472" i="1"/>
  <c r="B472" i="1"/>
  <c r="I471" i="1"/>
  <c r="B471" i="1"/>
  <c r="I470" i="1"/>
  <c r="B470" i="1"/>
  <c r="I469" i="1"/>
  <c r="B469" i="1"/>
  <c r="I468" i="1"/>
  <c r="B468" i="1"/>
  <c r="I467" i="1"/>
  <c r="B467" i="1"/>
  <c r="I466" i="1"/>
  <c r="B466" i="1"/>
  <c r="I465" i="1"/>
  <c r="B465" i="1"/>
  <c r="I464" i="1"/>
  <c r="B464" i="1"/>
  <c r="I463" i="1"/>
  <c r="B463" i="1"/>
  <c r="I462" i="1"/>
  <c r="B462" i="1"/>
  <c r="I461" i="1"/>
  <c r="B461" i="1"/>
  <c r="I460" i="1"/>
  <c r="B460" i="1"/>
  <c r="I459" i="1"/>
  <c r="B459" i="1"/>
  <c r="I458" i="1"/>
  <c r="B458" i="1"/>
  <c r="I457" i="1"/>
  <c r="B457" i="1"/>
  <c r="I456" i="1"/>
  <c r="B456" i="1"/>
  <c r="I455" i="1"/>
  <c r="B455" i="1"/>
  <c r="I454" i="1"/>
  <c r="B454" i="1"/>
  <c r="I453" i="1"/>
  <c r="B453" i="1"/>
  <c r="I452" i="1"/>
  <c r="B452" i="1"/>
  <c r="I451" i="1"/>
  <c r="B451" i="1"/>
  <c r="I429" i="1"/>
  <c r="B429" i="1"/>
  <c r="I428" i="1"/>
  <c r="B428" i="1"/>
  <c r="I450" i="1"/>
  <c r="B450" i="1"/>
  <c r="I449" i="1"/>
  <c r="B449" i="1"/>
  <c r="I448" i="1"/>
  <c r="B448" i="1"/>
  <c r="I447" i="1"/>
  <c r="B447" i="1"/>
  <c r="I446" i="1"/>
  <c r="B446" i="1"/>
  <c r="I445" i="1"/>
  <c r="B445" i="1"/>
  <c r="I444" i="1"/>
  <c r="B444" i="1"/>
  <c r="I443" i="1"/>
  <c r="B443" i="1"/>
  <c r="I442" i="1"/>
  <c r="B442" i="1"/>
  <c r="I441" i="1"/>
  <c r="B441" i="1"/>
  <c r="I440" i="1"/>
  <c r="B440" i="1"/>
  <c r="I439" i="1"/>
  <c r="B439" i="1"/>
  <c r="I438" i="1"/>
  <c r="B438" i="1"/>
  <c r="I437" i="1"/>
  <c r="B437" i="1"/>
  <c r="I436" i="1"/>
  <c r="B436" i="1"/>
  <c r="I435" i="1"/>
  <c r="B435" i="1"/>
  <c r="I434" i="1"/>
  <c r="B434" i="1"/>
  <c r="I433" i="1"/>
  <c r="B433" i="1"/>
  <c r="I432" i="1"/>
  <c r="B432" i="1"/>
  <c r="I431" i="1"/>
  <c r="B431" i="1"/>
  <c r="I430" i="1"/>
  <c r="B430" i="1"/>
  <c r="I427" i="1"/>
  <c r="B427" i="1"/>
  <c r="I426" i="1"/>
  <c r="B426" i="1"/>
  <c r="I425" i="1"/>
  <c r="B425" i="1"/>
  <c r="I424" i="1"/>
  <c r="B424" i="1"/>
  <c r="I423" i="1"/>
  <c r="B423" i="1"/>
  <c r="I422" i="1"/>
  <c r="B422" i="1"/>
  <c r="I421" i="1"/>
  <c r="B421" i="1"/>
  <c r="I420" i="1"/>
  <c r="B420" i="1"/>
  <c r="I419" i="1"/>
  <c r="B419" i="1"/>
  <c r="I418" i="1"/>
  <c r="B418" i="1"/>
  <c r="I417" i="1"/>
  <c r="B417" i="1"/>
  <c r="I416" i="1"/>
  <c r="B416" i="1"/>
  <c r="I415" i="1"/>
  <c r="B415" i="1"/>
  <c r="I414" i="1"/>
  <c r="B414" i="1"/>
  <c r="I412" i="1"/>
  <c r="I413" i="1"/>
  <c r="B413" i="1"/>
  <c r="B412" i="1"/>
  <c r="I411" i="1"/>
  <c r="B411" i="1"/>
  <c r="I410" i="1"/>
  <c r="B410" i="1"/>
  <c r="I409" i="1"/>
  <c r="B409" i="1"/>
  <c r="I408" i="1"/>
  <c r="B408" i="1"/>
  <c r="I407" i="1"/>
  <c r="B407" i="1"/>
  <c r="I406" i="1"/>
  <c r="B406" i="1"/>
  <c r="I405" i="1"/>
  <c r="B405" i="1"/>
  <c r="I404" i="1"/>
  <c r="B404" i="1"/>
  <c r="I403" i="1"/>
  <c r="B403" i="1"/>
  <c r="I402" i="1"/>
  <c r="B402" i="1"/>
  <c r="I401" i="1"/>
  <c r="B401" i="1"/>
  <c r="I400" i="1"/>
  <c r="B400" i="1"/>
  <c r="I399" i="1"/>
  <c r="B399" i="1"/>
  <c r="I398" i="1"/>
  <c r="B398" i="1"/>
  <c r="I397" i="1"/>
  <c r="B397" i="1"/>
  <c r="I396" i="1"/>
  <c r="B396" i="1"/>
  <c r="I395" i="1"/>
  <c r="B395" i="1"/>
  <c r="I394" i="1"/>
  <c r="B394" i="1"/>
  <c r="I393" i="1"/>
  <c r="B393" i="1"/>
  <c r="I392" i="1"/>
  <c r="B392" i="1"/>
  <c r="I391" i="1"/>
  <c r="B391" i="1"/>
  <c r="I390" i="1"/>
  <c r="B390" i="1"/>
  <c r="I389" i="1"/>
  <c r="B389" i="1"/>
  <c r="I388" i="1"/>
  <c r="B388" i="1"/>
  <c r="I387" i="1"/>
  <c r="B387" i="1"/>
  <c r="I386" i="1"/>
  <c r="B386" i="1"/>
  <c r="I385" i="1"/>
  <c r="B385" i="1"/>
  <c r="I384" i="1"/>
  <c r="B384" i="1"/>
  <c r="I383" i="1"/>
  <c r="B383" i="1"/>
  <c r="I382" i="1"/>
  <c r="B382" i="1"/>
  <c r="I381" i="1"/>
  <c r="B381" i="1"/>
  <c r="B380" i="1"/>
  <c r="B379" i="1"/>
  <c r="I380" i="1"/>
  <c r="I379" i="1"/>
  <c r="I378" i="1"/>
  <c r="B378" i="1"/>
  <c r="I377" i="1"/>
  <c r="B377" i="1"/>
  <c r="I376" i="1"/>
  <c r="B376" i="1"/>
  <c r="I375" i="1"/>
  <c r="B375" i="1"/>
  <c r="I374" i="1"/>
  <c r="B374" i="1"/>
  <c r="I373" i="1"/>
  <c r="B373" i="1"/>
  <c r="I372" i="1"/>
  <c r="B372" i="1"/>
  <c r="I371" i="1"/>
  <c r="B371" i="1"/>
  <c r="I370" i="1"/>
  <c r="B370" i="1"/>
  <c r="I369" i="1"/>
  <c r="B369" i="1"/>
  <c r="I368" i="1"/>
  <c r="B368" i="1"/>
  <c r="I367" i="1"/>
  <c r="B367" i="1"/>
  <c r="I366" i="1"/>
  <c r="B366" i="1"/>
  <c r="I365" i="1"/>
  <c r="B365" i="1"/>
  <c r="I364" i="1"/>
  <c r="B364" i="1"/>
  <c r="I363" i="1"/>
  <c r="B363" i="1"/>
  <c r="I362" i="1"/>
  <c r="B362" i="1"/>
  <c r="I361" i="1"/>
  <c r="B361" i="1"/>
  <c r="I360" i="1"/>
  <c r="B360" i="1"/>
  <c r="I359" i="1"/>
  <c r="B359" i="1"/>
  <c r="I358" i="1"/>
  <c r="B358" i="1"/>
  <c r="I357" i="1"/>
  <c r="B357" i="1"/>
  <c r="I356" i="1"/>
  <c r="B356" i="1"/>
  <c r="I355" i="1"/>
  <c r="B355" i="1"/>
  <c r="I354" i="1"/>
  <c r="B354" i="1"/>
  <c r="I353" i="1"/>
  <c r="B353" i="1"/>
  <c r="I352" i="1"/>
  <c r="B352" i="1"/>
  <c r="I351" i="1"/>
  <c r="B351" i="1"/>
  <c r="I350" i="1"/>
  <c r="B350" i="1"/>
  <c r="I349" i="1"/>
  <c r="B349" i="1"/>
  <c r="I348" i="1"/>
  <c r="B348" i="1"/>
  <c r="I347" i="1"/>
  <c r="B347" i="1"/>
  <c r="I346" i="1"/>
  <c r="B346" i="1"/>
  <c r="I345" i="1"/>
  <c r="B345" i="1"/>
  <c r="I344" i="1"/>
  <c r="B344" i="1"/>
  <c r="I343" i="1"/>
  <c r="B343" i="1"/>
  <c r="I342" i="1"/>
  <c r="B342" i="1"/>
  <c r="I341" i="1"/>
  <c r="B341" i="1"/>
  <c r="I340" i="1"/>
  <c r="B340" i="1"/>
  <c r="I339" i="1"/>
  <c r="B339" i="1"/>
  <c r="I338" i="1"/>
  <c r="B338" i="1"/>
  <c r="I337" i="1"/>
  <c r="B337" i="1"/>
  <c r="I336" i="1"/>
  <c r="B336" i="1"/>
  <c r="I335" i="1"/>
  <c r="B335" i="1"/>
  <c r="I334" i="1"/>
  <c r="B334" i="1"/>
  <c r="B333" i="1"/>
  <c r="B332" i="1"/>
  <c r="I333" i="1"/>
  <c r="I332" i="1"/>
  <c r="I331" i="1"/>
  <c r="B331" i="1"/>
  <c r="I330" i="1"/>
  <c r="B330" i="1"/>
  <c r="I329" i="1"/>
  <c r="B329" i="1"/>
  <c r="I328" i="1"/>
  <c r="B328" i="1"/>
  <c r="I327" i="1"/>
  <c r="B327" i="1"/>
  <c r="I326" i="1"/>
  <c r="B326" i="1"/>
  <c r="I325" i="1"/>
  <c r="B325" i="1"/>
  <c r="I324" i="1"/>
  <c r="B324" i="1"/>
  <c r="I323" i="1"/>
  <c r="B323" i="1"/>
  <c r="I322" i="1"/>
  <c r="B322" i="1"/>
  <c r="I321" i="1"/>
  <c r="B321" i="1"/>
  <c r="I320" i="1"/>
  <c r="B320" i="1"/>
  <c r="I319" i="1"/>
  <c r="B319" i="1"/>
  <c r="I318" i="1"/>
  <c r="B318" i="1"/>
  <c r="I317" i="1"/>
  <c r="B317" i="1"/>
  <c r="I316" i="1"/>
  <c r="B316" i="1"/>
  <c r="I315" i="1"/>
  <c r="B315" i="1"/>
  <c r="I314" i="1"/>
  <c r="B314" i="1"/>
  <c r="I313" i="1"/>
  <c r="B313" i="1"/>
  <c r="I312" i="1"/>
  <c r="B312" i="1"/>
  <c r="I311" i="1"/>
  <c r="B311" i="1"/>
  <c r="I310" i="1"/>
  <c r="B310" i="1"/>
  <c r="I309" i="1"/>
  <c r="B309" i="1"/>
  <c r="I308" i="1"/>
  <c r="B308" i="1"/>
  <c r="I307" i="1"/>
  <c r="B307" i="1"/>
  <c r="I306" i="1"/>
  <c r="B306" i="1"/>
  <c r="I305" i="1"/>
  <c r="B305" i="1"/>
  <c r="I304" i="1"/>
  <c r="B304" i="1"/>
  <c r="I303" i="1"/>
  <c r="B303" i="1"/>
  <c r="I302" i="1"/>
  <c r="B302" i="1"/>
  <c r="I300" i="1"/>
  <c r="I301" i="1"/>
  <c r="B301" i="1"/>
  <c r="B300" i="1"/>
  <c r="I299" i="1"/>
  <c r="B299" i="1"/>
  <c r="I298" i="1"/>
  <c r="B298" i="1"/>
  <c r="I297" i="1"/>
  <c r="B297" i="1"/>
  <c r="I296" i="1"/>
  <c r="B296" i="1"/>
  <c r="I295" i="1"/>
  <c r="B295" i="1"/>
  <c r="I294" i="1"/>
  <c r="B294" i="1"/>
  <c r="I293" i="1"/>
  <c r="B293" i="1"/>
  <c r="I292" i="1"/>
  <c r="B292" i="1"/>
  <c r="I291" i="1"/>
  <c r="B291" i="1"/>
  <c r="I290" i="1"/>
  <c r="B290" i="1"/>
  <c r="I289" i="1"/>
  <c r="B289" i="1"/>
  <c r="I288" i="1"/>
  <c r="B288" i="1"/>
  <c r="I287" i="1"/>
  <c r="B287" i="1"/>
  <c r="I286" i="1"/>
  <c r="B286" i="1"/>
  <c r="I285" i="1"/>
  <c r="B285" i="1"/>
  <c r="I284" i="1"/>
  <c r="B284" i="1"/>
  <c r="I283" i="1"/>
  <c r="B283" i="1"/>
  <c r="I282" i="1"/>
  <c r="B282" i="1"/>
  <c r="B281" i="1"/>
  <c r="I281" i="1"/>
  <c r="I280" i="1"/>
  <c r="B280" i="1"/>
  <c r="I279" i="1"/>
  <c r="B279" i="1"/>
  <c r="I278" i="1"/>
  <c r="B278" i="1"/>
  <c r="I277" i="1"/>
  <c r="B277" i="1"/>
  <c r="I276" i="1"/>
  <c r="B276" i="1"/>
  <c r="I275" i="1"/>
  <c r="B275" i="1"/>
  <c r="I274" i="1"/>
  <c r="B274" i="1"/>
  <c r="I273" i="1"/>
  <c r="B273" i="1"/>
  <c r="I272" i="1"/>
  <c r="B272" i="1"/>
  <c r="I271" i="1"/>
  <c r="B271" i="1"/>
  <c r="B270" i="1"/>
  <c r="B269" i="1"/>
  <c r="I270" i="1"/>
  <c r="I269" i="1"/>
  <c r="I268" i="1"/>
  <c r="B268" i="1"/>
  <c r="I261" i="1"/>
  <c r="I262" i="1"/>
  <c r="I263" i="1"/>
  <c r="I264" i="1"/>
  <c r="I265" i="1"/>
  <c r="I266" i="1"/>
  <c r="I267" i="1"/>
  <c r="B261" i="1"/>
  <c r="B262" i="1"/>
  <c r="B263" i="1"/>
  <c r="B264" i="1"/>
  <c r="B265" i="1"/>
  <c r="B266" i="1"/>
  <c r="B267" i="1"/>
  <c r="B260" i="1"/>
  <c r="I260" i="1"/>
  <c r="I259" i="1"/>
  <c r="B259" i="1"/>
  <c r="I258" i="1"/>
  <c r="B258" i="1"/>
  <c r="I257" i="1"/>
  <c r="I256" i="1"/>
  <c r="B257" i="1"/>
  <c r="B256" i="1"/>
  <c r="I255" i="1"/>
  <c r="B255" i="1"/>
  <c r="I254" i="1"/>
  <c r="B254" i="1"/>
  <c r="I253" i="1"/>
  <c r="B253" i="1"/>
  <c r="I252" i="1"/>
  <c r="B252" i="1"/>
  <c r="I251" i="1"/>
  <c r="B251" i="1"/>
  <c r="I250" i="1"/>
  <c r="B250" i="1"/>
  <c r="I249" i="1"/>
  <c r="B249" i="1"/>
  <c r="I248" i="1"/>
  <c r="B248" i="1"/>
  <c r="I247" i="1"/>
  <c r="B247" i="1"/>
  <c r="I246" i="1"/>
  <c r="B246" i="1"/>
  <c r="I245" i="1"/>
  <c r="B245" i="1"/>
  <c r="I244" i="1"/>
  <c r="B244" i="1"/>
  <c r="I243" i="1"/>
  <c r="B243" i="1"/>
  <c r="I242" i="1"/>
  <c r="B242" i="1"/>
  <c r="I241" i="1"/>
  <c r="B241" i="1"/>
  <c r="I240" i="1"/>
  <c r="B240" i="1"/>
  <c r="I239" i="1"/>
  <c r="B239" i="1"/>
  <c r="I238" i="1"/>
  <c r="B238" i="1"/>
  <c r="I237" i="1"/>
  <c r="B237" i="1"/>
  <c r="I236" i="1"/>
  <c r="B236" i="1"/>
  <c r="I235" i="1"/>
  <c r="B235" i="1"/>
  <c r="I234" i="1"/>
  <c r="B234" i="1"/>
  <c r="I233" i="1"/>
  <c r="B233" i="1"/>
  <c r="I232" i="1"/>
  <c r="B232" i="1"/>
  <c r="B231" i="1"/>
  <c r="I231" i="1"/>
  <c r="I230" i="1"/>
  <c r="B230" i="1"/>
  <c r="I229" i="1"/>
  <c r="B229" i="1"/>
  <c r="I228" i="1"/>
  <c r="B228" i="1"/>
  <c r="I227" i="1"/>
  <c r="B227" i="1"/>
  <c r="I226" i="1"/>
  <c r="B226" i="1"/>
  <c r="I225" i="1"/>
  <c r="B225" i="1"/>
  <c r="I224" i="1"/>
  <c r="B224" i="1"/>
  <c r="I223" i="1"/>
  <c r="B223" i="1"/>
  <c r="I222" i="1"/>
  <c r="B222" i="1"/>
  <c r="I221" i="1"/>
  <c r="B221" i="1"/>
  <c r="I220" i="1"/>
  <c r="B220" i="1"/>
  <c r="I219" i="1"/>
  <c r="B219" i="1"/>
  <c r="I218" i="1"/>
  <c r="B218" i="1"/>
  <c r="I217" i="1"/>
  <c r="B217" i="1"/>
  <c r="I216" i="1"/>
  <c r="B216" i="1"/>
  <c r="I215" i="1"/>
  <c r="B215" i="1"/>
  <c r="I214" i="1"/>
  <c r="B214" i="1"/>
  <c r="I213" i="1"/>
  <c r="B213" i="1"/>
  <c r="I212" i="1"/>
  <c r="B212" i="1"/>
  <c r="I211" i="1"/>
  <c r="B211" i="1"/>
  <c r="I210" i="1"/>
  <c r="B210" i="1"/>
  <c r="I209" i="1"/>
  <c r="B209" i="1"/>
  <c r="I208" i="1"/>
  <c r="B208" i="1"/>
  <c r="I207" i="1"/>
  <c r="B207" i="1"/>
  <c r="I206" i="1"/>
  <c r="B206" i="1"/>
  <c r="I205" i="1"/>
  <c r="B205" i="1"/>
  <c r="I204" i="1"/>
  <c r="B204" i="1"/>
  <c r="I203" i="1"/>
  <c r="B203" i="1"/>
  <c r="I202" i="1"/>
  <c r="B202" i="1"/>
  <c r="I201" i="1"/>
  <c r="B201" i="1"/>
  <c r="I200" i="1"/>
  <c r="B200" i="1"/>
  <c r="I199" i="1"/>
  <c r="B199" i="1"/>
  <c r="I198" i="1"/>
  <c r="B198" i="1"/>
  <c r="I197" i="1"/>
  <c r="B197" i="1"/>
  <c r="I196" i="1"/>
  <c r="B196" i="1"/>
  <c r="I195" i="1"/>
  <c r="B195" i="1"/>
  <c r="I194" i="1"/>
  <c r="B194" i="1"/>
  <c r="I193" i="1"/>
  <c r="B193" i="1"/>
  <c r="I192" i="1"/>
  <c r="B192" i="1"/>
  <c r="I191" i="1"/>
  <c r="B191" i="1"/>
  <c r="I190" i="1"/>
  <c r="B190" i="1"/>
  <c r="I189" i="1"/>
  <c r="B189" i="1"/>
  <c r="I188" i="1"/>
  <c r="B188" i="1"/>
  <c r="I187" i="1"/>
  <c r="B187" i="1"/>
  <c r="I186" i="1"/>
  <c r="B186" i="1"/>
  <c r="I185" i="1"/>
  <c r="B185" i="1"/>
  <c r="I184" i="1"/>
  <c r="B184" i="1"/>
  <c r="I183" i="1"/>
  <c r="B183" i="1"/>
  <c r="I182" i="1"/>
  <c r="B182" i="1"/>
  <c r="I181" i="1"/>
  <c r="B181" i="1"/>
  <c r="I180" i="1"/>
  <c r="B180" i="1"/>
  <c r="I179" i="1"/>
  <c r="B179" i="1"/>
  <c r="I178" i="1"/>
  <c r="B178" i="1"/>
  <c r="I177" i="1"/>
  <c r="B177" i="1"/>
  <c r="I176" i="1"/>
  <c r="B176" i="1"/>
  <c r="I175" i="1"/>
  <c r="B175" i="1"/>
  <c r="I174" i="1"/>
  <c r="B174" i="1"/>
  <c r="I173" i="1"/>
  <c r="B173" i="1"/>
  <c r="I172" i="1"/>
  <c r="B172" i="1"/>
  <c r="I171" i="1"/>
  <c r="B171" i="1"/>
  <c r="I170" i="1"/>
  <c r="B170" i="1"/>
  <c r="I169" i="1"/>
  <c r="B169" i="1"/>
  <c r="I168" i="1"/>
  <c r="B168" i="1"/>
  <c r="I167" i="1"/>
  <c r="B167" i="1"/>
  <c r="I166" i="1"/>
  <c r="B166" i="1"/>
  <c r="I165" i="1"/>
  <c r="B165" i="1"/>
  <c r="I164" i="1"/>
  <c r="B164" i="1"/>
  <c r="I163" i="1"/>
  <c r="B163" i="1"/>
  <c r="I162" i="1"/>
  <c r="B162" i="1"/>
  <c r="I161" i="1"/>
  <c r="B161" i="1"/>
  <c r="I160" i="1"/>
  <c r="B160" i="1"/>
  <c r="I159" i="1"/>
  <c r="B159" i="1"/>
  <c r="I158" i="1"/>
  <c r="B158" i="1"/>
  <c r="I157" i="1"/>
  <c r="B157" i="1"/>
  <c r="I156" i="1"/>
  <c r="B156" i="1"/>
  <c r="I155" i="1"/>
  <c r="B155" i="1"/>
  <c r="I154" i="1"/>
  <c r="B154" i="1"/>
  <c r="I153" i="1"/>
  <c r="B153" i="1"/>
  <c r="I152" i="1"/>
  <c r="B152" i="1"/>
  <c r="I151" i="1"/>
  <c r="B151" i="1"/>
  <c r="I150" i="1"/>
  <c r="B150" i="1"/>
  <c r="I149" i="1"/>
  <c r="B149" i="1"/>
  <c r="I148" i="1"/>
  <c r="B148" i="1"/>
  <c r="I147" i="1"/>
  <c r="B147" i="1"/>
  <c r="I146" i="1"/>
  <c r="B146" i="1"/>
  <c r="I145" i="1"/>
  <c r="B145" i="1"/>
  <c r="I144" i="1"/>
  <c r="B144" i="1"/>
  <c r="I143" i="1"/>
  <c r="B143" i="1"/>
  <c r="I142" i="1"/>
  <c r="B142" i="1"/>
  <c r="I141" i="1"/>
  <c r="B141" i="1"/>
  <c r="I140" i="1"/>
  <c r="B140" i="1"/>
  <c r="I139" i="1"/>
  <c r="B139" i="1"/>
  <c r="I138" i="1"/>
  <c r="B138" i="1"/>
  <c r="I137" i="1"/>
  <c r="B137" i="1"/>
  <c r="I136" i="1"/>
  <c r="B136" i="1"/>
  <c r="I135" i="1"/>
  <c r="B135" i="1"/>
  <c r="I134" i="1"/>
  <c r="B134" i="1"/>
  <c r="I133" i="1"/>
  <c r="B133" i="1"/>
  <c r="I132" i="1"/>
  <c r="B132" i="1"/>
  <c r="I131" i="1"/>
  <c r="B131" i="1"/>
  <c r="I130" i="1"/>
  <c r="B130" i="1"/>
  <c r="I129" i="1"/>
  <c r="B129" i="1"/>
  <c r="I128" i="1"/>
  <c r="B128" i="1"/>
  <c r="I127" i="1"/>
  <c r="B127" i="1"/>
  <c r="I126" i="1"/>
  <c r="B126" i="1"/>
  <c r="I125" i="1"/>
  <c r="B125" i="1"/>
  <c r="I124" i="1"/>
  <c r="B124" i="1"/>
  <c r="I123" i="1"/>
  <c r="B123" i="1"/>
  <c r="I122" i="1"/>
  <c r="B122" i="1"/>
  <c r="I121" i="1"/>
  <c r="B121" i="1"/>
  <c r="I120" i="1"/>
  <c r="B120" i="1"/>
  <c r="I119" i="1"/>
  <c r="B119" i="1"/>
  <c r="I118" i="1"/>
  <c r="B118" i="1"/>
  <c r="I117" i="1"/>
  <c r="B117" i="1"/>
  <c r="I116" i="1"/>
  <c r="B116" i="1"/>
  <c r="I115" i="1"/>
  <c r="B115" i="1"/>
  <c r="I114" i="1"/>
  <c r="B114" i="1"/>
  <c r="I113" i="1"/>
  <c r="B113" i="1"/>
  <c r="I112" i="1"/>
  <c r="B112" i="1"/>
  <c r="I111" i="1"/>
  <c r="B111" i="1"/>
  <c r="I110" i="1"/>
  <c r="B110" i="1"/>
  <c r="I109" i="1"/>
  <c r="B109" i="1"/>
  <c r="I108" i="1"/>
  <c r="B108" i="1"/>
  <c r="I107" i="1"/>
  <c r="B107" i="1"/>
  <c r="I106" i="1"/>
  <c r="B106" i="1"/>
  <c r="I105" i="1"/>
  <c r="B105" i="1"/>
  <c r="I104" i="1"/>
  <c r="B104" i="1"/>
  <c r="I103" i="1"/>
  <c r="B103" i="1"/>
  <c r="I102" i="1"/>
  <c r="B102" i="1"/>
  <c r="I101" i="1"/>
  <c r="B101" i="1"/>
  <c r="I100" i="1"/>
  <c r="B100" i="1"/>
  <c r="I99" i="1"/>
  <c r="B99" i="1"/>
  <c r="I98" i="1"/>
  <c r="B98" i="1"/>
  <c r="I97" i="1"/>
  <c r="B97" i="1"/>
  <c r="I96" i="1"/>
  <c r="B96" i="1"/>
  <c r="I95" i="1"/>
  <c r="B95" i="1"/>
  <c r="I94" i="1"/>
  <c r="B94" i="1"/>
  <c r="I93" i="1"/>
  <c r="B93" i="1"/>
  <c r="I92" i="1"/>
  <c r="B92" i="1"/>
  <c r="I91" i="1"/>
  <c r="B91" i="1"/>
  <c r="I90" i="1"/>
  <c r="B90" i="1"/>
  <c r="I89" i="1"/>
  <c r="B89" i="1"/>
  <c r="I88" i="1"/>
  <c r="B88" i="1"/>
  <c r="I87" i="1"/>
  <c r="B87" i="1"/>
  <c r="I86" i="1"/>
  <c r="B86" i="1"/>
  <c r="I85" i="1"/>
  <c r="B85" i="1"/>
  <c r="I84" i="1"/>
  <c r="B84" i="1"/>
  <c r="I83" i="1"/>
  <c r="B83" i="1"/>
  <c r="I82" i="1"/>
  <c r="B82" i="1"/>
  <c r="I81" i="1"/>
  <c r="B81" i="1"/>
  <c r="I80" i="1"/>
  <c r="B80" i="1"/>
  <c r="I79" i="1"/>
  <c r="B79" i="1"/>
  <c r="I78" i="1"/>
  <c r="B78" i="1"/>
  <c r="I77" i="1"/>
  <c r="B77" i="1"/>
  <c r="I76" i="1"/>
  <c r="B76" i="1"/>
  <c r="I75" i="1"/>
  <c r="B75" i="1"/>
  <c r="I74" i="1"/>
  <c r="B74" i="1"/>
  <c r="I73" i="1"/>
  <c r="B73" i="1"/>
  <c r="I72" i="1"/>
  <c r="B72" i="1"/>
  <c r="I71" i="1"/>
  <c r="B71" i="1"/>
  <c r="I70" i="1"/>
  <c r="B70" i="1"/>
  <c r="I69" i="1"/>
  <c r="B69" i="1"/>
  <c r="I68" i="1"/>
  <c r="B68" i="1"/>
  <c r="I67" i="1"/>
  <c r="B67" i="1"/>
  <c r="I66" i="1"/>
  <c r="B66" i="1"/>
  <c r="I65" i="1"/>
  <c r="B65" i="1"/>
  <c r="I64" i="1"/>
  <c r="B64" i="1"/>
  <c r="I63" i="1"/>
  <c r="B63" i="1"/>
  <c r="I62" i="1"/>
  <c r="B62" i="1"/>
  <c r="I61" i="1"/>
  <c r="B61" i="1"/>
  <c r="I60" i="1"/>
  <c r="B60" i="1"/>
  <c r="I59" i="1"/>
  <c r="B59" i="1"/>
  <c r="I58" i="1"/>
  <c r="B58" i="1"/>
  <c r="I57" i="1"/>
  <c r="B57" i="1"/>
  <c r="I56" i="1"/>
  <c r="B56" i="1"/>
  <c r="I55" i="1"/>
  <c r="B55" i="1"/>
  <c r="I54" i="1"/>
  <c r="B54" i="1"/>
  <c r="I53" i="1"/>
  <c r="B53" i="1"/>
  <c r="I52" i="1"/>
  <c r="B52" i="1"/>
  <c r="I51" i="1"/>
  <c r="B51" i="1"/>
  <c r="I50" i="1"/>
  <c r="B50" i="1"/>
  <c r="I49" i="1"/>
  <c r="B49" i="1"/>
  <c r="I48" i="1"/>
  <c r="B48" i="1"/>
  <c r="I47" i="1"/>
  <c r="B47" i="1"/>
  <c r="I46" i="1"/>
  <c r="B46" i="1"/>
  <c r="I45" i="1"/>
  <c r="B45" i="1"/>
  <c r="I44" i="1"/>
  <c r="B44" i="1"/>
  <c r="I43" i="1"/>
  <c r="B43" i="1"/>
  <c r="I42" i="1"/>
  <c r="B42" i="1"/>
  <c r="B41" i="1"/>
  <c r="I41" i="1"/>
  <c r="I40" i="1"/>
  <c r="B40" i="1"/>
  <c r="I39" i="1"/>
  <c r="B39" i="1"/>
  <c r="I38" i="1"/>
  <c r="B38" i="1"/>
  <c r="I37" i="1"/>
  <c r="B37" i="1"/>
  <c r="I36" i="1"/>
  <c r="B36" i="1"/>
  <c r="I35" i="1"/>
  <c r="B35" i="1"/>
  <c r="I34" i="1"/>
  <c r="B34" i="1"/>
  <c r="I33" i="1"/>
  <c r="B33" i="1"/>
  <c r="I32" i="1"/>
  <c r="B32" i="1"/>
  <c r="I31" i="1"/>
  <c r="B31" i="1"/>
  <c r="I30" i="1"/>
  <c r="B30" i="1"/>
  <c r="I29" i="1"/>
  <c r="B29" i="1"/>
  <c r="I28" i="1"/>
  <c r="B28" i="1"/>
  <c r="I27" i="1"/>
  <c r="B27" i="1"/>
  <c r="I26" i="1"/>
  <c r="B26" i="1"/>
  <c r="I25" i="1"/>
  <c r="B25" i="1"/>
  <c r="I24" i="1"/>
  <c r="B24" i="1"/>
  <c r="I23" i="1"/>
  <c r="B23" i="1"/>
  <c r="I22" i="1"/>
  <c r="B22" i="1"/>
  <c r="I21" i="1"/>
  <c r="B21" i="1"/>
  <c r="B20" i="1"/>
  <c r="B19" i="1"/>
  <c r="B18" i="1"/>
  <c r="I20" i="1"/>
  <c r="I18" i="1"/>
  <c r="I19" i="1"/>
  <c r="I17" i="1"/>
  <c r="B17" i="1"/>
  <c r="I16" i="1"/>
  <c r="B16" i="1"/>
  <c r="I15" i="1"/>
  <c r="B15" i="1"/>
  <c r="I14" i="1"/>
  <c r="B14" i="1"/>
  <c r="I13" i="1"/>
  <c r="B13" i="1"/>
  <c r="I12" i="1"/>
  <c r="B12" i="1"/>
  <c r="I11" i="1"/>
  <c r="B11" i="1"/>
  <c r="I10" i="1"/>
  <c r="B10" i="1"/>
  <c r="I9" i="1"/>
  <c r="B9" i="1"/>
  <c r="I8" i="1"/>
  <c r="B8" i="1"/>
  <c r="I7" i="1"/>
  <c r="B7" i="1"/>
  <c r="I6" i="1"/>
  <c r="B6" i="1"/>
  <c r="I5" i="1"/>
  <c r="B5" i="1"/>
  <c r="I4" i="1"/>
  <c r="B4" i="1"/>
  <c r="I3" i="1"/>
  <c r="B3" i="1"/>
  <c r="I1" i="1"/>
  <c r="B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8573C1-2260-4EAC-ADF8-E07A0EC03348}" keepAlive="1" name="Query - VLookups" description="Connection to the 'VLookups' query in the workbook." type="5" refreshedVersion="7" background="1" saveData="1">
    <dbPr connection="Provider=Microsoft.Mashup.OleDb.1;Data Source=$Workbook$;Location=VLookups;Extended Properties=&quot;&quot;" command="SELECT * FROM [VLookups]"/>
  </connection>
</connections>
</file>

<file path=xl/sharedStrings.xml><?xml version="1.0" encoding="utf-8"?>
<sst xmlns="http://schemas.openxmlformats.org/spreadsheetml/2006/main" count="24107" uniqueCount="1124">
  <si>
    <t>OS Date</t>
  </si>
  <si>
    <t>Case Size</t>
  </si>
  <si>
    <t>Old Price</t>
  </si>
  <si>
    <t>New Price</t>
  </si>
  <si>
    <t>Valid From</t>
  </si>
  <si>
    <t>Valid To</t>
  </si>
  <si>
    <t>Ticket Type</t>
  </si>
  <si>
    <t>Change Type</t>
  </si>
  <si>
    <t>Comments</t>
  </si>
  <si>
    <t>PYE</t>
  </si>
  <si>
    <t>FRG</t>
  </si>
  <si>
    <t>GRM</t>
  </si>
  <si>
    <t>Planogram Category</t>
  </si>
  <si>
    <t>Chiller Number</t>
  </si>
  <si>
    <t>BBD</t>
  </si>
  <si>
    <t>Change Level</t>
  </si>
  <si>
    <t>RDC(s)</t>
  </si>
  <si>
    <t>Zone(s)</t>
  </si>
  <si>
    <t>Item</t>
  </si>
  <si>
    <t>Item Desc</t>
  </si>
  <si>
    <t>Produce Too Good to Waste</t>
  </si>
  <si>
    <t>Fresh Squeezed Orange Juice 16oz</t>
  </si>
  <si>
    <t>Fresh Squeezed Orange Juice 32oz</t>
  </si>
  <si>
    <t>Bananas* 1lb-LOOSE</t>
  </si>
  <si>
    <t>Bananas 2lb-standard</t>
  </si>
  <si>
    <t>Bananas Fun Size 7ct-standard</t>
  </si>
  <si>
    <t>Plantains 1ct-LOOSE</t>
  </si>
  <si>
    <t>Organic* Bananas 1lb-LOOSE</t>
  </si>
  <si>
    <t>Oranges* Navel 1ct-LOOSE</t>
  </si>
  <si>
    <t>Oranges Valencia, 4lb-standard</t>
  </si>
  <si>
    <t>Oranges Valencia 3lb-standard</t>
  </si>
  <si>
    <t>Oranges Navel 4lb-standard</t>
  </si>
  <si>
    <t>Oranges Navel 3lb-standard</t>
  </si>
  <si>
    <t>Oranges Navel 10lb-standard</t>
  </si>
  <si>
    <t>Oranges Navel 8lb-standard</t>
  </si>
  <si>
    <t>Oranges Cara Cara 3lb-standard</t>
  </si>
  <si>
    <t>Oranges Blood 3lb-standard</t>
  </si>
  <si>
    <t>Grapefruit* 1ct-LOOSE</t>
  </si>
  <si>
    <t>Organic Oranges Valencia 3lb-standard</t>
  </si>
  <si>
    <t>Organic Oranges Navel 3lb-standard</t>
  </si>
  <si>
    <t>Mandarins 3lb-standard</t>
  </si>
  <si>
    <t>Mandarins Large 2lb-standard</t>
  </si>
  <si>
    <t>Mandarins 5lb-standard</t>
  </si>
  <si>
    <t>Mandarins Specialty 3lb-standard</t>
  </si>
  <si>
    <t>Mandarin Sumo 1ct-LOOSE</t>
  </si>
  <si>
    <t>Oranges Juicer 1lb-LOOSE</t>
  </si>
  <si>
    <t>Satsumas 3lb-standard</t>
  </si>
  <si>
    <t>Organic Mandarins 2lb-standard</t>
  </si>
  <si>
    <t>Grapefruit 3lb-standard</t>
  </si>
  <si>
    <t>Grapefruit 5lb-standard</t>
  </si>
  <si>
    <t>Lemons* 1ct-LOOSE</t>
  </si>
  <si>
    <t>Lemons 5lb-standard</t>
  </si>
  <si>
    <t>Lemons 1lb-standard</t>
  </si>
  <si>
    <t>Lemons 2lb-standard</t>
  </si>
  <si>
    <t>Lemons Meyer 1lb-standard</t>
  </si>
  <si>
    <t>Lemon &amp; Lime Mix 2lb-standard</t>
  </si>
  <si>
    <t>Organic Lemons 1lb-standard</t>
  </si>
  <si>
    <t>Limes* 1ct-LOOSE</t>
  </si>
  <si>
    <t>Limes 1lb-standard</t>
  </si>
  <si>
    <t>Limes Key 1lb-standard</t>
  </si>
  <si>
    <t>Organic Limes 1lb-standard</t>
  </si>
  <si>
    <t>Pummelo* 1ct-LOOSE</t>
  </si>
  <si>
    <t>Minneolas* 1ct-LOOSE</t>
  </si>
  <si>
    <t>Minneolas 3lb-standard</t>
  </si>
  <si>
    <t>Apples* Gala 1lb-LOOSE</t>
  </si>
  <si>
    <t>Apples* Pink Lady 1lb-LOOSE</t>
  </si>
  <si>
    <t>Apples* Honeycrisp 1lb-LOOSE</t>
  </si>
  <si>
    <t>Apples Honeycrisp Tote* 1lb-LOOSE</t>
  </si>
  <si>
    <t>Apples Honeycrisp 4lb-standard</t>
  </si>
  <si>
    <t>Apples Red Delicious Tote 1lb-loose</t>
  </si>
  <si>
    <t>Apples Kiku 1lb-LOOSE</t>
  </si>
  <si>
    <t>Apples Cosmic Crisp* 1lb-LOOSE</t>
  </si>
  <si>
    <t>Apples* Golden Delicious 1lb-LOOSE</t>
  </si>
  <si>
    <t>Apples Golden Delicious 5lb-standard</t>
  </si>
  <si>
    <t>Apples Ginger Gold 5lb-standard</t>
  </si>
  <si>
    <t>Apples* Ginger Gold 1lb-LOOSE</t>
  </si>
  <si>
    <t>Apples* McIntosh 1lb-LOOSE</t>
  </si>
  <si>
    <t>Apples* Seasonal 1lb-LOOSE</t>
  </si>
  <si>
    <t>Apples* Tote 1lb-LOOSE</t>
  </si>
  <si>
    <t>Apples* Autumn Glory 1lb-LOOSE</t>
  </si>
  <si>
    <t>Apples Tote Empire 1lb-LOOSE</t>
  </si>
  <si>
    <t>Apples Specialty* 1lb-Loose</t>
  </si>
  <si>
    <t>Apples Specialty 2lb-standard</t>
  </si>
  <si>
    <t>Apples Envy 1lb-loose</t>
  </si>
  <si>
    <t>Apples Gala 3lb-standard</t>
  </si>
  <si>
    <t>Apples Seasonal 3lb-standard</t>
  </si>
  <si>
    <t>Apples Seasonal 5lb-standard</t>
  </si>
  <si>
    <t>Organic Apples Gala 3lb-standard</t>
  </si>
  <si>
    <t>Apples Fuji 3lb-standard</t>
  </si>
  <si>
    <t>Apples Pink Lady 3lb-standard</t>
  </si>
  <si>
    <t>Apples Honeycrisp 2lb-standard</t>
  </si>
  <si>
    <t>Apples Honeycrisp 3lb-standard</t>
  </si>
  <si>
    <t>Apples Red Delicious 3lb-standard</t>
  </si>
  <si>
    <t>Apples Red Delicious 5lb-standard</t>
  </si>
  <si>
    <t>Apples Kiku 2lb-standard</t>
  </si>
  <si>
    <t>Apples Caramel 3ct-standard</t>
  </si>
  <si>
    <t>Apples Turtle 3ct-standard</t>
  </si>
  <si>
    <t>Apples Pazazz 2lb-standard</t>
  </si>
  <si>
    <t>Apples Fun Size 2lb-standard</t>
  </si>
  <si>
    <t>Apples Fun Size Pink Lady 2lb-standard</t>
  </si>
  <si>
    <t>Apples Granny Smith 3lb-standard</t>
  </si>
  <si>
    <t>Apples Crimson Crisp Tote 1lb-loose</t>
  </si>
  <si>
    <t>Apples Rockit 3lb-standard</t>
  </si>
  <si>
    <t>Organic Apples Granny Smith 2lb-standard</t>
  </si>
  <si>
    <t>Organic Apples Fuji 2lb-standard</t>
  </si>
  <si>
    <t>Organic Apples Gala 2lb-standard</t>
  </si>
  <si>
    <t>Organic Apples Pink Lady 2lb-standard</t>
  </si>
  <si>
    <t>Organic Apples Honeycrisp 2lb-standard</t>
  </si>
  <si>
    <t>Pears 3lb-standard</t>
  </si>
  <si>
    <t>Pears* Bartlett 1lb-LOOSE</t>
  </si>
  <si>
    <t>Pears* D'Anjou 1lb-LOOSE</t>
  </si>
  <si>
    <t>Pears* Bosc 1lb-LOOSE</t>
  </si>
  <si>
    <t>Pears Asian 1ct-LOOSE</t>
  </si>
  <si>
    <t>Pears* Red D'Anjou 1lb-LOOSE</t>
  </si>
  <si>
    <t>Pears Red D'Anjou 2lb-standard</t>
  </si>
  <si>
    <t>Pears* Comice 1lb-LOOSE</t>
  </si>
  <si>
    <t>Pears Bartlett 2lb-standard</t>
  </si>
  <si>
    <t>Pears Fun Size 2lb-standard</t>
  </si>
  <si>
    <t>Pears Bosc 2lb-standard</t>
  </si>
  <si>
    <t>Pears D'Anjou 2lb-standard</t>
  </si>
  <si>
    <t>Organic Pears Bosc 2lb-standard</t>
  </si>
  <si>
    <t>Organic Pears D'Anjou 2lb-standard</t>
  </si>
  <si>
    <t>Organic Pears Bartlett 2lb-standard</t>
  </si>
  <si>
    <t>Pears* Starkrimson 1lb-LOOSE</t>
  </si>
  <si>
    <t>Pears* Asian 1lb-LOOSE</t>
  </si>
  <si>
    <t>Pears* Red Bartlett 1lb-LOOSE</t>
  </si>
  <si>
    <t>Pears Concorde 2lb-standard</t>
  </si>
  <si>
    <t>Cherries* Sweet 1lb-LOOSE</t>
  </si>
  <si>
    <t>Cherries* Rainier 1lb-LOOSE</t>
  </si>
  <si>
    <t>Cherries Rainier 1lb-standard</t>
  </si>
  <si>
    <t>Organic Cherries 1lb-standard</t>
  </si>
  <si>
    <t>Nectarines 1lb-LOOSE</t>
  </si>
  <si>
    <t>Nectarines 2lb-standard</t>
  </si>
  <si>
    <t>Nectarines 4lb-standard</t>
  </si>
  <si>
    <t>Organic Nectarines 2lb-standard</t>
  </si>
  <si>
    <t>Peaches* White 1lb-LOOSE</t>
  </si>
  <si>
    <t>Peaches* 1lb-LOOSE</t>
  </si>
  <si>
    <t>Peaches* Donut 1lb-LOOSE</t>
  </si>
  <si>
    <t>Peaches Donut 14oz-standard</t>
  </si>
  <si>
    <t>Peaches 2lb-standard</t>
  </si>
  <si>
    <t>Peaches 4lb-standard</t>
  </si>
  <si>
    <t>Peaches Tote 1lb-LOOSE</t>
  </si>
  <si>
    <t>Organic Peaches 2lb-standard</t>
  </si>
  <si>
    <t>Organic Peaches Yellow 2lb-standard</t>
  </si>
  <si>
    <t>Apricots 1lb-LOOSE</t>
  </si>
  <si>
    <t>Apricots 1lb-standard</t>
  </si>
  <si>
    <t>Apricots 2lb-standard</t>
  </si>
  <si>
    <t>Plums 1lb-LOOSE</t>
  </si>
  <si>
    <t>Pluots* 1lb-LOOSE</t>
  </si>
  <si>
    <t>Plums 2lb-standard</t>
  </si>
  <si>
    <t>Organic Plums 2lb-standard</t>
  </si>
  <si>
    <t>Lemon Plums 1lb-standard</t>
  </si>
  <si>
    <t>Peaches Donut 1lb-standard</t>
  </si>
  <si>
    <t>Plumcots 1.2 lb-standard</t>
  </si>
  <si>
    <t>Plumcots 2lb-standard</t>
  </si>
  <si>
    <t>Grapes* Green Seedless 1lb-LOOSE</t>
  </si>
  <si>
    <t>Grapes Jammer 1lb-standard</t>
  </si>
  <si>
    <t>Organic* Grapes Green Seedless 2lb-standard</t>
  </si>
  <si>
    <t>Organic* Grapes Green Seedless 1lb-LOOSE</t>
  </si>
  <si>
    <t>Organic Grapes Red 1lb-standard</t>
  </si>
  <si>
    <t>Organic Grapes Green 1lb-standard</t>
  </si>
  <si>
    <t>Grapes* Red Seedless 1lb-LOOSE</t>
  </si>
  <si>
    <t>Organic* Grapes Red Seedless 2lb-standard</t>
  </si>
  <si>
    <t>Organic* Grapes Red Seedless 1lb-LOOSE</t>
  </si>
  <si>
    <t>Grapes* Black Seedless 1lb-LOOSE</t>
  </si>
  <si>
    <t>Grapes 3lb-standard</t>
  </si>
  <si>
    <t>Grapes* Red Seeded 1lb-LOOSE</t>
  </si>
  <si>
    <t>Grapes Specialty* 1lb-LOOSE</t>
  </si>
  <si>
    <t>Grapes Specialty 2lb-standard</t>
  </si>
  <si>
    <t>Grapes Specialty 1lb-standard</t>
  </si>
  <si>
    <t>Grapes Cotton Candy 14oz-standard</t>
  </si>
  <si>
    <t>Melons Cantaloupes Tuscan 1ct-LOOSE</t>
  </si>
  <si>
    <t>Melons Cantaloupes 1ct-LOOSE</t>
  </si>
  <si>
    <t>Melons Crenshaw 1ct-LOOSE</t>
  </si>
  <si>
    <t>MelonsGolden Canary 1ct.-LOOSE</t>
  </si>
  <si>
    <t>Melons Dino 1ct.-LOOSE</t>
  </si>
  <si>
    <t>Melons Galia 1ct-loose</t>
  </si>
  <si>
    <t>Melons* Golden Honeydew 1ct-LOOSE</t>
  </si>
  <si>
    <t>Melons* Honeydew 1ct-LOOSE</t>
  </si>
  <si>
    <t>Melons* Honeydew Orange Flesh 1ct-LOOSE</t>
  </si>
  <si>
    <t>Watermelons Yellow L. Seedless 1ct-LOOSE</t>
  </si>
  <si>
    <t>Watermelons Large Seedless 1ct-LOOSE</t>
  </si>
  <si>
    <t>Watermelons* Mini Seedless 1ct-LOOSE</t>
  </si>
  <si>
    <t>Avocados* 1ct-LOOSE</t>
  </si>
  <si>
    <t>Avocados 4ct-standard</t>
  </si>
  <si>
    <t>Avocados 6ct-standard</t>
  </si>
  <si>
    <t>Avocados Mini 6ct-standard</t>
  </si>
  <si>
    <t>Organic Avocados 3ct-standard</t>
  </si>
  <si>
    <t>Organic Avocados 4ct-standard</t>
  </si>
  <si>
    <t>Avocado Green Skin 1ct-Loose</t>
  </si>
  <si>
    <t>Mangos* 1ct-LOOSE</t>
  </si>
  <si>
    <t>Mangos* Ataulfo 1ct-LOOSE</t>
  </si>
  <si>
    <t>Mangos Jumbo 1ct-LOOSE</t>
  </si>
  <si>
    <t>Organic Mangos Ataulfo 4ct-standard</t>
  </si>
  <si>
    <t>Papayas* 1ct-LOOSE</t>
  </si>
  <si>
    <t>Kiwis Gold 1ct-LOOSE</t>
  </si>
  <si>
    <t>Kiwis Green 1lb-standard</t>
  </si>
  <si>
    <t>Kiwis Gold 1lb-standard</t>
  </si>
  <si>
    <t>Kiwis Green 2lb-standard</t>
  </si>
  <si>
    <t>Organic Kiwis Green 1lb-standard</t>
  </si>
  <si>
    <t>Pineapples 1ct-LOOSE</t>
  </si>
  <si>
    <t>Coconuts Young 1ct-loose</t>
  </si>
  <si>
    <t>Figs 8oz-standard</t>
  </si>
  <si>
    <t>Figs 1lb-standard</t>
  </si>
  <si>
    <t>Pomegranates* 1ct-LOOSE</t>
  </si>
  <si>
    <t>Pomegranate Arils 4oz-standard</t>
  </si>
  <si>
    <t>Persimmons* 1ct-LOOSE</t>
  </si>
  <si>
    <t>Passionfruits 1ct-LOOSE</t>
  </si>
  <si>
    <t>Guava 1lb-loose</t>
  </si>
  <si>
    <t>Tamarind Sweet 1lb-standard</t>
  </si>
  <si>
    <t>Name Root 1lb-loose</t>
  </si>
  <si>
    <t>Yuca Root 1lb-loose</t>
  </si>
  <si>
    <t>Chayote Squash 1ct-loose</t>
  </si>
  <si>
    <t>Dragonfruits 1lb-loose</t>
  </si>
  <si>
    <t>Starfruits 1ct-loose</t>
  </si>
  <si>
    <t>Rambutan 12oz-standard</t>
  </si>
  <si>
    <t>Aloe Leaves* 1ct-LOOSE</t>
  </si>
  <si>
    <t>Strawberries 1lb-standard</t>
  </si>
  <si>
    <t>Strawberries 2lb-standard</t>
  </si>
  <si>
    <t>Strawberries Long Stem 1lb-standard</t>
  </si>
  <si>
    <t>Strawberries Super Sweet 12oz-standard</t>
  </si>
  <si>
    <t>Organic Strawberries 1lb-standard</t>
  </si>
  <si>
    <t>Blueberries 6oz-standard</t>
  </si>
  <si>
    <t>Blueberries 1pt-standard</t>
  </si>
  <si>
    <t>Blueberries 18oz-standard</t>
  </si>
  <si>
    <t>Blueberries Jumbo 6oz-standard</t>
  </si>
  <si>
    <t>Blueberries Jumbo 4.4oz-standard</t>
  </si>
  <si>
    <t>Blueberries 2lb-standard</t>
  </si>
  <si>
    <t>Organic Blueberries 6oz-standard</t>
  </si>
  <si>
    <t>Organic Blueberries 4.4oz-standard</t>
  </si>
  <si>
    <t>Raspberries 6oz-standard</t>
  </si>
  <si>
    <t>Raspberries 12oz-standard</t>
  </si>
  <si>
    <t>Organic Raspberries 6oz-standard</t>
  </si>
  <si>
    <t>Blackberries 6oz-standard</t>
  </si>
  <si>
    <t>Blackberries Super Sweet 6oz-standard</t>
  </si>
  <si>
    <t>Blackberries 12oz-standard</t>
  </si>
  <si>
    <t>Organic Blackberries 6oz-standard</t>
  </si>
  <si>
    <t>Cranberries 12oz-standard</t>
  </si>
  <si>
    <t>Berries Golden 4.4oz-standard</t>
  </si>
  <si>
    <t>Dates Medjool 1lb-standard</t>
  </si>
  <si>
    <t>Dates Almond 12oz-standard</t>
  </si>
  <si>
    <t>Dates Coconut 12oz-standard</t>
  </si>
  <si>
    <t>Dates Pecan Pumkin Spice 12oz-standard</t>
  </si>
  <si>
    <t>Dates Medjool Pitted 12oz-standard</t>
  </si>
  <si>
    <t>Chestnuts 1lb-standard</t>
  </si>
  <si>
    <t>Lettuce Butter 6oz-standard</t>
  </si>
  <si>
    <t>Lettuce Butter 1ct-standard</t>
  </si>
  <si>
    <t>Lettuce Butter Red 1ct-standard</t>
  </si>
  <si>
    <t>Lettuce* Iceberg 1ct-standard</t>
  </si>
  <si>
    <t>Lettuce Mixed 1ct-standard</t>
  </si>
  <si>
    <t>Romaine Hearts 3ct-standard</t>
  </si>
  <si>
    <t>Organic Romaine Hearts 3ct-standard</t>
  </si>
  <si>
    <t>Organic Micro Green Blend 1.75oz-standard</t>
  </si>
  <si>
    <t>Cucumbers* 1ct-LOOSE</t>
  </si>
  <si>
    <t>Cucumbers* Long English 1ct-LOOSE</t>
  </si>
  <si>
    <t>Cucumbers Mini 6ct-standard</t>
  </si>
  <si>
    <t>Cucumbers Long English 3ct-standard</t>
  </si>
  <si>
    <t>Cucumbers Mini 14oz-standard</t>
  </si>
  <si>
    <t>Cucumbers Baby 9oz-standard</t>
  </si>
  <si>
    <t>Organic Cucumbers Long English 1ct-LOOSE</t>
  </si>
  <si>
    <t>Organic Cucumbers 2ct-standard</t>
  </si>
  <si>
    <t>Organic Cucumbers Mini 1lb-standard</t>
  </si>
  <si>
    <t>Organic Cucumbers Mini 4ct-standard</t>
  </si>
  <si>
    <t>Zucchini* 1lb-LOOSE</t>
  </si>
  <si>
    <t>Zucchini* Yellow 1lb-LOOSE</t>
  </si>
  <si>
    <t>Organic Zucchini 2ct-standard</t>
  </si>
  <si>
    <t>Eggplants* 1ct-LOOSE</t>
  </si>
  <si>
    <t>Eggplants Baby 2ct-standard</t>
  </si>
  <si>
    <t>Okra 12oz-standard</t>
  </si>
  <si>
    <t>Corn Indian 3ct-BUNCH</t>
  </si>
  <si>
    <t>Asparagus 1lb-standard</t>
  </si>
  <si>
    <t>Organic Asparagus 12oz-standard</t>
  </si>
  <si>
    <t>Green Onions 5.5oz-standard</t>
  </si>
  <si>
    <t>Organic Green Onions 5.5oz-standard</t>
  </si>
  <si>
    <t>Green* Beans 1lb-LOOSE</t>
  </si>
  <si>
    <t>Garlic 3ct-standard</t>
  </si>
  <si>
    <t>Garlic 5ct-standard</t>
  </si>
  <si>
    <t>Ginger* 1lb-LOOSE</t>
  </si>
  <si>
    <t>Pumpkins* Carving 1ct-LOOSE</t>
  </si>
  <si>
    <t>Pumpkins Mini 5ct-standard</t>
  </si>
  <si>
    <t>Pumpkins Tiger Stripe 3ct-standard</t>
  </si>
  <si>
    <t>Pumpkins* Pie 1ct-LOOSE</t>
  </si>
  <si>
    <t>Pumpkins* Heirloom 1ct-LOOSE</t>
  </si>
  <si>
    <t>Pumpkin Friendly Monsters* 1ct-LOOSE</t>
  </si>
  <si>
    <t>Pumpkin Cutie Pie* 1ct-LOOSE</t>
  </si>
  <si>
    <t>Gourds 5ct-standard</t>
  </si>
  <si>
    <t>Artichokes 1ct-LOOSE</t>
  </si>
  <si>
    <t>Artichokes 2ct-standard</t>
  </si>
  <si>
    <t>French Beans 1lb-standard</t>
  </si>
  <si>
    <t>Organic French Beans 1lb-standard</t>
  </si>
  <si>
    <t>Leeks* 3ct-BUNCH</t>
  </si>
  <si>
    <t>Mirepoix 16oz-standard</t>
  </si>
  <si>
    <t>Tomatoes* on the Vine 1lb-LOOSE</t>
  </si>
  <si>
    <t>Organic* Tomatoes on the Vine 1lb-LOOSE</t>
  </si>
  <si>
    <t>Tomatoes* Beefsteak 1lb-LOOSE</t>
  </si>
  <si>
    <t>Tomatoes Beefsteak 4ct-standard</t>
  </si>
  <si>
    <t>Tomatoes* Roma 1lb-LOOSE</t>
  </si>
  <si>
    <t>Tomatoes Roma 1lb-standard</t>
  </si>
  <si>
    <t>Organic Roma Tomatoes 1lb-standard</t>
  </si>
  <si>
    <t>Tomatoes Grape 1pt-standard</t>
  </si>
  <si>
    <t>Organic Tomatoes Grape 1pt-standard</t>
  </si>
  <si>
    <t>Tomatoes Cherry on the Vine 9oz-standard</t>
  </si>
  <si>
    <t>Tomatoes Mix 12oz-standard</t>
  </si>
  <si>
    <t>Tomatoes Mix 1.5lb-standard</t>
  </si>
  <si>
    <t>Tomatoes Cocktail on the Vine 1lb-standard</t>
  </si>
  <si>
    <t>Tomatoes Speciality 1pt-standard</t>
  </si>
  <si>
    <t>Tomatoes Kumato 1lb-standard</t>
  </si>
  <si>
    <t>Tomatoes Heirloom 2ct</t>
  </si>
  <si>
    <t>Tomatoes Sweet Pops 10oz-standard</t>
  </si>
  <si>
    <t>Tomatoes Crimson 2ct-standard</t>
  </si>
  <si>
    <t>Tomatoes Sweet Pops 1.5lb-standard</t>
  </si>
  <si>
    <t>Tomatoes Heirlooms Mixed</t>
  </si>
  <si>
    <t>Tomatillos 1lb-loose</t>
  </si>
  <si>
    <t>Peppers* Red Sweet Bell 1ct-LOOSE</t>
  </si>
  <si>
    <t>Peppers Red Sweet Bell 2ct-standard</t>
  </si>
  <si>
    <t>Peppers* Yellow Sweet Bell 1ct-LOOSE</t>
  </si>
  <si>
    <t>Peppers* Green Bell 1ct-LOOSE</t>
  </si>
  <si>
    <t>Peppers Green Bell 4ct-standard</t>
  </si>
  <si>
    <t>Peppers Green Bell 3ct-standard</t>
  </si>
  <si>
    <t>Organic Peppers Green Bell 2ct-standard</t>
  </si>
  <si>
    <t>Peppers Sweet Bell 3ct-standard</t>
  </si>
  <si>
    <t>Peppers Sweet Long 14oz-standard</t>
  </si>
  <si>
    <t>Peppers Mini Sweet Bell 8oz-standard</t>
  </si>
  <si>
    <t>Organic Peppers Sweet Bell 2ct-standard</t>
  </si>
  <si>
    <t>Peppers Mini Sweet Bell 1lb-standard</t>
  </si>
  <si>
    <t>Organic Peppers Mini Sweet Bell 1lb-standard</t>
  </si>
  <si>
    <t>Peppers Jalapeno 8oz-standard</t>
  </si>
  <si>
    <t>Peppers Shishito 12oz-standard</t>
  </si>
  <si>
    <t>Peppers* Poblano 1lb-LOOSE</t>
  </si>
  <si>
    <t>Peppers Sweet Twister 1lb-standard</t>
  </si>
  <si>
    <t>Celery 1ct-standard</t>
  </si>
  <si>
    <t>Organic Celery Hearts 1ct-standard</t>
  </si>
  <si>
    <t>Carrots 2lb-standard</t>
  </si>
  <si>
    <t>Carrots Baby 2lb-standard</t>
  </si>
  <si>
    <t>Carrots Chips 16oz-standard</t>
  </si>
  <si>
    <t>Carrots Shredded 10oz-standard</t>
  </si>
  <si>
    <t>Carrots Baby 16oz-standard</t>
  </si>
  <si>
    <t>Carrots 5lb-standard</t>
  </si>
  <si>
    <t>Organic Carrots 1lb-standard</t>
  </si>
  <si>
    <t>Organic Carrots Baby 16oz-standard</t>
  </si>
  <si>
    <t>Organic Carrots Rainbow 2lb-standard</t>
  </si>
  <si>
    <t>Organic Carrots Baby Rainbow 16oz-standard</t>
  </si>
  <si>
    <t>Beets Cooked 8.8oz-standard</t>
  </si>
  <si>
    <t>Beets Baby Marinated 6.5oz-standard</t>
  </si>
  <si>
    <t>Beets 3ct-bunch</t>
  </si>
  <si>
    <t>Organic Beets Cooked 8.8oz-standard</t>
  </si>
  <si>
    <t>Squash* Butternut 1lb-LOOSE</t>
  </si>
  <si>
    <t>Squash Buttercup *1lb-LOOSE</t>
  </si>
  <si>
    <t>Squash* Spaghetti 1lb-LOOSE</t>
  </si>
  <si>
    <t>Squash* Yellow 1lb-LOOSE</t>
  </si>
  <si>
    <t>Organic Squash Yellow 2ct-standard</t>
  </si>
  <si>
    <t>Squash* Acorn 1lb-LOOSE</t>
  </si>
  <si>
    <t>Squash* Delicata 1lb-LOOSE</t>
  </si>
  <si>
    <t>Squash Kabocha* 1lb-LOOSE</t>
  </si>
  <si>
    <t>Parsnips 1lb-standard</t>
  </si>
  <si>
    <t>Radish 1lb-standard</t>
  </si>
  <si>
    <t>Organic Radish Rainbow 12oz-standard</t>
  </si>
  <si>
    <t>Corn* Husked 1ct-LOOSE</t>
  </si>
  <si>
    <t>Corn 4ct-standard</t>
  </si>
  <si>
    <t>Kale* 1ct-BUNCH</t>
  </si>
  <si>
    <t>Cabbage* 1lb-LOOSE</t>
  </si>
  <si>
    <t>Organic Cabbage 1lb-LOOSE</t>
  </si>
  <si>
    <t>Broccoli Bunch 1ct-LOOSE</t>
  </si>
  <si>
    <t>Broccoli* Crown 1lb-LOOSE</t>
  </si>
  <si>
    <t>Broccolini 6oz-standard</t>
  </si>
  <si>
    <t>Organic* Broccoli 1lb-standard</t>
  </si>
  <si>
    <t>Organic* Broccoli Bunch 1ct-standard</t>
  </si>
  <si>
    <t>Cauliflower* 1ct-LOOSE</t>
  </si>
  <si>
    <t>Organic Cauliflower 1ct-loose</t>
  </si>
  <si>
    <t>Brussels Sprouts 1lb-standard</t>
  </si>
  <si>
    <t>Brussels Sprouts 2lb-standard</t>
  </si>
  <si>
    <t>Brussels Sprouts Stalk 1ct-loose</t>
  </si>
  <si>
    <t>Cabbage Red 1lb-LOOSE</t>
  </si>
  <si>
    <t>Collard* Greens 1ct-BUNCH</t>
  </si>
  <si>
    <t>Collard Greens 16oz-standard</t>
  </si>
  <si>
    <t>Bok Choy Baby 5ct-standard</t>
  </si>
  <si>
    <t>Fennel 20oz-standard</t>
  </si>
  <si>
    <t>Mushrooms Whole White 8oz-standard</t>
  </si>
  <si>
    <t>Organic Mushrooms Whole White 8oz-standard</t>
  </si>
  <si>
    <t>Mushrooms Sliced White 8oz-standard</t>
  </si>
  <si>
    <t>Mushrooms Sliced White 16oz-standard</t>
  </si>
  <si>
    <t>Mushrooms Whole Baby Bella 8oz-standard</t>
  </si>
  <si>
    <t>Organic Mushrooms Whole Baby Bella 8oz-P</t>
  </si>
  <si>
    <t>Mushrooms Sliced Baby Bella 8oz-standard</t>
  </si>
  <si>
    <t>Mushrooms Portabella Caps 6oz-standard</t>
  </si>
  <si>
    <t>Mushrooms Portabella Sliders 8oz-standard</t>
  </si>
  <si>
    <t>Mushrooms Exotic Trio 4oz-standard</t>
  </si>
  <si>
    <t>Mushrooms Whole Shiitake 4oz-standard</t>
  </si>
  <si>
    <t>Mushrooms Sliced Shiitake 5oz-standard</t>
  </si>
  <si>
    <t>Mushrooms Wild Chanterelle 7oz-standard</t>
  </si>
  <si>
    <t>Kitchen Herbs Box A 0.75oz-standard</t>
  </si>
  <si>
    <t>Kitchen Herbs Basil 0.75oz-standard</t>
  </si>
  <si>
    <t>Kitchen Herbs Cilantro 2.5oz-standard</t>
  </si>
  <si>
    <t>Kitchen Herbs Poultry Blend 0.75oz-standard</t>
  </si>
  <si>
    <t>Kitchen Herbs Roasting Blend 0.75oz-standard</t>
  </si>
  <si>
    <t>Kitchen Herbs Box B 0.75oz-standard</t>
  </si>
  <si>
    <t>Kitchen Herbs, 0.5oz-standard</t>
  </si>
  <si>
    <t>Kitchen Herbs Poultry Blend 0.5oz-standard</t>
  </si>
  <si>
    <t>Kitchen Herbs Roasting Blend 0.5oz-standard</t>
  </si>
  <si>
    <t>Basil 3oz-standard</t>
  </si>
  <si>
    <t>Basil 0.5oz-standard</t>
  </si>
  <si>
    <t>Parsley Curly 1ct-bunch</t>
  </si>
  <si>
    <t>Parsley Italian 1ct-bunch</t>
  </si>
  <si>
    <t>Cilantro 1ct-bunch</t>
  </si>
  <si>
    <t>Organic Micro Greens 0.5oz-standard</t>
  </si>
  <si>
    <t>Organic Potted Basil 1ct-POT</t>
  </si>
  <si>
    <t>Organic Potted Mint 1ct-POT</t>
  </si>
  <si>
    <t>Organic Potted Parsley 1ct-POT</t>
  </si>
  <si>
    <t>Organic Potted Rosemary 1ct-POT</t>
  </si>
  <si>
    <t>Onions* Yellow 1lb-LOOSE</t>
  </si>
  <si>
    <t>Onions Yellow 3lb-standard</t>
  </si>
  <si>
    <t>Onions Pearl 8oz-standard</t>
  </si>
  <si>
    <t>Organic Onions Yellow 2lb-standard</t>
  </si>
  <si>
    <t>Onions Yellow Sweet 3lb-standard</t>
  </si>
  <si>
    <t>Onions Yellow Sweet 2lb-standard</t>
  </si>
  <si>
    <t>Organic Onions Yellow Sweet 2lb-standard</t>
  </si>
  <si>
    <t>Onions Red 2lb-standard</t>
  </si>
  <si>
    <t>Onions Red Sweet 2lb-standard</t>
  </si>
  <si>
    <t>Organic Onions Red 2lb-standard</t>
  </si>
  <si>
    <t>Onions Vidalia 2lb-standard</t>
  </si>
  <si>
    <t>Onions Vidalia 5lb-standard</t>
  </si>
  <si>
    <t>Onions Vidalia 3lb-standard</t>
  </si>
  <si>
    <t>Organic Onions Vidalia 2lb-standard</t>
  </si>
  <si>
    <t>Shallots 3oz-standard</t>
  </si>
  <si>
    <t>Shallots 1lb-standard</t>
  </si>
  <si>
    <t>Onions White 2lb-standard</t>
  </si>
  <si>
    <t>Potatoes* Russet 1lb-LOOSE</t>
  </si>
  <si>
    <t>Potatoes Russet 5lb-standard</t>
  </si>
  <si>
    <t>Potatoes Russet 10lb-standard</t>
  </si>
  <si>
    <t>Organic Potatoes Russet 3lb-standard</t>
  </si>
  <si>
    <t>Potatoes Golden Baby 2lb-standard</t>
  </si>
  <si>
    <t>Potatoes Red Baby 2lb-standard</t>
  </si>
  <si>
    <t>Potatoes Yellow 5lb-standard</t>
  </si>
  <si>
    <t>Organic Potatoes Yellow 3lb-standard</t>
  </si>
  <si>
    <t>Potatoes Red 5lb-standard</t>
  </si>
  <si>
    <t>Organic Potatoes Red 3lb-standard</t>
  </si>
  <si>
    <t>Potat. Mini Gold Microwave-rdy 1.25lb-standard</t>
  </si>
  <si>
    <t>Potat. Mini Red Microwave-rdy 1.25lb-standard</t>
  </si>
  <si>
    <t>Potatoes Microwaveable 1lb-standard</t>
  </si>
  <si>
    <t>Sweet* Potatoes 1lb-LOOSE</t>
  </si>
  <si>
    <t>Sweet Potatoes 3lb-standard</t>
  </si>
  <si>
    <t>Sweet Potatoes Specialty 3lb-standard</t>
  </si>
  <si>
    <t>Potatoes Sweet Microwaveable 1.5lb-standard</t>
  </si>
  <si>
    <t>Organic Sweet Potatoes 3lb-standard</t>
  </si>
  <si>
    <t>Potatoes Rooster 5lb-standard</t>
  </si>
  <si>
    <t>Orchids Phalaenopsis 5 inch - 1ct POT</t>
  </si>
  <si>
    <t>Orchids 2.5 inch - 1ct POT</t>
  </si>
  <si>
    <t>Indoor Floral Mix 4.25 inch - 1ct POT</t>
  </si>
  <si>
    <t>Fleurette Mum 5 inch - 1ct POT</t>
  </si>
  <si>
    <t>Poinsettia 4.5 inch 1ct-POT</t>
  </si>
  <si>
    <t>Large Poinsettia 6 inch 1ct-POT</t>
  </si>
  <si>
    <t>Extra Large Poinsettia 8 inch 1ct-POT</t>
  </si>
  <si>
    <t>Belita Orchid 4 inch - 1ct POT</t>
  </si>
  <si>
    <t>Orchid Sweet Heart 5 inch - 1ct POT</t>
  </si>
  <si>
    <t>Pixie Lilies 7 inch - 1ct POT</t>
  </si>
  <si>
    <t>Bulb Garden 11 inch - 1ct POT</t>
  </si>
  <si>
    <t>Boston Fern 10 inch 1ct-POT</t>
  </si>
  <si>
    <t>Easter Lily 6 inch 1ct-POT</t>
  </si>
  <si>
    <t>Knock Out Roses 8 inch 1ct-POT</t>
  </si>
  <si>
    <t>Annuals Butterfly 6 inch 1ct-POT</t>
  </si>
  <si>
    <t>Sunflowers 6 inch 1ct-POT</t>
  </si>
  <si>
    <t>Begonia 6 inch - 1ct POT</t>
  </si>
  <si>
    <t>Succulents - 1ct POT</t>
  </si>
  <si>
    <t>Ornamental Pepper 6 inch - 1ct POT</t>
  </si>
  <si>
    <t>Celosia 6 inch - 1ct POT</t>
  </si>
  <si>
    <t>Italian Stone Pine 6 inch - 1ct POT</t>
  </si>
  <si>
    <t>Poinsettia Marble 6 inch, 1ct-POT</t>
  </si>
  <si>
    <t>Rainbow Cacti 4 inch - 1ct POT</t>
  </si>
  <si>
    <t>Rosemary Tree 6 inch - 1ct POT</t>
  </si>
  <si>
    <t>Calandiva 6inch - 1ct POT</t>
  </si>
  <si>
    <t>Cactus Christmas Hanging Basket 8 inch - 1ct POT</t>
  </si>
  <si>
    <t>Cactus Christmas 6inch - 1ct POT</t>
  </si>
  <si>
    <t>Helleborus 6inch - 1ct POT</t>
  </si>
  <si>
    <t>Pine Norfolk 4 inch - 1ct POT</t>
  </si>
  <si>
    <t>Tulips 4inch - 1ct POT</t>
  </si>
  <si>
    <t>Bromeliad 4 inch - 1ct POT</t>
  </si>
  <si>
    <t xml:space="preserve">Bromeliad 6" </t>
  </si>
  <si>
    <t>Roses 50cm - 1ct bunch</t>
  </si>
  <si>
    <t>Alstroemerias 65cm 1ct-BUNCH</t>
  </si>
  <si>
    <t>Chrysanthemums Mono 55cm - 1ct bunch</t>
  </si>
  <si>
    <t>Chrysanthemums Mixed 65cm 1ct-BUNCH</t>
  </si>
  <si>
    <t>Mini Carnations 55cm - 1ct bunch</t>
  </si>
  <si>
    <t>Mixed Bouquet 48cm - 1ct bunch</t>
  </si>
  <si>
    <t>Mixed Bouquet Premium 62cm 1ct-BUNCH</t>
  </si>
  <si>
    <t>Mixed Bouquet Premium 48cm - 1ct bunch</t>
  </si>
  <si>
    <t>Mixed Bouquet Premium Seasonal - 1ct bunch</t>
  </si>
  <si>
    <t>Patriotic Bouquet 48cm 1ct-BUNCH</t>
  </si>
  <si>
    <t>Sunflowers 60cm - 1ct bunch</t>
  </si>
  <si>
    <t>Halloween Bouquet 1ct-BUNCH</t>
  </si>
  <si>
    <t>Tulips 36cm - 1ct bunch</t>
  </si>
  <si>
    <t>Roses Red Dozen 50cm - 1ct bunch</t>
  </si>
  <si>
    <t>Roses Colored Dozen 50cm - 1ct bunch</t>
  </si>
  <si>
    <t>Roses Col. Double Dozen 50cm 1ct-BUNCH</t>
  </si>
  <si>
    <t>Roses Colored 65cm - 1ct bunch</t>
  </si>
  <si>
    <t>Bouquet Premium Valentine 48cm - 1ct bunch</t>
  </si>
  <si>
    <t>Tulips Premium 36cm - 1ct bunch</t>
  </si>
  <si>
    <t>Bouquet Large Valentine 48cm 1ct-BUNCH</t>
  </si>
  <si>
    <t>Lilies Asiatic 60cm - 1ct bunch</t>
  </si>
  <si>
    <t>Daffodils 30cm - 1ct bunch</t>
  </si>
  <si>
    <t>Peonies 50cm - 1ct bunch</t>
  </si>
  <si>
    <t>Hydrangeas 48cm 1ct-BUNCH</t>
  </si>
  <si>
    <t>Mixed Bouquet Medium 48cm - 1ct bunch</t>
  </si>
  <si>
    <t>Premium Rose Bouquet 50cm - 1ct bunch</t>
  </si>
  <si>
    <t>Tulips Gift Bag - 1ct bunch</t>
  </si>
  <si>
    <t>Rose &amp; Lily Bouquet 50cm - 1ct bunch</t>
  </si>
  <si>
    <t>Chrysanthemums Dyed 48cm - 1ct bunch</t>
  </si>
  <si>
    <t>Bouquet Premium Mother's Day 48cm - 1ct bunch</t>
  </si>
  <si>
    <t>Roses Solitaire - 1ct bunch</t>
  </si>
  <si>
    <t>Lilies Oriental 68 cm - 1ct bunch</t>
  </si>
  <si>
    <t>Roses Freedom 65cm - 1ct bunch</t>
  </si>
  <si>
    <t>Roses Vase Arrangement 50cm - 1ct bunch</t>
  </si>
  <si>
    <t>Gypsophila 48cm - 1ct bunch</t>
  </si>
  <si>
    <t>Tulip &amp; Hyacinth Bouquet 46 cm - 1ct bunch</t>
  </si>
  <si>
    <t>Hanging Basket 10 inch 1ct-POT</t>
  </si>
  <si>
    <t>Patrictic Hanging Basket 10 inch 1ct-POT</t>
  </si>
  <si>
    <t>Tomato Plant 6.5 inch 1ct-POT</t>
  </si>
  <si>
    <t>Pepper Plant 6.5 inch 1ct-POT</t>
  </si>
  <si>
    <t>Fall Mum 8 inch 1ct-POT</t>
  </si>
  <si>
    <t>Montauk Daisy 6.5 inch 1ct-POT</t>
  </si>
  <si>
    <t>Aster 6.5 inch 1ct-POT</t>
  </si>
  <si>
    <t>Annuals 8 inch 1ct-POT</t>
  </si>
  <si>
    <t>Annuals 6ct-standard</t>
  </si>
  <si>
    <t>Lilies Cala 6 inch - 1ct POT</t>
  </si>
  <si>
    <t>Petunias Wave Jumbo 6ct-standard</t>
  </si>
  <si>
    <t>Fruit Veg Plants Assorted 3.5 in 1ct-POT</t>
  </si>
  <si>
    <t>Annuals 12ct-standard</t>
  </si>
  <si>
    <t>Lavender 8 inch 1ct-POT</t>
  </si>
  <si>
    <t>Hanging Basket Premium 10 inch 1ct-POT</t>
  </si>
  <si>
    <t>Perennials 5 inch 1ct-POT</t>
  </si>
  <si>
    <t>Fruit Veg Plants Assorted 4.5 in 1ct-POT</t>
  </si>
  <si>
    <t>Annuals Premium 6.5 inch 1ct-POT</t>
  </si>
  <si>
    <t>Combo Pot Premium 8 inch 1ct-POT</t>
  </si>
  <si>
    <t>Annuals Combo Planter 12 inch</t>
  </si>
  <si>
    <t>Annuals Combo Patriotic 8 inch 1ct-POT</t>
  </si>
  <si>
    <t>Annuals Premium 8 inch 1ct-POT</t>
  </si>
  <si>
    <t>Fruit Bareroot - 1ct PK</t>
  </si>
  <si>
    <t>Fall Mum 12 inch 1ct-POT</t>
  </si>
  <si>
    <t>Azaleas 6 inch 1ct-POT</t>
  </si>
  <si>
    <t>Bulb Planting Tray 1ct-standard</t>
  </si>
  <si>
    <t>Flowering Tropicals 6 inch 1ct-POT</t>
  </si>
  <si>
    <t>Potted Fruit Trees 9 inch 1ct-POT</t>
  </si>
  <si>
    <t>Hydrangeas Large 2.5qt 1ct-POT</t>
  </si>
  <si>
    <t>Flowering Tropicals 8 inch 1ct-POT</t>
  </si>
  <si>
    <t>Mum Tri-Color 8 inch 1ct-POT</t>
  </si>
  <si>
    <t>Succulent Garden 6 inch - 1ct POT</t>
  </si>
  <si>
    <t>Exotic Angel Mix 3.8 inch - 1ct POT</t>
  </si>
  <si>
    <t>Mini Roses 4 inch - 1ct POT</t>
  </si>
  <si>
    <t>Sunflowers 8 inch 1ct-POT</t>
  </si>
  <si>
    <t>Indoor Begonia 4.25 inch 1ct-POT</t>
  </si>
  <si>
    <t>Indoor Gerbera Daisy 4.25 inch 1ct-POT</t>
  </si>
  <si>
    <t>Oriental Plant Assortment 5 inch 1ct-POT</t>
  </si>
  <si>
    <t>Money Tree 5 inch - 1ct POT</t>
  </si>
  <si>
    <t>Tropical Foliage Mix 4 inch - 1ct POT</t>
  </si>
  <si>
    <t>Aloe Vera in Clay 4 inch - 1ct POT</t>
  </si>
  <si>
    <t>Cacti in Clay 4 inch 1ct-POT</t>
  </si>
  <si>
    <t>Succulents in Clay 4 inch - 1ct POT</t>
  </si>
  <si>
    <t>Croton 6 inch - 1ct POT</t>
  </si>
  <si>
    <t>Halloween Mum 4 inch - 1ct POT</t>
  </si>
  <si>
    <t>Hairy Scary Tillandsia 3 inch 1ct-POT</t>
  </si>
  <si>
    <t>Cyclamen 4.25 inch - 1ct POT</t>
  </si>
  <si>
    <t>Christmas Cactus 4 inch - 1ct POT</t>
  </si>
  <si>
    <t>Ellwoodii 4 inch 1ct-POT</t>
  </si>
  <si>
    <t>Tulips 6 inch - 1ct POT</t>
  </si>
  <si>
    <t>Bulbs Assorted 4 inch - 1ct POT</t>
  </si>
  <si>
    <t>Primroses 4 inch - 1ct POT</t>
  </si>
  <si>
    <t>Tropical Foliage 6 inch - 1ct POT</t>
  </si>
  <si>
    <t>Mini Roses 6 inch - 1ct POT</t>
  </si>
  <si>
    <t>Bulbs Assorted 6 inch - 1ct POT</t>
  </si>
  <si>
    <t>Shamrock 4 inch - 1ct POT</t>
  </si>
  <si>
    <t>Lilies Asiatic 6 inch 1ct-POT</t>
  </si>
  <si>
    <t>Tulips in Vase - 1ct POT</t>
  </si>
  <si>
    <t>Floral Mums 6 inch - 1ct POT</t>
  </si>
  <si>
    <t>Hydrangeas 6 inch - 1ct POT</t>
  </si>
  <si>
    <t>Azaleas 4.5 inch - 1ct POT</t>
  </si>
  <si>
    <t>Kalanchoes 4 inch - 1ct POT</t>
  </si>
  <si>
    <t>Violets African 4 inch - 1ct POT</t>
  </si>
  <si>
    <t>Hydrangeas 4 inch 1ct-POT</t>
  </si>
  <si>
    <t>Anthurium Mini 3 inch - 1ct POT</t>
  </si>
  <si>
    <t>Cacti Desert Gems 4 inch - 1ct POT</t>
  </si>
  <si>
    <t>Daisies Gerbera 6 inch - 1ct POT</t>
  </si>
  <si>
    <t>Tropical Foliage 10 inch - 1ct POT</t>
  </si>
  <si>
    <t>Pansies Fall 8 inch 1ct-POT</t>
  </si>
  <si>
    <t>Kalanchoes 6 inch - 1ct POT</t>
  </si>
  <si>
    <t>Ivy 4 inch - 1ct POT</t>
  </si>
  <si>
    <t>Fleursettia 5 inch - 1ct POT</t>
  </si>
  <si>
    <t>Point Pelee Mum 6 inch - 1ct POT</t>
  </si>
  <si>
    <t>Snowball Mum 6 inch - 1ct POT</t>
  </si>
  <si>
    <t>Lavender English 5 inch - 1ct POT</t>
  </si>
  <si>
    <t>Amaryllis in Mylar 6 inch - 1ct POT</t>
  </si>
  <si>
    <t>Amaryllis in Vase with Moss 5 inch - 1ct POT</t>
  </si>
  <si>
    <t>Fern Frosty 4 inch - 1ct POT</t>
  </si>
  <si>
    <t>Paperwhites in Vase 4 inch - 1ct POT</t>
  </si>
  <si>
    <t>Hyacinth in Vase 4 inch - 1ct POT</t>
  </si>
  <si>
    <t>Mini Succulents 2.5 inch - 1ct POT</t>
  </si>
  <si>
    <t>Planted Polka Dot 4 inch - 1ct POT</t>
  </si>
  <si>
    <t>Hyacinths in Vase 5.5 inch - 1ct POT</t>
  </si>
  <si>
    <t>Amaryllis in Clay 6 inch - 1ct POT</t>
  </si>
  <si>
    <t>Planted Love Bug 2.5 inch - 1ct POT</t>
  </si>
  <si>
    <t>Plants of Steel 6 inch - 1ct POT</t>
  </si>
  <si>
    <t>Kalanchoes Bicolor 4 inch - 1ct POT</t>
  </si>
  <si>
    <t>Centerpiece Arrangement 6.5 inch - 1ct POT</t>
  </si>
  <si>
    <t>Poinsettia Santa 2.5 inch - 1ct POT</t>
  </si>
  <si>
    <t>Tree Ellwoodii Flocked 4 inch - 1ct POT</t>
  </si>
  <si>
    <t>Tree Christmas - 1ct LOOSE</t>
  </si>
  <si>
    <t>Bug &amp; Butterfly Bulbs - 1ct PK</t>
  </si>
  <si>
    <t>Fall Bulbs 1ct-standard</t>
  </si>
  <si>
    <t>Premium Fall Bulbs - 1ct PK</t>
  </si>
  <si>
    <t>Amaryllis Growing Kit - 1ct PK</t>
  </si>
  <si>
    <t>Amaryllis Waxed - 1ct PK</t>
  </si>
  <si>
    <t>Spring Bulbs - 1ct PK</t>
  </si>
  <si>
    <t>Premium Spring Bulbs - 1ct PK</t>
  </si>
  <si>
    <t>Bulbs Perennial - 1ct PK</t>
  </si>
  <si>
    <t>Vegetable Bareroot - 1ct PK</t>
  </si>
  <si>
    <t>Seeds Group 1 1ct-standard</t>
  </si>
  <si>
    <t>Seeds Group 2 1ct-standard</t>
  </si>
  <si>
    <t>Seeds Group 3 1ct-standard</t>
  </si>
  <si>
    <t>Seeds Group 4 1ct-standard</t>
  </si>
  <si>
    <t>Seeds Group 5 1ct-standard</t>
  </si>
  <si>
    <t>Seeds Group 6 1ct-standard</t>
  </si>
  <si>
    <t>Seeds Group 7 1ct-standard</t>
  </si>
  <si>
    <t>Seeds Group 8 1ct-standard</t>
  </si>
  <si>
    <t>Bulbs Extra Large Daffodil - 1ct PK</t>
  </si>
  <si>
    <t>Bulbs Extra Large Tulip - 1ct PK</t>
  </si>
  <si>
    <t>Bulbs Specialty - 1ct PK</t>
  </si>
  <si>
    <t>Blubs Landscaping - 1ct PK</t>
  </si>
  <si>
    <t>Bulbs Lovely Combinations - 1ct PK</t>
  </si>
  <si>
    <t>Bulbs Color Collection - 1ct PK</t>
  </si>
  <si>
    <t>Bulbs Gladioli - 1ct PK</t>
  </si>
  <si>
    <t>Bulbs Dahlia - 1ct PK</t>
  </si>
  <si>
    <t>Scented Pine Cones - 1ct PK</t>
  </si>
  <si>
    <t>Fraser Fir Table Top Tree - 1ct LOOSE</t>
  </si>
  <si>
    <t>Fraser Fir Wreath with Bow 22 inch - 1ct LOOSE</t>
  </si>
  <si>
    <t>Cinnamon Broom 36 inch - 1ct PK</t>
  </si>
  <si>
    <t>Cinnamon Brooms 6 inch - 1ct PK</t>
  </si>
  <si>
    <t>Fall Broom Bouquet - 1ct bunch</t>
  </si>
  <si>
    <t>Harvest Grain - 1ct bunch</t>
  </si>
  <si>
    <t>Oak Leaves Bouquet - 1ct bunch</t>
  </si>
  <si>
    <t>Giant Pine Cones - 1ct PK</t>
  </si>
  <si>
    <t>Lavender Dried - 1ct bunch</t>
  </si>
  <si>
    <t>Blooming Willow 50cm - 1ct bunch</t>
  </si>
  <si>
    <t>Potting Soil 1 Cubic Foot 1ct-SACK</t>
  </si>
  <si>
    <t>Organic Potting Mix 16 qt - 1ct SACK</t>
  </si>
  <si>
    <t>Mulch Brown 2 Cubic Foot - 1ct SACK</t>
  </si>
  <si>
    <t>Organic Garden Soil 1 Cubic Foot - 1ct SACK</t>
  </si>
  <si>
    <t>Spring Mix 5oz-standard</t>
  </si>
  <si>
    <t>Spinach Baby 6oz-standard</t>
  </si>
  <si>
    <t>Butter Blend 6oz-standard</t>
  </si>
  <si>
    <t>Sweet Kale Chopped Salad 12oz-standard</t>
  </si>
  <si>
    <t>Chicken Caesar Salad 6.25oz-standard</t>
  </si>
  <si>
    <t>Garden Salad 12oz-standard</t>
  </si>
  <si>
    <t>Italian Salad 9oz-standard</t>
  </si>
  <si>
    <t>Caesar Salad Kit 10.5oz-standard</t>
  </si>
  <si>
    <t>Avocado Ranch Salad Kit 11.3oz-standard</t>
  </si>
  <si>
    <t>Teriyaki Stir Fry Kit 12.5oz-standard</t>
  </si>
  <si>
    <t>Ginger Garlic Stir Fry Kit 14oz-standard</t>
  </si>
  <si>
    <t>Shredded Lettuce 8oz-standard</t>
  </si>
  <si>
    <t>Classic Coleslaw 14oz-standard</t>
  </si>
  <si>
    <t>RTE Turkey Bacon Cobb Salad 7.25oz-standard</t>
  </si>
  <si>
    <t>RTE Santa Fe Salad 6.25oz-standard</t>
  </si>
  <si>
    <t>RTE Cranberry Walnut Salad 4.5oz-standard</t>
  </si>
  <si>
    <t>Spinach 8oz-standard</t>
  </si>
  <si>
    <t>RTE Café Style Chef Salad 7.65oz-standard</t>
  </si>
  <si>
    <t>Savory Spinach Dijon Salad 4.9oz-standard</t>
  </si>
  <si>
    <t>RTE Large Chef Salad 14.35oz-standard</t>
  </si>
  <si>
    <t>RTE Large Cobb Salad 14.2oz-standard</t>
  </si>
  <si>
    <t>RTE Large Chicken Caesar Salad 13.1oz-standard</t>
  </si>
  <si>
    <t>RTE Large Santa Fe Salad 14oz-standard</t>
  </si>
  <si>
    <t>Chopped Bacon Bleu Salad Kit 11.7oz-standard</t>
  </si>
  <si>
    <t>Chopped Bacon Caesar Kit 10.2oz-standard</t>
  </si>
  <si>
    <t>American Blend 12oz-standard</t>
  </si>
  <si>
    <t>Hearts of Romaine 9oz-standard</t>
  </si>
  <si>
    <t>XL Spring Mix 16oz-standard</t>
  </si>
  <si>
    <t>XL Half and Half Mix 16oz-standard</t>
  </si>
  <si>
    <t>Baby Arugula 5oz-standard</t>
  </si>
  <si>
    <t>XL Baby Spinach 16oz-standard</t>
  </si>
  <si>
    <t>Chopped Sunflower Crunch Kit 12.2oz-standard</t>
  </si>
  <si>
    <t>Fruit Mixed 16oz-standard</t>
  </si>
  <si>
    <t>Kale Greens 16oz-standard</t>
  </si>
  <si>
    <t>Healthy 8 Chopped Veggie Mix 18oz-standard</t>
  </si>
  <si>
    <t>Super Veggie Rice Blend 16oz-standard</t>
  </si>
  <si>
    <t>Organic Super Veggie Rice Blend 12oz-standard</t>
  </si>
  <si>
    <t>Mushrooms Bacon Stuffed 7oz-standard</t>
  </si>
  <si>
    <t>Fruit Tray Large cut 40oz-standard</t>
  </si>
  <si>
    <t>Pineapple Spears 16oz-standard</t>
  </si>
  <si>
    <t>Watermelon Chunks 16oz-standard</t>
  </si>
  <si>
    <t>Asian Vegetables Stir Fry 18oz-standard</t>
  </si>
  <si>
    <t>Fajita Blend 12oz-standard</t>
  </si>
  <si>
    <t>Diced Onion 8oz-standard</t>
  </si>
  <si>
    <t>Fruit Cup BA 5oz-standard</t>
  </si>
  <si>
    <t>Bacon Brussels Sprouts 12oz-standard</t>
  </si>
  <si>
    <t>Veg Tray with Ranch Dress 16oz-standard</t>
  </si>
  <si>
    <t>Organic Bagged Kale 10oz-standard</t>
  </si>
  <si>
    <t>Mild Fresh Chopped Salsa 16oz-standard</t>
  </si>
  <si>
    <t>Southwestern Salsa 16oz-standard</t>
  </si>
  <si>
    <t>Fresh Chopped Salsa Pico 16oz-standard</t>
  </si>
  <si>
    <t>XXL Mixed Fruit Party Tray 64oz-standard</t>
  </si>
  <si>
    <t>XXL Vegetable Tray with Ranch 60oz-standard</t>
  </si>
  <si>
    <t>Zucchini Veggie Spiral 12oz-standard</t>
  </si>
  <si>
    <t>Butternut Squash Noodles 10oz-standard</t>
  </si>
  <si>
    <t>Organic Baby Arugula 5oz-standard</t>
  </si>
  <si>
    <t>Organic Half and Half 5oz-standard</t>
  </si>
  <si>
    <t>Organic Baby Spinach 5oz-standard</t>
  </si>
  <si>
    <t>Organic Baby Spring Mix 5oz-standard</t>
  </si>
  <si>
    <t>Broccoli Florets 12oz-standard</t>
  </si>
  <si>
    <t>Broccoli Coleslaw 12oz-standard</t>
  </si>
  <si>
    <t>Asian Chopped Salad 12.74oz-standard</t>
  </si>
  <si>
    <t>Southwest Chopped Salad Kit 12oz-standard</t>
  </si>
  <si>
    <t>Organic Baby Kale 5oz-standard</t>
  </si>
  <si>
    <t>Organic Power Greens 5oz-standard</t>
  </si>
  <si>
    <t>Organic Baby Spring Mix 16oz-standard</t>
  </si>
  <si>
    <t>Organic Baby Spinach 16oz-standard</t>
  </si>
  <si>
    <t>Organic Cut Salad Blend 5oz-standard</t>
  </si>
  <si>
    <t>Strawberry and Blueberry Mix 10oz-standard</t>
  </si>
  <si>
    <t>Diced Green Peppers 8oz-standard</t>
  </si>
  <si>
    <t>Melon Trio 16oz-standard</t>
  </si>
  <si>
    <t>Butternut Squash Noodles 12oz-standard</t>
  </si>
  <si>
    <t>Eat Smart Green Beans 12oz-standard</t>
  </si>
  <si>
    <t>Eat Smart Broccoli Florets 2lbs-standard</t>
  </si>
  <si>
    <t>Sweet Apple Slices 12oz-standard</t>
  </si>
  <si>
    <t>Mixed Apple Slices 12oz-standard</t>
  </si>
  <si>
    <t>Peeled Apple Slices 10oz-standard</t>
  </si>
  <si>
    <t>Asian Chopped Salad Kit 12oz-standard</t>
  </si>
  <si>
    <t>Butternut Diced 12oz-standard</t>
  </si>
  <si>
    <t>Riced Cauliflower 12oz-standard</t>
  </si>
  <si>
    <t>Pineapple Chunks 10oz-standard</t>
  </si>
  <si>
    <t>Mango Chunks 10oz-standard</t>
  </si>
  <si>
    <t>Cauliflower Florets 12oz-standard</t>
  </si>
  <si>
    <t>Cantaloupe Chunks 16oz-standard</t>
  </si>
  <si>
    <t>Garlic Peeled 6oz-standard</t>
  </si>
  <si>
    <t>Fruit Mixed 10oz-standard</t>
  </si>
  <si>
    <t>Seasonal Fruit Cup 10oz-standard</t>
  </si>
  <si>
    <t>Potatoes Medley Bite Size 3lb-Standard</t>
  </si>
  <si>
    <t>RDC(s) and Zone(s)</t>
  </si>
  <si>
    <t>RDC(s) only</t>
  </si>
  <si>
    <t>Zone(s) only</t>
  </si>
  <si>
    <t>PYE, FRG</t>
  </si>
  <si>
    <t>ALL</t>
  </si>
  <si>
    <t>PYE, GRM</t>
  </si>
  <si>
    <t>FRG, GRM</t>
  </si>
  <si>
    <t>RDC(s) and Zone(s), RDC(s) only</t>
  </si>
  <si>
    <t>NONE</t>
  </si>
  <si>
    <t>1, 2</t>
  </si>
  <si>
    <t>1, 8</t>
  </si>
  <si>
    <t>2, 8</t>
  </si>
  <si>
    <t>RDC(s) and Zone(s);RDC(s) only</t>
  </si>
  <si>
    <t>FRG;FRG, GRM</t>
  </si>
  <si>
    <t>ALL;PYE;PYE, FRG;PYE, GRM</t>
  </si>
  <si>
    <t>Chiller number</t>
  </si>
  <si>
    <t>Chiller</t>
  </si>
  <si>
    <t>100 BINS</t>
  </si>
  <si>
    <t>900 FLORAL</t>
  </si>
  <si>
    <t>*Zones only</t>
  </si>
  <si>
    <t>*RDC(s) and Zone(s)</t>
  </si>
  <si>
    <t>Special Offer</t>
  </si>
  <si>
    <t>Delist</t>
  </si>
  <si>
    <t>Oranges Blood 2lb-standard</t>
  </si>
  <si>
    <t>Potatoes White 5lb-standard</t>
  </si>
  <si>
    <t>Carrots 1lb-standard</t>
  </si>
  <si>
    <t>Coconuts Dry 1ct-loose</t>
  </si>
  <si>
    <t>Temporary Price Change</t>
  </si>
  <si>
    <t>Back to Normal</t>
  </si>
  <si>
    <t>Permanent Price Change</t>
  </si>
  <si>
    <t>Special Offer Extension</t>
  </si>
  <si>
    <t>Peppers Habanero 4oz-standard</t>
  </si>
  <si>
    <t>Mango Chunks 16oz-standard</t>
  </si>
  <si>
    <t>Apple Dipperz 2, 2.75oz-standard</t>
  </si>
  <si>
    <t>Apple Dipperz 1, 2.75oz-standard</t>
  </si>
  <si>
    <t>Apple Snack Pack 2, 5oz-standard</t>
  </si>
  <si>
    <t>Peeled Apple Snack Pack 2, 5oz-standard</t>
  </si>
  <si>
    <t>Apple Snack Pack 1 4.2oz-standard</t>
  </si>
  <si>
    <t>Papayas 1lb-Loose</t>
  </si>
  <si>
    <t>Apples Seasonal 2lb-standard</t>
  </si>
  <si>
    <t>Potatoes Sweet 5lb-Standard</t>
  </si>
  <si>
    <t>Coin Squash Mix 12oz-standard</t>
  </si>
  <si>
    <t>Press this button to refresh the VLookups query and to refresh dropdowns/formulas on the FM Changes worksheet</t>
  </si>
  <si>
    <t>Back to Normal (In/Out)</t>
  </si>
  <si>
    <t>New Item</t>
  </si>
  <si>
    <t>New Core Item</t>
  </si>
  <si>
    <t>New In/Out Item</t>
  </si>
  <si>
    <t>Special Offer Further Reduction</t>
  </si>
  <si>
    <t>Case Size Change</t>
  </si>
  <si>
    <t>OS Extension</t>
  </si>
  <si>
    <t>Reprint Core Price Tag</t>
  </si>
  <si>
    <t>Reprint In/Out Price Tag</t>
  </si>
  <si>
    <t>Standard</t>
  </si>
  <si>
    <t>New</t>
  </si>
  <si>
    <t>NA</t>
  </si>
  <si>
    <t>Lower Price</t>
  </si>
  <si>
    <t>While Supplies Last</t>
  </si>
  <si>
    <t>Tulips Gift Bag 1ct-BUNCH</t>
  </si>
  <si>
    <t>Begonia 6 inch 1ct-POT</t>
  </si>
  <si>
    <t>Celosia Rainbow 8 inch</t>
  </si>
  <si>
    <t>Pine Norfolk 10 inch</t>
  </si>
  <si>
    <t>Large Poinsettia 10inch 1ct-POT</t>
  </si>
  <si>
    <t>Peonies 50cm 1ct-BUNCH</t>
  </si>
  <si>
    <t>Bouquet Premium Mother's Day 1ct-BUNCH</t>
  </si>
  <si>
    <t>Roses Solitaire 1ct-BUNCH</t>
  </si>
  <si>
    <t>Paperwhites 6 inch 1ct-POT</t>
  </si>
  <si>
    <t>Tulip &amp; Hyacinth Bouquet 46cm 1ct-BUNCH</t>
  </si>
  <si>
    <t>Tropical Foliage 4 in Deco Pot 1ct-POT</t>
  </si>
  <si>
    <t>Amaryllis in Tin 6 inch 1ct-POT</t>
  </si>
  <si>
    <t>Fall Bulbs 1ct-PK</t>
  </si>
  <si>
    <t>Premium Fall Bulbs 1ct-PK</t>
  </si>
  <si>
    <t>Amaryllis Growing Kit 1ct-PK</t>
  </si>
  <si>
    <t>Petunias Wave Jumbo 6ct-PK</t>
  </si>
  <si>
    <t>Amaryllis Waxed 1ct-PK</t>
  </si>
  <si>
    <t>Annuals 12ct-PK</t>
  </si>
  <si>
    <t>Seeds Group 1 1ct-PK</t>
  </si>
  <si>
    <t>Seeds Group 2 1ct-PK</t>
  </si>
  <si>
    <t>Seeds Group 3 1ct-PK</t>
  </si>
  <si>
    <t>Seeds Group 5 1ct-PK</t>
  </si>
  <si>
    <t>Seeds Group 6 1ct-PK</t>
  </si>
  <si>
    <t>Seeds Group 7 1ct-PK</t>
  </si>
  <si>
    <t>Bulbs Extra Large Daffodil 1ct-PK</t>
  </si>
  <si>
    <t>Bulbs Extra Large Tulip 1ct-PK</t>
  </si>
  <si>
    <t>Bulbs Specialty 1ct-PK</t>
  </si>
  <si>
    <t>Scented Pine Cones 1ct-PK</t>
  </si>
  <si>
    <t>Cinnamon Broom 36 inch 1ct-PK</t>
  </si>
  <si>
    <t>Fall Broom Bouquet 1ct-BUNCH</t>
  </si>
  <si>
    <t>Harvest Grain 1ct-BUNCH</t>
  </si>
  <si>
    <t>Oak Leaves Bouquet 1ct-BUNCH</t>
  </si>
  <si>
    <t>Giant Pine Cones 1ct-PK</t>
  </si>
  <si>
    <t>Blooming Willow 50cm 1ct-BUNCH</t>
  </si>
  <si>
    <t>Pumpkin Spice Brooms 3 inch 1ct-PK</t>
  </si>
  <si>
    <t>Evergreen Brooms 3 inch 1ct-PK</t>
  </si>
  <si>
    <t>Apple Orchard Brooms 3 inch 1ct-PK</t>
  </si>
  <si>
    <t>Wreath Upgraded Glitz 1ct-LOOSE</t>
  </si>
  <si>
    <t>Peony 8 inch</t>
  </si>
  <si>
    <t>Dogwood 10 inch</t>
  </si>
  <si>
    <t>Hosta 6 inch</t>
  </si>
  <si>
    <t>Tomato and Pepper with Trellis 10 inch</t>
  </si>
  <si>
    <t>Planter Clematis 10 inch</t>
  </si>
  <si>
    <t>Annuals Planter Premium 12inch 1ct-POT</t>
  </si>
  <si>
    <t>Succulents in Clay 4 inch 1ct-POT</t>
  </si>
  <si>
    <t>Croton 6 inch 1ct-POT</t>
  </si>
  <si>
    <t>Cyclamen 4.25 inch 1ct-POT</t>
  </si>
  <si>
    <t>Tulips in Vase 1ct-POT</t>
  </si>
  <si>
    <t>Floral Mums 6 inch 1ct-POT</t>
  </si>
  <si>
    <t>Azaleas 4.5 inch 1ct-POT</t>
  </si>
  <si>
    <t>Kalanchoes 4 inch 1ct-POT</t>
  </si>
  <si>
    <t>Kalanchoes 6 inch 1ct-POT</t>
  </si>
  <si>
    <t>Fleursettia 5 inch 1ct-POT</t>
  </si>
  <si>
    <t>Point Pelee Mum 6 inch 1ct-POT</t>
  </si>
  <si>
    <t>Snowball Mum 6 inch 1ct-POT</t>
  </si>
  <si>
    <t>Lavender English 5 inch 1ct-POT</t>
  </si>
  <si>
    <t>Amaryllis in Mylar 6 inch 1ct-POT</t>
  </si>
  <si>
    <t>Amaryllis in Vase with Moss 5inch1ct-POT</t>
  </si>
  <si>
    <t>Fern Frosty 4 inch 1ct-POT</t>
  </si>
  <si>
    <t>Paperwhites in Vase 4 inch 1ct-POT</t>
  </si>
  <si>
    <t>Indoor Floral Mix 4.25 inch 1ct-POT</t>
  </si>
  <si>
    <t>Fleurette Mum 5 inch 1ct-POT</t>
  </si>
  <si>
    <t>Belita Orchid 4 inch 1ct-POT</t>
  </si>
  <si>
    <t>Celosia 6 inch 1ct-POT</t>
  </si>
  <si>
    <t>Rosemary Tree 6 inch</t>
  </si>
  <si>
    <t>Kalanchoe 2.5 inch 1ct-POT</t>
  </si>
  <si>
    <t>Fruit Plant Small 7.5 inch</t>
  </si>
  <si>
    <t>Euonymus Japonica Aureo 7.5 inch 1ct-POT</t>
  </si>
  <si>
    <t>Sunpatiens 6.5 inch 1ct-POT</t>
  </si>
  <si>
    <t>Wave Petunias 4.5 inch 1ct-POT</t>
  </si>
  <si>
    <t>Pericallis Senetti 10 inch 1ct-POT</t>
  </si>
  <si>
    <t>Succulents 6 inch 1ct-POT</t>
  </si>
  <si>
    <t>Roses Freedom 50cm 1ct-BUNCH</t>
  </si>
  <si>
    <t>Roses Colored Dozen 50cm 1ct-BUNCH</t>
  </si>
  <si>
    <t>Roses Colored 65cm 1ct-BUNCH</t>
  </si>
  <si>
    <t>Bouq. Prem. Valentine 48cm 1ct-BUNCH</t>
  </si>
  <si>
    <t>Premium Rose Bouquet 50cm 1ct-BUNCH</t>
  </si>
  <si>
    <t>Gypsophila 48cm</t>
  </si>
  <si>
    <t>Rainbow Cacti 4 inch</t>
  </si>
  <si>
    <t>Bromeliad 4 inch 1ct-POT</t>
  </si>
  <si>
    <t>Yucca Goldsword 7.5inch 1ct-POT</t>
  </si>
  <si>
    <t>Exotic Angel Mix 3.8 inch 1ct-POT</t>
  </si>
  <si>
    <t>Thuja 7.5 inch</t>
  </si>
  <si>
    <t>Buxus 7.5 inch</t>
  </si>
  <si>
    <t>False Cypress 7.5 inch 1ct-POT</t>
  </si>
  <si>
    <t>Ilex 7.5 inch 1ct-POT</t>
  </si>
  <si>
    <t>Japanese Andromeda 7.5 inch 1ct-POT</t>
  </si>
  <si>
    <t>Bamboo Lucky 5 inch 1ct-POT</t>
  </si>
  <si>
    <t>Aloe Vera in Clay 4 inch 1ct-POT</t>
  </si>
  <si>
    <t>Potted Bulbs 4 inch 1ct-POT</t>
  </si>
  <si>
    <t>Primrose 4 inch 1ct-POT</t>
  </si>
  <si>
    <t>Tropical Foliage 6 inch 1ct-POT</t>
  </si>
  <si>
    <t>Bulb Planting Tray 1ct-PK</t>
  </si>
  <si>
    <t>Bonsai 5 inch 1ct-POT</t>
  </si>
  <si>
    <t>Mini Sansevieria 2.5inch 1ct-POT</t>
  </si>
  <si>
    <t>Violets African 4 inch 1ct-POT</t>
  </si>
  <si>
    <t>Anthurium Mini 3 inch 1ct-POT</t>
  </si>
  <si>
    <t>Cacti Desert Gems 4 inch 1ct-POT</t>
  </si>
  <si>
    <t>Tropical Foliage 10 inch 1ct-POT</t>
  </si>
  <si>
    <t>Ivy 4 inch 1ct-POT</t>
  </si>
  <si>
    <t>Daffodil in Glass Vase 4 inch 1ct-POT</t>
  </si>
  <si>
    <t>Cas Moon 3.5 inch</t>
  </si>
  <si>
    <t>Potted Oriental Lilies 6 inch</t>
  </si>
  <si>
    <t>Hyacinth in Vase 4 inch 1ct-POT</t>
  </si>
  <si>
    <t>Planted Polka Dot 4 inch 1ct-POT</t>
  </si>
  <si>
    <t>Planted Love Bug 2.5 inch 1ct-POT</t>
  </si>
  <si>
    <t>Plants of Steel 6 inch 1ct-POT</t>
  </si>
  <si>
    <t>Roses 7.5 inch 1ct-POT</t>
  </si>
  <si>
    <t>Lavender 6 inch 1ct.-POT</t>
  </si>
  <si>
    <t>Jade 4inch 1ct-POT</t>
  </si>
  <si>
    <t>Bromeliad 6 inch 1ct-POT</t>
  </si>
  <si>
    <t>Succulent 3.5 inch 1ct.-POT</t>
  </si>
  <si>
    <t>Succulent 3 inch 1ct.-POT</t>
  </si>
  <si>
    <t>Sunflowers 60cm 1ct-BUNCH</t>
  </si>
  <si>
    <t>Daffodils 30cm 1ct-BUNCH</t>
  </si>
  <si>
    <t>Tree Ellwoodii Flocked 4 inch 1ct-POT</t>
  </si>
  <si>
    <t>Lilies Oriental 68 cm 1ct-BUNCH</t>
  </si>
  <si>
    <t>Succulent Skull 4 inch</t>
  </si>
  <si>
    <t>Ivy Topiary 6 inch 1ct-POT</t>
  </si>
  <si>
    <t>Holiday Centerpiece in Pot 4inch 1ct-POT</t>
  </si>
  <si>
    <t>Bug &amp; Butterfly Bulbs 1ct-PK</t>
  </si>
  <si>
    <t>Fraser Fir Table Top Tree 1ct-LOOSE</t>
  </si>
  <si>
    <t>Cinnamon Brooms 6 inch 1ct-PK</t>
  </si>
  <si>
    <t>Hanging Basket Pansy 10 inch</t>
  </si>
  <si>
    <t>Wreath Cinnamon 16 inch 1ct-PK</t>
  </si>
  <si>
    <t>Perennials Summer 6 inch</t>
  </si>
  <si>
    <t>Mums Long Island 9 inch 1ct-POT</t>
  </si>
  <si>
    <t>Succulent Garden 6 inch 1ct-POT</t>
  </si>
  <si>
    <t>Money Tree 5 inch 1ct-POT</t>
  </si>
  <si>
    <t>Halloween Mum 4 inch 1ct-POT</t>
  </si>
  <si>
    <t>Christmas Cactus 4 inch 1ct-POT</t>
  </si>
  <si>
    <t>Mini Roses 6 inch 1ct-POT</t>
  </si>
  <si>
    <t>Daisies Gerbera 6 inch 1ct-POT</t>
  </si>
  <si>
    <t>Hyacinths in Vase 5.5 inch 1ct-POT</t>
  </si>
  <si>
    <t>Amaryllis in Clay 6 inch 1ct-POT</t>
  </si>
  <si>
    <t>Kalanchoes Bicolor 4 inch 1ct-POT</t>
  </si>
  <si>
    <t>Centerpiece Arrangement 4.5 inch</t>
  </si>
  <si>
    <t>Poinsettia Santa 2.5 inch 1ct-POT</t>
  </si>
  <si>
    <t>Orchid Sweet Heart 5 inch 1ct-POT</t>
  </si>
  <si>
    <t>Ornamental Pepper 6 inch 1ct-POT</t>
  </si>
  <si>
    <t>Cactus Christmas Basket 8inch 1ct POT</t>
  </si>
  <si>
    <t>Pine Norfolk 4 inch 1ct-POT</t>
  </si>
  <si>
    <t>Tree Christmas *1ct-LOOSE</t>
  </si>
  <si>
    <t>Roses Freedom 1ct-BUNCH</t>
  </si>
  <si>
    <t>Roses Vase Arrangement 50cm 1ct-BUNCH</t>
  </si>
  <si>
    <t>Bulbs Landscaping 1ct-PK</t>
  </si>
  <si>
    <t>Hanging Basket Tomato 10 inch</t>
  </si>
  <si>
    <t>Hanging Basket Strawberry 10 inch</t>
  </si>
  <si>
    <t>Pixie Lilies 7 inch 1ct-POT</t>
  </si>
  <si>
    <t>Bulb Garden 11 inch 1ct-POT</t>
  </si>
  <si>
    <t>Succulents 4 inch 1ct-POT</t>
  </si>
  <si>
    <t>Italian Stone Pine 6 inch, 1ct-POT</t>
  </si>
  <si>
    <t>Calandiva 6inch 1ct-POT</t>
  </si>
  <si>
    <t>Cactus Christmas 6inch 1ct-POT</t>
  </si>
  <si>
    <t>Helleborus 6inch 1ct-POT</t>
  </si>
  <si>
    <t>Ivy Topiary 4inch 1ct-POT</t>
  </si>
  <si>
    <t>Poinsettia Mini 2.5inch 1ct-POT</t>
  </si>
  <si>
    <t>Hanging Basket Impatiens 10 inch 1ct POT</t>
  </si>
  <si>
    <t>Tulips 4inch 1ct-POT</t>
  </si>
  <si>
    <t>Erica 6 inch 1ct-POT</t>
  </si>
  <si>
    <t>Potted Bulbs 4.5 inch</t>
  </si>
  <si>
    <t>Bulb Garden 8 inch</t>
  </si>
  <si>
    <t>Mums Long Island 9 inch</t>
  </si>
  <si>
    <t>Chrysanthemums Dyed 48 cm 1ct-BUNCH</t>
  </si>
  <si>
    <t>Organic Garden Soil 1 Cubic Foot 1ct-SCK</t>
  </si>
  <si>
    <t>Orchids 2.5 inch 1ct-POT</t>
  </si>
  <si>
    <t>Picea Conica 6 inch</t>
  </si>
  <si>
    <t>Rhododendron 6 inch 1ct-POT</t>
  </si>
  <si>
    <t>Camellia 8.5 inch 1ct-POT</t>
  </si>
  <si>
    <t>Gerbera 7.25 inch 1ct.-POT</t>
  </si>
  <si>
    <t>Compostable Herbs 3.5 inch 1ct-POT</t>
  </si>
  <si>
    <t>Chrysanthemums Mono 55cm 1ct-BUNCH</t>
  </si>
  <si>
    <t>Tulips Premium 36cm 1ct-BUNCH</t>
  </si>
  <si>
    <t>Annuals 6ct-PK</t>
  </si>
  <si>
    <t>Herb Multi Pack 6ct-PK</t>
  </si>
  <si>
    <t>Plant Blueberry 7.5 inch 1ct-POT</t>
  </si>
  <si>
    <t>Plant Raspberry 7.5 inch 1ct-POT</t>
  </si>
  <si>
    <t>Tulip Double Rose 6 inch 1ct-POT</t>
  </si>
  <si>
    <t>Tomato and Pepper Stake 6.5inch 1ct-POT</t>
  </si>
  <si>
    <t>Tropical Foliage Mix 4 inch 1ct-POT</t>
  </si>
  <si>
    <t>Bulbs Perennial 1ct-PK</t>
  </si>
  <si>
    <t>Premium Spring Bulbs 1ct-PK</t>
  </si>
  <si>
    <t>Seeds Group 4 1ct-PK</t>
  </si>
  <si>
    <t>Seed Group 9 1ct-PK</t>
  </si>
  <si>
    <t>Seeds Group 8 1ct-PK</t>
  </si>
  <si>
    <t>Seed Group 10 1ct-PK</t>
  </si>
  <si>
    <t>Lilies Oriental 60 cm</t>
  </si>
  <si>
    <t>Florists Selection 1ct-BUNCH</t>
  </si>
  <si>
    <t>Rose &amp; Lily Bouquet 50cm 1ct-BUNCH</t>
  </si>
  <si>
    <t>Bulbs Color Collection 1ct-PK</t>
  </si>
  <si>
    <t>Hydrangeas 6 inch 1ct-POT</t>
  </si>
  <si>
    <t>Organic Potting Mix 16 qt 1ct-SACK</t>
  </si>
  <si>
    <t>Blue Fescue 7.5inch 1ct-POT</t>
  </si>
  <si>
    <t>Fruit Bareroot 1ct-PK</t>
  </si>
  <si>
    <t>Bulbs Lovely Combinations 1ct-PK</t>
  </si>
  <si>
    <t>Mini Carnations 55cm 1ct-BUNCH</t>
  </si>
  <si>
    <t>Mini Roses 4 inch 1ct-POT</t>
  </si>
  <si>
    <t>Lavender Dried 1ct-BUNCH</t>
  </si>
  <si>
    <t>Azalea Jumbo 7 inch 1ct-POT</t>
  </si>
  <si>
    <t>Tulips 36cm 1ct-BUNCH</t>
  </si>
  <si>
    <t>Tulips 6 inch 1ct-POT</t>
  </si>
  <si>
    <t>Roses 50cm 1ct-BUNCH</t>
  </si>
  <si>
    <t>Bulbs Dahlia 1ct-PK</t>
  </si>
  <si>
    <t>Mulch Brown 2 Cubic Foot 1ct-SACK</t>
  </si>
  <si>
    <t>Mixed Bouquet Premium Seasonal 1ct-BUNCH</t>
  </si>
  <si>
    <t>Tropical Foliage in Ceramic 5 1ct-POT</t>
  </si>
  <si>
    <t>Lilies Cala 6 inch</t>
  </si>
  <si>
    <t>Mini Succulents 2.5 inch 1ct-POT</t>
  </si>
  <si>
    <t>Bulbs Gladioli 1ct-PK</t>
  </si>
  <si>
    <t>Orchids Phalaenopsis 5 inch 1ct-pot</t>
  </si>
  <si>
    <t>Bulbs Assorted 6 inch 1ct-POT</t>
  </si>
  <si>
    <t>Foliage Hanging Basket 8 inch 1ct-POT</t>
  </si>
  <si>
    <t>Shamrock 4 inch 1ct-POT</t>
  </si>
  <si>
    <t>Field Picks 1ct-BUNCH</t>
  </si>
  <si>
    <t>Farmers Choice 1ct-BUNCH</t>
  </si>
  <si>
    <t>Spring Bulbs 1ct-PK</t>
  </si>
  <si>
    <t>Vegetable Bareroot 1ct-PK</t>
  </si>
  <si>
    <t>Fraser Fir Wreath Bow 22 inch 1ct-LOOSE</t>
  </si>
  <si>
    <t>Lilies Asiatic 60cm 1ct-BUNCH</t>
  </si>
  <si>
    <t>Perennials Spring 6 inch</t>
  </si>
  <si>
    <t>Knock Out Rose 8.5inch 1ct-POT</t>
  </si>
  <si>
    <t>Hybrid Tea Rose 10.5 inch</t>
  </si>
  <si>
    <t>Mirepoix 10oz-standard</t>
  </si>
  <si>
    <t>Organic Baby Spinach &amp; Baby Kale 5oz-standard</t>
  </si>
  <si>
    <t>Organic Baby Spinach &amp; Arugula 5oz-standard</t>
  </si>
  <si>
    <t>XL Mild Fresh Salsa 30oz-standard</t>
  </si>
  <si>
    <t>Vegetable Medley 12oz-standard</t>
  </si>
  <si>
    <t>Organic Broccoli Florets 10oz-standard</t>
  </si>
  <si>
    <t>Organic Green Beans 10oz-standard</t>
  </si>
  <si>
    <t>125 CITRUS</t>
  </si>
  <si>
    <t>150 MELONS</t>
  </si>
  <si>
    <t>175 STONE FRUIT</t>
  </si>
  <si>
    <t>200 PEARS</t>
  </si>
  <si>
    <t>225 APPLES</t>
  </si>
  <si>
    <t>250 BANANAS</t>
  </si>
  <si>
    <t>300 EXOTICS</t>
  </si>
  <si>
    <t>325 CUCUMBERS</t>
  </si>
  <si>
    <t>350 GREEN VEG</t>
  </si>
  <si>
    <t>375 CARROTS</t>
  </si>
  <si>
    <t>400 SQUASH</t>
  </si>
  <si>
    <t>425 TOMATOES</t>
  </si>
  <si>
    <t>450 AVOCADOS</t>
  </si>
  <si>
    <t>475 PEPPERS</t>
  </si>
  <si>
    <t>500 GAR/GIN/SHAL</t>
  </si>
  <si>
    <t>525 POT/ONION</t>
  </si>
  <si>
    <t>550 HERBS</t>
  </si>
  <si>
    <t>N</t>
  </si>
  <si>
    <t>Potatoes Golden Baby 1.5lb -standard</t>
  </si>
  <si>
    <t>Potatoes Red Baby 1.5lb-standard</t>
  </si>
  <si>
    <t>Organic Carrots 2lb-standard</t>
  </si>
  <si>
    <t>Watermelon Chunks 32oz-standard</t>
  </si>
  <si>
    <t>Yes</t>
  </si>
  <si>
    <t>Organic Grapes Red Seedless 2lb-standard</t>
  </si>
  <si>
    <t>Organic Grapes Green Seedless 2lb-standard</t>
  </si>
  <si>
    <t>RTE Green Goddess Salad 5.5oz-standard</t>
  </si>
  <si>
    <t>Y</t>
  </si>
  <si>
    <t>Melons Golden Hami 1ct-loose</t>
  </si>
  <si>
    <t>Melons Golden Honeydew 1ct-loose</t>
  </si>
  <si>
    <t>Onions White 1lb Loose</t>
  </si>
  <si>
    <t>Asparagus Spears 10oz-standard</t>
  </si>
  <si>
    <t>Mango Pico De Gallo 16oz-standard</t>
  </si>
  <si>
    <t>Mango Spears 32oz-standard</t>
  </si>
  <si>
    <t>Celery Sticks 1.25lb-standard</t>
  </si>
  <si>
    <t>Petite Carrots 14oz-standard</t>
  </si>
  <si>
    <t>Sweet Potato Crinkle Fry 10oz-standard</t>
  </si>
  <si>
    <t>Baby Spinach 11oz-standard</t>
  </si>
  <si>
    <t>Half and Half 11oz-standard</t>
  </si>
  <si>
    <t>Spring Mix 11oz-standard</t>
  </si>
  <si>
    <t>Not Available in RDC</t>
  </si>
  <si>
    <t>Fresh Salsa Verde 16oz-standard</t>
  </si>
  <si>
    <t>Mediterranean Chopped Salad 11oz-standard</t>
  </si>
  <si>
    <t>Potatoes Mixed Baby 1.5lb-standard</t>
  </si>
  <si>
    <t>Organic Blueberries 1pt-standard</t>
  </si>
  <si>
    <t>all</t>
  </si>
  <si>
    <t>Pico Guacamole 14oz-standard</t>
  </si>
  <si>
    <t>Sweet Apple Slices 14oz-standard</t>
  </si>
  <si>
    <t>Organic Sweet Apple Slices 12oz-standard</t>
  </si>
  <si>
    <t>Mild Guacamole 12oz-standard</t>
  </si>
  <si>
    <t>XL Caesar Salad Kit 15oz-standard</t>
  </si>
  <si>
    <t/>
  </si>
  <si>
    <t>Aparagus &amp; Mushrooms 12oz-standard</t>
  </si>
  <si>
    <t>Maple Bourbon Sweet Potato Chunks 18oz-standard</t>
  </si>
  <si>
    <t>Buffalo Ranch Salad Kit 12oz-standard</t>
  </si>
  <si>
    <t>Thai Chili Mango Salad Kit 10oz-standard</t>
  </si>
  <si>
    <t>Grapes Multi-Color 3lb-PK</t>
  </si>
  <si>
    <t>Broccoli &amp; Cauliflower 12oz-standard</t>
  </si>
  <si>
    <t>Snow Peas 8oz-standard</t>
  </si>
  <si>
    <t>Pinkglow Pineapple Chunks 12oz-standard</t>
  </si>
  <si>
    <t>Coconut Curry Stir Fry Kit 12.5oz-standard</t>
  </si>
  <si>
    <t>Fruit Tray 40oz-standard</t>
  </si>
  <si>
    <t>Vegetable Tray 24oz-standard</t>
  </si>
  <si>
    <t>1/29/201</t>
  </si>
  <si>
    <t>Digital Coupon/Special Offer</t>
  </si>
  <si>
    <t>Dill Pickle Chopped Salad 11.75oz-standard</t>
  </si>
  <si>
    <t>Spinach 10oz-standard</t>
  </si>
  <si>
    <t>Organic Brussels Sprouts 1lb-standard</t>
  </si>
  <si>
    <t>Avocado Ranch Salad Bowl 7.2oz-Standard</t>
  </si>
  <si>
    <t>Crunchy Sesame 6.1oz-Standard</t>
  </si>
  <si>
    <t>Spicy Southwest Salad Bowl 5.9oz-standard</t>
  </si>
  <si>
    <t>Everything Chopped Salad Kit 11.57oz-standard</t>
  </si>
  <si>
    <t>Organic Carrots and Ranch 5oz-standard</t>
  </si>
  <si>
    <t>Organic Carrots and Guacamole 5oz-standard</t>
  </si>
  <si>
    <t>Butter Blend 5oz-standard</t>
  </si>
  <si>
    <t>Baby Zucchini 8oz-standard</t>
  </si>
  <si>
    <t>Petite Carrots 8oz-standard</t>
  </si>
  <si>
    <t>Green Onions 1ct Bunch</t>
  </si>
  <si>
    <t>special Offer</t>
  </si>
  <si>
    <t>Organic Crisp Romaine 4oz-standard</t>
  </si>
  <si>
    <t>Basil 2oz-standard</t>
  </si>
  <si>
    <t>Item Number</t>
  </si>
  <si>
    <t>Carrots and Hummus 5.5oz-standard</t>
  </si>
  <si>
    <t>Celery and Hummus 5.5oz-standard</t>
  </si>
  <si>
    <t>Sugar Snap Peas 8oz-standard</t>
  </si>
  <si>
    <t>Organic Green Beans 12oz-standard</t>
  </si>
  <si>
    <t>Halved Brussels Sprouts 12oz-standard</t>
  </si>
  <si>
    <t>Green Beans 32oz-standard</t>
  </si>
  <si>
    <t>Organic Broccoli Florets 12oz-standard</t>
  </si>
  <si>
    <t>6/6.2022</t>
  </si>
  <si>
    <t>Caesar Salad Kit 10oz-standard</t>
  </si>
  <si>
    <t>Pineapple Rings 10oz-standard</t>
  </si>
  <si>
    <t xml:space="preserve">row it </t>
  </si>
  <si>
    <t>50 CONV CHILLER</t>
  </si>
  <si>
    <t>Salty Caramelicious Bliss 3.2oz-standard</t>
  </si>
  <si>
    <t>Berry Lemony Bliss 3.2oz-standard</t>
  </si>
  <si>
    <t>Sweet 'N Crunchy Boost Bento 5.5oz-standard</t>
  </si>
  <si>
    <t>Country Cobb Salad 7.25oz-standard</t>
  </si>
  <si>
    <t>Veggies &amp; Dip 7oz-standard</t>
  </si>
  <si>
    <t>Turkey &amp; Cheese 6oz-standard</t>
  </si>
  <si>
    <t>Organic Kale Greens 12oz-PK</t>
  </si>
  <si>
    <t>Kale Greens 2lb-standard</t>
  </si>
  <si>
    <t>English Peas 8oz-standard</t>
  </si>
  <si>
    <t>Sweet Kale Salad Kit 12oz-standard</t>
  </si>
  <si>
    <t>Organic Half and Half 16oz-standard</t>
  </si>
  <si>
    <t>Garden Salad 24oz-standard</t>
  </si>
  <si>
    <t>Verry Veggie 10oz-standard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</si>
</sst>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9" x14ac:knownFonts="1">
    <font>
      <sz val="11"/>
      <color theme="1"/>
      <name val="Calibri"/>
      <family val="2"/>
      <scheme val="minor"/>
    </font>
    <font>
      <sz val="11"/>
      <color theme="1"/>
      <name val="Calibri"/>
      <family val="2"/>
      <scheme val="minor"/>
    </font>
    <font>
      <b/>
      <sz val="11"/>
      <color theme="3"/>
      <name val="Calibri"/>
      <family val="2"/>
      <scheme val="minor"/>
    </font>
    <font>
      <b/>
      <sz val="11"/>
      <color theme="1"/>
      <name val="Calibri"/>
      <family val="2"/>
      <scheme val="minor"/>
    </font>
    <font>
      <sz val="11"/>
      <color theme="0"/>
      <name val="Calibri"/>
      <family val="2"/>
      <scheme val="minor"/>
    </font>
    <font>
      <b/>
      <sz val="11"/>
      <name val="Calibri"/>
      <family val="2"/>
      <scheme val="minor"/>
    </font>
    <font>
      <b/>
      <sz val="11"/>
      <color rgb="FF000000"/>
      <name val="Calibri"/>
      <family val="2"/>
      <scheme val="minor"/>
    </font>
    <font>
      <b/>
      <sz val="10"/>
      <color rgb="FF000000"/>
      <name val="Arial"/>
      <family val="2"/>
    </font>
    <font>
      <sz val="10"/>
      <color rgb="FF000000"/>
      <name val="Arial"/>
      <family val="2"/>
    </font>
  </fonts>
  <fills count="5">
    <fill>
      <patternFill patternType="none"/>
    </fill>
    <fill>
      <patternFill patternType="gray125"/>
    </fill>
    <fill>
      <patternFill patternType="solid">
        <fgColor theme="2"/>
        <bgColor indexed="64"/>
      </patternFill>
    </fill>
    <fill>
      <patternFill patternType="solid">
        <fgColor theme="4"/>
        <bgColor indexed="64"/>
      </patternFill>
    </fill>
    <fill>
      <patternFill patternType="solid">
        <fgColor rgb="FFD9E1F2"/>
        <bgColor indexed="64"/>
      </patternFill>
    </fill>
  </fills>
  <borders count="11">
    <border>
      <left/>
      <right/>
      <top/>
      <bottom/>
      <diagonal/>
    </border>
    <border>
      <left/>
      <right/>
      <top/>
      <bottom style="medium">
        <color theme="4" tint="0.39997558519241921"/>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44" fontId="1" fillId="0" borderId="0" applyFont="0" applyFill="0" applyBorder="0" applyAlignment="0" applyProtection="0"/>
    <xf numFmtId="0" fontId="2" fillId="0" borderId="1" applyNumberFormat="0" applyFill="0" applyAlignment="0" applyProtection="0"/>
  </cellStyleXfs>
  <cellXfs count="38">
    <xf numFmtId="0" fontId="0" fillId="0" borderId="0" xfId="0"/>
    <xf numFmtId="0" fontId="5" fillId="0" borderId="2" xfId="0" applyFont="1" applyBorder="1" applyAlignment="1" applyProtection="1">
      <alignment horizontal="center" vertical="center"/>
      <protection locked="0"/>
    </xf>
    <xf numFmtId="14" fontId="5" fillId="0" borderId="2" xfId="2" applyNumberFormat="1" applyFont="1" applyFill="1" applyBorder="1" applyAlignment="1" applyProtection="1">
      <alignment horizontal="center" vertical="center"/>
      <protection locked="0"/>
    </xf>
    <xf numFmtId="0" fontId="5" fillId="0" borderId="2" xfId="2" applyFont="1" applyBorder="1" applyAlignment="1" applyProtection="1">
      <alignment horizontal="center" vertical="center"/>
      <protection locked="0"/>
    </xf>
    <xf numFmtId="0" fontId="5" fillId="0" borderId="2" xfId="1" applyNumberFormat="1" applyFont="1" applyFill="1" applyBorder="1" applyAlignment="1" applyProtection="1">
      <alignment horizontal="center" vertical="center"/>
      <protection locked="0"/>
    </xf>
    <xf numFmtId="14" fontId="5" fillId="0" borderId="2" xfId="1" applyNumberFormat="1" applyFont="1" applyFill="1" applyBorder="1" applyAlignment="1" applyProtection="1">
      <alignment horizontal="center" vertical="center"/>
      <protection locked="0"/>
    </xf>
    <xf numFmtId="0" fontId="5" fillId="0" borderId="2" xfId="2" applyFont="1" applyFill="1" applyBorder="1" applyAlignment="1" applyProtection="1">
      <alignment horizontal="center" vertical="center"/>
      <protection locked="0"/>
    </xf>
    <xf numFmtId="0" fontId="3" fillId="0" borderId="2" xfId="0" applyFont="1" applyBorder="1" applyAlignment="1">
      <alignment horizontal="center" vertical="center"/>
    </xf>
    <xf numFmtId="0" fontId="0" fillId="0" borderId="0" xfId="0" applyAlignment="1">
      <alignment horizontal="center" vertical="center"/>
    </xf>
    <xf numFmtId="0" fontId="4" fillId="0" borderId="2" xfId="0" applyFont="1" applyBorder="1" applyAlignment="1">
      <alignment horizontal="center" vertical="center"/>
    </xf>
    <xf numFmtId="0" fontId="0" fillId="0" borderId="0" xfId="0"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1" applyNumberFormat="1" applyFont="1" applyFill="1" applyBorder="1" applyAlignment="1" applyProtection="1">
      <alignment horizontal="center" vertical="center"/>
      <protection locked="0"/>
    </xf>
    <xf numFmtId="14" fontId="0" fillId="0" borderId="0" xfId="1" applyNumberFormat="1" applyFont="1" applyFill="1" applyBorder="1" applyAlignment="1" applyProtection="1">
      <alignment horizontal="center" vertical="center"/>
      <protection locked="0"/>
    </xf>
    <xf numFmtId="0" fontId="7" fillId="0" borderId="0" xfId="0" applyFont="1"/>
    <xf numFmtId="0" fontId="0" fillId="2" borderId="0" xfId="0" applyFill="1"/>
    <xf numFmtId="0" fontId="0" fillId="0" borderId="0" xfId="1" applyNumberFormat="1" applyFont="1"/>
    <xf numFmtId="0" fontId="0" fillId="0" borderId="0" xfId="0" applyAlignment="1">
      <alignment horizontal="center"/>
    </xf>
    <xf numFmtId="0" fontId="6" fillId="0" borderId="0" xfId="0" applyFont="1"/>
    <xf numFmtId="0" fontId="0" fillId="3" borderId="5" xfId="0" applyFill="1" applyBorder="1"/>
    <xf numFmtId="0" fontId="0" fillId="3" borderId="7" xfId="0" applyFill="1" applyBorder="1"/>
    <xf numFmtId="0" fontId="0" fillId="3" borderId="9" xfId="0" applyFill="1" applyBorder="1"/>
    <xf numFmtId="0" fontId="0" fillId="4" borderId="10" xfId="0" applyFill="1" applyBorder="1"/>
    <xf numFmtId="16" fontId="0" fillId="0" borderId="0" xfId="0" applyNumberFormat="1"/>
    <xf numFmtId="14" fontId="0" fillId="0" borderId="0" xfId="0" applyNumberFormat="1"/>
    <xf numFmtId="14" fontId="0" fillId="0" borderId="0" xfId="0" applyNumberFormat="1" applyAlignment="1">
      <alignment horizontal="center" vertical="center"/>
    </xf>
    <xf numFmtId="0" fontId="0" fillId="0" borderId="0" xfId="0" quotePrefix="1"/>
    <xf numFmtId="0" fontId="5" fillId="4" borderId="10" xfId="0" applyFont="1" applyFill="1" applyBorder="1" applyAlignment="1" applyProtection="1">
      <alignment horizontal="center" vertical="center"/>
      <protection locked="0"/>
    </xf>
    <xf numFmtId="0" fontId="0" fillId="0" borderId="0" xfId="0" applyFill="1" applyBorder="1" applyAlignment="1">
      <alignment horizontal="center"/>
    </xf>
    <xf numFmtId="0" fontId="0" fillId="0" borderId="0" xfId="0" applyNumberFormat="1"/>
    <xf numFmtId="0" fontId="8" fillId="0" borderId="0" xfId="0" applyNumberFormat="1" applyFont="1"/>
    <xf numFmtId="0" fontId="0" fillId="0" borderId="0" xfId="0" applyFill="1" applyBorder="1"/>
    <xf numFmtId="0" fontId="0" fillId="3" borderId="3" xfId="0" applyFill="1" applyBorder="1" applyAlignment="1">
      <alignment horizontal="center" vertical="center" wrapText="1"/>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0" fillId="3" borderId="0" xfId="0" applyFill="1" applyAlignment="1">
      <alignment horizontal="center" vertical="center" wrapText="1"/>
    </xf>
    <xf numFmtId="0" fontId="0" fillId="3" borderId="8" xfId="0" applyFill="1" applyBorder="1" applyAlignment="1">
      <alignment horizontal="center" vertical="center" wrapText="1"/>
    </xf>
    <xf numFmtId="0" fontId="0" fillId="3" borderId="2" xfId="0" applyFill="1" applyBorder="1" applyAlignment="1">
      <alignment horizontal="center" vertical="center" wrapText="1"/>
    </xf>
  </cellXfs>
  <cellStyles count="3">
    <cellStyle name="Currency" xfId="1" builtinId="4"/>
    <cellStyle name="Heading 3" xfId="2" builtinId="18"/>
    <cellStyle name="Normal" xfId="0" builtinId="0"/>
  </cellStyles>
  <dxfs count="22">
    <dxf>
      <numFmt numFmtId="0" formatCode="Genera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1060450</xdr:colOff>
      <xdr:row>2</xdr:row>
      <xdr:rowOff>171450</xdr:rowOff>
    </xdr:from>
    <xdr:to>
      <xdr:col>10</xdr:col>
      <xdr:colOff>444500</xdr:colOff>
      <xdr:row>5</xdr:row>
      <xdr:rowOff>76200</xdr:rowOff>
    </xdr:to>
    <xdr:grpSp>
      <xdr:nvGrpSpPr>
        <xdr:cNvPr id="2" name="Group 1">
          <a:extLst>
            <a:ext uri="{FF2B5EF4-FFF2-40B4-BE49-F238E27FC236}">
              <a16:creationId xmlns:a16="http://schemas.microsoft.com/office/drawing/2014/main" id="{7326FC99-DDBA-42D3-B8F7-1221E2A7BAE9}"/>
            </a:ext>
          </a:extLst>
        </xdr:cNvPr>
        <xdr:cNvGrpSpPr/>
      </xdr:nvGrpSpPr>
      <xdr:grpSpPr>
        <a:xfrm>
          <a:off x="8985250" y="552450"/>
          <a:ext cx="441325" cy="476250"/>
          <a:chOff x="5219700" y="946150"/>
          <a:chExt cx="457200" cy="457200"/>
        </a:xfrm>
      </xdr:grpSpPr>
      <xdr:sp macro="[0]!BtnEnableEvents" textlink="">
        <xdr:nvSpPr>
          <xdr:cNvPr id="3" name="Rectangle 2">
            <a:extLst>
              <a:ext uri="{FF2B5EF4-FFF2-40B4-BE49-F238E27FC236}">
                <a16:creationId xmlns:a16="http://schemas.microsoft.com/office/drawing/2014/main" id="{8B7DB6A2-469E-4900-AEC5-480C769F5454}"/>
              </a:ext>
            </a:extLst>
          </xdr:cNvPr>
          <xdr:cNvSpPr/>
        </xdr:nvSpPr>
        <xdr:spPr>
          <a:xfrm>
            <a:off x="5219700" y="946150"/>
            <a:ext cx="457200" cy="45720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pic macro="[0]!BtnEnableEvents">
        <xdr:nvPicPr>
          <xdr:cNvPr id="4" name="Graphic 3" descr="Repeat">
            <a:extLst>
              <a:ext uri="{FF2B5EF4-FFF2-40B4-BE49-F238E27FC236}">
                <a16:creationId xmlns:a16="http://schemas.microsoft.com/office/drawing/2014/main" id="{B7C183E9-4A39-4DDA-A9EF-47D1B5553F6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270500" y="984250"/>
            <a:ext cx="365760" cy="365760"/>
          </a:xfrm>
          <a:prstGeom prst="rect">
            <a:avLst/>
          </a:prstGeom>
        </xdr:spPr>
      </xdr:pic>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F559861-39E0-4B82-8A9D-5DE44F2AE911}" autoFormatId="16" applyNumberFormats="0" applyBorderFormats="0" applyFontFormats="0" applyPatternFormats="0" applyAlignmentFormats="0" applyWidthHeightFormats="0">
  <queryTableRefresh nextId="3">
    <queryTableFields count="2">
      <queryTableField id="1" name="Item" tableColumnId="1"/>
      <queryTableField id="2" name="Item Desc"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9630F37-A219-4270-9571-D75F913EA37C}" name="VLookups" displayName="VLookups" ref="A1:B3453" tableType="queryTable" totalsRowShown="0">
  <autoFilter ref="A1:B3453" xr:uid="{08A4E85C-E823-4822-9423-B2DC75C6CF57}"/>
  <tableColumns count="2">
    <tableColumn id="1" xr3:uid="{075C5F65-40C8-4140-8993-4CBD94A7127B}" uniqueName="1" name="Item" queryTableFieldId="1"/>
    <tableColumn id="2" xr3:uid="{4CCE5572-26D4-4E9B-A563-47045DBAC7F0}" uniqueName="2" name="Item Desc"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59078-7D4E-433F-AEA2-28555CA328C8}">
  <sheetPr codeName="Sheet3"/>
  <dimension ref="A1:O101"/>
  <sheetViews>
    <sheetView workbookViewId="0">
      <selection activeCell="K23" sqref="K23"/>
    </sheetView>
  </sheetViews>
  <sheetFormatPr defaultRowHeight="15" x14ac:dyDescent="0.25"/>
  <cols>
    <col min="1" max="1" width="16.5703125" bestFit="1" customWidth="1"/>
    <col min="2" max="2" width="8.5703125" style="15"/>
    <col min="3" max="3" width="9.42578125" bestFit="1" customWidth="1"/>
    <col min="4" max="4" width="27.42578125" bestFit="1" customWidth="1"/>
    <col min="5" max="5" width="11" bestFit="1" customWidth="1"/>
    <col min="6" max="6" width="8.5703125" style="15"/>
    <col min="8" max="8" width="23.5703125" bestFit="1" customWidth="1"/>
    <col min="9" max="9" width="13" bestFit="1" customWidth="1"/>
    <col min="10" max="10" width="8.5703125" style="15"/>
    <col min="11" max="11" width="17.5703125" bestFit="1" customWidth="1"/>
    <col min="12" max="12" width="13.42578125" bestFit="1" customWidth="1"/>
    <col min="13" max="13" width="8.5703125" style="15"/>
    <col min="14" max="14" width="27.42578125" bestFit="1" customWidth="1"/>
    <col min="15" max="15" width="16.5703125" bestFit="1" customWidth="1"/>
  </cols>
  <sheetData>
    <row r="1" spans="1:15" x14ac:dyDescent="0.25">
      <c r="A1" t="s">
        <v>15</v>
      </c>
      <c r="C1" t="s">
        <v>16</v>
      </c>
      <c r="D1" t="s">
        <v>744</v>
      </c>
      <c r="E1" t="s">
        <v>734</v>
      </c>
      <c r="G1" t="s">
        <v>17</v>
      </c>
      <c r="H1" t="s">
        <v>746</v>
      </c>
      <c r="I1" t="s">
        <v>745</v>
      </c>
      <c r="K1" t="s">
        <v>12</v>
      </c>
      <c r="L1" t="s">
        <v>747</v>
      </c>
      <c r="N1" t="s">
        <v>7</v>
      </c>
      <c r="O1" t="s">
        <v>6</v>
      </c>
    </row>
    <row r="2" spans="1:15" x14ac:dyDescent="0.25">
      <c r="A2" s="16" t="s">
        <v>732</v>
      </c>
      <c r="D2" t="s">
        <v>736</v>
      </c>
      <c r="E2" t="s">
        <v>9</v>
      </c>
      <c r="H2" t="s">
        <v>736</v>
      </c>
      <c r="I2">
        <v>2</v>
      </c>
      <c r="K2" t="s">
        <v>748</v>
      </c>
      <c r="L2">
        <v>1</v>
      </c>
      <c r="N2" t="s">
        <v>760</v>
      </c>
      <c r="O2" t="s">
        <v>784</v>
      </c>
    </row>
    <row r="3" spans="1:15" x14ac:dyDescent="0.25">
      <c r="A3" t="s">
        <v>733</v>
      </c>
      <c r="D3" t="s">
        <v>9</v>
      </c>
      <c r="E3" t="s">
        <v>10</v>
      </c>
      <c r="H3">
        <v>1</v>
      </c>
      <c r="I3" t="s">
        <v>740</v>
      </c>
      <c r="K3" t="s">
        <v>749</v>
      </c>
      <c r="L3">
        <v>2</v>
      </c>
      <c r="N3" t="s">
        <v>775</v>
      </c>
      <c r="O3" t="s">
        <v>788</v>
      </c>
    </row>
    <row r="4" spans="1:15" x14ac:dyDescent="0.25">
      <c r="A4" t="s">
        <v>734</v>
      </c>
      <c r="D4" t="s">
        <v>10</v>
      </c>
      <c r="E4" t="s">
        <v>735</v>
      </c>
      <c r="H4">
        <v>2</v>
      </c>
      <c r="K4" t="s">
        <v>1018</v>
      </c>
      <c r="L4">
        <v>3</v>
      </c>
      <c r="N4" t="s">
        <v>780</v>
      </c>
      <c r="O4" t="s">
        <v>786</v>
      </c>
    </row>
    <row r="5" spans="1:15" x14ac:dyDescent="0.25">
      <c r="D5" t="s">
        <v>11</v>
      </c>
      <c r="H5">
        <v>8</v>
      </c>
      <c r="K5" t="s">
        <v>1019</v>
      </c>
      <c r="L5">
        <v>4</v>
      </c>
      <c r="N5" t="s">
        <v>754</v>
      </c>
      <c r="O5" t="s">
        <v>786</v>
      </c>
    </row>
    <row r="6" spans="1:15" x14ac:dyDescent="0.25">
      <c r="D6" t="s">
        <v>735</v>
      </c>
      <c r="H6" t="s">
        <v>741</v>
      </c>
      <c r="K6" t="s">
        <v>1020</v>
      </c>
      <c r="L6">
        <v>5</v>
      </c>
      <c r="N6" t="s">
        <v>1081</v>
      </c>
      <c r="O6" t="s">
        <v>787</v>
      </c>
    </row>
    <row r="7" spans="1:15" x14ac:dyDescent="0.25">
      <c r="D7" t="s">
        <v>737</v>
      </c>
      <c r="H7" t="s">
        <v>742</v>
      </c>
      <c r="K7" t="s">
        <v>1021</v>
      </c>
      <c r="L7">
        <v>6</v>
      </c>
      <c r="N7" t="s">
        <v>777</v>
      </c>
      <c r="O7" t="s">
        <v>784</v>
      </c>
    </row>
    <row r="8" spans="1:15" x14ac:dyDescent="0.25">
      <c r="D8" t="s">
        <v>738</v>
      </c>
      <c r="H8" t="s">
        <v>743</v>
      </c>
      <c r="K8" t="s">
        <v>1022</v>
      </c>
      <c r="L8">
        <v>7</v>
      </c>
      <c r="N8" t="s">
        <v>778</v>
      </c>
      <c r="O8" t="s">
        <v>788</v>
      </c>
    </row>
    <row r="9" spans="1:15" x14ac:dyDescent="0.25">
      <c r="H9" t="s">
        <v>740</v>
      </c>
      <c r="K9" t="s">
        <v>1023</v>
      </c>
      <c r="L9">
        <v>8</v>
      </c>
      <c r="N9" t="s">
        <v>776</v>
      </c>
      <c r="O9" t="s">
        <v>785</v>
      </c>
    </row>
    <row r="10" spans="1:15" x14ac:dyDescent="0.25">
      <c r="K10" t="s">
        <v>1024</v>
      </c>
      <c r="L10">
        <v>9</v>
      </c>
      <c r="N10" t="s">
        <v>1057</v>
      </c>
      <c r="O10" t="s">
        <v>786</v>
      </c>
    </row>
    <row r="11" spans="1:15" x14ac:dyDescent="0.25">
      <c r="K11" t="s">
        <v>1025</v>
      </c>
      <c r="L11">
        <v>10</v>
      </c>
      <c r="N11" t="s">
        <v>781</v>
      </c>
      <c r="O11" t="s">
        <v>786</v>
      </c>
    </row>
    <row r="12" spans="1:15" x14ac:dyDescent="0.25">
      <c r="K12" t="s">
        <v>1026</v>
      </c>
      <c r="L12">
        <v>11</v>
      </c>
      <c r="N12" t="s">
        <v>761</v>
      </c>
      <c r="O12" t="s">
        <v>784</v>
      </c>
    </row>
    <row r="13" spans="1:15" x14ac:dyDescent="0.25">
      <c r="K13" t="s">
        <v>1027</v>
      </c>
      <c r="L13">
        <v>12</v>
      </c>
      <c r="N13" t="s">
        <v>782</v>
      </c>
      <c r="O13" t="s">
        <v>784</v>
      </c>
    </row>
    <row r="14" spans="1:15" x14ac:dyDescent="0.25">
      <c r="K14" t="s">
        <v>1028</v>
      </c>
      <c r="L14">
        <v>13</v>
      </c>
      <c r="N14" t="s">
        <v>783</v>
      </c>
      <c r="O14" t="s">
        <v>788</v>
      </c>
    </row>
    <row r="15" spans="1:15" x14ac:dyDescent="0.25">
      <c r="K15" t="s">
        <v>1029</v>
      </c>
      <c r="L15">
        <v>14</v>
      </c>
      <c r="N15" t="s">
        <v>753</v>
      </c>
      <c r="O15" t="s">
        <v>787</v>
      </c>
    </row>
    <row r="16" spans="1:15" x14ac:dyDescent="0.25">
      <c r="K16" t="s">
        <v>1030</v>
      </c>
      <c r="L16">
        <v>15</v>
      </c>
      <c r="N16" t="s">
        <v>762</v>
      </c>
      <c r="O16" t="s">
        <v>787</v>
      </c>
    </row>
    <row r="17" spans="11:15" x14ac:dyDescent="0.25">
      <c r="K17" t="s">
        <v>1031</v>
      </c>
      <c r="L17">
        <v>16</v>
      </c>
      <c r="N17" t="s">
        <v>779</v>
      </c>
      <c r="O17" t="s">
        <v>787</v>
      </c>
    </row>
    <row r="18" spans="11:15" x14ac:dyDescent="0.25">
      <c r="K18" t="s">
        <v>1032</v>
      </c>
      <c r="L18">
        <v>17</v>
      </c>
      <c r="N18" t="s">
        <v>759</v>
      </c>
      <c r="O18" t="s">
        <v>787</v>
      </c>
    </row>
    <row r="19" spans="11:15" x14ac:dyDescent="0.25">
      <c r="K19" t="s">
        <v>1033</v>
      </c>
      <c r="L19">
        <v>18</v>
      </c>
    </row>
    <row r="20" spans="11:15" x14ac:dyDescent="0.25">
      <c r="K20" t="s">
        <v>1034</v>
      </c>
      <c r="L20">
        <v>19</v>
      </c>
    </row>
    <row r="21" spans="11:15" x14ac:dyDescent="0.25">
      <c r="K21" t="s">
        <v>750</v>
      </c>
      <c r="L21">
        <v>20</v>
      </c>
    </row>
    <row r="22" spans="11:15" x14ac:dyDescent="0.25">
      <c r="K22" t="s">
        <v>1110</v>
      </c>
      <c r="L22">
        <v>21</v>
      </c>
    </row>
    <row r="23" spans="11:15" x14ac:dyDescent="0.25">
      <c r="L23">
        <v>22</v>
      </c>
    </row>
    <row r="24" spans="11:15" x14ac:dyDescent="0.25">
      <c r="L24">
        <v>23</v>
      </c>
    </row>
    <row r="25" spans="11:15" x14ac:dyDescent="0.25">
      <c r="L25">
        <v>24</v>
      </c>
    </row>
    <row r="26" spans="11:15" x14ac:dyDescent="0.25">
      <c r="L26">
        <v>25</v>
      </c>
    </row>
    <row r="27" spans="11:15" x14ac:dyDescent="0.25">
      <c r="L27">
        <v>26</v>
      </c>
    </row>
    <row r="28" spans="11:15" x14ac:dyDescent="0.25">
      <c r="L28">
        <v>27</v>
      </c>
    </row>
    <row r="29" spans="11:15" x14ac:dyDescent="0.25">
      <c r="L29">
        <v>28</v>
      </c>
    </row>
    <row r="30" spans="11:15" x14ac:dyDescent="0.25">
      <c r="L30">
        <v>29</v>
      </c>
    </row>
    <row r="31" spans="11:15" x14ac:dyDescent="0.25">
      <c r="L31">
        <v>30</v>
      </c>
    </row>
    <row r="32" spans="11:15" x14ac:dyDescent="0.25">
      <c r="L32">
        <v>31</v>
      </c>
    </row>
    <row r="33" spans="12:12" x14ac:dyDescent="0.25">
      <c r="L33">
        <v>32</v>
      </c>
    </row>
    <row r="34" spans="12:12" x14ac:dyDescent="0.25">
      <c r="L34">
        <v>33</v>
      </c>
    </row>
    <row r="35" spans="12:12" x14ac:dyDescent="0.25">
      <c r="L35">
        <v>34</v>
      </c>
    </row>
    <row r="36" spans="12:12" x14ac:dyDescent="0.25">
      <c r="L36">
        <v>35</v>
      </c>
    </row>
    <row r="37" spans="12:12" x14ac:dyDescent="0.25">
      <c r="L37">
        <v>36</v>
      </c>
    </row>
    <row r="38" spans="12:12" x14ac:dyDescent="0.25">
      <c r="L38">
        <v>37</v>
      </c>
    </row>
    <row r="39" spans="12:12" x14ac:dyDescent="0.25">
      <c r="L39">
        <v>38</v>
      </c>
    </row>
    <row r="40" spans="12:12" x14ac:dyDescent="0.25">
      <c r="L40">
        <v>39</v>
      </c>
    </row>
    <row r="41" spans="12:12" x14ac:dyDescent="0.25">
      <c r="L41">
        <v>40</v>
      </c>
    </row>
    <row r="42" spans="12:12" x14ac:dyDescent="0.25">
      <c r="L42">
        <v>41</v>
      </c>
    </row>
    <row r="43" spans="12:12" x14ac:dyDescent="0.25">
      <c r="L43">
        <v>42</v>
      </c>
    </row>
    <row r="44" spans="12:12" x14ac:dyDescent="0.25">
      <c r="L44">
        <v>43</v>
      </c>
    </row>
    <row r="45" spans="12:12" x14ac:dyDescent="0.25">
      <c r="L45">
        <v>44</v>
      </c>
    </row>
    <row r="46" spans="12:12" x14ac:dyDescent="0.25">
      <c r="L46">
        <v>45</v>
      </c>
    </row>
    <row r="47" spans="12:12" x14ac:dyDescent="0.25">
      <c r="L47">
        <v>46</v>
      </c>
    </row>
    <row r="48" spans="12:12" x14ac:dyDescent="0.25">
      <c r="L48">
        <v>47</v>
      </c>
    </row>
    <row r="49" spans="12:12" x14ac:dyDescent="0.25">
      <c r="L49">
        <v>48</v>
      </c>
    </row>
    <row r="50" spans="12:12" x14ac:dyDescent="0.25">
      <c r="L50">
        <v>49</v>
      </c>
    </row>
    <row r="51" spans="12:12" x14ac:dyDescent="0.25">
      <c r="L51">
        <v>50</v>
      </c>
    </row>
    <row r="52" spans="12:12" x14ac:dyDescent="0.25">
      <c r="L52">
        <v>51</v>
      </c>
    </row>
    <row r="53" spans="12:12" x14ac:dyDescent="0.25">
      <c r="L53">
        <v>52</v>
      </c>
    </row>
    <row r="54" spans="12:12" x14ac:dyDescent="0.25">
      <c r="L54">
        <v>53</v>
      </c>
    </row>
    <row r="55" spans="12:12" x14ac:dyDescent="0.25">
      <c r="L55">
        <v>54</v>
      </c>
    </row>
    <row r="56" spans="12:12" x14ac:dyDescent="0.25">
      <c r="L56">
        <v>55</v>
      </c>
    </row>
    <row r="57" spans="12:12" x14ac:dyDescent="0.25">
      <c r="L57">
        <v>56</v>
      </c>
    </row>
    <row r="58" spans="12:12" x14ac:dyDescent="0.25">
      <c r="L58">
        <v>57</v>
      </c>
    </row>
    <row r="59" spans="12:12" x14ac:dyDescent="0.25">
      <c r="L59">
        <v>58</v>
      </c>
    </row>
    <row r="60" spans="12:12" x14ac:dyDescent="0.25">
      <c r="L60">
        <v>59</v>
      </c>
    </row>
    <row r="61" spans="12:12" x14ac:dyDescent="0.25">
      <c r="L61">
        <v>60</v>
      </c>
    </row>
    <row r="62" spans="12:12" x14ac:dyDescent="0.25">
      <c r="L62">
        <v>61</v>
      </c>
    </row>
    <row r="63" spans="12:12" x14ac:dyDescent="0.25">
      <c r="L63">
        <v>62</v>
      </c>
    </row>
    <row r="64" spans="12:12" x14ac:dyDescent="0.25">
      <c r="L64">
        <v>63</v>
      </c>
    </row>
    <row r="65" spans="12:12" x14ac:dyDescent="0.25">
      <c r="L65">
        <v>64</v>
      </c>
    </row>
    <row r="66" spans="12:12" x14ac:dyDescent="0.25">
      <c r="L66">
        <v>65</v>
      </c>
    </row>
    <row r="67" spans="12:12" x14ac:dyDescent="0.25">
      <c r="L67">
        <v>66</v>
      </c>
    </row>
    <row r="68" spans="12:12" x14ac:dyDescent="0.25">
      <c r="L68">
        <v>67</v>
      </c>
    </row>
    <row r="69" spans="12:12" x14ac:dyDescent="0.25">
      <c r="L69">
        <v>68</v>
      </c>
    </row>
    <row r="70" spans="12:12" x14ac:dyDescent="0.25">
      <c r="L70">
        <v>69</v>
      </c>
    </row>
    <row r="71" spans="12:12" x14ac:dyDescent="0.25">
      <c r="L71">
        <v>70</v>
      </c>
    </row>
    <row r="72" spans="12:12" x14ac:dyDescent="0.25">
      <c r="L72">
        <v>71</v>
      </c>
    </row>
    <row r="73" spans="12:12" x14ac:dyDescent="0.25">
      <c r="L73">
        <v>72</v>
      </c>
    </row>
    <row r="74" spans="12:12" x14ac:dyDescent="0.25">
      <c r="L74">
        <v>73</v>
      </c>
    </row>
    <row r="75" spans="12:12" x14ac:dyDescent="0.25">
      <c r="L75">
        <v>74</v>
      </c>
    </row>
    <row r="76" spans="12:12" x14ac:dyDescent="0.25">
      <c r="L76">
        <v>75</v>
      </c>
    </row>
    <row r="77" spans="12:12" x14ac:dyDescent="0.25">
      <c r="L77">
        <v>76</v>
      </c>
    </row>
    <row r="78" spans="12:12" x14ac:dyDescent="0.25">
      <c r="L78">
        <v>77</v>
      </c>
    </row>
    <row r="79" spans="12:12" x14ac:dyDescent="0.25">
      <c r="L79">
        <v>78</v>
      </c>
    </row>
    <row r="80" spans="12:12" x14ac:dyDescent="0.25">
      <c r="L80">
        <v>79</v>
      </c>
    </row>
    <row r="81" spans="12:12" x14ac:dyDescent="0.25">
      <c r="L81">
        <v>80</v>
      </c>
    </row>
    <row r="82" spans="12:12" x14ac:dyDescent="0.25">
      <c r="L82">
        <v>81</v>
      </c>
    </row>
    <row r="83" spans="12:12" x14ac:dyDescent="0.25">
      <c r="L83">
        <v>82</v>
      </c>
    </row>
    <row r="84" spans="12:12" x14ac:dyDescent="0.25">
      <c r="L84">
        <v>83</v>
      </c>
    </row>
    <row r="85" spans="12:12" x14ac:dyDescent="0.25">
      <c r="L85">
        <v>84</v>
      </c>
    </row>
    <row r="86" spans="12:12" x14ac:dyDescent="0.25">
      <c r="L86">
        <v>85</v>
      </c>
    </row>
    <row r="87" spans="12:12" x14ac:dyDescent="0.25">
      <c r="L87">
        <v>86</v>
      </c>
    </row>
    <row r="88" spans="12:12" x14ac:dyDescent="0.25">
      <c r="L88">
        <v>87</v>
      </c>
    </row>
    <row r="89" spans="12:12" x14ac:dyDescent="0.25">
      <c r="L89">
        <v>88</v>
      </c>
    </row>
    <row r="90" spans="12:12" x14ac:dyDescent="0.25">
      <c r="L90">
        <v>89</v>
      </c>
    </row>
    <row r="91" spans="12:12" x14ac:dyDescent="0.25">
      <c r="L91">
        <v>90</v>
      </c>
    </row>
    <row r="92" spans="12:12" x14ac:dyDescent="0.25">
      <c r="L92">
        <v>91</v>
      </c>
    </row>
    <row r="93" spans="12:12" x14ac:dyDescent="0.25">
      <c r="L93">
        <v>92</v>
      </c>
    </row>
    <row r="94" spans="12:12" x14ac:dyDescent="0.25">
      <c r="L94">
        <v>93</v>
      </c>
    </row>
    <row r="95" spans="12:12" x14ac:dyDescent="0.25">
      <c r="L95">
        <v>94</v>
      </c>
    </row>
    <row r="96" spans="12:12" x14ac:dyDescent="0.25">
      <c r="L96">
        <v>95</v>
      </c>
    </row>
    <row r="97" spans="12:12" x14ac:dyDescent="0.25">
      <c r="L97">
        <v>96</v>
      </c>
    </row>
    <row r="98" spans="12:12" x14ac:dyDescent="0.25">
      <c r="L98">
        <v>97</v>
      </c>
    </row>
    <row r="99" spans="12:12" x14ac:dyDescent="0.25">
      <c r="L99">
        <v>98</v>
      </c>
    </row>
    <row r="100" spans="12:12" x14ac:dyDescent="0.25">
      <c r="L100">
        <v>99</v>
      </c>
    </row>
    <row r="101" spans="12:12" x14ac:dyDescent="0.25">
      <c r="L101">
        <v>100</v>
      </c>
    </row>
  </sheetData>
  <sortState xmlns:xlrd2="http://schemas.microsoft.com/office/spreadsheetml/2017/richdata2" ref="N2:O101">
    <sortCondition ref="N2:N10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7EA5-CD50-4683-AF8D-EDB93F490531}">
  <sheetPr codeName="Sheet4"/>
  <dimension ref="A1:D4"/>
  <sheetViews>
    <sheetView workbookViewId="0">
      <selection activeCell="E1" sqref="E1:E1048576"/>
    </sheetView>
  </sheetViews>
  <sheetFormatPr defaultRowHeight="15" x14ac:dyDescent="0.25"/>
  <cols>
    <col min="1" max="1" width="27.42578125" bestFit="1" customWidth="1"/>
    <col min="2" max="2" width="8.5703125" style="15"/>
    <col min="3" max="3" width="23.5703125" bestFit="1" customWidth="1"/>
    <col min="4" max="4" width="17.5703125" bestFit="1" customWidth="1"/>
  </cols>
  <sheetData>
    <row r="1" spans="1:4" x14ac:dyDescent="0.25">
      <c r="A1" t="s">
        <v>739</v>
      </c>
      <c r="C1" t="s">
        <v>746</v>
      </c>
      <c r="D1" t="s">
        <v>752</v>
      </c>
    </row>
    <row r="2" spans="1:4" x14ac:dyDescent="0.25">
      <c r="A2" t="s">
        <v>734</v>
      </c>
      <c r="C2" t="s">
        <v>745</v>
      </c>
      <c r="D2" t="s">
        <v>752</v>
      </c>
    </row>
    <row r="3" spans="1:4" x14ac:dyDescent="0.25">
      <c r="C3" t="s">
        <v>746</v>
      </c>
      <c r="D3" t="s">
        <v>751</v>
      </c>
    </row>
    <row r="4" spans="1:4" x14ac:dyDescent="0.25">
      <c r="C4" t="s">
        <v>745</v>
      </c>
      <c r="D4" t="s">
        <v>751</v>
      </c>
    </row>
  </sheetData>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r:uid="{9C11A694-F9FA-46AA-8EEB-063EB9C6BF60}">
          <x14:formula1>
            <xm:f>OFFSET(Dropdowns!$D$1, 1, 0, COUNTA(Dropdowns!$D:$D) - 1, 1)</xm:f>
          </x14:formula1>
          <xm:sqref>A1</xm:sqref>
        </x14:dataValidation>
        <x14:dataValidation type="list" allowBlank="1" showInputMessage="1" showErrorMessage="1" xr:uid="{5F7DFCE7-A97B-4653-BD03-C189FBD7008C}">
          <x14:formula1>
            <xm:f>OFFSET(Dropdowns!$E$1, 1, 0, COUNTA(Dropdowns!$E:$E) - 1, 1)</xm:f>
          </x14:formula1>
          <xm:sqref>A2</xm:sqref>
        </x14:dataValidation>
        <x14:dataValidation type="list" allowBlank="1" showInputMessage="1" showErrorMessage="1" xr:uid="{38B991FB-B2D8-4D24-B53D-9450974B1F8D}">
          <x14:formula1>
            <xm:f>OFFSET(Dropdowns!$H$1, 1, 0, COUNTA(Dropdowns!$H:$H) - 1, 1)</xm:f>
          </x14:formula1>
          <xm:sqref>C1</xm:sqref>
        </x14:dataValidation>
        <x14:dataValidation type="list" allowBlank="1" showInputMessage="1" showErrorMessage="1" xr:uid="{E21D9DD2-937C-4F72-930A-739F112421E1}">
          <x14:formula1>
            <xm:f>OFFSET(Dropdowns!$I$1, 1, 0, COUNTA(Dropdowns!$I:$I) - 1, 1)</xm:f>
          </x14:formula1>
          <xm:sqref>C2</xm:sqref>
        </x14:dataValidation>
        <x14:dataValidation type="list" allowBlank="1" showInputMessage="1" showErrorMessage="1" xr:uid="{63C52447-C858-4584-8C9D-E162AA5BDDA8}">
          <x14:formula1>
            <xm:f>OFFSET(Dropdowns!$H$1, 1, 0, COUNTA(Dropdowns!$H:$H) - 2, 1)</xm:f>
          </x14:formula1>
          <xm:sqref>C3</xm:sqref>
        </x14:dataValidation>
        <x14:dataValidation type="list" allowBlank="1" showInputMessage="1" showErrorMessage="1" xr:uid="{B714BE0E-8C29-4062-B5EA-262646D98FF9}">
          <x14:formula1>
            <xm:f>OFFSET(Dropdowns!$I$1, 1, 0, COUNTA(Dropdowns!$I:$I) - 2, 1)</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94530-DFF6-42B2-9068-AFCF30077F4F}">
  <sheetPr codeName="Sheet1"/>
  <dimension ref="A1:AA5480"/>
  <sheetViews>
    <sheetView tabSelected="1" zoomScale="80" zoomScaleNormal="80" workbookViewId="0">
      <pane ySplit="2" topLeftCell="A5354" activePane="bottomLeft" state="frozen"/>
      <selection activeCell="N5080" sqref="N5080"/>
      <selection pane="bottomLeft" activeCell="E5385" sqref="E5385"/>
    </sheetView>
  </sheetViews>
  <sheetFormatPr defaultRowHeight="15" x14ac:dyDescent="0.25"/>
  <cols>
    <col min="1" max="1" width="16.5703125" bestFit="1" customWidth="1"/>
    <col min="2" max="2" width="48.85546875" bestFit="1" customWidth="1"/>
    <col min="3" max="3" width="12.42578125" bestFit="1" customWidth="1"/>
    <col min="4" max="5" width="12.5703125" bestFit="1" customWidth="1"/>
    <col min="6" max="6" width="13.5703125" bestFit="1" customWidth="1"/>
    <col min="7" max="7" width="14.42578125" bestFit="1" customWidth="1"/>
    <col min="8" max="8" width="12.42578125" bestFit="1" customWidth="1"/>
    <col min="9" max="9" width="16.5703125" bestFit="1" customWidth="1"/>
    <col min="10" max="10" width="23.42578125" bestFit="1" customWidth="1"/>
    <col min="11" max="11" width="17.5703125" bestFit="1" customWidth="1"/>
    <col min="12" max="12" width="18" style="17" bestFit="1" customWidth="1"/>
    <col min="13" max="14" width="16.42578125" style="17" bestFit="1" customWidth="1"/>
    <col min="15" max="15" width="22.42578125" customWidth="1"/>
    <col min="16" max="16" width="18" bestFit="1" customWidth="1"/>
    <col min="17" max="17" width="8.5703125" bestFit="1" customWidth="1"/>
  </cols>
  <sheetData>
    <row r="1" spans="1:27" hidden="1" x14ac:dyDescent="0.25">
      <c r="B1" t="str">
        <f>IFERROR(VLOOKUP(A1,VLOOKUPS!$A$2:B$12589,2,FALSE),"")</f>
        <v/>
      </c>
      <c r="I1" t="e">
        <f>VLOOKUP(J1, Dropdowns!N:O, 2, FALSE)</f>
        <v>#N/A</v>
      </c>
    </row>
    <row r="2" spans="1:27" s="9" customFormat="1" ht="15" customHeight="1" x14ac:dyDescent="0.25">
      <c r="A2" s="1" t="s">
        <v>1098</v>
      </c>
      <c r="B2" s="27" t="str">
        <f>IFERROR(VLOOKUP(A2,VLOOKUPS!$A$2:B$12589,2,FALSE),"")</f>
        <v/>
      </c>
      <c r="C2" s="2" t="s">
        <v>0</v>
      </c>
      <c r="D2" s="3" t="s">
        <v>1</v>
      </c>
      <c r="E2" s="4" t="s">
        <v>2</v>
      </c>
      <c r="F2" s="4" t="s">
        <v>3</v>
      </c>
      <c r="G2" s="5" t="s">
        <v>4</v>
      </c>
      <c r="H2" s="5" t="s">
        <v>5</v>
      </c>
      <c r="I2" s="5" t="s">
        <v>6</v>
      </c>
      <c r="J2" s="6" t="s">
        <v>7</v>
      </c>
      <c r="K2" s="6" t="s">
        <v>8</v>
      </c>
      <c r="L2" s="6" t="s">
        <v>15</v>
      </c>
      <c r="M2" s="6" t="s">
        <v>16</v>
      </c>
      <c r="N2" s="6" t="s">
        <v>17</v>
      </c>
      <c r="O2" s="3" t="s">
        <v>1109</v>
      </c>
      <c r="P2" s="3" t="s">
        <v>13</v>
      </c>
      <c r="Q2" s="7" t="s">
        <v>14</v>
      </c>
      <c r="R2" s="8"/>
      <c r="S2" s="8"/>
      <c r="T2" s="8"/>
      <c r="U2" s="8"/>
      <c r="V2" s="8"/>
      <c r="W2" s="8"/>
      <c r="X2" s="8"/>
      <c r="Y2" s="8"/>
      <c r="Z2" s="8"/>
      <c r="AA2" s="8"/>
    </row>
    <row r="3" spans="1:27" s="8" customFormat="1" x14ac:dyDescent="0.25">
      <c r="A3" s="8">
        <v>984541</v>
      </c>
      <c r="B3" s="22" t="str">
        <f>IFERROR(VLOOKUP(A3,VLOOKUPS!$A$2:B$12589,2,FALSE),"")</f>
        <v>Blueberries 1pt-standard</v>
      </c>
      <c r="C3" s="11"/>
      <c r="D3" s="10"/>
      <c r="E3" s="12">
        <v>2.89</v>
      </c>
      <c r="F3" s="12">
        <v>2.64</v>
      </c>
      <c r="G3" s="13">
        <v>44306</v>
      </c>
      <c r="H3" s="13"/>
      <c r="I3" s="22" t="str">
        <f>VLOOKUP(J3, Dropdowns!N:O, 2, FALSE)</f>
        <v>Standard</v>
      </c>
      <c r="J3" s="10" t="s">
        <v>761</v>
      </c>
      <c r="K3" s="10"/>
      <c r="L3" s="10" t="s">
        <v>732</v>
      </c>
      <c r="M3" s="10" t="s">
        <v>736</v>
      </c>
      <c r="N3" s="10" t="s">
        <v>736</v>
      </c>
    </row>
    <row r="4" spans="1:27" x14ac:dyDescent="0.25">
      <c r="A4" s="8">
        <v>984620</v>
      </c>
      <c r="B4" s="22" t="str">
        <f>IFERROR(VLOOKUP(A4,VLOOKUPS!$A$2:B$12589,2,FALSE),"")</f>
        <v>Raspberries 6oz-standard</v>
      </c>
      <c r="C4" s="11"/>
      <c r="D4" s="10"/>
      <c r="E4" s="12">
        <v>2.79</v>
      </c>
      <c r="F4" s="12">
        <v>2.82</v>
      </c>
      <c r="G4" s="13">
        <v>44306</v>
      </c>
      <c r="H4" s="13"/>
      <c r="I4" s="22" t="str">
        <f>VLOOKUP(J4, Dropdowns!N:O, 2, FALSE)</f>
        <v>Standard</v>
      </c>
      <c r="J4" s="10" t="s">
        <v>761</v>
      </c>
      <c r="K4" s="10"/>
      <c r="L4" s="10" t="s">
        <v>732</v>
      </c>
      <c r="M4" s="10" t="s">
        <v>736</v>
      </c>
      <c r="N4" s="10" t="s">
        <v>736</v>
      </c>
      <c r="O4" s="8"/>
    </row>
    <row r="5" spans="1:27" x14ac:dyDescent="0.25">
      <c r="A5" s="8">
        <v>984621</v>
      </c>
      <c r="B5" s="22" t="str">
        <f>IFERROR(VLOOKUP(A5,VLOOKUPS!$A$2:B$12589,2,FALSE),"")</f>
        <v>Raspberries 12oz-standard</v>
      </c>
      <c r="C5" s="11"/>
      <c r="D5" s="10"/>
      <c r="E5" s="12">
        <v>4.99</v>
      </c>
      <c r="F5" s="12">
        <v>4.96</v>
      </c>
      <c r="G5" s="13">
        <v>44306</v>
      </c>
      <c r="H5" s="13"/>
      <c r="I5" s="22" t="str">
        <f>VLOOKUP(J5, Dropdowns!N:O, 2, FALSE)</f>
        <v>Standard</v>
      </c>
      <c r="J5" s="10" t="s">
        <v>761</v>
      </c>
      <c r="K5" s="10"/>
      <c r="L5" s="10" t="s">
        <v>732</v>
      </c>
      <c r="M5" s="10" t="s">
        <v>736</v>
      </c>
      <c r="N5" s="10" t="s">
        <v>736</v>
      </c>
      <c r="O5" s="8"/>
    </row>
    <row r="6" spans="1:27" x14ac:dyDescent="0.25">
      <c r="A6" s="8">
        <v>985011</v>
      </c>
      <c r="B6" s="22" t="str">
        <f>IFERROR(VLOOKUP(A6,VLOOKUPS!$A$2:B$12589,2,FALSE),"")</f>
        <v>Lettuce Butter 1ct-standard</v>
      </c>
      <c r="C6" s="11"/>
      <c r="D6" s="10"/>
      <c r="E6" s="12">
        <v>1.99</v>
      </c>
      <c r="F6" s="12">
        <v>2.29</v>
      </c>
      <c r="G6" s="13">
        <v>44306</v>
      </c>
      <c r="H6" s="13"/>
      <c r="I6" s="22" t="str">
        <f>VLOOKUP(J6, Dropdowns!N:O, 2, FALSE)</f>
        <v>Standard</v>
      </c>
      <c r="J6" s="10" t="s">
        <v>761</v>
      </c>
      <c r="K6" s="10"/>
      <c r="L6" s="10" t="s">
        <v>732</v>
      </c>
      <c r="M6" s="10" t="s">
        <v>736</v>
      </c>
      <c r="N6" s="10" t="s">
        <v>736</v>
      </c>
      <c r="O6" s="8"/>
    </row>
    <row r="7" spans="1:27" x14ac:dyDescent="0.25">
      <c r="A7" s="8">
        <v>985111</v>
      </c>
      <c r="B7" s="22" t="str">
        <f>IFERROR(VLOOKUP(A7,VLOOKUPS!$A$2:B$12589,2,FALSE),"")</f>
        <v>Lettuce Mixed 1ct-standard</v>
      </c>
      <c r="C7" s="11"/>
      <c r="D7" s="10"/>
      <c r="E7" s="12">
        <v>1.99</v>
      </c>
      <c r="F7" s="12">
        <v>2.29</v>
      </c>
      <c r="G7" s="13">
        <v>44306</v>
      </c>
      <c r="H7" s="13"/>
      <c r="I7" s="22" t="str">
        <f>VLOOKUP(J7, Dropdowns!N:O, 2, FALSE)</f>
        <v>Standard</v>
      </c>
      <c r="J7" s="10" t="s">
        <v>761</v>
      </c>
      <c r="K7" s="10"/>
      <c r="L7" s="10" t="s">
        <v>732</v>
      </c>
      <c r="M7" s="10" t="s">
        <v>736</v>
      </c>
      <c r="N7" s="10" t="s">
        <v>736</v>
      </c>
      <c r="O7" s="8"/>
    </row>
    <row r="8" spans="1:27" x14ac:dyDescent="0.25">
      <c r="A8" s="8">
        <v>985760</v>
      </c>
      <c r="B8" s="22" t="str">
        <f>IFERROR(VLOOKUP(A8,VLOOKUPS!$A$2:B$12589,2,FALSE),"")</f>
        <v>Asparagus 1lb-standard</v>
      </c>
      <c r="C8" s="11"/>
      <c r="D8" s="10"/>
      <c r="E8" s="12">
        <v>2.99</v>
      </c>
      <c r="F8" s="12">
        <v>1.99</v>
      </c>
      <c r="G8" s="13">
        <v>44306</v>
      </c>
      <c r="H8" s="13">
        <v>44307</v>
      </c>
      <c r="I8" s="22" t="str">
        <f>VLOOKUP(J8, Dropdowns!N:O, 2, FALSE)</f>
        <v>Lower Price</v>
      </c>
      <c r="J8" s="10" t="s">
        <v>759</v>
      </c>
      <c r="K8" s="10"/>
      <c r="L8" s="10" t="s">
        <v>732</v>
      </c>
      <c r="M8" s="10" t="s">
        <v>9</v>
      </c>
      <c r="N8" s="10" t="s">
        <v>736</v>
      </c>
      <c r="O8" s="8"/>
    </row>
    <row r="9" spans="1:27" x14ac:dyDescent="0.25">
      <c r="A9" s="10">
        <v>985760</v>
      </c>
      <c r="B9" s="22" t="str">
        <f>IFERROR(VLOOKUP(A9,VLOOKUPS!$A$2:B$12589,2,FALSE),"")</f>
        <v>Asparagus 1lb-standard</v>
      </c>
      <c r="C9" s="11"/>
      <c r="D9" s="10"/>
      <c r="E9" s="12">
        <v>1.99</v>
      </c>
      <c r="F9" s="12">
        <v>2.99</v>
      </c>
      <c r="G9" s="13">
        <v>44308</v>
      </c>
      <c r="H9" s="13"/>
      <c r="I9" s="22" t="str">
        <f>VLOOKUP(J9, Dropdowns!N:O, 2, FALSE)</f>
        <v>Standard</v>
      </c>
      <c r="J9" s="10" t="s">
        <v>760</v>
      </c>
      <c r="K9" s="10"/>
      <c r="L9" s="10" t="s">
        <v>732</v>
      </c>
      <c r="M9" s="10" t="s">
        <v>9</v>
      </c>
      <c r="N9" s="10" t="s">
        <v>736</v>
      </c>
      <c r="O9" s="8"/>
    </row>
    <row r="10" spans="1:27" x14ac:dyDescent="0.25">
      <c r="A10" s="10">
        <v>988703</v>
      </c>
      <c r="B10" s="22" t="str">
        <f>IFERROR(VLOOKUP(A10,VLOOKUPS!$A$2:B$12589,2,FALSE),"")</f>
        <v>Collard Greens 16oz-standard</v>
      </c>
      <c r="C10" s="11"/>
      <c r="D10" s="10"/>
      <c r="E10" s="12">
        <v>2.25</v>
      </c>
      <c r="F10" s="12">
        <v>1.35</v>
      </c>
      <c r="G10" s="13">
        <v>44306</v>
      </c>
      <c r="H10" s="13">
        <v>44307</v>
      </c>
      <c r="I10" s="22" t="str">
        <f>VLOOKUP(J10, Dropdowns!N:O, 2, FALSE)</f>
        <v>Lower Price</v>
      </c>
      <c r="J10" s="10" t="s">
        <v>759</v>
      </c>
      <c r="K10" s="10"/>
      <c r="L10" s="10" t="s">
        <v>732</v>
      </c>
      <c r="M10" s="10" t="s">
        <v>9</v>
      </c>
      <c r="N10" s="10" t="s">
        <v>736</v>
      </c>
      <c r="O10" s="8"/>
    </row>
    <row r="11" spans="1:27" x14ac:dyDescent="0.25">
      <c r="A11" s="10">
        <v>988703</v>
      </c>
      <c r="B11" s="22" t="str">
        <f>IFERROR(VLOOKUP(A11,VLOOKUPS!$A$2:B$12589,2,FALSE),"")</f>
        <v>Collard Greens 16oz-standard</v>
      </c>
      <c r="C11" s="11"/>
      <c r="D11" s="10"/>
      <c r="E11" s="12">
        <v>1.35</v>
      </c>
      <c r="F11" s="12">
        <v>2.25</v>
      </c>
      <c r="G11" s="13">
        <v>44308</v>
      </c>
      <c r="H11" s="13"/>
      <c r="I11" s="22" t="str">
        <f>VLOOKUP(J11, Dropdowns!N:O, 2, FALSE)</f>
        <v>Standard</v>
      </c>
      <c r="J11" s="10" t="s">
        <v>760</v>
      </c>
      <c r="K11" s="10"/>
      <c r="L11" s="10" t="s">
        <v>732</v>
      </c>
      <c r="M11" s="10" t="s">
        <v>9</v>
      </c>
      <c r="N11" s="10" t="s">
        <v>736</v>
      </c>
      <c r="O11" s="8"/>
    </row>
    <row r="12" spans="1:27" x14ac:dyDescent="0.25">
      <c r="A12" s="10">
        <v>995045</v>
      </c>
      <c r="B12" s="22" t="str">
        <f>IFERROR(VLOOKUP(A12,VLOOKUPS!$A$2:B$12589,2,FALSE),"")</f>
        <v>Fajita Blend 12oz-standard</v>
      </c>
      <c r="C12" s="11"/>
      <c r="D12" s="10"/>
      <c r="E12" s="12">
        <v>3.59</v>
      </c>
      <c r="F12" s="12">
        <v>2.59</v>
      </c>
      <c r="G12" s="13">
        <v>44306</v>
      </c>
      <c r="H12" s="13">
        <v>44307</v>
      </c>
      <c r="I12" s="22" t="str">
        <f>VLOOKUP(J12, Dropdowns!N:O, 2, FALSE)</f>
        <v>Lower Price</v>
      </c>
      <c r="J12" s="10" t="s">
        <v>759</v>
      </c>
      <c r="K12" s="10"/>
      <c r="L12" s="10" t="s">
        <v>733</v>
      </c>
      <c r="M12" s="10" t="s">
        <v>11</v>
      </c>
      <c r="N12" s="10" t="s">
        <v>740</v>
      </c>
      <c r="O12" s="8"/>
    </row>
    <row r="13" spans="1:27" x14ac:dyDescent="0.25">
      <c r="A13" s="10">
        <v>995045</v>
      </c>
      <c r="B13" s="22" t="str">
        <f>IFERROR(VLOOKUP(A13,VLOOKUPS!$A$2:B$12589,2,FALSE),"")</f>
        <v>Fajita Blend 12oz-standard</v>
      </c>
      <c r="C13" s="11"/>
      <c r="D13" s="10"/>
      <c r="E13" s="12">
        <v>2.59</v>
      </c>
      <c r="F13" s="12">
        <v>3.59</v>
      </c>
      <c r="G13" s="13">
        <v>44308</v>
      </c>
      <c r="H13" s="13"/>
      <c r="I13" s="22" t="str">
        <f>VLOOKUP(J13, Dropdowns!N:O, 2, FALSE)</f>
        <v>Standard</v>
      </c>
      <c r="J13" s="10" t="s">
        <v>760</v>
      </c>
      <c r="K13" s="10"/>
      <c r="L13" s="10" t="s">
        <v>733</v>
      </c>
      <c r="M13" s="10" t="s">
        <v>11</v>
      </c>
      <c r="N13" s="10" t="s">
        <v>740</v>
      </c>
      <c r="O13" s="8"/>
    </row>
    <row r="14" spans="1:27" x14ac:dyDescent="0.25">
      <c r="A14" s="10">
        <v>995081</v>
      </c>
      <c r="B14" s="22" t="str">
        <f>IFERROR(VLOOKUP(A14,VLOOKUPS!$A$2:B$12589,2,FALSE),"")</f>
        <v>Diced Green Peppers 8oz-standard</v>
      </c>
      <c r="C14" s="11"/>
      <c r="D14" s="10"/>
      <c r="E14" s="12">
        <v>1.49</v>
      </c>
      <c r="F14" s="12">
        <v>0.89</v>
      </c>
      <c r="G14" s="13">
        <v>44306</v>
      </c>
      <c r="H14" s="13">
        <v>44307</v>
      </c>
      <c r="I14" s="22" t="str">
        <f>VLOOKUP(J14, Dropdowns!N:O, 2, FALSE)</f>
        <v>Lower Price</v>
      </c>
      <c r="J14" s="10" t="s">
        <v>759</v>
      </c>
      <c r="K14" s="10"/>
      <c r="L14" s="10" t="s">
        <v>732</v>
      </c>
      <c r="M14" s="17" t="s">
        <v>9</v>
      </c>
      <c r="N14" s="17" t="s">
        <v>736</v>
      </c>
      <c r="O14" s="8"/>
    </row>
    <row r="15" spans="1:27" x14ac:dyDescent="0.25">
      <c r="A15" s="10">
        <v>995081</v>
      </c>
      <c r="B15" s="22" t="str">
        <f>IFERROR(VLOOKUP(A15,VLOOKUPS!$A$2:B$12589,2,FALSE),"")</f>
        <v>Diced Green Peppers 8oz-standard</v>
      </c>
      <c r="C15" s="11"/>
      <c r="D15" s="10"/>
      <c r="E15" s="12">
        <v>0.89</v>
      </c>
      <c r="F15" s="12">
        <v>1.49</v>
      </c>
      <c r="G15" s="13">
        <v>44308</v>
      </c>
      <c r="H15" s="13"/>
      <c r="I15" s="22" t="str">
        <f>VLOOKUP(J15, Dropdowns!N:O, 2, FALSE)</f>
        <v>Standard</v>
      </c>
      <c r="J15" s="10" t="s">
        <v>760</v>
      </c>
      <c r="K15" s="10"/>
      <c r="L15" s="10" t="s">
        <v>732</v>
      </c>
      <c r="M15" s="17" t="s">
        <v>9</v>
      </c>
      <c r="N15" s="17" t="s">
        <v>736</v>
      </c>
      <c r="O15" s="8"/>
    </row>
    <row r="16" spans="1:27" x14ac:dyDescent="0.25">
      <c r="A16" s="10">
        <v>995115</v>
      </c>
      <c r="B16" s="22" t="str">
        <f>IFERROR(VLOOKUP(A16,VLOOKUPS!$A$2:B$12589,2,FALSE),"")</f>
        <v>Pineapple Chunks 10oz-standard</v>
      </c>
      <c r="C16" s="11"/>
      <c r="D16" s="10"/>
      <c r="E16" s="12">
        <v>2.29</v>
      </c>
      <c r="F16" s="12">
        <v>1.59</v>
      </c>
      <c r="G16" s="13">
        <v>44306</v>
      </c>
      <c r="H16" s="13">
        <v>44307</v>
      </c>
      <c r="I16" s="22" t="str">
        <f>VLOOKUP(J16, Dropdowns!N:O, 2, FALSE)</f>
        <v>Lower Price</v>
      </c>
      <c r="J16" s="10" t="s">
        <v>759</v>
      </c>
      <c r="K16" s="10"/>
      <c r="L16" s="10" t="s">
        <v>732</v>
      </c>
      <c r="M16" s="17" t="s">
        <v>736</v>
      </c>
      <c r="N16" s="17" t="s">
        <v>736</v>
      </c>
      <c r="O16" s="8"/>
    </row>
    <row r="17" spans="1:15" x14ac:dyDescent="0.25">
      <c r="A17" s="10">
        <v>995115</v>
      </c>
      <c r="B17" s="22" t="str">
        <f>IFERROR(VLOOKUP(A17,VLOOKUPS!$A$2:B$12589,2,FALSE),"")</f>
        <v>Pineapple Chunks 10oz-standard</v>
      </c>
      <c r="E17" s="12">
        <v>1.59</v>
      </c>
      <c r="F17" s="12">
        <v>2.29</v>
      </c>
      <c r="G17" s="13">
        <v>44308</v>
      </c>
      <c r="H17" s="13"/>
      <c r="I17" s="22" t="str">
        <f>VLOOKUP(J17, Dropdowns!N:O, 2, FALSE)</f>
        <v>Standard</v>
      </c>
      <c r="J17" s="10" t="s">
        <v>760</v>
      </c>
      <c r="K17" s="10"/>
      <c r="L17" s="10" t="s">
        <v>732</v>
      </c>
      <c r="M17" s="17" t="s">
        <v>736</v>
      </c>
      <c r="N17" s="17" t="s">
        <v>736</v>
      </c>
      <c r="O17" s="8"/>
    </row>
    <row r="18" spans="1:15" x14ac:dyDescent="0.25">
      <c r="A18" s="10">
        <v>982430</v>
      </c>
      <c r="B18" s="22" t="str">
        <f>IFERROR(VLOOKUP(A18,VLOOKUPS!$A$2:B$12589,2,FALSE),"")</f>
        <v>Plums 2lb-standard</v>
      </c>
      <c r="E18" s="12">
        <v>3.49</v>
      </c>
      <c r="F18" s="12">
        <v>3.79</v>
      </c>
      <c r="G18" s="13">
        <v>44306</v>
      </c>
      <c r="H18" s="13"/>
      <c r="I18" s="22" t="str">
        <f>VLOOKUP(J18, Dropdowns!N:O, 2, FALSE)</f>
        <v>Standard</v>
      </c>
      <c r="J18" s="10" t="s">
        <v>761</v>
      </c>
      <c r="K18" s="10"/>
      <c r="L18" s="10" t="s">
        <v>732</v>
      </c>
      <c r="M18" s="17" t="s">
        <v>736</v>
      </c>
      <c r="N18" s="17" t="s">
        <v>736</v>
      </c>
      <c r="O18" s="8"/>
    </row>
    <row r="19" spans="1:15" x14ac:dyDescent="0.25">
      <c r="A19" s="10">
        <v>982650</v>
      </c>
      <c r="B19" s="22" t="str">
        <f>IFERROR(VLOOKUP(A19,VLOOKUPS!$A$2:B$12589,2,FALSE),"")</f>
        <v>Grapes* Green Seedless 1lb-LOOSE</v>
      </c>
      <c r="E19" s="12">
        <v>1.99</v>
      </c>
      <c r="F19" s="12">
        <v>2.19</v>
      </c>
      <c r="G19" s="13">
        <v>44306</v>
      </c>
      <c r="H19" s="13"/>
      <c r="I19" s="22" t="str">
        <f>VLOOKUP(J19, Dropdowns!N:O, 2, FALSE)</f>
        <v>Standard</v>
      </c>
      <c r="J19" s="10" t="s">
        <v>761</v>
      </c>
      <c r="K19" s="10"/>
      <c r="L19" s="10" t="s">
        <v>732</v>
      </c>
      <c r="M19" s="17" t="s">
        <v>736</v>
      </c>
      <c r="N19" s="17" t="s">
        <v>736</v>
      </c>
      <c r="O19" s="8"/>
    </row>
    <row r="20" spans="1:15" x14ac:dyDescent="0.25">
      <c r="A20" s="10">
        <v>982830</v>
      </c>
      <c r="B20" s="22" t="str">
        <f>IFERROR(VLOOKUP(A20,VLOOKUPS!$A$2:B$12589,2,FALSE),"")</f>
        <v>Grapes* Black Seedless 1lb-LOOSE</v>
      </c>
      <c r="E20" s="12">
        <v>1.89</v>
      </c>
      <c r="F20" s="12">
        <v>1.59</v>
      </c>
      <c r="G20" s="13">
        <v>44306</v>
      </c>
      <c r="H20" s="13"/>
      <c r="I20" s="22" t="str">
        <f>VLOOKUP(J20, Dropdowns!N:O, 2, FALSE)</f>
        <v>Standard</v>
      </c>
      <c r="J20" s="10" t="s">
        <v>761</v>
      </c>
      <c r="K20" s="10"/>
      <c r="L20" s="10" t="s">
        <v>732</v>
      </c>
      <c r="M20" s="17" t="s">
        <v>736</v>
      </c>
      <c r="N20" s="17" t="s">
        <v>736</v>
      </c>
      <c r="O20" s="8"/>
    </row>
    <row r="21" spans="1:15" x14ac:dyDescent="0.25">
      <c r="A21" s="10">
        <v>995051</v>
      </c>
      <c r="B21" s="22" t="str">
        <f>IFERROR(VLOOKUP(A21,VLOOKUPS!$A$2:B$12589,2,FALSE),"")</f>
        <v>Mild Fresh Chopped Salsa 16oz-standard</v>
      </c>
      <c r="E21" s="12">
        <v>3.49</v>
      </c>
      <c r="F21" s="12">
        <v>2.4900000000000002</v>
      </c>
      <c r="G21" s="13">
        <v>44307</v>
      </c>
      <c r="H21" s="13">
        <v>44308</v>
      </c>
      <c r="I21" s="22" t="str">
        <f>VLOOKUP(J21, Dropdowns!N:O, 2, FALSE)</f>
        <v>Lower Price</v>
      </c>
      <c r="J21" s="10" t="s">
        <v>759</v>
      </c>
      <c r="K21" s="10"/>
      <c r="L21" s="10" t="s">
        <v>732</v>
      </c>
      <c r="M21" s="17" t="s">
        <v>9</v>
      </c>
      <c r="N21" s="17" t="s">
        <v>736</v>
      </c>
      <c r="O21" s="8"/>
    </row>
    <row r="22" spans="1:15" x14ac:dyDescent="0.25">
      <c r="A22" s="10">
        <v>995051</v>
      </c>
      <c r="B22" s="22" t="str">
        <f>IFERROR(VLOOKUP(A22,VLOOKUPS!$A$2:B$12589,2,FALSE),"")</f>
        <v>Mild Fresh Chopped Salsa 16oz-standard</v>
      </c>
      <c r="E22" s="12">
        <v>2.4900000000000002</v>
      </c>
      <c r="F22" s="12">
        <v>3.49</v>
      </c>
      <c r="G22" s="13">
        <v>44309</v>
      </c>
      <c r="H22" s="13"/>
      <c r="I22" s="22" t="str">
        <f>VLOOKUP(J22, Dropdowns!N:O, 2, FALSE)</f>
        <v>Standard</v>
      </c>
      <c r="J22" s="10" t="s">
        <v>760</v>
      </c>
      <c r="K22" s="10"/>
      <c r="L22" s="10" t="s">
        <v>732</v>
      </c>
      <c r="M22" s="17" t="s">
        <v>9</v>
      </c>
      <c r="N22" s="17" t="s">
        <v>736</v>
      </c>
      <c r="O22" s="8"/>
    </row>
    <row r="23" spans="1:15" x14ac:dyDescent="0.25">
      <c r="A23" s="10">
        <v>995127</v>
      </c>
      <c r="B23" s="22" t="str">
        <f>IFERROR(VLOOKUP(A23,VLOOKUPS!$A$2:B$12589,2,FALSE),"")</f>
        <v>Coin Squash Mix 12oz-standard</v>
      </c>
      <c r="E23" s="12">
        <v>2.99</v>
      </c>
      <c r="F23" s="12">
        <v>1.99</v>
      </c>
      <c r="G23" s="13">
        <v>44307</v>
      </c>
      <c r="H23" s="13">
        <v>44308</v>
      </c>
      <c r="I23" s="22" t="str">
        <f>VLOOKUP(J23, Dropdowns!N:O, 2, FALSE)</f>
        <v>Lower Price</v>
      </c>
      <c r="J23" s="10" t="s">
        <v>759</v>
      </c>
      <c r="K23" s="10"/>
      <c r="L23" s="10" t="s">
        <v>732</v>
      </c>
      <c r="M23" s="17" t="s">
        <v>735</v>
      </c>
      <c r="N23" s="17" t="s">
        <v>736</v>
      </c>
      <c r="O23" s="8"/>
    </row>
    <row r="24" spans="1:15" x14ac:dyDescent="0.25">
      <c r="A24" s="10">
        <v>995127</v>
      </c>
      <c r="B24" s="22" t="str">
        <f>IFERROR(VLOOKUP(A24,VLOOKUPS!$A$2:B$12589,2,FALSE),"")</f>
        <v>Coin Squash Mix 12oz-standard</v>
      </c>
      <c r="E24" s="12">
        <v>1.99</v>
      </c>
      <c r="F24" s="12">
        <v>2.99</v>
      </c>
      <c r="G24" s="13">
        <v>44309</v>
      </c>
      <c r="H24" s="13"/>
      <c r="I24" s="22" t="str">
        <f>VLOOKUP(J24, Dropdowns!N:O, 2, FALSE)</f>
        <v>Standard</v>
      </c>
      <c r="J24" s="10" t="s">
        <v>760</v>
      </c>
      <c r="K24" s="10"/>
      <c r="L24" s="10" t="s">
        <v>732</v>
      </c>
      <c r="M24" s="17" t="s">
        <v>735</v>
      </c>
      <c r="N24" s="17" t="s">
        <v>736</v>
      </c>
      <c r="O24" s="8"/>
    </row>
    <row r="25" spans="1:15" x14ac:dyDescent="0.25">
      <c r="A25" s="10">
        <v>995134</v>
      </c>
      <c r="B25" s="22" t="str">
        <f>IFERROR(VLOOKUP(A25,VLOOKUPS!$A$2:B$12589,2,FALSE),"")</f>
        <v>Mirepoix 10oz-standard</v>
      </c>
      <c r="E25" s="12">
        <v>2.62</v>
      </c>
      <c r="F25" s="12">
        <v>1.62</v>
      </c>
      <c r="G25" s="13">
        <v>44307</v>
      </c>
      <c r="H25" s="13">
        <v>44308</v>
      </c>
      <c r="I25" s="22" t="str">
        <f>VLOOKUP(J25, Dropdowns!N:O, 2, FALSE)</f>
        <v>Lower Price</v>
      </c>
      <c r="J25" s="10" t="s">
        <v>759</v>
      </c>
      <c r="K25" s="10"/>
      <c r="L25" s="10" t="s">
        <v>732</v>
      </c>
      <c r="M25" s="17" t="s">
        <v>738</v>
      </c>
      <c r="N25" s="17">
        <v>2</v>
      </c>
      <c r="O25" s="8"/>
    </row>
    <row r="26" spans="1:15" x14ac:dyDescent="0.25">
      <c r="A26" s="10">
        <v>995134</v>
      </c>
      <c r="B26" s="22" t="str">
        <f>IFERROR(VLOOKUP(A26,VLOOKUPS!$A$2:B$12589,2,FALSE),"")</f>
        <v>Mirepoix 10oz-standard</v>
      </c>
      <c r="E26" s="12">
        <v>1.62</v>
      </c>
      <c r="F26" s="12">
        <v>2.62</v>
      </c>
      <c r="G26" s="13">
        <v>44309</v>
      </c>
      <c r="H26" s="13"/>
      <c r="I26" s="22" t="str">
        <f>VLOOKUP(J26, Dropdowns!N:O, 2, FALSE)</f>
        <v>Standard</v>
      </c>
      <c r="J26" s="10" t="s">
        <v>760</v>
      </c>
      <c r="K26" s="10"/>
      <c r="L26" s="10" t="s">
        <v>732</v>
      </c>
      <c r="M26" s="17" t="s">
        <v>738</v>
      </c>
      <c r="N26" s="17">
        <v>2</v>
      </c>
      <c r="O26" s="8"/>
    </row>
    <row r="27" spans="1:15" x14ac:dyDescent="0.25">
      <c r="A27" s="10">
        <v>988620</v>
      </c>
      <c r="B27" s="22" t="str">
        <f>IFERROR(VLOOKUP(A27,VLOOKUPS!$A$2:B$12589,2,FALSE),"")</f>
        <v>Brussels Sprouts 1lb-standard</v>
      </c>
      <c r="E27" s="12"/>
      <c r="F27" s="12"/>
      <c r="G27" s="13">
        <v>44307</v>
      </c>
      <c r="H27" s="13">
        <v>44313</v>
      </c>
      <c r="I27" s="22" t="str">
        <f>VLOOKUP(J27, Dropdowns!N:O, 2, FALSE)</f>
        <v>Lower Price</v>
      </c>
      <c r="J27" s="10" t="s">
        <v>753</v>
      </c>
      <c r="K27" s="10"/>
      <c r="L27" s="10" t="s">
        <v>732</v>
      </c>
      <c r="M27" s="17" t="s">
        <v>736</v>
      </c>
      <c r="N27" s="17" t="s">
        <v>736</v>
      </c>
      <c r="O27" s="8"/>
    </row>
    <row r="28" spans="1:15" x14ac:dyDescent="0.25">
      <c r="A28" s="10">
        <v>995015</v>
      </c>
      <c r="B28" s="22" t="str">
        <f>IFERROR(VLOOKUP(A28,VLOOKUPS!$A$2:B$12589,2,FALSE),"")</f>
        <v>Savory Spinach Dijon Salad 4.9oz-standard</v>
      </c>
      <c r="E28" s="12"/>
      <c r="F28" s="12"/>
      <c r="G28" s="13">
        <v>44307</v>
      </c>
      <c r="H28" s="13">
        <v>44313</v>
      </c>
      <c r="I28" s="22" t="str">
        <f>VLOOKUP(J28, Dropdowns!N:O, 2, FALSE)</f>
        <v>Lower Price</v>
      </c>
      <c r="J28" s="10" t="s">
        <v>753</v>
      </c>
      <c r="K28" s="10"/>
      <c r="L28" s="10" t="s">
        <v>732</v>
      </c>
      <c r="M28" s="17" t="s">
        <v>736</v>
      </c>
      <c r="N28" s="17" t="s">
        <v>736</v>
      </c>
      <c r="O28" s="8"/>
    </row>
    <row r="29" spans="1:15" x14ac:dyDescent="0.25">
      <c r="A29" s="10">
        <v>995039</v>
      </c>
      <c r="B29" s="22" t="str">
        <f>IFERROR(VLOOKUP(A29,VLOOKUPS!$A$2:B$12589,2,FALSE),"")</f>
        <v>Mushrooms Bacon Stuffed 7oz-standard</v>
      </c>
      <c r="E29" s="12"/>
      <c r="F29" s="12"/>
      <c r="G29" s="13">
        <v>44307</v>
      </c>
      <c r="H29" s="13">
        <v>44313</v>
      </c>
      <c r="I29" s="22" t="str">
        <f>VLOOKUP(J29, Dropdowns!N:O, 2, FALSE)</f>
        <v>Lower Price</v>
      </c>
      <c r="J29" s="10" t="s">
        <v>753</v>
      </c>
      <c r="L29" s="10" t="s">
        <v>732</v>
      </c>
      <c r="M29" s="17" t="s">
        <v>736</v>
      </c>
      <c r="N29" s="17" t="s">
        <v>736</v>
      </c>
    </row>
    <row r="30" spans="1:15" x14ac:dyDescent="0.25">
      <c r="A30" s="10">
        <v>995086</v>
      </c>
      <c r="B30" s="22" t="str">
        <f>IFERROR(VLOOKUP(A30,VLOOKUPS!$A$2:B$12589,2,FALSE),"")</f>
        <v>Eat Smart Broccoli Florets 2lbs-standard</v>
      </c>
      <c r="E30" s="12"/>
      <c r="F30" s="12"/>
      <c r="G30" s="13">
        <v>44307</v>
      </c>
      <c r="H30" s="13">
        <v>44313</v>
      </c>
      <c r="I30" s="22" t="str">
        <f>VLOOKUP(J30, Dropdowns!N:O, 2, FALSE)</f>
        <v>Lower Price</v>
      </c>
      <c r="J30" s="10" t="s">
        <v>753</v>
      </c>
      <c r="L30" s="10" t="s">
        <v>732</v>
      </c>
      <c r="M30" s="17" t="s">
        <v>736</v>
      </c>
      <c r="N30" s="17" t="s">
        <v>736</v>
      </c>
    </row>
    <row r="31" spans="1:15" x14ac:dyDescent="0.25">
      <c r="A31" s="10">
        <v>995001</v>
      </c>
      <c r="B31" s="22" t="str">
        <f>IFERROR(VLOOKUP(A31,VLOOKUPS!$A$2:B$12589,2,FALSE),"")</f>
        <v>Spinach Baby 6oz-standard</v>
      </c>
      <c r="E31" s="12">
        <v>1.29</v>
      </c>
      <c r="F31" s="12">
        <v>1.79</v>
      </c>
      <c r="G31" s="13">
        <v>44307</v>
      </c>
      <c r="H31" s="13"/>
      <c r="I31" s="22" t="str">
        <f>VLOOKUP(J31, Dropdowns!N:O, 2, FALSE)</f>
        <v>Standard</v>
      </c>
      <c r="J31" s="10" t="s">
        <v>760</v>
      </c>
      <c r="L31" s="10" t="s">
        <v>732</v>
      </c>
      <c r="M31" s="17" t="s">
        <v>9</v>
      </c>
      <c r="N31" s="17" t="s">
        <v>736</v>
      </c>
    </row>
    <row r="32" spans="1:15" x14ac:dyDescent="0.25">
      <c r="A32" s="10">
        <v>995001</v>
      </c>
      <c r="B32" s="22" t="str">
        <f>IFERROR(VLOOKUP(A32,VLOOKUPS!$A$2:B$12589,2,FALSE),"")</f>
        <v>Spinach Baby 6oz-standard</v>
      </c>
      <c r="E32" s="12"/>
      <c r="F32" s="12"/>
      <c r="G32" s="13">
        <v>44307</v>
      </c>
      <c r="H32" s="13">
        <v>44308</v>
      </c>
      <c r="I32" s="22" t="str">
        <f>VLOOKUP(J32, Dropdowns!N:O, 2, FALSE)</f>
        <v>Lower Price</v>
      </c>
      <c r="J32" s="10" t="s">
        <v>762</v>
      </c>
      <c r="L32" s="10" t="s">
        <v>732</v>
      </c>
      <c r="M32" s="17" t="s">
        <v>738</v>
      </c>
      <c r="N32" s="17">
        <v>2</v>
      </c>
    </row>
    <row r="33" spans="1:14" x14ac:dyDescent="0.25">
      <c r="A33" s="10">
        <v>995004</v>
      </c>
      <c r="B33" s="22" t="str">
        <f>IFERROR(VLOOKUP(A33,VLOOKUPS!$A$2:B$12589,2,FALSE),"")</f>
        <v>Chicken Caesar Salad 6.25oz-standard</v>
      </c>
      <c r="E33" s="12">
        <v>2.39</v>
      </c>
      <c r="F33" s="12">
        <v>2.89</v>
      </c>
      <c r="G33" s="13">
        <v>44307</v>
      </c>
      <c r="H33" s="13"/>
      <c r="I33" s="22" t="str">
        <f>VLOOKUP(J33, Dropdowns!N:O, 2, FALSE)</f>
        <v>Standard</v>
      </c>
      <c r="J33" s="10" t="s">
        <v>760</v>
      </c>
      <c r="L33" s="10" t="s">
        <v>733</v>
      </c>
      <c r="M33" s="17" t="s">
        <v>736</v>
      </c>
      <c r="N33" s="17" t="s">
        <v>740</v>
      </c>
    </row>
    <row r="34" spans="1:14" x14ac:dyDescent="0.25">
      <c r="A34" s="10">
        <v>995004</v>
      </c>
      <c r="B34" s="22" t="str">
        <f>IFERROR(VLOOKUP(A34,VLOOKUPS!$A$2:B$12589,2,FALSE),"")</f>
        <v>Chicken Caesar Salad 6.25oz-standard</v>
      </c>
      <c r="E34" s="12">
        <v>2.4900000000000002</v>
      </c>
      <c r="F34" s="12">
        <v>2.99</v>
      </c>
      <c r="G34" s="13">
        <v>44307</v>
      </c>
      <c r="H34" s="13"/>
      <c r="I34" s="22" t="str">
        <f>VLOOKUP(J34, Dropdowns!N:O, 2, FALSE)</f>
        <v>Standard</v>
      </c>
      <c r="J34" s="10" t="s">
        <v>760</v>
      </c>
      <c r="L34" s="10" t="s">
        <v>734</v>
      </c>
      <c r="M34" s="17" t="s">
        <v>735</v>
      </c>
      <c r="N34" s="17" t="s">
        <v>736</v>
      </c>
    </row>
    <row r="35" spans="1:14" x14ac:dyDescent="0.25">
      <c r="A35" s="10">
        <v>986250</v>
      </c>
      <c r="B35" s="22" t="str">
        <f>IFERROR(VLOOKUP(A35,VLOOKUPS!$A$2:B$12589,2,FALSE),"")</f>
        <v>French Beans 1lb-standard</v>
      </c>
      <c r="C35" s="11"/>
      <c r="D35" s="10"/>
      <c r="E35" s="12">
        <v>1.89</v>
      </c>
      <c r="F35" s="12">
        <v>2.99</v>
      </c>
      <c r="G35" s="13">
        <v>44307</v>
      </c>
      <c r="H35" s="13"/>
      <c r="I35" s="22" t="str">
        <f>VLOOKUP(J35, Dropdowns!N:O, 2, FALSE)</f>
        <v>Standard</v>
      </c>
      <c r="J35" s="10" t="s">
        <v>760</v>
      </c>
      <c r="K35" s="10"/>
      <c r="L35" s="17" t="s">
        <v>732</v>
      </c>
      <c r="M35" s="17" t="s">
        <v>736</v>
      </c>
      <c r="N35" s="17" t="s">
        <v>736</v>
      </c>
    </row>
    <row r="36" spans="1:14" x14ac:dyDescent="0.25">
      <c r="A36" s="10">
        <v>995071</v>
      </c>
      <c r="B36" s="22" t="str">
        <f>IFERROR(VLOOKUP(A36,VLOOKUPS!$A$2:B$12589,2,FALSE),"")</f>
        <v>Broccoli Florets 12oz-standard</v>
      </c>
      <c r="C36" s="11"/>
      <c r="D36" s="10"/>
      <c r="E36" s="12">
        <v>1.99</v>
      </c>
      <c r="F36" s="12">
        <v>2.4900000000000002</v>
      </c>
      <c r="G36" s="13">
        <v>44307</v>
      </c>
      <c r="H36" s="13"/>
      <c r="I36" s="22" t="str">
        <f>VLOOKUP(J36, Dropdowns!N:O, 2, FALSE)</f>
        <v>Standard</v>
      </c>
      <c r="J36" s="10" t="s">
        <v>760</v>
      </c>
      <c r="K36" s="10"/>
      <c r="L36" s="17" t="s">
        <v>733</v>
      </c>
      <c r="M36" s="17" t="s">
        <v>736</v>
      </c>
      <c r="N36" s="17" t="s">
        <v>740</v>
      </c>
    </row>
    <row r="37" spans="1:14" x14ac:dyDescent="0.25">
      <c r="A37" s="10">
        <v>995071</v>
      </c>
      <c r="B37" s="22" t="str">
        <f>IFERROR(VLOOKUP(A37,VLOOKUPS!$A$2:B$12589,2,FALSE),"")</f>
        <v>Broccoli Florets 12oz-standard</v>
      </c>
      <c r="C37" s="11"/>
      <c r="D37" s="10"/>
      <c r="E37" s="12">
        <v>1.99</v>
      </c>
      <c r="F37" s="12">
        <v>2.59</v>
      </c>
      <c r="G37" s="13">
        <v>44307</v>
      </c>
      <c r="H37" s="13"/>
      <c r="I37" s="22" t="str">
        <f>VLOOKUP(J37, Dropdowns!N:O, 2, FALSE)</f>
        <v>Standard</v>
      </c>
      <c r="J37" s="10" t="s">
        <v>760</v>
      </c>
      <c r="K37" s="10"/>
      <c r="L37" s="17" t="s">
        <v>734</v>
      </c>
      <c r="M37" s="17" t="s">
        <v>735</v>
      </c>
      <c r="N37" s="17" t="s">
        <v>736</v>
      </c>
    </row>
    <row r="38" spans="1:14" x14ac:dyDescent="0.25">
      <c r="A38" s="10">
        <v>995006</v>
      </c>
      <c r="B38" s="22" t="str">
        <f>IFERROR(VLOOKUP(A38,VLOOKUPS!$A$2:B$12589,2,FALSE),"")</f>
        <v>Italian Salad 9oz-standard</v>
      </c>
      <c r="C38" s="11"/>
      <c r="D38" s="10"/>
      <c r="E38" s="12"/>
      <c r="F38" s="12"/>
      <c r="G38" s="13">
        <v>44307</v>
      </c>
      <c r="H38" s="13">
        <v>44307</v>
      </c>
      <c r="I38" s="22" t="str">
        <f>VLOOKUP(J38, Dropdowns!N:O, 2, FALSE)</f>
        <v>Lower Price</v>
      </c>
      <c r="J38" s="10" t="s">
        <v>762</v>
      </c>
      <c r="K38" s="10"/>
      <c r="L38" s="17" t="s">
        <v>732</v>
      </c>
      <c r="M38" s="17" t="s">
        <v>9</v>
      </c>
      <c r="N38" s="17" t="s">
        <v>736</v>
      </c>
    </row>
    <row r="39" spans="1:14" x14ac:dyDescent="0.25">
      <c r="A39" s="10">
        <v>995006</v>
      </c>
      <c r="B39" s="22" t="str">
        <f>IFERROR(VLOOKUP(A39,VLOOKUPS!$A$2:B$12589,2,FALSE),"")</f>
        <v>Italian Salad 9oz-standard</v>
      </c>
      <c r="C39" s="11"/>
      <c r="D39" s="10"/>
      <c r="E39" s="12"/>
      <c r="F39" s="12"/>
      <c r="G39" s="13">
        <v>44307</v>
      </c>
      <c r="H39" s="13">
        <v>44309</v>
      </c>
      <c r="I39" s="22" t="str">
        <f>VLOOKUP(J39, Dropdowns!N:O, 2, FALSE)</f>
        <v>Lower Price</v>
      </c>
      <c r="J39" s="10" t="s">
        <v>762</v>
      </c>
      <c r="K39" s="10"/>
      <c r="L39" s="17" t="s">
        <v>732</v>
      </c>
      <c r="M39" s="17" t="s">
        <v>738</v>
      </c>
      <c r="N39" s="17">
        <v>2</v>
      </c>
    </row>
    <row r="40" spans="1:14" x14ac:dyDescent="0.25">
      <c r="A40" s="10">
        <v>988571</v>
      </c>
      <c r="B40" s="22" t="str">
        <f>IFERROR(VLOOKUP(A40,VLOOKUPS!$A$2:B$12589,2,FALSE),"")</f>
        <v>Cauliflower* 1ct-LOOSE</v>
      </c>
      <c r="C40" s="11"/>
      <c r="D40" s="10"/>
      <c r="E40" s="12">
        <v>2.69</v>
      </c>
      <c r="F40" s="12">
        <v>2.77</v>
      </c>
      <c r="G40" s="13">
        <v>44307</v>
      </c>
      <c r="H40" s="13"/>
      <c r="I40" s="22" t="str">
        <f>VLOOKUP(J40, Dropdowns!N:O, 2, FALSE)</f>
        <v>Standard</v>
      </c>
      <c r="J40" s="10" t="s">
        <v>761</v>
      </c>
      <c r="K40" s="10"/>
      <c r="L40" s="17" t="s">
        <v>732</v>
      </c>
      <c r="M40" s="17" t="s">
        <v>736</v>
      </c>
      <c r="N40" s="17" t="s">
        <v>736</v>
      </c>
    </row>
    <row r="41" spans="1:14" x14ac:dyDescent="0.25">
      <c r="A41" s="10">
        <v>995053</v>
      </c>
      <c r="B41" s="22" t="str">
        <f>IFERROR(VLOOKUP(A41,VLOOKUPS!$A$2:B$12589,2,FALSE),"")</f>
        <v>Fresh Chopped Salsa Pico 16oz-standard</v>
      </c>
      <c r="C41" s="11"/>
      <c r="D41" s="10"/>
      <c r="E41" s="12">
        <v>3.49</v>
      </c>
      <c r="F41" s="12">
        <v>3.99</v>
      </c>
      <c r="G41" s="13">
        <v>44307</v>
      </c>
      <c r="H41" s="13"/>
      <c r="I41" s="22" t="str">
        <f>VLOOKUP(J41, Dropdowns!N:O, 2, FALSE)</f>
        <v>Standard</v>
      </c>
      <c r="J41" s="10" t="s">
        <v>761</v>
      </c>
      <c r="K41" s="10"/>
      <c r="L41" s="17" t="s">
        <v>732</v>
      </c>
      <c r="M41" s="17" t="s">
        <v>736</v>
      </c>
      <c r="N41" s="17" t="s">
        <v>736</v>
      </c>
    </row>
    <row r="42" spans="1:14" x14ac:dyDescent="0.25">
      <c r="A42" s="10">
        <v>986250</v>
      </c>
      <c r="B42" s="22" t="str">
        <f>IFERROR(VLOOKUP(A42,VLOOKUPS!$A$2:B$12589,2,FALSE),"")</f>
        <v>French Beans 1lb-standard</v>
      </c>
      <c r="C42" s="11"/>
      <c r="D42" s="10"/>
      <c r="E42" s="12">
        <v>2.99</v>
      </c>
      <c r="F42" s="12">
        <v>1.49</v>
      </c>
      <c r="G42" s="13">
        <v>44308</v>
      </c>
      <c r="H42" s="13">
        <v>44310</v>
      </c>
      <c r="I42" s="22" t="str">
        <f>VLOOKUP(J42, Dropdowns!N:O, 2, FALSE)</f>
        <v>Lower Price</v>
      </c>
      <c r="J42" s="10" t="s">
        <v>759</v>
      </c>
      <c r="K42" s="10"/>
      <c r="L42" s="17" t="s">
        <v>732</v>
      </c>
      <c r="M42" s="17" t="s">
        <v>737</v>
      </c>
      <c r="N42" s="17" t="s">
        <v>736</v>
      </c>
    </row>
    <row r="43" spans="1:14" x14ac:dyDescent="0.25">
      <c r="A43" s="10">
        <v>986250</v>
      </c>
      <c r="B43" s="22" t="str">
        <f>IFERROR(VLOOKUP(A43,VLOOKUPS!$A$2:B$12589,2,FALSE),"")</f>
        <v>French Beans 1lb-standard</v>
      </c>
      <c r="C43" s="11"/>
      <c r="D43" s="10"/>
      <c r="E43" s="12">
        <v>1.49</v>
      </c>
      <c r="F43" s="12">
        <v>2.99</v>
      </c>
      <c r="G43" s="13">
        <v>44311</v>
      </c>
      <c r="H43" s="13"/>
      <c r="I43" s="22" t="str">
        <f>VLOOKUP(J43, Dropdowns!N:O, 2, FALSE)</f>
        <v>Standard</v>
      </c>
      <c r="J43" s="10" t="s">
        <v>760</v>
      </c>
      <c r="K43" s="10"/>
      <c r="L43" s="17" t="s">
        <v>732</v>
      </c>
      <c r="M43" s="17" t="s">
        <v>737</v>
      </c>
      <c r="N43" s="17" t="s">
        <v>736</v>
      </c>
    </row>
    <row r="44" spans="1:14" x14ac:dyDescent="0.25">
      <c r="A44" s="10">
        <v>995006</v>
      </c>
      <c r="B44" s="22" t="str">
        <f>IFERROR(VLOOKUP(A44,VLOOKUPS!$A$2:B$12589,2,FALSE),"")</f>
        <v>Italian Salad 9oz-standard</v>
      </c>
      <c r="C44" s="11"/>
      <c r="D44" s="10"/>
      <c r="E44" s="12">
        <v>1.49</v>
      </c>
      <c r="F44" s="12">
        <v>1.99</v>
      </c>
      <c r="G44" s="13">
        <v>44308</v>
      </c>
      <c r="H44" s="13"/>
      <c r="I44" s="22" t="str">
        <f>VLOOKUP(J44, Dropdowns!N:O, 2, FALSE)</f>
        <v>Standard</v>
      </c>
      <c r="J44" s="10" t="s">
        <v>760</v>
      </c>
      <c r="K44" s="10"/>
      <c r="L44" s="17" t="s">
        <v>732</v>
      </c>
      <c r="M44" s="17" t="s">
        <v>9</v>
      </c>
      <c r="N44" s="17" t="s">
        <v>736</v>
      </c>
    </row>
    <row r="45" spans="1:14" x14ac:dyDescent="0.25">
      <c r="A45" s="10">
        <v>995026</v>
      </c>
      <c r="B45" s="22" t="str">
        <f>IFERROR(VLOOKUP(A45,VLOOKUPS!$A$2:B$12589,2,FALSE),"")</f>
        <v>Baby Arugula 5oz-standard</v>
      </c>
      <c r="C45" s="11"/>
      <c r="D45" s="10"/>
      <c r="E45" s="12">
        <v>1.99</v>
      </c>
      <c r="F45" s="12">
        <v>2.19</v>
      </c>
      <c r="G45" s="13">
        <v>44308</v>
      </c>
      <c r="H45" s="13"/>
      <c r="I45" s="22" t="str">
        <f>VLOOKUP(J45, Dropdowns!N:O, 2, FALSE)</f>
        <v>Standard</v>
      </c>
      <c r="J45" s="10" t="s">
        <v>761</v>
      </c>
      <c r="K45" s="10"/>
      <c r="L45" s="17" t="s">
        <v>733</v>
      </c>
      <c r="M45" s="17" t="s">
        <v>736</v>
      </c>
      <c r="N45" s="17" t="s">
        <v>740</v>
      </c>
    </row>
    <row r="46" spans="1:14" x14ac:dyDescent="0.25">
      <c r="A46" s="10">
        <v>995082</v>
      </c>
      <c r="B46" s="22" t="str">
        <f>IFERROR(VLOOKUP(A46,VLOOKUPS!$A$2:B$12589,2,FALSE),"")</f>
        <v>Melon Trio 16oz-standard</v>
      </c>
      <c r="C46" s="11"/>
      <c r="D46" s="10"/>
      <c r="E46" s="12">
        <v>3.99</v>
      </c>
      <c r="F46" s="12">
        <v>2.99</v>
      </c>
      <c r="G46" s="13">
        <v>44308</v>
      </c>
      <c r="H46" s="13">
        <v>44309</v>
      </c>
      <c r="I46" s="22" t="str">
        <f>VLOOKUP(J46, Dropdowns!N:O, 2, FALSE)</f>
        <v>Lower Price</v>
      </c>
      <c r="J46" s="10" t="s">
        <v>759</v>
      </c>
      <c r="K46" s="10"/>
      <c r="L46" s="17" t="s">
        <v>733</v>
      </c>
      <c r="M46" s="17" t="s">
        <v>11</v>
      </c>
      <c r="N46" s="17" t="s">
        <v>740</v>
      </c>
    </row>
    <row r="47" spans="1:14" x14ac:dyDescent="0.25">
      <c r="A47" s="10">
        <v>995082</v>
      </c>
      <c r="B47" s="22" t="str">
        <f>IFERROR(VLOOKUP(A47,VLOOKUPS!$A$2:B$12589,2,FALSE),"")</f>
        <v>Melon Trio 16oz-standard</v>
      </c>
      <c r="C47" s="11"/>
      <c r="D47" s="10"/>
      <c r="E47" s="12">
        <v>2.99</v>
      </c>
      <c r="F47" s="12">
        <v>3.99</v>
      </c>
      <c r="G47" s="13">
        <v>44310</v>
      </c>
      <c r="H47" s="13"/>
      <c r="I47" s="22" t="str">
        <f>VLOOKUP(J47, Dropdowns!N:O, 2, FALSE)</f>
        <v>Standard</v>
      </c>
      <c r="J47" s="10" t="s">
        <v>760</v>
      </c>
      <c r="K47" s="10"/>
      <c r="L47" s="17" t="s">
        <v>733</v>
      </c>
      <c r="M47" s="17" t="s">
        <v>11</v>
      </c>
      <c r="N47" s="17" t="s">
        <v>740</v>
      </c>
    </row>
    <row r="48" spans="1:14" x14ac:dyDescent="0.25">
      <c r="A48" s="10">
        <v>995131</v>
      </c>
      <c r="B48" s="22" t="str">
        <f>IFERROR(VLOOKUP(A48,VLOOKUPS!$A$2:B$12589,2,FALSE),"")</f>
        <v>Organic Baby Spinach &amp; Baby Kale 5oz-standard</v>
      </c>
      <c r="C48" s="11"/>
      <c r="D48" s="10">
        <v>8</v>
      </c>
      <c r="E48" s="12"/>
      <c r="F48" s="12">
        <v>2.56</v>
      </c>
      <c r="G48" s="13">
        <v>44308</v>
      </c>
      <c r="H48" s="13"/>
      <c r="I48" s="22" t="str">
        <f>VLOOKUP(J48, Dropdowns!N:O, 2, FALSE)</f>
        <v>New</v>
      </c>
      <c r="J48" s="10" t="s">
        <v>776</v>
      </c>
      <c r="K48" s="10"/>
      <c r="L48" s="17" t="s">
        <v>732</v>
      </c>
      <c r="M48" s="17" t="s">
        <v>736</v>
      </c>
      <c r="N48" s="17" t="s">
        <v>736</v>
      </c>
    </row>
    <row r="49" spans="1:14" x14ac:dyDescent="0.25">
      <c r="A49" s="10">
        <v>995133</v>
      </c>
      <c r="B49" s="22" t="str">
        <f>IFERROR(VLOOKUP(A49,VLOOKUPS!$A$2:B$12589,2,FALSE),"")</f>
        <v>Organic Baby Spinach &amp; Arugula 5oz-standard</v>
      </c>
      <c r="C49" s="11"/>
      <c r="D49" s="10">
        <v>8</v>
      </c>
      <c r="E49" s="12"/>
      <c r="F49" s="12">
        <v>2.4900000000000002</v>
      </c>
      <c r="G49" s="13">
        <v>44308</v>
      </c>
      <c r="H49" s="13"/>
      <c r="I49" s="22" t="str">
        <f>VLOOKUP(J49, Dropdowns!N:O, 2, FALSE)</f>
        <v>New</v>
      </c>
      <c r="J49" s="10" t="s">
        <v>776</v>
      </c>
      <c r="K49" s="10"/>
      <c r="L49" s="17" t="s">
        <v>732</v>
      </c>
      <c r="M49" s="17" t="s">
        <v>736</v>
      </c>
      <c r="N49" s="17" t="s">
        <v>736</v>
      </c>
    </row>
    <row r="50" spans="1:14" x14ac:dyDescent="0.25">
      <c r="A50" s="10">
        <v>985060</v>
      </c>
      <c r="B50" s="22" t="str">
        <f>IFERROR(VLOOKUP(A50,VLOOKUPS!$A$2:B$12589,2,FALSE),"")</f>
        <v>Lettuce* Iceberg 1ct-standard</v>
      </c>
      <c r="C50" s="11"/>
      <c r="D50" s="10"/>
      <c r="E50" s="12">
        <v>1.25</v>
      </c>
      <c r="F50" s="12">
        <v>0.75</v>
      </c>
      <c r="G50" s="13">
        <v>44309</v>
      </c>
      <c r="H50" s="13">
        <v>44310</v>
      </c>
      <c r="I50" s="22" t="str">
        <f>VLOOKUP(J50, Dropdowns!N:O, 2, FALSE)</f>
        <v>Lower Price</v>
      </c>
      <c r="J50" s="10" t="s">
        <v>759</v>
      </c>
      <c r="K50" s="10"/>
      <c r="L50" s="17" t="s">
        <v>732</v>
      </c>
      <c r="M50" s="17" t="s">
        <v>9</v>
      </c>
      <c r="N50" s="17" t="s">
        <v>736</v>
      </c>
    </row>
    <row r="51" spans="1:14" x14ac:dyDescent="0.25">
      <c r="A51" s="10">
        <v>985060</v>
      </c>
      <c r="B51" s="22" t="str">
        <f>IFERROR(VLOOKUP(A51,VLOOKUPS!$A$2:B$12589,2,FALSE),"")</f>
        <v>Lettuce* Iceberg 1ct-standard</v>
      </c>
      <c r="C51" s="11"/>
      <c r="D51" s="10"/>
      <c r="E51" s="12">
        <v>0.75</v>
      </c>
      <c r="F51" s="12">
        <v>1.25</v>
      </c>
      <c r="G51" s="13">
        <v>44311</v>
      </c>
      <c r="H51" s="13"/>
      <c r="I51" s="22" t="str">
        <f>VLOOKUP(J51, Dropdowns!N:O, 2, FALSE)</f>
        <v>Standard</v>
      </c>
      <c r="J51" s="10" t="s">
        <v>760</v>
      </c>
      <c r="K51" s="10"/>
      <c r="L51" s="17" t="s">
        <v>732</v>
      </c>
      <c r="M51" s="17" t="s">
        <v>9</v>
      </c>
      <c r="N51" s="17" t="s">
        <v>736</v>
      </c>
    </row>
    <row r="52" spans="1:14" x14ac:dyDescent="0.25">
      <c r="A52" s="10">
        <v>985111</v>
      </c>
      <c r="B52" s="22" t="str">
        <f>IFERROR(VLOOKUP(A52,VLOOKUPS!$A$2:B$12589,2,FALSE),"")</f>
        <v>Lettuce Mixed 1ct-standard</v>
      </c>
      <c r="C52" s="11"/>
      <c r="D52" s="10"/>
      <c r="E52" s="12">
        <v>1.99</v>
      </c>
      <c r="F52" s="12">
        <v>2.29</v>
      </c>
      <c r="G52" s="13">
        <v>44309</v>
      </c>
      <c r="H52" s="13"/>
      <c r="I52" s="22" t="str">
        <f>VLOOKUP(J52, Dropdowns!N:O, 2, FALSE)</f>
        <v>Standard</v>
      </c>
      <c r="J52" s="10" t="s">
        <v>761</v>
      </c>
      <c r="K52" s="10"/>
      <c r="L52" s="17" t="s">
        <v>732</v>
      </c>
      <c r="M52" s="17" t="s">
        <v>736</v>
      </c>
      <c r="N52" s="17" t="s">
        <v>736</v>
      </c>
    </row>
    <row r="53" spans="1:14" x14ac:dyDescent="0.25">
      <c r="A53" s="10">
        <v>985780</v>
      </c>
      <c r="B53" s="22" t="str">
        <f>IFERROR(VLOOKUP(A53,VLOOKUPS!$A$2:B$12589,2,FALSE),"")</f>
        <v>Organic Asparagus 12oz-standard</v>
      </c>
      <c r="C53" s="11"/>
      <c r="D53" s="10"/>
      <c r="E53" s="12">
        <v>3.99</v>
      </c>
      <c r="F53" s="12">
        <v>3.29</v>
      </c>
      <c r="G53" s="13">
        <v>44309</v>
      </c>
      <c r="H53" s="13">
        <v>44310</v>
      </c>
      <c r="I53" s="22" t="str">
        <f>VLOOKUP(J53, Dropdowns!N:O, 2, FALSE)</f>
        <v>Lower Price</v>
      </c>
      <c r="J53" s="10" t="s">
        <v>759</v>
      </c>
      <c r="K53" s="10"/>
      <c r="L53" s="17" t="s">
        <v>732</v>
      </c>
      <c r="M53" s="17" t="s">
        <v>9</v>
      </c>
      <c r="N53" s="17" t="s">
        <v>736</v>
      </c>
    </row>
    <row r="54" spans="1:14" x14ac:dyDescent="0.25">
      <c r="A54" s="10">
        <v>985780</v>
      </c>
      <c r="B54" s="22" t="str">
        <f>IFERROR(VLOOKUP(A54,VLOOKUPS!$A$2:B$12589,2,FALSE),"")</f>
        <v>Organic Asparagus 12oz-standard</v>
      </c>
      <c r="C54" s="11"/>
      <c r="D54" s="10"/>
      <c r="E54" s="12">
        <v>3.29</v>
      </c>
      <c r="F54" s="12">
        <v>3.99</v>
      </c>
      <c r="G54" s="13">
        <v>44311</v>
      </c>
      <c r="H54" s="13"/>
      <c r="I54" s="22" t="str">
        <f>VLOOKUP(J54, Dropdowns!N:O, 2, FALSE)</f>
        <v>Standard</v>
      </c>
      <c r="J54" s="10" t="s">
        <v>760</v>
      </c>
      <c r="K54" s="10"/>
      <c r="L54" s="17" t="s">
        <v>732</v>
      </c>
      <c r="M54" s="17" t="s">
        <v>9</v>
      </c>
      <c r="N54" s="17" t="s">
        <v>736</v>
      </c>
    </row>
    <row r="55" spans="1:14" x14ac:dyDescent="0.25">
      <c r="A55" s="10">
        <v>995001</v>
      </c>
      <c r="B55" s="22" t="str">
        <f>IFERROR(VLOOKUP(A55,VLOOKUPS!$A$2:B$12589,2,FALSE),"")</f>
        <v>Spinach Baby 6oz-standard</v>
      </c>
      <c r="C55" s="11"/>
      <c r="D55" s="10"/>
      <c r="E55" s="12">
        <v>1.79</v>
      </c>
      <c r="F55" s="12">
        <v>2.2599999999999998</v>
      </c>
      <c r="G55" s="13">
        <v>44309</v>
      </c>
      <c r="H55" s="13"/>
      <c r="I55" s="22" t="str">
        <f>VLOOKUP(J55, Dropdowns!N:O, 2, FALSE)</f>
        <v>Standard</v>
      </c>
      <c r="J55" s="10" t="s">
        <v>761</v>
      </c>
      <c r="K55" s="10"/>
      <c r="L55" s="17" t="s">
        <v>732</v>
      </c>
      <c r="M55" s="17" t="s">
        <v>9</v>
      </c>
      <c r="N55" s="17" t="s">
        <v>736</v>
      </c>
    </row>
    <row r="56" spans="1:14" x14ac:dyDescent="0.25">
      <c r="A56" s="10">
        <v>995001</v>
      </c>
      <c r="B56" s="22" t="str">
        <f>IFERROR(VLOOKUP(A56,VLOOKUPS!$A$2:B$12589,2,FALSE),"")</f>
        <v>Spinach Baby 6oz-standard</v>
      </c>
      <c r="C56" s="11"/>
      <c r="D56" s="10"/>
      <c r="E56" s="12"/>
      <c r="F56" s="12"/>
      <c r="G56" s="13">
        <v>44309</v>
      </c>
      <c r="H56" s="13">
        <v>44310</v>
      </c>
      <c r="I56" s="22" t="str">
        <f>VLOOKUP(J56, Dropdowns!N:O, 2, FALSE)</f>
        <v>Lower Price</v>
      </c>
      <c r="J56" s="10" t="s">
        <v>762</v>
      </c>
      <c r="K56" s="10"/>
      <c r="L56" s="17" t="s">
        <v>732</v>
      </c>
      <c r="M56" s="17" t="s">
        <v>738</v>
      </c>
      <c r="N56" s="17">
        <v>2</v>
      </c>
    </row>
    <row r="57" spans="1:14" x14ac:dyDescent="0.25">
      <c r="A57" s="10">
        <v>995003</v>
      </c>
      <c r="B57" s="22" t="str">
        <f>IFERROR(VLOOKUP(A57,VLOOKUPS!$A$2:B$12589,2,FALSE),"")</f>
        <v>Sweet Kale Chopped Salad 12oz-standard</v>
      </c>
      <c r="C57" s="11"/>
      <c r="D57" s="10"/>
      <c r="E57" s="12">
        <v>2.99</v>
      </c>
      <c r="F57" s="12">
        <v>1.49</v>
      </c>
      <c r="G57" s="13">
        <v>44309</v>
      </c>
      <c r="H57" s="13">
        <v>44311</v>
      </c>
      <c r="I57" s="22" t="str">
        <f>VLOOKUP(J57, Dropdowns!N:O, 2, FALSE)</f>
        <v>Lower Price</v>
      </c>
      <c r="J57" s="10" t="s">
        <v>759</v>
      </c>
      <c r="K57" s="10"/>
      <c r="L57" s="17" t="s">
        <v>732</v>
      </c>
      <c r="M57" s="17" t="s">
        <v>9</v>
      </c>
      <c r="N57" s="17" t="s">
        <v>736</v>
      </c>
    </row>
    <row r="58" spans="1:14" x14ac:dyDescent="0.25">
      <c r="A58" s="10">
        <v>995003</v>
      </c>
      <c r="B58" s="22" t="str">
        <f>IFERROR(VLOOKUP(A58,VLOOKUPS!$A$2:B$12589,2,FALSE),"")</f>
        <v>Sweet Kale Chopped Salad 12oz-standard</v>
      </c>
      <c r="E58" s="12">
        <v>1.49</v>
      </c>
      <c r="F58" s="12">
        <v>2.99</v>
      </c>
      <c r="G58" s="13">
        <v>44312</v>
      </c>
      <c r="I58" s="22" t="str">
        <f>VLOOKUP(J58, Dropdowns!N:O, 2, FALSE)</f>
        <v>Standard</v>
      </c>
      <c r="J58" s="10" t="s">
        <v>760</v>
      </c>
      <c r="L58" s="17" t="s">
        <v>732</v>
      </c>
      <c r="M58" s="17" t="s">
        <v>9</v>
      </c>
      <c r="N58" s="17" t="s">
        <v>736</v>
      </c>
    </row>
    <row r="59" spans="1:14" x14ac:dyDescent="0.25">
      <c r="A59" s="10">
        <v>995007</v>
      </c>
      <c r="B59" s="22" t="str">
        <f>IFERROR(VLOOKUP(A59,VLOOKUPS!$A$2:B$12589,2,FALSE),"")</f>
        <v>Caesar Salad Kit 10.5oz-standard</v>
      </c>
      <c r="E59" s="12">
        <v>2.29</v>
      </c>
      <c r="F59" s="12">
        <v>1.39</v>
      </c>
      <c r="G59" s="13">
        <v>44309</v>
      </c>
      <c r="H59" s="13">
        <v>44310</v>
      </c>
      <c r="I59" s="22" t="str">
        <f>VLOOKUP(J59, Dropdowns!N:O, 2, FALSE)</f>
        <v>Lower Price</v>
      </c>
      <c r="J59" s="10" t="s">
        <v>759</v>
      </c>
      <c r="L59" s="17" t="s">
        <v>732</v>
      </c>
      <c r="M59" s="17" t="s">
        <v>9</v>
      </c>
      <c r="N59" s="17" t="s">
        <v>736</v>
      </c>
    </row>
    <row r="60" spans="1:14" x14ac:dyDescent="0.25">
      <c r="A60" s="10">
        <v>995007</v>
      </c>
      <c r="B60" s="22" t="str">
        <f>IFERROR(VLOOKUP(A60,VLOOKUPS!$A$2:B$12589,2,FALSE),"")</f>
        <v>Caesar Salad Kit 10.5oz-standard</v>
      </c>
      <c r="E60" s="12">
        <v>1.39</v>
      </c>
      <c r="F60" s="12">
        <v>2.29</v>
      </c>
      <c r="G60" s="13">
        <v>44311</v>
      </c>
      <c r="H60" s="13"/>
      <c r="I60" s="22" t="str">
        <f>VLOOKUP(J60, Dropdowns!N:O, 2, FALSE)</f>
        <v>Standard</v>
      </c>
      <c r="J60" s="10" t="s">
        <v>760</v>
      </c>
      <c r="L60" s="17" t="s">
        <v>732</v>
      </c>
      <c r="M60" s="17" t="s">
        <v>9</v>
      </c>
      <c r="N60" s="17" t="s">
        <v>736</v>
      </c>
    </row>
    <row r="61" spans="1:14" x14ac:dyDescent="0.25">
      <c r="A61" s="10">
        <v>995023</v>
      </c>
      <c r="B61" s="22" t="str">
        <f>IFERROR(VLOOKUP(A61,VLOOKUPS!$A$2:B$12589,2,FALSE),"")</f>
        <v>Hearts of Romaine 9oz-standard</v>
      </c>
      <c r="E61" s="12">
        <v>2.4500000000000002</v>
      </c>
      <c r="F61" s="12">
        <v>1.45</v>
      </c>
      <c r="G61" s="13">
        <v>44309</v>
      </c>
      <c r="H61" s="13">
        <v>44310</v>
      </c>
      <c r="I61" s="22" t="str">
        <f>VLOOKUP(J61, Dropdowns!N:O, 2, FALSE)</f>
        <v>Lower Price</v>
      </c>
      <c r="J61" s="10" t="s">
        <v>759</v>
      </c>
      <c r="L61" s="17" t="s">
        <v>732</v>
      </c>
      <c r="M61" s="17" t="s">
        <v>9</v>
      </c>
      <c r="N61" s="17" t="s">
        <v>736</v>
      </c>
    </row>
    <row r="62" spans="1:14" x14ac:dyDescent="0.25">
      <c r="A62" s="10">
        <v>995023</v>
      </c>
      <c r="B62" s="22" t="str">
        <f>IFERROR(VLOOKUP(A62,VLOOKUPS!$A$2:B$12589,2,FALSE),"")</f>
        <v>Hearts of Romaine 9oz-standard</v>
      </c>
      <c r="E62" s="12">
        <v>1.45</v>
      </c>
      <c r="F62" s="12">
        <v>2.4500000000000002</v>
      </c>
      <c r="G62" s="13">
        <v>44311</v>
      </c>
      <c r="H62" s="13"/>
      <c r="I62" s="22" t="str">
        <f>VLOOKUP(J62, Dropdowns!N:O, 2, FALSE)</f>
        <v>Standard</v>
      </c>
      <c r="J62" s="10" t="s">
        <v>760</v>
      </c>
      <c r="L62" s="17" t="s">
        <v>732</v>
      </c>
      <c r="M62" s="17" t="s">
        <v>9</v>
      </c>
      <c r="N62" s="17" t="s">
        <v>736</v>
      </c>
    </row>
    <row r="63" spans="1:14" x14ac:dyDescent="0.25">
      <c r="A63" s="10">
        <v>995046</v>
      </c>
      <c r="B63" s="22" t="str">
        <f>IFERROR(VLOOKUP(A63,VLOOKUPS!$A$2:B$12589,2,FALSE),"")</f>
        <v>Diced Onion 8oz-standard</v>
      </c>
      <c r="E63" s="12">
        <v>1.99</v>
      </c>
      <c r="F63" s="12">
        <v>1.19</v>
      </c>
      <c r="G63" s="13">
        <v>44309</v>
      </c>
      <c r="H63" s="13">
        <v>44310</v>
      </c>
      <c r="I63" s="22" t="str">
        <f>VLOOKUP(J63, Dropdowns!N:O, 2, FALSE)</f>
        <v>Lower Price</v>
      </c>
      <c r="J63" s="10" t="s">
        <v>759</v>
      </c>
      <c r="L63" s="17" t="s">
        <v>732</v>
      </c>
      <c r="M63" s="17" t="s">
        <v>9</v>
      </c>
      <c r="N63" s="17" t="s">
        <v>736</v>
      </c>
    </row>
    <row r="64" spans="1:14" x14ac:dyDescent="0.25">
      <c r="A64" s="10">
        <v>995046</v>
      </c>
      <c r="B64" s="22" t="str">
        <f>IFERROR(VLOOKUP(A64,VLOOKUPS!$A$2:B$12589,2,FALSE),"")</f>
        <v>Diced Onion 8oz-standard</v>
      </c>
      <c r="E64" s="12">
        <v>1.19</v>
      </c>
      <c r="F64" s="12">
        <v>1.99</v>
      </c>
      <c r="G64" s="13">
        <v>44311</v>
      </c>
      <c r="H64" s="13"/>
      <c r="I64" s="22" t="str">
        <f>VLOOKUP(J64, Dropdowns!N:O, 2, FALSE)</f>
        <v>Standard</v>
      </c>
      <c r="J64" s="10" t="s">
        <v>760</v>
      </c>
      <c r="L64" s="17" t="s">
        <v>732</v>
      </c>
      <c r="M64" s="17" t="s">
        <v>9</v>
      </c>
      <c r="N64" s="17" t="s">
        <v>736</v>
      </c>
    </row>
    <row r="65" spans="1:14" x14ac:dyDescent="0.25">
      <c r="A65" s="10">
        <v>995084</v>
      </c>
      <c r="B65" s="22" t="str">
        <f>IFERROR(VLOOKUP(A65,VLOOKUPS!$A$2:B$12589,2,FALSE),"")</f>
        <v>Eat Smart Green Beans 12oz-standard</v>
      </c>
      <c r="E65" s="12">
        <v>2.78</v>
      </c>
      <c r="F65" s="12">
        <v>1.68</v>
      </c>
      <c r="G65" s="13">
        <v>44309</v>
      </c>
      <c r="H65" s="13">
        <v>44310</v>
      </c>
      <c r="I65" s="22" t="str">
        <f>VLOOKUP(J65, Dropdowns!N:O, 2, FALSE)</f>
        <v>Lower Price</v>
      </c>
      <c r="J65" s="10" t="s">
        <v>759</v>
      </c>
      <c r="L65" s="17" t="s">
        <v>733</v>
      </c>
      <c r="M65" s="17" t="s">
        <v>9</v>
      </c>
      <c r="N65" s="17" t="s">
        <v>740</v>
      </c>
    </row>
    <row r="66" spans="1:14" x14ac:dyDescent="0.25">
      <c r="A66" s="10">
        <v>995084</v>
      </c>
      <c r="B66" s="22" t="str">
        <f>IFERROR(VLOOKUP(A66,VLOOKUPS!$A$2:B$12589,2,FALSE),"")</f>
        <v>Eat Smart Green Beans 12oz-standard</v>
      </c>
      <c r="E66" s="12">
        <v>2.88</v>
      </c>
      <c r="F66" s="12">
        <v>1.78</v>
      </c>
      <c r="G66" s="13">
        <v>44309</v>
      </c>
      <c r="H66" s="13">
        <v>44310</v>
      </c>
      <c r="I66" s="22" t="str">
        <f>VLOOKUP(J66, Dropdowns!N:O, 2, FALSE)</f>
        <v>Lower Price</v>
      </c>
      <c r="J66" s="10" t="s">
        <v>759</v>
      </c>
      <c r="L66" s="17" t="s">
        <v>734</v>
      </c>
      <c r="M66" s="17" t="s">
        <v>9</v>
      </c>
      <c r="N66" s="17" t="s">
        <v>736</v>
      </c>
    </row>
    <row r="67" spans="1:14" x14ac:dyDescent="0.25">
      <c r="A67" s="10">
        <v>995084</v>
      </c>
      <c r="B67" s="22" t="str">
        <f>IFERROR(VLOOKUP(A67,VLOOKUPS!$A$2:B$12589,2,FALSE),"")</f>
        <v>Eat Smart Green Beans 12oz-standard</v>
      </c>
      <c r="E67" s="12">
        <v>1.68</v>
      </c>
      <c r="F67" s="12">
        <v>2.78</v>
      </c>
      <c r="G67" s="13">
        <v>44311</v>
      </c>
      <c r="H67" s="13"/>
      <c r="I67" s="22" t="str">
        <f>VLOOKUP(J67, Dropdowns!N:O, 2, FALSE)</f>
        <v>Standard</v>
      </c>
      <c r="J67" s="10" t="s">
        <v>760</v>
      </c>
      <c r="L67" s="17" t="s">
        <v>733</v>
      </c>
      <c r="M67" s="17" t="s">
        <v>9</v>
      </c>
      <c r="N67" s="17" t="s">
        <v>740</v>
      </c>
    </row>
    <row r="68" spans="1:14" x14ac:dyDescent="0.25">
      <c r="A68" s="10">
        <v>995084</v>
      </c>
      <c r="B68" s="22" t="str">
        <f>IFERROR(VLOOKUP(A68,VLOOKUPS!$A$2:B$12589,2,FALSE),"")</f>
        <v>Eat Smart Green Beans 12oz-standard</v>
      </c>
      <c r="E68" s="12">
        <v>1.78</v>
      </c>
      <c r="F68" s="12">
        <v>2.88</v>
      </c>
      <c r="G68" s="13">
        <v>44311</v>
      </c>
      <c r="H68" s="13"/>
      <c r="I68" s="22" t="str">
        <f>VLOOKUP(J68, Dropdowns!N:O, 2, FALSE)</f>
        <v>Standard</v>
      </c>
      <c r="J68" s="10" t="s">
        <v>760</v>
      </c>
      <c r="L68" s="17" t="s">
        <v>734</v>
      </c>
      <c r="M68" s="17" t="s">
        <v>9</v>
      </c>
      <c r="N68" s="17" t="s">
        <v>736</v>
      </c>
    </row>
    <row r="69" spans="1:14" x14ac:dyDescent="0.25">
      <c r="A69" s="10">
        <v>995128</v>
      </c>
      <c r="B69" s="22" t="str">
        <f>IFERROR(VLOOKUP(A69,VLOOKUPS!$A$2:B$12589,2,FALSE),"")</f>
        <v>Seasonal Fruit Cup 10oz-standard</v>
      </c>
      <c r="G69" s="13">
        <v>44309</v>
      </c>
      <c r="H69" s="13"/>
      <c r="I69" s="22" t="str">
        <f>VLOOKUP(J69, Dropdowns!N:O, 2, FALSE)</f>
        <v>NA</v>
      </c>
      <c r="J69" s="10" t="s">
        <v>754</v>
      </c>
      <c r="L69" s="17" t="s">
        <v>732</v>
      </c>
      <c r="M69" s="17" t="s">
        <v>736</v>
      </c>
      <c r="N69" s="17" t="s">
        <v>736</v>
      </c>
    </row>
    <row r="70" spans="1:14" x14ac:dyDescent="0.25">
      <c r="A70" s="10">
        <v>984460</v>
      </c>
      <c r="B70" s="22" t="str">
        <f>IFERROR(VLOOKUP(A70,VLOOKUPS!$A$2:B$12589,2,FALSE),"")</f>
        <v>Strawberries 1lb-standard</v>
      </c>
      <c r="G70" s="13">
        <v>44310</v>
      </c>
      <c r="H70" s="13">
        <v>44311</v>
      </c>
      <c r="I70" s="22" t="str">
        <f>VLOOKUP(J70, Dropdowns!N:O, 2, FALSE)</f>
        <v>Lower Price</v>
      </c>
      <c r="J70" s="10" t="s">
        <v>753</v>
      </c>
      <c r="L70" s="17" t="s">
        <v>732</v>
      </c>
      <c r="M70" s="17" t="s">
        <v>736</v>
      </c>
      <c r="N70" s="17" t="s">
        <v>736</v>
      </c>
    </row>
    <row r="71" spans="1:14" x14ac:dyDescent="0.25">
      <c r="A71" s="10">
        <v>984460</v>
      </c>
      <c r="B71" s="22" t="str">
        <f>IFERROR(VLOOKUP(A71,VLOOKUPS!$A$2:B$12589,2,FALSE),"")</f>
        <v>Strawberries 1lb-standard</v>
      </c>
      <c r="E71" s="12">
        <v>1.39</v>
      </c>
      <c r="F71" s="12">
        <v>2.4900000000000002</v>
      </c>
      <c r="G71" s="13">
        <v>44312</v>
      </c>
      <c r="H71" s="13"/>
      <c r="I71" s="22" t="str">
        <f>VLOOKUP(J71, Dropdowns!N:O, 2, FALSE)</f>
        <v>Standard</v>
      </c>
      <c r="J71" s="10" t="s">
        <v>760</v>
      </c>
      <c r="L71" s="17" t="s">
        <v>732</v>
      </c>
      <c r="M71" s="17" t="s">
        <v>736</v>
      </c>
      <c r="N71" s="17" t="s">
        <v>736</v>
      </c>
    </row>
    <row r="72" spans="1:14" x14ac:dyDescent="0.25">
      <c r="A72" s="10">
        <v>995001</v>
      </c>
      <c r="B72" s="22" t="str">
        <f>IFERROR(VLOOKUP(A72,VLOOKUPS!$A$2:B$12589,2,FALSE),"")</f>
        <v>Spinach Baby 6oz-standard</v>
      </c>
      <c r="E72" s="12">
        <v>2.2599999999999998</v>
      </c>
      <c r="F72" s="12">
        <v>1.0900000000000001</v>
      </c>
      <c r="G72" s="13">
        <v>44310</v>
      </c>
      <c r="H72" s="13">
        <v>44311</v>
      </c>
      <c r="I72" s="22" t="str">
        <f>VLOOKUP(J72, Dropdowns!N:O, 2, FALSE)</f>
        <v>Lower Price</v>
      </c>
      <c r="J72" s="10" t="s">
        <v>759</v>
      </c>
      <c r="L72" s="17" t="s">
        <v>732</v>
      </c>
      <c r="M72" s="17" t="s">
        <v>9</v>
      </c>
      <c r="N72" s="17" t="s">
        <v>736</v>
      </c>
    </row>
    <row r="73" spans="1:14" x14ac:dyDescent="0.25">
      <c r="A73" s="10">
        <v>995001</v>
      </c>
      <c r="B73" s="22" t="str">
        <f>IFERROR(VLOOKUP(A73,VLOOKUPS!$A$2:B$12589,2,FALSE),"")</f>
        <v>Spinach Baby 6oz-standard</v>
      </c>
      <c r="E73" s="12">
        <v>1.0900000000000001</v>
      </c>
      <c r="F73" s="12">
        <v>2.2599999999999998</v>
      </c>
      <c r="G73" s="13">
        <v>44312</v>
      </c>
      <c r="H73" s="13"/>
      <c r="I73" s="22" t="str">
        <f>VLOOKUP(J73, Dropdowns!N:O, 2, FALSE)</f>
        <v>Standard</v>
      </c>
      <c r="J73" s="10" t="s">
        <v>760</v>
      </c>
      <c r="L73" s="17" t="s">
        <v>732</v>
      </c>
      <c r="M73" s="17" t="s">
        <v>9</v>
      </c>
      <c r="N73" s="17" t="s">
        <v>736</v>
      </c>
    </row>
    <row r="74" spans="1:14" x14ac:dyDescent="0.25">
      <c r="A74" s="10">
        <v>995006</v>
      </c>
      <c r="B74" s="22" t="str">
        <f>IFERROR(VLOOKUP(A74,VLOOKUPS!$A$2:B$12589,2,FALSE),"")</f>
        <v>Italian Salad 9oz-standard</v>
      </c>
      <c r="E74" s="12">
        <v>0.99</v>
      </c>
      <c r="F74" s="12">
        <v>1.99</v>
      </c>
      <c r="G74" s="13">
        <v>44310</v>
      </c>
      <c r="H74" s="13"/>
      <c r="I74" s="22" t="str">
        <f>VLOOKUP(J74, Dropdowns!N:O, 2, FALSE)</f>
        <v>Standard</v>
      </c>
      <c r="J74" s="10" t="s">
        <v>760</v>
      </c>
      <c r="L74" s="17" t="s">
        <v>733</v>
      </c>
      <c r="M74" s="17" t="s">
        <v>11</v>
      </c>
      <c r="N74" s="17" t="s">
        <v>740</v>
      </c>
    </row>
    <row r="75" spans="1:14" x14ac:dyDescent="0.25">
      <c r="A75" s="10">
        <v>995006</v>
      </c>
      <c r="B75" s="22" t="str">
        <f>IFERROR(VLOOKUP(A75,VLOOKUPS!$A$2:B$12589,2,FALSE),"")</f>
        <v>Italian Salad 9oz-standard</v>
      </c>
      <c r="E75" s="12">
        <v>0.99</v>
      </c>
      <c r="F75" s="12">
        <v>1.99</v>
      </c>
      <c r="G75" s="13">
        <v>44311</v>
      </c>
      <c r="H75" s="13"/>
      <c r="I75" s="22" t="str">
        <f>VLOOKUP(J75, Dropdowns!N:O, 2, FALSE)</f>
        <v>Standard</v>
      </c>
      <c r="J75" s="10" t="s">
        <v>760</v>
      </c>
      <c r="L75" s="17" t="s">
        <v>732</v>
      </c>
      <c r="M75" s="17" t="s">
        <v>10</v>
      </c>
      <c r="N75" s="17">
        <v>2</v>
      </c>
    </row>
    <row r="76" spans="1:14" x14ac:dyDescent="0.25">
      <c r="A76" s="10">
        <v>995074</v>
      </c>
      <c r="B76" s="22" t="str">
        <f>IFERROR(VLOOKUP(A76,VLOOKUPS!$A$2:B$12589,2,FALSE),"")</f>
        <v>Southwest Chopped Salad Kit 12oz-standard</v>
      </c>
      <c r="E76" s="12">
        <v>2.99</v>
      </c>
      <c r="F76" s="12">
        <v>1.79</v>
      </c>
      <c r="G76" s="13">
        <v>44310</v>
      </c>
      <c r="H76" s="13">
        <v>44311</v>
      </c>
      <c r="I76" s="22" t="str">
        <f>VLOOKUP(J76, Dropdowns!N:O, 2, FALSE)</f>
        <v>Lower Price</v>
      </c>
      <c r="J76" s="10" t="s">
        <v>759</v>
      </c>
      <c r="L76" s="17" t="s">
        <v>732</v>
      </c>
      <c r="M76" s="17" t="s">
        <v>9</v>
      </c>
      <c r="N76" s="17" t="s">
        <v>736</v>
      </c>
    </row>
    <row r="77" spans="1:14" x14ac:dyDescent="0.25">
      <c r="A77" s="10">
        <v>995074</v>
      </c>
      <c r="B77" s="22" t="str">
        <f>IFERROR(VLOOKUP(A77,VLOOKUPS!$A$2:B$12589,2,FALSE),"")</f>
        <v>Southwest Chopped Salad Kit 12oz-standard</v>
      </c>
      <c r="E77" s="12">
        <v>1.79</v>
      </c>
      <c r="F77" s="12">
        <v>2.99</v>
      </c>
      <c r="G77" s="13">
        <v>44312</v>
      </c>
      <c r="H77" s="13"/>
      <c r="I77" s="22" t="str">
        <f>VLOOKUP(J77, Dropdowns!N:O, 2, FALSE)</f>
        <v>Standard</v>
      </c>
      <c r="J77" s="10" t="s">
        <v>760</v>
      </c>
      <c r="L77" s="17" t="s">
        <v>732</v>
      </c>
      <c r="M77" s="17" t="s">
        <v>9</v>
      </c>
      <c r="N77" s="17" t="s">
        <v>736</v>
      </c>
    </row>
    <row r="78" spans="1:14" x14ac:dyDescent="0.25">
      <c r="A78" s="10">
        <v>995001</v>
      </c>
      <c r="B78" s="22" t="str">
        <f>IFERROR(VLOOKUP(A78,VLOOKUPS!$A$2:B$12589,2,FALSE),"")</f>
        <v>Spinach Baby 6oz-standard</v>
      </c>
      <c r="E78" s="12">
        <v>1.29</v>
      </c>
      <c r="F78" s="12">
        <v>1.79</v>
      </c>
      <c r="G78" s="13">
        <v>44311</v>
      </c>
      <c r="H78" s="13"/>
      <c r="I78" s="22" t="str">
        <f>VLOOKUP(J78, Dropdowns!N:O, 2, FALSE)</f>
        <v>Standard</v>
      </c>
      <c r="J78" s="10" t="s">
        <v>760</v>
      </c>
      <c r="L78" s="17" t="s">
        <v>732</v>
      </c>
      <c r="M78" s="17" t="s">
        <v>738</v>
      </c>
      <c r="N78" s="17">
        <v>2</v>
      </c>
    </row>
    <row r="79" spans="1:14" x14ac:dyDescent="0.25">
      <c r="A79" s="10">
        <v>995001</v>
      </c>
      <c r="B79" s="22" t="str">
        <f>IFERROR(VLOOKUP(A79,VLOOKUPS!$A$2:B$12589,2,FALSE),"")</f>
        <v>Spinach Baby 6oz-standard</v>
      </c>
      <c r="E79" s="12">
        <v>1.79</v>
      </c>
      <c r="F79" s="12">
        <v>2.2599999999999998</v>
      </c>
      <c r="G79" s="13">
        <v>44313</v>
      </c>
      <c r="H79" s="13"/>
      <c r="I79" s="22" t="str">
        <f>VLOOKUP(J79, Dropdowns!N:O, 2, FALSE)</f>
        <v>Standard</v>
      </c>
      <c r="J79" t="s">
        <v>761</v>
      </c>
      <c r="L79" s="17" t="s">
        <v>732</v>
      </c>
      <c r="M79" s="17" t="s">
        <v>738</v>
      </c>
      <c r="N79" s="17">
        <v>2</v>
      </c>
    </row>
    <row r="80" spans="1:14" x14ac:dyDescent="0.25">
      <c r="A80" s="10">
        <v>995006</v>
      </c>
      <c r="B80" s="22" t="str">
        <f>IFERROR(VLOOKUP(A80,VLOOKUPS!$A$2:B$12589,2,FALSE),"")</f>
        <v>Italian Salad 9oz-standard</v>
      </c>
      <c r="G80" s="13">
        <v>44310</v>
      </c>
      <c r="H80" s="13">
        <v>44310</v>
      </c>
      <c r="I80" s="22" t="str">
        <f>VLOOKUP(J80, Dropdowns!N:O, 2, FALSE)</f>
        <v>Lower Price</v>
      </c>
      <c r="J80" t="s">
        <v>762</v>
      </c>
      <c r="L80" s="17" t="s">
        <v>732</v>
      </c>
      <c r="M80" s="17" t="s">
        <v>10</v>
      </c>
      <c r="N80" s="17">
        <v>2</v>
      </c>
    </row>
    <row r="81" spans="1:14" x14ac:dyDescent="0.25">
      <c r="A81" s="10">
        <v>986250</v>
      </c>
      <c r="B81" s="22" t="str">
        <f>IFERROR(VLOOKUP(A81,VLOOKUPS!$A$2:B$12589,2,FALSE),"")</f>
        <v>French Beans 1lb-standard</v>
      </c>
      <c r="E81" s="12">
        <v>2.99</v>
      </c>
      <c r="F81" s="12">
        <v>1.49</v>
      </c>
      <c r="G81" s="13">
        <v>44313</v>
      </c>
      <c r="H81" s="13">
        <v>44314</v>
      </c>
      <c r="I81" s="22" t="str">
        <f>VLOOKUP(J81, Dropdowns!N:O, 2, FALSE)</f>
        <v>Lower Price</v>
      </c>
      <c r="J81" s="10" t="s">
        <v>759</v>
      </c>
      <c r="L81" s="17" t="s">
        <v>732</v>
      </c>
      <c r="M81" s="17" t="s">
        <v>737</v>
      </c>
      <c r="N81" s="17" t="s">
        <v>736</v>
      </c>
    </row>
    <row r="82" spans="1:14" x14ac:dyDescent="0.25">
      <c r="A82" s="10">
        <v>986250</v>
      </c>
      <c r="B82" s="22" t="str">
        <f>IFERROR(VLOOKUP(A82,VLOOKUPS!$A$2:B$12589,2,FALSE),"")</f>
        <v>French Beans 1lb-standard</v>
      </c>
      <c r="E82" s="12">
        <v>1.49</v>
      </c>
      <c r="F82" s="12">
        <v>2.99</v>
      </c>
      <c r="G82" s="13">
        <v>44315</v>
      </c>
      <c r="H82" s="13"/>
      <c r="I82" s="22" t="str">
        <f>VLOOKUP(J82, Dropdowns!N:O, 2, FALSE)</f>
        <v>Standard</v>
      </c>
      <c r="J82" s="10" t="s">
        <v>760</v>
      </c>
      <c r="L82" s="17" t="s">
        <v>732</v>
      </c>
      <c r="M82" s="17" t="s">
        <v>737</v>
      </c>
      <c r="N82" s="17" t="s">
        <v>736</v>
      </c>
    </row>
    <row r="83" spans="1:14" x14ac:dyDescent="0.25">
      <c r="A83" s="10">
        <v>995006</v>
      </c>
      <c r="B83" s="22" t="str">
        <f>IFERROR(VLOOKUP(A83,VLOOKUPS!$A$2:B$12589,2,FALSE),"")</f>
        <v>Italian Salad 9oz-standard</v>
      </c>
      <c r="E83" s="12">
        <v>1.99</v>
      </c>
      <c r="F83" s="12">
        <v>1.29</v>
      </c>
      <c r="G83" s="13">
        <v>44313</v>
      </c>
      <c r="H83" s="13">
        <v>44314</v>
      </c>
      <c r="I83" s="22" t="str">
        <f>VLOOKUP(J83, Dropdowns!N:O, 2, FALSE)</f>
        <v>Lower Price</v>
      </c>
      <c r="J83" s="10" t="s">
        <v>759</v>
      </c>
      <c r="L83" s="17" t="s">
        <v>732</v>
      </c>
      <c r="M83" s="17" t="s">
        <v>9</v>
      </c>
      <c r="N83" s="17" t="s">
        <v>736</v>
      </c>
    </row>
    <row r="84" spans="1:14" x14ac:dyDescent="0.25">
      <c r="A84" s="10">
        <v>995006</v>
      </c>
      <c r="B84" s="22" t="str">
        <f>IFERROR(VLOOKUP(A84,VLOOKUPS!$A$2:B$12589,2,FALSE),"")</f>
        <v>Italian Salad 9oz-standard</v>
      </c>
      <c r="E84" s="12">
        <v>1.29</v>
      </c>
      <c r="F84" s="12">
        <v>1.99</v>
      </c>
      <c r="G84" s="13">
        <v>44315</v>
      </c>
      <c r="H84" s="13"/>
      <c r="I84" s="22" t="str">
        <f>VLOOKUP(J84, Dropdowns!N:O, 2, FALSE)</f>
        <v>Standard</v>
      </c>
      <c r="J84" s="10" t="s">
        <v>760</v>
      </c>
      <c r="L84" s="17" t="s">
        <v>732</v>
      </c>
      <c r="M84" s="17" t="s">
        <v>9</v>
      </c>
      <c r="N84" s="17" t="s">
        <v>736</v>
      </c>
    </row>
    <row r="85" spans="1:14" x14ac:dyDescent="0.25">
      <c r="A85" s="10">
        <v>995021</v>
      </c>
      <c r="B85" s="22" t="str">
        <f>IFERROR(VLOOKUP(A85,VLOOKUPS!$A$2:B$12589,2,FALSE),"")</f>
        <v>Chopped Bacon Caesar Kit 10.2oz-standard</v>
      </c>
      <c r="E85" s="12">
        <v>2.99</v>
      </c>
      <c r="F85" s="12">
        <v>1.99</v>
      </c>
      <c r="G85" s="13">
        <v>44313</v>
      </c>
      <c r="H85" s="13">
        <v>44314</v>
      </c>
      <c r="I85" s="22" t="str">
        <f>VLOOKUP(J85, Dropdowns!N:O, 2, FALSE)</f>
        <v>Lower Price</v>
      </c>
      <c r="J85" s="10" t="s">
        <v>759</v>
      </c>
      <c r="L85" s="17" t="s">
        <v>733</v>
      </c>
      <c r="M85" s="17" t="s">
        <v>11</v>
      </c>
      <c r="N85" s="17" t="s">
        <v>740</v>
      </c>
    </row>
    <row r="86" spans="1:14" x14ac:dyDescent="0.25">
      <c r="A86" s="10">
        <v>995021</v>
      </c>
      <c r="B86" s="22" t="str">
        <f>IFERROR(VLOOKUP(A86,VLOOKUPS!$A$2:B$12589,2,FALSE),"")</f>
        <v>Chopped Bacon Caesar Kit 10.2oz-standard</v>
      </c>
      <c r="E86" s="12">
        <v>1.99</v>
      </c>
      <c r="F86" s="12">
        <v>2.99</v>
      </c>
      <c r="G86" s="13">
        <v>44315</v>
      </c>
      <c r="H86" s="13"/>
      <c r="I86" s="22" t="str">
        <f>VLOOKUP(J86, Dropdowns!N:O, 2, FALSE)</f>
        <v>Standard</v>
      </c>
      <c r="J86" s="10" t="s">
        <v>760</v>
      </c>
      <c r="L86" s="17" t="s">
        <v>733</v>
      </c>
      <c r="M86" s="17" t="s">
        <v>11</v>
      </c>
      <c r="N86" s="17" t="s">
        <v>740</v>
      </c>
    </row>
    <row r="87" spans="1:14" x14ac:dyDescent="0.25">
      <c r="A87" s="10">
        <v>995022</v>
      </c>
      <c r="B87" s="22" t="str">
        <f>IFERROR(VLOOKUP(A87,VLOOKUPS!$A$2:B$12589,2,FALSE),"")</f>
        <v>American Blend 12oz-standard</v>
      </c>
      <c r="E87" s="12">
        <v>1.99</v>
      </c>
      <c r="F87" s="12">
        <v>0.99</v>
      </c>
      <c r="G87" s="13">
        <v>44313</v>
      </c>
      <c r="H87" s="13">
        <v>44314</v>
      </c>
      <c r="I87" s="22" t="str">
        <f>VLOOKUP(J87, Dropdowns!N:O, 2, FALSE)</f>
        <v>Lower Price</v>
      </c>
      <c r="J87" s="10" t="s">
        <v>759</v>
      </c>
      <c r="L87" s="17" t="s">
        <v>732</v>
      </c>
      <c r="M87" s="17" t="s">
        <v>738</v>
      </c>
      <c r="N87" s="17">
        <v>2</v>
      </c>
    </row>
    <row r="88" spans="1:14" x14ac:dyDescent="0.25">
      <c r="A88" s="10">
        <v>995032</v>
      </c>
      <c r="B88" s="22" t="str">
        <f>IFERROR(VLOOKUP(A88,VLOOKUPS!$A$2:B$12589,2,FALSE),"")</f>
        <v>Chopped Sunflower Crunch Kit 12.2oz-standard</v>
      </c>
      <c r="E88" s="12">
        <v>2.99</v>
      </c>
      <c r="F88" s="12">
        <v>1.99</v>
      </c>
      <c r="G88" s="13">
        <v>44313</v>
      </c>
      <c r="H88" s="13">
        <v>44314</v>
      </c>
      <c r="I88" s="22" t="str">
        <f>VLOOKUP(J88, Dropdowns!N:O, 2, FALSE)</f>
        <v>Lower Price</v>
      </c>
      <c r="J88" s="10" t="s">
        <v>759</v>
      </c>
      <c r="L88" s="17" t="s">
        <v>732</v>
      </c>
      <c r="M88" s="17" t="s">
        <v>737</v>
      </c>
      <c r="N88" s="17" t="s">
        <v>736</v>
      </c>
    </row>
    <row r="89" spans="1:14" x14ac:dyDescent="0.25">
      <c r="A89" s="10">
        <v>995032</v>
      </c>
      <c r="B89" s="22" t="str">
        <f>IFERROR(VLOOKUP(A89,VLOOKUPS!$A$2:B$12589,2,FALSE),"")</f>
        <v>Chopped Sunflower Crunch Kit 12.2oz-standard</v>
      </c>
      <c r="E89" s="12">
        <v>1.99</v>
      </c>
      <c r="F89" s="12">
        <v>2.99</v>
      </c>
      <c r="G89" s="13">
        <v>44315</v>
      </c>
      <c r="H89" s="13"/>
      <c r="I89" s="22" t="str">
        <f>VLOOKUP(J89, Dropdowns!N:O, 2, FALSE)</f>
        <v>Standard</v>
      </c>
      <c r="J89" s="10" t="s">
        <v>760</v>
      </c>
      <c r="L89" s="17" t="s">
        <v>732</v>
      </c>
      <c r="M89" s="17" t="s">
        <v>737</v>
      </c>
      <c r="N89" s="17" t="s">
        <v>736</v>
      </c>
    </row>
    <row r="90" spans="1:14" x14ac:dyDescent="0.25">
      <c r="A90" s="10">
        <v>995074</v>
      </c>
      <c r="B90" s="22" t="str">
        <f>IFERROR(VLOOKUP(A90,VLOOKUPS!$A$2:B$12589,2,FALSE),"")</f>
        <v>Southwest Chopped Salad Kit 12oz-standard</v>
      </c>
      <c r="E90" s="12">
        <v>2.99</v>
      </c>
      <c r="F90" s="12">
        <v>1.99</v>
      </c>
      <c r="G90" s="13">
        <v>44313</v>
      </c>
      <c r="H90" s="13">
        <v>44315</v>
      </c>
      <c r="I90" s="22" t="str">
        <f>VLOOKUP(J90, Dropdowns!N:O, 2, FALSE)</f>
        <v>Lower Price</v>
      </c>
      <c r="J90" s="10" t="s">
        <v>759</v>
      </c>
      <c r="L90" s="17" t="s">
        <v>732</v>
      </c>
      <c r="M90" s="17" t="s">
        <v>737</v>
      </c>
      <c r="N90" s="17" t="s">
        <v>736</v>
      </c>
    </row>
    <row r="91" spans="1:14" x14ac:dyDescent="0.25">
      <c r="A91" s="10">
        <v>995074</v>
      </c>
      <c r="B91" s="22" t="str">
        <f>IFERROR(VLOOKUP(A91,VLOOKUPS!$A$2:B$12589,2,FALSE),"")</f>
        <v>Southwest Chopped Salad Kit 12oz-standard</v>
      </c>
      <c r="E91" s="12">
        <v>1.99</v>
      </c>
      <c r="F91" s="12">
        <v>2.99</v>
      </c>
      <c r="G91" s="13">
        <v>44316</v>
      </c>
      <c r="H91" s="13"/>
      <c r="I91" s="22" t="str">
        <f>VLOOKUP(J91, Dropdowns!N:O, 2, FALSE)</f>
        <v>Standard</v>
      </c>
      <c r="J91" s="10" t="s">
        <v>760</v>
      </c>
      <c r="L91" s="17" t="s">
        <v>732</v>
      </c>
      <c r="M91" s="17" t="s">
        <v>737</v>
      </c>
      <c r="N91" s="17" t="s">
        <v>736</v>
      </c>
    </row>
    <row r="92" spans="1:14" x14ac:dyDescent="0.25">
      <c r="A92" s="10">
        <v>995082</v>
      </c>
      <c r="B92" s="22" t="str">
        <f>IFERROR(VLOOKUP(A92,VLOOKUPS!$A$2:B$12589,2,FALSE),"")</f>
        <v>Melon Trio 16oz-standard</v>
      </c>
      <c r="E92" s="12">
        <v>3.99</v>
      </c>
      <c r="F92" s="12">
        <v>2.99</v>
      </c>
      <c r="G92" s="13">
        <v>44313</v>
      </c>
      <c r="H92" s="13">
        <v>44313</v>
      </c>
      <c r="I92" s="22" t="str">
        <f>VLOOKUP(J92, Dropdowns!N:O, 2, FALSE)</f>
        <v>Lower Price</v>
      </c>
      <c r="J92" s="10" t="s">
        <v>759</v>
      </c>
      <c r="L92" s="17" t="s">
        <v>733</v>
      </c>
      <c r="M92" s="17" t="s">
        <v>11</v>
      </c>
      <c r="N92" s="17" t="s">
        <v>740</v>
      </c>
    </row>
    <row r="93" spans="1:14" x14ac:dyDescent="0.25">
      <c r="A93" s="10">
        <v>995082</v>
      </c>
      <c r="B93" s="22" t="str">
        <f>IFERROR(VLOOKUP(A93,VLOOKUPS!$A$2:B$12589,2,FALSE),"")</f>
        <v>Melon Trio 16oz-standard</v>
      </c>
      <c r="E93" s="12">
        <v>2.99</v>
      </c>
      <c r="F93" s="12">
        <v>3.99</v>
      </c>
      <c r="G93" s="13">
        <v>44314</v>
      </c>
      <c r="H93" s="13"/>
      <c r="I93" s="22" t="str">
        <f>VLOOKUP(J93, Dropdowns!N:O, 2, FALSE)</f>
        <v>Standard</v>
      </c>
      <c r="J93" s="10" t="s">
        <v>760</v>
      </c>
      <c r="L93" s="17" t="s">
        <v>733</v>
      </c>
      <c r="M93" s="17" t="s">
        <v>11</v>
      </c>
      <c r="N93" s="17" t="s">
        <v>740</v>
      </c>
    </row>
    <row r="94" spans="1:14" x14ac:dyDescent="0.25">
      <c r="A94" s="10">
        <v>995131</v>
      </c>
      <c r="B94" s="22" t="str">
        <f>IFERROR(VLOOKUP(A94,VLOOKUPS!$A$2:B$12589,2,FALSE),"")</f>
        <v>Organic Baby Spinach &amp; Baby Kale 5oz-standard</v>
      </c>
      <c r="E94" s="12">
        <v>2.56</v>
      </c>
      <c r="F94" s="12">
        <v>1.56</v>
      </c>
      <c r="G94" s="13">
        <v>44313</v>
      </c>
      <c r="H94" s="13">
        <v>44314</v>
      </c>
      <c r="I94" s="22" t="str">
        <f>VLOOKUP(J94, Dropdowns!N:O, 2, FALSE)</f>
        <v>Lower Price</v>
      </c>
      <c r="J94" s="10" t="s">
        <v>759</v>
      </c>
      <c r="L94" s="17" t="s">
        <v>733</v>
      </c>
      <c r="M94" s="17" t="s">
        <v>11</v>
      </c>
      <c r="N94" s="17" t="s">
        <v>740</v>
      </c>
    </row>
    <row r="95" spans="1:14" x14ac:dyDescent="0.25">
      <c r="A95" s="10">
        <v>995131</v>
      </c>
      <c r="B95" s="22" t="str">
        <f>IFERROR(VLOOKUP(A95,VLOOKUPS!$A$2:B$12589,2,FALSE),"")</f>
        <v>Organic Baby Spinach &amp; Baby Kale 5oz-standard</v>
      </c>
      <c r="E95" s="12">
        <v>1.56</v>
      </c>
      <c r="F95" s="12">
        <v>2.56</v>
      </c>
      <c r="G95" s="13">
        <v>44315</v>
      </c>
      <c r="H95" s="13"/>
      <c r="I95" s="22" t="str">
        <f>VLOOKUP(J95, Dropdowns!N:O, 2, FALSE)</f>
        <v>Standard</v>
      </c>
      <c r="J95" s="10" t="s">
        <v>760</v>
      </c>
      <c r="L95" s="17" t="s">
        <v>733</v>
      </c>
      <c r="M95" s="17" t="s">
        <v>11</v>
      </c>
      <c r="N95" s="17" t="s">
        <v>740</v>
      </c>
    </row>
    <row r="96" spans="1:14" x14ac:dyDescent="0.25">
      <c r="A96" s="10">
        <v>995053</v>
      </c>
      <c r="B96" s="22" t="str">
        <f>IFERROR(VLOOKUP(A96,VLOOKUPS!$A$2:B$12589,2,FALSE),"")</f>
        <v>Fresh Chopped Salsa Pico 16oz-standard</v>
      </c>
      <c r="E96" s="12">
        <v>3.99</v>
      </c>
      <c r="F96" s="12">
        <v>3.49</v>
      </c>
      <c r="G96" s="13">
        <v>44313</v>
      </c>
      <c r="H96" s="13"/>
      <c r="I96" s="22" t="str">
        <f>VLOOKUP(J96, Dropdowns!N:O, 2, FALSE)</f>
        <v>Standard</v>
      </c>
      <c r="J96" s="10" t="s">
        <v>761</v>
      </c>
      <c r="L96" s="17" t="s">
        <v>732</v>
      </c>
      <c r="M96" s="17" t="s">
        <v>736</v>
      </c>
      <c r="N96" s="17" t="s">
        <v>736</v>
      </c>
    </row>
    <row r="97" spans="1:14" x14ac:dyDescent="0.25">
      <c r="A97" s="10">
        <v>983251</v>
      </c>
      <c r="B97" s="22" t="str">
        <f>IFERROR(VLOOKUP(A97,VLOOKUPS!$A$2:B$12589,2,FALSE),"")</f>
        <v>Watermelons Large Seedless 1ct-LOOSE</v>
      </c>
      <c r="D97">
        <v>45</v>
      </c>
      <c r="F97" s="12">
        <v>6.89</v>
      </c>
      <c r="G97" s="13">
        <v>44314</v>
      </c>
      <c r="H97" s="13"/>
      <c r="I97" s="22" t="str">
        <f>VLOOKUP(J97, Dropdowns!N:O, 2, FALSE)</f>
        <v>New</v>
      </c>
      <c r="J97" t="s">
        <v>776</v>
      </c>
      <c r="L97" s="17" t="s">
        <v>732</v>
      </c>
      <c r="M97" s="17" t="s">
        <v>9</v>
      </c>
      <c r="N97" s="17" t="s">
        <v>736</v>
      </c>
    </row>
    <row r="98" spans="1:14" x14ac:dyDescent="0.25">
      <c r="A98" s="10">
        <v>984460</v>
      </c>
      <c r="B98" s="22" t="str">
        <f>IFERROR(VLOOKUP(A98,VLOOKUPS!$A$2:B$12589,2,FALSE),"")</f>
        <v>Strawberries 1lb-standard</v>
      </c>
      <c r="E98" s="12">
        <v>2.4900000000000002</v>
      </c>
      <c r="F98" s="12">
        <v>1.49</v>
      </c>
      <c r="G98" s="13">
        <v>44314</v>
      </c>
      <c r="H98" s="13">
        <v>44314</v>
      </c>
      <c r="I98" s="22" t="str">
        <f>VLOOKUP(J98, Dropdowns!N:O, 2, FALSE)</f>
        <v>Lower Price</v>
      </c>
      <c r="J98" s="10" t="s">
        <v>759</v>
      </c>
      <c r="L98" s="17" t="s">
        <v>733</v>
      </c>
      <c r="M98" s="17" t="s">
        <v>11</v>
      </c>
      <c r="N98" s="17" t="s">
        <v>740</v>
      </c>
    </row>
    <row r="99" spans="1:14" x14ac:dyDescent="0.25">
      <c r="A99" s="10">
        <v>984460</v>
      </c>
      <c r="B99" s="22" t="str">
        <f>IFERROR(VLOOKUP(A99,VLOOKUPS!$A$2:B$12589,2,FALSE),"")</f>
        <v>Strawberries 1lb-standard</v>
      </c>
      <c r="E99" s="12">
        <v>1.49</v>
      </c>
      <c r="F99" s="12">
        <v>2.4900000000000002</v>
      </c>
      <c r="G99" s="13">
        <v>44315</v>
      </c>
      <c r="H99" s="13"/>
      <c r="I99" s="22" t="str">
        <f>VLOOKUP(J99, Dropdowns!N:O, 2, FALSE)</f>
        <v>Standard</v>
      </c>
      <c r="J99" s="10" t="s">
        <v>760</v>
      </c>
      <c r="L99" s="17" t="s">
        <v>733</v>
      </c>
      <c r="M99" s="17" t="s">
        <v>11</v>
      </c>
      <c r="N99" s="17" t="s">
        <v>740</v>
      </c>
    </row>
    <row r="100" spans="1:14" x14ac:dyDescent="0.25">
      <c r="A100" s="10">
        <v>984700</v>
      </c>
      <c r="B100" s="22" t="str">
        <f>IFERROR(VLOOKUP(A100,VLOOKUPS!$A$2:B$12589,2,FALSE),"")</f>
        <v>Blackberries 6oz-standard</v>
      </c>
      <c r="E100" s="12">
        <v>2.4300000000000002</v>
      </c>
      <c r="F100" s="12">
        <v>2.98</v>
      </c>
      <c r="G100" s="13">
        <v>44314</v>
      </c>
      <c r="H100" s="13"/>
      <c r="I100" s="22" t="str">
        <f>VLOOKUP(J100, Dropdowns!N:O, 2, FALSE)</f>
        <v>Standard</v>
      </c>
      <c r="J100" s="10" t="s">
        <v>761</v>
      </c>
      <c r="L100" s="17" t="s">
        <v>732</v>
      </c>
      <c r="M100" s="17" t="s">
        <v>736</v>
      </c>
      <c r="N100" s="17" t="s">
        <v>736</v>
      </c>
    </row>
    <row r="101" spans="1:14" x14ac:dyDescent="0.25">
      <c r="A101" s="10">
        <v>995007</v>
      </c>
      <c r="B101" s="22" t="str">
        <f>IFERROR(VLOOKUP(A101,VLOOKUPS!$A$2:B$12589,2,FALSE),"")</f>
        <v>Caesar Salad Kit 10.5oz-standard</v>
      </c>
      <c r="E101" s="12">
        <v>2.29</v>
      </c>
      <c r="F101" s="12">
        <v>1.49</v>
      </c>
      <c r="G101" s="13">
        <v>44314</v>
      </c>
      <c r="H101" s="13">
        <v>44315</v>
      </c>
      <c r="I101" s="22" t="str">
        <f>VLOOKUP(J101, Dropdowns!N:O, 2, FALSE)</f>
        <v>Lower Price</v>
      </c>
      <c r="J101" s="10" t="s">
        <v>759</v>
      </c>
      <c r="L101" s="17" t="s">
        <v>732</v>
      </c>
      <c r="M101" s="17" t="s">
        <v>737</v>
      </c>
      <c r="N101" s="17" t="s">
        <v>736</v>
      </c>
    </row>
    <row r="102" spans="1:14" x14ac:dyDescent="0.25">
      <c r="A102" s="10">
        <v>995007</v>
      </c>
      <c r="B102" s="22" t="str">
        <f>IFERROR(VLOOKUP(A102,VLOOKUPS!$A$2:B$12589,2,FALSE),"")</f>
        <v>Caesar Salad Kit 10.5oz-standard</v>
      </c>
      <c r="E102" s="12">
        <v>1.49</v>
      </c>
      <c r="F102" s="12">
        <v>2.29</v>
      </c>
      <c r="G102" s="13">
        <v>44316</v>
      </c>
      <c r="H102" s="13"/>
      <c r="I102" s="22" t="str">
        <f>VLOOKUP(J102, Dropdowns!N:O, 2, FALSE)</f>
        <v>Standard</v>
      </c>
      <c r="J102" s="10" t="s">
        <v>760</v>
      </c>
      <c r="L102" s="17" t="s">
        <v>732</v>
      </c>
      <c r="M102" s="17" t="s">
        <v>737</v>
      </c>
      <c r="N102" s="17" t="s">
        <v>736</v>
      </c>
    </row>
    <row r="103" spans="1:14" x14ac:dyDescent="0.25">
      <c r="A103" s="10">
        <v>995135</v>
      </c>
      <c r="B103" s="22" t="str">
        <f>IFERROR(VLOOKUP(A103,VLOOKUPS!$A$2:B$12589,2,FALSE),"")</f>
        <v>XL Mild Fresh Salsa 30oz-standard</v>
      </c>
      <c r="D103">
        <v>6</v>
      </c>
      <c r="E103" s="12"/>
      <c r="F103" s="12">
        <v>6.99</v>
      </c>
      <c r="G103" s="13">
        <v>44314</v>
      </c>
      <c r="H103" s="13"/>
      <c r="I103" s="22" t="str">
        <f>VLOOKUP(J103, Dropdowns!N:O, 2, FALSE)</f>
        <v>New</v>
      </c>
      <c r="J103" s="10" t="s">
        <v>776</v>
      </c>
      <c r="L103" s="17" t="s">
        <v>732</v>
      </c>
      <c r="M103" s="17" t="s">
        <v>736</v>
      </c>
      <c r="N103" s="17" t="s">
        <v>736</v>
      </c>
    </row>
    <row r="104" spans="1:14" x14ac:dyDescent="0.25">
      <c r="A104" s="10">
        <v>995045</v>
      </c>
      <c r="B104" s="22" t="str">
        <f>IFERROR(VLOOKUP(A104,VLOOKUPS!$A$2:B$12589,2,FALSE),"")</f>
        <v>Fajita Blend 12oz-standard</v>
      </c>
      <c r="G104" s="13">
        <v>44314</v>
      </c>
      <c r="H104" s="13">
        <v>44320</v>
      </c>
      <c r="I104" s="22" t="str">
        <f>VLOOKUP(J104, Dropdowns!N:O, 2, FALSE)</f>
        <v>Lower Price</v>
      </c>
      <c r="J104" s="8" t="s">
        <v>753</v>
      </c>
      <c r="L104" s="17" t="s">
        <v>732</v>
      </c>
      <c r="M104" s="17" t="s">
        <v>736</v>
      </c>
      <c r="N104" s="17" t="s">
        <v>736</v>
      </c>
    </row>
    <row r="105" spans="1:14" x14ac:dyDescent="0.25">
      <c r="A105" s="10">
        <v>995051</v>
      </c>
      <c r="B105" s="22" t="str">
        <f>IFERROR(VLOOKUP(A105,VLOOKUPS!$A$2:B$12589,2,FALSE),"")</f>
        <v>Mild Fresh Chopped Salsa 16oz-standard</v>
      </c>
      <c r="G105" s="13">
        <v>44314</v>
      </c>
      <c r="H105" s="13">
        <v>44320</v>
      </c>
      <c r="I105" s="22" t="str">
        <f>VLOOKUP(J105, Dropdowns!N:O, 2, FALSE)</f>
        <v>Lower Price</v>
      </c>
      <c r="J105" s="10" t="s">
        <v>753</v>
      </c>
      <c r="L105" s="17" t="s">
        <v>732</v>
      </c>
      <c r="M105" s="17" t="s">
        <v>736</v>
      </c>
      <c r="N105" s="17" t="s">
        <v>736</v>
      </c>
    </row>
    <row r="106" spans="1:14" x14ac:dyDescent="0.25">
      <c r="A106" s="10">
        <v>995008</v>
      </c>
      <c r="B106" s="22" t="str">
        <f>IFERROR(VLOOKUP(A106,VLOOKUPS!$A$2:B$12589,2,FALSE),"")</f>
        <v>Shredded Lettuce 8oz-standard</v>
      </c>
      <c r="G106" s="13">
        <v>44314</v>
      </c>
      <c r="H106" s="13">
        <v>44320</v>
      </c>
      <c r="I106" s="22" t="str">
        <f>VLOOKUP(J106, Dropdowns!N:O, 2, FALSE)</f>
        <v>Lower Price</v>
      </c>
      <c r="J106" s="10" t="s">
        <v>753</v>
      </c>
      <c r="L106" s="17" t="s">
        <v>732</v>
      </c>
      <c r="M106" s="17" t="s">
        <v>736</v>
      </c>
      <c r="N106" s="17" t="s">
        <v>736</v>
      </c>
    </row>
    <row r="107" spans="1:14" x14ac:dyDescent="0.25">
      <c r="A107" s="10">
        <v>995053</v>
      </c>
      <c r="B107" s="22" t="str">
        <f>IFERROR(VLOOKUP(A107,VLOOKUPS!$A$2:B$12589,2,FALSE),"")</f>
        <v>Fresh Chopped Salsa Pico 16oz-standard</v>
      </c>
      <c r="G107" s="13">
        <v>44314</v>
      </c>
      <c r="H107" s="13">
        <v>44320</v>
      </c>
      <c r="I107" s="22" t="str">
        <f>VLOOKUP(J107, Dropdowns!N:O, 2, FALSE)</f>
        <v>Lower Price</v>
      </c>
      <c r="J107" s="10" t="s">
        <v>753</v>
      </c>
      <c r="L107" s="17" t="s">
        <v>732</v>
      </c>
      <c r="M107" s="17" t="s">
        <v>736</v>
      </c>
      <c r="N107" s="17" t="s">
        <v>736</v>
      </c>
    </row>
    <row r="108" spans="1:14" x14ac:dyDescent="0.25">
      <c r="A108" s="10">
        <v>995019</v>
      </c>
      <c r="B108" s="22" t="str">
        <f>IFERROR(VLOOKUP(A108,VLOOKUPS!$A$2:B$12589,2,FALSE),"")</f>
        <v>RTE Large Santa Fe Salad 14oz-standard</v>
      </c>
      <c r="G108" s="13">
        <v>44314</v>
      </c>
      <c r="H108" s="13">
        <v>44320</v>
      </c>
      <c r="I108" s="22" t="str">
        <f>VLOOKUP(J108, Dropdowns!N:O, 2, FALSE)</f>
        <v>Lower Price</v>
      </c>
      <c r="J108" s="10" t="s">
        <v>753</v>
      </c>
      <c r="L108" s="17" t="s">
        <v>732</v>
      </c>
      <c r="M108" s="17" t="s">
        <v>736</v>
      </c>
      <c r="N108" s="17" t="s">
        <v>736</v>
      </c>
    </row>
    <row r="109" spans="1:14" x14ac:dyDescent="0.25">
      <c r="A109" s="10">
        <v>988620</v>
      </c>
      <c r="B109" s="22" t="str">
        <f>IFERROR(VLOOKUP(A109,VLOOKUPS!$A$2:B$12589,2,FALSE),"")</f>
        <v>Brussels Sprouts 1lb-standard</v>
      </c>
      <c r="G109" s="13">
        <v>44314</v>
      </c>
      <c r="H109" s="13">
        <v>44315</v>
      </c>
      <c r="I109" s="22" t="str">
        <f>VLOOKUP(J109, Dropdowns!N:O, 2, FALSE)</f>
        <v>Lower Price</v>
      </c>
      <c r="J109" t="s">
        <v>762</v>
      </c>
      <c r="L109" s="17" t="s">
        <v>732</v>
      </c>
      <c r="M109" s="17" t="s">
        <v>9</v>
      </c>
      <c r="N109" s="17" t="s">
        <v>736</v>
      </c>
    </row>
    <row r="110" spans="1:14" x14ac:dyDescent="0.25">
      <c r="A110" s="10">
        <v>988620</v>
      </c>
      <c r="B110" s="22" t="str">
        <f>IFERROR(VLOOKUP(A110,VLOOKUPS!$A$2:B$12589,2,FALSE),"")</f>
        <v>Brussels Sprouts 1lb-standard</v>
      </c>
      <c r="G110" s="13">
        <v>44314</v>
      </c>
      <c r="H110" s="13">
        <v>44316</v>
      </c>
      <c r="I110" s="22" t="str">
        <f>VLOOKUP(J110, Dropdowns!N:O, 2, FALSE)</f>
        <v>Lower Price</v>
      </c>
      <c r="J110" s="10" t="s">
        <v>762</v>
      </c>
      <c r="L110" s="17" t="s">
        <v>732</v>
      </c>
      <c r="M110" s="17" t="s">
        <v>738</v>
      </c>
      <c r="N110" s="17">
        <v>2</v>
      </c>
    </row>
    <row r="111" spans="1:14" x14ac:dyDescent="0.25">
      <c r="A111" s="10">
        <v>995015</v>
      </c>
      <c r="B111" s="22" t="str">
        <f>IFERROR(VLOOKUP(A111,VLOOKUPS!$A$2:B$12589,2,FALSE),"")</f>
        <v>Savory Spinach Dijon Salad 4.9oz-standard</v>
      </c>
      <c r="G111" s="13">
        <v>44314</v>
      </c>
      <c r="H111" s="13">
        <v>44314</v>
      </c>
      <c r="I111" s="22" t="str">
        <f>VLOOKUP(J111, Dropdowns!N:O, 2, FALSE)</f>
        <v>Lower Price</v>
      </c>
      <c r="J111" t="s">
        <v>762</v>
      </c>
      <c r="L111" s="17" t="s">
        <v>732</v>
      </c>
      <c r="M111" s="17" t="s">
        <v>736</v>
      </c>
      <c r="N111" s="17" t="s">
        <v>736</v>
      </c>
    </row>
    <row r="112" spans="1:14" x14ac:dyDescent="0.25">
      <c r="A112" s="10">
        <v>995039</v>
      </c>
      <c r="B112" s="22" t="str">
        <f>IFERROR(VLOOKUP(A112,VLOOKUPS!$A$2:B$12589,2,FALSE),"")</f>
        <v>Mushrooms Bacon Stuffed 7oz-standard</v>
      </c>
      <c r="G112" s="13">
        <v>44314</v>
      </c>
      <c r="H112" s="13">
        <v>44315</v>
      </c>
      <c r="I112" s="22" t="str">
        <f>VLOOKUP(J112, Dropdowns!N:O, 2, FALSE)</f>
        <v>Lower Price</v>
      </c>
      <c r="J112" t="s">
        <v>762</v>
      </c>
      <c r="L112" s="17" t="s">
        <v>732</v>
      </c>
      <c r="M112" s="17" t="s">
        <v>736</v>
      </c>
      <c r="N112" s="17" t="s">
        <v>736</v>
      </c>
    </row>
    <row r="113" spans="1:14" x14ac:dyDescent="0.25">
      <c r="A113" s="10">
        <v>995086</v>
      </c>
      <c r="B113" s="22" t="str">
        <f>IFERROR(VLOOKUP(A113,VLOOKUPS!$A$2:B$12589,2,FALSE),"")</f>
        <v>Eat Smart Broccoli Florets 2lbs-standard</v>
      </c>
      <c r="E113">
        <v>3.48</v>
      </c>
      <c r="F113">
        <v>5.98</v>
      </c>
      <c r="G113" s="13">
        <v>44314</v>
      </c>
      <c r="H113" s="13"/>
      <c r="I113" s="22" t="str">
        <f>VLOOKUP(J113, Dropdowns!N:O, 2, FALSE)</f>
        <v>Standard</v>
      </c>
      <c r="J113" t="s">
        <v>760</v>
      </c>
      <c r="L113" s="17" t="s">
        <v>732</v>
      </c>
      <c r="M113" s="17" t="s">
        <v>10</v>
      </c>
      <c r="N113" s="17">
        <v>2</v>
      </c>
    </row>
    <row r="114" spans="1:14" x14ac:dyDescent="0.25">
      <c r="A114" s="10">
        <v>995086</v>
      </c>
      <c r="B114" s="22" t="str">
        <f>IFERROR(VLOOKUP(A114,VLOOKUPS!$A$2:B$12589,2,FALSE),"")</f>
        <v>Eat Smart Broccoli Florets 2lbs-standard</v>
      </c>
      <c r="G114" s="13">
        <v>44314</v>
      </c>
      <c r="H114" s="13">
        <v>44315</v>
      </c>
      <c r="I114" s="22" t="str">
        <f>VLOOKUP(J114, Dropdowns!N:O, 2, FALSE)</f>
        <v>Lower Price</v>
      </c>
      <c r="J114" t="s">
        <v>762</v>
      </c>
      <c r="L114" s="17" t="s">
        <v>732</v>
      </c>
      <c r="M114" s="17" t="s">
        <v>737</v>
      </c>
      <c r="N114" s="17" t="s">
        <v>736</v>
      </c>
    </row>
    <row r="115" spans="1:14" x14ac:dyDescent="0.25">
      <c r="A115" s="10">
        <v>983251</v>
      </c>
      <c r="B115" s="22" t="str">
        <f>IFERROR(VLOOKUP(A115,VLOOKUPS!$A$2:B$12589,2,FALSE),"")</f>
        <v>Watermelons Large Seedless 1ct-LOOSE</v>
      </c>
      <c r="D115">
        <v>45</v>
      </c>
      <c r="F115">
        <v>6.89</v>
      </c>
      <c r="G115" s="13">
        <v>44315</v>
      </c>
      <c r="H115" s="13"/>
      <c r="I115" s="22" t="str">
        <f>VLOOKUP(J115, Dropdowns!N:O, 2, FALSE)</f>
        <v>New</v>
      </c>
      <c r="J115" t="s">
        <v>776</v>
      </c>
      <c r="L115" s="17" t="s">
        <v>732</v>
      </c>
      <c r="M115" s="17" t="s">
        <v>738</v>
      </c>
      <c r="N115" s="17">
        <v>2</v>
      </c>
    </row>
    <row r="116" spans="1:14" x14ac:dyDescent="0.25">
      <c r="A116" s="10">
        <v>985060</v>
      </c>
      <c r="B116" s="22" t="str">
        <f>IFERROR(VLOOKUP(A116,VLOOKUPS!$A$2:B$12589,2,FALSE),"")</f>
        <v>Lettuce* Iceberg 1ct-standard</v>
      </c>
      <c r="E116">
        <v>1.25</v>
      </c>
      <c r="F116">
        <v>1.39</v>
      </c>
      <c r="G116" s="13">
        <v>44315</v>
      </c>
      <c r="H116" s="13"/>
      <c r="I116" s="22" t="str">
        <f>VLOOKUP(J116, Dropdowns!N:O, 2, FALSE)</f>
        <v>Standard</v>
      </c>
      <c r="J116" t="s">
        <v>761</v>
      </c>
      <c r="L116" s="17" t="s">
        <v>732</v>
      </c>
      <c r="M116" s="17" t="s">
        <v>736</v>
      </c>
      <c r="N116" s="17" t="s">
        <v>736</v>
      </c>
    </row>
    <row r="117" spans="1:14" x14ac:dyDescent="0.25">
      <c r="A117" s="10">
        <v>987560</v>
      </c>
      <c r="B117" s="22" t="str">
        <f>IFERROR(VLOOKUP(A117,VLOOKUPS!$A$2:B$12589,2,FALSE),"")</f>
        <v>Celery 1ct-standard</v>
      </c>
      <c r="E117">
        <v>1.19</v>
      </c>
      <c r="F117">
        <v>1.29</v>
      </c>
      <c r="G117" s="13">
        <v>44315</v>
      </c>
      <c r="H117" s="13"/>
      <c r="I117" s="22" t="str">
        <f>VLOOKUP(J117, Dropdowns!N:O, 2, FALSE)</f>
        <v>Standard</v>
      </c>
      <c r="J117" t="s">
        <v>761</v>
      </c>
      <c r="L117" s="17" t="s">
        <v>732</v>
      </c>
      <c r="M117" s="17" t="s">
        <v>736</v>
      </c>
      <c r="N117" s="17" t="s">
        <v>736</v>
      </c>
    </row>
    <row r="118" spans="1:14" x14ac:dyDescent="0.25">
      <c r="A118" s="10">
        <v>995009</v>
      </c>
      <c r="B118" s="22" t="str">
        <f>IFERROR(VLOOKUP(A118,VLOOKUPS!$A$2:B$12589,2,FALSE),"")</f>
        <v>Classic Coleslaw 14oz-standard</v>
      </c>
      <c r="E118">
        <v>1.49</v>
      </c>
      <c r="F118">
        <v>0.89</v>
      </c>
      <c r="G118" s="13">
        <v>44315</v>
      </c>
      <c r="H118" s="13">
        <v>44316</v>
      </c>
      <c r="I118" s="22" t="str">
        <f>VLOOKUP(J118, Dropdowns!N:O, 2, FALSE)</f>
        <v>Lower Price</v>
      </c>
      <c r="J118" t="s">
        <v>759</v>
      </c>
      <c r="L118" s="17" t="s">
        <v>733</v>
      </c>
      <c r="M118" s="17" t="s">
        <v>9</v>
      </c>
      <c r="N118" s="17" t="s">
        <v>740</v>
      </c>
    </row>
    <row r="119" spans="1:14" x14ac:dyDescent="0.25">
      <c r="A119" s="10">
        <v>995009</v>
      </c>
      <c r="B119" s="22" t="str">
        <f>IFERROR(VLOOKUP(A119,VLOOKUPS!$A$2:B$12589,2,FALSE),"")</f>
        <v>Classic Coleslaw 14oz-standard</v>
      </c>
      <c r="E119">
        <v>1.59</v>
      </c>
      <c r="F119">
        <v>0.99</v>
      </c>
      <c r="G119" s="13">
        <v>44315</v>
      </c>
      <c r="H119" s="13">
        <v>44316</v>
      </c>
      <c r="I119" s="22" t="str">
        <f>VLOOKUP(J119, Dropdowns!N:O, 2, FALSE)</f>
        <v>Lower Price</v>
      </c>
      <c r="J119" t="s">
        <v>759</v>
      </c>
      <c r="L119" s="17" t="s">
        <v>734</v>
      </c>
      <c r="M119" s="17" t="s">
        <v>9</v>
      </c>
      <c r="N119" s="17" t="s">
        <v>736</v>
      </c>
    </row>
    <row r="120" spans="1:14" x14ac:dyDescent="0.25">
      <c r="A120" s="10">
        <v>995009</v>
      </c>
      <c r="B120" s="22" t="str">
        <f>IFERROR(VLOOKUP(A120,VLOOKUPS!$A$2:B$12589,2,FALSE),"")</f>
        <v>Classic Coleslaw 14oz-standard</v>
      </c>
      <c r="E120">
        <v>0.89</v>
      </c>
      <c r="F120">
        <v>1.49</v>
      </c>
      <c r="G120" s="13">
        <v>44317</v>
      </c>
      <c r="H120" s="13"/>
      <c r="I120" s="22" t="str">
        <f>VLOOKUP(J120, Dropdowns!N:O, 2, FALSE)</f>
        <v>Standard</v>
      </c>
      <c r="J120" t="s">
        <v>760</v>
      </c>
      <c r="L120" s="17" t="s">
        <v>733</v>
      </c>
      <c r="M120" s="17" t="s">
        <v>9</v>
      </c>
      <c r="N120" s="17" t="s">
        <v>740</v>
      </c>
    </row>
    <row r="121" spans="1:14" x14ac:dyDescent="0.25">
      <c r="A121" s="10">
        <v>995009</v>
      </c>
      <c r="B121" s="22" t="str">
        <f>IFERROR(VLOOKUP(A121,VLOOKUPS!$A$2:B$12589,2,FALSE),"")</f>
        <v>Classic Coleslaw 14oz-standard</v>
      </c>
      <c r="E121">
        <v>0.99</v>
      </c>
      <c r="F121">
        <v>1.59</v>
      </c>
      <c r="G121" s="13">
        <v>44317</v>
      </c>
      <c r="H121" s="13"/>
      <c r="I121" s="22" t="str">
        <f>VLOOKUP(J121, Dropdowns!N:O, 2, FALSE)</f>
        <v>Standard</v>
      </c>
      <c r="J121" t="s">
        <v>760</v>
      </c>
      <c r="L121" s="17" t="s">
        <v>734</v>
      </c>
      <c r="M121" s="17" t="s">
        <v>9</v>
      </c>
      <c r="N121" s="17" t="s">
        <v>736</v>
      </c>
    </row>
    <row r="122" spans="1:14" x14ac:dyDescent="0.25">
      <c r="A122" s="10">
        <v>995018</v>
      </c>
      <c r="B122" s="22" t="str">
        <f>IFERROR(VLOOKUP(A122,VLOOKUPS!$A$2:B$12589,2,FALSE),"")</f>
        <v>RTE Large Chicken Caesar Salad 13.1oz-standard</v>
      </c>
      <c r="E122">
        <v>4.99</v>
      </c>
      <c r="F122">
        <v>3.99</v>
      </c>
      <c r="G122" s="13">
        <v>44315</v>
      </c>
      <c r="H122" s="13">
        <v>44316</v>
      </c>
      <c r="I122" s="22" t="str">
        <f>VLOOKUP(J122, Dropdowns!N:O, 2, FALSE)</f>
        <v>Lower Price</v>
      </c>
      <c r="J122" t="s">
        <v>759</v>
      </c>
      <c r="L122" s="17" t="s">
        <v>733</v>
      </c>
      <c r="M122" s="17" t="s">
        <v>11</v>
      </c>
      <c r="N122" s="17" t="s">
        <v>740</v>
      </c>
    </row>
    <row r="123" spans="1:14" x14ac:dyDescent="0.25">
      <c r="A123" s="10">
        <v>995018</v>
      </c>
      <c r="B123" s="22" t="str">
        <f>IFERROR(VLOOKUP(A123,VLOOKUPS!$A$2:B$12589,2,FALSE),"")</f>
        <v>RTE Large Chicken Caesar Salad 13.1oz-standard</v>
      </c>
      <c r="E123">
        <v>3.99</v>
      </c>
      <c r="F123">
        <v>4.99</v>
      </c>
      <c r="G123" s="13">
        <v>44317</v>
      </c>
      <c r="H123" s="13"/>
      <c r="I123" s="22" t="str">
        <f>VLOOKUP(J123, Dropdowns!N:O, 2, FALSE)</f>
        <v>Standard</v>
      </c>
      <c r="J123" t="s">
        <v>760</v>
      </c>
      <c r="L123" s="17" t="s">
        <v>733</v>
      </c>
      <c r="M123" s="17" t="s">
        <v>11</v>
      </c>
      <c r="N123" s="17" t="s">
        <v>740</v>
      </c>
    </row>
    <row r="124" spans="1:14" x14ac:dyDescent="0.25">
      <c r="A124" s="10">
        <v>995023</v>
      </c>
      <c r="B124" s="22" t="str">
        <f>IFERROR(VLOOKUP(A124,VLOOKUPS!$A$2:B$12589,2,FALSE),"")</f>
        <v>Hearts of Romaine 9oz-standard</v>
      </c>
      <c r="E124">
        <v>2.4500000000000002</v>
      </c>
      <c r="F124">
        <v>1.45</v>
      </c>
      <c r="G124" s="13">
        <v>44315</v>
      </c>
      <c r="H124" s="13">
        <v>44316</v>
      </c>
      <c r="I124" s="22" t="str">
        <f>VLOOKUP(J124, Dropdowns!N:O, 2, FALSE)</f>
        <v>Lower Price</v>
      </c>
      <c r="J124" t="s">
        <v>759</v>
      </c>
      <c r="L124" s="17" t="s">
        <v>732</v>
      </c>
      <c r="M124" s="17" t="s">
        <v>736</v>
      </c>
      <c r="N124" s="17" t="s">
        <v>736</v>
      </c>
    </row>
    <row r="125" spans="1:14" x14ac:dyDescent="0.25">
      <c r="A125" s="10">
        <v>995023</v>
      </c>
      <c r="B125" s="22" t="str">
        <f>IFERROR(VLOOKUP(A125,VLOOKUPS!$A$2:B$12589,2,FALSE),"")</f>
        <v>Hearts of Romaine 9oz-standard</v>
      </c>
      <c r="E125">
        <v>1.45</v>
      </c>
      <c r="F125">
        <v>2.4500000000000002</v>
      </c>
      <c r="G125" s="13">
        <v>44317</v>
      </c>
      <c r="H125" s="13"/>
      <c r="I125" s="22" t="str">
        <f>VLOOKUP(J125, Dropdowns!N:O, 2, FALSE)</f>
        <v>Standard</v>
      </c>
      <c r="J125" t="s">
        <v>760</v>
      </c>
      <c r="L125" s="17" t="s">
        <v>732</v>
      </c>
      <c r="M125" s="17" t="s">
        <v>736</v>
      </c>
      <c r="N125" s="17" t="s">
        <v>736</v>
      </c>
    </row>
    <row r="126" spans="1:14" x14ac:dyDescent="0.25">
      <c r="A126" s="10">
        <v>995067</v>
      </c>
      <c r="B126" s="22" t="str">
        <f>IFERROR(VLOOKUP(A126,VLOOKUPS!$A$2:B$12589,2,FALSE),"")</f>
        <v>Organic Baby Arugula 5oz-standard</v>
      </c>
      <c r="E126">
        <v>2.56</v>
      </c>
      <c r="F126">
        <v>1.56</v>
      </c>
      <c r="G126" s="13">
        <v>44315</v>
      </c>
      <c r="H126" s="13">
        <v>44316</v>
      </c>
      <c r="I126" s="22" t="str">
        <f>VLOOKUP(J126, Dropdowns!N:O, 2, FALSE)</f>
        <v>Lower Price</v>
      </c>
      <c r="J126" t="s">
        <v>759</v>
      </c>
      <c r="L126" s="17" t="s">
        <v>733</v>
      </c>
      <c r="M126" s="17" t="s">
        <v>11</v>
      </c>
      <c r="N126" s="17" t="s">
        <v>740</v>
      </c>
    </row>
    <row r="127" spans="1:14" x14ac:dyDescent="0.25">
      <c r="A127" s="10">
        <v>995067</v>
      </c>
      <c r="B127" s="22" t="str">
        <f>IFERROR(VLOOKUP(A127,VLOOKUPS!$A$2:B$12589,2,FALSE),"")</f>
        <v>Organic Baby Arugula 5oz-standard</v>
      </c>
      <c r="E127">
        <v>1.56</v>
      </c>
      <c r="F127">
        <v>2.56</v>
      </c>
      <c r="G127" s="13">
        <v>44317</v>
      </c>
      <c r="H127" s="13"/>
      <c r="I127" s="22" t="str">
        <f>VLOOKUP(J127, Dropdowns!N:O, 2, FALSE)</f>
        <v>Standard</v>
      </c>
      <c r="J127" t="s">
        <v>760</v>
      </c>
      <c r="L127" s="17" t="s">
        <v>733</v>
      </c>
      <c r="M127" s="17" t="s">
        <v>11</v>
      </c>
      <c r="N127" s="17" t="s">
        <v>740</v>
      </c>
    </row>
    <row r="128" spans="1:14" x14ac:dyDescent="0.25">
      <c r="A128" s="10">
        <v>995015</v>
      </c>
      <c r="B128" s="22" t="str">
        <f>IFERROR(VLOOKUP(A128,VLOOKUPS!$A$2:B$12589,2,FALSE),"")</f>
        <v>Savory Spinach Dijon Salad 4.9oz-standard</v>
      </c>
      <c r="E128">
        <v>2.29</v>
      </c>
      <c r="F128">
        <v>2.89</v>
      </c>
      <c r="G128" s="13">
        <v>44315</v>
      </c>
      <c r="I128" s="22" t="str">
        <f>VLOOKUP(J128, Dropdowns!N:O, 2, FALSE)</f>
        <v>Standard</v>
      </c>
      <c r="J128" t="s">
        <v>760</v>
      </c>
      <c r="L128" s="17" t="s">
        <v>733</v>
      </c>
      <c r="M128" s="17" t="s">
        <v>736</v>
      </c>
      <c r="N128" s="17" t="s">
        <v>740</v>
      </c>
    </row>
    <row r="129" spans="1:14" x14ac:dyDescent="0.25">
      <c r="A129" s="10">
        <v>995015</v>
      </c>
      <c r="B129" s="22" t="str">
        <f>IFERROR(VLOOKUP(A129,VLOOKUPS!$A$2:B$12589,2,FALSE),"")</f>
        <v>Savory Spinach Dijon Salad 4.9oz-standard</v>
      </c>
      <c r="E129">
        <v>2.39</v>
      </c>
      <c r="F129">
        <v>2.99</v>
      </c>
      <c r="G129" s="13">
        <v>44315</v>
      </c>
      <c r="I129" s="22" t="str">
        <f>VLOOKUP(J129, Dropdowns!N:O, 2, FALSE)</f>
        <v>Standard</v>
      </c>
      <c r="J129" t="s">
        <v>760</v>
      </c>
      <c r="L129" s="17" t="s">
        <v>734</v>
      </c>
      <c r="M129" s="17" t="s">
        <v>735</v>
      </c>
      <c r="N129" s="17" t="s">
        <v>736</v>
      </c>
    </row>
    <row r="130" spans="1:14" x14ac:dyDescent="0.25">
      <c r="A130" s="10">
        <v>984620</v>
      </c>
      <c r="B130" s="22" t="str">
        <f>IFERROR(VLOOKUP(A130,VLOOKUPS!$A$2:B$12589,2,FALSE),"")</f>
        <v>Raspberries 6oz-standard</v>
      </c>
      <c r="E130">
        <v>2.82</v>
      </c>
      <c r="F130">
        <v>2.84</v>
      </c>
      <c r="G130" s="13">
        <v>44315</v>
      </c>
      <c r="I130" s="22" t="str">
        <f>VLOOKUP(J130, Dropdowns!N:O, 2, FALSE)</f>
        <v>Standard</v>
      </c>
      <c r="J130" t="s">
        <v>761</v>
      </c>
      <c r="L130" s="17" t="s">
        <v>732</v>
      </c>
      <c r="M130" s="17" t="s">
        <v>736</v>
      </c>
      <c r="N130" s="17" t="s">
        <v>736</v>
      </c>
    </row>
    <row r="131" spans="1:14" x14ac:dyDescent="0.25">
      <c r="A131" s="10">
        <v>984621</v>
      </c>
      <c r="B131" s="22" t="str">
        <f>IFERROR(VLOOKUP(A131,VLOOKUPS!$A$2:B$12589,2,FALSE),"")</f>
        <v>Raspberries 12oz-standard</v>
      </c>
      <c r="E131">
        <v>4.96</v>
      </c>
      <c r="F131">
        <v>5.13</v>
      </c>
      <c r="G131" s="13">
        <v>44315</v>
      </c>
      <c r="I131" s="22" t="str">
        <f>VLOOKUP(J131, Dropdowns!N:O, 2, FALSE)</f>
        <v>Standard</v>
      </c>
      <c r="J131" t="s">
        <v>761</v>
      </c>
      <c r="L131" s="17" t="s">
        <v>732</v>
      </c>
      <c r="M131" s="17" t="s">
        <v>736</v>
      </c>
      <c r="N131" s="17" t="s">
        <v>736</v>
      </c>
    </row>
    <row r="132" spans="1:14" x14ac:dyDescent="0.25">
      <c r="A132" s="10">
        <v>984620</v>
      </c>
      <c r="B132" s="22" t="str">
        <f>IFERROR(VLOOKUP(A132,VLOOKUPS!$A$2:B$12589,2,FALSE),"")</f>
        <v>Raspberries 6oz-standard</v>
      </c>
      <c r="E132">
        <v>2.84</v>
      </c>
      <c r="F132">
        <v>1.84</v>
      </c>
      <c r="G132" s="13">
        <v>44316</v>
      </c>
      <c r="H132" s="13">
        <v>44317</v>
      </c>
      <c r="I132" s="22" t="str">
        <f>VLOOKUP(J132, Dropdowns!N:O, 2, FALSE)</f>
        <v>Lower Price</v>
      </c>
      <c r="J132" t="s">
        <v>759</v>
      </c>
      <c r="L132" s="17" t="s">
        <v>732</v>
      </c>
      <c r="M132" s="17" t="s">
        <v>9</v>
      </c>
      <c r="N132" s="17" t="s">
        <v>736</v>
      </c>
    </row>
    <row r="133" spans="1:14" x14ac:dyDescent="0.25">
      <c r="A133" s="10">
        <v>984620</v>
      </c>
      <c r="B133" s="22" t="str">
        <f>IFERROR(VLOOKUP(A133,VLOOKUPS!$A$2:B$12589,2,FALSE),"")</f>
        <v>Raspberries 6oz-standard</v>
      </c>
      <c r="E133">
        <v>1.84</v>
      </c>
      <c r="F133">
        <v>2.84</v>
      </c>
      <c r="G133" s="13">
        <v>44318</v>
      </c>
      <c r="H133" s="13"/>
      <c r="I133" s="22" t="str">
        <f>VLOOKUP(J133, Dropdowns!N:O, 2, FALSE)</f>
        <v>Standard</v>
      </c>
      <c r="J133" t="s">
        <v>760</v>
      </c>
      <c r="L133" s="17" t="s">
        <v>732</v>
      </c>
      <c r="M133" s="17" t="s">
        <v>9</v>
      </c>
      <c r="N133" s="17" t="s">
        <v>736</v>
      </c>
    </row>
    <row r="134" spans="1:14" x14ac:dyDescent="0.25">
      <c r="A134" s="10">
        <v>984700</v>
      </c>
      <c r="B134" s="22" t="str">
        <f>IFERROR(VLOOKUP(A134,VLOOKUPS!$A$2:B$12589,2,FALSE),"")</f>
        <v>Blackberries 6oz-standard</v>
      </c>
      <c r="E134">
        <v>2.98</v>
      </c>
      <c r="F134">
        <v>1.98</v>
      </c>
      <c r="G134" s="13">
        <v>44316</v>
      </c>
      <c r="H134" s="13">
        <v>44317</v>
      </c>
      <c r="I134" s="22" t="str">
        <f>VLOOKUP(J134, Dropdowns!N:O, 2, FALSE)</f>
        <v>Lower Price</v>
      </c>
      <c r="J134" t="s">
        <v>759</v>
      </c>
      <c r="L134" s="17" t="s">
        <v>732</v>
      </c>
      <c r="M134" s="17" t="s">
        <v>737</v>
      </c>
      <c r="N134" s="17" t="s">
        <v>736</v>
      </c>
    </row>
    <row r="135" spans="1:14" x14ac:dyDescent="0.25">
      <c r="A135" s="10">
        <v>984700</v>
      </c>
      <c r="B135" s="22" t="str">
        <f>IFERROR(VLOOKUP(A135,VLOOKUPS!$A$2:B$12589,2,FALSE),"")</f>
        <v>Blackberries 6oz-standard</v>
      </c>
      <c r="E135">
        <v>1.98</v>
      </c>
      <c r="F135">
        <v>2.98</v>
      </c>
      <c r="G135" s="13">
        <v>44318</v>
      </c>
      <c r="H135" s="13"/>
      <c r="I135" s="22" t="str">
        <f>VLOOKUP(J135, Dropdowns!N:O, 2, FALSE)</f>
        <v>Standard</v>
      </c>
      <c r="J135" t="s">
        <v>760</v>
      </c>
      <c r="L135" s="17" t="s">
        <v>732</v>
      </c>
      <c r="M135" s="17" t="s">
        <v>737</v>
      </c>
      <c r="N135" s="17" t="s">
        <v>736</v>
      </c>
    </row>
    <row r="136" spans="1:14" x14ac:dyDescent="0.25">
      <c r="A136" s="10">
        <v>995022</v>
      </c>
      <c r="B136" s="22" t="str">
        <f>IFERROR(VLOOKUP(A136,VLOOKUPS!$A$2:B$12589,2,FALSE),"")</f>
        <v>American Blend 12oz-standard</v>
      </c>
      <c r="E136">
        <v>1.99</v>
      </c>
      <c r="F136">
        <v>0.79</v>
      </c>
      <c r="G136" s="13">
        <v>44316</v>
      </c>
      <c r="H136" s="13">
        <v>44317</v>
      </c>
      <c r="I136" s="22" t="str">
        <f>VLOOKUP(J136, Dropdowns!N:O, 2, FALSE)</f>
        <v>Lower Price</v>
      </c>
      <c r="J136" t="s">
        <v>759</v>
      </c>
      <c r="L136" s="17" t="s">
        <v>733</v>
      </c>
      <c r="M136" s="17" t="s">
        <v>11</v>
      </c>
      <c r="N136" s="17" t="s">
        <v>740</v>
      </c>
    </row>
    <row r="137" spans="1:14" x14ac:dyDescent="0.25">
      <c r="A137" s="10">
        <v>995022</v>
      </c>
      <c r="B137" s="22" t="str">
        <f>IFERROR(VLOOKUP(A137,VLOOKUPS!$A$2:B$12589,2,FALSE),"")</f>
        <v>American Blend 12oz-standard</v>
      </c>
      <c r="E137">
        <v>0.79</v>
      </c>
      <c r="F137">
        <v>1.99</v>
      </c>
      <c r="G137" s="13">
        <v>44318</v>
      </c>
      <c r="H137" s="13"/>
      <c r="I137" s="22" t="str">
        <f>VLOOKUP(J137, Dropdowns!N:O, 2, FALSE)</f>
        <v>Standard</v>
      </c>
      <c r="J137" t="s">
        <v>760</v>
      </c>
      <c r="L137" s="17" t="s">
        <v>733</v>
      </c>
      <c r="M137" s="17" t="s">
        <v>11</v>
      </c>
      <c r="N137" s="17" t="s">
        <v>740</v>
      </c>
    </row>
    <row r="138" spans="1:14" x14ac:dyDescent="0.25">
      <c r="A138" s="10">
        <v>995024</v>
      </c>
      <c r="B138" s="22" t="str">
        <f>IFERROR(VLOOKUP(A138,VLOOKUPS!$A$2:B$12589,2,FALSE),"")</f>
        <v>XL Spring Mix 16oz-standard</v>
      </c>
      <c r="E138">
        <v>4.1900000000000004</v>
      </c>
      <c r="F138">
        <v>3.19</v>
      </c>
      <c r="G138" s="13">
        <v>44316</v>
      </c>
      <c r="H138" s="13">
        <v>44317</v>
      </c>
      <c r="I138" s="22" t="str">
        <f>VLOOKUP(J138, Dropdowns!N:O, 2, FALSE)</f>
        <v>Lower Price</v>
      </c>
      <c r="J138" t="s">
        <v>759</v>
      </c>
      <c r="L138" s="17" t="s">
        <v>732</v>
      </c>
      <c r="M138" s="17" t="s">
        <v>737</v>
      </c>
      <c r="N138" s="17" t="s">
        <v>736</v>
      </c>
    </row>
    <row r="139" spans="1:14" x14ac:dyDescent="0.25">
      <c r="A139" s="10">
        <v>995024</v>
      </c>
      <c r="B139" s="22" t="str">
        <f>IFERROR(VLOOKUP(A139,VLOOKUPS!$A$2:B$12589,2,FALSE),"")</f>
        <v>XL Spring Mix 16oz-standard</v>
      </c>
      <c r="E139">
        <v>3.19</v>
      </c>
      <c r="F139">
        <v>4.1900000000000004</v>
      </c>
      <c r="G139" s="13">
        <v>44318</v>
      </c>
      <c r="H139" s="13"/>
      <c r="I139" s="22" t="str">
        <f>VLOOKUP(J139, Dropdowns!N:O, 2, FALSE)</f>
        <v>Standard</v>
      </c>
      <c r="J139" t="s">
        <v>760</v>
      </c>
      <c r="L139" s="17" t="s">
        <v>732</v>
      </c>
      <c r="M139" s="17" t="s">
        <v>737</v>
      </c>
      <c r="N139" s="17" t="s">
        <v>736</v>
      </c>
    </row>
    <row r="140" spans="1:14" x14ac:dyDescent="0.25">
      <c r="A140" s="10">
        <v>995025</v>
      </c>
      <c r="B140" s="22" t="str">
        <f>IFERROR(VLOOKUP(A140,VLOOKUPS!$A$2:B$12589,2,FALSE),"")</f>
        <v>XL Half and Half Mix 16oz-standard</v>
      </c>
      <c r="E140">
        <v>4.99</v>
      </c>
      <c r="F140">
        <v>3.49</v>
      </c>
      <c r="G140" s="13">
        <v>44316</v>
      </c>
      <c r="H140" s="13">
        <v>44317</v>
      </c>
      <c r="I140" s="22" t="str">
        <f>VLOOKUP(J140, Dropdowns!N:O, 2, FALSE)</f>
        <v>Lower Price</v>
      </c>
      <c r="J140" t="s">
        <v>759</v>
      </c>
      <c r="L140" s="17" t="s">
        <v>732</v>
      </c>
      <c r="M140" s="17" t="s">
        <v>736</v>
      </c>
      <c r="N140" s="17" t="s">
        <v>736</v>
      </c>
    </row>
    <row r="141" spans="1:14" x14ac:dyDescent="0.25">
      <c r="A141" s="10">
        <v>995025</v>
      </c>
      <c r="B141" s="22" t="str">
        <f>IFERROR(VLOOKUP(A141,VLOOKUPS!$A$2:B$12589,2,FALSE),"")</f>
        <v>XL Half and Half Mix 16oz-standard</v>
      </c>
      <c r="E141">
        <v>3.49</v>
      </c>
      <c r="F141">
        <v>4.99</v>
      </c>
      <c r="G141" s="13">
        <v>44318</v>
      </c>
      <c r="H141" s="13"/>
      <c r="I141" s="22" t="str">
        <f>VLOOKUP(J141, Dropdowns!N:O, 2, FALSE)</f>
        <v>Standard</v>
      </c>
      <c r="J141" t="s">
        <v>760</v>
      </c>
      <c r="L141" s="17" t="s">
        <v>732</v>
      </c>
      <c r="M141" s="17" t="s">
        <v>736</v>
      </c>
      <c r="N141" s="17" t="s">
        <v>736</v>
      </c>
    </row>
    <row r="142" spans="1:14" x14ac:dyDescent="0.25">
      <c r="A142" s="10">
        <v>995074</v>
      </c>
      <c r="B142" s="22" t="str">
        <f>IFERROR(VLOOKUP(A142,VLOOKUPS!$A$2:B$12589,2,FALSE),"")</f>
        <v>Southwest Chopped Salad Kit 12oz-standard</v>
      </c>
      <c r="E142">
        <v>2.99</v>
      </c>
      <c r="F142">
        <v>1.99</v>
      </c>
      <c r="G142" s="13">
        <v>44316</v>
      </c>
      <c r="H142" s="13">
        <v>44317</v>
      </c>
      <c r="I142" s="22" t="str">
        <f>VLOOKUP(J142, Dropdowns!N:O, 2, FALSE)</f>
        <v>Lower Price</v>
      </c>
      <c r="J142" t="s">
        <v>759</v>
      </c>
      <c r="L142" s="17" t="s">
        <v>732</v>
      </c>
      <c r="M142" s="17" t="s">
        <v>10</v>
      </c>
      <c r="N142" s="17">
        <v>2</v>
      </c>
    </row>
    <row r="143" spans="1:14" x14ac:dyDescent="0.25">
      <c r="A143" s="10">
        <v>995074</v>
      </c>
      <c r="B143" s="22" t="str">
        <f>IFERROR(VLOOKUP(A143,VLOOKUPS!$A$2:B$12589,2,FALSE),"")</f>
        <v>Southwest Chopped Salad Kit 12oz-standard</v>
      </c>
      <c r="E143">
        <v>1.99</v>
      </c>
      <c r="F143">
        <v>2.99</v>
      </c>
      <c r="G143" s="13">
        <v>44318</v>
      </c>
      <c r="H143" s="13"/>
      <c r="I143" s="22" t="str">
        <f>VLOOKUP(J143, Dropdowns!N:O, 2, FALSE)</f>
        <v>Standard</v>
      </c>
      <c r="J143" t="s">
        <v>760</v>
      </c>
      <c r="L143" s="17" t="s">
        <v>732</v>
      </c>
      <c r="M143" s="17" t="s">
        <v>10</v>
      </c>
      <c r="N143" s="17">
        <v>2</v>
      </c>
    </row>
    <row r="144" spans="1:14" x14ac:dyDescent="0.25">
      <c r="A144" s="10">
        <v>995081</v>
      </c>
      <c r="B144" s="22" t="str">
        <f>IFERROR(VLOOKUP(A144,VLOOKUPS!$A$2:B$12589,2,FALSE),"")</f>
        <v>Diced Green Peppers 8oz-standard</v>
      </c>
      <c r="G144" s="13">
        <v>44316</v>
      </c>
      <c r="H144" s="13"/>
      <c r="I144" s="22" t="str">
        <f>VLOOKUP(J144, Dropdowns!N:O, 2, FALSE)</f>
        <v>NA</v>
      </c>
      <c r="J144" t="s">
        <v>754</v>
      </c>
      <c r="L144" s="17" t="s">
        <v>732</v>
      </c>
      <c r="M144" s="17" t="s">
        <v>736</v>
      </c>
      <c r="N144" s="17" t="s">
        <v>736</v>
      </c>
    </row>
    <row r="145" spans="1:14" x14ac:dyDescent="0.25">
      <c r="A145" s="10">
        <v>995123</v>
      </c>
      <c r="B145" s="22" t="str">
        <f>IFERROR(VLOOKUP(A145,VLOOKUPS!$A$2:B$12589,2,FALSE),"")</f>
        <v>Vegetable Medley 12oz-standard</v>
      </c>
      <c r="D145">
        <v>6</v>
      </c>
      <c r="F145">
        <v>2.78</v>
      </c>
      <c r="G145" s="13">
        <v>44316</v>
      </c>
      <c r="H145" s="13"/>
      <c r="I145" s="22" t="str">
        <f>VLOOKUP(J145, Dropdowns!N:O, 2, FALSE)</f>
        <v>New</v>
      </c>
      <c r="J145" t="s">
        <v>776</v>
      </c>
      <c r="L145" s="17" t="s">
        <v>732</v>
      </c>
      <c r="M145" s="17" t="s">
        <v>736</v>
      </c>
      <c r="N145" s="17" t="s">
        <v>736</v>
      </c>
    </row>
    <row r="146" spans="1:14" x14ac:dyDescent="0.25">
      <c r="A146" s="10">
        <v>995129</v>
      </c>
      <c r="B146" s="22" t="str">
        <f>IFERROR(VLOOKUP(A146,VLOOKUPS!$A$2:B$12589,2,FALSE),"")</f>
        <v>Organic Broccoli Florets 10oz-standard</v>
      </c>
      <c r="D146">
        <v>6</v>
      </c>
      <c r="F146">
        <v>3.29</v>
      </c>
      <c r="G146" s="13">
        <v>44316</v>
      </c>
      <c r="H146" s="13"/>
      <c r="I146" s="22" t="str">
        <f>VLOOKUP(J146, Dropdowns!N:O, 2, FALSE)</f>
        <v>New</v>
      </c>
      <c r="J146" t="s">
        <v>776</v>
      </c>
      <c r="L146" s="17" t="s">
        <v>732</v>
      </c>
      <c r="M146" s="17" t="s">
        <v>736</v>
      </c>
      <c r="N146" s="17" t="s">
        <v>736</v>
      </c>
    </row>
    <row r="147" spans="1:14" x14ac:dyDescent="0.25">
      <c r="A147" s="10">
        <v>995130</v>
      </c>
      <c r="B147" s="22" t="str">
        <f>IFERROR(VLOOKUP(A147,VLOOKUPS!$A$2:B$12589,2,FALSE),"")</f>
        <v>Organic Green Beans 10oz-standard</v>
      </c>
      <c r="D147">
        <v>6</v>
      </c>
      <c r="F147">
        <v>3.29</v>
      </c>
      <c r="G147" s="13">
        <v>44316</v>
      </c>
      <c r="H147" s="13"/>
      <c r="I147" s="22" t="str">
        <f>VLOOKUP(J147, Dropdowns!N:O, 2, FALSE)</f>
        <v>New</v>
      </c>
      <c r="J147" t="s">
        <v>776</v>
      </c>
      <c r="L147" s="17" t="s">
        <v>732</v>
      </c>
      <c r="M147" s="17" t="s">
        <v>736</v>
      </c>
      <c r="N147" s="17" t="s">
        <v>736</v>
      </c>
    </row>
    <row r="148" spans="1:14" x14ac:dyDescent="0.25">
      <c r="A148" s="10">
        <v>988620</v>
      </c>
      <c r="B148" s="22" t="str">
        <f>IFERROR(VLOOKUP(A148,VLOOKUPS!$A$2:B$12589,2,FALSE),"")</f>
        <v>Brussels Sprouts 1lb-standard</v>
      </c>
      <c r="E148">
        <v>1.89</v>
      </c>
      <c r="F148">
        <v>2.89</v>
      </c>
      <c r="G148" s="13">
        <v>44316</v>
      </c>
      <c r="H148" s="13"/>
      <c r="I148" s="22" t="str">
        <f>VLOOKUP(J148, Dropdowns!N:O, 2, FALSE)</f>
        <v>Standard</v>
      </c>
      <c r="J148" t="s">
        <v>760</v>
      </c>
      <c r="L148" s="17" t="s">
        <v>732</v>
      </c>
      <c r="M148" s="17" t="s">
        <v>9</v>
      </c>
      <c r="N148" s="17" t="s">
        <v>736</v>
      </c>
    </row>
    <row r="149" spans="1:14" x14ac:dyDescent="0.25">
      <c r="A149" s="10">
        <v>995039</v>
      </c>
      <c r="B149" s="22" t="str">
        <f>IFERROR(VLOOKUP(A149,VLOOKUPS!$A$2:B$12589,2,FALSE),"")</f>
        <v>Mushrooms Bacon Stuffed 7oz-standard</v>
      </c>
      <c r="E149">
        <v>3.79</v>
      </c>
      <c r="F149">
        <v>4.99</v>
      </c>
      <c r="G149" s="13">
        <v>44316</v>
      </c>
      <c r="H149" s="13"/>
      <c r="I149" s="22" t="str">
        <f>VLOOKUP(J149, Dropdowns!N:O, 2, FALSE)</f>
        <v>Standard</v>
      </c>
      <c r="J149" t="s">
        <v>760</v>
      </c>
      <c r="L149" s="17" t="s">
        <v>732</v>
      </c>
      <c r="M149" s="17" t="s">
        <v>736</v>
      </c>
      <c r="N149" s="17" t="s">
        <v>736</v>
      </c>
    </row>
    <row r="150" spans="1:14" x14ac:dyDescent="0.25">
      <c r="A150" s="10">
        <v>995086</v>
      </c>
      <c r="B150" s="22" t="str">
        <f>IFERROR(VLOOKUP(A150,VLOOKUPS!$A$2:B$12589,2,FALSE),"")</f>
        <v>Eat Smart Broccoli Florets 2lbs-standard</v>
      </c>
      <c r="E150">
        <v>3.48</v>
      </c>
      <c r="F150">
        <v>5.98</v>
      </c>
      <c r="G150" s="13">
        <v>44316</v>
      </c>
      <c r="H150" s="13"/>
      <c r="I150" s="22" t="str">
        <f>VLOOKUP(J150, Dropdowns!N:O, 2, FALSE)</f>
        <v>Standard</v>
      </c>
      <c r="J150" t="s">
        <v>760</v>
      </c>
      <c r="L150" s="17" t="s">
        <v>733</v>
      </c>
      <c r="M150" s="17" t="s">
        <v>11</v>
      </c>
      <c r="N150" s="17" t="s">
        <v>740</v>
      </c>
    </row>
    <row r="151" spans="1:14" x14ac:dyDescent="0.25">
      <c r="A151" s="10">
        <v>995086</v>
      </c>
      <c r="B151" s="22" t="str">
        <f>IFERROR(VLOOKUP(A151,VLOOKUPS!$A$2:B$12589,2,FALSE),"")</f>
        <v>Eat Smart Broccoli Florets 2lbs-standard</v>
      </c>
      <c r="E151" s="23"/>
      <c r="F151" s="23"/>
      <c r="G151" s="13">
        <v>44316</v>
      </c>
      <c r="H151" s="13">
        <v>44317</v>
      </c>
      <c r="I151" s="22" t="str">
        <f>VLOOKUP(J151, Dropdowns!N:O, 2, FALSE)</f>
        <v>Lower Price</v>
      </c>
      <c r="J151" t="s">
        <v>762</v>
      </c>
      <c r="L151" s="17" t="s">
        <v>732</v>
      </c>
      <c r="M151" s="17" t="s">
        <v>9</v>
      </c>
      <c r="N151" s="17" t="s">
        <v>736</v>
      </c>
    </row>
    <row r="152" spans="1:14" x14ac:dyDescent="0.25">
      <c r="A152" s="10">
        <v>984621</v>
      </c>
      <c r="B152" s="22" t="str">
        <f>IFERROR(VLOOKUP(A152,VLOOKUPS!$A$2:B$12589,2,FALSE),"")</f>
        <v>Raspberries 12oz-standard</v>
      </c>
      <c r="E152">
        <v>5.13</v>
      </c>
      <c r="F152">
        <v>4.13</v>
      </c>
      <c r="G152" s="13">
        <v>44317</v>
      </c>
      <c r="H152" s="13">
        <v>44318</v>
      </c>
      <c r="I152" s="22" t="str">
        <f>VLOOKUP(J152, Dropdowns!N:O, 2, FALSE)</f>
        <v>Lower Price</v>
      </c>
      <c r="J152" t="s">
        <v>759</v>
      </c>
      <c r="L152" s="17" t="s">
        <v>732</v>
      </c>
      <c r="M152" s="17" t="s">
        <v>9</v>
      </c>
      <c r="N152" s="17" t="s">
        <v>736</v>
      </c>
    </row>
    <row r="153" spans="1:14" x14ac:dyDescent="0.25">
      <c r="A153" s="10">
        <v>984621</v>
      </c>
      <c r="B153" s="22" t="str">
        <f>IFERROR(VLOOKUP(A153,VLOOKUPS!$A$2:B$12589,2,FALSE),"")</f>
        <v>Raspberries 12oz-standard</v>
      </c>
      <c r="E153">
        <v>5.13</v>
      </c>
      <c r="F153">
        <v>4.13</v>
      </c>
      <c r="G153" s="13">
        <v>44319</v>
      </c>
      <c r="H153" s="13"/>
      <c r="I153" s="22" t="str">
        <f>VLOOKUP(J153, Dropdowns!N:O, 2, FALSE)</f>
        <v>Standard</v>
      </c>
      <c r="J153" t="s">
        <v>760</v>
      </c>
      <c r="L153" s="17" t="s">
        <v>732</v>
      </c>
      <c r="M153" s="17" t="s">
        <v>9</v>
      </c>
      <c r="N153" s="17" t="s">
        <v>736</v>
      </c>
    </row>
    <row r="154" spans="1:14" x14ac:dyDescent="0.25">
      <c r="A154" s="10">
        <v>995003</v>
      </c>
      <c r="B154" s="22" t="str">
        <f>IFERROR(VLOOKUP(A154,VLOOKUPS!$A$2:B$12589,2,FALSE),"")</f>
        <v>Sweet Kale Chopped Salad 12oz-standard</v>
      </c>
      <c r="E154">
        <v>2.99</v>
      </c>
      <c r="F154">
        <v>1.49</v>
      </c>
      <c r="G154" s="13">
        <v>44317</v>
      </c>
      <c r="H154" s="13">
        <v>44318</v>
      </c>
      <c r="I154" s="22" t="str">
        <f>VLOOKUP(J154, Dropdowns!N:O, 2, FALSE)</f>
        <v>Lower Price</v>
      </c>
      <c r="J154" t="s">
        <v>759</v>
      </c>
      <c r="L154" s="17" t="s">
        <v>732</v>
      </c>
      <c r="M154" s="17" t="s">
        <v>10</v>
      </c>
      <c r="N154" s="17">
        <v>2</v>
      </c>
    </row>
    <row r="155" spans="1:14" x14ac:dyDescent="0.25">
      <c r="A155" s="10">
        <v>995003</v>
      </c>
      <c r="B155" s="22" t="str">
        <f>IFERROR(VLOOKUP(A155,VLOOKUPS!$A$2:B$12589,2,FALSE),"")</f>
        <v>Sweet Kale Chopped Salad 12oz-standard</v>
      </c>
      <c r="E155">
        <v>1.49</v>
      </c>
      <c r="F155">
        <v>2.99</v>
      </c>
      <c r="G155" s="13">
        <v>44319</v>
      </c>
      <c r="H155" s="13"/>
      <c r="I155" s="22" t="str">
        <f>VLOOKUP(J155, Dropdowns!N:O, 2, FALSE)</f>
        <v>Standard</v>
      </c>
      <c r="J155" t="s">
        <v>760</v>
      </c>
      <c r="L155" s="17" t="s">
        <v>732</v>
      </c>
      <c r="M155" s="17" t="s">
        <v>10</v>
      </c>
      <c r="N155" s="17">
        <v>2</v>
      </c>
    </row>
    <row r="156" spans="1:14" x14ac:dyDescent="0.25">
      <c r="A156" s="10">
        <v>988620</v>
      </c>
      <c r="B156" s="22" t="str">
        <f>IFERROR(VLOOKUP(A156,VLOOKUPS!$A$2:B$12589,2,FALSE),"")</f>
        <v>Brussels Sprouts 1lb-standard</v>
      </c>
      <c r="E156">
        <v>1.89</v>
      </c>
      <c r="F156">
        <v>2.89</v>
      </c>
      <c r="G156" s="13">
        <v>44317</v>
      </c>
      <c r="H156" s="13"/>
      <c r="I156" s="22" t="str">
        <f>VLOOKUP(J156, Dropdowns!N:O, 2, FALSE)</f>
        <v>Standard</v>
      </c>
      <c r="J156" t="s">
        <v>760</v>
      </c>
      <c r="L156" s="17" t="s">
        <v>732</v>
      </c>
      <c r="M156" s="17" t="s">
        <v>738</v>
      </c>
      <c r="N156" s="17">
        <v>2</v>
      </c>
    </row>
    <row r="157" spans="1:14" x14ac:dyDescent="0.25">
      <c r="A157" s="10">
        <v>995131</v>
      </c>
      <c r="B157" s="22" t="str">
        <f>IFERROR(VLOOKUP(A157,VLOOKUPS!$A$2:B$12589,2,FALSE),"")</f>
        <v>Organic Baby Spinach &amp; Baby Kale 5oz-standard</v>
      </c>
      <c r="E157">
        <v>2.56</v>
      </c>
      <c r="F157">
        <v>1.56</v>
      </c>
      <c r="G157" s="13">
        <v>44317</v>
      </c>
      <c r="H157" s="13">
        <v>44318</v>
      </c>
      <c r="I157" s="22" t="str">
        <f>VLOOKUP(J157, Dropdowns!N:O, 2, FALSE)</f>
        <v>Lower Price</v>
      </c>
      <c r="J157" t="s">
        <v>759</v>
      </c>
      <c r="L157" s="17" t="s">
        <v>732</v>
      </c>
      <c r="M157" s="17" t="s">
        <v>736</v>
      </c>
      <c r="N157" s="17" t="s">
        <v>736</v>
      </c>
    </row>
    <row r="158" spans="1:14" x14ac:dyDescent="0.25">
      <c r="A158" s="10">
        <v>995131</v>
      </c>
      <c r="B158" s="22" t="str">
        <f>IFERROR(VLOOKUP(A158,VLOOKUPS!$A$2:B$12589,2,FALSE),"")</f>
        <v>Organic Baby Spinach &amp; Baby Kale 5oz-standard</v>
      </c>
      <c r="E158">
        <v>1.56</v>
      </c>
      <c r="F158">
        <v>2.56</v>
      </c>
      <c r="G158" s="13">
        <v>44319</v>
      </c>
      <c r="I158" s="22" t="str">
        <f>VLOOKUP(J158, Dropdowns!N:O, 2, FALSE)</f>
        <v>Standard</v>
      </c>
      <c r="J158" t="s">
        <v>760</v>
      </c>
      <c r="L158" s="17" t="s">
        <v>732</v>
      </c>
      <c r="M158" s="17" t="s">
        <v>736</v>
      </c>
      <c r="N158" s="17" t="s">
        <v>736</v>
      </c>
    </row>
    <row r="159" spans="1:14" x14ac:dyDescent="0.25">
      <c r="A159" s="10">
        <v>995086</v>
      </c>
      <c r="B159" s="22" t="str">
        <f>IFERROR(VLOOKUP(A159,VLOOKUPS!$A$2:B$12589,2,FALSE),"")</f>
        <v>Eat Smart Broccoli Florets 2lbs-standard</v>
      </c>
      <c r="E159">
        <v>3.98</v>
      </c>
      <c r="F159">
        <v>5.98</v>
      </c>
      <c r="G159" s="13">
        <v>44318</v>
      </c>
      <c r="I159" s="22" t="str">
        <f>VLOOKUP(J159, Dropdowns!N:O, 2, FALSE)</f>
        <v>Standard</v>
      </c>
      <c r="J159" t="s">
        <v>760</v>
      </c>
      <c r="L159" s="17" t="s">
        <v>732</v>
      </c>
      <c r="M159" s="17" t="s">
        <v>9</v>
      </c>
      <c r="N159" s="17" t="s">
        <v>736</v>
      </c>
    </row>
    <row r="160" spans="1:14" x14ac:dyDescent="0.25">
      <c r="A160" s="10">
        <v>984620</v>
      </c>
      <c r="B160" s="22" t="str">
        <f>IFERROR(VLOOKUP(A160,VLOOKUPS!$A$2:B$12589,2,FALSE),"")</f>
        <v>Raspberries 6oz-standard</v>
      </c>
      <c r="E160">
        <v>2.84</v>
      </c>
      <c r="F160">
        <v>1.84</v>
      </c>
      <c r="G160" s="13">
        <v>44320</v>
      </c>
      <c r="H160" s="13">
        <v>44321</v>
      </c>
      <c r="I160" s="22" t="str">
        <f>VLOOKUP(J160, Dropdowns!N:O, 2, FALSE)</f>
        <v>Lower Price</v>
      </c>
      <c r="J160" t="s">
        <v>759</v>
      </c>
      <c r="L160" s="17" t="s">
        <v>732</v>
      </c>
      <c r="M160" s="17" t="s">
        <v>738</v>
      </c>
      <c r="N160" s="17">
        <v>2</v>
      </c>
    </row>
    <row r="161" spans="1:14" x14ac:dyDescent="0.25">
      <c r="A161" s="10">
        <v>984620</v>
      </c>
      <c r="B161" s="22" t="str">
        <f>IFERROR(VLOOKUP(A161,VLOOKUPS!$A$2:B$12589,2,FALSE),"")</f>
        <v>Raspberries 6oz-standard</v>
      </c>
      <c r="E161">
        <v>1.84</v>
      </c>
      <c r="F161">
        <v>2.84</v>
      </c>
      <c r="G161" s="13">
        <v>44322</v>
      </c>
      <c r="H161" s="24"/>
      <c r="I161" s="22" t="str">
        <f>VLOOKUP(J161, Dropdowns!N:O, 2, FALSE)</f>
        <v>Standard</v>
      </c>
      <c r="J161" t="s">
        <v>760</v>
      </c>
      <c r="L161" s="17" t="s">
        <v>732</v>
      </c>
      <c r="M161" s="17" t="s">
        <v>738</v>
      </c>
      <c r="N161" s="17">
        <v>2</v>
      </c>
    </row>
    <row r="162" spans="1:14" x14ac:dyDescent="0.25">
      <c r="A162" s="10">
        <v>984621</v>
      </c>
      <c r="B162" s="22" t="str">
        <f>IFERROR(VLOOKUP(A162,VLOOKUPS!$A$2:B$12589,2,FALSE),"")</f>
        <v>Raspberries 12oz-standard</v>
      </c>
      <c r="E162">
        <v>5.13</v>
      </c>
      <c r="F162">
        <v>3.93</v>
      </c>
      <c r="G162" s="13">
        <v>44320</v>
      </c>
      <c r="H162" s="13">
        <v>44321</v>
      </c>
      <c r="I162" s="22" t="str">
        <f>VLOOKUP(J162, Dropdowns!N:O, 2, FALSE)</f>
        <v>Lower Price</v>
      </c>
      <c r="J162" t="s">
        <v>759</v>
      </c>
      <c r="L162" s="17" t="s">
        <v>732</v>
      </c>
      <c r="M162" s="17" t="s">
        <v>738</v>
      </c>
      <c r="N162" s="17">
        <v>2</v>
      </c>
    </row>
    <row r="163" spans="1:14" x14ac:dyDescent="0.25">
      <c r="A163" s="10">
        <v>984621</v>
      </c>
      <c r="B163" s="22" t="str">
        <f>IFERROR(VLOOKUP(A163,VLOOKUPS!$A$2:B$12589,2,FALSE),"")</f>
        <v>Raspberries 12oz-standard</v>
      </c>
      <c r="E163">
        <v>3.93</v>
      </c>
      <c r="F163">
        <v>5.13</v>
      </c>
      <c r="G163" s="13">
        <v>44322</v>
      </c>
      <c r="H163" s="13"/>
      <c r="I163" s="22" t="str">
        <f>VLOOKUP(J163, Dropdowns!N:O, 2, FALSE)</f>
        <v>Standard</v>
      </c>
      <c r="J163" t="s">
        <v>760</v>
      </c>
      <c r="L163" s="17" t="s">
        <v>732</v>
      </c>
      <c r="M163" s="17" t="s">
        <v>738</v>
      </c>
      <c r="N163" s="17">
        <v>2</v>
      </c>
    </row>
    <row r="164" spans="1:14" x14ac:dyDescent="0.25">
      <c r="A164" s="10">
        <v>985011</v>
      </c>
      <c r="B164" s="22" t="str">
        <f>IFERROR(VLOOKUP(A164,VLOOKUPS!$A$2:B$12589,2,FALSE),"")</f>
        <v>Lettuce Butter 1ct-standard</v>
      </c>
      <c r="E164">
        <v>2.29</v>
      </c>
      <c r="F164">
        <v>1.99</v>
      </c>
      <c r="G164" s="13">
        <v>44320</v>
      </c>
      <c r="H164" s="13"/>
      <c r="I164" s="22" t="str">
        <f>VLOOKUP(J164, Dropdowns!N:O, 2, FALSE)</f>
        <v>Standard</v>
      </c>
      <c r="J164" t="s">
        <v>761</v>
      </c>
      <c r="L164" s="17" t="s">
        <v>732</v>
      </c>
      <c r="M164" s="17" t="s">
        <v>736</v>
      </c>
      <c r="N164" s="17" t="s">
        <v>741</v>
      </c>
    </row>
    <row r="165" spans="1:14" x14ac:dyDescent="0.25">
      <c r="A165" s="10">
        <v>988620</v>
      </c>
      <c r="B165" s="22" t="str">
        <f>IFERROR(VLOOKUP(A165,VLOOKUPS!$A$2:B$12589,2,FALSE),"")</f>
        <v>Brussels Sprouts 1lb-standard</v>
      </c>
      <c r="E165">
        <v>2.89</v>
      </c>
      <c r="F165">
        <v>1.89</v>
      </c>
      <c r="G165" s="13">
        <v>44320</v>
      </c>
      <c r="H165" s="13">
        <v>44321</v>
      </c>
      <c r="I165" s="22" t="str">
        <f>VLOOKUP(J165, Dropdowns!N:O, 2, FALSE)</f>
        <v>Lower Price</v>
      </c>
      <c r="J165" t="s">
        <v>759</v>
      </c>
      <c r="L165" s="17" t="s">
        <v>732</v>
      </c>
      <c r="M165" s="17" t="s">
        <v>737</v>
      </c>
      <c r="N165" s="17" t="s">
        <v>736</v>
      </c>
    </row>
    <row r="166" spans="1:14" x14ac:dyDescent="0.25">
      <c r="A166" s="10">
        <v>988620</v>
      </c>
      <c r="B166" s="22" t="str">
        <f>IFERROR(VLOOKUP(A166,VLOOKUPS!$A$2:B$12589,2,FALSE),"")</f>
        <v>Brussels Sprouts 1lb-standard</v>
      </c>
      <c r="E166">
        <v>1.89</v>
      </c>
      <c r="F166">
        <v>2.89</v>
      </c>
      <c r="G166" s="13">
        <v>44322</v>
      </c>
      <c r="H166" s="13"/>
      <c r="I166" s="22" t="str">
        <f>VLOOKUP(J166, Dropdowns!N:O, 2, FALSE)</f>
        <v>Standard</v>
      </c>
      <c r="J166" t="s">
        <v>760</v>
      </c>
      <c r="L166" s="17" t="s">
        <v>732</v>
      </c>
      <c r="M166" s="17" t="s">
        <v>737</v>
      </c>
      <c r="N166" s="17" t="s">
        <v>736</v>
      </c>
    </row>
    <row r="167" spans="1:14" x14ac:dyDescent="0.25">
      <c r="A167" s="10">
        <v>995006</v>
      </c>
      <c r="B167" s="22" t="str">
        <f>IFERROR(VLOOKUP(A167,VLOOKUPS!$A$2:B$12589,2,FALSE),"")</f>
        <v>Italian Salad 9oz-standard</v>
      </c>
      <c r="E167">
        <v>1.99</v>
      </c>
      <c r="F167">
        <v>0.99</v>
      </c>
      <c r="G167" s="13">
        <v>44320</v>
      </c>
      <c r="H167" s="13">
        <v>44321</v>
      </c>
      <c r="I167" s="22" t="str">
        <f>VLOOKUP(J167, Dropdowns!N:O, 2, FALSE)</f>
        <v>Lower Price</v>
      </c>
      <c r="J167" t="s">
        <v>759</v>
      </c>
      <c r="L167" s="17" t="s">
        <v>732</v>
      </c>
      <c r="M167" s="17" t="s">
        <v>9</v>
      </c>
      <c r="N167" s="17" t="s">
        <v>736</v>
      </c>
    </row>
    <row r="168" spans="1:14" x14ac:dyDescent="0.25">
      <c r="A168" s="10">
        <v>995006</v>
      </c>
      <c r="B168" s="22" t="str">
        <f>IFERROR(VLOOKUP(A168,VLOOKUPS!$A$2:B$12589,2,FALSE),"")</f>
        <v>Italian Salad 9oz-standard</v>
      </c>
      <c r="E168">
        <v>0.99</v>
      </c>
      <c r="F168">
        <v>1.99</v>
      </c>
      <c r="G168" s="13">
        <v>44322</v>
      </c>
      <c r="H168" s="13"/>
      <c r="I168" s="22" t="str">
        <f>VLOOKUP(J168, Dropdowns!N:O, 2, FALSE)</f>
        <v>Standard</v>
      </c>
      <c r="J168" t="s">
        <v>760</v>
      </c>
      <c r="L168" s="17" t="s">
        <v>732</v>
      </c>
      <c r="M168" s="17" t="s">
        <v>9</v>
      </c>
      <c r="N168" s="17" t="s">
        <v>736</v>
      </c>
    </row>
    <row r="169" spans="1:14" x14ac:dyDescent="0.25">
      <c r="A169" s="10">
        <v>995015</v>
      </c>
      <c r="B169" s="22" t="str">
        <f>IFERROR(VLOOKUP(A169,VLOOKUPS!$A$2:B$12589,2,FALSE),"")</f>
        <v>Savory Spinach Dijon Salad 4.9oz-standard</v>
      </c>
      <c r="E169">
        <v>2.89</v>
      </c>
      <c r="F169">
        <v>1.89</v>
      </c>
      <c r="G169" s="13">
        <v>44320</v>
      </c>
      <c r="H169" s="13">
        <v>44321</v>
      </c>
      <c r="I169" s="22" t="str">
        <f>VLOOKUP(J169, Dropdowns!N:O, 2, FALSE)</f>
        <v>Lower Price</v>
      </c>
      <c r="J169" t="s">
        <v>759</v>
      </c>
      <c r="L169" s="17" t="s">
        <v>733</v>
      </c>
      <c r="M169" s="17" t="s">
        <v>738</v>
      </c>
      <c r="N169" s="17" t="s">
        <v>740</v>
      </c>
    </row>
    <row r="170" spans="1:14" x14ac:dyDescent="0.25">
      <c r="A170" s="10">
        <v>995015</v>
      </c>
      <c r="B170" s="22" t="str">
        <f>IFERROR(VLOOKUP(A170,VLOOKUPS!$A$2:B$12589,2,FALSE),"")</f>
        <v>Savory Spinach Dijon Salad 4.9oz-standard</v>
      </c>
      <c r="E170">
        <v>2.99</v>
      </c>
      <c r="F170">
        <v>1.99</v>
      </c>
      <c r="G170" s="13">
        <v>44320</v>
      </c>
      <c r="H170" s="13">
        <v>44321</v>
      </c>
      <c r="I170" s="22" t="str">
        <f>VLOOKUP(J170, Dropdowns!N:O, 2, FALSE)</f>
        <v>Lower Price</v>
      </c>
      <c r="J170" t="s">
        <v>759</v>
      </c>
      <c r="L170" s="17" t="s">
        <v>734</v>
      </c>
      <c r="M170" s="17" t="s">
        <v>10</v>
      </c>
      <c r="N170" s="17">
        <v>2</v>
      </c>
    </row>
    <row r="171" spans="1:14" x14ac:dyDescent="0.25">
      <c r="A171" s="10">
        <v>995015</v>
      </c>
      <c r="B171" s="22" t="str">
        <f>IFERROR(VLOOKUP(A171,VLOOKUPS!$A$2:B$12589,2,FALSE),"")</f>
        <v>Savory Spinach Dijon Salad 4.9oz-standard</v>
      </c>
      <c r="E171">
        <v>1.89</v>
      </c>
      <c r="F171">
        <v>2.89</v>
      </c>
      <c r="G171" s="13">
        <v>44322</v>
      </c>
      <c r="H171" s="13"/>
      <c r="I171" s="22" t="str">
        <f>VLOOKUP(J171, Dropdowns!N:O, 2, FALSE)</f>
        <v>Standard</v>
      </c>
      <c r="J171" t="s">
        <v>760</v>
      </c>
      <c r="L171" s="17" t="s">
        <v>733</v>
      </c>
      <c r="M171" s="17" t="s">
        <v>738</v>
      </c>
      <c r="N171" s="17" t="s">
        <v>740</v>
      </c>
    </row>
    <row r="172" spans="1:14" x14ac:dyDescent="0.25">
      <c r="A172" s="10">
        <v>995015</v>
      </c>
      <c r="B172" s="22" t="str">
        <f>IFERROR(VLOOKUP(A172,VLOOKUPS!$A$2:B$12589,2,FALSE),"")</f>
        <v>Savory Spinach Dijon Salad 4.9oz-standard</v>
      </c>
      <c r="E172">
        <v>1.99</v>
      </c>
      <c r="F172">
        <v>2.99</v>
      </c>
      <c r="G172" s="13">
        <v>44322</v>
      </c>
      <c r="H172" s="13"/>
      <c r="I172" s="22" t="str">
        <f>VLOOKUP(J172, Dropdowns!N:O, 2, FALSE)</f>
        <v>Standard</v>
      </c>
      <c r="J172" t="s">
        <v>760</v>
      </c>
      <c r="L172" s="17" t="s">
        <v>734</v>
      </c>
      <c r="M172" s="17" t="s">
        <v>10</v>
      </c>
      <c r="N172" s="17">
        <v>2</v>
      </c>
    </row>
    <row r="173" spans="1:14" x14ac:dyDescent="0.25">
      <c r="A173" s="10">
        <v>995025</v>
      </c>
      <c r="B173" s="22" t="str">
        <f>IFERROR(VLOOKUP(A173,VLOOKUPS!$A$2:B$12589,2,FALSE),"")</f>
        <v>XL Half and Half Mix 16oz-standard</v>
      </c>
      <c r="E173">
        <v>4.99</v>
      </c>
      <c r="F173">
        <v>3.49</v>
      </c>
      <c r="G173" s="13">
        <v>44320</v>
      </c>
      <c r="H173" s="13">
        <v>44321</v>
      </c>
      <c r="I173" s="22" t="str">
        <f>VLOOKUP(J173, Dropdowns!N:O, 2, FALSE)</f>
        <v>Lower Price</v>
      </c>
      <c r="J173" t="s">
        <v>759</v>
      </c>
      <c r="L173" s="17" t="s">
        <v>733</v>
      </c>
      <c r="M173" s="17" t="s">
        <v>11</v>
      </c>
      <c r="N173" s="17" t="s">
        <v>740</v>
      </c>
    </row>
    <row r="174" spans="1:14" x14ac:dyDescent="0.25">
      <c r="A174" s="10">
        <v>995025</v>
      </c>
      <c r="B174" s="22" t="str">
        <f>IFERROR(VLOOKUP(A174,VLOOKUPS!$A$2:B$12589,2,FALSE),"")</f>
        <v>XL Half and Half Mix 16oz-standard</v>
      </c>
      <c r="E174">
        <v>3.49</v>
      </c>
      <c r="F174">
        <v>4.99</v>
      </c>
      <c r="G174" s="13">
        <v>44322</v>
      </c>
      <c r="H174" s="13"/>
      <c r="I174" s="22" t="str">
        <f>VLOOKUP(J174, Dropdowns!N:O, 2, FALSE)</f>
        <v>Standard</v>
      </c>
      <c r="J174" t="s">
        <v>760</v>
      </c>
      <c r="L174" s="17" t="s">
        <v>733</v>
      </c>
      <c r="M174" s="17" t="s">
        <v>11</v>
      </c>
      <c r="N174" s="17" t="s">
        <v>740</v>
      </c>
    </row>
    <row r="175" spans="1:14" x14ac:dyDescent="0.25">
      <c r="A175" s="10">
        <v>995039</v>
      </c>
      <c r="B175" s="22" t="str">
        <f>IFERROR(VLOOKUP(A175,VLOOKUPS!$A$2:B$12589,2,FALSE),"")</f>
        <v>Mushrooms Bacon Stuffed 7oz-standard</v>
      </c>
      <c r="G175" s="13">
        <v>44320</v>
      </c>
      <c r="H175" s="13"/>
      <c r="I175" s="22" t="str">
        <f>VLOOKUP(J175, Dropdowns!N:O, 2, FALSE)</f>
        <v>NA</v>
      </c>
      <c r="J175" t="s">
        <v>754</v>
      </c>
      <c r="L175" s="17" t="s">
        <v>732</v>
      </c>
      <c r="M175" s="17" t="s">
        <v>736</v>
      </c>
      <c r="N175" s="17" t="s">
        <v>736</v>
      </c>
    </row>
    <row r="176" spans="1:14" x14ac:dyDescent="0.25">
      <c r="A176" s="10">
        <v>995042</v>
      </c>
      <c r="B176" s="22" t="str">
        <f>IFERROR(VLOOKUP(A176,VLOOKUPS!$A$2:B$12589,2,FALSE),"")</f>
        <v>Mango Chunks 16oz-standard</v>
      </c>
      <c r="E176">
        <v>3.99</v>
      </c>
      <c r="F176">
        <v>2.99</v>
      </c>
      <c r="G176" s="13">
        <v>44320</v>
      </c>
      <c r="H176" s="13">
        <v>44320</v>
      </c>
      <c r="I176" s="22" t="str">
        <f>VLOOKUP(J176, Dropdowns!N:O, 2, FALSE)</f>
        <v>Lower Price</v>
      </c>
      <c r="J176" t="s">
        <v>759</v>
      </c>
      <c r="L176" s="17" t="s">
        <v>732</v>
      </c>
      <c r="M176" s="17" t="s">
        <v>9</v>
      </c>
      <c r="N176" s="17" t="s">
        <v>736</v>
      </c>
    </row>
    <row r="177" spans="1:14" x14ac:dyDescent="0.25">
      <c r="A177" s="10">
        <v>995042</v>
      </c>
      <c r="B177" s="22" t="str">
        <f>IFERROR(VLOOKUP(A177,VLOOKUPS!$A$2:B$12589,2,FALSE),"")</f>
        <v>Mango Chunks 16oz-standard</v>
      </c>
      <c r="E177">
        <v>2.99</v>
      </c>
      <c r="F177">
        <v>3.99</v>
      </c>
      <c r="G177" s="13">
        <v>44321</v>
      </c>
      <c r="H177" s="13"/>
      <c r="I177" s="22" t="str">
        <f>VLOOKUP(J177, Dropdowns!N:O, 2, FALSE)</f>
        <v>Standard</v>
      </c>
      <c r="J177" t="s">
        <v>760</v>
      </c>
      <c r="L177" s="17" t="s">
        <v>732</v>
      </c>
      <c r="M177" s="17" t="s">
        <v>9</v>
      </c>
      <c r="N177" s="17" t="s">
        <v>736</v>
      </c>
    </row>
    <row r="178" spans="1:14" x14ac:dyDescent="0.25">
      <c r="A178" s="10">
        <v>995082</v>
      </c>
      <c r="B178" s="22" t="str">
        <f>IFERROR(VLOOKUP(A178,VLOOKUPS!$A$2:B$12589,2,FALSE),"")</f>
        <v>Melon Trio 16oz-standard</v>
      </c>
      <c r="E178">
        <v>3.99</v>
      </c>
      <c r="F178">
        <v>2.99</v>
      </c>
      <c r="G178" s="13">
        <v>44320</v>
      </c>
      <c r="H178" s="13">
        <v>44321</v>
      </c>
      <c r="I178" s="22" t="str">
        <f>VLOOKUP(J178, Dropdowns!N:O, 2, FALSE)</f>
        <v>Lower Price</v>
      </c>
      <c r="J178" t="s">
        <v>759</v>
      </c>
      <c r="L178" s="17" t="s">
        <v>732</v>
      </c>
      <c r="M178" s="17" t="s">
        <v>9</v>
      </c>
      <c r="N178" s="17" t="s">
        <v>736</v>
      </c>
    </row>
    <row r="179" spans="1:14" x14ac:dyDescent="0.25">
      <c r="A179" s="10">
        <v>995082</v>
      </c>
      <c r="B179" s="22" t="str">
        <f>IFERROR(VLOOKUP(A179,VLOOKUPS!$A$2:B$12589,2,FALSE),"")</f>
        <v>Melon Trio 16oz-standard</v>
      </c>
      <c r="E179">
        <v>2.99</v>
      </c>
      <c r="F179">
        <v>3.99</v>
      </c>
      <c r="G179" s="13">
        <v>44322</v>
      </c>
      <c r="H179" s="13"/>
      <c r="I179" s="22" t="str">
        <f>VLOOKUP(J179, Dropdowns!N:O, 2, FALSE)</f>
        <v>Standard</v>
      </c>
      <c r="J179" t="s">
        <v>760</v>
      </c>
      <c r="L179" s="17" t="s">
        <v>732</v>
      </c>
      <c r="M179" s="17" t="s">
        <v>9</v>
      </c>
      <c r="N179" s="17" t="s">
        <v>736</v>
      </c>
    </row>
    <row r="180" spans="1:14" x14ac:dyDescent="0.25">
      <c r="A180" s="10">
        <v>995135</v>
      </c>
      <c r="B180" s="22" t="str">
        <f>IFERROR(VLOOKUP(A180,VLOOKUPS!$A$2:B$12589,2,FALSE),"")</f>
        <v>XL Mild Fresh Salsa 30oz-standard</v>
      </c>
      <c r="G180" s="13">
        <v>44321</v>
      </c>
      <c r="H180" s="13"/>
      <c r="I180" s="22" t="str">
        <f>VLOOKUP(J180, Dropdowns!N:O, 2, FALSE)</f>
        <v>NA</v>
      </c>
      <c r="J180" t="s">
        <v>754</v>
      </c>
      <c r="L180" s="17" t="s">
        <v>732</v>
      </c>
      <c r="M180" s="17" t="s">
        <v>736</v>
      </c>
      <c r="N180" s="17" t="s">
        <v>736</v>
      </c>
    </row>
    <row r="181" spans="1:14" x14ac:dyDescent="0.25">
      <c r="A181" s="10">
        <v>995068</v>
      </c>
      <c r="B181" s="22" t="str">
        <f>IFERROR(VLOOKUP(A181,VLOOKUPS!$A$2:B$12589,2,FALSE),"")</f>
        <v>Organic Half and Half 5oz-standard</v>
      </c>
      <c r="E181">
        <v>2.56</v>
      </c>
      <c r="F181">
        <v>2.4900000000000002</v>
      </c>
      <c r="G181" s="13">
        <v>44320</v>
      </c>
      <c r="H181" s="13"/>
      <c r="I181" s="22" t="str">
        <f>VLOOKUP(J181, Dropdowns!N:O, 2, FALSE)</f>
        <v>Standard</v>
      </c>
      <c r="J181" t="s">
        <v>761</v>
      </c>
      <c r="L181" s="17" t="s">
        <v>732</v>
      </c>
      <c r="M181" s="17" t="s">
        <v>736</v>
      </c>
      <c r="N181" s="17" t="s">
        <v>736</v>
      </c>
    </row>
    <row r="182" spans="1:14" x14ac:dyDescent="0.25">
      <c r="A182" s="10">
        <v>984701</v>
      </c>
      <c r="B182" s="22" t="str">
        <f>IFERROR(VLOOKUP(A182,VLOOKUPS!$A$2:B$12589,2,FALSE),"")</f>
        <v>Blackberries Super Sweet 6oz-standard</v>
      </c>
      <c r="G182" s="13">
        <v>44321</v>
      </c>
      <c r="H182" s="13">
        <v>44327</v>
      </c>
      <c r="I182" s="22" t="str">
        <f>VLOOKUP(J182, Dropdowns!N:O, 2, FALSE)</f>
        <v>Lower Price</v>
      </c>
      <c r="J182" t="s">
        <v>753</v>
      </c>
      <c r="L182" s="17" t="s">
        <v>732</v>
      </c>
      <c r="M182" s="17" t="s">
        <v>736</v>
      </c>
      <c r="N182" s="17" t="s">
        <v>736</v>
      </c>
    </row>
    <row r="183" spans="1:14" x14ac:dyDescent="0.25">
      <c r="A183" s="10">
        <v>985011</v>
      </c>
      <c r="B183" s="22" t="str">
        <f>IFERROR(VLOOKUP(A183,VLOOKUPS!$A$2:B$12589,2,FALSE),"")</f>
        <v>Lettuce Butter 1ct-standard</v>
      </c>
      <c r="G183" s="13">
        <v>44321</v>
      </c>
      <c r="H183" s="13">
        <v>44327</v>
      </c>
      <c r="I183" s="22" t="str">
        <f>VLOOKUP(J183, Dropdowns!N:O, 2, FALSE)</f>
        <v>Lower Price</v>
      </c>
      <c r="J183" t="s">
        <v>753</v>
      </c>
      <c r="L183" s="17" t="s">
        <v>732</v>
      </c>
      <c r="M183" s="17" t="s">
        <v>736</v>
      </c>
      <c r="N183" s="17" t="s">
        <v>736</v>
      </c>
    </row>
    <row r="184" spans="1:14" x14ac:dyDescent="0.25">
      <c r="A184" s="10">
        <v>995068</v>
      </c>
      <c r="B184" s="22" t="str">
        <f>IFERROR(VLOOKUP(A184,VLOOKUPS!$A$2:B$12589,2,FALSE),"")</f>
        <v>Organic Half and Half 5oz-standard</v>
      </c>
      <c r="G184" s="13">
        <v>44321</v>
      </c>
      <c r="H184" s="13">
        <v>44327</v>
      </c>
      <c r="I184" s="22" t="str">
        <f>VLOOKUP(J184, Dropdowns!N:O, 2, FALSE)</f>
        <v>Lower Price</v>
      </c>
      <c r="J184" t="s">
        <v>753</v>
      </c>
      <c r="L184" s="17" t="s">
        <v>732</v>
      </c>
      <c r="M184" s="17" t="s">
        <v>736</v>
      </c>
      <c r="N184" s="17" t="s">
        <v>736</v>
      </c>
    </row>
    <row r="185" spans="1:14" x14ac:dyDescent="0.25">
      <c r="A185" s="10">
        <v>995023</v>
      </c>
      <c r="B185" s="22" t="str">
        <f>IFERROR(VLOOKUP(A185,VLOOKUPS!$A$2:B$12589,2,FALSE),"")</f>
        <v>Hearts of Romaine 9oz-standard</v>
      </c>
      <c r="G185" s="13">
        <v>44321</v>
      </c>
      <c r="H185" s="13">
        <v>44327</v>
      </c>
      <c r="I185" s="22" t="str">
        <f>VLOOKUP(J185, Dropdowns!N:O, 2, FALSE)</f>
        <v>Lower Price</v>
      </c>
      <c r="J185" t="s">
        <v>753</v>
      </c>
      <c r="L185" s="17" t="s">
        <v>732</v>
      </c>
      <c r="M185" s="17" t="s">
        <v>736</v>
      </c>
      <c r="N185" s="17" t="s">
        <v>736</v>
      </c>
    </row>
    <row r="186" spans="1:14" x14ac:dyDescent="0.25">
      <c r="A186" s="10">
        <v>995013</v>
      </c>
      <c r="B186" s="22" t="str">
        <f>IFERROR(VLOOKUP(A186,VLOOKUPS!$A$2:B$12589,2,FALSE),"")</f>
        <v>Spinach 8oz-standard</v>
      </c>
      <c r="G186" s="13">
        <v>44321</v>
      </c>
      <c r="H186" s="25">
        <v>44327</v>
      </c>
      <c r="I186" s="22" t="str">
        <f>VLOOKUP(J186, Dropdowns!N:O, 2, FALSE)</f>
        <v>Lower Price</v>
      </c>
      <c r="J186" t="s">
        <v>753</v>
      </c>
      <c r="L186" s="17" t="s">
        <v>732</v>
      </c>
      <c r="M186" s="17" t="s">
        <v>736</v>
      </c>
      <c r="N186" s="17" t="s">
        <v>736</v>
      </c>
    </row>
    <row r="187" spans="1:14" x14ac:dyDescent="0.25">
      <c r="A187" s="10">
        <v>995045</v>
      </c>
      <c r="B187" s="22" t="str">
        <f>IFERROR(VLOOKUP(A187,VLOOKUPS!$A$2:B$12589,2,FALSE),"")</f>
        <v>Fajita Blend 12oz-standard</v>
      </c>
      <c r="E187">
        <v>2.79</v>
      </c>
      <c r="F187">
        <v>3.59</v>
      </c>
      <c r="G187" s="13">
        <v>44321</v>
      </c>
      <c r="H187" s="25"/>
      <c r="I187" s="22" t="str">
        <f>VLOOKUP(J187, Dropdowns!N:O, 2, FALSE)</f>
        <v>Standard</v>
      </c>
      <c r="J187" t="s">
        <v>760</v>
      </c>
      <c r="L187" s="17" t="s">
        <v>733</v>
      </c>
      <c r="M187" s="17" t="s">
        <v>11</v>
      </c>
      <c r="N187" s="17" t="s">
        <v>740</v>
      </c>
    </row>
    <row r="188" spans="1:14" x14ac:dyDescent="0.25">
      <c r="A188" s="10">
        <v>995045</v>
      </c>
      <c r="B188" s="22" t="str">
        <f>IFERROR(VLOOKUP(A188,VLOOKUPS!$A$2:B$12589,2,FALSE),"")</f>
        <v>Fajita Blend 12oz-standard</v>
      </c>
      <c r="G188" s="13">
        <v>44321</v>
      </c>
      <c r="H188" s="13">
        <v>44323</v>
      </c>
      <c r="I188" s="22" t="str">
        <f>VLOOKUP(J188, Dropdowns!N:O, 2, FALSE)</f>
        <v>Lower Price</v>
      </c>
      <c r="J188" t="s">
        <v>762</v>
      </c>
      <c r="L188" s="17" t="s">
        <v>732</v>
      </c>
      <c r="M188" s="17" t="s">
        <v>735</v>
      </c>
      <c r="N188" s="17" t="s">
        <v>736</v>
      </c>
    </row>
    <row r="189" spans="1:14" x14ac:dyDescent="0.25">
      <c r="A189" s="10">
        <v>995051</v>
      </c>
      <c r="B189" s="22" t="str">
        <f>IFERROR(VLOOKUP(A189,VLOOKUPS!$A$2:B$12589,2,FALSE),"")</f>
        <v>Mild Fresh Chopped Salsa 16oz-standard</v>
      </c>
      <c r="E189">
        <v>2.69</v>
      </c>
      <c r="F189">
        <v>3.49</v>
      </c>
      <c r="G189" s="13">
        <v>44321</v>
      </c>
      <c r="H189" s="25"/>
      <c r="I189" s="22" t="str">
        <f>VLOOKUP(J189, Dropdowns!N:O, 2, FALSE)</f>
        <v>Standard</v>
      </c>
      <c r="J189" t="s">
        <v>760</v>
      </c>
      <c r="L189" s="17" t="s">
        <v>732</v>
      </c>
      <c r="M189" s="17" t="s">
        <v>738</v>
      </c>
      <c r="N189" s="17">
        <v>2</v>
      </c>
    </row>
    <row r="190" spans="1:14" x14ac:dyDescent="0.25">
      <c r="A190" s="10">
        <v>995051</v>
      </c>
      <c r="B190" s="22" t="str">
        <f>IFERROR(VLOOKUP(A190,VLOOKUPS!$A$2:B$12589,2,FALSE),"")</f>
        <v>Mild Fresh Chopped Salsa 16oz-standard</v>
      </c>
      <c r="G190" s="13">
        <v>44321</v>
      </c>
      <c r="H190" s="13">
        <v>44322</v>
      </c>
      <c r="I190" s="22" t="str">
        <f>VLOOKUP(J190, Dropdowns!N:O, 2, FALSE)</f>
        <v>Lower Price</v>
      </c>
      <c r="J190" t="s">
        <v>762</v>
      </c>
      <c r="L190" s="17" t="s">
        <v>732</v>
      </c>
      <c r="M190" s="17" t="s">
        <v>9</v>
      </c>
      <c r="N190" s="17" t="s">
        <v>736</v>
      </c>
    </row>
    <row r="191" spans="1:14" x14ac:dyDescent="0.25">
      <c r="A191" s="10">
        <v>995008</v>
      </c>
      <c r="B191" s="22" t="str">
        <f>IFERROR(VLOOKUP(A191,VLOOKUPS!$A$2:B$12589,2,FALSE),"")</f>
        <v>Shredded Lettuce 8oz-standard</v>
      </c>
      <c r="E191">
        <v>0.99</v>
      </c>
      <c r="F191">
        <v>1.49</v>
      </c>
      <c r="G191" s="13">
        <v>44321</v>
      </c>
      <c r="H191" s="13"/>
      <c r="I191" s="22" t="str">
        <f>VLOOKUP(J191, Dropdowns!N:O, 2, FALSE)</f>
        <v>Standard</v>
      </c>
      <c r="J191" t="s">
        <v>760</v>
      </c>
      <c r="L191" s="17" t="s">
        <v>733</v>
      </c>
      <c r="M191" s="17" t="s">
        <v>738</v>
      </c>
      <c r="N191" s="17" t="s">
        <v>740</v>
      </c>
    </row>
    <row r="192" spans="1:14" x14ac:dyDescent="0.25">
      <c r="A192" s="10">
        <v>995008</v>
      </c>
      <c r="B192" s="22" t="str">
        <f>IFERROR(VLOOKUP(A192,VLOOKUPS!$A$2:B$12589,2,FALSE),"")</f>
        <v>Shredded Lettuce 8oz-standard</v>
      </c>
      <c r="E192">
        <v>1.19</v>
      </c>
      <c r="F192">
        <v>1.69</v>
      </c>
      <c r="G192" s="13">
        <v>44321</v>
      </c>
      <c r="H192" s="13"/>
      <c r="I192" s="22" t="str">
        <f>VLOOKUP(J192, Dropdowns!N:O, 2, FALSE)</f>
        <v>Standard</v>
      </c>
      <c r="J192" t="s">
        <v>760</v>
      </c>
      <c r="L192" s="17" t="s">
        <v>734</v>
      </c>
      <c r="M192" s="17" t="s">
        <v>10</v>
      </c>
      <c r="N192" s="17">
        <v>2</v>
      </c>
    </row>
    <row r="193" spans="1:14" x14ac:dyDescent="0.25">
      <c r="A193" s="10">
        <v>995008</v>
      </c>
      <c r="B193" s="22" t="str">
        <f>IFERROR(VLOOKUP(A193,VLOOKUPS!$A$2:B$12589,2,FALSE),"")</f>
        <v>Shredded Lettuce 8oz-standard</v>
      </c>
      <c r="G193" s="13">
        <v>44321</v>
      </c>
      <c r="H193" s="13">
        <v>44322</v>
      </c>
      <c r="I193" s="22" t="str">
        <f>VLOOKUP(J193, Dropdowns!N:O, 2, FALSE)</f>
        <v>Lower Price</v>
      </c>
      <c r="J193" t="s">
        <v>762</v>
      </c>
      <c r="L193" s="17" t="s">
        <v>732</v>
      </c>
      <c r="M193" s="17" t="s">
        <v>9</v>
      </c>
      <c r="N193" s="17" t="s">
        <v>736</v>
      </c>
    </row>
    <row r="194" spans="1:14" x14ac:dyDescent="0.25">
      <c r="A194" s="10">
        <v>995053</v>
      </c>
      <c r="B194" s="22" t="str">
        <f>IFERROR(VLOOKUP(A194,VLOOKUPS!$A$2:B$12589,2,FALSE),"")</f>
        <v>Fresh Chopped Salsa Pico 16oz-standard</v>
      </c>
      <c r="E194">
        <v>2.69</v>
      </c>
      <c r="F194">
        <v>3.49</v>
      </c>
      <c r="G194" s="13">
        <v>44321</v>
      </c>
      <c r="H194" s="13"/>
      <c r="I194" s="22" t="str">
        <f>VLOOKUP(J194, Dropdowns!N:O, 2, FALSE)</f>
        <v>Standard</v>
      </c>
      <c r="J194" t="s">
        <v>760</v>
      </c>
      <c r="L194" s="17" t="s">
        <v>732</v>
      </c>
      <c r="M194" s="17" t="s">
        <v>736</v>
      </c>
      <c r="N194" s="17" t="s">
        <v>736</v>
      </c>
    </row>
    <row r="195" spans="1:14" x14ac:dyDescent="0.25">
      <c r="A195" s="10">
        <v>995019</v>
      </c>
      <c r="B195" s="22" t="str">
        <f>IFERROR(VLOOKUP(A195,VLOOKUPS!$A$2:B$12589,2,FALSE),"")</f>
        <v>RTE Large Santa Fe Salad 14oz-standard</v>
      </c>
      <c r="E195">
        <v>3.79</v>
      </c>
      <c r="F195">
        <v>4.99</v>
      </c>
      <c r="G195" s="13">
        <v>44321</v>
      </c>
      <c r="H195" s="13"/>
      <c r="I195" s="22" t="str">
        <f>VLOOKUP(J195, Dropdowns!N:O, 2, FALSE)</f>
        <v>Standard</v>
      </c>
      <c r="J195" t="s">
        <v>760</v>
      </c>
      <c r="L195" s="17" t="s">
        <v>732</v>
      </c>
      <c r="M195" s="17" t="s">
        <v>736</v>
      </c>
      <c r="N195" s="17" t="s">
        <v>736</v>
      </c>
    </row>
    <row r="196" spans="1:14" x14ac:dyDescent="0.25">
      <c r="A196" s="10">
        <v>984460</v>
      </c>
      <c r="B196" s="22" t="str">
        <f>IFERROR(VLOOKUP(A196,VLOOKUPS!$A$2:B$12589,2,FALSE),"")</f>
        <v>Strawberries 1lb-standard</v>
      </c>
      <c r="E196">
        <v>2.4900000000000002</v>
      </c>
      <c r="F196">
        <v>2.2799999999999998</v>
      </c>
      <c r="G196" s="13">
        <v>44322</v>
      </c>
      <c r="H196" s="13"/>
      <c r="I196" s="22" t="str">
        <f>VLOOKUP(J196, Dropdowns!N:O, 2, FALSE)</f>
        <v>Standard</v>
      </c>
      <c r="J196" t="s">
        <v>761</v>
      </c>
      <c r="L196" s="17" t="s">
        <v>732</v>
      </c>
      <c r="M196" s="17" t="s">
        <v>736</v>
      </c>
      <c r="N196" s="17" t="s">
        <v>736</v>
      </c>
    </row>
    <row r="197" spans="1:14" x14ac:dyDescent="0.25">
      <c r="A197" s="10">
        <v>995032</v>
      </c>
      <c r="B197" s="22" t="str">
        <f>IFERROR(VLOOKUP(A197,VLOOKUPS!$A$2:B$12589,2,FALSE),"")</f>
        <v>Chopped Sunflower Crunch Kit 12.2oz-standard</v>
      </c>
      <c r="E197">
        <v>2.99</v>
      </c>
      <c r="F197">
        <v>1.99</v>
      </c>
      <c r="G197" s="13">
        <v>44322</v>
      </c>
      <c r="H197" s="13">
        <v>44323</v>
      </c>
      <c r="I197" s="22" t="str">
        <f>VLOOKUP(J197, Dropdowns!N:O, 2, FALSE)</f>
        <v>Lower Price</v>
      </c>
      <c r="J197" t="s">
        <v>759</v>
      </c>
      <c r="L197" s="17" t="s">
        <v>732</v>
      </c>
      <c r="M197" s="17" t="s">
        <v>10</v>
      </c>
      <c r="N197" s="17">
        <v>2</v>
      </c>
    </row>
    <row r="198" spans="1:14" x14ac:dyDescent="0.25">
      <c r="A198" s="10">
        <v>995032</v>
      </c>
      <c r="B198" s="22" t="str">
        <f>IFERROR(VLOOKUP(A198,VLOOKUPS!$A$2:B$12589,2,FALSE),"")</f>
        <v>Chopped Sunflower Crunch Kit 12.2oz-standard</v>
      </c>
      <c r="E198">
        <v>1.99</v>
      </c>
      <c r="F198">
        <v>2.99</v>
      </c>
      <c r="G198" s="13">
        <v>44324</v>
      </c>
      <c r="H198" s="13"/>
      <c r="I198" s="22" t="str">
        <f>VLOOKUP(J198, Dropdowns!N:O, 2, FALSE)</f>
        <v>Standard</v>
      </c>
      <c r="J198" t="s">
        <v>760</v>
      </c>
      <c r="L198" s="17" t="s">
        <v>732</v>
      </c>
      <c r="M198" s="17" t="s">
        <v>10</v>
      </c>
      <c r="N198" s="17">
        <v>2</v>
      </c>
    </row>
    <row r="199" spans="1:14" x14ac:dyDescent="0.25">
      <c r="A199" s="10">
        <v>995074</v>
      </c>
      <c r="B199" s="22" t="str">
        <f>IFERROR(VLOOKUP(A199,VLOOKUPS!$A$2:B$12589,2,FALSE),"")</f>
        <v>Southwest Chopped Salad Kit 12oz-standard</v>
      </c>
      <c r="E199">
        <v>2.99</v>
      </c>
      <c r="F199">
        <v>1.99</v>
      </c>
      <c r="G199" s="13">
        <v>44322</v>
      </c>
      <c r="H199" s="13">
        <v>44323</v>
      </c>
      <c r="I199" s="22" t="str">
        <f>VLOOKUP(J199, Dropdowns!N:O, 2, FALSE)</f>
        <v>Lower Price</v>
      </c>
      <c r="J199" t="s">
        <v>759</v>
      </c>
      <c r="L199" s="17" t="s">
        <v>733</v>
      </c>
      <c r="M199" s="17" t="s">
        <v>11</v>
      </c>
      <c r="N199" s="17" t="s">
        <v>740</v>
      </c>
    </row>
    <row r="200" spans="1:14" x14ac:dyDescent="0.25">
      <c r="A200" s="10">
        <v>995074</v>
      </c>
      <c r="B200" s="22" t="str">
        <f>IFERROR(VLOOKUP(A200,VLOOKUPS!$A$2:B$12589,2,FALSE),"")</f>
        <v>Southwest Chopped Salad Kit 12oz-standard</v>
      </c>
      <c r="E200">
        <v>1.99</v>
      </c>
      <c r="F200">
        <v>2.99</v>
      </c>
      <c r="G200" s="13">
        <v>44324</v>
      </c>
      <c r="H200" s="13"/>
      <c r="I200" s="22" t="str">
        <f>VLOOKUP(J200, Dropdowns!N:O, 2, FALSE)</f>
        <v>Standard</v>
      </c>
      <c r="J200" t="s">
        <v>760</v>
      </c>
      <c r="L200" s="17" t="s">
        <v>733</v>
      </c>
      <c r="M200" s="17" t="s">
        <v>11</v>
      </c>
      <c r="N200" s="17" t="s">
        <v>740</v>
      </c>
    </row>
    <row r="201" spans="1:14" x14ac:dyDescent="0.25">
      <c r="A201" s="10">
        <v>982960</v>
      </c>
      <c r="B201" s="22" t="str">
        <f>IFERROR(VLOOKUP(A201,VLOOKUPS!$A$2:B$12589,2,FALSE),"")</f>
        <v>Grapes Specialty* 1lb-LOOSE</v>
      </c>
      <c r="G201" s="13">
        <v>44322</v>
      </c>
      <c r="H201" s="13"/>
      <c r="I201" s="22" t="str">
        <f>VLOOKUP(J201, Dropdowns!N:O, 2, FALSE)</f>
        <v>NA</v>
      </c>
      <c r="J201" t="s">
        <v>754</v>
      </c>
      <c r="L201" s="17" t="s">
        <v>732</v>
      </c>
      <c r="M201" s="17" t="s">
        <v>9</v>
      </c>
      <c r="N201" s="17" t="s">
        <v>736</v>
      </c>
    </row>
    <row r="202" spans="1:14" x14ac:dyDescent="0.25">
      <c r="A202" s="10">
        <v>982740</v>
      </c>
      <c r="B202" s="22" t="str">
        <f>IFERROR(VLOOKUP(A202,VLOOKUPS!$A$2:B$12589,2,FALSE),"")</f>
        <v>Grapes* Red Seedless 1lb-LOOSE</v>
      </c>
      <c r="G202" s="13">
        <v>44324</v>
      </c>
      <c r="H202" s="13">
        <v>44325</v>
      </c>
      <c r="I202" s="22" t="str">
        <f>VLOOKUP(J202, Dropdowns!N:O, 2, FALSE)</f>
        <v>Lower Price</v>
      </c>
      <c r="J202" t="s">
        <v>753</v>
      </c>
      <c r="L202" s="17" t="s">
        <v>732</v>
      </c>
      <c r="M202" s="17" t="s">
        <v>736</v>
      </c>
      <c r="N202" s="17" t="s">
        <v>736</v>
      </c>
    </row>
    <row r="203" spans="1:14" x14ac:dyDescent="0.25">
      <c r="A203" s="10">
        <v>982740</v>
      </c>
      <c r="B203" s="22" t="str">
        <f>IFERROR(VLOOKUP(A203,VLOOKUPS!$A$2:B$12589,2,FALSE),"")</f>
        <v>Grapes* Red Seedless 1lb-LOOSE</v>
      </c>
      <c r="E203">
        <v>0.99</v>
      </c>
      <c r="F203">
        <v>1.7</v>
      </c>
      <c r="G203" s="13">
        <v>44326</v>
      </c>
      <c r="H203" s="13"/>
      <c r="I203" s="22" t="str">
        <f>VLOOKUP(J203, Dropdowns!N:O, 2, FALSE)</f>
        <v>Standard</v>
      </c>
      <c r="J203" t="s">
        <v>760</v>
      </c>
      <c r="L203" s="17" t="s">
        <v>732</v>
      </c>
      <c r="M203" s="17" t="s">
        <v>736</v>
      </c>
      <c r="N203" s="17" t="s">
        <v>736</v>
      </c>
    </row>
    <row r="204" spans="1:14" x14ac:dyDescent="0.25">
      <c r="A204" s="10">
        <v>984700</v>
      </c>
      <c r="B204" s="22" t="str">
        <f>IFERROR(VLOOKUP(A204,VLOOKUPS!$A$2:B$12589,2,FALSE),"")</f>
        <v>Blackberries 6oz-standard</v>
      </c>
      <c r="E204">
        <v>2.98</v>
      </c>
      <c r="F204">
        <v>1.98</v>
      </c>
      <c r="G204" s="13">
        <v>44323</v>
      </c>
      <c r="H204" s="13">
        <v>44324</v>
      </c>
      <c r="I204" s="22" t="str">
        <f>VLOOKUP(J204, Dropdowns!N:O, 2, FALSE)</f>
        <v>Lower Price</v>
      </c>
      <c r="J204" t="s">
        <v>759</v>
      </c>
      <c r="L204" s="17" t="s">
        <v>732</v>
      </c>
      <c r="M204" s="17" t="s">
        <v>10</v>
      </c>
      <c r="N204" s="17">
        <v>2</v>
      </c>
    </row>
    <row r="205" spans="1:14" x14ac:dyDescent="0.25">
      <c r="A205" s="10">
        <v>984700</v>
      </c>
      <c r="B205" s="22" t="str">
        <f>IFERROR(VLOOKUP(A205,VLOOKUPS!$A$2:B$12589,2,FALSE),"")</f>
        <v>Blackberries 6oz-standard</v>
      </c>
      <c r="E205">
        <v>1.98</v>
      </c>
      <c r="F205">
        <v>2.98</v>
      </c>
      <c r="G205" s="13">
        <v>44325</v>
      </c>
      <c r="H205" s="13"/>
      <c r="I205" s="22" t="str">
        <f>VLOOKUP(J205, Dropdowns!N:O, 2, FALSE)</f>
        <v>Standard</v>
      </c>
      <c r="J205" t="s">
        <v>760</v>
      </c>
      <c r="L205" s="17" t="s">
        <v>732</v>
      </c>
      <c r="M205" s="17" t="s">
        <v>10</v>
      </c>
      <c r="N205" s="17">
        <v>2</v>
      </c>
    </row>
    <row r="206" spans="1:14" x14ac:dyDescent="0.25">
      <c r="A206" s="10">
        <v>988620</v>
      </c>
      <c r="B206" s="22" t="str">
        <f>IFERROR(VLOOKUP(A206,VLOOKUPS!$A$2:B$12589,2,FALSE),"")</f>
        <v>Brussels Sprouts 1lb-standard</v>
      </c>
      <c r="E206">
        <v>2.89</v>
      </c>
      <c r="F206">
        <v>1.89</v>
      </c>
      <c r="G206" s="13">
        <v>44323</v>
      </c>
      <c r="H206" s="13">
        <v>44324</v>
      </c>
      <c r="I206" s="22" t="str">
        <f>VLOOKUP(J206, Dropdowns!N:O, 2, FALSE)</f>
        <v>Lower Price</v>
      </c>
      <c r="J206" t="s">
        <v>759</v>
      </c>
      <c r="L206" s="17" t="s">
        <v>732</v>
      </c>
      <c r="M206" s="17" t="s">
        <v>9</v>
      </c>
      <c r="N206" s="17" t="s">
        <v>736</v>
      </c>
    </row>
    <row r="207" spans="1:14" x14ac:dyDescent="0.25">
      <c r="A207" s="10">
        <v>988620</v>
      </c>
      <c r="B207" s="22" t="str">
        <f>IFERROR(VLOOKUP(A207,VLOOKUPS!$A$2:B$12589,2,FALSE),"")</f>
        <v>Brussels Sprouts 1lb-standard</v>
      </c>
      <c r="E207">
        <v>1.89</v>
      </c>
      <c r="F207">
        <v>2.89</v>
      </c>
      <c r="G207" s="13">
        <v>44325</v>
      </c>
      <c r="H207" s="13"/>
      <c r="I207" s="22" t="str">
        <f>VLOOKUP(J207, Dropdowns!N:O, 2, FALSE)</f>
        <v>Standard</v>
      </c>
      <c r="J207" t="s">
        <v>760</v>
      </c>
      <c r="L207" s="17" t="s">
        <v>732</v>
      </c>
      <c r="M207" s="17" t="s">
        <v>9</v>
      </c>
      <c r="N207" s="17" t="s">
        <v>736</v>
      </c>
    </row>
    <row r="208" spans="1:14" x14ac:dyDescent="0.25">
      <c r="A208" s="10">
        <v>995003</v>
      </c>
      <c r="B208" s="22" t="str">
        <f>IFERROR(VLOOKUP(A208,VLOOKUPS!$A$2:B$12589,2,FALSE),"")</f>
        <v>Sweet Kale Chopped Salad 12oz-standard</v>
      </c>
      <c r="G208" s="13">
        <v>44323</v>
      </c>
      <c r="H208" s="13"/>
      <c r="I208" s="22" t="str">
        <f>VLOOKUP(J208, Dropdowns!N:O, 2, FALSE)</f>
        <v>NA</v>
      </c>
      <c r="J208" t="s">
        <v>754</v>
      </c>
      <c r="L208" s="17" t="s">
        <v>732</v>
      </c>
      <c r="M208" s="17" t="s">
        <v>736</v>
      </c>
      <c r="N208" s="17" t="s">
        <v>736</v>
      </c>
    </row>
    <row r="209" spans="1:14" x14ac:dyDescent="0.25">
      <c r="A209" s="10">
        <v>995027</v>
      </c>
      <c r="B209" s="22" t="str">
        <f>IFERROR(VLOOKUP(A209,VLOOKUPS!$A$2:B$12589,2,FALSE),"")</f>
        <v>XL Baby Spinach 16oz-standard</v>
      </c>
      <c r="E209">
        <v>4.1900000000000004</v>
      </c>
      <c r="F209">
        <v>3.49</v>
      </c>
      <c r="G209" s="13">
        <v>44323</v>
      </c>
      <c r="H209" s="13">
        <v>44324</v>
      </c>
      <c r="I209" s="22" t="str">
        <f>VLOOKUP(J209, Dropdowns!N:O, 2, FALSE)</f>
        <v>Lower Price</v>
      </c>
      <c r="J209" t="s">
        <v>759</v>
      </c>
      <c r="L209" s="17" t="s">
        <v>733</v>
      </c>
      <c r="M209" s="17" t="s">
        <v>11</v>
      </c>
      <c r="N209" s="17" t="s">
        <v>740</v>
      </c>
    </row>
    <row r="210" spans="1:14" x14ac:dyDescent="0.25">
      <c r="A210" s="10">
        <v>995027</v>
      </c>
      <c r="B210" s="22" t="str">
        <f>IFERROR(VLOOKUP(A210,VLOOKUPS!$A$2:B$12589,2,FALSE),"")</f>
        <v>XL Baby Spinach 16oz-standard</v>
      </c>
      <c r="E210">
        <v>3.49</v>
      </c>
      <c r="F210">
        <v>4.1900000000000004</v>
      </c>
      <c r="G210" s="13">
        <v>44325</v>
      </c>
      <c r="H210" s="13"/>
      <c r="I210" s="22" t="str">
        <f>VLOOKUP(J210, Dropdowns!N:O, 2, FALSE)</f>
        <v>Standard</v>
      </c>
      <c r="J210" t="s">
        <v>760</v>
      </c>
      <c r="L210" s="17" t="s">
        <v>733</v>
      </c>
      <c r="M210" s="17" t="s">
        <v>11</v>
      </c>
      <c r="N210" s="17" t="s">
        <v>740</v>
      </c>
    </row>
    <row r="211" spans="1:14" x14ac:dyDescent="0.25">
      <c r="A211" s="10">
        <v>995086</v>
      </c>
      <c r="B211" s="22" t="str">
        <f>IFERROR(VLOOKUP(A211,VLOOKUPS!$A$2:B$12589,2,FALSE),"")</f>
        <v>Eat Smart Broccoli Florets 2lbs-standard</v>
      </c>
      <c r="E211">
        <v>5.98</v>
      </c>
      <c r="F211">
        <v>4.9800000000000004</v>
      </c>
      <c r="G211" s="13">
        <v>44323</v>
      </c>
      <c r="H211" s="13">
        <v>44324</v>
      </c>
      <c r="I211" s="22" t="str">
        <f>VLOOKUP(J211, Dropdowns!N:O, 2, FALSE)</f>
        <v>Lower Price</v>
      </c>
      <c r="J211" t="s">
        <v>759</v>
      </c>
      <c r="L211" s="17" t="s">
        <v>732</v>
      </c>
      <c r="M211" s="17" t="s">
        <v>9</v>
      </c>
      <c r="N211" s="17" t="s">
        <v>736</v>
      </c>
    </row>
    <row r="212" spans="1:14" x14ac:dyDescent="0.25">
      <c r="A212" s="10">
        <v>995086</v>
      </c>
      <c r="B212" s="22" t="str">
        <f>IFERROR(VLOOKUP(A212,VLOOKUPS!$A$2:B$12589,2,FALSE),"")</f>
        <v>Eat Smart Broccoli Florets 2lbs-standard</v>
      </c>
      <c r="E212">
        <v>4.9800000000000004</v>
      </c>
      <c r="F212">
        <v>5.98</v>
      </c>
      <c r="G212" s="13">
        <v>44325</v>
      </c>
      <c r="H212" s="13"/>
      <c r="I212" s="22" t="str">
        <f>VLOOKUP(J212, Dropdowns!N:O, 2, FALSE)</f>
        <v>Standard</v>
      </c>
      <c r="J212" t="s">
        <v>760</v>
      </c>
      <c r="L212" s="17" t="s">
        <v>732</v>
      </c>
      <c r="M212" s="17" t="s">
        <v>9</v>
      </c>
      <c r="N212" s="17" t="s">
        <v>736</v>
      </c>
    </row>
    <row r="213" spans="1:14" x14ac:dyDescent="0.25">
      <c r="A213" s="10">
        <v>995051</v>
      </c>
      <c r="B213" s="22" t="str">
        <f>IFERROR(VLOOKUP(A213,VLOOKUPS!$A$2:B$12589,2,FALSE),"")</f>
        <v>Mild Fresh Chopped Salsa 16oz-standard</v>
      </c>
      <c r="E213">
        <v>2.69</v>
      </c>
      <c r="F213">
        <v>3.49</v>
      </c>
      <c r="G213" s="13">
        <v>44323</v>
      </c>
      <c r="H213" s="13"/>
      <c r="I213" s="22" t="str">
        <f>VLOOKUP(J213, Dropdowns!N:O, 2, FALSE)</f>
        <v>Standard</v>
      </c>
      <c r="J213" t="s">
        <v>760</v>
      </c>
      <c r="L213" s="17" t="s">
        <v>732</v>
      </c>
      <c r="M213" s="17" t="s">
        <v>9</v>
      </c>
      <c r="N213" s="17" t="s">
        <v>736</v>
      </c>
    </row>
    <row r="214" spans="1:14" x14ac:dyDescent="0.25">
      <c r="A214" s="10">
        <v>995008</v>
      </c>
      <c r="B214" s="22" t="str">
        <f>IFERROR(VLOOKUP(A214,VLOOKUPS!$A$2:B$12589,2,FALSE),"")</f>
        <v>Shredded Lettuce 8oz-standard</v>
      </c>
      <c r="E214">
        <v>0.99</v>
      </c>
      <c r="F214">
        <v>1.49</v>
      </c>
      <c r="G214" s="13">
        <v>44323</v>
      </c>
      <c r="H214" s="13"/>
      <c r="I214" s="22" t="str">
        <f>VLOOKUP(J214, Dropdowns!N:O, 2, FALSE)</f>
        <v>Standard</v>
      </c>
      <c r="J214" t="s">
        <v>760</v>
      </c>
      <c r="L214" s="17" t="s">
        <v>732</v>
      </c>
      <c r="M214" s="17" t="s">
        <v>9</v>
      </c>
      <c r="N214" s="17">
        <v>8</v>
      </c>
    </row>
    <row r="215" spans="1:14" x14ac:dyDescent="0.25">
      <c r="A215" s="10">
        <v>995008</v>
      </c>
      <c r="B215" s="22" t="str">
        <f>IFERROR(VLOOKUP(A215,VLOOKUPS!$A$2:B$12589,2,FALSE),"")</f>
        <v>Shredded Lettuce 8oz-standard</v>
      </c>
      <c r="E215">
        <v>1.19</v>
      </c>
      <c r="F215">
        <v>1.69</v>
      </c>
      <c r="G215" s="13">
        <v>44323</v>
      </c>
      <c r="H215" s="13"/>
      <c r="I215" s="22" t="str">
        <f>VLOOKUP(J215, Dropdowns!N:O, 2, FALSE)</f>
        <v>Standard</v>
      </c>
      <c r="J215" t="s">
        <v>760</v>
      </c>
      <c r="L215" s="17" t="s">
        <v>734</v>
      </c>
      <c r="M215" s="17" t="s">
        <v>9</v>
      </c>
      <c r="N215" s="17" t="s">
        <v>741</v>
      </c>
    </row>
    <row r="216" spans="1:14" x14ac:dyDescent="0.25">
      <c r="A216" s="10">
        <v>987560</v>
      </c>
      <c r="B216" s="22" t="str">
        <f>IFERROR(VLOOKUP(A216,VLOOKUPS!$A$2:B$12589,2,FALSE),"")</f>
        <v>Celery 1ct-standard</v>
      </c>
      <c r="G216" s="13">
        <v>44324</v>
      </c>
      <c r="H216" s="13">
        <v>44325</v>
      </c>
      <c r="I216" s="22" t="str">
        <f>VLOOKUP(J216, Dropdowns!N:O, 2, FALSE)</f>
        <v>Lower Price</v>
      </c>
      <c r="J216" t="s">
        <v>753</v>
      </c>
      <c r="L216" s="17" t="s">
        <v>732</v>
      </c>
      <c r="M216" s="17" t="s">
        <v>736</v>
      </c>
      <c r="N216" s="17" t="s">
        <v>736</v>
      </c>
    </row>
    <row r="217" spans="1:14" x14ac:dyDescent="0.25">
      <c r="A217" s="10">
        <v>987560</v>
      </c>
      <c r="B217" s="22" t="str">
        <f>IFERROR(VLOOKUP(A217,VLOOKUPS!$A$2:B$12589,2,FALSE),"")</f>
        <v>Celery 1ct-standard</v>
      </c>
      <c r="E217">
        <v>0.89</v>
      </c>
      <c r="F217">
        <v>1.29</v>
      </c>
      <c r="G217" s="13">
        <v>44326</v>
      </c>
      <c r="H217" s="13"/>
      <c r="I217" s="22" t="str">
        <f>VLOOKUP(J217, Dropdowns!N:O, 2, FALSE)</f>
        <v>Standard</v>
      </c>
      <c r="J217" t="s">
        <v>760</v>
      </c>
      <c r="L217" s="17" t="s">
        <v>732</v>
      </c>
      <c r="M217" s="17" t="s">
        <v>736</v>
      </c>
      <c r="N217" s="17" t="s">
        <v>736</v>
      </c>
    </row>
    <row r="218" spans="1:14" x14ac:dyDescent="0.25">
      <c r="A218" s="10">
        <v>995002</v>
      </c>
      <c r="B218" s="22" t="str">
        <f>IFERROR(VLOOKUP(A218,VLOOKUPS!$A$2:B$12589,2,FALSE),"")</f>
        <v>Butter Blend 6oz-standard</v>
      </c>
      <c r="E218">
        <v>1.89</v>
      </c>
      <c r="F218">
        <v>0.99</v>
      </c>
      <c r="G218" s="13">
        <v>44324</v>
      </c>
      <c r="H218" s="13">
        <v>44325</v>
      </c>
      <c r="I218" s="22" t="str">
        <f>VLOOKUP(J218, Dropdowns!N:O, 2, FALSE)</f>
        <v>Lower Price</v>
      </c>
      <c r="J218" t="s">
        <v>759</v>
      </c>
      <c r="L218" s="17" t="s">
        <v>733</v>
      </c>
      <c r="M218" s="17" t="s">
        <v>11</v>
      </c>
      <c r="N218" s="17" t="s">
        <v>740</v>
      </c>
    </row>
    <row r="219" spans="1:14" x14ac:dyDescent="0.25">
      <c r="A219" s="10">
        <v>995002</v>
      </c>
      <c r="B219" s="22" t="str">
        <f>IFERROR(VLOOKUP(A219,VLOOKUPS!$A$2:B$12589,2,FALSE),"")</f>
        <v>Butter Blend 6oz-standard</v>
      </c>
      <c r="E219">
        <v>0.99</v>
      </c>
      <c r="F219">
        <v>1.89</v>
      </c>
      <c r="G219" s="13">
        <v>44326</v>
      </c>
      <c r="H219" s="13"/>
      <c r="I219" s="22" t="str">
        <f>VLOOKUP(J219, Dropdowns!N:O, 2, FALSE)</f>
        <v>Standard</v>
      </c>
      <c r="J219" t="s">
        <v>760</v>
      </c>
      <c r="L219" s="17" t="s">
        <v>733</v>
      </c>
      <c r="M219" s="17" t="s">
        <v>11</v>
      </c>
      <c r="N219" s="17" t="s">
        <v>740</v>
      </c>
    </row>
    <row r="220" spans="1:14" x14ac:dyDescent="0.25">
      <c r="A220" s="10">
        <v>995006</v>
      </c>
      <c r="B220" s="22" t="str">
        <f>IFERROR(VLOOKUP(A220,VLOOKUPS!$A$2:B$12589,2,FALSE),"")</f>
        <v>Italian Salad 9oz-standard</v>
      </c>
      <c r="E220">
        <v>1.99</v>
      </c>
      <c r="F220">
        <v>1.19</v>
      </c>
      <c r="G220" s="13">
        <v>44324</v>
      </c>
      <c r="H220" s="13">
        <v>44325</v>
      </c>
      <c r="I220" s="22" t="str">
        <f>VLOOKUP(J220, Dropdowns!N:O, 2, FALSE)</f>
        <v>Lower Price</v>
      </c>
      <c r="J220" t="s">
        <v>759</v>
      </c>
      <c r="L220" s="17" t="s">
        <v>733</v>
      </c>
      <c r="M220" s="17" t="s">
        <v>11</v>
      </c>
      <c r="N220" s="17" t="s">
        <v>740</v>
      </c>
    </row>
    <row r="221" spans="1:14" x14ac:dyDescent="0.25">
      <c r="A221" s="10">
        <v>995006</v>
      </c>
      <c r="B221" s="22" t="str">
        <f>IFERROR(VLOOKUP(A221,VLOOKUPS!$A$2:B$12589,2,FALSE),"")</f>
        <v>Italian Salad 9oz-standard</v>
      </c>
      <c r="E221">
        <v>1.19</v>
      </c>
      <c r="F221">
        <v>1.99</v>
      </c>
      <c r="G221" s="13">
        <v>44326</v>
      </c>
      <c r="H221" s="13"/>
      <c r="I221" s="22" t="str">
        <f>VLOOKUP(J221, Dropdowns!N:O, 2, FALSE)</f>
        <v>Standard</v>
      </c>
      <c r="J221" t="s">
        <v>760</v>
      </c>
      <c r="L221" s="17" t="s">
        <v>733</v>
      </c>
      <c r="M221" s="17" t="s">
        <v>11</v>
      </c>
      <c r="N221" s="17" t="s">
        <v>740</v>
      </c>
    </row>
    <row r="222" spans="1:14" x14ac:dyDescent="0.25">
      <c r="A222" s="10">
        <v>995021</v>
      </c>
      <c r="B222" s="22" t="str">
        <f>IFERROR(VLOOKUP(A222,VLOOKUPS!$A$2:B$12589,2,FALSE),"")</f>
        <v>Chopped Bacon Caesar Kit 10.2oz-standard</v>
      </c>
      <c r="E222">
        <v>2.99</v>
      </c>
      <c r="F222">
        <v>2.4900000000000002</v>
      </c>
      <c r="G222" s="13">
        <v>44324</v>
      </c>
      <c r="H222" s="13">
        <v>44325</v>
      </c>
      <c r="I222" s="22" t="str">
        <f>VLOOKUP(J222, Dropdowns!N:O, 2, FALSE)</f>
        <v>Lower Price</v>
      </c>
      <c r="J222" t="s">
        <v>759</v>
      </c>
      <c r="L222" s="17" t="s">
        <v>732</v>
      </c>
      <c r="M222" s="17" t="s">
        <v>9</v>
      </c>
      <c r="N222" s="17" t="s">
        <v>736</v>
      </c>
    </row>
    <row r="223" spans="1:14" x14ac:dyDescent="0.25">
      <c r="A223" s="10">
        <v>995021</v>
      </c>
      <c r="B223" s="22" t="str">
        <f>IFERROR(VLOOKUP(A223,VLOOKUPS!$A$2:B$12589,2,FALSE),"")</f>
        <v>Chopped Bacon Caesar Kit 10.2oz-standard</v>
      </c>
      <c r="E223">
        <v>2.4900000000000002</v>
      </c>
      <c r="F223">
        <v>2.99</v>
      </c>
      <c r="G223" s="13">
        <v>44326</v>
      </c>
      <c r="H223" s="13"/>
      <c r="I223" s="22" t="str">
        <f>VLOOKUP(J223, Dropdowns!N:O, 2, FALSE)</f>
        <v>Standard</v>
      </c>
      <c r="J223" t="s">
        <v>760</v>
      </c>
      <c r="L223" s="17" t="s">
        <v>732</v>
      </c>
      <c r="M223" s="17" t="s">
        <v>9</v>
      </c>
      <c r="N223" s="17" t="s">
        <v>736</v>
      </c>
    </row>
    <row r="224" spans="1:14" x14ac:dyDescent="0.25">
      <c r="A224" s="10">
        <v>995102</v>
      </c>
      <c r="B224" s="22" t="str">
        <f>IFERROR(VLOOKUP(A224,VLOOKUPS!$A$2:B$12589,2,FALSE),"")</f>
        <v>Cantaloupe Chunks 16oz-standard</v>
      </c>
      <c r="G224" s="13">
        <v>44324</v>
      </c>
      <c r="H224" s="13"/>
      <c r="I224" s="22" t="str">
        <f>VLOOKUP(J224, Dropdowns!N:O, 2, FALSE)</f>
        <v>Standard</v>
      </c>
      <c r="J224" t="s">
        <v>782</v>
      </c>
      <c r="L224" s="17" t="s">
        <v>732</v>
      </c>
      <c r="M224" s="17" t="s">
        <v>736</v>
      </c>
      <c r="N224" s="17" t="s">
        <v>736</v>
      </c>
    </row>
    <row r="225" spans="1:17" x14ac:dyDescent="0.25">
      <c r="A225" s="10">
        <v>995101</v>
      </c>
      <c r="B225" s="22" t="str">
        <f>IFERROR(VLOOKUP(A225,VLOOKUPS!$A$2:B$12589,2,FALSE),"")</f>
        <v>Avocado Ranch Salad Kit 11.3oz-standard</v>
      </c>
      <c r="E225">
        <v>2.9</v>
      </c>
      <c r="F225">
        <v>1.9</v>
      </c>
      <c r="G225" s="13">
        <v>44324</v>
      </c>
      <c r="H225" s="13">
        <v>44325</v>
      </c>
      <c r="I225" s="22" t="str">
        <f>VLOOKUP(J225, Dropdowns!N:O, 2, FALSE)</f>
        <v>Lower Price</v>
      </c>
      <c r="J225" t="s">
        <v>759</v>
      </c>
      <c r="L225" s="17" t="s">
        <v>733</v>
      </c>
      <c r="M225" s="17" t="s">
        <v>11</v>
      </c>
      <c r="N225" s="17" t="s">
        <v>740</v>
      </c>
    </row>
    <row r="226" spans="1:17" x14ac:dyDescent="0.25">
      <c r="A226" s="10">
        <v>995101</v>
      </c>
      <c r="B226" s="22" t="str">
        <f>IFERROR(VLOOKUP(A226,VLOOKUPS!$A$2:B$12589,2,FALSE),"")</f>
        <v>Avocado Ranch Salad Kit 11.3oz-standard</v>
      </c>
      <c r="E226">
        <v>1.9</v>
      </c>
      <c r="F226">
        <v>2.9</v>
      </c>
      <c r="G226" s="13">
        <v>44326</v>
      </c>
      <c r="H226" s="13"/>
      <c r="I226" s="22" t="str">
        <f>VLOOKUP(J226, Dropdowns!N:O, 2, FALSE)</f>
        <v>Standard</v>
      </c>
      <c r="J226" t="s">
        <v>760</v>
      </c>
      <c r="L226" s="17" t="s">
        <v>733</v>
      </c>
      <c r="M226" s="17" t="s">
        <v>11</v>
      </c>
      <c r="N226" s="17" t="s">
        <v>740</v>
      </c>
    </row>
    <row r="227" spans="1:17" x14ac:dyDescent="0.25">
      <c r="A227" s="10">
        <v>995045</v>
      </c>
      <c r="B227" s="22" t="str">
        <f>IFERROR(VLOOKUP(A227,VLOOKUPS!$A$2:B$12589,2,FALSE),"")</f>
        <v>Fajita Blend 12oz-standard</v>
      </c>
      <c r="E227">
        <v>2.79</v>
      </c>
      <c r="F227">
        <v>3.59</v>
      </c>
      <c r="G227" s="13">
        <v>44324</v>
      </c>
      <c r="H227" s="13"/>
      <c r="I227" s="22" t="str">
        <f>VLOOKUP(J227, Dropdowns!N:O, 2, FALSE)</f>
        <v>Standard</v>
      </c>
      <c r="J227" t="s">
        <v>760</v>
      </c>
      <c r="L227" s="17" t="s">
        <v>732</v>
      </c>
      <c r="M227" s="17" t="s">
        <v>735</v>
      </c>
      <c r="N227" s="17" t="s">
        <v>736</v>
      </c>
    </row>
    <row r="228" spans="1:17" x14ac:dyDescent="0.25">
      <c r="A228" s="10">
        <v>982650</v>
      </c>
      <c r="B228" s="22" t="str">
        <f>IFERROR(VLOOKUP(A228,VLOOKUPS!$A$2:B$12589,2,FALSE),"")</f>
        <v>Grapes* Green Seedless 1lb-LOOSE</v>
      </c>
      <c r="E228">
        <v>2.59</v>
      </c>
      <c r="F228">
        <v>1.49</v>
      </c>
      <c r="G228" s="13">
        <v>44326</v>
      </c>
      <c r="H228" s="13">
        <v>44327</v>
      </c>
      <c r="I228" s="22" t="str">
        <f>VLOOKUP(J228, Dropdowns!N:O, 2, FALSE)</f>
        <v>Lower Price</v>
      </c>
      <c r="J228" t="s">
        <v>759</v>
      </c>
      <c r="L228" s="17" t="s">
        <v>733</v>
      </c>
      <c r="M228" s="17" t="s">
        <v>11</v>
      </c>
      <c r="N228" s="17" t="s">
        <v>740</v>
      </c>
    </row>
    <row r="229" spans="1:17" x14ac:dyDescent="0.25">
      <c r="A229" s="10">
        <v>984660</v>
      </c>
      <c r="B229" s="22" t="str">
        <f>IFERROR(VLOOKUP(A229,VLOOKUPS!$A$2:B$12589,2,FALSE),"")</f>
        <v>Organic Raspberries 6oz-standard</v>
      </c>
      <c r="D229">
        <v>12</v>
      </c>
      <c r="F229">
        <v>3.89</v>
      </c>
      <c r="G229" s="13">
        <v>44327</v>
      </c>
      <c r="H229" s="13"/>
      <c r="I229" s="22" t="str">
        <f>VLOOKUP(J229, Dropdowns!N:O, 2, FALSE)</f>
        <v>Standard</v>
      </c>
      <c r="J229" t="s">
        <v>777</v>
      </c>
      <c r="L229" s="17" t="s">
        <v>732</v>
      </c>
      <c r="M229" s="17" t="s">
        <v>736</v>
      </c>
      <c r="N229" s="17" t="s">
        <v>736</v>
      </c>
      <c r="O229" t="s">
        <v>748</v>
      </c>
      <c r="P229">
        <v>1</v>
      </c>
      <c r="Q229" s="17" t="s">
        <v>1035</v>
      </c>
    </row>
    <row r="230" spans="1:17" x14ac:dyDescent="0.25">
      <c r="A230" s="10">
        <v>984740</v>
      </c>
      <c r="B230" s="22" t="str">
        <f>IFERROR(VLOOKUP(A230,VLOOKUPS!$A$2:B$12589,2,FALSE),"")</f>
        <v>Organic Blackberries 6oz-standard</v>
      </c>
      <c r="D230">
        <v>12</v>
      </c>
      <c r="F230">
        <v>3.75</v>
      </c>
      <c r="G230" s="13">
        <v>44327</v>
      </c>
      <c r="H230" s="13"/>
      <c r="I230" s="22" t="str">
        <f>VLOOKUP(J230, Dropdowns!N:O, 2, FALSE)</f>
        <v>Standard</v>
      </c>
      <c r="J230" t="s">
        <v>777</v>
      </c>
      <c r="L230" s="17" t="s">
        <v>732</v>
      </c>
      <c r="M230" s="17" t="s">
        <v>736</v>
      </c>
      <c r="N230" s="17" t="s">
        <v>736</v>
      </c>
      <c r="O230" s="17" t="s">
        <v>748</v>
      </c>
      <c r="P230">
        <v>2</v>
      </c>
      <c r="Q230" s="17" t="s">
        <v>1035</v>
      </c>
    </row>
    <row r="231" spans="1:17" x14ac:dyDescent="0.25">
      <c r="A231" s="10">
        <v>995051</v>
      </c>
      <c r="B231" s="22" t="str">
        <f>IFERROR(VLOOKUP(A231,VLOOKUPS!$A$2:B$12589,2,FALSE),"")</f>
        <v>Mild Fresh Chopped Salsa 16oz-standard</v>
      </c>
      <c r="E231">
        <v>3.49</v>
      </c>
      <c r="F231">
        <v>3.99</v>
      </c>
      <c r="G231" s="13">
        <v>44327</v>
      </c>
      <c r="H231" s="13"/>
      <c r="I231" s="22" t="str">
        <f>VLOOKUP(J231, Dropdowns!N:O, 2, FALSE)</f>
        <v>Standard</v>
      </c>
      <c r="J231" t="s">
        <v>761</v>
      </c>
      <c r="L231" s="17" t="s">
        <v>732</v>
      </c>
      <c r="M231" s="17" t="s">
        <v>736</v>
      </c>
      <c r="N231" s="17" t="s">
        <v>736</v>
      </c>
    </row>
    <row r="232" spans="1:17" x14ac:dyDescent="0.25">
      <c r="A232" s="10">
        <v>995053</v>
      </c>
      <c r="B232" s="22" t="str">
        <f>IFERROR(VLOOKUP(A232,VLOOKUPS!$A$2:B$12589,2,FALSE),"")</f>
        <v>Fresh Chopped Salsa Pico 16oz-standard</v>
      </c>
      <c r="E232">
        <v>3.49</v>
      </c>
      <c r="F232">
        <v>3.99</v>
      </c>
      <c r="G232" s="13">
        <v>44327</v>
      </c>
      <c r="H232" s="13"/>
      <c r="I232" s="22" t="str">
        <f>VLOOKUP(J232, Dropdowns!N:O, 2, FALSE)</f>
        <v>Standard</v>
      </c>
      <c r="J232" t="s">
        <v>761</v>
      </c>
      <c r="L232" s="17" t="s">
        <v>732</v>
      </c>
      <c r="M232" s="17" t="s">
        <v>736</v>
      </c>
      <c r="N232" s="17" t="s">
        <v>736</v>
      </c>
    </row>
    <row r="233" spans="1:17" x14ac:dyDescent="0.25">
      <c r="A233" s="10">
        <v>982740</v>
      </c>
      <c r="B233" s="22" t="str">
        <f>IFERROR(VLOOKUP(A233,VLOOKUPS!$A$2:B$12589,2,FALSE),"")</f>
        <v>Grapes* Red Seedless 1lb-LOOSE</v>
      </c>
      <c r="E233">
        <v>1.7</v>
      </c>
      <c r="F233">
        <v>0.99</v>
      </c>
      <c r="G233" s="13">
        <v>44326</v>
      </c>
      <c r="H233" s="13">
        <v>44327</v>
      </c>
      <c r="I233" s="22" t="str">
        <f>VLOOKUP(J233, Dropdowns!N:O, 2, FALSE)</f>
        <v>Lower Price</v>
      </c>
      <c r="J233" t="s">
        <v>759</v>
      </c>
      <c r="L233" s="17" t="s">
        <v>732</v>
      </c>
      <c r="M233" s="17" t="s">
        <v>736</v>
      </c>
      <c r="N233" s="17" t="s">
        <v>736</v>
      </c>
    </row>
    <row r="234" spans="1:17" x14ac:dyDescent="0.25">
      <c r="A234" s="10">
        <v>984700</v>
      </c>
      <c r="B234" s="22" t="str">
        <f>IFERROR(VLOOKUP(A234,VLOOKUPS!$A$2:B$12589,2,FALSE),"")</f>
        <v>Blackberries 6oz-standard</v>
      </c>
      <c r="E234">
        <v>2.98</v>
      </c>
      <c r="F234">
        <v>1.98</v>
      </c>
      <c r="G234" s="13">
        <v>44328</v>
      </c>
      <c r="H234" s="13">
        <v>44329</v>
      </c>
      <c r="I234" s="22" t="str">
        <f>VLOOKUP(J234, Dropdowns!N:O, 2, FALSE)</f>
        <v>Lower Price</v>
      </c>
      <c r="J234" t="s">
        <v>759</v>
      </c>
      <c r="L234" s="17" t="s">
        <v>732</v>
      </c>
      <c r="M234" s="17" t="s">
        <v>736</v>
      </c>
      <c r="N234" s="17" t="s">
        <v>736</v>
      </c>
    </row>
    <row r="235" spans="1:17" x14ac:dyDescent="0.25">
      <c r="A235" s="10">
        <v>984700</v>
      </c>
      <c r="B235" s="22" t="str">
        <f>IFERROR(VLOOKUP(A235,VLOOKUPS!$A$2:B$12589,2,FALSE),"")</f>
        <v>Blackberries 6oz-standard</v>
      </c>
      <c r="E235">
        <v>1.98</v>
      </c>
      <c r="F235">
        <v>2.98</v>
      </c>
      <c r="G235" s="13">
        <v>44330</v>
      </c>
      <c r="H235" s="13"/>
      <c r="I235" s="22" t="str">
        <f>VLOOKUP(J235, Dropdowns!N:O, 2, FALSE)</f>
        <v>Standard</v>
      </c>
      <c r="J235" t="s">
        <v>760</v>
      </c>
      <c r="L235" s="17" t="s">
        <v>732</v>
      </c>
      <c r="M235" s="17" t="s">
        <v>736</v>
      </c>
      <c r="N235" s="17" t="s">
        <v>736</v>
      </c>
    </row>
    <row r="236" spans="1:17" x14ac:dyDescent="0.25">
      <c r="A236" s="10">
        <v>985780</v>
      </c>
      <c r="B236" s="22" t="str">
        <f>IFERROR(VLOOKUP(A236,VLOOKUPS!$A$2:B$12589,2,FALSE),"")</f>
        <v>Organic Asparagus 12oz-standard</v>
      </c>
      <c r="G236" s="13">
        <v>44328</v>
      </c>
      <c r="H236" s="13"/>
      <c r="I236" s="22" t="str">
        <f>VLOOKUP(J236, Dropdowns!N:O, 2, FALSE)</f>
        <v>NA</v>
      </c>
      <c r="J236" t="s">
        <v>754</v>
      </c>
      <c r="L236" s="17" t="s">
        <v>732</v>
      </c>
      <c r="M236" s="17" t="s">
        <v>736</v>
      </c>
      <c r="N236" s="17" t="s">
        <v>736</v>
      </c>
    </row>
    <row r="237" spans="1:17" x14ac:dyDescent="0.25">
      <c r="A237" s="10">
        <v>995001</v>
      </c>
      <c r="B237" s="22" t="str">
        <f>IFERROR(VLOOKUP(A237,VLOOKUPS!$A$2:B$12589,2,FALSE),"")</f>
        <v>Spinach Baby 6oz-standard</v>
      </c>
      <c r="E237">
        <v>2.2599999999999998</v>
      </c>
      <c r="F237">
        <v>1.46</v>
      </c>
      <c r="G237" s="13">
        <v>44328</v>
      </c>
      <c r="H237" s="13">
        <v>44329</v>
      </c>
      <c r="I237" s="22" t="str">
        <f>VLOOKUP(J237, Dropdowns!N:O, 2, FALSE)</f>
        <v>Lower Price</v>
      </c>
      <c r="J237" t="s">
        <v>759</v>
      </c>
      <c r="L237" s="17" t="s">
        <v>732</v>
      </c>
      <c r="M237" s="17" t="s">
        <v>738</v>
      </c>
      <c r="N237" s="17">
        <v>2</v>
      </c>
    </row>
    <row r="238" spans="1:17" x14ac:dyDescent="0.25">
      <c r="A238" s="10">
        <v>995001</v>
      </c>
      <c r="B238" s="22" t="str">
        <f>IFERROR(VLOOKUP(A238,VLOOKUPS!$A$2:B$12589,2,FALSE),"")</f>
        <v>Spinach Baby 6oz-standard</v>
      </c>
      <c r="E238">
        <v>1.46</v>
      </c>
      <c r="F238">
        <v>2.2599999999999998</v>
      </c>
      <c r="G238" s="13">
        <v>44330</v>
      </c>
      <c r="H238" s="13"/>
      <c r="I238" s="22" t="str">
        <f>VLOOKUP(J238, Dropdowns!N:O, 2, FALSE)</f>
        <v>Standard</v>
      </c>
      <c r="J238" t="s">
        <v>760</v>
      </c>
      <c r="L238" s="17" t="s">
        <v>732</v>
      </c>
      <c r="M238" s="17" t="s">
        <v>738</v>
      </c>
      <c r="N238" s="17">
        <v>2</v>
      </c>
    </row>
    <row r="239" spans="1:17" x14ac:dyDescent="0.25">
      <c r="A239" s="10">
        <v>995002</v>
      </c>
      <c r="B239" s="22" t="str">
        <f>IFERROR(VLOOKUP(A239,VLOOKUPS!$A$2:B$12589,2,FALSE),"")</f>
        <v>Butter Blend 6oz-standard</v>
      </c>
      <c r="E239">
        <v>1.89</v>
      </c>
      <c r="F239">
        <v>1.19</v>
      </c>
      <c r="G239" s="13">
        <v>44328</v>
      </c>
      <c r="H239" s="13">
        <v>44329</v>
      </c>
      <c r="I239" s="22" t="str">
        <f>VLOOKUP(J239, Dropdowns!N:O, 2, FALSE)</f>
        <v>Lower Price</v>
      </c>
      <c r="J239" t="s">
        <v>759</v>
      </c>
      <c r="L239" s="17" t="s">
        <v>733</v>
      </c>
      <c r="M239" s="17" t="s">
        <v>11</v>
      </c>
      <c r="N239" s="17" t="s">
        <v>740</v>
      </c>
    </row>
    <row r="240" spans="1:17" x14ac:dyDescent="0.25">
      <c r="A240" s="10">
        <v>995002</v>
      </c>
      <c r="B240" s="22" t="str">
        <f>IFERROR(VLOOKUP(A240,VLOOKUPS!$A$2:B$12589,2,FALSE),"")</f>
        <v>Butter Blend 6oz-standard</v>
      </c>
      <c r="E240">
        <v>1.19</v>
      </c>
      <c r="F240">
        <v>1.89</v>
      </c>
      <c r="G240" s="13">
        <v>44330</v>
      </c>
      <c r="H240" s="13"/>
      <c r="I240" s="22" t="str">
        <f>VLOOKUP(J240, Dropdowns!N:O, 2, FALSE)</f>
        <v>Standard</v>
      </c>
      <c r="J240" t="s">
        <v>760</v>
      </c>
      <c r="L240" s="17" t="s">
        <v>733</v>
      </c>
      <c r="M240" s="17" t="s">
        <v>11</v>
      </c>
      <c r="N240" s="17" t="s">
        <v>740</v>
      </c>
    </row>
    <row r="241" spans="1:14" x14ac:dyDescent="0.25">
      <c r="A241" s="10">
        <v>995015</v>
      </c>
      <c r="B241" s="22" t="str">
        <f>IFERROR(VLOOKUP(A241,VLOOKUPS!$A$2:B$12589,2,FALSE),"")</f>
        <v>Savory Spinach Dijon Salad 4.9oz-standard</v>
      </c>
      <c r="E241">
        <v>2.89</v>
      </c>
      <c r="F241">
        <v>1.89</v>
      </c>
      <c r="G241" s="13">
        <v>44328</v>
      </c>
      <c r="H241" s="13">
        <v>44329</v>
      </c>
      <c r="I241" s="22" t="str">
        <f>VLOOKUP(J241, Dropdowns!N:O, 2, FALSE)</f>
        <v>Lower Price</v>
      </c>
      <c r="J241" t="s">
        <v>759</v>
      </c>
      <c r="L241" s="17" t="s">
        <v>733</v>
      </c>
      <c r="M241" s="17" t="s">
        <v>9</v>
      </c>
      <c r="N241" s="17" t="s">
        <v>740</v>
      </c>
    </row>
    <row r="242" spans="1:14" x14ac:dyDescent="0.25">
      <c r="A242" s="10">
        <v>995015</v>
      </c>
      <c r="B242" s="22" t="str">
        <f>IFERROR(VLOOKUP(A242,VLOOKUPS!$A$2:B$12589,2,FALSE),"")</f>
        <v>Savory Spinach Dijon Salad 4.9oz-standard</v>
      </c>
      <c r="E242">
        <v>2.99</v>
      </c>
      <c r="F242">
        <v>1.99</v>
      </c>
      <c r="G242" s="13">
        <v>44328</v>
      </c>
      <c r="H242" s="13">
        <v>44329</v>
      </c>
      <c r="I242" s="22" t="str">
        <f>VLOOKUP(J242, Dropdowns!N:O, 2, FALSE)</f>
        <v>Lower Price</v>
      </c>
      <c r="J242" t="s">
        <v>759</v>
      </c>
      <c r="L242" s="17" t="s">
        <v>734</v>
      </c>
      <c r="M242" s="17" t="s">
        <v>9</v>
      </c>
      <c r="N242" s="17" t="s">
        <v>736</v>
      </c>
    </row>
    <row r="243" spans="1:14" x14ac:dyDescent="0.25">
      <c r="A243" s="10">
        <v>995015</v>
      </c>
      <c r="B243" s="22" t="str">
        <f>IFERROR(VLOOKUP(A243,VLOOKUPS!$A$2:B$12589,2,FALSE),"")</f>
        <v>Savory Spinach Dijon Salad 4.9oz-standard</v>
      </c>
      <c r="E243">
        <v>1.89</v>
      </c>
      <c r="F243">
        <v>2.89</v>
      </c>
      <c r="G243" s="13">
        <v>44330</v>
      </c>
      <c r="H243" s="13"/>
      <c r="I243" s="22" t="str">
        <f>VLOOKUP(J243, Dropdowns!N:O, 2, FALSE)</f>
        <v>Standard</v>
      </c>
      <c r="J243" t="s">
        <v>760</v>
      </c>
      <c r="L243" s="17" t="s">
        <v>733</v>
      </c>
      <c r="M243" s="17" t="s">
        <v>9</v>
      </c>
      <c r="N243" s="17" t="s">
        <v>740</v>
      </c>
    </row>
    <row r="244" spans="1:14" x14ac:dyDescent="0.25">
      <c r="A244" s="10">
        <v>995015</v>
      </c>
      <c r="B244" s="22" t="str">
        <f>IFERROR(VLOOKUP(A244,VLOOKUPS!$A$2:B$12589,2,FALSE),"")</f>
        <v>Savory Spinach Dijon Salad 4.9oz-standard</v>
      </c>
      <c r="E244">
        <v>1.99</v>
      </c>
      <c r="F244">
        <v>2.99</v>
      </c>
      <c r="G244" s="13">
        <v>44330</v>
      </c>
      <c r="H244" s="13"/>
      <c r="I244" s="22" t="str">
        <f>VLOOKUP(J244, Dropdowns!N:O, 2, FALSE)</f>
        <v>Standard</v>
      </c>
      <c r="J244" t="s">
        <v>760</v>
      </c>
      <c r="L244" s="17" t="s">
        <v>734</v>
      </c>
      <c r="M244" s="17" t="s">
        <v>9</v>
      </c>
      <c r="N244" s="17" t="s">
        <v>736</v>
      </c>
    </row>
    <row r="245" spans="1:14" x14ac:dyDescent="0.25">
      <c r="A245" s="10">
        <v>988620</v>
      </c>
      <c r="B245" s="22" t="str">
        <f>IFERROR(VLOOKUP(A245,VLOOKUPS!$A$2:B$12589,2,FALSE),"")</f>
        <v>Brussels Sprouts 1lb-standard</v>
      </c>
      <c r="G245" s="13">
        <v>44328</v>
      </c>
      <c r="H245" s="13">
        <v>44334</v>
      </c>
      <c r="I245" s="22" t="str">
        <f>VLOOKUP(J245, Dropdowns!N:O, 2, FALSE)</f>
        <v>Lower Price</v>
      </c>
      <c r="J245" t="s">
        <v>753</v>
      </c>
      <c r="L245" s="17" t="s">
        <v>732</v>
      </c>
      <c r="M245" s="17" t="s">
        <v>736</v>
      </c>
      <c r="N245" s="17" t="s">
        <v>736</v>
      </c>
    </row>
    <row r="246" spans="1:14" x14ac:dyDescent="0.25">
      <c r="A246" s="10">
        <v>986250</v>
      </c>
      <c r="B246" s="22" t="str">
        <f>IFERROR(VLOOKUP(A246,VLOOKUPS!$A$2:B$12589,2,FALSE),"")</f>
        <v>French Beans 1lb-standard</v>
      </c>
      <c r="G246" s="13">
        <v>44328</v>
      </c>
      <c r="H246" s="13">
        <v>44334</v>
      </c>
      <c r="I246" s="22" t="str">
        <f>VLOOKUP(J246, Dropdowns!N:O, 2, FALSE)</f>
        <v>Lower Price</v>
      </c>
      <c r="J246" t="s">
        <v>753</v>
      </c>
      <c r="L246" s="17" t="s">
        <v>732</v>
      </c>
      <c r="M246" s="17" t="s">
        <v>736</v>
      </c>
      <c r="N246" s="17" t="s">
        <v>736</v>
      </c>
    </row>
    <row r="247" spans="1:14" x14ac:dyDescent="0.25">
      <c r="A247" s="10">
        <v>985111</v>
      </c>
      <c r="B247" s="22" t="str">
        <f>IFERROR(VLOOKUP(A247,VLOOKUPS!$A$2:B$12589,2,FALSE),"")</f>
        <v>Lettuce Mixed 1ct-standard</v>
      </c>
      <c r="G247" s="13">
        <v>44328</v>
      </c>
      <c r="H247" s="13">
        <v>44334</v>
      </c>
      <c r="I247" s="22" t="str">
        <f>VLOOKUP(J247, Dropdowns!N:O, 2, FALSE)</f>
        <v>Lower Price</v>
      </c>
      <c r="J247" t="s">
        <v>753</v>
      </c>
      <c r="L247" s="17" t="s">
        <v>732</v>
      </c>
      <c r="M247" s="17" t="s">
        <v>736</v>
      </c>
      <c r="N247" s="17" t="s">
        <v>736</v>
      </c>
    </row>
    <row r="248" spans="1:14" x14ac:dyDescent="0.25">
      <c r="A248" s="10">
        <v>995021</v>
      </c>
      <c r="B248" s="22" t="str">
        <f>IFERROR(VLOOKUP(A248,VLOOKUPS!$A$2:B$12589,2,FALSE),"")</f>
        <v>Chopped Bacon Caesar Kit 10.2oz-standard</v>
      </c>
      <c r="G248" s="13">
        <v>44328</v>
      </c>
      <c r="H248" s="13">
        <v>44334</v>
      </c>
      <c r="I248" s="22" t="str">
        <f>VLOOKUP(J248, Dropdowns!N:O, 2, FALSE)</f>
        <v>Lower Price</v>
      </c>
      <c r="J248" t="s">
        <v>753</v>
      </c>
      <c r="L248" s="17" t="s">
        <v>732</v>
      </c>
      <c r="M248" s="17" t="s">
        <v>736</v>
      </c>
      <c r="N248" s="17" t="s">
        <v>736</v>
      </c>
    </row>
    <row r="249" spans="1:14" x14ac:dyDescent="0.25">
      <c r="A249" s="10">
        <v>995042</v>
      </c>
      <c r="B249" s="22" t="str">
        <f>IFERROR(VLOOKUP(A249,VLOOKUPS!$A$2:B$12589,2,FALSE),"")</f>
        <v>Mango Chunks 16oz-standard</v>
      </c>
      <c r="G249" s="13">
        <v>44328</v>
      </c>
      <c r="H249" s="13">
        <v>44334</v>
      </c>
      <c r="I249" s="22" t="str">
        <f>VLOOKUP(J249, Dropdowns!N:O, 2, FALSE)</f>
        <v>Lower Price</v>
      </c>
      <c r="J249" t="s">
        <v>753</v>
      </c>
      <c r="L249" s="17" t="s">
        <v>732</v>
      </c>
      <c r="M249" s="17" t="s">
        <v>736</v>
      </c>
      <c r="N249" s="17" t="s">
        <v>736</v>
      </c>
    </row>
    <row r="250" spans="1:14" x14ac:dyDescent="0.25">
      <c r="A250" s="10">
        <v>995067</v>
      </c>
      <c r="B250" s="22" t="str">
        <f>IFERROR(VLOOKUP(A250,VLOOKUPS!$A$2:B$12589,2,FALSE),"")</f>
        <v>Organic Baby Arugula 5oz-standard</v>
      </c>
      <c r="G250" s="13">
        <v>44328</v>
      </c>
      <c r="H250" s="13">
        <v>44334</v>
      </c>
      <c r="I250" s="22" t="str">
        <f>VLOOKUP(J250, Dropdowns!N:O, 2, FALSE)</f>
        <v>Lower Price</v>
      </c>
      <c r="J250" t="s">
        <v>753</v>
      </c>
      <c r="L250" s="17" t="s">
        <v>732</v>
      </c>
      <c r="M250" s="17" t="s">
        <v>736</v>
      </c>
      <c r="N250" s="17" t="s">
        <v>736</v>
      </c>
    </row>
    <row r="251" spans="1:14" x14ac:dyDescent="0.25">
      <c r="A251" s="10">
        <v>995085</v>
      </c>
      <c r="B251" s="22" t="str">
        <f>IFERROR(VLOOKUP(A251,VLOOKUPS!$A$2:B$12589,2,FALSE),"")</f>
        <v>Sugar Snap Peas 8oz-standard</v>
      </c>
      <c r="G251" s="13">
        <v>44328</v>
      </c>
      <c r="H251" s="13">
        <v>44334</v>
      </c>
      <c r="I251" s="22" t="str">
        <f>VLOOKUP(J251, Dropdowns!N:O, 2, FALSE)</f>
        <v>Lower Price</v>
      </c>
      <c r="J251" t="s">
        <v>753</v>
      </c>
      <c r="L251" s="17" t="s">
        <v>732</v>
      </c>
      <c r="M251" s="17" t="s">
        <v>736</v>
      </c>
      <c r="N251" s="17" t="s">
        <v>736</v>
      </c>
    </row>
    <row r="252" spans="1:14" x14ac:dyDescent="0.25">
      <c r="A252" s="10">
        <v>984701</v>
      </c>
      <c r="B252" s="22" t="str">
        <f>IFERROR(VLOOKUP(A252,VLOOKUPS!$A$2:B$12589,2,FALSE),"")</f>
        <v>Blackberries Super Sweet 6oz-standard</v>
      </c>
      <c r="E252">
        <v>1.79</v>
      </c>
      <c r="F252">
        <v>3.49</v>
      </c>
      <c r="G252" s="13">
        <v>44328</v>
      </c>
      <c r="H252" s="13"/>
      <c r="I252" s="22" t="str">
        <f>VLOOKUP(J252, Dropdowns!N:O, 2, FALSE)</f>
        <v>Standard</v>
      </c>
      <c r="J252" t="s">
        <v>760</v>
      </c>
      <c r="L252" s="17" t="s">
        <v>732</v>
      </c>
      <c r="M252" s="17" t="s">
        <v>736</v>
      </c>
      <c r="N252" s="17" t="s">
        <v>736</v>
      </c>
    </row>
    <row r="253" spans="1:14" x14ac:dyDescent="0.25">
      <c r="A253" s="10">
        <v>985011</v>
      </c>
      <c r="B253" s="22" t="str">
        <f>IFERROR(VLOOKUP(A253,VLOOKUPS!$A$2:B$12589,2,FALSE),"")</f>
        <v>Lettuce Butter 1ct-standard</v>
      </c>
      <c r="E253">
        <v>1.29</v>
      </c>
      <c r="F253">
        <v>1.99</v>
      </c>
      <c r="G253" s="13">
        <v>44328</v>
      </c>
      <c r="H253" s="13"/>
      <c r="I253" s="22" t="str">
        <f>VLOOKUP(J253, Dropdowns!N:O, 2, FALSE)</f>
        <v>Standard</v>
      </c>
      <c r="J253" t="s">
        <v>760</v>
      </c>
      <c r="L253" s="17" t="s">
        <v>732</v>
      </c>
      <c r="M253" s="17" t="s">
        <v>736</v>
      </c>
      <c r="N253" s="17" t="s">
        <v>741</v>
      </c>
    </row>
    <row r="254" spans="1:14" x14ac:dyDescent="0.25">
      <c r="A254" s="10">
        <v>985011</v>
      </c>
      <c r="B254" s="22" t="str">
        <f>IFERROR(VLOOKUP(A254,VLOOKUPS!$A$2:B$12589,2,FALSE),"")</f>
        <v>Lettuce Butter 1ct-standard</v>
      </c>
      <c r="E254">
        <v>1.49</v>
      </c>
      <c r="F254">
        <v>2.29</v>
      </c>
      <c r="G254" s="13">
        <v>44328</v>
      </c>
      <c r="H254" s="13"/>
      <c r="I254" s="22" t="str">
        <f>VLOOKUP(J254, Dropdowns!N:O, 2, FALSE)</f>
        <v>Standard</v>
      </c>
      <c r="J254" t="s">
        <v>760</v>
      </c>
      <c r="L254" s="17" t="s">
        <v>734</v>
      </c>
      <c r="M254" s="17" t="s">
        <v>9</v>
      </c>
      <c r="N254" s="17">
        <v>8</v>
      </c>
    </row>
    <row r="255" spans="1:14" x14ac:dyDescent="0.25">
      <c r="A255" s="10">
        <v>995068</v>
      </c>
      <c r="B255" s="22" t="str">
        <f>IFERROR(VLOOKUP(A255,VLOOKUPS!$A$2:B$12589,2,FALSE),"")</f>
        <v>Organic Half and Half 5oz-standard</v>
      </c>
      <c r="E255">
        <v>2.4900000000000002</v>
      </c>
      <c r="F255">
        <v>1.99</v>
      </c>
      <c r="G255" s="13">
        <v>44328</v>
      </c>
      <c r="H255" s="13">
        <v>44329</v>
      </c>
      <c r="I255" s="22" t="str">
        <f>VLOOKUP(J255, Dropdowns!N:O, 2, FALSE)</f>
        <v>Lower Price</v>
      </c>
      <c r="J255" t="s">
        <v>762</v>
      </c>
      <c r="L255" s="17" t="s">
        <v>732</v>
      </c>
      <c r="M255" s="17" t="s">
        <v>736</v>
      </c>
      <c r="N255" s="17" t="s">
        <v>736</v>
      </c>
    </row>
    <row r="256" spans="1:14" x14ac:dyDescent="0.25">
      <c r="A256" s="10">
        <v>995023</v>
      </c>
      <c r="B256" s="22" t="str">
        <f>IFERROR(VLOOKUP(A256,VLOOKUPS!$A$2:B$12589,2,FALSE),"")</f>
        <v>Hearts of Romaine 9oz-standard</v>
      </c>
      <c r="E256">
        <v>2.4500000000000002</v>
      </c>
      <c r="F256">
        <v>0.99</v>
      </c>
      <c r="G256" s="13">
        <v>44328</v>
      </c>
      <c r="H256" s="13">
        <v>44331</v>
      </c>
      <c r="I256" s="22" t="str">
        <f>VLOOKUP(J256, Dropdowns!N:O, 2, FALSE)</f>
        <v>Lower Price</v>
      </c>
      <c r="J256" t="s">
        <v>762</v>
      </c>
      <c r="L256" s="17" t="s">
        <v>732</v>
      </c>
      <c r="M256" s="17" t="s">
        <v>736</v>
      </c>
    </row>
    <row r="257" spans="1:14" x14ac:dyDescent="0.25">
      <c r="A257" s="10">
        <v>995013</v>
      </c>
      <c r="B257" s="22" t="str">
        <f>IFERROR(VLOOKUP(A257,VLOOKUPS!$A$2:B$12589,2,FALSE),"")</f>
        <v>Spinach 8oz-standard</v>
      </c>
      <c r="E257">
        <v>0.99</v>
      </c>
      <c r="F257">
        <v>1.19</v>
      </c>
      <c r="G257" s="13">
        <v>44328</v>
      </c>
      <c r="H257" s="13"/>
      <c r="I257" s="22" t="str">
        <f>VLOOKUP(J257, Dropdowns!N:O, 2, FALSE)</f>
        <v>Standard</v>
      </c>
      <c r="J257" t="s">
        <v>760</v>
      </c>
      <c r="L257" s="17" t="s">
        <v>732</v>
      </c>
      <c r="M257" s="17" t="s">
        <v>736</v>
      </c>
      <c r="N257" s="17" t="s">
        <v>741</v>
      </c>
    </row>
    <row r="258" spans="1:14" x14ac:dyDescent="0.25">
      <c r="A258" s="10">
        <v>995013</v>
      </c>
      <c r="B258" s="22" t="str">
        <f>IFERROR(VLOOKUP(A258,VLOOKUPS!$A$2:B$12589,2,FALSE),"")</f>
        <v>Spinach 8oz-standard</v>
      </c>
      <c r="E258">
        <v>1.19</v>
      </c>
      <c r="F258">
        <v>1.49</v>
      </c>
      <c r="G258" s="13">
        <v>44328</v>
      </c>
      <c r="H258" s="13"/>
      <c r="I258" s="22" t="str">
        <f>VLOOKUP(J258, Dropdowns!N:O, 2, FALSE)</f>
        <v>Standard</v>
      </c>
      <c r="J258" t="s">
        <v>760</v>
      </c>
      <c r="L258" s="17" t="s">
        <v>734</v>
      </c>
      <c r="M258" s="17" t="s">
        <v>9</v>
      </c>
      <c r="N258" s="17">
        <v>8</v>
      </c>
    </row>
    <row r="259" spans="1:14" x14ac:dyDescent="0.25">
      <c r="A259" s="10">
        <v>995045</v>
      </c>
      <c r="B259" s="22" t="str">
        <f>IFERROR(VLOOKUP(A259,VLOOKUPS!$A$2:B$12589,2,FALSE),"")</f>
        <v>Fajita Blend 12oz-standard</v>
      </c>
      <c r="E259">
        <v>3.59</v>
      </c>
      <c r="F259">
        <v>3.99</v>
      </c>
      <c r="G259" s="13">
        <v>44329</v>
      </c>
      <c r="H259" s="13"/>
      <c r="I259" s="22" t="str">
        <f>VLOOKUP(J259, Dropdowns!N:O, 2, FALSE)</f>
        <v>Standard</v>
      </c>
      <c r="J259" t="s">
        <v>761</v>
      </c>
      <c r="L259" s="17" t="s">
        <v>732</v>
      </c>
      <c r="M259" s="17" t="s">
        <v>736</v>
      </c>
      <c r="N259" s="17" t="s">
        <v>736</v>
      </c>
    </row>
    <row r="260" spans="1:14" x14ac:dyDescent="0.25">
      <c r="A260" s="10">
        <v>995002</v>
      </c>
      <c r="B260" s="22" t="str">
        <f>IFERROR(VLOOKUP(A260,VLOOKUPS!$A$2:B$12589,2,FALSE),"")</f>
        <v>Butter Blend 6oz-standard</v>
      </c>
      <c r="E260">
        <v>1.89</v>
      </c>
      <c r="F260">
        <v>1.0900000000000001</v>
      </c>
      <c r="G260" s="13">
        <v>44329</v>
      </c>
      <c r="H260" s="13">
        <v>44330</v>
      </c>
      <c r="I260" s="22" t="str">
        <f>VLOOKUP(J260, Dropdowns!N:O, 2, FALSE)</f>
        <v>Lower Price</v>
      </c>
      <c r="J260" t="s">
        <v>759</v>
      </c>
      <c r="L260" s="17" t="s">
        <v>732</v>
      </c>
      <c r="M260" s="17" t="s">
        <v>10</v>
      </c>
      <c r="N260" s="17">
        <v>2</v>
      </c>
    </row>
    <row r="261" spans="1:14" x14ac:dyDescent="0.25">
      <c r="A261" s="10">
        <v>995002</v>
      </c>
      <c r="B261" s="22" t="str">
        <f>IFERROR(VLOOKUP(A261,VLOOKUPS!$A$2:B$12589,2,FALSE),"")</f>
        <v>Butter Blend 6oz-standard</v>
      </c>
      <c r="E261">
        <v>1.0900000000000001</v>
      </c>
      <c r="F261">
        <v>1.89</v>
      </c>
      <c r="G261" s="13">
        <v>44331</v>
      </c>
      <c r="H261" s="13"/>
      <c r="I261" s="22" t="str">
        <f>VLOOKUP(J261, Dropdowns!N:O, 2, FALSE)</f>
        <v>Standard</v>
      </c>
      <c r="J261" t="s">
        <v>760</v>
      </c>
      <c r="L261" s="17" t="s">
        <v>732</v>
      </c>
      <c r="M261" s="17" t="s">
        <v>10</v>
      </c>
      <c r="N261" s="17">
        <v>2</v>
      </c>
    </row>
    <row r="262" spans="1:14" x14ac:dyDescent="0.25">
      <c r="A262" s="10">
        <v>995006</v>
      </c>
      <c r="B262" s="22" t="str">
        <f>IFERROR(VLOOKUP(A262,VLOOKUPS!$A$2:B$12589,2,FALSE),"")</f>
        <v>Italian Salad 9oz-standard</v>
      </c>
      <c r="E262">
        <v>1.99</v>
      </c>
      <c r="F262">
        <v>1.19</v>
      </c>
      <c r="G262" s="13">
        <v>44329</v>
      </c>
      <c r="H262" s="13">
        <v>44330</v>
      </c>
      <c r="I262" s="22" t="str">
        <f>VLOOKUP(J262, Dropdowns!N:O, 2, FALSE)</f>
        <v>Lower Price</v>
      </c>
      <c r="J262" t="s">
        <v>759</v>
      </c>
      <c r="L262" s="17" t="s">
        <v>733</v>
      </c>
      <c r="M262" s="17" t="s">
        <v>11</v>
      </c>
      <c r="N262" s="17" t="s">
        <v>740</v>
      </c>
    </row>
    <row r="263" spans="1:14" x14ac:dyDescent="0.25">
      <c r="A263" s="10">
        <v>995006</v>
      </c>
      <c r="B263" s="22" t="str">
        <f>IFERROR(VLOOKUP(A263,VLOOKUPS!$A$2:B$12589,2,FALSE),"")</f>
        <v>Italian Salad 9oz-standard</v>
      </c>
      <c r="E263">
        <v>1.19</v>
      </c>
      <c r="F263">
        <v>1.99</v>
      </c>
      <c r="G263" s="13">
        <v>44331</v>
      </c>
      <c r="H263" s="13"/>
      <c r="I263" s="22" t="str">
        <f>VLOOKUP(J263, Dropdowns!N:O, 2, FALSE)</f>
        <v>Standard</v>
      </c>
      <c r="J263" t="s">
        <v>760</v>
      </c>
      <c r="L263" s="17" t="s">
        <v>733</v>
      </c>
      <c r="M263" s="17" t="s">
        <v>11</v>
      </c>
      <c r="N263" s="17" t="s">
        <v>740</v>
      </c>
    </row>
    <row r="264" spans="1:14" x14ac:dyDescent="0.25">
      <c r="A264" s="10">
        <v>995010</v>
      </c>
      <c r="B264" s="22" t="str">
        <f>IFERROR(VLOOKUP(A264,VLOOKUPS!$A$2:B$12589,2,FALSE),"")</f>
        <v>RTE Turkey Bacon Cobb Salad 7.25oz-standard</v>
      </c>
      <c r="E264">
        <v>2.89</v>
      </c>
      <c r="F264">
        <v>1.89</v>
      </c>
      <c r="G264" s="13">
        <v>44329</v>
      </c>
      <c r="H264" s="13">
        <v>44330</v>
      </c>
      <c r="I264" s="22" t="str">
        <f>VLOOKUP(J264, Dropdowns!N:O, 2, FALSE)</f>
        <v>Lower Price</v>
      </c>
      <c r="J264" t="s">
        <v>759</v>
      </c>
      <c r="L264" s="17" t="s">
        <v>733</v>
      </c>
      <c r="M264" s="17" t="s">
        <v>737</v>
      </c>
      <c r="N264" s="17" t="s">
        <v>740</v>
      </c>
    </row>
    <row r="265" spans="1:14" x14ac:dyDescent="0.25">
      <c r="A265" s="10">
        <v>995010</v>
      </c>
      <c r="B265" s="22" t="str">
        <f>IFERROR(VLOOKUP(A265,VLOOKUPS!$A$2:B$12589,2,FALSE),"")</f>
        <v>RTE Turkey Bacon Cobb Salad 7.25oz-standard</v>
      </c>
      <c r="E265">
        <v>1.89</v>
      </c>
      <c r="F265">
        <v>2.89</v>
      </c>
      <c r="G265" s="13">
        <v>44331</v>
      </c>
      <c r="H265" s="13"/>
      <c r="I265" s="22" t="str">
        <f>VLOOKUP(J265, Dropdowns!N:O, 2, FALSE)</f>
        <v>Standard</v>
      </c>
      <c r="J265" t="s">
        <v>760</v>
      </c>
      <c r="L265" s="17" t="s">
        <v>733</v>
      </c>
      <c r="M265" s="17" t="s">
        <v>737</v>
      </c>
      <c r="N265" s="17" t="s">
        <v>740</v>
      </c>
    </row>
    <row r="266" spans="1:14" x14ac:dyDescent="0.25">
      <c r="A266" s="10">
        <v>995014</v>
      </c>
      <c r="B266" s="22" t="str">
        <f>IFERROR(VLOOKUP(A266,VLOOKUPS!$A$2:B$12589,2,FALSE),"")</f>
        <v>RTE Café Style Chef Salad 7.65oz-standard</v>
      </c>
      <c r="E266">
        <v>2.89</v>
      </c>
      <c r="F266">
        <v>1.89</v>
      </c>
      <c r="G266" s="13">
        <v>44329</v>
      </c>
      <c r="H266" s="13">
        <v>44330</v>
      </c>
      <c r="I266" s="22" t="str">
        <f>VLOOKUP(J266, Dropdowns!N:O, 2, FALSE)</f>
        <v>Lower Price</v>
      </c>
      <c r="J266" t="s">
        <v>759</v>
      </c>
      <c r="L266" s="17" t="s">
        <v>733</v>
      </c>
      <c r="M266" s="17" t="s">
        <v>11</v>
      </c>
      <c r="N266" s="17" t="s">
        <v>740</v>
      </c>
    </row>
    <row r="267" spans="1:14" x14ac:dyDescent="0.25">
      <c r="A267" s="10">
        <v>995014</v>
      </c>
      <c r="B267" s="22" t="str">
        <f>IFERROR(VLOOKUP(A267,VLOOKUPS!$A$2:B$12589,2,FALSE),"")</f>
        <v>RTE Café Style Chef Salad 7.65oz-standard</v>
      </c>
      <c r="E267">
        <v>1.89</v>
      </c>
      <c r="F267">
        <v>2.89</v>
      </c>
      <c r="G267" s="13">
        <v>44331</v>
      </c>
      <c r="H267" s="13"/>
      <c r="I267" s="22" t="str">
        <f>VLOOKUP(J267, Dropdowns!N:O, 2, FALSE)</f>
        <v>Standard</v>
      </c>
      <c r="J267" t="s">
        <v>760</v>
      </c>
      <c r="L267" s="17" t="s">
        <v>733</v>
      </c>
      <c r="M267" s="17" t="s">
        <v>11</v>
      </c>
      <c r="N267" s="17" t="s">
        <v>740</v>
      </c>
    </row>
    <row r="268" spans="1:14" x14ac:dyDescent="0.25">
      <c r="A268" s="10">
        <v>982650</v>
      </c>
      <c r="B268" s="22" t="str">
        <f>IFERROR(VLOOKUP(A268,VLOOKUPS!$A$2:B$12589,2,FALSE),"")</f>
        <v>Grapes* Green Seedless 1lb-LOOSE</v>
      </c>
      <c r="E268">
        <v>2.59</v>
      </c>
      <c r="F268">
        <v>1.49</v>
      </c>
      <c r="G268" s="13">
        <v>44329</v>
      </c>
      <c r="H268" s="13">
        <v>44330</v>
      </c>
      <c r="I268" s="22" t="str">
        <f>VLOOKUP(J268, Dropdowns!N:O, 2, FALSE)</f>
        <v>Lower Price</v>
      </c>
      <c r="J268" t="s">
        <v>759</v>
      </c>
      <c r="L268" s="17" t="s">
        <v>733</v>
      </c>
      <c r="M268" s="17" t="s">
        <v>11</v>
      </c>
      <c r="N268" s="17" t="s">
        <v>740</v>
      </c>
    </row>
    <row r="269" spans="1:14" x14ac:dyDescent="0.25">
      <c r="A269" s="10">
        <v>982740</v>
      </c>
      <c r="B269" s="22" t="str">
        <f>IFERROR(VLOOKUP(A269,VLOOKUPS!$A$2:B$12589,2,FALSE),"")</f>
        <v>Grapes* Red Seedless 1lb-LOOSE</v>
      </c>
      <c r="E269">
        <v>1.7</v>
      </c>
      <c r="F269">
        <v>0.99</v>
      </c>
      <c r="G269" s="13">
        <v>44329</v>
      </c>
      <c r="H269" s="13">
        <v>44329</v>
      </c>
      <c r="I269" s="22" t="str">
        <f>VLOOKUP(J269, Dropdowns!N:O, 2, FALSE)</f>
        <v>Lower Price</v>
      </c>
      <c r="J269" t="s">
        <v>759</v>
      </c>
      <c r="L269" s="17" t="s">
        <v>732</v>
      </c>
    </row>
    <row r="270" spans="1:14" x14ac:dyDescent="0.25">
      <c r="A270" s="10">
        <v>982740</v>
      </c>
      <c r="B270" s="22" t="str">
        <f>IFERROR(VLOOKUP(A270,VLOOKUPS!$A$2:B$12589,2,FALSE),"")</f>
        <v>Grapes* Red Seedless 1lb-LOOSE</v>
      </c>
      <c r="E270">
        <v>0.99</v>
      </c>
      <c r="F270">
        <v>1.7</v>
      </c>
      <c r="G270" s="13">
        <v>44330</v>
      </c>
      <c r="H270" s="13"/>
      <c r="I270" s="22" t="str">
        <f>VLOOKUP(J270, Dropdowns!N:O, 2, FALSE)</f>
        <v>Standard</v>
      </c>
      <c r="J270" t="s">
        <v>760</v>
      </c>
      <c r="L270" s="17" t="s">
        <v>732</v>
      </c>
    </row>
    <row r="271" spans="1:14" x14ac:dyDescent="0.25">
      <c r="A271" s="10">
        <v>984701</v>
      </c>
      <c r="B271" s="22" t="str">
        <f>IFERROR(VLOOKUP(A271,VLOOKUPS!$A$2:B$12589,2,FALSE),"")</f>
        <v>Blackberries Super Sweet 6oz-standard</v>
      </c>
      <c r="E271">
        <v>3.49</v>
      </c>
      <c r="F271">
        <v>2.4900000000000002</v>
      </c>
      <c r="G271" s="13">
        <v>44330</v>
      </c>
      <c r="H271" s="13">
        <v>44331</v>
      </c>
      <c r="I271" s="22" t="str">
        <f>VLOOKUP(J271, Dropdowns!N:O, 2, FALSE)</f>
        <v>Lower Price</v>
      </c>
      <c r="J271" t="s">
        <v>759</v>
      </c>
      <c r="L271" s="17" t="s">
        <v>732</v>
      </c>
      <c r="M271" s="17" t="s">
        <v>10</v>
      </c>
      <c r="N271" s="17">
        <v>2</v>
      </c>
    </row>
    <row r="272" spans="1:14" x14ac:dyDescent="0.25">
      <c r="A272" s="10">
        <v>984701</v>
      </c>
      <c r="B272" s="22" t="str">
        <f>IFERROR(VLOOKUP(A272,VLOOKUPS!$A$2:B$12589,2,FALSE),"")</f>
        <v>Blackberries Super Sweet 6oz-standard</v>
      </c>
      <c r="E272">
        <v>2.4900000000000002</v>
      </c>
      <c r="F272">
        <v>3.49</v>
      </c>
      <c r="G272" s="13">
        <v>44332</v>
      </c>
      <c r="H272" s="13"/>
      <c r="I272" s="22" t="str">
        <f>VLOOKUP(J272, Dropdowns!N:O, 2, FALSE)</f>
        <v>Standard</v>
      </c>
      <c r="J272" t="s">
        <v>760</v>
      </c>
      <c r="L272" s="17" t="s">
        <v>732</v>
      </c>
      <c r="M272" s="17" t="s">
        <v>10</v>
      </c>
      <c r="N272" s="17">
        <v>2</v>
      </c>
    </row>
    <row r="273" spans="1:14" x14ac:dyDescent="0.25">
      <c r="A273" s="10">
        <v>985011</v>
      </c>
      <c r="B273" s="22" t="str">
        <f>IFERROR(VLOOKUP(A273,VLOOKUPS!$A$2:B$12589,2,FALSE),"")</f>
        <v>Lettuce Butter 1ct-standard</v>
      </c>
      <c r="E273">
        <v>1.99</v>
      </c>
      <c r="F273">
        <v>1.19</v>
      </c>
      <c r="G273" s="13">
        <v>44330</v>
      </c>
      <c r="H273" s="13">
        <v>44331</v>
      </c>
      <c r="I273" s="22" t="str">
        <f>VLOOKUP(J273, Dropdowns!N:O, 2, FALSE)</f>
        <v>Lower Price</v>
      </c>
      <c r="J273" t="s">
        <v>759</v>
      </c>
      <c r="L273" s="17" t="s">
        <v>732</v>
      </c>
      <c r="M273" s="17" t="s">
        <v>738</v>
      </c>
      <c r="N273" s="17">
        <v>2</v>
      </c>
    </row>
    <row r="274" spans="1:14" x14ac:dyDescent="0.25">
      <c r="A274" s="10">
        <v>985011</v>
      </c>
      <c r="B274" s="22" t="str">
        <f>IFERROR(VLOOKUP(A274,VLOOKUPS!$A$2:B$12589,2,FALSE),"")</f>
        <v>Lettuce Butter 1ct-standard</v>
      </c>
      <c r="E274">
        <v>1.19</v>
      </c>
      <c r="F274">
        <v>1.99</v>
      </c>
      <c r="G274" s="13">
        <v>44332</v>
      </c>
      <c r="H274" s="13"/>
      <c r="I274" s="22" t="str">
        <f>VLOOKUP(J274, Dropdowns!N:O, 2, FALSE)</f>
        <v>Standard</v>
      </c>
      <c r="J274" t="s">
        <v>760</v>
      </c>
      <c r="L274" s="17" t="s">
        <v>732</v>
      </c>
      <c r="M274" s="17" t="s">
        <v>738</v>
      </c>
      <c r="N274" s="17">
        <v>2</v>
      </c>
    </row>
    <row r="275" spans="1:14" x14ac:dyDescent="0.25">
      <c r="A275" s="10">
        <v>995000</v>
      </c>
      <c r="B275" s="22" t="str">
        <f>IFERROR(VLOOKUP(A275,VLOOKUPS!$A$2:B$12589,2,FALSE),"")</f>
        <v>Spring Mix 5oz-standard</v>
      </c>
      <c r="E275">
        <v>1.89</v>
      </c>
      <c r="F275">
        <v>1.19</v>
      </c>
      <c r="G275" s="13">
        <v>44330</v>
      </c>
      <c r="H275" s="13">
        <v>44331</v>
      </c>
      <c r="I275" s="22" t="str">
        <f>VLOOKUP(J275, Dropdowns!N:O, 2, FALSE)</f>
        <v>Lower Price</v>
      </c>
      <c r="J275" t="s">
        <v>759</v>
      </c>
      <c r="L275" s="17" t="s">
        <v>733</v>
      </c>
      <c r="M275" s="17" t="s">
        <v>11</v>
      </c>
      <c r="N275" s="17" t="s">
        <v>740</v>
      </c>
    </row>
    <row r="276" spans="1:14" x14ac:dyDescent="0.25">
      <c r="A276" s="10">
        <v>995000</v>
      </c>
      <c r="B276" s="22" t="str">
        <f>IFERROR(VLOOKUP(A276,VLOOKUPS!$A$2:B$12589,2,FALSE),"")</f>
        <v>Spring Mix 5oz-standard</v>
      </c>
      <c r="E276">
        <v>1.19</v>
      </c>
      <c r="F276">
        <v>1.89</v>
      </c>
      <c r="G276" s="13">
        <v>44332</v>
      </c>
      <c r="H276" s="13"/>
      <c r="I276" s="22" t="str">
        <f>VLOOKUP(J276, Dropdowns!N:O, 2, FALSE)</f>
        <v>Standard</v>
      </c>
      <c r="J276" t="s">
        <v>760</v>
      </c>
      <c r="L276" s="17" t="s">
        <v>733</v>
      </c>
      <c r="M276" s="17" t="s">
        <v>11</v>
      </c>
      <c r="N276" s="17" t="s">
        <v>740</v>
      </c>
    </row>
    <row r="277" spans="1:14" x14ac:dyDescent="0.25">
      <c r="A277" s="10">
        <v>995018</v>
      </c>
      <c r="B277" s="22" t="str">
        <f>IFERROR(VLOOKUP(A277,VLOOKUPS!$A$2:B$12589,2,FALSE),"")</f>
        <v>RTE Large Chicken Caesar Salad 13.1oz-standard</v>
      </c>
      <c r="E277">
        <v>4.99</v>
      </c>
      <c r="F277">
        <v>3.99</v>
      </c>
      <c r="G277" s="13">
        <v>44330</v>
      </c>
      <c r="H277" s="13">
        <v>44331</v>
      </c>
      <c r="I277" s="22" t="str">
        <f>VLOOKUP(J277, Dropdowns!N:O, 2, FALSE)</f>
        <v>Lower Price</v>
      </c>
      <c r="J277" t="s">
        <v>759</v>
      </c>
      <c r="L277" s="17" t="s">
        <v>732</v>
      </c>
      <c r="M277" s="17" t="s">
        <v>9</v>
      </c>
      <c r="N277" s="17" t="s">
        <v>736</v>
      </c>
    </row>
    <row r="278" spans="1:14" x14ac:dyDescent="0.25">
      <c r="A278" s="10">
        <v>995018</v>
      </c>
      <c r="B278" s="22" t="str">
        <f>IFERROR(VLOOKUP(A278,VLOOKUPS!$A$2:B$12589,2,FALSE),"")</f>
        <v>RTE Large Chicken Caesar Salad 13.1oz-standard</v>
      </c>
      <c r="E278">
        <v>3.99</v>
      </c>
      <c r="F278">
        <v>4.99</v>
      </c>
      <c r="G278" s="13">
        <v>44332</v>
      </c>
      <c r="H278" s="13"/>
      <c r="I278" s="22" t="str">
        <f>VLOOKUP(J278, Dropdowns!N:O, 2, FALSE)</f>
        <v>Standard</v>
      </c>
      <c r="J278" t="s">
        <v>760</v>
      </c>
      <c r="L278" s="17" t="s">
        <v>732</v>
      </c>
      <c r="M278" s="17" t="s">
        <v>9</v>
      </c>
      <c r="N278" s="17" t="s">
        <v>736</v>
      </c>
    </row>
    <row r="279" spans="1:14" x14ac:dyDescent="0.25">
      <c r="A279" s="10">
        <v>995068</v>
      </c>
      <c r="B279" s="22" t="str">
        <f>IFERROR(VLOOKUP(A279,VLOOKUPS!$A$2:B$12589,2,FALSE),"")</f>
        <v>Organic Half and Half 5oz-standard</v>
      </c>
      <c r="E279">
        <v>1.99</v>
      </c>
      <c r="F279">
        <v>2.4900000000000002</v>
      </c>
      <c r="G279" s="13"/>
      <c r="H279" s="13"/>
      <c r="I279" s="22" t="str">
        <f>VLOOKUP(J279, Dropdowns!N:O, 2, FALSE)</f>
        <v>Standard</v>
      </c>
      <c r="J279" t="s">
        <v>760</v>
      </c>
      <c r="L279" s="17" t="s">
        <v>732</v>
      </c>
      <c r="M279" s="17" t="s">
        <v>736</v>
      </c>
      <c r="N279" s="17" t="s">
        <v>736</v>
      </c>
    </row>
    <row r="280" spans="1:14" x14ac:dyDescent="0.25">
      <c r="A280" s="10">
        <v>982740</v>
      </c>
      <c r="B280" s="22" t="str">
        <f>IFERROR(VLOOKUP(A280,VLOOKUPS!$A$2:B$12589,2,FALSE),"")</f>
        <v>Grapes* Red Seedless 1lb-LOOSE</v>
      </c>
      <c r="E280">
        <v>0.99</v>
      </c>
      <c r="F280">
        <v>1.7</v>
      </c>
      <c r="G280" s="13">
        <v>44330</v>
      </c>
      <c r="H280" s="13"/>
      <c r="I280" s="22" t="str">
        <f>VLOOKUP(J280, Dropdowns!N:O, 2, FALSE)</f>
        <v>Standard</v>
      </c>
      <c r="J280" t="s">
        <v>760</v>
      </c>
      <c r="L280" s="17" t="s">
        <v>732</v>
      </c>
      <c r="M280" s="17" t="s">
        <v>9</v>
      </c>
      <c r="N280" s="17" t="s">
        <v>736</v>
      </c>
    </row>
    <row r="281" spans="1:14" x14ac:dyDescent="0.25">
      <c r="A281" s="10">
        <v>982740</v>
      </c>
      <c r="B281" s="22" t="str">
        <f>IFERROR(VLOOKUP(A281,VLOOKUPS!$A$2:B$12589,2,FALSE),"")</f>
        <v>Grapes* Red Seedless 1lb-LOOSE</v>
      </c>
      <c r="E281">
        <v>1.7</v>
      </c>
      <c r="F281">
        <v>0.99</v>
      </c>
      <c r="G281" s="13">
        <v>44331</v>
      </c>
      <c r="H281" s="13">
        <v>44332</v>
      </c>
      <c r="I281" s="22" t="str">
        <f>VLOOKUP(J281, Dropdowns!N:O, 2, FALSE)</f>
        <v>Lower Price</v>
      </c>
      <c r="J281" t="s">
        <v>753</v>
      </c>
      <c r="L281" s="17" t="s">
        <v>732</v>
      </c>
      <c r="M281" s="17" t="s">
        <v>736</v>
      </c>
      <c r="N281" s="17" t="s">
        <v>736</v>
      </c>
    </row>
    <row r="282" spans="1:14" x14ac:dyDescent="0.25">
      <c r="A282" s="10">
        <v>982650</v>
      </c>
      <c r="B282" s="22" t="str">
        <f>IFERROR(VLOOKUP(A282,VLOOKUPS!$A$2:B$12589,2,FALSE),"")</f>
        <v>Grapes* Green Seedless 1lb-LOOSE</v>
      </c>
      <c r="E282">
        <v>1.49</v>
      </c>
      <c r="F282">
        <v>2.59</v>
      </c>
      <c r="G282" s="13">
        <v>44331</v>
      </c>
      <c r="H282" s="13"/>
      <c r="I282" s="22" t="str">
        <f>VLOOKUP(J282, Dropdowns!N:O, 2, FALSE)</f>
        <v>Standard</v>
      </c>
      <c r="J282" t="s">
        <v>760</v>
      </c>
      <c r="L282" s="17" t="s">
        <v>733</v>
      </c>
      <c r="M282" s="17" t="s">
        <v>11</v>
      </c>
      <c r="N282" s="17" t="s">
        <v>740</v>
      </c>
    </row>
    <row r="283" spans="1:14" x14ac:dyDescent="0.25">
      <c r="A283" s="10">
        <v>984500</v>
      </c>
      <c r="B283" s="22" t="str">
        <f>IFERROR(VLOOKUP(A283,VLOOKUPS!$A$2:B$12589,2,FALSE),"")</f>
        <v>Organic Strawberries 1lb-standard</v>
      </c>
      <c r="E283">
        <v>4.29</v>
      </c>
      <c r="F283">
        <v>3.3</v>
      </c>
      <c r="G283" s="13">
        <v>44334</v>
      </c>
      <c r="H283" s="13"/>
      <c r="I283" s="22" t="str">
        <f>VLOOKUP(J283, Dropdowns!N:O, 2, FALSE)</f>
        <v>Standard</v>
      </c>
      <c r="J283" t="s">
        <v>761</v>
      </c>
      <c r="L283" s="17" t="s">
        <v>732</v>
      </c>
      <c r="M283" s="17" t="s">
        <v>736</v>
      </c>
      <c r="N283" s="17" t="s">
        <v>736</v>
      </c>
    </row>
    <row r="284" spans="1:14" x14ac:dyDescent="0.25">
      <c r="A284" s="10">
        <v>984700</v>
      </c>
      <c r="B284" s="22" t="str">
        <f>IFERROR(VLOOKUP(A284,VLOOKUPS!$A$2:B$12589,2,FALSE),"")</f>
        <v>Blackberries 6oz-standard</v>
      </c>
      <c r="E284">
        <v>2.98</v>
      </c>
      <c r="F284">
        <v>2.64</v>
      </c>
      <c r="G284" s="13">
        <v>44334</v>
      </c>
      <c r="H284" s="13"/>
      <c r="I284" s="22" t="str">
        <f>VLOOKUP(J284, Dropdowns!N:O, 2, FALSE)</f>
        <v>Standard</v>
      </c>
      <c r="J284" t="s">
        <v>761</v>
      </c>
      <c r="L284" s="17" t="s">
        <v>732</v>
      </c>
      <c r="M284" s="17" t="s">
        <v>736</v>
      </c>
      <c r="N284" s="17" t="s">
        <v>736</v>
      </c>
    </row>
    <row r="285" spans="1:14" x14ac:dyDescent="0.25">
      <c r="A285" s="10">
        <v>984542</v>
      </c>
      <c r="B285" s="22" t="str">
        <f>IFERROR(VLOOKUP(A285,VLOOKUPS!$A$2:B$12589,2,FALSE),"")</f>
        <v>Blueberries 18oz-standard</v>
      </c>
      <c r="D285">
        <v>8</v>
      </c>
      <c r="F285">
        <v>4.1900000000000004</v>
      </c>
      <c r="G285" s="13">
        <v>44334</v>
      </c>
      <c r="H285" s="13"/>
      <c r="I285" s="22" t="str">
        <f>VLOOKUP(J285, Dropdowns!N:O, 2, FALSE)</f>
        <v>New</v>
      </c>
      <c r="J285" t="s">
        <v>776</v>
      </c>
      <c r="L285" s="17" t="s">
        <v>732</v>
      </c>
      <c r="M285" s="17" t="s">
        <v>736</v>
      </c>
      <c r="N285" s="17" t="s">
        <v>736</v>
      </c>
    </row>
    <row r="286" spans="1:14" x14ac:dyDescent="0.25">
      <c r="A286" s="10">
        <v>984621</v>
      </c>
      <c r="B286" s="22" t="str">
        <f>IFERROR(VLOOKUP(A286,VLOOKUPS!$A$2:B$12589,2,FALSE),"")</f>
        <v>Raspberries 12oz-standard</v>
      </c>
      <c r="E286">
        <v>5.13</v>
      </c>
      <c r="F286">
        <v>3.99</v>
      </c>
      <c r="G286" s="13">
        <v>44334</v>
      </c>
      <c r="H286" s="13">
        <v>44335</v>
      </c>
      <c r="I286" s="22" t="str">
        <f>VLOOKUP(J286, Dropdowns!N:O, 2, FALSE)</f>
        <v>Lower Price</v>
      </c>
      <c r="J286" t="s">
        <v>759</v>
      </c>
      <c r="L286" s="17" t="s">
        <v>733</v>
      </c>
      <c r="M286" s="17" t="s">
        <v>11</v>
      </c>
      <c r="N286" s="17" t="s">
        <v>740</v>
      </c>
    </row>
    <row r="287" spans="1:14" x14ac:dyDescent="0.25">
      <c r="A287" s="10">
        <v>984621</v>
      </c>
      <c r="B287" s="22" t="str">
        <f>IFERROR(VLOOKUP(A287,VLOOKUPS!$A$2:B$12589,2,FALSE),"")</f>
        <v>Raspberries 12oz-standard</v>
      </c>
      <c r="E287">
        <v>3.99</v>
      </c>
      <c r="F287">
        <v>5.13</v>
      </c>
      <c r="G287" s="13">
        <v>44336</v>
      </c>
      <c r="H287" s="13"/>
      <c r="I287" s="22" t="str">
        <f>VLOOKUP(J287, Dropdowns!N:O, 2, FALSE)</f>
        <v>Standard</v>
      </c>
      <c r="J287" t="s">
        <v>760</v>
      </c>
      <c r="L287" s="17" t="s">
        <v>733</v>
      </c>
      <c r="M287" s="17" t="s">
        <v>11</v>
      </c>
      <c r="N287" s="17" t="s">
        <v>740</v>
      </c>
    </row>
    <row r="288" spans="1:14" x14ac:dyDescent="0.25">
      <c r="A288" s="10">
        <v>988571</v>
      </c>
      <c r="B288" s="22" t="str">
        <f>IFERROR(VLOOKUP(A288,VLOOKUPS!$A$2:B$12589,2,FALSE),"")</f>
        <v>Cauliflower* 1ct-LOOSE</v>
      </c>
      <c r="E288">
        <v>2.77</v>
      </c>
      <c r="F288">
        <v>1.99</v>
      </c>
      <c r="G288" s="13">
        <v>44334</v>
      </c>
      <c r="H288" s="13">
        <v>44335</v>
      </c>
      <c r="I288" s="22" t="str">
        <f>VLOOKUP(J288, Dropdowns!N:O, 2, FALSE)</f>
        <v>Lower Price</v>
      </c>
      <c r="J288" t="s">
        <v>759</v>
      </c>
      <c r="L288" s="17" t="s">
        <v>732</v>
      </c>
      <c r="M288" s="17" t="s">
        <v>9</v>
      </c>
      <c r="N288" s="17" t="s">
        <v>736</v>
      </c>
    </row>
    <row r="289" spans="1:14" x14ac:dyDescent="0.25">
      <c r="A289" s="10">
        <v>988571</v>
      </c>
      <c r="B289" s="22" t="str">
        <f>IFERROR(VLOOKUP(A289,VLOOKUPS!$A$2:B$12589,2,FALSE),"")</f>
        <v>Cauliflower* 1ct-LOOSE</v>
      </c>
      <c r="E289">
        <v>1.99</v>
      </c>
      <c r="F289">
        <v>2.77</v>
      </c>
      <c r="G289" s="13">
        <v>44336</v>
      </c>
      <c r="H289" s="13"/>
      <c r="I289" s="22" t="str">
        <f>VLOOKUP(J289, Dropdowns!N:O, 2, FALSE)</f>
        <v>Standard</v>
      </c>
      <c r="J289" t="s">
        <v>760</v>
      </c>
      <c r="L289" s="17" t="s">
        <v>732</v>
      </c>
      <c r="M289" s="17" t="s">
        <v>9</v>
      </c>
      <c r="N289" s="17" t="s">
        <v>736</v>
      </c>
    </row>
    <row r="290" spans="1:14" x14ac:dyDescent="0.25">
      <c r="A290" s="10">
        <v>995022</v>
      </c>
      <c r="B290" s="22" t="str">
        <f>IFERROR(VLOOKUP(A290,VLOOKUPS!$A$2:B$12589,2,FALSE),"")</f>
        <v>American Blend 12oz-standard</v>
      </c>
      <c r="E290">
        <v>1.99</v>
      </c>
      <c r="F290">
        <v>1.19</v>
      </c>
      <c r="G290" s="13">
        <v>44334</v>
      </c>
      <c r="H290" s="13">
        <v>44335</v>
      </c>
      <c r="I290" s="22" t="str">
        <f>VLOOKUP(J290, Dropdowns!N:O, 2, FALSE)</f>
        <v>Lower Price</v>
      </c>
      <c r="J290" t="s">
        <v>759</v>
      </c>
      <c r="L290" s="17" t="s">
        <v>732</v>
      </c>
      <c r="M290" s="17" t="s">
        <v>736</v>
      </c>
      <c r="N290" s="17" t="s">
        <v>736</v>
      </c>
    </row>
    <row r="291" spans="1:14" x14ac:dyDescent="0.25">
      <c r="A291" s="10">
        <v>995022</v>
      </c>
      <c r="B291" s="22" t="str">
        <f>IFERROR(VLOOKUP(A291,VLOOKUPS!$A$2:B$12589,2,FALSE),"")</f>
        <v>American Blend 12oz-standard</v>
      </c>
      <c r="E291">
        <v>1.19</v>
      </c>
      <c r="F291">
        <v>1.99</v>
      </c>
      <c r="G291" s="13">
        <v>44336</v>
      </c>
      <c r="H291" s="13"/>
      <c r="I291" s="22" t="str">
        <f>VLOOKUP(J291, Dropdowns!N:O, 2, FALSE)</f>
        <v>Standard</v>
      </c>
      <c r="J291" t="s">
        <v>760</v>
      </c>
      <c r="L291" s="17" t="s">
        <v>732</v>
      </c>
      <c r="M291" s="17" t="s">
        <v>736</v>
      </c>
      <c r="N291" s="17" t="s">
        <v>736</v>
      </c>
    </row>
    <row r="292" spans="1:14" x14ac:dyDescent="0.25">
      <c r="A292" s="10">
        <v>995026</v>
      </c>
      <c r="B292" s="22" t="str">
        <f>IFERROR(VLOOKUP(A292,VLOOKUPS!$A$2:B$12589,2,FALSE),"")</f>
        <v>Baby Arugula 5oz-standard</v>
      </c>
      <c r="E292">
        <v>2.19</v>
      </c>
      <c r="F292">
        <v>1.19</v>
      </c>
      <c r="G292" s="13">
        <v>44334</v>
      </c>
      <c r="H292" s="13">
        <v>44335</v>
      </c>
      <c r="I292" s="22" t="str">
        <f>VLOOKUP(J292, Dropdowns!N:O, 2, FALSE)</f>
        <v>Lower Price</v>
      </c>
      <c r="J292" t="s">
        <v>759</v>
      </c>
      <c r="L292" s="17" t="s">
        <v>733</v>
      </c>
      <c r="M292" s="17" t="s">
        <v>11</v>
      </c>
      <c r="N292" s="17" t="s">
        <v>740</v>
      </c>
    </row>
    <row r="293" spans="1:14" x14ac:dyDescent="0.25">
      <c r="A293" s="10">
        <v>995026</v>
      </c>
      <c r="B293" s="22" t="str">
        <f>IFERROR(VLOOKUP(A293,VLOOKUPS!$A$2:B$12589,2,FALSE),"")</f>
        <v>Baby Arugula 5oz-standard</v>
      </c>
      <c r="E293">
        <v>1.19</v>
      </c>
      <c r="F293">
        <v>2.19</v>
      </c>
      <c r="G293" s="13">
        <v>44336</v>
      </c>
      <c r="H293" s="13"/>
      <c r="I293" s="22" t="str">
        <f>VLOOKUP(J293, Dropdowns!N:O, 2, FALSE)</f>
        <v>Standard</v>
      </c>
      <c r="J293" t="s">
        <v>760</v>
      </c>
      <c r="L293" s="17" t="s">
        <v>733</v>
      </c>
      <c r="M293" s="17" t="s">
        <v>11</v>
      </c>
      <c r="N293" s="17" t="s">
        <v>740</v>
      </c>
    </row>
    <row r="294" spans="1:14" x14ac:dyDescent="0.25">
      <c r="A294" s="10">
        <v>995074</v>
      </c>
      <c r="B294" s="22" t="str">
        <f>IFERROR(VLOOKUP(A294,VLOOKUPS!$A$2:B$12589,2,FALSE),"")</f>
        <v>Southwest Chopped Salad Kit 12oz-standard</v>
      </c>
      <c r="E294">
        <v>2.99</v>
      </c>
      <c r="F294">
        <v>1.99</v>
      </c>
      <c r="G294" s="13">
        <v>44334</v>
      </c>
      <c r="H294" s="13">
        <v>44335</v>
      </c>
      <c r="I294" s="22" t="str">
        <f>VLOOKUP(J294, Dropdowns!N:O, 2, FALSE)</f>
        <v>Lower Price</v>
      </c>
      <c r="J294" t="s">
        <v>759</v>
      </c>
      <c r="L294" s="17" t="s">
        <v>732</v>
      </c>
      <c r="M294" s="17" t="s">
        <v>735</v>
      </c>
      <c r="N294" s="17" t="s">
        <v>736</v>
      </c>
    </row>
    <row r="295" spans="1:14" x14ac:dyDescent="0.25">
      <c r="A295" s="10">
        <v>995074</v>
      </c>
      <c r="B295" s="22" t="str">
        <f>IFERROR(VLOOKUP(A295,VLOOKUPS!$A$2:B$12589,2,FALSE),"")</f>
        <v>Southwest Chopped Salad Kit 12oz-standard</v>
      </c>
      <c r="E295">
        <v>1.99</v>
      </c>
      <c r="F295">
        <v>2.99</v>
      </c>
      <c r="G295" s="13">
        <v>44336</v>
      </c>
      <c r="H295" s="13"/>
      <c r="I295" s="22" t="str">
        <f>VLOOKUP(J295, Dropdowns!N:O, 2, FALSE)</f>
        <v>Standard</v>
      </c>
      <c r="J295" t="s">
        <v>760</v>
      </c>
      <c r="L295" s="17" t="s">
        <v>732</v>
      </c>
      <c r="M295" s="17" t="s">
        <v>735</v>
      </c>
      <c r="N295" s="17" t="s">
        <v>736</v>
      </c>
    </row>
    <row r="296" spans="1:14" x14ac:dyDescent="0.25">
      <c r="A296" s="10">
        <v>995101</v>
      </c>
      <c r="B296" s="22" t="str">
        <f>IFERROR(VLOOKUP(A296,VLOOKUPS!$A$2:B$12589,2,FALSE),"")</f>
        <v>Avocado Ranch Salad Kit 11.3oz-standard</v>
      </c>
      <c r="E296">
        <v>2.9</v>
      </c>
      <c r="F296">
        <v>2.4</v>
      </c>
      <c r="G296" s="13">
        <v>44334</v>
      </c>
      <c r="H296" s="13">
        <v>44335</v>
      </c>
      <c r="I296" s="22" t="str">
        <f>VLOOKUP(J296, Dropdowns!N:O, 2, FALSE)</f>
        <v>Lower Price</v>
      </c>
      <c r="J296" t="s">
        <v>759</v>
      </c>
      <c r="L296" s="17" t="s">
        <v>732</v>
      </c>
      <c r="M296" s="17" t="s">
        <v>10</v>
      </c>
      <c r="N296" s="17">
        <v>2</v>
      </c>
    </row>
    <row r="297" spans="1:14" x14ac:dyDescent="0.25">
      <c r="A297" s="10">
        <v>995101</v>
      </c>
      <c r="B297" s="22" t="str">
        <f>IFERROR(VLOOKUP(A297,VLOOKUPS!$A$2:B$12589,2,FALSE),"")</f>
        <v>Avocado Ranch Salad Kit 11.3oz-standard</v>
      </c>
      <c r="E297">
        <v>2.4</v>
      </c>
      <c r="F297">
        <v>2.9</v>
      </c>
      <c r="G297" s="13">
        <v>44336</v>
      </c>
      <c r="H297" s="13"/>
      <c r="I297" s="22" t="str">
        <f>VLOOKUP(J297, Dropdowns!N:O, 2, FALSE)</f>
        <v>Standard</v>
      </c>
      <c r="J297" t="s">
        <v>760</v>
      </c>
      <c r="L297" s="17" t="s">
        <v>732</v>
      </c>
      <c r="M297" s="17" t="s">
        <v>10</v>
      </c>
      <c r="N297" s="17">
        <v>2</v>
      </c>
    </row>
    <row r="298" spans="1:14" x14ac:dyDescent="0.25">
      <c r="A298" s="10">
        <v>995023</v>
      </c>
      <c r="B298" s="22" t="str">
        <f>IFERROR(VLOOKUP(A298,VLOOKUPS!$A$2:B$12589,2,FALSE),"")</f>
        <v>Hearts of Romaine 9oz-standard</v>
      </c>
      <c r="E298">
        <v>0.99</v>
      </c>
      <c r="F298">
        <v>2.4500000000000002</v>
      </c>
      <c r="G298" s="13">
        <v>44334</v>
      </c>
      <c r="H298" s="13"/>
      <c r="I298" s="22" t="str">
        <f>VLOOKUP(J298, Dropdowns!N:O, 2, FALSE)</f>
        <v>Standard</v>
      </c>
      <c r="J298" t="s">
        <v>760</v>
      </c>
      <c r="L298" s="17" t="s">
        <v>733</v>
      </c>
      <c r="M298" s="17" t="s">
        <v>11</v>
      </c>
      <c r="N298" s="17" t="s">
        <v>740</v>
      </c>
    </row>
    <row r="299" spans="1:14" x14ac:dyDescent="0.25">
      <c r="A299" s="10">
        <v>983251</v>
      </c>
      <c r="B299" s="22" t="str">
        <f>IFERROR(VLOOKUP(A299,VLOOKUPS!$A$2:B$12589,2,FALSE),"")</f>
        <v>Watermelons Large Seedless 1ct-LOOSE</v>
      </c>
      <c r="E299">
        <v>6.89</v>
      </c>
      <c r="F299">
        <v>5.98</v>
      </c>
      <c r="G299" s="13">
        <v>44334</v>
      </c>
      <c r="H299" s="13"/>
      <c r="I299" s="22" t="str">
        <f>VLOOKUP(J299, Dropdowns!N:O, 2, FALSE)</f>
        <v>Standard</v>
      </c>
      <c r="J299" t="s">
        <v>761</v>
      </c>
      <c r="L299" s="17" t="s">
        <v>732</v>
      </c>
      <c r="M299" s="17" t="s">
        <v>736</v>
      </c>
      <c r="N299" s="17" t="s">
        <v>736</v>
      </c>
    </row>
    <row r="300" spans="1:14" x14ac:dyDescent="0.25">
      <c r="A300" s="10">
        <v>982740</v>
      </c>
      <c r="B300" s="22" t="str">
        <f>IFERROR(VLOOKUP(A300,VLOOKUPS!$A$2:B$12589,2,FALSE),"")</f>
        <v>Grapes* Red Seedless 1lb-LOOSE</v>
      </c>
      <c r="E300">
        <v>1.7</v>
      </c>
      <c r="F300">
        <v>0.99</v>
      </c>
      <c r="G300" s="13">
        <v>44334</v>
      </c>
      <c r="H300" s="13">
        <v>44334</v>
      </c>
      <c r="I300" s="22" t="str">
        <f>VLOOKUP(J300, Dropdowns!N:O, 2, FALSE)</f>
        <v>Lower Price</v>
      </c>
      <c r="J300" t="s">
        <v>759</v>
      </c>
      <c r="L300" s="17" t="s">
        <v>732</v>
      </c>
      <c r="M300" s="17" t="s">
        <v>735</v>
      </c>
      <c r="N300" s="17" t="s">
        <v>736</v>
      </c>
    </row>
    <row r="301" spans="1:14" x14ac:dyDescent="0.25">
      <c r="A301" s="10">
        <v>982830</v>
      </c>
      <c r="B301" s="22" t="str">
        <f>IFERROR(VLOOKUP(A301,VLOOKUPS!$A$2:B$12589,2,FALSE),"")</f>
        <v>Grapes* Black Seedless 1lb-LOOSE</v>
      </c>
      <c r="E301">
        <v>1.59</v>
      </c>
      <c r="F301">
        <v>0.99</v>
      </c>
      <c r="G301" s="13">
        <v>44334</v>
      </c>
      <c r="H301" s="13">
        <v>44335</v>
      </c>
      <c r="I301" s="22" t="str">
        <f>VLOOKUP(J301, Dropdowns!N:O, 2, FALSE)</f>
        <v>Lower Price</v>
      </c>
      <c r="J301" t="s">
        <v>759</v>
      </c>
      <c r="L301" s="17" t="s">
        <v>733</v>
      </c>
      <c r="M301" s="17" t="s">
        <v>11</v>
      </c>
      <c r="N301" s="17" t="s">
        <v>740</v>
      </c>
    </row>
    <row r="302" spans="1:14" x14ac:dyDescent="0.25">
      <c r="A302" s="10">
        <v>984701</v>
      </c>
      <c r="B302" s="22" t="str">
        <f>IFERROR(VLOOKUP(A302,VLOOKUPS!$A$2:B$12589,2,FALSE),"")</f>
        <v>Blackberries Super Sweet 6oz-standard</v>
      </c>
      <c r="E302">
        <v>3.49</v>
      </c>
      <c r="F302">
        <v>2.4900000000000002</v>
      </c>
      <c r="G302" s="13">
        <v>44335</v>
      </c>
      <c r="H302" s="13">
        <v>44335</v>
      </c>
      <c r="I302" s="22" t="str">
        <f>VLOOKUP(J302, Dropdowns!N:O, 2, FALSE)</f>
        <v>Lower Price</v>
      </c>
      <c r="J302" t="s">
        <v>759</v>
      </c>
      <c r="L302" s="17" t="s">
        <v>732</v>
      </c>
      <c r="M302" s="17" t="s">
        <v>9</v>
      </c>
      <c r="N302" s="17" t="s">
        <v>736</v>
      </c>
    </row>
    <row r="303" spans="1:14" x14ac:dyDescent="0.25">
      <c r="A303" s="10">
        <v>984701</v>
      </c>
      <c r="B303" s="22" t="str">
        <f>IFERROR(VLOOKUP(A303,VLOOKUPS!$A$2:B$12589,2,FALSE),"")</f>
        <v>Blackberries Super Sweet 6oz-standard</v>
      </c>
      <c r="E303">
        <v>2.4900000000000002</v>
      </c>
      <c r="F303">
        <v>3.49</v>
      </c>
      <c r="G303" s="13">
        <v>44336</v>
      </c>
      <c r="H303" s="13"/>
      <c r="I303" s="22" t="str">
        <f>VLOOKUP(J303, Dropdowns!N:O, 2, FALSE)</f>
        <v>Standard</v>
      </c>
      <c r="J303" t="s">
        <v>760</v>
      </c>
      <c r="L303" s="17" t="s">
        <v>732</v>
      </c>
      <c r="M303" s="17" t="s">
        <v>9</v>
      </c>
      <c r="N303" s="17" t="s">
        <v>736</v>
      </c>
    </row>
    <row r="304" spans="1:14" x14ac:dyDescent="0.25">
      <c r="A304" s="10">
        <v>985011</v>
      </c>
      <c r="B304" s="22" t="str">
        <f>IFERROR(VLOOKUP(A304,VLOOKUPS!$A$2:B$12589,2,FALSE),"")</f>
        <v>Lettuce Butter 1ct-standard</v>
      </c>
      <c r="E304">
        <v>1.99</v>
      </c>
      <c r="F304">
        <v>1.19</v>
      </c>
      <c r="G304" s="13">
        <v>44335</v>
      </c>
      <c r="H304" s="13">
        <v>44336</v>
      </c>
      <c r="I304" s="22" t="str">
        <f>VLOOKUP(J304, Dropdowns!N:O, 2, FALSE)</f>
        <v>Lower Price</v>
      </c>
      <c r="J304" t="s">
        <v>759</v>
      </c>
      <c r="L304" s="17" t="s">
        <v>733</v>
      </c>
      <c r="M304" s="17" t="s">
        <v>11</v>
      </c>
      <c r="N304" s="17" t="s">
        <v>740</v>
      </c>
    </row>
    <row r="305" spans="1:14" x14ac:dyDescent="0.25">
      <c r="A305" s="10">
        <v>985011</v>
      </c>
      <c r="B305" s="22" t="str">
        <f>IFERROR(VLOOKUP(A305,VLOOKUPS!$A$2:B$12589,2,FALSE),"")</f>
        <v>Lettuce Butter 1ct-standard</v>
      </c>
      <c r="E305">
        <v>1.19</v>
      </c>
      <c r="F305">
        <v>1.99</v>
      </c>
      <c r="G305" s="13">
        <v>44337</v>
      </c>
      <c r="H305" s="13"/>
      <c r="I305" s="22" t="str">
        <f>VLOOKUP(J305, Dropdowns!N:O, 2, FALSE)</f>
        <v>Standard</v>
      </c>
      <c r="J305" t="s">
        <v>760</v>
      </c>
      <c r="L305" s="17" t="s">
        <v>733</v>
      </c>
      <c r="M305" s="17" t="s">
        <v>11</v>
      </c>
      <c r="N305" s="17" t="s">
        <v>740</v>
      </c>
    </row>
    <row r="306" spans="1:14" x14ac:dyDescent="0.25">
      <c r="A306" s="10">
        <v>995006</v>
      </c>
      <c r="B306" s="22" t="str">
        <f>IFERROR(VLOOKUP(A306,VLOOKUPS!$A$2:B$12589,2,FALSE),"")</f>
        <v>Italian Salad 9oz-standard</v>
      </c>
      <c r="E306">
        <v>1.99</v>
      </c>
      <c r="F306">
        <v>0.99</v>
      </c>
      <c r="G306" s="13">
        <v>44335</v>
      </c>
      <c r="H306" s="13">
        <v>44336</v>
      </c>
      <c r="I306" s="22" t="str">
        <f>VLOOKUP(J306, Dropdowns!N:O, 2, FALSE)</f>
        <v>Lower Price</v>
      </c>
      <c r="J306" t="s">
        <v>759</v>
      </c>
      <c r="L306" s="17" t="s">
        <v>732</v>
      </c>
      <c r="M306" s="17" t="s">
        <v>10</v>
      </c>
      <c r="N306" s="17">
        <v>2</v>
      </c>
    </row>
    <row r="307" spans="1:14" x14ac:dyDescent="0.25">
      <c r="A307" s="10">
        <v>995006</v>
      </c>
      <c r="B307" s="22" t="str">
        <f>IFERROR(VLOOKUP(A307,VLOOKUPS!$A$2:B$12589,2,FALSE),"")</f>
        <v>Italian Salad 9oz-standard</v>
      </c>
      <c r="E307">
        <v>0.99</v>
      </c>
      <c r="F307">
        <v>1.99</v>
      </c>
      <c r="G307" s="13">
        <v>44337</v>
      </c>
      <c r="H307" s="13"/>
      <c r="I307" s="22" t="str">
        <f>VLOOKUP(J307, Dropdowns!N:O, 2, FALSE)</f>
        <v>Standard</v>
      </c>
      <c r="J307" t="s">
        <v>760</v>
      </c>
      <c r="L307" s="17" t="s">
        <v>732</v>
      </c>
      <c r="M307" s="17" t="s">
        <v>10</v>
      </c>
      <c r="N307" s="17">
        <v>2</v>
      </c>
    </row>
    <row r="308" spans="1:14" x14ac:dyDescent="0.25">
      <c r="A308" s="10">
        <v>995008</v>
      </c>
      <c r="B308" s="22" t="str">
        <f>IFERROR(VLOOKUP(A308,VLOOKUPS!$A$2:B$12589,2,FALSE),"")</f>
        <v>Shredded Lettuce 8oz-standard</v>
      </c>
      <c r="E308">
        <v>1.49</v>
      </c>
      <c r="F308">
        <v>0.89</v>
      </c>
      <c r="G308" s="13">
        <v>44335</v>
      </c>
      <c r="H308" s="13">
        <v>44336</v>
      </c>
      <c r="I308" s="22" t="str">
        <f>VLOOKUP(J308, Dropdowns!N:O, 2, FALSE)</f>
        <v>Lower Price</v>
      </c>
      <c r="J308" t="s">
        <v>759</v>
      </c>
      <c r="L308" s="17" t="s">
        <v>733</v>
      </c>
      <c r="M308" s="17" t="s">
        <v>736</v>
      </c>
      <c r="N308" s="17" t="s">
        <v>740</v>
      </c>
    </row>
    <row r="309" spans="1:14" x14ac:dyDescent="0.25">
      <c r="A309" s="10">
        <v>995008</v>
      </c>
      <c r="B309" s="22" t="str">
        <f>IFERROR(VLOOKUP(A309,VLOOKUPS!$A$2:B$12589,2,FALSE),"")</f>
        <v>Shredded Lettuce 8oz-standard</v>
      </c>
      <c r="E309">
        <v>1.69</v>
      </c>
      <c r="F309">
        <v>1.19</v>
      </c>
      <c r="G309" s="13">
        <v>44335</v>
      </c>
      <c r="H309" s="13">
        <v>44336</v>
      </c>
      <c r="I309" s="22" t="str">
        <f>VLOOKUP(J309, Dropdowns!N:O, 2, FALSE)</f>
        <v>Lower Price</v>
      </c>
      <c r="J309" t="s">
        <v>759</v>
      </c>
      <c r="L309" s="17" t="s">
        <v>734</v>
      </c>
      <c r="M309" s="17" t="s">
        <v>735</v>
      </c>
      <c r="N309" s="17" t="s">
        <v>736</v>
      </c>
    </row>
    <row r="310" spans="1:14" x14ac:dyDescent="0.25">
      <c r="A310" s="10">
        <v>995008</v>
      </c>
      <c r="B310" s="22" t="str">
        <f>IFERROR(VLOOKUP(A310,VLOOKUPS!$A$2:B$12589,2,FALSE),"")</f>
        <v>Shredded Lettuce 8oz-standard</v>
      </c>
      <c r="E310">
        <v>0.89</v>
      </c>
      <c r="F310">
        <v>1.49</v>
      </c>
      <c r="G310" s="13">
        <v>44337</v>
      </c>
      <c r="H310" s="13"/>
      <c r="I310" s="22" t="str">
        <f>VLOOKUP(J310, Dropdowns!N:O, 2, FALSE)</f>
        <v>Standard</v>
      </c>
      <c r="J310" t="s">
        <v>760</v>
      </c>
      <c r="L310" s="17" t="s">
        <v>733</v>
      </c>
      <c r="M310" s="17" t="s">
        <v>736</v>
      </c>
      <c r="N310" s="17" t="s">
        <v>740</v>
      </c>
    </row>
    <row r="311" spans="1:14" x14ac:dyDescent="0.25">
      <c r="A311" s="10">
        <v>995008</v>
      </c>
      <c r="B311" s="22" t="str">
        <f>IFERROR(VLOOKUP(A311,VLOOKUPS!$A$2:B$12589,2,FALSE),"")</f>
        <v>Shredded Lettuce 8oz-standard</v>
      </c>
      <c r="E311">
        <v>1.19</v>
      </c>
      <c r="F311">
        <v>1.69</v>
      </c>
      <c r="G311" s="13">
        <v>44337</v>
      </c>
      <c r="H311" s="13"/>
      <c r="I311" s="22" t="str">
        <f>VLOOKUP(J311, Dropdowns!N:O, 2, FALSE)</f>
        <v>Standard</v>
      </c>
      <c r="J311" t="s">
        <v>760</v>
      </c>
      <c r="L311" s="17" t="s">
        <v>734</v>
      </c>
      <c r="M311" s="17" t="s">
        <v>735</v>
      </c>
      <c r="N311" s="17" t="s">
        <v>736</v>
      </c>
    </row>
    <row r="312" spans="1:14" x14ac:dyDescent="0.25">
      <c r="A312" s="10">
        <v>995023</v>
      </c>
      <c r="B312" s="22" t="str">
        <f>IFERROR(VLOOKUP(A312,VLOOKUPS!$A$2:B$12589,2,FALSE),"")</f>
        <v>Hearts of Romaine 9oz-standard</v>
      </c>
      <c r="G312" s="13">
        <v>44335</v>
      </c>
      <c r="H312" s="13"/>
      <c r="I312" s="22" t="str">
        <f>VLOOKUP(J312, Dropdowns!N:O, 2, FALSE)</f>
        <v>NA</v>
      </c>
      <c r="J312" t="s">
        <v>754</v>
      </c>
      <c r="L312" s="17" t="s">
        <v>732</v>
      </c>
      <c r="M312" s="17" t="s">
        <v>736</v>
      </c>
      <c r="N312" s="17" t="s">
        <v>736</v>
      </c>
    </row>
    <row r="313" spans="1:14" x14ac:dyDescent="0.25">
      <c r="A313" s="10">
        <v>995032</v>
      </c>
      <c r="B313" s="22" t="str">
        <f>IFERROR(VLOOKUP(A313,VLOOKUPS!$A$2:B$12589,2,FALSE),"")</f>
        <v>Chopped Sunflower Crunch Kit 12.2oz-standard</v>
      </c>
      <c r="E313">
        <v>2.99</v>
      </c>
      <c r="F313">
        <v>1.99</v>
      </c>
      <c r="G313" s="13">
        <v>44335</v>
      </c>
      <c r="H313" s="13">
        <v>44336</v>
      </c>
      <c r="I313" s="22" t="str">
        <f>VLOOKUP(J313, Dropdowns!N:O, 2, FALSE)</f>
        <v>Lower Price</v>
      </c>
      <c r="J313" t="s">
        <v>759</v>
      </c>
      <c r="L313" s="17" t="s">
        <v>732</v>
      </c>
      <c r="M313" s="17" t="s">
        <v>737</v>
      </c>
      <c r="N313" s="17" t="s">
        <v>736</v>
      </c>
    </row>
    <row r="314" spans="1:14" x14ac:dyDescent="0.25">
      <c r="A314" s="10">
        <v>995032</v>
      </c>
      <c r="B314" s="22" t="str">
        <f>IFERROR(VLOOKUP(A314,VLOOKUPS!$A$2:B$12589,2,FALSE),"")</f>
        <v>Chopped Sunflower Crunch Kit 12.2oz-standard</v>
      </c>
      <c r="E314">
        <v>1.99</v>
      </c>
      <c r="F314">
        <v>2.99</v>
      </c>
      <c r="G314" s="13">
        <v>44337</v>
      </c>
      <c r="H314" s="13"/>
      <c r="I314" s="22" t="str">
        <f>VLOOKUP(J314, Dropdowns!N:O, 2, FALSE)</f>
        <v>Standard</v>
      </c>
      <c r="J314" t="s">
        <v>760</v>
      </c>
      <c r="L314" s="17" t="s">
        <v>732</v>
      </c>
      <c r="M314" s="17" t="s">
        <v>737</v>
      </c>
      <c r="N314" s="17" t="s">
        <v>736</v>
      </c>
    </row>
    <row r="315" spans="1:14" x14ac:dyDescent="0.25">
      <c r="A315" s="10">
        <v>995084</v>
      </c>
      <c r="B315" s="22" t="str">
        <f>IFERROR(VLOOKUP(A315,VLOOKUPS!$A$2:B$12589,2,FALSE),"")</f>
        <v>Eat Smart Green Beans 12oz-standard</v>
      </c>
      <c r="G315" s="13">
        <v>44335</v>
      </c>
      <c r="H315" s="13">
        <v>44341</v>
      </c>
      <c r="I315" s="22" t="str">
        <f>VLOOKUP(J315, Dropdowns!N:O, 2, FALSE)</f>
        <v>Lower Price</v>
      </c>
      <c r="J315" t="s">
        <v>753</v>
      </c>
      <c r="L315" s="17" t="s">
        <v>732</v>
      </c>
      <c r="M315" s="17" t="s">
        <v>736</v>
      </c>
      <c r="N315" s="17" t="s">
        <v>736</v>
      </c>
    </row>
    <row r="316" spans="1:14" x14ac:dyDescent="0.25">
      <c r="A316" s="10">
        <v>995004</v>
      </c>
      <c r="B316" s="22" t="str">
        <f>IFERROR(VLOOKUP(A316,VLOOKUPS!$A$2:B$12589,2,FALSE),"")</f>
        <v>Chicken Caesar Salad 6.25oz-standard</v>
      </c>
      <c r="G316" s="13">
        <v>44335</v>
      </c>
      <c r="H316" s="13">
        <v>44341</v>
      </c>
      <c r="I316" s="22" t="str">
        <f>VLOOKUP(J316, Dropdowns!N:O, 2, FALSE)</f>
        <v>Lower Price</v>
      </c>
      <c r="J316" t="s">
        <v>753</v>
      </c>
      <c r="L316" s="17" t="s">
        <v>732</v>
      </c>
      <c r="M316" s="17" t="s">
        <v>736</v>
      </c>
      <c r="N316" s="17" t="s">
        <v>736</v>
      </c>
    </row>
    <row r="317" spans="1:14" x14ac:dyDescent="0.25">
      <c r="A317" s="10">
        <v>995019</v>
      </c>
      <c r="B317" s="22" t="str">
        <f>IFERROR(VLOOKUP(A317,VLOOKUPS!$A$2:B$12589,2,FALSE),"")</f>
        <v>RTE Large Santa Fe Salad 14oz-standard</v>
      </c>
      <c r="G317" s="13">
        <v>44335</v>
      </c>
      <c r="H317" s="13">
        <v>44341</v>
      </c>
      <c r="I317" s="22" t="str">
        <f>VLOOKUP(J317, Dropdowns!N:O, 2, FALSE)</f>
        <v>Lower Price</v>
      </c>
      <c r="J317" t="s">
        <v>753</v>
      </c>
      <c r="L317" s="17" t="s">
        <v>732</v>
      </c>
      <c r="M317" s="17" t="s">
        <v>736</v>
      </c>
      <c r="N317" s="17" t="s">
        <v>736</v>
      </c>
    </row>
    <row r="318" spans="1:14" x14ac:dyDescent="0.25">
      <c r="A318" s="10">
        <v>995041</v>
      </c>
      <c r="B318" s="22" t="str">
        <f>IFERROR(VLOOKUP(A318,VLOOKUPS!$A$2:B$12589,2,FALSE),"")</f>
        <v>Pineapple Spears 16oz-standard</v>
      </c>
      <c r="G318" s="13">
        <v>44335</v>
      </c>
      <c r="H318" s="13">
        <v>44341</v>
      </c>
      <c r="I318" s="22" t="str">
        <f>VLOOKUP(J318, Dropdowns!N:O, 2, FALSE)</f>
        <v>Lower Price</v>
      </c>
      <c r="J318" t="s">
        <v>753</v>
      </c>
      <c r="L318" s="17" t="s">
        <v>732</v>
      </c>
      <c r="M318" s="17" t="s">
        <v>736</v>
      </c>
      <c r="N318" s="17" t="s">
        <v>736</v>
      </c>
    </row>
    <row r="319" spans="1:14" x14ac:dyDescent="0.25">
      <c r="A319" s="10">
        <v>988620</v>
      </c>
      <c r="B319" s="22" t="str">
        <f>IFERROR(VLOOKUP(A319,VLOOKUPS!$A$2:B$12589,2,FALSE),"")</f>
        <v>Brussels Sprouts 1lb-standard</v>
      </c>
      <c r="E319">
        <v>1.49</v>
      </c>
      <c r="F319">
        <v>2.89</v>
      </c>
      <c r="G319" s="13">
        <v>44335</v>
      </c>
      <c r="H319" s="13"/>
      <c r="I319" s="22" t="str">
        <f>VLOOKUP(J319, Dropdowns!N:O, 2, FALSE)</f>
        <v>Standard</v>
      </c>
      <c r="J319" t="s">
        <v>760</v>
      </c>
      <c r="L319" s="17" t="s">
        <v>732</v>
      </c>
      <c r="M319" s="17" t="s">
        <v>10</v>
      </c>
      <c r="N319" s="17">
        <v>2</v>
      </c>
    </row>
    <row r="320" spans="1:14" x14ac:dyDescent="0.25">
      <c r="A320" s="10">
        <v>988620</v>
      </c>
      <c r="B320" s="22" t="str">
        <f>IFERROR(VLOOKUP(A320,VLOOKUPS!$A$2:B$12589,2,FALSE),"")</f>
        <v>Brussels Sprouts 1lb-standard</v>
      </c>
      <c r="G320" s="13">
        <v>44335</v>
      </c>
      <c r="H320" s="13">
        <v>44335</v>
      </c>
      <c r="I320" s="22" t="str">
        <f>VLOOKUP(J320, Dropdowns!N:O, 2, FALSE)</f>
        <v>Lower Price</v>
      </c>
      <c r="J320" t="s">
        <v>762</v>
      </c>
      <c r="L320" s="17" t="s">
        <v>732</v>
      </c>
      <c r="M320" s="17" t="s">
        <v>737</v>
      </c>
      <c r="N320" s="17" t="s">
        <v>736</v>
      </c>
    </row>
    <row r="321" spans="1:14" x14ac:dyDescent="0.25">
      <c r="A321" s="10">
        <v>986250</v>
      </c>
      <c r="B321" s="22" t="str">
        <f>IFERROR(VLOOKUP(A321,VLOOKUPS!$A$2:B$12589,2,FALSE),"")</f>
        <v>French Beans 1lb-standard</v>
      </c>
      <c r="E321">
        <v>2.89</v>
      </c>
      <c r="F321">
        <v>2.99</v>
      </c>
      <c r="G321" s="13">
        <v>44335</v>
      </c>
      <c r="H321" s="13"/>
      <c r="I321" s="22" t="str">
        <f>VLOOKUP(J321, Dropdowns!N:O, 2, FALSE)</f>
        <v>Standard</v>
      </c>
      <c r="J321" t="s">
        <v>760</v>
      </c>
      <c r="L321" s="17" t="s">
        <v>732</v>
      </c>
      <c r="M321" s="17" t="s">
        <v>736</v>
      </c>
      <c r="N321" s="17" t="s">
        <v>736</v>
      </c>
    </row>
    <row r="322" spans="1:14" x14ac:dyDescent="0.25">
      <c r="A322" s="10">
        <v>985111</v>
      </c>
      <c r="B322" s="22" t="str">
        <f>IFERROR(VLOOKUP(A322,VLOOKUPS!$A$2:B$12589,2,FALSE),"")</f>
        <v>Lettuce Mixed 1ct-standard</v>
      </c>
      <c r="E322">
        <v>1.59</v>
      </c>
      <c r="F322">
        <v>2.29</v>
      </c>
      <c r="G322" s="13">
        <v>44335</v>
      </c>
      <c r="H322" s="13"/>
      <c r="I322" s="22" t="str">
        <f>VLOOKUP(J322, Dropdowns!N:O, 2, FALSE)</f>
        <v>Standard</v>
      </c>
      <c r="J322" t="s">
        <v>760</v>
      </c>
      <c r="L322" s="17" t="s">
        <v>733</v>
      </c>
      <c r="M322" s="17" t="s">
        <v>11</v>
      </c>
      <c r="N322" s="17" t="s">
        <v>740</v>
      </c>
    </row>
    <row r="323" spans="1:14" x14ac:dyDescent="0.25">
      <c r="A323" s="10">
        <v>985111</v>
      </c>
      <c r="B323" s="22" t="str">
        <f>IFERROR(VLOOKUP(A323,VLOOKUPS!$A$2:B$12589,2,FALSE),"")</f>
        <v>Lettuce Mixed 1ct-standard</v>
      </c>
      <c r="G323" s="13">
        <v>44335</v>
      </c>
      <c r="H323" s="13">
        <v>44335</v>
      </c>
      <c r="I323" s="22" t="str">
        <f>VLOOKUP(J323, Dropdowns!N:O, 2, FALSE)</f>
        <v>Lower Price</v>
      </c>
      <c r="J323" t="s">
        <v>762</v>
      </c>
      <c r="L323" s="17" t="s">
        <v>732</v>
      </c>
      <c r="M323" s="17" t="s">
        <v>735</v>
      </c>
      <c r="N323" s="17" t="s">
        <v>736</v>
      </c>
    </row>
    <row r="324" spans="1:14" x14ac:dyDescent="0.25">
      <c r="A324" s="10">
        <v>995021</v>
      </c>
      <c r="B324" s="22" t="str">
        <f>IFERROR(VLOOKUP(A324,VLOOKUPS!$A$2:B$12589,2,FALSE),"")</f>
        <v>Chopped Bacon Caesar Kit 10.2oz-standard</v>
      </c>
      <c r="G324" s="13">
        <v>44335</v>
      </c>
      <c r="H324" s="13">
        <v>44335</v>
      </c>
      <c r="I324" s="22" t="str">
        <f>VLOOKUP(J324, Dropdowns!N:O, 2, FALSE)</f>
        <v>Lower Price</v>
      </c>
      <c r="J324" t="s">
        <v>762</v>
      </c>
      <c r="L324" s="17" t="s">
        <v>732</v>
      </c>
      <c r="M324" s="17" t="s">
        <v>736</v>
      </c>
      <c r="N324" s="17" t="s">
        <v>736</v>
      </c>
    </row>
    <row r="325" spans="1:14" x14ac:dyDescent="0.25">
      <c r="A325" s="10">
        <v>995042</v>
      </c>
      <c r="B325" s="22" t="str">
        <f>IFERROR(VLOOKUP(A325,VLOOKUPS!$A$2:B$12589,2,FALSE),"")</f>
        <v>Mango Chunks 16oz-standard</v>
      </c>
      <c r="E325">
        <v>3.49</v>
      </c>
      <c r="F325">
        <v>3.99</v>
      </c>
      <c r="G325" s="13">
        <v>44335</v>
      </c>
      <c r="H325" s="13"/>
      <c r="I325" s="22" t="str">
        <f>VLOOKUP(J325, Dropdowns!N:O, 2, FALSE)</f>
        <v>Standard</v>
      </c>
      <c r="J325" t="s">
        <v>760</v>
      </c>
      <c r="L325" s="17" t="s">
        <v>732</v>
      </c>
      <c r="M325" s="17" t="s">
        <v>735</v>
      </c>
      <c r="N325" s="17" t="s">
        <v>736</v>
      </c>
    </row>
    <row r="326" spans="1:14" x14ac:dyDescent="0.25">
      <c r="A326" s="10">
        <v>995042</v>
      </c>
      <c r="B326" s="22" t="str">
        <f>IFERROR(VLOOKUP(A326,VLOOKUPS!$A$2:B$12589,2,FALSE),"")</f>
        <v>Mango Chunks 16oz-standard</v>
      </c>
      <c r="G326" s="13">
        <v>44335</v>
      </c>
      <c r="H326" s="13">
        <v>44335</v>
      </c>
      <c r="I326" s="22" t="str">
        <f>VLOOKUP(J326, Dropdowns!N:O, 2, FALSE)</f>
        <v>Lower Price</v>
      </c>
      <c r="J326" t="s">
        <v>762</v>
      </c>
      <c r="L326" s="17" t="s">
        <v>733</v>
      </c>
      <c r="M326" s="17" t="s">
        <v>11</v>
      </c>
      <c r="N326" s="17" t="s">
        <v>740</v>
      </c>
    </row>
    <row r="327" spans="1:14" x14ac:dyDescent="0.25">
      <c r="A327" s="10">
        <v>995067</v>
      </c>
      <c r="B327" s="22" t="str">
        <f>IFERROR(VLOOKUP(A327,VLOOKUPS!$A$2:B$12589,2,FALSE),"")</f>
        <v>Organic Baby Arugula 5oz-standard</v>
      </c>
      <c r="E327">
        <v>1.99</v>
      </c>
      <c r="F327">
        <v>2.56</v>
      </c>
      <c r="G327" s="13">
        <v>44335</v>
      </c>
      <c r="H327" s="13"/>
      <c r="I327" s="22" t="str">
        <f>VLOOKUP(J327, Dropdowns!N:O, 2, FALSE)</f>
        <v>Standard</v>
      </c>
      <c r="J327" t="s">
        <v>760</v>
      </c>
      <c r="L327" s="17" t="s">
        <v>732</v>
      </c>
      <c r="M327" s="17" t="s">
        <v>736</v>
      </c>
      <c r="N327" s="17">
        <v>8</v>
      </c>
    </row>
    <row r="328" spans="1:14" x14ac:dyDescent="0.25">
      <c r="A328" s="10">
        <v>995067</v>
      </c>
      <c r="B328" s="22" t="str">
        <f>IFERROR(VLOOKUP(A328,VLOOKUPS!$A$2:B$12589,2,FALSE),"")</f>
        <v>Organic Baby Arugula 5oz-standard</v>
      </c>
      <c r="E328">
        <v>2.4900000000000002</v>
      </c>
      <c r="F328">
        <v>3.26</v>
      </c>
      <c r="G328" s="13">
        <v>44335</v>
      </c>
      <c r="H328" s="13"/>
      <c r="I328" s="22" t="str">
        <f>VLOOKUP(J328, Dropdowns!N:O, 2, FALSE)</f>
        <v>Standard</v>
      </c>
      <c r="J328" t="s">
        <v>760</v>
      </c>
      <c r="L328" s="17" t="s">
        <v>732</v>
      </c>
      <c r="M328" s="17" t="s">
        <v>736</v>
      </c>
      <c r="N328" s="17" t="s">
        <v>741</v>
      </c>
    </row>
    <row r="329" spans="1:14" x14ac:dyDescent="0.25">
      <c r="A329" s="10">
        <v>995085</v>
      </c>
      <c r="B329" s="22" t="str">
        <f>IFERROR(VLOOKUP(A329,VLOOKUPS!$A$2:B$12589,2,FALSE),"")</f>
        <v>Sugar Snap Peas 8oz-standard</v>
      </c>
      <c r="E329">
        <v>1.99</v>
      </c>
      <c r="F329">
        <v>2.39</v>
      </c>
      <c r="G329" s="13">
        <v>44335</v>
      </c>
      <c r="H329" s="13"/>
      <c r="I329" s="22" t="str">
        <f>VLOOKUP(J329, Dropdowns!N:O, 2, FALSE)</f>
        <v>Standard</v>
      </c>
      <c r="J329" t="s">
        <v>760</v>
      </c>
      <c r="L329" s="17" t="s">
        <v>732</v>
      </c>
      <c r="M329" s="17" t="s">
        <v>736</v>
      </c>
      <c r="N329" s="17">
        <v>8</v>
      </c>
    </row>
    <row r="330" spans="1:14" x14ac:dyDescent="0.25">
      <c r="A330" s="10">
        <v>995085</v>
      </c>
      <c r="B330" s="22" t="str">
        <f>IFERROR(VLOOKUP(A330,VLOOKUPS!$A$2:B$12589,2,FALSE),"")</f>
        <v>Sugar Snap Peas 8oz-standard</v>
      </c>
      <c r="E330">
        <v>1.99</v>
      </c>
      <c r="F330">
        <v>2.59</v>
      </c>
      <c r="G330" s="13">
        <v>44335</v>
      </c>
      <c r="H330" s="13"/>
      <c r="I330" s="22" t="str">
        <f>VLOOKUP(J330, Dropdowns!N:O, 2, FALSE)</f>
        <v>Standard</v>
      </c>
      <c r="J330" t="s">
        <v>760</v>
      </c>
      <c r="L330" s="17" t="s">
        <v>732</v>
      </c>
      <c r="M330" s="17" t="s">
        <v>736</v>
      </c>
      <c r="N330" s="17" t="s">
        <v>741</v>
      </c>
    </row>
    <row r="331" spans="1:14" x14ac:dyDescent="0.25">
      <c r="A331" s="10">
        <v>982740</v>
      </c>
      <c r="B331" s="22" t="str">
        <f>IFERROR(VLOOKUP(A331,VLOOKUPS!$A$2:B$12589,2,FALSE),"")</f>
        <v>Grapes* Red Seedless 1lb-LOOSE</v>
      </c>
      <c r="E331">
        <v>0.99</v>
      </c>
      <c r="F331">
        <v>1.7</v>
      </c>
      <c r="G331" s="13">
        <v>44335</v>
      </c>
      <c r="H331" s="13"/>
      <c r="I331" s="22" t="str">
        <f>VLOOKUP(J331, Dropdowns!N:O, 2, FALSE)</f>
        <v>Standard</v>
      </c>
      <c r="J331" t="s">
        <v>760</v>
      </c>
      <c r="L331" s="17" t="s">
        <v>732</v>
      </c>
      <c r="M331" s="17" t="s">
        <v>10</v>
      </c>
      <c r="N331" s="17">
        <v>2</v>
      </c>
    </row>
    <row r="332" spans="1:14" x14ac:dyDescent="0.25">
      <c r="A332" s="10">
        <v>982740</v>
      </c>
      <c r="B332" s="22" t="str">
        <f>IFERROR(VLOOKUP(A332,VLOOKUPS!$A$2:B$12589,2,FALSE),"")</f>
        <v>Grapes* Red Seedless 1lb-LOOSE</v>
      </c>
      <c r="E332">
        <v>1.7</v>
      </c>
      <c r="F332">
        <v>0.99</v>
      </c>
      <c r="G332" s="13">
        <v>44335</v>
      </c>
      <c r="H332" s="13">
        <v>44335</v>
      </c>
      <c r="I332" s="22" t="str">
        <f>VLOOKUP(J332, Dropdowns!N:O, 2, FALSE)</f>
        <v>Lower Price</v>
      </c>
      <c r="J332" t="s">
        <v>759</v>
      </c>
      <c r="L332" s="17" t="s">
        <v>732</v>
      </c>
      <c r="M332" s="17" t="s">
        <v>9</v>
      </c>
      <c r="N332" s="17" t="s">
        <v>736</v>
      </c>
    </row>
    <row r="333" spans="1:14" x14ac:dyDescent="0.25">
      <c r="A333" s="10">
        <v>982740</v>
      </c>
      <c r="B333" s="22" t="str">
        <f>IFERROR(VLOOKUP(A333,VLOOKUPS!$A$2:B$12589,2,FALSE),"")</f>
        <v>Grapes* Red Seedless 1lb-LOOSE</v>
      </c>
      <c r="E333">
        <v>0.99</v>
      </c>
      <c r="F333">
        <v>1.7</v>
      </c>
      <c r="G333" s="13">
        <v>44336</v>
      </c>
      <c r="H333" s="13"/>
      <c r="I333" s="22" t="str">
        <f>VLOOKUP(J333, Dropdowns!N:O, 2, FALSE)</f>
        <v>Standard</v>
      </c>
      <c r="J333" t="s">
        <v>760</v>
      </c>
      <c r="L333" s="17" t="s">
        <v>732</v>
      </c>
      <c r="M333" s="17" t="s">
        <v>9</v>
      </c>
      <c r="N333" s="17" t="s">
        <v>736</v>
      </c>
    </row>
    <row r="334" spans="1:14" x14ac:dyDescent="0.25">
      <c r="A334" s="10">
        <v>984621</v>
      </c>
      <c r="B334" s="22" t="str">
        <f>IFERROR(VLOOKUP(A334,VLOOKUPS!$A$2:B$12589,2,FALSE),"")</f>
        <v>Raspberries 12oz-standard</v>
      </c>
      <c r="E334">
        <v>5.13</v>
      </c>
      <c r="F334">
        <v>3.99</v>
      </c>
      <c r="G334" s="13">
        <v>44336</v>
      </c>
      <c r="H334" s="13">
        <v>44336</v>
      </c>
      <c r="I334" s="22" t="str">
        <f>VLOOKUP(J334, Dropdowns!N:O, 2, FALSE)</f>
        <v>Lower Price</v>
      </c>
      <c r="J334" t="s">
        <v>759</v>
      </c>
      <c r="L334" s="17" t="s">
        <v>732</v>
      </c>
      <c r="M334" s="17" t="s">
        <v>735</v>
      </c>
      <c r="N334" s="17" t="s">
        <v>736</v>
      </c>
    </row>
    <row r="335" spans="1:14" x14ac:dyDescent="0.25">
      <c r="A335" s="10">
        <v>984621</v>
      </c>
      <c r="B335" s="22" t="str">
        <f>IFERROR(VLOOKUP(A335,VLOOKUPS!$A$2:B$12589,2,FALSE),"")</f>
        <v>Raspberries 12oz-standard</v>
      </c>
      <c r="E335">
        <v>3.99</v>
      </c>
      <c r="F335">
        <v>5.13</v>
      </c>
      <c r="G335" s="13">
        <v>44337</v>
      </c>
      <c r="H335" s="13"/>
      <c r="I335" s="22" t="str">
        <f>VLOOKUP(J335, Dropdowns!N:O, 2, FALSE)</f>
        <v>Standard</v>
      </c>
      <c r="J335" t="s">
        <v>760</v>
      </c>
      <c r="L335" s="17" t="s">
        <v>732</v>
      </c>
      <c r="M335" s="17" t="s">
        <v>735</v>
      </c>
      <c r="N335" s="17" t="s">
        <v>736</v>
      </c>
    </row>
    <row r="336" spans="1:14" x14ac:dyDescent="0.25">
      <c r="A336" s="10">
        <v>995002</v>
      </c>
      <c r="B336" s="22" t="str">
        <f>IFERROR(VLOOKUP(A336,VLOOKUPS!$A$2:B$12589,2,FALSE),"")</f>
        <v>Butter Blend 6oz-standard</v>
      </c>
      <c r="E336">
        <v>1.89</v>
      </c>
      <c r="F336">
        <v>0.99</v>
      </c>
      <c r="G336" s="13">
        <v>44336</v>
      </c>
      <c r="H336" s="13">
        <v>44337</v>
      </c>
      <c r="I336" s="22" t="str">
        <f>VLOOKUP(J336, Dropdowns!N:O, 2, FALSE)</f>
        <v>Lower Price</v>
      </c>
      <c r="J336" t="s">
        <v>759</v>
      </c>
      <c r="L336" s="17" t="s">
        <v>733</v>
      </c>
      <c r="M336" s="17" t="s">
        <v>10</v>
      </c>
      <c r="N336" s="17" t="s">
        <v>740</v>
      </c>
    </row>
    <row r="337" spans="1:14" x14ac:dyDescent="0.25">
      <c r="A337" s="10">
        <v>995002</v>
      </c>
      <c r="B337" s="22" t="str">
        <f>IFERROR(VLOOKUP(A337,VLOOKUPS!$A$2:B$12589,2,FALSE),"")</f>
        <v>Butter Blend 6oz-standard</v>
      </c>
      <c r="E337">
        <v>0.99</v>
      </c>
      <c r="F337">
        <v>1.89</v>
      </c>
      <c r="G337" s="13">
        <v>44338</v>
      </c>
      <c r="H337" s="13"/>
      <c r="I337" s="22" t="str">
        <f>VLOOKUP(J337, Dropdowns!N:O, 2, FALSE)</f>
        <v>Standard</v>
      </c>
      <c r="J337" t="s">
        <v>760</v>
      </c>
      <c r="L337" s="17" t="s">
        <v>733</v>
      </c>
      <c r="M337" s="17" t="s">
        <v>10</v>
      </c>
      <c r="N337" s="17" t="s">
        <v>740</v>
      </c>
    </row>
    <row r="338" spans="1:14" x14ac:dyDescent="0.25">
      <c r="A338" s="10">
        <v>995024</v>
      </c>
      <c r="B338" s="22" t="str">
        <f>IFERROR(VLOOKUP(A338,VLOOKUPS!$A$2:B$12589,2,FALSE),"")</f>
        <v>XL Spring Mix 16oz-standard</v>
      </c>
      <c r="E338">
        <v>4.1900000000000004</v>
      </c>
      <c r="F338">
        <v>3.19</v>
      </c>
      <c r="G338" s="13">
        <v>44336</v>
      </c>
      <c r="H338" s="13">
        <v>44337</v>
      </c>
      <c r="I338" s="22" t="str">
        <f>VLOOKUP(J338, Dropdowns!N:O, 2, FALSE)</f>
        <v>Lower Price</v>
      </c>
      <c r="J338" t="s">
        <v>759</v>
      </c>
      <c r="L338" s="17" t="s">
        <v>732</v>
      </c>
      <c r="M338" s="17" t="s">
        <v>736</v>
      </c>
      <c r="N338" s="17" t="s">
        <v>736</v>
      </c>
    </row>
    <row r="339" spans="1:14" x14ac:dyDescent="0.25">
      <c r="A339" s="10">
        <v>995024</v>
      </c>
      <c r="B339" s="22" t="str">
        <f>IFERROR(VLOOKUP(A339,VLOOKUPS!$A$2:B$12589,2,FALSE),"")</f>
        <v>XL Spring Mix 16oz-standard</v>
      </c>
      <c r="E339">
        <v>3.19</v>
      </c>
      <c r="F339">
        <v>4.1900000000000004</v>
      </c>
      <c r="G339" s="13">
        <v>44338</v>
      </c>
      <c r="H339" s="13"/>
      <c r="I339" s="22" t="str">
        <f>VLOOKUP(J339, Dropdowns!N:O, 2, FALSE)</f>
        <v>Standard</v>
      </c>
      <c r="J339" t="s">
        <v>760</v>
      </c>
      <c r="L339" s="17" t="s">
        <v>732</v>
      </c>
      <c r="M339" s="17" t="s">
        <v>736</v>
      </c>
      <c r="N339" s="17" t="s">
        <v>736</v>
      </c>
    </row>
    <row r="340" spans="1:14" x14ac:dyDescent="0.25">
      <c r="A340" s="10">
        <v>995025</v>
      </c>
      <c r="B340" s="22" t="str">
        <f>IFERROR(VLOOKUP(A340,VLOOKUPS!$A$2:B$12589,2,FALSE),"")</f>
        <v>XL Half and Half Mix 16oz-standard</v>
      </c>
      <c r="E340">
        <v>4.99</v>
      </c>
      <c r="F340">
        <v>3.99</v>
      </c>
      <c r="G340" s="13">
        <v>44336</v>
      </c>
      <c r="H340" s="13">
        <v>44337</v>
      </c>
      <c r="I340" s="22" t="str">
        <f>VLOOKUP(J340, Dropdowns!N:O, 2, FALSE)</f>
        <v>Lower Price</v>
      </c>
      <c r="J340" t="s">
        <v>759</v>
      </c>
      <c r="L340" s="17" t="s">
        <v>732</v>
      </c>
      <c r="M340" s="17" t="s">
        <v>736</v>
      </c>
      <c r="N340" s="17" t="s">
        <v>736</v>
      </c>
    </row>
    <row r="341" spans="1:14" x14ac:dyDescent="0.25">
      <c r="A341" s="10">
        <v>995025</v>
      </c>
      <c r="B341" s="22" t="str">
        <f>IFERROR(VLOOKUP(A341,VLOOKUPS!$A$2:B$12589,2,FALSE),"")</f>
        <v>XL Half and Half Mix 16oz-standard</v>
      </c>
      <c r="E341">
        <v>3.99</v>
      </c>
      <c r="F341">
        <v>4.99</v>
      </c>
      <c r="G341" s="13">
        <v>44338</v>
      </c>
      <c r="H341" s="13"/>
      <c r="I341" s="22" t="str">
        <f>VLOOKUP(J341, Dropdowns!N:O, 2, FALSE)</f>
        <v>Standard</v>
      </c>
      <c r="J341" t="s">
        <v>760</v>
      </c>
      <c r="L341" s="17" t="s">
        <v>732</v>
      </c>
      <c r="M341" s="17" t="s">
        <v>736</v>
      </c>
      <c r="N341" s="17" t="s">
        <v>736</v>
      </c>
    </row>
    <row r="342" spans="1:14" x14ac:dyDescent="0.25">
      <c r="A342" s="10">
        <v>995045</v>
      </c>
      <c r="B342" s="22" t="str">
        <f>IFERROR(VLOOKUP(A342,VLOOKUPS!$A$2:B$12589,2,FALSE),"")</f>
        <v>Fajita Blend 12oz-standard</v>
      </c>
      <c r="G342" s="13">
        <v>44336</v>
      </c>
      <c r="H342" s="13"/>
      <c r="I342" s="22" t="str">
        <f>VLOOKUP(J342, Dropdowns!N:O, 2, FALSE)</f>
        <v>NA</v>
      </c>
      <c r="J342" t="s">
        <v>754</v>
      </c>
      <c r="L342" s="17" t="s">
        <v>732</v>
      </c>
      <c r="M342" s="17" t="s">
        <v>736</v>
      </c>
      <c r="N342" s="17" t="s">
        <v>736</v>
      </c>
    </row>
    <row r="343" spans="1:14" x14ac:dyDescent="0.25">
      <c r="A343" s="10">
        <v>995046</v>
      </c>
      <c r="B343" s="22" t="str">
        <f>IFERROR(VLOOKUP(A343,VLOOKUPS!$A$2:B$12589,2,FALSE),"")</f>
        <v>Diced Onion 8oz-standard</v>
      </c>
      <c r="G343" s="13">
        <v>44336</v>
      </c>
      <c r="H343" s="13"/>
      <c r="I343" s="22" t="str">
        <f>VLOOKUP(J343, Dropdowns!N:O, 2, FALSE)</f>
        <v>NA</v>
      </c>
      <c r="J343" t="s">
        <v>754</v>
      </c>
      <c r="L343" s="17" t="s">
        <v>732</v>
      </c>
      <c r="M343" s="17" t="s">
        <v>736</v>
      </c>
      <c r="N343" s="17" t="s">
        <v>736</v>
      </c>
    </row>
    <row r="344" spans="1:14" x14ac:dyDescent="0.25">
      <c r="A344" s="10">
        <v>995067</v>
      </c>
      <c r="B344" s="22" t="str">
        <f>IFERROR(VLOOKUP(A344,VLOOKUPS!$A$2:B$12589,2,FALSE),"")</f>
        <v>Organic Baby Arugula 5oz-standard</v>
      </c>
      <c r="E344">
        <v>3.26</v>
      </c>
      <c r="F344">
        <v>2.56</v>
      </c>
      <c r="G344" s="13">
        <v>44336</v>
      </c>
      <c r="H344" s="13"/>
      <c r="I344" s="22" t="str">
        <f>VLOOKUP(J344, Dropdowns!N:O, 2, FALSE)</f>
        <v>Standard</v>
      </c>
      <c r="J344" t="s">
        <v>761</v>
      </c>
      <c r="L344" s="17" t="s">
        <v>733</v>
      </c>
      <c r="M344" s="17" t="s">
        <v>736</v>
      </c>
      <c r="N344" s="17" t="s">
        <v>740</v>
      </c>
    </row>
    <row r="345" spans="1:14" x14ac:dyDescent="0.25">
      <c r="A345" s="10">
        <v>995085</v>
      </c>
      <c r="B345" s="22" t="str">
        <f>IFERROR(VLOOKUP(A345,VLOOKUPS!$A$2:B$12589,2,FALSE),"")</f>
        <v>Sugar Snap Peas 8oz-standard</v>
      </c>
      <c r="E345">
        <v>2.59</v>
      </c>
      <c r="F345">
        <v>2.39</v>
      </c>
      <c r="G345" s="13">
        <v>44336</v>
      </c>
      <c r="H345" s="13"/>
      <c r="I345" s="22" t="str">
        <f>VLOOKUP(J345, Dropdowns!N:O, 2, FALSE)</f>
        <v>Standard</v>
      </c>
      <c r="J345" t="s">
        <v>761</v>
      </c>
      <c r="L345" s="17" t="s">
        <v>733</v>
      </c>
      <c r="M345" s="17" t="s">
        <v>736</v>
      </c>
      <c r="N345" s="17" t="s">
        <v>740</v>
      </c>
    </row>
    <row r="346" spans="1:14" x14ac:dyDescent="0.25">
      <c r="A346" s="10">
        <v>995127</v>
      </c>
      <c r="B346" s="22" t="str">
        <f>IFERROR(VLOOKUP(A346,VLOOKUPS!$A$2:B$12589,2,FALSE),"")</f>
        <v>Coin Squash Mix 12oz-standard</v>
      </c>
      <c r="G346" s="13">
        <v>44336</v>
      </c>
      <c r="H346" s="13"/>
      <c r="I346" s="22" t="str">
        <f>VLOOKUP(J346, Dropdowns!N:O, 2, FALSE)</f>
        <v>NA</v>
      </c>
      <c r="J346" t="s">
        <v>754</v>
      </c>
      <c r="L346" s="17" t="s">
        <v>733</v>
      </c>
      <c r="M346" s="17" t="s">
        <v>736</v>
      </c>
      <c r="N346" s="17" t="s">
        <v>740</v>
      </c>
    </row>
    <row r="347" spans="1:14" x14ac:dyDescent="0.25">
      <c r="A347" s="10">
        <v>988620</v>
      </c>
      <c r="B347" s="22" t="str">
        <f>IFERROR(VLOOKUP(A347,VLOOKUPS!$A$2:B$12589,2,FALSE),"")</f>
        <v>Brussels Sprouts 1lb-standard</v>
      </c>
      <c r="E347">
        <v>1.49</v>
      </c>
      <c r="F347">
        <v>2.89</v>
      </c>
      <c r="G347" s="13">
        <v>44336</v>
      </c>
      <c r="H347" s="13"/>
      <c r="I347" s="22" t="str">
        <f>VLOOKUP(J347, Dropdowns!N:O, 2, FALSE)</f>
        <v>Standard</v>
      </c>
      <c r="J347" t="s">
        <v>760</v>
      </c>
      <c r="L347" s="17" t="s">
        <v>732</v>
      </c>
      <c r="M347" s="17" t="s">
        <v>9</v>
      </c>
      <c r="N347" s="17" t="s">
        <v>736</v>
      </c>
    </row>
    <row r="348" spans="1:14" x14ac:dyDescent="0.25">
      <c r="A348" s="10">
        <v>988620</v>
      </c>
      <c r="B348" s="22" t="str">
        <f>IFERROR(VLOOKUP(A348,VLOOKUPS!$A$2:B$12589,2,FALSE),"")</f>
        <v>Brussels Sprouts 1lb-standard</v>
      </c>
      <c r="G348" s="13">
        <v>44336</v>
      </c>
      <c r="H348" s="13">
        <v>44336</v>
      </c>
      <c r="I348" s="22" t="str">
        <f>VLOOKUP(J348, Dropdowns!N:O, 2, FALSE)</f>
        <v>Lower Price</v>
      </c>
      <c r="J348" t="s">
        <v>762</v>
      </c>
      <c r="L348" s="17" t="s">
        <v>733</v>
      </c>
      <c r="M348" s="17" t="s">
        <v>11</v>
      </c>
      <c r="N348" s="17" t="s">
        <v>740</v>
      </c>
    </row>
    <row r="349" spans="1:14" x14ac:dyDescent="0.25">
      <c r="A349" s="10">
        <v>985111</v>
      </c>
      <c r="B349" s="22" t="str">
        <f>IFERROR(VLOOKUP(A349,VLOOKUPS!$A$2:B$12589,2,FALSE),"")</f>
        <v>Lettuce Mixed 1ct-standard</v>
      </c>
      <c r="E349">
        <v>1.59</v>
      </c>
      <c r="F349">
        <v>2.29</v>
      </c>
      <c r="G349" s="13">
        <v>44336</v>
      </c>
      <c r="H349" s="13"/>
      <c r="I349" s="22" t="str">
        <f>VLOOKUP(J349, Dropdowns!N:O, 2, FALSE)</f>
        <v>Standard</v>
      </c>
      <c r="J349" t="s">
        <v>760</v>
      </c>
      <c r="L349" s="17" t="s">
        <v>732</v>
      </c>
      <c r="M349" s="17" t="s">
        <v>735</v>
      </c>
      <c r="N349" s="17" t="s">
        <v>736</v>
      </c>
    </row>
    <row r="350" spans="1:14" x14ac:dyDescent="0.25">
      <c r="A350" s="10">
        <v>995021</v>
      </c>
      <c r="B350" s="22" t="str">
        <f>IFERROR(VLOOKUP(A350,VLOOKUPS!$A$2:B$12589,2,FALSE),"")</f>
        <v>Chopped Bacon Caesar Kit 10.2oz-standard</v>
      </c>
      <c r="E350">
        <v>2.39</v>
      </c>
      <c r="F350">
        <v>2.99</v>
      </c>
      <c r="G350" s="13">
        <v>44336</v>
      </c>
      <c r="H350" s="13"/>
      <c r="I350" s="22" t="str">
        <f>VLOOKUP(J350, Dropdowns!N:O, 2, FALSE)</f>
        <v>Standard</v>
      </c>
      <c r="J350" t="s">
        <v>760</v>
      </c>
      <c r="L350" s="17" t="s">
        <v>732</v>
      </c>
      <c r="M350" s="17" t="s">
        <v>736</v>
      </c>
      <c r="N350" s="17" t="s">
        <v>736</v>
      </c>
    </row>
    <row r="351" spans="1:14" x14ac:dyDescent="0.25">
      <c r="A351" s="10">
        <v>995042</v>
      </c>
      <c r="B351" s="22" t="str">
        <f>IFERROR(VLOOKUP(A351,VLOOKUPS!$A$2:B$12589,2,FALSE),"")</f>
        <v>Mango Chunks 16oz-standard</v>
      </c>
      <c r="E351">
        <v>3.49</v>
      </c>
      <c r="F351">
        <v>3.99</v>
      </c>
      <c r="G351" s="13">
        <v>44336</v>
      </c>
      <c r="H351" s="13"/>
      <c r="I351" s="22" t="str">
        <f>VLOOKUP(J351, Dropdowns!N:O, 2, FALSE)</f>
        <v>Standard</v>
      </c>
      <c r="J351" t="s">
        <v>760</v>
      </c>
      <c r="L351" s="17" t="s">
        <v>733</v>
      </c>
      <c r="M351" s="17" t="s">
        <v>11</v>
      </c>
      <c r="N351" s="17" t="s">
        <v>740</v>
      </c>
    </row>
    <row r="352" spans="1:14" x14ac:dyDescent="0.25">
      <c r="A352" s="10">
        <v>982830</v>
      </c>
      <c r="B352" s="22" t="str">
        <f>IFERROR(VLOOKUP(A352,VLOOKUPS!$A$2:B$12589,2,FALSE),"")</f>
        <v>Grapes* Black Seedless 1lb-LOOSE</v>
      </c>
      <c r="E352">
        <v>0.99</v>
      </c>
      <c r="F352">
        <v>1.59</v>
      </c>
      <c r="G352" s="13">
        <v>44336</v>
      </c>
      <c r="H352" s="13"/>
      <c r="I352" s="22" t="str">
        <f>VLOOKUP(J352, Dropdowns!N:O, 2, FALSE)</f>
        <v>Standard</v>
      </c>
      <c r="J352" t="s">
        <v>760</v>
      </c>
      <c r="L352" s="17" t="s">
        <v>733</v>
      </c>
      <c r="M352" s="17" t="s">
        <v>11</v>
      </c>
      <c r="N352" s="17" t="s">
        <v>740</v>
      </c>
    </row>
    <row r="353" spans="1:16" x14ac:dyDescent="0.25">
      <c r="A353" s="10">
        <v>995071</v>
      </c>
      <c r="B353" s="22" t="str">
        <f>IFERROR(VLOOKUP(A353,VLOOKUPS!$A$2:B$12589,2,FALSE),"")</f>
        <v>Broccoli Florets 12oz-standard</v>
      </c>
      <c r="E353">
        <v>2.4900000000000002</v>
      </c>
      <c r="F353">
        <v>2.69</v>
      </c>
      <c r="G353" s="13">
        <v>44337</v>
      </c>
      <c r="H353" s="13"/>
      <c r="I353" s="22" t="str">
        <f>VLOOKUP(J353, Dropdowns!N:O, 2, FALSE)</f>
        <v>Standard</v>
      </c>
      <c r="J353" t="s">
        <v>761</v>
      </c>
      <c r="L353" s="17" t="s">
        <v>732</v>
      </c>
      <c r="M353" s="17" t="s">
        <v>736</v>
      </c>
      <c r="N353" s="17" t="s">
        <v>736</v>
      </c>
    </row>
    <row r="354" spans="1:16" x14ac:dyDescent="0.25">
      <c r="A354" s="10">
        <v>995022</v>
      </c>
      <c r="B354" s="22" t="str">
        <f>IFERROR(VLOOKUP(A354,VLOOKUPS!$A$2:B$12589,2,FALSE),"")</f>
        <v>American Blend 12oz-standard</v>
      </c>
      <c r="E354">
        <v>1.99</v>
      </c>
      <c r="F354">
        <v>0.99</v>
      </c>
      <c r="G354" s="13">
        <v>44337</v>
      </c>
      <c r="H354" s="13">
        <v>44338</v>
      </c>
      <c r="I354" s="22" t="str">
        <f>VLOOKUP(J354, Dropdowns!N:O, 2, FALSE)</f>
        <v>Lower Price</v>
      </c>
      <c r="J354" t="s">
        <v>759</v>
      </c>
      <c r="L354" s="17" t="s">
        <v>733</v>
      </c>
      <c r="M354" s="17" t="s">
        <v>11</v>
      </c>
      <c r="N354" s="17" t="s">
        <v>740</v>
      </c>
    </row>
    <row r="355" spans="1:16" x14ac:dyDescent="0.25">
      <c r="A355" s="10">
        <v>995022</v>
      </c>
      <c r="B355" s="22" t="str">
        <f>IFERROR(VLOOKUP(A355,VLOOKUPS!$A$2:B$12589,2,FALSE),"")</f>
        <v>American Blend 12oz-standard</v>
      </c>
      <c r="E355">
        <v>0.99</v>
      </c>
      <c r="F355">
        <v>1.99</v>
      </c>
      <c r="G355" s="13">
        <v>44339</v>
      </c>
      <c r="H355" s="13"/>
      <c r="I355" s="22" t="str">
        <f>VLOOKUP(J355, Dropdowns!N:O, 2, FALSE)</f>
        <v>Standard</v>
      </c>
      <c r="J355" t="s">
        <v>760</v>
      </c>
      <c r="L355" s="17" t="s">
        <v>733</v>
      </c>
      <c r="M355" s="17" t="s">
        <v>11</v>
      </c>
      <c r="N355" s="17" t="s">
        <v>740</v>
      </c>
    </row>
    <row r="356" spans="1:16" x14ac:dyDescent="0.25">
      <c r="A356" s="10">
        <v>995097</v>
      </c>
      <c r="B356" s="22" t="str">
        <f>IFERROR(VLOOKUP(A356,VLOOKUPS!$A$2:B$12589,2,FALSE),"")</f>
        <v>Butternut Diced 12oz-standard</v>
      </c>
      <c r="E356">
        <v>2.4900000000000002</v>
      </c>
      <c r="F356">
        <v>1.49</v>
      </c>
      <c r="G356" s="13">
        <v>44337</v>
      </c>
      <c r="H356" s="13">
        <v>44338</v>
      </c>
      <c r="I356" s="22" t="str">
        <f>VLOOKUP(J356, Dropdowns!N:O, 2, FALSE)</f>
        <v>Lower Price</v>
      </c>
      <c r="J356" t="s">
        <v>759</v>
      </c>
      <c r="L356" s="17" t="s">
        <v>733</v>
      </c>
      <c r="M356" s="17" t="s">
        <v>11</v>
      </c>
      <c r="N356" s="17" t="s">
        <v>740</v>
      </c>
    </row>
    <row r="357" spans="1:16" x14ac:dyDescent="0.25">
      <c r="A357" s="10">
        <v>995097</v>
      </c>
      <c r="B357" s="22" t="str">
        <f>IFERROR(VLOOKUP(A357,VLOOKUPS!$A$2:B$12589,2,FALSE),"")</f>
        <v>Butternut Diced 12oz-standard</v>
      </c>
      <c r="E357">
        <v>1.49</v>
      </c>
      <c r="F357">
        <v>2.4900000000000002</v>
      </c>
      <c r="G357" s="13">
        <v>44339</v>
      </c>
      <c r="H357" s="13"/>
      <c r="I357" s="22" t="str">
        <f>VLOOKUP(J357, Dropdowns!N:O, 2, FALSE)</f>
        <v>Standard</v>
      </c>
      <c r="J357" t="s">
        <v>760</v>
      </c>
      <c r="L357" s="17" t="s">
        <v>733</v>
      </c>
      <c r="M357" s="17" t="s">
        <v>11</v>
      </c>
      <c r="N357" s="17" t="s">
        <v>740</v>
      </c>
    </row>
    <row r="358" spans="1:16" x14ac:dyDescent="0.25">
      <c r="A358" s="10">
        <v>988620</v>
      </c>
      <c r="B358" s="22" t="str">
        <f>IFERROR(VLOOKUP(A358,VLOOKUPS!$A$2:B$12589,2,FALSE),"")</f>
        <v>Brussels Sprouts 1lb-standard</v>
      </c>
      <c r="E358">
        <v>1.49</v>
      </c>
      <c r="F358">
        <v>2.89</v>
      </c>
      <c r="G358" s="13">
        <v>44337</v>
      </c>
      <c r="H358" s="13"/>
      <c r="I358" s="22" t="str">
        <f>VLOOKUP(J358, Dropdowns!N:O, 2, FALSE)</f>
        <v>Standard</v>
      </c>
      <c r="J358" t="s">
        <v>760</v>
      </c>
      <c r="L358" s="17" t="s">
        <v>733</v>
      </c>
      <c r="M358" s="17" t="s">
        <v>11</v>
      </c>
      <c r="N358" s="17" t="s">
        <v>740</v>
      </c>
    </row>
    <row r="359" spans="1:16" x14ac:dyDescent="0.25">
      <c r="A359" s="10">
        <v>984460</v>
      </c>
      <c r="B359" s="22" t="str">
        <f>IFERROR(VLOOKUP(A359,VLOOKUPS!$A$2:B$12589,2,FALSE),"")</f>
        <v>Strawberries 1lb-standard</v>
      </c>
      <c r="E359">
        <v>2.2799999999999998</v>
      </c>
      <c r="F359">
        <v>1.85</v>
      </c>
      <c r="G359" s="13">
        <v>44338</v>
      </c>
      <c r="H359" s="13">
        <v>44339</v>
      </c>
      <c r="I359" s="22" t="str">
        <f>VLOOKUP(J359, Dropdowns!N:O, 2, FALSE)</f>
        <v>Lower Price</v>
      </c>
      <c r="J359" t="s">
        <v>753</v>
      </c>
      <c r="L359" s="17" t="s">
        <v>732</v>
      </c>
      <c r="M359" s="17" t="s">
        <v>736</v>
      </c>
      <c r="N359" s="17" t="s">
        <v>736</v>
      </c>
    </row>
    <row r="360" spans="1:16" x14ac:dyDescent="0.25">
      <c r="A360" s="10">
        <v>984460</v>
      </c>
      <c r="B360" s="22" t="str">
        <f>IFERROR(VLOOKUP(A360,VLOOKUPS!$A$2:B$12589,2,FALSE),"")</f>
        <v>Strawberries 1lb-standard</v>
      </c>
      <c r="E360">
        <v>1.85</v>
      </c>
      <c r="F360">
        <v>2.2799999999999998</v>
      </c>
      <c r="G360" s="13">
        <v>44340</v>
      </c>
      <c r="H360" s="13"/>
      <c r="I360" s="22" t="str">
        <f>VLOOKUP(J360, Dropdowns!N:O, 2, FALSE)</f>
        <v>Standard</v>
      </c>
      <c r="J360" t="s">
        <v>760</v>
      </c>
      <c r="L360" s="17" t="s">
        <v>732</v>
      </c>
      <c r="M360" s="17" t="s">
        <v>736</v>
      </c>
      <c r="N360" s="17" t="s">
        <v>736</v>
      </c>
    </row>
    <row r="361" spans="1:16" x14ac:dyDescent="0.25">
      <c r="A361" s="10">
        <v>984620</v>
      </c>
      <c r="B361" s="22" t="str">
        <f>IFERROR(VLOOKUP(A361,VLOOKUPS!$A$2:B$12589,2,FALSE),"")</f>
        <v>Raspberries 6oz-standard</v>
      </c>
      <c r="E361">
        <v>2.84</v>
      </c>
      <c r="F361">
        <v>1.84</v>
      </c>
      <c r="G361" s="13">
        <v>44338</v>
      </c>
      <c r="H361" s="13">
        <v>44339</v>
      </c>
      <c r="I361" s="22" t="str">
        <f>VLOOKUP(J361, Dropdowns!N:O, 2, FALSE)</f>
        <v>Lower Price</v>
      </c>
      <c r="J361" t="s">
        <v>759</v>
      </c>
      <c r="L361" s="17" t="s">
        <v>732</v>
      </c>
      <c r="M361" s="17" t="s">
        <v>9</v>
      </c>
      <c r="N361" s="17" t="s">
        <v>736</v>
      </c>
    </row>
    <row r="362" spans="1:16" x14ac:dyDescent="0.25">
      <c r="A362" s="10">
        <v>984620</v>
      </c>
      <c r="B362" s="22" t="str">
        <f>IFERROR(VLOOKUP(A362,VLOOKUPS!$A$2:B$12589,2,FALSE),"")</f>
        <v>Raspberries 6oz-standard</v>
      </c>
      <c r="E362">
        <v>1.84</v>
      </c>
      <c r="F362">
        <v>2.84</v>
      </c>
      <c r="G362" s="13">
        <v>44340</v>
      </c>
      <c r="H362" s="13"/>
      <c r="I362" s="22" t="str">
        <f>VLOOKUP(J362, Dropdowns!N:O, 2, FALSE)</f>
        <v>Standard</v>
      </c>
      <c r="J362" t="s">
        <v>760</v>
      </c>
      <c r="L362" s="17" t="s">
        <v>732</v>
      </c>
      <c r="M362" s="17" t="s">
        <v>9</v>
      </c>
      <c r="N362" s="17" t="s">
        <v>736</v>
      </c>
    </row>
    <row r="363" spans="1:16" x14ac:dyDescent="0.25">
      <c r="A363" s="10">
        <v>984701</v>
      </c>
      <c r="B363" s="22" t="str">
        <f>IFERROR(VLOOKUP(A363,VLOOKUPS!$A$2:B$12589,2,FALSE),"")</f>
        <v>Blackberries Super Sweet 6oz-standard</v>
      </c>
      <c r="E363">
        <v>3.49</v>
      </c>
      <c r="F363">
        <v>2.79</v>
      </c>
      <c r="G363" s="13">
        <v>44338</v>
      </c>
      <c r="H363" s="13">
        <v>44339</v>
      </c>
      <c r="I363" s="22" t="str">
        <f>VLOOKUP(J363, Dropdowns!N:O, 2, FALSE)</f>
        <v>Lower Price</v>
      </c>
      <c r="J363" t="s">
        <v>759</v>
      </c>
      <c r="L363" s="17" t="s">
        <v>732</v>
      </c>
      <c r="M363" s="17" t="s">
        <v>9</v>
      </c>
      <c r="N363" s="17" t="s">
        <v>736</v>
      </c>
    </row>
    <row r="364" spans="1:16" x14ac:dyDescent="0.25">
      <c r="A364" s="10">
        <v>984701</v>
      </c>
      <c r="B364" s="22" t="str">
        <f>IFERROR(VLOOKUP(A364,VLOOKUPS!$A$2:B$12589,2,FALSE),"")</f>
        <v>Blackberries Super Sweet 6oz-standard</v>
      </c>
      <c r="E364">
        <v>2.79</v>
      </c>
      <c r="F364">
        <v>3.49</v>
      </c>
      <c r="G364" s="13">
        <v>44340</v>
      </c>
      <c r="H364" s="13"/>
      <c r="I364" s="22" t="str">
        <f>VLOOKUP(J364, Dropdowns!N:O, 2, FALSE)</f>
        <v>Standard</v>
      </c>
      <c r="J364" t="s">
        <v>760</v>
      </c>
      <c r="L364" s="17" t="s">
        <v>732</v>
      </c>
      <c r="M364" s="17" t="s">
        <v>9</v>
      </c>
      <c r="N364" s="17" t="s">
        <v>736</v>
      </c>
    </row>
    <row r="365" spans="1:16" x14ac:dyDescent="0.25">
      <c r="A365" s="10">
        <v>995074</v>
      </c>
      <c r="B365" s="22" t="str">
        <f>IFERROR(VLOOKUP(A365,VLOOKUPS!$A$2:B$12589,2,FALSE),"")</f>
        <v>Southwest Chopped Salad Kit 12oz-standard</v>
      </c>
      <c r="E365">
        <v>2.99</v>
      </c>
      <c r="F365">
        <v>1.99</v>
      </c>
      <c r="G365" s="13">
        <v>44338</v>
      </c>
      <c r="H365" s="13">
        <v>44339</v>
      </c>
      <c r="I365" s="22" t="str">
        <f>VLOOKUP(J365, Dropdowns!N:O, 2, FALSE)</f>
        <v>Lower Price</v>
      </c>
      <c r="J365" t="s">
        <v>759</v>
      </c>
      <c r="L365" s="17" t="s">
        <v>732</v>
      </c>
      <c r="M365" s="17" t="s">
        <v>9</v>
      </c>
      <c r="N365" s="17" t="s">
        <v>736</v>
      </c>
    </row>
    <row r="366" spans="1:16" x14ac:dyDescent="0.25">
      <c r="A366" s="10">
        <v>995074</v>
      </c>
      <c r="B366" s="22" t="str">
        <f>IFERROR(VLOOKUP(A366,VLOOKUPS!$A$2:B$12589,2,FALSE),"")</f>
        <v>Southwest Chopped Salad Kit 12oz-standard</v>
      </c>
      <c r="E366">
        <v>1.99</v>
      </c>
      <c r="F366">
        <v>2.99</v>
      </c>
      <c r="G366" s="13">
        <v>44340</v>
      </c>
      <c r="H366" s="13"/>
      <c r="I366" s="22" t="str">
        <f>VLOOKUP(J366, Dropdowns!N:O, 2, FALSE)</f>
        <v>Standard</v>
      </c>
      <c r="J366" t="s">
        <v>760</v>
      </c>
      <c r="L366" s="17" t="s">
        <v>732</v>
      </c>
      <c r="M366" s="17" t="s">
        <v>9</v>
      </c>
      <c r="N366" s="17" t="s">
        <v>736</v>
      </c>
    </row>
    <row r="367" spans="1:16" x14ac:dyDescent="0.25">
      <c r="A367" s="10">
        <v>995084</v>
      </c>
      <c r="B367" s="22" t="str">
        <f>IFERROR(VLOOKUP(A367,VLOOKUPS!$A$2:B$12589,2,FALSE),"")</f>
        <v>Eat Smart Green Beans 12oz-standard</v>
      </c>
      <c r="G367" s="13">
        <v>44338</v>
      </c>
      <c r="H367" s="13">
        <v>44341</v>
      </c>
      <c r="I367" s="22" t="str">
        <f>VLOOKUP(J367, Dropdowns!N:O, 2, FALSE)</f>
        <v>Lower Price</v>
      </c>
      <c r="J367" t="s">
        <v>779</v>
      </c>
      <c r="L367" s="17" t="s">
        <v>732</v>
      </c>
      <c r="M367" s="17" t="s">
        <v>736</v>
      </c>
      <c r="N367" s="17" t="s">
        <v>736</v>
      </c>
    </row>
    <row r="368" spans="1:16" x14ac:dyDescent="0.25">
      <c r="A368" s="10">
        <v>984461</v>
      </c>
      <c r="B368" s="22" t="str">
        <f>IFERROR(VLOOKUP(A368,VLOOKUPS!$A$2:B$12589,2,FALSE),"")</f>
        <v>Strawberries 2lb-standard</v>
      </c>
      <c r="D368">
        <v>4</v>
      </c>
      <c r="F368">
        <v>3.99</v>
      </c>
      <c r="G368" s="13">
        <v>44341</v>
      </c>
      <c r="H368" s="13"/>
      <c r="I368" s="22" t="str">
        <f>VLOOKUP(J368, Dropdowns!N:O, 2, FALSE)</f>
        <v>New</v>
      </c>
      <c r="J368" t="s">
        <v>776</v>
      </c>
      <c r="L368" s="17" t="s">
        <v>732</v>
      </c>
      <c r="M368" s="17" t="s">
        <v>736</v>
      </c>
      <c r="N368" s="17" t="s">
        <v>736</v>
      </c>
      <c r="O368" t="s">
        <v>748</v>
      </c>
      <c r="P368">
        <v>2</v>
      </c>
    </row>
    <row r="369" spans="1:17" x14ac:dyDescent="0.25">
      <c r="A369" s="10">
        <v>984580</v>
      </c>
      <c r="B369" s="22" t="str">
        <f>IFERROR(VLOOKUP(A369,VLOOKUPS!$A$2:B$12589,2,FALSE),"")</f>
        <v>Organic Blueberries 6oz-standard</v>
      </c>
      <c r="E369">
        <v>3.39</v>
      </c>
      <c r="F369">
        <v>2.39</v>
      </c>
      <c r="G369" s="13">
        <v>44341</v>
      </c>
      <c r="H369" s="13">
        <v>44342</v>
      </c>
      <c r="I369" s="22" t="str">
        <f>VLOOKUP(J369, Dropdowns!N:O, 2, FALSE)</f>
        <v>Lower Price</v>
      </c>
      <c r="J369" t="s">
        <v>759</v>
      </c>
      <c r="L369" s="17" t="s">
        <v>732</v>
      </c>
      <c r="M369" s="17" t="s">
        <v>9</v>
      </c>
      <c r="N369" s="17" t="s">
        <v>736</v>
      </c>
    </row>
    <row r="370" spans="1:17" x14ac:dyDescent="0.25">
      <c r="A370" s="10">
        <v>984580</v>
      </c>
      <c r="B370" s="22" t="str">
        <f>IFERROR(VLOOKUP(A370,VLOOKUPS!$A$2:B$12589,2,FALSE),"")</f>
        <v>Organic Blueberries 6oz-standard</v>
      </c>
      <c r="E370">
        <v>2.39</v>
      </c>
      <c r="F370">
        <v>3.39</v>
      </c>
      <c r="G370" s="13">
        <v>44343</v>
      </c>
      <c r="H370" s="13"/>
      <c r="I370" s="22" t="str">
        <f>VLOOKUP(J370, Dropdowns!N:O, 2, FALSE)</f>
        <v>Standard</v>
      </c>
      <c r="J370" t="s">
        <v>760</v>
      </c>
      <c r="L370" s="17" t="s">
        <v>732</v>
      </c>
      <c r="M370" s="17" t="s">
        <v>9</v>
      </c>
      <c r="N370" s="17" t="s">
        <v>736</v>
      </c>
    </row>
    <row r="371" spans="1:17" x14ac:dyDescent="0.25">
      <c r="A371" s="10">
        <v>988620</v>
      </c>
      <c r="B371" s="22" t="str">
        <f>IFERROR(VLOOKUP(A371,VLOOKUPS!$A$2:B$12589,2,FALSE),"")</f>
        <v>Brussels Sprouts 1lb-standard</v>
      </c>
      <c r="E371">
        <v>2.89</v>
      </c>
      <c r="F371">
        <v>1.89</v>
      </c>
      <c r="G371" s="13">
        <v>44341</v>
      </c>
      <c r="H371" s="13">
        <v>44342</v>
      </c>
      <c r="I371" s="22" t="str">
        <f>VLOOKUP(J371, Dropdowns!N:O, 2, FALSE)</f>
        <v>Lower Price</v>
      </c>
      <c r="J371" t="s">
        <v>759</v>
      </c>
      <c r="L371" s="17" t="s">
        <v>732</v>
      </c>
      <c r="M371" s="17" t="s">
        <v>9</v>
      </c>
      <c r="N371" s="17" t="s">
        <v>736</v>
      </c>
    </row>
    <row r="372" spans="1:17" x14ac:dyDescent="0.25">
      <c r="A372" s="10">
        <v>988620</v>
      </c>
      <c r="B372" s="22" t="str">
        <f>IFERROR(VLOOKUP(A372,VLOOKUPS!$A$2:B$12589,2,FALSE),"")</f>
        <v>Brussels Sprouts 1lb-standard</v>
      </c>
      <c r="E372">
        <v>1.89</v>
      </c>
      <c r="F372">
        <v>2.89</v>
      </c>
      <c r="G372" s="13">
        <v>44343</v>
      </c>
      <c r="H372" s="13"/>
      <c r="I372" s="22" t="str">
        <f>VLOOKUP(J372, Dropdowns!N:O, 2, FALSE)</f>
        <v>Standard</v>
      </c>
      <c r="J372" t="s">
        <v>760</v>
      </c>
      <c r="L372" s="17" t="s">
        <v>732</v>
      </c>
      <c r="M372" s="17" t="s">
        <v>9</v>
      </c>
      <c r="N372" s="17" t="s">
        <v>736</v>
      </c>
    </row>
    <row r="373" spans="1:17" x14ac:dyDescent="0.25">
      <c r="A373" s="10">
        <v>995141</v>
      </c>
      <c r="B373" s="22" t="str">
        <f>IFERROR(VLOOKUP(A373,VLOOKUPS!$A$2:B$12589,2,FALSE),"")</f>
        <v>Watermelon Chunks 32oz-standard</v>
      </c>
      <c r="D373">
        <v>4</v>
      </c>
      <c r="F373">
        <v>6.29</v>
      </c>
      <c r="G373" s="13">
        <v>44341</v>
      </c>
      <c r="H373" s="13"/>
      <c r="I373" s="22" t="str">
        <f>VLOOKUP(J373, Dropdowns!N:O, 2, FALSE)</f>
        <v>New</v>
      </c>
      <c r="J373" t="s">
        <v>776</v>
      </c>
      <c r="L373" s="17" t="s">
        <v>732</v>
      </c>
      <c r="M373" s="17" t="s">
        <v>736</v>
      </c>
      <c r="N373" s="17" t="s">
        <v>736</v>
      </c>
      <c r="O373" s="17" t="s">
        <v>748</v>
      </c>
      <c r="P373">
        <v>1</v>
      </c>
      <c r="Q373" s="17" t="s">
        <v>1040</v>
      </c>
    </row>
    <row r="374" spans="1:17" x14ac:dyDescent="0.25">
      <c r="A374" s="10">
        <v>983251</v>
      </c>
      <c r="B374" s="22" t="str">
        <f>IFERROR(VLOOKUP(A374,VLOOKUPS!$A$2:B$12589,2,FALSE),"")</f>
        <v>Watermelons Large Seedless 1ct-LOOSE</v>
      </c>
      <c r="E374">
        <v>5.98</v>
      </c>
      <c r="F374">
        <v>6.89</v>
      </c>
      <c r="G374" s="13">
        <v>44341</v>
      </c>
      <c r="H374" s="13"/>
      <c r="I374" s="22" t="str">
        <f>VLOOKUP(J374, Dropdowns!N:O, 2, FALSE)</f>
        <v>Standard</v>
      </c>
      <c r="J374" t="s">
        <v>761</v>
      </c>
      <c r="L374" s="17" t="s">
        <v>732</v>
      </c>
      <c r="M374" s="17" t="s">
        <v>736</v>
      </c>
      <c r="N374" s="17" t="s">
        <v>736</v>
      </c>
    </row>
    <row r="375" spans="1:17" x14ac:dyDescent="0.25">
      <c r="A375" s="10">
        <v>995071</v>
      </c>
      <c r="B375" s="22" t="str">
        <f>IFERROR(VLOOKUP(A375,VLOOKUPS!$A$2:B$12589,2,FALSE),"")</f>
        <v>Broccoli Florets 12oz-standard</v>
      </c>
      <c r="E375">
        <v>2.69</v>
      </c>
      <c r="F375">
        <v>2.79</v>
      </c>
      <c r="G375" s="13">
        <v>44342</v>
      </c>
      <c r="H375" s="13"/>
      <c r="I375" s="22" t="str">
        <f>VLOOKUP(J375, Dropdowns!N:O, 2, FALSE)</f>
        <v>Standard</v>
      </c>
      <c r="J375" t="s">
        <v>761</v>
      </c>
      <c r="L375" s="17" t="s">
        <v>734</v>
      </c>
      <c r="M375" s="17" t="s">
        <v>735</v>
      </c>
      <c r="N375" s="17" t="s">
        <v>736</v>
      </c>
    </row>
    <row r="376" spans="1:17" x14ac:dyDescent="0.25">
      <c r="A376" s="10">
        <v>995026</v>
      </c>
      <c r="B376" s="22" t="str">
        <f>IFERROR(VLOOKUP(A376,VLOOKUPS!$A$2:B$12589,2,FALSE),"")</f>
        <v>Baby Arugula 5oz-standard</v>
      </c>
      <c r="E376">
        <v>2.19</v>
      </c>
      <c r="F376">
        <v>2.29</v>
      </c>
      <c r="G376" s="13">
        <v>44342</v>
      </c>
      <c r="H376" s="13"/>
      <c r="I376" s="22" t="str">
        <f>VLOOKUP(J376, Dropdowns!N:O, 2, FALSE)</f>
        <v>Standard</v>
      </c>
      <c r="J376" t="s">
        <v>761</v>
      </c>
      <c r="L376" s="17" t="s">
        <v>733</v>
      </c>
      <c r="M376" s="17" t="s">
        <v>736</v>
      </c>
      <c r="N376" s="17" t="s">
        <v>740</v>
      </c>
    </row>
    <row r="377" spans="1:17" x14ac:dyDescent="0.25">
      <c r="A377" s="10">
        <v>984580</v>
      </c>
      <c r="B377" s="22" t="str">
        <f>IFERROR(VLOOKUP(A377,VLOOKUPS!$A$2:B$12589,2,FALSE),"")</f>
        <v>Organic Blueberries 6oz-standard</v>
      </c>
      <c r="E377">
        <v>3.39</v>
      </c>
      <c r="F377">
        <v>2.39</v>
      </c>
      <c r="G377" s="13">
        <v>44342</v>
      </c>
      <c r="H377" s="13">
        <v>44343</v>
      </c>
      <c r="I377" s="22" t="str">
        <f>VLOOKUP(J377, Dropdowns!N:O, 2, FALSE)</f>
        <v>Lower Price</v>
      </c>
      <c r="J377" t="s">
        <v>759</v>
      </c>
      <c r="L377" s="17" t="s">
        <v>733</v>
      </c>
      <c r="M377" s="17" t="s">
        <v>11</v>
      </c>
      <c r="N377" s="17" t="s">
        <v>740</v>
      </c>
    </row>
    <row r="378" spans="1:17" x14ac:dyDescent="0.25">
      <c r="A378" s="10">
        <v>984580</v>
      </c>
      <c r="B378" s="22" t="str">
        <f>IFERROR(VLOOKUP(A378,VLOOKUPS!$A$2:B$12589,2,FALSE),"")</f>
        <v>Organic Blueberries 6oz-standard</v>
      </c>
      <c r="E378">
        <v>2.39</v>
      </c>
      <c r="F378">
        <v>3.39</v>
      </c>
      <c r="G378" s="13">
        <v>44344</v>
      </c>
      <c r="H378" s="13"/>
      <c r="I378" s="22" t="str">
        <f>VLOOKUP(J378, Dropdowns!N:O, 2, FALSE)</f>
        <v>Standard</v>
      </c>
      <c r="J378" t="s">
        <v>760</v>
      </c>
      <c r="L378" s="17" t="s">
        <v>733</v>
      </c>
      <c r="M378" s="17" t="s">
        <v>11</v>
      </c>
      <c r="N378" s="17" t="s">
        <v>740</v>
      </c>
    </row>
    <row r="379" spans="1:17" x14ac:dyDescent="0.25">
      <c r="A379" s="10">
        <v>995001</v>
      </c>
      <c r="B379" s="22" t="str">
        <f>IFERROR(VLOOKUP(A379,VLOOKUPS!$A$2:B$12589,2,FALSE),"")</f>
        <v>Spinach Baby 6oz-standard</v>
      </c>
      <c r="E379">
        <v>2.2599999999999998</v>
      </c>
      <c r="F379">
        <v>1.66</v>
      </c>
      <c r="G379" s="13">
        <v>44342</v>
      </c>
      <c r="H379" s="13">
        <v>44343</v>
      </c>
      <c r="I379" s="22" t="str">
        <f>VLOOKUP(J379, Dropdowns!N:O, 2, FALSE)</f>
        <v>Lower Price</v>
      </c>
      <c r="J379" t="s">
        <v>759</v>
      </c>
      <c r="L379" s="17" t="s">
        <v>733</v>
      </c>
      <c r="M379" s="17" t="s">
        <v>11</v>
      </c>
      <c r="N379" s="17" t="s">
        <v>740</v>
      </c>
    </row>
    <row r="380" spans="1:17" x14ac:dyDescent="0.25">
      <c r="A380" s="10">
        <v>995001</v>
      </c>
      <c r="B380" s="22" t="str">
        <f>IFERROR(VLOOKUP(A380,VLOOKUPS!$A$2:B$12589,2,FALSE),"")</f>
        <v>Spinach Baby 6oz-standard</v>
      </c>
      <c r="E380">
        <v>1.66</v>
      </c>
      <c r="F380">
        <v>2.2599999999999998</v>
      </c>
      <c r="G380" s="13">
        <v>44344</v>
      </c>
      <c r="H380" s="13"/>
      <c r="I380" s="22" t="str">
        <f>VLOOKUP(J380, Dropdowns!N:O, 2, FALSE)</f>
        <v>Standard</v>
      </c>
      <c r="J380" t="s">
        <v>760</v>
      </c>
      <c r="L380" s="17" t="s">
        <v>733</v>
      </c>
      <c r="M380" s="17" t="s">
        <v>11</v>
      </c>
      <c r="N380" s="17" t="s">
        <v>740</v>
      </c>
    </row>
    <row r="381" spans="1:17" x14ac:dyDescent="0.25">
      <c r="A381" s="10">
        <v>995074</v>
      </c>
      <c r="B381" s="22" t="str">
        <f>IFERROR(VLOOKUP(A381,VLOOKUPS!$A$2:B$12589,2,FALSE),"")</f>
        <v>Southwest Chopped Salad Kit 12oz-standard</v>
      </c>
      <c r="E381">
        <v>2.99</v>
      </c>
      <c r="F381">
        <v>1.79</v>
      </c>
      <c r="G381" s="13">
        <v>44342</v>
      </c>
      <c r="H381" s="13">
        <v>44343</v>
      </c>
      <c r="I381" s="22" t="str">
        <f>VLOOKUP(J381, Dropdowns!N:O, 2, FALSE)</f>
        <v>Lower Price</v>
      </c>
      <c r="J381" t="s">
        <v>759</v>
      </c>
      <c r="L381" s="17" t="s">
        <v>733</v>
      </c>
      <c r="M381" s="17" t="s">
        <v>11</v>
      </c>
      <c r="N381" s="17" t="s">
        <v>740</v>
      </c>
    </row>
    <row r="382" spans="1:17" x14ac:dyDescent="0.25">
      <c r="A382" s="10">
        <v>995074</v>
      </c>
      <c r="B382" s="22" t="str">
        <f>IFERROR(VLOOKUP(A382,VLOOKUPS!$A$2:B$12589,2,FALSE),"")</f>
        <v>Southwest Chopped Salad Kit 12oz-standard</v>
      </c>
      <c r="E382">
        <v>1.79</v>
      </c>
      <c r="F382">
        <v>2.99</v>
      </c>
      <c r="G382" s="13">
        <v>44344</v>
      </c>
      <c r="H382" s="13"/>
      <c r="I382" s="22" t="str">
        <f>VLOOKUP(J382, Dropdowns!N:O, 2, FALSE)</f>
        <v>Standard</v>
      </c>
      <c r="J382" t="s">
        <v>760</v>
      </c>
      <c r="L382" s="17" t="s">
        <v>733</v>
      </c>
      <c r="M382" s="17" t="s">
        <v>11</v>
      </c>
      <c r="N382" s="17" t="s">
        <v>740</v>
      </c>
    </row>
    <row r="383" spans="1:17" x14ac:dyDescent="0.25">
      <c r="A383" s="10">
        <v>995086</v>
      </c>
      <c r="B383" s="22" t="str">
        <f>IFERROR(VLOOKUP(A383,VLOOKUPS!$A$2:B$12589,2,FALSE),"")</f>
        <v>Eat Smart Broccoli Florets 2lbs-standard</v>
      </c>
      <c r="E383">
        <v>5.98</v>
      </c>
      <c r="F383">
        <v>4.4800000000000004</v>
      </c>
      <c r="G383" s="13">
        <v>44342</v>
      </c>
      <c r="H383" s="13">
        <v>44343</v>
      </c>
      <c r="I383" s="22" t="str">
        <f>VLOOKUP(J383, Dropdowns!N:O, 2, FALSE)</f>
        <v>Lower Price</v>
      </c>
      <c r="J383" t="s">
        <v>759</v>
      </c>
      <c r="L383" s="17" t="s">
        <v>732</v>
      </c>
      <c r="M383" s="17" t="s">
        <v>9</v>
      </c>
      <c r="N383" s="17" t="s">
        <v>736</v>
      </c>
    </row>
    <row r="384" spans="1:17" x14ac:dyDescent="0.25">
      <c r="A384" s="10">
        <v>995086</v>
      </c>
      <c r="B384" s="22" t="str">
        <f>IFERROR(VLOOKUP(A384,VLOOKUPS!$A$2:B$12589,2,FALSE),"")</f>
        <v>Eat Smart Broccoli Florets 2lbs-standard</v>
      </c>
      <c r="E384">
        <v>4.4800000000000004</v>
      </c>
      <c r="F384">
        <v>5.98</v>
      </c>
      <c r="G384" s="13">
        <v>44344</v>
      </c>
      <c r="H384" s="13"/>
      <c r="I384" s="22" t="str">
        <f>VLOOKUP(J384, Dropdowns!N:O, 2, FALSE)</f>
        <v>Standard</v>
      </c>
      <c r="J384" t="s">
        <v>760</v>
      </c>
      <c r="L384" s="17" t="s">
        <v>732</v>
      </c>
      <c r="M384" s="17" t="s">
        <v>9</v>
      </c>
      <c r="N384" s="17" t="s">
        <v>736</v>
      </c>
    </row>
    <row r="385" spans="1:14" x14ac:dyDescent="0.25">
      <c r="A385" s="10">
        <v>983251</v>
      </c>
      <c r="B385" s="22" t="str">
        <f>IFERROR(VLOOKUP(A385,VLOOKUPS!$A$2:B$12589,2,FALSE),"")</f>
        <v>Watermelons Large Seedless 1ct-LOOSE</v>
      </c>
      <c r="G385" s="13">
        <v>44342</v>
      </c>
      <c r="H385" s="13">
        <v>44348</v>
      </c>
      <c r="I385" s="22" t="str">
        <f>VLOOKUP(J385, Dropdowns!N:O, 2, FALSE)</f>
        <v>Lower Price</v>
      </c>
      <c r="J385" t="s">
        <v>753</v>
      </c>
      <c r="L385" s="17" t="s">
        <v>732</v>
      </c>
      <c r="M385" s="17" t="s">
        <v>736</v>
      </c>
      <c r="N385" s="17" t="s">
        <v>736</v>
      </c>
    </row>
    <row r="386" spans="1:14" x14ac:dyDescent="0.25">
      <c r="A386" s="10">
        <v>984541</v>
      </c>
      <c r="B386" s="22" t="str">
        <f>IFERROR(VLOOKUP(A386,VLOOKUPS!$A$2:B$12589,2,FALSE),"")</f>
        <v>Blueberries 1pt-standard</v>
      </c>
      <c r="G386" s="13">
        <v>44342</v>
      </c>
      <c r="H386" s="13">
        <v>44348</v>
      </c>
      <c r="I386" s="22" t="str">
        <f>VLOOKUP(J386, Dropdowns!N:O, 2, FALSE)</f>
        <v>Lower Price</v>
      </c>
      <c r="J386" t="s">
        <v>753</v>
      </c>
      <c r="L386" s="17" t="s">
        <v>732</v>
      </c>
      <c r="M386" s="17" t="s">
        <v>736</v>
      </c>
      <c r="N386" s="17" t="s">
        <v>736</v>
      </c>
    </row>
    <row r="387" spans="1:14" x14ac:dyDescent="0.25">
      <c r="A387" s="10">
        <v>995043</v>
      </c>
      <c r="B387" s="22" t="str">
        <f>IFERROR(VLOOKUP(A387,VLOOKUPS!$A$2:B$12589,2,FALSE),"")</f>
        <v>Watermelon Chunks 16oz-standard</v>
      </c>
      <c r="G387" s="13">
        <v>44342</v>
      </c>
      <c r="H387" s="13">
        <v>44348</v>
      </c>
      <c r="I387" s="22" t="str">
        <f>VLOOKUP(J387, Dropdowns!N:O, 2, FALSE)</f>
        <v>Lower Price</v>
      </c>
      <c r="J387" t="s">
        <v>753</v>
      </c>
      <c r="L387" s="17" t="s">
        <v>732</v>
      </c>
      <c r="M387" s="17" t="s">
        <v>736</v>
      </c>
      <c r="N387" s="17" t="s">
        <v>736</v>
      </c>
    </row>
    <row r="388" spans="1:14" x14ac:dyDescent="0.25">
      <c r="A388" s="10">
        <v>995022</v>
      </c>
      <c r="B388" s="22" t="str">
        <f>IFERROR(VLOOKUP(A388,VLOOKUPS!$A$2:B$12589,2,FALSE),"")</f>
        <v>American Blend 12oz-standard</v>
      </c>
      <c r="G388" s="13">
        <v>44342</v>
      </c>
      <c r="H388" s="13">
        <v>44348</v>
      </c>
      <c r="I388" s="22" t="str">
        <f>VLOOKUP(J388, Dropdowns!N:O, 2, FALSE)</f>
        <v>Lower Price</v>
      </c>
      <c r="J388" t="s">
        <v>753</v>
      </c>
      <c r="L388" s="17" t="s">
        <v>732</v>
      </c>
      <c r="M388" s="17" t="s">
        <v>736</v>
      </c>
      <c r="N388" s="17" t="s">
        <v>736</v>
      </c>
    </row>
    <row r="389" spans="1:14" x14ac:dyDescent="0.25">
      <c r="A389" s="10">
        <v>995018</v>
      </c>
      <c r="B389" s="22" t="str">
        <f>IFERROR(VLOOKUP(A389,VLOOKUPS!$A$2:B$12589,2,FALSE),"")</f>
        <v>RTE Large Chicken Caesar Salad 13.1oz-standard</v>
      </c>
      <c r="G389" s="13">
        <v>44342</v>
      </c>
      <c r="H389" s="13">
        <v>44348</v>
      </c>
      <c r="I389" s="22" t="str">
        <f>VLOOKUP(J389, Dropdowns!N:O, 2, FALSE)</f>
        <v>Lower Price</v>
      </c>
      <c r="J389" t="s">
        <v>753</v>
      </c>
      <c r="L389" s="17" t="s">
        <v>732</v>
      </c>
      <c r="M389" s="17" t="s">
        <v>736</v>
      </c>
      <c r="N389" s="17" t="s">
        <v>736</v>
      </c>
    </row>
    <row r="390" spans="1:14" x14ac:dyDescent="0.25">
      <c r="A390" s="10">
        <v>995084</v>
      </c>
      <c r="B390" s="22" t="str">
        <f>IFERROR(VLOOKUP(A390,VLOOKUPS!$A$2:B$12589,2,FALSE),"")</f>
        <v>Eat Smart Green Beans 12oz-standard</v>
      </c>
      <c r="G390" s="13">
        <v>44342</v>
      </c>
      <c r="H390" s="13">
        <v>44343</v>
      </c>
      <c r="I390" s="22" t="str">
        <f>VLOOKUP(J390, Dropdowns!N:O, 2, FALSE)</f>
        <v>Lower Price</v>
      </c>
      <c r="J390" t="s">
        <v>762</v>
      </c>
      <c r="L390" s="17" t="s">
        <v>732</v>
      </c>
      <c r="M390" s="17" t="s">
        <v>735</v>
      </c>
      <c r="N390" s="17" t="s">
        <v>736</v>
      </c>
    </row>
    <row r="391" spans="1:14" x14ac:dyDescent="0.25">
      <c r="A391" s="10">
        <v>995084</v>
      </c>
      <c r="B391" s="22" t="str">
        <f>IFERROR(VLOOKUP(A391,VLOOKUPS!$A$2:B$12589,2,FALSE),"")</f>
        <v>Eat Smart Green Beans 12oz-standard</v>
      </c>
      <c r="G391" s="13">
        <v>44342</v>
      </c>
      <c r="H391" s="13">
        <v>44345</v>
      </c>
      <c r="I391" s="22" t="str">
        <f>VLOOKUP(J391, Dropdowns!N:O, 2, FALSE)</f>
        <v>Lower Price</v>
      </c>
      <c r="J391" t="s">
        <v>762</v>
      </c>
      <c r="L391" s="17" t="s">
        <v>733</v>
      </c>
      <c r="M391" s="17" t="s">
        <v>11</v>
      </c>
      <c r="N391" s="17" t="s">
        <v>740</v>
      </c>
    </row>
    <row r="392" spans="1:14" x14ac:dyDescent="0.25">
      <c r="A392" s="10">
        <v>995019</v>
      </c>
      <c r="B392" s="22" t="str">
        <f>IFERROR(VLOOKUP(A392,VLOOKUPS!$A$2:B$12589,2,FALSE),"")</f>
        <v>RTE Large Santa Fe Salad 14oz-standard</v>
      </c>
      <c r="E392">
        <v>3.99</v>
      </c>
      <c r="F392">
        <v>4.99</v>
      </c>
      <c r="G392" s="13">
        <v>44342</v>
      </c>
      <c r="H392" s="13"/>
      <c r="I392" s="22" t="str">
        <f>VLOOKUP(J392, Dropdowns!N:O, 2, FALSE)</f>
        <v>Standard</v>
      </c>
      <c r="J392" t="s">
        <v>760</v>
      </c>
      <c r="L392" s="17" t="s">
        <v>732</v>
      </c>
      <c r="M392" s="17" t="s">
        <v>735</v>
      </c>
      <c r="N392" s="17" t="s">
        <v>736</v>
      </c>
    </row>
    <row r="393" spans="1:14" x14ac:dyDescent="0.25">
      <c r="A393" s="10">
        <v>995019</v>
      </c>
      <c r="B393" s="22" t="str">
        <f>IFERROR(VLOOKUP(A393,VLOOKUPS!$A$2:B$12589,2,FALSE),"")</f>
        <v>RTE Large Santa Fe Salad 14oz-standard</v>
      </c>
      <c r="G393" s="13">
        <v>44342</v>
      </c>
      <c r="H393" s="13">
        <v>44342</v>
      </c>
      <c r="I393" s="22" t="str">
        <f>VLOOKUP(J393, Dropdowns!N:O, 2, FALSE)</f>
        <v>Lower Price</v>
      </c>
      <c r="J393" t="s">
        <v>762</v>
      </c>
      <c r="L393" s="17" t="s">
        <v>733</v>
      </c>
      <c r="M393" s="17" t="s">
        <v>11</v>
      </c>
      <c r="N393" s="17" t="s">
        <v>740</v>
      </c>
    </row>
    <row r="394" spans="1:14" x14ac:dyDescent="0.25">
      <c r="A394" s="10">
        <v>995041</v>
      </c>
      <c r="B394" s="22" t="str">
        <f>IFERROR(VLOOKUP(A394,VLOOKUPS!$A$2:B$12589,2,FALSE),"")</f>
        <v>Pineapple Spears 16oz-standard</v>
      </c>
      <c r="E394">
        <v>1.79</v>
      </c>
      <c r="F394">
        <v>3.29</v>
      </c>
      <c r="G394" s="13">
        <v>44342</v>
      </c>
      <c r="H394" s="13"/>
      <c r="I394" s="22" t="str">
        <f>VLOOKUP(J394, Dropdowns!N:O, 2, FALSE)</f>
        <v>Standard</v>
      </c>
      <c r="J394" t="s">
        <v>760</v>
      </c>
      <c r="L394" s="17" t="s">
        <v>732</v>
      </c>
      <c r="M394" s="17" t="s">
        <v>735</v>
      </c>
      <c r="N394" s="17" t="s">
        <v>736</v>
      </c>
    </row>
    <row r="395" spans="1:14" x14ac:dyDescent="0.25">
      <c r="A395" s="10">
        <v>995041</v>
      </c>
      <c r="B395" s="22" t="str">
        <f>IFERROR(VLOOKUP(A395,VLOOKUPS!$A$2:B$12589,2,FALSE),"")</f>
        <v>Pineapple Spears 16oz-standard</v>
      </c>
      <c r="G395" s="13">
        <v>44342</v>
      </c>
      <c r="H395" s="13">
        <v>44342</v>
      </c>
      <c r="I395" s="22" t="str">
        <f>VLOOKUP(J395, Dropdowns!N:O, 2, FALSE)</f>
        <v>Lower Price</v>
      </c>
      <c r="J395" t="s">
        <v>762</v>
      </c>
      <c r="L395" s="17" t="s">
        <v>733</v>
      </c>
      <c r="M395" s="17" t="s">
        <v>11</v>
      </c>
      <c r="N395" s="17" t="s">
        <v>740</v>
      </c>
    </row>
    <row r="396" spans="1:14" x14ac:dyDescent="0.25">
      <c r="A396" s="10">
        <v>995004</v>
      </c>
      <c r="B396" s="22" t="str">
        <f>IFERROR(VLOOKUP(A396,VLOOKUPS!$A$2:B$12589,2,FALSE),"")</f>
        <v>Chicken Caesar Salad 6.25oz-standard</v>
      </c>
      <c r="E396">
        <v>2.39</v>
      </c>
      <c r="F396">
        <v>2.89</v>
      </c>
      <c r="G396" s="13">
        <v>44342</v>
      </c>
      <c r="H396" s="13"/>
      <c r="I396" s="22" t="str">
        <f>VLOOKUP(J396, Dropdowns!N:O, 2, FALSE)</f>
        <v>Standard</v>
      </c>
      <c r="J396" t="s">
        <v>760</v>
      </c>
      <c r="L396" s="17" t="s">
        <v>733</v>
      </c>
      <c r="M396" s="17" t="s">
        <v>736</v>
      </c>
      <c r="N396" s="17" t="s">
        <v>740</v>
      </c>
    </row>
    <row r="397" spans="1:14" x14ac:dyDescent="0.25">
      <c r="A397" s="10">
        <v>995004</v>
      </c>
      <c r="B397" s="22" t="str">
        <f>IFERROR(VLOOKUP(A397,VLOOKUPS!$A$2:B$12589,2,FALSE),"")</f>
        <v>Chicken Caesar Salad 6.25oz-standard</v>
      </c>
      <c r="E397">
        <v>2.4900000000000002</v>
      </c>
      <c r="F397">
        <v>2.99</v>
      </c>
      <c r="G397" s="13">
        <v>44342</v>
      </c>
      <c r="H397" s="13"/>
      <c r="I397" s="22" t="str">
        <f>VLOOKUP(J397, Dropdowns!N:O, 2, FALSE)</f>
        <v>Standard</v>
      </c>
      <c r="J397" t="s">
        <v>760</v>
      </c>
      <c r="L397" s="17" t="s">
        <v>734</v>
      </c>
      <c r="M397" s="17" t="s">
        <v>735</v>
      </c>
      <c r="N397" s="17" t="s">
        <v>736</v>
      </c>
    </row>
    <row r="398" spans="1:14" x14ac:dyDescent="0.25">
      <c r="A398" s="10">
        <v>984620</v>
      </c>
      <c r="B398" s="22" t="str">
        <f>IFERROR(VLOOKUP(A398,VLOOKUPS!$A$2:B$12589,2,FALSE),"")</f>
        <v>Raspberries 6oz-standard</v>
      </c>
      <c r="E398">
        <v>2.84</v>
      </c>
      <c r="F398">
        <v>1.84</v>
      </c>
      <c r="G398" s="13">
        <v>44343</v>
      </c>
      <c r="H398" s="13">
        <v>44344</v>
      </c>
      <c r="I398" s="22" t="str">
        <f>VLOOKUP(J398, Dropdowns!N:O, 2, FALSE)</f>
        <v>Lower Price</v>
      </c>
      <c r="J398" t="s">
        <v>759</v>
      </c>
      <c r="L398" s="17" t="s">
        <v>732</v>
      </c>
      <c r="M398" s="17" t="s">
        <v>10</v>
      </c>
      <c r="N398" s="17">
        <v>2</v>
      </c>
    </row>
    <row r="399" spans="1:14" x14ac:dyDescent="0.25">
      <c r="A399" s="10">
        <v>984620</v>
      </c>
      <c r="B399" s="22" t="str">
        <f>IFERROR(VLOOKUP(A399,VLOOKUPS!$A$2:B$12589,2,FALSE),"")</f>
        <v>Raspberries 6oz-standard</v>
      </c>
      <c r="E399">
        <v>1.84</v>
      </c>
      <c r="F399">
        <v>2.84</v>
      </c>
      <c r="G399" s="13">
        <v>44345</v>
      </c>
      <c r="H399" s="13"/>
      <c r="I399" s="22" t="str">
        <f>VLOOKUP(J399, Dropdowns!N:O, 2, FALSE)</f>
        <v>Standard</v>
      </c>
      <c r="J399" t="s">
        <v>760</v>
      </c>
      <c r="L399" s="17" t="s">
        <v>732</v>
      </c>
      <c r="M399" s="17" t="s">
        <v>10</v>
      </c>
      <c r="N399" s="17">
        <v>2</v>
      </c>
    </row>
    <row r="400" spans="1:14" x14ac:dyDescent="0.25">
      <c r="A400" s="10">
        <v>995006</v>
      </c>
      <c r="B400" s="22" t="str">
        <f>IFERROR(VLOOKUP(A400,VLOOKUPS!$A$2:B$12589,2,FALSE),"")</f>
        <v>Italian Salad 9oz-standard</v>
      </c>
      <c r="E400">
        <v>1.99</v>
      </c>
      <c r="F400">
        <v>1.19</v>
      </c>
      <c r="G400" s="13">
        <v>44343</v>
      </c>
      <c r="H400" s="13">
        <v>44344</v>
      </c>
      <c r="I400" s="22" t="str">
        <f>VLOOKUP(J400, Dropdowns!N:O, 2, FALSE)</f>
        <v>Lower Price</v>
      </c>
      <c r="J400" t="s">
        <v>759</v>
      </c>
      <c r="L400" s="17" t="s">
        <v>733</v>
      </c>
      <c r="M400" s="17" t="s">
        <v>11</v>
      </c>
      <c r="N400" s="17" t="s">
        <v>740</v>
      </c>
    </row>
    <row r="401" spans="1:14" x14ac:dyDescent="0.25">
      <c r="A401" s="10">
        <v>995006</v>
      </c>
      <c r="B401" s="22" t="str">
        <f>IFERROR(VLOOKUP(A401,VLOOKUPS!$A$2:B$12589,2,FALSE),"")</f>
        <v>Italian Salad 9oz-standard</v>
      </c>
      <c r="E401">
        <v>1.19</v>
      </c>
      <c r="F401">
        <v>1.99</v>
      </c>
      <c r="G401" s="13">
        <v>44345</v>
      </c>
      <c r="H401" s="13"/>
      <c r="I401" s="22" t="str">
        <f>VLOOKUP(J401, Dropdowns!N:O, 2, FALSE)</f>
        <v>Standard</v>
      </c>
      <c r="J401" t="s">
        <v>760</v>
      </c>
      <c r="L401" s="17" t="s">
        <v>733</v>
      </c>
      <c r="M401" s="17" t="s">
        <v>11</v>
      </c>
      <c r="N401" s="17" t="s">
        <v>740</v>
      </c>
    </row>
    <row r="402" spans="1:14" x14ac:dyDescent="0.25">
      <c r="A402" s="10">
        <v>995041</v>
      </c>
      <c r="B402" s="22" t="str">
        <f>IFERROR(VLOOKUP(A402,VLOOKUPS!$A$2:B$12589,2,FALSE),"")</f>
        <v>Pineapple Spears 16oz-standard</v>
      </c>
      <c r="E402">
        <v>1.79</v>
      </c>
      <c r="F402">
        <v>3.29</v>
      </c>
      <c r="G402" s="13">
        <v>44343</v>
      </c>
      <c r="H402" s="13"/>
      <c r="I402" s="22" t="str">
        <f>VLOOKUP(J402, Dropdowns!N:O, 2, FALSE)</f>
        <v>Standard</v>
      </c>
      <c r="J402" t="s">
        <v>760</v>
      </c>
      <c r="L402" s="17" t="s">
        <v>733</v>
      </c>
      <c r="M402" s="17" t="s">
        <v>11</v>
      </c>
      <c r="N402" s="17" t="s">
        <v>740</v>
      </c>
    </row>
    <row r="403" spans="1:14" x14ac:dyDescent="0.25">
      <c r="A403" s="10">
        <v>995019</v>
      </c>
      <c r="B403" s="22" t="str">
        <f>IFERROR(VLOOKUP(A403,VLOOKUPS!$A$2:B$12589,2,FALSE),"")</f>
        <v>RTE Large Santa Fe Salad 14oz-standard</v>
      </c>
      <c r="E403">
        <v>3.99</v>
      </c>
      <c r="F403">
        <v>4.99</v>
      </c>
      <c r="G403" s="13">
        <v>44343</v>
      </c>
      <c r="H403" s="13"/>
      <c r="I403" s="22" t="str">
        <f>VLOOKUP(J403, Dropdowns!N:O, 2, FALSE)</f>
        <v>Standard</v>
      </c>
      <c r="J403" t="s">
        <v>760</v>
      </c>
      <c r="L403" s="17" t="s">
        <v>733</v>
      </c>
      <c r="M403" s="17" t="s">
        <v>11</v>
      </c>
      <c r="N403" s="17" t="s">
        <v>740</v>
      </c>
    </row>
    <row r="404" spans="1:14" x14ac:dyDescent="0.25">
      <c r="A404" s="10">
        <v>988490</v>
      </c>
      <c r="B404" s="22" t="str">
        <f>IFERROR(VLOOKUP(A404,VLOOKUPS!$A$2:B$12589,2,FALSE),"")</f>
        <v>Cabbage* 1lb-LOOSE</v>
      </c>
      <c r="E404">
        <v>0.55000000000000004</v>
      </c>
      <c r="F404">
        <v>0.78</v>
      </c>
      <c r="G404" s="13">
        <v>44343</v>
      </c>
      <c r="H404" s="13"/>
      <c r="I404" s="22" t="str">
        <f>VLOOKUP(J404, Dropdowns!N:O, 2, FALSE)</f>
        <v>Standard</v>
      </c>
      <c r="J404" t="s">
        <v>760</v>
      </c>
      <c r="L404" s="17" t="s">
        <v>733</v>
      </c>
      <c r="M404" s="17" t="s">
        <v>11</v>
      </c>
      <c r="N404" s="17" t="s">
        <v>740</v>
      </c>
    </row>
    <row r="405" spans="1:14" x14ac:dyDescent="0.25">
      <c r="A405" s="10">
        <v>984660</v>
      </c>
      <c r="B405" s="22" t="str">
        <f>IFERROR(VLOOKUP(A405,VLOOKUPS!$A$2:B$12589,2,FALSE),"")</f>
        <v>Organic Raspberries 6oz-standard</v>
      </c>
      <c r="E405">
        <v>3.89</v>
      </c>
      <c r="F405">
        <v>2.89</v>
      </c>
      <c r="G405" s="13">
        <v>44344</v>
      </c>
      <c r="H405" s="13">
        <v>44345</v>
      </c>
      <c r="I405" s="22" t="str">
        <f>VLOOKUP(J405, Dropdowns!N:O, 2, FALSE)</f>
        <v>Lower Price</v>
      </c>
      <c r="J405" t="s">
        <v>759</v>
      </c>
      <c r="L405" s="17" t="s">
        <v>733</v>
      </c>
      <c r="M405" s="17" t="s">
        <v>11</v>
      </c>
      <c r="N405" s="17" t="s">
        <v>740</v>
      </c>
    </row>
    <row r="406" spans="1:14" x14ac:dyDescent="0.25">
      <c r="A406" s="10">
        <v>984660</v>
      </c>
      <c r="B406" s="22" t="str">
        <f>IFERROR(VLOOKUP(A406,VLOOKUPS!$A$2:B$12589,2,FALSE),"")</f>
        <v>Organic Raspberries 6oz-standard</v>
      </c>
      <c r="E406">
        <v>2.89</v>
      </c>
      <c r="F406">
        <v>3.89</v>
      </c>
      <c r="G406" s="13">
        <v>44346</v>
      </c>
      <c r="H406" s="13"/>
      <c r="I406" s="22" t="str">
        <f>VLOOKUP(J406, Dropdowns!N:O, 2, FALSE)</f>
        <v>Standard</v>
      </c>
      <c r="J406" t="s">
        <v>760</v>
      </c>
      <c r="L406" s="17" t="s">
        <v>733</v>
      </c>
      <c r="M406" s="17" t="s">
        <v>11</v>
      </c>
      <c r="N406" s="17" t="s">
        <v>740</v>
      </c>
    </row>
    <row r="407" spans="1:14" x14ac:dyDescent="0.25">
      <c r="A407" s="10">
        <v>984740</v>
      </c>
      <c r="B407" s="22" t="str">
        <f>IFERROR(VLOOKUP(A407,VLOOKUPS!$A$2:B$12589,2,FALSE),"")</f>
        <v>Organic Blackberries 6oz-standard</v>
      </c>
      <c r="E407">
        <v>3.75</v>
      </c>
      <c r="F407">
        <v>2.5499999999999998</v>
      </c>
      <c r="G407" s="13">
        <v>44344</v>
      </c>
      <c r="H407" s="13">
        <v>44345</v>
      </c>
      <c r="I407" s="22" t="str">
        <f>VLOOKUP(J407, Dropdowns!N:O, 2, FALSE)</f>
        <v>Lower Price</v>
      </c>
      <c r="J407" t="s">
        <v>759</v>
      </c>
      <c r="L407" s="17" t="s">
        <v>733</v>
      </c>
      <c r="M407" s="17" t="s">
        <v>11</v>
      </c>
      <c r="N407" s="17" t="s">
        <v>740</v>
      </c>
    </row>
    <row r="408" spans="1:14" x14ac:dyDescent="0.25">
      <c r="A408" s="10">
        <v>984740</v>
      </c>
      <c r="B408" s="22" t="str">
        <f>IFERROR(VLOOKUP(A408,VLOOKUPS!$A$2:B$12589,2,FALSE),"")</f>
        <v>Organic Blackberries 6oz-standard</v>
      </c>
      <c r="E408">
        <v>2.5499999999999998</v>
      </c>
      <c r="F408">
        <v>3.75</v>
      </c>
      <c r="G408" s="13">
        <v>44346</v>
      </c>
      <c r="H408" s="13"/>
      <c r="I408" s="22" t="str">
        <f>VLOOKUP(J408, Dropdowns!N:O, 2, FALSE)</f>
        <v>Standard</v>
      </c>
      <c r="J408" t="s">
        <v>760</v>
      </c>
      <c r="L408" s="17" t="s">
        <v>733</v>
      </c>
      <c r="M408" s="17" t="s">
        <v>11</v>
      </c>
      <c r="N408" s="17" t="s">
        <v>740</v>
      </c>
    </row>
    <row r="409" spans="1:14" x14ac:dyDescent="0.25">
      <c r="A409" s="10">
        <v>995084</v>
      </c>
      <c r="B409" s="22" t="str">
        <f>IFERROR(VLOOKUP(A409,VLOOKUPS!$A$2:B$12589,2,FALSE),"")</f>
        <v>Eat Smart Green Beans 12oz-standard</v>
      </c>
      <c r="G409" s="13">
        <v>44344</v>
      </c>
      <c r="H409" s="13">
        <v>44345</v>
      </c>
      <c r="I409" s="22" t="str">
        <f>VLOOKUP(J409, Dropdowns!N:O, 2, FALSE)</f>
        <v>Lower Price</v>
      </c>
      <c r="J409" t="s">
        <v>762</v>
      </c>
      <c r="L409" s="17" t="s">
        <v>732</v>
      </c>
      <c r="M409" s="17" t="s">
        <v>9</v>
      </c>
      <c r="N409" s="17" t="s">
        <v>736</v>
      </c>
    </row>
    <row r="410" spans="1:14" x14ac:dyDescent="0.25">
      <c r="A410" s="10">
        <v>995084</v>
      </c>
      <c r="B410" s="22" t="str">
        <f>IFERROR(VLOOKUP(A410,VLOOKUPS!$A$2:B$12589,2,FALSE),"")</f>
        <v>Eat Smart Green Beans 12oz-standard</v>
      </c>
      <c r="E410">
        <v>1.88</v>
      </c>
      <c r="F410">
        <v>2.88</v>
      </c>
      <c r="G410" s="13">
        <v>44346</v>
      </c>
      <c r="H410" s="13"/>
      <c r="I410" s="22" t="str">
        <f>VLOOKUP(J410, Dropdowns!N:O, 2, FALSE)</f>
        <v>Standard</v>
      </c>
      <c r="J410" t="s">
        <v>760</v>
      </c>
      <c r="L410" s="17" t="s">
        <v>734</v>
      </c>
      <c r="M410" s="17" t="s">
        <v>9</v>
      </c>
      <c r="N410" s="17" t="s">
        <v>736</v>
      </c>
    </row>
    <row r="411" spans="1:14" x14ac:dyDescent="0.25">
      <c r="A411" s="10">
        <v>995084</v>
      </c>
      <c r="B411" s="22" t="str">
        <f>IFERROR(VLOOKUP(A411,VLOOKUPS!$A$2:B$12589,2,FALSE),"")</f>
        <v>Eat Smart Green Beans 12oz-standard</v>
      </c>
      <c r="G411" s="13">
        <v>44344</v>
      </c>
      <c r="H411" s="13">
        <v>44344</v>
      </c>
      <c r="I411" s="22" t="str">
        <f>VLOOKUP(J411, Dropdowns!N:O, 2, FALSE)</f>
        <v>Lower Price</v>
      </c>
      <c r="J411" t="s">
        <v>762</v>
      </c>
      <c r="L411" s="17" t="s">
        <v>732</v>
      </c>
      <c r="M411" s="17" t="s">
        <v>10</v>
      </c>
      <c r="N411" s="17">
        <v>2</v>
      </c>
    </row>
    <row r="412" spans="1:14" x14ac:dyDescent="0.25">
      <c r="A412" s="10">
        <v>995084</v>
      </c>
      <c r="B412" s="22" t="str">
        <f>IFERROR(VLOOKUP(A412,VLOOKUPS!$A$2:B$12589,2,FALSE),"")</f>
        <v>Eat Smart Green Beans 12oz-standard</v>
      </c>
      <c r="E412">
        <v>1.88</v>
      </c>
      <c r="F412">
        <v>2.78</v>
      </c>
      <c r="G412" s="13">
        <v>44345</v>
      </c>
      <c r="H412" s="13"/>
      <c r="I412" s="22" t="str">
        <f>VLOOKUP(J412, Dropdowns!N:O, 2, FALSE)</f>
        <v>Standard</v>
      </c>
      <c r="J412" t="s">
        <v>760</v>
      </c>
      <c r="L412" s="17" t="s">
        <v>733</v>
      </c>
      <c r="M412" s="17" t="s">
        <v>10</v>
      </c>
      <c r="N412" s="17" t="s">
        <v>740</v>
      </c>
    </row>
    <row r="413" spans="1:14" x14ac:dyDescent="0.25">
      <c r="A413" s="10">
        <v>995084</v>
      </c>
      <c r="B413" s="22" t="str">
        <f>IFERROR(VLOOKUP(A413,VLOOKUPS!$A$2:B$12589,2,FALSE),"")</f>
        <v>Eat Smart Green Beans 12oz-standard</v>
      </c>
      <c r="E413">
        <v>1.88</v>
      </c>
      <c r="F413">
        <v>2.78</v>
      </c>
      <c r="G413" s="13">
        <v>44346</v>
      </c>
      <c r="H413" s="13"/>
      <c r="I413" s="22" t="str">
        <f>VLOOKUP(J413, Dropdowns!N:O, 2, FALSE)</f>
        <v>Standard</v>
      </c>
      <c r="J413" t="s">
        <v>760</v>
      </c>
      <c r="L413" s="17" t="s">
        <v>733</v>
      </c>
      <c r="M413" s="17" t="s">
        <v>9</v>
      </c>
      <c r="N413" s="17" t="s">
        <v>740</v>
      </c>
    </row>
    <row r="414" spans="1:14" x14ac:dyDescent="0.25">
      <c r="A414" s="10">
        <v>995084</v>
      </c>
      <c r="B414" s="22" t="str">
        <f>IFERROR(VLOOKUP(A414,VLOOKUPS!$A$2:B$12589,2,FALSE),"")</f>
        <v>Eat Smart Green Beans 12oz-standard</v>
      </c>
      <c r="E414">
        <v>1.88</v>
      </c>
      <c r="F414">
        <v>2.88</v>
      </c>
      <c r="G414" s="13">
        <v>44345</v>
      </c>
      <c r="H414" s="13"/>
      <c r="I414" s="22" t="str">
        <f>VLOOKUP(J414, Dropdowns!N:O, 2, FALSE)</f>
        <v>Standard</v>
      </c>
      <c r="J414" t="s">
        <v>760</v>
      </c>
      <c r="L414" s="17" t="s">
        <v>734</v>
      </c>
      <c r="M414" s="17" t="s">
        <v>10</v>
      </c>
      <c r="N414" s="17">
        <v>2</v>
      </c>
    </row>
    <row r="415" spans="1:14" x14ac:dyDescent="0.25">
      <c r="A415" s="10">
        <v>988890</v>
      </c>
      <c r="B415" s="22" t="str">
        <f>IFERROR(VLOOKUP(A415,VLOOKUPS!$A$2:B$12589,2,FALSE),"")</f>
        <v>Mushrooms Whole Baby Bella 8oz-standard</v>
      </c>
      <c r="E415">
        <v>1.49</v>
      </c>
      <c r="F415">
        <v>1.99</v>
      </c>
      <c r="G415" s="13">
        <v>44344</v>
      </c>
      <c r="H415" s="13"/>
      <c r="I415" s="22" t="str">
        <f>VLOOKUP(J415, Dropdowns!N:O, 2, FALSE)</f>
        <v>Standard</v>
      </c>
      <c r="J415" t="s">
        <v>760</v>
      </c>
      <c r="L415" s="17" t="s">
        <v>732</v>
      </c>
      <c r="M415" s="17" t="s">
        <v>736</v>
      </c>
      <c r="N415" s="17" t="s">
        <v>736</v>
      </c>
    </row>
    <row r="416" spans="1:14" x14ac:dyDescent="0.25">
      <c r="A416" s="10">
        <v>988490</v>
      </c>
      <c r="B416" s="22" t="str">
        <f>IFERROR(VLOOKUP(A416,VLOOKUPS!$A$2:B$12589,2,FALSE),"")</f>
        <v>Cabbage* 1lb-LOOSE</v>
      </c>
      <c r="E416">
        <v>0.55000000000000004</v>
      </c>
      <c r="F416">
        <v>0.78</v>
      </c>
      <c r="G416" s="13">
        <v>44344</v>
      </c>
      <c r="H416" s="13"/>
      <c r="I416" s="22" t="str">
        <f>VLOOKUP(J416, Dropdowns!N:O, 2, FALSE)</f>
        <v>Standard</v>
      </c>
      <c r="J416" t="s">
        <v>760</v>
      </c>
      <c r="L416" s="17" t="s">
        <v>732</v>
      </c>
      <c r="M416" s="17" t="s">
        <v>10</v>
      </c>
      <c r="N416" s="17">
        <v>2</v>
      </c>
    </row>
    <row r="417" spans="1:14" x14ac:dyDescent="0.25">
      <c r="A417" s="10">
        <v>995084</v>
      </c>
      <c r="B417" s="22" t="str">
        <f>IFERROR(VLOOKUP(A417,VLOOKUPS!$A$2:B$12589,2,FALSE),"")</f>
        <v>Eat Smart Green Beans 12oz-standard</v>
      </c>
      <c r="E417">
        <v>1.88</v>
      </c>
      <c r="F417">
        <v>2.78</v>
      </c>
      <c r="G417" s="13">
        <v>44346</v>
      </c>
      <c r="H417" s="13"/>
      <c r="I417" s="22" t="str">
        <f>VLOOKUP(J417, Dropdowns!N:O, 2, FALSE)</f>
        <v>Standard</v>
      </c>
      <c r="J417" t="s">
        <v>760</v>
      </c>
      <c r="L417" s="17" t="s">
        <v>733</v>
      </c>
      <c r="M417" s="17" t="s">
        <v>11</v>
      </c>
      <c r="N417" s="17" t="s">
        <v>740</v>
      </c>
    </row>
    <row r="418" spans="1:14" x14ac:dyDescent="0.25">
      <c r="A418" s="10">
        <v>984620</v>
      </c>
      <c r="B418" s="22" t="str">
        <f>IFERROR(VLOOKUP(A418,VLOOKUPS!$A$2:B$12589,2,FALSE),"")</f>
        <v>Raspberries 6oz-standard</v>
      </c>
      <c r="E418">
        <v>2.84</v>
      </c>
      <c r="F418">
        <v>2.44</v>
      </c>
      <c r="G418" s="13">
        <v>44345</v>
      </c>
      <c r="H418" s="13">
        <v>44346</v>
      </c>
      <c r="I418" s="22" t="str">
        <f>VLOOKUP(J418, Dropdowns!N:O, 2, FALSE)</f>
        <v>Lower Price</v>
      </c>
      <c r="J418" t="s">
        <v>759</v>
      </c>
      <c r="L418" s="17" t="s">
        <v>733</v>
      </c>
      <c r="M418" s="17" t="s">
        <v>11</v>
      </c>
      <c r="N418" s="17" t="s">
        <v>740</v>
      </c>
    </row>
    <row r="419" spans="1:14" x14ac:dyDescent="0.25">
      <c r="A419" s="10">
        <v>984620</v>
      </c>
      <c r="B419" s="22" t="str">
        <f>IFERROR(VLOOKUP(A419,VLOOKUPS!$A$2:B$12589,2,FALSE),"")</f>
        <v>Raspberries 6oz-standard</v>
      </c>
      <c r="E419">
        <v>2.44</v>
      </c>
      <c r="F419">
        <v>2.84</v>
      </c>
      <c r="G419" s="13">
        <v>44347</v>
      </c>
      <c r="H419" s="13"/>
      <c r="I419" s="22" t="str">
        <f>VLOOKUP(J419, Dropdowns!N:O, 2, FALSE)</f>
        <v>Standard</v>
      </c>
      <c r="J419" t="s">
        <v>760</v>
      </c>
      <c r="L419" s="17" t="s">
        <v>733</v>
      </c>
      <c r="M419" s="17" t="s">
        <v>11</v>
      </c>
      <c r="N419" s="17" t="s">
        <v>740</v>
      </c>
    </row>
    <row r="420" spans="1:14" x14ac:dyDescent="0.25">
      <c r="A420" s="10">
        <v>984701</v>
      </c>
      <c r="B420" s="22" t="str">
        <f>IFERROR(VLOOKUP(A420,VLOOKUPS!$A$2:B$12589,2,FALSE),"")</f>
        <v>Blackberries Super Sweet 6oz-standard</v>
      </c>
      <c r="E420">
        <v>3.49</v>
      </c>
      <c r="F420">
        <v>2.4900000000000002</v>
      </c>
      <c r="G420" s="13">
        <v>44345</v>
      </c>
      <c r="H420" s="13">
        <v>44346</v>
      </c>
      <c r="I420" s="22" t="str">
        <f>VLOOKUP(J420, Dropdowns!N:O, 2, FALSE)</f>
        <v>Lower Price</v>
      </c>
      <c r="J420" t="s">
        <v>759</v>
      </c>
      <c r="L420" s="17" t="s">
        <v>732</v>
      </c>
      <c r="M420" s="17" t="s">
        <v>10</v>
      </c>
      <c r="N420" s="17">
        <v>2</v>
      </c>
    </row>
    <row r="421" spans="1:14" x14ac:dyDescent="0.25">
      <c r="A421" s="10">
        <v>984701</v>
      </c>
      <c r="B421" s="22" t="str">
        <f>IFERROR(VLOOKUP(A421,VLOOKUPS!$A$2:B$12589,2,FALSE),"")</f>
        <v>Blackberries Super Sweet 6oz-standard</v>
      </c>
      <c r="E421">
        <v>2.4900000000000002</v>
      </c>
      <c r="F421">
        <v>3.49</v>
      </c>
      <c r="G421" s="13">
        <v>44347</v>
      </c>
      <c r="H421" s="13"/>
      <c r="I421" s="22" t="str">
        <f>VLOOKUP(J421, Dropdowns!N:O, 2, FALSE)</f>
        <v>Standard</v>
      </c>
      <c r="J421" t="s">
        <v>760</v>
      </c>
      <c r="L421" s="17" t="s">
        <v>732</v>
      </c>
      <c r="M421" s="17" t="s">
        <v>10</v>
      </c>
      <c r="N421" s="17">
        <v>2</v>
      </c>
    </row>
    <row r="422" spans="1:14" x14ac:dyDescent="0.25">
      <c r="A422" s="10">
        <v>995008</v>
      </c>
      <c r="B422" s="22" t="str">
        <f>IFERROR(VLOOKUP(A422,VLOOKUPS!$A$2:B$12589,2,FALSE),"")</f>
        <v>Shredded Lettuce 8oz-standard</v>
      </c>
      <c r="E422">
        <v>1.69</v>
      </c>
      <c r="F422">
        <v>1.49</v>
      </c>
      <c r="G422" s="13">
        <v>44348</v>
      </c>
      <c r="H422" s="13"/>
      <c r="I422" s="22" t="str">
        <f>VLOOKUP(J422, Dropdowns!N:O, 2, FALSE)</f>
        <v>Standard</v>
      </c>
      <c r="J422" t="s">
        <v>761</v>
      </c>
      <c r="L422" s="17" t="s">
        <v>734</v>
      </c>
      <c r="M422" s="17" t="s">
        <v>9</v>
      </c>
      <c r="N422" s="17">
        <v>8</v>
      </c>
    </row>
    <row r="423" spans="1:14" x14ac:dyDescent="0.25">
      <c r="A423" s="10">
        <v>995141</v>
      </c>
      <c r="B423" s="22" t="str">
        <f>IFERROR(VLOOKUP(A423,VLOOKUPS!$A$2:B$12589,2,FALSE),"")</f>
        <v>Watermelon Chunks 32oz-standard</v>
      </c>
      <c r="E423">
        <v>5.98</v>
      </c>
      <c r="F423">
        <v>6.29</v>
      </c>
      <c r="G423" s="13">
        <v>44348</v>
      </c>
      <c r="H423" s="13"/>
      <c r="I423" s="22" t="str">
        <f>VLOOKUP(J423, Dropdowns!N:O, 2, FALSE)</f>
        <v>Standard</v>
      </c>
      <c r="J423" t="s">
        <v>761</v>
      </c>
      <c r="L423" s="17" t="s">
        <v>732</v>
      </c>
      <c r="M423" s="17" t="s">
        <v>736</v>
      </c>
      <c r="N423" s="17" t="s">
        <v>736</v>
      </c>
    </row>
    <row r="424" spans="1:14" x14ac:dyDescent="0.25">
      <c r="A424" s="10">
        <v>984580</v>
      </c>
      <c r="B424" s="22" t="str">
        <f>IFERROR(VLOOKUP(A424,VLOOKUPS!$A$2:B$12589,2,FALSE),"")</f>
        <v>Organic Blueberries 6oz-standard</v>
      </c>
      <c r="E424">
        <v>3.39</v>
      </c>
      <c r="F424">
        <v>2.39</v>
      </c>
      <c r="G424" s="13">
        <v>44349</v>
      </c>
      <c r="H424" s="13">
        <v>44350</v>
      </c>
      <c r="I424" s="22" t="str">
        <f>VLOOKUP(J424, Dropdowns!N:O, 2, FALSE)</f>
        <v>Lower Price</v>
      </c>
      <c r="J424" t="s">
        <v>759</v>
      </c>
      <c r="L424" s="17" t="s">
        <v>732</v>
      </c>
      <c r="M424" s="17" t="s">
        <v>736</v>
      </c>
      <c r="N424" s="17" t="s">
        <v>736</v>
      </c>
    </row>
    <row r="425" spans="1:14" x14ac:dyDescent="0.25">
      <c r="A425" s="10">
        <v>984580</v>
      </c>
      <c r="B425" s="22" t="str">
        <f>IFERROR(VLOOKUP(A425,VLOOKUPS!$A$2:B$12589,2,FALSE),"")</f>
        <v>Organic Blueberries 6oz-standard</v>
      </c>
      <c r="E425">
        <v>2.39</v>
      </c>
      <c r="F425">
        <v>3.39</v>
      </c>
      <c r="G425" s="13">
        <v>44351</v>
      </c>
      <c r="H425" s="13"/>
      <c r="I425" s="22" t="str">
        <f>VLOOKUP(J425, Dropdowns!N:O, 2, FALSE)</f>
        <v>Standard</v>
      </c>
      <c r="J425" t="s">
        <v>760</v>
      </c>
      <c r="L425" s="17" t="s">
        <v>732</v>
      </c>
      <c r="M425" s="17" t="s">
        <v>736</v>
      </c>
      <c r="N425" s="17" t="s">
        <v>736</v>
      </c>
    </row>
    <row r="426" spans="1:14" x14ac:dyDescent="0.25">
      <c r="A426" s="10">
        <v>984660</v>
      </c>
      <c r="B426" s="22" t="str">
        <f>IFERROR(VLOOKUP(A426,VLOOKUPS!$A$2:B$12589,2,FALSE),"")</f>
        <v>Organic Raspberries 6oz-standard</v>
      </c>
      <c r="E426">
        <v>3.89</v>
      </c>
      <c r="F426">
        <v>2.4900000000000002</v>
      </c>
      <c r="G426" s="13">
        <v>44349</v>
      </c>
      <c r="H426" s="13">
        <v>44350</v>
      </c>
      <c r="I426" s="22" t="str">
        <f>VLOOKUP(J426, Dropdowns!N:O, 2, FALSE)</f>
        <v>Lower Price</v>
      </c>
      <c r="J426" t="s">
        <v>759</v>
      </c>
      <c r="L426" s="17" t="s">
        <v>733</v>
      </c>
      <c r="M426" s="17" t="s">
        <v>11</v>
      </c>
      <c r="N426" s="17" t="s">
        <v>740</v>
      </c>
    </row>
    <row r="427" spans="1:14" x14ac:dyDescent="0.25">
      <c r="A427" s="10">
        <v>984660</v>
      </c>
      <c r="B427" s="22" t="str">
        <f>IFERROR(VLOOKUP(A427,VLOOKUPS!$A$2:B$12589,2,FALSE),"")</f>
        <v>Organic Raspberries 6oz-standard</v>
      </c>
      <c r="E427">
        <v>2.4900000000000002</v>
      </c>
      <c r="F427">
        <v>3.89</v>
      </c>
      <c r="G427" s="13">
        <v>44351</v>
      </c>
      <c r="H427" s="13"/>
      <c r="I427" s="22" t="str">
        <f>VLOOKUP(J427, Dropdowns!N:O, 2, FALSE)</f>
        <v>Standard</v>
      </c>
      <c r="J427" t="s">
        <v>760</v>
      </c>
      <c r="L427" s="17" t="s">
        <v>733</v>
      </c>
      <c r="M427" s="17" t="s">
        <v>11</v>
      </c>
      <c r="N427" s="17" t="s">
        <v>740</v>
      </c>
    </row>
    <row r="428" spans="1:14" x14ac:dyDescent="0.25">
      <c r="A428" s="10">
        <v>995041</v>
      </c>
      <c r="B428" s="22" t="str">
        <f>IFERROR(VLOOKUP(A428,VLOOKUPS!$A$2:B$12589,2,FALSE),"")</f>
        <v>Pineapple Spears 16oz-standard</v>
      </c>
      <c r="E428">
        <v>3.29</v>
      </c>
      <c r="F428">
        <v>2.29</v>
      </c>
      <c r="G428" s="13">
        <v>44349</v>
      </c>
      <c r="H428" s="13">
        <v>44350</v>
      </c>
      <c r="I428" s="22" t="str">
        <f>VLOOKUP(J428, Dropdowns!N:O, 2, FALSE)</f>
        <v>Lower Price</v>
      </c>
      <c r="J428" t="s">
        <v>759</v>
      </c>
      <c r="L428" s="17" t="s">
        <v>732</v>
      </c>
      <c r="M428" s="17" t="s">
        <v>737</v>
      </c>
      <c r="N428" s="17" t="s">
        <v>736</v>
      </c>
    </row>
    <row r="429" spans="1:14" x14ac:dyDescent="0.25">
      <c r="A429" s="10">
        <v>995041</v>
      </c>
      <c r="B429" s="22" t="str">
        <f>IFERROR(VLOOKUP(A429,VLOOKUPS!$A$2:B$12589,2,FALSE),"")</f>
        <v>Pineapple Spears 16oz-standard</v>
      </c>
      <c r="E429">
        <v>2.29</v>
      </c>
      <c r="F429">
        <v>3.29</v>
      </c>
      <c r="G429" s="13">
        <v>44351</v>
      </c>
      <c r="H429" s="13"/>
      <c r="I429" s="22" t="str">
        <f>VLOOKUP(J429, Dropdowns!N:O, 2, FALSE)</f>
        <v>Standard</v>
      </c>
      <c r="J429" t="s">
        <v>760</v>
      </c>
      <c r="L429" s="17" t="s">
        <v>732</v>
      </c>
      <c r="M429" s="17" t="s">
        <v>737</v>
      </c>
      <c r="N429" s="17" t="s">
        <v>736</v>
      </c>
    </row>
    <row r="430" spans="1:14" x14ac:dyDescent="0.25">
      <c r="A430" s="10">
        <v>995042</v>
      </c>
      <c r="B430" s="22" t="str">
        <f>IFERROR(VLOOKUP(A430,VLOOKUPS!$A$2:B$12589,2,FALSE),"")</f>
        <v>Mango Chunks 16oz-standard</v>
      </c>
      <c r="E430">
        <v>3.99</v>
      </c>
      <c r="F430">
        <v>2.4900000000000002</v>
      </c>
      <c r="G430" s="13">
        <v>44349</v>
      </c>
      <c r="H430" s="13">
        <v>44349</v>
      </c>
      <c r="I430" s="22" t="str">
        <f>VLOOKUP(J430, Dropdowns!N:O, 2, FALSE)</f>
        <v>Lower Price</v>
      </c>
      <c r="J430" t="s">
        <v>759</v>
      </c>
      <c r="L430" s="17" t="s">
        <v>732</v>
      </c>
      <c r="M430" s="17" t="s">
        <v>10</v>
      </c>
      <c r="N430" s="17">
        <v>2</v>
      </c>
    </row>
    <row r="431" spans="1:14" x14ac:dyDescent="0.25">
      <c r="A431" s="10">
        <v>995042</v>
      </c>
      <c r="B431" s="22" t="str">
        <f>IFERROR(VLOOKUP(A431,VLOOKUPS!$A$2:B$12589,2,FALSE),"")</f>
        <v>Mango Chunks 16oz-standard</v>
      </c>
      <c r="E431">
        <v>2.4900000000000002</v>
      </c>
      <c r="F431">
        <v>3.99</v>
      </c>
      <c r="G431" s="13">
        <v>44350</v>
      </c>
      <c r="H431" s="13"/>
      <c r="I431" s="22" t="str">
        <f>VLOOKUP(J431, Dropdowns!N:O, 2, FALSE)</f>
        <v>Standard</v>
      </c>
      <c r="J431" t="s">
        <v>760</v>
      </c>
      <c r="L431" s="17" t="s">
        <v>732</v>
      </c>
      <c r="M431" s="17" t="s">
        <v>10</v>
      </c>
      <c r="N431" s="17">
        <v>2</v>
      </c>
    </row>
    <row r="432" spans="1:14" x14ac:dyDescent="0.25">
      <c r="A432" s="10">
        <v>995082</v>
      </c>
      <c r="B432" s="22" t="str">
        <f>IFERROR(VLOOKUP(A432,VLOOKUPS!$A$2:B$12589,2,FALSE),"")</f>
        <v>Melon Trio 16oz-standard</v>
      </c>
      <c r="E432">
        <v>3.99</v>
      </c>
      <c r="F432">
        <v>2.99</v>
      </c>
      <c r="G432" s="13">
        <v>44349</v>
      </c>
      <c r="H432" s="13">
        <v>44350</v>
      </c>
      <c r="I432" s="22" t="str">
        <f>VLOOKUP(J432, Dropdowns!N:O, 2, FALSE)</f>
        <v>Lower Price</v>
      </c>
      <c r="J432" t="s">
        <v>759</v>
      </c>
      <c r="L432" s="17" t="s">
        <v>733</v>
      </c>
      <c r="M432" s="17" t="s">
        <v>11</v>
      </c>
      <c r="N432" s="17" t="s">
        <v>740</v>
      </c>
    </row>
    <row r="433" spans="1:14" x14ac:dyDescent="0.25">
      <c r="A433" s="10">
        <v>995082</v>
      </c>
      <c r="B433" s="22" t="str">
        <f>IFERROR(VLOOKUP(A433,VLOOKUPS!$A$2:B$12589,2,FALSE),"")</f>
        <v>Melon Trio 16oz-standard</v>
      </c>
      <c r="E433">
        <v>2.99</v>
      </c>
      <c r="F433">
        <v>3.99</v>
      </c>
      <c r="G433" s="13">
        <v>44351</v>
      </c>
      <c r="H433" s="13"/>
      <c r="I433" s="22" t="str">
        <f>VLOOKUP(J433, Dropdowns!N:O, 2, FALSE)</f>
        <v>Standard</v>
      </c>
      <c r="J433" t="s">
        <v>760</v>
      </c>
      <c r="L433" s="17" t="s">
        <v>733</v>
      </c>
      <c r="M433" s="17" t="s">
        <v>11</v>
      </c>
      <c r="N433" s="17" t="s">
        <v>740</v>
      </c>
    </row>
    <row r="434" spans="1:14" x14ac:dyDescent="0.25">
      <c r="A434" s="10">
        <v>995084</v>
      </c>
      <c r="B434" s="22" t="str">
        <f>IFERROR(VLOOKUP(A434,VLOOKUPS!$A$2:B$12589,2,FALSE),"")</f>
        <v>Eat Smart Green Beans 12oz-standard</v>
      </c>
      <c r="E434">
        <v>2.78</v>
      </c>
      <c r="F434">
        <v>1.48</v>
      </c>
      <c r="G434" s="13">
        <v>44349</v>
      </c>
      <c r="H434" s="13">
        <v>44350</v>
      </c>
      <c r="I434" s="22" t="str">
        <f>VLOOKUP(J434, Dropdowns!N:O, 2, FALSE)</f>
        <v>Lower Price</v>
      </c>
      <c r="J434" t="s">
        <v>759</v>
      </c>
      <c r="L434" s="17" t="s">
        <v>733</v>
      </c>
      <c r="M434" s="17" t="s">
        <v>11</v>
      </c>
      <c r="N434" s="17" t="s">
        <v>740</v>
      </c>
    </row>
    <row r="435" spans="1:14" x14ac:dyDescent="0.25">
      <c r="A435" s="10">
        <v>995084</v>
      </c>
      <c r="B435" s="22" t="str">
        <f>IFERROR(VLOOKUP(A435,VLOOKUPS!$A$2:B$12589,2,FALSE),"")</f>
        <v>Eat Smart Green Beans 12oz-standard</v>
      </c>
      <c r="E435">
        <v>1.48</v>
      </c>
      <c r="F435">
        <v>2.78</v>
      </c>
      <c r="G435" s="13">
        <v>44351</v>
      </c>
      <c r="H435" s="13"/>
      <c r="I435" s="22" t="str">
        <f>VLOOKUP(J435, Dropdowns!N:O, 2, FALSE)</f>
        <v>Standard</v>
      </c>
      <c r="J435" t="s">
        <v>760</v>
      </c>
      <c r="L435" s="17" t="s">
        <v>733</v>
      </c>
      <c r="M435" s="17" t="s">
        <v>11</v>
      </c>
      <c r="N435" s="17" t="s">
        <v>740</v>
      </c>
    </row>
    <row r="436" spans="1:14" x14ac:dyDescent="0.25">
      <c r="A436" s="10">
        <v>995101</v>
      </c>
      <c r="B436" s="22" t="str">
        <f>IFERROR(VLOOKUP(A436,VLOOKUPS!$A$2:B$12589,2,FALSE),"")</f>
        <v>Avocado Ranch Salad Kit 11.3oz-standard</v>
      </c>
      <c r="E436">
        <v>2.9</v>
      </c>
      <c r="F436">
        <v>1.7</v>
      </c>
      <c r="G436" s="13">
        <v>44349</v>
      </c>
      <c r="H436" s="13">
        <v>44350</v>
      </c>
      <c r="I436" s="22" t="str">
        <f>VLOOKUP(J436, Dropdowns!N:O, 2, FALSE)</f>
        <v>Lower Price</v>
      </c>
      <c r="J436" t="s">
        <v>759</v>
      </c>
      <c r="L436" s="17" t="s">
        <v>733</v>
      </c>
      <c r="M436" s="17" t="s">
        <v>11</v>
      </c>
      <c r="N436" s="17" t="s">
        <v>740</v>
      </c>
    </row>
    <row r="437" spans="1:14" x14ac:dyDescent="0.25">
      <c r="A437" s="10">
        <v>995101</v>
      </c>
      <c r="B437" s="22" t="str">
        <f>IFERROR(VLOOKUP(A437,VLOOKUPS!$A$2:B$12589,2,FALSE),"")</f>
        <v>Avocado Ranch Salad Kit 11.3oz-standard</v>
      </c>
      <c r="E437">
        <v>1.7</v>
      </c>
      <c r="F437">
        <v>2.9</v>
      </c>
      <c r="G437" s="13">
        <v>44351</v>
      </c>
      <c r="H437" s="13"/>
      <c r="I437" s="22" t="str">
        <f>VLOOKUP(J437, Dropdowns!N:O, 2, FALSE)</f>
        <v>Standard</v>
      </c>
      <c r="J437" t="s">
        <v>760</v>
      </c>
      <c r="L437" s="17" t="s">
        <v>733</v>
      </c>
      <c r="M437" s="17" t="s">
        <v>11</v>
      </c>
      <c r="N437" s="17" t="s">
        <v>740</v>
      </c>
    </row>
    <row r="438" spans="1:14" x14ac:dyDescent="0.25">
      <c r="A438" s="10">
        <v>995102</v>
      </c>
      <c r="B438" s="22" t="str">
        <f>IFERROR(VLOOKUP(A438,VLOOKUPS!$A$2:B$12589,2,FALSE),"")</f>
        <v>Cantaloupe Chunks 16oz-standard</v>
      </c>
      <c r="E438">
        <v>3.3</v>
      </c>
      <c r="F438">
        <v>2</v>
      </c>
      <c r="G438" s="13">
        <v>44349</v>
      </c>
      <c r="H438" s="13">
        <v>44350</v>
      </c>
      <c r="I438" s="22" t="str">
        <f>VLOOKUP(J438, Dropdowns!N:O, 2, FALSE)</f>
        <v>Lower Price</v>
      </c>
      <c r="J438" t="s">
        <v>759</v>
      </c>
      <c r="L438" s="17" t="s">
        <v>733</v>
      </c>
      <c r="M438" s="17" t="s">
        <v>11</v>
      </c>
      <c r="N438" s="17" t="s">
        <v>740</v>
      </c>
    </row>
    <row r="439" spans="1:14" x14ac:dyDescent="0.25">
      <c r="A439" s="10">
        <v>995102</v>
      </c>
      <c r="B439" s="22" t="str">
        <f>IFERROR(VLOOKUP(A439,VLOOKUPS!$A$2:B$12589,2,FALSE),"")</f>
        <v>Cantaloupe Chunks 16oz-standard</v>
      </c>
      <c r="E439">
        <v>2</v>
      </c>
      <c r="F439">
        <v>3.3</v>
      </c>
      <c r="G439" s="13">
        <v>44351</v>
      </c>
      <c r="H439" s="13"/>
      <c r="I439" s="22" t="str">
        <f>VLOOKUP(J439, Dropdowns!N:O, 2, FALSE)</f>
        <v>Standard</v>
      </c>
      <c r="J439" t="s">
        <v>760</v>
      </c>
      <c r="L439" s="17" t="s">
        <v>733</v>
      </c>
      <c r="M439" s="17" t="s">
        <v>11</v>
      </c>
      <c r="N439" s="17" t="s">
        <v>740</v>
      </c>
    </row>
    <row r="440" spans="1:14" x14ac:dyDescent="0.25">
      <c r="A440" s="10">
        <v>995115</v>
      </c>
      <c r="B440" s="22" t="str">
        <f>IFERROR(VLOOKUP(A440,VLOOKUPS!$A$2:B$12589,2,FALSE),"")</f>
        <v>Pineapple Chunks 10oz-standard</v>
      </c>
      <c r="E440">
        <v>2.29</v>
      </c>
      <c r="F440">
        <v>1.19</v>
      </c>
      <c r="G440" s="13">
        <v>44349</v>
      </c>
      <c r="H440" s="13">
        <v>44350</v>
      </c>
      <c r="I440" s="22" t="str">
        <f>VLOOKUP(J440, Dropdowns!N:O, 2, FALSE)</f>
        <v>Lower Price</v>
      </c>
      <c r="J440" t="s">
        <v>759</v>
      </c>
      <c r="L440" s="17" t="s">
        <v>733</v>
      </c>
      <c r="M440" s="17" t="s">
        <v>11</v>
      </c>
      <c r="N440" s="17" t="s">
        <v>740</v>
      </c>
    </row>
    <row r="441" spans="1:14" x14ac:dyDescent="0.25">
      <c r="A441" s="10">
        <v>995115</v>
      </c>
      <c r="B441" s="22" t="str">
        <f>IFERROR(VLOOKUP(A441,VLOOKUPS!$A$2:B$12589,2,FALSE),"")</f>
        <v>Pineapple Chunks 10oz-standard</v>
      </c>
      <c r="E441">
        <v>1.19</v>
      </c>
      <c r="F441">
        <v>2.29</v>
      </c>
      <c r="G441" s="13">
        <v>44351</v>
      </c>
      <c r="H441" s="13"/>
      <c r="I441" s="22" t="str">
        <f>VLOOKUP(J441, Dropdowns!N:O, 2, FALSE)</f>
        <v>Standard</v>
      </c>
      <c r="J441" t="s">
        <v>760</v>
      </c>
      <c r="L441" s="17" t="s">
        <v>733</v>
      </c>
      <c r="M441" s="17" t="s">
        <v>11</v>
      </c>
      <c r="N441" s="17" t="s">
        <v>740</v>
      </c>
    </row>
    <row r="442" spans="1:14" x14ac:dyDescent="0.25">
      <c r="A442" s="10">
        <v>995132</v>
      </c>
      <c r="B442" s="22" t="str">
        <f>IFERROR(VLOOKUP(A442,VLOOKUPS!$A$2:B$12589,2,FALSE),"")</f>
        <v>Fruit Mixed 10oz-standard</v>
      </c>
      <c r="E442">
        <v>2.59</v>
      </c>
      <c r="F442">
        <v>1.39</v>
      </c>
      <c r="G442" s="13">
        <v>44349</v>
      </c>
      <c r="H442" s="13">
        <v>44350</v>
      </c>
      <c r="I442" s="22" t="str">
        <f>VLOOKUP(J442, Dropdowns!N:O, 2, FALSE)</f>
        <v>Lower Price</v>
      </c>
      <c r="J442" t="s">
        <v>759</v>
      </c>
      <c r="L442" s="17" t="s">
        <v>733</v>
      </c>
      <c r="M442" s="17" t="s">
        <v>11</v>
      </c>
      <c r="N442" s="17" t="s">
        <v>740</v>
      </c>
    </row>
    <row r="443" spans="1:14" x14ac:dyDescent="0.25">
      <c r="A443" s="10">
        <v>995132</v>
      </c>
      <c r="B443" s="22" t="str">
        <f>IFERROR(VLOOKUP(A443,VLOOKUPS!$A$2:B$12589,2,FALSE),"")</f>
        <v>Fruit Mixed 10oz-standard</v>
      </c>
      <c r="E443">
        <v>1.39</v>
      </c>
      <c r="F443">
        <v>2.59</v>
      </c>
      <c r="G443" s="13">
        <v>44351</v>
      </c>
      <c r="H443" s="13"/>
      <c r="I443" s="22" t="str">
        <f>VLOOKUP(J443, Dropdowns!N:O, 2, FALSE)</f>
        <v>Standard</v>
      </c>
      <c r="J443" t="s">
        <v>760</v>
      </c>
      <c r="L443" s="17" t="s">
        <v>733</v>
      </c>
      <c r="M443" s="17" t="s">
        <v>11</v>
      </c>
      <c r="N443" s="17" t="s">
        <v>740</v>
      </c>
    </row>
    <row r="444" spans="1:14" x14ac:dyDescent="0.25">
      <c r="A444" s="10">
        <v>988620</v>
      </c>
      <c r="B444" s="22" t="str">
        <f>IFERROR(VLOOKUP(A444,VLOOKUPS!$A$2:B$12589,2,FALSE),"")</f>
        <v>Brussels Sprouts 1lb-standard</v>
      </c>
      <c r="G444" s="13">
        <v>44349</v>
      </c>
      <c r="H444" s="13">
        <v>44355</v>
      </c>
      <c r="I444" s="22" t="str">
        <f>VLOOKUP(J444, Dropdowns!N:O, 2, FALSE)</f>
        <v>Lower Price</v>
      </c>
      <c r="J444" t="s">
        <v>753</v>
      </c>
      <c r="L444" s="17" t="s">
        <v>732</v>
      </c>
      <c r="M444" s="17" t="s">
        <v>736</v>
      </c>
      <c r="N444" s="17" t="s">
        <v>736</v>
      </c>
    </row>
    <row r="445" spans="1:14" x14ac:dyDescent="0.25">
      <c r="A445" s="10">
        <v>985760</v>
      </c>
      <c r="B445" s="22" t="str">
        <f>IFERROR(VLOOKUP(A445,VLOOKUPS!$A$2:B$12589,2,FALSE),"")</f>
        <v>Asparagus 1lb-standard</v>
      </c>
      <c r="G445" s="13">
        <v>44349</v>
      </c>
      <c r="H445" s="13">
        <v>44355</v>
      </c>
      <c r="I445" s="22" t="str">
        <f>VLOOKUP(J445, Dropdowns!N:O, 2, FALSE)</f>
        <v>Lower Price</v>
      </c>
      <c r="J445" t="s">
        <v>753</v>
      </c>
      <c r="L445" s="17" t="s">
        <v>732</v>
      </c>
      <c r="M445" s="17" t="s">
        <v>736</v>
      </c>
      <c r="N445" s="17" t="s">
        <v>736</v>
      </c>
    </row>
    <row r="446" spans="1:14" x14ac:dyDescent="0.25">
      <c r="A446" s="10">
        <v>995035</v>
      </c>
      <c r="B446" s="22" t="str">
        <f>IFERROR(VLOOKUP(A446,VLOOKUPS!$A$2:B$12589,2,FALSE),"")</f>
        <v>Kale Greens 16oz-standard</v>
      </c>
      <c r="G446" s="13">
        <v>44349</v>
      </c>
      <c r="H446" s="13">
        <v>44355</v>
      </c>
      <c r="I446" s="22" t="str">
        <f>VLOOKUP(J446, Dropdowns!N:O, 2, FALSE)</f>
        <v>Lower Price</v>
      </c>
      <c r="J446" t="s">
        <v>753</v>
      </c>
      <c r="L446" s="17" t="s">
        <v>732</v>
      </c>
      <c r="M446" s="17" t="s">
        <v>736</v>
      </c>
      <c r="N446" s="17" t="s">
        <v>736</v>
      </c>
    </row>
    <row r="447" spans="1:14" x14ac:dyDescent="0.25">
      <c r="A447" s="10">
        <v>995104</v>
      </c>
      <c r="B447" s="22" t="str">
        <f>IFERROR(VLOOKUP(A447,VLOOKUPS!$A$2:B$12589,2,FALSE),"")</f>
        <v>Ginger Garlic Stir Fry Kit 14oz-standard</v>
      </c>
      <c r="G447" s="13">
        <v>44349</v>
      </c>
      <c r="H447" s="13">
        <v>44355</v>
      </c>
      <c r="I447" s="22" t="str">
        <f>VLOOKUP(J447, Dropdowns!N:O, 2, FALSE)</f>
        <v>Lower Price</v>
      </c>
      <c r="J447" t="s">
        <v>753</v>
      </c>
      <c r="L447" s="17" t="s">
        <v>732</v>
      </c>
      <c r="M447" s="17" t="s">
        <v>736</v>
      </c>
      <c r="N447" s="17" t="s">
        <v>736</v>
      </c>
    </row>
    <row r="448" spans="1:14" x14ac:dyDescent="0.25">
      <c r="A448" s="10">
        <v>995103</v>
      </c>
      <c r="B448" s="22" t="str">
        <f>IFERROR(VLOOKUP(A448,VLOOKUPS!$A$2:B$12589,2,FALSE),"")</f>
        <v>Teriyaki Stir Fry Kit 12.5oz-standard</v>
      </c>
      <c r="G448" s="13">
        <v>44349</v>
      </c>
      <c r="H448" s="13">
        <v>44355</v>
      </c>
      <c r="I448" s="22" t="str">
        <f>VLOOKUP(J448, Dropdowns!N:O, 2, FALSE)</f>
        <v>Lower Price</v>
      </c>
      <c r="J448" t="s">
        <v>753</v>
      </c>
      <c r="L448" s="17" t="s">
        <v>732</v>
      </c>
      <c r="M448" s="17" t="s">
        <v>736</v>
      </c>
      <c r="N448" s="17" t="s">
        <v>736</v>
      </c>
    </row>
    <row r="449" spans="1:14" x14ac:dyDescent="0.25">
      <c r="A449" s="10">
        <v>995008</v>
      </c>
      <c r="B449" s="22" t="str">
        <f>IFERROR(VLOOKUP(A449,VLOOKUPS!$A$2:B$12589,2,FALSE),"")</f>
        <v>Shredded Lettuce 8oz-standard</v>
      </c>
      <c r="G449" s="13">
        <v>44349</v>
      </c>
      <c r="H449" s="13">
        <v>44355</v>
      </c>
      <c r="I449" s="22" t="str">
        <f>VLOOKUP(J449, Dropdowns!N:O, 2, FALSE)</f>
        <v>Lower Price</v>
      </c>
      <c r="J449" t="s">
        <v>753</v>
      </c>
      <c r="L449" s="17" t="s">
        <v>732</v>
      </c>
      <c r="M449" s="17" t="s">
        <v>736</v>
      </c>
      <c r="N449" s="17" t="s">
        <v>736</v>
      </c>
    </row>
    <row r="450" spans="1:14" x14ac:dyDescent="0.25">
      <c r="A450" s="10">
        <v>984541</v>
      </c>
      <c r="B450" s="22" t="str">
        <f>IFERROR(VLOOKUP(A450,VLOOKUPS!$A$2:B$12589,2,FALSE),"")</f>
        <v>Blueberries 1pt-standard</v>
      </c>
      <c r="E450">
        <v>2.4900000000000002</v>
      </c>
      <c r="F450">
        <v>2.64</v>
      </c>
      <c r="G450" s="13">
        <v>44349</v>
      </c>
      <c r="H450" s="13"/>
      <c r="I450" s="22" t="str">
        <f>VLOOKUP(J450, Dropdowns!N:O, 2, FALSE)</f>
        <v>Standard</v>
      </c>
      <c r="J450" t="s">
        <v>760</v>
      </c>
      <c r="L450" s="17" t="s">
        <v>732</v>
      </c>
      <c r="M450" s="17" t="s">
        <v>736</v>
      </c>
      <c r="N450" s="17" t="s">
        <v>736</v>
      </c>
    </row>
    <row r="451" spans="1:14" x14ac:dyDescent="0.25">
      <c r="A451" s="10">
        <v>995043</v>
      </c>
      <c r="B451" s="22" t="str">
        <f>IFERROR(VLOOKUP(A451,VLOOKUPS!$A$2:B$12589,2,FALSE),"")</f>
        <v>Watermelon Chunks 16oz-standard</v>
      </c>
      <c r="E451">
        <v>1.79</v>
      </c>
      <c r="F451">
        <v>3.29</v>
      </c>
      <c r="G451" s="13">
        <v>44349</v>
      </c>
      <c r="H451" s="13"/>
      <c r="I451" s="22" t="str">
        <f>VLOOKUP(J451, Dropdowns!N:O, 2, FALSE)</f>
        <v>Standard</v>
      </c>
      <c r="J451" t="s">
        <v>760</v>
      </c>
      <c r="L451" s="17" t="s">
        <v>732</v>
      </c>
      <c r="M451" s="17" t="s">
        <v>736</v>
      </c>
      <c r="N451" s="17" t="s">
        <v>736</v>
      </c>
    </row>
    <row r="452" spans="1:14" x14ac:dyDescent="0.25">
      <c r="A452" s="10">
        <v>983251</v>
      </c>
      <c r="B452" s="22" t="str">
        <f>IFERROR(VLOOKUP(A452,VLOOKUPS!$A$2:B$12589,2,FALSE),"")</f>
        <v>Watermelons Large Seedless 1ct-LOOSE</v>
      </c>
      <c r="E452">
        <v>3.99</v>
      </c>
      <c r="F452">
        <v>6.89</v>
      </c>
      <c r="G452" s="13">
        <v>44349</v>
      </c>
      <c r="H452" s="13"/>
      <c r="I452" s="22" t="str">
        <f>VLOOKUP(J452, Dropdowns!N:O, 2, FALSE)</f>
        <v>Standard</v>
      </c>
      <c r="J452" t="s">
        <v>760</v>
      </c>
      <c r="L452" s="17" t="s">
        <v>732</v>
      </c>
      <c r="M452" s="17" t="s">
        <v>736</v>
      </c>
      <c r="N452" s="17" t="s">
        <v>736</v>
      </c>
    </row>
    <row r="453" spans="1:14" x14ac:dyDescent="0.25">
      <c r="A453" s="10">
        <v>995018</v>
      </c>
      <c r="B453" s="22" t="str">
        <f>IFERROR(VLOOKUP(A453,VLOOKUPS!$A$2:B$12589,2,FALSE),"")</f>
        <v>RTE Large Chicken Caesar Salad 13.1oz-standard</v>
      </c>
      <c r="E453">
        <v>3.99</v>
      </c>
      <c r="F453">
        <v>4.99</v>
      </c>
      <c r="G453" s="13">
        <v>44349</v>
      </c>
      <c r="H453" s="13"/>
      <c r="I453" s="22" t="str">
        <f>VLOOKUP(J453, Dropdowns!N:O, 2, FALSE)</f>
        <v>Standard</v>
      </c>
      <c r="J453" t="s">
        <v>760</v>
      </c>
      <c r="L453" s="17" t="s">
        <v>732</v>
      </c>
      <c r="M453" s="17" t="s">
        <v>735</v>
      </c>
      <c r="N453" s="17" t="s">
        <v>736</v>
      </c>
    </row>
    <row r="454" spans="1:14" x14ac:dyDescent="0.25">
      <c r="A454" s="10">
        <v>995018</v>
      </c>
      <c r="B454" s="22" t="str">
        <f>IFERROR(VLOOKUP(A454,VLOOKUPS!$A$2:B$12589,2,FALSE),"")</f>
        <v>RTE Large Chicken Caesar Salad 13.1oz-standard</v>
      </c>
      <c r="G454" s="13">
        <v>44349</v>
      </c>
      <c r="H454" s="13">
        <v>44350</v>
      </c>
      <c r="I454" s="22" t="str">
        <f>VLOOKUP(J454, Dropdowns!N:O, 2, FALSE)</f>
        <v>Lower Price</v>
      </c>
      <c r="J454" t="s">
        <v>762</v>
      </c>
      <c r="L454" s="17" t="s">
        <v>733</v>
      </c>
      <c r="M454" s="17" t="s">
        <v>11</v>
      </c>
      <c r="N454" s="17" t="s">
        <v>740</v>
      </c>
    </row>
    <row r="455" spans="1:14" x14ac:dyDescent="0.25">
      <c r="A455" s="10">
        <v>995022</v>
      </c>
      <c r="B455" s="22" t="str">
        <f>IFERROR(VLOOKUP(A455,VLOOKUPS!$A$2:B$12589,2,FALSE),"")</f>
        <v>American Blend 12oz-standard</v>
      </c>
      <c r="E455">
        <v>1.49</v>
      </c>
      <c r="F455">
        <v>1.99</v>
      </c>
      <c r="G455" s="13">
        <v>44349</v>
      </c>
      <c r="H455" s="13"/>
      <c r="I455" s="22" t="str">
        <f>VLOOKUP(J455, Dropdowns!N:O, 2, FALSE)</f>
        <v>Standard</v>
      </c>
      <c r="J455" t="s">
        <v>760</v>
      </c>
      <c r="L455" s="17" t="s">
        <v>732</v>
      </c>
      <c r="M455" s="17" t="s">
        <v>735</v>
      </c>
      <c r="N455" s="17" t="s">
        <v>736</v>
      </c>
    </row>
    <row r="456" spans="1:14" x14ac:dyDescent="0.25">
      <c r="A456" s="10">
        <v>995022</v>
      </c>
      <c r="B456" s="22" t="str">
        <f>IFERROR(VLOOKUP(A456,VLOOKUPS!$A$2:B$12589,2,FALSE),"")</f>
        <v>American Blend 12oz-standard</v>
      </c>
      <c r="G456" s="13">
        <v>44349</v>
      </c>
      <c r="H456" s="13">
        <v>44350</v>
      </c>
      <c r="I456" s="22" t="str">
        <f>VLOOKUP(J456, Dropdowns!N:O, 2, FALSE)</f>
        <v>Lower Price</v>
      </c>
      <c r="J456" t="s">
        <v>762</v>
      </c>
      <c r="L456" s="17" t="s">
        <v>733</v>
      </c>
      <c r="M456" s="17" t="s">
        <v>11</v>
      </c>
      <c r="N456" s="17" t="s">
        <v>740</v>
      </c>
    </row>
    <row r="457" spans="1:14" x14ac:dyDescent="0.25">
      <c r="A457" s="10">
        <v>982430</v>
      </c>
      <c r="B457" s="22" t="str">
        <f>IFERROR(VLOOKUP(A457,VLOOKUPS!$A$2:B$12589,2,FALSE),"")</f>
        <v>Plums 2lb-standard</v>
      </c>
      <c r="D457">
        <v>10</v>
      </c>
      <c r="G457" s="13">
        <v>44350</v>
      </c>
      <c r="H457" s="13"/>
      <c r="I457" s="22" t="str">
        <f>VLOOKUP(J457, Dropdowns!N:O, 2, FALSE)</f>
        <v>NA</v>
      </c>
      <c r="J457" t="s">
        <v>754</v>
      </c>
      <c r="L457" s="17" t="s">
        <v>732</v>
      </c>
    </row>
    <row r="458" spans="1:14" x14ac:dyDescent="0.25">
      <c r="A458" s="10">
        <v>983251</v>
      </c>
      <c r="B458" s="22" t="str">
        <f>IFERROR(VLOOKUP(A458,VLOOKUPS!$A$2:B$12589,2,FALSE),"")</f>
        <v>Watermelons Large Seedless 1ct-LOOSE</v>
      </c>
      <c r="E458">
        <v>6.98</v>
      </c>
      <c r="F458">
        <v>5.48</v>
      </c>
      <c r="G458" s="13">
        <v>44350</v>
      </c>
      <c r="H458" s="13"/>
      <c r="I458" s="22" t="str">
        <f>VLOOKUP(J458, Dropdowns!N:O, 2, FALSE)</f>
        <v>Standard</v>
      </c>
      <c r="J458" t="s">
        <v>761</v>
      </c>
      <c r="L458" s="17" t="s">
        <v>732</v>
      </c>
      <c r="M458" s="17" t="s">
        <v>736</v>
      </c>
      <c r="N458" s="17" t="s">
        <v>736</v>
      </c>
    </row>
    <row r="459" spans="1:14" x14ac:dyDescent="0.25">
      <c r="A459" s="10">
        <v>984461</v>
      </c>
      <c r="B459" s="22" t="str">
        <f>IFERROR(VLOOKUP(A459,VLOOKUPS!$A$2:B$12589,2,FALSE),"")</f>
        <v>Strawberries 2lb-standard</v>
      </c>
      <c r="E459">
        <v>3.99</v>
      </c>
      <c r="F459">
        <v>3.29</v>
      </c>
      <c r="G459" s="13">
        <v>44350</v>
      </c>
      <c r="H459" s="13">
        <v>44351</v>
      </c>
      <c r="I459" s="22" t="str">
        <f>VLOOKUP(J459, Dropdowns!N:O, 2, FALSE)</f>
        <v>Lower Price</v>
      </c>
      <c r="J459" t="s">
        <v>759</v>
      </c>
      <c r="L459" s="17" t="s">
        <v>733</v>
      </c>
      <c r="M459" s="17" t="s">
        <v>11</v>
      </c>
      <c r="N459" s="17" t="s">
        <v>740</v>
      </c>
    </row>
    <row r="460" spans="1:14" x14ac:dyDescent="0.25">
      <c r="A460" s="10">
        <v>984461</v>
      </c>
      <c r="B460" s="22" t="str">
        <f>IFERROR(VLOOKUP(A460,VLOOKUPS!$A$2:B$12589,2,FALSE),"")</f>
        <v>Strawberries 2lb-standard</v>
      </c>
      <c r="E460">
        <v>3.29</v>
      </c>
      <c r="F460">
        <v>3.99</v>
      </c>
      <c r="G460" s="13">
        <v>44352</v>
      </c>
      <c r="H460" s="13"/>
      <c r="I460" s="22" t="str">
        <f>VLOOKUP(J460, Dropdowns!N:O, 2, FALSE)</f>
        <v>Standard</v>
      </c>
      <c r="J460" t="s">
        <v>760</v>
      </c>
      <c r="L460" s="17" t="s">
        <v>733</v>
      </c>
      <c r="M460" s="17" t="s">
        <v>11</v>
      </c>
      <c r="N460" s="17" t="s">
        <v>740</v>
      </c>
    </row>
    <row r="461" spans="1:14" x14ac:dyDescent="0.25">
      <c r="A461" s="10">
        <v>984541</v>
      </c>
      <c r="B461" s="22" t="str">
        <f>IFERROR(VLOOKUP(A461,VLOOKUPS!$A$2:B$12589,2,FALSE),"")</f>
        <v>Blueberries 1pt-standard</v>
      </c>
      <c r="E461">
        <v>2.64</v>
      </c>
      <c r="F461">
        <v>1.64</v>
      </c>
      <c r="G461" s="13">
        <v>44350</v>
      </c>
      <c r="H461" s="13">
        <v>44351</v>
      </c>
      <c r="I461" s="22" t="str">
        <f>VLOOKUP(J461, Dropdowns!N:O, 2, FALSE)</f>
        <v>Lower Price</v>
      </c>
      <c r="J461" t="s">
        <v>759</v>
      </c>
      <c r="L461" s="17" t="s">
        <v>733</v>
      </c>
      <c r="M461" s="17" t="s">
        <v>11</v>
      </c>
      <c r="N461" s="17" t="s">
        <v>740</v>
      </c>
    </row>
    <row r="462" spans="1:14" x14ac:dyDescent="0.25">
      <c r="A462" s="10">
        <v>984541</v>
      </c>
      <c r="B462" s="22" t="str">
        <f>IFERROR(VLOOKUP(A462,VLOOKUPS!$A$2:B$12589,2,FALSE),"")</f>
        <v>Blueberries 1pt-standard</v>
      </c>
      <c r="E462">
        <v>1.64</v>
      </c>
      <c r="F462">
        <v>2.64</v>
      </c>
      <c r="G462" s="13">
        <v>44352</v>
      </c>
      <c r="H462" s="13"/>
      <c r="I462" s="22" t="str">
        <f>VLOOKUP(J462, Dropdowns!N:O, 2, FALSE)</f>
        <v>Standard</v>
      </c>
      <c r="J462" t="s">
        <v>760</v>
      </c>
      <c r="L462" s="17" t="s">
        <v>733</v>
      </c>
      <c r="M462" s="17" t="s">
        <v>11</v>
      </c>
      <c r="N462" s="17" t="s">
        <v>740</v>
      </c>
    </row>
    <row r="463" spans="1:14" x14ac:dyDescent="0.25">
      <c r="A463" s="10">
        <v>984621</v>
      </c>
      <c r="B463" s="22" t="str">
        <f>IFERROR(VLOOKUP(A463,VLOOKUPS!$A$2:B$12589,2,FALSE),"")</f>
        <v>Raspberries 12oz-standard</v>
      </c>
      <c r="E463">
        <v>5.13</v>
      </c>
      <c r="F463">
        <v>3.99</v>
      </c>
      <c r="G463" s="13">
        <v>44350</v>
      </c>
      <c r="H463" s="13">
        <v>44351</v>
      </c>
      <c r="I463" s="22" t="str">
        <f>VLOOKUP(J463, Dropdowns!N:O, 2, FALSE)</f>
        <v>Lower Price</v>
      </c>
      <c r="J463" t="s">
        <v>759</v>
      </c>
      <c r="L463" s="17" t="s">
        <v>732</v>
      </c>
      <c r="M463" s="17" t="s">
        <v>10</v>
      </c>
      <c r="N463" s="17">
        <v>2</v>
      </c>
    </row>
    <row r="464" spans="1:14" x14ac:dyDescent="0.25">
      <c r="A464" s="10">
        <v>984621</v>
      </c>
      <c r="B464" s="22" t="str">
        <f>IFERROR(VLOOKUP(A464,VLOOKUPS!$A$2:B$12589,2,FALSE),"")</f>
        <v>Raspberries 12oz-standard</v>
      </c>
      <c r="E464">
        <v>3.99</v>
      </c>
      <c r="F464">
        <v>5.13</v>
      </c>
      <c r="G464" s="13">
        <v>44352</v>
      </c>
      <c r="H464" s="13"/>
      <c r="I464" s="22" t="str">
        <f>VLOOKUP(J464, Dropdowns!N:O, 2, FALSE)</f>
        <v>Standard</v>
      </c>
      <c r="J464" t="s">
        <v>760</v>
      </c>
      <c r="L464" s="17" t="s">
        <v>732</v>
      </c>
      <c r="M464" s="17" t="s">
        <v>10</v>
      </c>
      <c r="N464" s="17">
        <v>2</v>
      </c>
    </row>
    <row r="465" spans="1:16" x14ac:dyDescent="0.25">
      <c r="A465" s="10">
        <v>984700</v>
      </c>
      <c r="B465" s="22" t="str">
        <f>IFERROR(VLOOKUP(A465,VLOOKUPS!$A$2:B$12589,2,FALSE),"")</f>
        <v>Blackberries 6oz-standard</v>
      </c>
      <c r="E465">
        <v>2.64</v>
      </c>
      <c r="F465">
        <v>1.64</v>
      </c>
      <c r="G465" s="13">
        <v>44350</v>
      </c>
      <c r="H465" s="13">
        <v>44351</v>
      </c>
      <c r="I465" s="22" t="str">
        <f>VLOOKUP(J465, Dropdowns!N:O, 2, FALSE)</f>
        <v>Lower Price</v>
      </c>
      <c r="J465" t="s">
        <v>759</v>
      </c>
      <c r="L465" s="17" t="s">
        <v>732</v>
      </c>
      <c r="M465" s="17" t="s">
        <v>736</v>
      </c>
      <c r="N465" s="17" t="s">
        <v>736</v>
      </c>
    </row>
    <row r="466" spans="1:16" x14ac:dyDescent="0.25">
      <c r="A466" s="10">
        <v>984700</v>
      </c>
      <c r="B466" s="22" t="str">
        <f>IFERROR(VLOOKUP(A466,VLOOKUPS!$A$2:B$12589,2,FALSE),"")</f>
        <v>Blackberries 6oz-standard</v>
      </c>
      <c r="E466">
        <v>1.64</v>
      </c>
      <c r="F466">
        <v>2.64</v>
      </c>
      <c r="G466" s="13">
        <v>44352</v>
      </c>
      <c r="H466" s="13"/>
      <c r="I466" s="22" t="str">
        <f>VLOOKUP(J466, Dropdowns!N:O, 2, FALSE)</f>
        <v>Standard</v>
      </c>
      <c r="J466" t="s">
        <v>760</v>
      </c>
      <c r="L466" s="17" t="s">
        <v>732</v>
      </c>
      <c r="M466" s="17" t="s">
        <v>736</v>
      </c>
      <c r="N466" s="17" t="s">
        <v>736</v>
      </c>
    </row>
    <row r="467" spans="1:16" x14ac:dyDescent="0.25">
      <c r="A467" s="10">
        <v>984701</v>
      </c>
      <c r="B467" s="22" t="str">
        <f>IFERROR(VLOOKUP(A467,VLOOKUPS!$A$2:B$12589,2,FALSE),"")</f>
        <v>Blackberries Super Sweet 6oz-standard</v>
      </c>
      <c r="E467">
        <v>3.49</v>
      </c>
      <c r="F467">
        <v>2.4900000000000002</v>
      </c>
      <c r="G467" s="13">
        <v>44350</v>
      </c>
      <c r="H467" s="13">
        <v>44351</v>
      </c>
      <c r="I467" s="22" t="str">
        <f>VLOOKUP(J467, Dropdowns!N:O, 2, FALSE)</f>
        <v>Lower Price</v>
      </c>
      <c r="J467" t="s">
        <v>759</v>
      </c>
      <c r="L467" s="17" t="s">
        <v>732</v>
      </c>
      <c r="M467" s="17" t="s">
        <v>736</v>
      </c>
      <c r="N467" s="17" t="s">
        <v>736</v>
      </c>
    </row>
    <row r="468" spans="1:16" x14ac:dyDescent="0.25">
      <c r="A468" s="10">
        <v>984701</v>
      </c>
      <c r="B468" s="22" t="str">
        <f>IFERROR(VLOOKUP(A468,VLOOKUPS!$A$2:B$12589,2,FALSE),"")</f>
        <v>Blackberries Super Sweet 6oz-standard</v>
      </c>
      <c r="E468">
        <v>2.4900000000000002</v>
      </c>
      <c r="F468">
        <v>3.49</v>
      </c>
      <c r="G468" s="13">
        <v>44352</v>
      </c>
      <c r="H468" s="13"/>
      <c r="I468" s="22" t="str">
        <f>VLOOKUP(J468, Dropdowns!N:O, 2, FALSE)</f>
        <v>Standard</v>
      </c>
      <c r="J468" t="s">
        <v>760</v>
      </c>
      <c r="L468" s="17" t="s">
        <v>732</v>
      </c>
      <c r="M468" s="17" t="s">
        <v>736</v>
      </c>
      <c r="N468" s="17" t="s">
        <v>736</v>
      </c>
    </row>
    <row r="469" spans="1:16" x14ac:dyDescent="0.25">
      <c r="A469" s="10">
        <v>988571</v>
      </c>
      <c r="B469" s="22" t="str">
        <f>IFERROR(VLOOKUP(A469,VLOOKUPS!$A$2:B$12589,2,FALSE),"")</f>
        <v>Cauliflower* 1ct-LOOSE</v>
      </c>
      <c r="E469">
        <v>2.77</v>
      </c>
      <c r="F469">
        <v>1.99</v>
      </c>
      <c r="G469" s="13">
        <v>44350</v>
      </c>
      <c r="H469" s="13">
        <v>44351</v>
      </c>
      <c r="I469" s="22" t="str">
        <f>VLOOKUP(J469, Dropdowns!N:O, 2, FALSE)</f>
        <v>Lower Price</v>
      </c>
      <c r="J469" t="s">
        <v>759</v>
      </c>
      <c r="L469" s="17" t="s">
        <v>732</v>
      </c>
      <c r="M469" s="17" t="s">
        <v>735</v>
      </c>
      <c r="N469" s="17" t="s">
        <v>736</v>
      </c>
    </row>
    <row r="470" spans="1:16" x14ac:dyDescent="0.25">
      <c r="A470" s="10">
        <v>988571</v>
      </c>
      <c r="B470" s="22" t="str">
        <f>IFERROR(VLOOKUP(A470,VLOOKUPS!$A$2:B$12589,2,FALSE),"")</f>
        <v>Cauliflower* 1ct-LOOSE</v>
      </c>
      <c r="E470">
        <v>1.99</v>
      </c>
      <c r="F470">
        <v>2.77</v>
      </c>
      <c r="G470" s="13">
        <v>44352</v>
      </c>
      <c r="H470" s="13"/>
      <c r="I470" s="22" t="str">
        <f>VLOOKUP(J470, Dropdowns!N:O, 2, FALSE)</f>
        <v>Standard</v>
      </c>
      <c r="J470" t="s">
        <v>760</v>
      </c>
      <c r="L470" s="17" t="s">
        <v>732</v>
      </c>
      <c r="M470" s="17" t="s">
        <v>735</v>
      </c>
      <c r="N470" s="17" t="s">
        <v>736</v>
      </c>
    </row>
    <row r="471" spans="1:16" x14ac:dyDescent="0.25">
      <c r="A471" s="10">
        <v>995022</v>
      </c>
      <c r="B471" s="22" t="str">
        <f>IFERROR(VLOOKUP(A471,VLOOKUPS!$A$2:B$12589,2,FALSE),"")</f>
        <v>American Blend 12oz-standard</v>
      </c>
      <c r="E471">
        <v>1.49</v>
      </c>
      <c r="F471">
        <v>1.99</v>
      </c>
      <c r="G471" s="13">
        <v>44350</v>
      </c>
      <c r="H471" s="13"/>
      <c r="I471" s="22" t="str">
        <f>VLOOKUP(J471, Dropdowns!N:O, 2, FALSE)</f>
        <v>Standard</v>
      </c>
      <c r="J471" t="s">
        <v>760</v>
      </c>
      <c r="L471" s="17" t="s">
        <v>733</v>
      </c>
      <c r="M471" s="17" t="s">
        <v>11</v>
      </c>
      <c r="N471" s="17" t="s">
        <v>740</v>
      </c>
    </row>
    <row r="472" spans="1:16" x14ac:dyDescent="0.25">
      <c r="A472" s="10">
        <v>995018</v>
      </c>
      <c r="B472" s="22" t="str">
        <f>IFERROR(VLOOKUP(A472,VLOOKUPS!$A$2:B$12589,2,FALSE),"")</f>
        <v>RTE Large Chicken Caesar Salad 13.1oz-standard</v>
      </c>
      <c r="E472">
        <v>3.99</v>
      </c>
      <c r="F472">
        <v>4.99</v>
      </c>
      <c r="G472" s="13">
        <v>44350</v>
      </c>
      <c r="H472" s="13"/>
      <c r="I472" s="22" t="str">
        <f>VLOOKUP(J472, Dropdowns!N:O, 2, FALSE)</f>
        <v>Standard</v>
      </c>
      <c r="J472" t="s">
        <v>760</v>
      </c>
      <c r="L472" s="17" t="s">
        <v>733</v>
      </c>
      <c r="M472" s="17" t="s">
        <v>11</v>
      </c>
      <c r="N472" s="17" t="s">
        <v>740</v>
      </c>
    </row>
    <row r="473" spans="1:16" x14ac:dyDescent="0.25">
      <c r="A473" s="10">
        <v>982710</v>
      </c>
      <c r="B473" s="22" t="s">
        <v>1042</v>
      </c>
      <c r="D473">
        <v>10</v>
      </c>
      <c r="F473">
        <v>4.99</v>
      </c>
      <c r="G473" s="13">
        <v>44350</v>
      </c>
      <c r="H473" s="13"/>
      <c r="I473" s="22" t="str">
        <f>VLOOKUP(J473, Dropdowns!N:O, 2, FALSE)</f>
        <v>New</v>
      </c>
      <c r="J473" t="s">
        <v>776</v>
      </c>
      <c r="L473" s="17" t="s">
        <v>732</v>
      </c>
      <c r="M473" s="17" t="s">
        <v>737</v>
      </c>
      <c r="N473" s="17" t="s">
        <v>736</v>
      </c>
      <c r="O473" t="s">
        <v>748</v>
      </c>
      <c r="P473">
        <v>1</v>
      </c>
    </row>
    <row r="474" spans="1:16" x14ac:dyDescent="0.25">
      <c r="A474" s="10">
        <v>982800</v>
      </c>
      <c r="B474" s="22" t="s">
        <v>1041</v>
      </c>
      <c r="D474">
        <v>10</v>
      </c>
      <c r="F474">
        <v>4.99</v>
      </c>
      <c r="G474" s="13">
        <v>44350</v>
      </c>
      <c r="H474" s="13"/>
      <c r="I474" s="22" t="str">
        <f>VLOOKUP(J474, Dropdowns!N:O, 2, FALSE)</f>
        <v>New</v>
      </c>
      <c r="J474" t="s">
        <v>776</v>
      </c>
      <c r="L474" s="17" t="s">
        <v>732</v>
      </c>
      <c r="M474" s="17" t="s">
        <v>737</v>
      </c>
      <c r="N474" s="17" t="s">
        <v>736</v>
      </c>
      <c r="O474" t="s">
        <v>748</v>
      </c>
      <c r="P474">
        <v>1</v>
      </c>
    </row>
    <row r="475" spans="1:16" x14ac:dyDescent="0.25">
      <c r="A475" s="10">
        <v>982650</v>
      </c>
      <c r="B475" s="22" t="str">
        <f>IFERROR(VLOOKUP(A475,VLOOKUPS!$A$2:B$12589,2,FALSE),"")</f>
        <v>Grapes* Green Seedless 1lb-LOOSE</v>
      </c>
      <c r="E475">
        <v>2.59</v>
      </c>
      <c r="F475">
        <v>2.2999999999999998</v>
      </c>
      <c r="G475" s="13">
        <v>44350</v>
      </c>
      <c r="H475" s="13"/>
      <c r="I475" s="22" t="str">
        <f>VLOOKUP(J475, Dropdowns!N:O, 2, FALSE)</f>
        <v>Standard</v>
      </c>
      <c r="J475" t="s">
        <v>761</v>
      </c>
      <c r="L475" s="17" t="s">
        <v>732</v>
      </c>
      <c r="M475" s="17" t="s">
        <v>736</v>
      </c>
      <c r="N475" s="17" t="s">
        <v>736</v>
      </c>
    </row>
    <row r="476" spans="1:16" x14ac:dyDescent="0.25">
      <c r="A476" s="10">
        <v>984740</v>
      </c>
      <c r="B476" s="22" t="str">
        <f>IFERROR(VLOOKUP(A476,VLOOKUPS!$A$2:B$12589,2,FALSE),"")</f>
        <v>Organic Blackberries 6oz-standard</v>
      </c>
      <c r="E476">
        <v>3.75</v>
      </c>
      <c r="F476">
        <v>2.75</v>
      </c>
      <c r="G476" s="13">
        <v>44351</v>
      </c>
      <c r="H476" s="13">
        <v>44352</v>
      </c>
      <c r="I476" s="22" t="str">
        <f>VLOOKUP(J476, Dropdowns!N:O, 2, FALSE)</f>
        <v>Lower Price</v>
      </c>
      <c r="J476" t="s">
        <v>759</v>
      </c>
      <c r="L476" s="17" t="s">
        <v>732</v>
      </c>
      <c r="M476" s="17" t="s">
        <v>9</v>
      </c>
      <c r="N476" s="17" t="s">
        <v>736</v>
      </c>
    </row>
    <row r="477" spans="1:16" x14ac:dyDescent="0.25">
      <c r="A477" s="10">
        <v>984740</v>
      </c>
      <c r="B477" s="22" t="str">
        <f>IFERROR(VLOOKUP(A477,VLOOKUPS!$A$2:B$12589,2,FALSE),"")</f>
        <v>Organic Blackberries 6oz-standard</v>
      </c>
      <c r="E477">
        <v>2.75</v>
      </c>
      <c r="F477">
        <v>3.75</v>
      </c>
      <c r="G477" s="13">
        <v>44353</v>
      </c>
      <c r="H477" s="13"/>
      <c r="I477" s="22" t="str">
        <f>VLOOKUP(J477, Dropdowns!N:O, 2, FALSE)</f>
        <v>Standard</v>
      </c>
      <c r="J477" t="s">
        <v>760</v>
      </c>
      <c r="L477" s="17" t="s">
        <v>732</v>
      </c>
      <c r="M477" s="17" t="s">
        <v>9</v>
      </c>
      <c r="N477" s="17" t="s">
        <v>736</v>
      </c>
    </row>
    <row r="478" spans="1:16" x14ac:dyDescent="0.25">
      <c r="A478" s="10">
        <v>995002</v>
      </c>
      <c r="B478" s="22" t="str">
        <f>IFERROR(VLOOKUP(A478,VLOOKUPS!$A$2:B$12589,2,FALSE),"")</f>
        <v>Butter Blend 6oz-standard</v>
      </c>
      <c r="E478">
        <v>1.89</v>
      </c>
      <c r="F478">
        <v>0.99</v>
      </c>
      <c r="G478" s="13">
        <v>44351</v>
      </c>
      <c r="H478" s="13">
        <v>44352</v>
      </c>
      <c r="I478" s="22" t="str">
        <f>VLOOKUP(J478, Dropdowns!N:O, 2, FALSE)</f>
        <v>Lower Price</v>
      </c>
      <c r="J478" t="s">
        <v>759</v>
      </c>
      <c r="L478" s="17" t="s">
        <v>733</v>
      </c>
      <c r="M478" s="17" t="s">
        <v>11</v>
      </c>
      <c r="N478" s="17" t="s">
        <v>740</v>
      </c>
    </row>
    <row r="479" spans="1:16" x14ac:dyDescent="0.25">
      <c r="A479" s="10">
        <v>995002</v>
      </c>
      <c r="B479" s="22" t="str">
        <f>IFERROR(VLOOKUP(A479,VLOOKUPS!$A$2:B$12589,2,FALSE),"")</f>
        <v>Butter Blend 6oz-standard</v>
      </c>
      <c r="E479">
        <v>0.99</v>
      </c>
      <c r="F479">
        <v>1.89</v>
      </c>
      <c r="G479" s="13">
        <v>44353</v>
      </c>
      <c r="H479" s="13"/>
      <c r="I479" s="22" t="str">
        <f>VLOOKUP(J479, Dropdowns!N:O, 2, FALSE)</f>
        <v>Standard</v>
      </c>
      <c r="J479" t="s">
        <v>760</v>
      </c>
      <c r="L479" s="17" t="s">
        <v>733</v>
      </c>
      <c r="M479" s="17" t="s">
        <v>11</v>
      </c>
      <c r="N479" s="17" t="s">
        <v>740</v>
      </c>
    </row>
    <row r="480" spans="1:16" x14ac:dyDescent="0.25">
      <c r="A480" s="10">
        <v>995018</v>
      </c>
      <c r="B480" s="22" t="str">
        <f>IFERROR(VLOOKUP(A480,VLOOKUPS!$A$2:B$12589,2,FALSE),"")</f>
        <v>RTE Large Chicken Caesar Salad 13.1oz-standard</v>
      </c>
      <c r="E480">
        <v>4.99</v>
      </c>
      <c r="F480">
        <v>3.99</v>
      </c>
      <c r="G480" s="13">
        <v>44351</v>
      </c>
      <c r="H480" s="13">
        <v>44352</v>
      </c>
      <c r="I480" s="22" t="str">
        <f>VLOOKUP(J480, Dropdowns!N:O, 2, FALSE)</f>
        <v>Lower Price</v>
      </c>
      <c r="J480" t="s">
        <v>759</v>
      </c>
      <c r="L480" s="17" t="s">
        <v>733</v>
      </c>
      <c r="M480" s="17" t="s">
        <v>11</v>
      </c>
      <c r="N480" s="17" t="s">
        <v>740</v>
      </c>
    </row>
    <row r="481" spans="1:14" x14ac:dyDescent="0.25">
      <c r="A481" s="10">
        <v>995018</v>
      </c>
      <c r="B481" s="22" t="str">
        <f>IFERROR(VLOOKUP(A481,VLOOKUPS!$A$2:B$12589,2,FALSE),"")</f>
        <v>RTE Large Chicken Caesar Salad 13.1oz-standard</v>
      </c>
      <c r="E481">
        <v>3.99</v>
      </c>
      <c r="F481">
        <v>4.99</v>
      </c>
      <c r="G481" s="13">
        <v>44353</v>
      </c>
      <c r="H481" s="13"/>
      <c r="I481" s="22" t="str">
        <f>VLOOKUP(J481, Dropdowns!N:O, 2, FALSE)</f>
        <v>Standard</v>
      </c>
      <c r="J481" t="s">
        <v>760</v>
      </c>
      <c r="L481" s="17" t="s">
        <v>733</v>
      </c>
      <c r="M481" s="17" t="s">
        <v>11</v>
      </c>
      <c r="N481" s="17" t="s">
        <v>740</v>
      </c>
    </row>
    <row r="482" spans="1:14" x14ac:dyDescent="0.25">
      <c r="A482" s="10">
        <v>995071</v>
      </c>
      <c r="B482" s="22" t="str">
        <f>IFERROR(VLOOKUP(A482,VLOOKUPS!$A$2:B$12589,2,FALSE),"")</f>
        <v>Broccoli Florets 12oz-standard</v>
      </c>
      <c r="E482">
        <v>2.69</v>
      </c>
      <c r="F482">
        <v>1.69</v>
      </c>
      <c r="G482" s="13">
        <v>44351</v>
      </c>
      <c r="H482" s="13">
        <v>44351</v>
      </c>
      <c r="I482" s="22" t="str">
        <f>VLOOKUP(J482, Dropdowns!N:O, 2, FALSE)</f>
        <v>Lower Price</v>
      </c>
      <c r="J482" t="s">
        <v>759</v>
      </c>
      <c r="L482" s="17" t="s">
        <v>733</v>
      </c>
      <c r="M482" s="17" t="s">
        <v>11</v>
      </c>
      <c r="N482" s="17" t="s">
        <v>740</v>
      </c>
    </row>
    <row r="483" spans="1:14" x14ac:dyDescent="0.25">
      <c r="A483" s="10">
        <v>995071</v>
      </c>
      <c r="B483" s="22" t="str">
        <f>IFERROR(VLOOKUP(A483,VLOOKUPS!$A$2:B$12589,2,FALSE),"")</f>
        <v>Broccoli Florets 12oz-standard</v>
      </c>
      <c r="E483">
        <v>1.69</v>
      </c>
      <c r="F483">
        <v>2.69</v>
      </c>
      <c r="G483" s="13">
        <v>44352</v>
      </c>
      <c r="H483" s="13"/>
      <c r="I483" s="22" t="str">
        <f>VLOOKUP(J483, Dropdowns!N:O, 2, FALSE)</f>
        <v>Standard</v>
      </c>
      <c r="J483" t="s">
        <v>760</v>
      </c>
      <c r="L483" s="17" t="s">
        <v>733</v>
      </c>
      <c r="M483" s="17" t="s">
        <v>11</v>
      </c>
      <c r="N483" s="17" t="s">
        <v>740</v>
      </c>
    </row>
    <row r="484" spans="1:14" x14ac:dyDescent="0.25">
      <c r="A484" s="10">
        <v>995086</v>
      </c>
      <c r="B484" s="22" t="str">
        <f>IFERROR(VLOOKUP(A484,VLOOKUPS!$A$2:B$12589,2,FALSE),"")</f>
        <v>Eat Smart Broccoli Florets 2lbs-standard</v>
      </c>
      <c r="E484">
        <v>5.98</v>
      </c>
      <c r="F484">
        <v>4.9800000000000004</v>
      </c>
      <c r="G484" s="13">
        <v>44351</v>
      </c>
      <c r="H484" s="13">
        <v>44352</v>
      </c>
      <c r="I484" s="22" t="str">
        <f>VLOOKUP(J484, Dropdowns!N:O, 2, FALSE)</f>
        <v>Lower Price</v>
      </c>
      <c r="J484" t="s">
        <v>759</v>
      </c>
      <c r="L484" s="17" t="s">
        <v>732</v>
      </c>
      <c r="M484" s="17" t="s">
        <v>9</v>
      </c>
      <c r="N484" s="17" t="s">
        <v>736</v>
      </c>
    </row>
    <row r="485" spans="1:14" x14ac:dyDescent="0.25">
      <c r="A485" s="10">
        <v>995086</v>
      </c>
      <c r="B485" s="22" t="str">
        <f>IFERROR(VLOOKUP(A485,VLOOKUPS!$A$2:B$12589,2,FALSE),"")</f>
        <v>Eat Smart Broccoli Florets 2lbs-standard</v>
      </c>
      <c r="E485">
        <v>4.9800000000000004</v>
      </c>
      <c r="F485">
        <v>5.98</v>
      </c>
      <c r="G485" s="13">
        <v>44353</v>
      </c>
      <c r="H485" s="13"/>
      <c r="I485" s="22" t="str">
        <f>VLOOKUP(J485, Dropdowns!N:O, 2, FALSE)</f>
        <v>Standard</v>
      </c>
      <c r="J485" t="s">
        <v>760</v>
      </c>
      <c r="L485" s="17" t="s">
        <v>732</v>
      </c>
      <c r="M485" s="17" t="s">
        <v>9</v>
      </c>
      <c r="N485" s="17" t="s">
        <v>736</v>
      </c>
    </row>
    <row r="486" spans="1:14" x14ac:dyDescent="0.25">
      <c r="A486" s="10">
        <v>995097</v>
      </c>
      <c r="B486" s="22" t="str">
        <f>IFERROR(VLOOKUP(A486,VLOOKUPS!$A$2:B$12589,2,FALSE),"")</f>
        <v>Butternut Diced 12oz-standard</v>
      </c>
      <c r="E486">
        <v>2.4900000000000002</v>
      </c>
      <c r="F486">
        <v>1.49</v>
      </c>
      <c r="G486" s="13">
        <v>44351</v>
      </c>
      <c r="H486" s="13">
        <v>44352</v>
      </c>
      <c r="I486" s="22" t="str">
        <f>VLOOKUP(J486, Dropdowns!N:O, 2, FALSE)</f>
        <v>Lower Price</v>
      </c>
      <c r="J486" t="s">
        <v>759</v>
      </c>
      <c r="L486" s="17" t="s">
        <v>732</v>
      </c>
      <c r="M486" s="17" t="s">
        <v>737</v>
      </c>
      <c r="N486" s="17" t="s">
        <v>736</v>
      </c>
    </row>
    <row r="487" spans="1:14" x14ac:dyDescent="0.25">
      <c r="A487" s="10">
        <v>995097</v>
      </c>
      <c r="B487" s="22" t="str">
        <f>IFERROR(VLOOKUP(A487,VLOOKUPS!$A$2:B$12589,2,FALSE),"")</f>
        <v>Butternut Diced 12oz-standard</v>
      </c>
      <c r="E487">
        <v>1.49</v>
      </c>
      <c r="F487">
        <v>2.4900000000000002</v>
      </c>
      <c r="G487" s="13">
        <v>44353</v>
      </c>
      <c r="H487" s="13"/>
      <c r="I487" s="22" t="str">
        <f>VLOOKUP(J487, Dropdowns!N:O, 2, FALSE)</f>
        <v>Standard</v>
      </c>
      <c r="J487" t="s">
        <v>760</v>
      </c>
      <c r="L487" s="17" t="s">
        <v>732</v>
      </c>
      <c r="M487" s="17" t="s">
        <v>737</v>
      </c>
      <c r="N487" s="17" t="s">
        <v>736</v>
      </c>
    </row>
    <row r="488" spans="1:14" x14ac:dyDescent="0.25">
      <c r="A488" s="10">
        <v>984620</v>
      </c>
      <c r="B488" s="22" t="str">
        <f>IFERROR(VLOOKUP(A488,VLOOKUPS!$A$2:B$12589,2,FALSE),"")</f>
        <v>Raspberries 6oz-standard</v>
      </c>
      <c r="E488">
        <v>2.84</v>
      </c>
      <c r="F488">
        <v>2.2400000000000002</v>
      </c>
      <c r="G488" s="13">
        <v>44352</v>
      </c>
      <c r="H488" s="13">
        <v>44353</v>
      </c>
      <c r="I488" s="22" t="str">
        <f>VLOOKUP(J488, Dropdowns!N:O, 2, FALSE)</f>
        <v>Lower Price</v>
      </c>
      <c r="J488" t="s">
        <v>759</v>
      </c>
      <c r="L488" s="17" t="s">
        <v>732</v>
      </c>
      <c r="M488" s="17" t="s">
        <v>9</v>
      </c>
      <c r="N488" s="17" t="s">
        <v>736</v>
      </c>
    </row>
    <row r="489" spans="1:14" x14ac:dyDescent="0.25">
      <c r="A489" s="10">
        <v>984620</v>
      </c>
      <c r="B489" s="22" t="str">
        <f>IFERROR(VLOOKUP(A489,VLOOKUPS!$A$2:B$12589,2,FALSE),"")</f>
        <v>Raspberries 6oz-standard</v>
      </c>
      <c r="E489">
        <v>2.2400000000000002</v>
      </c>
      <c r="F489">
        <v>2.84</v>
      </c>
      <c r="G489" s="13">
        <v>44354</v>
      </c>
      <c r="H489" s="13"/>
      <c r="I489" s="22" t="str">
        <f>VLOOKUP(J489, Dropdowns!N:O, 2, FALSE)</f>
        <v>Standard</v>
      </c>
      <c r="J489" t="s">
        <v>760</v>
      </c>
      <c r="L489" s="17" t="s">
        <v>732</v>
      </c>
      <c r="M489" s="17" t="s">
        <v>9</v>
      </c>
      <c r="N489" s="17" t="s">
        <v>736</v>
      </c>
    </row>
    <row r="490" spans="1:14" x14ac:dyDescent="0.25">
      <c r="A490" s="10">
        <v>984621</v>
      </c>
      <c r="B490" s="22" t="str">
        <f>IFERROR(VLOOKUP(A490,VLOOKUPS!$A$2:B$12589,2,FALSE),"")</f>
        <v>Raspberries 12oz-standard</v>
      </c>
      <c r="E490">
        <v>5.13</v>
      </c>
      <c r="F490">
        <v>4.7300000000000004</v>
      </c>
      <c r="G490" s="13">
        <v>44352</v>
      </c>
      <c r="H490" s="13">
        <v>44353</v>
      </c>
      <c r="I490" s="22" t="str">
        <f>VLOOKUP(J490, Dropdowns!N:O, 2, FALSE)</f>
        <v>Lower Price</v>
      </c>
      <c r="J490" t="s">
        <v>759</v>
      </c>
      <c r="L490" s="17" t="s">
        <v>732</v>
      </c>
      <c r="M490" s="17" t="s">
        <v>737</v>
      </c>
      <c r="N490" s="17" t="s">
        <v>736</v>
      </c>
    </row>
    <row r="491" spans="1:14" x14ac:dyDescent="0.25">
      <c r="A491" s="10">
        <v>984621</v>
      </c>
      <c r="B491" s="22" t="str">
        <f>IFERROR(VLOOKUP(A491,VLOOKUPS!$A$2:B$12589,2,FALSE),"")</f>
        <v>Raspberries 12oz-standard</v>
      </c>
      <c r="E491">
        <v>4.7300000000000004</v>
      </c>
      <c r="F491">
        <v>5.13</v>
      </c>
      <c r="G491" s="13">
        <v>44354</v>
      </c>
      <c r="H491" s="13"/>
      <c r="I491" s="22" t="str">
        <f>VLOOKUP(J491, Dropdowns!N:O, 2, FALSE)</f>
        <v>Standard</v>
      </c>
      <c r="J491" t="s">
        <v>760</v>
      </c>
      <c r="L491" s="17" t="s">
        <v>732</v>
      </c>
      <c r="M491" s="17" t="s">
        <v>737</v>
      </c>
      <c r="N491" s="17" t="s">
        <v>736</v>
      </c>
    </row>
    <row r="492" spans="1:14" x14ac:dyDescent="0.25">
      <c r="A492" s="10">
        <v>995032</v>
      </c>
      <c r="B492" s="22" t="str">
        <f>IFERROR(VLOOKUP(A492,VLOOKUPS!$A$2:B$12589,2,FALSE),"")</f>
        <v>Chopped Sunflower Crunch Kit 12.2oz-standard</v>
      </c>
      <c r="E492">
        <v>2.99</v>
      </c>
      <c r="F492">
        <v>2.29</v>
      </c>
      <c r="G492" s="13">
        <v>44352</v>
      </c>
      <c r="H492" s="13">
        <v>44353</v>
      </c>
      <c r="I492" s="22" t="str">
        <f>VLOOKUP(J492, Dropdowns!N:O, 2, FALSE)</f>
        <v>Lower Price</v>
      </c>
      <c r="J492" t="s">
        <v>759</v>
      </c>
      <c r="L492" s="17" t="s">
        <v>732</v>
      </c>
      <c r="M492" s="17" t="s">
        <v>10</v>
      </c>
      <c r="N492" s="17">
        <v>2</v>
      </c>
    </row>
    <row r="493" spans="1:14" x14ac:dyDescent="0.25">
      <c r="A493" s="10">
        <v>995032</v>
      </c>
      <c r="B493" s="22" t="str">
        <f>IFERROR(VLOOKUP(A493,VLOOKUPS!$A$2:B$12589,2,FALSE),"")</f>
        <v>Chopped Sunflower Crunch Kit 12.2oz-standard</v>
      </c>
      <c r="E493">
        <v>2.29</v>
      </c>
      <c r="F493">
        <v>2.99</v>
      </c>
      <c r="G493" s="13">
        <v>44354</v>
      </c>
      <c r="H493" s="13"/>
      <c r="I493" s="22" t="str">
        <f>VLOOKUP(J493, Dropdowns!N:O, 2, FALSE)</f>
        <v>Standard</v>
      </c>
      <c r="J493" t="s">
        <v>760</v>
      </c>
      <c r="L493" s="17" t="s">
        <v>732</v>
      </c>
      <c r="M493" s="17" t="s">
        <v>10</v>
      </c>
      <c r="N493" s="17">
        <v>2</v>
      </c>
    </row>
    <row r="494" spans="1:14" x14ac:dyDescent="0.25">
      <c r="A494" s="10">
        <v>995041</v>
      </c>
      <c r="B494" s="22" t="str">
        <f>IFERROR(VLOOKUP(A494,VLOOKUPS!$A$2:B$12589,2,FALSE),"")</f>
        <v>Pineapple Spears 16oz-standard</v>
      </c>
      <c r="E494">
        <v>3.29</v>
      </c>
      <c r="F494">
        <v>2.29</v>
      </c>
      <c r="G494" s="13">
        <v>44352</v>
      </c>
      <c r="H494" s="13">
        <v>44353</v>
      </c>
      <c r="I494" s="22" t="str">
        <f>VLOOKUP(J494, Dropdowns!N:O, 2, FALSE)</f>
        <v>Lower Price</v>
      </c>
      <c r="J494" t="s">
        <v>759</v>
      </c>
      <c r="L494" s="17" t="s">
        <v>732</v>
      </c>
      <c r="M494" s="17" t="s">
        <v>736</v>
      </c>
      <c r="N494" s="17" t="s">
        <v>736</v>
      </c>
    </row>
    <row r="495" spans="1:14" x14ac:dyDescent="0.25">
      <c r="A495" s="10">
        <v>995041</v>
      </c>
      <c r="B495" s="22" t="str">
        <f>IFERROR(VLOOKUP(A495,VLOOKUPS!$A$2:B$12589,2,FALSE),"")</f>
        <v>Pineapple Spears 16oz-standard</v>
      </c>
      <c r="E495">
        <v>2.29</v>
      </c>
      <c r="F495">
        <v>3.29</v>
      </c>
      <c r="G495" s="13">
        <v>44354</v>
      </c>
      <c r="H495" s="13"/>
      <c r="I495" s="22" t="str">
        <f>VLOOKUP(J495, Dropdowns!N:O, 2, FALSE)</f>
        <v>Standard</v>
      </c>
      <c r="J495" t="s">
        <v>760</v>
      </c>
      <c r="L495" s="17" t="s">
        <v>732</v>
      </c>
      <c r="M495" s="17" t="s">
        <v>736</v>
      </c>
      <c r="N495" s="17" t="s">
        <v>736</v>
      </c>
    </row>
    <row r="496" spans="1:14" x14ac:dyDescent="0.25">
      <c r="A496" s="10">
        <v>995042</v>
      </c>
      <c r="B496" s="22" t="str">
        <f>IFERROR(VLOOKUP(A496,VLOOKUPS!$A$2:B$12589,2,FALSE),"")</f>
        <v>Mango Chunks 16oz-standard</v>
      </c>
      <c r="E496">
        <v>3.99</v>
      </c>
      <c r="F496">
        <v>3.29</v>
      </c>
      <c r="G496" s="13">
        <v>44352</v>
      </c>
      <c r="H496" s="13">
        <v>44353</v>
      </c>
      <c r="I496" s="22" t="str">
        <f>VLOOKUP(J496, Dropdowns!N:O, 2, FALSE)</f>
        <v>Lower Price</v>
      </c>
      <c r="J496" t="s">
        <v>759</v>
      </c>
      <c r="L496" s="17" t="s">
        <v>732</v>
      </c>
      <c r="M496" s="17" t="s">
        <v>11</v>
      </c>
      <c r="N496" s="17" t="s">
        <v>740</v>
      </c>
    </row>
    <row r="497" spans="1:17" x14ac:dyDescent="0.25">
      <c r="A497" s="10">
        <v>995042</v>
      </c>
      <c r="B497" s="22" t="str">
        <f>IFERROR(VLOOKUP(A497,VLOOKUPS!$A$2:B$12589,2,FALSE),"")</f>
        <v>Mango Chunks 16oz-standard</v>
      </c>
      <c r="E497">
        <v>3.29</v>
      </c>
      <c r="F497">
        <v>3.99</v>
      </c>
      <c r="G497" s="13">
        <v>44354</v>
      </c>
      <c r="H497" s="13"/>
      <c r="I497" s="22" t="str">
        <f>VLOOKUP(J497, Dropdowns!N:O, 2, FALSE)</f>
        <v>Standard</v>
      </c>
      <c r="J497" t="s">
        <v>760</v>
      </c>
      <c r="L497" s="17" t="s">
        <v>732</v>
      </c>
      <c r="M497" s="17" t="s">
        <v>11</v>
      </c>
      <c r="N497" s="17" t="s">
        <v>740</v>
      </c>
    </row>
    <row r="498" spans="1:17" x14ac:dyDescent="0.25">
      <c r="A498" s="10">
        <v>995050</v>
      </c>
      <c r="B498" s="22" t="str">
        <f>IFERROR(VLOOKUP(A498,VLOOKUPS!$A$2:B$12589,2,FALSE),"")</f>
        <v>Organic Bagged Kale 10oz-standard</v>
      </c>
      <c r="E498">
        <v>2.69</v>
      </c>
      <c r="F498">
        <v>1.69</v>
      </c>
      <c r="G498" s="13">
        <v>44352</v>
      </c>
      <c r="H498" s="13">
        <v>44353</v>
      </c>
      <c r="I498" s="22" t="str">
        <f>VLOOKUP(J498, Dropdowns!N:O, 2, FALSE)</f>
        <v>Lower Price</v>
      </c>
      <c r="J498" t="s">
        <v>759</v>
      </c>
      <c r="L498" s="17" t="s">
        <v>733</v>
      </c>
      <c r="M498" s="17" t="s">
        <v>11</v>
      </c>
      <c r="N498" s="17" t="s">
        <v>740</v>
      </c>
    </row>
    <row r="499" spans="1:17" x14ac:dyDescent="0.25">
      <c r="A499" s="10">
        <v>995050</v>
      </c>
      <c r="B499" s="22" t="str">
        <f>IFERROR(VLOOKUP(A499,VLOOKUPS!$A$2:B$12589,2,FALSE),"")</f>
        <v>Organic Bagged Kale 10oz-standard</v>
      </c>
      <c r="E499">
        <v>1.69</v>
      </c>
      <c r="F499">
        <v>2.69</v>
      </c>
      <c r="G499" s="13">
        <v>44354</v>
      </c>
      <c r="H499" s="13"/>
      <c r="I499" s="22" t="str">
        <f>VLOOKUP(J499, Dropdowns!N:O, 2, FALSE)</f>
        <v>Standard</v>
      </c>
      <c r="J499" t="s">
        <v>760</v>
      </c>
      <c r="L499" s="17" t="s">
        <v>733</v>
      </c>
      <c r="M499" s="17" t="s">
        <v>11</v>
      </c>
      <c r="N499" s="17" t="s">
        <v>740</v>
      </c>
    </row>
    <row r="500" spans="1:17" x14ac:dyDescent="0.25">
      <c r="A500" s="10">
        <v>995082</v>
      </c>
      <c r="B500" s="22" t="str">
        <f>IFERROR(VLOOKUP(A500,VLOOKUPS!$A$2:B$12589,2,FALSE),"")</f>
        <v>Melon Trio 16oz-standard</v>
      </c>
      <c r="E500">
        <v>3.99</v>
      </c>
      <c r="F500">
        <v>2.79</v>
      </c>
      <c r="G500" s="13">
        <v>44352</v>
      </c>
      <c r="H500" s="13">
        <v>44353</v>
      </c>
      <c r="I500" s="22" t="str">
        <f>VLOOKUP(J500, Dropdowns!N:O, 2, FALSE)</f>
        <v>Lower Price</v>
      </c>
      <c r="J500" t="s">
        <v>759</v>
      </c>
      <c r="L500" s="17" t="s">
        <v>733</v>
      </c>
      <c r="M500" s="17" t="s">
        <v>11</v>
      </c>
      <c r="N500" s="17" t="s">
        <v>740</v>
      </c>
    </row>
    <row r="501" spans="1:17" x14ac:dyDescent="0.25">
      <c r="A501" s="10">
        <v>995082</v>
      </c>
      <c r="B501" s="22" t="str">
        <f>IFERROR(VLOOKUP(A501,VLOOKUPS!$A$2:B$12589,2,FALSE),"")</f>
        <v>Melon Trio 16oz-standard</v>
      </c>
      <c r="E501">
        <v>2.79</v>
      </c>
      <c r="F501">
        <v>3.99</v>
      </c>
      <c r="G501" s="13">
        <v>44354</v>
      </c>
      <c r="H501" s="13"/>
      <c r="I501" s="22" t="str">
        <f>VLOOKUP(J501, Dropdowns!N:O, 2, FALSE)</f>
        <v>Standard</v>
      </c>
      <c r="J501" t="s">
        <v>760</v>
      </c>
      <c r="L501" s="17" t="s">
        <v>733</v>
      </c>
      <c r="M501" s="17" t="s">
        <v>11</v>
      </c>
      <c r="N501" s="17" t="s">
        <v>740</v>
      </c>
    </row>
    <row r="502" spans="1:17" x14ac:dyDescent="0.25">
      <c r="A502" s="10">
        <v>995086</v>
      </c>
      <c r="B502" s="22" t="str">
        <f>IFERROR(VLOOKUP(A502,VLOOKUPS!$A$2:B$12589,2,FALSE),"")</f>
        <v>Eat Smart Broccoli Florets 2lbs-standard</v>
      </c>
      <c r="E502">
        <v>5.98</v>
      </c>
      <c r="F502">
        <v>4.9800000000000004</v>
      </c>
      <c r="G502" s="13">
        <v>44352</v>
      </c>
      <c r="H502" s="13">
        <v>44353</v>
      </c>
      <c r="I502" s="22" t="str">
        <f>VLOOKUP(J502, Dropdowns!N:O, 2, FALSE)</f>
        <v>Lower Price</v>
      </c>
      <c r="J502" t="s">
        <v>759</v>
      </c>
      <c r="L502" s="17" t="s">
        <v>733</v>
      </c>
      <c r="M502" s="17" t="s">
        <v>11</v>
      </c>
      <c r="N502" s="17" t="s">
        <v>740</v>
      </c>
    </row>
    <row r="503" spans="1:17" x14ac:dyDescent="0.25">
      <c r="A503" s="10">
        <v>995086</v>
      </c>
      <c r="B503" s="22" t="str">
        <f>IFERROR(VLOOKUP(A503,VLOOKUPS!$A$2:B$12589,2,FALSE),"")</f>
        <v>Eat Smart Broccoli Florets 2lbs-standard</v>
      </c>
      <c r="E503">
        <v>4.9800000000000004</v>
      </c>
      <c r="F503">
        <v>5.98</v>
      </c>
      <c r="G503" s="13">
        <v>44354</v>
      </c>
      <c r="H503" s="13"/>
      <c r="I503" s="22" t="str">
        <f>VLOOKUP(J503, Dropdowns!N:O, 2, FALSE)</f>
        <v>Standard</v>
      </c>
      <c r="J503" t="s">
        <v>760</v>
      </c>
      <c r="L503" s="17" t="s">
        <v>733</v>
      </c>
      <c r="M503" s="17" t="s">
        <v>11</v>
      </c>
      <c r="N503" s="17" t="s">
        <v>740</v>
      </c>
    </row>
    <row r="504" spans="1:17" x14ac:dyDescent="0.25">
      <c r="A504" s="10">
        <v>995097</v>
      </c>
      <c r="B504" s="22" t="str">
        <f>IFERROR(VLOOKUP(A504,VLOOKUPS!$A$2:B$12589,2,FALSE),"")</f>
        <v>Butternut Diced 12oz-standard</v>
      </c>
      <c r="E504">
        <v>2.4900000000000002</v>
      </c>
      <c r="F504">
        <v>1.49</v>
      </c>
      <c r="G504" s="13">
        <v>44352</v>
      </c>
      <c r="H504" s="13">
        <v>44353</v>
      </c>
      <c r="I504" s="22" t="str">
        <f>VLOOKUP(J504, Dropdowns!N:O, 2, FALSE)</f>
        <v>Lower Price</v>
      </c>
      <c r="J504" t="s">
        <v>759</v>
      </c>
      <c r="L504" s="17" t="s">
        <v>732</v>
      </c>
      <c r="M504" s="17" t="s">
        <v>10</v>
      </c>
      <c r="N504" s="17">
        <v>2</v>
      </c>
    </row>
    <row r="505" spans="1:17" x14ac:dyDescent="0.25">
      <c r="A505" s="10">
        <v>995097</v>
      </c>
      <c r="B505" s="22" t="str">
        <f>IFERROR(VLOOKUP(A505,VLOOKUPS!$A$2:B$12589,2,FALSE),"")</f>
        <v>Butternut Diced 12oz-standard</v>
      </c>
      <c r="E505">
        <v>1.49</v>
      </c>
      <c r="F505">
        <v>2.4900000000000002</v>
      </c>
      <c r="G505" s="13">
        <v>44354</v>
      </c>
      <c r="H505" s="13"/>
      <c r="I505" s="22" t="str">
        <f>VLOOKUP(J505, Dropdowns!N:O, 2, FALSE)</f>
        <v>Standard</v>
      </c>
      <c r="J505" t="s">
        <v>760</v>
      </c>
      <c r="L505" s="17" t="s">
        <v>732</v>
      </c>
      <c r="M505" s="17" t="s">
        <v>10</v>
      </c>
      <c r="N505" s="17">
        <v>2</v>
      </c>
    </row>
    <row r="506" spans="1:17" x14ac:dyDescent="0.25">
      <c r="A506" s="10">
        <v>995102</v>
      </c>
      <c r="B506" s="22" t="str">
        <f>IFERROR(VLOOKUP(A506,VLOOKUPS!$A$2:B$12589,2,FALSE),"")</f>
        <v>Cantaloupe Chunks 16oz-standard</v>
      </c>
      <c r="E506">
        <v>3.3</v>
      </c>
      <c r="F506">
        <v>2.2999999999999998</v>
      </c>
      <c r="G506" s="13">
        <v>44352</v>
      </c>
      <c r="H506" s="13">
        <v>44353</v>
      </c>
      <c r="I506" s="22" t="str">
        <f>VLOOKUP(J506, Dropdowns!N:O, 2, FALSE)</f>
        <v>Lower Price</v>
      </c>
      <c r="J506" t="s">
        <v>759</v>
      </c>
      <c r="L506" s="17" t="s">
        <v>732</v>
      </c>
      <c r="M506" s="17" t="s">
        <v>10</v>
      </c>
      <c r="N506" s="17">
        <v>2</v>
      </c>
    </row>
    <row r="507" spans="1:17" x14ac:dyDescent="0.25">
      <c r="A507" s="10">
        <v>995102</v>
      </c>
      <c r="B507" s="22" t="str">
        <f>IFERROR(VLOOKUP(A507,VLOOKUPS!$A$2:B$12589,2,FALSE),"")</f>
        <v>Cantaloupe Chunks 16oz-standard</v>
      </c>
      <c r="E507">
        <v>2.2999999999999998</v>
      </c>
      <c r="F507">
        <v>3.3</v>
      </c>
      <c r="G507" s="13">
        <v>44354</v>
      </c>
      <c r="H507" s="13"/>
      <c r="I507" s="22" t="str">
        <f>VLOOKUP(J507, Dropdowns!N:O, 2, FALSE)</f>
        <v>Standard</v>
      </c>
      <c r="J507" t="s">
        <v>760</v>
      </c>
      <c r="L507" s="17" t="s">
        <v>732</v>
      </c>
      <c r="M507" s="17" t="s">
        <v>10</v>
      </c>
      <c r="N507" s="17">
        <v>2</v>
      </c>
    </row>
    <row r="508" spans="1:17" x14ac:dyDescent="0.25">
      <c r="A508" s="10">
        <v>995115</v>
      </c>
      <c r="B508" s="22" t="str">
        <f>IFERROR(VLOOKUP(A508,VLOOKUPS!$A$2:B$12589,2,FALSE),"")</f>
        <v>Pineapple Chunks 10oz-standard</v>
      </c>
      <c r="E508">
        <v>2.29</v>
      </c>
      <c r="F508">
        <v>1.39</v>
      </c>
      <c r="G508" s="13">
        <v>44352</v>
      </c>
      <c r="H508" s="13">
        <v>44353</v>
      </c>
      <c r="I508" s="22" t="str">
        <f>VLOOKUP(J508, Dropdowns!N:O, 2, FALSE)</f>
        <v>Lower Price</v>
      </c>
      <c r="J508" t="s">
        <v>759</v>
      </c>
      <c r="L508" s="17" t="s">
        <v>732</v>
      </c>
      <c r="M508" s="17" t="s">
        <v>10</v>
      </c>
      <c r="N508" s="17">
        <v>2</v>
      </c>
    </row>
    <row r="509" spans="1:17" x14ac:dyDescent="0.25">
      <c r="A509" s="10">
        <v>995115</v>
      </c>
      <c r="B509" s="22" t="str">
        <f>IFERROR(VLOOKUP(A509,VLOOKUPS!$A$2:B$12589,2,FALSE),"")</f>
        <v>Pineapple Chunks 10oz-standard</v>
      </c>
      <c r="E509">
        <v>1.39</v>
      </c>
      <c r="F509">
        <v>2.29</v>
      </c>
      <c r="G509" s="13">
        <v>44354</v>
      </c>
      <c r="H509" s="13"/>
      <c r="I509" s="22" t="str">
        <f>VLOOKUP(J509, Dropdowns!N:O, 2, FALSE)</f>
        <v>Standard</v>
      </c>
      <c r="J509" t="s">
        <v>760</v>
      </c>
      <c r="L509" s="17" t="s">
        <v>732</v>
      </c>
      <c r="M509" s="17" t="s">
        <v>10</v>
      </c>
      <c r="N509" s="17">
        <v>2</v>
      </c>
    </row>
    <row r="510" spans="1:17" x14ac:dyDescent="0.25">
      <c r="A510" s="10">
        <v>995119</v>
      </c>
      <c r="B510" s="22" t="str">
        <f>IFERROR(VLOOKUP(A510,VLOOKUPS!$A$2:B$12589,2,FALSE),"")</f>
        <v>RTE Green Goddess Salad 5.5oz-standard</v>
      </c>
      <c r="D510">
        <v>6</v>
      </c>
      <c r="F510">
        <v>2.89</v>
      </c>
      <c r="G510" s="13">
        <v>44352</v>
      </c>
      <c r="H510" s="13"/>
      <c r="I510" s="22" t="str">
        <f>VLOOKUP(J510, Dropdowns!N:O, 2, FALSE)</f>
        <v>New</v>
      </c>
      <c r="J510" t="s">
        <v>776</v>
      </c>
      <c r="L510" s="17" t="s">
        <v>732</v>
      </c>
      <c r="M510" s="17" t="s">
        <v>736</v>
      </c>
      <c r="N510" s="17" t="s">
        <v>736</v>
      </c>
      <c r="O510" s="17" t="s">
        <v>748</v>
      </c>
      <c r="P510">
        <v>1</v>
      </c>
      <c r="Q510" s="17" t="s">
        <v>1044</v>
      </c>
    </row>
    <row r="511" spans="1:17" x14ac:dyDescent="0.25">
      <c r="A511" s="10">
        <v>984460</v>
      </c>
      <c r="B511" s="22" t="str">
        <f>IFERROR(VLOOKUP(A511,VLOOKUPS!$A$2:B$12589,2,FALSE),"")</f>
        <v>Strawberries 1lb-standard</v>
      </c>
      <c r="E511">
        <v>2.2799999999999998</v>
      </c>
      <c r="F511">
        <v>1.99</v>
      </c>
      <c r="G511" s="13">
        <v>44355</v>
      </c>
      <c r="H511" s="13"/>
      <c r="I511" s="22" t="str">
        <f>VLOOKUP(J511, Dropdowns!N:O, 2, FALSE)</f>
        <v>Standard</v>
      </c>
      <c r="J511" t="s">
        <v>761</v>
      </c>
      <c r="L511" s="17" t="s">
        <v>732</v>
      </c>
      <c r="M511" s="17" t="s">
        <v>736</v>
      </c>
      <c r="N511" s="17" t="s">
        <v>736</v>
      </c>
    </row>
    <row r="512" spans="1:17" x14ac:dyDescent="0.25">
      <c r="A512" s="10">
        <v>984461</v>
      </c>
      <c r="B512" s="22" t="str">
        <f>IFERROR(VLOOKUP(A512,VLOOKUPS!$A$2:B$12589,2,FALSE),"")</f>
        <v>Strawberries 2lb-standard</v>
      </c>
      <c r="E512">
        <v>3.99</v>
      </c>
      <c r="F512">
        <v>3.79</v>
      </c>
      <c r="G512" s="13">
        <v>44355</v>
      </c>
      <c r="H512" s="13"/>
      <c r="I512" s="22" t="str">
        <f>VLOOKUP(J512, Dropdowns!N:O, 2, FALSE)</f>
        <v>Standard</v>
      </c>
      <c r="J512" t="s">
        <v>761</v>
      </c>
      <c r="L512" s="17" t="s">
        <v>732</v>
      </c>
      <c r="M512" s="17" t="s">
        <v>736</v>
      </c>
      <c r="N512" s="17" t="s">
        <v>736</v>
      </c>
    </row>
    <row r="513" spans="1:14" x14ac:dyDescent="0.25">
      <c r="A513" s="10">
        <v>984500</v>
      </c>
      <c r="B513" s="22" t="str">
        <f>IFERROR(VLOOKUP(A513,VLOOKUPS!$A$2:B$12589,2,FALSE),"")</f>
        <v>Organic Strawberries 1lb-standard</v>
      </c>
      <c r="E513">
        <v>3.3</v>
      </c>
      <c r="F513">
        <v>2.79</v>
      </c>
      <c r="G513" s="13">
        <v>44355</v>
      </c>
      <c r="H513" s="13"/>
      <c r="I513" s="22" t="str">
        <f>VLOOKUP(J513, Dropdowns!N:O, 2, FALSE)</f>
        <v>Standard</v>
      </c>
      <c r="J513" t="s">
        <v>761</v>
      </c>
      <c r="L513" s="17" t="s">
        <v>732</v>
      </c>
      <c r="M513" s="17" t="s">
        <v>736</v>
      </c>
      <c r="N513" s="17" t="s">
        <v>736</v>
      </c>
    </row>
    <row r="514" spans="1:14" x14ac:dyDescent="0.25">
      <c r="A514" s="10">
        <v>984541</v>
      </c>
      <c r="B514" s="22" t="str">
        <f>IFERROR(VLOOKUP(A514,VLOOKUPS!$A$2:B$12589,2,FALSE),"")</f>
        <v>Blueberries 1pt-standard</v>
      </c>
      <c r="E514">
        <v>2.64</v>
      </c>
      <c r="F514">
        <v>2.7</v>
      </c>
      <c r="G514" s="13">
        <v>44355</v>
      </c>
      <c r="H514" s="13"/>
      <c r="I514" s="22" t="str">
        <f>VLOOKUP(J514, Dropdowns!N:O, 2, FALSE)</f>
        <v>Standard</v>
      </c>
      <c r="J514" t="s">
        <v>761</v>
      </c>
      <c r="L514" s="17" t="s">
        <v>732</v>
      </c>
      <c r="M514" s="17" t="s">
        <v>736</v>
      </c>
      <c r="N514" s="17" t="s">
        <v>736</v>
      </c>
    </row>
    <row r="515" spans="1:14" x14ac:dyDescent="0.25">
      <c r="A515" s="10">
        <v>984580</v>
      </c>
      <c r="B515" s="22" t="str">
        <f>IFERROR(VLOOKUP(A515,VLOOKUPS!$A$2:B$12589,2,FALSE),"")</f>
        <v>Organic Blueberries 6oz-standard</v>
      </c>
      <c r="E515">
        <v>3.39</v>
      </c>
      <c r="F515">
        <v>2.99</v>
      </c>
      <c r="G515" s="13">
        <v>44355</v>
      </c>
      <c r="H515" s="13"/>
      <c r="I515" s="22" t="str">
        <f>VLOOKUP(J515, Dropdowns!N:O, 2, FALSE)</f>
        <v>Standard</v>
      </c>
      <c r="J515" t="s">
        <v>761</v>
      </c>
      <c r="L515" s="17" t="s">
        <v>732</v>
      </c>
      <c r="M515" s="17" t="s">
        <v>736</v>
      </c>
      <c r="N515" s="17" t="s">
        <v>736</v>
      </c>
    </row>
    <row r="516" spans="1:14" x14ac:dyDescent="0.25">
      <c r="A516" s="10">
        <v>984620</v>
      </c>
      <c r="B516" s="22" t="str">
        <f>IFERROR(VLOOKUP(A516,VLOOKUPS!$A$2:B$12589,2,FALSE),"")</f>
        <v>Raspberries 6oz-standard</v>
      </c>
      <c r="E516">
        <v>2.84</v>
      </c>
      <c r="F516">
        <v>2.74</v>
      </c>
      <c r="G516" s="13">
        <v>44355</v>
      </c>
      <c r="H516" s="13"/>
      <c r="I516" s="22" t="str">
        <f>VLOOKUP(J516, Dropdowns!N:O, 2, FALSE)</f>
        <v>Standard</v>
      </c>
      <c r="J516" t="s">
        <v>761</v>
      </c>
      <c r="L516" s="17" t="s">
        <v>732</v>
      </c>
      <c r="M516" s="17" t="s">
        <v>736</v>
      </c>
      <c r="N516" s="17" t="s">
        <v>736</v>
      </c>
    </row>
    <row r="517" spans="1:14" x14ac:dyDescent="0.25">
      <c r="A517" s="10">
        <v>984621</v>
      </c>
      <c r="B517" s="22" t="str">
        <f>IFERROR(VLOOKUP(A517,VLOOKUPS!$A$2:B$12589,2,FALSE),"")</f>
        <v>Raspberries 12oz-standard</v>
      </c>
      <c r="E517">
        <v>5.13</v>
      </c>
      <c r="F517">
        <v>4.9400000000000004</v>
      </c>
      <c r="G517" s="13">
        <v>44355</v>
      </c>
      <c r="H517" s="13"/>
      <c r="I517" s="22" t="str">
        <f>VLOOKUP(J517, Dropdowns!N:O, 2, FALSE)</f>
        <v>Standard</v>
      </c>
      <c r="J517" t="s">
        <v>761</v>
      </c>
      <c r="L517" s="17" t="s">
        <v>732</v>
      </c>
      <c r="M517" s="17" t="s">
        <v>736</v>
      </c>
      <c r="N517" s="17" t="s">
        <v>736</v>
      </c>
    </row>
    <row r="518" spans="1:14" x14ac:dyDescent="0.25">
      <c r="A518" s="10">
        <v>984700</v>
      </c>
      <c r="B518" s="22" t="str">
        <f>IFERROR(VLOOKUP(A518,VLOOKUPS!$A$2:B$12589,2,FALSE),"")</f>
        <v>Blackberries 6oz-standard</v>
      </c>
      <c r="E518">
        <v>2.64</v>
      </c>
      <c r="F518">
        <v>2.48</v>
      </c>
      <c r="G518" s="13">
        <v>44355</v>
      </c>
      <c r="H518" s="13"/>
      <c r="I518" s="22" t="str">
        <f>VLOOKUP(J518, Dropdowns!N:O, 2, FALSE)</f>
        <v>Standard</v>
      </c>
      <c r="J518" t="s">
        <v>761</v>
      </c>
      <c r="L518" s="17" t="s">
        <v>732</v>
      </c>
      <c r="M518" s="17" t="s">
        <v>736</v>
      </c>
      <c r="N518" s="17" t="s">
        <v>736</v>
      </c>
    </row>
    <row r="519" spans="1:14" x14ac:dyDescent="0.25">
      <c r="A519" s="10">
        <v>984701</v>
      </c>
      <c r="B519" s="22" t="str">
        <f>IFERROR(VLOOKUP(A519,VLOOKUPS!$A$2:B$12589,2,FALSE),"")</f>
        <v>Blackberries Super Sweet 6oz-standard</v>
      </c>
      <c r="E519">
        <v>3.49</v>
      </c>
      <c r="F519">
        <v>3.79</v>
      </c>
      <c r="G519" s="13">
        <v>44355</v>
      </c>
      <c r="H519" s="13"/>
      <c r="I519" s="22" t="str">
        <f>VLOOKUP(J519, Dropdowns!N:O, 2, FALSE)</f>
        <v>Standard</v>
      </c>
      <c r="J519" t="s">
        <v>761</v>
      </c>
      <c r="L519" s="17" t="s">
        <v>732</v>
      </c>
      <c r="M519" s="17" t="s">
        <v>736</v>
      </c>
      <c r="N519" s="17" t="s">
        <v>736</v>
      </c>
    </row>
    <row r="520" spans="1:14" x14ac:dyDescent="0.25">
      <c r="A520" s="10">
        <v>995041</v>
      </c>
      <c r="B520" s="22" t="str">
        <f>IFERROR(VLOOKUP(A520,VLOOKUPS!$A$2:B$12589,2,FALSE),"")</f>
        <v>Pineapple Spears 16oz-standard</v>
      </c>
      <c r="E520">
        <v>3.29</v>
      </c>
      <c r="F520">
        <v>2.29</v>
      </c>
      <c r="G520" s="13">
        <v>44355</v>
      </c>
      <c r="H520" s="13">
        <v>44356</v>
      </c>
      <c r="I520" s="22" t="str">
        <f>VLOOKUP(J520, Dropdowns!N:O, 2, FALSE)</f>
        <v>Lower Price</v>
      </c>
      <c r="J520" t="s">
        <v>759</v>
      </c>
      <c r="L520" s="17" t="s">
        <v>732</v>
      </c>
      <c r="M520" s="17" t="s">
        <v>10</v>
      </c>
      <c r="N520" s="17">
        <v>2</v>
      </c>
    </row>
    <row r="521" spans="1:14" x14ac:dyDescent="0.25">
      <c r="A521" s="10">
        <v>995074</v>
      </c>
      <c r="B521" s="22" t="str">
        <f>IFERROR(VLOOKUP(A521,VLOOKUPS!$A$2:B$12589,2,FALSE),"")</f>
        <v>Southwest Chopped Salad Kit 12oz-standard</v>
      </c>
      <c r="E521">
        <v>2.99</v>
      </c>
      <c r="F521">
        <v>1.99</v>
      </c>
      <c r="G521" s="13">
        <v>44355</v>
      </c>
      <c r="H521" s="13">
        <v>44356</v>
      </c>
      <c r="I521" s="22" t="str">
        <f>VLOOKUP(J521, Dropdowns!N:O, 2, FALSE)</f>
        <v>Lower Price</v>
      </c>
      <c r="J521" t="s">
        <v>759</v>
      </c>
      <c r="L521" s="17" t="s">
        <v>732</v>
      </c>
      <c r="M521" s="17" t="s">
        <v>11</v>
      </c>
      <c r="N521" s="17" t="s">
        <v>740</v>
      </c>
    </row>
    <row r="522" spans="1:14" x14ac:dyDescent="0.25">
      <c r="A522" s="10">
        <v>995041</v>
      </c>
      <c r="B522" s="22" t="str">
        <f>IFERROR(VLOOKUP(A522,VLOOKUPS!$A$2:B$12589,2,FALSE),"")</f>
        <v>Pineapple Spears 16oz-standard</v>
      </c>
      <c r="E522">
        <v>2.29</v>
      </c>
      <c r="F522">
        <v>3.29</v>
      </c>
      <c r="G522" s="13">
        <v>44357</v>
      </c>
      <c r="H522" s="13"/>
      <c r="I522" s="22" t="str">
        <f>VLOOKUP(J522, Dropdowns!N:O, 2, FALSE)</f>
        <v>Standard</v>
      </c>
      <c r="J522" t="s">
        <v>760</v>
      </c>
      <c r="L522" s="17" t="s">
        <v>732</v>
      </c>
      <c r="M522" s="17" t="s">
        <v>10</v>
      </c>
      <c r="N522" s="17">
        <v>2</v>
      </c>
    </row>
    <row r="523" spans="1:14" x14ac:dyDescent="0.25">
      <c r="A523" s="10">
        <v>995074</v>
      </c>
      <c r="B523" s="22" t="str">
        <f>IFERROR(VLOOKUP(A523,VLOOKUPS!$A$2:B$12589,2,FALSE),"")</f>
        <v>Southwest Chopped Salad Kit 12oz-standard</v>
      </c>
      <c r="E523">
        <v>1.99</v>
      </c>
      <c r="F523">
        <v>2.99</v>
      </c>
      <c r="G523" s="13">
        <v>44357</v>
      </c>
      <c r="H523" s="13"/>
      <c r="I523" s="22" t="str">
        <f>VLOOKUP(J523, Dropdowns!N:O, 2, FALSE)</f>
        <v>Standard</v>
      </c>
      <c r="J523" t="s">
        <v>760</v>
      </c>
      <c r="L523" s="17" t="s">
        <v>732</v>
      </c>
      <c r="M523" s="17" t="s">
        <v>11</v>
      </c>
      <c r="N523" s="17" t="s">
        <v>740</v>
      </c>
    </row>
    <row r="524" spans="1:14" x14ac:dyDescent="0.25">
      <c r="A524" s="10">
        <v>995082</v>
      </c>
      <c r="B524" s="22" t="str">
        <f>IFERROR(VLOOKUP(A524,VLOOKUPS!$A$2:B$12589,2,FALSE),"")</f>
        <v>Melon Trio 16oz-standard</v>
      </c>
      <c r="E524">
        <v>3.99</v>
      </c>
      <c r="F524">
        <v>2.59</v>
      </c>
      <c r="G524" s="13">
        <v>44355</v>
      </c>
      <c r="H524" s="13">
        <v>44356</v>
      </c>
      <c r="I524" s="22" t="str">
        <f>VLOOKUP(J524, Dropdowns!N:O, 2, FALSE)</f>
        <v>Lower Price</v>
      </c>
      <c r="J524" t="s">
        <v>759</v>
      </c>
      <c r="L524" s="17" t="s">
        <v>732</v>
      </c>
      <c r="M524" s="17" t="s">
        <v>11</v>
      </c>
      <c r="N524" s="17" t="s">
        <v>740</v>
      </c>
    </row>
    <row r="525" spans="1:14" x14ac:dyDescent="0.25">
      <c r="A525" s="10">
        <v>995082</v>
      </c>
      <c r="B525" s="22" t="str">
        <f>IFERROR(VLOOKUP(A525,VLOOKUPS!$A$2:B$12589,2,FALSE),"")</f>
        <v>Melon Trio 16oz-standard</v>
      </c>
      <c r="E525">
        <v>2.59</v>
      </c>
      <c r="F525">
        <v>3.99</v>
      </c>
      <c r="G525" s="13">
        <v>44357</v>
      </c>
      <c r="H525" s="13"/>
      <c r="I525" s="22" t="str">
        <f>VLOOKUP(J525, Dropdowns!N:O, 2, FALSE)</f>
        <v>Standard</v>
      </c>
      <c r="J525" t="s">
        <v>760</v>
      </c>
      <c r="L525" s="17" t="s">
        <v>732</v>
      </c>
      <c r="M525" s="17" t="s">
        <v>11</v>
      </c>
      <c r="N525" s="17" t="s">
        <v>740</v>
      </c>
    </row>
    <row r="526" spans="1:14" x14ac:dyDescent="0.25">
      <c r="A526" s="10">
        <v>995115</v>
      </c>
      <c r="B526" s="22" t="str">
        <f>IFERROR(VLOOKUP(A526,VLOOKUPS!$A$2:B$12589,2,FALSE),"")</f>
        <v>Pineapple Chunks 10oz-standard</v>
      </c>
      <c r="E526">
        <v>2.29</v>
      </c>
      <c r="F526">
        <v>1.29</v>
      </c>
      <c r="G526" s="13">
        <v>44355</v>
      </c>
      <c r="H526" s="13">
        <v>44356</v>
      </c>
      <c r="I526" s="22" t="str">
        <f>VLOOKUP(J526, Dropdowns!N:O, 2, FALSE)</f>
        <v>Lower Price</v>
      </c>
      <c r="J526" t="s">
        <v>759</v>
      </c>
      <c r="L526" s="17" t="s">
        <v>732</v>
      </c>
      <c r="M526" s="17" t="s">
        <v>738</v>
      </c>
      <c r="N526" s="17">
        <v>2</v>
      </c>
    </row>
    <row r="527" spans="1:14" x14ac:dyDescent="0.25">
      <c r="A527" s="10">
        <v>995115</v>
      </c>
      <c r="B527" s="22" t="str">
        <f>IFERROR(VLOOKUP(A527,VLOOKUPS!$A$2:B$12589,2,FALSE),"")</f>
        <v>Pineapple Chunks 10oz-standard</v>
      </c>
      <c r="E527">
        <v>1.29</v>
      </c>
      <c r="F527">
        <v>2.29</v>
      </c>
      <c r="G527" s="13">
        <v>44357</v>
      </c>
      <c r="H527" s="13"/>
      <c r="I527" s="22" t="str">
        <f>VLOOKUP(J527, Dropdowns!N:O, 2, FALSE)</f>
        <v>Standard</v>
      </c>
      <c r="J527" t="s">
        <v>760</v>
      </c>
      <c r="L527" s="17" t="s">
        <v>732</v>
      </c>
      <c r="M527" s="17" t="s">
        <v>738</v>
      </c>
      <c r="N527" s="17">
        <v>2</v>
      </c>
    </row>
    <row r="528" spans="1:14" x14ac:dyDescent="0.25">
      <c r="A528" s="10">
        <v>995116</v>
      </c>
      <c r="B528" s="22" t="str">
        <f>IFERROR(VLOOKUP(A528,VLOOKUPS!$A$2:B$12589,2,FALSE),"")</f>
        <v>Mango Chunks 10oz-standard</v>
      </c>
      <c r="E528">
        <v>2.59</v>
      </c>
      <c r="F528">
        <v>1.69</v>
      </c>
      <c r="G528" s="13">
        <v>44355</v>
      </c>
      <c r="H528" s="13">
        <v>44356</v>
      </c>
      <c r="I528" s="22" t="str">
        <f>VLOOKUP(J528, Dropdowns!N:O, 2, FALSE)</f>
        <v>Lower Price</v>
      </c>
      <c r="J528" t="s">
        <v>759</v>
      </c>
      <c r="L528" s="17" t="s">
        <v>732</v>
      </c>
      <c r="M528" s="17" t="s">
        <v>10</v>
      </c>
      <c r="N528" s="17">
        <v>2</v>
      </c>
    </row>
    <row r="529" spans="1:14" x14ac:dyDescent="0.25">
      <c r="A529" s="10">
        <v>995116</v>
      </c>
      <c r="B529" s="22" t="str">
        <f>IFERROR(VLOOKUP(A529,VLOOKUPS!$A$2:B$12589,2,FALSE),"")</f>
        <v>Mango Chunks 10oz-standard</v>
      </c>
      <c r="E529">
        <v>1.69</v>
      </c>
      <c r="F529">
        <v>2.59</v>
      </c>
      <c r="G529" s="13">
        <v>44357</v>
      </c>
      <c r="H529" s="13"/>
      <c r="I529" s="22" t="str">
        <f>VLOOKUP(J529, Dropdowns!N:O, 2, FALSE)</f>
        <v>Standard</v>
      </c>
      <c r="J529" t="s">
        <v>760</v>
      </c>
      <c r="L529" s="17" t="s">
        <v>732</v>
      </c>
      <c r="M529" s="17" t="s">
        <v>10</v>
      </c>
      <c r="N529" s="17">
        <v>2</v>
      </c>
    </row>
    <row r="530" spans="1:14" x14ac:dyDescent="0.25">
      <c r="A530" s="10">
        <v>995132</v>
      </c>
      <c r="B530" s="22" t="str">
        <f>IFERROR(VLOOKUP(A530,VLOOKUPS!$A$2:B$12589,2,FALSE),"")</f>
        <v>Fruit Mixed 10oz-standard</v>
      </c>
      <c r="E530">
        <v>2.59</v>
      </c>
      <c r="F530">
        <v>1.59</v>
      </c>
      <c r="G530" s="13">
        <v>44355</v>
      </c>
      <c r="H530" s="13">
        <v>44356</v>
      </c>
      <c r="I530" s="22" t="str">
        <f>VLOOKUP(J530, Dropdowns!N:O, 2, FALSE)</f>
        <v>Lower Price</v>
      </c>
      <c r="J530" t="s">
        <v>759</v>
      </c>
      <c r="L530" s="17" t="s">
        <v>732</v>
      </c>
      <c r="M530" s="17" t="s">
        <v>10</v>
      </c>
      <c r="N530" s="17">
        <v>2</v>
      </c>
    </row>
    <row r="531" spans="1:14" x14ac:dyDescent="0.25">
      <c r="A531" s="10">
        <v>995132</v>
      </c>
      <c r="B531" s="22" t="str">
        <f>IFERROR(VLOOKUP(A531,VLOOKUPS!$A$2:B$12589,2,FALSE),"")</f>
        <v>Fruit Mixed 10oz-standard</v>
      </c>
      <c r="E531">
        <v>1.59</v>
      </c>
      <c r="F531">
        <v>2.59</v>
      </c>
      <c r="G531" s="13">
        <v>44357</v>
      </c>
      <c r="H531" s="13"/>
      <c r="I531" s="22" t="str">
        <f>VLOOKUP(J531, Dropdowns!N:O, 2, FALSE)</f>
        <v>Standard</v>
      </c>
      <c r="J531" t="s">
        <v>760</v>
      </c>
      <c r="L531" s="17" t="s">
        <v>732</v>
      </c>
      <c r="M531" s="17" t="s">
        <v>10</v>
      </c>
      <c r="N531" s="17">
        <v>2</v>
      </c>
    </row>
    <row r="532" spans="1:14" x14ac:dyDescent="0.25">
      <c r="A532" s="10">
        <v>995070</v>
      </c>
      <c r="B532" s="22" t="str">
        <f>IFERROR(VLOOKUP(A532,VLOOKUPS!$A$2:B$12589,2,FALSE),"")</f>
        <v>Organic Baby Spring Mix 5oz-standard</v>
      </c>
      <c r="E532">
        <v>2.56</v>
      </c>
      <c r="F532">
        <v>2.4900000000000002</v>
      </c>
      <c r="G532" s="13">
        <v>44355</v>
      </c>
      <c r="H532" s="13"/>
      <c r="I532" s="22" t="str">
        <f>VLOOKUP(J532, Dropdowns!N:O, 2, FALSE)</f>
        <v>Standard</v>
      </c>
      <c r="J532" t="s">
        <v>761</v>
      </c>
      <c r="L532" s="17" t="s">
        <v>732</v>
      </c>
      <c r="M532" s="17" t="s">
        <v>736</v>
      </c>
      <c r="N532" s="17" t="s">
        <v>736</v>
      </c>
    </row>
    <row r="533" spans="1:14" x14ac:dyDescent="0.25">
      <c r="A533" s="10">
        <v>987560</v>
      </c>
      <c r="B533" s="22" t="str">
        <f>IFERROR(VLOOKUP(A533,VLOOKUPS!$A$2:B$12589,2,FALSE),"")</f>
        <v>Celery 1ct-standard</v>
      </c>
      <c r="E533">
        <v>1.29</v>
      </c>
      <c r="F533">
        <v>1.19</v>
      </c>
      <c r="G533" s="13">
        <v>44356</v>
      </c>
      <c r="H533" s="13"/>
      <c r="I533" s="22" t="str">
        <f>VLOOKUP(J533, Dropdowns!N:O, 2, FALSE)</f>
        <v>Standard</v>
      </c>
      <c r="J533" t="s">
        <v>761</v>
      </c>
      <c r="L533" s="17" t="s">
        <v>732</v>
      </c>
      <c r="M533" s="17" t="s">
        <v>736</v>
      </c>
      <c r="N533" s="17" t="s">
        <v>736</v>
      </c>
    </row>
    <row r="534" spans="1:14" x14ac:dyDescent="0.25">
      <c r="A534" s="10">
        <v>995009</v>
      </c>
      <c r="B534" s="22" t="str">
        <f>IFERROR(VLOOKUP(A534,VLOOKUPS!$A$2:B$12589,2,FALSE),"")</f>
        <v>Classic Coleslaw 14oz-standard</v>
      </c>
      <c r="E534">
        <v>1.49</v>
      </c>
      <c r="F534">
        <v>1.39</v>
      </c>
      <c r="G534" s="13">
        <v>44356</v>
      </c>
      <c r="H534" s="13"/>
      <c r="I534" s="22" t="str">
        <f>VLOOKUP(J534, Dropdowns!N:O, 2, FALSE)</f>
        <v>Standard</v>
      </c>
      <c r="J534" t="s">
        <v>761</v>
      </c>
      <c r="L534" s="17" t="s">
        <v>733</v>
      </c>
      <c r="M534" s="17" t="s">
        <v>736</v>
      </c>
      <c r="N534" s="17" t="s">
        <v>740</v>
      </c>
    </row>
    <row r="535" spans="1:14" x14ac:dyDescent="0.25">
      <c r="A535" s="10">
        <v>995009</v>
      </c>
      <c r="B535" s="22" t="str">
        <f>IFERROR(VLOOKUP(A535,VLOOKUPS!$A$2:B$12589,2,FALSE),"")</f>
        <v>Classic Coleslaw 14oz-standard</v>
      </c>
      <c r="E535">
        <v>1.59</v>
      </c>
      <c r="F535">
        <v>1.49</v>
      </c>
      <c r="G535" s="13">
        <v>44356</v>
      </c>
      <c r="H535" s="13"/>
      <c r="I535" s="22" t="str">
        <f>VLOOKUP(J535, Dropdowns!N:O, 2, FALSE)</f>
        <v>Standard</v>
      </c>
      <c r="J535" t="s">
        <v>761</v>
      </c>
      <c r="L535" s="17" t="s">
        <v>734</v>
      </c>
      <c r="M535" s="17" t="s">
        <v>735</v>
      </c>
      <c r="N535" s="17" t="s">
        <v>736</v>
      </c>
    </row>
    <row r="536" spans="1:14" x14ac:dyDescent="0.25">
      <c r="A536" s="10">
        <v>985011</v>
      </c>
      <c r="B536" s="22" t="str">
        <f>IFERROR(VLOOKUP(A536,VLOOKUPS!$A$2:B$12589,2,FALSE),"")</f>
        <v>Lettuce Butter 1ct-standard</v>
      </c>
      <c r="E536">
        <v>1.99</v>
      </c>
      <c r="F536">
        <v>2.29</v>
      </c>
      <c r="G536" s="13">
        <v>44356</v>
      </c>
      <c r="H536" s="13"/>
      <c r="I536" s="22" t="str">
        <f>VLOOKUP(J536, Dropdowns!N:O, 2, FALSE)</f>
        <v>Standard</v>
      </c>
      <c r="J536" t="s">
        <v>761</v>
      </c>
      <c r="L536" s="17" t="s">
        <v>732</v>
      </c>
      <c r="M536" s="17" t="s">
        <v>736</v>
      </c>
      <c r="N536" s="17" t="s">
        <v>736</v>
      </c>
    </row>
    <row r="537" spans="1:14" x14ac:dyDescent="0.25">
      <c r="A537" s="10">
        <v>984660</v>
      </c>
      <c r="B537" s="22" t="str">
        <f>IFERROR(VLOOKUP(A537,VLOOKUPS!$A$2:B$12589,2,FALSE),"")</f>
        <v>Organic Raspberries 6oz-standard</v>
      </c>
      <c r="E537">
        <v>3.89</v>
      </c>
      <c r="F537">
        <v>2.89</v>
      </c>
      <c r="G537" s="13">
        <v>44356</v>
      </c>
      <c r="H537" s="13">
        <v>44357</v>
      </c>
      <c r="I537" s="22" t="str">
        <f>VLOOKUP(J537, Dropdowns!N:O, 2, FALSE)</f>
        <v>Lower Price</v>
      </c>
      <c r="J537" t="s">
        <v>759</v>
      </c>
      <c r="L537" s="17" t="s">
        <v>732</v>
      </c>
      <c r="M537" s="17" t="s">
        <v>9</v>
      </c>
      <c r="N537" s="17" t="s">
        <v>736</v>
      </c>
    </row>
    <row r="538" spans="1:14" x14ac:dyDescent="0.25">
      <c r="A538" s="10">
        <v>984660</v>
      </c>
      <c r="B538" s="22" t="str">
        <f>IFERROR(VLOOKUP(A538,VLOOKUPS!$A$2:B$12589,2,FALSE),"")</f>
        <v>Organic Raspberries 6oz-standard</v>
      </c>
      <c r="E538">
        <v>2.89</v>
      </c>
      <c r="F538">
        <v>3.89</v>
      </c>
      <c r="G538" s="13">
        <v>44358</v>
      </c>
      <c r="H538" s="13"/>
      <c r="I538" s="22" t="str">
        <f>VLOOKUP(J538, Dropdowns!N:O, 2, FALSE)</f>
        <v>Standard</v>
      </c>
      <c r="J538" t="s">
        <v>760</v>
      </c>
      <c r="L538" s="17" t="s">
        <v>732</v>
      </c>
      <c r="M538" s="17" t="s">
        <v>9</v>
      </c>
      <c r="N538" s="17" t="s">
        <v>736</v>
      </c>
    </row>
    <row r="539" spans="1:14" x14ac:dyDescent="0.25">
      <c r="A539" s="10">
        <v>984660</v>
      </c>
      <c r="B539" s="22" t="str">
        <f>IFERROR(VLOOKUP(A539,VLOOKUPS!$A$2:B$12589,2,FALSE),"")</f>
        <v>Organic Raspberries 6oz-standard</v>
      </c>
      <c r="G539" s="13">
        <v>44356</v>
      </c>
      <c r="H539" s="13"/>
      <c r="I539" s="22" t="str">
        <f>VLOOKUP(J539, Dropdowns!N:O, 2, FALSE)</f>
        <v>NA</v>
      </c>
      <c r="J539" t="s">
        <v>754</v>
      </c>
      <c r="L539" s="17" t="s">
        <v>733</v>
      </c>
      <c r="M539" s="17" t="s">
        <v>11</v>
      </c>
      <c r="N539" s="17" t="s">
        <v>740</v>
      </c>
    </row>
    <row r="540" spans="1:14" x14ac:dyDescent="0.25">
      <c r="A540" s="10">
        <v>995018</v>
      </c>
      <c r="B540" s="22" t="str">
        <f>IFERROR(VLOOKUP(A540,VLOOKUPS!$A$2:B$12589,2,FALSE),"")</f>
        <v>RTE Large Chicken Caesar Salad 13.1oz-standard</v>
      </c>
      <c r="E540">
        <v>4.99</v>
      </c>
      <c r="F540">
        <v>3.99</v>
      </c>
      <c r="G540" s="13">
        <v>44356</v>
      </c>
      <c r="H540" s="13">
        <v>44357</v>
      </c>
      <c r="I540" s="22" t="str">
        <f>VLOOKUP(J540, Dropdowns!N:O, 2, FALSE)</f>
        <v>Lower Price</v>
      </c>
      <c r="J540" t="s">
        <v>759</v>
      </c>
      <c r="L540" s="17" t="s">
        <v>732</v>
      </c>
      <c r="M540" s="17" t="s">
        <v>10</v>
      </c>
      <c r="N540" s="17">
        <v>2</v>
      </c>
    </row>
    <row r="541" spans="1:14" x14ac:dyDescent="0.25">
      <c r="A541" s="10">
        <v>995018</v>
      </c>
      <c r="B541" s="22" t="str">
        <f>IFERROR(VLOOKUP(A541,VLOOKUPS!$A$2:B$12589,2,FALSE),"")</f>
        <v>RTE Large Chicken Caesar Salad 13.1oz-standard</v>
      </c>
      <c r="E541">
        <v>3.99</v>
      </c>
      <c r="F541">
        <v>4.99</v>
      </c>
      <c r="G541" s="13">
        <v>44358</v>
      </c>
      <c r="H541" s="13"/>
      <c r="I541" s="22" t="str">
        <f>VLOOKUP(J541, Dropdowns!N:O, 2, FALSE)</f>
        <v>Standard</v>
      </c>
      <c r="J541" t="s">
        <v>760</v>
      </c>
      <c r="L541" s="17" t="s">
        <v>732</v>
      </c>
      <c r="M541" s="17" t="s">
        <v>10</v>
      </c>
      <c r="N541" s="17">
        <v>2</v>
      </c>
    </row>
    <row r="542" spans="1:14" x14ac:dyDescent="0.25">
      <c r="A542" s="10">
        <v>995019</v>
      </c>
      <c r="B542" s="22" t="str">
        <f>IFERROR(VLOOKUP(A542,VLOOKUPS!$A$2:B$12589,2,FALSE),"")</f>
        <v>RTE Large Santa Fe Salad 14oz-standard</v>
      </c>
      <c r="E542">
        <v>4.99</v>
      </c>
      <c r="F542">
        <v>3.99</v>
      </c>
      <c r="G542" s="13">
        <v>44356</v>
      </c>
      <c r="H542" s="13">
        <v>44357</v>
      </c>
      <c r="I542" s="22" t="str">
        <f>VLOOKUP(J542, Dropdowns!N:O, 2, FALSE)</f>
        <v>Lower Price</v>
      </c>
      <c r="J542" t="s">
        <v>759</v>
      </c>
      <c r="L542" s="17" t="s">
        <v>733</v>
      </c>
      <c r="M542" s="17" t="s">
        <v>11</v>
      </c>
      <c r="N542" s="17" t="s">
        <v>740</v>
      </c>
    </row>
    <row r="543" spans="1:14" x14ac:dyDescent="0.25">
      <c r="A543" s="10">
        <v>995019</v>
      </c>
      <c r="B543" s="22" t="str">
        <f>IFERROR(VLOOKUP(A543,VLOOKUPS!$A$2:B$12589,2,FALSE),"")</f>
        <v>RTE Large Santa Fe Salad 14oz-standard</v>
      </c>
      <c r="E543">
        <v>3.99</v>
      </c>
      <c r="F543">
        <v>4.99</v>
      </c>
      <c r="G543" s="13">
        <v>44358</v>
      </c>
      <c r="H543" s="13"/>
      <c r="I543" s="22" t="str">
        <f>VLOOKUP(J543, Dropdowns!N:O, 2, FALSE)</f>
        <v>Standard</v>
      </c>
      <c r="J543" t="s">
        <v>760</v>
      </c>
      <c r="L543" s="17" t="s">
        <v>733</v>
      </c>
      <c r="M543" s="17" t="s">
        <v>11</v>
      </c>
      <c r="N543" s="17" t="s">
        <v>740</v>
      </c>
    </row>
    <row r="544" spans="1:14" x14ac:dyDescent="0.25">
      <c r="A544" s="10">
        <v>984542</v>
      </c>
      <c r="B544" s="22" t="str">
        <f>IFERROR(VLOOKUP(A544,VLOOKUPS!$A$2:B$12589,2,FALSE),"")</f>
        <v>Blueberries 18oz-standard</v>
      </c>
      <c r="G544" s="13">
        <v>44356</v>
      </c>
      <c r="H544" s="13">
        <v>44362</v>
      </c>
      <c r="I544" s="22" t="str">
        <f>VLOOKUP(J544, Dropdowns!N:O, 2, FALSE)</f>
        <v>Lower Price</v>
      </c>
      <c r="J544" t="s">
        <v>753</v>
      </c>
      <c r="L544" s="17" t="s">
        <v>732</v>
      </c>
      <c r="M544" s="17" t="s">
        <v>736</v>
      </c>
      <c r="N544" s="17" t="s">
        <v>736</v>
      </c>
    </row>
    <row r="545" spans="1:14" x14ac:dyDescent="0.25">
      <c r="A545" s="10">
        <v>995102</v>
      </c>
      <c r="B545" s="22" t="str">
        <f>IFERROR(VLOOKUP(A545,VLOOKUPS!$A$2:B$12589,2,FALSE),"")</f>
        <v>Cantaloupe Chunks 16oz-standard</v>
      </c>
      <c r="G545" s="13">
        <v>44356</v>
      </c>
      <c r="H545" s="13">
        <v>44362</v>
      </c>
      <c r="I545" s="22" t="str">
        <f>VLOOKUP(J545, Dropdowns!N:O, 2, FALSE)</f>
        <v>Lower Price</v>
      </c>
      <c r="J545" t="s">
        <v>753</v>
      </c>
      <c r="L545" s="17" t="s">
        <v>732</v>
      </c>
      <c r="M545" s="17" t="s">
        <v>736</v>
      </c>
      <c r="N545" s="17" t="s">
        <v>736</v>
      </c>
    </row>
    <row r="546" spans="1:14" x14ac:dyDescent="0.25">
      <c r="A546" s="10">
        <v>995101</v>
      </c>
      <c r="B546" s="22" t="str">
        <f>IFERROR(VLOOKUP(A546,VLOOKUPS!$A$2:B$12589,2,FALSE),"")</f>
        <v>Avocado Ranch Salad Kit 11.3oz-standard</v>
      </c>
      <c r="G546" s="13">
        <v>44356</v>
      </c>
      <c r="H546" s="13">
        <v>44362</v>
      </c>
      <c r="I546" s="22" t="str">
        <f>VLOOKUP(J546, Dropdowns!N:O, 2, FALSE)</f>
        <v>Lower Price</v>
      </c>
      <c r="J546" t="s">
        <v>753</v>
      </c>
      <c r="L546" s="17" t="s">
        <v>732</v>
      </c>
      <c r="M546" s="17" t="s">
        <v>736</v>
      </c>
      <c r="N546" s="17" t="s">
        <v>736</v>
      </c>
    </row>
    <row r="547" spans="1:14" x14ac:dyDescent="0.25">
      <c r="A547" s="10">
        <v>995070</v>
      </c>
      <c r="B547" s="22" t="str">
        <f>IFERROR(VLOOKUP(A547,VLOOKUPS!$A$2:B$12589,2,FALSE),"")</f>
        <v>Organic Baby Spring Mix 5oz-standard</v>
      </c>
      <c r="G547" s="13">
        <v>44356</v>
      </c>
      <c r="H547" s="13">
        <v>44362</v>
      </c>
      <c r="I547" s="22" t="str">
        <f>VLOOKUP(J547, Dropdowns!N:O, 2, FALSE)</f>
        <v>Lower Price</v>
      </c>
      <c r="J547" t="s">
        <v>753</v>
      </c>
      <c r="L547" s="17" t="s">
        <v>732</v>
      </c>
      <c r="M547" s="17" t="s">
        <v>736</v>
      </c>
      <c r="N547" s="17" t="s">
        <v>736</v>
      </c>
    </row>
    <row r="548" spans="1:14" x14ac:dyDescent="0.25">
      <c r="A548" s="10">
        <v>985760</v>
      </c>
      <c r="B548" s="22" t="str">
        <f>IFERROR(VLOOKUP(A548,VLOOKUPS!$A$2:B$12589,2,FALSE),"")</f>
        <v>Asparagus 1lb-standard</v>
      </c>
      <c r="E548">
        <v>1.39</v>
      </c>
      <c r="F548">
        <v>2.99</v>
      </c>
      <c r="G548" s="13">
        <v>44356</v>
      </c>
      <c r="H548" s="13"/>
      <c r="I548" s="22" t="str">
        <f>VLOOKUP(J548, Dropdowns!N:O, 2, FALSE)</f>
        <v>Standard</v>
      </c>
      <c r="J548" t="s">
        <v>760</v>
      </c>
      <c r="L548" s="17" t="s">
        <v>732</v>
      </c>
      <c r="M548" s="17" t="s">
        <v>10</v>
      </c>
      <c r="N548" s="17">
        <v>2</v>
      </c>
    </row>
    <row r="549" spans="1:14" x14ac:dyDescent="0.25">
      <c r="A549" s="10">
        <v>985760</v>
      </c>
      <c r="B549" s="22" t="str">
        <f>IFERROR(VLOOKUP(A549,VLOOKUPS!$A$2:B$12589,2,FALSE),"")</f>
        <v>Asparagus 1lb-standard</v>
      </c>
      <c r="G549" s="13">
        <v>44356</v>
      </c>
      <c r="H549" s="13">
        <v>44357</v>
      </c>
      <c r="I549" s="22" t="str">
        <f>VLOOKUP(J549, Dropdowns!N:O, 2, FALSE)</f>
        <v>Lower Price</v>
      </c>
      <c r="J549" t="s">
        <v>762</v>
      </c>
      <c r="L549" s="17" t="s">
        <v>732</v>
      </c>
      <c r="M549" s="17" t="s">
        <v>737</v>
      </c>
      <c r="N549" s="17" t="s">
        <v>736</v>
      </c>
    </row>
    <row r="550" spans="1:14" x14ac:dyDescent="0.25">
      <c r="A550" s="10">
        <v>995103</v>
      </c>
      <c r="B550" s="22" t="str">
        <f>IFERROR(VLOOKUP(A550,VLOOKUPS!$A$2:B$12589,2,FALSE),"")</f>
        <v>Teriyaki Stir Fry Kit 12.5oz-standard</v>
      </c>
      <c r="E550">
        <v>2.48</v>
      </c>
      <c r="F550">
        <v>2.98</v>
      </c>
      <c r="G550" s="13">
        <v>44356</v>
      </c>
      <c r="H550" s="13"/>
      <c r="I550" s="22" t="str">
        <f>VLOOKUP(J550, Dropdowns!N:O, 2, FALSE)</f>
        <v>Standard</v>
      </c>
      <c r="J550" t="s">
        <v>760</v>
      </c>
      <c r="L550" s="17" t="s">
        <v>732</v>
      </c>
      <c r="M550" s="17" t="s">
        <v>736</v>
      </c>
      <c r="N550" s="17" t="s">
        <v>736</v>
      </c>
    </row>
    <row r="551" spans="1:14" x14ac:dyDescent="0.25">
      <c r="A551" s="10">
        <v>995104</v>
      </c>
      <c r="B551" s="22" t="str">
        <f>IFERROR(VLOOKUP(A551,VLOOKUPS!$A$2:B$12589,2,FALSE),"")</f>
        <v>Ginger Garlic Stir Fry Kit 14oz-standard</v>
      </c>
      <c r="E551">
        <v>2.4900000000000002</v>
      </c>
      <c r="F551">
        <v>2.99</v>
      </c>
      <c r="G551" s="13">
        <v>44356</v>
      </c>
      <c r="H551" s="13"/>
      <c r="I551" s="22" t="str">
        <f>VLOOKUP(J551, Dropdowns!N:O, 2, FALSE)</f>
        <v>Standard</v>
      </c>
      <c r="J551" t="s">
        <v>760</v>
      </c>
      <c r="L551" s="17" t="s">
        <v>732</v>
      </c>
      <c r="M551" s="17" t="s">
        <v>736</v>
      </c>
      <c r="N551" s="17" t="s">
        <v>736</v>
      </c>
    </row>
    <row r="552" spans="1:14" x14ac:dyDescent="0.25">
      <c r="A552" s="10">
        <v>995035</v>
      </c>
      <c r="B552" s="22" t="str">
        <f>IFERROR(VLOOKUP(A552,VLOOKUPS!$A$2:B$12589,2,FALSE),"")</f>
        <v>Kale Greens 16oz-standard</v>
      </c>
      <c r="E552">
        <v>1.59</v>
      </c>
      <c r="F552">
        <v>2.19</v>
      </c>
      <c r="G552" s="13">
        <v>44356</v>
      </c>
      <c r="H552" s="13"/>
      <c r="I552" s="22" t="str">
        <f>VLOOKUP(J552, Dropdowns!N:O, 2, FALSE)</f>
        <v>Standard</v>
      </c>
      <c r="J552" t="s">
        <v>760</v>
      </c>
      <c r="L552" s="17" t="s">
        <v>732</v>
      </c>
      <c r="M552" s="17" t="s">
        <v>736</v>
      </c>
      <c r="N552" s="17" t="s">
        <v>736</v>
      </c>
    </row>
    <row r="553" spans="1:14" x14ac:dyDescent="0.25">
      <c r="A553" s="10">
        <v>988620</v>
      </c>
      <c r="B553" s="22" t="str">
        <f>IFERROR(VLOOKUP(A553,VLOOKUPS!$A$2:B$12589,2,FALSE),"")</f>
        <v>Brussels Sprouts 1lb-standard</v>
      </c>
      <c r="E553">
        <v>1.89</v>
      </c>
      <c r="F553">
        <v>2.89</v>
      </c>
      <c r="G553" s="13">
        <v>44356</v>
      </c>
      <c r="H553" s="13"/>
      <c r="I553" s="22" t="str">
        <f>VLOOKUP(J553, Dropdowns!N:O, 2, FALSE)</f>
        <v>Standard</v>
      </c>
      <c r="J553" t="s">
        <v>760</v>
      </c>
      <c r="L553" s="17" t="s">
        <v>732</v>
      </c>
      <c r="M553" s="17" t="s">
        <v>736</v>
      </c>
      <c r="N553" s="17" t="s">
        <v>736</v>
      </c>
    </row>
    <row r="554" spans="1:14" x14ac:dyDescent="0.25">
      <c r="A554" s="10">
        <v>995008</v>
      </c>
      <c r="B554" s="22" t="str">
        <f>IFERROR(VLOOKUP(A554,VLOOKUPS!$A$2:B$12589,2,FALSE),"")</f>
        <v>Shredded Lettuce 8oz-standard</v>
      </c>
      <c r="G554" s="13">
        <v>44356</v>
      </c>
      <c r="H554" s="13">
        <v>44356</v>
      </c>
      <c r="I554" s="22" t="str">
        <f>VLOOKUP(J554, Dropdowns!N:O, 2, FALSE)</f>
        <v>Lower Price</v>
      </c>
      <c r="J554" t="s">
        <v>762</v>
      </c>
      <c r="L554" s="17" t="s">
        <v>733</v>
      </c>
      <c r="M554" s="17" t="s">
        <v>11</v>
      </c>
      <c r="N554" s="17" t="s">
        <v>740</v>
      </c>
    </row>
    <row r="555" spans="1:14" x14ac:dyDescent="0.25">
      <c r="A555" s="10">
        <v>995008</v>
      </c>
      <c r="B555" s="22" t="str">
        <f>IFERROR(VLOOKUP(A555,VLOOKUPS!$A$2:B$12589,2,FALSE),"")</f>
        <v>Shredded Lettuce 8oz-standard</v>
      </c>
      <c r="G555" s="13">
        <v>44356</v>
      </c>
      <c r="H555" s="13">
        <v>44357</v>
      </c>
      <c r="I555" s="22" t="str">
        <f>VLOOKUP(J555, Dropdowns!N:O, 2, FALSE)</f>
        <v>Lower Price</v>
      </c>
      <c r="J555" t="s">
        <v>762</v>
      </c>
      <c r="L555" s="17" t="s">
        <v>732</v>
      </c>
      <c r="M555" s="17" t="s">
        <v>735</v>
      </c>
      <c r="N555" s="17" t="s">
        <v>736</v>
      </c>
    </row>
    <row r="556" spans="1:14" x14ac:dyDescent="0.25">
      <c r="A556" s="10">
        <v>984660</v>
      </c>
      <c r="B556" s="22" t="str">
        <f>IFERROR(VLOOKUP(A556,VLOOKUPS!$A$2:B$12589,2,FALSE),"")</f>
        <v>Organic Raspberries 6oz-standard</v>
      </c>
      <c r="G556" s="13">
        <v>44357</v>
      </c>
      <c r="H556" s="13"/>
      <c r="I556" s="22" t="str">
        <f>VLOOKUP(J556, Dropdowns!N:O, 2, FALSE)</f>
        <v>NA</v>
      </c>
      <c r="J556" t="s">
        <v>754</v>
      </c>
      <c r="L556" s="17" t="s">
        <v>733</v>
      </c>
      <c r="M556" s="17" t="s">
        <v>11</v>
      </c>
      <c r="N556" s="17" t="s">
        <v>740</v>
      </c>
    </row>
    <row r="557" spans="1:14" x14ac:dyDescent="0.25">
      <c r="A557" s="10">
        <v>984740</v>
      </c>
      <c r="B557" s="22" t="str">
        <f>IFERROR(VLOOKUP(A557,VLOOKUPS!$A$2:B$12589,2,FALSE),"")</f>
        <v>Organic Blackberries 6oz-standard</v>
      </c>
      <c r="E557">
        <v>3.75</v>
      </c>
      <c r="F557">
        <v>2.4500000000000002</v>
      </c>
      <c r="G557" s="13">
        <v>44357</v>
      </c>
      <c r="H557" s="13">
        <v>44358</v>
      </c>
      <c r="I557" s="22" t="str">
        <f>VLOOKUP(J557, Dropdowns!N:O, 2, FALSE)</f>
        <v>Lower Price</v>
      </c>
      <c r="J557" t="s">
        <v>759</v>
      </c>
      <c r="L557" s="17" t="s">
        <v>733</v>
      </c>
      <c r="M557" s="17" t="s">
        <v>11</v>
      </c>
      <c r="N557" s="17" t="s">
        <v>740</v>
      </c>
    </row>
    <row r="558" spans="1:14" x14ac:dyDescent="0.25">
      <c r="A558" s="10">
        <v>984740</v>
      </c>
      <c r="B558" s="22" t="str">
        <f>IFERROR(VLOOKUP(A558,VLOOKUPS!$A$2:B$12589,2,FALSE),"")</f>
        <v>Organic Blackberries 6oz-standard</v>
      </c>
      <c r="E558">
        <v>2.4500000000000002</v>
      </c>
      <c r="F558">
        <v>3.75</v>
      </c>
      <c r="G558" s="13">
        <v>44359</v>
      </c>
      <c r="H558" s="13"/>
      <c r="I558" s="22" t="str">
        <f>VLOOKUP(J558, Dropdowns!N:O, 2, FALSE)</f>
        <v>Standard</v>
      </c>
      <c r="J558" t="s">
        <v>760</v>
      </c>
      <c r="L558" s="17" t="s">
        <v>733</v>
      </c>
      <c r="M558" s="17" t="s">
        <v>11</v>
      </c>
      <c r="N558" s="17" t="s">
        <v>740</v>
      </c>
    </row>
    <row r="559" spans="1:14" x14ac:dyDescent="0.25">
      <c r="A559" s="10">
        <v>986250</v>
      </c>
      <c r="B559" s="22" t="str">
        <f>IFERROR(VLOOKUP(A559,VLOOKUPS!$A$2:B$12589,2,FALSE),"")</f>
        <v>French Beans 1lb-standard</v>
      </c>
      <c r="E559">
        <v>2.99</v>
      </c>
      <c r="F559">
        <v>1.99</v>
      </c>
      <c r="G559" s="13">
        <v>44357</v>
      </c>
      <c r="H559" s="13">
        <v>44357</v>
      </c>
      <c r="I559" s="22" t="str">
        <f>VLOOKUP(J559, Dropdowns!N:O, 2, FALSE)</f>
        <v>Lower Price</v>
      </c>
      <c r="J559" t="s">
        <v>759</v>
      </c>
      <c r="L559" s="17" t="s">
        <v>732</v>
      </c>
      <c r="M559" s="17" t="s">
        <v>9</v>
      </c>
      <c r="N559" s="17" t="s">
        <v>736</v>
      </c>
    </row>
    <row r="560" spans="1:14" x14ac:dyDescent="0.25">
      <c r="A560" s="10">
        <v>986250</v>
      </c>
      <c r="B560" s="22" t="str">
        <f>IFERROR(VLOOKUP(A560,VLOOKUPS!$A$2:B$12589,2,FALSE),"")</f>
        <v>French Beans 1lb-standard</v>
      </c>
      <c r="E560">
        <v>1.99</v>
      </c>
      <c r="F560">
        <v>2.99</v>
      </c>
      <c r="G560" s="13">
        <v>44358</v>
      </c>
      <c r="H560" s="13"/>
      <c r="I560" s="22" t="str">
        <f>VLOOKUP(J560, Dropdowns!N:O, 2, FALSE)</f>
        <v>Standard</v>
      </c>
      <c r="J560" t="s">
        <v>760</v>
      </c>
      <c r="L560" s="17" t="s">
        <v>732</v>
      </c>
      <c r="M560" s="17" t="s">
        <v>9</v>
      </c>
      <c r="N560" s="17" t="s">
        <v>736</v>
      </c>
    </row>
    <row r="561" spans="1:15" x14ac:dyDescent="0.25">
      <c r="A561" s="10">
        <v>995002</v>
      </c>
      <c r="B561" s="22" t="str">
        <f>IFERROR(VLOOKUP(A561,VLOOKUPS!$A$2:B$12589,2,FALSE),"")</f>
        <v>Butter Blend 6oz-standard</v>
      </c>
      <c r="E561">
        <v>1.89</v>
      </c>
      <c r="F561">
        <v>1.19</v>
      </c>
      <c r="G561" s="13">
        <v>44357</v>
      </c>
      <c r="H561" s="13">
        <v>44358</v>
      </c>
      <c r="I561" s="22" t="str">
        <f>VLOOKUP(J561, Dropdowns!N:O, 2, FALSE)</f>
        <v>Lower Price</v>
      </c>
      <c r="J561" t="s">
        <v>759</v>
      </c>
      <c r="L561" s="17" t="s">
        <v>732</v>
      </c>
      <c r="M561" s="17" t="s">
        <v>9</v>
      </c>
      <c r="N561" s="17" t="s">
        <v>736</v>
      </c>
    </row>
    <row r="562" spans="1:15" x14ac:dyDescent="0.25">
      <c r="A562" s="10">
        <v>995002</v>
      </c>
      <c r="B562" s="22" t="str">
        <f>IFERROR(VLOOKUP(A562,VLOOKUPS!$A$2:B$12589,2,FALSE),"")</f>
        <v>Butter Blend 6oz-standard</v>
      </c>
      <c r="E562">
        <v>1.19</v>
      </c>
      <c r="F562">
        <v>1.89</v>
      </c>
      <c r="G562" s="13">
        <v>44359</v>
      </c>
      <c r="H562" s="13"/>
      <c r="I562" s="22" t="str">
        <f>VLOOKUP(J562, Dropdowns!N:O, 2, FALSE)</f>
        <v>Standard</v>
      </c>
      <c r="J562" t="s">
        <v>760</v>
      </c>
      <c r="L562" s="17" t="s">
        <v>732</v>
      </c>
      <c r="M562" s="17" t="s">
        <v>9</v>
      </c>
      <c r="N562" s="17" t="s">
        <v>736</v>
      </c>
    </row>
    <row r="563" spans="1:15" x14ac:dyDescent="0.25">
      <c r="A563" s="10">
        <v>995097</v>
      </c>
      <c r="B563" s="22" t="str">
        <f>IFERROR(VLOOKUP(A563,VLOOKUPS!$A$2:B$12589,2,FALSE),"")</f>
        <v>Butternut Diced 12oz-standard</v>
      </c>
      <c r="E563">
        <v>2.4900000000000002</v>
      </c>
      <c r="F563">
        <v>1.49</v>
      </c>
      <c r="G563" s="13">
        <v>44357</v>
      </c>
      <c r="H563" s="13">
        <v>44358</v>
      </c>
      <c r="I563" s="22" t="str">
        <f>VLOOKUP(J563, Dropdowns!N:O, 2, FALSE)</f>
        <v>Lower Price</v>
      </c>
      <c r="J563" t="s">
        <v>759</v>
      </c>
      <c r="L563" s="17" t="s">
        <v>733</v>
      </c>
      <c r="M563" s="17" t="s">
        <v>11</v>
      </c>
      <c r="N563" s="17" t="s">
        <v>740</v>
      </c>
    </row>
    <row r="564" spans="1:15" x14ac:dyDescent="0.25">
      <c r="A564" s="10">
        <v>995097</v>
      </c>
      <c r="B564" s="22" t="str">
        <f>IFERROR(VLOOKUP(A564,VLOOKUPS!$A$2:B$12589,2,FALSE),"")</f>
        <v>Butternut Diced 12oz-standard</v>
      </c>
      <c r="E564">
        <v>1.49</v>
      </c>
      <c r="F564">
        <v>2.4900000000000002</v>
      </c>
      <c r="G564" s="13">
        <v>44359</v>
      </c>
      <c r="H564" s="13"/>
      <c r="I564" s="22" t="str">
        <f>VLOOKUP(J564, Dropdowns!N:O, 2, FALSE)</f>
        <v>Standard</v>
      </c>
      <c r="J564" t="s">
        <v>760</v>
      </c>
      <c r="L564" s="17" t="s">
        <v>733</v>
      </c>
      <c r="M564" s="17" t="s">
        <v>11</v>
      </c>
      <c r="N564" s="17" t="s">
        <v>740</v>
      </c>
    </row>
    <row r="565" spans="1:15" x14ac:dyDescent="0.25">
      <c r="A565" s="10">
        <v>995008</v>
      </c>
      <c r="B565" s="22" t="str">
        <f>IFERROR(VLOOKUP(A565,VLOOKUPS!$A$2:B$12589,2,FALSE),"")</f>
        <v>Shredded Lettuce 8oz-standard</v>
      </c>
      <c r="E565">
        <v>0.99</v>
      </c>
      <c r="F565">
        <v>1.49</v>
      </c>
      <c r="G565" s="13">
        <v>44357</v>
      </c>
      <c r="H565" s="13"/>
      <c r="I565" s="22" t="str">
        <f>VLOOKUP(J565, Dropdowns!N:O, 2, FALSE)</f>
        <v>Standard</v>
      </c>
      <c r="J565" t="s">
        <v>760</v>
      </c>
      <c r="L565" s="17" t="s">
        <v>733</v>
      </c>
      <c r="M565" s="17" t="s">
        <v>11</v>
      </c>
      <c r="N565" s="17" t="s">
        <v>740</v>
      </c>
    </row>
    <row r="566" spans="1:15" x14ac:dyDescent="0.25">
      <c r="A566" s="10">
        <v>983106</v>
      </c>
      <c r="B566" s="22" t="str">
        <f>IFERROR(VLOOKUP(A566,VLOOKUPS!$A$2:B$12589,2,FALSE),"")</f>
        <v>Melons Golden Hami 1ct-loose</v>
      </c>
      <c r="D566">
        <v>5</v>
      </c>
      <c r="F566">
        <v>4.49</v>
      </c>
      <c r="G566" s="13">
        <v>44358</v>
      </c>
      <c r="H566" s="13"/>
      <c r="I566" s="22" t="str">
        <f>VLOOKUP(J566, Dropdowns!N:O, 2, FALSE)</f>
        <v>New</v>
      </c>
      <c r="J566" t="s">
        <v>776</v>
      </c>
      <c r="L566" s="17" t="s">
        <v>732</v>
      </c>
      <c r="M566" s="17" t="s">
        <v>736</v>
      </c>
      <c r="N566" s="17" t="s">
        <v>736</v>
      </c>
      <c r="O566" s="8" t="s">
        <v>1019</v>
      </c>
    </row>
    <row r="567" spans="1:15" x14ac:dyDescent="0.25">
      <c r="A567" s="10">
        <v>983151</v>
      </c>
      <c r="B567" s="22" t="str">
        <f>IFERROR(VLOOKUP(A567,VLOOKUPS!$A$2:B$12589,2,FALSE),"")</f>
        <v>Melons* Golden Honeydew 1ct-LOOSE</v>
      </c>
      <c r="D567">
        <v>6</v>
      </c>
      <c r="F567">
        <v>3.58</v>
      </c>
      <c r="G567" s="13">
        <v>44358</v>
      </c>
      <c r="H567" s="13"/>
      <c r="I567" s="22" t="str">
        <f>VLOOKUP(J567, Dropdowns!N:O, 2, FALSE)</f>
        <v>New</v>
      </c>
      <c r="J567" t="s">
        <v>776</v>
      </c>
      <c r="L567" s="17" t="s">
        <v>732</v>
      </c>
      <c r="M567" s="17" t="s">
        <v>736</v>
      </c>
      <c r="N567" s="17" t="s">
        <v>736</v>
      </c>
      <c r="O567" s="17" t="s">
        <v>1019</v>
      </c>
    </row>
    <row r="568" spans="1:15" x14ac:dyDescent="0.25">
      <c r="A568" s="10">
        <v>983301</v>
      </c>
      <c r="B568" s="22" t="str">
        <f>IFERROR(VLOOKUP(A568,VLOOKUPS!$A$2:B$12589,2,FALSE),"")</f>
        <v>Watermelons* Mini Seedless 1ct-LOOSE</v>
      </c>
      <c r="E568">
        <v>3.58</v>
      </c>
      <c r="F568">
        <v>3.28</v>
      </c>
      <c r="G568" s="13">
        <v>44358</v>
      </c>
      <c r="H568" s="13"/>
      <c r="I568" s="22" t="str">
        <f>VLOOKUP(J568, Dropdowns!N:O, 2, FALSE)</f>
        <v>Standard</v>
      </c>
      <c r="J568" t="s">
        <v>761</v>
      </c>
      <c r="L568" s="17" t="s">
        <v>732</v>
      </c>
      <c r="M568" s="17" t="s">
        <v>736</v>
      </c>
      <c r="N568" s="17" t="s">
        <v>736</v>
      </c>
    </row>
    <row r="569" spans="1:15" x14ac:dyDescent="0.25">
      <c r="A569" s="10">
        <v>984620</v>
      </c>
      <c r="B569" s="22" t="str">
        <f>IFERROR(VLOOKUP(A569,VLOOKUPS!$A$2:B$12589,2,FALSE),"")</f>
        <v>Raspberries 6oz-standard</v>
      </c>
      <c r="E569">
        <v>2.74</v>
      </c>
      <c r="F569">
        <v>2.14</v>
      </c>
      <c r="G569" s="13">
        <v>44358</v>
      </c>
      <c r="H569" s="13">
        <v>44359</v>
      </c>
      <c r="I569" s="22" t="str">
        <f>VLOOKUP(J569, Dropdowns!N:O, 2, FALSE)</f>
        <v>Lower Price</v>
      </c>
      <c r="J569" t="s">
        <v>759</v>
      </c>
      <c r="L569" s="17" t="s">
        <v>732</v>
      </c>
      <c r="M569" s="17" t="s">
        <v>9</v>
      </c>
      <c r="N569" s="17" t="s">
        <v>736</v>
      </c>
    </row>
    <row r="570" spans="1:15" x14ac:dyDescent="0.25">
      <c r="A570" s="10">
        <v>984620</v>
      </c>
      <c r="B570" s="22" t="str">
        <f>IFERROR(VLOOKUP(A570,VLOOKUPS!$A$2:B$12589,2,FALSE),"")</f>
        <v>Raspberries 6oz-standard</v>
      </c>
      <c r="E570">
        <v>2.14</v>
      </c>
      <c r="F570">
        <v>2.74</v>
      </c>
      <c r="G570" s="13">
        <v>44360</v>
      </c>
      <c r="H570" s="13"/>
      <c r="I570" s="22" t="str">
        <f>VLOOKUP(J570, Dropdowns!N:O, 2, FALSE)</f>
        <v>Standard</v>
      </c>
      <c r="J570" t="s">
        <v>760</v>
      </c>
      <c r="L570" s="17" t="s">
        <v>732</v>
      </c>
      <c r="M570" s="17" t="s">
        <v>9</v>
      </c>
      <c r="N570" s="17" t="s">
        <v>736</v>
      </c>
    </row>
    <row r="571" spans="1:15" x14ac:dyDescent="0.25">
      <c r="A571" s="10">
        <v>984621</v>
      </c>
      <c r="B571" s="22" t="str">
        <f>IFERROR(VLOOKUP(A571,VLOOKUPS!$A$2:B$12589,2,FALSE),"")</f>
        <v>Raspberries 12oz-standard</v>
      </c>
      <c r="E571">
        <v>4.9400000000000004</v>
      </c>
      <c r="F571">
        <v>3.94</v>
      </c>
      <c r="G571" s="13">
        <v>44358</v>
      </c>
      <c r="H571" s="13">
        <v>44359</v>
      </c>
      <c r="I571" s="22" t="str">
        <f>VLOOKUP(J571, Dropdowns!N:O, 2, FALSE)</f>
        <v>Lower Price</v>
      </c>
      <c r="J571" t="s">
        <v>759</v>
      </c>
      <c r="L571" s="17" t="s">
        <v>732</v>
      </c>
      <c r="M571" s="17" t="s">
        <v>9</v>
      </c>
      <c r="N571" s="17" t="s">
        <v>736</v>
      </c>
    </row>
    <row r="572" spans="1:15" x14ac:dyDescent="0.25">
      <c r="A572" s="10">
        <v>984621</v>
      </c>
      <c r="B572" s="22" t="str">
        <f>IFERROR(VLOOKUP(A572,VLOOKUPS!$A$2:B$12589,2,FALSE),"")</f>
        <v>Raspberries 12oz-standard</v>
      </c>
      <c r="E572">
        <v>3.94</v>
      </c>
      <c r="F572">
        <v>4.9400000000000004</v>
      </c>
      <c r="G572" s="13">
        <v>44360</v>
      </c>
      <c r="H572" s="13"/>
      <c r="I572" s="22" t="str">
        <f>VLOOKUP(J572, Dropdowns!N:O, 2, FALSE)</f>
        <v>Standard</v>
      </c>
      <c r="J572" t="s">
        <v>760</v>
      </c>
      <c r="L572" s="17" t="s">
        <v>732</v>
      </c>
      <c r="M572" s="17" t="s">
        <v>9</v>
      </c>
      <c r="N572" s="17" t="s">
        <v>736</v>
      </c>
    </row>
    <row r="573" spans="1:15" x14ac:dyDescent="0.25">
      <c r="A573" s="10">
        <v>984740</v>
      </c>
      <c r="B573" s="22" t="str">
        <f>IFERROR(VLOOKUP(A573,VLOOKUPS!$A$2:B$12589,2,FALSE),"")</f>
        <v>Organic Blackberries 6oz-standard</v>
      </c>
      <c r="E573">
        <v>3.75</v>
      </c>
      <c r="F573">
        <v>2.75</v>
      </c>
      <c r="G573" s="13">
        <v>44358</v>
      </c>
      <c r="H573" s="13">
        <v>44359</v>
      </c>
      <c r="I573" s="22" t="str">
        <f>VLOOKUP(J573, Dropdowns!N:O, 2, FALSE)</f>
        <v>Lower Price</v>
      </c>
      <c r="J573" t="s">
        <v>759</v>
      </c>
      <c r="L573" s="17" t="s">
        <v>732</v>
      </c>
      <c r="M573" s="17" t="s">
        <v>10</v>
      </c>
      <c r="N573" s="17">
        <v>2</v>
      </c>
    </row>
    <row r="574" spans="1:15" x14ac:dyDescent="0.25">
      <c r="A574" s="10">
        <v>984740</v>
      </c>
      <c r="B574" s="22" t="str">
        <f>IFERROR(VLOOKUP(A574,VLOOKUPS!$A$2:B$12589,2,FALSE),"")</f>
        <v>Organic Blackberries 6oz-standard</v>
      </c>
      <c r="E574">
        <v>2.75</v>
      </c>
      <c r="F574">
        <v>3.75</v>
      </c>
      <c r="G574" s="13">
        <v>44360</v>
      </c>
      <c r="H574" s="13"/>
      <c r="I574" s="22" t="str">
        <f>VLOOKUP(J574, Dropdowns!N:O, 2, FALSE)</f>
        <v>Standard</v>
      </c>
      <c r="J574" t="s">
        <v>760</v>
      </c>
      <c r="L574" s="17" t="s">
        <v>732</v>
      </c>
      <c r="M574" s="17" t="s">
        <v>10</v>
      </c>
      <c r="N574" s="17">
        <v>2</v>
      </c>
    </row>
    <row r="575" spans="1:15" x14ac:dyDescent="0.25">
      <c r="A575" s="10">
        <v>995006</v>
      </c>
      <c r="B575" s="22" t="str">
        <f>IFERROR(VLOOKUP(A575,VLOOKUPS!$A$2:B$12589,2,FALSE),"")</f>
        <v>Italian Salad 9oz-standard</v>
      </c>
      <c r="E575">
        <v>1.99</v>
      </c>
      <c r="F575">
        <v>1.19</v>
      </c>
      <c r="G575" s="13">
        <v>44358</v>
      </c>
      <c r="H575" s="13">
        <v>44359</v>
      </c>
      <c r="I575" s="22" t="str">
        <f>VLOOKUP(J575, Dropdowns!N:O, 2, FALSE)</f>
        <v>Lower Price</v>
      </c>
      <c r="J575" t="s">
        <v>759</v>
      </c>
      <c r="L575" s="17" t="s">
        <v>733</v>
      </c>
      <c r="M575" s="17" t="s">
        <v>11</v>
      </c>
      <c r="N575" s="17" t="s">
        <v>740</v>
      </c>
    </row>
    <row r="576" spans="1:15" x14ac:dyDescent="0.25">
      <c r="A576" s="10">
        <v>995006</v>
      </c>
      <c r="B576" s="22" t="str">
        <f>IFERROR(VLOOKUP(A576,VLOOKUPS!$A$2:B$12589,2,FALSE),"")</f>
        <v>Italian Salad 9oz-standard</v>
      </c>
      <c r="E576">
        <v>1.19</v>
      </c>
      <c r="F576">
        <v>1.99</v>
      </c>
      <c r="G576" s="13">
        <v>44360</v>
      </c>
      <c r="H576" s="13"/>
      <c r="I576" s="22" t="str">
        <f>VLOOKUP(J576, Dropdowns!N:O, 2, FALSE)</f>
        <v>Standard</v>
      </c>
      <c r="J576" t="s">
        <v>760</v>
      </c>
      <c r="L576" s="17" t="s">
        <v>733</v>
      </c>
      <c r="M576" s="17" t="s">
        <v>11</v>
      </c>
      <c r="N576" s="17" t="s">
        <v>740</v>
      </c>
    </row>
    <row r="577" spans="1:14" x14ac:dyDescent="0.25">
      <c r="A577" s="10">
        <v>995074</v>
      </c>
      <c r="B577" s="22" t="str">
        <f>IFERROR(VLOOKUP(A577,VLOOKUPS!$A$2:B$12589,2,FALSE),"")</f>
        <v>Southwest Chopped Salad Kit 12oz-standard</v>
      </c>
      <c r="E577">
        <v>2.99</v>
      </c>
      <c r="F577">
        <v>1.59</v>
      </c>
      <c r="G577" s="13">
        <v>44358</v>
      </c>
      <c r="H577" s="13">
        <v>44359</v>
      </c>
      <c r="I577" s="22" t="str">
        <f>VLOOKUP(J577, Dropdowns!N:O, 2, FALSE)</f>
        <v>Lower Price</v>
      </c>
      <c r="J577" t="s">
        <v>759</v>
      </c>
      <c r="L577" s="17" t="s">
        <v>733</v>
      </c>
      <c r="M577" s="17" t="s">
        <v>11</v>
      </c>
      <c r="N577" s="17" t="s">
        <v>740</v>
      </c>
    </row>
    <row r="578" spans="1:14" x14ac:dyDescent="0.25">
      <c r="A578" s="10">
        <v>995074</v>
      </c>
      <c r="B578" s="22" t="str">
        <f>IFERROR(VLOOKUP(A578,VLOOKUPS!$A$2:B$12589,2,FALSE),"")</f>
        <v>Southwest Chopped Salad Kit 12oz-standard</v>
      </c>
      <c r="E578">
        <v>1.59</v>
      </c>
      <c r="F578">
        <v>2.99</v>
      </c>
      <c r="G578" s="13">
        <v>44360</v>
      </c>
      <c r="H578" s="13"/>
      <c r="I578" s="22" t="str">
        <f>VLOOKUP(J578, Dropdowns!N:O, 2, FALSE)</f>
        <v>Standard</v>
      </c>
      <c r="J578" t="s">
        <v>760</v>
      </c>
      <c r="L578" s="17" t="s">
        <v>733</v>
      </c>
      <c r="M578" s="17" t="s">
        <v>11</v>
      </c>
      <c r="N578" s="17" t="s">
        <v>740</v>
      </c>
    </row>
    <row r="579" spans="1:14" x14ac:dyDescent="0.25">
      <c r="A579" s="10">
        <v>995100</v>
      </c>
      <c r="B579" s="22" t="str">
        <f>IFERROR(VLOOKUP(A579,VLOOKUPS!$A$2:B$12589,2,FALSE),"")</f>
        <v>Asian Chopped Salad Kit 12oz-standard</v>
      </c>
      <c r="E579">
        <v>2.99</v>
      </c>
      <c r="F579">
        <v>1.89</v>
      </c>
      <c r="G579" s="13">
        <v>44358</v>
      </c>
      <c r="H579" s="13">
        <v>44359</v>
      </c>
      <c r="I579" s="22" t="str">
        <f>VLOOKUP(J579, Dropdowns!N:O, 2, FALSE)</f>
        <v>Lower Price</v>
      </c>
      <c r="J579" t="s">
        <v>759</v>
      </c>
      <c r="L579" s="17" t="s">
        <v>732</v>
      </c>
      <c r="M579" s="17" t="s">
        <v>738</v>
      </c>
      <c r="N579" s="17">
        <v>2</v>
      </c>
    </row>
    <row r="580" spans="1:14" x14ac:dyDescent="0.25">
      <c r="A580" s="10">
        <v>995100</v>
      </c>
      <c r="B580" s="22" t="str">
        <f>IFERROR(VLOOKUP(A580,VLOOKUPS!$A$2:B$12589,2,FALSE),"")</f>
        <v>Asian Chopped Salad Kit 12oz-standard</v>
      </c>
      <c r="E580">
        <v>1.89</v>
      </c>
      <c r="F580">
        <v>2.99</v>
      </c>
      <c r="G580" s="13">
        <v>44360</v>
      </c>
      <c r="H580" s="13"/>
      <c r="I580" s="22" t="str">
        <f>VLOOKUP(J580, Dropdowns!N:O, 2, FALSE)</f>
        <v>Standard</v>
      </c>
      <c r="J580" t="s">
        <v>760</v>
      </c>
      <c r="L580" s="17" t="s">
        <v>732</v>
      </c>
      <c r="M580" s="17" t="s">
        <v>738</v>
      </c>
      <c r="N580" s="17">
        <v>2</v>
      </c>
    </row>
    <row r="581" spans="1:14" x14ac:dyDescent="0.25">
      <c r="A581" s="10">
        <v>985760</v>
      </c>
      <c r="B581" s="22" t="str">
        <f>IFERROR(VLOOKUP(A581,VLOOKUPS!$A$2:B$12589,2,FALSE),"")</f>
        <v>Asparagus 1lb-standard</v>
      </c>
      <c r="G581" s="13">
        <v>44358</v>
      </c>
      <c r="H581" s="13">
        <v>44358</v>
      </c>
      <c r="I581" s="22" t="str">
        <f>VLOOKUP(J581, Dropdowns!N:O, 2, FALSE)</f>
        <v>Lower Price</v>
      </c>
      <c r="J581" t="s">
        <v>762</v>
      </c>
      <c r="L581" s="17" t="s">
        <v>732</v>
      </c>
      <c r="M581" s="17" t="s">
        <v>9</v>
      </c>
      <c r="N581" s="17" t="s">
        <v>736</v>
      </c>
    </row>
    <row r="582" spans="1:14" x14ac:dyDescent="0.25">
      <c r="A582" s="10">
        <v>985760</v>
      </c>
      <c r="B582" s="22" t="str">
        <f>IFERROR(VLOOKUP(A582,VLOOKUPS!$A$2:B$12589,2,FALSE),"")</f>
        <v>Asparagus 1lb-standard</v>
      </c>
      <c r="G582" s="13">
        <v>44358</v>
      </c>
      <c r="H582" s="13">
        <v>44359</v>
      </c>
      <c r="I582" s="22" t="str">
        <f>VLOOKUP(J582, Dropdowns!N:O, 2, FALSE)</f>
        <v>Lower Price</v>
      </c>
      <c r="J582" t="s">
        <v>762</v>
      </c>
      <c r="L582" s="17" t="s">
        <v>733</v>
      </c>
      <c r="M582" s="17" t="s">
        <v>11</v>
      </c>
      <c r="N582" s="17" t="s">
        <v>740</v>
      </c>
    </row>
    <row r="583" spans="1:14" x14ac:dyDescent="0.25">
      <c r="A583" s="10">
        <v>995008</v>
      </c>
      <c r="B583" s="22" t="str">
        <f>IFERROR(VLOOKUP(A583,VLOOKUPS!$A$2:B$12589,2,FALSE),"")</f>
        <v>Shredded Lettuce 8oz-standard</v>
      </c>
      <c r="E583">
        <v>0.99</v>
      </c>
      <c r="F583">
        <v>1.49</v>
      </c>
      <c r="G583" s="13">
        <v>44358</v>
      </c>
      <c r="H583" s="13"/>
      <c r="I583" s="22" t="str">
        <f>VLOOKUP(J583, Dropdowns!N:O, 2, FALSE)</f>
        <v>Standard</v>
      </c>
      <c r="J583" t="s">
        <v>760</v>
      </c>
      <c r="L583" s="17" t="s">
        <v>732</v>
      </c>
      <c r="M583" s="17" t="s">
        <v>9</v>
      </c>
      <c r="N583" s="17">
        <v>8</v>
      </c>
    </row>
    <row r="584" spans="1:14" x14ac:dyDescent="0.25">
      <c r="A584" s="10">
        <v>995008</v>
      </c>
      <c r="B584" s="22" t="str">
        <f>IFERROR(VLOOKUP(A584,VLOOKUPS!$A$2:B$12589,2,FALSE),"")</f>
        <v>Shredded Lettuce 8oz-standard</v>
      </c>
      <c r="E584">
        <v>1.19</v>
      </c>
      <c r="F584">
        <v>1.69</v>
      </c>
      <c r="G584" s="13">
        <v>44358</v>
      </c>
      <c r="H584" s="13"/>
      <c r="I584" s="22" t="str">
        <f>VLOOKUP(J584, Dropdowns!N:O, 2, FALSE)</f>
        <v>Standard</v>
      </c>
      <c r="J584" t="s">
        <v>760</v>
      </c>
      <c r="L584" s="17" t="s">
        <v>734</v>
      </c>
      <c r="M584" s="17" t="s">
        <v>9</v>
      </c>
      <c r="N584" s="17" t="s">
        <v>741</v>
      </c>
    </row>
    <row r="585" spans="1:14" x14ac:dyDescent="0.25">
      <c r="A585" s="10">
        <v>995008</v>
      </c>
      <c r="B585" s="22" t="str">
        <f>IFERROR(VLOOKUP(A585,VLOOKUPS!$A$2:B$12589,2,FALSE),"")</f>
        <v>Shredded Lettuce 8oz-standard</v>
      </c>
      <c r="G585" s="13">
        <v>44358</v>
      </c>
      <c r="H585" s="13">
        <v>44359</v>
      </c>
      <c r="I585" s="22" t="str">
        <f>VLOOKUP(J585, Dropdowns!N:O, 2, FALSE)</f>
        <v>Lower Price</v>
      </c>
      <c r="J585" t="s">
        <v>762</v>
      </c>
      <c r="L585" s="17" t="s">
        <v>732</v>
      </c>
      <c r="M585" s="17" t="s">
        <v>10</v>
      </c>
      <c r="N585" s="17">
        <v>2</v>
      </c>
    </row>
    <row r="586" spans="1:14" x14ac:dyDescent="0.25">
      <c r="A586" s="10">
        <v>983251</v>
      </c>
      <c r="B586" s="22" t="str">
        <f>IFERROR(VLOOKUP(A586,VLOOKUPS!$A$2:B$12589,2,FALSE),"")</f>
        <v>Watermelons Large Seedless 1ct-LOOSE</v>
      </c>
      <c r="E586">
        <v>5.48</v>
      </c>
      <c r="F586">
        <v>4.59</v>
      </c>
      <c r="G586" s="13">
        <v>44359</v>
      </c>
      <c r="H586" s="13"/>
      <c r="I586" s="22" t="str">
        <f>VLOOKUP(J586, Dropdowns!N:O, 2, FALSE)</f>
        <v>Standard</v>
      </c>
      <c r="J586" t="s">
        <v>761</v>
      </c>
      <c r="L586" s="17" t="s">
        <v>732</v>
      </c>
      <c r="M586" s="17" t="s">
        <v>736</v>
      </c>
      <c r="N586" s="17" t="s">
        <v>736</v>
      </c>
    </row>
    <row r="587" spans="1:14" x14ac:dyDescent="0.25">
      <c r="A587" s="10">
        <v>984541</v>
      </c>
      <c r="B587" s="22" t="str">
        <f>IFERROR(VLOOKUP(A587,VLOOKUPS!$A$2:B$12589,2,FALSE),"")</f>
        <v>Blueberries 1pt-standard</v>
      </c>
      <c r="E587">
        <v>2.7</v>
      </c>
      <c r="F587">
        <v>1.7</v>
      </c>
      <c r="G587" s="13">
        <v>44359</v>
      </c>
      <c r="H587" s="13">
        <v>44360</v>
      </c>
      <c r="I587" s="22" t="str">
        <f>VLOOKUP(J587, Dropdowns!N:O, 2, FALSE)</f>
        <v>Lower Price</v>
      </c>
      <c r="J587" t="s">
        <v>759</v>
      </c>
      <c r="L587" s="17" t="s">
        <v>732</v>
      </c>
      <c r="M587" s="17" t="s">
        <v>735</v>
      </c>
      <c r="N587" s="17" t="s">
        <v>736</v>
      </c>
    </row>
    <row r="588" spans="1:14" x14ac:dyDescent="0.25">
      <c r="A588" s="10">
        <v>984541</v>
      </c>
      <c r="B588" s="22" t="str">
        <f>IFERROR(VLOOKUP(A588,VLOOKUPS!$A$2:B$12589,2,FALSE),"")</f>
        <v>Blueberries 1pt-standard</v>
      </c>
      <c r="E588">
        <v>1.7</v>
      </c>
      <c r="F588">
        <v>2.7</v>
      </c>
      <c r="G588" s="13">
        <v>44361</v>
      </c>
      <c r="H588" s="13"/>
      <c r="I588" s="22" t="str">
        <f>VLOOKUP(J588, Dropdowns!N:O, 2, FALSE)</f>
        <v>Standard</v>
      </c>
      <c r="J588" t="s">
        <v>760</v>
      </c>
      <c r="L588" s="17" t="s">
        <v>732</v>
      </c>
      <c r="M588" s="17" t="s">
        <v>735</v>
      </c>
      <c r="N588" s="17" t="s">
        <v>736</v>
      </c>
    </row>
    <row r="589" spans="1:14" x14ac:dyDescent="0.25">
      <c r="A589" s="10">
        <v>984580</v>
      </c>
      <c r="B589" s="22" t="str">
        <f>IFERROR(VLOOKUP(A589,VLOOKUPS!$A$2:B$12589,2,FALSE),"")</f>
        <v>Organic Blueberries 6oz-standard</v>
      </c>
      <c r="E589">
        <v>2.99</v>
      </c>
      <c r="F589">
        <v>1.99</v>
      </c>
      <c r="G589" s="13">
        <v>44359</v>
      </c>
      <c r="H589" s="13">
        <v>44360</v>
      </c>
      <c r="I589" s="22" t="str">
        <f>VLOOKUP(J589, Dropdowns!N:O, 2, FALSE)</f>
        <v>Lower Price</v>
      </c>
      <c r="J589" t="s">
        <v>759</v>
      </c>
      <c r="L589" s="17" t="s">
        <v>732</v>
      </c>
      <c r="M589" s="17" t="s">
        <v>9</v>
      </c>
      <c r="N589" s="17" t="s">
        <v>736</v>
      </c>
    </row>
    <row r="590" spans="1:14" x14ac:dyDescent="0.25">
      <c r="A590" s="10">
        <v>984580</v>
      </c>
      <c r="B590" s="22" t="str">
        <f>IFERROR(VLOOKUP(A590,VLOOKUPS!$A$2:B$12589,2,FALSE),"")</f>
        <v>Organic Blueberries 6oz-standard</v>
      </c>
      <c r="E590">
        <v>1.99</v>
      </c>
      <c r="F590">
        <v>2.99</v>
      </c>
      <c r="G590" s="13">
        <v>44361</v>
      </c>
      <c r="H590" s="13"/>
      <c r="I590" s="22" t="str">
        <f>VLOOKUP(J590, Dropdowns!N:O, 2, FALSE)</f>
        <v>Standard</v>
      </c>
      <c r="J590" t="s">
        <v>760</v>
      </c>
      <c r="L590" s="17" t="s">
        <v>732</v>
      </c>
      <c r="M590" s="17" t="s">
        <v>9</v>
      </c>
      <c r="N590" s="17" t="s">
        <v>736</v>
      </c>
    </row>
    <row r="591" spans="1:14" x14ac:dyDescent="0.25">
      <c r="A591" s="10">
        <v>984660</v>
      </c>
      <c r="B591" s="22" t="str">
        <f>IFERROR(VLOOKUP(A591,VLOOKUPS!$A$2:B$12589,2,FALSE),"")</f>
        <v>Organic Raspberries 6oz-standard</v>
      </c>
      <c r="E591">
        <v>3.89</v>
      </c>
      <c r="F591">
        <v>2.89</v>
      </c>
      <c r="G591" s="13">
        <v>44359</v>
      </c>
      <c r="H591" s="13">
        <v>44360</v>
      </c>
      <c r="I591" s="22" t="str">
        <f>VLOOKUP(J591, Dropdowns!N:O, 2, FALSE)</f>
        <v>Lower Price</v>
      </c>
      <c r="J591" t="s">
        <v>759</v>
      </c>
      <c r="L591" s="17" t="s">
        <v>732</v>
      </c>
      <c r="M591" s="17" t="s">
        <v>9</v>
      </c>
      <c r="N591" s="17" t="s">
        <v>736</v>
      </c>
    </row>
    <row r="592" spans="1:14" x14ac:dyDescent="0.25">
      <c r="A592" s="10">
        <v>984660</v>
      </c>
      <c r="B592" s="22" t="str">
        <f>IFERROR(VLOOKUP(A592,VLOOKUPS!$A$2:B$12589,2,FALSE),"")</f>
        <v>Organic Raspberries 6oz-standard</v>
      </c>
      <c r="E592">
        <v>2.89</v>
      </c>
      <c r="F592">
        <v>3.89</v>
      </c>
      <c r="G592" s="13">
        <v>44361</v>
      </c>
      <c r="H592" s="13"/>
      <c r="I592" s="22" t="str">
        <f>VLOOKUP(J592, Dropdowns!N:O, 2, FALSE)</f>
        <v>Standard</v>
      </c>
      <c r="J592" t="s">
        <v>760</v>
      </c>
      <c r="L592" s="17" t="s">
        <v>732</v>
      </c>
      <c r="M592" s="17" t="s">
        <v>9</v>
      </c>
      <c r="N592" s="17" t="s">
        <v>736</v>
      </c>
    </row>
    <row r="593" spans="1:14" x14ac:dyDescent="0.25">
      <c r="A593" s="10">
        <v>995082</v>
      </c>
      <c r="B593" s="22" t="str">
        <f>IFERROR(VLOOKUP(A593,VLOOKUPS!$A$2:B$12589,2,FALSE),"")</f>
        <v>Melon Trio 16oz-standard</v>
      </c>
      <c r="E593">
        <v>3.99</v>
      </c>
      <c r="F593">
        <v>2.99</v>
      </c>
      <c r="G593" s="13">
        <v>44359</v>
      </c>
      <c r="H593" s="13">
        <v>44360</v>
      </c>
      <c r="I593" s="22" t="str">
        <f>VLOOKUP(J593, Dropdowns!N:O, 2, FALSE)</f>
        <v>Lower Price</v>
      </c>
      <c r="J593" t="s">
        <v>759</v>
      </c>
      <c r="L593" s="17" t="s">
        <v>732</v>
      </c>
      <c r="M593" s="17" t="s">
        <v>9</v>
      </c>
      <c r="N593" s="17" t="s">
        <v>736</v>
      </c>
    </row>
    <row r="594" spans="1:14" x14ac:dyDescent="0.25">
      <c r="A594" s="10">
        <v>995082</v>
      </c>
      <c r="B594" s="22" t="str">
        <f>IFERROR(VLOOKUP(A594,VLOOKUPS!$A$2:B$12589,2,FALSE),"")</f>
        <v>Melon Trio 16oz-standard</v>
      </c>
      <c r="E594">
        <v>2.99</v>
      </c>
      <c r="F594">
        <v>3.99</v>
      </c>
      <c r="G594" s="13">
        <v>44361</v>
      </c>
      <c r="H594" s="13"/>
      <c r="I594" s="22" t="str">
        <f>VLOOKUP(J594, Dropdowns!N:O, 2, FALSE)</f>
        <v>Standard</v>
      </c>
      <c r="J594" t="s">
        <v>760</v>
      </c>
      <c r="L594" s="17" t="s">
        <v>732</v>
      </c>
      <c r="M594" s="17" t="s">
        <v>9</v>
      </c>
      <c r="N594" s="17" t="s">
        <v>736</v>
      </c>
    </row>
    <row r="595" spans="1:14" x14ac:dyDescent="0.25">
      <c r="A595" s="10">
        <v>995115</v>
      </c>
      <c r="B595" s="22" t="str">
        <f>IFERROR(VLOOKUP(A595,VLOOKUPS!$A$2:B$12589,2,FALSE),"")</f>
        <v>Pineapple Chunks 10oz-standard</v>
      </c>
      <c r="E595">
        <v>2.29</v>
      </c>
      <c r="F595">
        <v>1.59</v>
      </c>
      <c r="G595" s="13">
        <v>44359</v>
      </c>
      <c r="H595" s="13">
        <v>44360</v>
      </c>
      <c r="I595" s="22" t="str">
        <f>VLOOKUP(J595, Dropdowns!N:O, 2, FALSE)</f>
        <v>Lower Price</v>
      </c>
      <c r="J595" t="s">
        <v>759</v>
      </c>
      <c r="L595" s="17" t="s">
        <v>732</v>
      </c>
      <c r="M595" s="17" t="s">
        <v>10</v>
      </c>
      <c r="N595" s="17">
        <v>2</v>
      </c>
    </row>
    <row r="596" spans="1:14" x14ac:dyDescent="0.25">
      <c r="A596" s="10">
        <v>995115</v>
      </c>
      <c r="B596" s="22" t="str">
        <f>IFERROR(VLOOKUP(A596,VLOOKUPS!$A$2:B$12589,2,FALSE),"")</f>
        <v>Pineapple Chunks 10oz-standard</v>
      </c>
      <c r="E596">
        <v>1.59</v>
      </c>
      <c r="F596">
        <v>2.29</v>
      </c>
      <c r="G596" s="13">
        <v>44361</v>
      </c>
      <c r="H596" s="13"/>
      <c r="I596" s="22" t="str">
        <f>VLOOKUP(J596, Dropdowns!N:O, 2, FALSE)</f>
        <v>Standard</v>
      </c>
      <c r="J596" t="s">
        <v>760</v>
      </c>
      <c r="L596" s="17" t="s">
        <v>732</v>
      </c>
      <c r="M596" s="17" t="s">
        <v>10</v>
      </c>
      <c r="N596" s="17">
        <v>2</v>
      </c>
    </row>
    <row r="597" spans="1:14" x14ac:dyDescent="0.25">
      <c r="A597" s="10">
        <v>995119</v>
      </c>
      <c r="B597" s="22" t="str">
        <f>IFERROR(VLOOKUP(A597,VLOOKUPS!$A$2:B$12589,2,FALSE),"")</f>
        <v>RTE Green Goddess Salad 5.5oz-standard</v>
      </c>
      <c r="E597">
        <v>2.89</v>
      </c>
      <c r="F597">
        <v>1.89</v>
      </c>
      <c r="G597" s="13">
        <v>44359</v>
      </c>
      <c r="H597" s="13">
        <v>44360</v>
      </c>
      <c r="I597" s="22" t="str">
        <f>VLOOKUP(J597, Dropdowns!N:O, 2, FALSE)</f>
        <v>Lower Price</v>
      </c>
      <c r="J597" t="s">
        <v>759</v>
      </c>
      <c r="L597" s="17" t="s">
        <v>732</v>
      </c>
      <c r="M597" s="17" t="s">
        <v>738</v>
      </c>
      <c r="N597" s="17">
        <v>2</v>
      </c>
    </row>
    <row r="598" spans="1:14" x14ac:dyDescent="0.25">
      <c r="A598" s="10">
        <v>995119</v>
      </c>
      <c r="B598" s="22" t="str">
        <f>IFERROR(VLOOKUP(A598,VLOOKUPS!$A$2:B$12589,2,FALSE),"")</f>
        <v>RTE Green Goddess Salad 5.5oz-standard</v>
      </c>
      <c r="E598">
        <v>1.89</v>
      </c>
      <c r="F598">
        <v>2.89</v>
      </c>
      <c r="G598" s="13">
        <v>44361</v>
      </c>
      <c r="H598" s="13"/>
      <c r="I598" s="22" t="str">
        <f>VLOOKUP(J598, Dropdowns!N:O, 2, FALSE)</f>
        <v>Standard</v>
      </c>
      <c r="J598" t="s">
        <v>760</v>
      </c>
      <c r="L598" s="17" t="s">
        <v>732</v>
      </c>
      <c r="M598" s="17" t="s">
        <v>738</v>
      </c>
      <c r="N598" s="17">
        <v>2</v>
      </c>
    </row>
    <row r="599" spans="1:14" x14ac:dyDescent="0.25">
      <c r="A599" s="10">
        <v>985760</v>
      </c>
      <c r="B599" s="22" t="str">
        <f>IFERROR(VLOOKUP(A599,VLOOKUPS!$A$2:B$12589,2,FALSE),"")</f>
        <v>Asparagus 1lb-standard</v>
      </c>
      <c r="G599" s="13">
        <v>44359</v>
      </c>
      <c r="H599" s="13">
        <v>44359</v>
      </c>
      <c r="I599" s="22" t="str">
        <f>VLOOKUP(J599, Dropdowns!N:O, 2, FALSE)</f>
        <v>Lower Price</v>
      </c>
      <c r="J599" t="s">
        <v>762</v>
      </c>
      <c r="L599" s="17" t="s">
        <v>732</v>
      </c>
      <c r="M599" s="17" t="s">
        <v>9</v>
      </c>
      <c r="N599" s="17" t="s">
        <v>736</v>
      </c>
    </row>
    <row r="600" spans="1:14" x14ac:dyDescent="0.25">
      <c r="A600" s="10">
        <v>985760</v>
      </c>
      <c r="B600" s="22" t="str">
        <f>IFERROR(VLOOKUP(A600,VLOOKUPS!$A$2:B$12589,2,FALSE),"")</f>
        <v>Asparagus 1lb-standard</v>
      </c>
      <c r="E600">
        <v>1.39</v>
      </c>
      <c r="F600">
        <v>2.99</v>
      </c>
      <c r="G600" s="13">
        <v>44360</v>
      </c>
      <c r="H600" s="13"/>
      <c r="I600" s="22" t="str">
        <f>VLOOKUP(J600, Dropdowns!N:O, 2, FALSE)</f>
        <v>Standard</v>
      </c>
      <c r="J600" t="s">
        <v>760</v>
      </c>
      <c r="L600" s="17" t="s">
        <v>732</v>
      </c>
      <c r="M600" s="17" t="s">
        <v>9</v>
      </c>
      <c r="N600" s="17" t="s">
        <v>736</v>
      </c>
    </row>
    <row r="601" spans="1:14" x14ac:dyDescent="0.25">
      <c r="A601" s="10">
        <v>985760</v>
      </c>
      <c r="B601" s="22" t="str">
        <f>IFERROR(VLOOKUP(A601,VLOOKUPS!$A$2:B$12589,2,FALSE),"")</f>
        <v>Asparagus 1lb-standard</v>
      </c>
      <c r="G601" s="13">
        <v>44359</v>
      </c>
      <c r="H601" s="13">
        <v>44361</v>
      </c>
      <c r="I601" s="22" t="str">
        <f>VLOOKUP(J601, Dropdowns!N:O, 2, FALSE)</f>
        <v>Lower Price</v>
      </c>
      <c r="J601" t="s">
        <v>762</v>
      </c>
      <c r="L601" s="17" t="s">
        <v>733</v>
      </c>
      <c r="M601" s="17" t="s">
        <v>11</v>
      </c>
      <c r="N601" s="17" t="s">
        <v>740</v>
      </c>
    </row>
    <row r="602" spans="1:14" x14ac:dyDescent="0.25">
      <c r="A602" s="10">
        <v>985760</v>
      </c>
      <c r="B602" s="22" t="str">
        <f>IFERROR(VLOOKUP(A602,VLOOKUPS!$A$2:B$12589,2,FALSE),"")</f>
        <v>Asparagus 1lb-standard</v>
      </c>
      <c r="G602" s="13">
        <v>44362</v>
      </c>
      <c r="H602" s="13">
        <v>44364</v>
      </c>
      <c r="I602" s="22" t="str">
        <f>VLOOKUP(J602, Dropdowns!N:O, 2, FALSE)</f>
        <v>Lower Price</v>
      </c>
      <c r="J602" t="s">
        <v>762</v>
      </c>
      <c r="L602" s="17" t="s">
        <v>733</v>
      </c>
      <c r="M602" s="17" t="s">
        <v>11</v>
      </c>
      <c r="N602" s="17" t="s">
        <v>740</v>
      </c>
    </row>
    <row r="603" spans="1:14" x14ac:dyDescent="0.25">
      <c r="A603" s="10">
        <v>995008</v>
      </c>
      <c r="B603" s="22" t="str">
        <f>IFERROR(VLOOKUP(A603,VLOOKUPS!$A$2:B$12589,2,FALSE),"")</f>
        <v>Shredded Lettuce 8oz-standard</v>
      </c>
      <c r="E603">
        <v>0.99</v>
      </c>
      <c r="F603">
        <v>1.49</v>
      </c>
      <c r="G603" s="13">
        <v>44360</v>
      </c>
      <c r="H603" s="13"/>
      <c r="I603" s="22" t="str">
        <f>VLOOKUP(J603, Dropdowns!N:O, 2, FALSE)</f>
        <v>Standard</v>
      </c>
      <c r="J603" t="s">
        <v>760</v>
      </c>
      <c r="L603" s="17" t="s">
        <v>733</v>
      </c>
      <c r="M603" s="17" t="s">
        <v>10</v>
      </c>
      <c r="N603" s="17" t="s">
        <v>740</v>
      </c>
    </row>
    <row r="604" spans="1:14" x14ac:dyDescent="0.25">
      <c r="A604" s="10">
        <v>995008</v>
      </c>
      <c r="B604" s="22" t="str">
        <f>IFERROR(VLOOKUP(A604,VLOOKUPS!$A$2:B$12589,2,FALSE),"")</f>
        <v>Shredded Lettuce 8oz-standard</v>
      </c>
      <c r="E604">
        <v>1.19</v>
      </c>
      <c r="F604">
        <v>1.69</v>
      </c>
      <c r="G604" s="13">
        <v>44360</v>
      </c>
      <c r="H604" s="13"/>
      <c r="I604" s="22" t="str">
        <f>VLOOKUP(J604, Dropdowns!N:O, 2, FALSE)</f>
        <v>Standard</v>
      </c>
      <c r="J604" t="s">
        <v>760</v>
      </c>
      <c r="L604" s="17" t="s">
        <v>734</v>
      </c>
      <c r="M604" s="17" t="s">
        <v>10</v>
      </c>
      <c r="N604" s="17">
        <v>2</v>
      </c>
    </row>
    <row r="605" spans="1:14" x14ac:dyDescent="0.25">
      <c r="A605" s="10">
        <v>995022</v>
      </c>
      <c r="B605" s="22" t="str">
        <f>IFERROR(VLOOKUP(A605,VLOOKUPS!$A$2:B$12589,2,FALSE),"")</f>
        <v>American Blend 12oz-standard</v>
      </c>
      <c r="G605" s="13">
        <v>44362</v>
      </c>
      <c r="H605" s="13"/>
      <c r="I605" s="22" t="str">
        <f>VLOOKUP(J605, Dropdowns!N:O, 2, FALSE)</f>
        <v>Standard</v>
      </c>
      <c r="J605" t="s">
        <v>782</v>
      </c>
      <c r="L605" s="17" t="s">
        <v>732</v>
      </c>
      <c r="M605" s="17" t="s">
        <v>736</v>
      </c>
      <c r="N605" s="17" t="s">
        <v>736</v>
      </c>
    </row>
    <row r="606" spans="1:14" x14ac:dyDescent="0.25">
      <c r="A606" s="10">
        <v>984541</v>
      </c>
      <c r="B606" s="22" t="str">
        <f>IFERROR(VLOOKUP(A606,VLOOKUPS!$A$2:B$12589,2,FALSE),"")</f>
        <v>Blueberries 1pt-standard</v>
      </c>
      <c r="E606">
        <v>2.7</v>
      </c>
      <c r="F606">
        <v>2.64</v>
      </c>
      <c r="G606" s="13">
        <v>44362</v>
      </c>
      <c r="H606" s="13"/>
      <c r="I606" s="22" t="str">
        <f>VLOOKUP(J606, Dropdowns!N:O, 2, FALSE)</f>
        <v>Standard</v>
      </c>
      <c r="J606" t="s">
        <v>761</v>
      </c>
      <c r="L606" s="17" t="s">
        <v>732</v>
      </c>
      <c r="M606" s="17" t="s">
        <v>736</v>
      </c>
      <c r="N606" s="17" t="s">
        <v>736</v>
      </c>
    </row>
    <row r="607" spans="1:14" x14ac:dyDescent="0.25">
      <c r="A607" s="10">
        <v>984700</v>
      </c>
      <c r="B607" s="22" t="str">
        <f>IFERROR(VLOOKUP(A607,VLOOKUPS!$A$2:B$12589,2,FALSE),"")</f>
        <v>Blackberries 6oz-standard</v>
      </c>
      <c r="E607">
        <v>2.48</v>
      </c>
      <c r="F607">
        <v>1.78</v>
      </c>
      <c r="G607" s="13">
        <v>44362</v>
      </c>
      <c r="H607" s="13">
        <v>44363</v>
      </c>
      <c r="I607" s="22" t="str">
        <f>VLOOKUP(J607, Dropdowns!N:O, 2, FALSE)</f>
        <v>Lower Price</v>
      </c>
      <c r="J607" t="s">
        <v>759</v>
      </c>
      <c r="L607" s="17" t="s">
        <v>732</v>
      </c>
      <c r="M607" s="17" t="s">
        <v>10</v>
      </c>
      <c r="N607" s="17">
        <v>2</v>
      </c>
    </row>
    <row r="608" spans="1:14" x14ac:dyDescent="0.25">
      <c r="A608" s="10">
        <v>984700</v>
      </c>
      <c r="B608" s="22" t="str">
        <f>IFERROR(VLOOKUP(A608,VLOOKUPS!$A$2:B$12589,2,FALSE),"")</f>
        <v>Blackberries 6oz-standard</v>
      </c>
      <c r="E608">
        <v>1.78</v>
      </c>
      <c r="F608">
        <v>2.48</v>
      </c>
      <c r="G608" s="13">
        <v>44364</v>
      </c>
      <c r="H608" s="13"/>
      <c r="I608" s="22" t="str">
        <f>VLOOKUP(J608, Dropdowns!N:O, 2, FALSE)</f>
        <v>Standard</v>
      </c>
      <c r="J608" t="s">
        <v>760</v>
      </c>
      <c r="L608" s="17" t="s">
        <v>732</v>
      </c>
      <c r="M608" s="17" t="s">
        <v>10</v>
      </c>
      <c r="N608" s="17">
        <v>2</v>
      </c>
    </row>
    <row r="609" spans="1:14" x14ac:dyDescent="0.25">
      <c r="A609" s="10">
        <v>984740</v>
      </c>
      <c r="B609" s="22" t="str">
        <f>IFERROR(VLOOKUP(A609,VLOOKUPS!$A$2:B$12589,2,FALSE),"")</f>
        <v>Organic Blackberries 6oz-standard</v>
      </c>
      <c r="G609" s="13">
        <v>44362</v>
      </c>
      <c r="H609" s="13"/>
      <c r="I609" s="22" t="str">
        <f>VLOOKUP(J609, Dropdowns!N:O, 2, FALSE)</f>
        <v>NA</v>
      </c>
      <c r="J609" t="s">
        <v>754</v>
      </c>
      <c r="L609" s="17" t="s">
        <v>733</v>
      </c>
      <c r="M609" s="17" t="s">
        <v>11</v>
      </c>
      <c r="N609" s="17" t="s">
        <v>740</v>
      </c>
    </row>
    <row r="610" spans="1:14" x14ac:dyDescent="0.25">
      <c r="A610" s="10">
        <v>985760</v>
      </c>
      <c r="B610" s="22" t="str">
        <f>IFERROR(VLOOKUP(A610,VLOOKUPS!$A$2:B$12589,2,FALSE),"")</f>
        <v>Asparagus 1lb-standard</v>
      </c>
      <c r="E610">
        <v>2.99</v>
      </c>
      <c r="F610">
        <v>1.19</v>
      </c>
      <c r="G610" s="13">
        <v>44362</v>
      </c>
      <c r="H610" s="13">
        <v>44363</v>
      </c>
      <c r="I610" s="22" t="str">
        <f>VLOOKUP(J610, Dropdowns!N:O, 2, FALSE)</f>
        <v>Lower Price</v>
      </c>
      <c r="J610" t="s">
        <v>759</v>
      </c>
      <c r="L610" s="17" t="s">
        <v>732</v>
      </c>
      <c r="M610" s="17" t="s">
        <v>9</v>
      </c>
      <c r="N610" s="17" t="s">
        <v>736</v>
      </c>
    </row>
    <row r="611" spans="1:14" x14ac:dyDescent="0.25">
      <c r="A611" s="10">
        <v>985760</v>
      </c>
      <c r="B611" s="22" t="str">
        <f>IFERROR(VLOOKUP(A611,VLOOKUPS!$A$2:B$12589,2,FALSE),"")</f>
        <v>Asparagus 1lb-standard</v>
      </c>
      <c r="E611">
        <v>1.19</v>
      </c>
      <c r="F611">
        <v>2.99</v>
      </c>
      <c r="G611" s="13">
        <v>44364</v>
      </c>
      <c r="H611" s="13"/>
      <c r="I611" s="22" t="str">
        <f>VLOOKUP(J611, Dropdowns!N:O, 2, FALSE)</f>
        <v>Standard</v>
      </c>
      <c r="J611" t="s">
        <v>760</v>
      </c>
      <c r="L611" s="17" t="s">
        <v>732</v>
      </c>
      <c r="M611" s="17" t="s">
        <v>9</v>
      </c>
      <c r="N611" s="17" t="s">
        <v>736</v>
      </c>
    </row>
    <row r="612" spans="1:14" x14ac:dyDescent="0.25">
      <c r="A612" s="10">
        <v>988620</v>
      </c>
      <c r="B612" s="22" t="str">
        <f>IFERROR(VLOOKUP(A612,VLOOKUPS!$A$2:B$12589,2,FALSE),"")</f>
        <v>Brussels Sprouts 1lb-standard</v>
      </c>
      <c r="E612">
        <v>2.89</v>
      </c>
      <c r="F612">
        <v>1.89</v>
      </c>
      <c r="G612" s="13">
        <v>44362</v>
      </c>
      <c r="H612" s="13">
        <v>44363</v>
      </c>
      <c r="I612" s="22" t="str">
        <f>VLOOKUP(J612, Dropdowns!N:O, 2, FALSE)</f>
        <v>Lower Price</v>
      </c>
      <c r="J612" t="s">
        <v>759</v>
      </c>
      <c r="L612" s="17" t="s">
        <v>732</v>
      </c>
      <c r="M612" s="17" t="s">
        <v>736</v>
      </c>
      <c r="N612" s="17" t="s">
        <v>736</v>
      </c>
    </row>
    <row r="613" spans="1:14" x14ac:dyDescent="0.25">
      <c r="A613" s="10">
        <v>988620</v>
      </c>
      <c r="B613" s="22" t="str">
        <f>IFERROR(VLOOKUP(A613,VLOOKUPS!$A$2:B$12589,2,FALSE),"")</f>
        <v>Brussels Sprouts 1lb-standard</v>
      </c>
      <c r="E613">
        <v>1.89</v>
      </c>
      <c r="F613">
        <v>2.89</v>
      </c>
      <c r="G613" s="13">
        <v>44364</v>
      </c>
      <c r="H613" s="13"/>
      <c r="I613" s="22" t="str">
        <f>VLOOKUP(J613, Dropdowns!N:O, 2, FALSE)</f>
        <v>Standard</v>
      </c>
      <c r="J613" t="s">
        <v>760</v>
      </c>
      <c r="L613" s="17" t="s">
        <v>732</v>
      </c>
      <c r="M613" s="17" t="s">
        <v>736</v>
      </c>
      <c r="N613" s="17" t="s">
        <v>736</v>
      </c>
    </row>
    <row r="614" spans="1:14" x14ac:dyDescent="0.25">
      <c r="A614" s="10">
        <v>995002</v>
      </c>
      <c r="B614" s="22" t="str">
        <f>IFERROR(VLOOKUP(A614,VLOOKUPS!$A$2:B$12589,2,FALSE),"")</f>
        <v>Butter Blend 6oz-standard</v>
      </c>
      <c r="E614">
        <v>1.89</v>
      </c>
      <c r="F614">
        <v>1.29</v>
      </c>
      <c r="G614" s="13">
        <v>44362</v>
      </c>
      <c r="H614" s="13">
        <v>44363</v>
      </c>
      <c r="I614" s="22" t="str">
        <f>VLOOKUP(J614, Dropdowns!N:O, 2, FALSE)</f>
        <v>Lower Price</v>
      </c>
      <c r="J614" t="s">
        <v>759</v>
      </c>
      <c r="L614" s="17" t="s">
        <v>732</v>
      </c>
      <c r="M614" s="17" t="s">
        <v>9</v>
      </c>
      <c r="N614" s="17" t="s">
        <v>736</v>
      </c>
    </row>
    <row r="615" spans="1:14" x14ac:dyDescent="0.25">
      <c r="A615" s="10">
        <v>995002</v>
      </c>
      <c r="B615" s="22" t="str">
        <f>IFERROR(VLOOKUP(A615,VLOOKUPS!$A$2:B$12589,2,FALSE),"")</f>
        <v>Butter Blend 6oz-standard</v>
      </c>
      <c r="E615">
        <v>1.29</v>
      </c>
      <c r="F615">
        <v>1.89</v>
      </c>
      <c r="G615" s="13">
        <v>44364</v>
      </c>
      <c r="H615" s="13"/>
      <c r="I615" s="22" t="str">
        <f>VLOOKUP(J615, Dropdowns!N:O, 2, FALSE)</f>
        <v>Standard</v>
      </c>
      <c r="J615" t="s">
        <v>760</v>
      </c>
      <c r="L615" s="17" t="s">
        <v>732</v>
      </c>
      <c r="M615" s="17" t="s">
        <v>9</v>
      </c>
      <c r="N615" s="17" t="s">
        <v>736</v>
      </c>
    </row>
    <row r="616" spans="1:14" x14ac:dyDescent="0.25">
      <c r="A616" s="10">
        <v>995012</v>
      </c>
      <c r="B616" s="22" t="str">
        <f>IFERROR(VLOOKUP(A616,VLOOKUPS!$A$2:B$12589,2,FALSE),"")</f>
        <v>RTE Cranberry Walnut Salad 4.5oz-standard</v>
      </c>
      <c r="E616">
        <v>2.89</v>
      </c>
      <c r="F616">
        <v>1.99</v>
      </c>
      <c r="G616" s="13">
        <v>44362</v>
      </c>
      <c r="H616" s="13">
        <v>44363</v>
      </c>
      <c r="I616" s="22" t="str">
        <f>VLOOKUP(J616, Dropdowns!N:O, 2, FALSE)</f>
        <v>Lower Price</v>
      </c>
      <c r="J616" t="s">
        <v>759</v>
      </c>
      <c r="L616" s="17" t="s">
        <v>733</v>
      </c>
      <c r="M616" s="17" t="s">
        <v>10</v>
      </c>
      <c r="N616" s="17" t="s">
        <v>740</v>
      </c>
    </row>
    <row r="617" spans="1:14" x14ac:dyDescent="0.25">
      <c r="A617" s="10">
        <v>995012</v>
      </c>
      <c r="B617" s="22" t="str">
        <f>IFERROR(VLOOKUP(A617,VLOOKUPS!$A$2:B$12589,2,FALSE),"")</f>
        <v>RTE Cranberry Walnut Salad 4.5oz-standard</v>
      </c>
      <c r="E617">
        <v>2.99</v>
      </c>
      <c r="F617">
        <v>2.09</v>
      </c>
      <c r="G617" s="13">
        <v>44362</v>
      </c>
      <c r="H617" s="13">
        <v>44363</v>
      </c>
      <c r="I617" s="22" t="str">
        <f>VLOOKUP(J617, Dropdowns!N:O, 2, FALSE)</f>
        <v>Lower Price</v>
      </c>
      <c r="J617" t="s">
        <v>759</v>
      </c>
      <c r="L617" s="17" t="s">
        <v>734</v>
      </c>
      <c r="M617" s="17" t="s">
        <v>10</v>
      </c>
      <c r="N617" s="17">
        <v>2</v>
      </c>
    </row>
    <row r="618" spans="1:14" x14ac:dyDescent="0.25">
      <c r="A618" s="10">
        <v>995012</v>
      </c>
      <c r="B618" s="22" t="str">
        <f>IFERROR(VLOOKUP(A618,VLOOKUPS!$A$2:B$12589,2,FALSE),"")</f>
        <v>RTE Cranberry Walnut Salad 4.5oz-standard</v>
      </c>
      <c r="E618">
        <v>1.99</v>
      </c>
      <c r="F618">
        <v>2.89</v>
      </c>
      <c r="G618" s="13">
        <v>44364</v>
      </c>
      <c r="H618" s="13"/>
      <c r="I618" s="22" t="str">
        <f>VLOOKUP(J618, Dropdowns!N:O, 2, FALSE)</f>
        <v>Standard</v>
      </c>
      <c r="J618" t="s">
        <v>760</v>
      </c>
      <c r="L618" s="17" t="s">
        <v>733</v>
      </c>
      <c r="M618" s="17" t="s">
        <v>10</v>
      </c>
      <c r="N618" s="17" t="s">
        <v>740</v>
      </c>
    </row>
    <row r="619" spans="1:14" x14ac:dyDescent="0.25">
      <c r="A619" s="10">
        <v>995012</v>
      </c>
      <c r="B619" s="22" t="str">
        <f>IFERROR(VLOOKUP(A619,VLOOKUPS!$A$2:B$12589,2,FALSE),"")</f>
        <v>RTE Cranberry Walnut Salad 4.5oz-standard</v>
      </c>
      <c r="E619">
        <v>2.09</v>
      </c>
      <c r="F619">
        <v>2.99</v>
      </c>
      <c r="G619" s="13">
        <v>44364</v>
      </c>
      <c r="H619" s="13"/>
      <c r="I619" s="22" t="str">
        <f>VLOOKUP(J619, Dropdowns!N:O, 2, FALSE)</f>
        <v>Standard</v>
      </c>
      <c r="J619" t="s">
        <v>760</v>
      </c>
      <c r="L619" s="17" t="s">
        <v>734</v>
      </c>
      <c r="M619" s="17" t="s">
        <v>10</v>
      </c>
      <c r="N619" s="17">
        <v>2</v>
      </c>
    </row>
    <row r="620" spans="1:14" x14ac:dyDescent="0.25">
      <c r="A620" s="10">
        <v>995041</v>
      </c>
      <c r="B620" s="22" t="str">
        <f>IFERROR(VLOOKUP(A620,VLOOKUPS!$A$2:B$12589,2,FALSE),"")</f>
        <v>Pineapple Spears 16oz-standard</v>
      </c>
      <c r="E620">
        <v>3.29</v>
      </c>
      <c r="F620">
        <v>2.29</v>
      </c>
      <c r="G620" s="13">
        <v>44362</v>
      </c>
      <c r="H620" s="13">
        <v>44362</v>
      </c>
      <c r="I620" s="22" t="str">
        <f>VLOOKUP(J620, Dropdowns!N:O, 2, FALSE)</f>
        <v>Lower Price</v>
      </c>
      <c r="J620" t="s">
        <v>759</v>
      </c>
      <c r="L620" s="17" t="s">
        <v>732</v>
      </c>
      <c r="M620" s="17" t="s">
        <v>10</v>
      </c>
      <c r="N620" s="17">
        <v>2</v>
      </c>
    </row>
    <row r="621" spans="1:14" x14ac:dyDescent="0.25">
      <c r="A621" s="10">
        <v>995041</v>
      </c>
      <c r="B621" s="22" t="str">
        <f>IFERROR(VLOOKUP(A621,VLOOKUPS!$A$2:B$12589,2,FALSE),"")</f>
        <v>Pineapple Spears 16oz-standard</v>
      </c>
      <c r="E621">
        <v>2.29</v>
      </c>
      <c r="F621">
        <v>3.29</v>
      </c>
      <c r="G621" s="13">
        <v>44363</v>
      </c>
      <c r="H621" s="13"/>
      <c r="I621" s="22" t="str">
        <f>VLOOKUP(J621, Dropdowns!N:O, 2, FALSE)</f>
        <v>Standard</v>
      </c>
      <c r="J621" t="s">
        <v>760</v>
      </c>
      <c r="L621" s="17" t="s">
        <v>732</v>
      </c>
      <c r="M621" s="17" t="s">
        <v>10</v>
      </c>
      <c r="N621" s="17">
        <v>2</v>
      </c>
    </row>
    <row r="622" spans="1:14" x14ac:dyDescent="0.25">
      <c r="A622" s="10">
        <v>995082</v>
      </c>
      <c r="B622" s="22" t="str">
        <f>IFERROR(VLOOKUP(A622,VLOOKUPS!$A$2:B$12589,2,FALSE),"")</f>
        <v>Melon Trio 16oz-standard</v>
      </c>
      <c r="E622">
        <v>3.99</v>
      </c>
      <c r="F622">
        <v>2.59</v>
      </c>
      <c r="G622" s="13">
        <v>44362</v>
      </c>
      <c r="H622" s="13">
        <v>44363</v>
      </c>
      <c r="I622" s="22" t="str">
        <f>VLOOKUP(J622, Dropdowns!N:O, 2, FALSE)</f>
        <v>Lower Price</v>
      </c>
      <c r="J622" t="s">
        <v>759</v>
      </c>
      <c r="L622" s="17" t="s">
        <v>732</v>
      </c>
      <c r="M622" s="17" t="s">
        <v>10</v>
      </c>
      <c r="N622" s="17">
        <v>2</v>
      </c>
    </row>
    <row r="623" spans="1:14" x14ac:dyDescent="0.25">
      <c r="A623" s="10">
        <v>995082</v>
      </c>
      <c r="B623" s="22" t="str">
        <f>IFERROR(VLOOKUP(A623,VLOOKUPS!$A$2:B$12589,2,FALSE),"")</f>
        <v>Melon Trio 16oz-standard</v>
      </c>
      <c r="E623">
        <v>2.59</v>
      </c>
      <c r="F623">
        <v>3.99</v>
      </c>
      <c r="G623" s="13">
        <v>44364</v>
      </c>
      <c r="H623" s="13"/>
      <c r="I623" s="22" t="str">
        <f>VLOOKUP(J623, Dropdowns!N:O, 2, FALSE)</f>
        <v>Standard</v>
      </c>
      <c r="J623" t="s">
        <v>760</v>
      </c>
      <c r="L623" s="17" t="s">
        <v>732</v>
      </c>
      <c r="M623" s="17" t="s">
        <v>10</v>
      </c>
      <c r="N623" s="17">
        <v>2</v>
      </c>
    </row>
    <row r="624" spans="1:14" x14ac:dyDescent="0.25">
      <c r="A624" s="10">
        <v>995115</v>
      </c>
      <c r="B624" s="22" t="str">
        <f>IFERROR(VLOOKUP(A624,VLOOKUPS!$A$2:B$12589,2,FALSE),"")</f>
        <v>Pineapple Chunks 10oz-standard</v>
      </c>
      <c r="E624">
        <v>2.29</v>
      </c>
      <c r="F624">
        <v>1.29</v>
      </c>
      <c r="G624" s="13">
        <v>44362</v>
      </c>
      <c r="H624" s="13">
        <v>44363</v>
      </c>
      <c r="I624" s="22" t="str">
        <f>VLOOKUP(J624, Dropdowns!N:O, 2, FALSE)</f>
        <v>Lower Price</v>
      </c>
      <c r="J624" t="s">
        <v>759</v>
      </c>
      <c r="L624" s="17" t="s">
        <v>732</v>
      </c>
      <c r="M624" s="17" t="s">
        <v>10</v>
      </c>
      <c r="N624" s="17">
        <v>2</v>
      </c>
    </row>
    <row r="625" spans="1:14" x14ac:dyDescent="0.25">
      <c r="A625" s="10">
        <v>995115</v>
      </c>
      <c r="B625" s="22" t="str">
        <f>IFERROR(VLOOKUP(A625,VLOOKUPS!$A$2:B$12589,2,FALSE),"")</f>
        <v>Pineapple Chunks 10oz-standard</v>
      </c>
      <c r="E625">
        <v>1.29</v>
      </c>
      <c r="F625">
        <v>2.29</v>
      </c>
      <c r="G625" s="13">
        <v>44364</v>
      </c>
      <c r="H625" s="13"/>
      <c r="I625" s="22" t="str">
        <f>VLOOKUP(J625, Dropdowns!N:O, 2, FALSE)</f>
        <v>Standard</v>
      </c>
      <c r="J625" t="s">
        <v>760</v>
      </c>
      <c r="L625" s="17" t="s">
        <v>732</v>
      </c>
      <c r="M625" s="17" t="s">
        <v>10</v>
      </c>
      <c r="N625" s="17">
        <v>2</v>
      </c>
    </row>
    <row r="626" spans="1:14" x14ac:dyDescent="0.25">
      <c r="A626" s="10">
        <v>995119</v>
      </c>
      <c r="B626" s="22" t="str">
        <f>IFERROR(VLOOKUP(A626,VLOOKUPS!$A$2:B$12589,2,FALSE),"")</f>
        <v>RTE Green Goddess Salad 5.5oz-standard</v>
      </c>
      <c r="E626">
        <v>2.89</v>
      </c>
      <c r="F626">
        <v>1.49</v>
      </c>
      <c r="G626" s="13">
        <v>44362</v>
      </c>
      <c r="H626" s="13">
        <v>44363</v>
      </c>
      <c r="I626" s="22" t="str">
        <f>VLOOKUP(J626, Dropdowns!N:O, 2, FALSE)</f>
        <v>Lower Price</v>
      </c>
      <c r="J626" t="s">
        <v>759</v>
      </c>
      <c r="L626" s="17" t="s">
        <v>732</v>
      </c>
      <c r="M626" s="17" t="s">
        <v>738</v>
      </c>
      <c r="N626" s="17">
        <v>2</v>
      </c>
    </row>
    <row r="627" spans="1:14" x14ac:dyDescent="0.25">
      <c r="A627" s="10">
        <v>995119</v>
      </c>
      <c r="B627" s="22" t="str">
        <f>IFERROR(VLOOKUP(A627,VLOOKUPS!$A$2:B$12589,2,FALSE),"")</f>
        <v>RTE Green Goddess Salad 5.5oz-standard</v>
      </c>
      <c r="E627">
        <v>1.49</v>
      </c>
      <c r="F627">
        <v>2.89</v>
      </c>
      <c r="G627" s="13">
        <v>44364</v>
      </c>
      <c r="H627" s="13"/>
      <c r="I627" s="22" t="str">
        <f>VLOOKUP(J627, Dropdowns!N:O, 2, FALSE)</f>
        <v>Standard</v>
      </c>
      <c r="J627" t="s">
        <v>760</v>
      </c>
      <c r="L627" s="17" t="s">
        <v>732</v>
      </c>
      <c r="M627" s="17" t="s">
        <v>738</v>
      </c>
      <c r="N627" s="17">
        <v>2</v>
      </c>
    </row>
    <row r="628" spans="1:14" x14ac:dyDescent="0.25">
      <c r="A628" s="10">
        <v>995068</v>
      </c>
      <c r="B628" s="22" t="str">
        <f>IFERROR(VLOOKUP(A628,VLOOKUPS!$A$2:B$12589,2,FALSE),"")</f>
        <v>Organic Half and Half 5oz-standard</v>
      </c>
      <c r="E628">
        <v>2.4900000000000002</v>
      </c>
      <c r="F628">
        <v>1.79</v>
      </c>
      <c r="G628" s="13">
        <v>44363</v>
      </c>
      <c r="H628" s="13">
        <v>44364</v>
      </c>
      <c r="I628" s="22" t="str">
        <f>VLOOKUP(J628, Dropdowns!N:O, 2, FALSE)</f>
        <v>Lower Price</v>
      </c>
      <c r="J628" t="s">
        <v>759</v>
      </c>
      <c r="L628" s="17" t="s">
        <v>732</v>
      </c>
      <c r="M628" s="17" t="s">
        <v>9</v>
      </c>
      <c r="N628" s="17" t="s">
        <v>736</v>
      </c>
    </row>
    <row r="629" spans="1:14" x14ac:dyDescent="0.25">
      <c r="A629" s="10">
        <v>995068</v>
      </c>
      <c r="B629" s="22" t="str">
        <f>IFERROR(VLOOKUP(A629,VLOOKUPS!$A$2:B$12589,2,FALSE),"")</f>
        <v>Organic Half and Half 5oz-standard</v>
      </c>
      <c r="E629">
        <v>1.79</v>
      </c>
      <c r="F629">
        <v>2.4900000000000002</v>
      </c>
      <c r="G629" s="13">
        <v>44365</v>
      </c>
      <c r="H629" s="13"/>
      <c r="I629" s="22" t="str">
        <f>VLOOKUP(J629, Dropdowns!N:O, 2, FALSE)</f>
        <v>Standard</v>
      </c>
      <c r="J629" t="s">
        <v>760</v>
      </c>
      <c r="L629" s="17" t="s">
        <v>732</v>
      </c>
      <c r="M629" s="17" t="s">
        <v>9</v>
      </c>
      <c r="N629" s="17" t="s">
        <v>736</v>
      </c>
    </row>
    <row r="630" spans="1:14" x14ac:dyDescent="0.25">
      <c r="A630" s="10">
        <v>995103</v>
      </c>
      <c r="B630" s="22" t="str">
        <f>IFERROR(VLOOKUP(A630,VLOOKUPS!$A$2:B$12589,2,FALSE),"")</f>
        <v>Teriyaki Stir Fry Kit 12.5oz-standard</v>
      </c>
      <c r="E630">
        <v>2.98</v>
      </c>
      <c r="F630">
        <v>1.98</v>
      </c>
      <c r="G630" s="13">
        <v>44363</v>
      </c>
      <c r="H630" s="13">
        <v>44364</v>
      </c>
      <c r="I630" s="22" t="str">
        <f>VLOOKUP(J630, Dropdowns!N:O, 2, FALSE)</f>
        <v>Lower Price</v>
      </c>
      <c r="J630" t="s">
        <v>759</v>
      </c>
      <c r="L630" s="17" t="s">
        <v>732</v>
      </c>
      <c r="M630" s="17" t="s">
        <v>11</v>
      </c>
      <c r="N630" s="17" t="s">
        <v>740</v>
      </c>
    </row>
    <row r="631" spans="1:14" x14ac:dyDescent="0.25">
      <c r="A631" s="10">
        <v>995103</v>
      </c>
      <c r="B631" s="22" t="str">
        <f>IFERROR(VLOOKUP(A631,VLOOKUPS!$A$2:B$12589,2,FALSE),"")</f>
        <v>Teriyaki Stir Fry Kit 12.5oz-standard</v>
      </c>
      <c r="E631">
        <v>1.98</v>
      </c>
      <c r="F631">
        <v>2.98</v>
      </c>
      <c r="G631" s="13">
        <v>44365</v>
      </c>
      <c r="H631" s="13"/>
      <c r="I631" s="22" t="str">
        <f>VLOOKUP(J631, Dropdowns!N:O, 2, FALSE)</f>
        <v>Standard</v>
      </c>
      <c r="J631" t="s">
        <v>760</v>
      </c>
      <c r="L631" s="17" t="s">
        <v>732</v>
      </c>
      <c r="M631" s="17" t="s">
        <v>11</v>
      </c>
      <c r="N631" s="17" t="s">
        <v>740</v>
      </c>
    </row>
    <row r="632" spans="1:14" x14ac:dyDescent="0.25">
      <c r="A632" s="10">
        <v>984542</v>
      </c>
      <c r="B632" s="22" t="str">
        <f>IFERROR(VLOOKUP(A632,VLOOKUPS!$A$2:B$12589,2,FALSE),"")</f>
        <v>Blueberries 18oz-standard</v>
      </c>
      <c r="E632">
        <v>2.99</v>
      </c>
      <c r="F632">
        <v>4.1900000000000004</v>
      </c>
      <c r="G632" s="13">
        <v>44363</v>
      </c>
      <c r="H632" s="13"/>
      <c r="I632" s="22" t="str">
        <f>VLOOKUP(J632, Dropdowns!N:O, 2, FALSE)</f>
        <v>Standard</v>
      </c>
      <c r="J632" t="s">
        <v>760</v>
      </c>
      <c r="L632" s="17" t="s">
        <v>732</v>
      </c>
      <c r="M632" s="17" t="s">
        <v>738</v>
      </c>
      <c r="N632" s="17">
        <v>2</v>
      </c>
    </row>
    <row r="633" spans="1:14" x14ac:dyDescent="0.25">
      <c r="A633" s="10">
        <v>984542</v>
      </c>
      <c r="B633" s="22" t="str">
        <f>IFERROR(VLOOKUP(A633,VLOOKUPS!$A$2:B$12589,2,FALSE),"")</f>
        <v>Blueberries 18oz-standard</v>
      </c>
      <c r="G633" s="13">
        <v>44363</v>
      </c>
      <c r="H633" s="13">
        <v>44363</v>
      </c>
      <c r="I633" s="22" t="str">
        <f>VLOOKUP(J633, Dropdowns!N:O, 2, FALSE)</f>
        <v>Lower Price</v>
      </c>
      <c r="J633" t="s">
        <v>762</v>
      </c>
      <c r="L633" s="17" t="s">
        <v>732</v>
      </c>
      <c r="M633" s="17" t="s">
        <v>9</v>
      </c>
      <c r="N633" s="17" t="s">
        <v>736</v>
      </c>
    </row>
    <row r="634" spans="1:14" x14ac:dyDescent="0.25">
      <c r="A634" s="10">
        <v>995102</v>
      </c>
      <c r="B634" s="22" t="str">
        <f>IFERROR(VLOOKUP(A634,VLOOKUPS!$A$2:B$12589,2,FALSE),"")</f>
        <v>Cantaloupe Chunks 16oz-standard</v>
      </c>
      <c r="E634">
        <v>1.8</v>
      </c>
      <c r="F634">
        <v>3.3</v>
      </c>
      <c r="G634" s="13">
        <v>44363</v>
      </c>
      <c r="H634" s="13"/>
      <c r="I634" s="22" t="str">
        <f>VLOOKUP(J634, Dropdowns!N:O, 2, FALSE)</f>
        <v>Standard</v>
      </c>
      <c r="J634" t="s">
        <v>760</v>
      </c>
      <c r="L634" s="17" t="s">
        <v>732</v>
      </c>
      <c r="M634" s="17" t="s">
        <v>738</v>
      </c>
      <c r="N634" s="17">
        <v>2</v>
      </c>
    </row>
    <row r="635" spans="1:14" x14ac:dyDescent="0.25">
      <c r="A635" s="10">
        <v>995102</v>
      </c>
      <c r="B635" s="22" t="str">
        <f>IFERROR(VLOOKUP(A635,VLOOKUPS!$A$2:B$12589,2,FALSE),"")</f>
        <v>Cantaloupe Chunks 16oz-standard</v>
      </c>
      <c r="G635" s="13">
        <v>44363</v>
      </c>
      <c r="H635" s="13">
        <v>44364</v>
      </c>
      <c r="I635" s="22" t="str">
        <f>VLOOKUP(J635, Dropdowns!N:O, 2, FALSE)</f>
        <v>Lower Price</v>
      </c>
      <c r="J635" t="s">
        <v>762</v>
      </c>
      <c r="L635" s="17" t="s">
        <v>732</v>
      </c>
      <c r="M635" s="17" t="s">
        <v>9</v>
      </c>
      <c r="N635" s="17" t="s">
        <v>736</v>
      </c>
    </row>
    <row r="636" spans="1:14" x14ac:dyDescent="0.25">
      <c r="A636" s="10">
        <v>995101</v>
      </c>
      <c r="B636" s="22" t="str">
        <f>IFERROR(VLOOKUP(A636,VLOOKUPS!$A$2:B$12589,2,FALSE),"")</f>
        <v>Avocado Ranch Salad Kit 11.3oz-standard</v>
      </c>
      <c r="E636">
        <v>2.2000000000000002</v>
      </c>
      <c r="F636">
        <v>2.9</v>
      </c>
      <c r="G636" s="13">
        <v>44363</v>
      </c>
      <c r="H636" s="13"/>
      <c r="I636" s="22" t="str">
        <f>VLOOKUP(J636, Dropdowns!N:O, 2, FALSE)</f>
        <v>Standard</v>
      </c>
      <c r="J636" t="s">
        <v>760</v>
      </c>
      <c r="L636" s="17" t="s">
        <v>732</v>
      </c>
      <c r="M636" s="17" t="s">
        <v>736</v>
      </c>
      <c r="N636" s="17" t="s">
        <v>736</v>
      </c>
    </row>
    <row r="637" spans="1:14" x14ac:dyDescent="0.25">
      <c r="A637" s="10">
        <v>995070</v>
      </c>
      <c r="B637" s="22" t="str">
        <f>IFERROR(VLOOKUP(A637,VLOOKUPS!$A$2:B$12589,2,FALSE),"")</f>
        <v>Organic Baby Spring Mix 5oz-standard</v>
      </c>
      <c r="E637">
        <v>1.99</v>
      </c>
      <c r="F637">
        <v>2.4900000000000002</v>
      </c>
      <c r="G637" s="13">
        <v>44363</v>
      </c>
      <c r="H637" s="13"/>
      <c r="I637" s="22" t="str">
        <f>VLOOKUP(J637, Dropdowns!N:O, 2, FALSE)</f>
        <v>Standard</v>
      </c>
      <c r="J637" t="s">
        <v>760</v>
      </c>
      <c r="L637" s="17" t="s">
        <v>732</v>
      </c>
      <c r="M637" s="17" t="s">
        <v>736</v>
      </c>
      <c r="N637" s="17" t="s">
        <v>736</v>
      </c>
    </row>
    <row r="638" spans="1:14" x14ac:dyDescent="0.25">
      <c r="A638" s="10">
        <v>995018</v>
      </c>
      <c r="B638" s="22" t="str">
        <f>IFERROR(VLOOKUP(A638,VLOOKUPS!$A$2:B$12589,2,FALSE),"")</f>
        <v>RTE Large Chicken Caesar Salad 13.1oz-standard</v>
      </c>
      <c r="E638">
        <v>4.99</v>
      </c>
      <c r="F638">
        <v>4.49</v>
      </c>
      <c r="G638" s="13">
        <v>44364</v>
      </c>
      <c r="H638" s="13">
        <v>44365</v>
      </c>
      <c r="I638" s="22" t="str">
        <f>VLOOKUP(J638, Dropdowns!N:O, 2, FALSE)</f>
        <v>Lower Price</v>
      </c>
      <c r="J638" t="s">
        <v>759</v>
      </c>
      <c r="L638" s="17" t="s">
        <v>732</v>
      </c>
      <c r="M638" s="17" t="s">
        <v>10</v>
      </c>
      <c r="N638" s="17">
        <v>2</v>
      </c>
    </row>
    <row r="639" spans="1:14" x14ac:dyDescent="0.25">
      <c r="A639" s="10">
        <v>995018</v>
      </c>
      <c r="B639" s="22" t="str">
        <f>IFERROR(VLOOKUP(A639,VLOOKUPS!$A$2:B$12589,2,FALSE),"")</f>
        <v>RTE Large Chicken Caesar Salad 13.1oz-standard</v>
      </c>
      <c r="E639">
        <v>4.49</v>
      </c>
      <c r="F639">
        <v>4.99</v>
      </c>
      <c r="G639" s="13">
        <v>44366</v>
      </c>
      <c r="H639" s="13"/>
      <c r="I639" s="22" t="str">
        <f>VLOOKUP(J639, Dropdowns!N:O, 2, FALSE)</f>
        <v>Standard</v>
      </c>
      <c r="J639" t="s">
        <v>760</v>
      </c>
      <c r="L639" s="17" t="s">
        <v>732</v>
      </c>
      <c r="M639" s="17" t="s">
        <v>10</v>
      </c>
      <c r="N639" s="17">
        <v>2</v>
      </c>
    </row>
    <row r="640" spans="1:14" x14ac:dyDescent="0.25">
      <c r="A640" s="10">
        <v>995074</v>
      </c>
      <c r="B640" s="22" t="str">
        <f>IFERROR(VLOOKUP(A640,VLOOKUPS!$A$2:B$12589,2,FALSE),"")</f>
        <v>Southwest Chopped Salad Kit 12oz-standard</v>
      </c>
      <c r="E640">
        <v>2.99</v>
      </c>
      <c r="F640">
        <v>2.4900000000000002</v>
      </c>
      <c r="G640" s="13">
        <v>44364</v>
      </c>
      <c r="H640" s="13">
        <v>44365</v>
      </c>
      <c r="I640" s="22" t="str">
        <f>VLOOKUP(J640, Dropdowns!N:O, 2, FALSE)</f>
        <v>Lower Price</v>
      </c>
      <c r="J640" t="s">
        <v>759</v>
      </c>
      <c r="L640" s="17" t="s">
        <v>732</v>
      </c>
      <c r="M640" s="17" t="s">
        <v>735</v>
      </c>
      <c r="N640" s="17" t="s">
        <v>736</v>
      </c>
    </row>
    <row r="641" spans="1:16" x14ac:dyDescent="0.25">
      <c r="A641" s="10">
        <v>995074</v>
      </c>
      <c r="B641" s="22" t="str">
        <f>IFERROR(VLOOKUP(A641,VLOOKUPS!$A$2:B$12589,2,FALSE),"")</f>
        <v>Southwest Chopped Salad Kit 12oz-standard</v>
      </c>
      <c r="E641">
        <v>2.4900000000000002</v>
      </c>
      <c r="F641">
        <v>2.99</v>
      </c>
      <c r="G641" s="13">
        <v>44366</v>
      </c>
      <c r="H641" s="13"/>
      <c r="I641" s="22" t="str">
        <f>VLOOKUP(J641, Dropdowns!N:O, 2, FALSE)</f>
        <v>Standard</v>
      </c>
      <c r="J641" t="s">
        <v>760</v>
      </c>
      <c r="L641" s="17" t="s">
        <v>732</v>
      </c>
      <c r="M641" s="17" t="s">
        <v>735</v>
      </c>
      <c r="N641" s="17" t="s">
        <v>736</v>
      </c>
    </row>
    <row r="642" spans="1:16" x14ac:dyDescent="0.25">
      <c r="A642" s="10">
        <v>995133</v>
      </c>
      <c r="B642" s="22" t="str">
        <f>IFERROR(VLOOKUP(A642,VLOOKUPS!$A$2:B$12589,2,FALSE),"")</f>
        <v>Organic Baby Spinach &amp; Arugula 5oz-standard</v>
      </c>
      <c r="E642">
        <v>2.4900000000000002</v>
      </c>
      <c r="F642">
        <v>1.79</v>
      </c>
      <c r="G642" s="13">
        <v>44364</v>
      </c>
      <c r="H642" s="13">
        <v>44365</v>
      </c>
      <c r="I642" s="22" t="str">
        <f>VLOOKUP(J642, Dropdowns!N:O, 2, FALSE)</f>
        <v>Lower Price</v>
      </c>
      <c r="J642" t="s">
        <v>759</v>
      </c>
      <c r="L642" s="17" t="s">
        <v>732</v>
      </c>
      <c r="M642" s="17" t="s">
        <v>9</v>
      </c>
      <c r="N642" s="17" t="s">
        <v>736</v>
      </c>
    </row>
    <row r="643" spans="1:16" x14ac:dyDescent="0.25">
      <c r="A643" s="10">
        <v>995133</v>
      </c>
      <c r="B643" s="22" t="str">
        <f>IFERROR(VLOOKUP(A643,VLOOKUPS!$A$2:B$12589,2,FALSE),"")</f>
        <v>Organic Baby Spinach &amp; Arugula 5oz-standard</v>
      </c>
      <c r="E643">
        <v>1.79</v>
      </c>
      <c r="F643">
        <v>2.4900000000000002</v>
      </c>
      <c r="G643" s="13">
        <v>44366</v>
      </c>
      <c r="H643" s="13"/>
      <c r="I643" s="22" t="str">
        <f>VLOOKUP(J643, Dropdowns!N:O, 2, FALSE)</f>
        <v>Standard</v>
      </c>
      <c r="J643" t="s">
        <v>760</v>
      </c>
      <c r="L643" s="17" t="s">
        <v>732</v>
      </c>
      <c r="M643" s="17" t="s">
        <v>9</v>
      </c>
      <c r="N643" s="17" t="s">
        <v>736</v>
      </c>
    </row>
    <row r="644" spans="1:16" x14ac:dyDescent="0.25">
      <c r="A644" s="10">
        <v>984542</v>
      </c>
      <c r="B644" s="22" t="str">
        <f>IFERROR(VLOOKUP(A644,VLOOKUPS!$A$2:B$12589,2,FALSE),"")</f>
        <v>Blueberries 18oz-standard</v>
      </c>
      <c r="E644">
        <v>2.99</v>
      </c>
      <c r="F644">
        <v>4.1900000000000004</v>
      </c>
      <c r="G644" s="13">
        <v>44364</v>
      </c>
      <c r="H644" s="13"/>
      <c r="I644" s="22" t="str">
        <f>VLOOKUP(J644, Dropdowns!N:O, 2, FALSE)</f>
        <v>Standard</v>
      </c>
      <c r="J644" t="s">
        <v>760</v>
      </c>
      <c r="L644" s="17" t="s">
        <v>732</v>
      </c>
      <c r="M644" s="17" t="s">
        <v>9</v>
      </c>
      <c r="N644" s="17" t="s">
        <v>736</v>
      </c>
    </row>
    <row r="645" spans="1:16" x14ac:dyDescent="0.25">
      <c r="A645" s="10">
        <v>983151</v>
      </c>
      <c r="B645" s="22" t="str">
        <f>IFERROR(VLOOKUP(A645,VLOOKUPS!$A$2:B$12589,2,FALSE),"")</f>
        <v>Melons* Golden Honeydew 1ct-LOOSE</v>
      </c>
      <c r="E645">
        <v>3.58</v>
      </c>
      <c r="F645">
        <v>2.58</v>
      </c>
      <c r="G645" s="13">
        <v>44365</v>
      </c>
      <c r="H645" s="13">
        <v>44366</v>
      </c>
      <c r="I645" s="22" t="str">
        <f>VLOOKUP(J645, Dropdowns!N:O, 2, FALSE)</f>
        <v>Lower Price</v>
      </c>
      <c r="J645" t="s">
        <v>759</v>
      </c>
      <c r="L645" s="17" t="s">
        <v>732</v>
      </c>
      <c r="M645" s="17" t="s">
        <v>9</v>
      </c>
      <c r="N645" s="17" t="s">
        <v>736</v>
      </c>
    </row>
    <row r="646" spans="1:16" x14ac:dyDescent="0.25">
      <c r="A646" s="10">
        <v>983151</v>
      </c>
      <c r="B646" s="22" t="str">
        <f>IFERROR(VLOOKUP(A646,VLOOKUPS!$A$2:B$12589,2,FALSE),"")</f>
        <v>Melons* Golden Honeydew 1ct-LOOSE</v>
      </c>
      <c r="E646">
        <v>2.58</v>
      </c>
      <c r="F646">
        <v>3.58</v>
      </c>
      <c r="G646" s="13">
        <v>44367</v>
      </c>
      <c r="H646" s="13"/>
      <c r="I646" s="22" t="str">
        <f>VLOOKUP(J646, Dropdowns!N:O, 2, FALSE)</f>
        <v>Standard</v>
      </c>
      <c r="J646" t="s">
        <v>760</v>
      </c>
      <c r="L646" s="17" t="s">
        <v>732</v>
      </c>
      <c r="M646" s="17" t="s">
        <v>9</v>
      </c>
      <c r="N646" s="17" t="s">
        <v>736</v>
      </c>
    </row>
    <row r="647" spans="1:16" x14ac:dyDescent="0.25">
      <c r="A647" s="10">
        <v>983251</v>
      </c>
      <c r="B647" s="22" t="str">
        <f>IFERROR(VLOOKUP(A647,VLOOKUPS!$A$2:B$12589,2,FALSE),"")</f>
        <v>Watermelons Large Seedless 1ct-LOOSE</v>
      </c>
      <c r="E647">
        <v>4.59</v>
      </c>
      <c r="F647">
        <v>3.59</v>
      </c>
      <c r="G647" s="13">
        <v>44365</v>
      </c>
      <c r="H647" s="13">
        <v>44366</v>
      </c>
      <c r="I647" s="22" t="str">
        <f>VLOOKUP(J647, Dropdowns!N:O, 2, FALSE)</f>
        <v>Lower Price</v>
      </c>
      <c r="J647" t="s">
        <v>759</v>
      </c>
      <c r="L647" s="17" t="s">
        <v>733</v>
      </c>
      <c r="M647" s="17" t="s">
        <v>11</v>
      </c>
      <c r="N647" s="17" t="s">
        <v>740</v>
      </c>
    </row>
    <row r="648" spans="1:16" x14ac:dyDescent="0.25">
      <c r="A648" s="10">
        <v>983251</v>
      </c>
      <c r="B648" s="22" t="str">
        <f>IFERROR(VLOOKUP(A648,VLOOKUPS!$A$2:B$12589,2,FALSE),"")</f>
        <v>Watermelons Large Seedless 1ct-LOOSE</v>
      </c>
      <c r="E648">
        <v>3.59</v>
      </c>
      <c r="F648">
        <v>4.59</v>
      </c>
      <c r="G648" s="13">
        <v>44367</v>
      </c>
      <c r="H648" s="13"/>
      <c r="I648" s="22" t="str">
        <f>VLOOKUP(J648, Dropdowns!N:O, 2, FALSE)</f>
        <v>Standard</v>
      </c>
      <c r="J648" t="s">
        <v>760</v>
      </c>
      <c r="L648" s="17" t="s">
        <v>733</v>
      </c>
      <c r="M648" s="17" t="s">
        <v>11</v>
      </c>
      <c r="N648" s="17" t="s">
        <v>740</v>
      </c>
    </row>
    <row r="649" spans="1:16" x14ac:dyDescent="0.25">
      <c r="A649" s="10">
        <v>984620</v>
      </c>
      <c r="B649" s="22" t="str">
        <f>IFERROR(VLOOKUP(A649,VLOOKUPS!$A$2:B$12589,2,FALSE),"")</f>
        <v>Raspberries 6oz-standard</v>
      </c>
      <c r="E649">
        <v>2.74</v>
      </c>
      <c r="F649">
        <v>2.2400000000000002</v>
      </c>
      <c r="G649" s="13">
        <v>44365</v>
      </c>
      <c r="H649" s="13">
        <v>44366</v>
      </c>
      <c r="I649" s="22" t="str">
        <f>VLOOKUP(J649, Dropdowns!N:O, 2, FALSE)</f>
        <v>Lower Price</v>
      </c>
      <c r="J649" t="s">
        <v>759</v>
      </c>
      <c r="L649" s="17" t="s">
        <v>732</v>
      </c>
      <c r="M649" s="17" t="s">
        <v>738</v>
      </c>
      <c r="N649" s="17">
        <v>2</v>
      </c>
    </row>
    <row r="650" spans="1:16" x14ac:dyDescent="0.25">
      <c r="A650" s="10">
        <v>984620</v>
      </c>
      <c r="B650" s="22" t="str">
        <f>IFERROR(VLOOKUP(A650,VLOOKUPS!$A$2:B$12589,2,FALSE),"")</f>
        <v>Raspberries 6oz-standard</v>
      </c>
      <c r="E650">
        <v>2.2400000000000002</v>
      </c>
      <c r="F650">
        <v>2.74</v>
      </c>
      <c r="G650" s="13">
        <v>44367</v>
      </c>
      <c r="H650" s="13"/>
      <c r="I650" s="22" t="str">
        <f>VLOOKUP(J650, Dropdowns!N:O, 2, FALSE)</f>
        <v>Standard</v>
      </c>
      <c r="J650" t="s">
        <v>760</v>
      </c>
      <c r="L650" s="17" t="s">
        <v>732</v>
      </c>
      <c r="M650" s="17" t="s">
        <v>738</v>
      </c>
      <c r="N650" s="17">
        <v>2</v>
      </c>
    </row>
    <row r="651" spans="1:16" x14ac:dyDescent="0.25">
      <c r="A651" s="10">
        <v>984621</v>
      </c>
      <c r="B651" s="22" t="str">
        <f>IFERROR(VLOOKUP(A651,VLOOKUPS!$A$2:B$12589,2,FALSE),"")</f>
        <v>Raspberries 12oz-standard</v>
      </c>
      <c r="E651">
        <v>4.9400000000000004</v>
      </c>
      <c r="F651">
        <v>4.54</v>
      </c>
      <c r="G651" s="13">
        <v>44365</v>
      </c>
      <c r="H651" s="13">
        <v>44366</v>
      </c>
      <c r="I651" s="22" t="str">
        <f>VLOOKUP(J651, Dropdowns!N:O, 2, FALSE)</f>
        <v>Lower Price</v>
      </c>
      <c r="J651" t="s">
        <v>759</v>
      </c>
      <c r="L651" s="17" t="s">
        <v>732</v>
      </c>
      <c r="M651" s="17" t="s">
        <v>10</v>
      </c>
      <c r="N651" s="17">
        <v>2</v>
      </c>
    </row>
    <row r="652" spans="1:16" x14ac:dyDescent="0.25">
      <c r="A652" s="10">
        <v>984621</v>
      </c>
      <c r="B652" s="22" t="str">
        <f>IFERROR(VLOOKUP(A652,VLOOKUPS!$A$2:B$12589,2,FALSE),"")</f>
        <v>Raspberries 12oz-standard</v>
      </c>
      <c r="E652">
        <v>4.54</v>
      </c>
      <c r="F652">
        <v>4.9400000000000004</v>
      </c>
      <c r="G652" s="13">
        <v>44367</v>
      </c>
      <c r="H652" s="13"/>
      <c r="I652" s="22" t="str">
        <f>VLOOKUP(J652, Dropdowns!N:O, 2, FALSE)</f>
        <v>Standard</v>
      </c>
      <c r="J652" t="s">
        <v>760</v>
      </c>
      <c r="L652" s="17" t="s">
        <v>732</v>
      </c>
      <c r="M652" s="17" t="s">
        <v>10</v>
      </c>
      <c r="N652" s="17">
        <v>2</v>
      </c>
    </row>
    <row r="653" spans="1:16" x14ac:dyDescent="0.25">
      <c r="A653" s="10">
        <v>984700</v>
      </c>
      <c r="B653" s="22" t="str">
        <f>IFERROR(VLOOKUP(A653,VLOOKUPS!$A$2:B$12589,2,FALSE),"")</f>
        <v>Blackberries 6oz-standard</v>
      </c>
      <c r="E653">
        <v>2.48</v>
      </c>
      <c r="F653">
        <v>1.78</v>
      </c>
      <c r="G653" s="13">
        <v>44365</v>
      </c>
      <c r="H653" s="13">
        <v>44366</v>
      </c>
      <c r="I653" s="22" t="str">
        <f>VLOOKUP(J653, Dropdowns!N:O, 2, FALSE)</f>
        <v>Lower Price</v>
      </c>
      <c r="J653" t="s">
        <v>759</v>
      </c>
      <c r="L653" s="17" t="s">
        <v>732</v>
      </c>
      <c r="M653" s="17" t="s">
        <v>735</v>
      </c>
      <c r="N653" s="17" t="s">
        <v>736</v>
      </c>
    </row>
    <row r="654" spans="1:16" x14ac:dyDescent="0.25">
      <c r="A654" s="10">
        <v>984700</v>
      </c>
      <c r="B654" s="22" t="str">
        <f>IFERROR(VLOOKUP(A654,VLOOKUPS!$A$2:B$12589,2,FALSE),"")</f>
        <v>Blackberries 6oz-standard</v>
      </c>
      <c r="E654">
        <v>1.78</v>
      </c>
      <c r="F654">
        <v>2.4900000000000002</v>
      </c>
      <c r="G654" s="13">
        <v>44367</v>
      </c>
      <c r="H654" s="13"/>
      <c r="I654" s="22" t="str">
        <f>VLOOKUP(J654, Dropdowns!N:O, 2, FALSE)</f>
        <v>Standard</v>
      </c>
      <c r="J654" t="s">
        <v>760</v>
      </c>
      <c r="L654" s="17" t="s">
        <v>732</v>
      </c>
      <c r="M654" s="17" t="s">
        <v>735</v>
      </c>
      <c r="N654" s="17" t="s">
        <v>736</v>
      </c>
    </row>
    <row r="655" spans="1:16" x14ac:dyDescent="0.25">
      <c r="A655" s="10">
        <v>984702</v>
      </c>
      <c r="B655" s="22" t="str">
        <f>IFERROR(VLOOKUP(A655,VLOOKUPS!$A$2:B$12589,2,FALSE),"")</f>
        <v>Blackberries 12oz-standard</v>
      </c>
      <c r="D655">
        <v>8</v>
      </c>
      <c r="F655">
        <v>4.4800000000000004</v>
      </c>
      <c r="G655" s="13">
        <v>44365</v>
      </c>
      <c r="H655" s="13"/>
      <c r="I655" s="22" t="str">
        <f>VLOOKUP(J655, Dropdowns!N:O, 2, FALSE)</f>
        <v>New</v>
      </c>
      <c r="J655" t="s">
        <v>776</v>
      </c>
      <c r="L655" s="17" t="s">
        <v>732</v>
      </c>
      <c r="M655" s="17" t="s">
        <v>736</v>
      </c>
      <c r="N655" s="17" t="s">
        <v>736</v>
      </c>
      <c r="O655" t="s">
        <v>748</v>
      </c>
      <c r="P655">
        <v>2</v>
      </c>
    </row>
    <row r="656" spans="1:16" x14ac:dyDescent="0.25">
      <c r="A656" s="10">
        <v>985760</v>
      </c>
      <c r="B656" s="22" t="str">
        <f>IFERROR(VLOOKUP(A656,VLOOKUPS!$A$2:B$12589,2,FALSE),"")</f>
        <v>Asparagus 1lb-standard</v>
      </c>
      <c r="E656">
        <v>1.39</v>
      </c>
      <c r="F656">
        <v>2.99</v>
      </c>
      <c r="G656" s="13">
        <v>44365</v>
      </c>
      <c r="H656" s="13"/>
      <c r="I656" s="22" t="str">
        <f>VLOOKUP(J656, Dropdowns!N:O, 2, FALSE)</f>
        <v>Standard</v>
      </c>
      <c r="J656" t="s">
        <v>760</v>
      </c>
      <c r="L656" s="17" t="s">
        <v>733</v>
      </c>
      <c r="M656" s="17" t="s">
        <v>11</v>
      </c>
      <c r="N656" s="17" t="s">
        <v>740</v>
      </c>
    </row>
    <row r="657" spans="1:14" x14ac:dyDescent="0.25">
      <c r="A657" s="10">
        <v>985760</v>
      </c>
      <c r="B657" s="22" t="str">
        <f>IFERROR(VLOOKUP(A657,VLOOKUPS!$A$2:B$12589,2,FALSE),"")</f>
        <v>Asparagus 1lb-standard</v>
      </c>
      <c r="E657">
        <v>2.99</v>
      </c>
      <c r="F657">
        <v>1.79</v>
      </c>
      <c r="G657" s="13">
        <v>44365</v>
      </c>
      <c r="H657" s="13">
        <v>44366</v>
      </c>
      <c r="I657" s="22" t="str">
        <f>VLOOKUP(J657, Dropdowns!N:O, 2, FALSE)</f>
        <v>Lower Price</v>
      </c>
      <c r="J657" t="s">
        <v>759</v>
      </c>
      <c r="L657" s="17" t="s">
        <v>732</v>
      </c>
      <c r="M657" s="17" t="s">
        <v>10</v>
      </c>
      <c r="N657" s="17">
        <v>2</v>
      </c>
    </row>
    <row r="658" spans="1:14" x14ac:dyDescent="0.25">
      <c r="A658" s="10">
        <v>985760</v>
      </c>
      <c r="B658" s="22" t="str">
        <f>IFERROR(VLOOKUP(A658,VLOOKUPS!$A$2:B$12589,2,FALSE),"")</f>
        <v>Asparagus 1lb-standard</v>
      </c>
      <c r="E658">
        <v>1.79</v>
      </c>
      <c r="F658">
        <v>2.99</v>
      </c>
      <c r="G658" s="13">
        <v>44367</v>
      </c>
      <c r="H658" s="13"/>
      <c r="I658" s="22" t="str">
        <f>VLOOKUP(J658, Dropdowns!N:O, 2, FALSE)</f>
        <v>Standard</v>
      </c>
      <c r="J658" t="s">
        <v>760</v>
      </c>
      <c r="L658" s="17" t="s">
        <v>732</v>
      </c>
      <c r="M658" s="17" t="s">
        <v>10</v>
      </c>
      <c r="N658" s="17">
        <v>2</v>
      </c>
    </row>
    <row r="659" spans="1:14" x14ac:dyDescent="0.25">
      <c r="A659" s="10">
        <v>987560</v>
      </c>
      <c r="B659" s="22" t="str">
        <f>IFERROR(VLOOKUP(A659,VLOOKUPS!$A$2:B$12589,2,FALSE),"")</f>
        <v>Celery 1ct-standard</v>
      </c>
      <c r="E659">
        <v>1.19</v>
      </c>
      <c r="F659">
        <v>1.29</v>
      </c>
      <c r="G659" s="13">
        <v>44365</v>
      </c>
      <c r="H659" s="13"/>
      <c r="I659" s="22" t="str">
        <f>VLOOKUP(J659, Dropdowns!N:O, 2, FALSE)</f>
        <v>Standard</v>
      </c>
      <c r="J659" t="s">
        <v>761</v>
      </c>
      <c r="L659" s="17" t="s">
        <v>732</v>
      </c>
      <c r="M659" s="17" t="s">
        <v>736</v>
      </c>
      <c r="N659" s="17" t="s">
        <v>736</v>
      </c>
    </row>
    <row r="660" spans="1:14" x14ac:dyDescent="0.25">
      <c r="A660" s="10">
        <v>988620</v>
      </c>
      <c r="B660" s="22" t="str">
        <f>IFERROR(VLOOKUP(A660,VLOOKUPS!$A$2:B$12589,2,FALSE),"")</f>
        <v>Brussels Sprouts 1lb-standard</v>
      </c>
      <c r="E660">
        <v>2.89</v>
      </c>
      <c r="F660">
        <v>1.89</v>
      </c>
      <c r="G660" s="13">
        <v>44365</v>
      </c>
      <c r="H660" s="13">
        <v>44366</v>
      </c>
      <c r="I660" s="22" t="str">
        <f>VLOOKUP(J660, Dropdowns!N:O, 2, FALSE)</f>
        <v>Lower Price</v>
      </c>
      <c r="J660" t="s">
        <v>759</v>
      </c>
      <c r="L660" s="17" t="s">
        <v>732</v>
      </c>
      <c r="M660" s="17" t="s">
        <v>737</v>
      </c>
      <c r="N660" s="17" t="s">
        <v>736</v>
      </c>
    </row>
    <row r="661" spans="1:14" x14ac:dyDescent="0.25">
      <c r="A661" s="10">
        <v>988620</v>
      </c>
      <c r="B661" s="22" t="str">
        <f>IFERROR(VLOOKUP(A661,VLOOKUPS!$A$2:B$12589,2,FALSE),"")</f>
        <v>Brussels Sprouts 1lb-standard</v>
      </c>
      <c r="E661">
        <v>1.89</v>
      </c>
      <c r="F661">
        <v>2.89</v>
      </c>
      <c r="G661" s="13">
        <v>44367</v>
      </c>
      <c r="H661" s="13"/>
      <c r="I661" s="22" t="str">
        <f>VLOOKUP(J661, Dropdowns!N:O, 2, FALSE)</f>
        <v>Standard</v>
      </c>
      <c r="J661" t="s">
        <v>760</v>
      </c>
      <c r="L661" s="17" t="s">
        <v>732</v>
      </c>
      <c r="M661" s="17" t="s">
        <v>737</v>
      </c>
      <c r="N661" s="17" t="s">
        <v>736</v>
      </c>
    </row>
    <row r="662" spans="1:14" x14ac:dyDescent="0.25">
      <c r="A662" s="10">
        <v>995102</v>
      </c>
      <c r="B662" s="22" t="str">
        <f>IFERROR(VLOOKUP(A662,VLOOKUPS!$A$2:B$12589,2,FALSE),"")</f>
        <v>Cantaloupe Chunks 16oz-standard</v>
      </c>
      <c r="E662">
        <v>1.8</v>
      </c>
      <c r="F662">
        <v>3.3</v>
      </c>
      <c r="G662" s="13">
        <v>44365</v>
      </c>
      <c r="H662" s="13"/>
      <c r="I662" s="22" t="str">
        <f>VLOOKUP(J662, Dropdowns!N:O, 2, FALSE)</f>
        <v>Standard</v>
      </c>
      <c r="J662" t="s">
        <v>760</v>
      </c>
      <c r="L662" s="17" t="s">
        <v>732</v>
      </c>
      <c r="M662" s="17" t="s">
        <v>9</v>
      </c>
      <c r="N662" s="17" t="s">
        <v>736</v>
      </c>
    </row>
    <row r="663" spans="1:14" x14ac:dyDescent="0.25">
      <c r="A663" s="10">
        <v>995119</v>
      </c>
      <c r="B663" s="22" t="str">
        <f>IFERROR(VLOOKUP(A663,VLOOKUPS!$A$2:B$12589,2,FALSE),"")</f>
        <v>RTE Green Goddess Salad 5.5oz-standard</v>
      </c>
      <c r="E663">
        <v>2.89</v>
      </c>
      <c r="F663">
        <v>1.49</v>
      </c>
      <c r="G663" s="13">
        <v>44365</v>
      </c>
      <c r="H663" s="13">
        <v>44367</v>
      </c>
      <c r="I663" s="22" t="str">
        <f>VLOOKUP(J663, Dropdowns!N:O, 2, FALSE)</f>
        <v>Lower Price</v>
      </c>
      <c r="J663" t="s">
        <v>759</v>
      </c>
      <c r="L663" s="17" t="s">
        <v>732</v>
      </c>
      <c r="M663" s="17" t="s">
        <v>738</v>
      </c>
      <c r="N663" s="17">
        <v>2</v>
      </c>
    </row>
    <row r="664" spans="1:14" x14ac:dyDescent="0.25">
      <c r="A664" s="10">
        <v>995119</v>
      </c>
      <c r="B664" s="22" t="str">
        <f>IFERROR(VLOOKUP(A664,VLOOKUPS!$A$2:B$12589,2,FALSE),"")</f>
        <v>RTE Green Goddess Salad 5.5oz-standard</v>
      </c>
      <c r="E664">
        <v>1.49</v>
      </c>
      <c r="F664">
        <v>2.89</v>
      </c>
      <c r="G664" s="13">
        <v>44368</v>
      </c>
      <c r="H664" s="13"/>
      <c r="I664" s="22" t="str">
        <f>VLOOKUP(J664, Dropdowns!N:O, 2, FALSE)</f>
        <v>Standard</v>
      </c>
      <c r="J664" t="s">
        <v>760</v>
      </c>
      <c r="L664" s="17" t="s">
        <v>732</v>
      </c>
      <c r="M664" s="17" t="s">
        <v>738</v>
      </c>
      <c r="N664" s="17">
        <v>2</v>
      </c>
    </row>
    <row r="665" spans="1:14" x14ac:dyDescent="0.25">
      <c r="A665" s="10">
        <v>982230</v>
      </c>
      <c r="B665" s="22" t="str">
        <f>IFERROR(VLOOKUP(A665,VLOOKUPS!$A$2:B$12589,2,FALSE),"")</f>
        <v>Peaches 2lb-standard</v>
      </c>
      <c r="E665">
        <v>0.99</v>
      </c>
      <c r="F665">
        <v>2.99</v>
      </c>
      <c r="G665" s="13">
        <v>44365</v>
      </c>
      <c r="H665" s="13"/>
      <c r="I665" s="22" t="str">
        <f>VLOOKUP(J665, Dropdowns!N:O, 2, FALSE)</f>
        <v>Standard</v>
      </c>
      <c r="J665" t="s">
        <v>760</v>
      </c>
      <c r="L665" s="17" t="s">
        <v>732</v>
      </c>
      <c r="M665" s="17" t="s">
        <v>10</v>
      </c>
      <c r="N665" s="17">
        <v>2</v>
      </c>
    </row>
    <row r="666" spans="1:14" x14ac:dyDescent="0.25">
      <c r="A666" s="10">
        <v>982230</v>
      </c>
      <c r="B666" s="22" t="str">
        <f>IFERROR(VLOOKUP(A666,VLOOKUPS!$A$2:B$12589,2,FALSE),"")</f>
        <v>Peaches 2lb-standard</v>
      </c>
      <c r="G666" s="13">
        <v>44365</v>
      </c>
      <c r="H666" s="13">
        <v>44365</v>
      </c>
      <c r="I666" s="22" t="str">
        <f>VLOOKUP(J666, Dropdowns!N:O, 2, FALSE)</f>
        <v>Lower Price</v>
      </c>
      <c r="J666" t="s">
        <v>762</v>
      </c>
      <c r="L666" s="17" t="s">
        <v>732</v>
      </c>
      <c r="M666" s="17" t="s">
        <v>737</v>
      </c>
      <c r="N666" s="17" t="s">
        <v>736</v>
      </c>
    </row>
    <row r="667" spans="1:14" x14ac:dyDescent="0.25">
      <c r="A667" s="10">
        <v>995070</v>
      </c>
      <c r="B667" s="22" t="str">
        <f>IFERROR(VLOOKUP(A667,VLOOKUPS!$A$2:B$12589,2,FALSE),"")</f>
        <v>Organic Baby Spring Mix 5oz-standard</v>
      </c>
      <c r="E667">
        <v>2.4900000000000002</v>
      </c>
      <c r="F667">
        <v>2.56</v>
      </c>
      <c r="G667" s="13">
        <v>44365</v>
      </c>
      <c r="H667" s="13"/>
      <c r="I667" s="22" t="str">
        <f>VLOOKUP(J667, Dropdowns!N:O, 2, FALSE)</f>
        <v>Standard</v>
      </c>
      <c r="J667" t="s">
        <v>761</v>
      </c>
      <c r="L667" s="17" t="s">
        <v>732</v>
      </c>
      <c r="M667" s="17" t="s">
        <v>736</v>
      </c>
      <c r="N667" s="17" t="s">
        <v>736</v>
      </c>
    </row>
    <row r="668" spans="1:14" x14ac:dyDescent="0.25">
      <c r="A668" s="10">
        <v>988571</v>
      </c>
      <c r="B668" s="22" t="str">
        <f>IFERROR(VLOOKUP(A668,VLOOKUPS!$A$2:B$12589,2,FALSE),"")</f>
        <v>Cauliflower* 1ct-LOOSE</v>
      </c>
      <c r="G668" s="13">
        <v>44366</v>
      </c>
      <c r="H668" s="13">
        <v>44367</v>
      </c>
      <c r="I668" s="22" t="str">
        <f>VLOOKUP(J668, Dropdowns!N:O, 2, FALSE)</f>
        <v>Lower Price</v>
      </c>
      <c r="J668" t="s">
        <v>753</v>
      </c>
      <c r="L668" s="17" t="s">
        <v>732</v>
      </c>
      <c r="M668" s="17" t="s">
        <v>736</v>
      </c>
      <c r="N668" s="17" t="s">
        <v>736</v>
      </c>
    </row>
    <row r="669" spans="1:14" x14ac:dyDescent="0.25">
      <c r="A669" s="10">
        <v>988571</v>
      </c>
      <c r="B669" s="22" t="str">
        <f>IFERROR(VLOOKUP(A669,VLOOKUPS!$A$2:B$12589,2,FALSE),"")</f>
        <v>Cauliflower* 1ct-LOOSE</v>
      </c>
      <c r="E669">
        <v>1.59</v>
      </c>
      <c r="F669">
        <v>2.77</v>
      </c>
      <c r="G669" s="13">
        <v>44368</v>
      </c>
      <c r="H669" s="13"/>
      <c r="I669" s="22" t="str">
        <f>VLOOKUP(J669, Dropdowns!N:O, 2, FALSE)</f>
        <v>Standard</v>
      </c>
      <c r="J669" t="s">
        <v>760</v>
      </c>
      <c r="L669" s="17" t="s">
        <v>732</v>
      </c>
      <c r="M669" s="17" t="s">
        <v>736</v>
      </c>
      <c r="N669" s="17" t="s">
        <v>736</v>
      </c>
    </row>
    <row r="670" spans="1:14" x14ac:dyDescent="0.25">
      <c r="A670" s="10">
        <v>983106</v>
      </c>
      <c r="B670" s="22" t="str">
        <f>IFERROR(VLOOKUP(A670,VLOOKUPS!$A$2:B$12589,2,FALSE),"")</f>
        <v>Melons Golden Hami 1ct-loose</v>
      </c>
      <c r="D670">
        <v>6</v>
      </c>
      <c r="F670">
        <v>4.49</v>
      </c>
      <c r="G670" s="13">
        <v>44366</v>
      </c>
      <c r="H670" s="13"/>
      <c r="I670" s="22" t="s">
        <v>784</v>
      </c>
      <c r="J670" t="s">
        <v>780</v>
      </c>
      <c r="L670" s="17" t="s">
        <v>732</v>
      </c>
      <c r="M670" s="17" t="s">
        <v>736</v>
      </c>
      <c r="N670" s="17" t="s">
        <v>736</v>
      </c>
    </row>
    <row r="671" spans="1:14" x14ac:dyDescent="0.25">
      <c r="A671" s="10">
        <v>984740</v>
      </c>
      <c r="B671" s="22" t="str">
        <f>IFERROR(VLOOKUP(A671,VLOOKUPS!$A$2:B$12589,2,FALSE),"")</f>
        <v>Organic Blackberries 6oz-standard</v>
      </c>
      <c r="E671">
        <v>3.75</v>
      </c>
      <c r="F671">
        <v>2.85</v>
      </c>
      <c r="G671" s="13">
        <v>44366</v>
      </c>
      <c r="H671" s="13">
        <v>44367</v>
      </c>
      <c r="I671" s="22" t="str">
        <f>VLOOKUP(J671, Dropdowns!N:O, 2, FALSE)</f>
        <v>Lower Price</v>
      </c>
      <c r="J671" t="s">
        <v>759</v>
      </c>
      <c r="L671" s="17" t="s">
        <v>732</v>
      </c>
      <c r="M671" s="17" t="s">
        <v>9</v>
      </c>
      <c r="N671" s="17" t="s">
        <v>736</v>
      </c>
    </row>
    <row r="672" spans="1:14" x14ac:dyDescent="0.25">
      <c r="A672" s="10">
        <v>984740</v>
      </c>
      <c r="B672" s="22" t="str">
        <f>IFERROR(VLOOKUP(A672,VLOOKUPS!$A$2:B$12589,2,FALSE),"")</f>
        <v>Organic Blackberries 6oz-standard</v>
      </c>
      <c r="E672">
        <v>2.85</v>
      </c>
      <c r="F672">
        <v>3.75</v>
      </c>
      <c r="G672" s="13">
        <v>44368</v>
      </c>
      <c r="H672" s="13"/>
      <c r="I672" s="22" t="str">
        <f>VLOOKUP(J672, Dropdowns!N:O, 2, FALSE)</f>
        <v>Standard</v>
      </c>
      <c r="J672" t="s">
        <v>760</v>
      </c>
      <c r="L672" s="17" t="s">
        <v>732</v>
      </c>
      <c r="M672" s="17" t="s">
        <v>9</v>
      </c>
      <c r="N672" s="17" t="s">
        <v>736</v>
      </c>
    </row>
    <row r="673" spans="1:14" x14ac:dyDescent="0.25">
      <c r="A673" s="10">
        <v>995032</v>
      </c>
      <c r="B673" s="22" t="str">
        <f>IFERROR(VLOOKUP(A673,VLOOKUPS!$A$2:B$12589,2,FALSE),"")</f>
        <v>Chopped Sunflower Crunch Kit 12.2oz-standard</v>
      </c>
      <c r="E673">
        <v>2.99</v>
      </c>
      <c r="F673">
        <v>2.59</v>
      </c>
      <c r="G673" s="13">
        <v>44366</v>
      </c>
      <c r="H673" s="13">
        <v>44367</v>
      </c>
      <c r="I673" s="22" t="str">
        <f>VLOOKUP(J673, Dropdowns!N:O, 2, FALSE)</f>
        <v>Lower Price</v>
      </c>
      <c r="J673" t="s">
        <v>759</v>
      </c>
      <c r="L673" s="17" t="s">
        <v>732</v>
      </c>
      <c r="M673" s="17" t="s">
        <v>10</v>
      </c>
      <c r="N673" s="17">
        <v>2</v>
      </c>
    </row>
    <row r="674" spans="1:14" x14ac:dyDescent="0.25">
      <c r="A674" s="10">
        <v>995032</v>
      </c>
      <c r="B674" s="22" t="str">
        <f>IFERROR(VLOOKUP(A674,VLOOKUPS!$A$2:B$12589,2,FALSE),"")</f>
        <v>Chopped Sunflower Crunch Kit 12.2oz-standard</v>
      </c>
      <c r="E674">
        <v>2.59</v>
      </c>
      <c r="F674">
        <v>2.99</v>
      </c>
      <c r="G674" s="13">
        <v>44368</v>
      </c>
      <c r="H674" s="13"/>
      <c r="I674" s="22" t="str">
        <f>VLOOKUP(J674, Dropdowns!N:O, 2, FALSE)</f>
        <v>Standard</v>
      </c>
      <c r="J674" t="s">
        <v>760</v>
      </c>
      <c r="L674" s="17" t="s">
        <v>732</v>
      </c>
      <c r="M674" s="17" t="s">
        <v>10</v>
      </c>
      <c r="N674" s="17">
        <v>2</v>
      </c>
    </row>
    <row r="675" spans="1:14" x14ac:dyDescent="0.25">
      <c r="A675" s="10">
        <v>995071</v>
      </c>
      <c r="B675" s="22" t="str">
        <f>IFERROR(VLOOKUP(A675,VLOOKUPS!$A$2:B$12589,2,FALSE),"")</f>
        <v>Broccoli Florets 12oz-standard</v>
      </c>
      <c r="G675" s="13">
        <v>44366</v>
      </c>
      <c r="H675" s="13">
        <v>44369</v>
      </c>
      <c r="I675" s="22" t="str">
        <f>VLOOKUP(J675, Dropdowns!N:O, 2, FALSE)</f>
        <v>Lower Price</v>
      </c>
      <c r="J675" t="s">
        <v>779</v>
      </c>
      <c r="L675" s="17" t="s">
        <v>732</v>
      </c>
      <c r="M675" s="17" t="s">
        <v>9</v>
      </c>
      <c r="N675" s="17" t="s">
        <v>736</v>
      </c>
    </row>
    <row r="676" spans="1:14" x14ac:dyDescent="0.25">
      <c r="A676" s="10">
        <v>995001</v>
      </c>
      <c r="B676" s="22" t="str">
        <f>IFERROR(VLOOKUP(A676,VLOOKUPS!$A$2:B$12589,2,FALSE),"")</f>
        <v>Spinach Baby 6oz-standard</v>
      </c>
      <c r="G676" s="13">
        <v>44366</v>
      </c>
      <c r="H676" s="13">
        <v>44369</v>
      </c>
      <c r="I676" s="22" t="str">
        <f>VLOOKUP(J676, Dropdowns!N:O, 2, FALSE)</f>
        <v>Lower Price</v>
      </c>
      <c r="J676" t="s">
        <v>779</v>
      </c>
      <c r="L676" s="17" t="s">
        <v>732</v>
      </c>
      <c r="M676" s="17" t="s">
        <v>736</v>
      </c>
      <c r="N676" s="17" t="s">
        <v>736</v>
      </c>
    </row>
    <row r="677" spans="1:14" x14ac:dyDescent="0.25">
      <c r="A677" s="10">
        <v>984701</v>
      </c>
      <c r="B677" s="22" t="str">
        <f>IFERROR(VLOOKUP(A677,VLOOKUPS!$A$2:B$12589,2,FALSE),"")</f>
        <v>Blackberries Super Sweet 6oz-standard</v>
      </c>
      <c r="E677">
        <v>3.79</v>
      </c>
      <c r="F677">
        <v>2.99</v>
      </c>
      <c r="G677" s="13">
        <v>44368</v>
      </c>
      <c r="H677" s="13">
        <v>44369</v>
      </c>
      <c r="I677" s="22" t="str">
        <f>VLOOKUP(J677, Dropdowns!N:O, 2, FALSE)</f>
        <v>Lower Price</v>
      </c>
      <c r="J677" t="s">
        <v>759</v>
      </c>
      <c r="L677" s="17" t="s">
        <v>732</v>
      </c>
      <c r="M677" s="17" t="s">
        <v>735</v>
      </c>
      <c r="N677" s="17" t="s">
        <v>736</v>
      </c>
    </row>
    <row r="678" spans="1:14" x14ac:dyDescent="0.25">
      <c r="A678" s="10">
        <v>984701</v>
      </c>
      <c r="B678" s="22" t="str">
        <f>IFERROR(VLOOKUP(A678,VLOOKUPS!$A$2:B$12589,2,FALSE),"")</f>
        <v>Blackberries Super Sweet 6oz-standard</v>
      </c>
      <c r="E678">
        <v>2.99</v>
      </c>
      <c r="F678">
        <v>3.79</v>
      </c>
      <c r="G678" s="13">
        <v>44370</v>
      </c>
      <c r="H678" s="13"/>
      <c r="I678" s="22" t="str">
        <f>VLOOKUP(J678, Dropdowns!N:O, 2, FALSE)</f>
        <v>Standard</v>
      </c>
      <c r="J678" t="s">
        <v>760</v>
      </c>
      <c r="L678" s="17" t="s">
        <v>732</v>
      </c>
      <c r="M678" s="17" t="s">
        <v>735</v>
      </c>
      <c r="N678" s="17" t="s">
        <v>736</v>
      </c>
    </row>
    <row r="679" spans="1:14" x14ac:dyDescent="0.25">
      <c r="A679" s="10">
        <v>983251</v>
      </c>
      <c r="B679" s="22" t="str">
        <f>IFERROR(VLOOKUP(A679,VLOOKUPS!$A$2:B$12589,2,FALSE),"")</f>
        <v>Watermelons Large Seedless 1ct-LOOSE</v>
      </c>
      <c r="E679">
        <v>4.59</v>
      </c>
      <c r="F679">
        <v>3.59</v>
      </c>
      <c r="G679" s="13">
        <v>44369</v>
      </c>
      <c r="H679" s="13">
        <v>44370</v>
      </c>
      <c r="I679" s="22" t="str">
        <f>VLOOKUP(J679, Dropdowns!N:O, 2, FALSE)</f>
        <v>Lower Price</v>
      </c>
      <c r="J679" t="s">
        <v>759</v>
      </c>
      <c r="L679" s="17" t="s">
        <v>732</v>
      </c>
      <c r="M679" s="17" t="s">
        <v>738</v>
      </c>
      <c r="N679" s="17">
        <v>2</v>
      </c>
    </row>
    <row r="680" spans="1:14" x14ac:dyDescent="0.25">
      <c r="A680" s="10">
        <v>983251</v>
      </c>
      <c r="B680" s="22" t="str">
        <f>IFERROR(VLOOKUP(A680,VLOOKUPS!$A$2:B$12589,2,FALSE),"")</f>
        <v>Watermelons Large Seedless 1ct-LOOSE</v>
      </c>
      <c r="E680">
        <v>3.59</v>
      </c>
      <c r="F680">
        <v>4.59</v>
      </c>
      <c r="G680" s="13">
        <v>44371</v>
      </c>
      <c r="H680" s="13"/>
      <c r="I680" s="22" t="str">
        <f>VLOOKUP(J680, Dropdowns!N:O, 2, FALSE)</f>
        <v>Standard</v>
      </c>
      <c r="J680" t="s">
        <v>760</v>
      </c>
      <c r="L680" s="17" t="s">
        <v>732</v>
      </c>
      <c r="M680" s="17" t="s">
        <v>738</v>
      </c>
      <c r="N680" s="17">
        <v>2</v>
      </c>
    </row>
    <row r="681" spans="1:14" x14ac:dyDescent="0.25">
      <c r="A681" s="10">
        <v>984620</v>
      </c>
      <c r="B681" s="22" t="str">
        <f>IFERROR(VLOOKUP(A681,VLOOKUPS!$A$2:B$12589,2,FALSE),"")</f>
        <v>Raspberries 6oz-standard</v>
      </c>
      <c r="E681">
        <v>2.74</v>
      </c>
      <c r="F681">
        <v>1.74</v>
      </c>
      <c r="G681" s="13">
        <v>44369</v>
      </c>
      <c r="H681" s="13">
        <v>44370</v>
      </c>
      <c r="I681" s="22" t="str">
        <f>VLOOKUP(J681, Dropdowns!N:O, 2, FALSE)</f>
        <v>Lower Price</v>
      </c>
      <c r="J681" t="s">
        <v>759</v>
      </c>
      <c r="L681" s="17" t="s">
        <v>732</v>
      </c>
      <c r="M681" s="17" t="s">
        <v>10</v>
      </c>
      <c r="N681" s="17">
        <v>2</v>
      </c>
    </row>
    <row r="682" spans="1:14" x14ac:dyDescent="0.25">
      <c r="A682" s="10">
        <v>984620</v>
      </c>
      <c r="B682" s="22" t="str">
        <f>IFERROR(VLOOKUP(A682,VLOOKUPS!$A$2:B$12589,2,FALSE),"")</f>
        <v>Raspberries 6oz-standard</v>
      </c>
      <c r="E682">
        <v>1.74</v>
      </c>
      <c r="F682">
        <v>2.74</v>
      </c>
      <c r="G682" s="13">
        <v>44371</v>
      </c>
      <c r="H682" s="13"/>
      <c r="I682" s="22" t="str">
        <f>VLOOKUP(J682, Dropdowns!N:O, 2, FALSE)</f>
        <v>Standard</v>
      </c>
      <c r="J682" t="s">
        <v>760</v>
      </c>
      <c r="L682" s="17" t="s">
        <v>732</v>
      </c>
      <c r="M682" s="17" t="s">
        <v>10</v>
      </c>
      <c r="N682" s="17">
        <v>2</v>
      </c>
    </row>
    <row r="683" spans="1:14" x14ac:dyDescent="0.25">
      <c r="A683" s="10">
        <v>984702</v>
      </c>
      <c r="B683" s="22" t="str">
        <f>IFERROR(VLOOKUP(A683,VLOOKUPS!$A$2:B$12589,2,FALSE),"")</f>
        <v>Blackberries 12oz-standard</v>
      </c>
      <c r="E683">
        <v>4.4800000000000004</v>
      </c>
      <c r="F683">
        <v>3.48</v>
      </c>
      <c r="G683" s="13">
        <v>44369</v>
      </c>
      <c r="H683" s="13">
        <v>44370</v>
      </c>
      <c r="I683" s="22" t="str">
        <f>VLOOKUP(J683, Dropdowns!N:O, 2, FALSE)</f>
        <v>Lower Price</v>
      </c>
      <c r="J683" t="s">
        <v>759</v>
      </c>
      <c r="L683" s="17" t="s">
        <v>732</v>
      </c>
      <c r="M683" s="17" t="s">
        <v>738</v>
      </c>
      <c r="N683" s="17">
        <v>2</v>
      </c>
    </row>
    <row r="684" spans="1:14" x14ac:dyDescent="0.25">
      <c r="A684" s="10">
        <v>984702</v>
      </c>
      <c r="B684" s="22" t="str">
        <f>IFERROR(VLOOKUP(A684,VLOOKUPS!$A$2:B$12589,2,FALSE),"")</f>
        <v>Blackberries 12oz-standard</v>
      </c>
      <c r="E684">
        <v>3.48</v>
      </c>
      <c r="F684">
        <v>4.4800000000000004</v>
      </c>
      <c r="G684" s="13">
        <v>44371</v>
      </c>
      <c r="H684" s="13"/>
      <c r="I684" s="22" t="str">
        <f>VLOOKUP(J684, Dropdowns!N:O, 2, FALSE)</f>
        <v>Standard</v>
      </c>
      <c r="J684" t="s">
        <v>760</v>
      </c>
      <c r="L684" s="17" t="s">
        <v>732</v>
      </c>
      <c r="M684" s="17" t="s">
        <v>738</v>
      </c>
      <c r="N684" s="17">
        <v>2</v>
      </c>
    </row>
    <row r="685" spans="1:14" x14ac:dyDescent="0.25">
      <c r="A685" s="10">
        <v>988571</v>
      </c>
      <c r="B685" s="22" t="str">
        <f>IFERROR(VLOOKUP(A685,VLOOKUPS!$A$2:B$12589,2,FALSE),"")</f>
        <v>Cauliflower* 1ct-LOOSE</v>
      </c>
      <c r="E685">
        <v>2.77</v>
      </c>
      <c r="F685">
        <v>1.77</v>
      </c>
      <c r="G685" s="13">
        <v>44369</v>
      </c>
      <c r="H685" s="13">
        <v>44371</v>
      </c>
      <c r="I685" s="22" t="str">
        <f>VLOOKUP(J685, Dropdowns!N:O, 2, FALSE)</f>
        <v>Lower Price</v>
      </c>
      <c r="J685" t="s">
        <v>759</v>
      </c>
      <c r="L685" s="17" t="s">
        <v>732</v>
      </c>
      <c r="M685" s="17" t="s">
        <v>735</v>
      </c>
      <c r="N685" s="17" t="s">
        <v>736</v>
      </c>
    </row>
    <row r="686" spans="1:14" x14ac:dyDescent="0.25">
      <c r="A686" s="10">
        <v>988571</v>
      </c>
      <c r="B686" s="22" t="str">
        <f>IFERROR(VLOOKUP(A686,VLOOKUPS!$A$2:B$12589,2,FALSE),"")</f>
        <v>Cauliflower* 1ct-LOOSE</v>
      </c>
      <c r="E686">
        <v>1.77</v>
      </c>
      <c r="F686">
        <v>2.77</v>
      </c>
      <c r="G686" s="13">
        <v>44372</v>
      </c>
      <c r="H686" s="13"/>
      <c r="I686" s="22" t="str">
        <f>VLOOKUP(J686, Dropdowns!N:O, 2, FALSE)</f>
        <v>Standard</v>
      </c>
      <c r="J686" t="s">
        <v>760</v>
      </c>
      <c r="L686" s="17" t="s">
        <v>732</v>
      </c>
      <c r="M686" s="17" t="s">
        <v>735</v>
      </c>
      <c r="N686" s="17" t="s">
        <v>736</v>
      </c>
    </row>
    <row r="687" spans="1:14" x14ac:dyDescent="0.25">
      <c r="A687" s="10">
        <v>995002</v>
      </c>
      <c r="B687" s="22" t="str">
        <f>IFERROR(VLOOKUP(A687,VLOOKUPS!$A$2:B$12589,2,FALSE),"")</f>
        <v>Butter Blend 6oz-standard</v>
      </c>
      <c r="E687">
        <v>1.89</v>
      </c>
      <c r="F687">
        <v>0.99</v>
      </c>
      <c r="G687" s="13">
        <v>44369</v>
      </c>
      <c r="H687" s="13">
        <v>44370</v>
      </c>
      <c r="I687" s="22" t="str">
        <f>VLOOKUP(J687, Dropdowns!N:O, 2, FALSE)</f>
        <v>Lower Price</v>
      </c>
      <c r="J687" t="s">
        <v>759</v>
      </c>
      <c r="L687" s="17" t="s">
        <v>732</v>
      </c>
      <c r="M687" s="17" t="s">
        <v>10</v>
      </c>
      <c r="N687" s="17">
        <v>2</v>
      </c>
    </row>
    <row r="688" spans="1:14" x14ac:dyDescent="0.25">
      <c r="A688" s="10">
        <v>995002</v>
      </c>
      <c r="B688" s="22" t="str">
        <f>IFERROR(VLOOKUP(A688,VLOOKUPS!$A$2:B$12589,2,FALSE),"")</f>
        <v>Butter Blend 6oz-standard</v>
      </c>
      <c r="E688">
        <v>0.99</v>
      </c>
      <c r="F688">
        <v>1.89</v>
      </c>
      <c r="G688" s="13">
        <v>44371</v>
      </c>
      <c r="H688" s="13"/>
      <c r="I688" s="22" t="str">
        <f>VLOOKUP(J688, Dropdowns!N:O, 2, FALSE)</f>
        <v>Standard</v>
      </c>
      <c r="J688" t="s">
        <v>760</v>
      </c>
      <c r="L688" s="17" t="s">
        <v>732</v>
      </c>
      <c r="M688" s="17" t="s">
        <v>10</v>
      </c>
      <c r="N688" s="17">
        <v>2</v>
      </c>
    </row>
    <row r="689" spans="1:14" x14ac:dyDescent="0.25">
      <c r="A689" s="10">
        <v>995074</v>
      </c>
      <c r="B689" s="22" t="str">
        <f>IFERROR(VLOOKUP(A689,VLOOKUPS!$A$2:B$12589,2,FALSE),"")</f>
        <v>Southwest Chopped Salad Kit 12oz-standard</v>
      </c>
      <c r="E689">
        <v>2.99</v>
      </c>
      <c r="F689">
        <v>1.99</v>
      </c>
      <c r="G689" s="13">
        <v>44369</v>
      </c>
      <c r="H689" s="13">
        <v>44370</v>
      </c>
      <c r="I689" s="22" t="str">
        <f>VLOOKUP(J689, Dropdowns!N:O, 2, FALSE)</f>
        <v>Lower Price</v>
      </c>
      <c r="J689" t="s">
        <v>759</v>
      </c>
      <c r="L689" s="17" t="s">
        <v>732</v>
      </c>
      <c r="M689" s="17" t="s">
        <v>10</v>
      </c>
      <c r="N689" s="17">
        <v>2</v>
      </c>
    </row>
    <row r="690" spans="1:14" x14ac:dyDescent="0.25">
      <c r="A690" s="10">
        <v>995074</v>
      </c>
      <c r="B690" s="22" t="str">
        <f>IFERROR(VLOOKUP(A690,VLOOKUPS!$A$2:B$12589,2,FALSE),"")</f>
        <v>Southwest Chopped Salad Kit 12oz-standard</v>
      </c>
      <c r="E690">
        <v>1.99</v>
      </c>
      <c r="F690">
        <v>2.99</v>
      </c>
      <c r="G690" s="13">
        <v>44371</v>
      </c>
      <c r="H690" s="13"/>
      <c r="I690" s="22" t="str">
        <f>VLOOKUP(J690, Dropdowns!N:O, 2, FALSE)</f>
        <v>Standard</v>
      </c>
      <c r="J690" t="s">
        <v>760</v>
      </c>
      <c r="L690" s="17" t="s">
        <v>732</v>
      </c>
      <c r="M690" s="17" t="s">
        <v>10</v>
      </c>
      <c r="N690" s="17">
        <v>2</v>
      </c>
    </row>
    <row r="691" spans="1:14" x14ac:dyDescent="0.25">
      <c r="A691" s="10">
        <v>995104</v>
      </c>
      <c r="B691" s="22" t="str">
        <f>IFERROR(VLOOKUP(A691,VLOOKUPS!$A$2:B$12589,2,FALSE),"")</f>
        <v>Ginger Garlic Stir Fry Kit 14oz-standard</v>
      </c>
      <c r="E691">
        <v>2.99</v>
      </c>
      <c r="F691">
        <v>2.29</v>
      </c>
      <c r="G691" s="13">
        <v>44369</v>
      </c>
      <c r="H691" s="13">
        <v>44370</v>
      </c>
      <c r="I691" s="22" t="str">
        <f>VLOOKUP(J691, Dropdowns!N:O, 2, FALSE)</f>
        <v>Lower Price</v>
      </c>
      <c r="J691" t="s">
        <v>759</v>
      </c>
      <c r="L691" s="17" t="s">
        <v>733</v>
      </c>
      <c r="M691" s="17" t="s">
        <v>11</v>
      </c>
      <c r="N691" s="17" t="s">
        <v>740</v>
      </c>
    </row>
    <row r="692" spans="1:14" x14ac:dyDescent="0.25">
      <c r="A692" s="10">
        <v>995104</v>
      </c>
      <c r="B692" s="22" t="str">
        <f>IFERROR(VLOOKUP(A692,VLOOKUPS!$A$2:B$12589,2,FALSE),"")</f>
        <v>Ginger Garlic Stir Fry Kit 14oz-standard</v>
      </c>
      <c r="E692">
        <v>2.29</v>
      </c>
      <c r="F692">
        <v>2.99</v>
      </c>
      <c r="G692" s="13">
        <v>44371</v>
      </c>
      <c r="H692" s="13"/>
      <c r="I692" s="22" t="str">
        <f>VLOOKUP(J692, Dropdowns!N:O, 2, FALSE)</f>
        <v>Standard</v>
      </c>
      <c r="J692" t="s">
        <v>760</v>
      </c>
      <c r="L692" s="17" t="s">
        <v>733</v>
      </c>
      <c r="M692" s="17" t="s">
        <v>11</v>
      </c>
      <c r="N692" s="17" t="s">
        <v>740</v>
      </c>
    </row>
    <row r="693" spans="1:14" x14ac:dyDescent="0.25">
      <c r="A693" s="10">
        <v>995132</v>
      </c>
      <c r="B693" s="22" t="str">
        <f>IFERROR(VLOOKUP(A693,VLOOKUPS!$A$2:B$12589,2,FALSE),"")</f>
        <v>Fruit Mixed 10oz-standard</v>
      </c>
      <c r="E693">
        <v>2.59</v>
      </c>
      <c r="F693">
        <v>1.49</v>
      </c>
      <c r="G693" s="13">
        <v>44369</v>
      </c>
      <c r="H693" s="13">
        <v>44370</v>
      </c>
      <c r="I693" s="22" t="str">
        <f>VLOOKUP(J693, Dropdowns!N:O, 2, FALSE)</f>
        <v>Lower Price</v>
      </c>
      <c r="J693" t="s">
        <v>759</v>
      </c>
      <c r="L693" s="17" t="s">
        <v>733</v>
      </c>
      <c r="M693" s="17" t="s">
        <v>11</v>
      </c>
      <c r="N693" s="17" t="s">
        <v>740</v>
      </c>
    </row>
    <row r="694" spans="1:14" x14ac:dyDescent="0.25">
      <c r="A694" s="10">
        <v>995132</v>
      </c>
      <c r="B694" s="22" t="str">
        <f>IFERROR(VLOOKUP(A694,VLOOKUPS!$A$2:B$12589,2,FALSE),"")</f>
        <v>Fruit Mixed 10oz-standard</v>
      </c>
      <c r="E694">
        <v>1.49</v>
      </c>
      <c r="F694">
        <v>2.59</v>
      </c>
      <c r="G694" s="13">
        <v>44371</v>
      </c>
      <c r="H694" s="13"/>
      <c r="I694" s="22" t="str">
        <f>VLOOKUP(J694, Dropdowns!N:O, 2, FALSE)</f>
        <v>Standard</v>
      </c>
      <c r="J694" t="s">
        <v>760</v>
      </c>
      <c r="L694" s="17" t="s">
        <v>733</v>
      </c>
      <c r="M694" s="17" t="s">
        <v>11</v>
      </c>
      <c r="N694" s="17" t="s">
        <v>740</v>
      </c>
    </row>
    <row r="695" spans="1:14" x14ac:dyDescent="0.25">
      <c r="A695" s="10">
        <v>995133</v>
      </c>
      <c r="B695" s="22" t="str">
        <f>IFERROR(VLOOKUP(A695,VLOOKUPS!$A$2:B$12589,2,FALSE),"")</f>
        <v>Organic Baby Spinach &amp; Arugula 5oz-standard</v>
      </c>
      <c r="E695">
        <v>2.4900000000000002</v>
      </c>
      <c r="F695">
        <v>1.49</v>
      </c>
      <c r="G695" s="13">
        <v>44369</v>
      </c>
      <c r="H695" s="13">
        <v>44370</v>
      </c>
      <c r="I695" s="22" t="str">
        <f>VLOOKUP(J695, Dropdowns!N:O, 2, FALSE)</f>
        <v>Lower Price</v>
      </c>
      <c r="J695" t="s">
        <v>759</v>
      </c>
      <c r="L695" s="17" t="s">
        <v>732</v>
      </c>
      <c r="M695" s="17" t="s">
        <v>10</v>
      </c>
      <c r="N695" s="17">
        <v>2</v>
      </c>
    </row>
    <row r="696" spans="1:14" x14ac:dyDescent="0.25">
      <c r="A696" s="10">
        <v>995133</v>
      </c>
      <c r="B696" s="22" t="str">
        <f>IFERROR(VLOOKUP(A696,VLOOKUPS!$A$2:B$12589,2,FALSE),"")</f>
        <v>Organic Baby Spinach &amp; Arugula 5oz-standard</v>
      </c>
      <c r="E696">
        <v>1.49</v>
      </c>
      <c r="F696">
        <v>2.4900000000000002</v>
      </c>
      <c r="G696" s="13">
        <v>44371</v>
      </c>
      <c r="H696" s="13"/>
      <c r="I696" s="22" t="str">
        <f>VLOOKUP(J696, Dropdowns!N:O, 2, FALSE)</f>
        <v>Standard</v>
      </c>
      <c r="J696" t="s">
        <v>760</v>
      </c>
      <c r="L696" s="17" t="s">
        <v>732</v>
      </c>
      <c r="M696" s="17" t="s">
        <v>10</v>
      </c>
      <c r="N696" s="17">
        <v>2</v>
      </c>
    </row>
    <row r="697" spans="1:14" x14ac:dyDescent="0.25">
      <c r="A697" s="10">
        <v>984542</v>
      </c>
      <c r="B697" s="22" t="str">
        <f>IFERROR(VLOOKUP(A697,VLOOKUPS!$A$2:B$12589,2,FALSE),"")</f>
        <v>Blueberries 18oz-standard</v>
      </c>
      <c r="E697">
        <v>4.1900000000000004</v>
      </c>
      <c r="F697">
        <v>4.6900000000000004</v>
      </c>
      <c r="G697" s="13">
        <v>44372</v>
      </c>
      <c r="H697" s="13"/>
      <c r="I697" s="22" t="str">
        <f>VLOOKUP(J697, Dropdowns!N:O, 2, FALSE)</f>
        <v>Standard</v>
      </c>
      <c r="J697" t="s">
        <v>761</v>
      </c>
      <c r="L697" s="17" t="s">
        <v>732</v>
      </c>
      <c r="M697" s="17" t="s">
        <v>736</v>
      </c>
      <c r="N697" s="17" t="s">
        <v>736</v>
      </c>
    </row>
    <row r="698" spans="1:14" x14ac:dyDescent="0.25">
      <c r="A698" s="10">
        <v>983151</v>
      </c>
      <c r="B698" s="22" t="str">
        <f>IFERROR(VLOOKUP(A698,VLOOKUPS!$A$2:B$12589,2,FALSE),"")</f>
        <v>Melons* Golden Honeydew 1ct-LOOSE</v>
      </c>
      <c r="E698">
        <v>3.58</v>
      </c>
      <c r="F698">
        <v>2.58</v>
      </c>
      <c r="G698" s="13">
        <v>44370</v>
      </c>
      <c r="H698" s="13">
        <v>44374</v>
      </c>
      <c r="I698" s="22" t="str">
        <f>VLOOKUP(J698, Dropdowns!N:O, 2, FALSE)</f>
        <v>Lower Price</v>
      </c>
      <c r="J698" t="s">
        <v>759</v>
      </c>
      <c r="L698" s="17" t="s">
        <v>732</v>
      </c>
      <c r="M698" s="17" t="s">
        <v>736</v>
      </c>
      <c r="N698" s="17" t="s">
        <v>736</v>
      </c>
    </row>
    <row r="699" spans="1:14" x14ac:dyDescent="0.25">
      <c r="A699" s="10">
        <v>983151</v>
      </c>
      <c r="B699" s="22" t="str">
        <f>IFERROR(VLOOKUP(A699,VLOOKUPS!$A$2:B$12589,2,FALSE),"")</f>
        <v>Melons* Golden Honeydew 1ct-LOOSE</v>
      </c>
      <c r="E699">
        <v>2.58</v>
      </c>
      <c r="F699">
        <v>3.58</v>
      </c>
      <c r="G699" s="13">
        <v>44375</v>
      </c>
      <c r="H699" s="13"/>
      <c r="I699" s="22" t="str">
        <f>VLOOKUP(J699, Dropdowns!N:O, 2, FALSE)</f>
        <v>Standard</v>
      </c>
      <c r="J699" t="s">
        <v>760</v>
      </c>
      <c r="L699" s="17" t="s">
        <v>732</v>
      </c>
      <c r="M699" s="17" t="s">
        <v>736</v>
      </c>
      <c r="N699" s="17" t="s">
        <v>736</v>
      </c>
    </row>
    <row r="700" spans="1:14" x14ac:dyDescent="0.25">
      <c r="A700" s="10">
        <v>984620</v>
      </c>
      <c r="B700" s="22" t="str">
        <f>IFERROR(VLOOKUP(A700,VLOOKUPS!$A$2:B$12589,2,FALSE),"")</f>
        <v>Raspberries 6oz-standard</v>
      </c>
      <c r="E700">
        <v>2.74</v>
      </c>
      <c r="F700">
        <v>1.74</v>
      </c>
      <c r="G700" s="13">
        <v>44370</v>
      </c>
      <c r="H700" s="13">
        <v>44371</v>
      </c>
      <c r="I700" s="22" t="str">
        <f>VLOOKUP(J700, Dropdowns!N:O, 2, FALSE)</f>
        <v>Lower Price</v>
      </c>
      <c r="J700" t="s">
        <v>759</v>
      </c>
      <c r="L700" s="17" t="s">
        <v>732</v>
      </c>
      <c r="M700" s="17" t="s">
        <v>9</v>
      </c>
      <c r="N700" s="17" t="s">
        <v>736</v>
      </c>
    </row>
    <row r="701" spans="1:14" x14ac:dyDescent="0.25">
      <c r="A701" s="10">
        <v>984620</v>
      </c>
      <c r="B701" s="22" t="str">
        <f>IFERROR(VLOOKUP(A701,VLOOKUPS!$A$2:B$12589,2,FALSE),"")</f>
        <v>Raspberries 6oz-standard</v>
      </c>
      <c r="E701">
        <v>1.74</v>
      </c>
      <c r="F701">
        <v>2.74</v>
      </c>
      <c r="G701" s="13">
        <v>44372</v>
      </c>
      <c r="H701" s="13"/>
      <c r="I701" s="22" t="str">
        <f>VLOOKUP(J701, Dropdowns!N:O, 2, FALSE)</f>
        <v>Standard</v>
      </c>
      <c r="J701" t="s">
        <v>760</v>
      </c>
      <c r="L701" s="17" t="s">
        <v>732</v>
      </c>
      <c r="M701" s="17" t="s">
        <v>9</v>
      </c>
      <c r="N701" s="17" t="s">
        <v>736</v>
      </c>
    </row>
    <row r="702" spans="1:14" x14ac:dyDescent="0.25">
      <c r="A702" s="10">
        <v>984660</v>
      </c>
      <c r="B702" s="22" t="str">
        <f>IFERROR(VLOOKUP(A702,VLOOKUPS!$A$2:B$12589,2,FALSE),"")</f>
        <v>Organic Raspberries 6oz-standard</v>
      </c>
      <c r="E702">
        <v>3.89</v>
      </c>
      <c r="F702">
        <v>2.79</v>
      </c>
      <c r="G702" s="13">
        <v>44370</v>
      </c>
      <c r="H702" s="13">
        <v>44371</v>
      </c>
      <c r="I702" s="22" t="str">
        <f>VLOOKUP(J702, Dropdowns!N:O, 2, FALSE)</f>
        <v>Lower Price</v>
      </c>
      <c r="J702" t="s">
        <v>759</v>
      </c>
      <c r="L702" s="17" t="s">
        <v>732</v>
      </c>
      <c r="M702" s="17" t="s">
        <v>9</v>
      </c>
      <c r="N702" s="17" t="s">
        <v>736</v>
      </c>
    </row>
    <row r="703" spans="1:14" x14ac:dyDescent="0.25">
      <c r="A703" s="10">
        <v>984660</v>
      </c>
      <c r="B703" s="22" t="str">
        <f>IFERROR(VLOOKUP(A703,VLOOKUPS!$A$2:B$12589,2,FALSE),"")</f>
        <v>Organic Raspberries 6oz-standard</v>
      </c>
      <c r="E703">
        <v>2.79</v>
      </c>
      <c r="F703">
        <v>3.89</v>
      </c>
      <c r="G703" s="13">
        <v>44372</v>
      </c>
      <c r="H703" s="13"/>
      <c r="I703" s="22" t="str">
        <f>VLOOKUP(J703, Dropdowns!N:O, 2, FALSE)</f>
        <v>Standard</v>
      </c>
      <c r="J703" t="s">
        <v>760</v>
      </c>
      <c r="L703" s="17" t="s">
        <v>732</v>
      </c>
      <c r="M703" s="17" t="s">
        <v>9</v>
      </c>
      <c r="N703" s="17" t="s">
        <v>736</v>
      </c>
    </row>
    <row r="704" spans="1:14" x14ac:dyDescent="0.25">
      <c r="A704" s="10">
        <v>985760</v>
      </c>
      <c r="B704" s="22" t="str">
        <f>IFERROR(VLOOKUP(A704,VLOOKUPS!$A$2:B$12589,2,FALSE),"")</f>
        <v>Asparagus 1lb-standard</v>
      </c>
      <c r="G704" s="13">
        <v>44370</v>
      </c>
      <c r="H704" s="13">
        <v>44376</v>
      </c>
      <c r="I704" s="22" t="str">
        <f>VLOOKUP(J704, Dropdowns!N:O, 2, FALSE)</f>
        <v>Lower Price</v>
      </c>
      <c r="J704" t="s">
        <v>753</v>
      </c>
      <c r="L704" s="17" t="s">
        <v>732</v>
      </c>
      <c r="M704" s="17" t="s">
        <v>736</v>
      </c>
      <c r="N704" s="17" t="s">
        <v>736</v>
      </c>
    </row>
    <row r="705" spans="1:14" x14ac:dyDescent="0.25">
      <c r="A705" s="10">
        <v>995026</v>
      </c>
      <c r="B705" s="22" t="str">
        <f>IFERROR(VLOOKUP(A705,VLOOKUPS!$A$2:B$12589,2,FALSE),"")</f>
        <v>Baby Arugula 5oz-standard</v>
      </c>
      <c r="G705" s="13">
        <v>44370</v>
      </c>
      <c r="H705" s="13">
        <v>44376</v>
      </c>
      <c r="I705" s="22" t="str">
        <f>VLOOKUP(J705, Dropdowns!N:O, 2, FALSE)</f>
        <v>Lower Price</v>
      </c>
      <c r="J705" t="s">
        <v>753</v>
      </c>
      <c r="L705" s="17" t="s">
        <v>732</v>
      </c>
      <c r="M705" s="17" t="s">
        <v>736</v>
      </c>
      <c r="N705" s="17" t="s">
        <v>736</v>
      </c>
    </row>
    <row r="706" spans="1:14" x14ac:dyDescent="0.25">
      <c r="A706" s="10">
        <v>995050</v>
      </c>
      <c r="B706" s="22" t="str">
        <f>IFERROR(VLOOKUP(A706,VLOOKUPS!$A$2:B$12589,2,FALSE),"")</f>
        <v>Organic Bagged Kale 10oz-standard</v>
      </c>
      <c r="G706" s="13">
        <v>44370</v>
      </c>
      <c r="H706" s="13">
        <v>44376</v>
      </c>
      <c r="I706" s="22" t="str">
        <f>VLOOKUP(J706, Dropdowns!N:O, 2, FALSE)</f>
        <v>Lower Price</v>
      </c>
      <c r="J706" t="s">
        <v>753</v>
      </c>
      <c r="L706" s="17" t="s">
        <v>732</v>
      </c>
      <c r="M706" s="17" t="s">
        <v>736</v>
      </c>
      <c r="N706" s="17" t="s">
        <v>736</v>
      </c>
    </row>
    <row r="707" spans="1:14" x14ac:dyDescent="0.25">
      <c r="A707" s="10">
        <v>995086</v>
      </c>
      <c r="B707" s="22" t="str">
        <f>IFERROR(VLOOKUP(A707,VLOOKUPS!$A$2:B$12589,2,FALSE),"")</f>
        <v>Eat Smart Broccoli Florets 2lbs-standard</v>
      </c>
      <c r="G707" s="13">
        <v>44370</v>
      </c>
      <c r="H707" s="13">
        <v>44376</v>
      </c>
      <c r="I707" s="22" t="str">
        <f>VLOOKUP(J707, Dropdowns!N:O, 2, FALSE)</f>
        <v>Lower Price</v>
      </c>
      <c r="J707" t="s">
        <v>753</v>
      </c>
      <c r="L707" s="17" t="s">
        <v>732</v>
      </c>
      <c r="M707" s="17" t="s">
        <v>736</v>
      </c>
      <c r="N707" s="17" t="s">
        <v>736</v>
      </c>
    </row>
    <row r="708" spans="1:14" x14ac:dyDescent="0.25">
      <c r="A708" s="10">
        <v>995074</v>
      </c>
      <c r="B708" s="22" t="str">
        <f>IFERROR(VLOOKUP(A708,VLOOKUPS!$A$2:B$12589,2,FALSE),"")</f>
        <v>Southwest Chopped Salad Kit 12oz-standard</v>
      </c>
      <c r="E708">
        <v>2.99</v>
      </c>
      <c r="F708">
        <v>1.99</v>
      </c>
      <c r="G708" s="13">
        <v>44370</v>
      </c>
      <c r="H708" s="13">
        <v>44372</v>
      </c>
      <c r="I708" s="22" t="str">
        <f>VLOOKUP(J708, Dropdowns!N:O, 2, FALSE)</f>
        <v>Lower Price</v>
      </c>
      <c r="J708" t="s">
        <v>759</v>
      </c>
      <c r="L708" s="17" t="s">
        <v>732</v>
      </c>
      <c r="M708" s="17" t="s">
        <v>9</v>
      </c>
      <c r="N708" s="17" t="s">
        <v>736</v>
      </c>
    </row>
    <row r="709" spans="1:14" x14ac:dyDescent="0.25">
      <c r="A709" s="10">
        <v>995074</v>
      </c>
      <c r="B709" s="22" t="str">
        <f>IFERROR(VLOOKUP(A709,VLOOKUPS!$A$2:B$12589,2,FALSE),"")</f>
        <v>Southwest Chopped Salad Kit 12oz-standard</v>
      </c>
      <c r="E709">
        <v>1.99</v>
      </c>
      <c r="F709">
        <v>2.99</v>
      </c>
      <c r="G709" s="13">
        <v>44373</v>
      </c>
      <c r="H709" s="13"/>
      <c r="I709" s="22" t="str">
        <f>VLOOKUP(J709, Dropdowns!N:O, 2, FALSE)</f>
        <v>Standard</v>
      </c>
      <c r="J709" t="s">
        <v>760</v>
      </c>
      <c r="L709" s="17" t="s">
        <v>732</v>
      </c>
      <c r="M709" s="17" t="s">
        <v>9</v>
      </c>
      <c r="N709" s="17" t="s">
        <v>736</v>
      </c>
    </row>
    <row r="710" spans="1:14" x14ac:dyDescent="0.25">
      <c r="A710" s="10">
        <v>984541</v>
      </c>
      <c r="B710" s="22" t="str">
        <f>IFERROR(VLOOKUP(A710,VLOOKUPS!$A$2:B$12589,2,FALSE),"")</f>
        <v>Blueberries 1pt-standard</v>
      </c>
      <c r="E710">
        <v>2.4900000000000002</v>
      </c>
      <c r="F710">
        <v>2.64</v>
      </c>
      <c r="G710" s="13">
        <v>44370</v>
      </c>
      <c r="H710" s="13"/>
      <c r="I710" s="22" t="str">
        <f>VLOOKUP(J710, Dropdowns!N:O, 2, FALSE)</f>
        <v>Standard</v>
      </c>
      <c r="J710" t="s">
        <v>760</v>
      </c>
      <c r="L710" s="17" t="s">
        <v>732</v>
      </c>
      <c r="M710" s="17" t="s">
        <v>735</v>
      </c>
      <c r="N710" s="17" t="s">
        <v>736</v>
      </c>
    </row>
    <row r="711" spans="1:14" x14ac:dyDescent="0.25">
      <c r="A711" s="10">
        <v>984541</v>
      </c>
      <c r="B711" s="22" t="str">
        <f>IFERROR(VLOOKUP(A711,VLOOKUPS!$A$2:B$12589,2,FALSE),"")</f>
        <v>Blueberries 1pt-standard</v>
      </c>
      <c r="G711" s="13">
        <v>44370</v>
      </c>
      <c r="H711" s="13">
        <v>44371</v>
      </c>
      <c r="I711" s="22" t="str">
        <f>VLOOKUP(J711, Dropdowns!N:O, 2, FALSE)</f>
        <v>Lower Price</v>
      </c>
      <c r="J711" t="s">
        <v>762</v>
      </c>
      <c r="L711" s="17" t="s">
        <v>733</v>
      </c>
      <c r="M711" s="17" t="s">
        <v>11</v>
      </c>
      <c r="N711" s="17" t="s">
        <v>740</v>
      </c>
    </row>
    <row r="712" spans="1:14" x14ac:dyDescent="0.25">
      <c r="A712" s="10">
        <v>995001</v>
      </c>
      <c r="B712" s="22" t="str">
        <f>IFERROR(VLOOKUP(A712,VLOOKUPS!$A$2:B$12589,2,FALSE),"")</f>
        <v>Spinach Baby 6oz-standard</v>
      </c>
      <c r="E712">
        <v>1.46</v>
      </c>
      <c r="F712">
        <v>2.2599999999999998</v>
      </c>
      <c r="G712" s="13">
        <v>44370</v>
      </c>
      <c r="H712" s="13"/>
      <c r="I712" s="22" t="str">
        <f>VLOOKUP(J712, Dropdowns!N:O, 2, FALSE)</f>
        <v>Standard</v>
      </c>
      <c r="J712" t="s">
        <v>760</v>
      </c>
      <c r="L712" s="17" t="s">
        <v>732</v>
      </c>
      <c r="M712" s="17" t="s">
        <v>10</v>
      </c>
      <c r="N712" s="17">
        <v>2</v>
      </c>
    </row>
    <row r="713" spans="1:14" x14ac:dyDescent="0.25">
      <c r="A713" s="10">
        <v>995001</v>
      </c>
      <c r="B713" s="22" t="str">
        <f>IFERROR(VLOOKUP(A713,VLOOKUPS!$A$2:B$12589,2,FALSE),"")</f>
        <v>Spinach Baby 6oz-standard</v>
      </c>
      <c r="G713" s="13">
        <v>44370</v>
      </c>
      <c r="H713" s="13">
        <v>44371</v>
      </c>
      <c r="I713" s="22" t="str">
        <f>VLOOKUP(J713, Dropdowns!N:O, 2, FALSE)</f>
        <v>Lower Price</v>
      </c>
      <c r="J713" t="s">
        <v>762</v>
      </c>
      <c r="L713" s="17" t="s">
        <v>732</v>
      </c>
      <c r="M713" s="17" t="s">
        <v>9</v>
      </c>
      <c r="N713" s="17" t="s">
        <v>736</v>
      </c>
    </row>
    <row r="714" spans="1:14" x14ac:dyDescent="0.25">
      <c r="A714" s="10">
        <v>995001</v>
      </c>
      <c r="B714" s="22" t="str">
        <f>IFERROR(VLOOKUP(A714,VLOOKUPS!$A$2:B$12589,2,FALSE),"")</f>
        <v>Spinach Baby 6oz-standard</v>
      </c>
      <c r="G714" s="13">
        <v>44370</v>
      </c>
      <c r="H714" s="13">
        <v>44372</v>
      </c>
      <c r="I714" s="22" t="str">
        <f>VLOOKUP(J714, Dropdowns!N:O, 2, FALSE)</f>
        <v>Lower Price</v>
      </c>
      <c r="J714" t="s">
        <v>762</v>
      </c>
      <c r="L714" s="17" t="s">
        <v>732</v>
      </c>
      <c r="M714" s="17" t="s">
        <v>11</v>
      </c>
      <c r="N714" s="17" t="s">
        <v>740</v>
      </c>
    </row>
    <row r="715" spans="1:14" x14ac:dyDescent="0.25">
      <c r="A715" s="10">
        <v>995007</v>
      </c>
      <c r="B715" s="22" t="str">
        <f>IFERROR(VLOOKUP(A715,VLOOKUPS!$A$2:B$12589,2,FALSE),"")</f>
        <v>Caesar Salad Kit 10.5oz-standard</v>
      </c>
      <c r="G715" s="13">
        <v>44370</v>
      </c>
      <c r="H715" s="13">
        <v>44372</v>
      </c>
      <c r="I715" s="22" t="str">
        <f>VLOOKUP(J715, Dropdowns!N:O, 2, FALSE)</f>
        <v>Lower Price</v>
      </c>
      <c r="J715" t="s">
        <v>762</v>
      </c>
      <c r="L715" s="17" t="s">
        <v>732</v>
      </c>
      <c r="M715" s="17" t="s">
        <v>736</v>
      </c>
      <c r="N715" s="17" t="s">
        <v>736</v>
      </c>
    </row>
    <row r="716" spans="1:14" x14ac:dyDescent="0.25">
      <c r="A716" s="10">
        <v>995006</v>
      </c>
      <c r="B716" s="22" t="str">
        <f>IFERROR(VLOOKUP(A716,VLOOKUPS!$A$2:B$12589,2,FALSE),"")</f>
        <v>Italian Salad 9oz-standard</v>
      </c>
      <c r="E716">
        <v>1.49</v>
      </c>
      <c r="F716">
        <v>1.99</v>
      </c>
      <c r="G716" s="13">
        <v>44370</v>
      </c>
      <c r="H716" s="13"/>
      <c r="I716" s="22" t="str">
        <f>VLOOKUP(J716, Dropdowns!N:O, 2, FALSE)</f>
        <v>Standard</v>
      </c>
      <c r="J716" t="s">
        <v>760</v>
      </c>
      <c r="L716" s="17" t="s">
        <v>732</v>
      </c>
      <c r="M716" s="17" t="s">
        <v>736</v>
      </c>
      <c r="N716" s="17" t="s">
        <v>736</v>
      </c>
    </row>
    <row r="717" spans="1:14" x14ac:dyDescent="0.25">
      <c r="A717" s="10">
        <v>995071</v>
      </c>
      <c r="B717" s="22" t="str">
        <f>IFERROR(VLOOKUP(A717,VLOOKUPS!$A$2:B$12589,2,FALSE),"")</f>
        <v>Broccoli Florets 12oz-standard</v>
      </c>
      <c r="E717">
        <v>2.19</v>
      </c>
      <c r="F717">
        <v>2.69</v>
      </c>
      <c r="G717" s="13">
        <v>44370</v>
      </c>
      <c r="H717" s="13"/>
      <c r="I717" s="22" t="str">
        <f>VLOOKUP(J717, Dropdowns!N:O, 2, FALSE)</f>
        <v>Standard</v>
      </c>
      <c r="J717" t="s">
        <v>760</v>
      </c>
      <c r="L717" s="17" t="s">
        <v>733</v>
      </c>
      <c r="M717" s="17" t="s">
        <v>738</v>
      </c>
      <c r="N717" s="17" t="s">
        <v>740</v>
      </c>
    </row>
    <row r="718" spans="1:14" x14ac:dyDescent="0.25">
      <c r="A718" s="10">
        <v>995071</v>
      </c>
      <c r="B718" s="22" t="str">
        <f>IFERROR(VLOOKUP(A718,VLOOKUPS!$A$2:B$12589,2,FALSE),"")</f>
        <v>Broccoli Florets 12oz-standard</v>
      </c>
      <c r="E718">
        <v>2.29</v>
      </c>
      <c r="F718">
        <v>2.79</v>
      </c>
      <c r="G718" s="13">
        <v>44370</v>
      </c>
      <c r="H718" s="13"/>
      <c r="I718" s="22" t="str">
        <f>VLOOKUP(J718, Dropdowns!N:O, 2, FALSE)</f>
        <v>Standard</v>
      </c>
      <c r="J718" t="s">
        <v>760</v>
      </c>
      <c r="L718" s="17" t="s">
        <v>734</v>
      </c>
      <c r="M718" s="17" t="s">
        <v>10</v>
      </c>
      <c r="N718" s="17">
        <v>2</v>
      </c>
    </row>
    <row r="719" spans="1:14" x14ac:dyDescent="0.25">
      <c r="A719" s="10">
        <v>995071</v>
      </c>
      <c r="B719" s="22" t="str">
        <f>IFERROR(VLOOKUP(A719,VLOOKUPS!$A$2:B$12589,2,FALSE),"")</f>
        <v>Broccoli Florets 12oz-standard</v>
      </c>
      <c r="G719" s="13">
        <v>44370</v>
      </c>
      <c r="H719" s="13">
        <v>44370</v>
      </c>
      <c r="I719" s="22" t="str">
        <f>VLOOKUP(J719, Dropdowns!N:O, 2, FALSE)</f>
        <v>Lower Price</v>
      </c>
      <c r="J719" t="s">
        <v>762</v>
      </c>
      <c r="L719" s="17" t="s">
        <v>732</v>
      </c>
      <c r="M719" s="17" t="s">
        <v>9</v>
      </c>
      <c r="N719" s="17" t="s">
        <v>736</v>
      </c>
    </row>
    <row r="720" spans="1:14" x14ac:dyDescent="0.25">
      <c r="A720" s="10">
        <v>984555</v>
      </c>
      <c r="B720" s="22" t="str">
        <f>IFERROR(VLOOKUP(A720,VLOOKUPS!$A$2:B$12589,2,FALSE),"")</f>
        <v>Blueberries 2lb-standard</v>
      </c>
      <c r="D720">
        <v>12</v>
      </c>
      <c r="F720">
        <v>6.99</v>
      </c>
      <c r="G720" s="13">
        <v>44372</v>
      </c>
      <c r="H720" s="13"/>
      <c r="I720" s="22" t="str">
        <f>VLOOKUP(J720, Dropdowns!N:O, 2, FALSE)</f>
        <v>New</v>
      </c>
      <c r="J720" t="s">
        <v>776</v>
      </c>
      <c r="L720" s="17" t="s">
        <v>732</v>
      </c>
      <c r="M720" s="17" t="s">
        <v>736</v>
      </c>
      <c r="N720" s="17" t="s">
        <v>736</v>
      </c>
    </row>
    <row r="721" spans="1:14" x14ac:dyDescent="0.25">
      <c r="A721" s="10">
        <v>984580</v>
      </c>
      <c r="B721" s="22" t="str">
        <f>IFERROR(VLOOKUP(A721,VLOOKUPS!$A$2:B$12589,2,FALSE),"")</f>
        <v>Organic Blueberries 6oz-standard</v>
      </c>
      <c r="E721">
        <v>2.99</v>
      </c>
      <c r="F721">
        <v>1.99</v>
      </c>
      <c r="G721" s="13">
        <v>44371</v>
      </c>
      <c r="H721" s="13">
        <v>44372</v>
      </c>
      <c r="I721" s="22" t="str">
        <f>VLOOKUP(J721, Dropdowns!N:O, 2, FALSE)</f>
        <v>Lower Price</v>
      </c>
      <c r="J721" t="s">
        <v>759</v>
      </c>
      <c r="L721" s="17" t="s">
        <v>733</v>
      </c>
      <c r="M721" s="17" t="s">
        <v>11</v>
      </c>
      <c r="N721" s="17" t="s">
        <v>740</v>
      </c>
    </row>
    <row r="722" spans="1:14" x14ac:dyDescent="0.25">
      <c r="A722" s="10">
        <v>984580</v>
      </c>
      <c r="B722" s="22" t="str">
        <f>IFERROR(VLOOKUP(A722,VLOOKUPS!$A$2:B$12589,2,FALSE),"")</f>
        <v>Organic Blueberries 6oz-standard</v>
      </c>
      <c r="E722">
        <v>1.99</v>
      </c>
      <c r="F722">
        <v>2.99</v>
      </c>
      <c r="G722" s="13">
        <v>44373</v>
      </c>
      <c r="H722" s="13"/>
      <c r="I722" s="22" t="str">
        <f>VLOOKUP(J722, Dropdowns!N:O, 2, FALSE)</f>
        <v>Standard</v>
      </c>
      <c r="J722" t="s">
        <v>760</v>
      </c>
      <c r="L722" s="17" t="s">
        <v>733</v>
      </c>
      <c r="M722" s="17" t="s">
        <v>11</v>
      </c>
      <c r="N722" s="17" t="s">
        <v>740</v>
      </c>
    </row>
    <row r="723" spans="1:14" x14ac:dyDescent="0.25">
      <c r="A723" s="10">
        <v>984700</v>
      </c>
      <c r="B723" s="22" t="str">
        <f>IFERROR(VLOOKUP(A723,VLOOKUPS!$A$2:B$12589,2,FALSE),"")</f>
        <v>Blackberries 6oz-standard</v>
      </c>
      <c r="E723">
        <v>2.48</v>
      </c>
      <c r="F723">
        <v>1.68</v>
      </c>
      <c r="G723" s="13">
        <v>44371</v>
      </c>
      <c r="H723" s="13">
        <v>44372</v>
      </c>
      <c r="I723" s="22" t="str">
        <f>VLOOKUP(J723, Dropdowns!N:O, 2, FALSE)</f>
        <v>Lower Price</v>
      </c>
      <c r="J723" t="s">
        <v>759</v>
      </c>
      <c r="L723" s="17" t="s">
        <v>732</v>
      </c>
      <c r="M723" s="17" t="s">
        <v>9</v>
      </c>
      <c r="N723" s="17" t="s">
        <v>736</v>
      </c>
    </row>
    <row r="724" spans="1:14" x14ac:dyDescent="0.25">
      <c r="A724" s="10">
        <v>984700</v>
      </c>
      <c r="B724" s="22" t="str">
        <f>IFERROR(VLOOKUP(A724,VLOOKUPS!$A$2:B$12589,2,FALSE),"")</f>
        <v>Blackberries 6oz-standard</v>
      </c>
      <c r="E724">
        <v>1.68</v>
      </c>
      <c r="F724">
        <v>2.48</v>
      </c>
      <c r="G724" s="13">
        <v>44373</v>
      </c>
      <c r="H724" s="13"/>
      <c r="I724" s="22" t="str">
        <f>VLOOKUP(J724, Dropdowns!N:O, 2, FALSE)</f>
        <v>Standard</v>
      </c>
      <c r="J724" t="s">
        <v>760</v>
      </c>
      <c r="L724" s="17" t="s">
        <v>732</v>
      </c>
      <c r="M724" s="17" t="s">
        <v>9</v>
      </c>
      <c r="N724" s="17" t="s">
        <v>736</v>
      </c>
    </row>
    <row r="725" spans="1:14" x14ac:dyDescent="0.25">
      <c r="A725" s="10">
        <v>995008</v>
      </c>
      <c r="B725" s="22" t="str">
        <f>IFERROR(VLOOKUP(A725,VLOOKUPS!$A$2:B$12589,2,FALSE),"")</f>
        <v>Shredded Lettuce 8oz-standard</v>
      </c>
      <c r="E725">
        <v>1.49</v>
      </c>
      <c r="F725">
        <v>0.89</v>
      </c>
      <c r="G725" s="13">
        <v>44371</v>
      </c>
      <c r="H725" s="13">
        <v>44372</v>
      </c>
      <c r="I725" s="22" t="str">
        <f>VLOOKUP(J725, Dropdowns!N:O, 2, FALSE)</f>
        <v>Lower Price</v>
      </c>
      <c r="J725" t="s">
        <v>759</v>
      </c>
      <c r="L725" s="17" t="s">
        <v>733</v>
      </c>
      <c r="M725" s="17" t="s">
        <v>736</v>
      </c>
      <c r="N725" s="17" t="s">
        <v>740</v>
      </c>
    </row>
    <row r="726" spans="1:14" x14ac:dyDescent="0.25">
      <c r="A726" s="10">
        <v>995008</v>
      </c>
      <c r="B726" s="22" t="str">
        <f>IFERROR(VLOOKUP(A726,VLOOKUPS!$A$2:B$12589,2,FALSE),"")</f>
        <v>Shredded Lettuce 8oz-standard</v>
      </c>
      <c r="E726">
        <v>1.69</v>
      </c>
      <c r="F726">
        <v>1.19</v>
      </c>
      <c r="G726" s="13">
        <v>44371</v>
      </c>
      <c r="H726" s="13">
        <v>44372</v>
      </c>
      <c r="I726" s="22" t="str">
        <f>VLOOKUP(J726, Dropdowns!N:O, 2, FALSE)</f>
        <v>Lower Price</v>
      </c>
      <c r="J726" t="s">
        <v>759</v>
      </c>
      <c r="L726" s="17" t="s">
        <v>734</v>
      </c>
      <c r="M726" s="17" t="s">
        <v>735</v>
      </c>
      <c r="N726" s="17" t="s">
        <v>736</v>
      </c>
    </row>
    <row r="727" spans="1:14" x14ac:dyDescent="0.25">
      <c r="A727" s="10">
        <v>995008</v>
      </c>
      <c r="B727" s="22" t="str">
        <f>IFERROR(VLOOKUP(A727,VLOOKUPS!$A$2:B$12589,2,FALSE),"")</f>
        <v>Shredded Lettuce 8oz-standard</v>
      </c>
      <c r="E727">
        <v>0.89</v>
      </c>
      <c r="F727">
        <v>1.49</v>
      </c>
      <c r="G727" s="13">
        <v>44373</v>
      </c>
      <c r="H727" s="13"/>
      <c r="I727" s="22" t="str">
        <f>VLOOKUP(J727, Dropdowns!N:O, 2, FALSE)</f>
        <v>Standard</v>
      </c>
      <c r="J727" t="s">
        <v>760</v>
      </c>
      <c r="L727" s="17" t="s">
        <v>733</v>
      </c>
      <c r="M727" s="17" t="s">
        <v>736</v>
      </c>
      <c r="N727" s="17" t="s">
        <v>740</v>
      </c>
    </row>
    <row r="728" spans="1:14" x14ac:dyDescent="0.25">
      <c r="A728" s="10">
        <v>995008</v>
      </c>
      <c r="B728" s="22" t="str">
        <f>IFERROR(VLOOKUP(A728,VLOOKUPS!$A$2:B$12589,2,FALSE),"")</f>
        <v>Shredded Lettuce 8oz-standard</v>
      </c>
      <c r="E728">
        <v>1.19</v>
      </c>
      <c r="F728">
        <v>1.69</v>
      </c>
      <c r="G728" s="13">
        <v>44373</v>
      </c>
      <c r="H728" s="13"/>
      <c r="I728" s="22" t="str">
        <f>VLOOKUP(J728, Dropdowns!N:O, 2, FALSE)</f>
        <v>Standard</v>
      </c>
      <c r="J728" t="s">
        <v>760</v>
      </c>
      <c r="L728" s="17" t="s">
        <v>734</v>
      </c>
      <c r="M728" s="17" t="s">
        <v>735</v>
      </c>
      <c r="N728" s="17" t="s">
        <v>736</v>
      </c>
    </row>
    <row r="729" spans="1:14" x14ac:dyDescent="0.25">
      <c r="A729" s="10">
        <v>995022</v>
      </c>
      <c r="B729" s="22" t="str">
        <f>IFERROR(VLOOKUP(A729,VLOOKUPS!$A$2:B$12589,2,FALSE),"")</f>
        <v>American Blend 12oz-standard</v>
      </c>
      <c r="E729">
        <v>1.99</v>
      </c>
      <c r="F729">
        <v>1.39</v>
      </c>
      <c r="G729" s="13">
        <v>44371</v>
      </c>
      <c r="H729" s="13">
        <v>44372</v>
      </c>
      <c r="I729" s="22" t="str">
        <f>VLOOKUP(J729, Dropdowns!N:O, 2, FALSE)</f>
        <v>Lower Price</v>
      </c>
      <c r="J729" t="s">
        <v>759</v>
      </c>
      <c r="L729" s="17" t="s">
        <v>732</v>
      </c>
      <c r="M729" s="17" t="s">
        <v>10</v>
      </c>
      <c r="N729" s="17">
        <v>2</v>
      </c>
    </row>
    <row r="730" spans="1:14" x14ac:dyDescent="0.25">
      <c r="A730" s="10">
        <v>995022</v>
      </c>
      <c r="B730" s="22" t="str">
        <f>IFERROR(VLOOKUP(A730,VLOOKUPS!$A$2:B$12589,2,FALSE),"")</f>
        <v>American Blend 12oz-standard</v>
      </c>
      <c r="E730">
        <v>1.39</v>
      </c>
      <c r="F730">
        <v>1.99</v>
      </c>
      <c r="G730" s="13">
        <v>44373</v>
      </c>
      <c r="H730" s="13"/>
      <c r="I730" s="22" t="str">
        <f>VLOOKUP(J730, Dropdowns!N:O, 2, FALSE)</f>
        <v>Standard</v>
      </c>
      <c r="J730" t="s">
        <v>760</v>
      </c>
      <c r="L730" s="17" t="s">
        <v>732</v>
      </c>
      <c r="M730" s="17" t="s">
        <v>10</v>
      </c>
      <c r="N730" s="17">
        <v>2</v>
      </c>
    </row>
    <row r="731" spans="1:14" x14ac:dyDescent="0.25">
      <c r="A731" s="10">
        <v>995025</v>
      </c>
      <c r="B731" s="22" t="str">
        <f>IFERROR(VLOOKUP(A731,VLOOKUPS!$A$2:B$12589,2,FALSE),"")</f>
        <v>XL Half and Half Mix 16oz-standard</v>
      </c>
      <c r="E731">
        <v>4.99</v>
      </c>
      <c r="F731">
        <v>3.99</v>
      </c>
      <c r="G731" s="13">
        <v>44371</v>
      </c>
      <c r="H731" s="13">
        <v>44372</v>
      </c>
      <c r="I731" s="22" t="str">
        <f>VLOOKUP(J731, Dropdowns!N:O, 2, FALSE)</f>
        <v>Lower Price</v>
      </c>
      <c r="J731" t="s">
        <v>759</v>
      </c>
      <c r="L731" s="17" t="s">
        <v>732</v>
      </c>
      <c r="M731" s="17" t="s">
        <v>10</v>
      </c>
      <c r="N731" s="17">
        <v>2</v>
      </c>
    </row>
    <row r="732" spans="1:14" x14ac:dyDescent="0.25">
      <c r="A732" s="10">
        <v>995025</v>
      </c>
      <c r="B732" s="22" t="str">
        <f>IFERROR(VLOOKUP(A732,VLOOKUPS!$A$2:B$12589,2,FALSE),"")</f>
        <v>XL Half and Half Mix 16oz-standard</v>
      </c>
      <c r="E732">
        <v>3.99</v>
      </c>
      <c r="F732">
        <v>4.99</v>
      </c>
      <c r="G732" s="13">
        <v>44373</v>
      </c>
      <c r="H732" s="13"/>
      <c r="I732" s="22" t="str">
        <f>VLOOKUP(J732, Dropdowns!N:O, 2, FALSE)</f>
        <v>Standard</v>
      </c>
      <c r="J732" t="s">
        <v>760</v>
      </c>
      <c r="L732" s="17" t="s">
        <v>732</v>
      </c>
      <c r="M732" s="17" t="s">
        <v>10</v>
      </c>
      <c r="N732" s="17">
        <v>2</v>
      </c>
    </row>
    <row r="733" spans="1:14" x14ac:dyDescent="0.25">
      <c r="A733" s="10">
        <v>995032</v>
      </c>
      <c r="B733" s="22" t="str">
        <f>IFERROR(VLOOKUP(A733,VLOOKUPS!$A$2:B$12589,2,FALSE),"")</f>
        <v>Chopped Sunflower Crunch Kit 12.2oz-standard</v>
      </c>
      <c r="E733">
        <v>2.99</v>
      </c>
      <c r="F733">
        <v>1.99</v>
      </c>
      <c r="G733" s="13">
        <v>44371</v>
      </c>
      <c r="H733" s="13">
        <v>44372</v>
      </c>
      <c r="I733" s="22" t="str">
        <f>VLOOKUP(J733, Dropdowns!N:O, 2, FALSE)</f>
        <v>Lower Price</v>
      </c>
      <c r="J733" t="s">
        <v>759</v>
      </c>
      <c r="L733" s="17" t="s">
        <v>732</v>
      </c>
      <c r="M733" s="17" t="s">
        <v>9</v>
      </c>
      <c r="N733" s="17" t="s">
        <v>736</v>
      </c>
    </row>
    <row r="734" spans="1:14" x14ac:dyDescent="0.25">
      <c r="A734" s="10">
        <v>995032</v>
      </c>
      <c r="B734" s="22" t="str">
        <f>IFERROR(VLOOKUP(A734,VLOOKUPS!$A$2:B$12589,2,FALSE),"")</f>
        <v>Chopped Sunflower Crunch Kit 12.2oz-standard</v>
      </c>
      <c r="E734">
        <v>1.99</v>
      </c>
      <c r="F734">
        <v>2.99</v>
      </c>
      <c r="G734" s="13">
        <v>44373</v>
      </c>
      <c r="H734" s="13"/>
      <c r="I734" s="22" t="str">
        <f>VLOOKUP(J734, Dropdowns!N:O, 2, FALSE)</f>
        <v>Standard</v>
      </c>
      <c r="J734" t="s">
        <v>760</v>
      </c>
      <c r="L734" s="17" t="s">
        <v>732</v>
      </c>
      <c r="M734" s="17" t="s">
        <v>9</v>
      </c>
      <c r="N734" s="17" t="s">
        <v>736</v>
      </c>
    </row>
    <row r="735" spans="1:14" x14ac:dyDescent="0.25">
      <c r="A735" s="10">
        <v>995072</v>
      </c>
      <c r="B735" s="22" t="str">
        <f>IFERROR(VLOOKUP(A735,VLOOKUPS!$A$2:B$12589,2,FALSE),"")</f>
        <v>Broccoli Coleslaw 12oz-standard</v>
      </c>
      <c r="E735">
        <v>1.99</v>
      </c>
      <c r="F735">
        <v>1.29</v>
      </c>
      <c r="G735" s="13">
        <v>44371</v>
      </c>
      <c r="H735" s="13">
        <v>44372</v>
      </c>
      <c r="I735" s="22" t="str">
        <f>VLOOKUP(J735, Dropdowns!N:O, 2, FALSE)</f>
        <v>Lower Price</v>
      </c>
      <c r="J735" t="s">
        <v>759</v>
      </c>
      <c r="L735" s="17" t="s">
        <v>732</v>
      </c>
      <c r="M735" s="17" t="s">
        <v>738</v>
      </c>
      <c r="N735" s="17">
        <v>2</v>
      </c>
    </row>
    <row r="736" spans="1:14" x14ac:dyDescent="0.25">
      <c r="A736" s="10">
        <v>995072</v>
      </c>
      <c r="B736" s="22" t="str">
        <f>IFERROR(VLOOKUP(A736,VLOOKUPS!$A$2:B$12589,2,FALSE),"")</f>
        <v>Broccoli Coleslaw 12oz-standard</v>
      </c>
      <c r="E736">
        <v>1.29</v>
      </c>
      <c r="F736">
        <v>1.99</v>
      </c>
      <c r="G736" s="13">
        <v>44373</v>
      </c>
      <c r="H736" s="13"/>
      <c r="I736" s="22" t="str">
        <f>VLOOKUP(J736, Dropdowns!N:O, 2, FALSE)</f>
        <v>Standard</v>
      </c>
      <c r="J736" t="s">
        <v>760</v>
      </c>
      <c r="L736" s="17" t="s">
        <v>733</v>
      </c>
      <c r="N736" s="17" t="s">
        <v>740</v>
      </c>
    </row>
    <row r="737" spans="1:14" x14ac:dyDescent="0.25">
      <c r="A737" s="10">
        <v>995101</v>
      </c>
      <c r="B737" s="22" t="str">
        <f>IFERROR(VLOOKUP(A737,VLOOKUPS!$A$2:B$12589,2,FALSE),"")</f>
        <v>Avocado Ranch Salad Kit 11.3oz-standard</v>
      </c>
      <c r="E737">
        <v>2.9</v>
      </c>
      <c r="F737">
        <v>2.99</v>
      </c>
      <c r="G737" s="13">
        <v>44371</v>
      </c>
      <c r="H737" s="13"/>
      <c r="I737" s="22" t="str">
        <f>VLOOKUP(J737, Dropdowns!N:O, 2, FALSE)</f>
        <v>Standard</v>
      </c>
      <c r="J737" t="s">
        <v>761</v>
      </c>
      <c r="L737" s="17" t="s">
        <v>732</v>
      </c>
      <c r="M737" s="17" t="s">
        <v>736</v>
      </c>
      <c r="N737" s="17" t="s">
        <v>736</v>
      </c>
    </row>
    <row r="738" spans="1:14" x14ac:dyDescent="0.25">
      <c r="A738" s="10">
        <v>995103</v>
      </c>
      <c r="B738" s="22" t="str">
        <f>IFERROR(VLOOKUP(A738,VLOOKUPS!$A$2:B$12589,2,FALSE),"")</f>
        <v>Teriyaki Stir Fry Kit 12.5oz-standard</v>
      </c>
      <c r="E738">
        <v>2.98</v>
      </c>
      <c r="F738">
        <v>1.98</v>
      </c>
      <c r="G738" s="13">
        <v>44371</v>
      </c>
      <c r="H738" s="13">
        <v>44372</v>
      </c>
      <c r="I738" s="22" t="str">
        <f>VLOOKUP(J738, Dropdowns!N:O, 2, FALSE)</f>
        <v>Lower Price</v>
      </c>
      <c r="J738" t="s">
        <v>759</v>
      </c>
      <c r="L738" s="17" t="s">
        <v>732</v>
      </c>
      <c r="M738" s="17" t="s">
        <v>10</v>
      </c>
      <c r="N738" s="17">
        <v>2</v>
      </c>
    </row>
    <row r="739" spans="1:14" x14ac:dyDescent="0.25">
      <c r="A739" s="10">
        <v>995103</v>
      </c>
      <c r="B739" s="22" t="str">
        <f>IFERROR(VLOOKUP(A739,VLOOKUPS!$A$2:B$12589,2,FALSE),"")</f>
        <v>Teriyaki Stir Fry Kit 12.5oz-standard</v>
      </c>
      <c r="E739">
        <v>1.98</v>
      </c>
      <c r="F739">
        <v>2.98</v>
      </c>
      <c r="G739" s="13">
        <v>44373</v>
      </c>
      <c r="H739" s="13"/>
      <c r="I739" s="22" t="str">
        <f>VLOOKUP(J739, Dropdowns!N:O, 2, FALSE)</f>
        <v>Standard</v>
      </c>
      <c r="J739" t="s">
        <v>760</v>
      </c>
      <c r="L739" s="17" t="s">
        <v>732</v>
      </c>
      <c r="M739" s="17" t="s">
        <v>10</v>
      </c>
      <c r="N739" s="17">
        <v>2</v>
      </c>
    </row>
    <row r="740" spans="1:14" x14ac:dyDescent="0.25">
      <c r="A740" s="10">
        <v>995131</v>
      </c>
      <c r="B740" s="22" t="str">
        <f>IFERROR(VLOOKUP(A740,VLOOKUPS!$A$2:B$12589,2,FALSE),"")</f>
        <v>Organic Baby Spinach &amp; Baby Kale 5oz-standard</v>
      </c>
      <c r="E740">
        <v>2.56</v>
      </c>
      <c r="F740">
        <v>1.76</v>
      </c>
      <c r="G740" s="13">
        <v>44371</v>
      </c>
      <c r="H740" s="13">
        <v>44372</v>
      </c>
      <c r="I740" s="22" t="str">
        <f>VLOOKUP(J740, Dropdowns!N:O, 2, FALSE)</f>
        <v>Lower Price</v>
      </c>
      <c r="J740" t="s">
        <v>759</v>
      </c>
      <c r="L740" s="17" t="s">
        <v>732</v>
      </c>
      <c r="M740" s="17" t="s">
        <v>10</v>
      </c>
      <c r="N740" s="17">
        <v>2</v>
      </c>
    </row>
    <row r="741" spans="1:14" x14ac:dyDescent="0.25">
      <c r="A741" s="10">
        <v>995131</v>
      </c>
      <c r="B741" s="22" t="str">
        <f>IFERROR(VLOOKUP(A741,VLOOKUPS!$A$2:B$12589,2,FALSE),"")</f>
        <v>Organic Baby Spinach &amp; Baby Kale 5oz-standard</v>
      </c>
      <c r="E741">
        <v>1.76</v>
      </c>
      <c r="F741">
        <v>2.56</v>
      </c>
      <c r="G741" s="13">
        <v>44373</v>
      </c>
      <c r="H741" s="13"/>
      <c r="I741" s="22" t="str">
        <f>VLOOKUP(J741, Dropdowns!N:O, 2, FALSE)</f>
        <v>Standard</v>
      </c>
      <c r="J741" t="s">
        <v>760</v>
      </c>
      <c r="L741" s="17" t="s">
        <v>732</v>
      </c>
      <c r="M741" s="17" t="s">
        <v>10</v>
      </c>
      <c r="N741" s="17">
        <v>2</v>
      </c>
    </row>
    <row r="742" spans="1:14" x14ac:dyDescent="0.25">
      <c r="A742" s="10">
        <v>995071</v>
      </c>
      <c r="B742" s="22" t="str">
        <f>IFERROR(VLOOKUP(A742,VLOOKUPS!$A$2:B$12589,2,FALSE),"")</f>
        <v>Broccoli Florets 12oz-standard</v>
      </c>
      <c r="G742" s="13">
        <v>44371</v>
      </c>
      <c r="H742" s="13">
        <v>44371</v>
      </c>
      <c r="I742" s="22" t="str">
        <f>VLOOKUP(J742, Dropdowns!N:O, 2, FALSE)</f>
        <v>Lower Price</v>
      </c>
      <c r="J742" t="s">
        <v>762</v>
      </c>
      <c r="L742" s="17" t="s">
        <v>732</v>
      </c>
      <c r="M742" s="17" t="s">
        <v>9</v>
      </c>
      <c r="N742" s="17" t="s">
        <v>736</v>
      </c>
    </row>
    <row r="743" spans="1:14" x14ac:dyDescent="0.25">
      <c r="A743" s="10">
        <v>995072</v>
      </c>
      <c r="B743" s="22" t="str">
        <f>IFERROR(VLOOKUP(A743,VLOOKUPS!$A$2:B$12589,2,FALSE),"")</f>
        <v>Broccoli Coleslaw 12oz-standard</v>
      </c>
      <c r="E743">
        <v>1.29</v>
      </c>
      <c r="F743">
        <v>2.59</v>
      </c>
      <c r="G743" s="13">
        <v>44373</v>
      </c>
      <c r="H743" s="13"/>
      <c r="I743" s="22" t="str">
        <f>VLOOKUP(J743, Dropdowns!N:O, 2, FALSE)</f>
        <v>Standard</v>
      </c>
      <c r="J743" t="s">
        <v>760</v>
      </c>
      <c r="L743" s="17" t="s">
        <v>734</v>
      </c>
      <c r="M743" s="17" t="s">
        <v>10</v>
      </c>
      <c r="N743" s="17">
        <v>2</v>
      </c>
    </row>
    <row r="744" spans="1:14" x14ac:dyDescent="0.25">
      <c r="A744" s="10">
        <v>984620</v>
      </c>
      <c r="B744" s="22" t="str">
        <f>IFERROR(VLOOKUP(A744,VLOOKUPS!$A$2:B$12589,2,FALSE),"")</f>
        <v>Raspberries 6oz-standard</v>
      </c>
      <c r="E744">
        <v>2.74</v>
      </c>
      <c r="F744">
        <v>1.74</v>
      </c>
      <c r="G744" s="13">
        <v>44372</v>
      </c>
      <c r="H744" s="13">
        <v>44373</v>
      </c>
      <c r="I744" s="22" t="str">
        <f>VLOOKUP(J744, Dropdowns!N:O, 2, FALSE)</f>
        <v>Lower Price</v>
      </c>
      <c r="J744" t="s">
        <v>759</v>
      </c>
      <c r="L744" s="17" t="s">
        <v>732</v>
      </c>
      <c r="M744" s="17" t="s">
        <v>10</v>
      </c>
      <c r="N744" s="17">
        <v>2</v>
      </c>
    </row>
    <row r="745" spans="1:14" x14ac:dyDescent="0.25">
      <c r="A745" s="10">
        <v>984620</v>
      </c>
      <c r="B745" s="22" t="str">
        <f>IFERROR(VLOOKUP(A745,VLOOKUPS!$A$2:B$12589,2,FALSE),"")</f>
        <v>Raspberries 6oz-standard</v>
      </c>
      <c r="E745">
        <v>1.74</v>
      </c>
      <c r="F745">
        <v>2.74</v>
      </c>
      <c r="G745" s="13">
        <v>44374</v>
      </c>
      <c r="H745" s="13"/>
      <c r="I745" s="22" t="str">
        <f>VLOOKUP(J745, Dropdowns!N:O, 2, FALSE)</f>
        <v>Standard</v>
      </c>
      <c r="J745" t="s">
        <v>760</v>
      </c>
      <c r="L745" s="17" t="s">
        <v>732</v>
      </c>
      <c r="M745" s="17" t="s">
        <v>10</v>
      </c>
      <c r="N745" s="17">
        <v>2</v>
      </c>
    </row>
    <row r="746" spans="1:14" x14ac:dyDescent="0.25">
      <c r="A746" s="10">
        <v>984702</v>
      </c>
      <c r="B746" s="22" t="str">
        <f>IFERROR(VLOOKUP(A746,VLOOKUPS!$A$2:B$12589,2,FALSE),"")</f>
        <v>Blackberries 12oz-standard</v>
      </c>
      <c r="E746">
        <v>4.4800000000000004</v>
      </c>
      <c r="F746">
        <v>3.28</v>
      </c>
      <c r="G746" s="13">
        <v>44372</v>
      </c>
      <c r="H746" s="13">
        <v>44374</v>
      </c>
      <c r="I746" s="22" t="str">
        <f>VLOOKUP(J746, Dropdowns!N:O, 2, FALSE)</f>
        <v>Lower Price</v>
      </c>
      <c r="J746" t="s">
        <v>759</v>
      </c>
      <c r="L746" s="17" t="s">
        <v>733</v>
      </c>
      <c r="M746" s="17" t="s">
        <v>11</v>
      </c>
      <c r="N746" s="17" t="s">
        <v>740</v>
      </c>
    </row>
    <row r="747" spans="1:14" x14ac:dyDescent="0.25">
      <c r="A747" s="10">
        <v>984702</v>
      </c>
      <c r="B747" s="22" t="str">
        <f>IFERROR(VLOOKUP(A747,VLOOKUPS!$A$2:B$12589,2,FALSE),"")</f>
        <v>Blackberries 12oz-standard</v>
      </c>
      <c r="E747">
        <v>3.28</v>
      </c>
      <c r="F747">
        <v>4.4800000000000004</v>
      </c>
      <c r="G747" s="13">
        <v>44375</v>
      </c>
      <c r="H747" s="13"/>
      <c r="I747" s="22" t="str">
        <f>VLOOKUP(J747, Dropdowns!N:O, 2, FALSE)</f>
        <v>Standard</v>
      </c>
      <c r="J747" t="s">
        <v>760</v>
      </c>
      <c r="L747" s="17" t="s">
        <v>733</v>
      </c>
      <c r="M747" s="17" t="s">
        <v>11</v>
      </c>
      <c r="N747" s="17" t="s">
        <v>740</v>
      </c>
    </row>
    <row r="748" spans="1:14" x14ac:dyDescent="0.25">
      <c r="A748" s="10">
        <v>995024</v>
      </c>
      <c r="B748" s="22" t="str">
        <f>IFERROR(VLOOKUP(A748,VLOOKUPS!$A$2:B$12589,2,FALSE),"")</f>
        <v>XL Spring Mix 16oz-standard</v>
      </c>
      <c r="E748">
        <v>4.1900000000000004</v>
      </c>
      <c r="F748">
        <v>3.19</v>
      </c>
      <c r="G748" s="13">
        <v>44372</v>
      </c>
      <c r="H748" s="13">
        <v>44373</v>
      </c>
      <c r="I748" s="22" t="str">
        <f>VLOOKUP(J748, Dropdowns!N:O, 2, FALSE)</f>
        <v>Lower Price</v>
      </c>
      <c r="J748" t="s">
        <v>759</v>
      </c>
      <c r="L748" s="17" t="s">
        <v>733</v>
      </c>
      <c r="M748" s="17" t="s">
        <v>11</v>
      </c>
      <c r="N748" s="17" t="s">
        <v>740</v>
      </c>
    </row>
    <row r="749" spans="1:14" x14ac:dyDescent="0.25">
      <c r="A749" s="10">
        <v>995024</v>
      </c>
      <c r="B749" s="22" t="str">
        <f>IFERROR(VLOOKUP(A749,VLOOKUPS!$A$2:B$12589,2,FALSE),"")</f>
        <v>XL Spring Mix 16oz-standard</v>
      </c>
      <c r="E749">
        <v>3.19</v>
      </c>
      <c r="F749">
        <v>4.1900000000000004</v>
      </c>
      <c r="G749" s="13">
        <v>44374</v>
      </c>
      <c r="H749" s="13"/>
      <c r="I749" s="22" t="str">
        <f>VLOOKUP(J749, Dropdowns!N:O, 2, FALSE)</f>
        <v>Standard</v>
      </c>
      <c r="J749" t="s">
        <v>760</v>
      </c>
      <c r="L749" s="17" t="s">
        <v>733</v>
      </c>
      <c r="M749" s="17" t="s">
        <v>11</v>
      </c>
      <c r="N749" s="17" t="s">
        <v>740</v>
      </c>
    </row>
    <row r="750" spans="1:14" x14ac:dyDescent="0.25">
      <c r="A750" s="10">
        <v>995032</v>
      </c>
      <c r="B750" s="22" t="str">
        <f>IFERROR(VLOOKUP(A750,VLOOKUPS!$A$2:B$12589,2,FALSE),"")</f>
        <v>Chopped Sunflower Crunch Kit 12.2oz-standard</v>
      </c>
      <c r="E750">
        <v>2.99</v>
      </c>
      <c r="F750">
        <v>2.29</v>
      </c>
      <c r="G750" s="13">
        <v>44372</v>
      </c>
      <c r="H750" s="13">
        <v>44373</v>
      </c>
      <c r="I750" s="22" t="str">
        <f>VLOOKUP(J750, Dropdowns!N:O, 2, FALSE)</f>
        <v>Lower Price</v>
      </c>
      <c r="J750" t="s">
        <v>759</v>
      </c>
      <c r="L750" s="17" t="s">
        <v>733</v>
      </c>
      <c r="M750" s="17" t="s">
        <v>11</v>
      </c>
      <c r="N750" s="17" t="s">
        <v>740</v>
      </c>
    </row>
    <row r="751" spans="1:14" x14ac:dyDescent="0.25">
      <c r="A751" s="10">
        <v>995032</v>
      </c>
      <c r="B751" s="22" t="str">
        <f>IFERROR(VLOOKUP(A751,VLOOKUPS!$A$2:B$12589,2,FALSE),"")</f>
        <v>Chopped Sunflower Crunch Kit 12.2oz-standard</v>
      </c>
      <c r="E751">
        <v>2.29</v>
      </c>
      <c r="F751">
        <v>2.99</v>
      </c>
      <c r="G751" s="13">
        <v>44374</v>
      </c>
      <c r="H751" s="13"/>
      <c r="I751" s="22" t="str">
        <f>VLOOKUP(J751, Dropdowns!N:O, 2, FALSE)</f>
        <v>Standard</v>
      </c>
      <c r="J751" t="s">
        <v>760</v>
      </c>
      <c r="L751" s="17" t="s">
        <v>733</v>
      </c>
      <c r="M751" s="17" t="s">
        <v>11</v>
      </c>
      <c r="N751" s="17" t="s">
        <v>740</v>
      </c>
    </row>
    <row r="752" spans="1:14" x14ac:dyDescent="0.25">
      <c r="A752" s="10">
        <v>995067</v>
      </c>
      <c r="B752" s="22" t="str">
        <f>IFERROR(VLOOKUP(A752,VLOOKUPS!$A$2:B$12589,2,FALSE),"")</f>
        <v>Organic Baby Arugula 5oz-standard</v>
      </c>
      <c r="E752">
        <v>2.56</v>
      </c>
      <c r="F752">
        <v>1.56</v>
      </c>
      <c r="G752" s="13">
        <v>44372</v>
      </c>
      <c r="H752" s="13">
        <v>44372</v>
      </c>
      <c r="I752" s="22" t="str">
        <f>VLOOKUP(J752, Dropdowns!N:O, 2, FALSE)</f>
        <v>Lower Price</v>
      </c>
      <c r="J752" t="s">
        <v>759</v>
      </c>
      <c r="L752" s="17" t="s">
        <v>733</v>
      </c>
      <c r="M752" s="17" t="s">
        <v>11</v>
      </c>
      <c r="N752" s="17" t="s">
        <v>740</v>
      </c>
    </row>
    <row r="753" spans="1:14" x14ac:dyDescent="0.25">
      <c r="A753" s="10">
        <v>995067</v>
      </c>
      <c r="B753" s="22" t="str">
        <f>IFERROR(VLOOKUP(A753,VLOOKUPS!$A$2:B$12589,2,FALSE),"")</f>
        <v>Organic Baby Arugula 5oz-standard</v>
      </c>
      <c r="E753">
        <v>1.56</v>
      </c>
      <c r="F753">
        <v>2.56</v>
      </c>
      <c r="G753" s="13">
        <v>44373</v>
      </c>
      <c r="H753" s="13"/>
      <c r="I753" s="22" t="str">
        <f>VLOOKUP(J753, Dropdowns!N:O, 2, FALSE)</f>
        <v>Standard</v>
      </c>
      <c r="J753" t="s">
        <v>760</v>
      </c>
      <c r="L753" s="17" t="s">
        <v>733</v>
      </c>
      <c r="M753" s="17" t="s">
        <v>11</v>
      </c>
      <c r="N753" s="17" t="s">
        <v>740</v>
      </c>
    </row>
    <row r="754" spans="1:14" x14ac:dyDescent="0.25">
      <c r="A754" s="10">
        <v>995074</v>
      </c>
      <c r="B754" s="22" t="str">
        <f>IFERROR(VLOOKUP(A754,VLOOKUPS!$A$2:B$12589,2,FALSE),"")</f>
        <v>Southwest Chopped Salad Kit 12oz-standard</v>
      </c>
      <c r="E754">
        <v>2.99</v>
      </c>
      <c r="F754">
        <v>1.99</v>
      </c>
      <c r="G754" s="13">
        <v>44372</v>
      </c>
      <c r="H754" s="13">
        <v>44374</v>
      </c>
      <c r="I754" s="22" t="str">
        <f>VLOOKUP(J754, Dropdowns!N:O, 2, FALSE)</f>
        <v>Lower Price</v>
      </c>
      <c r="J754" t="s">
        <v>759</v>
      </c>
      <c r="L754" s="17" t="s">
        <v>732</v>
      </c>
      <c r="M754" s="17" t="s">
        <v>10</v>
      </c>
      <c r="N754" s="17">
        <v>2</v>
      </c>
    </row>
    <row r="755" spans="1:14" x14ac:dyDescent="0.25">
      <c r="A755" s="10">
        <v>995074</v>
      </c>
      <c r="B755" s="22" t="str">
        <f>IFERROR(VLOOKUP(A755,VLOOKUPS!$A$2:B$12589,2,FALSE),"")</f>
        <v>Southwest Chopped Salad Kit 12oz-standard</v>
      </c>
      <c r="E755">
        <v>1.99</v>
      </c>
      <c r="F755">
        <v>2.99</v>
      </c>
      <c r="G755" s="13">
        <v>44375</v>
      </c>
      <c r="H755" s="13"/>
      <c r="I755" s="22" t="str">
        <f>VLOOKUP(J755, Dropdowns!N:O, 2, FALSE)</f>
        <v>Standard</v>
      </c>
      <c r="J755" t="s">
        <v>760</v>
      </c>
      <c r="L755" s="17" t="s">
        <v>732</v>
      </c>
      <c r="M755" s="17" t="s">
        <v>10</v>
      </c>
      <c r="N755" s="17">
        <v>2</v>
      </c>
    </row>
    <row r="756" spans="1:14" x14ac:dyDescent="0.25">
      <c r="A756" s="10">
        <v>995078</v>
      </c>
      <c r="B756" s="22" t="str">
        <f>IFERROR(VLOOKUP(A756,VLOOKUPS!$A$2:B$12589,2,FALSE),"")</f>
        <v>Organic Baby Spinach 16oz-standard</v>
      </c>
      <c r="E756">
        <v>4.66</v>
      </c>
      <c r="F756">
        <v>3.66</v>
      </c>
      <c r="G756" s="13">
        <v>44372</v>
      </c>
      <c r="H756" s="13">
        <v>44373</v>
      </c>
      <c r="I756" s="22" t="str">
        <f>VLOOKUP(J756, Dropdowns!N:O, 2, FALSE)</f>
        <v>Lower Price</v>
      </c>
      <c r="J756" t="s">
        <v>759</v>
      </c>
      <c r="L756" s="17" t="s">
        <v>732</v>
      </c>
      <c r="M756" s="17" t="s">
        <v>737</v>
      </c>
      <c r="N756" s="17" t="s">
        <v>736</v>
      </c>
    </row>
    <row r="757" spans="1:14" x14ac:dyDescent="0.25">
      <c r="A757" s="10">
        <v>995078</v>
      </c>
      <c r="B757" s="22" t="str">
        <f>IFERROR(VLOOKUP(A757,VLOOKUPS!$A$2:B$12589,2,FALSE),"")</f>
        <v>Organic Baby Spinach 16oz-standard</v>
      </c>
      <c r="E757">
        <v>3.66</v>
      </c>
      <c r="F757">
        <v>4.66</v>
      </c>
      <c r="G757" s="13">
        <v>44374</v>
      </c>
      <c r="H757" s="13"/>
      <c r="I757" s="22" t="str">
        <f>VLOOKUP(J757, Dropdowns!N:O, 2, FALSE)</f>
        <v>Standard</v>
      </c>
      <c r="J757" t="s">
        <v>760</v>
      </c>
      <c r="L757" s="17" t="s">
        <v>732</v>
      </c>
      <c r="M757" s="17" t="s">
        <v>737</v>
      </c>
      <c r="N757" s="17" t="s">
        <v>736</v>
      </c>
    </row>
    <row r="758" spans="1:14" x14ac:dyDescent="0.25">
      <c r="A758" s="10">
        <v>995101</v>
      </c>
      <c r="B758" s="22" t="str">
        <f>IFERROR(VLOOKUP(A758,VLOOKUPS!$A$2:B$12589,2,FALSE),"")</f>
        <v>Avocado Ranch Salad Kit 11.3oz-standard</v>
      </c>
      <c r="E758">
        <v>2.99</v>
      </c>
      <c r="F758">
        <v>1.99</v>
      </c>
      <c r="G758" s="13">
        <v>44372</v>
      </c>
      <c r="H758" s="13">
        <v>44373</v>
      </c>
      <c r="I758" s="22" t="str">
        <f>VLOOKUP(J758, Dropdowns!N:O, 2, FALSE)</f>
        <v>Lower Price</v>
      </c>
      <c r="J758" t="s">
        <v>759</v>
      </c>
      <c r="L758" s="17" t="s">
        <v>732</v>
      </c>
      <c r="M758" s="17" t="s">
        <v>738</v>
      </c>
      <c r="N758" s="17">
        <v>2</v>
      </c>
    </row>
    <row r="759" spans="1:14" x14ac:dyDescent="0.25">
      <c r="A759" s="10">
        <v>995101</v>
      </c>
      <c r="B759" s="22" t="str">
        <f>IFERROR(VLOOKUP(A759,VLOOKUPS!$A$2:B$12589,2,FALSE),"")</f>
        <v>Avocado Ranch Salad Kit 11.3oz-standard</v>
      </c>
      <c r="E759">
        <v>1.99</v>
      </c>
      <c r="F759">
        <v>2.99</v>
      </c>
      <c r="G759" s="13">
        <v>44374</v>
      </c>
      <c r="H759" s="13"/>
      <c r="I759" s="22" t="str">
        <f>VLOOKUP(J759, Dropdowns!N:O, 2, FALSE)</f>
        <v>Standard</v>
      </c>
      <c r="J759" t="s">
        <v>760</v>
      </c>
      <c r="L759" s="17" t="s">
        <v>732</v>
      </c>
      <c r="M759" s="17" t="s">
        <v>738</v>
      </c>
      <c r="N759" s="17">
        <v>2</v>
      </c>
    </row>
    <row r="760" spans="1:14" x14ac:dyDescent="0.25">
      <c r="A760" s="10">
        <v>995135</v>
      </c>
      <c r="B760" s="22" t="str">
        <f>IFERROR(VLOOKUP(A760,VLOOKUPS!$A$2:B$12589,2,FALSE),"")</f>
        <v>XL Mild Fresh Salsa 30oz-standard</v>
      </c>
      <c r="D760">
        <v>6</v>
      </c>
      <c r="F760">
        <v>6.99</v>
      </c>
      <c r="G760" s="13">
        <v>44372</v>
      </c>
      <c r="H760" s="13"/>
      <c r="I760" s="22" t="str">
        <f>VLOOKUP(J760, Dropdowns!N:O, 2, FALSE)</f>
        <v>New</v>
      </c>
      <c r="J760" t="s">
        <v>776</v>
      </c>
      <c r="L760" s="17" t="s">
        <v>732</v>
      </c>
      <c r="M760" s="17" t="s">
        <v>736</v>
      </c>
      <c r="N760" s="17" t="s">
        <v>736</v>
      </c>
    </row>
    <row r="761" spans="1:14" x14ac:dyDescent="0.25">
      <c r="A761" s="10">
        <v>984541</v>
      </c>
      <c r="B761" s="22" t="str">
        <f>IFERROR(VLOOKUP(A761,VLOOKUPS!$A$2:B$12589,2,FALSE),"")</f>
        <v>Blueberries 1pt-standard</v>
      </c>
      <c r="E761">
        <v>1.99</v>
      </c>
      <c r="F761">
        <v>2.64</v>
      </c>
      <c r="G761" s="13">
        <v>44372</v>
      </c>
      <c r="H761" s="13"/>
      <c r="I761" s="22" t="str">
        <f>VLOOKUP(J761, Dropdowns!N:O, 2, FALSE)</f>
        <v>Standard</v>
      </c>
      <c r="J761" t="s">
        <v>760</v>
      </c>
      <c r="L761" s="17" t="s">
        <v>733</v>
      </c>
      <c r="M761" s="17" t="s">
        <v>11</v>
      </c>
      <c r="N761" s="17" t="s">
        <v>740</v>
      </c>
    </row>
    <row r="762" spans="1:14" x14ac:dyDescent="0.25">
      <c r="A762" s="10">
        <v>995071</v>
      </c>
      <c r="B762" s="22" t="str">
        <f>IFERROR(VLOOKUP(A762,VLOOKUPS!$A$2:B$12589,2,FALSE),"")</f>
        <v>Broccoli Florets 12oz-standard</v>
      </c>
      <c r="E762">
        <v>1.79</v>
      </c>
      <c r="F762">
        <v>2.69</v>
      </c>
      <c r="G762" s="13">
        <v>44372</v>
      </c>
      <c r="H762" s="13"/>
      <c r="I762" s="22" t="str">
        <f>VLOOKUP(J762, Dropdowns!N:O, 2, FALSE)</f>
        <v>Standard</v>
      </c>
      <c r="J762" t="s">
        <v>760</v>
      </c>
      <c r="L762" s="17" t="s">
        <v>733</v>
      </c>
      <c r="M762" s="17" t="s">
        <v>9</v>
      </c>
      <c r="N762" s="17" t="s">
        <v>740</v>
      </c>
    </row>
    <row r="763" spans="1:14" x14ac:dyDescent="0.25">
      <c r="A763" s="10">
        <v>995071</v>
      </c>
      <c r="B763" s="22" t="str">
        <f>IFERROR(VLOOKUP(A763,VLOOKUPS!$A$2:B$12589,2,FALSE),"")</f>
        <v>Broccoli Florets 12oz-standard</v>
      </c>
      <c r="E763">
        <v>1.79</v>
      </c>
      <c r="F763">
        <v>2.79</v>
      </c>
      <c r="G763" s="13">
        <v>44372</v>
      </c>
      <c r="H763" s="13"/>
      <c r="I763" s="22" t="str">
        <f>VLOOKUP(J763, Dropdowns!N:O, 2, FALSE)</f>
        <v>Standard</v>
      </c>
      <c r="J763" t="s">
        <v>760</v>
      </c>
      <c r="L763" s="17" t="s">
        <v>734</v>
      </c>
      <c r="M763" s="17" t="s">
        <v>9</v>
      </c>
      <c r="N763" s="17" t="s">
        <v>736</v>
      </c>
    </row>
    <row r="764" spans="1:14" x14ac:dyDescent="0.25">
      <c r="A764" s="10">
        <v>995001</v>
      </c>
      <c r="B764" s="22" t="str">
        <f>IFERROR(VLOOKUP(A764,VLOOKUPS!$A$2:B$12589,2,FALSE),"")</f>
        <v>Spinach Baby 6oz-standard</v>
      </c>
      <c r="G764" s="13">
        <v>44372</v>
      </c>
      <c r="H764" s="13">
        <v>44373</v>
      </c>
      <c r="I764" s="22" t="str">
        <f>VLOOKUP(J764, Dropdowns!N:O, 2, FALSE)</f>
        <v>Lower Price</v>
      </c>
      <c r="J764" t="s">
        <v>762</v>
      </c>
      <c r="L764" s="17" t="s">
        <v>732</v>
      </c>
      <c r="M764" s="17" t="s">
        <v>9</v>
      </c>
      <c r="N764" s="17" t="s">
        <v>736</v>
      </c>
    </row>
    <row r="765" spans="1:14" x14ac:dyDescent="0.25">
      <c r="A765" s="10">
        <v>984542</v>
      </c>
      <c r="B765" s="22" t="str">
        <f>IFERROR(VLOOKUP(A765,VLOOKUPS!$A$2:B$12589,2,FALSE),"")</f>
        <v>Blueberries 18oz-standard</v>
      </c>
      <c r="G765" s="13">
        <v>44373</v>
      </c>
      <c r="H765" s="13">
        <v>44374</v>
      </c>
      <c r="I765" s="22" t="str">
        <f>VLOOKUP(J765, Dropdowns!N:O, 2, FALSE)</f>
        <v>Lower Price</v>
      </c>
      <c r="J765" t="s">
        <v>753</v>
      </c>
      <c r="L765" s="17" t="s">
        <v>732</v>
      </c>
      <c r="M765" s="17" t="s">
        <v>736</v>
      </c>
      <c r="N765" s="17" t="s">
        <v>736</v>
      </c>
    </row>
    <row r="766" spans="1:14" x14ac:dyDescent="0.25">
      <c r="A766" s="10">
        <v>984542</v>
      </c>
      <c r="B766" s="22" t="str">
        <f>IFERROR(VLOOKUP(A766,VLOOKUPS!$A$2:B$12589,2,FALSE),"")</f>
        <v>Blueberries 18oz-standard</v>
      </c>
      <c r="E766">
        <v>2.99</v>
      </c>
      <c r="F766">
        <v>4.6900000000000004</v>
      </c>
      <c r="G766" s="13">
        <v>44375</v>
      </c>
      <c r="H766" s="13"/>
      <c r="I766" s="22" t="str">
        <f>VLOOKUP(J766, Dropdowns!N:O, 2, FALSE)</f>
        <v>Standard</v>
      </c>
      <c r="J766" t="s">
        <v>760</v>
      </c>
      <c r="L766" s="17" t="s">
        <v>732</v>
      </c>
      <c r="M766" s="17" t="s">
        <v>736</v>
      </c>
      <c r="N766" s="17" t="s">
        <v>736</v>
      </c>
    </row>
    <row r="767" spans="1:14" x14ac:dyDescent="0.25">
      <c r="A767" s="10">
        <v>984541</v>
      </c>
      <c r="B767" s="22" t="str">
        <f>IFERROR(VLOOKUP(A767,VLOOKUPS!$A$2:B$12589,2,FALSE),"")</f>
        <v>Blueberries 1pt-standard</v>
      </c>
      <c r="E767">
        <v>2.64</v>
      </c>
      <c r="F767">
        <v>1.64</v>
      </c>
      <c r="G767" s="13">
        <v>44373</v>
      </c>
      <c r="H767" s="13">
        <v>44374</v>
      </c>
      <c r="I767" s="22" t="str">
        <f>VLOOKUP(J767, Dropdowns!N:O, 2, FALSE)</f>
        <v>Lower Price</v>
      </c>
      <c r="J767" t="s">
        <v>759</v>
      </c>
      <c r="L767" s="17" t="s">
        <v>732</v>
      </c>
      <c r="M767" s="17" t="s">
        <v>736</v>
      </c>
      <c r="N767" s="17" t="s">
        <v>736</v>
      </c>
    </row>
    <row r="768" spans="1:14" x14ac:dyDescent="0.25">
      <c r="A768" s="10">
        <v>984541</v>
      </c>
      <c r="B768" s="22" t="str">
        <f>IFERROR(VLOOKUP(A768,VLOOKUPS!$A$2:B$12589,2,FALSE),"")</f>
        <v>Blueberries 1pt-standard</v>
      </c>
      <c r="E768">
        <v>1.64</v>
      </c>
      <c r="F768">
        <v>2.64</v>
      </c>
      <c r="G768" s="13">
        <v>44375</v>
      </c>
      <c r="H768" s="13"/>
      <c r="I768" s="22" t="str">
        <f>VLOOKUP(J768, Dropdowns!N:O, 2, FALSE)</f>
        <v>Standard</v>
      </c>
      <c r="J768" t="s">
        <v>760</v>
      </c>
      <c r="L768" s="17" t="s">
        <v>732</v>
      </c>
      <c r="M768" s="17" t="s">
        <v>736</v>
      </c>
      <c r="N768" s="17" t="s">
        <v>736</v>
      </c>
    </row>
    <row r="769" spans="1:14" x14ac:dyDescent="0.25">
      <c r="A769" s="10">
        <v>984701</v>
      </c>
      <c r="B769" s="22" t="str">
        <f>IFERROR(VLOOKUP(A769,VLOOKUPS!$A$2:B$12589,2,FALSE),"")</f>
        <v>Blackberries Super Sweet 6oz-standard</v>
      </c>
      <c r="E769">
        <v>3.79</v>
      </c>
      <c r="F769">
        <v>2.4900000000000002</v>
      </c>
      <c r="G769" s="13">
        <v>44373</v>
      </c>
      <c r="H769" s="13">
        <v>44374</v>
      </c>
      <c r="I769" s="22" t="str">
        <f>VLOOKUP(J769, Dropdowns!N:O, 2, FALSE)</f>
        <v>Lower Price</v>
      </c>
      <c r="J769" t="s">
        <v>759</v>
      </c>
      <c r="L769" s="17" t="s">
        <v>732</v>
      </c>
      <c r="M769" s="17" t="s">
        <v>736</v>
      </c>
      <c r="N769" s="17" t="s">
        <v>736</v>
      </c>
    </row>
    <row r="770" spans="1:14" x14ac:dyDescent="0.25">
      <c r="A770" s="10">
        <v>984701</v>
      </c>
      <c r="B770" s="22" t="str">
        <f>IFERROR(VLOOKUP(A770,VLOOKUPS!$A$2:B$12589,2,FALSE),"")</f>
        <v>Blackberries Super Sweet 6oz-standard</v>
      </c>
      <c r="E770">
        <v>2.4900000000000002</v>
      </c>
      <c r="F770">
        <v>3.79</v>
      </c>
      <c r="G770" s="13">
        <v>44375</v>
      </c>
      <c r="H770" s="13"/>
      <c r="I770" s="22" t="str">
        <f>VLOOKUP(J770, Dropdowns!N:O, 2, FALSE)</f>
        <v>Standard</v>
      </c>
      <c r="J770" t="s">
        <v>760</v>
      </c>
      <c r="L770" s="17" t="s">
        <v>732</v>
      </c>
      <c r="M770" s="17" t="s">
        <v>736</v>
      </c>
      <c r="N770" s="17" t="s">
        <v>736</v>
      </c>
    </row>
    <row r="771" spans="1:14" x14ac:dyDescent="0.25">
      <c r="A771" s="10">
        <v>984740</v>
      </c>
      <c r="B771" s="22" t="str">
        <f>IFERROR(VLOOKUP(A771,VLOOKUPS!$A$2:B$12589,2,FALSE),"")</f>
        <v>Organic Blackberries 6oz-standard</v>
      </c>
      <c r="E771">
        <v>3.75</v>
      </c>
      <c r="F771">
        <v>2.5499999999999998</v>
      </c>
      <c r="G771" s="13">
        <v>44373</v>
      </c>
      <c r="H771" s="13">
        <v>44374</v>
      </c>
      <c r="I771" s="22" t="str">
        <f>VLOOKUP(J771, Dropdowns!N:O, 2, FALSE)</f>
        <v>Lower Price</v>
      </c>
      <c r="J771" t="s">
        <v>759</v>
      </c>
      <c r="L771" s="17" t="s">
        <v>732</v>
      </c>
      <c r="M771" s="17" t="s">
        <v>9</v>
      </c>
      <c r="N771" s="17" t="s">
        <v>736</v>
      </c>
    </row>
    <row r="772" spans="1:14" x14ac:dyDescent="0.25">
      <c r="A772" s="10">
        <v>984740</v>
      </c>
      <c r="B772" s="22" t="str">
        <f>IFERROR(VLOOKUP(A772,VLOOKUPS!$A$2:B$12589,2,FALSE),"")</f>
        <v>Organic Blackberries 6oz-standard</v>
      </c>
      <c r="E772">
        <v>2.5499999999999998</v>
      </c>
      <c r="F772">
        <v>3.75</v>
      </c>
      <c r="G772" s="13">
        <v>44375</v>
      </c>
      <c r="H772" s="13"/>
      <c r="I772" s="22" t="str">
        <f>VLOOKUP(J772, Dropdowns!N:O, 2, FALSE)</f>
        <v>Standard</v>
      </c>
      <c r="J772" t="s">
        <v>760</v>
      </c>
      <c r="L772" s="17" t="s">
        <v>732</v>
      </c>
      <c r="M772" s="17" t="s">
        <v>9</v>
      </c>
      <c r="N772" s="17" t="s">
        <v>736</v>
      </c>
    </row>
    <row r="773" spans="1:14" x14ac:dyDescent="0.25">
      <c r="A773" s="10">
        <v>988571</v>
      </c>
      <c r="B773" s="22" t="str">
        <f>IFERROR(VLOOKUP(A773,VLOOKUPS!$A$2:B$12589,2,FALSE),"")</f>
        <v>Cauliflower* 1ct-LOOSE</v>
      </c>
      <c r="E773">
        <v>2.77</v>
      </c>
      <c r="F773">
        <v>1.97</v>
      </c>
      <c r="G773" s="13">
        <v>44373</v>
      </c>
      <c r="H773" s="13">
        <v>44374</v>
      </c>
      <c r="I773" s="22" t="str">
        <f>VLOOKUP(J773, Dropdowns!N:O, 2, FALSE)</f>
        <v>Lower Price</v>
      </c>
      <c r="J773" t="s">
        <v>759</v>
      </c>
      <c r="L773" s="17" t="s">
        <v>732</v>
      </c>
      <c r="M773" s="17" t="s">
        <v>735</v>
      </c>
      <c r="N773" s="17" t="s">
        <v>736</v>
      </c>
    </row>
    <row r="774" spans="1:14" x14ac:dyDescent="0.25">
      <c r="A774" s="10">
        <v>988571</v>
      </c>
      <c r="B774" s="22" t="str">
        <f>IFERROR(VLOOKUP(A774,VLOOKUPS!$A$2:B$12589,2,FALSE),"")</f>
        <v>Cauliflower* 1ct-LOOSE</v>
      </c>
      <c r="E774">
        <v>1.97</v>
      </c>
      <c r="F774">
        <v>2.77</v>
      </c>
      <c r="G774" s="13">
        <v>44375</v>
      </c>
      <c r="H774" s="13"/>
      <c r="I774" s="22" t="str">
        <f>VLOOKUP(J774, Dropdowns!N:O, 2, FALSE)</f>
        <v>Standard</v>
      </c>
      <c r="J774" t="s">
        <v>760</v>
      </c>
      <c r="L774" s="17" t="s">
        <v>732</v>
      </c>
      <c r="M774" s="17" t="s">
        <v>735</v>
      </c>
      <c r="N774" s="17" t="s">
        <v>736</v>
      </c>
    </row>
    <row r="775" spans="1:14" x14ac:dyDescent="0.25">
      <c r="A775" s="10">
        <v>988620</v>
      </c>
      <c r="B775" s="22" t="str">
        <f>IFERROR(VLOOKUP(A775,VLOOKUPS!$A$2:B$12589,2,FALSE),"")</f>
        <v>Brussels Sprouts 1lb-standard</v>
      </c>
      <c r="E775">
        <v>2.89</v>
      </c>
      <c r="F775">
        <v>1.89</v>
      </c>
      <c r="G775" s="13">
        <v>44373</v>
      </c>
      <c r="H775" s="13">
        <v>44374</v>
      </c>
      <c r="I775" s="22" t="str">
        <f>VLOOKUP(J775, Dropdowns!N:O, 2, FALSE)</f>
        <v>Lower Price</v>
      </c>
      <c r="J775" t="s">
        <v>759</v>
      </c>
      <c r="L775" s="17" t="s">
        <v>732</v>
      </c>
      <c r="M775" s="17" t="s">
        <v>737</v>
      </c>
      <c r="N775" s="17" t="s">
        <v>736</v>
      </c>
    </row>
    <row r="776" spans="1:14" x14ac:dyDescent="0.25">
      <c r="A776" s="10">
        <v>988620</v>
      </c>
      <c r="B776" s="22" t="str">
        <f>IFERROR(VLOOKUP(A776,VLOOKUPS!$A$2:B$12589,2,FALSE),"")</f>
        <v>Brussels Sprouts 1lb-standard</v>
      </c>
      <c r="E776">
        <v>1.89</v>
      </c>
      <c r="F776">
        <v>2.89</v>
      </c>
      <c r="G776" s="13">
        <v>44375</v>
      </c>
      <c r="H776" s="13"/>
      <c r="I776" s="22" t="str">
        <f>VLOOKUP(J776, Dropdowns!N:O, 2, FALSE)</f>
        <v>Standard</v>
      </c>
      <c r="J776" t="s">
        <v>760</v>
      </c>
      <c r="L776" s="17" t="s">
        <v>732</v>
      </c>
      <c r="M776" s="17" t="s">
        <v>737</v>
      </c>
      <c r="N776" s="17" t="s">
        <v>736</v>
      </c>
    </row>
    <row r="777" spans="1:14" x14ac:dyDescent="0.25">
      <c r="A777" s="10">
        <v>995001</v>
      </c>
      <c r="B777" s="22" t="str">
        <f>IFERROR(VLOOKUP(A777,VLOOKUPS!$A$2:B$12589,2,FALSE),"")</f>
        <v>Spinach Baby 6oz-standard</v>
      </c>
      <c r="G777" s="13">
        <v>44373</v>
      </c>
      <c r="H777" s="13">
        <v>44375</v>
      </c>
      <c r="I777" s="22" t="str">
        <f>VLOOKUP(J777, Dropdowns!N:O, 2, FALSE)</f>
        <v>Lower Price</v>
      </c>
      <c r="J777" t="s">
        <v>762</v>
      </c>
      <c r="L777" s="17" t="s">
        <v>733</v>
      </c>
      <c r="M777" s="17" t="s">
        <v>11</v>
      </c>
      <c r="N777" s="17" t="s">
        <v>740</v>
      </c>
    </row>
    <row r="778" spans="1:14" x14ac:dyDescent="0.25">
      <c r="A778" s="10">
        <v>995001</v>
      </c>
      <c r="B778" s="22" t="str">
        <f>IFERROR(VLOOKUP(A778,VLOOKUPS!$A$2:B$12589,2,FALSE),"")</f>
        <v>Spinach Baby 6oz-standard</v>
      </c>
      <c r="E778">
        <v>1.46</v>
      </c>
      <c r="F778">
        <v>2.2599999999999998</v>
      </c>
      <c r="G778" s="13">
        <v>44374</v>
      </c>
      <c r="H778" s="13"/>
      <c r="I778" s="22" t="str">
        <f>VLOOKUP(J778, Dropdowns!N:O, 2, FALSE)</f>
        <v>Standard</v>
      </c>
      <c r="J778" t="s">
        <v>760</v>
      </c>
      <c r="L778" s="17" t="s">
        <v>732</v>
      </c>
      <c r="M778" s="17" t="s">
        <v>9</v>
      </c>
      <c r="N778" s="17" t="s">
        <v>736</v>
      </c>
    </row>
    <row r="779" spans="1:14" x14ac:dyDescent="0.25">
      <c r="A779" s="10">
        <v>995041</v>
      </c>
      <c r="B779" s="22" t="str">
        <f>IFERROR(VLOOKUP(A779,VLOOKUPS!$A$2:B$12589,2,FALSE),"")</f>
        <v>Pineapple Spears 16oz-standard</v>
      </c>
      <c r="E779">
        <v>3.29</v>
      </c>
      <c r="F779">
        <v>2.29</v>
      </c>
      <c r="G779" s="13">
        <v>44373</v>
      </c>
      <c r="H779" s="13">
        <v>44374</v>
      </c>
      <c r="I779" s="22" t="str">
        <f>VLOOKUP(J779, Dropdowns!N:O, 2, FALSE)</f>
        <v>Lower Price</v>
      </c>
      <c r="J779" t="s">
        <v>759</v>
      </c>
      <c r="L779" s="17" t="s">
        <v>732</v>
      </c>
      <c r="M779" s="17" t="s">
        <v>9</v>
      </c>
      <c r="N779" s="17" t="s">
        <v>736</v>
      </c>
    </row>
    <row r="780" spans="1:14" x14ac:dyDescent="0.25">
      <c r="A780" s="10">
        <v>995041</v>
      </c>
      <c r="B780" s="22" t="str">
        <f>IFERROR(VLOOKUP(A780,VLOOKUPS!$A$2:B$12589,2,FALSE),"")</f>
        <v>Pineapple Spears 16oz-standard</v>
      </c>
      <c r="E780">
        <v>2.29</v>
      </c>
      <c r="F780">
        <v>3.29</v>
      </c>
      <c r="G780" s="13">
        <v>44375</v>
      </c>
      <c r="H780" s="13"/>
      <c r="I780" s="22" t="str">
        <f>VLOOKUP(J780, Dropdowns!N:O, 2, FALSE)</f>
        <v>Standard</v>
      </c>
      <c r="J780" t="s">
        <v>760</v>
      </c>
      <c r="L780" s="17" t="s">
        <v>732</v>
      </c>
      <c r="M780" s="17" t="s">
        <v>9</v>
      </c>
      <c r="N780" s="17" t="s">
        <v>736</v>
      </c>
    </row>
    <row r="781" spans="1:14" x14ac:dyDescent="0.25">
      <c r="A781" s="10">
        <v>995101</v>
      </c>
      <c r="B781" s="22" t="str">
        <f>IFERROR(VLOOKUP(A781,VLOOKUPS!$A$2:B$12589,2,FALSE),"")</f>
        <v>Avocado Ranch Salad Kit 11.3oz-standard</v>
      </c>
      <c r="E781">
        <v>2.99</v>
      </c>
      <c r="F781">
        <v>1.99</v>
      </c>
      <c r="G781" s="13">
        <v>44373</v>
      </c>
      <c r="H781" s="13">
        <v>44374</v>
      </c>
      <c r="I781" s="22" t="str">
        <f>VLOOKUP(J781, Dropdowns!N:O, 2, FALSE)</f>
        <v>Lower Price</v>
      </c>
      <c r="J781" t="s">
        <v>759</v>
      </c>
      <c r="L781" s="17" t="s">
        <v>732</v>
      </c>
      <c r="M781" s="17" t="s">
        <v>9</v>
      </c>
      <c r="N781" s="17" t="s">
        <v>736</v>
      </c>
    </row>
    <row r="782" spans="1:14" x14ac:dyDescent="0.25">
      <c r="A782" s="10">
        <v>995101</v>
      </c>
      <c r="B782" s="22" t="str">
        <f>IFERROR(VLOOKUP(A782,VLOOKUPS!$A$2:B$12589,2,FALSE),"")</f>
        <v>Avocado Ranch Salad Kit 11.3oz-standard</v>
      </c>
      <c r="E782">
        <v>1.99</v>
      </c>
      <c r="F782">
        <v>2.99</v>
      </c>
      <c r="G782" s="13">
        <v>44375</v>
      </c>
      <c r="H782" s="13"/>
      <c r="I782" s="22" t="str">
        <f>VLOOKUP(J782, Dropdowns!N:O, 2, FALSE)</f>
        <v>Standard</v>
      </c>
      <c r="J782" t="s">
        <v>760</v>
      </c>
      <c r="L782" s="17" t="s">
        <v>732</v>
      </c>
      <c r="M782" s="17" t="s">
        <v>9</v>
      </c>
      <c r="N782" s="17" t="s">
        <v>736</v>
      </c>
    </row>
    <row r="783" spans="1:14" x14ac:dyDescent="0.25">
      <c r="A783" s="10">
        <v>995115</v>
      </c>
      <c r="B783" s="22" t="str">
        <f>IFERROR(VLOOKUP(A783,VLOOKUPS!$A$2:B$12589,2,FALSE),"")</f>
        <v>Pineapple Chunks 10oz-standard</v>
      </c>
      <c r="E783">
        <v>2.29</v>
      </c>
      <c r="F783">
        <v>1.49</v>
      </c>
      <c r="G783" s="13">
        <v>44373</v>
      </c>
      <c r="H783" s="13">
        <v>44374</v>
      </c>
      <c r="I783" s="22" t="str">
        <f>VLOOKUP(J783, Dropdowns!N:O, 2, FALSE)</f>
        <v>Lower Price</v>
      </c>
      <c r="J783" t="s">
        <v>759</v>
      </c>
      <c r="L783" s="17" t="s">
        <v>732</v>
      </c>
      <c r="M783" s="17" t="s">
        <v>10</v>
      </c>
      <c r="N783" s="17">
        <v>2</v>
      </c>
    </row>
    <row r="784" spans="1:14" x14ac:dyDescent="0.25">
      <c r="A784" s="10">
        <v>995115</v>
      </c>
      <c r="B784" s="22" t="str">
        <f>IFERROR(VLOOKUP(A784,VLOOKUPS!$A$2:B$12589,2,FALSE),"")</f>
        <v>Pineapple Chunks 10oz-standard</v>
      </c>
      <c r="E784">
        <v>1.49</v>
      </c>
      <c r="F784">
        <v>2.29</v>
      </c>
      <c r="G784" s="13">
        <v>44375</v>
      </c>
      <c r="H784" s="13"/>
      <c r="I784" s="22" t="str">
        <f>VLOOKUP(J784, Dropdowns!N:O, 2, FALSE)</f>
        <v>Standard</v>
      </c>
      <c r="J784" t="s">
        <v>760</v>
      </c>
      <c r="L784" s="17" t="s">
        <v>732</v>
      </c>
      <c r="M784" s="17" t="s">
        <v>10</v>
      </c>
      <c r="N784" s="17">
        <v>2</v>
      </c>
    </row>
    <row r="785" spans="1:14" x14ac:dyDescent="0.25">
      <c r="A785" s="10">
        <v>995007</v>
      </c>
      <c r="B785" s="22" t="str">
        <f>IFERROR(VLOOKUP(A785,VLOOKUPS!$A$2:B$12589,2,FALSE),"")</f>
        <v>Caesar Salad Kit 10.5oz-standard</v>
      </c>
      <c r="E785">
        <v>1.99</v>
      </c>
      <c r="F785">
        <v>2.29</v>
      </c>
      <c r="G785" s="13">
        <v>44373</v>
      </c>
      <c r="H785" s="13"/>
      <c r="I785" s="22" t="str">
        <f>VLOOKUP(J785, Dropdowns!N:O, 2, FALSE)</f>
        <v>Standard</v>
      </c>
      <c r="J785" t="s">
        <v>760</v>
      </c>
      <c r="L785" s="17" t="s">
        <v>732</v>
      </c>
      <c r="M785" s="17" t="s">
        <v>736</v>
      </c>
      <c r="N785" s="17" t="s">
        <v>736</v>
      </c>
    </row>
    <row r="786" spans="1:14" x14ac:dyDescent="0.25">
      <c r="A786" s="10">
        <v>984460</v>
      </c>
      <c r="B786" s="22" t="str">
        <f>IFERROR(VLOOKUP(A786,VLOOKUPS!$A$2:B$12589,2,FALSE),"")</f>
        <v>Strawberries 1lb-standard</v>
      </c>
      <c r="E786">
        <v>1.99</v>
      </c>
      <c r="F786">
        <v>1.79</v>
      </c>
      <c r="G786" s="13">
        <v>44376</v>
      </c>
      <c r="H786" s="13"/>
      <c r="I786" s="22" t="str">
        <f>VLOOKUP(J786, Dropdowns!N:O, 2, FALSE)</f>
        <v>Standard</v>
      </c>
      <c r="J786" t="s">
        <v>761</v>
      </c>
      <c r="L786" s="17" t="s">
        <v>732</v>
      </c>
      <c r="M786" s="17" t="s">
        <v>736</v>
      </c>
      <c r="N786" s="17" t="s">
        <v>736</v>
      </c>
    </row>
    <row r="787" spans="1:14" x14ac:dyDescent="0.25">
      <c r="A787" s="10">
        <v>984461</v>
      </c>
      <c r="B787" s="22" t="str">
        <f>IFERROR(VLOOKUP(A787,VLOOKUPS!$A$2:B$12589,2,FALSE),"")</f>
        <v>Strawberries 2lb-standard</v>
      </c>
      <c r="E787">
        <v>3.79</v>
      </c>
      <c r="F787">
        <v>3.39</v>
      </c>
      <c r="G787" s="13">
        <v>44376</v>
      </c>
      <c r="H787" s="13"/>
      <c r="I787" s="22" t="str">
        <f>VLOOKUP(J787, Dropdowns!N:O, 2, FALSE)</f>
        <v>Standard</v>
      </c>
      <c r="J787" t="s">
        <v>761</v>
      </c>
      <c r="L787" s="17" t="s">
        <v>732</v>
      </c>
      <c r="M787" s="17" t="s">
        <v>736</v>
      </c>
      <c r="N787" s="17" t="s">
        <v>736</v>
      </c>
    </row>
    <row r="788" spans="1:14" x14ac:dyDescent="0.25">
      <c r="A788" s="10">
        <v>995041</v>
      </c>
      <c r="B788" s="22" t="str">
        <f>IFERROR(VLOOKUP(A788,VLOOKUPS!$A$2:B$12589,2,FALSE),"")</f>
        <v>Pineapple Spears 16oz-standard</v>
      </c>
      <c r="E788">
        <v>3.29</v>
      </c>
      <c r="F788">
        <v>3.49</v>
      </c>
      <c r="G788" s="13">
        <v>44376</v>
      </c>
      <c r="H788" s="13"/>
      <c r="I788" s="22" t="str">
        <f>VLOOKUP(J788, Dropdowns!N:O, 2, FALSE)</f>
        <v>Standard</v>
      </c>
      <c r="J788" t="s">
        <v>761</v>
      </c>
      <c r="L788" s="17" t="s">
        <v>732</v>
      </c>
      <c r="M788" s="17" t="s">
        <v>736</v>
      </c>
      <c r="N788" s="17" t="s">
        <v>736</v>
      </c>
    </row>
    <row r="789" spans="1:14" x14ac:dyDescent="0.25">
      <c r="A789" s="10">
        <v>995042</v>
      </c>
      <c r="B789" s="22" t="str">
        <f>IFERROR(VLOOKUP(A789,VLOOKUPS!$A$2:B$12589,2,FALSE),"")</f>
        <v>Mango Chunks 16oz-standard</v>
      </c>
      <c r="E789">
        <v>3.99</v>
      </c>
      <c r="F789">
        <v>4.29</v>
      </c>
      <c r="G789" s="13">
        <v>44376</v>
      </c>
      <c r="H789" s="13"/>
      <c r="I789" s="22" t="str">
        <f>VLOOKUP(J789, Dropdowns!N:O, 2, FALSE)</f>
        <v>Standard</v>
      </c>
      <c r="J789" t="s">
        <v>761</v>
      </c>
      <c r="L789" s="17" t="s">
        <v>732</v>
      </c>
      <c r="M789" s="17" t="s">
        <v>736</v>
      </c>
      <c r="N789" s="17" t="s">
        <v>736</v>
      </c>
    </row>
    <row r="790" spans="1:14" x14ac:dyDescent="0.25">
      <c r="A790" s="10">
        <v>995043</v>
      </c>
      <c r="B790" s="22" t="str">
        <f>IFERROR(VLOOKUP(A790,VLOOKUPS!$A$2:B$12589,2,FALSE),"")</f>
        <v>Watermelon Chunks 16oz-standard</v>
      </c>
      <c r="E790">
        <v>3.29</v>
      </c>
      <c r="F790">
        <v>3.49</v>
      </c>
      <c r="G790" s="13">
        <v>44376</v>
      </c>
      <c r="H790" s="13"/>
      <c r="I790" s="22" t="str">
        <f>VLOOKUP(J790, Dropdowns!N:O, 2, FALSE)</f>
        <v>Standard</v>
      </c>
      <c r="J790" t="s">
        <v>761</v>
      </c>
      <c r="L790" s="17" t="s">
        <v>732</v>
      </c>
      <c r="M790" s="17" t="s">
        <v>736</v>
      </c>
      <c r="N790" s="17" t="s">
        <v>736</v>
      </c>
    </row>
    <row r="791" spans="1:14" x14ac:dyDescent="0.25">
      <c r="A791" s="10">
        <v>995115</v>
      </c>
      <c r="B791" s="22" t="str">
        <f>IFERROR(VLOOKUP(A791,VLOOKUPS!$A$2:B$12589,2,FALSE),"")</f>
        <v>Pineapple Chunks 10oz-standard</v>
      </c>
      <c r="E791">
        <v>2.29</v>
      </c>
      <c r="F791">
        <v>2.39</v>
      </c>
      <c r="G791" s="13">
        <v>44376</v>
      </c>
      <c r="H791" s="13"/>
      <c r="I791" s="22" t="str">
        <f>VLOOKUP(J791, Dropdowns!N:O, 2, FALSE)</f>
        <v>Standard</v>
      </c>
      <c r="J791" t="s">
        <v>761</v>
      </c>
      <c r="L791" s="17" t="s">
        <v>732</v>
      </c>
      <c r="M791" s="17" t="s">
        <v>736</v>
      </c>
      <c r="N791" s="17" t="s">
        <v>736</v>
      </c>
    </row>
    <row r="792" spans="1:14" x14ac:dyDescent="0.25">
      <c r="A792" s="10">
        <v>995116</v>
      </c>
      <c r="B792" s="22" t="str">
        <f>IFERROR(VLOOKUP(A792,VLOOKUPS!$A$2:B$12589,2,FALSE),"")</f>
        <v>Mango Chunks 10oz-standard</v>
      </c>
      <c r="E792">
        <v>2.59</v>
      </c>
      <c r="F792">
        <v>2.69</v>
      </c>
      <c r="G792" s="13">
        <v>44376</v>
      </c>
      <c r="H792" s="13"/>
      <c r="I792" s="22" t="str">
        <f>VLOOKUP(J792, Dropdowns!N:O, 2, FALSE)</f>
        <v>Standard</v>
      </c>
      <c r="J792" t="s">
        <v>761</v>
      </c>
      <c r="L792" s="17" t="s">
        <v>732</v>
      </c>
      <c r="M792" s="17" t="s">
        <v>736</v>
      </c>
      <c r="N792" s="17" t="s">
        <v>736</v>
      </c>
    </row>
    <row r="793" spans="1:14" x14ac:dyDescent="0.25">
      <c r="A793" s="10">
        <v>995102</v>
      </c>
      <c r="B793" s="22" t="str">
        <f>IFERROR(VLOOKUP(A793,VLOOKUPS!$A$2:B$12589,2,FALSE),"")</f>
        <v>Cantaloupe Chunks 16oz-standard</v>
      </c>
      <c r="E793">
        <v>3.3</v>
      </c>
      <c r="F793">
        <v>3.49</v>
      </c>
      <c r="G793" s="13">
        <v>44376</v>
      </c>
      <c r="H793" s="13"/>
      <c r="I793" s="22" t="str">
        <f>VLOOKUP(J793, Dropdowns!N:O, 2, FALSE)</f>
        <v>Standard</v>
      </c>
      <c r="J793" t="s">
        <v>761</v>
      </c>
      <c r="L793" s="17" t="s">
        <v>732</v>
      </c>
      <c r="M793" s="17" t="s">
        <v>736</v>
      </c>
      <c r="N793" s="17" t="s">
        <v>736</v>
      </c>
    </row>
    <row r="794" spans="1:14" x14ac:dyDescent="0.25">
      <c r="A794" s="10">
        <v>995141</v>
      </c>
      <c r="B794" s="22" t="str">
        <f>IFERROR(VLOOKUP(A794,VLOOKUPS!$A$2:B$12589,2,FALSE),"")</f>
        <v>Watermelon Chunks 32oz-standard</v>
      </c>
      <c r="E794">
        <v>6.29</v>
      </c>
      <c r="F794">
        <v>6.49</v>
      </c>
      <c r="G794" s="13">
        <v>44376</v>
      </c>
      <c r="H794" s="13"/>
      <c r="I794" s="22" t="str">
        <f>VLOOKUP(J794, Dropdowns!N:O, 2, FALSE)</f>
        <v>Standard</v>
      </c>
      <c r="J794" t="s">
        <v>761</v>
      </c>
      <c r="L794" s="17" t="s">
        <v>732</v>
      </c>
      <c r="M794" s="17" t="s">
        <v>736</v>
      </c>
      <c r="N794" s="17" t="s">
        <v>736</v>
      </c>
    </row>
    <row r="795" spans="1:14" x14ac:dyDescent="0.25">
      <c r="A795" s="10">
        <v>984580</v>
      </c>
      <c r="B795" s="22" t="str">
        <f>IFERROR(VLOOKUP(A795,VLOOKUPS!$A$2:B$12589,2,FALSE),"")</f>
        <v>Organic Blueberries 6oz-standard</v>
      </c>
      <c r="E795">
        <v>2.99</v>
      </c>
      <c r="F795">
        <v>2.59</v>
      </c>
      <c r="G795" s="13">
        <v>44376</v>
      </c>
      <c r="H795" s="13"/>
      <c r="I795" s="22" t="str">
        <f>VLOOKUP(J795, Dropdowns!N:O, 2, FALSE)</f>
        <v>Standard</v>
      </c>
      <c r="J795" t="s">
        <v>761</v>
      </c>
      <c r="L795" s="17" t="s">
        <v>732</v>
      </c>
      <c r="M795" s="17" t="s">
        <v>736</v>
      </c>
      <c r="N795" s="17" t="s">
        <v>736</v>
      </c>
    </row>
    <row r="796" spans="1:14" x14ac:dyDescent="0.25">
      <c r="A796" s="10">
        <v>984542</v>
      </c>
      <c r="B796" s="22" t="str">
        <f>IFERROR(VLOOKUP(A796,VLOOKUPS!$A$2:B$12589,2,FALSE),"")</f>
        <v>Blueberries 18oz-standard</v>
      </c>
      <c r="E796">
        <v>4.6900000000000004</v>
      </c>
      <c r="F796">
        <v>4.1900000000000004</v>
      </c>
      <c r="G796" s="13">
        <v>44376</v>
      </c>
      <c r="H796" s="13"/>
      <c r="I796" s="22" t="str">
        <f>VLOOKUP(J796, Dropdowns!N:O, 2, FALSE)</f>
        <v>Standard</v>
      </c>
      <c r="J796" t="s">
        <v>761</v>
      </c>
      <c r="L796" s="17" t="s">
        <v>732</v>
      </c>
      <c r="M796" s="17" t="s">
        <v>736</v>
      </c>
      <c r="N796" s="17" t="s">
        <v>736</v>
      </c>
    </row>
    <row r="797" spans="1:14" x14ac:dyDescent="0.25">
      <c r="A797" s="10">
        <v>983151</v>
      </c>
      <c r="B797" s="22" t="str">
        <f>IFERROR(VLOOKUP(A797,VLOOKUPS!$A$2:B$12589,2,FALSE),"")</f>
        <v>Melons* Golden Honeydew 1ct-LOOSE</v>
      </c>
      <c r="E797">
        <v>3.58</v>
      </c>
      <c r="F797">
        <v>1.98</v>
      </c>
      <c r="G797" s="13">
        <v>44376</v>
      </c>
      <c r="H797" s="13">
        <v>44378</v>
      </c>
      <c r="I797" s="22" t="str">
        <f>VLOOKUP(J797, Dropdowns!N:O, 2, FALSE)</f>
        <v>Lower Price</v>
      </c>
      <c r="J797" t="s">
        <v>759</v>
      </c>
      <c r="L797" s="17" t="s">
        <v>732</v>
      </c>
      <c r="M797" s="17" t="s">
        <v>9</v>
      </c>
      <c r="N797" s="17" t="s">
        <v>736</v>
      </c>
    </row>
    <row r="798" spans="1:14" x14ac:dyDescent="0.25">
      <c r="A798" s="10">
        <v>983151</v>
      </c>
      <c r="B798" s="22" t="str">
        <f>IFERROR(VLOOKUP(A798,VLOOKUPS!$A$2:B$12589,2,FALSE),"")</f>
        <v>Melons* Golden Honeydew 1ct-LOOSE</v>
      </c>
      <c r="E798">
        <v>1.98</v>
      </c>
      <c r="F798">
        <v>3.58</v>
      </c>
      <c r="G798" s="13">
        <v>44379</v>
      </c>
      <c r="H798" s="13"/>
      <c r="I798" s="22" t="str">
        <f>VLOOKUP(J798, Dropdowns!N:O, 2, FALSE)</f>
        <v>Standard</v>
      </c>
      <c r="J798" t="s">
        <v>760</v>
      </c>
      <c r="L798" s="17" t="s">
        <v>732</v>
      </c>
      <c r="M798" s="17" t="s">
        <v>9</v>
      </c>
      <c r="N798" s="17" t="s">
        <v>736</v>
      </c>
    </row>
    <row r="799" spans="1:14" x14ac:dyDescent="0.25">
      <c r="A799" s="10">
        <v>984541</v>
      </c>
      <c r="B799" s="22" t="str">
        <f>IFERROR(VLOOKUP(A799,VLOOKUPS!$A$2:B$12589,2,FALSE),"")</f>
        <v>Blueberries 1pt-standard</v>
      </c>
      <c r="E799">
        <v>2.64</v>
      </c>
      <c r="F799">
        <v>1.64</v>
      </c>
      <c r="G799" s="13">
        <v>44376</v>
      </c>
      <c r="H799" s="13">
        <v>44377</v>
      </c>
      <c r="I799" s="22" t="str">
        <f>VLOOKUP(J799, Dropdowns!N:O, 2, FALSE)</f>
        <v>Lower Price</v>
      </c>
      <c r="J799" t="s">
        <v>759</v>
      </c>
      <c r="L799" s="17" t="s">
        <v>732</v>
      </c>
      <c r="M799" s="17" t="s">
        <v>736</v>
      </c>
      <c r="N799" s="17" t="s">
        <v>736</v>
      </c>
    </row>
    <row r="800" spans="1:14" x14ac:dyDescent="0.25">
      <c r="A800" s="10">
        <v>984541</v>
      </c>
      <c r="B800" s="22" t="str">
        <f>IFERROR(VLOOKUP(A800,VLOOKUPS!$A$2:B$12589,2,FALSE),"")</f>
        <v>Blueberries 1pt-standard</v>
      </c>
      <c r="E800">
        <v>1.64</v>
      </c>
      <c r="F800">
        <v>2.64</v>
      </c>
      <c r="G800" s="13">
        <v>44378</v>
      </c>
      <c r="H800" s="13"/>
      <c r="I800" s="22" t="str">
        <f>VLOOKUP(J800, Dropdowns!N:O, 2, FALSE)</f>
        <v>Standard</v>
      </c>
      <c r="J800" t="s">
        <v>760</v>
      </c>
      <c r="L800" s="17" t="s">
        <v>732</v>
      </c>
      <c r="M800" s="17" t="s">
        <v>736</v>
      </c>
      <c r="N800" s="17" t="s">
        <v>736</v>
      </c>
    </row>
    <row r="801" spans="1:14" x14ac:dyDescent="0.25">
      <c r="A801" s="10">
        <v>984620</v>
      </c>
      <c r="B801" s="22" t="str">
        <f>IFERROR(VLOOKUP(A801,VLOOKUPS!$A$2:B$12589,2,FALSE),"")</f>
        <v>Raspberries 6oz-standard</v>
      </c>
      <c r="E801">
        <v>2.74</v>
      </c>
      <c r="F801">
        <v>1.74</v>
      </c>
      <c r="G801" s="13">
        <v>44376</v>
      </c>
      <c r="H801" s="13">
        <v>44377</v>
      </c>
      <c r="I801" s="22" t="str">
        <f>VLOOKUP(J801, Dropdowns!N:O, 2, FALSE)</f>
        <v>Lower Price</v>
      </c>
      <c r="J801" t="s">
        <v>759</v>
      </c>
      <c r="L801" s="17" t="s">
        <v>732</v>
      </c>
      <c r="M801" s="17" t="s">
        <v>10</v>
      </c>
      <c r="N801" s="17">
        <v>2</v>
      </c>
    </row>
    <row r="802" spans="1:14" x14ac:dyDescent="0.25">
      <c r="A802" s="10">
        <v>984620</v>
      </c>
      <c r="B802" s="22" t="str">
        <f>IFERROR(VLOOKUP(A802,VLOOKUPS!$A$2:B$12589,2,FALSE),"")</f>
        <v>Raspberries 6oz-standard</v>
      </c>
      <c r="E802">
        <v>1.74</v>
      </c>
      <c r="F802">
        <v>2.74</v>
      </c>
      <c r="G802" s="13">
        <v>44378</v>
      </c>
      <c r="H802" s="13"/>
      <c r="I802" s="22" t="str">
        <f>VLOOKUP(J802, Dropdowns!N:O, 2, FALSE)</f>
        <v>Standard</v>
      </c>
      <c r="J802" t="s">
        <v>760</v>
      </c>
      <c r="L802" s="17" t="s">
        <v>732</v>
      </c>
      <c r="M802" s="17" t="s">
        <v>10</v>
      </c>
      <c r="N802" s="17">
        <v>2</v>
      </c>
    </row>
    <row r="803" spans="1:14" x14ac:dyDescent="0.25">
      <c r="A803" s="10">
        <v>984701</v>
      </c>
      <c r="B803" s="22" t="str">
        <f>IFERROR(VLOOKUP(A803,VLOOKUPS!$A$2:B$12589,2,FALSE),"")</f>
        <v>Blackberries Super Sweet 6oz-standard</v>
      </c>
      <c r="E803">
        <v>3.79</v>
      </c>
      <c r="F803">
        <v>2.4900000000000002</v>
      </c>
      <c r="G803" s="13">
        <v>44376</v>
      </c>
      <c r="H803" s="13">
        <v>44377</v>
      </c>
      <c r="I803" s="22" t="str">
        <f>VLOOKUP(J803, Dropdowns!N:O, 2, FALSE)</f>
        <v>Lower Price</v>
      </c>
      <c r="J803" t="s">
        <v>759</v>
      </c>
      <c r="L803" s="17" t="s">
        <v>732</v>
      </c>
      <c r="M803" s="17" t="s">
        <v>9</v>
      </c>
      <c r="N803" s="17" t="s">
        <v>736</v>
      </c>
    </row>
    <row r="804" spans="1:14" x14ac:dyDescent="0.25">
      <c r="A804" s="10">
        <v>984701</v>
      </c>
      <c r="B804" s="22" t="str">
        <f>IFERROR(VLOOKUP(A804,VLOOKUPS!$A$2:B$12589,2,FALSE),"")</f>
        <v>Blackberries Super Sweet 6oz-standard</v>
      </c>
      <c r="E804">
        <v>2.4900000000000002</v>
      </c>
      <c r="F804">
        <v>3.79</v>
      </c>
      <c r="G804" s="13">
        <v>44378</v>
      </c>
      <c r="H804" s="13"/>
      <c r="I804" s="22" t="str">
        <f>VLOOKUP(J804, Dropdowns!N:O, 2, FALSE)</f>
        <v>Standard</v>
      </c>
      <c r="J804" t="s">
        <v>760</v>
      </c>
      <c r="L804" s="17" t="s">
        <v>732</v>
      </c>
      <c r="M804" s="17" t="s">
        <v>9</v>
      </c>
      <c r="N804" s="17" t="s">
        <v>736</v>
      </c>
    </row>
    <row r="805" spans="1:14" x14ac:dyDescent="0.25">
      <c r="A805" s="10">
        <v>984702</v>
      </c>
      <c r="B805" s="22" t="str">
        <f>IFERROR(VLOOKUP(A805,VLOOKUPS!$A$2:B$12589,2,FALSE),"")</f>
        <v>Blackberries 12oz-standard</v>
      </c>
      <c r="E805">
        <v>4.4800000000000004</v>
      </c>
      <c r="F805">
        <v>3.48</v>
      </c>
      <c r="G805" s="13">
        <v>44376</v>
      </c>
      <c r="H805" s="13">
        <v>44377</v>
      </c>
      <c r="I805" s="22" t="str">
        <f>VLOOKUP(J805, Dropdowns!N:O, 2, FALSE)</f>
        <v>Lower Price</v>
      </c>
      <c r="J805" t="s">
        <v>759</v>
      </c>
      <c r="L805" s="17" t="s">
        <v>732</v>
      </c>
      <c r="M805" s="17" t="s">
        <v>737</v>
      </c>
      <c r="N805" s="17" t="s">
        <v>736</v>
      </c>
    </row>
    <row r="806" spans="1:14" x14ac:dyDescent="0.25">
      <c r="A806" s="10">
        <v>984702</v>
      </c>
      <c r="B806" s="22" t="str">
        <f>IFERROR(VLOOKUP(A806,VLOOKUPS!$A$2:B$12589,2,FALSE),"")</f>
        <v>Blackberries 12oz-standard</v>
      </c>
      <c r="E806">
        <v>3.48</v>
      </c>
      <c r="F806">
        <v>4.4800000000000004</v>
      </c>
      <c r="G806" s="13">
        <v>44378</v>
      </c>
      <c r="H806" s="13"/>
      <c r="I806" s="22" t="str">
        <f>VLOOKUP(J806, Dropdowns!N:O, 2, FALSE)</f>
        <v>Standard</v>
      </c>
      <c r="J806" t="s">
        <v>760</v>
      </c>
      <c r="L806" s="17" t="s">
        <v>732</v>
      </c>
      <c r="M806" s="17" t="s">
        <v>737</v>
      </c>
      <c r="N806" s="17" t="s">
        <v>736</v>
      </c>
    </row>
    <row r="807" spans="1:14" x14ac:dyDescent="0.25">
      <c r="A807" s="10">
        <v>988571</v>
      </c>
      <c r="B807" s="22" t="str">
        <f>IFERROR(VLOOKUP(A807,VLOOKUPS!$A$2:B$12589,2,FALSE),"")</f>
        <v>Cauliflower* 1ct-LOOSE</v>
      </c>
      <c r="E807">
        <v>2.77</v>
      </c>
      <c r="F807">
        <v>1.97</v>
      </c>
      <c r="G807" s="13">
        <v>44376</v>
      </c>
      <c r="H807" s="13">
        <v>44377</v>
      </c>
      <c r="I807" s="22" t="str">
        <f>VLOOKUP(J807, Dropdowns!N:O, 2, FALSE)</f>
        <v>Lower Price</v>
      </c>
      <c r="J807" t="s">
        <v>759</v>
      </c>
      <c r="L807" s="17" t="s">
        <v>732</v>
      </c>
      <c r="M807" s="17" t="s">
        <v>735</v>
      </c>
      <c r="N807" s="17" t="s">
        <v>736</v>
      </c>
    </row>
    <row r="808" spans="1:14" x14ac:dyDescent="0.25">
      <c r="A808" s="10">
        <v>988571</v>
      </c>
      <c r="B808" s="22" t="str">
        <f>IFERROR(VLOOKUP(A808,VLOOKUPS!$A$2:B$12589,2,FALSE),"")</f>
        <v>Cauliflower* 1ct-LOOSE</v>
      </c>
      <c r="E808">
        <v>1.97</v>
      </c>
      <c r="F808">
        <v>2.77</v>
      </c>
      <c r="G808" s="13">
        <v>44378</v>
      </c>
      <c r="H808" s="13"/>
      <c r="I808" s="22" t="str">
        <f>VLOOKUP(J808, Dropdowns!N:O, 2, FALSE)</f>
        <v>Standard</v>
      </c>
      <c r="J808" t="s">
        <v>760</v>
      </c>
      <c r="L808" s="17" t="s">
        <v>732</v>
      </c>
      <c r="M808" s="17" t="s">
        <v>735</v>
      </c>
      <c r="N808" s="17" t="s">
        <v>736</v>
      </c>
    </row>
    <row r="809" spans="1:14" x14ac:dyDescent="0.25">
      <c r="A809" s="10">
        <v>995001</v>
      </c>
      <c r="B809" s="22" t="str">
        <f>IFERROR(VLOOKUP(A809,VLOOKUPS!$A$2:B$12589,2,FALSE),"")</f>
        <v>Spinach Baby 6oz-standard</v>
      </c>
      <c r="G809" s="13">
        <v>44376</v>
      </c>
      <c r="H809" s="13">
        <v>44377</v>
      </c>
      <c r="I809" s="22" t="str">
        <f>VLOOKUP(J809, Dropdowns!N:O, 2, FALSE)</f>
        <v>Lower Price</v>
      </c>
      <c r="J809" t="s">
        <v>762</v>
      </c>
      <c r="L809" s="17" t="s">
        <v>733</v>
      </c>
      <c r="M809" s="17" t="s">
        <v>11</v>
      </c>
      <c r="N809" s="17" t="s">
        <v>740</v>
      </c>
    </row>
    <row r="810" spans="1:14" x14ac:dyDescent="0.25">
      <c r="A810" s="10">
        <v>995001</v>
      </c>
      <c r="B810" s="22" t="str">
        <f>IFERROR(VLOOKUP(A810,VLOOKUPS!$A$2:B$12589,2,FALSE),"")</f>
        <v>Spinach Baby 6oz-standard</v>
      </c>
      <c r="G810" s="13">
        <v>44378</v>
      </c>
      <c r="H810" s="13"/>
      <c r="I810" s="22" t="str">
        <f>VLOOKUP(J810, Dropdowns!N:O, 2, FALSE)</f>
        <v>Standard</v>
      </c>
      <c r="J810" t="s">
        <v>760</v>
      </c>
      <c r="L810" s="17" t="s">
        <v>733</v>
      </c>
      <c r="M810" s="17" t="s">
        <v>11</v>
      </c>
      <c r="N810" s="17" t="s">
        <v>740</v>
      </c>
    </row>
    <row r="811" spans="1:14" x14ac:dyDescent="0.25">
      <c r="A811" s="10">
        <v>995006</v>
      </c>
      <c r="B811" s="22" t="str">
        <f>IFERROR(VLOOKUP(A811,VLOOKUPS!$A$2:B$12589,2,FALSE),"")</f>
        <v>Italian Salad 9oz-standard</v>
      </c>
      <c r="E811">
        <v>1.99</v>
      </c>
      <c r="F811">
        <v>0.99</v>
      </c>
      <c r="G811" s="13">
        <v>44376</v>
      </c>
      <c r="H811" s="13">
        <v>44377</v>
      </c>
      <c r="I811" s="22" t="str">
        <f>VLOOKUP(J811, Dropdowns!N:O, 2, FALSE)</f>
        <v>Lower Price</v>
      </c>
      <c r="J811" t="s">
        <v>759</v>
      </c>
      <c r="L811" s="17" t="s">
        <v>732</v>
      </c>
      <c r="M811" s="17" t="s">
        <v>9</v>
      </c>
      <c r="N811" s="17" t="s">
        <v>736</v>
      </c>
    </row>
    <row r="812" spans="1:14" x14ac:dyDescent="0.25">
      <c r="A812" s="10">
        <v>995006</v>
      </c>
      <c r="B812" s="22" t="str">
        <f>IFERROR(VLOOKUP(A812,VLOOKUPS!$A$2:B$12589,2,FALSE),"")</f>
        <v>Italian Salad 9oz-standard</v>
      </c>
      <c r="E812">
        <v>0.99</v>
      </c>
      <c r="F812">
        <v>1.99</v>
      </c>
      <c r="G812" s="13">
        <v>44378</v>
      </c>
      <c r="H812" s="13"/>
      <c r="I812" s="22" t="str">
        <f>VLOOKUP(J812, Dropdowns!N:O, 2, FALSE)</f>
        <v>Standard</v>
      </c>
      <c r="J812" t="s">
        <v>760</v>
      </c>
      <c r="L812" s="17" t="s">
        <v>732</v>
      </c>
      <c r="M812" s="17" t="s">
        <v>9</v>
      </c>
      <c r="N812" s="17" t="s">
        <v>736</v>
      </c>
    </row>
    <row r="813" spans="1:14" x14ac:dyDescent="0.25">
      <c r="A813" s="10">
        <v>995008</v>
      </c>
      <c r="B813" s="22" t="str">
        <f>IFERROR(VLOOKUP(A813,VLOOKUPS!$A$2:B$12589,2,FALSE),"")</f>
        <v>Shredded Lettuce 8oz-standard</v>
      </c>
      <c r="E813">
        <v>1.49</v>
      </c>
      <c r="F813">
        <v>0.89</v>
      </c>
      <c r="G813" s="13">
        <v>44376</v>
      </c>
      <c r="H813" s="13">
        <v>44377</v>
      </c>
      <c r="I813" s="22" t="str">
        <f>VLOOKUP(J813, Dropdowns!N:O, 2, FALSE)</f>
        <v>Lower Price</v>
      </c>
      <c r="J813" t="s">
        <v>759</v>
      </c>
      <c r="L813" s="17" t="s">
        <v>733</v>
      </c>
      <c r="M813" s="17" t="s">
        <v>736</v>
      </c>
      <c r="N813" s="17" t="s">
        <v>740</v>
      </c>
    </row>
    <row r="814" spans="1:14" x14ac:dyDescent="0.25">
      <c r="A814" s="10">
        <v>995008</v>
      </c>
      <c r="B814" s="22" t="str">
        <f>IFERROR(VLOOKUP(A814,VLOOKUPS!$A$2:B$12589,2,FALSE),"")</f>
        <v>Shredded Lettuce 8oz-standard</v>
      </c>
      <c r="E814">
        <v>1.69</v>
      </c>
      <c r="F814">
        <v>0.99</v>
      </c>
      <c r="G814" s="13">
        <v>44376</v>
      </c>
      <c r="H814" s="13">
        <v>44377</v>
      </c>
      <c r="I814" s="22" t="str">
        <f>VLOOKUP(J814, Dropdowns!N:O, 2, FALSE)</f>
        <v>Lower Price</v>
      </c>
      <c r="J814" t="s">
        <v>759</v>
      </c>
      <c r="L814" s="17" t="s">
        <v>734</v>
      </c>
      <c r="M814" s="17" t="s">
        <v>735</v>
      </c>
      <c r="N814" s="17" t="s">
        <v>736</v>
      </c>
    </row>
    <row r="815" spans="1:14" x14ac:dyDescent="0.25">
      <c r="A815" s="10">
        <v>995008</v>
      </c>
      <c r="B815" s="22" t="str">
        <f>IFERROR(VLOOKUP(A815,VLOOKUPS!$A$2:B$12589,2,FALSE),"")</f>
        <v>Shredded Lettuce 8oz-standard</v>
      </c>
      <c r="E815">
        <v>0.89</v>
      </c>
      <c r="F815">
        <v>1.49</v>
      </c>
      <c r="G815" s="13">
        <v>44378</v>
      </c>
      <c r="H815" s="13"/>
      <c r="I815" s="22" t="str">
        <f>VLOOKUP(J815, Dropdowns!N:O, 2, FALSE)</f>
        <v>Standard</v>
      </c>
      <c r="J815" t="s">
        <v>760</v>
      </c>
      <c r="L815" s="17" t="s">
        <v>733</v>
      </c>
      <c r="M815" s="17" t="s">
        <v>736</v>
      </c>
      <c r="N815" s="17" t="s">
        <v>740</v>
      </c>
    </row>
    <row r="816" spans="1:14" x14ac:dyDescent="0.25">
      <c r="A816" s="10">
        <v>995008</v>
      </c>
      <c r="B816" s="22" t="str">
        <f>IFERROR(VLOOKUP(A816,VLOOKUPS!$A$2:B$12589,2,FALSE),"")</f>
        <v>Shredded Lettuce 8oz-standard</v>
      </c>
      <c r="E816">
        <v>0.99</v>
      </c>
      <c r="F816">
        <v>1.69</v>
      </c>
      <c r="G816" s="13">
        <v>44378</v>
      </c>
      <c r="H816" s="13"/>
      <c r="I816" s="22" t="str">
        <f>VLOOKUP(J816, Dropdowns!N:O, 2, FALSE)</f>
        <v>Standard</v>
      </c>
      <c r="J816" t="s">
        <v>760</v>
      </c>
      <c r="L816" s="17" t="s">
        <v>734</v>
      </c>
      <c r="M816" s="17" t="s">
        <v>735</v>
      </c>
      <c r="N816" s="17" t="s">
        <v>736</v>
      </c>
    </row>
    <row r="817" spans="1:14" x14ac:dyDescent="0.25">
      <c r="A817" s="10">
        <v>995021</v>
      </c>
      <c r="B817" s="22" t="str">
        <f>IFERROR(VLOOKUP(A817,VLOOKUPS!$A$2:B$12589,2,FALSE),"")</f>
        <v>Chopped Bacon Caesar Kit 10.2oz-standard</v>
      </c>
      <c r="E817">
        <v>2.99</v>
      </c>
      <c r="F817">
        <v>1.99</v>
      </c>
      <c r="G817" s="13">
        <v>44376</v>
      </c>
      <c r="H817" s="13">
        <v>44378</v>
      </c>
      <c r="I817" s="22" t="str">
        <f>VLOOKUP(J817, Dropdowns!N:O, 2, FALSE)</f>
        <v>Lower Price</v>
      </c>
      <c r="J817" t="s">
        <v>759</v>
      </c>
      <c r="L817" s="17" t="s">
        <v>732</v>
      </c>
      <c r="M817" s="17" t="s">
        <v>735</v>
      </c>
      <c r="N817" s="17" t="s">
        <v>736</v>
      </c>
    </row>
    <row r="818" spans="1:14" x14ac:dyDescent="0.25">
      <c r="A818" s="10">
        <v>995021</v>
      </c>
      <c r="B818" s="22" t="str">
        <f>IFERROR(VLOOKUP(A818,VLOOKUPS!$A$2:B$12589,2,FALSE),"")</f>
        <v>Chopped Bacon Caesar Kit 10.2oz-standard</v>
      </c>
      <c r="E818">
        <v>1.99</v>
      </c>
      <c r="F818">
        <v>2.99</v>
      </c>
      <c r="G818" s="13">
        <v>44379</v>
      </c>
      <c r="H818" s="13"/>
      <c r="I818" s="22" t="str">
        <f>VLOOKUP(J818, Dropdowns!N:O, 2, FALSE)</f>
        <v>Standard</v>
      </c>
      <c r="J818" t="s">
        <v>760</v>
      </c>
      <c r="L818" s="17" t="s">
        <v>732</v>
      </c>
      <c r="M818" s="17" t="s">
        <v>735</v>
      </c>
      <c r="N818" s="17" t="s">
        <v>736</v>
      </c>
    </row>
    <row r="819" spans="1:14" x14ac:dyDescent="0.25">
      <c r="A819" s="10">
        <v>995022</v>
      </c>
      <c r="B819" s="22" t="str">
        <f>IFERROR(VLOOKUP(A819,VLOOKUPS!$A$2:B$12589,2,FALSE),"")</f>
        <v>American Blend 12oz-standard</v>
      </c>
      <c r="E819">
        <v>1.99</v>
      </c>
      <c r="F819">
        <v>1.19</v>
      </c>
      <c r="G819" s="13">
        <v>44376</v>
      </c>
      <c r="H819" s="13">
        <v>44377</v>
      </c>
      <c r="I819" s="22" t="str">
        <f>VLOOKUP(J819, Dropdowns!N:O, 2, FALSE)</f>
        <v>Lower Price</v>
      </c>
      <c r="J819" t="s">
        <v>759</v>
      </c>
      <c r="L819" s="17" t="s">
        <v>732</v>
      </c>
      <c r="M819" s="17" t="s">
        <v>736</v>
      </c>
      <c r="N819" s="17" t="s">
        <v>736</v>
      </c>
    </row>
    <row r="820" spans="1:14" x14ac:dyDescent="0.25">
      <c r="A820" s="10">
        <v>995022</v>
      </c>
      <c r="B820" s="22" t="str">
        <f>IFERROR(VLOOKUP(A820,VLOOKUPS!$A$2:B$12589,2,FALSE),"")</f>
        <v>American Blend 12oz-standard</v>
      </c>
      <c r="E820">
        <v>1.19</v>
      </c>
      <c r="F820">
        <v>1.99</v>
      </c>
      <c r="G820" s="13">
        <v>44378</v>
      </c>
      <c r="H820" s="13"/>
      <c r="I820" s="22" t="str">
        <f>VLOOKUP(J820, Dropdowns!N:O, 2, FALSE)</f>
        <v>Standard</v>
      </c>
      <c r="J820" t="s">
        <v>760</v>
      </c>
      <c r="L820" s="17" t="s">
        <v>732</v>
      </c>
      <c r="M820" s="17" t="s">
        <v>736</v>
      </c>
      <c r="N820" s="17" t="s">
        <v>736</v>
      </c>
    </row>
    <row r="821" spans="1:14" x14ac:dyDescent="0.25">
      <c r="A821" s="10">
        <v>995067</v>
      </c>
      <c r="B821" s="22" t="str">
        <f>IFERROR(VLOOKUP(A821,VLOOKUPS!$A$2:B$12589,2,FALSE),"")</f>
        <v>Organic Baby Arugula 5oz-standard</v>
      </c>
      <c r="E821">
        <v>2.56</v>
      </c>
      <c r="F821">
        <v>1.56</v>
      </c>
      <c r="G821" s="13">
        <v>44376</v>
      </c>
      <c r="H821" s="13">
        <v>44377</v>
      </c>
      <c r="I821" s="22" t="str">
        <f>VLOOKUP(J821, Dropdowns!N:O, 2, FALSE)</f>
        <v>Lower Price</v>
      </c>
      <c r="J821" t="s">
        <v>759</v>
      </c>
      <c r="L821" s="17" t="s">
        <v>733</v>
      </c>
      <c r="M821" s="17" t="s">
        <v>9</v>
      </c>
      <c r="N821" s="17" t="s">
        <v>740</v>
      </c>
    </row>
    <row r="822" spans="1:14" x14ac:dyDescent="0.25">
      <c r="A822" s="10">
        <v>995067</v>
      </c>
      <c r="B822" s="22" t="str">
        <f>IFERROR(VLOOKUP(A822,VLOOKUPS!$A$2:B$12589,2,FALSE),"")</f>
        <v>Organic Baby Arugula 5oz-standard</v>
      </c>
      <c r="E822">
        <v>3.26</v>
      </c>
      <c r="F822">
        <v>2.2599999999999998</v>
      </c>
      <c r="G822" s="13">
        <v>44376</v>
      </c>
      <c r="H822" s="13">
        <v>44377</v>
      </c>
      <c r="I822" s="22" t="str">
        <f>VLOOKUP(J822, Dropdowns!N:O, 2, FALSE)</f>
        <v>Lower Price</v>
      </c>
      <c r="J822" t="s">
        <v>759</v>
      </c>
      <c r="L822" s="17" t="s">
        <v>734</v>
      </c>
      <c r="M822" s="17" t="s">
        <v>9</v>
      </c>
      <c r="N822" s="17" t="s">
        <v>741</v>
      </c>
    </row>
    <row r="823" spans="1:14" x14ac:dyDescent="0.25">
      <c r="A823" s="10">
        <v>995067</v>
      </c>
      <c r="B823" s="22" t="str">
        <f>IFERROR(VLOOKUP(A823,VLOOKUPS!$A$2:B$12589,2,FALSE),"")</f>
        <v>Organic Baby Arugula 5oz-standard</v>
      </c>
      <c r="E823">
        <v>1.56</v>
      </c>
      <c r="F823">
        <v>2.56</v>
      </c>
      <c r="G823" s="13">
        <v>44378</v>
      </c>
      <c r="H823" s="13"/>
      <c r="I823" s="22" t="str">
        <f>VLOOKUP(J823, Dropdowns!N:O, 2, FALSE)</f>
        <v>Standard</v>
      </c>
      <c r="J823" t="s">
        <v>760</v>
      </c>
      <c r="L823" s="17" t="s">
        <v>733</v>
      </c>
      <c r="M823" s="17" t="s">
        <v>9</v>
      </c>
      <c r="N823" s="17" t="s">
        <v>740</v>
      </c>
    </row>
    <row r="824" spans="1:14" x14ac:dyDescent="0.25">
      <c r="A824" s="10">
        <v>995067</v>
      </c>
      <c r="B824" s="22" t="str">
        <f>IFERROR(VLOOKUP(A824,VLOOKUPS!$A$2:B$12589,2,FALSE),"")</f>
        <v>Organic Baby Arugula 5oz-standard</v>
      </c>
      <c r="E824">
        <v>2.2599999999999998</v>
      </c>
      <c r="F824">
        <v>3.26</v>
      </c>
      <c r="G824" s="13">
        <v>44378</v>
      </c>
      <c r="H824" s="13"/>
      <c r="I824" s="22" t="str">
        <f>VLOOKUP(J824, Dropdowns!N:O, 2, FALSE)</f>
        <v>Standard</v>
      </c>
      <c r="J824" t="s">
        <v>760</v>
      </c>
      <c r="L824" s="17" t="s">
        <v>734</v>
      </c>
      <c r="M824" s="17" t="s">
        <v>9</v>
      </c>
      <c r="N824" s="17" t="s">
        <v>741</v>
      </c>
    </row>
    <row r="825" spans="1:14" x14ac:dyDescent="0.25">
      <c r="A825" s="10">
        <v>995074</v>
      </c>
      <c r="B825" s="22" t="str">
        <f>IFERROR(VLOOKUP(A825,VLOOKUPS!$A$2:B$12589,2,FALSE),"")</f>
        <v>Southwest Chopped Salad Kit 12oz-standard</v>
      </c>
      <c r="E825">
        <v>2.99</v>
      </c>
      <c r="F825">
        <v>1.79</v>
      </c>
      <c r="G825" s="13">
        <v>44376</v>
      </c>
      <c r="H825" s="13">
        <v>44378</v>
      </c>
      <c r="I825" s="22" t="str">
        <f>VLOOKUP(J825, Dropdowns!N:O, 2, FALSE)</f>
        <v>Lower Price</v>
      </c>
      <c r="J825" t="s">
        <v>759</v>
      </c>
      <c r="L825" s="17" t="s">
        <v>732</v>
      </c>
      <c r="M825" s="17" t="s">
        <v>736</v>
      </c>
      <c r="N825" s="17" t="s">
        <v>736</v>
      </c>
    </row>
    <row r="826" spans="1:14" x14ac:dyDescent="0.25">
      <c r="A826" s="10">
        <v>995074</v>
      </c>
      <c r="B826" s="22" t="str">
        <f>IFERROR(VLOOKUP(A826,VLOOKUPS!$A$2:B$12589,2,FALSE),"")</f>
        <v>Southwest Chopped Salad Kit 12oz-standard</v>
      </c>
      <c r="E826">
        <v>1.79</v>
      </c>
      <c r="F826">
        <v>2.99</v>
      </c>
      <c r="G826" s="13">
        <v>44379</v>
      </c>
      <c r="H826" s="13"/>
      <c r="I826" s="22" t="str">
        <f>VLOOKUP(J826, Dropdowns!N:O, 2, FALSE)</f>
        <v>Standard</v>
      </c>
      <c r="J826" t="s">
        <v>760</v>
      </c>
      <c r="L826" s="17" t="s">
        <v>732</v>
      </c>
      <c r="M826" s="17" t="s">
        <v>736</v>
      </c>
      <c r="N826" s="17" t="s">
        <v>736</v>
      </c>
    </row>
    <row r="827" spans="1:14" x14ac:dyDescent="0.25">
      <c r="A827" s="10">
        <v>995085</v>
      </c>
      <c r="B827" s="22" t="str">
        <f>IFERROR(VLOOKUP(A827,VLOOKUPS!$A$2:B$12589,2,FALSE),"")</f>
        <v>Sugar Snap Peas 8oz-standard</v>
      </c>
      <c r="E827">
        <v>2.39</v>
      </c>
      <c r="F827">
        <v>1.39</v>
      </c>
      <c r="G827" s="13">
        <v>44376</v>
      </c>
      <c r="H827" s="13">
        <v>44377</v>
      </c>
      <c r="I827" s="22" t="str">
        <f>VLOOKUP(J827, Dropdowns!N:O, 2, FALSE)</f>
        <v>Lower Price</v>
      </c>
      <c r="J827" t="s">
        <v>759</v>
      </c>
      <c r="L827" s="17" t="s">
        <v>732</v>
      </c>
      <c r="M827" s="17" t="s">
        <v>9</v>
      </c>
      <c r="N827" s="17">
        <v>8</v>
      </c>
    </row>
    <row r="828" spans="1:14" x14ac:dyDescent="0.25">
      <c r="A828" s="10">
        <v>995085</v>
      </c>
      <c r="B828" s="22" t="str">
        <f>IFERROR(VLOOKUP(A828,VLOOKUPS!$A$2:B$12589,2,FALSE),"")</f>
        <v>Sugar Snap Peas 8oz-standard</v>
      </c>
      <c r="E828">
        <v>2.59</v>
      </c>
      <c r="F828">
        <v>1.59</v>
      </c>
      <c r="G828" s="13">
        <v>44376</v>
      </c>
      <c r="H828" s="13">
        <v>44377</v>
      </c>
      <c r="I828" s="22" t="str">
        <f>VLOOKUP(J828, Dropdowns!N:O, 2, FALSE)</f>
        <v>Lower Price</v>
      </c>
      <c r="J828" t="s">
        <v>759</v>
      </c>
      <c r="L828" s="17" t="s">
        <v>734</v>
      </c>
      <c r="M828" s="17" t="s">
        <v>9</v>
      </c>
      <c r="N828" s="17" t="s">
        <v>741</v>
      </c>
    </row>
    <row r="829" spans="1:14" x14ac:dyDescent="0.25">
      <c r="A829" s="10">
        <v>995085</v>
      </c>
      <c r="B829" s="22" t="str">
        <f>IFERROR(VLOOKUP(A829,VLOOKUPS!$A$2:B$12589,2,FALSE),"")</f>
        <v>Sugar Snap Peas 8oz-standard</v>
      </c>
      <c r="E829">
        <v>1.39</v>
      </c>
      <c r="F829">
        <v>2.39</v>
      </c>
      <c r="G829" s="13">
        <v>44378</v>
      </c>
      <c r="H829" s="13"/>
      <c r="I829" s="22" t="str">
        <f>VLOOKUP(J829, Dropdowns!N:O, 2, FALSE)</f>
        <v>Standard</v>
      </c>
      <c r="J829" t="s">
        <v>760</v>
      </c>
      <c r="L829" s="17" t="s">
        <v>732</v>
      </c>
      <c r="M829" s="17" t="s">
        <v>9</v>
      </c>
      <c r="N829" s="17">
        <v>8</v>
      </c>
    </row>
    <row r="830" spans="1:14" x14ac:dyDescent="0.25">
      <c r="A830" s="10">
        <v>995085</v>
      </c>
      <c r="B830" s="22" t="str">
        <f>IFERROR(VLOOKUP(A830,VLOOKUPS!$A$2:B$12589,2,FALSE),"")</f>
        <v>Sugar Snap Peas 8oz-standard</v>
      </c>
      <c r="E830">
        <v>1.59</v>
      </c>
      <c r="F830">
        <v>2.59</v>
      </c>
      <c r="G830" s="13">
        <v>44378</v>
      </c>
      <c r="H830" s="13"/>
      <c r="I830" s="22" t="str">
        <f>VLOOKUP(J830, Dropdowns!N:O, 2, FALSE)</f>
        <v>Standard</v>
      </c>
      <c r="J830" t="s">
        <v>760</v>
      </c>
      <c r="L830" s="17" t="s">
        <v>734</v>
      </c>
      <c r="M830" s="17" t="s">
        <v>9</v>
      </c>
      <c r="N830" s="17" t="s">
        <v>741</v>
      </c>
    </row>
    <row r="831" spans="1:14" x14ac:dyDescent="0.25">
      <c r="A831" s="10">
        <v>995101</v>
      </c>
      <c r="B831" s="22" t="str">
        <f>IFERROR(VLOOKUP(A831,VLOOKUPS!$A$2:B$12589,2,FALSE),"")</f>
        <v>Avocado Ranch Salad Kit 11.3oz-standard</v>
      </c>
      <c r="E831">
        <v>2.99</v>
      </c>
      <c r="F831">
        <v>1.79</v>
      </c>
      <c r="G831" s="13">
        <v>44376</v>
      </c>
      <c r="H831" s="13">
        <v>44377</v>
      </c>
      <c r="I831" s="22" t="str">
        <f>VLOOKUP(J831, Dropdowns!N:O, 2, FALSE)</f>
        <v>Lower Price</v>
      </c>
      <c r="J831" t="s">
        <v>759</v>
      </c>
      <c r="L831" s="17" t="s">
        <v>732</v>
      </c>
      <c r="M831" s="17" t="s">
        <v>9</v>
      </c>
      <c r="N831" s="17" t="s">
        <v>736</v>
      </c>
    </row>
    <row r="832" spans="1:14" x14ac:dyDescent="0.25">
      <c r="A832" s="10">
        <v>995101</v>
      </c>
      <c r="B832" s="22" t="str">
        <f>IFERROR(VLOOKUP(A832,VLOOKUPS!$A$2:B$12589,2,FALSE),"")</f>
        <v>Avocado Ranch Salad Kit 11.3oz-standard</v>
      </c>
      <c r="E832">
        <v>1.79</v>
      </c>
      <c r="F832">
        <v>2.99</v>
      </c>
      <c r="G832" s="13">
        <v>44378</v>
      </c>
      <c r="H832" s="13"/>
      <c r="I832" s="22" t="str">
        <f>VLOOKUP(J832, Dropdowns!N:O, 2, FALSE)</f>
        <v>Standard</v>
      </c>
      <c r="J832" t="s">
        <v>760</v>
      </c>
      <c r="L832" s="17" t="s">
        <v>732</v>
      </c>
      <c r="M832" s="17" t="s">
        <v>9</v>
      </c>
      <c r="N832" s="17" t="s">
        <v>736</v>
      </c>
    </row>
    <row r="833" spans="1:14" x14ac:dyDescent="0.25">
      <c r="A833" s="10">
        <v>995123</v>
      </c>
      <c r="B833" s="22" t="str">
        <f>IFERROR(VLOOKUP(A833,VLOOKUPS!$A$2:B$12589,2,FALSE),"")</f>
        <v>Vegetable Medley 12oz-standard</v>
      </c>
      <c r="E833">
        <v>2.78</v>
      </c>
      <c r="F833">
        <v>1.78</v>
      </c>
      <c r="G833" s="13">
        <v>44376</v>
      </c>
      <c r="H833" s="13">
        <v>44377</v>
      </c>
      <c r="I833" s="22" t="str">
        <f>VLOOKUP(J833, Dropdowns!N:O, 2, FALSE)</f>
        <v>Lower Price</v>
      </c>
      <c r="J833" t="s">
        <v>759</v>
      </c>
      <c r="L833" s="17" t="s">
        <v>732</v>
      </c>
      <c r="M833" s="17" t="s">
        <v>9</v>
      </c>
      <c r="N833" s="17" t="s">
        <v>736</v>
      </c>
    </row>
    <row r="834" spans="1:14" x14ac:dyDescent="0.25">
      <c r="A834" s="10">
        <v>995123</v>
      </c>
      <c r="B834" s="22" t="str">
        <f>IFERROR(VLOOKUP(A834,VLOOKUPS!$A$2:B$12589,2,FALSE),"")</f>
        <v>Vegetable Medley 12oz-standard</v>
      </c>
      <c r="E834">
        <v>1.78</v>
      </c>
      <c r="F834">
        <v>2.78</v>
      </c>
      <c r="G834" s="13">
        <v>44378</v>
      </c>
      <c r="H834" s="13"/>
      <c r="I834" s="22" t="str">
        <f>VLOOKUP(J834, Dropdowns!N:O, 2, FALSE)</f>
        <v>Standard</v>
      </c>
      <c r="J834" t="s">
        <v>760</v>
      </c>
      <c r="L834" s="17" t="s">
        <v>732</v>
      </c>
      <c r="M834" s="17" t="s">
        <v>9</v>
      </c>
      <c r="N834" s="17" t="s">
        <v>736</v>
      </c>
    </row>
    <row r="835" spans="1:14" x14ac:dyDescent="0.25">
      <c r="A835" s="10">
        <v>995131</v>
      </c>
      <c r="B835" s="22" t="str">
        <f>IFERROR(VLOOKUP(A835,VLOOKUPS!$A$2:B$12589,2,FALSE),"")</f>
        <v>Organic Baby Spinach &amp; Baby Kale 5oz-standard</v>
      </c>
      <c r="E835">
        <v>2.56</v>
      </c>
      <c r="F835">
        <v>1.56</v>
      </c>
      <c r="G835" s="13">
        <v>44376</v>
      </c>
      <c r="H835" s="13">
        <v>44377</v>
      </c>
      <c r="I835" s="22" t="str">
        <f>VLOOKUP(J835, Dropdowns!N:O, 2, FALSE)</f>
        <v>Lower Price</v>
      </c>
      <c r="J835" t="s">
        <v>759</v>
      </c>
      <c r="L835" s="17" t="s">
        <v>732</v>
      </c>
      <c r="M835" s="17" t="s">
        <v>9</v>
      </c>
      <c r="N835" s="17" t="s">
        <v>736</v>
      </c>
    </row>
    <row r="836" spans="1:14" x14ac:dyDescent="0.25">
      <c r="A836" s="10">
        <v>995131</v>
      </c>
      <c r="B836" s="22" t="str">
        <f>IFERROR(VLOOKUP(A836,VLOOKUPS!$A$2:B$12589,2,FALSE),"")</f>
        <v>Organic Baby Spinach &amp; Baby Kale 5oz-standard</v>
      </c>
      <c r="E836">
        <v>1.56</v>
      </c>
      <c r="F836">
        <v>2.56</v>
      </c>
      <c r="G836" s="13">
        <v>44378</v>
      </c>
      <c r="H836" s="13"/>
      <c r="I836" s="22" t="str">
        <f>VLOOKUP(J836, Dropdowns!N:O, 2, FALSE)</f>
        <v>Standard</v>
      </c>
      <c r="J836" t="s">
        <v>760</v>
      </c>
      <c r="L836" s="17" t="s">
        <v>732</v>
      </c>
      <c r="M836" s="17" t="s">
        <v>9</v>
      </c>
      <c r="N836" s="17" t="s">
        <v>736</v>
      </c>
    </row>
    <row r="837" spans="1:14" x14ac:dyDescent="0.25">
      <c r="A837" s="10">
        <v>983251</v>
      </c>
      <c r="B837" s="22" t="str">
        <f>IFERROR(VLOOKUP(A837,VLOOKUPS!$A$2:B$12589,2,FALSE),"")</f>
        <v>Watermelons Large Seedless 1ct-LOOSE</v>
      </c>
      <c r="E837">
        <v>4.59</v>
      </c>
      <c r="F837">
        <v>3.89</v>
      </c>
      <c r="G837" s="13">
        <v>44377</v>
      </c>
      <c r="H837" s="13"/>
      <c r="I837" s="22" t="str">
        <f>VLOOKUP(J837, Dropdowns!N:O, 2, FALSE)</f>
        <v>Standard</v>
      </c>
      <c r="J837" t="s">
        <v>761</v>
      </c>
      <c r="L837" s="17" t="s">
        <v>732</v>
      </c>
      <c r="M837" s="17" t="s">
        <v>736</v>
      </c>
      <c r="N837" s="17" t="s">
        <v>736</v>
      </c>
    </row>
    <row r="838" spans="1:14" x14ac:dyDescent="0.25">
      <c r="A838" s="10">
        <v>984740</v>
      </c>
      <c r="B838" s="22" t="str">
        <f>IFERROR(VLOOKUP(A838,VLOOKUPS!$A$2:B$12589,2,FALSE),"")</f>
        <v>Organic Blackberries 6oz-standard</v>
      </c>
      <c r="E838">
        <v>3.75</v>
      </c>
      <c r="F838">
        <v>2.75</v>
      </c>
      <c r="G838" s="13">
        <v>44377</v>
      </c>
      <c r="H838" s="13">
        <v>44378</v>
      </c>
      <c r="I838" s="22" t="str">
        <f>VLOOKUP(J838, Dropdowns!N:O, 2, FALSE)</f>
        <v>Lower Price</v>
      </c>
      <c r="J838" t="s">
        <v>759</v>
      </c>
      <c r="L838" s="17" t="s">
        <v>732</v>
      </c>
      <c r="M838" s="17" t="s">
        <v>10</v>
      </c>
      <c r="N838" s="17">
        <v>2</v>
      </c>
    </row>
    <row r="839" spans="1:14" x14ac:dyDescent="0.25">
      <c r="A839" s="10">
        <v>984740</v>
      </c>
      <c r="B839" s="22" t="str">
        <f>IFERROR(VLOOKUP(A839,VLOOKUPS!$A$2:B$12589,2,FALSE),"")</f>
        <v>Organic Blackberries 6oz-standard</v>
      </c>
      <c r="E839">
        <v>2.75</v>
      </c>
      <c r="F839">
        <v>3.75</v>
      </c>
      <c r="G839" s="13">
        <v>44379</v>
      </c>
      <c r="H839" s="13"/>
      <c r="I839" s="22" t="str">
        <f>VLOOKUP(J839, Dropdowns!N:O, 2, FALSE)</f>
        <v>Standard</v>
      </c>
      <c r="J839" t="s">
        <v>760</v>
      </c>
      <c r="L839" s="17" t="s">
        <v>732</v>
      </c>
      <c r="M839" s="17" t="s">
        <v>10</v>
      </c>
      <c r="N839" s="17">
        <v>2</v>
      </c>
    </row>
    <row r="840" spans="1:14" x14ac:dyDescent="0.25">
      <c r="A840" s="10">
        <v>995006</v>
      </c>
      <c r="B840" s="22" t="str">
        <f>IFERROR(VLOOKUP(A840,VLOOKUPS!$A$2:B$12589,2,FALSE),"")</f>
        <v>Italian Salad 9oz-standard</v>
      </c>
      <c r="E840">
        <v>1.99</v>
      </c>
      <c r="F840">
        <v>0.99</v>
      </c>
      <c r="G840" s="13">
        <v>44377</v>
      </c>
      <c r="H840" s="13">
        <v>44377</v>
      </c>
      <c r="I840" s="22" t="str">
        <f>VLOOKUP(J840, Dropdowns!N:O, 2, FALSE)</f>
        <v>Lower Price</v>
      </c>
      <c r="J840" t="s">
        <v>759</v>
      </c>
      <c r="L840" s="17" t="s">
        <v>732</v>
      </c>
      <c r="M840" s="17" t="s">
        <v>738</v>
      </c>
      <c r="N840" s="17">
        <v>2</v>
      </c>
    </row>
    <row r="841" spans="1:14" x14ac:dyDescent="0.25">
      <c r="A841" s="10">
        <v>995006</v>
      </c>
      <c r="B841" s="22" t="str">
        <f>IFERROR(VLOOKUP(A841,VLOOKUPS!$A$2:B$12589,2,FALSE),"")</f>
        <v>Italian Salad 9oz-standard</v>
      </c>
      <c r="E841">
        <v>0.99</v>
      </c>
      <c r="F841">
        <v>1.99</v>
      </c>
      <c r="G841" s="13">
        <v>44378</v>
      </c>
      <c r="H841" s="13"/>
      <c r="I841" s="22" t="str">
        <f>VLOOKUP(J841, Dropdowns!N:O, 2, FALSE)</f>
        <v>Standard</v>
      </c>
      <c r="J841" t="s">
        <v>760</v>
      </c>
      <c r="L841" s="17" t="s">
        <v>732</v>
      </c>
      <c r="M841" s="17" t="s">
        <v>738</v>
      </c>
      <c r="N841" s="17">
        <v>2</v>
      </c>
    </row>
    <row r="842" spans="1:14" x14ac:dyDescent="0.25">
      <c r="A842" s="10">
        <v>995103</v>
      </c>
      <c r="B842" s="22" t="str">
        <f>IFERROR(VLOOKUP(A842,VLOOKUPS!$A$2:B$12589,2,FALSE),"")</f>
        <v>Teriyaki Stir Fry Kit 12.5oz-standard</v>
      </c>
      <c r="E842">
        <v>2.98</v>
      </c>
      <c r="F842">
        <v>1.98</v>
      </c>
      <c r="G842" s="13">
        <v>44377</v>
      </c>
      <c r="H842" s="13">
        <v>44378</v>
      </c>
      <c r="I842" s="22" t="str">
        <f>VLOOKUP(J842, Dropdowns!N:O, 2, FALSE)</f>
        <v>Lower Price</v>
      </c>
      <c r="J842" t="s">
        <v>759</v>
      </c>
      <c r="L842" s="17" t="s">
        <v>732</v>
      </c>
      <c r="M842" s="17" t="s">
        <v>9</v>
      </c>
      <c r="N842" s="17" t="s">
        <v>736</v>
      </c>
    </row>
    <row r="843" spans="1:14" x14ac:dyDescent="0.25">
      <c r="A843" s="10">
        <v>995103</v>
      </c>
      <c r="B843" s="22" t="str">
        <f>IFERROR(VLOOKUP(A843,VLOOKUPS!$A$2:B$12589,2,FALSE),"")</f>
        <v>Teriyaki Stir Fry Kit 12.5oz-standard</v>
      </c>
      <c r="E843">
        <v>1.98</v>
      </c>
      <c r="F843">
        <v>2.98</v>
      </c>
      <c r="G843" s="13">
        <v>44379</v>
      </c>
      <c r="H843" s="13"/>
      <c r="I843" s="22" t="str">
        <f>VLOOKUP(J843, Dropdowns!N:O, 2, FALSE)</f>
        <v>Standard</v>
      </c>
      <c r="J843" t="s">
        <v>760</v>
      </c>
      <c r="L843" s="17" t="s">
        <v>732</v>
      </c>
      <c r="M843" s="17" t="s">
        <v>9</v>
      </c>
      <c r="N843" s="17" t="s">
        <v>736</v>
      </c>
    </row>
    <row r="844" spans="1:14" x14ac:dyDescent="0.25">
      <c r="A844" s="10">
        <v>995132</v>
      </c>
      <c r="B844" s="22" t="str">
        <f>IFERROR(VLOOKUP(A844,VLOOKUPS!$A$2:B$12589,2,FALSE),"")</f>
        <v>Fruit Mixed 10oz-standard</v>
      </c>
      <c r="E844">
        <v>2.59</v>
      </c>
      <c r="F844">
        <v>1.99</v>
      </c>
      <c r="G844" s="13">
        <v>44377</v>
      </c>
      <c r="H844" s="13">
        <v>44378</v>
      </c>
      <c r="I844" s="22" t="str">
        <f>VLOOKUP(J844, Dropdowns!N:O, 2, FALSE)</f>
        <v>Lower Price</v>
      </c>
      <c r="J844" t="s">
        <v>759</v>
      </c>
      <c r="L844" s="17" t="s">
        <v>733</v>
      </c>
      <c r="M844" s="17" t="s">
        <v>11</v>
      </c>
      <c r="N844" s="17" t="s">
        <v>740</v>
      </c>
    </row>
    <row r="845" spans="1:14" x14ac:dyDescent="0.25">
      <c r="A845" s="10">
        <v>995132</v>
      </c>
      <c r="B845" s="22" t="str">
        <f>IFERROR(VLOOKUP(A845,VLOOKUPS!$A$2:B$12589,2,FALSE),"")</f>
        <v>Fruit Mixed 10oz-standard</v>
      </c>
      <c r="E845">
        <v>1.99</v>
      </c>
      <c r="F845">
        <v>2.59</v>
      </c>
      <c r="G845" s="13">
        <v>44379</v>
      </c>
      <c r="H845" s="13"/>
      <c r="I845" s="22" t="str">
        <f>VLOOKUP(J845, Dropdowns!N:O, 2, FALSE)</f>
        <v>Standard</v>
      </c>
      <c r="J845" t="s">
        <v>760</v>
      </c>
      <c r="L845" s="17" t="s">
        <v>733</v>
      </c>
      <c r="M845" s="17" t="s">
        <v>11</v>
      </c>
      <c r="N845" s="17" t="s">
        <v>740</v>
      </c>
    </row>
    <row r="846" spans="1:14" x14ac:dyDescent="0.25">
      <c r="A846" s="10">
        <v>995134</v>
      </c>
      <c r="B846" s="22" t="str">
        <f>IFERROR(VLOOKUP(A846,VLOOKUPS!$A$2:B$12589,2,FALSE),"")</f>
        <v>Mirepoix 10oz-standard</v>
      </c>
      <c r="E846">
        <v>2.62</v>
      </c>
      <c r="F846">
        <v>1.62</v>
      </c>
      <c r="G846" s="13">
        <v>44377</v>
      </c>
      <c r="H846" s="13">
        <v>44378</v>
      </c>
      <c r="I846" s="22" t="str">
        <f>VLOOKUP(J846, Dropdowns!N:O, 2, FALSE)</f>
        <v>Lower Price</v>
      </c>
      <c r="J846" t="s">
        <v>759</v>
      </c>
      <c r="L846" s="17" t="s">
        <v>732</v>
      </c>
      <c r="M846" s="17" t="s">
        <v>9</v>
      </c>
      <c r="N846" s="17" t="s">
        <v>736</v>
      </c>
    </row>
    <row r="847" spans="1:14" x14ac:dyDescent="0.25">
      <c r="A847" s="10">
        <v>995134</v>
      </c>
      <c r="B847" s="22" t="str">
        <f>IFERROR(VLOOKUP(A847,VLOOKUPS!$A$2:B$12589,2,FALSE),"")</f>
        <v>Mirepoix 10oz-standard</v>
      </c>
      <c r="E847">
        <v>1.62</v>
      </c>
      <c r="F847">
        <v>2.62</v>
      </c>
      <c r="G847" s="13">
        <v>44379</v>
      </c>
      <c r="H847" s="13"/>
      <c r="I847" s="22" t="str">
        <f>VLOOKUP(J847, Dropdowns!N:O, 2, FALSE)</f>
        <v>Standard</v>
      </c>
      <c r="J847" t="s">
        <v>760</v>
      </c>
      <c r="L847" s="17" t="s">
        <v>732</v>
      </c>
      <c r="M847" s="17" t="s">
        <v>9</v>
      </c>
      <c r="N847" s="17" t="s">
        <v>736</v>
      </c>
    </row>
    <row r="848" spans="1:14" x14ac:dyDescent="0.25">
      <c r="A848" s="10">
        <v>985760</v>
      </c>
      <c r="B848" s="22" t="str">
        <f>IFERROR(VLOOKUP(A848,VLOOKUPS!$A$2:B$12589,2,FALSE),"")</f>
        <v>Asparagus 1lb-standard</v>
      </c>
      <c r="G848" s="13">
        <v>44377</v>
      </c>
      <c r="H848" s="13">
        <v>44377</v>
      </c>
      <c r="I848" s="22" t="str">
        <f>VLOOKUP(J848, Dropdowns!N:O, 2, FALSE)</f>
        <v>Lower Price</v>
      </c>
      <c r="J848" t="s">
        <v>762</v>
      </c>
      <c r="L848" s="17" t="s">
        <v>732</v>
      </c>
      <c r="M848" s="17" t="s">
        <v>9</v>
      </c>
      <c r="N848" s="17" t="s">
        <v>736</v>
      </c>
    </row>
    <row r="849" spans="1:14" x14ac:dyDescent="0.25">
      <c r="A849" s="10">
        <v>985760</v>
      </c>
      <c r="B849" s="22" t="str">
        <f>IFERROR(VLOOKUP(A849,VLOOKUPS!$A$2:B$12589,2,FALSE),"")</f>
        <v>Asparagus 1lb-standard</v>
      </c>
      <c r="E849">
        <v>1.39</v>
      </c>
      <c r="F849">
        <v>2.99</v>
      </c>
      <c r="G849" s="13">
        <v>44377</v>
      </c>
      <c r="H849" s="13"/>
      <c r="I849" s="22" t="str">
        <f>VLOOKUP(J849, Dropdowns!N:O, 2, FALSE)</f>
        <v>Standard</v>
      </c>
      <c r="J849" t="s">
        <v>760</v>
      </c>
      <c r="L849" s="17" t="s">
        <v>732</v>
      </c>
      <c r="M849" s="17" t="s">
        <v>738</v>
      </c>
      <c r="N849" s="17">
        <v>2</v>
      </c>
    </row>
    <row r="850" spans="1:14" x14ac:dyDescent="0.25">
      <c r="A850" s="10">
        <v>995026</v>
      </c>
      <c r="B850" s="22" t="str">
        <f>IFERROR(VLOOKUP(A850,VLOOKUPS!$A$2:B$12589,2,FALSE),"")</f>
        <v>Baby Arugula 5oz-standard</v>
      </c>
      <c r="E850">
        <v>1.79</v>
      </c>
      <c r="F850">
        <v>2.29</v>
      </c>
      <c r="G850" s="13">
        <v>44377</v>
      </c>
      <c r="H850" s="13"/>
      <c r="I850" s="22" t="str">
        <f>VLOOKUP(J850, Dropdowns!N:O, 2, FALSE)</f>
        <v>Standard</v>
      </c>
      <c r="J850" t="s">
        <v>760</v>
      </c>
      <c r="L850" s="17" t="s">
        <v>733</v>
      </c>
      <c r="M850" s="17" t="s">
        <v>736</v>
      </c>
      <c r="N850" s="17" t="s">
        <v>740</v>
      </c>
    </row>
    <row r="851" spans="1:14" x14ac:dyDescent="0.25">
      <c r="A851" s="10">
        <v>995026</v>
      </c>
      <c r="B851" s="22" t="str">
        <f>IFERROR(VLOOKUP(A851,VLOOKUPS!$A$2:B$12589,2,FALSE),"")</f>
        <v>Baby Arugula 5oz-standard</v>
      </c>
      <c r="E851">
        <v>2.4900000000000002</v>
      </c>
      <c r="F851">
        <v>2.99</v>
      </c>
      <c r="G851" s="13">
        <v>44377</v>
      </c>
      <c r="H851" s="13"/>
      <c r="I851" s="22" t="str">
        <f>VLOOKUP(J851, Dropdowns!N:O, 2, FALSE)</f>
        <v>Standard</v>
      </c>
      <c r="J851" t="s">
        <v>760</v>
      </c>
      <c r="L851" s="17" t="s">
        <v>734</v>
      </c>
      <c r="M851" s="17" t="s">
        <v>735</v>
      </c>
      <c r="N851" s="17" t="s">
        <v>736</v>
      </c>
    </row>
    <row r="852" spans="1:14" x14ac:dyDescent="0.25">
      <c r="A852" s="10">
        <v>995050</v>
      </c>
      <c r="B852" s="22" t="str">
        <f>IFERROR(VLOOKUP(A852,VLOOKUPS!$A$2:B$12589,2,FALSE),"")</f>
        <v>Organic Bagged Kale 10oz-standard</v>
      </c>
      <c r="E852">
        <v>2.19</v>
      </c>
      <c r="F852">
        <v>2.69</v>
      </c>
      <c r="G852" s="13">
        <v>44377</v>
      </c>
      <c r="H852" s="13"/>
      <c r="I852" s="22" t="str">
        <f>VLOOKUP(J852, Dropdowns!N:O, 2, FALSE)</f>
        <v>Standard</v>
      </c>
      <c r="J852" t="s">
        <v>760</v>
      </c>
      <c r="L852" s="17" t="s">
        <v>732</v>
      </c>
      <c r="M852" s="17" t="s">
        <v>736</v>
      </c>
      <c r="N852" s="17" t="s">
        <v>741</v>
      </c>
    </row>
    <row r="853" spans="1:14" x14ac:dyDescent="0.25">
      <c r="A853" s="10">
        <v>995050</v>
      </c>
      <c r="B853" s="22" t="str">
        <f>IFERROR(VLOOKUP(A853,VLOOKUPS!$A$2:B$12589,2,FALSE),"")</f>
        <v>Organic Bagged Kale 10oz-standard</v>
      </c>
      <c r="E853">
        <v>2.69</v>
      </c>
      <c r="F853">
        <v>3.19</v>
      </c>
      <c r="G853" s="13">
        <v>44377</v>
      </c>
      <c r="H853" s="13"/>
      <c r="I853" s="22" t="str">
        <f>VLOOKUP(J853, Dropdowns!N:O, 2, FALSE)</f>
        <v>Standard</v>
      </c>
      <c r="J853" t="s">
        <v>760</v>
      </c>
      <c r="L853" s="17" t="s">
        <v>734</v>
      </c>
      <c r="M853" s="17" t="s">
        <v>9</v>
      </c>
      <c r="N853" s="17">
        <v>8</v>
      </c>
    </row>
    <row r="854" spans="1:14" x14ac:dyDescent="0.25">
      <c r="A854" s="10">
        <v>995086</v>
      </c>
      <c r="B854" s="22" t="str">
        <f>IFERROR(VLOOKUP(A854,VLOOKUPS!$A$2:B$12589,2,FALSE),"")</f>
        <v>Eat Smart Broccoli Florets 2lbs-standard</v>
      </c>
      <c r="G854" s="13">
        <v>44377</v>
      </c>
      <c r="H854" s="13">
        <v>44378</v>
      </c>
      <c r="I854" s="22" t="str">
        <f>VLOOKUP(J854, Dropdowns!N:O, 2, FALSE)</f>
        <v>Lower Price</v>
      </c>
      <c r="J854" t="s">
        <v>762</v>
      </c>
      <c r="L854" s="17" t="s">
        <v>732</v>
      </c>
      <c r="M854" s="17" t="s">
        <v>736</v>
      </c>
      <c r="N854" s="17" t="s">
        <v>736</v>
      </c>
    </row>
    <row r="855" spans="1:14" x14ac:dyDescent="0.25">
      <c r="A855" s="10">
        <v>984660</v>
      </c>
      <c r="B855" s="22" t="str">
        <f>IFERROR(VLOOKUP(A855,VLOOKUPS!$A$2:B$12589,2,FALSE),"")</f>
        <v>Organic Raspberries 6oz-standard</v>
      </c>
      <c r="E855">
        <v>3.89</v>
      </c>
      <c r="F855">
        <v>2.89</v>
      </c>
      <c r="G855" s="13">
        <v>44378</v>
      </c>
      <c r="H855" s="13">
        <v>44379</v>
      </c>
      <c r="I855" s="22" t="str">
        <f>VLOOKUP(J855, Dropdowns!N:O, 2, FALSE)</f>
        <v>Lower Price</v>
      </c>
      <c r="J855" t="s">
        <v>759</v>
      </c>
      <c r="L855" s="17" t="s">
        <v>732</v>
      </c>
      <c r="M855" s="17" t="s">
        <v>10</v>
      </c>
      <c r="N855" s="17">
        <v>2</v>
      </c>
    </row>
    <row r="856" spans="1:14" x14ac:dyDescent="0.25">
      <c r="A856" s="10">
        <v>984660</v>
      </c>
      <c r="B856" s="22" t="str">
        <f>IFERROR(VLOOKUP(A856,VLOOKUPS!$A$2:B$12589,2,FALSE),"")</f>
        <v>Organic Raspberries 6oz-standard</v>
      </c>
      <c r="E856">
        <v>2.89</v>
      </c>
      <c r="F856">
        <v>3.89</v>
      </c>
      <c r="G856" s="13">
        <v>44380</v>
      </c>
      <c r="H856" s="13"/>
      <c r="I856" s="22" t="str">
        <f>VLOOKUP(J856, Dropdowns!N:O, 2, FALSE)</f>
        <v>Standard</v>
      </c>
      <c r="J856" t="s">
        <v>760</v>
      </c>
      <c r="L856" s="17" t="s">
        <v>732</v>
      </c>
      <c r="M856" s="17" t="s">
        <v>10</v>
      </c>
      <c r="N856" s="17">
        <v>2</v>
      </c>
    </row>
    <row r="857" spans="1:14" x14ac:dyDescent="0.25">
      <c r="A857" s="10">
        <v>995071</v>
      </c>
      <c r="B857" s="22" t="str">
        <f>IFERROR(VLOOKUP(A857,VLOOKUPS!$A$2:B$12589,2,FALSE),"")</f>
        <v>Broccoli Florets 12oz-standard</v>
      </c>
      <c r="E857">
        <v>2.69</v>
      </c>
      <c r="F857">
        <v>1.69</v>
      </c>
      <c r="G857" s="13">
        <v>44378</v>
      </c>
      <c r="H857" s="13">
        <v>44379</v>
      </c>
      <c r="I857" s="22" t="str">
        <f>VLOOKUP(J857, Dropdowns!N:O, 2, FALSE)</f>
        <v>Lower Price</v>
      </c>
      <c r="J857" t="s">
        <v>759</v>
      </c>
      <c r="L857" s="17" t="s">
        <v>733</v>
      </c>
      <c r="M857" s="17" t="s">
        <v>9</v>
      </c>
      <c r="N857" s="17" t="s">
        <v>740</v>
      </c>
    </row>
    <row r="858" spans="1:14" x14ac:dyDescent="0.25">
      <c r="A858" s="10">
        <v>995071</v>
      </c>
      <c r="B858" s="22" t="str">
        <f>IFERROR(VLOOKUP(A858,VLOOKUPS!$A$2:B$12589,2,FALSE),"")</f>
        <v>Broccoli Florets 12oz-standard</v>
      </c>
      <c r="E858">
        <v>2.79</v>
      </c>
      <c r="F858">
        <v>1.79</v>
      </c>
      <c r="G858" s="13">
        <v>44378</v>
      </c>
      <c r="H858" s="13">
        <v>44379</v>
      </c>
      <c r="I858" s="22" t="str">
        <f>VLOOKUP(J858, Dropdowns!N:O, 2, FALSE)</f>
        <v>Lower Price</v>
      </c>
      <c r="J858" t="s">
        <v>759</v>
      </c>
      <c r="L858" s="17" t="s">
        <v>734</v>
      </c>
      <c r="M858" s="17" t="s">
        <v>9</v>
      </c>
      <c r="N858" s="17" t="s">
        <v>736</v>
      </c>
    </row>
    <row r="859" spans="1:14" x14ac:dyDescent="0.25">
      <c r="A859" s="10">
        <v>995071</v>
      </c>
      <c r="B859" s="22" t="str">
        <f>IFERROR(VLOOKUP(A859,VLOOKUPS!$A$2:B$12589,2,FALSE),"")</f>
        <v>Broccoli Florets 12oz-standard</v>
      </c>
      <c r="E859">
        <v>1.69</v>
      </c>
      <c r="F859">
        <v>2.69</v>
      </c>
      <c r="G859" s="13">
        <v>44380</v>
      </c>
      <c r="H859" s="13"/>
      <c r="I859" s="22" t="str">
        <f>VLOOKUP(J859, Dropdowns!N:O, 2, FALSE)</f>
        <v>Standard</v>
      </c>
      <c r="J859" t="s">
        <v>760</v>
      </c>
      <c r="L859" s="17" t="s">
        <v>733</v>
      </c>
      <c r="M859" s="17" t="s">
        <v>9</v>
      </c>
      <c r="N859" s="17" t="s">
        <v>740</v>
      </c>
    </row>
    <row r="860" spans="1:14" x14ac:dyDescent="0.25">
      <c r="A860" s="10">
        <v>995071</v>
      </c>
      <c r="B860" s="22" t="str">
        <f>IFERROR(VLOOKUP(A860,VLOOKUPS!$A$2:B$12589,2,FALSE),"")</f>
        <v>Broccoli Florets 12oz-standard</v>
      </c>
      <c r="E860">
        <v>1.79</v>
      </c>
      <c r="F860">
        <v>2.79</v>
      </c>
      <c r="G860" s="13">
        <v>44380</v>
      </c>
      <c r="H860" s="13"/>
      <c r="I860" s="22" t="str">
        <f>VLOOKUP(J860, Dropdowns!N:O, 2, FALSE)</f>
        <v>Standard</v>
      </c>
      <c r="J860" t="s">
        <v>760</v>
      </c>
      <c r="L860" s="17" t="s">
        <v>734</v>
      </c>
      <c r="M860" s="17" t="s">
        <v>9</v>
      </c>
      <c r="N860" s="17" t="s">
        <v>736</v>
      </c>
    </row>
    <row r="861" spans="1:14" x14ac:dyDescent="0.25">
      <c r="A861" s="10">
        <v>995100</v>
      </c>
      <c r="B861" s="22" t="str">
        <f>IFERROR(VLOOKUP(A861,VLOOKUPS!$A$2:B$12589,2,FALSE),"")</f>
        <v>Asian Chopped Salad Kit 12oz-standard</v>
      </c>
      <c r="E861">
        <v>2.99</v>
      </c>
      <c r="F861">
        <v>1.99</v>
      </c>
      <c r="G861" s="13">
        <v>44378</v>
      </c>
      <c r="H861" s="13">
        <v>44378</v>
      </c>
      <c r="I861" s="22" t="str">
        <f>VLOOKUP(J861, Dropdowns!N:O, 2, FALSE)</f>
        <v>Lower Price</v>
      </c>
      <c r="J861" t="s">
        <v>759</v>
      </c>
      <c r="L861" s="17" t="s">
        <v>732</v>
      </c>
      <c r="M861" s="17" t="s">
        <v>10</v>
      </c>
      <c r="N861" s="17">
        <v>2</v>
      </c>
    </row>
    <row r="862" spans="1:14" x14ac:dyDescent="0.25">
      <c r="A862" s="10">
        <v>995100</v>
      </c>
      <c r="B862" s="22" t="str">
        <f>IFERROR(VLOOKUP(A862,VLOOKUPS!$A$2:B$12589,2,FALSE),"")</f>
        <v>Asian Chopped Salad Kit 12oz-standard</v>
      </c>
      <c r="E862">
        <v>1.99</v>
      </c>
      <c r="F862">
        <v>2.99</v>
      </c>
      <c r="G862" s="13">
        <v>44379</v>
      </c>
      <c r="H862" s="13"/>
      <c r="I862" s="22" t="str">
        <f>VLOOKUP(J862, Dropdowns!N:O, 2, FALSE)</f>
        <v>Standard</v>
      </c>
      <c r="J862" t="s">
        <v>760</v>
      </c>
      <c r="L862" s="17" t="s">
        <v>732</v>
      </c>
      <c r="M862" s="17" t="s">
        <v>10</v>
      </c>
      <c r="N862" s="17">
        <v>2</v>
      </c>
    </row>
    <row r="863" spans="1:14" x14ac:dyDescent="0.25">
      <c r="A863" s="10">
        <v>985760</v>
      </c>
      <c r="B863" s="22" t="str">
        <f>IFERROR(VLOOKUP(A863,VLOOKUPS!$A$2:B$12589,2,FALSE),"")</f>
        <v>Asparagus 1lb-standard</v>
      </c>
      <c r="E863">
        <v>1.39</v>
      </c>
      <c r="F863">
        <v>2.99</v>
      </c>
      <c r="G863" s="13">
        <v>44378</v>
      </c>
      <c r="H863" s="13"/>
      <c r="I863" s="22" t="str">
        <f>VLOOKUP(J863, Dropdowns!N:O, 2, FALSE)</f>
        <v>Standard</v>
      </c>
      <c r="J863" t="s">
        <v>760</v>
      </c>
      <c r="L863" s="17" t="s">
        <v>732</v>
      </c>
      <c r="M863" s="17" t="s">
        <v>9</v>
      </c>
      <c r="N863" s="17" t="s">
        <v>736</v>
      </c>
    </row>
    <row r="864" spans="1:14" x14ac:dyDescent="0.25">
      <c r="A864" s="10">
        <v>995035</v>
      </c>
      <c r="B864" s="22" t="str">
        <f>IFERROR(VLOOKUP(A864,VLOOKUPS!$A$2:B$12589,2,FALSE),"")</f>
        <v>Kale Greens 16oz-standard</v>
      </c>
      <c r="E864">
        <v>2.19</v>
      </c>
      <c r="F864">
        <v>2.4900000000000002</v>
      </c>
      <c r="G864" s="13">
        <v>44379</v>
      </c>
      <c r="H864" s="13"/>
      <c r="I864" s="22" t="str">
        <f>VLOOKUP(J864, Dropdowns!N:O, 2, FALSE)</f>
        <v>Standard</v>
      </c>
      <c r="J864" t="s">
        <v>761</v>
      </c>
      <c r="L864" s="17" t="s">
        <v>734</v>
      </c>
      <c r="M864" s="17" t="s">
        <v>9</v>
      </c>
      <c r="N864" s="17">
        <v>8</v>
      </c>
    </row>
    <row r="865" spans="1:17" x14ac:dyDescent="0.25">
      <c r="A865" s="10">
        <v>995144</v>
      </c>
      <c r="B865" s="22" t="str">
        <f>IFERROR(VLOOKUP(A865,VLOOKUPS!$A$2:B$12589,2,FALSE),"")</f>
        <v>Asparagus Spears 10oz-standard</v>
      </c>
      <c r="D865">
        <v>16</v>
      </c>
      <c r="F865">
        <v>3.98</v>
      </c>
      <c r="G865" s="13">
        <v>44379</v>
      </c>
      <c r="H865" s="13"/>
      <c r="I865" s="22" t="str">
        <f>VLOOKUP(J865, Dropdowns!N:O, 2, FALSE)</f>
        <v>New</v>
      </c>
      <c r="J865" t="s">
        <v>776</v>
      </c>
      <c r="L865" s="17" t="s">
        <v>732</v>
      </c>
      <c r="M865" s="17" t="s">
        <v>736</v>
      </c>
      <c r="N865" s="17" t="s">
        <v>736</v>
      </c>
      <c r="O865" t="s">
        <v>748</v>
      </c>
      <c r="P865">
        <v>2</v>
      </c>
      <c r="Q865" s="17" t="s">
        <v>1044</v>
      </c>
    </row>
    <row r="866" spans="1:17" x14ac:dyDescent="0.25">
      <c r="A866" s="10">
        <v>995086</v>
      </c>
      <c r="B866" s="22" t="str">
        <f>IFERROR(VLOOKUP(A866,VLOOKUPS!$A$2:B$12589,2,FALSE),"")</f>
        <v>Eat Smart Broccoli Florets 2lbs-standard</v>
      </c>
      <c r="E866">
        <v>4.4800000000000004</v>
      </c>
      <c r="F866">
        <v>5.98</v>
      </c>
      <c r="G866" s="13">
        <v>44379</v>
      </c>
      <c r="H866" s="13"/>
      <c r="I866" s="22" t="str">
        <f>VLOOKUP(J866, Dropdowns!N:O, 2, FALSE)</f>
        <v>Standard</v>
      </c>
      <c r="J866" t="s">
        <v>760</v>
      </c>
      <c r="L866" s="17" t="s">
        <v>732</v>
      </c>
      <c r="M866" s="17" t="s">
        <v>736</v>
      </c>
      <c r="N866" s="17" t="s">
        <v>736</v>
      </c>
    </row>
    <row r="867" spans="1:17" x14ac:dyDescent="0.25">
      <c r="A867" s="10">
        <v>984555</v>
      </c>
      <c r="B867" s="22" t="str">
        <f>IFERROR(VLOOKUP(A867,VLOOKUPS!$A$2:B$12589,2,FALSE),"")</f>
        <v>Blueberries 2lb-standard</v>
      </c>
      <c r="G867" s="13">
        <v>44380</v>
      </c>
      <c r="H867" s="13">
        <v>44382</v>
      </c>
      <c r="I867" s="22" t="str">
        <f>VLOOKUP(J867, Dropdowns!N:O, 2, FALSE)</f>
        <v>Lower Price</v>
      </c>
      <c r="J867" t="s">
        <v>753</v>
      </c>
      <c r="L867" s="17" t="s">
        <v>732</v>
      </c>
      <c r="M867" s="17" t="s">
        <v>736</v>
      </c>
      <c r="N867" s="17" t="s">
        <v>736</v>
      </c>
    </row>
    <row r="868" spans="1:17" x14ac:dyDescent="0.25">
      <c r="A868" s="10">
        <v>984555</v>
      </c>
      <c r="B868" s="22" t="str">
        <f>IFERROR(VLOOKUP(A868,VLOOKUPS!$A$2:B$12589,2,FALSE),"")</f>
        <v>Blueberries 2lb-standard</v>
      </c>
      <c r="E868">
        <v>3.99</v>
      </c>
      <c r="F868">
        <v>6.99</v>
      </c>
      <c r="G868" s="13">
        <v>44383</v>
      </c>
      <c r="H868" s="13"/>
      <c r="I868" s="22" t="str">
        <f>VLOOKUP(J868, Dropdowns!N:O, 2, FALSE)</f>
        <v>Standard</v>
      </c>
      <c r="J868" t="s">
        <v>760</v>
      </c>
      <c r="L868" s="17" t="s">
        <v>732</v>
      </c>
      <c r="M868" s="17" t="s">
        <v>736</v>
      </c>
      <c r="N868" s="17" t="s">
        <v>736</v>
      </c>
    </row>
    <row r="869" spans="1:17" x14ac:dyDescent="0.25">
      <c r="A869" s="10">
        <v>984700</v>
      </c>
      <c r="B869" s="22" t="str">
        <f>IFERROR(VLOOKUP(A869,VLOOKUPS!$A$2:B$12589,2,FALSE),"")</f>
        <v>Blackberries 6oz-standard</v>
      </c>
      <c r="G869" s="13">
        <v>44380</v>
      </c>
      <c r="H869" s="13">
        <v>44381</v>
      </c>
      <c r="I869" s="22" t="str">
        <f>VLOOKUP(J869, Dropdowns!N:O, 2, FALSE)</f>
        <v>Lower Price</v>
      </c>
      <c r="J869" t="s">
        <v>753</v>
      </c>
      <c r="L869" s="17" t="s">
        <v>732</v>
      </c>
      <c r="M869" s="17" t="s">
        <v>736</v>
      </c>
      <c r="N869" s="17" t="s">
        <v>736</v>
      </c>
    </row>
    <row r="870" spans="1:17" x14ac:dyDescent="0.25">
      <c r="A870" s="10">
        <v>984700</v>
      </c>
      <c r="B870" s="22" t="str">
        <f>IFERROR(VLOOKUP(A870,VLOOKUPS!$A$2:B$12589,2,FALSE),"")</f>
        <v>Blackberries 6oz-standard</v>
      </c>
      <c r="E870">
        <v>1.69</v>
      </c>
      <c r="F870">
        <v>2.48</v>
      </c>
      <c r="G870" s="13">
        <v>44382</v>
      </c>
      <c r="H870" s="13"/>
      <c r="I870" s="22" t="str">
        <f>VLOOKUP(J870, Dropdowns!N:O, 2, FALSE)</f>
        <v>Standard</v>
      </c>
      <c r="J870" t="s">
        <v>760</v>
      </c>
      <c r="L870" s="17" t="s">
        <v>732</v>
      </c>
      <c r="M870" s="17" t="s">
        <v>736</v>
      </c>
      <c r="N870" s="17" t="s">
        <v>736</v>
      </c>
    </row>
    <row r="871" spans="1:17" x14ac:dyDescent="0.25">
      <c r="A871" s="10">
        <v>984701</v>
      </c>
      <c r="B871" s="22" t="str">
        <f>IFERROR(VLOOKUP(A871,VLOOKUPS!$A$2:B$12589,2,FALSE),"")</f>
        <v>Blackberries Super Sweet 6oz-standard</v>
      </c>
      <c r="G871" s="13">
        <v>44382</v>
      </c>
      <c r="H871" s="13"/>
      <c r="I871" s="22" t="str">
        <f>VLOOKUP(J871, Dropdowns!N:O, 2, FALSE)</f>
        <v>NA</v>
      </c>
      <c r="J871" t="s">
        <v>754</v>
      </c>
      <c r="L871" s="17" t="s">
        <v>732</v>
      </c>
      <c r="M871" s="17" t="s">
        <v>736</v>
      </c>
      <c r="N871" s="17" t="s">
        <v>736</v>
      </c>
    </row>
    <row r="872" spans="1:17" x14ac:dyDescent="0.25">
      <c r="A872" s="10">
        <v>984542</v>
      </c>
      <c r="B872" s="22" t="str">
        <f>IFERROR(VLOOKUP(A872,VLOOKUPS!$A$2:B$12589,2,FALSE),"")</f>
        <v>Blueberries 18oz-standard</v>
      </c>
      <c r="E872">
        <v>4.1900000000000004</v>
      </c>
      <c r="F872">
        <v>4.29</v>
      </c>
      <c r="G872" s="13">
        <v>44383</v>
      </c>
      <c r="H872" s="13"/>
      <c r="I872" s="22" t="str">
        <f>VLOOKUP(J872, Dropdowns!N:O, 2, FALSE)</f>
        <v>Standard</v>
      </c>
      <c r="J872" t="s">
        <v>761</v>
      </c>
      <c r="L872" s="17" t="s">
        <v>732</v>
      </c>
      <c r="M872" s="17" t="s">
        <v>736</v>
      </c>
      <c r="N872" s="17" t="s">
        <v>736</v>
      </c>
    </row>
    <row r="873" spans="1:17" x14ac:dyDescent="0.25">
      <c r="A873" s="10">
        <v>995008</v>
      </c>
      <c r="B873" s="22" t="str">
        <f>IFERROR(VLOOKUP(A873,VLOOKUPS!$A$2:B$12589,2,FALSE),"")</f>
        <v>Shredded Lettuce 8oz-standard</v>
      </c>
      <c r="E873">
        <v>1.69</v>
      </c>
      <c r="F873">
        <v>1.49</v>
      </c>
      <c r="G873" s="13">
        <v>44383</v>
      </c>
      <c r="H873" s="13"/>
      <c r="I873" s="22" t="str">
        <f>VLOOKUP(J873, Dropdowns!N:O, 2, FALSE)</f>
        <v>Standard</v>
      </c>
      <c r="J873" t="s">
        <v>761</v>
      </c>
      <c r="L873" s="17" t="s">
        <v>734</v>
      </c>
      <c r="M873" s="17" t="s">
        <v>9</v>
      </c>
      <c r="N873" s="17">
        <v>8</v>
      </c>
    </row>
    <row r="874" spans="1:17" x14ac:dyDescent="0.25">
      <c r="A874" s="10">
        <v>995009</v>
      </c>
      <c r="B874" s="22" t="str">
        <f>IFERROR(VLOOKUP(A874,VLOOKUPS!$A$2:B$12589,2,FALSE),"")</f>
        <v>Classic Coleslaw 14oz-standard</v>
      </c>
      <c r="E874">
        <v>1.49</v>
      </c>
      <c r="F874">
        <v>1.59</v>
      </c>
      <c r="G874" s="13">
        <v>44383</v>
      </c>
      <c r="H874" s="13"/>
      <c r="I874" s="22" t="str">
        <f>VLOOKUP(J874, Dropdowns!N:O, 2, FALSE)</f>
        <v>Standard</v>
      </c>
      <c r="J874" t="s">
        <v>761</v>
      </c>
      <c r="L874" s="17" t="s">
        <v>734</v>
      </c>
      <c r="M874" s="17" t="s">
        <v>735</v>
      </c>
      <c r="N874" s="17" t="s">
        <v>736</v>
      </c>
    </row>
    <row r="875" spans="1:17" x14ac:dyDescent="0.25">
      <c r="A875" s="10">
        <v>995043</v>
      </c>
      <c r="B875" s="22" t="str">
        <f>IFERROR(VLOOKUP(A875,VLOOKUPS!$A$2:B$12589,2,FALSE),"")</f>
        <v>Watermelon Chunks 16oz-standard</v>
      </c>
      <c r="E875">
        <v>3.49</v>
      </c>
      <c r="F875">
        <v>3.29</v>
      </c>
      <c r="G875" s="13">
        <v>44383</v>
      </c>
      <c r="H875" s="13"/>
      <c r="I875" s="22" t="str">
        <f>VLOOKUP(J875, Dropdowns!N:O, 2, FALSE)</f>
        <v>Standard</v>
      </c>
      <c r="J875" t="s">
        <v>761</v>
      </c>
      <c r="L875" s="17" t="s">
        <v>732</v>
      </c>
      <c r="M875" s="17" t="s">
        <v>736</v>
      </c>
      <c r="N875" s="17" t="s">
        <v>736</v>
      </c>
    </row>
    <row r="876" spans="1:17" x14ac:dyDescent="0.25">
      <c r="A876" s="10">
        <v>983101</v>
      </c>
      <c r="B876" s="22" t="str">
        <f>IFERROR(VLOOKUP(A876,VLOOKUPS!$A$2:B$12589,2,FALSE),"")</f>
        <v>Melons Cantaloupes 1ct-LOOSE</v>
      </c>
      <c r="E876">
        <v>1.98</v>
      </c>
      <c r="F876">
        <v>1.18</v>
      </c>
      <c r="G876" s="13">
        <v>44385</v>
      </c>
      <c r="H876" s="13">
        <v>44386</v>
      </c>
      <c r="I876" s="22" t="str">
        <f>VLOOKUP(J876, Dropdowns!N:O, 2, FALSE)</f>
        <v>Lower Price</v>
      </c>
      <c r="J876" t="s">
        <v>759</v>
      </c>
      <c r="L876" s="17" t="s">
        <v>732</v>
      </c>
      <c r="M876" s="17" t="s">
        <v>9</v>
      </c>
      <c r="N876" s="17" t="s">
        <v>741</v>
      </c>
    </row>
    <row r="877" spans="1:17" x14ac:dyDescent="0.25">
      <c r="A877" s="10">
        <v>983101</v>
      </c>
      <c r="B877" s="22" t="str">
        <f>IFERROR(VLOOKUP(A877,VLOOKUPS!$A$2:B$12589,2,FALSE),"")</f>
        <v>Melons Cantaloupes 1ct-LOOSE</v>
      </c>
      <c r="E877">
        <v>2.4900000000000002</v>
      </c>
      <c r="F877">
        <v>1.49</v>
      </c>
      <c r="G877" s="13">
        <v>44385</v>
      </c>
      <c r="H877" s="13">
        <v>44386</v>
      </c>
      <c r="I877" s="22" t="str">
        <f>VLOOKUP(J877, Dropdowns!N:O, 2, FALSE)</f>
        <v>Lower Price</v>
      </c>
      <c r="J877" t="s">
        <v>759</v>
      </c>
      <c r="L877" s="17" t="s">
        <v>734</v>
      </c>
      <c r="M877" s="17" t="s">
        <v>9</v>
      </c>
      <c r="N877" s="17">
        <v>8</v>
      </c>
    </row>
    <row r="878" spans="1:17" x14ac:dyDescent="0.25">
      <c r="A878" s="10">
        <v>983101</v>
      </c>
      <c r="B878" s="22" t="str">
        <f>IFERROR(VLOOKUP(A878,VLOOKUPS!$A$2:B$12589,2,FALSE),"")</f>
        <v>Melons Cantaloupes 1ct-LOOSE</v>
      </c>
      <c r="E878">
        <v>1.18</v>
      </c>
      <c r="F878">
        <v>1.98</v>
      </c>
      <c r="G878" s="13">
        <v>44387</v>
      </c>
      <c r="H878" s="13"/>
      <c r="I878" s="22" t="str">
        <f>VLOOKUP(J878, Dropdowns!N:O, 2, FALSE)</f>
        <v>Standard</v>
      </c>
      <c r="J878" t="s">
        <v>760</v>
      </c>
      <c r="L878" s="17" t="s">
        <v>732</v>
      </c>
      <c r="M878" s="17" t="s">
        <v>9</v>
      </c>
      <c r="N878" s="17" t="s">
        <v>741</v>
      </c>
    </row>
    <row r="879" spans="1:17" x14ac:dyDescent="0.25">
      <c r="A879" s="10">
        <v>983101</v>
      </c>
      <c r="B879" s="22" t="str">
        <f>IFERROR(VLOOKUP(A879,VLOOKUPS!$A$2:B$12589,2,FALSE),"")</f>
        <v>Melons Cantaloupes 1ct-LOOSE</v>
      </c>
      <c r="E879">
        <v>1.49</v>
      </c>
      <c r="F879">
        <v>2.4900000000000002</v>
      </c>
      <c r="G879" s="13">
        <v>44387</v>
      </c>
      <c r="H879" s="13"/>
      <c r="I879" s="22" t="str">
        <f>VLOOKUP(J879, Dropdowns!N:O, 2, FALSE)</f>
        <v>Standard</v>
      </c>
      <c r="J879" t="s">
        <v>760</v>
      </c>
      <c r="L879" s="17" t="s">
        <v>734</v>
      </c>
      <c r="M879" s="17" t="s">
        <v>9</v>
      </c>
      <c r="N879" s="17">
        <v>8</v>
      </c>
    </row>
    <row r="880" spans="1:17" x14ac:dyDescent="0.25">
      <c r="A880" s="10">
        <v>983201</v>
      </c>
      <c r="B880" s="22" t="str">
        <f>IFERROR(VLOOKUP(A880,VLOOKUPS!$A$2:B$12589,2,FALSE),"")</f>
        <v>Melons* Honeydew 1ct-LOOSE</v>
      </c>
      <c r="E880">
        <v>3.58</v>
      </c>
      <c r="F880">
        <v>2.58</v>
      </c>
      <c r="G880" s="13">
        <v>44385</v>
      </c>
      <c r="H880" s="13">
        <v>44385</v>
      </c>
      <c r="I880" s="22" t="str">
        <f>VLOOKUP(J880, Dropdowns!N:O, 2, FALSE)</f>
        <v>Lower Price</v>
      </c>
      <c r="J880" t="s">
        <v>759</v>
      </c>
      <c r="L880" s="17" t="s">
        <v>732</v>
      </c>
      <c r="M880" s="17" t="s">
        <v>9</v>
      </c>
      <c r="N880" s="17" t="s">
        <v>736</v>
      </c>
    </row>
    <row r="881" spans="1:14" x14ac:dyDescent="0.25">
      <c r="A881" s="10">
        <v>983201</v>
      </c>
      <c r="B881" s="22" t="str">
        <f>IFERROR(VLOOKUP(A881,VLOOKUPS!$A$2:B$12589,2,FALSE),"")</f>
        <v>Melons* Honeydew 1ct-LOOSE</v>
      </c>
      <c r="E881">
        <v>2.58</v>
      </c>
      <c r="F881">
        <v>3.58</v>
      </c>
      <c r="G881" s="13">
        <v>44386</v>
      </c>
      <c r="H881" s="13"/>
      <c r="I881" s="22" t="str">
        <f>VLOOKUP(J881, Dropdowns!N:O, 2, FALSE)</f>
        <v>Standard</v>
      </c>
      <c r="J881" t="s">
        <v>760</v>
      </c>
      <c r="L881" s="17" t="s">
        <v>732</v>
      </c>
      <c r="M881" s="17" t="s">
        <v>9</v>
      </c>
      <c r="N881" s="17" t="s">
        <v>736</v>
      </c>
    </row>
    <row r="882" spans="1:14" x14ac:dyDescent="0.25">
      <c r="A882" s="10">
        <v>984541</v>
      </c>
      <c r="B882" s="22" t="str">
        <f>IFERROR(VLOOKUP(A882,VLOOKUPS!$A$2:B$12589,2,FALSE),"")</f>
        <v>Blueberries 1pt-standard</v>
      </c>
      <c r="E882">
        <v>2.64</v>
      </c>
      <c r="F882">
        <v>1.64</v>
      </c>
      <c r="G882" s="13">
        <v>44385</v>
      </c>
      <c r="H882" s="13">
        <v>44385</v>
      </c>
      <c r="I882" s="22" t="str">
        <f>VLOOKUP(J882, Dropdowns!N:O, 2, FALSE)</f>
        <v>Lower Price</v>
      </c>
      <c r="J882" t="s">
        <v>759</v>
      </c>
      <c r="L882" s="17" t="s">
        <v>732</v>
      </c>
      <c r="M882" s="17" t="s">
        <v>737</v>
      </c>
      <c r="N882" s="17" t="s">
        <v>736</v>
      </c>
    </row>
    <row r="883" spans="1:14" x14ac:dyDescent="0.25">
      <c r="A883" s="10">
        <v>984541</v>
      </c>
      <c r="B883" s="22" t="str">
        <f>IFERROR(VLOOKUP(A883,VLOOKUPS!$A$2:B$12589,2,FALSE),"")</f>
        <v>Blueberries 1pt-standard</v>
      </c>
      <c r="E883">
        <v>1.64</v>
      </c>
      <c r="F883">
        <v>2.64</v>
      </c>
      <c r="G883" s="13">
        <v>44386</v>
      </c>
      <c r="H883" s="13"/>
      <c r="I883" s="22" t="str">
        <f>VLOOKUP(J883, Dropdowns!N:O, 2, FALSE)</f>
        <v>Standard</v>
      </c>
      <c r="J883" t="s">
        <v>760</v>
      </c>
      <c r="L883" s="17" t="s">
        <v>732</v>
      </c>
      <c r="M883" s="17" t="s">
        <v>737</v>
      </c>
      <c r="N883" s="17" t="s">
        <v>736</v>
      </c>
    </row>
    <row r="884" spans="1:14" x14ac:dyDescent="0.25">
      <c r="A884" s="10">
        <v>984700</v>
      </c>
      <c r="B884" s="22" t="str">
        <f>IFERROR(VLOOKUP(A884,VLOOKUPS!$A$2:B$12589,2,FALSE),"")</f>
        <v>Blackberries 6oz-standard</v>
      </c>
      <c r="E884">
        <v>2.48</v>
      </c>
      <c r="F884">
        <v>1.28</v>
      </c>
      <c r="G884" s="13">
        <v>44385</v>
      </c>
      <c r="H884" s="13">
        <v>44387</v>
      </c>
      <c r="I884" s="22" t="str">
        <f>VLOOKUP(J884, Dropdowns!N:O, 2, FALSE)</f>
        <v>Lower Price</v>
      </c>
      <c r="J884" t="s">
        <v>759</v>
      </c>
      <c r="L884" s="17" t="s">
        <v>732</v>
      </c>
      <c r="M884" s="17" t="s">
        <v>736</v>
      </c>
      <c r="N884" s="17" t="s">
        <v>736</v>
      </c>
    </row>
    <row r="885" spans="1:14" x14ac:dyDescent="0.25">
      <c r="A885" s="10">
        <v>984700</v>
      </c>
      <c r="B885" s="22" t="str">
        <f>IFERROR(VLOOKUP(A885,VLOOKUPS!$A$2:B$12589,2,FALSE),"")</f>
        <v>Blackberries 6oz-standard</v>
      </c>
      <c r="E885">
        <v>1.28</v>
      </c>
      <c r="F885">
        <v>2.48</v>
      </c>
      <c r="G885" s="13">
        <v>44388</v>
      </c>
      <c r="H885" s="13"/>
      <c r="I885" s="22" t="str">
        <f>VLOOKUP(J885, Dropdowns!N:O, 2, FALSE)</f>
        <v>Standard</v>
      </c>
      <c r="J885" t="s">
        <v>760</v>
      </c>
      <c r="L885" s="17" t="s">
        <v>732</v>
      </c>
      <c r="M885" s="17" t="s">
        <v>736</v>
      </c>
      <c r="N885" s="17" t="s">
        <v>736</v>
      </c>
    </row>
    <row r="886" spans="1:14" x14ac:dyDescent="0.25">
      <c r="A886" s="10">
        <v>985760</v>
      </c>
      <c r="B886" s="22" t="str">
        <f>IFERROR(VLOOKUP(A886,VLOOKUPS!$A$2:B$12589,2,FALSE),"")</f>
        <v>Asparagus 1lb-standard</v>
      </c>
      <c r="E886">
        <v>2.99</v>
      </c>
      <c r="F886">
        <v>2.29</v>
      </c>
      <c r="G886" s="13">
        <v>44385</v>
      </c>
      <c r="H886" s="13">
        <v>44386</v>
      </c>
      <c r="I886" s="22" t="str">
        <f>VLOOKUP(J886, Dropdowns!N:O, 2, FALSE)</f>
        <v>Lower Price</v>
      </c>
      <c r="J886" t="s">
        <v>759</v>
      </c>
      <c r="L886" s="17" t="s">
        <v>732</v>
      </c>
      <c r="M886" s="17" t="s">
        <v>738</v>
      </c>
      <c r="N886" s="17">
        <v>2</v>
      </c>
    </row>
    <row r="887" spans="1:14" x14ac:dyDescent="0.25">
      <c r="A887" s="10">
        <v>985760</v>
      </c>
      <c r="B887" s="22" t="str">
        <f>IFERROR(VLOOKUP(A887,VLOOKUPS!$A$2:B$12589,2,FALSE),"")</f>
        <v>Asparagus 1lb-standard</v>
      </c>
      <c r="E887">
        <v>2.29</v>
      </c>
      <c r="F887">
        <v>2.99</v>
      </c>
      <c r="G887" s="13">
        <v>44387</v>
      </c>
      <c r="H887" s="13"/>
      <c r="I887" s="22" t="str">
        <f>VLOOKUP(J887, Dropdowns!N:O, 2, FALSE)</f>
        <v>Standard</v>
      </c>
      <c r="J887" t="s">
        <v>760</v>
      </c>
      <c r="L887" s="17" t="s">
        <v>732</v>
      </c>
      <c r="M887" s="17" t="s">
        <v>738</v>
      </c>
      <c r="N887" s="17">
        <v>2</v>
      </c>
    </row>
    <row r="888" spans="1:14" x14ac:dyDescent="0.25">
      <c r="A888" s="10">
        <v>995032</v>
      </c>
      <c r="B888" s="22" t="str">
        <f>IFERROR(VLOOKUP(A888,VLOOKUPS!$A$2:B$12589,2,FALSE),"")</f>
        <v>Chopped Sunflower Crunch Kit 12.2oz-standard</v>
      </c>
      <c r="E888">
        <v>2.99</v>
      </c>
      <c r="F888">
        <v>1.99</v>
      </c>
      <c r="G888" s="13">
        <v>44385</v>
      </c>
      <c r="H888" s="13">
        <v>44386</v>
      </c>
      <c r="I888" s="22" t="str">
        <f>VLOOKUP(J888, Dropdowns!N:O, 2, FALSE)</f>
        <v>Lower Price</v>
      </c>
      <c r="J888" t="s">
        <v>759</v>
      </c>
      <c r="L888" s="17" t="s">
        <v>732</v>
      </c>
      <c r="M888" s="17" t="s">
        <v>9</v>
      </c>
      <c r="N888" s="17" t="s">
        <v>736</v>
      </c>
    </row>
    <row r="889" spans="1:14" x14ac:dyDescent="0.25">
      <c r="A889" s="10">
        <v>995032</v>
      </c>
      <c r="B889" s="22" t="str">
        <f>IFERROR(VLOOKUP(A889,VLOOKUPS!$A$2:B$12589,2,FALSE),"")</f>
        <v>Chopped Sunflower Crunch Kit 12.2oz-standard</v>
      </c>
      <c r="E889">
        <v>1.99</v>
      </c>
      <c r="F889">
        <v>2.99</v>
      </c>
      <c r="G889" s="13">
        <v>44387</v>
      </c>
      <c r="H889" s="13"/>
      <c r="I889" s="22" t="str">
        <f>VLOOKUP(J889, Dropdowns!N:O, 2, FALSE)</f>
        <v>Standard</v>
      </c>
      <c r="J889" t="s">
        <v>760</v>
      </c>
      <c r="L889" s="17" t="s">
        <v>732</v>
      </c>
      <c r="M889" s="17" t="s">
        <v>9</v>
      </c>
      <c r="N889" s="17" t="s">
        <v>736</v>
      </c>
    </row>
    <row r="890" spans="1:14" x14ac:dyDescent="0.25">
      <c r="A890" s="10">
        <v>995025</v>
      </c>
      <c r="B890" s="22" t="str">
        <f>IFERROR(VLOOKUP(A890,VLOOKUPS!$A$2:B$12589,2,FALSE),"")</f>
        <v>XL Half and Half Mix 16oz-standard</v>
      </c>
      <c r="E890">
        <v>3.49</v>
      </c>
      <c r="F890">
        <v>4.99</v>
      </c>
      <c r="G890" s="13">
        <v>44385</v>
      </c>
      <c r="H890" s="13"/>
      <c r="I890" s="22" t="str">
        <f>VLOOKUP(J890, Dropdowns!N:O, 2, FALSE)</f>
        <v>Standard</v>
      </c>
      <c r="J890" t="s">
        <v>760</v>
      </c>
      <c r="L890" s="17" t="s">
        <v>732</v>
      </c>
      <c r="M890" s="17" t="s">
        <v>735</v>
      </c>
      <c r="N890" s="17" t="s">
        <v>736</v>
      </c>
    </row>
    <row r="891" spans="1:14" x14ac:dyDescent="0.25">
      <c r="A891" s="10">
        <v>983251</v>
      </c>
      <c r="B891" s="22" t="str">
        <f>IFERROR(VLOOKUP(A891,VLOOKUPS!$A$2:B$12589,2,FALSE),"")</f>
        <v>Watermelons Large Seedless 1ct-LOOSE</v>
      </c>
      <c r="E891">
        <v>3.89</v>
      </c>
      <c r="F891">
        <v>4.8899999999999997</v>
      </c>
      <c r="G891" s="13">
        <v>44386</v>
      </c>
      <c r="H891" s="13"/>
      <c r="I891" s="22" t="str">
        <f>VLOOKUP(J891, Dropdowns!N:O, 2, FALSE)</f>
        <v>Standard</v>
      </c>
      <c r="J891" t="s">
        <v>761</v>
      </c>
      <c r="L891" s="17" t="s">
        <v>732</v>
      </c>
      <c r="M891" s="17" t="s">
        <v>736</v>
      </c>
      <c r="N891" s="17" t="s">
        <v>736</v>
      </c>
    </row>
    <row r="892" spans="1:14" x14ac:dyDescent="0.25">
      <c r="A892" s="10">
        <v>984541</v>
      </c>
      <c r="B892" s="22" t="str">
        <f>IFERROR(VLOOKUP(A892,VLOOKUPS!$A$2:B$12589,2,FALSE),"")</f>
        <v>Blueberries 1pt-standard</v>
      </c>
      <c r="E892">
        <v>2.64</v>
      </c>
      <c r="F892">
        <v>1.64</v>
      </c>
      <c r="G892" s="13">
        <v>44386</v>
      </c>
      <c r="H892" s="13">
        <v>44387</v>
      </c>
      <c r="I892" s="22" t="str">
        <f>VLOOKUP(J892, Dropdowns!N:O, 2, FALSE)</f>
        <v>Lower Price</v>
      </c>
      <c r="J892" t="s">
        <v>759</v>
      </c>
      <c r="L892" s="17" t="s">
        <v>732</v>
      </c>
      <c r="M892" s="17" t="s">
        <v>10</v>
      </c>
      <c r="N892" s="17">
        <v>2</v>
      </c>
    </row>
    <row r="893" spans="1:14" x14ac:dyDescent="0.25">
      <c r="A893" s="10">
        <v>984541</v>
      </c>
      <c r="B893" s="22" t="str">
        <f>IFERROR(VLOOKUP(A893,VLOOKUPS!$A$2:B$12589,2,FALSE),"")</f>
        <v>Blueberries 1pt-standard</v>
      </c>
      <c r="E893">
        <v>1.64</v>
      </c>
      <c r="F893">
        <v>2.64</v>
      </c>
      <c r="G893" s="13">
        <v>44388</v>
      </c>
      <c r="H893" s="13"/>
      <c r="I893" s="22" t="str">
        <f>VLOOKUP(J893, Dropdowns!N:O, 2, FALSE)</f>
        <v>Standard</v>
      </c>
      <c r="J893" t="s">
        <v>760</v>
      </c>
      <c r="L893" s="17" t="s">
        <v>732</v>
      </c>
      <c r="M893" s="17" t="s">
        <v>10</v>
      </c>
      <c r="N893" s="17">
        <v>2</v>
      </c>
    </row>
    <row r="894" spans="1:14" x14ac:dyDescent="0.25">
      <c r="A894" s="10">
        <v>985190</v>
      </c>
      <c r="B894" s="22" t="str">
        <f>IFERROR(VLOOKUP(A894,VLOOKUPS!$A$2:B$12589,2,FALSE),"")</f>
        <v>Organic Romaine Hearts 3ct-standard</v>
      </c>
      <c r="G894" s="13">
        <v>44386</v>
      </c>
      <c r="H894" s="13"/>
      <c r="I894" s="22" t="str">
        <f>VLOOKUP(J894, Dropdowns!N:O, 2, FALSE)</f>
        <v>NA</v>
      </c>
      <c r="J894" t="s">
        <v>754</v>
      </c>
      <c r="L894" s="17" t="s">
        <v>732</v>
      </c>
      <c r="M894" s="17" t="s">
        <v>736</v>
      </c>
      <c r="N894" s="17" t="s">
        <v>736</v>
      </c>
    </row>
    <row r="895" spans="1:14" x14ac:dyDescent="0.25">
      <c r="A895" s="10">
        <v>995001</v>
      </c>
      <c r="B895" s="22" t="str">
        <f>IFERROR(VLOOKUP(A895,VLOOKUPS!$A$2:B$12589,2,FALSE),"")</f>
        <v>Spinach Baby 6oz-standard</v>
      </c>
      <c r="E895">
        <v>2.2599999999999998</v>
      </c>
      <c r="F895">
        <v>1.26</v>
      </c>
      <c r="G895" s="13">
        <v>44386</v>
      </c>
      <c r="H895" s="13">
        <v>44387</v>
      </c>
      <c r="I895" s="22" t="str">
        <f>VLOOKUP(J895, Dropdowns!N:O, 2, FALSE)</f>
        <v>Lower Price</v>
      </c>
      <c r="J895" t="s">
        <v>759</v>
      </c>
      <c r="L895" s="17" t="s">
        <v>732</v>
      </c>
      <c r="M895" s="17" t="s">
        <v>10</v>
      </c>
      <c r="N895" s="17">
        <v>2</v>
      </c>
    </row>
    <row r="896" spans="1:14" x14ac:dyDescent="0.25">
      <c r="A896" s="10">
        <v>995001</v>
      </c>
      <c r="B896" s="22" t="str">
        <f>IFERROR(VLOOKUP(A896,VLOOKUPS!$A$2:B$12589,2,FALSE),"")</f>
        <v>Spinach Baby 6oz-standard</v>
      </c>
      <c r="E896">
        <v>1.26</v>
      </c>
      <c r="F896">
        <v>2.2599999999999998</v>
      </c>
      <c r="G896" s="13">
        <v>44388</v>
      </c>
      <c r="H896" s="13"/>
      <c r="I896" s="22" t="str">
        <f>VLOOKUP(J896, Dropdowns!N:O, 2, FALSE)</f>
        <v>Standard</v>
      </c>
      <c r="J896" t="s">
        <v>760</v>
      </c>
      <c r="L896" s="17" t="s">
        <v>732</v>
      </c>
      <c r="M896" s="17" t="s">
        <v>10</v>
      </c>
      <c r="N896" s="17">
        <v>2</v>
      </c>
    </row>
    <row r="897" spans="1:17" x14ac:dyDescent="0.25">
      <c r="A897" s="10">
        <v>995032</v>
      </c>
      <c r="B897" s="22" t="str">
        <f>IFERROR(VLOOKUP(A897,VLOOKUPS!$A$2:B$12589,2,FALSE),"")</f>
        <v>Chopped Sunflower Crunch Kit 12.2oz-standard</v>
      </c>
      <c r="E897">
        <v>2.99</v>
      </c>
      <c r="F897">
        <v>1.99</v>
      </c>
      <c r="G897" s="13">
        <v>44386</v>
      </c>
      <c r="H897" s="13">
        <v>44387</v>
      </c>
      <c r="I897" s="22" t="str">
        <f>VLOOKUP(J897, Dropdowns!N:O, 2, FALSE)</f>
        <v>Lower Price</v>
      </c>
      <c r="J897" t="s">
        <v>759</v>
      </c>
      <c r="L897" s="17" t="s">
        <v>732</v>
      </c>
      <c r="M897" s="17" t="s">
        <v>10</v>
      </c>
      <c r="N897" s="17">
        <v>2</v>
      </c>
    </row>
    <row r="898" spans="1:17" x14ac:dyDescent="0.25">
      <c r="A898" s="10">
        <v>995032</v>
      </c>
      <c r="B898" s="22" t="str">
        <f>IFERROR(VLOOKUP(A898,VLOOKUPS!$A$2:B$12589,2,FALSE),"")</f>
        <v>Chopped Sunflower Crunch Kit 12.2oz-standard</v>
      </c>
      <c r="E898">
        <v>1.99</v>
      </c>
      <c r="F898">
        <v>2.99</v>
      </c>
      <c r="G898" s="13">
        <v>44388</v>
      </c>
      <c r="H898" s="13"/>
      <c r="I898" s="22" t="str">
        <f>VLOOKUP(J898, Dropdowns!N:O, 2, FALSE)</f>
        <v>Standard</v>
      </c>
      <c r="J898" t="s">
        <v>760</v>
      </c>
      <c r="L898" s="17" t="s">
        <v>732</v>
      </c>
      <c r="M898" s="17" t="s">
        <v>10</v>
      </c>
      <c r="N898" s="17">
        <v>2</v>
      </c>
    </row>
    <row r="899" spans="1:17" x14ac:dyDescent="0.25">
      <c r="A899" s="10">
        <v>995142</v>
      </c>
      <c r="B899" s="22" t="str">
        <f>IFERROR(VLOOKUP(A899,VLOOKUPS!$A$2:B$12589,2,FALSE),"")</f>
        <v>Mango Pico De Gallo 16oz-standard</v>
      </c>
      <c r="D899">
        <v>4</v>
      </c>
      <c r="F899">
        <v>4.49</v>
      </c>
      <c r="G899" s="13">
        <v>44386</v>
      </c>
      <c r="H899" s="13"/>
      <c r="I899" s="22" t="str">
        <f>VLOOKUP(J899, Dropdowns!N:O, 2, FALSE)</f>
        <v>New</v>
      </c>
      <c r="J899" t="s">
        <v>776</v>
      </c>
      <c r="L899" s="17" t="s">
        <v>732</v>
      </c>
      <c r="M899" s="17" t="s">
        <v>736</v>
      </c>
      <c r="N899" s="17" t="s">
        <v>736</v>
      </c>
      <c r="O899" t="s">
        <v>748</v>
      </c>
      <c r="P899">
        <v>1</v>
      </c>
      <c r="Q899" s="17" t="s">
        <v>1044</v>
      </c>
    </row>
    <row r="900" spans="1:17" x14ac:dyDescent="0.25">
      <c r="A900" s="10">
        <v>995051</v>
      </c>
      <c r="B900" s="22" t="str">
        <f>IFERROR(VLOOKUP(A900,VLOOKUPS!$A$2:B$12589,2,FALSE),"")</f>
        <v>Mild Fresh Chopped Salsa 16oz-standard</v>
      </c>
      <c r="E900">
        <v>3.99</v>
      </c>
      <c r="F900">
        <v>4.49</v>
      </c>
      <c r="G900" s="13">
        <v>44386</v>
      </c>
      <c r="H900" s="13"/>
      <c r="I900" s="22" t="str">
        <f>VLOOKUP(J900, Dropdowns!N:O, 2, FALSE)</f>
        <v>Standard</v>
      </c>
      <c r="J900" t="s">
        <v>761</v>
      </c>
      <c r="L900" s="17" t="s">
        <v>732</v>
      </c>
      <c r="M900" s="17" t="s">
        <v>736</v>
      </c>
      <c r="N900" s="17" t="s">
        <v>736</v>
      </c>
    </row>
    <row r="901" spans="1:17" x14ac:dyDescent="0.25">
      <c r="A901" s="10">
        <v>995053</v>
      </c>
      <c r="B901" s="22" t="str">
        <f>IFERROR(VLOOKUP(A901,VLOOKUPS!$A$2:B$12589,2,FALSE),"")</f>
        <v>Fresh Chopped Salsa Pico 16oz-standard</v>
      </c>
      <c r="E901">
        <v>3.99</v>
      </c>
      <c r="F901">
        <v>4.49</v>
      </c>
      <c r="G901" s="13">
        <v>44386</v>
      </c>
      <c r="H901" s="13"/>
      <c r="I901" s="22" t="str">
        <f>VLOOKUP(J901, Dropdowns!N:O, 2, FALSE)</f>
        <v>Standard</v>
      </c>
      <c r="J901" t="s">
        <v>761</v>
      </c>
      <c r="L901" s="17" t="s">
        <v>732</v>
      </c>
      <c r="M901" s="17" t="s">
        <v>736</v>
      </c>
      <c r="N901" s="17" t="s">
        <v>736</v>
      </c>
    </row>
    <row r="902" spans="1:17" x14ac:dyDescent="0.25">
      <c r="A902" s="10">
        <v>984541</v>
      </c>
      <c r="B902" s="22" t="str">
        <f>IFERROR(VLOOKUP(A902,VLOOKUPS!$A$2:B$12589,2,FALSE),"")</f>
        <v>Blueberries 1pt-standard</v>
      </c>
      <c r="E902">
        <v>2.64</v>
      </c>
      <c r="F902">
        <v>1.84</v>
      </c>
      <c r="G902" s="13">
        <v>44387</v>
      </c>
      <c r="H902" s="13">
        <v>44388</v>
      </c>
      <c r="I902" s="22" t="str">
        <f>VLOOKUP(J902, Dropdowns!N:O, 2, FALSE)</f>
        <v>Lower Price</v>
      </c>
      <c r="J902" t="s">
        <v>759</v>
      </c>
      <c r="L902" s="17" t="s">
        <v>732</v>
      </c>
      <c r="M902" s="17" t="s">
        <v>737</v>
      </c>
      <c r="N902" s="17" t="s">
        <v>736</v>
      </c>
    </row>
    <row r="903" spans="1:17" x14ac:dyDescent="0.25">
      <c r="A903" s="10">
        <v>984541</v>
      </c>
      <c r="B903" s="22" t="str">
        <f>IFERROR(VLOOKUP(A903,VLOOKUPS!$A$2:B$12589,2,FALSE),"")</f>
        <v>Blueberries 1pt-standard</v>
      </c>
      <c r="E903">
        <v>1.84</v>
      </c>
      <c r="F903">
        <v>2.64</v>
      </c>
      <c r="G903" s="13">
        <v>44389</v>
      </c>
      <c r="H903" s="13"/>
      <c r="I903" s="22" t="str">
        <f>VLOOKUP(J903, Dropdowns!N:O, 2, FALSE)</f>
        <v>Standard</v>
      </c>
      <c r="J903" t="s">
        <v>760</v>
      </c>
      <c r="L903" s="17" t="s">
        <v>732</v>
      </c>
      <c r="M903" s="17" t="s">
        <v>737</v>
      </c>
      <c r="N903" s="17" t="s">
        <v>736</v>
      </c>
    </row>
    <row r="904" spans="1:17" x14ac:dyDescent="0.25">
      <c r="A904" s="10">
        <v>984621</v>
      </c>
      <c r="B904" s="22" t="str">
        <f>IFERROR(VLOOKUP(A904,VLOOKUPS!$A$2:B$12589,2,FALSE),"")</f>
        <v>Raspberries 12oz-standard</v>
      </c>
      <c r="E904">
        <v>4.9400000000000004</v>
      </c>
      <c r="F904">
        <v>3.94</v>
      </c>
      <c r="G904" s="13">
        <v>44387</v>
      </c>
      <c r="H904" s="13">
        <v>44388</v>
      </c>
      <c r="I904" s="22" t="str">
        <f>VLOOKUP(J904, Dropdowns!N:O, 2, FALSE)</f>
        <v>Lower Price</v>
      </c>
      <c r="J904" t="s">
        <v>759</v>
      </c>
      <c r="L904" s="17" t="s">
        <v>732</v>
      </c>
      <c r="M904" s="17" t="s">
        <v>9</v>
      </c>
      <c r="N904" s="17" t="s">
        <v>736</v>
      </c>
    </row>
    <row r="905" spans="1:17" x14ac:dyDescent="0.25">
      <c r="A905" s="10">
        <v>984621</v>
      </c>
      <c r="B905" s="22" t="str">
        <f>IFERROR(VLOOKUP(A905,VLOOKUPS!$A$2:B$12589,2,FALSE),"")</f>
        <v>Raspberries 12oz-standard</v>
      </c>
      <c r="E905">
        <v>3.94</v>
      </c>
      <c r="F905">
        <v>4.9400000000000004</v>
      </c>
      <c r="G905" s="13">
        <v>44389</v>
      </c>
      <c r="H905" s="13"/>
      <c r="I905" s="22" t="str">
        <f>VLOOKUP(J905, Dropdowns!N:O, 2, FALSE)</f>
        <v>Standard</v>
      </c>
      <c r="J905" t="s">
        <v>760</v>
      </c>
      <c r="L905" s="17" t="s">
        <v>732</v>
      </c>
      <c r="M905" s="17" t="s">
        <v>9</v>
      </c>
      <c r="N905" s="17" t="s">
        <v>736</v>
      </c>
    </row>
    <row r="906" spans="1:17" x14ac:dyDescent="0.25">
      <c r="A906" s="10">
        <v>984701</v>
      </c>
      <c r="B906" s="22" t="str">
        <f>IFERROR(VLOOKUP(A906,VLOOKUPS!$A$2:B$12589,2,FALSE),"")</f>
        <v>Blackberries Super Sweet 6oz-standard</v>
      </c>
      <c r="G906" s="13">
        <v>44387</v>
      </c>
      <c r="H906" s="13"/>
      <c r="I906" s="22" t="str">
        <f>VLOOKUP(J906, Dropdowns!N:O, 2, FALSE)</f>
        <v>NA</v>
      </c>
      <c r="J906" t="s">
        <v>754</v>
      </c>
      <c r="L906" s="17" t="s">
        <v>732</v>
      </c>
      <c r="M906" s="17" t="s">
        <v>736</v>
      </c>
      <c r="N906" s="17" t="s">
        <v>736</v>
      </c>
    </row>
    <row r="907" spans="1:17" x14ac:dyDescent="0.25">
      <c r="A907" s="10">
        <v>984702</v>
      </c>
      <c r="B907" s="22" t="str">
        <f>IFERROR(VLOOKUP(A907,VLOOKUPS!$A$2:B$12589,2,FALSE),"")</f>
        <v>Blackberries 12oz-standard</v>
      </c>
      <c r="E907">
        <v>4.4800000000000004</v>
      </c>
      <c r="F907">
        <v>3.48</v>
      </c>
      <c r="G907" s="13">
        <v>44387</v>
      </c>
      <c r="H907" s="13">
        <v>44388</v>
      </c>
      <c r="I907" s="22" t="str">
        <f>VLOOKUP(J907, Dropdowns!N:O, 2, FALSE)</f>
        <v>Lower Price</v>
      </c>
      <c r="J907" t="s">
        <v>759</v>
      </c>
      <c r="L907" s="17" t="s">
        <v>732</v>
      </c>
      <c r="M907" s="17" t="s">
        <v>9</v>
      </c>
      <c r="N907" s="17" t="s">
        <v>736</v>
      </c>
    </row>
    <row r="908" spans="1:17" x14ac:dyDescent="0.25">
      <c r="A908" s="10">
        <v>984702</v>
      </c>
      <c r="B908" s="22" t="str">
        <f>IFERROR(VLOOKUP(A908,VLOOKUPS!$A$2:B$12589,2,FALSE),"")</f>
        <v>Blackberries 12oz-standard</v>
      </c>
      <c r="E908">
        <v>3.48</v>
      </c>
      <c r="F908">
        <v>4.4800000000000004</v>
      </c>
      <c r="G908" s="13">
        <v>44389</v>
      </c>
      <c r="H908" s="13"/>
      <c r="I908" s="22" t="str">
        <f>VLOOKUP(J908, Dropdowns!N:O, 2, FALSE)</f>
        <v>Standard</v>
      </c>
      <c r="J908" t="s">
        <v>760</v>
      </c>
      <c r="L908" s="17" t="s">
        <v>732</v>
      </c>
      <c r="M908" s="17" t="s">
        <v>9</v>
      </c>
      <c r="N908" s="17" t="s">
        <v>736</v>
      </c>
    </row>
    <row r="909" spans="1:17" x14ac:dyDescent="0.25">
      <c r="A909" s="10">
        <v>995002</v>
      </c>
      <c r="B909" s="22" t="str">
        <f>IFERROR(VLOOKUP(A909,VLOOKUPS!$A$2:B$12589,2,FALSE),"")</f>
        <v>Butter Blend 6oz-standard</v>
      </c>
      <c r="E909">
        <v>1.89</v>
      </c>
      <c r="F909">
        <v>1.39</v>
      </c>
      <c r="G909" s="13">
        <v>44387</v>
      </c>
      <c r="H909" s="13">
        <v>44388</v>
      </c>
      <c r="I909" s="22" t="str">
        <f>VLOOKUP(J909, Dropdowns!N:O, 2, FALSE)</f>
        <v>Lower Price</v>
      </c>
      <c r="J909" t="s">
        <v>759</v>
      </c>
      <c r="L909" s="17" t="s">
        <v>732</v>
      </c>
      <c r="M909" s="17" t="s">
        <v>10</v>
      </c>
      <c r="N909" s="17">
        <v>2</v>
      </c>
    </row>
    <row r="910" spans="1:17" x14ac:dyDescent="0.25">
      <c r="A910" s="10">
        <v>995002</v>
      </c>
      <c r="B910" s="22" t="str">
        <f>IFERROR(VLOOKUP(A910,VLOOKUPS!$A$2:B$12589,2,FALSE),"")</f>
        <v>Butter Blend 6oz-standard</v>
      </c>
      <c r="E910">
        <v>1.39</v>
      </c>
      <c r="F910">
        <v>1.89</v>
      </c>
      <c r="G910" s="13">
        <v>44389</v>
      </c>
      <c r="H910" s="13"/>
      <c r="I910" s="22" t="str">
        <f>VLOOKUP(J910, Dropdowns!N:O, 2, FALSE)</f>
        <v>Standard</v>
      </c>
      <c r="J910" t="s">
        <v>760</v>
      </c>
      <c r="L910" s="17" t="s">
        <v>732</v>
      </c>
      <c r="M910" s="17" t="s">
        <v>10</v>
      </c>
      <c r="N910" s="17">
        <v>2</v>
      </c>
    </row>
    <row r="911" spans="1:17" x14ac:dyDescent="0.25">
      <c r="A911" s="10">
        <v>995070</v>
      </c>
      <c r="B911" s="22" t="str">
        <f>IFERROR(VLOOKUP(A911,VLOOKUPS!$A$2:B$12589,2,FALSE),"")</f>
        <v>Organic Baby Spring Mix 5oz-standard</v>
      </c>
      <c r="E911">
        <v>2.56</v>
      </c>
      <c r="F911">
        <v>1.86</v>
      </c>
      <c r="G911" s="13">
        <v>44387</v>
      </c>
      <c r="H911" s="13">
        <v>44388</v>
      </c>
      <c r="I911" s="22" t="str">
        <f>VLOOKUP(J911, Dropdowns!N:O, 2, FALSE)</f>
        <v>Lower Price</v>
      </c>
      <c r="J911" t="s">
        <v>759</v>
      </c>
      <c r="L911" s="17" t="s">
        <v>732</v>
      </c>
      <c r="M911" s="17" t="s">
        <v>9</v>
      </c>
      <c r="N911" s="17" t="s">
        <v>736</v>
      </c>
    </row>
    <row r="912" spans="1:17" x14ac:dyDescent="0.25">
      <c r="A912" s="10">
        <v>995070</v>
      </c>
      <c r="B912" s="22" t="str">
        <f>IFERROR(VLOOKUP(A912,VLOOKUPS!$A$2:B$12589,2,FALSE),"")</f>
        <v>Organic Baby Spring Mix 5oz-standard</v>
      </c>
      <c r="E912">
        <v>1.86</v>
      </c>
      <c r="F912">
        <v>2.56</v>
      </c>
      <c r="G912" s="13">
        <v>44389</v>
      </c>
      <c r="H912" s="13"/>
      <c r="I912" s="22" t="str">
        <f>VLOOKUP(J912, Dropdowns!N:O, 2, FALSE)</f>
        <v>Standard</v>
      </c>
      <c r="J912" t="s">
        <v>760</v>
      </c>
      <c r="L912" s="17" t="s">
        <v>732</v>
      </c>
      <c r="M912" s="17" t="s">
        <v>9</v>
      </c>
      <c r="N912" s="17" t="s">
        <v>736</v>
      </c>
    </row>
    <row r="913" spans="1:14" x14ac:dyDescent="0.25">
      <c r="A913" s="10">
        <v>995101</v>
      </c>
      <c r="B913" s="22" t="str">
        <f>IFERROR(VLOOKUP(A913,VLOOKUPS!$A$2:B$12589,2,FALSE),"")</f>
        <v>Avocado Ranch Salad Kit 11.3oz-standard</v>
      </c>
      <c r="E913">
        <v>2.99</v>
      </c>
      <c r="F913">
        <v>1.99</v>
      </c>
      <c r="G913" s="13">
        <v>44387</v>
      </c>
      <c r="H913" s="13">
        <v>44388</v>
      </c>
      <c r="I913" s="22" t="str">
        <f>VLOOKUP(J913, Dropdowns!N:O, 2, FALSE)</f>
        <v>Lower Price</v>
      </c>
      <c r="J913" t="s">
        <v>759</v>
      </c>
      <c r="L913" s="17" t="s">
        <v>732</v>
      </c>
      <c r="M913" s="17" t="s">
        <v>735</v>
      </c>
      <c r="N913" s="17" t="s">
        <v>736</v>
      </c>
    </row>
    <row r="914" spans="1:14" x14ac:dyDescent="0.25">
      <c r="A914" s="10">
        <v>995101</v>
      </c>
      <c r="B914" s="22" t="str">
        <f>IFERROR(VLOOKUP(A914,VLOOKUPS!$A$2:B$12589,2,FALSE),"")</f>
        <v>Avocado Ranch Salad Kit 11.3oz-standard</v>
      </c>
      <c r="E914">
        <v>1.99</v>
      </c>
      <c r="F914">
        <v>2.99</v>
      </c>
      <c r="G914" s="13">
        <v>44389</v>
      </c>
      <c r="H914" s="13"/>
      <c r="I914" s="22" t="str">
        <f>VLOOKUP(J914, Dropdowns!N:O, 2, FALSE)</f>
        <v>Standard</v>
      </c>
      <c r="J914" t="s">
        <v>760</v>
      </c>
      <c r="L914" s="17" t="s">
        <v>732</v>
      </c>
      <c r="M914" s="17" t="s">
        <v>735</v>
      </c>
      <c r="N914" s="17" t="s">
        <v>736</v>
      </c>
    </row>
    <row r="915" spans="1:14" x14ac:dyDescent="0.25">
      <c r="A915" s="10">
        <v>984541</v>
      </c>
      <c r="B915" s="22" t="str">
        <f>IFERROR(VLOOKUP(A915,VLOOKUPS!$A$2:B$12589,2,FALSE),"")</f>
        <v>Blueberries 1pt-standard</v>
      </c>
      <c r="E915">
        <v>2.64</v>
      </c>
      <c r="F915">
        <v>1.54</v>
      </c>
      <c r="G915" s="13">
        <v>44390</v>
      </c>
      <c r="H915" s="13">
        <v>44391</v>
      </c>
      <c r="I915" s="22" t="str">
        <f>VLOOKUP(J915, Dropdowns!N:O, 2, FALSE)</f>
        <v>Lower Price</v>
      </c>
      <c r="J915" t="s">
        <v>759</v>
      </c>
      <c r="L915" s="17" t="s">
        <v>732</v>
      </c>
      <c r="M915" s="17" t="s">
        <v>737</v>
      </c>
      <c r="N915" s="17" t="s">
        <v>736</v>
      </c>
    </row>
    <row r="916" spans="1:14" x14ac:dyDescent="0.25">
      <c r="A916" s="10">
        <v>984541</v>
      </c>
      <c r="B916" s="22" t="str">
        <f>IFERROR(VLOOKUP(A916,VLOOKUPS!$A$2:B$12589,2,FALSE),"")</f>
        <v>Blueberries 1pt-standard</v>
      </c>
      <c r="E916">
        <v>1.54</v>
      </c>
      <c r="F916">
        <v>2.64</v>
      </c>
      <c r="G916" s="13">
        <v>44392</v>
      </c>
      <c r="H916" s="13"/>
      <c r="I916" s="22" t="str">
        <f>VLOOKUP(J916, Dropdowns!N:O, 2, FALSE)</f>
        <v>Standard</v>
      </c>
      <c r="J916" t="s">
        <v>760</v>
      </c>
      <c r="L916" s="17" t="s">
        <v>732</v>
      </c>
      <c r="M916" s="17" t="s">
        <v>737</v>
      </c>
      <c r="N916" s="17" t="s">
        <v>736</v>
      </c>
    </row>
    <row r="917" spans="1:14" x14ac:dyDescent="0.25">
      <c r="A917" s="10">
        <v>984621</v>
      </c>
      <c r="B917" s="22" t="str">
        <f>IFERROR(VLOOKUP(A917,VLOOKUPS!$A$2:B$12589,2,FALSE),"")</f>
        <v>Raspberries 12oz-standard</v>
      </c>
      <c r="E917">
        <v>4.9400000000000004</v>
      </c>
      <c r="F917">
        <v>3.44</v>
      </c>
      <c r="G917" s="13">
        <v>44390</v>
      </c>
      <c r="H917" s="13">
        <v>44391</v>
      </c>
      <c r="I917" s="22" t="str">
        <f>VLOOKUP(J917, Dropdowns!N:O, 2, FALSE)</f>
        <v>Lower Price</v>
      </c>
      <c r="J917" t="s">
        <v>759</v>
      </c>
      <c r="L917" s="17" t="s">
        <v>732</v>
      </c>
      <c r="M917" s="17" t="s">
        <v>9</v>
      </c>
      <c r="N917" s="17" t="s">
        <v>736</v>
      </c>
    </row>
    <row r="918" spans="1:14" x14ac:dyDescent="0.25">
      <c r="A918" s="10">
        <v>984621</v>
      </c>
      <c r="B918" s="22" t="str">
        <f>IFERROR(VLOOKUP(A918,VLOOKUPS!$A$2:B$12589,2,FALSE),"")</f>
        <v>Raspberries 12oz-standard</v>
      </c>
      <c r="E918">
        <v>3.44</v>
      </c>
      <c r="F918">
        <v>4.9400000000000004</v>
      </c>
      <c r="G918" s="13">
        <v>44392</v>
      </c>
      <c r="H918" s="13"/>
      <c r="I918" s="22" t="str">
        <f>VLOOKUP(J918, Dropdowns!N:O, 2, FALSE)</f>
        <v>Standard</v>
      </c>
      <c r="J918" t="s">
        <v>760</v>
      </c>
      <c r="L918" s="17" t="s">
        <v>732</v>
      </c>
      <c r="M918" s="17" t="s">
        <v>9</v>
      </c>
      <c r="N918" s="17" t="s">
        <v>736</v>
      </c>
    </row>
    <row r="919" spans="1:14" x14ac:dyDescent="0.25">
      <c r="A919" s="10">
        <v>984660</v>
      </c>
      <c r="B919" s="22" t="str">
        <f>IFERROR(VLOOKUP(A919,VLOOKUPS!$A$2:B$12589,2,FALSE),"")</f>
        <v>Organic Raspberries 6oz-standard</v>
      </c>
      <c r="E919">
        <v>3.89</v>
      </c>
      <c r="F919">
        <v>2.89</v>
      </c>
      <c r="G919" s="13">
        <v>44390</v>
      </c>
      <c r="H919" s="13">
        <v>44391</v>
      </c>
      <c r="I919" s="22" t="str">
        <f>VLOOKUP(J919, Dropdowns!N:O, 2, FALSE)</f>
        <v>Lower Price</v>
      </c>
      <c r="J919" t="s">
        <v>759</v>
      </c>
      <c r="L919" s="17" t="s">
        <v>732</v>
      </c>
      <c r="M919" s="17" t="s">
        <v>9</v>
      </c>
      <c r="N919" s="17" t="s">
        <v>736</v>
      </c>
    </row>
    <row r="920" spans="1:14" x14ac:dyDescent="0.25">
      <c r="A920" s="10">
        <v>984660</v>
      </c>
      <c r="B920" s="22" t="str">
        <f>IFERROR(VLOOKUP(A920,VLOOKUPS!$A$2:B$12589,2,FALSE),"")</f>
        <v>Organic Raspberries 6oz-standard</v>
      </c>
      <c r="E920">
        <v>2.89</v>
      </c>
      <c r="F920">
        <v>3.89</v>
      </c>
      <c r="G920" s="13">
        <v>44392</v>
      </c>
      <c r="H920" s="13"/>
      <c r="I920" s="22" t="str">
        <f>VLOOKUP(J920, Dropdowns!N:O, 2, FALSE)</f>
        <v>Standard</v>
      </c>
      <c r="J920" t="s">
        <v>760</v>
      </c>
      <c r="L920" s="17" t="s">
        <v>732</v>
      </c>
      <c r="M920" s="17" t="s">
        <v>9</v>
      </c>
      <c r="N920" s="17" t="s">
        <v>736</v>
      </c>
    </row>
    <row r="921" spans="1:14" x14ac:dyDescent="0.25">
      <c r="A921" s="10">
        <v>984700</v>
      </c>
      <c r="B921" s="22" t="str">
        <f>IFERROR(VLOOKUP(A921,VLOOKUPS!$A$2:B$12589,2,FALSE),"")</f>
        <v>Blackberries 6oz-standard</v>
      </c>
      <c r="E921">
        <v>2.48</v>
      </c>
      <c r="F921">
        <v>1.78</v>
      </c>
      <c r="G921" s="13">
        <v>44390</v>
      </c>
      <c r="H921" s="13">
        <v>44391</v>
      </c>
      <c r="I921" s="22" t="str">
        <f>VLOOKUP(J921, Dropdowns!N:O, 2, FALSE)</f>
        <v>Lower Price</v>
      </c>
      <c r="J921" t="s">
        <v>759</v>
      </c>
      <c r="L921" s="17" t="s">
        <v>732</v>
      </c>
      <c r="M921" s="17" t="s">
        <v>10</v>
      </c>
      <c r="N921" s="17">
        <v>2</v>
      </c>
    </row>
    <row r="922" spans="1:14" x14ac:dyDescent="0.25">
      <c r="A922" s="10">
        <v>984700</v>
      </c>
      <c r="B922" s="22" t="str">
        <f>IFERROR(VLOOKUP(A922,VLOOKUPS!$A$2:B$12589,2,FALSE),"")</f>
        <v>Blackberries 6oz-standard</v>
      </c>
      <c r="E922">
        <v>1.78</v>
      </c>
      <c r="F922">
        <v>2.48</v>
      </c>
      <c r="G922" s="13">
        <v>44392</v>
      </c>
      <c r="H922" s="13"/>
      <c r="I922" s="22" t="str">
        <f>VLOOKUP(J922, Dropdowns!N:O, 2, FALSE)</f>
        <v>Standard</v>
      </c>
      <c r="J922" t="s">
        <v>760</v>
      </c>
      <c r="L922" s="17" t="s">
        <v>732</v>
      </c>
      <c r="M922" s="17" t="s">
        <v>10</v>
      </c>
      <c r="N922" s="17">
        <v>2</v>
      </c>
    </row>
    <row r="923" spans="1:14" x14ac:dyDescent="0.25">
      <c r="A923" s="10">
        <v>985111</v>
      </c>
      <c r="B923" s="22" t="str">
        <f>IFERROR(VLOOKUP(A923,VLOOKUPS!$A$2:B$12589,2,FALSE),"")</f>
        <v>Lettuce Mixed 1ct-standard</v>
      </c>
      <c r="E923">
        <v>2.29</v>
      </c>
      <c r="F923">
        <v>2.4900000000000002</v>
      </c>
      <c r="G923" s="13">
        <v>44390</v>
      </c>
      <c r="H923" s="13"/>
      <c r="I923" s="22" t="str">
        <f>VLOOKUP(J923, Dropdowns!N:O, 2, FALSE)</f>
        <v>Standard</v>
      </c>
      <c r="J923" t="s">
        <v>761</v>
      </c>
      <c r="L923" s="17" t="s">
        <v>732</v>
      </c>
      <c r="M923" s="17" t="s">
        <v>736</v>
      </c>
      <c r="N923" s="17" t="s">
        <v>736</v>
      </c>
    </row>
    <row r="924" spans="1:14" x14ac:dyDescent="0.25">
      <c r="A924" s="10">
        <v>988571</v>
      </c>
      <c r="B924" s="22" t="str">
        <f>IFERROR(VLOOKUP(A924,VLOOKUPS!$A$2:B$12589,2,FALSE),"")</f>
        <v>Cauliflower* 1ct-LOOSE</v>
      </c>
      <c r="E924">
        <v>2.77</v>
      </c>
      <c r="F924">
        <v>1.97</v>
      </c>
      <c r="G924" s="13">
        <v>44390</v>
      </c>
      <c r="H924" s="13">
        <v>44391</v>
      </c>
      <c r="I924" s="22" t="str">
        <f>VLOOKUP(J924, Dropdowns!N:O, 2, FALSE)</f>
        <v>Lower Price</v>
      </c>
      <c r="J924" t="s">
        <v>759</v>
      </c>
      <c r="L924" s="17" t="s">
        <v>732</v>
      </c>
      <c r="M924" s="17" t="s">
        <v>10</v>
      </c>
      <c r="N924" s="17">
        <v>2</v>
      </c>
    </row>
    <row r="925" spans="1:14" x14ac:dyDescent="0.25">
      <c r="A925" s="10">
        <v>988571</v>
      </c>
      <c r="B925" s="22" t="str">
        <f>IFERROR(VLOOKUP(A925,VLOOKUPS!$A$2:B$12589,2,FALSE),"")</f>
        <v>Cauliflower* 1ct-LOOSE</v>
      </c>
      <c r="E925">
        <v>1.97</v>
      </c>
      <c r="F925">
        <v>2.77</v>
      </c>
      <c r="G925" s="13">
        <v>44392</v>
      </c>
      <c r="H925" s="13"/>
      <c r="I925" s="22" t="str">
        <f>VLOOKUP(J925, Dropdowns!N:O, 2, FALSE)</f>
        <v>Standard</v>
      </c>
      <c r="J925" t="s">
        <v>760</v>
      </c>
      <c r="L925" s="17" t="s">
        <v>732</v>
      </c>
      <c r="M925" s="17" t="s">
        <v>10</v>
      </c>
      <c r="N925" s="17">
        <v>2</v>
      </c>
    </row>
    <row r="926" spans="1:14" x14ac:dyDescent="0.25">
      <c r="A926" s="10">
        <v>995006</v>
      </c>
      <c r="B926" s="22" t="str">
        <f>IFERROR(VLOOKUP(A926,VLOOKUPS!$A$2:B$12589,2,FALSE),"")</f>
        <v>Italian Salad 9oz-standard</v>
      </c>
      <c r="E926">
        <v>1.99</v>
      </c>
      <c r="F926">
        <v>2.29</v>
      </c>
      <c r="G926" s="13">
        <v>44390</v>
      </c>
      <c r="H926" s="13"/>
      <c r="I926" s="22" t="str">
        <f>VLOOKUP(J926, Dropdowns!N:O, 2, FALSE)</f>
        <v>Standard</v>
      </c>
      <c r="J926" t="s">
        <v>761</v>
      </c>
      <c r="L926" s="17" t="s">
        <v>732</v>
      </c>
      <c r="M926" s="17" t="s">
        <v>736</v>
      </c>
      <c r="N926" s="17" t="s">
        <v>736</v>
      </c>
    </row>
    <row r="927" spans="1:14" x14ac:dyDescent="0.25">
      <c r="A927" s="10">
        <v>995007</v>
      </c>
      <c r="B927" s="22" t="str">
        <f>IFERROR(VLOOKUP(A927,VLOOKUPS!$A$2:B$12589,2,FALSE),"")</f>
        <v>Caesar Salad Kit 10.5oz-standard</v>
      </c>
      <c r="E927">
        <v>2.29</v>
      </c>
      <c r="F927">
        <v>2.59</v>
      </c>
      <c r="G927" s="13">
        <v>44390</v>
      </c>
      <c r="H927" s="13"/>
      <c r="I927" s="22" t="str">
        <f>VLOOKUP(J927, Dropdowns!N:O, 2, FALSE)</f>
        <v>Standard</v>
      </c>
      <c r="J927" t="s">
        <v>761</v>
      </c>
      <c r="L927" s="17" t="s">
        <v>732</v>
      </c>
      <c r="M927" s="17" t="s">
        <v>736</v>
      </c>
      <c r="N927" s="17" t="s">
        <v>736</v>
      </c>
    </row>
    <row r="928" spans="1:14" x14ac:dyDescent="0.25">
      <c r="A928" s="10">
        <v>995012</v>
      </c>
      <c r="B928" s="22" t="str">
        <f>IFERROR(VLOOKUP(A928,VLOOKUPS!$A$2:B$12589,2,FALSE),"")</f>
        <v>RTE Cranberry Walnut Salad 4.5oz-standard</v>
      </c>
      <c r="E928">
        <v>2.89</v>
      </c>
      <c r="F928">
        <v>1.89</v>
      </c>
      <c r="G928" s="13">
        <v>44390</v>
      </c>
      <c r="H928" s="13">
        <v>44391</v>
      </c>
      <c r="I928" s="22" t="str">
        <f>VLOOKUP(J928, Dropdowns!N:O, 2, FALSE)</f>
        <v>Lower Price</v>
      </c>
      <c r="J928" t="s">
        <v>759</v>
      </c>
      <c r="L928" s="17" t="s">
        <v>733</v>
      </c>
      <c r="M928" s="17" t="s">
        <v>735</v>
      </c>
      <c r="N928" s="17" t="s">
        <v>740</v>
      </c>
    </row>
    <row r="929" spans="1:14" x14ac:dyDescent="0.25">
      <c r="A929" s="10">
        <v>995012</v>
      </c>
      <c r="B929" s="22" t="str">
        <f>IFERROR(VLOOKUP(A929,VLOOKUPS!$A$2:B$12589,2,FALSE),"")</f>
        <v>RTE Cranberry Walnut Salad 4.5oz-standard</v>
      </c>
      <c r="E929">
        <v>2.99</v>
      </c>
      <c r="F929">
        <v>1.99</v>
      </c>
      <c r="G929" s="13">
        <v>44390</v>
      </c>
      <c r="H929" s="13">
        <v>44391</v>
      </c>
      <c r="I929" s="22" t="str">
        <f>VLOOKUP(J929, Dropdowns!N:O, 2, FALSE)</f>
        <v>Lower Price</v>
      </c>
      <c r="J929" t="s">
        <v>759</v>
      </c>
      <c r="L929" s="17" t="s">
        <v>734</v>
      </c>
      <c r="M929" s="17" t="s">
        <v>735</v>
      </c>
      <c r="N929" s="17" t="s">
        <v>736</v>
      </c>
    </row>
    <row r="930" spans="1:14" x14ac:dyDescent="0.25">
      <c r="A930" s="10">
        <v>995012</v>
      </c>
      <c r="B930" s="22" t="str">
        <f>IFERROR(VLOOKUP(A930,VLOOKUPS!$A$2:B$12589,2,FALSE),"")</f>
        <v>RTE Cranberry Walnut Salad 4.5oz-standard</v>
      </c>
      <c r="E930">
        <v>1.89</v>
      </c>
      <c r="F930">
        <v>2.89</v>
      </c>
      <c r="G930" s="13">
        <v>44392</v>
      </c>
      <c r="H930" s="13"/>
      <c r="I930" s="22" t="str">
        <f>VLOOKUP(J930, Dropdowns!N:O, 2, FALSE)</f>
        <v>Standard</v>
      </c>
      <c r="J930" t="s">
        <v>760</v>
      </c>
      <c r="L930" s="17" t="s">
        <v>733</v>
      </c>
      <c r="M930" s="17" t="s">
        <v>735</v>
      </c>
      <c r="N930" s="17" t="s">
        <v>740</v>
      </c>
    </row>
    <row r="931" spans="1:14" x14ac:dyDescent="0.25">
      <c r="A931" s="10">
        <v>995012</v>
      </c>
      <c r="B931" s="22" t="str">
        <f>IFERROR(VLOOKUP(A931,VLOOKUPS!$A$2:B$12589,2,FALSE),"")</f>
        <v>RTE Cranberry Walnut Salad 4.5oz-standard</v>
      </c>
      <c r="E931">
        <v>1.99</v>
      </c>
      <c r="F931">
        <v>2.99</v>
      </c>
      <c r="G931" s="13">
        <v>44392</v>
      </c>
      <c r="H931" s="13"/>
      <c r="I931" s="22" t="str">
        <f>VLOOKUP(J931, Dropdowns!N:O, 2, FALSE)</f>
        <v>Standard</v>
      </c>
      <c r="J931" t="s">
        <v>760</v>
      </c>
      <c r="L931" s="17" t="s">
        <v>734</v>
      </c>
      <c r="M931" s="17" t="s">
        <v>735</v>
      </c>
      <c r="N931" s="17" t="s">
        <v>736</v>
      </c>
    </row>
    <row r="932" spans="1:14" x14ac:dyDescent="0.25">
      <c r="A932" s="10">
        <v>995021</v>
      </c>
      <c r="B932" s="22" t="str">
        <f>IFERROR(VLOOKUP(A932,VLOOKUPS!$A$2:B$12589,2,FALSE),"")</f>
        <v>Chopped Bacon Caesar Kit 10.2oz-standard</v>
      </c>
      <c r="E932">
        <v>2.99</v>
      </c>
      <c r="F932">
        <v>3.29</v>
      </c>
      <c r="G932" s="13">
        <v>44390</v>
      </c>
      <c r="H932" s="13"/>
      <c r="I932" s="22" t="str">
        <f>VLOOKUP(J932, Dropdowns!N:O, 2, FALSE)</f>
        <v>Standard</v>
      </c>
      <c r="J932" t="s">
        <v>761</v>
      </c>
      <c r="L932" s="17" t="s">
        <v>732</v>
      </c>
      <c r="M932" s="17" t="s">
        <v>736</v>
      </c>
      <c r="N932" s="17" t="s">
        <v>736</v>
      </c>
    </row>
    <row r="933" spans="1:14" x14ac:dyDescent="0.25">
      <c r="A933" s="10">
        <v>995022</v>
      </c>
      <c r="B933" s="22" t="str">
        <f>IFERROR(VLOOKUP(A933,VLOOKUPS!$A$2:B$12589,2,FALSE),"")</f>
        <v>American Blend 12oz-standard</v>
      </c>
      <c r="E933">
        <v>1.99</v>
      </c>
      <c r="F933">
        <v>0.99</v>
      </c>
      <c r="G933" s="13">
        <v>44390</v>
      </c>
      <c r="H933" s="13">
        <v>44391</v>
      </c>
      <c r="I933" s="22" t="str">
        <f>VLOOKUP(J933, Dropdowns!N:O, 2, FALSE)</f>
        <v>Lower Price</v>
      </c>
      <c r="J933" t="s">
        <v>759</v>
      </c>
      <c r="L933" s="17" t="s">
        <v>732</v>
      </c>
      <c r="M933" s="17" t="s">
        <v>10</v>
      </c>
      <c r="N933" s="17">
        <v>2</v>
      </c>
    </row>
    <row r="934" spans="1:14" x14ac:dyDescent="0.25">
      <c r="A934" s="10">
        <v>995022</v>
      </c>
      <c r="B934" s="22" t="str">
        <f>IFERROR(VLOOKUP(A934,VLOOKUPS!$A$2:B$12589,2,FALSE),"")</f>
        <v>American Blend 12oz-standard</v>
      </c>
      <c r="E934">
        <v>0.99</v>
      </c>
      <c r="F934">
        <v>1.99</v>
      </c>
      <c r="G934" s="13">
        <v>44392</v>
      </c>
      <c r="H934" s="13"/>
      <c r="I934" s="22" t="str">
        <f>VLOOKUP(J934, Dropdowns!N:O, 2, FALSE)</f>
        <v>Standard</v>
      </c>
      <c r="J934" t="s">
        <v>760</v>
      </c>
      <c r="L934" s="17" t="s">
        <v>732</v>
      </c>
      <c r="M934" s="17" t="s">
        <v>10</v>
      </c>
      <c r="N934" s="17">
        <v>2</v>
      </c>
    </row>
    <row r="935" spans="1:14" x14ac:dyDescent="0.25">
      <c r="A935" s="10">
        <v>995032</v>
      </c>
      <c r="B935" s="22" t="str">
        <f>IFERROR(VLOOKUP(A935,VLOOKUPS!$A$2:B$12589,2,FALSE),"")</f>
        <v>Chopped Sunflower Crunch Kit 12.2oz-standard</v>
      </c>
      <c r="E935">
        <v>2.99</v>
      </c>
      <c r="F935">
        <v>3.29</v>
      </c>
      <c r="G935" s="13">
        <v>44390</v>
      </c>
      <c r="H935" s="13"/>
      <c r="I935" s="22" t="str">
        <f>VLOOKUP(J935, Dropdowns!N:O, 2, FALSE)</f>
        <v>Standard</v>
      </c>
      <c r="J935" t="s">
        <v>761</v>
      </c>
      <c r="L935" s="17" t="s">
        <v>732</v>
      </c>
      <c r="M935" s="17" t="s">
        <v>736</v>
      </c>
      <c r="N935" s="17" t="s">
        <v>736</v>
      </c>
    </row>
    <row r="936" spans="1:14" x14ac:dyDescent="0.25">
      <c r="A936" s="10">
        <v>995041</v>
      </c>
      <c r="B936" s="22" t="str">
        <f>IFERROR(VLOOKUP(A936,VLOOKUPS!$A$2:B$12589,2,FALSE),"")</f>
        <v>Pineapple Spears 16oz-standard</v>
      </c>
      <c r="E936">
        <v>3.49</v>
      </c>
      <c r="F936">
        <v>2.4900000000000002</v>
      </c>
      <c r="G936" s="13">
        <v>44390</v>
      </c>
      <c r="H936" s="13">
        <v>44391</v>
      </c>
      <c r="I936" s="22" t="str">
        <f>VLOOKUP(J936, Dropdowns!N:O, 2, FALSE)</f>
        <v>Lower Price</v>
      </c>
      <c r="J936" t="s">
        <v>759</v>
      </c>
      <c r="L936" s="17" t="s">
        <v>732</v>
      </c>
      <c r="M936" s="17" t="s">
        <v>9</v>
      </c>
      <c r="N936" s="17" t="s">
        <v>736</v>
      </c>
    </row>
    <row r="937" spans="1:14" x14ac:dyDescent="0.25">
      <c r="A937" s="10">
        <v>995041</v>
      </c>
      <c r="B937" s="22" t="str">
        <f>IFERROR(VLOOKUP(A937,VLOOKUPS!$A$2:B$12589,2,FALSE),"")</f>
        <v>Pineapple Spears 16oz-standard</v>
      </c>
      <c r="E937">
        <v>2.4900000000000002</v>
      </c>
      <c r="F937">
        <v>3.49</v>
      </c>
      <c r="G937" s="13">
        <v>44392</v>
      </c>
      <c r="H937" s="13"/>
      <c r="I937" s="22" t="str">
        <f>VLOOKUP(J937, Dropdowns!N:O, 2, FALSE)</f>
        <v>Standard</v>
      </c>
      <c r="J937" t="s">
        <v>760</v>
      </c>
      <c r="L937" s="17" t="s">
        <v>732</v>
      </c>
      <c r="M937" s="17" t="s">
        <v>9</v>
      </c>
      <c r="N937" s="17" t="s">
        <v>736</v>
      </c>
    </row>
    <row r="938" spans="1:14" x14ac:dyDescent="0.25">
      <c r="A938" s="10">
        <v>995042</v>
      </c>
      <c r="B938" s="22" t="str">
        <f>IFERROR(VLOOKUP(A938,VLOOKUPS!$A$2:B$12589,2,FALSE),"")</f>
        <v>Mango Chunks 16oz-standard</v>
      </c>
      <c r="E938">
        <v>4.29</v>
      </c>
      <c r="F938">
        <v>3.29</v>
      </c>
      <c r="G938" s="13">
        <v>44390</v>
      </c>
      <c r="H938" s="13">
        <v>44391</v>
      </c>
      <c r="I938" s="22" t="str">
        <f>VLOOKUP(J938, Dropdowns!N:O, 2, FALSE)</f>
        <v>Lower Price</v>
      </c>
      <c r="J938" t="s">
        <v>759</v>
      </c>
      <c r="L938" s="17" t="s">
        <v>732</v>
      </c>
      <c r="M938" s="17" t="s">
        <v>9</v>
      </c>
      <c r="N938" s="17" t="s">
        <v>736</v>
      </c>
    </row>
    <row r="939" spans="1:14" x14ac:dyDescent="0.25">
      <c r="A939" s="10">
        <v>995042</v>
      </c>
      <c r="B939" s="22" t="str">
        <f>IFERROR(VLOOKUP(A939,VLOOKUPS!$A$2:B$12589,2,FALSE),"")</f>
        <v>Mango Chunks 16oz-standard</v>
      </c>
      <c r="E939">
        <v>3.29</v>
      </c>
      <c r="F939">
        <v>4.29</v>
      </c>
      <c r="G939" s="13">
        <v>44392</v>
      </c>
      <c r="H939" s="13"/>
      <c r="I939" s="22" t="str">
        <f>VLOOKUP(J939, Dropdowns!N:O, 2, FALSE)</f>
        <v>Standard</v>
      </c>
      <c r="J939" t="s">
        <v>760</v>
      </c>
      <c r="L939" s="17" t="s">
        <v>732</v>
      </c>
      <c r="M939" s="17" t="s">
        <v>9</v>
      </c>
      <c r="N939" s="17" t="s">
        <v>736</v>
      </c>
    </row>
    <row r="940" spans="1:14" x14ac:dyDescent="0.25">
      <c r="A940" s="10">
        <v>995074</v>
      </c>
      <c r="B940" s="22" t="str">
        <f>IFERROR(VLOOKUP(A940,VLOOKUPS!$A$2:B$12589,2,FALSE),"")</f>
        <v>Southwest Chopped Salad Kit 12oz-standard</v>
      </c>
      <c r="E940">
        <v>2.99</v>
      </c>
      <c r="F940">
        <v>3.29</v>
      </c>
      <c r="G940" s="13">
        <v>44390</v>
      </c>
      <c r="H940" s="13"/>
      <c r="I940" s="22" t="str">
        <f>VLOOKUP(J940, Dropdowns!N:O, 2, FALSE)</f>
        <v>Standard</v>
      </c>
      <c r="J940" t="s">
        <v>761</v>
      </c>
      <c r="L940" s="17" t="s">
        <v>732</v>
      </c>
      <c r="M940" s="17" t="s">
        <v>736</v>
      </c>
      <c r="N940" s="17" t="s">
        <v>736</v>
      </c>
    </row>
    <row r="941" spans="1:14" x14ac:dyDescent="0.25">
      <c r="A941" s="10">
        <v>995101</v>
      </c>
      <c r="B941" s="22" t="str">
        <f>IFERROR(VLOOKUP(A941,VLOOKUPS!$A$2:B$12589,2,FALSE),"")</f>
        <v>Avocado Ranch Salad Kit 11.3oz-standard</v>
      </c>
      <c r="E941">
        <v>2.99</v>
      </c>
      <c r="F941">
        <v>3.29</v>
      </c>
      <c r="G941" s="13">
        <v>44390</v>
      </c>
      <c r="H941" s="13"/>
      <c r="I941" s="22" t="str">
        <f>VLOOKUP(J941, Dropdowns!N:O, 2, FALSE)</f>
        <v>Standard</v>
      </c>
      <c r="J941" t="s">
        <v>761</v>
      </c>
      <c r="L941" s="17" t="s">
        <v>732</v>
      </c>
      <c r="M941" s="17" t="s">
        <v>736</v>
      </c>
      <c r="N941" s="17" t="s">
        <v>736</v>
      </c>
    </row>
    <row r="942" spans="1:14" x14ac:dyDescent="0.25">
      <c r="A942" s="10">
        <v>995102</v>
      </c>
      <c r="B942" s="22" t="str">
        <f>IFERROR(VLOOKUP(A942,VLOOKUPS!$A$2:B$12589,2,FALSE),"")</f>
        <v>Cantaloupe Chunks 16oz-standard</v>
      </c>
      <c r="E942">
        <v>3.49</v>
      </c>
      <c r="F942">
        <v>3.3</v>
      </c>
      <c r="G942" s="13">
        <v>44390</v>
      </c>
      <c r="H942" s="13"/>
      <c r="I942" s="22" t="str">
        <f>VLOOKUP(J942, Dropdowns!N:O, 2, FALSE)</f>
        <v>Standard</v>
      </c>
      <c r="J942" t="s">
        <v>761</v>
      </c>
      <c r="L942" s="17" t="s">
        <v>732</v>
      </c>
      <c r="M942" s="17" t="s">
        <v>736</v>
      </c>
      <c r="N942" s="17" t="s">
        <v>736</v>
      </c>
    </row>
    <row r="943" spans="1:14" x14ac:dyDescent="0.25">
      <c r="A943" s="10">
        <v>995115</v>
      </c>
      <c r="B943" s="22" t="str">
        <f>IFERROR(VLOOKUP(A943,VLOOKUPS!$A$2:B$12589,2,FALSE),"")</f>
        <v>Pineapple Chunks 10oz-standard</v>
      </c>
      <c r="E943">
        <v>2.39</v>
      </c>
      <c r="F943">
        <v>1.49</v>
      </c>
      <c r="G943" s="13">
        <v>44390</v>
      </c>
      <c r="H943" s="13">
        <v>44391</v>
      </c>
      <c r="I943" s="22" t="str">
        <f>VLOOKUP(J943, Dropdowns!N:O, 2, FALSE)</f>
        <v>Lower Price</v>
      </c>
      <c r="J943" t="s">
        <v>759</v>
      </c>
      <c r="L943" s="17" t="s">
        <v>732</v>
      </c>
      <c r="M943" s="17" t="s">
        <v>9</v>
      </c>
      <c r="N943" s="17" t="s">
        <v>736</v>
      </c>
    </row>
    <row r="944" spans="1:14" x14ac:dyDescent="0.25">
      <c r="A944" s="10">
        <v>995115</v>
      </c>
      <c r="B944" s="22" t="str">
        <f>IFERROR(VLOOKUP(A944,VLOOKUPS!$A$2:B$12589,2,FALSE),"")</f>
        <v>Pineapple Chunks 10oz-standard</v>
      </c>
      <c r="E944">
        <v>1.49</v>
      </c>
      <c r="F944">
        <v>2.39</v>
      </c>
      <c r="G944" s="13">
        <v>44392</v>
      </c>
      <c r="H944" s="13"/>
      <c r="I944" s="22" t="str">
        <f>VLOOKUP(J944, Dropdowns!N:O, 2, FALSE)</f>
        <v>Standard</v>
      </c>
      <c r="J944" t="s">
        <v>760</v>
      </c>
      <c r="L944" s="17" t="s">
        <v>732</v>
      </c>
      <c r="M944" s="17" t="s">
        <v>9</v>
      </c>
      <c r="N944" s="17" t="s">
        <v>736</v>
      </c>
    </row>
    <row r="945" spans="1:14" x14ac:dyDescent="0.25">
      <c r="A945" s="10">
        <v>995116</v>
      </c>
      <c r="B945" s="22" t="str">
        <f>IFERROR(VLOOKUP(A945,VLOOKUPS!$A$2:B$12589,2,FALSE),"")</f>
        <v>Mango Chunks 10oz-standard</v>
      </c>
      <c r="E945">
        <v>2.69</v>
      </c>
      <c r="F945">
        <v>1.69</v>
      </c>
      <c r="G945" s="13">
        <v>44390</v>
      </c>
      <c r="H945" s="13">
        <v>44391</v>
      </c>
      <c r="I945" s="22" t="str">
        <f>VLOOKUP(J945, Dropdowns!N:O, 2, FALSE)</f>
        <v>Lower Price</v>
      </c>
      <c r="J945" t="s">
        <v>759</v>
      </c>
      <c r="L945" s="17" t="s">
        <v>732</v>
      </c>
      <c r="M945" s="17" t="s">
        <v>9</v>
      </c>
      <c r="N945" s="17" t="s">
        <v>736</v>
      </c>
    </row>
    <row r="946" spans="1:14" x14ac:dyDescent="0.25">
      <c r="A946" s="10">
        <v>995116</v>
      </c>
      <c r="B946" s="22" t="str">
        <f>IFERROR(VLOOKUP(A946,VLOOKUPS!$A$2:B$12589,2,FALSE),"")</f>
        <v>Mango Chunks 10oz-standard</v>
      </c>
      <c r="E946">
        <v>1.69</v>
      </c>
      <c r="F946">
        <v>2.69</v>
      </c>
      <c r="G946" s="13">
        <v>44392</v>
      </c>
      <c r="H946" s="13"/>
      <c r="I946" s="22" t="str">
        <f>VLOOKUP(J946, Dropdowns!N:O, 2, FALSE)</f>
        <v>Standard</v>
      </c>
      <c r="J946" t="s">
        <v>760</v>
      </c>
      <c r="L946" s="17" t="s">
        <v>732</v>
      </c>
      <c r="M946" s="17" t="s">
        <v>9</v>
      </c>
      <c r="N946" s="17" t="s">
        <v>736</v>
      </c>
    </row>
    <row r="947" spans="1:14" x14ac:dyDescent="0.25">
      <c r="A947" s="10">
        <v>995132</v>
      </c>
      <c r="B947" s="22" t="str">
        <f>IFERROR(VLOOKUP(A947,VLOOKUPS!$A$2:B$12589,2,FALSE),"")</f>
        <v>Fruit Mixed 10oz-standard</v>
      </c>
      <c r="E947">
        <v>2.59</v>
      </c>
      <c r="F947">
        <v>1.59</v>
      </c>
      <c r="G947" s="13">
        <v>44390</v>
      </c>
      <c r="H947" s="13">
        <v>44391</v>
      </c>
      <c r="I947" s="22" t="str">
        <f>VLOOKUP(J947, Dropdowns!N:O, 2, FALSE)</f>
        <v>Lower Price</v>
      </c>
      <c r="J947" t="s">
        <v>759</v>
      </c>
      <c r="L947" s="17" t="s">
        <v>732</v>
      </c>
      <c r="M947" s="17" t="s">
        <v>9</v>
      </c>
      <c r="N947" s="17" t="s">
        <v>736</v>
      </c>
    </row>
    <row r="948" spans="1:14" x14ac:dyDescent="0.25">
      <c r="A948" s="10">
        <v>995132</v>
      </c>
      <c r="B948" s="22" t="str">
        <f>IFERROR(VLOOKUP(A948,VLOOKUPS!$A$2:B$12589,2,FALSE),"")</f>
        <v>Fruit Mixed 10oz-standard</v>
      </c>
      <c r="E948">
        <v>1.59</v>
      </c>
      <c r="F948">
        <v>2.59</v>
      </c>
      <c r="G948" s="13">
        <v>44392</v>
      </c>
      <c r="H948" s="13"/>
      <c r="I948" s="22" t="str">
        <f>VLOOKUP(J948, Dropdowns!N:O, 2, FALSE)</f>
        <v>Standard</v>
      </c>
      <c r="J948" t="s">
        <v>760</v>
      </c>
      <c r="L948" s="17" t="s">
        <v>732</v>
      </c>
      <c r="M948" s="17" t="s">
        <v>9</v>
      </c>
      <c r="N948" s="17" t="s">
        <v>736</v>
      </c>
    </row>
    <row r="949" spans="1:14" x14ac:dyDescent="0.25">
      <c r="A949" s="10">
        <v>983201</v>
      </c>
      <c r="B949" s="22" t="str">
        <f>IFERROR(VLOOKUP(A949,VLOOKUPS!$A$2:B$12589,2,FALSE),"")</f>
        <v>Melons* Honeydew 1ct-LOOSE</v>
      </c>
      <c r="E949">
        <v>3.58</v>
      </c>
      <c r="F949">
        <v>2.58</v>
      </c>
      <c r="G949" s="13">
        <v>44391</v>
      </c>
      <c r="H949" s="13">
        <v>44392</v>
      </c>
      <c r="I949" s="22" t="str">
        <f>VLOOKUP(J949, Dropdowns!N:O, 2, FALSE)</f>
        <v>Lower Price</v>
      </c>
      <c r="J949" t="s">
        <v>759</v>
      </c>
      <c r="L949" s="17" t="s">
        <v>732</v>
      </c>
      <c r="M949" s="17" t="s">
        <v>9</v>
      </c>
      <c r="N949" s="17" t="s">
        <v>736</v>
      </c>
    </row>
    <row r="950" spans="1:14" x14ac:dyDescent="0.25">
      <c r="A950" s="10">
        <v>983201</v>
      </c>
      <c r="B950" s="22" t="str">
        <f>IFERROR(VLOOKUP(A950,VLOOKUPS!$A$2:B$12589,2,FALSE),"")</f>
        <v>Melons* Honeydew 1ct-LOOSE</v>
      </c>
      <c r="E950">
        <v>2.58</v>
      </c>
      <c r="F950">
        <v>3.58</v>
      </c>
      <c r="G950" s="13">
        <v>44393</v>
      </c>
      <c r="H950" s="13"/>
      <c r="I950" s="22" t="str">
        <f>VLOOKUP(J950, Dropdowns!N:O, 2, FALSE)</f>
        <v>Standard</v>
      </c>
      <c r="J950" t="s">
        <v>760</v>
      </c>
      <c r="L950" s="17" t="s">
        <v>732</v>
      </c>
      <c r="M950" s="17" t="s">
        <v>9</v>
      </c>
      <c r="N950" s="17" t="s">
        <v>736</v>
      </c>
    </row>
    <row r="951" spans="1:14" x14ac:dyDescent="0.25">
      <c r="A951" s="10">
        <v>984460</v>
      </c>
      <c r="B951" s="22" t="str">
        <f>IFERROR(VLOOKUP(A951,VLOOKUPS!$A$2:B$12589,2,FALSE),"")</f>
        <v>Strawberries 1lb-standard</v>
      </c>
      <c r="E951">
        <v>1.79</v>
      </c>
      <c r="F951">
        <v>1.99</v>
      </c>
      <c r="G951" s="13">
        <v>44391</v>
      </c>
      <c r="H951" s="13"/>
      <c r="I951" s="22" t="str">
        <f>VLOOKUP(J951, Dropdowns!N:O, 2, FALSE)</f>
        <v>Standard</v>
      </c>
      <c r="J951" t="s">
        <v>761</v>
      </c>
      <c r="L951" s="17" t="s">
        <v>732</v>
      </c>
      <c r="M951" s="17" t="s">
        <v>736</v>
      </c>
      <c r="N951" s="17" t="s">
        <v>736</v>
      </c>
    </row>
    <row r="952" spans="1:14" x14ac:dyDescent="0.25">
      <c r="A952" s="10">
        <v>984461</v>
      </c>
      <c r="B952" s="22" t="str">
        <f>IFERROR(VLOOKUP(A952,VLOOKUPS!$A$2:B$12589,2,FALSE),"")</f>
        <v>Strawberries 2lb-standard</v>
      </c>
      <c r="E952">
        <v>3.39</v>
      </c>
      <c r="F952">
        <v>3.79</v>
      </c>
      <c r="G952" s="13">
        <v>44391</v>
      </c>
      <c r="H952" s="13"/>
      <c r="I952" s="22" t="str">
        <f>VLOOKUP(J952, Dropdowns!N:O, 2, FALSE)</f>
        <v>Standard</v>
      </c>
      <c r="J952" t="s">
        <v>761</v>
      </c>
      <c r="L952" s="17" t="s">
        <v>732</v>
      </c>
      <c r="M952" s="17" t="s">
        <v>736</v>
      </c>
      <c r="N952" s="17" t="s">
        <v>736</v>
      </c>
    </row>
    <row r="953" spans="1:14" x14ac:dyDescent="0.25">
      <c r="A953" s="10">
        <v>984555</v>
      </c>
      <c r="B953" s="22" t="str">
        <f>IFERROR(VLOOKUP(A953,VLOOKUPS!$A$2:B$12589,2,FALSE),"")</f>
        <v>Blueberries 2lb-standard</v>
      </c>
      <c r="E953">
        <v>6.99</v>
      </c>
      <c r="F953">
        <v>5.49</v>
      </c>
      <c r="G953" s="13">
        <v>44391</v>
      </c>
      <c r="H953" s="13">
        <v>44392</v>
      </c>
      <c r="I953" s="22" t="str">
        <f>VLOOKUP(J953, Dropdowns!N:O, 2, FALSE)</f>
        <v>Lower Price</v>
      </c>
      <c r="J953" t="s">
        <v>759</v>
      </c>
      <c r="L953" s="17" t="s">
        <v>732</v>
      </c>
      <c r="M953" s="17" t="s">
        <v>738</v>
      </c>
      <c r="N953" s="17">
        <v>2</v>
      </c>
    </row>
    <row r="954" spans="1:14" x14ac:dyDescent="0.25">
      <c r="A954" s="10">
        <v>984555</v>
      </c>
      <c r="B954" s="22" t="str">
        <f>IFERROR(VLOOKUP(A954,VLOOKUPS!$A$2:B$12589,2,FALSE),"")</f>
        <v>Blueberries 2lb-standard</v>
      </c>
      <c r="E954">
        <v>5.49</v>
      </c>
      <c r="F954">
        <v>6.99</v>
      </c>
      <c r="G954" s="13">
        <v>44393</v>
      </c>
      <c r="H954" s="13"/>
      <c r="I954" s="22" t="str">
        <f>VLOOKUP(J954, Dropdowns!N:O, 2, FALSE)</f>
        <v>Standard</v>
      </c>
      <c r="J954" t="s">
        <v>760</v>
      </c>
      <c r="L954" s="17" t="s">
        <v>732</v>
      </c>
      <c r="M954" s="17" t="s">
        <v>738</v>
      </c>
      <c r="N954" s="17">
        <v>2</v>
      </c>
    </row>
    <row r="955" spans="1:14" x14ac:dyDescent="0.25">
      <c r="A955" s="10">
        <v>984702</v>
      </c>
      <c r="B955" s="22" t="str">
        <f>IFERROR(VLOOKUP(A955,VLOOKUPS!$A$2:B$12589,2,FALSE),"")</f>
        <v>Blackberries 12oz-standard</v>
      </c>
      <c r="E955">
        <v>4.4800000000000004</v>
      </c>
      <c r="F955">
        <v>3.48</v>
      </c>
      <c r="G955" s="13">
        <v>44391</v>
      </c>
      <c r="H955" s="13">
        <v>44392</v>
      </c>
      <c r="I955" s="22" t="str">
        <f>VLOOKUP(J955, Dropdowns!N:O, 2, FALSE)</f>
        <v>Lower Price</v>
      </c>
      <c r="J955" t="s">
        <v>759</v>
      </c>
      <c r="L955" s="17" t="s">
        <v>732</v>
      </c>
      <c r="M955" s="17" t="s">
        <v>9</v>
      </c>
      <c r="N955" s="17" t="s">
        <v>736</v>
      </c>
    </row>
    <row r="956" spans="1:14" x14ac:dyDescent="0.25">
      <c r="A956" s="10">
        <v>984702</v>
      </c>
      <c r="B956" s="22" t="str">
        <f>IFERROR(VLOOKUP(A956,VLOOKUPS!$A$2:B$12589,2,FALSE),"")</f>
        <v>Blackberries 12oz-standard</v>
      </c>
      <c r="E956">
        <v>3.48</v>
      </c>
      <c r="F956">
        <v>4.4800000000000004</v>
      </c>
      <c r="G956" s="13">
        <v>44393</v>
      </c>
      <c r="H956" s="13"/>
      <c r="I956" s="22" t="str">
        <f>VLOOKUP(J956, Dropdowns!N:O, 2, FALSE)</f>
        <v>Standard</v>
      </c>
      <c r="J956" t="s">
        <v>760</v>
      </c>
      <c r="L956" s="17" t="s">
        <v>732</v>
      </c>
      <c r="M956" s="17" t="s">
        <v>9</v>
      </c>
      <c r="N956" s="17" t="s">
        <v>736</v>
      </c>
    </row>
    <row r="957" spans="1:14" x14ac:dyDescent="0.25">
      <c r="A957" s="10">
        <v>995123</v>
      </c>
      <c r="B957" s="22" t="str">
        <f>IFERROR(VLOOKUP(A957,VLOOKUPS!$A$2:B$12589,2,FALSE),"")</f>
        <v>Vegetable Medley 12oz-standard</v>
      </c>
      <c r="G957" s="13">
        <v>44391</v>
      </c>
      <c r="H957" s="13"/>
      <c r="I957" s="22" t="str">
        <f>VLOOKUP(J957, Dropdowns!N:O, 2, FALSE)</f>
        <v>NA</v>
      </c>
      <c r="J957" t="s">
        <v>754</v>
      </c>
      <c r="L957" s="17" t="s">
        <v>732</v>
      </c>
      <c r="M957" s="17" t="s">
        <v>736</v>
      </c>
      <c r="N957" s="17" t="s">
        <v>736</v>
      </c>
    </row>
    <row r="958" spans="1:14" x14ac:dyDescent="0.25">
      <c r="A958" s="10">
        <v>995131</v>
      </c>
      <c r="B958" s="22" t="str">
        <f>IFERROR(VLOOKUP(A958,VLOOKUPS!$A$2:B$12589,2,FALSE),"")</f>
        <v>Organic Baby Spinach &amp; Baby Kale 5oz-standard</v>
      </c>
      <c r="E958">
        <v>2.56</v>
      </c>
      <c r="F958">
        <v>1.56</v>
      </c>
      <c r="G958" s="13">
        <v>44391</v>
      </c>
      <c r="H958" s="13">
        <v>44392</v>
      </c>
      <c r="I958" s="22" t="str">
        <f>VLOOKUP(J958, Dropdowns!N:O, 2, FALSE)</f>
        <v>Lower Price</v>
      </c>
      <c r="J958" t="s">
        <v>759</v>
      </c>
      <c r="L958" s="17" t="s">
        <v>732</v>
      </c>
      <c r="M958" s="17" t="s">
        <v>9</v>
      </c>
      <c r="N958" s="17" t="s">
        <v>736</v>
      </c>
    </row>
    <row r="959" spans="1:14" x14ac:dyDescent="0.25">
      <c r="A959" s="10">
        <v>995131</v>
      </c>
      <c r="B959" s="22" t="str">
        <f>IFERROR(VLOOKUP(A959,VLOOKUPS!$A$2:B$12589,2,FALSE),"")</f>
        <v>Organic Baby Spinach &amp; Baby Kale 5oz-standard</v>
      </c>
      <c r="E959">
        <v>1.56</v>
      </c>
      <c r="F959">
        <v>2.56</v>
      </c>
      <c r="G959" s="13">
        <v>44393</v>
      </c>
      <c r="H959" s="13"/>
      <c r="I959" s="22" t="str">
        <f>VLOOKUP(J959, Dropdowns!N:O, 2, FALSE)</f>
        <v>Standard</v>
      </c>
      <c r="J959" t="s">
        <v>760</v>
      </c>
      <c r="L959" s="17" t="s">
        <v>732</v>
      </c>
      <c r="M959" s="17" t="s">
        <v>9</v>
      </c>
      <c r="N959" s="17" t="s">
        <v>736</v>
      </c>
    </row>
    <row r="960" spans="1:14" x14ac:dyDescent="0.25">
      <c r="A960" s="10">
        <v>995134</v>
      </c>
      <c r="B960" s="22" t="str">
        <f>IFERROR(VLOOKUP(A960,VLOOKUPS!$A$2:B$12589,2,FALSE),"")</f>
        <v>Mirepoix 10oz-standard</v>
      </c>
      <c r="E960">
        <v>2.62</v>
      </c>
      <c r="F960">
        <v>1.62</v>
      </c>
      <c r="G960" s="13">
        <v>44391</v>
      </c>
      <c r="H960" s="13">
        <v>44392</v>
      </c>
      <c r="I960" s="22" t="str">
        <f>VLOOKUP(J960, Dropdowns!N:O, 2, FALSE)</f>
        <v>Lower Price</v>
      </c>
      <c r="J960" t="s">
        <v>759</v>
      </c>
      <c r="L960" s="17" t="s">
        <v>733</v>
      </c>
      <c r="M960" s="17" t="s">
        <v>11</v>
      </c>
      <c r="N960" s="17" t="s">
        <v>740</v>
      </c>
    </row>
    <row r="961" spans="1:14" x14ac:dyDescent="0.25">
      <c r="A961" s="10">
        <v>995134</v>
      </c>
      <c r="B961" s="22" t="str">
        <f>IFERROR(VLOOKUP(A961,VLOOKUPS!$A$2:B$12589,2,FALSE),"")</f>
        <v>Mirepoix 10oz-standard</v>
      </c>
      <c r="E961">
        <v>1.62</v>
      </c>
      <c r="F961">
        <v>2.62</v>
      </c>
      <c r="G961" s="13">
        <v>44393</v>
      </c>
      <c r="H961" s="13"/>
      <c r="I961" s="22" t="str">
        <f>VLOOKUP(J961, Dropdowns!N:O, 2, FALSE)</f>
        <v>Standard</v>
      </c>
      <c r="J961" t="s">
        <v>760</v>
      </c>
      <c r="L961" s="17" t="s">
        <v>733</v>
      </c>
      <c r="M961" s="17" t="s">
        <v>11</v>
      </c>
      <c r="N961" s="17" t="s">
        <v>740</v>
      </c>
    </row>
    <row r="962" spans="1:14" x14ac:dyDescent="0.25">
      <c r="A962" s="10">
        <v>985760</v>
      </c>
      <c r="B962" s="22" t="str">
        <f>IFERROR(VLOOKUP(A962,VLOOKUPS!$A$2:B$12589,2,FALSE),"")</f>
        <v>Asparagus 1lb-standard</v>
      </c>
      <c r="G962" s="13">
        <v>44391</v>
      </c>
      <c r="H962" s="13">
        <v>44397</v>
      </c>
      <c r="I962" s="22" t="str">
        <f>VLOOKUP(J962, Dropdowns!N:O, 2, FALSE)</f>
        <v>Lower Price</v>
      </c>
      <c r="J962" t="s">
        <v>753</v>
      </c>
      <c r="L962" s="17" t="s">
        <v>732</v>
      </c>
      <c r="M962" s="17" t="s">
        <v>736</v>
      </c>
      <c r="N962" s="17" t="s">
        <v>736</v>
      </c>
    </row>
    <row r="963" spans="1:14" x14ac:dyDescent="0.25">
      <c r="A963" s="10">
        <v>985111</v>
      </c>
      <c r="B963" s="22" t="str">
        <f>IFERROR(VLOOKUP(A963,VLOOKUPS!$A$2:B$12589,2,FALSE),"")</f>
        <v>Lettuce Mixed 1ct-standard</v>
      </c>
      <c r="G963" s="13">
        <v>44391</v>
      </c>
      <c r="H963" s="13">
        <v>44397</v>
      </c>
      <c r="I963" s="22" t="str">
        <f>VLOOKUP(J963, Dropdowns!N:O, 2, FALSE)</f>
        <v>Lower Price</v>
      </c>
      <c r="J963" t="s">
        <v>753</v>
      </c>
      <c r="L963" s="17" t="s">
        <v>732</v>
      </c>
      <c r="M963" s="17" t="s">
        <v>736</v>
      </c>
      <c r="N963" s="17" t="s">
        <v>736</v>
      </c>
    </row>
    <row r="964" spans="1:14" x14ac:dyDescent="0.25">
      <c r="A964" s="10">
        <v>995102</v>
      </c>
      <c r="B964" s="22" t="str">
        <f>IFERROR(VLOOKUP(A964,VLOOKUPS!$A$2:B$12589,2,FALSE),"")</f>
        <v>Cantaloupe Chunks 16oz-standard</v>
      </c>
      <c r="G964" s="13">
        <v>44391</v>
      </c>
      <c r="H964" s="13">
        <v>44397</v>
      </c>
      <c r="I964" s="22" t="str">
        <f>VLOOKUP(J964, Dropdowns!N:O, 2, FALSE)</f>
        <v>Lower Price</v>
      </c>
      <c r="J964" t="s">
        <v>753</v>
      </c>
      <c r="L964" s="17" t="s">
        <v>732</v>
      </c>
      <c r="M964" s="17" t="s">
        <v>736</v>
      </c>
      <c r="N964" s="17" t="s">
        <v>736</v>
      </c>
    </row>
    <row r="965" spans="1:14" x14ac:dyDescent="0.25">
      <c r="A965" s="10">
        <v>995085</v>
      </c>
      <c r="B965" s="22" t="str">
        <f>IFERROR(VLOOKUP(A965,VLOOKUPS!$A$2:B$12589,2,FALSE),"")</f>
        <v>Sugar Snap Peas 8oz-standard</v>
      </c>
      <c r="G965" s="13">
        <v>44391</v>
      </c>
      <c r="H965" s="13">
        <v>44397</v>
      </c>
      <c r="I965" s="22" t="str">
        <f>VLOOKUP(J965, Dropdowns!N:O, 2, FALSE)</f>
        <v>Lower Price</v>
      </c>
      <c r="J965" t="s">
        <v>753</v>
      </c>
      <c r="L965" s="17" t="s">
        <v>732</v>
      </c>
      <c r="M965" s="17" t="s">
        <v>736</v>
      </c>
      <c r="N965" s="17" t="s">
        <v>736</v>
      </c>
    </row>
    <row r="966" spans="1:14" x14ac:dyDescent="0.25">
      <c r="A966" s="10">
        <v>995103</v>
      </c>
      <c r="B966" s="22" t="str">
        <f>IFERROR(VLOOKUP(A966,VLOOKUPS!$A$2:B$12589,2,FALSE),"")</f>
        <v>Teriyaki Stir Fry Kit 12.5oz-standard</v>
      </c>
      <c r="G966" s="13">
        <v>44391</v>
      </c>
      <c r="H966" s="13">
        <v>44397</v>
      </c>
      <c r="I966" s="22" t="str">
        <f>VLOOKUP(J966, Dropdowns!N:O, 2, FALSE)</f>
        <v>Lower Price</v>
      </c>
      <c r="J966" t="s">
        <v>753</v>
      </c>
      <c r="L966" s="17" t="s">
        <v>732</v>
      </c>
      <c r="M966" s="17" t="s">
        <v>736</v>
      </c>
      <c r="N966" s="17" t="s">
        <v>736</v>
      </c>
    </row>
    <row r="967" spans="1:14" x14ac:dyDescent="0.25">
      <c r="A967" s="10">
        <v>995100</v>
      </c>
      <c r="B967" s="22" t="str">
        <f>IFERROR(VLOOKUP(A967,VLOOKUPS!$A$2:B$12589,2,FALSE),"")</f>
        <v>Asian Chopped Salad Kit 12oz-standard</v>
      </c>
      <c r="G967" s="13">
        <v>44391</v>
      </c>
      <c r="H967" s="13">
        <v>44397</v>
      </c>
      <c r="I967" s="22" t="str">
        <f>VLOOKUP(J967, Dropdowns!N:O, 2, FALSE)</f>
        <v>Lower Price</v>
      </c>
      <c r="J967" t="s">
        <v>753</v>
      </c>
      <c r="L967" s="17" t="s">
        <v>732</v>
      </c>
      <c r="M967" s="17" t="s">
        <v>736</v>
      </c>
      <c r="N967" s="17" t="s">
        <v>736</v>
      </c>
    </row>
    <row r="968" spans="1:14" x14ac:dyDescent="0.25">
      <c r="A968" s="10">
        <v>986250</v>
      </c>
      <c r="B968" s="22" t="str">
        <f>IFERROR(VLOOKUP(A968,VLOOKUPS!$A$2:B$12589,2,FALSE),"")</f>
        <v>French Beans 1lb-standard</v>
      </c>
      <c r="E968">
        <v>2.89</v>
      </c>
      <c r="F968">
        <v>2.99</v>
      </c>
      <c r="G968" s="13">
        <v>44391</v>
      </c>
      <c r="H968" s="13"/>
      <c r="I968" s="22" t="str">
        <f>VLOOKUP(J968, Dropdowns!N:O, 2, FALSE)</f>
        <v>Standard</v>
      </c>
      <c r="J968" t="s">
        <v>760</v>
      </c>
      <c r="L968" s="17" t="s">
        <v>732</v>
      </c>
      <c r="M968" s="17" t="s">
        <v>736</v>
      </c>
      <c r="N968" s="17" t="s">
        <v>736</v>
      </c>
    </row>
    <row r="969" spans="1:14" x14ac:dyDescent="0.25">
      <c r="A969" s="10">
        <v>984542</v>
      </c>
      <c r="B969" s="22" t="str">
        <f>IFERROR(VLOOKUP(A969,VLOOKUPS!$A$2:B$12589,2,FALSE),"")</f>
        <v>Blueberries 18oz-standard</v>
      </c>
      <c r="E969">
        <v>2.99</v>
      </c>
      <c r="F969">
        <v>4.29</v>
      </c>
      <c r="G969" s="13">
        <v>44391</v>
      </c>
      <c r="H969" s="13"/>
      <c r="I969" s="22" t="str">
        <f>VLOOKUP(J969, Dropdowns!N:O, 2, FALSE)</f>
        <v>Standard</v>
      </c>
      <c r="J969" t="s">
        <v>760</v>
      </c>
      <c r="L969" s="17" t="s">
        <v>732</v>
      </c>
      <c r="M969" s="17" t="s">
        <v>736</v>
      </c>
      <c r="N969" s="17" t="s">
        <v>736</v>
      </c>
    </row>
    <row r="970" spans="1:14" x14ac:dyDescent="0.25">
      <c r="A970" s="10">
        <v>985011</v>
      </c>
      <c r="B970" s="22" t="str">
        <f>IFERROR(VLOOKUP(A970,VLOOKUPS!$A$2:B$12589,2,FALSE),"")</f>
        <v>Lettuce Butter 1ct-standard</v>
      </c>
      <c r="E970">
        <v>1.49</v>
      </c>
      <c r="F970">
        <v>2.29</v>
      </c>
      <c r="G970" s="13">
        <v>44391</v>
      </c>
      <c r="H970" s="13"/>
      <c r="I970" s="22" t="str">
        <f>VLOOKUP(J970, Dropdowns!N:O, 2, FALSE)</f>
        <v>Standard</v>
      </c>
      <c r="J970" t="s">
        <v>760</v>
      </c>
      <c r="L970" s="17" t="s">
        <v>732</v>
      </c>
      <c r="M970" s="17" t="s">
        <v>736</v>
      </c>
      <c r="N970" s="17" t="s">
        <v>736</v>
      </c>
    </row>
    <row r="971" spans="1:14" x14ac:dyDescent="0.25">
      <c r="A971" s="10">
        <v>995008</v>
      </c>
      <c r="B971" s="22" t="str">
        <f>IFERROR(VLOOKUP(A971,VLOOKUPS!$A$2:B$12589,2,FALSE),"")</f>
        <v>Shredded Lettuce 8oz-standard</v>
      </c>
      <c r="E971">
        <v>0.99</v>
      </c>
      <c r="F971">
        <v>1.49</v>
      </c>
      <c r="G971" s="13">
        <v>44391</v>
      </c>
      <c r="H971" s="13"/>
      <c r="I971" s="22" t="str">
        <f>VLOOKUP(J971, Dropdowns!N:O, 2, FALSE)</f>
        <v>Standard</v>
      </c>
      <c r="J971" t="s">
        <v>760</v>
      </c>
      <c r="L971" s="17" t="s">
        <v>733</v>
      </c>
      <c r="M971" s="17" t="s">
        <v>11</v>
      </c>
      <c r="N971" s="17" t="s">
        <v>740</v>
      </c>
    </row>
    <row r="972" spans="1:14" x14ac:dyDescent="0.25">
      <c r="A972" s="10">
        <v>995008</v>
      </c>
      <c r="B972" s="22" t="str">
        <f>IFERROR(VLOOKUP(A972,VLOOKUPS!$A$2:B$12589,2,FALSE),"")</f>
        <v>Shredded Lettuce 8oz-standard</v>
      </c>
      <c r="G972" s="13">
        <v>44391</v>
      </c>
      <c r="H972" s="13">
        <v>44392</v>
      </c>
      <c r="I972" s="22" t="str">
        <f>VLOOKUP(J972, Dropdowns!N:O, 2, FALSE)</f>
        <v>Lower Price</v>
      </c>
      <c r="J972" t="s">
        <v>762</v>
      </c>
      <c r="L972" s="17" t="s">
        <v>732</v>
      </c>
      <c r="M972" s="17" t="s">
        <v>735</v>
      </c>
      <c r="N972" s="17" t="s">
        <v>736</v>
      </c>
    </row>
    <row r="973" spans="1:14" x14ac:dyDescent="0.25">
      <c r="A973" s="10">
        <v>995009</v>
      </c>
      <c r="B973" s="22" t="str">
        <f>IFERROR(VLOOKUP(A973,VLOOKUPS!$A$2:B$12589,2,FALSE),"")</f>
        <v>Classic Coleslaw 14oz-standard</v>
      </c>
      <c r="G973" s="13">
        <v>44391</v>
      </c>
      <c r="H973" s="13">
        <v>44392</v>
      </c>
      <c r="I973" s="22" t="str">
        <f>VLOOKUP(J973, Dropdowns!N:O, 2, FALSE)</f>
        <v>Lower Price</v>
      </c>
      <c r="J973" t="s">
        <v>762</v>
      </c>
      <c r="L973" s="17" t="s">
        <v>732</v>
      </c>
      <c r="M973" s="17" t="s">
        <v>736</v>
      </c>
      <c r="N973" s="17" t="s">
        <v>736</v>
      </c>
    </row>
    <row r="974" spans="1:14" x14ac:dyDescent="0.25">
      <c r="A974" s="10">
        <v>995043</v>
      </c>
      <c r="B974" s="22" t="str">
        <f>IFERROR(VLOOKUP(A974,VLOOKUPS!$A$2:B$12589,2,FALSE),"")</f>
        <v>Watermelon Chunks 16oz-standard</v>
      </c>
      <c r="E974">
        <v>1.79</v>
      </c>
      <c r="F974">
        <v>3.29</v>
      </c>
      <c r="G974" s="13">
        <v>44391</v>
      </c>
      <c r="H974" s="13"/>
      <c r="I974" s="22" t="str">
        <f>VLOOKUP(J974, Dropdowns!N:O, 2, FALSE)</f>
        <v>Standard</v>
      </c>
      <c r="J974" t="s">
        <v>760</v>
      </c>
      <c r="L974" s="17" t="s">
        <v>732</v>
      </c>
      <c r="M974" s="17" t="s">
        <v>736</v>
      </c>
      <c r="N974" s="17" t="s">
        <v>736</v>
      </c>
    </row>
    <row r="975" spans="1:14" x14ac:dyDescent="0.25">
      <c r="A975" s="10">
        <v>995043</v>
      </c>
      <c r="B975" s="22" t="str">
        <f>IFERROR(VLOOKUP(A975,VLOOKUPS!$A$2:B$12589,2,FALSE),"")</f>
        <v>Watermelon Chunks 16oz-standard</v>
      </c>
      <c r="E975">
        <v>3.29</v>
      </c>
      <c r="F975">
        <v>3.49</v>
      </c>
      <c r="G975" s="13">
        <v>44392</v>
      </c>
      <c r="H975" s="13"/>
      <c r="I975" s="22" t="str">
        <f>VLOOKUP(J975, Dropdowns!N:O, 2, FALSE)</f>
        <v>Standard</v>
      </c>
      <c r="J975" t="s">
        <v>761</v>
      </c>
      <c r="L975" s="17" t="s">
        <v>732</v>
      </c>
      <c r="M975" s="17" t="s">
        <v>736</v>
      </c>
      <c r="N975" s="17" t="s">
        <v>736</v>
      </c>
    </row>
    <row r="976" spans="1:14" x14ac:dyDescent="0.25">
      <c r="A976" s="10">
        <v>995082</v>
      </c>
      <c r="B976" s="22" t="str">
        <f>IFERROR(VLOOKUP(A976,VLOOKUPS!$A$2:B$12589,2,FALSE),"")</f>
        <v>Melon Trio 16oz-standard</v>
      </c>
      <c r="E976">
        <v>2.79</v>
      </c>
      <c r="F976">
        <v>3.99</v>
      </c>
      <c r="G976" s="13">
        <v>44391</v>
      </c>
      <c r="H976" s="13"/>
      <c r="I976" s="22" t="str">
        <f>VLOOKUP(J976, Dropdowns!N:O, 2, FALSE)</f>
        <v>Standard</v>
      </c>
      <c r="J976" t="s">
        <v>760</v>
      </c>
      <c r="L976" s="17" t="s">
        <v>732</v>
      </c>
      <c r="M976" s="17" t="s">
        <v>10</v>
      </c>
      <c r="N976" s="17">
        <v>2</v>
      </c>
    </row>
    <row r="977" spans="1:14" x14ac:dyDescent="0.25">
      <c r="A977" s="10">
        <v>995082</v>
      </c>
      <c r="B977" s="22" t="str">
        <f>IFERROR(VLOOKUP(A977,VLOOKUPS!$A$2:B$12589,2,FALSE),"")</f>
        <v>Melon Trio 16oz-standard</v>
      </c>
      <c r="G977" s="13">
        <v>44391</v>
      </c>
      <c r="H977" s="13">
        <v>44391</v>
      </c>
      <c r="I977" s="22" t="str">
        <f>VLOOKUP(J977, Dropdowns!N:O, 2, FALSE)</f>
        <v>Lower Price</v>
      </c>
      <c r="J977" t="s">
        <v>762</v>
      </c>
      <c r="L977" s="17" t="s">
        <v>732</v>
      </c>
      <c r="M977" s="17" t="s">
        <v>737</v>
      </c>
      <c r="N977" s="17" t="s">
        <v>736</v>
      </c>
    </row>
    <row r="978" spans="1:14" x14ac:dyDescent="0.25">
      <c r="A978" s="10">
        <v>995135</v>
      </c>
      <c r="B978" s="22" t="str">
        <f>IFERROR(VLOOKUP(A978,VLOOKUPS!$A$2:B$12589,2,FALSE),"")</f>
        <v>XL Mild Fresh Salsa 30oz-standard</v>
      </c>
      <c r="G978" s="13">
        <v>44392</v>
      </c>
      <c r="H978" s="13"/>
      <c r="I978" s="22" t="str">
        <f>VLOOKUP(J978, Dropdowns!N:O, 2, FALSE)</f>
        <v>NA</v>
      </c>
      <c r="J978" t="s">
        <v>754</v>
      </c>
      <c r="L978" s="17" t="s">
        <v>732</v>
      </c>
      <c r="M978" s="17" t="s">
        <v>736</v>
      </c>
      <c r="N978" s="17" t="s">
        <v>736</v>
      </c>
    </row>
    <row r="979" spans="1:14" x14ac:dyDescent="0.25">
      <c r="A979" s="10">
        <v>995018</v>
      </c>
      <c r="B979" s="22" t="str">
        <f>IFERROR(VLOOKUP(A979,VLOOKUPS!$A$2:B$12589,2,FALSE),"")</f>
        <v>RTE Large Chicken Caesar Salad 13.1oz-standard</v>
      </c>
      <c r="E979">
        <v>4.99</v>
      </c>
      <c r="F979">
        <v>3.49</v>
      </c>
      <c r="G979" s="13">
        <v>44392</v>
      </c>
      <c r="H979" s="13">
        <v>44393</v>
      </c>
      <c r="I979" s="22" t="str">
        <f>VLOOKUP(J979, Dropdowns!N:O, 2, FALSE)</f>
        <v>Lower Price</v>
      </c>
      <c r="J979" t="s">
        <v>759</v>
      </c>
      <c r="L979" s="17" t="s">
        <v>733</v>
      </c>
      <c r="M979" s="17" t="s">
        <v>11</v>
      </c>
      <c r="N979" s="17" t="s">
        <v>740</v>
      </c>
    </row>
    <row r="980" spans="1:14" x14ac:dyDescent="0.25">
      <c r="A980" s="10">
        <v>995018</v>
      </c>
      <c r="B980" s="22" t="str">
        <f>IFERROR(VLOOKUP(A980,VLOOKUPS!$A$2:B$12589,2,FALSE),"")</f>
        <v>RTE Large Chicken Caesar Salad 13.1oz-standard</v>
      </c>
      <c r="E980">
        <v>3.49</v>
      </c>
      <c r="F980">
        <v>4.99</v>
      </c>
      <c r="G980" s="13">
        <v>44394</v>
      </c>
      <c r="H980" s="13"/>
      <c r="I980" s="22" t="str">
        <f>VLOOKUP(J980, Dropdowns!N:O, 2, FALSE)</f>
        <v>Standard</v>
      </c>
      <c r="J980" t="s">
        <v>760</v>
      </c>
      <c r="L980" s="17" t="s">
        <v>733</v>
      </c>
      <c r="M980" s="17" t="s">
        <v>11</v>
      </c>
      <c r="N980" s="17" t="s">
        <v>740</v>
      </c>
    </row>
    <row r="981" spans="1:14" x14ac:dyDescent="0.25">
      <c r="A981" s="10">
        <v>995123</v>
      </c>
      <c r="B981" s="22" t="str">
        <f>IFERROR(VLOOKUP(A981,VLOOKUPS!$A$2:B$12589,2,FALSE),"")</f>
        <v>Vegetable Medley 12oz-standard</v>
      </c>
      <c r="G981" s="13">
        <v>44392</v>
      </c>
      <c r="H981" s="13"/>
      <c r="I981" s="22" t="str">
        <f>VLOOKUP(J981, Dropdowns!N:O, 2, FALSE)</f>
        <v>NA</v>
      </c>
      <c r="J981" t="s">
        <v>754</v>
      </c>
      <c r="L981" s="17" t="s">
        <v>732</v>
      </c>
      <c r="M981" s="17" t="s">
        <v>736</v>
      </c>
      <c r="N981" s="17" t="s">
        <v>736</v>
      </c>
    </row>
    <row r="982" spans="1:14" x14ac:dyDescent="0.25">
      <c r="A982" s="10">
        <v>995142</v>
      </c>
      <c r="B982" s="22" t="str">
        <f>IFERROR(VLOOKUP(A982,VLOOKUPS!$A$2:B$12589,2,FALSE),"")</f>
        <v>Mango Pico De Gallo 16oz-standard</v>
      </c>
      <c r="E982">
        <v>4.49</v>
      </c>
      <c r="F982">
        <v>2.99</v>
      </c>
      <c r="G982" s="13">
        <v>44392</v>
      </c>
      <c r="H982" s="13">
        <v>44393</v>
      </c>
      <c r="I982" s="22" t="str">
        <f>VLOOKUP(J982, Dropdowns!N:O, 2, FALSE)</f>
        <v>Lower Price</v>
      </c>
      <c r="J982" t="s">
        <v>759</v>
      </c>
      <c r="L982" s="17" t="s">
        <v>732</v>
      </c>
      <c r="M982" s="17" t="s">
        <v>10</v>
      </c>
      <c r="N982" s="17">
        <v>2</v>
      </c>
    </row>
    <row r="983" spans="1:14" x14ac:dyDescent="0.25">
      <c r="A983" s="10">
        <v>995142</v>
      </c>
      <c r="B983" s="22" t="str">
        <f>IFERROR(VLOOKUP(A983,VLOOKUPS!$A$2:B$12589,2,FALSE),"")</f>
        <v>Mango Pico De Gallo 16oz-standard</v>
      </c>
      <c r="E983">
        <v>2.99</v>
      </c>
      <c r="F983">
        <v>4.49</v>
      </c>
      <c r="G983" s="13">
        <v>44394</v>
      </c>
      <c r="H983" s="13"/>
      <c r="I983" s="22" t="str">
        <f>VLOOKUP(J983, Dropdowns!N:O, 2, FALSE)</f>
        <v>Standard</v>
      </c>
      <c r="J983" t="s">
        <v>760</v>
      </c>
      <c r="L983" s="17" t="s">
        <v>732</v>
      </c>
      <c r="M983" s="17" t="s">
        <v>10</v>
      </c>
      <c r="N983" s="17">
        <v>2</v>
      </c>
    </row>
    <row r="984" spans="1:14" x14ac:dyDescent="0.25">
      <c r="A984" s="10">
        <v>995082</v>
      </c>
      <c r="B984" s="22" t="str">
        <f>IFERROR(VLOOKUP(A984,VLOOKUPS!$A$2:B$12589,2,FALSE),"")</f>
        <v>Melon Trio 16oz-standard</v>
      </c>
      <c r="G984" s="13">
        <v>44392</v>
      </c>
      <c r="H984" s="13"/>
      <c r="I984" s="22" t="str">
        <f>VLOOKUP(J984, Dropdowns!N:O, 2, FALSE)</f>
        <v>Lower Price</v>
      </c>
      <c r="J984" t="s">
        <v>762</v>
      </c>
      <c r="L984" s="17" t="s">
        <v>732</v>
      </c>
      <c r="M984" s="17" t="s">
        <v>737</v>
      </c>
      <c r="N984" s="17" t="s">
        <v>736</v>
      </c>
    </row>
    <row r="985" spans="1:14" x14ac:dyDescent="0.25">
      <c r="A985" s="10">
        <v>983201</v>
      </c>
      <c r="B985" s="22" t="str">
        <f>IFERROR(VLOOKUP(A985,VLOOKUPS!$A$2:B$12589,2,FALSE),"")</f>
        <v>Melons* Honeydew 1ct-LOOSE</v>
      </c>
      <c r="E985">
        <v>3.58</v>
      </c>
      <c r="F985">
        <v>2.58</v>
      </c>
      <c r="G985" s="13">
        <v>44393</v>
      </c>
      <c r="H985" s="13">
        <v>44394</v>
      </c>
      <c r="I985" s="22" t="str">
        <f>VLOOKUP(J985, Dropdowns!N:O, 2, FALSE)</f>
        <v>Lower Price</v>
      </c>
      <c r="J985" t="s">
        <v>759</v>
      </c>
      <c r="L985" s="17" t="s">
        <v>732</v>
      </c>
      <c r="M985" s="17" t="s">
        <v>738</v>
      </c>
      <c r="N985" s="17">
        <v>2</v>
      </c>
    </row>
    <row r="986" spans="1:14" x14ac:dyDescent="0.25">
      <c r="A986" s="10">
        <v>983201</v>
      </c>
      <c r="B986" s="22" t="str">
        <f>IFERROR(VLOOKUP(A986,VLOOKUPS!$A$2:B$12589,2,FALSE),"")</f>
        <v>Melons* Honeydew 1ct-LOOSE</v>
      </c>
      <c r="E986">
        <v>2.58</v>
      </c>
      <c r="F986">
        <v>3.58</v>
      </c>
      <c r="G986" s="13">
        <v>44395</v>
      </c>
      <c r="H986" s="13"/>
      <c r="I986" s="22" t="str">
        <f>VLOOKUP(J986, Dropdowns!N:O, 2, FALSE)</f>
        <v>Standard</v>
      </c>
      <c r="J986" t="s">
        <v>760</v>
      </c>
      <c r="L986" s="17" t="s">
        <v>732</v>
      </c>
      <c r="M986" s="17" t="s">
        <v>738</v>
      </c>
      <c r="N986" s="17">
        <v>2</v>
      </c>
    </row>
    <row r="987" spans="1:14" x14ac:dyDescent="0.25">
      <c r="A987" s="10">
        <v>984541</v>
      </c>
      <c r="B987" s="22" t="str">
        <f>IFERROR(VLOOKUP(A987,VLOOKUPS!$A$2:B$12589,2,FALSE),"")</f>
        <v>Blueberries 1pt-standard</v>
      </c>
      <c r="E987">
        <v>2.64</v>
      </c>
      <c r="F987">
        <v>1.48</v>
      </c>
      <c r="G987" s="13">
        <v>44393</v>
      </c>
      <c r="H987" s="13">
        <v>44394</v>
      </c>
      <c r="I987" s="22" t="str">
        <f>VLOOKUP(J987, Dropdowns!N:O, 2, FALSE)</f>
        <v>Lower Price</v>
      </c>
      <c r="J987" t="s">
        <v>759</v>
      </c>
      <c r="L987" s="17" t="s">
        <v>732</v>
      </c>
      <c r="M987" s="17" t="s">
        <v>736</v>
      </c>
      <c r="N987" s="17" t="s">
        <v>736</v>
      </c>
    </row>
    <row r="988" spans="1:14" x14ac:dyDescent="0.25">
      <c r="A988" s="10">
        <v>984541</v>
      </c>
      <c r="B988" s="22" t="str">
        <f>IFERROR(VLOOKUP(A988,VLOOKUPS!$A$2:B$12589,2,FALSE),"")</f>
        <v>Blueberries 1pt-standard</v>
      </c>
      <c r="E988">
        <v>1.48</v>
      </c>
      <c r="F988">
        <v>2.64</v>
      </c>
      <c r="G988" s="13">
        <v>44395</v>
      </c>
      <c r="H988" s="13"/>
      <c r="I988" s="22" t="str">
        <f>VLOOKUP(J988, Dropdowns!N:O, 2, FALSE)</f>
        <v>Standard</v>
      </c>
      <c r="J988" t="s">
        <v>760</v>
      </c>
      <c r="L988" s="17" t="s">
        <v>732</v>
      </c>
      <c r="M988" s="17" t="s">
        <v>736</v>
      </c>
      <c r="N988" s="17" t="s">
        <v>736</v>
      </c>
    </row>
    <row r="989" spans="1:14" x14ac:dyDescent="0.25">
      <c r="A989" s="10">
        <v>984621</v>
      </c>
      <c r="B989" s="22" t="str">
        <f>IFERROR(VLOOKUP(A989,VLOOKUPS!$A$2:B$12589,2,FALSE),"")</f>
        <v>Raspberries 12oz-standard</v>
      </c>
      <c r="E989">
        <v>4.9400000000000004</v>
      </c>
      <c r="F989">
        <v>3.44</v>
      </c>
      <c r="G989" s="13">
        <v>44393</v>
      </c>
      <c r="H989" s="13">
        <v>44394</v>
      </c>
      <c r="I989" s="22" t="str">
        <f>VLOOKUP(J989, Dropdowns!N:O, 2, FALSE)</f>
        <v>Lower Price</v>
      </c>
      <c r="J989" t="s">
        <v>759</v>
      </c>
      <c r="L989" s="17" t="s">
        <v>732</v>
      </c>
      <c r="M989" s="17" t="s">
        <v>9</v>
      </c>
      <c r="N989" s="17" t="s">
        <v>736</v>
      </c>
    </row>
    <row r="990" spans="1:14" x14ac:dyDescent="0.25">
      <c r="A990" s="10">
        <v>984621</v>
      </c>
      <c r="B990" s="22" t="str">
        <f>IFERROR(VLOOKUP(A990,VLOOKUPS!$A$2:B$12589,2,FALSE),"")</f>
        <v>Raspberries 12oz-standard</v>
      </c>
      <c r="E990">
        <v>3.44</v>
      </c>
      <c r="F990">
        <v>4.9400000000000004</v>
      </c>
      <c r="G990" s="13">
        <v>44395</v>
      </c>
      <c r="H990" s="13"/>
      <c r="I990" s="22" t="str">
        <f>VLOOKUP(J990, Dropdowns!N:O, 2, FALSE)</f>
        <v>Standard</v>
      </c>
      <c r="J990" t="s">
        <v>760</v>
      </c>
      <c r="L990" s="17" t="s">
        <v>732</v>
      </c>
      <c r="M990" s="17" t="s">
        <v>9</v>
      </c>
      <c r="N990" s="17" t="s">
        <v>736</v>
      </c>
    </row>
    <row r="991" spans="1:14" x14ac:dyDescent="0.25">
      <c r="A991" s="10">
        <v>985060</v>
      </c>
      <c r="B991" s="22" t="str">
        <f>IFERROR(VLOOKUP(A991,VLOOKUPS!$A$2:B$12589,2,FALSE),"")</f>
        <v>Lettuce* Iceberg 1ct-standard</v>
      </c>
      <c r="E991">
        <v>1.39</v>
      </c>
      <c r="F991">
        <v>0.89</v>
      </c>
      <c r="G991" s="13">
        <v>44393</v>
      </c>
      <c r="H991" s="13">
        <v>44395</v>
      </c>
      <c r="I991" s="22" t="str">
        <f>VLOOKUP(J991, Dropdowns!N:O, 2, FALSE)</f>
        <v>Lower Price</v>
      </c>
      <c r="J991" t="s">
        <v>759</v>
      </c>
      <c r="L991" s="17" t="s">
        <v>732</v>
      </c>
      <c r="M991" s="17" t="s">
        <v>736</v>
      </c>
      <c r="N991" s="17" t="s">
        <v>736</v>
      </c>
    </row>
    <row r="992" spans="1:14" x14ac:dyDescent="0.25">
      <c r="A992" s="10">
        <v>985060</v>
      </c>
      <c r="B992" s="22" t="str">
        <f>IFERROR(VLOOKUP(A992,VLOOKUPS!$A$2:B$12589,2,FALSE),"")</f>
        <v>Lettuce* Iceberg 1ct-standard</v>
      </c>
      <c r="E992">
        <v>0.89</v>
      </c>
      <c r="F992">
        <v>1.39</v>
      </c>
      <c r="G992" s="13">
        <v>44396</v>
      </c>
      <c r="H992" s="13"/>
      <c r="I992" s="22" t="str">
        <f>VLOOKUP(J992, Dropdowns!N:O, 2, FALSE)</f>
        <v>Standard</v>
      </c>
      <c r="J992" t="s">
        <v>760</v>
      </c>
      <c r="L992" s="17" t="s">
        <v>732</v>
      </c>
      <c r="M992" s="17" t="s">
        <v>736</v>
      </c>
      <c r="N992" s="17" t="s">
        <v>736</v>
      </c>
    </row>
    <row r="993" spans="1:14" x14ac:dyDescent="0.25">
      <c r="A993" s="10">
        <v>988620</v>
      </c>
      <c r="B993" s="22" t="str">
        <f>IFERROR(VLOOKUP(A993,VLOOKUPS!$A$2:B$12589,2,FALSE),"")</f>
        <v>Brussels Sprouts 1lb-standard</v>
      </c>
      <c r="E993">
        <v>2.89</v>
      </c>
      <c r="F993">
        <v>1.89</v>
      </c>
      <c r="G993" s="13">
        <v>44393</v>
      </c>
      <c r="H993" s="13">
        <v>44394</v>
      </c>
      <c r="I993" s="22" t="str">
        <f>VLOOKUP(J993, Dropdowns!N:O, 2, FALSE)</f>
        <v>Lower Price</v>
      </c>
      <c r="J993" t="s">
        <v>759</v>
      </c>
      <c r="L993" s="17" t="s">
        <v>732</v>
      </c>
      <c r="M993" s="17" t="s">
        <v>9</v>
      </c>
      <c r="N993" s="17" t="s">
        <v>736</v>
      </c>
    </row>
    <row r="994" spans="1:14" x14ac:dyDescent="0.25">
      <c r="A994" s="10">
        <v>988620</v>
      </c>
      <c r="B994" s="22" t="str">
        <f>IFERROR(VLOOKUP(A994,VLOOKUPS!$A$2:B$12589,2,FALSE),"")</f>
        <v>Brussels Sprouts 1lb-standard</v>
      </c>
      <c r="E994">
        <v>1.89</v>
      </c>
      <c r="F994">
        <v>2.89</v>
      </c>
      <c r="G994" s="13">
        <v>44395</v>
      </c>
      <c r="H994" s="13"/>
      <c r="I994" s="22" t="str">
        <f>VLOOKUP(J994, Dropdowns!N:O, 2, FALSE)</f>
        <v>Standard</v>
      </c>
      <c r="J994" t="s">
        <v>760</v>
      </c>
      <c r="L994" s="17" t="s">
        <v>732</v>
      </c>
      <c r="M994" s="17" t="s">
        <v>9</v>
      </c>
      <c r="N994" s="17" t="s">
        <v>736</v>
      </c>
    </row>
    <row r="995" spans="1:14" x14ac:dyDescent="0.25">
      <c r="A995" s="10">
        <v>995006</v>
      </c>
      <c r="B995" s="22" t="str">
        <f>IFERROR(VLOOKUP(A995,VLOOKUPS!$A$2:B$12589,2,FALSE),"")</f>
        <v>Italian Salad 9oz-standard</v>
      </c>
      <c r="E995">
        <v>2.29</v>
      </c>
      <c r="F995">
        <v>1.49</v>
      </c>
      <c r="G995" s="13">
        <v>44393</v>
      </c>
      <c r="H995" s="13">
        <v>44394</v>
      </c>
      <c r="I995" s="22" t="str">
        <f>VLOOKUP(J995, Dropdowns!N:O, 2, FALSE)</f>
        <v>Lower Price</v>
      </c>
      <c r="J995" t="s">
        <v>759</v>
      </c>
      <c r="L995" s="17" t="s">
        <v>733</v>
      </c>
      <c r="M995" s="17" t="s">
        <v>11</v>
      </c>
      <c r="N995" s="17" t="s">
        <v>740</v>
      </c>
    </row>
    <row r="996" spans="1:14" x14ac:dyDescent="0.25">
      <c r="A996" s="10">
        <v>995006</v>
      </c>
      <c r="B996" s="22" t="str">
        <f>IFERROR(VLOOKUP(A996,VLOOKUPS!$A$2:B$12589,2,FALSE),"")</f>
        <v>Italian Salad 9oz-standard</v>
      </c>
      <c r="E996">
        <v>1.49</v>
      </c>
      <c r="F996">
        <v>2.29</v>
      </c>
      <c r="G996" s="13">
        <v>44395</v>
      </c>
      <c r="H996" s="13"/>
      <c r="I996" s="22" t="str">
        <f>VLOOKUP(J996, Dropdowns!N:O, 2, FALSE)</f>
        <v>Standard</v>
      </c>
      <c r="J996" t="s">
        <v>760</v>
      </c>
      <c r="L996" s="17" t="s">
        <v>733</v>
      </c>
      <c r="M996" s="17" t="s">
        <v>11</v>
      </c>
      <c r="N996" s="17" t="s">
        <v>740</v>
      </c>
    </row>
    <row r="997" spans="1:14" x14ac:dyDescent="0.25">
      <c r="A997" s="10">
        <v>995007</v>
      </c>
      <c r="B997" s="22" t="str">
        <f>IFERROR(VLOOKUP(A997,VLOOKUPS!$A$2:B$12589,2,FALSE),"")</f>
        <v>Caesar Salad Kit 10.5oz-standard</v>
      </c>
      <c r="E997">
        <v>2.59</v>
      </c>
      <c r="F997">
        <v>1.79</v>
      </c>
      <c r="G997" s="13">
        <v>44393</v>
      </c>
      <c r="H997" s="13">
        <v>44394</v>
      </c>
      <c r="I997" s="22" t="str">
        <f>VLOOKUP(J997, Dropdowns!N:O, 2, FALSE)</f>
        <v>Lower Price</v>
      </c>
      <c r="J997" t="s">
        <v>759</v>
      </c>
      <c r="L997" s="17" t="s">
        <v>733</v>
      </c>
      <c r="M997" s="17" t="s">
        <v>11</v>
      </c>
      <c r="N997" s="17" t="s">
        <v>740</v>
      </c>
    </row>
    <row r="998" spans="1:14" x14ac:dyDescent="0.25">
      <c r="A998" s="10">
        <v>995007</v>
      </c>
      <c r="B998" s="22" t="str">
        <f>IFERROR(VLOOKUP(A998,VLOOKUPS!$A$2:B$12589,2,FALSE),"")</f>
        <v>Caesar Salad Kit 10.5oz-standard</v>
      </c>
      <c r="E998">
        <v>1.79</v>
      </c>
      <c r="F998">
        <v>2.59</v>
      </c>
      <c r="G998" s="13">
        <v>44395</v>
      </c>
      <c r="H998" s="13"/>
      <c r="I998" s="22" t="str">
        <f>VLOOKUP(J998, Dropdowns!N:O, 2, FALSE)</f>
        <v>Standard</v>
      </c>
      <c r="J998" t="s">
        <v>760</v>
      </c>
      <c r="L998" s="17" t="s">
        <v>733</v>
      </c>
      <c r="M998" s="17" t="s">
        <v>11</v>
      </c>
      <c r="N998" s="17" t="s">
        <v>740</v>
      </c>
    </row>
    <row r="999" spans="1:14" x14ac:dyDescent="0.25">
      <c r="A999" s="10">
        <v>995145</v>
      </c>
      <c r="B999" s="22" t="str">
        <f>IFERROR(VLOOKUP(A999,VLOOKUPS!$A$2:B$12589,2,FALSE),"")</f>
        <v>Mango Spears 32oz-standard</v>
      </c>
      <c r="D999">
        <v>6</v>
      </c>
      <c r="F999">
        <v>7.99</v>
      </c>
      <c r="G999" s="13">
        <v>44393</v>
      </c>
      <c r="H999" s="13"/>
      <c r="I999" s="22" t="str">
        <f>VLOOKUP(J999, Dropdowns!N:O, 2, FALSE)</f>
        <v>New</v>
      </c>
      <c r="J999" t="s">
        <v>776</v>
      </c>
      <c r="L999" s="17" t="s">
        <v>732</v>
      </c>
      <c r="M999" s="17" t="s">
        <v>736</v>
      </c>
      <c r="N999" s="17" t="s">
        <v>736</v>
      </c>
    </row>
    <row r="1000" spans="1:14" x14ac:dyDescent="0.25">
      <c r="A1000" s="10">
        <v>982230</v>
      </c>
      <c r="B1000" s="22" t="str">
        <f>IFERROR(VLOOKUP(A1000,VLOOKUPS!$A$2:B$12589,2,FALSE),"")</f>
        <v>Peaches 2lb-standard</v>
      </c>
      <c r="G1000" s="13">
        <v>44393</v>
      </c>
      <c r="H1000" s="13">
        <v>44393</v>
      </c>
      <c r="I1000" s="22" t="str">
        <f>VLOOKUP(J1000, Dropdowns!N:O, 2, FALSE)</f>
        <v>Lower Price</v>
      </c>
      <c r="J1000" t="s">
        <v>762</v>
      </c>
      <c r="L1000" s="17" t="s">
        <v>732</v>
      </c>
      <c r="M1000" s="17" t="s">
        <v>736</v>
      </c>
      <c r="N1000" s="17" t="s">
        <v>736</v>
      </c>
    </row>
    <row r="1001" spans="1:14" x14ac:dyDescent="0.25">
      <c r="A1001" s="10">
        <v>995008</v>
      </c>
      <c r="B1001" s="22" t="str">
        <f>IFERROR(VLOOKUP(A1001,VLOOKUPS!$A$2:B$12589,2,FALSE),"")</f>
        <v>Shredded Lettuce 8oz-standard</v>
      </c>
      <c r="E1001">
        <v>0.99</v>
      </c>
      <c r="F1001">
        <v>1.49</v>
      </c>
      <c r="G1001" s="13">
        <v>44393</v>
      </c>
      <c r="H1001" s="13"/>
      <c r="I1001" s="22" t="str">
        <f>VLOOKUP(J1001, Dropdowns!N:O, 2, FALSE)</f>
        <v>Standard</v>
      </c>
      <c r="J1001" t="s">
        <v>760</v>
      </c>
      <c r="L1001" s="17" t="s">
        <v>732</v>
      </c>
      <c r="M1001" s="17" t="s">
        <v>735</v>
      </c>
      <c r="N1001" s="17">
        <v>8</v>
      </c>
    </row>
    <row r="1002" spans="1:14" x14ac:dyDescent="0.25">
      <c r="A1002" s="10">
        <v>995008</v>
      </c>
      <c r="B1002" s="22" t="str">
        <f>IFERROR(VLOOKUP(A1002,VLOOKUPS!$A$2:B$12589,2,FALSE),"")</f>
        <v>Shredded Lettuce 8oz-standard</v>
      </c>
      <c r="E1002">
        <v>1.19</v>
      </c>
      <c r="F1002">
        <v>1.69</v>
      </c>
      <c r="G1002" s="13">
        <v>44393</v>
      </c>
      <c r="H1002" s="13"/>
      <c r="I1002" s="22" t="str">
        <f>VLOOKUP(J1002, Dropdowns!N:O, 2, FALSE)</f>
        <v>Standard</v>
      </c>
      <c r="J1002" t="s">
        <v>760</v>
      </c>
      <c r="L1002" s="17" t="s">
        <v>734</v>
      </c>
      <c r="M1002" s="17" t="s">
        <v>735</v>
      </c>
      <c r="N1002" s="17" t="s">
        <v>741</v>
      </c>
    </row>
    <row r="1003" spans="1:14" x14ac:dyDescent="0.25">
      <c r="A1003" s="10">
        <v>995009</v>
      </c>
      <c r="B1003" s="22" t="str">
        <f>IFERROR(VLOOKUP(A1003,VLOOKUPS!$A$2:B$12589,2,FALSE),"")</f>
        <v>Classic Coleslaw 14oz-standard</v>
      </c>
      <c r="E1003">
        <v>1.0900000000000001</v>
      </c>
      <c r="F1003">
        <v>1.39</v>
      </c>
      <c r="G1003" s="13">
        <v>44393</v>
      </c>
      <c r="H1003" s="13"/>
      <c r="I1003" s="22" t="str">
        <f>VLOOKUP(J1003, Dropdowns!N:O, 2, FALSE)</f>
        <v>Standard</v>
      </c>
      <c r="J1003" t="s">
        <v>760</v>
      </c>
      <c r="L1003" s="17" t="s">
        <v>733</v>
      </c>
      <c r="M1003" s="17" t="s">
        <v>736</v>
      </c>
      <c r="N1003" s="17" t="s">
        <v>740</v>
      </c>
    </row>
    <row r="1004" spans="1:14" x14ac:dyDescent="0.25">
      <c r="A1004" s="10">
        <v>995009</v>
      </c>
      <c r="B1004" s="22" t="str">
        <f>IFERROR(VLOOKUP(A1004,VLOOKUPS!$A$2:B$12589,2,FALSE),"")</f>
        <v>Classic Coleslaw 14oz-standard</v>
      </c>
      <c r="E1004">
        <v>1.29</v>
      </c>
      <c r="F1004">
        <v>1.59</v>
      </c>
      <c r="G1004" s="13">
        <v>44393</v>
      </c>
      <c r="H1004" s="13"/>
      <c r="I1004" s="22" t="str">
        <f>VLOOKUP(J1004, Dropdowns!N:O, 2, FALSE)</f>
        <v>Standard</v>
      </c>
      <c r="J1004" t="s">
        <v>760</v>
      </c>
      <c r="L1004" s="17" t="s">
        <v>734</v>
      </c>
      <c r="M1004" s="17" t="s">
        <v>735</v>
      </c>
      <c r="N1004" s="17" t="s">
        <v>736</v>
      </c>
    </row>
    <row r="1005" spans="1:14" x14ac:dyDescent="0.25">
      <c r="A1005" s="10">
        <v>995082</v>
      </c>
      <c r="B1005" s="22" t="str">
        <f>IFERROR(VLOOKUP(A1005,VLOOKUPS!$A$2:B$12589,2,FALSE),"")</f>
        <v>Melon Trio 16oz-standard</v>
      </c>
      <c r="E1005">
        <v>2.79</v>
      </c>
      <c r="F1005">
        <v>3.99</v>
      </c>
      <c r="G1005" s="13">
        <v>44393</v>
      </c>
      <c r="H1005" s="13"/>
      <c r="I1005" s="22" t="str">
        <f>VLOOKUP(J1005, Dropdowns!N:O, 2, FALSE)</f>
        <v>Standard</v>
      </c>
      <c r="J1005" t="s">
        <v>760</v>
      </c>
      <c r="L1005" s="17" t="s">
        <v>732</v>
      </c>
      <c r="M1005" s="17" t="s">
        <v>737</v>
      </c>
      <c r="N1005" s="17" t="s">
        <v>736</v>
      </c>
    </row>
    <row r="1006" spans="1:14" x14ac:dyDescent="0.25">
      <c r="A1006" s="10">
        <v>995002</v>
      </c>
      <c r="B1006" s="22" t="str">
        <f>IFERROR(VLOOKUP(A1006,VLOOKUPS!$A$2:B$12589,2,FALSE),"")</f>
        <v>Butter Blend 6oz-standard</v>
      </c>
      <c r="E1006">
        <v>1.89</v>
      </c>
      <c r="F1006">
        <v>2.29</v>
      </c>
      <c r="G1006" s="13">
        <v>44394</v>
      </c>
      <c r="H1006" s="13"/>
      <c r="I1006" s="22" t="str">
        <f>VLOOKUP(J1006, Dropdowns!N:O, 2, FALSE)</f>
        <v>Standard</v>
      </c>
      <c r="J1006" t="s">
        <v>761</v>
      </c>
      <c r="L1006" s="17" t="s">
        <v>732</v>
      </c>
      <c r="M1006" s="17" t="s">
        <v>736</v>
      </c>
      <c r="N1006" s="17" t="s">
        <v>736</v>
      </c>
    </row>
    <row r="1007" spans="1:14" x14ac:dyDescent="0.25">
      <c r="A1007" s="10">
        <v>995002</v>
      </c>
      <c r="B1007" s="22" t="str">
        <f>IFERROR(VLOOKUP(A1007,VLOOKUPS!$A$2:B$12589,2,FALSE),"")</f>
        <v>Butter Blend 6oz-standard</v>
      </c>
      <c r="E1007">
        <v>2.29</v>
      </c>
      <c r="F1007">
        <v>1.29</v>
      </c>
      <c r="G1007" s="13">
        <v>44395</v>
      </c>
      <c r="H1007" s="13">
        <v>44396</v>
      </c>
      <c r="I1007" s="22" t="str">
        <f>VLOOKUP(J1007, Dropdowns!N:O, 2, FALSE)</f>
        <v>Lower Price</v>
      </c>
      <c r="J1007" t="s">
        <v>759</v>
      </c>
      <c r="L1007" s="17" t="s">
        <v>732</v>
      </c>
      <c r="M1007" s="17" t="s">
        <v>9</v>
      </c>
      <c r="N1007" s="17" t="s">
        <v>736</v>
      </c>
    </row>
    <row r="1008" spans="1:14" x14ac:dyDescent="0.25">
      <c r="A1008" s="10">
        <v>995002</v>
      </c>
      <c r="B1008" s="22" t="str">
        <f>IFERROR(VLOOKUP(A1008,VLOOKUPS!$A$2:B$12589,2,FALSE),"")</f>
        <v>Butter Blend 6oz-standard</v>
      </c>
      <c r="E1008">
        <v>1.29</v>
      </c>
      <c r="F1008">
        <v>2.29</v>
      </c>
      <c r="G1008" s="13">
        <v>44397</v>
      </c>
      <c r="H1008" s="13"/>
      <c r="I1008" s="22" t="str">
        <f>VLOOKUP(J1008, Dropdowns!N:O, 2, FALSE)</f>
        <v>Standard</v>
      </c>
      <c r="J1008" t="s">
        <v>760</v>
      </c>
      <c r="L1008" s="17" t="s">
        <v>732</v>
      </c>
      <c r="M1008" s="17" t="s">
        <v>9</v>
      </c>
      <c r="N1008" s="17" t="s">
        <v>736</v>
      </c>
    </row>
    <row r="1009" spans="1:14" x14ac:dyDescent="0.25">
      <c r="A1009" s="10">
        <v>995007</v>
      </c>
      <c r="B1009" s="22" t="str">
        <f>IFERROR(VLOOKUP(A1009,VLOOKUPS!$A$2:B$12589,2,FALSE),"")</f>
        <v>Caesar Salad Kit 10.5oz-standard</v>
      </c>
      <c r="E1009">
        <v>2.59</v>
      </c>
      <c r="F1009">
        <v>1.79</v>
      </c>
      <c r="G1009" s="13">
        <v>44394</v>
      </c>
      <c r="H1009" s="13">
        <v>44395</v>
      </c>
      <c r="I1009" s="22" t="str">
        <f>VLOOKUP(J1009, Dropdowns!N:O, 2, FALSE)</f>
        <v>Lower Price</v>
      </c>
      <c r="J1009" t="s">
        <v>759</v>
      </c>
      <c r="L1009" s="17" t="s">
        <v>732</v>
      </c>
      <c r="M1009" s="17" t="s">
        <v>10</v>
      </c>
      <c r="N1009" s="17">
        <v>2</v>
      </c>
    </row>
    <row r="1010" spans="1:14" x14ac:dyDescent="0.25">
      <c r="A1010" s="10">
        <v>995007</v>
      </c>
      <c r="B1010" s="22" t="str">
        <f>IFERROR(VLOOKUP(A1010,VLOOKUPS!$A$2:B$12589,2,FALSE),"")</f>
        <v>Caesar Salad Kit 10.5oz-standard</v>
      </c>
      <c r="E1010">
        <v>1.79</v>
      </c>
      <c r="F1010">
        <v>2.59</v>
      </c>
      <c r="G1010" s="13">
        <v>44396</v>
      </c>
      <c r="H1010" s="13"/>
      <c r="I1010" s="22" t="str">
        <f>VLOOKUP(J1010, Dropdowns!N:O, 2, FALSE)</f>
        <v>Standard</v>
      </c>
      <c r="J1010" t="s">
        <v>760</v>
      </c>
      <c r="L1010" s="17" t="s">
        <v>732</v>
      </c>
      <c r="M1010" s="17" t="s">
        <v>10</v>
      </c>
      <c r="N1010" s="17">
        <v>2</v>
      </c>
    </row>
    <row r="1011" spans="1:14" x14ac:dyDescent="0.25">
      <c r="A1011" s="10">
        <v>995008</v>
      </c>
      <c r="B1011" s="22" t="str">
        <f>IFERROR(VLOOKUP(A1011,VLOOKUPS!$A$2:B$12589,2,FALSE),"")</f>
        <v>Shredded Lettuce 8oz-standard</v>
      </c>
      <c r="E1011">
        <v>1.49</v>
      </c>
      <c r="F1011">
        <v>1.69</v>
      </c>
      <c r="G1011" s="13">
        <v>44394</v>
      </c>
      <c r="H1011" s="13"/>
      <c r="I1011" s="22" t="str">
        <f>VLOOKUP(J1011, Dropdowns!N:O, 2, FALSE)</f>
        <v>Standard</v>
      </c>
      <c r="J1011" t="s">
        <v>761</v>
      </c>
      <c r="L1011" s="17" t="s">
        <v>733</v>
      </c>
      <c r="M1011" s="17" t="s">
        <v>736</v>
      </c>
      <c r="N1011" s="17" t="s">
        <v>740</v>
      </c>
    </row>
    <row r="1012" spans="1:14" x14ac:dyDescent="0.25">
      <c r="A1012" s="10">
        <v>995041</v>
      </c>
      <c r="B1012" s="22" t="str">
        <f>IFERROR(VLOOKUP(A1012,VLOOKUPS!$A$2:B$12589,2,FALSE),"")</f>
        <v>Pineapple Spears 16oz-standard</v>
      </c>
      <c r="E1012">
        <v>3.49</v>
      </c>
      <c r="F1012">
        <v>2.4900000000000002</v>
      </c>
      <c r="G1012" s="13">
        <v>44394</v>
      </c>
      <c r="H1012" s="13">
        <v>44395</v>
      </c>
      <c r="I1012" s="22" t="str">
        <f>VLOOKUP(J1012, Dropdowns!N:O, 2, FALSE)</f>
        <v>Lower Price</v>
      </c>
      <c r="J1012" t="s">
        <v>759</v>
      </c>
      <c r="L1012" s="17" t="s">
        <v>733</v>
      </c>
      <c r="M1012" s="17" t="s">
        <v>11</v>
      </c>
      <c r="N1012" s="17" t="s">
        <v>740</v>
      </c>
    </row>
    <row r="1013" spans="1:14" x14ac:dyDescent="0.25">
      <c r="A1013" s="10">
        <v>995041</v>
      </c>
      <c r="B1013" s="22" t="str">
        <f>IFERROR(VLOOKUP(A1013,VLOOKUPS!$A$2:B$12589,2,FALSE),"")</f>
        <v>Pineapple Spears 16oz-standard</v>
      </c>
      <c r="E1013">
        <v>2.4900000000000002</v>
      </c>
      <c r="F1013">
        <v>3.49</v>
      </c>
      <c r="G1013" s="13">
        <v>44396</v>
      </c>
      <c r="H1013" s="13"/>
      <c r="I1013" s="22" t="str">
        <f>VLOOKUP(J1013, Dropdowns!N:O, 2, FALSE)</f>
        <v>Standard</v>
      </c>
      <c r="J1013" t="s">
        <v>760</v>
      </c>
      <c r="L1013" s="17" t="s">
        <v>733</v>
      </c>
      <c r="M1013" s="17" t="s">
        <v>11</v>
      </c>
      <c r="N1013" s="17" t="s">
        <v>740</v>
      </c>
    </row>
    <row r="1014" spans="1:14" x14ac:dyDescent="0.25">
      <c r="A1014" s="10">
        <v>995074</v>
      </c>
      <c r="B1014" s="22" t="str">
        <f>IFERROR(VLOOKUP(A1014,VLOOKUPS!$A$2:B$12589,2,FALSE),"")</f>
        <v>Southwest Chopped Salad Kit 12oz-standard</v>
      </c>
      <c r="E1014">
        <v>3.29</v>
      </c>
      <c r="F1014">
        <v>2.29</v>
      </c>
      <c r="G1014" s="13">
        <v>44394</v>
      </c>
      <c r="H1014" s="13">
        <v>44395</v>
      </c>
      <c r="I1014" s="22" t="str">
        <f>VLOOKUP(J1014, Dropdowns!N:O, 2, FALSE)</f>
        <v>Lower Price</v>
      </c>
      <c r="J1014" t="s">
        <v>759</v>
      </c>
      <c r="L1014" s="17" t="s">
        <v>732</v>
      </c>
      <c r="M1014" s="17" t="s">
        <v>9</v>
      </c>
      <c r="N1014" s="17" t="s">
        <v>736</v>
      </c>
    </row>
    <row r="1015" spans="1:14" x14ac:dyDescent="0.25">
      <c r="A1015" s="10">
        <v>995074</v>
      </c>
      <c r="B1015" s="22" t="str">
        <f>IFERROR(VLOOKUP(A1015,VLOOKUPS!$A$2:B$12589,2,FALSE),"")</f>
        <v>Southwest Chopped Salad Kit 12oz-standard</v>
      </c>
      <c r="E1015">
        <v>2.29</v>
      </c>
      <c r="F1015">
        <v>3.29</v>
      </c>
      <c r="G1015" s="13">
        <v>44396</v>
      </c>
      <c r="H1015" s="13"/>
      <c r="I1015" s="22" t="str">
        <f>VLOOKUP(J1015, Dropdowns!N:O, 2, FALSE)</f>
        <v>Standard</v>
      </c>
      <c r="J1015" t="s">
        <v>760</v>
      </c>
      <c r="L1015" s="17" t="s">
        <v>732</v>
      </c>
      <c r="M1015" s="17" t="s">
        <v>9</v>
      </c>
      <c r="N1015" s="17" t="s">
        <v>736</v>
      </c>
    </row>
    <row r="1016" spans="1:14" x14ac:dyDescent="0.25">
      <c r="A1016" s="10">
        <v>995082</v>
      </c>
      <c r="B1016" s="22" t="str">
        <f>IFERROR(VLOOKUP(A1016,VLOOKUPS!$A$2:B$12589,2,FALSE),"")</f>
        <v>Melon Trio 16oz-standard</v>
      </c>
      <c r="E1016">
        <v>3.99</v>
      </c>
      <c r="F1016">
        <v>2.99</v>
      </c>
      <c r="G1016" s="13">
        <v>44394</v>
      </c>
      <c r="H1016" s="13">
        <v>44395</v>
      </c>
      <c r="I1016" s="22" t="str">
        <f>VLOOKUP(J1016, Dropdowns!N:O, 2, FALSE)</f>
        <v>Lower Price</v>
      </c>
      <c r="J1016" t="s">
        <v>759</v>
      </c>
      <c r="L1016" s="17" t="s">
        <v>732</v>
      </c>
      <c r="M1016" s="17" t="s">
        <v>736</v>
      </c>
      <c r="N1016" s="17" t="s">
        <v>736</v>
      </c>
    </row>
    <row r="1017" spans="1:14" x14ac:dyDescent="0.25">
      <c r="A1017" s="10">
        <v>995082</v>
      </c>
      <c r="B1017" s="22" t="str">
        <f>IFERROR(VLOOKUP(A1017,VLOOKUPS!$A$2:B$12589,2,FALSE),"")</f>
        <v>Melon Trio 16oz-standard</v>
      </c>
      <c r="E1017">
        <v>2.99</v>
      </c>
      <c r="F1017">
        <v>3.99</v>
      </c>
      <c r="G1017" s="13">
        <v>44396</v>
      </c>
      <c r="H1017" s="13"/>
      <c r="I1017" s="22" t="str">
        <f>VLOOKUP(J1017, Dropdowns!N:O, 2, FALSE)</f>
        <v>Standard</v>
      </c>
      <c r="J1017" t="s">
        <v>760</v>
      </c>
      <c r="L1017" s="17" t="s">
        <v>732</v>
      </c>
      <c r="M1017" s="17" t="s">
        <v>736</v>
      </c>
      <c r="N1017" s="17" t="s">
        <v>736</v>
      </c>
    </row>
    <row r="1018" spans="1:14" x14ac:dyDescent="0.25">
      <c r="A1018" s="10">
        <v>995101</v>
      </c>
      <c r="B1018" s="22" t="str">
        <f>IFERROR(VLOOKUP(A1018,VLOOKUPS!$A$2:B$12589,2,FALSE),"")</f>
        <v>Avocado Ranch Salad Kit 11.3oz-standard</v>
      </c>
      <c r="E1018">
        <v>3.29</v>
      </c>
      <c r="F1018">
        <v>2.29</v>
      </c>
      <c r="G1018" s="13">
        <v>44394</v>
      </c>
      <c r="H1018" s="13">
        <v>44395</v>
      </c>
      <c r="I1018" s="22" t="str">
        <f>VLOOKUP(J1018, Dropdowns!N:O, 2, FALSE)</f>
        <v>Lower Price</v>
      </c>
      <c r="J1018" t="s">
        <v>759</v>
      </c>
      <c r="L1018" s="17" t="s">
        <v>733</v>
      </c>
      <c r="M1018" s="17" t="s">
        <v>11</v>
      </c>
      <c r="N1018" s="17" t="s">
        <v>740</v>
      </c>
    </row>
    <row r="1019" spans="1:14" x14ac:dyDescent="0.25">
      <c r="A1019" s="10">
        <v>995101</v>
      </c>
      <c r="B1019" s="22" t="str">
        <f>IFERROR(VLOOKUP(A1019,VLOOKUPS!$A$2:B$12589,2,FALSE),"")</f>
        <v>Avocado Ranch Salad Kit 11.3oz-standard</v>
      </c>
      <c r="E1019">
        <v>2.29</v>
      </c>
      <c r="F1019">
        <v>3.29</v>
      </c>
      <c r="G1019" s="13">
        <v>44396</v>
      </c>
      <c r="H1019" s="13"/>
      <c r="I1019" s="22" t="str">
        <f>VLOOKUP(J1019, Dropdowns!N:O, 2, FALSE)</f>
        <v>Standard</v>
      </c>
      <c r="J1019" t="s">
        <v>760</v>
      </c>
      <c r="L1019" s="17" t="s">
        <v>733</v>
      </c>
      <c r="M1019" s="17" t="s">
        <v>11</v>
      </c>
      <c r="N1019" s="17" t="s">
        <v>740</v>
      </c>
    </row>
    <row r="1020" spans="1:14" x14ac:dyDescent="0.25">
      <c r="A1020" s="10">
        <v>983101</v>
      </c>
      <c r="B1020" s="22" t="str">
        <f>IFERROR(VLOOKUP(A1020,VLOOKUPS!$A$2:B$12589,2,FALSE),"")</f>
        <v>Melons Cantaloupes 1ct-LOOSE</v>
      </c>
      <c r="E1020">
        <v>1.98</v>
      </c>
      <c r="F1020">
        <v>1.38</v>
      </c>
      <c r="G1020" s="13">
        <v>44397</v>
      </c>
      <c r="H1020" s="13">
        <v>44398</v>
      </c>
      <c r="I1020" s="22" t="str">
        <f>VLOOKUP(J1020, Dropdowns!N:O, 2, FALSE)</f>
        <v>Lower Price</v>
      </c>
      <c r="J1020" t="s">
        <v>759</v>
      </c>
      <c r="L1020" s="17" t="s">
        <v>732</v>
      </c>
      <c r="M1020" s="17" t="s">
        <v>9</v>
      </c>
      <c r="N1020" s="17" t="s">
        <v>741</v>
      </c>
    </row>
    <row r="1021" spans="1:14" x14ac:dyDescent="0.25">
      <c r="A1021" s="10">
        <v>983101</v>
      </c>
      <c r="B1021" s="22" t="str">
        <f>IFERROR(VLOOKUP(A1021,VLOOKUPS!$A$2:B$12589,2,FALSE),"")</f>
        <v>Melons Cantaloupes 1ct-LOOSE</v>
      </c>
      <c r="E1021">
        <v>2.4900000000000002</v>
      </c>
      <c r="F1021">
        <v>1.99</v>
      </c>
      <c r="G1021" s="13">
        <v>44397</v>
      </c>
      <c r="H1021" s="13">
        <v>44398</v>
      </c>
      <c r="I1021" s="22" t="str">
        <f>VLOOKUP(J1021, Dropdowns!N:O, 2, FALSE)</f>
        <v>Lower Price</v>
      </c>
      <c r="J1021" t="s">
        <v>759</v>
      </c>
      <c r="L1021" s="17" t="s">
        <v>734</v>
      </c>
      <c r="M1021" s="17" t="s">
        <v>9</v>
      </c>
      <c r="N1021" s="17">
        <v>8</v>
      </c>
    </row>
    <row r="1022" spans="1:14" x14ac:dyDescent="0.25">
      <c r="A1022" s="10">
        <v>983101</v>
      </c>
      <c r="B1022" s="22" t="str">
        <f>IFERROR(VLOOKUP(A1022,VLOOKUPS!$A$2:B$12589,2,FALSE),"")</f>
        <v>Melons Cantaloupes 1ct-LOOSE</v>
      </c>
      <c r="E1022">
        <v>1.38</v>
      </c>
      <c r="F1022">
        <v>1.98</v>
      </c>
      <c r="G1022" s="13">
        <v>44399</v>
      </c>
      <c r="H1022" s="13"/>
      <c r="I1022" s="22" t="str">
        <f>VLOOKUP(J1022, Dropdowns!N:O, 2, FALSE)</f>
        <v>Standard</v>
      </c>
      <c r="J1022" t="s">
        <v>760</v>
      </c>
      <c r="L1022" s="17" t="s">
        <v>732</v>
      </c>
      <c r="M1022" s="17" t="s">
        <v>9</v>
      </c>
      <c r="N1022" s="17" t="s">
        <v>741</v>
      </c>
    </row>
    <row r="1023" spans="1:14" x14ac:dyDescent="0.25">
      <c r="A1023" s="10">
        <v>983101</v>
      </c>
      <c r="B1023" s="22" t="str">
        <f>IFERROR(VLOOKUP(A1023,VLOOKUPS!$A$2:B$12589,2,FALSE),"")</f>
        <v>Melons Cantaloupes 1ct-LOOSE</v>
      </c>
      <c r="E1023">
        <v>1.99</v>
      </c>
      <c r="F1023">
        <v>2.4900000000000002</v>
      </c>
      <c r="G1023" s="13">
        <v>44399</v>
      </c>
      <c r="H1023" s="13"/>
      <c r="I1023" s="22" t="str">
        <f>VLOOKUP(J1023, Dropdowns!N:O, 2, FALSE)</f>
        <v>Standard</v>
      </c>
      <c r="J1023" t="s">
        <v>760</v>
      </c>
      <c r="L1023" s="17" t="s">
        <v>734</v>
      </c>
      <c r="M1023" s="17" t="s">
        <v>9</v>
      </c>
      <c r="N1023" s="17">
        <v>8</v>
      </c>
    </row>
    <row r="1024" spans="1:14" x14ac:dyDescent="0.25">
      <c r="A1024" s="10">
        <v>983201</v>
      </c>
      <c r="B1024" s="22" t="str">
        <f>IFERROR(VLOOKUP(A1024,VLOOKUPS!$A$2:B$12589,2,FALSE),"")</f>
        <v>Melons* Honeydew 1ct-LOOSE</v>
      </c>
      <c r="E1024">
        <v>3.58</v>
      </c>
      <c r="F1024">
        <v>2.78</v>
      </c>
      <c r="G1024" s="13">
        <v>44397</v>
      </c>
      <c r="H1024" s="13">
        <v>44398</v>
      </c>
      <c r="I1024" s="22" t="str">
        <f>VLOOKUP(J1024, Dropdowns!N:O, 2, FALSE)</f>
        <v>Lower Price</v>
      </c>
      <c r="J1024" t="s">
        <v>759</v>
      </c>
      <c r="L1024" s="17" t="s">
        <v>732</v>
      </c>
      <c r="M1024" s="17" t="s">
        <v>9</v>
      </c>
      <c r="N1024" s="17" t="s">
        <v>736</v>
      </c>
    </row>
    <row r="1025" spans="1:14" x14ac:dyDescent="0.25">
      <c r="A1025" s="10">
        <v>983201</v>
      </c>
      <c r="B1025" s="22" t="str">
        <f>IFERROR(VLOOKUP(A1025,VLOOKUPS!$A$2:B$12589,2,FALSE),"")</f>
        <v>Melons* Honeydew 1ct-LOOSE</v>
      </c>
      <c r="E1025">
        <v>2.78</v>
      </c>
      <c r="F1025">
        <v>3.58</v>
      </c>
      <c r="G1025" s="13">
        <v>44399</v>
      </c>
      <c r="H1025" s="13"/>
      <c r="I1025" s="22" t="str">
        <f>VLOOKUP(J1025, Dropdowns!N:O, 2, FALSE)</f>
        <v>Standard</v>
      </c>
      <c r="J1025" t="s">
        <v>760</v>
      </c>
      <c r="L1025" s="17" t="s">
        <v>732</v>
      </c>
      <c r="M1025" s="17" t="s">
        <v>9</v>
      </c>
      <c r="N1025" s="17" t="s">
        <v>736</v>
      </c>
    </row>
    <row r="1026" spans="1:14" x14ac:dyDescent="0.25">
      <c r="A1026" s="10">
        <v>984621</v>
      </c>
      <c r="B1026" s="22" t="str">
        <f>IFERROR(VLOOKUP(A1026,VLOOKUPS!$A$2:B$12589,2,FALSE),"")</f>
        <v>Raspberries 12oz-standard</v>
      </c>
      <c r="E1026">
        <v>4.9400000000000004</v>
      </c>
      <c r="F1026">
        <v>3.04</v>
      </c>
      <c r="G1026" s="13">
        <v>44397</v>
      </c>
      <c r="H1026" s="13">
        <v>44398</v>
      </c>
      <c r="I1026" s="22" t="str">
        <f>VLOOKUP(J1026, Dropdowns!N:O, 2, FALSE)</f>
        <v>Lower Price</v>
      </c>
      <c r="J1026" t="s">
        <v>759</v>
      </c>
      <c r="L1026" s="17" t="s">
        <v>732</v>
      </c>
      <c r="M1026" s="17" t="s">
        <v>736</v>
      </c>
      <c r="N1026" s="17" t="s">
        <v>736</v>
      </c>
    </row>
    <row r="1027" spans="1:14" x14ac:dyDescent="0.25">
      <c r="A1027" s="10">
        <v>984621</v>
      </c>
      <c r="B1027" s="22" t="str">
        <f>IFERROR(VLOOKUP(A1027,VLOOKUPS!$A$2:B$12589,2,FALSE),"")</f>
        <v>Raspberries 12oz-standard</v>
      </c>
      <c r="E1027">
        <v>3.04</v>
      </c>
      <c r="F1027">
        <v>4.9400000000000004</v>
      </c>
      <c r="G1027" s="13">
        <v>44399</v>
      </c>
      <c r="H1027" s="13"/>
      <c r="I1027" s="22" t="str">
        <f>VLOOKUP(J1027, Dropdowns!N:O, 2, FALSE)</f>
        <v>Standard</v>
      </c>
      <c r="J1027" t="s">
        <v>760</v>
      </c>
      <c r="L1027" s="17" t="s">
        <v>732</v>
      </c>
      <c r="M1027" s="17" t="s">
        <v>736</v>
      </c>
      <c r="N1027" s="17" t="s">
        <v>736</v>
      </c>
    </row>
    <row r="1028" spans="1:14" x14ac:dyDescent="0.25">
      <c r="A1028" s="10">
        <v>985060</v>
      </c>
      <c r="B1028" s="22" t="str">
        <f>IFERROR(VLOOKUP(A1028,VLOOKUPS!$A$2:B$12589,2,FALSE),"")</f>
        <v>Lettuce* Iceberg 1ct-standard</v>
      </c>
      <c r="E1028">
        <v>1.39</v>
      </c>
      <c r="F1028">
        <v>0.79</v>
      </c>
      <c r="G1028" s="13">
        <v>44397</v>
      </c>
      <c r="H1028" s="13">
        <v>44399</v>
      </c>
      <c r="I1028" s="22" t="str">
        <f>VLOOKUP(J1028, Dropdowns!N:O, 2, FALSE)</f>
        <v>Lower Price</v>
      </c>
      <c r="J1028" t="s">
        <v>759</v>
      </c>
      <c r="L1028" s="17" t="s">
        <v>732</v>
      </c>
      <c r="M1028" s="17" t="s">
        <v>736</v>
      </c>
      <c r="N1028" s="17" t="s">
        <v>736</v>
      </c>
    </row>
    <row r="1029" spans="1:14" x14ac:dyDescent="0.25">
      <c r="A1029" s="10">
        <v>985060</v>
      </c>
      <c r="B1029" s="22" t="str">
        <f>IFERROR(VLOOKUP(A1029,VLOOKUPS!$A$2:B$12589,2,FALSE),"")</f>
        <v>Lettuce* Iceberg 1ct-standard</v>
      </c>
      <c r="E1029">
        <v>0.79</v>
      </c>
      <c r="F1029">
        <v>1.39</v>
      </c>
      <c r="G1029" s="13">
        <v>44400</v>
      </c>
      <c r="H1029" s="13"/>
      <c r="I1029" s="22" t="str">
        <f>VLOOKUP(J1029, Dropdowns!N:O, 2, FALSE)</f>
        <v>Standard</v>
      </c>
      <c r="J1029" t="s">
        <v>760</v>
      </c>
      <c r="L1029" s="17" t="s">
        <v>732</v>
      </c>
      <c r="M1029" s="17" t="s">
        <v>736</v>
      </c>
      <c r="N1029" s="17" t="s">
        <v>736</v>
      </c>
    </row>
    <row r="1030" spans="1:14" x14ac:dyDescent="0.25">
      <c r="A1030" s="10">
        <v>995074</v>
      </c>
      <c r="B1030" s="22" t="str">
        <f>IFERROR(VLOOKUP(A1030,VLOOKUPS!$A$2:B$12589,2,FALSE),"")</f>
        <v>Southwest Chopped Salad Kit 12oz-standard</v>
      </c>
      <c r="E1030">
        <v>3.29</v>
      </c>
      <c r="F1030">
        <v>2.29</v>
      </c>
      <c r="G1030" s="13">
        <v>44397</v>
      </c>
      <c r="H1030" s="13">
        <v>44399</v>
      </c>
      <c r="I1030" s="22" t="str">
        <f>VLOOKUP(J1030, Dropdowns!N:O, 2, FALSE)</f>
        <v>Lower Price</v>
      </c>
      <c r="J1030" t="s">
        <v>759</v>
      </c>
      <c r="L1030" s="17" t="s">
        <v>732</v>
      </c>
      <c r="M1030" s="17" t="s">
        <v>735</v>
      </c>
      <c r="N1030" s="17" t="s">
        <v>736</v>
      </c>
    </row>
    <row r="1031" spans="1:14" x14ac:dyDescent="0.25">
      <c r="A1031" s="10">
        <v>995074</v>
      </c>
      <c r="B1031" s="22" t="str">
        <f>IFERROR(VLOOKUP(A1031,VLOOKUPS!$A$2:B$12589,2,FALSE),"")</f>
        <v>Southwest Chopped Salad Kit 12oz-standard</v>
      </c>
      <c r="E1031">
        <v>2.29</v>
      </c>
      <c r="F1031">
        <v>3.29</v>
      </c>
      <c r="G1031" s="13">
        <v>44400</v>
      </c>
      <c r="H1031" s="13"/>
      <c r="I1031" s="22" t="str">
        <f>VLOOKUP(J1031, Dropdowns!N:O, 2, FALSE)</f>
        <v>Standard</v>
      </c>
      <c r="J1031" t="s">
        <v>760</v>
      </c>
      <c r="L1031" s="17" t="s">
        <v>732</v>
      </c>
      <c r="M1031" s="17" t="s">
        <v>735</v>
      </c>
      <c r="N1031" s="17" t="s">
        <v>736</v>
      </c>
    </row>
    <row r="1032" spans="1:14" x14ac:dyDescent="0.25">
      <c r="A1032" s="10">
        <v>995097</v>
      </c>
      <c r="B1032" s="22" t="str">
        <f>IFERROR(VLOOKUP(A1032,VLOOKUPS!$A$2:B$12589,2,FALSE),"")</f>
        <v>Butternut Diced 12oz-standard</v>
      </c>
      <c r="E1032">
        <v>2.4900000000000002</v>
      </c>
      <c r="F1032">
        <v>1.49</v>
      </c>
      <c r="G1032" s="13">
        <v>44397</v>
      </c>
      <c r="H1032" s="13">
        <v>44398</v>
      </c>
      <c r="I1032" s="22" t="str">
        <f>VLOOKUP(J1032, Dropdowns!N:O, 2, FALSE)</f>
        <v>Lower Price</v>
      </c>
      <c r="J1032" t="s">
        <v>759</v>
      </c>
      <c r="L1032" s="17" t="s">
        <v>733</v>
      </c>
      <c r="M1032" s="17" t="s">
        <v>11</v>
      </c>
      <c r="N1032" s="17" t="s">
        <v>740</v>
      </c>
    </row>
    <row r="1033" spans="1:14" x14ac:dyDescent="0.25">
      <c r="A1033" s="10">
        <v>995097</v>
      </c>
      <c r="B1033" s="22" t="str">
        <f>IFERROR(VLOOKUP(A1033,VLOOKUPS!$A$2:B$12589,2,FALSE),"")</f>
        <v>Butternut Diced 12oz-standard</v>
      </c>
      <c r="E1033">
        <v>1.49</v>
      </c>
      <c r="F1033">
        <v>2.4900000000000002</v>
      </c>
      <c r="G1033" s="13">
        <v>44399</v>
      </c>
      <c r="H1033" s="13"/>
      <c r="I1033" s="22" t="str">
        <f>VLOOKUP(J1033, Dropdowns!N:O, 2, FALSE)</f>
        <v>Standard</v>
      </c>
      <c r="J1033" t="s">
        <v>760</v>
      </c>
      <c r="L1033" s="17" t="s">
        <v>733</v>
      </c>
      <c r="M1033" s="17" t="s">
        <v>11</v>
      </c>
      <c r="N1033" s="17" t="s">
        <v>740</v>
      </c>
    </row>
    <row r="1034" spans="1:14" x14ac:dyDescent="0.25">
      <c r="A1034" s="10">
        <v>995115</v>
      </c>
      <c r="B1034" s="22" t="str">
        <f>IFERROR(VLOOKUP(A1034,VLOOKUPS!$A$2:B$12589,2,FALSE),"")</f>
        <v>Pineapple Chunks 10oz-standard</v>
      </c>
      <c r="E1034">
        <v>2.39</v>
      </c>
      <c r="F1034">
        <v>1.0900000000000001</v>
      </c>
      <c r="G1034" s="13">
        <v>44397</v>
      </c>
      <c r="H1034" s="13">
        <v>44397</v>
      </c>
      <c r="I1034" s="22" t="str">
        <f>VLOOKUP(J1034, Dropdowns!N:O, 2, FALSE)</f>
        <v>Lower Price</v>
      </c>
      <c r="J1034" t="s">
        <v>759</v>
      </c>
      <c r="L1034" s="17" t="s">
        <v>732</v>
      </c>
      <c r="M1034" s="17" t="s">
        <v>738</v>
      </c>
      <c r="N1034" s="17">
        <v>2</v>
      </c>
    </row>
    <row r="1035" spans="1:14" x14ac:dyDescent="0.25">
      <c r="A1035" s="10">
        <v>995115</v>
      </c>
      <c r="B1035" s="22" t="str">
        <f>IFERROR(VLOOKUP(A1035,VLOOKUPS!$A$2:B$12589,2,FALSE),"")</f>
        <v>Pineapple Chunks 10oz-standard</v>
      </c>
      <c r="E1035">
        <v>1.0900000000000001</v>
      </c>
      <c r="F1035">
        <v>2.39</v>
      </c>
      <c r="G1035" s="13">
        <v>44398</v>
      </c>
      <c r="H1035" s="13"/>
      <c r="I1035" s="22" t="str">
        <f>VLOOKUP(J1035, Dropdowns!N:O, 2, FALSE)</f>
        <v>Standard</v>
      </c>
      <c r="J1035" t="s">
        <v>760</v>
      </c>
      <c r="L1035" s="17" t="s">
        <v>732</v>
      </c>
      <c r="M1035" s="17" t="s">
        <v>738</v>
      </c>
      <c r="N1035" s="17">
        <v>2</v>
      </c>
    </row>
    <row r="1036" spans="1:14" x14ac:dyDescent="0.25">
      <c r="A1036" s="10">
        <v>995132</v>
      </c>
      <c r="B1036" s="22" t="str">
        <f>IFERROR(VLOOKUP(A1036,VLOOKUPS!$A$2:B$12589,2,FALSE),"")</f>
        <v>Fruit Mixed 10oz-standard</v>
      </c>
      <c r="G1036" s="13">
        <v>44397</v>
      </c>
      <c r="H1036" s="13"/>
      <c r="I1036" s="22" t="str">
        <f>VLOOKUP(J1036, Dropdowns!N:O, 2, FALSE)</f>
        <v>NA</v>
      </c>
      <c r="J1036" t="s">
        <v>754</v>
      </c>
      <c r="L1036" s="17" t="s">
        <v>732</v>
      </c>
      <c r="M1036" s="17" t="s">
        <v>736</v>
      </c>
      <c r="N1036" s="17" t="s">
        <v>736</v>
      </c>
    </row>
    <row r="1037" spans="1:14" x14ac:dyDescent="0.25">
      <c r="A1037" s="10">
        <v>995144</v>
      </c>
      <c r="B1037" s="22" t="str">
        <f>IFERROR(VLOOKUP(A1037,VLOOKUPS!$A$2:B$12589,2,FALSE),"")</f>
        <v>Asparagus Spears 10oz-standard</v>
      </c>
      <c r="E1037">
        <v>3.98</v>
      </c>
      <c r="F1037">
        <v>3.28</v>
      </c>
      <c r="G1037" s="13">
        <v>44397</v>
      </c>
      <c r="H1037" s="13">
        <v>44398</v>
      </c>
      <c r="I1037" s="22" t="str">
        <f>VLOOKUP(J1037, Dropdowns!N:O, 2, FALSE)</f>
        <v>Lower Price</v>
      </c>
      <c r="J1037" t="s">
        <v>759</v>
      </c>
      <c r="L1037" s="17" t="s">
        <v>732</v>
      </c>
      <c r="M1037" s="17" t="s">
        <v>738</v>
      </c>
      <c r="N1037" s="17">
        <v>2</v>
      </c>
    </row>
    <row r="1038" spans="1:14" x14ac:dyDescent="0.25">
      <c r="A1038" s="10">
        <v>995144</v>
      </c>
      <c r="B1038" s="22" t="str">
        <f>IFERROR(VLOOKUP(A1038,VLOOKUPS!$A$2:B$12589,2,FALSE),"")</f>
        <v>Asparagus Spears 10oz-standard</v>
      </c>
      <c r="E1038">
        <v>3.28</v>
      </c>
      <c r="F1038">
        <v>3.98</v>
      </c>
      <c r="G1038" s="13">
        <v>44399</v>
      </c>
      <c r="H1038" s="13"/>
      <c r="I1038" s="22" t="str">
        <f>VLOOKUP(J1038, Dropdowns!N:O, 2, FALSE)</f>
        <v>Standard</v>
      </c>
      <c r="J1038" t="s">
        <v>760</v>
      </c>
      <c r="L1038" s="17" t="s">
        <v>732</v>
      </c>
      <c r="M1038" s="17" t="s">
        <v>738</v>
      </c>
      <c r="N1038" s="17">
        <v>2</v>
      </c>
    </row>
    <row r="1039" spans="1:14" x14ac:dyDescent="0.25">
      <c r="A1039" s="10">
        <v>984542</v>
      </c>
      <c r="B1039" s="22" t="str">
        <f>IFERROR(VLOOKUP(A1039,VLOOKUPS!$A$2:B$12589,2,FALSE),"")</f>
        <v>Blueberries 18oz-standard</v>
      </c>
      <c r="E1039">
        <v>4.29</v>
      </c>
      <c r="F1039">
        <v>4.1900000000000004</v>
      </c>
      <c r="G1039" s="13">
        <v>44397</v>
      </c>
      <c r="H1039" s="13"/>
      <c r="I1039" s="22" t="str">
        <f>VLOOKUP(J1039, Dropdowns!N:O, 2, FALSE)</f>
        <v>Standard</v>
      </c>
      <c r="J1039" t="s">
        <v>761</v>
      </c>
      <c r="L1039" s="17" t="s">
        <v>732</v>
      </c>
      <c r="M1039" s="17" t="s">
        <v>736</v>
      </c>
      <c r="N1039" s="17" t="s">
        <v>736</v>
      </c>
    </row>
    <row r="1040" spans="1:14" x14ac:dyDescent="0.25">
      <c r="A1040" s="10">
        <v>983251</v>
      </c>
      <c r="B1040" s="22" t="str">
        <f>IFERROR(VLOOKUP(A1040,VLOOKUPS!$A$2:B$12589,2,FALSE),"")</f>
        <v>Watermelons Large Seedless 1ct-LOOSE</v>
      </c>
      <c r="E1040">
        <v>4.8899999999999997</v>
      </c>
      <c r="F1040">
        <v>3.89</v>
      </c>
      <c r="G1040" s="13">
        <v>44398</v>
      </c>
      <c r="H1040" s="13">
        <v>44398</v>
      </c>
      <c r="I1040" s="22" t="str">
        <f>VLOOKUP(J1040, Dropdowns!N:O, 2, FALSE)</f>
        <v>Lower Price</v>
      </c>
      <c r="J1040" t="s">
        <v>759</v>
      </c>
      <c r="L1040" s="17" t="s">
        <v>733</v>
      </c>
      <c r="M1040" s="17" t="s">
        <v>11</v>
      </c>
      <c r="N1040" s="17" t="s">
        <v>740</v>
      </c>
    </row>
    <row r="1041" spans="1:14" x14ac:dyDescent="0.25">
      <c r="A1041" s="10">
        <v>983251</v>
      </c>
      <c r="B1041" s="22" t="str">
        <f>IFERROR(VLOOKUP(A1041,VLOOKUPS!$A$2:B$12589,2,FALSE),"")</f>
        <v>Watermelons Large Seedless 1ct-LOOSE</v>
      </c>
      <c r="E1041">
        <v>3.89</v>
      </c>
      <c r="F1041">
        <v>4.8899999999999997</v>
      </c>
      <c r="G1041" s="13">
        <v>44399</v>
      </c>
      <c r="H1041" s="13"/>
      <c r="I1041" s="22" t="str">
        <f>VLOOKUP(J1041, Dropdowns!N:O, 2, FALSE)</f>
        <v>Standard</v>
      </c>
      <c r="J1041" t="s">
        <v>760</v>
      </c>
      <c r="L1041" s="17" t="s">
        <v>733</v>
      </c>
      <c r="M1041" s="17" t="s">
        <v>11</v>
      </c>
      <c r="N1041" s="17" t="s">
        <v>740</v>
      </c>
    </row>
    <row r="1042" spans="1:14" x14ac:dyDescent="0.25">
      <c r="A1042" s="10">
        <v>995021</v>
      </c>
      <c r="B1042" s="22" t="str">
        <f>IFERROR(VLOOKUP(A1042,VLOOKUPS!$A$2:B$12589,2,FALSE),"")</f>
        <v>Chopped Bacon Caesar Kit 10.2oz-standard</v>
      </c>
      <c r="E1042">
        <v>3.29</v>
      </c>
      <c r="F1042">
        <v>2.4900000000000002</v>
      </c>
      <c r="G1042" s="13">
        <v>44398</v>
      </c>
      <c r="H1042" s="13">
        <v>44399</v>
      </c>
      <c r="I1042" s="22" t="str">
        <f>VLOOKUP(J1042, Dropdowns!N:O, 2, FALSE)</f>
        <v>Lower Price</v>
      </c>
      <c r="J1042" t="s">
        <v>759</v>
      </c>
      <c r="L1042" s="17" t="s">
        <v>732</v>
      </c>
      <c r="M1042" s="17" t="s">
        <v>10</v>
      </c>
      <c r="N1042" s="17">
        <v>2</v>
      </c>
    </row>
    <row r="1043" spans="1:14" x14ac:dyDescent="0.25">
      <c r="A1043" s="10">
        <v>995021</v>
      </c>
      <c r="B1043" s="22" t="str">
        <f>IFERROR(VLOOKUP(A1043,VLOOKUPS!$A$2:B$12589,2,FALSE),"")</f>
        <v>Chopped Bacon Caesar Kit 10.2oz-standard</v>
      </c>
      <c r="E1043">
        <v>2.4900000000000002</v>
      </c>
      <c r="F1043">
        <v>3.29</v>
      </c>
      <c r="G1043" s="13">
        <v>44400</v>
      </c>
      <c r="H1043" s="13"/>
      <c r="I1043" s="22" t="str">
        <f>VLOOKUP(J1043, Dropdowns!N:O, 2, FALSE)</f>
        <v>Standard</v>
      </c>
      <c r="J1043" t="s">
        <v>760</v>
      </c>
      <c r="L1043" s="17" t="s">
        <v>732</v>
      </c>
      <c r="M1043" s="17" t="s">
        <v>10</v>
      </c>
      <c r="N1043" s="17">
        <v>2</v>
      </c>
    </row>
    <row r="1044" spans="1:14" x14ac:dyDescent="0.25">
      <c r="A1044" s="10">
        <v>995032</v>
      </c>
      <c r="B1044" s="22" t="str">
        <f>IFERROR(VLOOKUP(A1044,VLOOKUPS!$A$2:B$12589,2,FALSE),"")</f>
        <v>Chopped Sunflower Crunch Kit 12.2oz-standard</v>
      </c>
      <c r="E1044">
        <v>3.29</v>
      </c>
      <c r="F1044">
        <v>2.29</v>
      </c>
      <c r="G1044" s="13">
        <v>44398</v>
      </c>
      <c r="H1044" s="13">
        <v>44399</v>
      </c>
      <c r="I1044" s="22" t="str">
        <f>VLOOKUP(J1044, Dropdowns!N:O, 2, FALSE)</f>
        <v>Lower Price</v>
      </c>
      <c r="J1044" t="s">
        <v>759</v>
      </c>
      <c r="L1044" s="17" t="s">
        <v>733</v>
      </c>
      <c r="M1044" s="17" t="s">
        <v>11</v>
      </c>
      <c r="N1044" s="17" t="s">
        <v>740</v>
      </c>
    </row>
    <row r="1045" spans="1:14" x14ac:dyDescent="0.25">
      <c r="A1045" s="10">
        <v>995032</v>
      </c>
      <c r="B1045" s="22" t="str">
        <f>IFERROR(VLOOKUP(A1045,VLOOKUPS!$A$2:B$12589,2,FALSE),"")</f>
        <v>Chopped Sunflower Crunch Kit 12.2oz-standard</v>
      </c>
      <c r="E1045">
        <v>2.29</v>
      </c>
      <c r="F1045">
        <v>3.29</v>
      </c>
      <c r="G1045" s="13">
        <v>44400</v>
      </c>
      <c r="H1045" s="13"/>
      <c r="I1045" s="22" t="str">
        <f>VLOOKUP(J1045, Dropdowns!N:O, 2, FALSE)</f>
        <v>Standard</v>
      </c>
      <c r="J1045" t="s">
        <v>760</v>
      </c>
      <c r="L1045" s="17" t="s">
        <v>733</v>
      </c>
      <c r="M1045" s="17" t="s">
        <v>11</v>
      </c>
      <c r="N1045" s="17" t="s">
        <v>740</v>
      </c>
    </row>
    <row r="1046" spans="1:14" x14ac:dyDescent="0.25">
      <c r="A1046" s="10">
        <v>995119</v>
      </c>
      <c r="B1046" s="22" t="str">
        <f>IFERROR(VLOOKUP(A1046,VLOOKUPS!$A$2:B$12589,2,FALSE),"")</f>
        <v>RTE Green Goddess Salad 5.5oz-standard</v>
      </c>
      <c r="E1046">
        <v>2.89</v>
      </c>
      <c r="F1046">
        <v>1.89</v>
      </c>
      <c r="G1046" s="13">
        <v>44398</v>
      </c>
      <c r="H1046" s="13">
        <v>44399</v>
      </c>
      <c r="I1046" s="22" t="str">
        <f>VLOOKUP(J1046, Dropdowns!N:O, 2, FALSE)</f>
        <v>Lower Price</v>
      </c>
      <c r="J1046" t="s">
        <v>759</v>
      </c>
      <c r="L1046" s="17" t="s">
        <v>732</v>
      </c>
      <c r="M1046" s="17" t="s">
        <v>738</v>
      </c>
      <c r="N1046" s="17">
        <v>2</v>
      </c>
    </row>
    <row r="1047" spans="1:14" x14ac:dyDescent="0.25">
      <c r="A1047" s="10">
        <v>995119</v>
      </c>
      <c r="B1047" s="22" t="str">
        <f>IFERROR(VLOOKUP(A1047,VLOOKUPS!$A$2:B$12589,2,FALSE),"")</f>
        <v>RTE Green Goddess Salad 5.5oz-standard</v>
      </c>
      <c r="E1047">
        <v>1.89</v>
      </c>
      <c r="F1047">
        <v>2.89</v>
      </c>
      <c r="G1047" s="13">
        <v>44400</v>
      </c>
      <c r="H1047" s="13"/>
      <c r="I1047" s="22" t="str">
        <f>VLOOKUP(J1047, Dropdowns!N:O, 2, FALSE)</f>
        <v>Standard</v>
      </c>
      <c r="J1047" t="s">
        <v>760</v>
      </c>
      <c r="L1047" s="17" t="s">
        <v>732</v>
      </c>
      <c r="M1047" s="17" t="s">
        <v>738</v>
      </c>
      <c r="N1047" s="17">
        <v>2</v>
      </c>
    </row>
    <row r="1048" spans="1:14" x14ac:dyDescent="0.25">
      <c r="A1048" s="10">
        <v>985760</v>
      </c>
      <c r="B1048" s="22" t="str">
        <f>IFERROR(VLOOKUP(A1048,VLOOKUPS!$A$2:B$12589,2,FALSE),"")</f>
        <v>Asparagus 1lb-standard</v>
      </c>
      <c r="E1048">
        <v>1.89</v>
      </c>
      <c r="F1048">
        <v>2.99</v>
      </c>
      <c r="G1048" s="13">
        <v>44398</v>
      </c>
      <c r="H1048" s="13"/>
      <c r="I1048" s="22" t="str">
        <f>VLOOKUP(J1048, Dropdowns!N:O, 2, FALSE)</f>
        <v>Standard</v>
      </c>
      <c r="J1048" t="s">
        <v>760</v>
      </c>
      <c r="L1048" s="17" t="s">
        <v>732</v>
      </c>
      <c r="M1048" s="17" t="s">
        <v>735</v>
      </c>
      <c r="N1048" s="17" t="s">
        <v>736</v>
      </c>
    </row>
    <row r="1049" spans="1:14" x14ac:dyDescent="0.25">
      <c r="A1049" s="10">
        <v>985760</v>
      </c>
      <c r="B1049" s="22" t="str">
        <f>IFERROR(VLOOKUP(A1049,VLOOKUPS!$A$2:B$12589,2,FALSE),"")</f>
        <v>Asparagus 1lb-standard</v>
      </c>
      <c r="G1049" s="13">
        <v>44398</v>
      </c>
      <c r="H1049" s="13">
        <v>44399</v>
      </c>
      <c r="I1049" s="22" t="str">
        <f>VLOOKUP(J1049, Dropdowns!N:O, 2, FALSE)</f>
        <v>Lower Price</v>
      </c>
      <c r="J1049" t="s">
        <v>762</v>
      </c>
      <c r="L1049" s="17" t="s">
        <v>733</v>
      </c>
      <c r="M1049" s="17" t="s">
        <v>11</v>
      </c>
      <c r="N1049" s="17" t="s">
        <v>740</v>
      </c>
    </row>
    <row r="1050" spans="1:14" x14ac:dyDescent="0.25">
      <c r="A1050" s="10">
        <v>985111</v>
      </c>
      <c r="B1050" s="22" t="str">
        <f>IFERROR(VLOOKUP(A1050,VLOOKUPS!$A$2:B$12589,2,FALSE),"")</f>
        <v>Lettuce Mixed 1ct-standard</v>
      </c>
      <c r="E1050">
        <v>1.99</v>
      </c>
      <c r="F1050">
        <v>2.4900000000000002</v>
      </c>
      <c r="G1050" s="13">
        <v>44398</v>
      </c>
      <c r="H1050" s="13"/>
      <c r="I1050" s="22" t="str">
        <f>VLOOKUP(J1050, Dropdowns!N:O, 2, FALSE)</f>
        <v>Standard</v>
      </c>
      <c r="J1050" t="s">
        <v>760</v>
      </c>
      <c r="L1050" s="17" t="s">
        <v>732</v>
      </c>
      <c r="M1050" s="17" t="s">
        <v>736</v>
      </c>
      <c r="N1050" s="17" t="s">
        <v>736</v>
      </c>
    </row>
    <row r="1051" spans="1:14" x14ac:dyDescent="0.25">
      <c r="A1051" s="10">
        <v>995085</v>
      </c>
      <c r="B1051" s="22" t="str">
        <f>IFERROR(VLOOKUP(A1051,VLOOKUPS!$A$2:B$12589,2,FALSE),"")</f>
        <v>Sugar Snap Peas 8oz-standard</v>
      </c>
      <c r="E1051">
        <v>2.59</v>
      </c>
      <c r="F1051">
        <v>2.59</v>
      </c>
      <c r="G1051" s="13">
        <v>44398</v>
      </c>
      <c r="H1051" s="13"/>
      <c r="I1051" s="22" t="str">
        <f>VLOOKUP(J1051, Dropdowns!N:O, 2, FALSE)</f>
        <v>Standard</v>
      </c>
      <c r="J1051" t="s">
        <v>760</v>
      </c>
      <c r="L1051" s="17" t="s">
        <v>734</v>
      </c>
      <c r="M1051" s="17" t="s">
        <v>735</v>
      </c>
      <c r="N1051" s="17" t="s">
        <v>741</v>
      </c>
    </row>
    <row r="1052" spans="1:14" x14ac:dyDescent="0.25">
      <c r="A1052" s="10">
        <v>995085</v>
      </c>
      <c r="B1052" s="22" t="str">
        <f>IFERROR(VLOOKUP(A1052,VLOOKUPS!$A$2:B$12589,2,FALSE),"")</f>
        <v>Sugar Snap Peas 8oz-standard</v>
      </c>
      <c r="E1052">
        <v>2.39</v>
      </c>
      <c r="F1052">
        <v>2.39</v>
      </c>
      <c r="G1052" s="13">
        <v>44398</v>
      </c>
      <c r="H1052" s="13"/>
      <c r="I1052" s="22" t="str">
        <f>VLOOKUP(J1052, Dropdowns!N:O, 2, FALSE)</f>
        <v>Standard</v>
      </c>
      <c r="J1052" t="s">
        <v>760</v>
      </c>
      <c r="L1052" s="17" t="s">
        <v>732</v>
      </c>
      <c r="M1052" s="17" t="s">
        <v>736</v>
      </c>
      <c r="N1052" s="17">
        <v>8</v>
      </c>
    </row>
    <row r="1053" spans="1:14" x14ac:dyDescent="0.25">
      <c r="A1053" s="10">
        <v>995102</v>
      </c>
      <c r="B1053" s="22" t="str">
        <f>IFERROR(VLOOKUP(A1053,VLOOKUPS!$A$2:B$12589,2,FALSE),"")</f>
        <v>Cantaloupe Chunks 16oz-standard</v>
      </c>
      <c r="E1053">
        <v>1.8</v>
      </c>
      <c r="F1053">
        <v>3.3</v>
      </c>
      <c r="G1053" s="13">
        <v>44398</v>
      </c>
      <c r="H1053" s="13"/>
      <c r="I1053" s="22" t="str">
        <f>VLOOKUP(J1053, Dropdowns!N:O, 2, FALSE)</f>
        <v>Standard</v>
      </c>
      <c r="J1053" t="s">
        <v>760</v>
      </c>
      <c r="L1053" s="17" t="s">
        <v>732</v>
      </c>
      <c r="M1053" s="17" t="s">
        <v>10</v>
      </c>
      <c r="N1053" s="17">
        <v>2</v>
      </c>
    </row>
    <row r="1054" spans="1:14" x14ac:dyDescent="0.25">
      <c r="A1054" s="10">
        <v>995102</v>
      </c>
      <c r="B1054" s="22" t="str">
        <f>IFERROR(VLOOKUP(A1054,VLOOKUPS!$A$2:B$12589,2,FALSE),"")</f>
        <v>Cantaloupe Chunks 16oz-standard</v>
      </c>
      <c r="G1054" s="13">
        <v>44398</v>
      </c>
      <c r="H1054" s="13">
        <v>44399</v>
      </c>
      <c r="I1054" s="22" t="str">
        <f>VLOOKUP(J1054, Dropdowns!N:O, 2, FALSE)</f>
        <v>Lower Price</v>
      </c>
      <c r="J1054" t="s">
        <v>762</v>
      </c>
      <c r="L1054" s="17" t="s">
        <v>732</v>
      </c>
      <c r="M1054" s="17" t="s">
        <v>737</v>
      </c>
      <c r="N1054" s="17" t="s">
        <v>736</v>
      </c>
    </row>
    <row r="1055" spans="1:14" x14ac:dyDescent="0.25">
      <c r="A1055" s="10">
        <v>995103</v>
      </c>
      <c r="B1055" s="22" t="str">
        <f>IFERROR(VLOOKUP(A1055,VLOOKUPS!$A$2:B$12589,2,FALSE),"")</f>
        <v>Teriyaki Stir Fry Kit 12.5oz-standard</v>
      </c>
      <c r="E1055">
        <v>2.98</v>
      </c>
      <c r="F1055">
        <v>2.98</v>
      </c>
      <c r="G1055" s="13">
        <v>44398</v>
      </c>
      <c r="H1055" s="13"/>
      <c r="I1055" s="22" t="str">
        <f>VLOOKUP(J1055, Dropdowns!N:O, 2, FALSE)</f>
        <v>Standard</v>
      </c>
      <c r="J1055" t="s">
        <v>760</v>
      </c>
      <c r="L1055" s="17" t="s">
        <v>732</v>
      </c>
      <c r="M1055" s="17" t="s">
        <v>736</v>
      </c>
      <c r="N1055" s="17" t="s">
        <v>736</v>
      </c>
    </row>
    <row r="1056" spans="1:14" x14ac:dyDescent="0.25">
      <c r="A1056" s="10">
        <v>995100</v>
      </c>
      <c r="B1056" s="22" t="str">
        <f>IFERROR(VLOOKUP(A1056,VLOOKUPS!$A$2:B$12589,2,FALSE),"")</f>
        <v>Asian Chopped Salad Kit 12oz-standard</v>
      </c>
      <c r="G1056" s="13">
        <v>44398</v>
      </c>
      <c r="H1056" s="13"/>
      <c r="I1056" s="22" t="str">
        <f>VLOOKUP(J1056, Dropdowns!N:O, 2, FALSE)</f>
        <v>Standard</v>
      </c>
      <c r="J1056" t="s">
        <v>760</v>
      </c>
      <c r="L1056" s="17" t="s">
        <v>732</v>
      </c>
      <c r="M1056" s="17" t="s">
        <v>736</v>
      </c>
      <c r="N1056" s="17" t="s">
        <v>736</v>
      </c>
    </row>
    <row r="1057" spans="1:14" x14ac:dyDescent="0.25">
      <c r="A1057" s="10">
        <v>995100</v>
      </c>
      <c r="B1057" s="22" t="str">
        <f>IFERROR(VLOOKUP(A1057,VLOOKUPS!$A$2:B$12589,2,FALSE),"")</f>
        <v>Asian Chopped Salad Kit 12oz-standard</v>
      </c>
      <c r="E1057">
        <v>2.99</v>
      </c>
      <c r="F1057">
        <v>3.29</v>
      </c>
      <c r="G1057" s="13">
        <v>44399</v>
      </c>
      <c r="H1057" s="13"/>
      <c r="I1057" s="22" t="str">
        <f>VLOOKUP(J1057, Dropdowns!N:O, 2, FALSE)</f>
        <v>Standard</v>
      </c>
      <c r="J1057" t="s">
        <v>761</v>
      </c>
      <c r="L1057" s="17" t="s">
        <v>732</v>
      </c>
      <c r="M1057" s="17" t="s">
        <v>736</v>
      </c>
      <c r="N1057" s="17" t="s">
        <v>736</v>
      </c>
    </row>
    <row r="1058" spans="1:14" x14ac:dyDescent="0.25">
      <c r="A1058" s="10">
        <v>984542</v>
      </c>
      <c r="B1058" s="22" t="str">
        <f>IFERROR(VLOOKUP(A1058,VLOOKUPS!$A$2:B$12589,2,FALSE),"")</f>
        <v>Blueberries 18oz-standard</v>
      </c>
      <c r="G1058" s="13">
        <v>44398</v>
      </c>
      <c r="H1058" s="13">
        <v>44404</v>
      </c>
      <c r="I1058" s="22" t="str">
        <f>VLOOKUP(J1058, Dropdowns!N:O, 2, FALSE)</f>
        <v>Lower Price</v>
      </c>
      <c r="J1058" t="s">
        <v>753</v>
      </c>
      <c r="L1058" s="17" t="s">
        <v>732</v>
      </c>
      <c r="M1058" s="17" t="s">
        <v>736</v>
      </c>
      <c r="N1058" s="17" t="s">
        <v>736</v>
      </c>
    </row>
    <row r="1059" spans="1:14" x14ac:dyDescent="0.25">
      <c r="A1059" s="10">
        <v>986250</v>
      </c>
      <c r="B1059" s="22" t="str">
        <f>IFERROR(VLOOKUP(A1059,VLOOKUPS!$A$2:B$12589,2,FALSE),"")</f>
        <v>French Beans 1lb-standard</v>
      </c>
      <c r="G1059" s="13">
        <v>44398</v>
      </c>
      <c r="H1059" s="13">
        <v>44404</v>
      </c>
      <c r="I1059" s="22" t="str">
        <f>VLOOKUP(J1059, Dropdowns!N:O, 2, FALSE)</f>
        <v>Lower Price</v>
      </c>
      <c r="J1059" t="s">
        <v>753</v>
      </c>
      <c r="L1059" s="17" t="s">
        <v>732</v>
      </c>
      <c r="M1059" s="17" t="s">
        <v>736</v>
      </c>
      <c r="N1059" s="17" t="s">
        <v>736</v>
      </c>
    </row>
    <row r="1060" spans="1:14" x14ac:dyDescent="0.25">
      <c r="A1060" s="10">
        <v>995041</v>
      </c>
      <c r="B1060" s="22" t="str">
        <f>IFERROR(VLOOKUP(A1060,VLOOKUPS!$A$2:B$12589,2,FALSE),"")</f>
        <v>Pineapple Spears 16oz-standard</v>
      </c>
      <c r="G1060" s="13">
        <v>44398</v>
      </c>
      <c r="H1060" s="13">
        <v>44404</v>
      </c>
      <c r="I1060" s="22" t="str">
        <f>VLOOKUP(J1060, Dropdowns!N:O, 2, FALSE)</f>
        <v>Lower Price</v>
      </c>
      <c r="J1060" t="s">
        <v>753</v>
      </c>
      <c r="L1060" s="17" t="s">
        <v>732</v>
      </c>
      <c r="M1060" s="17" t="s">
        <v>736</v>
      </c>
      <c r="N1060" s="17" t="s">
        <v>736</v>
      </c>
    </row>
    <row r="1061" spans="1:14" x14ac:dyDescent="0.25">
      <c r="A1061" s="10">
        <v>995042</v>
      </c>
      <c r="B1061" s="22" t="str">
        <f>IFERROR(VLOOKUP(A1061,VLOOKUPS!$A$2:B$12589,2,FALSE),"")</f>
        <v>Mango Chunks 16oz-standard</v>
      </c>
      <c r="G1061" s="13">
        <v>44398</v>
      </c>
      <c r="H1061" s="13">
        <v>44404</v>
      </c>
      <c r="I1061" s="22" t="str">
        <f>VLOOKUP(J1061, Dropdowns!N:O, 2, FALSE)</f>
        <v>Lower Price</v>
      </c>
      <c r="J1061" t="s">
        <v>753</v>
      </c>
      <c r="L1061" s="17" t="s">
        <v>732</v>
      </c>
      <c r="M1061" s="17" t="s">
        <v>736</v>
      </c>
      <c r="N1061" s="17" t="s">
        <v>736</v>
      </c>
    </row>
    <row r="1062" spans="1:14" x14ac:dyDescent="0.25">
      <c r="A1062" s="10">
        <v>995084</v>
      </c>
      <c r="B1062" s="22" t="str">
        <f>IFERROR(VLOOKUP(A1062,VLOOKUPS!$A$2:B$12589,2,FALSE),"")</f>
        <v>Eat Smart Green Beans 12oz-standard</v>
      </c>
      <c r="G1062" s="13">
        <v>44398</v>
      </c>
      <c r="H1062" s="13">
        <v>44404</v>
      </c>
      <c r="I1062" s="22" t="str">
        <f>VLOOKUP(J1062, Dropdowns!N:O, 2, FALSE)</f>
        <v>Lower Price</v>
      </c>
      <c r="J1062" t="s">
        <v>753</v>
      </c>
      <c r="L1062" s="17" t="s">
        <v>732</v>
      </c>
      <c r="M1062" s="17" t="s">
        <v>736</v>
      </c>
      <c r="N1062" s="17" t="s">
        <v>736</v>
      </c>
    </row>
    <row r="1063" spans="1:14" x14ac:dyDescent="0.25">
      <c r="A1063" s="10">
        <v>995010</v>
      </c>
      <c r="B1063" s="22" t="str">
        <f>IFERROR(VLOOKUP(A1063,VLOOKUPS!$A$2:B$12589,2,FALSE),"")</f>
        <v>RTE Turkey Bacon Cobb Salad 7.25oz-standard</v>
      </c>
      <c r="G1063" s="13">
        <v>44398</v>
      </c>
      <c r="H1063" s="13">
        <v>44404</v>
      </c>
      <c r="I1063" s="22" t="str">
        <f>VLOOKUP(J1063, Dropdowns!N:O, 2, FALSE)</f>
        <v>Lower Price</v>
      </c>
      <c r="J1063" t="s">
        <v>753</v>
      </c>
      <c r="L1063" s="17" t="s">
        <v>732</v>
      </c>
      <c r="M1063" s="17" t="s">
        <v>736</v>
      </c>
      <c r="N1063" s="17" t="s">
        <v>736</v>
      </c>
    </row>
    <row r="1064" spans="1:14" x14ac:dyDescent="0.25">
      <c r="A1064" s="10">
        <v>995015</v>
      </c>
      <c r="B1064" s="22" t="str">
        <f>IFERROR(VLOOKUP(A1064,VLOOKUPS!$A$2:B$12589,2,FALSE),"")</f>
        <v>Savory Spinach Dijon Salad 4.9oz-standard</v>
      </c>
      <c r="G1064" s="13">
        <v>44398</v>
      </c>
      <c r="H1064" s="13">
        <v>44404</v>
      </c>
      <c r="I1064" s="22" t="str">
        <f>VLOOKUP(J1064, Dropdowns!N:O, 2, FALSE)</f>
        <v>Lower Price</v>
      </c>
      <c r="J1064" t="s">
        <v>753</v>
      </c>
      <c r="L1064" s="17" t="s">
        <v>732</v>
      </c>
      <c r="M1064" s="17" t="s">
        <v>736</v>
      </c>
      <c r="N1064" s="17" t="s">
        <v>736</v>
      </c>
    </row>
    <row r="1065" spans="1:14" x14ac:dyDescent="0.25">
      <c r="A1065" s="10">
        <v>985011</v>
      </c>
      <c r="B1065" s="22" t="str">
        <f>IFERROR(VLOOKUP(A1065,VLOOKUPS!$A$2:B$12589,2,FALSE),"")</f>
        <v>Lettuce Butter 1ct-standard</v>
      </c>
      <c r="E1065">
        <v>2.29</v>
      </c>
      <c r="F1065">
        <v>2.4900000000000002</v>
      </c>
      <c r="G1065" s="13">
        <v>44399</v>
      </c>
      <c r="H1065" s="13"/>
      <c r="I1065" s="22" t="str">
        <f>VLOOKUP(J1065, Dropdowns!N:O, 2, FALSE)</f>
        <v>Standard</v>
      </c>
      <c r="J1065" t="s">
        <v>761</v>
      </c>
      <c r="L1065" s="17" t="s">
        <v>732</v>
      </c>
      <c r="M1065" s="17" t="s">
        <v>736</v>
      </c>
      <c r="N1065" s="17" t="s">
        <v>736</v>
      </c>
    </row>
    <row r="1066" spans="1:14" x14ac:dyDescent="0.25">
      <c r="A1066" s="10">
        <v>984621</v>
      </c>
      <c r="B1066" s="22" t="str">
        <f>IFERROR(VLOOKUP(A1066,VLOOKUPS!$A$2:B$12589,2,FALSE),"")</f>
        <v>Raspberries 12oz-standard</v>
      </c>
      <c r="G1066" s="13">
        <v>44400</v>
      </c>
      <c r="H1066" s="13"/>
      <c r="I1066" s="22" t="str">
        <f>VLOOKUP(J1066, Dropdowns!N:O, 2, FALSE)</f>
        <v>NA</v>
      </c>
      <c r="J1066" t="s">
        <v>754</v>
      </c>
      <c r="L1066" s="17" t="s">
        <v>732</v>
      </c>
      <c r="M1066" s="17" t="s">
        <v>736</v>
      </c>
      <c r="N1066" s="17" t="s">
        <v>736</v>
      </c>
    </row>
    <row r="1067" spans="1:14" x14ac:dyDescent="0.25">
      <c r="A1067" s="10">
        <v>985111</v>
      </c>
      <c r="B1067" s="22" t="str">
        <f>IFERROR(VLOOKUP(A1067,VLOOKUPS!$A$2:B$12589,2,FALSE),"")</f>
        <v>Lettuce Mixed 1ct-standard</v>
      </c>
      <c r="E1067">
        <v>2.4900000000000002</v>
      </c>
      <c r="F1067">
        <v>1.79</v>
      </c>
      <c r="G1067" s="13">
        <v>44399</v>
      </c>
      <c r="H1067" s="13">
        <v>44400</v>
      </c>
      <c r="I1067" s="22" t="str">
        <f>VLOOKUP(J1067, Dropdowns!N:O, 2, FALSE)</f>
        <v>Lower Price</v>
      </c>
      <c r="J1067" t="s">
        <v>759</v>
      </c>
      <c r="L1067" s="17" t="s">
        <v>732</v>
      </c>
      <c r="M1067" s="17" t="s">
        <v>737</v>
      </c>
      <c r="N1067" s="17" t="s">
        <v>736</v>
      </c>
    </row>
    <row r="1068" spans="1:14" x14ac:dyDescent="0.25">
      <c r="A1068" s="10">
        <v>985111</v>
      </c>
      <c r="B1068" s="22" t="str">
        <f>IFERROR(VLOOKUP(A1068,VLOOKUPS!$A$2:B$12589,2,FALSE),"")</f>
        <v>Lettuce Mixed 1ct-standard</v>
      </c>
      <c r="G1068" s="13">
        <v>44401</v>
      </c>
      <c r="H1068" s="13"/>
      <c r="I1068" s="22" t="str">
        <f>VLOOKUP(J1068, Dropdowns!N:O, 2, FALSE)</f>
        <v>Standard</v>
      </c>
      <c r="J1068" t="s">
        <v>760</v>
      </c>
      <c r="L1068" s="17" t="s">
        <v>732</v>
      </c>
      <c r="M1068" s="17" t="s">
        <v>737</v>
      </c>
      <c r="N1068" s="17" t="s">
        <v>736</v>
      </c>
    </row>
    <row r="1069" spans="1:14" x14ac:dyDescent="0.25">
      <c r="A1069" s="10">
        <v>995027</v>
      </c>
      <c r="B1069" s="22" t="str">
        <f>IFERROR(VLOOKUP(A1069,VLOOKUPS!$A$2:B$12589,2,FALSE),"")</f>
        <v>XL Baby Spinach 16oz-standard</v>
      </c>
      <c r="E1069">
        <v>4.1900000000000004</v>
      </c>
      <c r="F1069">
        <v>3.19</v>
      </c>
      <c r="G1069" s="13">
        <v>44399</v>
      </c>
      <c r="H1069" s="13">
        <v>44400</v>
      </c>
      <c r="I1069" s="22" t="str">
        <f>VLOOKUP(J1069, Dropdowns!N:O, 2, FALSE)</f>
        <v>Lower Price</v>
      </c>
      <c r="J1069" t="s">
        <v>759</v>
      </c>
      <c r="L1069" s="17" t="s">
        <v>732</v>
      </c>
      <c r="M1069" s="17" t="s">
        <v>9</v>
      </c>
      <c r="N1069" s="17" t="s">
        <v>736</v>
      </c>
    </row>
    <row r="1070" spans="1:14" x14ac:dyDescent="0.25">
      <c r="A1070" s="10">
        <v>995027</v>
      </c>
      <c r="B1070" s="22" t="str">
        <f>IFERROR(VLOOKUP(A1070,VLOOKUPS!$A$2:B$12589,2,FALSE),"")</f>
        <v>XL Baby Spinach 16oz-standard</v>
      </c>
      <c r="E1070">
        <v>3.19</v>
      </c>
      <c r="F1070">
        <v>4.1900000000000004</v>
      </c>
      <c r="G1070" s="13">
        <v>44401</v>
      </c>
      <c r="H1070" s="13"/>
      <c r="I1070" s="22" t="str">
        <f>VLOOKUP(J1070, Dropdowns!N:O, 2, FALSE)</f>
        <v>Standard</v>
      </c>
      <c r="J1070" t="s">
        <v>760</v>
      </c>
      <c r="L1070" s="17" t="s">
        <v>732</v>
      </c>
      <c r="M1070" s="17" t="s">
        <v>9</v>
      </c>
      <c r="N1070" s="17" t="s">
        <v>736</v>
      </c>
    </row>
    <row r="1071" spans="1:14" x14ac:dyDescent="0.25">
      <c r="A1071" s="10">
        <v>995124</v>
      </c>
      <c r="B1071" s="22" t="str">
        <f>IFERROR(VLOOKUP(A1071,VLOOKUPS!$A$2:B$12589,2,FALSE),"")</f>
        <v>Sweet Potato Crinkle Fry 10oz-standard</v>
      </c>
      <c r="D1071">
        <v>6</v>
      </c>
      <c r="F1071">
        <v>2.4900000000000002</v>
      </c>
      <c r="G1071" s="13">
        <v>44400</v>
      </c>
      <c r="H1071" s="13"/>
      <c r="I1071" s="22" t="str">
        <f>VLOOKUP(J1071, Dropdowns!N:O, 2, FALSE)</f>
        <v>New</v>
      </c>
      <c r="J1071" t="s">
        <v>776</v>
      </c>
      <c r="L1071" s="17" t="s">
        <v>732</v>
      </c>
      <c r="M1071" s="17" t="s">
        <v>736</v>
      </c>
      <c r="N1071" s="17" t="s">
        <v>736</v>
      </c>
    </row>
    <row r="1072" spans="1:14" x14ac:dyDescent="0.25">
      <c r="A1072" s="10">
        <v>995139</v>
      </c>
      <c r="B1072" s="22" t="str">
        <f>IFERROR(VLOOKUP(A1072,VLOOKUPS!$A$2:B$12589,2,FALSE),"")</f>
        <v>Petite Carrots 14oz-standard</v>
      </c>
      <c r="D1072">
        <v>4</v>
      </c>
      <c r="F1072">
        <v>2.99</v>
      </c>
      <c r="G1072" s="13">
        <v>44400</v>
      </c>
      <c r="H1072" s="13"/>
      <c r="I1072" s="22" t="str">
        <f>VLOOKUP(J1072, Dropdowns!N:O, 2, FALSE)</f>
        <v>New</v>
      </c>
      <c r="J1072" t="s">
        <v>776</v>
      </c>
      <c r="L1072" s="17" t="s">
        <v>732</v>
      </c>
      <c r="M1072" s="17" t="s">
        <v>736</v>
      </c>
      <c r="N1072" s="17" t="s">
        <v>736</v>
      </c>
    </row>
    <row r="1073" spans="1:14" x14ac:dyDescent="0.25">
      <c r="A1073" s="10">
        <v>995147</v>
      </c>
      <c r="B1073" s="22" t="str">
        <f>IFERROR(VLOOKUP(A1073,VLOOKUPS!$A$2:B$12589,2,FALSE),"")</f>
        <v>Celery Sticks 1.25lb-standard</v>
      </c>
      <c r="D1073">
        <v>12</v>
      </c>
      <c r="F1073">
        <v>2.74</v>
      </c>
      <c r="G1073" s="13">
        <v>44400</v>
      </c>
      <c r="H1073" s="13"/>
      <c r="I1073" s="22" t="str">
        <f>VLOOKUP(J1073, Dropdowns!N:O, 2, FALSE)</f>
        <v>New</v>
      </c>
      <c r="J1073" t="s">
        <v>776</v>
      </c>
      <c r="L1073" s="17" t="s">
        <v>732</v>
      </c>
      <c r="M1073" s="17" t="s">
        <v>736</v>
      </c>
      <c r="N1073" s="17" t="s">
        <v>736</v>
      </c>
    </row>
    <row r="1074" spans="1:14" x14ac:dyDescent="0.25">
      <c r="A1074" s="10">
        <v>984620</v>
      </c>
      <c r="B1074" s="22" t="str">
        <f>IFERROR(VLOOKUP(A1074,VLOOKUPS!$A$2:B$12589,2,FALSE),"")</f>
        <v>Raspberries 6oz-standard</v>
      </c>
      <c r="E1074">
        <v>2.74</v>
      </c>
      <c r="F1074">
        <v>2.38</v>
      </c>
      <c r="G1074" s="13">
        <v>44400</v>
      </c>
      <c r="H1074" s="13"/>
      <c r="I1074" s="22" t="str">
        <f>VLOOKUP(J1074, Dropdowns!N:O, 2, FALSE)</f>
        <v>Standard</v>
      </c>
      <c r="J1074" t="s">
        <v>761</v>
      </c>
      <c r="L1074" s="17" t="s">
        <v>732</v>
      </c>
      <c r="M1074" s="17" t="s">
        <v>736</v>
      </c>
      <c r="N1074" s="17" t="s">
        <v>736</v>
      </c>
    </row>
    <row r="1075" spans="1:14" x14ac:dyDescent="0.25">
      <c r="A1075" s="10">
        <v>984541</v>
      </c>
      <c r="B1075" s="22" t="str">
        <f>IFERROR(VLOOKUP(A1075,VLOOKUPS!$A$2:B$12589,2,FALSE),"")</f>
        <v>Blueberries 1pt-standard</v>
      </c>
      <c r="E1075">
        <v>2.64</v>
      </c>
      <c r="F1075">
        <v>2.58</v>
      </c>
      <c r="G1075" s="13">
        <v>44400</v>
      </c>
      <c r="H1075" s="13"/>
      <c r="I1075" s="22" t="str">
        <f>VLOOKUP(J1075, Dropdowns!N:O, 2, FALSE)</f>
        <v>Standard</v>
      </c>
      <c r="J1075" t="s">
        <v>761</v>
      </c>
      <c r="L1075" s="17" t="s">
        <v>732</v>
      </c>
      <c r="M1075" s="17" t="s">
        <v>736</v>
      </c>
      <c r="N1075" s="17" t="s">
        <v>736</v>
      </c>
    </row>
    <row r="1076" spans="1:14" x14ac:dyDescent="0.25">
      <c r="A1076" s="10">
        <v>988571</v>
      </c>
      <c r="B1076" s="22" t="str">
        <f>IFERROR(VLOOKUP(A1076,VLOOKUPS!$A$2:B$12589,2,FALSE),"")</f>
        <v>Cauliflower* 1ct-LOOSE</v>
      </c>
      <c r="E1076">
        <v>2.77</v>
      </c>
      <c r="F1076">
        <v>2.39</v>
      </c>
      <c r="G1076" s="13">
        <v>44400</v>
      </c>
      <c r="H1076" s="13"/>
      <c r="I1076" s="22" t="str">
        <f>VLOOKUP(J1076, Dropdowns!N:O, 2, FALSE)</f>
        <v>Standard</v>
      </c>
      <c r="J1076" t="s">
        <v>761</v>
      </c>
      <c r="L1076" s="17" t="s">
        <v>732</v>
      </c>
      <c r="M1076" s="17" t="s">
        <v>736</v>
      </c>
      <c r="N1076" s="17" t="s">
        <v>736</v>
      </c>
    </row>
    <row r="1077" spans="1:14" x14ac:dyDescent="0.25">
      <c r="A1077" s="10">
        <v>983101</v>
      </c>
      <c r="B1077" s="22" t="str">
        <f>IFERROR(VLOOKUP(A1077,VLOOKUPS!$A$2:B$12589,2,FALSE),"")</f>
        <v>Melons Cantaloupes 1ct-LOOSE</v>
      </c>
      <c r="E1077">
        <v>1.98</v>
      </c>
      <c r="F1077">
        <v>1.28</v>
      </c>
      <c r="G1077" s="13">
        <v>44404</v>
      </c>
      <c r="H1077" s="13">
        <v>44405</v>
      </c>
      <c r="I1077" s="22" t="str">
        <f>VLOOKUP(J1077, Dropdowns!N:O, 2, FALSE)</f>
        <v>Lower Price</v>
      </c>
      <c r="J1077" t="s">
        <v>759</v>
      </c>
      <c r="L1077" s="17" t="s">
        <v>732</v>
      </c>
      <c r="M1077" s="17" t="s">
        <v>736</v>
      </c>
      <c r="N1077" s="17" t="s">
        <v>736</v>
      </c>
    </row>
    <row r="1078" spans="1:14" x14ac:dyDescent="0.25">
      <c r="A1078" s="10">
        <v>983101</v>
      </c>
      <c r="B1078" s="22" t="str">
        <f>IFERROR(VLOOKUP(A1078,VLOOKUPS!$A$2:B$12589,2,FALSE),"")</f>
        <v>Melons Cantaloupes 1ct-LOOSE</v>
      </c>
      <c r="E1078">
        <v>1.28</v>
      </c>
      <c r="F1078">
        <v>1.98</v>
      </c>
      <c r="G1078" s="13">
        <v>44406</v>
      </c>
      <c r="H1078" s="13"/>
      <c r="I1078" s="22" t="str">
        <f>VLOOKUP(J1078, Dropdowns!N:O, 2, FALSE)</f>
        <v>Standard</v>
      </c>
      <c r="J1078" t="s">
        <v>760</v>
      </c>
      <c r="L1078" s="17" t="s">
        <v>732</v>
      </c>
      <c r="M1078" s="17" t="s">
        <v>736</v>
      </c>
      <c r="N1078" s="17" t="s">
        <v>736</v>
      </c>
    </row>
    <row r="1079" spans="1:14" x14ac:dyDescent="0.25">
      <c r="A1079" s="10">
        <v>984541</v>
      </c>
      <c r="B1079" s="22" t="str">
        <f>IFERROR(VLOOKUP(A1079,VLOOKUPS!$A$2:B$12589,2,FALSE),"")</f>
        <v>Blueberries 1pt-standard</v>
      </c>
      <c r="E1079">
        <v>2.58</v>
      </c>
      <c r="F1079">
        <v>1.58</v>
      </c>
      <c r="G1079" s="13">
        <v>44404</v>
      </c>
      <c r="H1079" s="13">
        <v>44405</v>
      </c>
      <c r="I1079" s="22" t="str">
        <f>VLOOKUP(J1079, Dropdowns!N:O, 2, FALSE)</f>
        <v>Lower Price</v>
      </c>
      <c r="J1079" t="s">
        <v>759</v>
      </c>
      <c r="L1079" s="17" t="s">
        <v>732</v>
      </c>
      <c r="M1079" s="17" t="s">
        <v>736</v>
      </c>
      <c r="N1079" s="17" t="s">
        <v>736</v>
      </c>
    </row>
    <row r="1080" spans="1:14" x14ac:dyDescent="0.25">
      <c r="A1080" s="10">
        <v>984541</v>
      </c>
      <c r="B1080" s="22" t="str">
        <f>IFERROR(VLOOKUP(A1080,VLOOKUPS!$A$2:B$12589,2,FALSE),"")</f>
        <v>Blueberries 1pt-standard</v>
      </c>
      <c r="E1080">
        <v>1.58</v>
      </c>
      <c r="F1080">
        <v>2.58</v>
      </c>
      <c r="G1080" s="13">
        <v>44406</v>
      </c>
      <c r="H1080" s="13"/>
      <c r="I1080" s="22" t="str">
        <f>VLOOKUP(J1080, Dropdowns!N:O, 2, FALSE)</f>
        <v>Standard</v>
      </c>
      <c r="J1080" t="s">
        <v>760</v>
      </c>
      <c r="L1080" s="17" t="s">
        <v>732</v>
      </c>
      <c r="M1080" s="17" t="s">
        <v>736</v>
      </c>
      <c r="N1080" s="17" t="s">
        <v>736</v>
      </c>
    </row>
    <row r="1081" spans="1:14" x14ac:dyDescent="0.25">
      <c r="A1081" s="10">
        <v>984580</v>
      </c>
      <c r="B1081" s="22" t="str">
        <f>IFERROR(VLOOKUP(A1081,VLOOKUPS!$A$2:B$12589,2,FALSE),"")</f>
        <v>Organic Blueberries 6oz-standard</v>
      </c>
      <c r="E1081">
        <v>2.59</v>
      </c>
      <c r="F1081">
        <v>1.79</v>
      </c>
      <c r="G1081" s="13">
        <v>44404</v>
      </c>
      <c r="H1081" s="13">
        <v>44405</v>
      </c>
      <c r="I1081" s="22" t="str">
        <f>VLOOKUP(J1081, Dropdowns!N:O, 2, FALSE)</f>
        <v>Lower Price</v>
      </c>
      <c r="J1081" t="s">
        <v>759</v>
      </c>
      <c r="L1081" s="17" t="s">
        <v>732</v>
      </c>
      <c r="M1081" s="17" t="s">
        <v>9</v>
      </c>
      <c r="N1081" s="17" t="s">
        <v>736</v>
      </c>
    </row>
    <row r="1082" spans="1:14" x14ac:dyDescent="0.25">
      <c r="A1082" s="10">
        <v>984580</v>
      </c>
      <c r="B1082" s="22" t="str">
        <f>IFERROR(VLOOKUP(A1082,VLOOKUPS!$A$2:B$12589,2,FALSE),"")</f>
        <v>Organic Blueberries 6oz-standard</v>
      </c>
      <c r="E1082">
        <v>1.79</v>
      </c>
      <c r="F1082">
        <v>2.59</v>
      </c>
      <c r="G1082" s="13">
        <v>44406</v>
      </c>
      <c r="H1082" s="13"/>
      <c r="I1082" s="22" t="str">
        <f>VLOOKUP(J1082, Dropdowns!N:O, 2, FALSE)</f>
        <v>Standard</v>
      </c>
      <c r="J1082" t="s">
        <v>760</v>
      </c>
      <c r="L1082" s="17" t="s">
        <v>732</v>
      </c>
      <c r="M1082" s="17" t="s">
        <v>9</v>
      </c>
      <c r="N1082" s="17" t="s">
        <v>736</v>
      </c>
    </row>
    <row r="1083" spans="1:14" x14ac:dyDescent="0.25">
      <c r="A1083" s="10">
        <v>985760</v>
      </c>
      <c r="B1083" s="22" t="str">
        <f>IFERROR(VLOOKUP(A1083,VLOOKUPS!$A$2:B$12589,2,FALSE),"")</f>
        <v>Asparagus 1lb-standard</v>
      </c>
      <c r="E1083">
        <v>2.99</v>
      </c>
      <c r="F1083">
        <v>1.99</v>
      </c>
      <c r="G1083" s="13">
        <v>44404</v>
      </c>
      <c r="H1083" s="13">
        <v>44405</v>
      </c>
      <c r="I1083" s="22" t="str">
        <f>VLOOKUP(J1083, Dropdowns!N:O, 2, FALSE)</f>
        <v>Lower Price</v>
      </c>
      <c r="J1083" t="s">
        <v>759</v>
      </c>
      <c r="L1083" s="17" t="s">
        <v>732</v>
      </c>
      <c r="M1083" s="17" t="s">
        <v>9</v>
      </c>
      <c r="N1083" s="17" t="s">
        <v>736</v>
      </c>
    </row>
    <row r="1084" spans="1:14" x14ac:dyDescent="0.25">
      <c r="A1084" s="10">
        <v>985760</v>
      </c>
      <c r="B1084" s="22" t="str">
        <f>IFERROR(VLOOKUP(A1084,VLOOKUPS!$A$2:B$12589,2,FALSE),"")</f>
        <v>Asparagus 1lb-standard</v>
      </c>
      <c r="E1084">
        <v>1.99</v>
      </c>
      <c r="F1084">
        <v>2.99</v>
      </c>
      <c r="G1084" s="13">
        <v>44406</v>
      </c>
      <c r="H1084" s="13"/>
      <c r="I1084" s="22" t="str">
        <f>VLOOKUP(J1084, Dropdowns!N:O, 2, FALSE)</f>
        <v>Standard</v>
      </c>
      <c r="J1084" t="s">
        <v>760</v>
      </c>
      <c r="L1084" s="17" t="s">
        <v>732</v>
      </c>
      <c r="M1084" s="17" t="s">
        <v>9</v>
      </c>
      <c r="N1084" s="17" t="s">
        <v>736</v>
      </c>
    </row>
    <row r="1085" spans="1:14" x14ac:dyDescent="0.25">
      <c r="A1085" s="10">
        <v>988571</v>
      </c>
      <c r="B1085" s="22" t="str">
        <f>IFERROR(VLOOKUP(A1085,VLOOKUPS!$A$2:B$12589,2,FALSE),"")</f>
        <v>Cauliflower* 1ct-LOOSE</v>
      </c>
      <c r="E1085">
        <v>2.39</v>
      </c>
      <c r="F1085">
        <v>1.89</v>
      </c>
      <c r="G1085" s="13">
        <v>44404</v>
      </c>
      <c r="H1085" s="13">
        <v>44405</v>
      </c>
      <c r="I1085" s="22" t="str">
        <f>VLOOKUP(J1085, Dropdowns!N:O, 2, FALSE)</f>
        <v>Lower Price</v>
      </c>
      <c r="J1085" t="s">
        <v>759</v>
      </c>
      <c r="L1085" s="17" t="s">
        <v>732</v>
      </c>
      <c r="M1085" s="17" t="s">
        <v>10</v>
      </c>
      <c r="N1085" s="17">
        <v>2</v>
      </c>
    </row>
    <row r="1086" spans="1:14" x14ac:dyDescent="0.25">
      <c r="A1086" s="10">
        <v>988571</v>
      </c>
      <c r="B1086" s="22" t="str">
        <f>IFERROR(VLOOKUP(A1086,VLOOKUPS!$A$2:B$12589,2,FALSE),"")</f>
        <v>Cauliflower* 1ct-LOOSE</v>
      </c>
      <c r="E1086">
        <v>1.89</v>
      </c>
      <c r="F1086">
        <v>2.39</v>
      </c>
      <c r="G1086" s="13">
        <v>44406</v>
      </c>
      <c r="H1086" s="13"/>
      <c r="I1086" s="22" t="str">
        <f>VLOOKUP(J1086, Dropdowns!N:O, 2, FALSE)</f>
        <v>Standard</v>
      </c>
      <c r="J1086" t="s">
        <v>760</v>
      </c>
      <c r="L1086" s="17" t="s">
        <v>732</v>
      </c>
      <c r="M1086" s="17" t="s">
        <v>10</v>
      </c>
      <c r="N1086" s="17">
        <v>2</v>
      </c>
    </row>
    <row r="1087" spans="1:14" x14ac:dyDescent="0.25">
      <c r="A1087" s="10">
        <v>988620</v>
      </c>
      <c r="B1087" s="22" t="str">
        <f>IFERROR(VLOOKUP(A1087,VLOOKUPS!$A$2:B$12589,2,FALSE),"")</f>
        <v>Brussels Sprouts 1lb-standard</v>
      </c>
      <c r="E1087">
        <v>2.89</v>
      </c>
      <c r="F1087">
        <v>1.89</v>
      </c>
      <c r="G1087" s="13">
        <v>44404</v>
      </c>
      <c r="H1087" s="13">
        <v>44405</v>
      </c>
      <c r="I1087" s="22" t="str">
        <f>VLOOKUP(J1087, Dropdowns!N:O, 2, FALSE)</f>
        <v>Lower Price</v>
      </c>
      <c r="J1087" t="s">
        <v>759</v>
      </c>
      <c r="L1087" s="17" t="s">
        <v>732</v>
      </c>
      <c r="M1087" s="17" t="s">
        <v>736</v>
      </c>
      <c r="N1087" s="17" t="s">
        <v>736</v>
      </c>
    </row>
    <row r="1088" spans="1:14" x14ac:dyDescent="0.25">
      <c r="A1088" s="10">
        <v>988620</v>
      </c>
      <c r="B1088" s="22" t="str">
        <f>IFERROR(VLOOKUP(A1088,VLOOKUPS!$A$2:B$12589,2,FALSE),"")</f>
        <v>Brussels Sprouts 1lb-standard</v>
      </c>
      <c r="E1088">
        <v>1.89</v>
      </c>
      <c r="F1088">
        <v>2.89</v>
      </c>
      <c r="G1088" s="13">
        <v>44406</v>
      </c>
      <c r="H1088" s="13"/>
      <c r="I1088" s="22" t="str">
        <f>VLOOKUP(J1088, Dropdowns!N:O, 2, FALSE)</f>
        <v>Standard</v>
      </c>
      <c r="J1088" t="s">
        <v>760</v>
      </c>
      <c r="L1088" s="17" t="s">
        <v>732</v>
      </c>
      <c r="M1088" s="17" t="s">
        <v>736</v>
      </c>
      <c r="N1088" s="17" t="s">
        <v>736</v>
      </c>
    </row>
    <row r="1089" spans="1:14" x14ac:dyDescent="0.25">
      <c r="A1089" s="10">
        <v>988703</v>
      </c>
      <c r="B1089" s="22" t="str">
        <f>IFERROR(VLOOKUP(A1089,VLOOKUPS!$A$2:B$12589,2,FALSE),"")</f>
        <v>Collard Greens 16oz-standard</v>
      </c>
      <c r="G1089" s="13">
        <v>44404</v>
      </c>
      <c r="H1089" s="13"/>
      <c r="I1089" s="22" t="str">
        <f>VLOOKUP(J1089, Dropdowns!N:O, 2, FALSE)</f>
        <v>NA</v>
      </c>
      <c r="J1089" t="s">
        <v>754</v>
      </c>
      <c r="L1089" s="17" t="s">
        <v>732</v>
      </c>
      <c r="M1089" s="17" t="s">
        <v>736</v>
      </c>
      <c r="N1089" s="17" t="s">
        <v>736</v>
      </c>
    </row>
    <row r="1090" spans="1:14" x14ac:dyDescent="0.25">
      <c r="A1090" s="10">
        <v>995006</v>
      </c>
      <c r="B1090" s="22" t="str">
        <f>IFERROR(VLOOKUP(A1090,VLOOKUPS!$A$2:B$12589,2,FALSE),"")</f>
        <v>Italian Salad 9oz-standard</v>
      </c>
      <c r="E1090">
        <v>2.29</v>
      </c>
      <c r="F1090">
        <v>1.29</v>
      </c>
      <c r="G1090" s="13">
        <v>44404</v>
      </c>
      <c r="H1090" s="13">
        <v>44405</v>
      </c>
      <c r="I1090" s="22" t="str">
        <f>VLOOKUP(J1090, Dropdowns!N:O, 2, FALSE)</f>
        <v>Lower Price</v>
      </c>
      <c r="J1090" t="s">
        <v>759</v>
      </c>
      <c r="L1090" s="17" t="s">
        <v>732</v>
      </c>
      <c r="M1090" s="17" t="s">
        <v>10</v>
      </c>
      <c r="N1090" s="17">
        <v>2</v>
      </c>
    </row>
    <row r="1091" spans="1:14" x14ac:dyDescent="0.25">
      <c r="A1091" s="10">
        <v>995006</v>
      </c>
      <c r="B1091" s="22" t="str">
        <f>IFERROR(VLOOKUP(A1091,VLOOKUPS!$A$2:B$12589,2,FALSE),"")</f>
        <v>Italian Salad 9oz-standard</v>
      </c>
      <c r="E1091">
        <v>1.29</v>
      </c>
      <c r="F1091">
        <v>2.29</v>
      </c>
      <c r="G1091" s="13">
        <v>44406</v>
      </c>
      <c r="H1091" s="13"/>
      <c r="I1091" s="22" t="str">
        <f>VLOOKUP(J1091, Dropdowns!N:O, 2, FALSE)</f>
        <v>Standard</v>
      </c>
      <c r="J1091" t="s">
        <v>760</v>
      </c>
      <c r="L1091" s="17" t="s">
        <v>732</v>
      </c>
      <c r="M1091" s="17" t="s">
        <v>10</v>
      </c>
      <c r="N1091" s="17">
        <v>2</v>
      </c>
    </row>
    <row r="1092" spans="1:14" x14ac:dyDescent="0.25">
      <c r="A1092" s="10">
        <v>995009</v>
      </c>
      <c r="B1092" s="22" t="str">
        <f>IFERROR(VLOOKUP(A1092,VLOOKUPS!$A$2:B$12589,2,FALSE),"")</f>
        <v>Classic Coleslaw 14oz-standard</v>
      </c>
      <c r="E1092">
        <v>1.39</v>
      </c>
      <c r="F1092">
        <v>0.79</v>
      </c>
      <c r="G1092" s="13">
        <v>44404</v>
      </c>
      <c r="H1092" s="13">
        <v>44405</v>
      </c>
      <c r="I1092" s="22" t="str">
        <f>VLOOKUP(J1092, Dropdowns!N:O, 2, FALSE)</f>
        <v>Lower Price</v>
      </c>
      <c r="J1092" t="s">
        <v>759</v>
      </c>
      <c r="L1092" s="17" t="s">
        <v>733</v>
      </c>
      <c r="M1092" s="17" t="s">
        <v>11</v>
      </c>
      <c r="N1092" s="17" t="s">
        <v>740</v>
      </c>
    </row>
    <row r="1093" spans="1:14" x14ac:dyDescent="0.25">
      <c r="A1093" s="10">
        <v>995009</v>
      </c>
      <c r="B1093" s="22" t="str">
        <f>IFERROR(VLOOKUP(A1093,VLOOKUPS!$A$2:B$12589,2,FALSE),"")</f>
        <v>Classic Coleslaw 14oz-standard</v>
      </c>
      <c r="E1093">
        <v>0.79</v>
      </c>
      <c r="F1093">
        <v>1.39</v>
      </c>
      <c r="G1093" s="13">
        <v>44406</v>
      </c>
      <c r="H1093" s="13"/>
      <c r="I1093" s="22" t="str">
        <f>VLOOKUP(J1093, Dropdowns!N:O, 2, FALSE)</f>
        <v>Standard</v>
      </c>
      <c r="J1093" t="s">
        <v>760</v>
      </c>
      <c r="L1093" s="17" t="s">
        <v>733</v>
      </c>
      <c r="M1093" s="17" t="s">
        <v>11</v>
      </c>
      <c r="N1093" s="17" t="s">
        <v>740</v>
      </c>
    </row>
    <row r="1094" spans="1:14" x14ac:dyDescent="0.25">
      <c r="A1094" s="10">
        <v>995021</v>
      </c>
      <c r="B1094" s="22" t="str">
        <f>IFERROR(VLOOKUP(A1094,VLOOKUPS!$A$2:B$12589,2,FALSE),"")</f>
        <v>Chopped Bacon Caesar Kit 10.2oz-standard</v>
      </c>
      <c r="E1094">
        <v>3.29</v>
      </c>
      <c r="F1094">
        <v>2.29</v>
      </c>
      <c r="G1094" s="13">
        <v>44404</v>
      </c>
      <c r="H1094" s="13">
        <v>44405</v>
      </c>
      <c r="I1094" s="22" t="str">
        <f>VLOOKUP(J1094, Dropdowns!N:O, 2, FALSE)</f>
        <v>Lower Price</v>
      </c>
      <c r="J1094" t="s">
        <v>759</v>
      </c>
      <c r="L1094" s="17" t="s">
        <v>732</v>
      </c>
      <c r="M1094" s="17" t="s">
        <v>10</v>
      </c>
      <c r="N1094" s="17">
        <v>2</v>
      </c>
    </row>
    <row r="1095" spans="1:14" x14ac:dyDescent="0.25">
      <c r="A1095" s="10">
        <v>995021</v>
      </c>
      <c r="B1095" s="22" t="str">
        <f>IFERROR(VLOOKUP(A1095,VLOOKUPS!$A$2:B$12589,2,FALSE),"")</f>
        <v>Chopped Bacon Caesar Kit 10.2oz-standard</v>
      </c>
      <c r="E1095">
        <v>2.29</v>
      </c>
      <c r="F1095">
        <v>3.29</v>
      </c>
      <c r="G1095" s="13">
        <v>44406</v>
      </c>
      <c r="H1095" s="13"/>
      <c r="I1095" s="22" t="str">
        <f>VLOOKUP(J1095, Dropdowns!N:O, 2, FALSE)</f>
        <v>Standard</v>
      </c>
      <c r="J1095" t="s">
        <v>760</v>
      </c>
      <c r="L1095" s="17" t="s">
        <v>732</v>
      </c>
      <c r="M1095" s="17" t="s">
        <v>10</v>
      </c>
      <c r="N1095" s="17">
        <v>2</v>
      </c>
    </row>
    <row r="1096" spans="1:14" x14ac:dyDescent="0.25">
      <c r="A1096" s="10">
        <v>995032</v>
      </c>
      <c r="B1096" s="22" t="str">
        <f>IFERROR(VLOOKUP(A1096,VLOOKUPS!$A$2:B$12589,2,FALSE),"")</f>
        <v>Chopped Sunflower Crunch Kit 12.2oz-standard</v>
      </c>
      <c r="E1096">
        <v>3.29</v>
      </c>
      <c r="F1096">
        <v>2.29</v>
      </c>
      <c r="G1096" s="13">
        <v>44404</v>
      </c>
      <c r="H1096" s="13">
        <v>44405</v>
      </c>
      <c r="I1096" s="22" t="str">
        <f>VLOOKUP(J1096, Dropdowns!N:O, 2, FALSE)</f>
        <v>Lower Price</v>
      </c>
      <c r="J1096" t="s">
        <v>759</v>
      </c>
      <c r="L1096" s="17" t="s">
        <v>732</v>
      </c>
      <c r="M1096" s="17" t="s">
        <v>736</v>
      </c>
      <c r="N1096" s="17" t="s">
        <v>736</v>
      </c>
    </row>
    <row r="1097" spans="1:14" x14ac:dyDescent="0.25">
      <c r="A1097" s="10">
        <v>995032</v>
      </c>
      <c r="B1097" s="22" t="str">
        <f>IFERROR(VLOOKUP(A1097,VLOOKUPS!$A$2:B$12589,2,FALSE),"")</f>
        <v>Chopped Sunflower Crunch Kit 12.2oz-standard</v>
      </c>
      <c r="E1097">
        <v>2.29</v>
      </c>
      <c r="F1097">
        <v>3.29</v>
      </c>
      <c r="G1097" s="13">
        <v>44406</v>
      </c>
      <c r="H1097" s="13"/>
      <c r="I1097" s="22" t="str">
        <f>VLOOKUP(J1097, Dropdowns!N:O, 2, FALSE)</f>
        <v>Standard</v>
      </c>
      <c r="J1097" t="s">
        <v>760</v>
      </c>
      <c r="L1097" s="17" t="s">
        <v>732</v>
      </c>
      <c r="M1097" s="17" t="s">
        <v>736</v>
      </c>
      <c r="N1097" s="17" t="s">
        <v>736</v>
      </c>
    </row>
    <row r="1098" spans="1:14" x14ac:dyDescent="0.25">
      <c r="A1098" s="10">
        <v>995074</v>
      </c>
      <c r="B1098" s="22" t="str">
        <f>IFERROR(VLOOKUP(A1098,VLOOKUPS!$A$2:B$12589,2,FALSE),"")</f>
        <v>Southwest Chopped Salad Kit 12oz-standard</v>
      </c>
      <c r="E1098">
        <v>3.29</v>
      </c>
      <c r="F1098">
        <v>2.29</v>
      </c>
      <c r="G1098" s="13">
        <v>44404</v>
      </c>
      <c r="H1098" s="13">
        <v>44405</v>
      </c>
      <c r="I1098" s="22" t="str">
        <f>VLOOKUP(J1098, Dropdowns!N:O, 2, FALSE)</f>
        <v>Lower Price</v>
      </c>
      <c r="J1098" t="s">
        <v>759</v>
      </c>
      <c r="L1098" s="17" t="s">
        <v>733</v>
      </c>
      <c r="M1098" s="17" t="s">
        <v>11</v>
      </c>
      <c r="N1098" s="17" t="s">
        <v>740</v>
      </c>
    </row>
    <row r="1099" spans="1:14" x14ac:dyDescent="0.25">
      <c r="A1099" s="10">
        <v>995074</v>
      </c>
      <c r="B1099" s="22" t="str">
        <f>IFERROR(VLOOKUP(A1099,VLOOKUPS!$A$2:B$12589,2,FALSE),"")</f>
        <v>Southwest Chopped Salad Kit 12oz-standard</v>
      </c>
      <c r="E1099">
        <v>2.29</v>
      </c>
      <c r="F1099">
        <v>3.29</v>
      </c>
      <c r="G1099" s="13">
        <v>44406</v>
      </c>
      <c r="H1099" s="13"/>
      <c r="I1099" s="22" t="str">
        <f>VLOOKUP(J1099, Dropdowns!N:O, 2, FALSE)</f>
        <v>Standard</v>
      </c>
      <c r="J1099" t="s">
        <v>760</v>
      </c>
      <c r="L1099" s="17" t="s">
        <v>733</v>
      </c>
      <c r="M1099" s="17" t="s">
        <v>11</v>
      </c>
      <c r="N1099" s="17" t="s">
        <v>740</v>
      </c>
    </row>
    <row r="1100" spans="1:14" x14ac:dyDescent="0.25">
      <c r="A1100" s="10">
        <v>995101</v>
      </c>
      <c r="B1100" s="22" t="str">
        <f>IFERROR(VLOOKUP(A1100,VLOOKUPS!$A$2:B$12589,2,FALSE),"")</f>
        <v>Avocado Ranch Salad Kit 11.3oz-standard</v>
      </c>
      <c r="E1100">
        <v>3.29</v>
      </c>
      <c r="F1100">
        <v>2.4900000000000002</v>
      </c>
      <c r="G1100" s="13">
        <v>44404</v>
      </c>
      <c r="H1100" s="13">
        <v>44405</v>
      </c>
      <c r="I1100" s="22" t="str">
        <f>VLOOKUP(J1100, Dropdowns!N:O, 2, FALSE)</f>
        <v>Lower Price</v>
      </c>
      <c r="J1100" t="s">
        <v>759</v>
      </c>
      <c r="L1100" s="17" t="s">
        <v>732</v>
      </c>
      <c r="M1100" s="17" t="s">
        <v>737</v>
      </c>
      <c r="N1100" s="17" t="s">
        <v>736</v>
      </c>
    </row>
    <row r="1101" spans="1:14" x14ac:dyDescent="0.25">
      <c r="A1101" s="10">
        <v>995101</v>
      </c>
      <c r="B1101" s="22" t="str">
        <f>IFERROR(VLOOKUP(A1101,VLOOKUPS!$A$2:B$12589,2,FALSE),"")</f>
        <v>Avocado Ranch Salad Kit 11.3oz-standard</v>
      </c>
      <c r="E1101">
        <v>2.4900000000000002</v>
      </c>
      <c r="F1101">
        <v>3.29</v>
      </c>
      <c r="G1101" s="13">
        <v>44406</v>
      </c>
      <c r="H1101" s="13"/>
      <c r="I1101" s="22" t="str">
        <f>VLOOKUP(J1101, Dropdowns!N:O, 2, FALSE)</f>
        <v>Standard</v>
      </c>
      <c r="J1101" t="s">
        <v>760</v>
      </c>
      <c r="L1101" s="17" t="s">
        <v>732</v>
      </c>
      <c r="M1101" s="17" t="s">
        <v>737</v>
      </c>
      <c r="N1101" s="17" t="s">
        <v>736</v>
      </c>
    </row>
    <row r="1102" spans="1:14" x14ac:dyDescent="0.25">
      <c r="A1102" s="10">
        <v>995119</v>
      </c>
      <c r="B1102" s="22" t="str">
        <f>IFERROR(VLOOKUP(A1102,VLOOKUPS!$A$2:B$12589,2,FALSE),"")</f>
        <v>RTE Green Goddess Salad 5.5oz-standard</v>
      </c>
      <c r="E1102">
        <v>2.89</v>
      </c>
      <c r="F1102">
        <v>1.89</v>
      </c>
      <c r="G1102" s="13">
        <v>44404</v>
      </c>
      <c r="H1102" s="13">
        <v>44405</v>
      </c>
      <c r="I1102" s="22" t="str">
        <f>VLOOKUP(J1102, Dropdowns!N:O, 2, FALSE)</f>
        <v>Lower Price</v>
      </c>
      <c r="J1102" t="s">
        <v>759</v>
      </c>
      <c r="L1102" s="17" t="s">
        <v>733</v>
      </c>
      <c r="M1102" s="17" t="s">
        <v>11</v>
      </c>
      <c r="N1102" s="17" t="s">
        <v>740</v>
      </c>
    </row>
    <row r="1103" spans="1:14" x14ac:dyDescent="0.25">
      <c r="A1103" s="10">
        <v>995119</v>
      </c>
      <c r="B1103" s="22" t="str">
        <f>IFERROR(VLOOKUP(A1103,VLOOKUPS!$A$2:B$12589,2,FALSE),"")</f>
        <v>RTE Green Goddess Salad 5.5oz-standard</v>
      </c>
      <c r="E1103">
        <v>1.89</v>
      </c>
      <c r="F1103">
        <v>2.89</v>
      </c>
      <c r="G1103" s="13">
        <v>44406</v>
      </c>
      <c r="H1103" s="13"/>
      <c r="I1103" s="22" t="str">
        <f>VLOOKUP(J1103, Dropdowns!N:O, 2, FALSE)</f>
        <v>Standard</v>
      </c>
      <c r="J1103" t="s">
        <v>760</v>
      </c>
      <c r="L1103" s="17" t="s">
        <v>733</v>
      </c>
      <c r="M1103" s="17" t="s">
        <v>11</v>
      </c>
      <c r="N1103" s="17" t="s">
        <v>740</v>
      </c>
    </row>
    <row r="1104" spans="1:14" x14ac:dyDescent="0.25">
      <c r="A1104" s="10">
        <v>995000</v>
      </c>
      <c r="B1104" s="22" t="str">
        <f>IFERROR(VLOOKUP(A1104,VLOOKUPS!$A$2:B$12589,2,FALSE),"")</f>
        <v>Spring Mix 5oz-standard</v>
      </c>
      <c r="G1104" s="13">
        <v>44405</v>
      </c>
      <c r="H1104" s="13"/>
      <c r="I1104" s="22" t="str">
        <f>VLOOKUP(J1104, Dropdowns!N:O, 2, FALSE)</f>
        <v>Standard</v>
      </c>
      <c r="J1104" t="s">
        <v>782</v>
      </c>
      <c r="L1104" s="17" t="s">
        <v>732</v>
      </c>
      <c r="M1104" s="17" t="s">
        <v>736</v>
      </c>
      <c r="N1104" s="17" t="s">
        <v>736</v>
      </c>
    </row>
    <row r="1105" spans="1:14" x14ac:dyDescent="0.25">
      <c r="A1105" s="10">
        <v>995001</v>
      </c>
      <c r="B1105" s="22" t="str">
        <f>IFERROR(VLOOKUP(A1105,VLOOKUPS!$A$2:B$12589,2,FALSE),"")</f>
        <v>Spinach Baby 6oz-standard</v>
      </c>
      <c r="G1105" s="13">
        <v>44405</v>
      </c>
      <c r="H1105" s="13"/>
      <c r="I1105" s="22" t="str">
        <f>VLOOKUP(J1105, Dropdowns!N:O, 2, FALSE)</f>
        <v>Standard</v>
      </c>
      <c r="J1105" t="s">
        <v>782</v>
      </c>
      <c r="L1105" s="17" t="s">
        <v>732</v>
      </c>
      <c r="M1105" s="17" t="s">
        <v>736</v>
      </c>
      <c r="N1105" s="17" t="s">
        <v>736</v>
      </c>
    </row>
    <row r="1106" spans="1:14" x14ac:dyDescent="0.25">
      <c r="A1106" s="10">
        <v>995002</v>
      </c>
      <c r="B1106" s="22" t="str">
        <f>IFERROR(VLOOKUP(A1106,VLOOKUPS!$A$2:B$12589,2,FALSE),"")</f>
        <v>Butter Blend 6oz-standard</v>
      </c>
      <c r="G1106" s="13">
        <v>44405</v>
      </c>
      <c r="H1106" s="13"/>
      <c r="I1106" s="22" t="str">
        <f>VLOOKUP(J1106, Dropdowns!N:O, 2, FALSE)</f>
        <v>Standard</v>
      </c>
      <c r="J1106" t="s">
        <v>782</v>
      </c>
      <c r="L1106" s="17" t="s">
        <v>732</v>
      </c>
      <c r="M1106" s="17" t="s">
        <v>736</v>
      </c>
      <c r="N1106" s="17" t="s">
        <v>736</v>
      </c>
    </row>
    <row r="1107" spans="1:14" x14ac:dyDescent="0.25">
      <c r="A1107" s="10">
        <v>983201</v>
      </c>
      <c r="B1107" s="22" t="str">
        <f>IFERROR(VLOOKUP(A1107,VLOOKUPS!$A$2:B$12589,2,FALSE),"")</f>
        <v>Melons* Honeydew 1ct-LOOSE</v>
      </c>
      <c r="E1107">
        <v>3.58</v>
      </c>
      <c r="F1107">
        <v>2.78</v>
      </c>
      <c r="G1107" s="13">
        <v>44405</v>
      </c>
      <c r="H1107" s="13">
        <v>44406</v>
      </c>
      <c r="I1107" s="22" t="str">
        <f>VLOOKUP(J1107, Dropdowns!N:O, 2, FALSE)</f>
        <v>Lower Price</v>
      </c>
      <c r="J1107" t="s">
        <v>759</v>
      </c>
      <c r="L1107" s="17" t="s">
        <v>732</v>
      </c>
      <c r="M1107" s="17" t="s">
        <v>9</v>
      </c>
      <c r="N1107" s="17" t="s">
        <v>736</v>
      </c>
    </row>
    <row r="1108" spans="1:14" x14ac:dyDescent="0.25">
      <c r="A1108" s="10">
        <v>983201</v>
      </c>
      <c r="B1108" s="22" t="str">
        <f>IFERROR(VLOOKUP(A1108,VLOOKUPS!$A$2:B$12589,2,FALSE),"")</f>
        <v>Melons* Honeydew 1ct-LOOSE</v>
      </c>
      <c r="E1108">
        <v>2.78</v>
      </c>
      <c r="F1108">
        <v>3.58</v>
      </c>
      <c r="G1108" s="13">
        <v>44407</v>
      </c>
      <c r="H1108" s="13"/>
      <c r="I1108" s="22" t="str">
        <f>VLOOKUP(J1108, Dropdowns!N:O, 2, FALSE)</f>
        <v>Standard</v>
      </c>
      <c r="J1108" t="s">
        <v>760</v>
      </c>
      <c r="L1108" s="17" t="s">
        <v>732</v>
      </c>
      <c r="M1108" s="17" t="s">
        <v>9</v>
      </c>
      <c r="N1108" s="17" t="s">
        <v>736</v>
      </c>
    </row>
    <row r="1109" spans="1:14" x14ac:dyDescent="0.25">
      <c r="A1109" s="10">
        <v>983251</v>
      </c>
      <c r="B1109" s="22" t="str">
        <f>IFERROR(VLOOKUP(A1109,VLOOKUPS!$A$2:B$12589,2,FALSE),"")</f>
        <v>Watermelons Large Seedless 1ct-LOOSE</v>
      </c>
      <c r="E1109">
        <v>4.8899999999999997</v>
      </c>
      <c r="F1109">
        <v>3.89</v>
      </c>
      <c r="G1109" s="13">
        <v>44405</v>
      </c>
      <c r="H1109" s="13">
        <v>44406</v>
      </c>
      <c r="I1109" s="22" t="str">
        <f>VLOOKUP(J1109, Dropdowns!N:O, 2, FALSE)</f>
        <v>Lower Price</v>
      </c>
      <c r="J1109" t="s">
        <v>759</v>
      </c>
      <c r="L1109" s="17" t="s">
        <v>733</v>
      </c>
      <c r="M1109" s="17" t="s">
        <v>11</v>
      </c>
      <c r="N1109" s="17" t="s">
        <v>740</v>
      </c>
    </row>
    <row r="1110" spans="1:14" x14ac:dyDescent="0.25">
      <c r="A1110" s="10">
        <v>983251</v>
      </c>
      <c r="B1110" s="22" t="str">
        <f>IFERROR(VLOOKUP(A1110,VLOOKUPS!$A$2:B$12589,2,FALSE),"")</f>
        <v>Watermelons Large Seedless 1ct-LOOSE</v>
      </c>
      <c r="E1110">
        <v>3.89</v>
      </c>
      <c r="F1110">
        <v>4.8899999999999997</v>
      </c>
      <c r="G1110" s="13">
        <v>44407</v>
      </c>
      <c r="H1110" s="13"/>
      <c r="I1110" s="22" t="str">
        <f>VLOOKUP(J1110, Dropdowns!N:O, 2, FALSE)</f>
        <v>Standard</v>
      </c>
      <c r="J1110" t="s">
        <v>760</v>
      </c>
      <c r="L1110" s="17" t="s">
        <v>733</v>
      </c>
      <c r="M1110" s="17" t="s">
        <v>11</v>
      </c>
      <c r="N1110" s="17" t="s">
        <v>740</v>
      </c>
    </row>
    <row r="1111" spans="1:14" x14ac:dyDescent="0.25">
      <c r="A1111" s="10">
        <v>984700</v>
      </c>
      <c r="B1111" s="22" t="str">
        <f>IFERROR(VLOOKUP(A1111,VLOOKUPS!$A$2:B$12589,2,FALSE),"")</f>
        <v>Blackberries 6oz-standard</v>
      </c>
      <c r="E1111">
        <v>2.48</v>
      </c>
      <c r="F1111">
        <v>1.68</v>
      </c>
      <c r="G1111" s="13">
        <v>44405</v>
      </c>
      <c r="H1111" s="13">
        <v>44406</v>
      </c>
      <c r="I1111" s="22" t="str">
        <f>VLOOKUP(J1111, Dropdowns!N:O, 2, FALSE)</f>
        <v>Lower Price</v>
      </c>
      <c r="J1111" t="s">
        <v>759</v>
      </c>
      <c r="L1111" s="17" t="s">
        <v>732</v>
      </c>
      <c r="M1111" s="17" t="s">
        <v>9</v>
      </c>
      <c r="N1111" s="17" t="s">
        <v>736</v>
      </c>
    </row>
    <row r="1112" spans="1:14" x14ac:dyDescent="0.25">
      <c r="A1112" s="10">
        <v>984700</v>
      </c>
      <c r="B1112" s="22" t="str">
        <f>IFERROR(VLOOKUP(A1112,VLOOKUPS!$A$2:B$12589,2,FALSE),"")</f>
        <v>Blackberries 6oz-standard</v>
      </c>
      <c r="E1112">
        <v>1.68</v>
      </c>
      <c r="F1112">
        <v>2.48</v>
      </c>
      <c r="G1112" s="13">
        <v>44407</v>
      </c>
      <c r="H1112" s="13"/>
      <c r="I1112" s="22" t="str">
        <f>VLOOKUP(J1112, Dropdowns!N:O, 2, FALSE)</f>
        <v>Standard</v>
      </c>
      <c r="J1112" t="s">
        <v>760</v>
      </c>
      <c r="L1112" s="17" t="s">
        <v>732</v>
      </c>
      <c r="M1112" s="17" t="s">
        <v>9</v>
      </c>
      <c r="N1112" s="17" t="s">
        <v>736</v>
      </c>
    </row>
    <row r="1113" spans="1:14" x14ac:dyDescent="0.25">
      <c r="A1113" s="10">
        <v>985060</v>
      </c>
      <c r="B1113" s="22" t="str">
        <f>IFERROR(VLOOKUP(A1113,VLOOKUPS!$A$2:B$12589,2,FALSE),"")</f>
        <v>Lettuce* Iceberg 1ct-standard</v>
      </c>
      <c r="E1113">
        <v>1.39</v>
      </c>
      <c r="F1113">
        <v>0.59</v>
      </c>
      <c r="G1113" s="13">
        <v>44405</v>
      </c>
      <c r="H1113" s="13">
        <v>44407</v>
      </c>
      <c r="I1113" s="22" t="str">
        <f>VLOOKUP(J1113, Dropdowns!N:O, 2, FALSE)</f>
        <v>Lower Price</v>
      </c>
      <c r="J1113" t="s">
        <v>759</v>
      </c>
      <c r="L1113" s="17" t="s">
        <v>732</v>
      </c>
      <c r="M1113" s="17" t="s">
        <v>738</v>
      </c>
      <c r="N1113" s="17">
        <v>2</v>
      </c>
    </row>
    <row r="1114" spans="1:14" x14ac:dyDescent="0.25">
      <c r="A1114" s="10">
        <v>985060</v>
      </c>
      <c r="B1114" s="22" t="str">
        <f>IFERROR(VLOOKUP(A1114,VLOOKUPS!$A$2:B$12589,2,FALSE),"")</f>
        <v>Lettuce* Iceberg 1ct-standard</v>
      </c>
      <c r="E1114">
        <v>0.59</v>
      </c>
      <c r="F1114">
        <v>1.39</v>
      </c>
      <c r="G1114" s="13">
        <v>44408</v>
      </c>
      <c r="H1114" s="13"/>
      <c r="I1114" s="22" t="str">
        <f>VLOOKUP(J1114, Dropdowns!N:O, 2, FALSE)</f>
        <v>Standard</v>
      </c>
      <c r="J1114" t="s">
        <v>760</v>
      </c>
      <c r="L1114" s="17" t="s">
        <v>732</v>
      </c>
      <c r="M1114" s="17" t="s">
        <v>738</v>
      </c>
      <c r="N1114" s="17">
        <v>2</v>
      </c>
    </row>
    <row r="1115" spans="1:14" x14ac:dyDescent="0.25">
      <c r="A1115" s="10">
        <v>985160</v>
      </c>
      <c r="B1115" s="22" t="str">
        <f>IFERROR(VLOOKUP(A1115,VLOOKUPS!$A$2:B$12589,2,FALSE),"")</f>
        <v>Romaine Hearts 3ct-standard</v>
      </c>
      <c r="E1115">
        <v>2.59</v>
      </c>
      <c r="F1115">
        <v>1.89</v>
      </c>
      <c r="G1115" s="13">
        <v>44405</v>
      </c>
      <c r="H1115" s="13">
        <v>44406</v>
      </c>
      <c r="I1115" s="22" t="str">
        <f>VLOOKUP(J1115, Dropdowns!N:O, 2, FALSE)</f>
        <v>Lower Price</v>
      </c>
      <c r="J1115" t="s">
        <v>759</v>
      </c>
      <c r="L1115" s="17" t="s">
        <v>732</v>
      </c>
      <c r="M1115" s="17" t="s">
        <v>9</v>
      </c>
      <c r="N1115" s="17" t="s">
        <v>736</v>
      </c>
    </row>
    <row r="1116" spans="1:14" x14ac:dyDescent="0.25">
      <c r="A1116" s="10">
        <v>985160</v>
      </c>
      <c r="B1116" s="22" t="str">
        <f>IFERROR(VLOOKUP(A1116,VLOOKUPS!$A$2:B$12589,2,FALSE),"")</f>
        <v>Romaine Hearts 3ct-standard</v>
      </c>
      <c r="E1116">
        <v>1.89</v>
      </c>
      <c r="F1116">
        <v>2.59</v>
      </c>
      <c r="G1116" s="13">
        <v>44407</v>
      </c>
      <c r="H1116" s="13"/>
      <c r="I1116" s="22" t="str">
        <f>VLOOKUP(J1116, Dropdowns!N:O, 2, FALSE)</f>
        <v>Standard</v>
      </c>
      <c r="J1116" t="s">
        <v>760</v>
      </c>
      <c r="L1116" s="17" t="s">
        <v>732</v>
      </c>
      <c r="M1116" s="17" t="s">
        <v>9</v>
      </c>
      <c r="N1116" s="17" t="s">
        <v>741</v>
      </c>
    </row>
    <row r="1117" spans="1:14" x14ac:dyDescent="0.25">
      <c r="A1117" s="10">
        <v>985760</v>
      </c>
      <c r="B1117" s="22" t="str">
        <f>IFERROR(VLOOKUP(A1117,VLOOKUPS!$A$2:B$12589,2,FALSE),"")</f>
        <v>Asparagus 1lb-standard</v>
      </c>
      <c r="E1117">
        <v>2.99</v>
      </c>
      <c r="F1117">
        <v>2.29</v>
      </c>
      <c r="G1117" s="13">
        <v>44405</v>
      </c>
      <c r="H1117" s="13">
        <v>44406</v>
      </c>
      <c r="I1117" s="22" t="str">
        <f>VLOOKUP(J1117, Dropdowns!N:O, 2, FALSE)</f>
        <v>Lower Price</v>
      </c>
      <c r="J1117" t="s">
        <v>759</v>
      </c>
      <c r="L1117" s="17" t="s">
        <v>732</v>
      </c>
      <c r="M1117" s="17" t="s">
        <v>738</v>
      </c>
      <c r="N1117" s="17">
        <v>2</v>
      </c>
    </row>
    <row r="1118" spans="1:14" x14ac:dyDescent="0.25">
      <c r="A1118" s="10">
        <v>985760</v>
      </c>
      <c r="B1118" s="22" t="str">
        <f>IFERROR(VLOOKUP(A1118,VLOOKUPS!$A$2:B$12589,2,FALSE),"")</f>
        <v>Asparagus 1lb-standard</v>
      </c>
      <c r="E1118">
        <v>2.29</v>
      </c>
      <c r="F1118">
        <v>2.99</v>
      </c>
      <c r="G1118" s="13">
        <v>44407</v>
      </c>
      <c r="H1118" s="13"/>
      <c r="I1118" s="22" t="str">
        <f>VLOOKUP(J1118, Dropdowns!N:O, 2, FALSE)</f>
        <v>Standard</v>
      </c>
      <c r="J1118" t="s">
        <v>760</v>
      </c>
      <c r="L1118" s="17" t="s">
        <v>732</v>
      </c>
      <c r="M1118" s="17" t="s">
        <v>738</v>
      </c>
      <c r="N1118" s="17">
        <v>2</v>
      </c>
    </row>
    <row r="1119" spans="1:14" x14ac:dyDescent="0.25">
      <c r="A1119" s="10">
        <v>995002</v>
      </c>
      <c r="B1119" s="22" t="str">
        <f>IFERROR(VLOOKUP(A1119,VLOOKUPS!$A$2:B$12589,2,FALSE),"")</f>
        <v>Butter Blend 6oz-standard</v>
      </c>
      <c r="E1119">
        <v>2.29</v>
      </c>
      <c r="F1119">
        <v>1.29</v>
      </c>
      <c r="G1119" s="13">
        <v>44405</v>
      </c>
      <c r="H1119" s="13">
        <v>44406</v>
      </c>
      <c r="I1119" s="22" t="str">
        <f>VLOOKUP(J1119, Dropdowns!N:O, 2, FALSE)</f>
        <v>Lower Price</v>
      </c>
      <c r="J1119" t="s">
        <v>759</v>
      </c>
      <c r="L1119" s="17" t="s">
        <v>733</v>
      </c>
      <c r="M1119" s="17" t="s">
        <v>11</v>
      </c>
      <c r="N1119" s="17" t="s">
        <v>740</v>
      </c>
    </row>
    <row r="1120" spans="1:14" x14ac:dyDescent="0.25">
      <c r="A1120" s="10">
        <v>995002</v>
      </c>
      <c r="B1120" s="22" t="str">
        <f>IFERROR(VLOOKUP(A1120,VLOOKUPS!$A$2:B$12589,2,FALSE),"")</f>
        <v>Butter Blend 6oz-standard</v>
      </c>
      <c r="E1120">
        <v>1.29</v>
      </c>
      <c r="F1120">
        <v>2.29</v>
      </c>
      <c r="G1120" s="13">
        <v>44407</v>
      </c>
      <c r="H1120" s="13"/>
      <c r="I1120" s="22" t="str">
        <f>VLOOKUP(J1120, Dropdowns!N:O, 2, FALSE)</f>
        <v>Standard</v>
      </c>
      <c r="J1120" t="s">
        <v>760</v>
      </c>
      <c r="L1120" s="17" t="s">
        <v>733</v>
      </c>
      <c r="M1120" s="17" t="s">
        <v>11</v>
      </c>
      <c r="N1120" s="17" t="s">
        <v>740</v>
      </c>
    </row>
    <row r="1121" spans="1:14" x14ac:dyDescent="0.25">
      <c r="A1121" s="10">
        <v>995022</v>
      </c>
      <c r="B1121" s="22" t="str">
        <f>IFERROR(VLOOKUP(A1121,VLOOKUPS!$A$2:B$12589,2,FALSE),"")</f>
        <v>American Blend 12oz-standard</v>
      </c>
      <c r="E1121">
        <v>1.99</v>
      </c>
      <c r="F1121">
        <v>0.99</v>
      </c>
      <c r="G1121" s="13">
        <v>44405</v>
      </c>
      <c r="H1121" s="13">
        <v>44406</v>
      </c>
      <c r="I1121" s="22" t="str">
        <f>VLOOKUP(J1121, Dropdowns!N:O, 2, FALSE)</f>
        <v>Lower Price</v>
      </c>
      <c r="J1121" t="s">
        <v>759</v>
      </c>
      <c r="L1121" s="17" t="s">
        <v>732</v>
      </c>
      <c r="M1121" s="17" t="s">
        <v>10</v>
      </c>
      <c r="N1121" s="17">
        <v>2</v>
      </c>
    </row>
    <row r="1122" spans="1:14" x14ac:dyDescent="0.25">
      <c r="A1122" s="10">
        <v>995022</v>
      </c>
      <c r="B1122" s="22" t="str">
        <f>IFERROR(VLOOKUP(A1122,VLOOKUPS!$A$2:B$12589,2,FALSE),"")</f>
        <v>American Blend 12oz-standard</v>
      </c>
      <c r="E1122">
        <v>0.99</v>
      </c>
      <c r="F1122">
        <v>1.99</v>
      </c>
      <c r="G1122" s="13">
        <v>44407</v>
      </c>
      <c r="H1122" s="13"/>
      <c r="I1122" s="22" t="str">
        <f>VLOOKUP(J1122, Dropdowns!N:O, 2, FALSE)</f>
        <v>Standard</v>
      </c>
      <c r="J1122" t="s">
        <v>760</v>
      </c>
      <c r="L1122" s="17" t="s">
        <v>732</v>
      </c>
      <c r="M1122" s="17" t="s">
        <v>10</v>
      </c>
      <c r="N1122" s="17">
        <v>2</v>
      </c>
    </row>
    <row r="1123" spans="1:14" x14ac:dyDescent="0.25">
      <c r="A1123" s="10">
        <v>995027</v>
      </c>
      <c r="B1123" s="22" t="str">
        <f>IFERROR(VLOOKUP(A1123,VLOOKUPS!$A$2:B$12589,2,FALSE),"")</f>
        <v>XL Baby Spinach 16oz-standard</v>
      </c>
      <c r="E1123">
        <v>4.1900000000000004</v>
      </c>
      <c r="F1123">
        <v>3.19</v>
      </c>
      <c r="G1123" s="13">
        <v>44405</v>
      </c>
      <c r="H1123" s="13">
        <v>44406</v>
      </c>
      <c r="I1123" s="22" t="str">
        <f>VLOOKUP(J1123, Dropdowns!N:O, 2, FALSE)</f>
        <v>Lower Price</v>
      </c>
      <c r="J1123" t="s">
        <v>759</v>
      </c>
      <c r="L1123" s="17" t="s">
        <v>733</v>
      </c>
      <c r="M1123" s="17" t="s">
        <v>11</v>
      </c>
      <c r="N1123" s="17" t="s">
        <v>740</v>
      </c>
    </row>
    <row r="1124" spans="1:14" x14ac:dyDescent="0.25">
      <c r="A1124" s="10">
        <v>995027</v>
      </c>
      <c r="B1124" s="22" t="str">
        <f>IFERROR(VLOOKUP(A1124,VLOOKUPS!$A$2:B$12589,2,FALSE),"")</f>
        <v>XL Baby Spinach 16oz-standard</v>
      </c>
      <c r="E1124">
        <v>3.19</v>
      </c>
      <c r="F1124">
        <v>4.1900000000000004</v>
      </c>
      <c r="G1124" s="13">
        <v>44407</v>
      </c>
      <c r="H1124" s="13"/>
      <c r="I1124" s="22" t="str">
        <f>VLOOKUP(J1124, Dropdowns!N:O, 2, FALSE)</f>
        <v>Standard</v>
      </c>
      <c r="J1124" t="s">
        <v>760</v>
      </c>
      <c r="L1124" s="17" t="s">
        <v>733</v>
      </c>
      <c r="M1124" s="17" t="s">
        <v>11</v>
      </c>
      <c r="N1124" s="17" t="s">
        <v>740</v>
      </c>
    </row>
    <row r="1125" spans="1:14" x14ac:dyDescent="0.25">
      <c r="A1125" s="10">
        <v>995053</v>
      </c>
      <c r="B1125" s="22" t="str">
        <f>IFERROR(VLOOKUP(A1125,VLOOKUPS!$A$2:B$12589,2,FALSE),"")</f>
        <v>Fresh Chopped Salsa Pico 16oz-standard</v>
      </c>
      <c r="E1125">
        <v>4.49</v>
      </c>
      <c r="F1125">
        <v>3.49</v>
      </c>
      <c r="G1125" s="13">
        <v>44405</v>
      </c>
      <c r="H1125" s="13">
        <v>44406</v>
      </c>
      <c r="I1125" s="22" t="str">
        <f>VLOOKUP(J1125, Dropdowns!N:O, 2, FALSE)</f>
        <v>Lower Price</v>
      </c>
      <c r="J1125" t="s">
        <v>759</v>
      </c>
      <c r="L1125" s="17" t="s">
        <v>732</v>
      </c>
      <c r="M1125" s="17" t="s">
        <v>738</v>
      </c>
      <c r="N1125" s="17">
        <v>2</v>
      </c>
    </row>
    <row r="1126" spans="1:14" x14ac:dyDescent="0.25">
      <c r="A1126" s="10">
        <v>995053</v>
      </c>
      <c r="B1126" s="22" t="str">
        <f>IFERROR(VLOOKUP(A1126,VLOOKUPS!$A$2:B$12589,2,FALSE),"")</f>
        <v>Fresh Chopped Salsa Pico 16oz-standard</v>
      </c>
      <c r="E1126">
        <v>3.49</v>
      </c>
      <c r="F1126">
        <v>4.49</v>
      </c>
      <c r="G1126" s="13">
        <v>44407</v>
      </c>
      <c r="H1126" s="13"/>
      <c r="I1126" s="22" t="str">
        <f>VLOOKUP(J1126, Dropdowns!N:O, 2, FALSE)</f>
        <v>Standard</v>
      </c>
      <c r="J1126" t="s">
        <v>760</v>
      </c>
      <c r="L1126" s="17" t="s">
        <v>732</v>
      </c>
      <c r="M1126" s="17" t="s">
        <v>738</v>
      </c>
      <c r="N1126" s="17">
        <v>2</v>
      </c>
    </row>
    <row r="1127" spans="1:14" x14ac:dyDescent="0.25">
      <c r="A1127" s="10">
        <v>995085</v>
      </c>
      <c r="B1127" s="22" t="str">
        <f>IFERROR(VLOOKUP(A1127,VLOOKUPS!$A$2:B$12589,2,FALSE),"")</f>
        <v>Sugar Snap Peas 8oz-standard</v>
      </c>
      <c r="E1127">
        <v>2.39</v>
      </c>
      <c r="F1127">
        <v>1.49</v>
      </c>
      <c r="G1127" s="13">
        <v>44405</v>
      </c>
      <c r="H1127" s="13">
        <v>44406</v>
      </c>
      <c r="I1127" s="22" t="str">
        <f>VLOOKUP(J1127, Dropdowns!N:O, 2, FALSE)</f>
        <v>Lower Price</v>
      </c>
      <c r="J1127" t="s">
        <v>759</v>
      </c>
      <c r="L1127" s="17" t="s">
        <v>732</v>
      </c>
      <c r="M1127" s="17" t="s">
        <v>737</v>
      </c>
      <c r="N1127" s="17">
        <v>8</v>
      </c>
    </row>
    <row r="1128" spans="1:14" x14ac:dyDescent="0.25">
      <c r="A1128" s="10">
        <v>995085</v>
      </c>
      <c r="B1128" s="22" t="str">
        <f>IFERROR(VLOOKUP(A1128,VLOOKUPS!$A$2:B$12589,2,FALSE),"")</f>
        <v>Sugar Snap Peas 8oz-standard</v>
      </c>
      <c r="E1128">
        <v>2.59</v>
      </c>
      <c r="F1128">
        <v>1.69</v>
      </c>
      <c r="G1128" s="13">
        <v>44405</v>
      </c>
      <c r="H1128" s="13">
        <v>44406</v>
      </c>
      <c r="I1128" s="22" t="str">
        <f>VLOOKUP(J1128, Dropdowns!N:O, 2, FALSE)</f>
        <v>Lower Price</v>
      </c>
      <c r="J1128" t="s">
        <v>759</v>
      </c>
      <c r="L1128" s="17" t="s">
        <v>734</v>
      </c>
      <c r="M1128" s="17" t="s">
        <v>9</v>
      </c>
      <c r="N1128" s="17" t="s">
        <v>741</v>
      </c>
    </row>
    <row r="1129" spans="1:14" x14ac:dyDescent="0.25">
      <c r="A1129" s="10">
        <v>995085</v>
      </c>
      <c r="B1129" s="22" t="str">
        <f>IFERROR(VLOOKUP(A1129,VLOOKUPS!$A$2:B$12589,2,FALSE),"")</f>
        <v>Sugar Snap Peas 8oz-standard</v>
      </c>
      <c r="E1129">
        <v>1.49</v>
      </c>
      <c r="F1129">
        <v>2.39</v>
      </c>
      <c r="G1129" s="13">
        <v>44407</v>
      </c>
      <c r="H1129" s="13"/>
      <c r="I1129" s="22" t="str">
        <f>VLOOKUP(J1129, Dropdowns!N:O, 2, FALSE)</f>
        <v>Standard</v>
      </c>
      <c r="J1129" t="s">
        <v>760</v>
      </c>
      <c r="L1129" s="17" t="s">
        <v>732</v>
      </c>
      <c r="M1129" s="17" t="s">
        <v>737</v>
      </c>
      <c r="N1129" s="17">
        <v>8</v>
      </c>
    </row>
    <row r="1130" spans="1:14" x14ac:dyDescent="0.25">
      <c r="A1130" s="10">
        <v>995085</v>
      </c>
      <c r="B1130" s="22" t="str">
        <f>IFERROR(VLOOKUP(A1130,VLOOKUPS!$A$2:B$12589,2,FALSE),"")</f>
        <v>Sugar Snap Peas 8oz-standard</v>
      </c>
      <c r="E1130">
        <v>1.69</v>
      </c>
      <c r="F1130">
        <v>2.59</v>
      </c>
      <c r="G1130" s="13">
        <v>44407</v>
      </c>
      <c r="H1130" s="13"/>
      <c r="I1130" s="22" t="str">
        <f>VLOOKUP(J1130, Dropdowns!N:O, 2, FALSE)</f>
        <v>Standard</v>
      </c>
      <c r="J1130" t="s">
        <v>760</v>
      </c>
      <c r="L1130" s="17" t="s">
        <v>734</v>
      </c>
      <c r="M1130" s="17" t="s">
        <v>9</v>
      </c>
      <c r="N1130" s="17" t="s">
        <v>741</v>
      </c>
    </row>
    <row r="1131" spans="1:14" x14ac:dyDescent="0.25">
      <c r="A1131" s="10">
        <v>995100</v>
      </c>
      <c r="B1131" s="22" t="str">
        <f>IFERROR(VLOOKUP(A1131,VLOOKUPS!$A$2:B$12589,2,FALSE),"")</f>
        <v>Asian Chopped Salad Kit 12oz-standard</v>
      </c>
      <c r="E1131">
        <v>3.29</v>
      </c>
      <c r="F1131">
        <v>2.4900000000000002</v>
      </c>
      <c r="G1131" s="13">
        <v>44405</v>
      </c>
      <c r="H1131" s="13">
        <v>44406</v>
      </c>
      <c r="I1131" s="22" t="str">
        <f>VLOOKUP(J1131, Dropdowns!N:O, 2, FALSE)</f>
        <v>Lower Price</v>
      </c>
      <c r="J1131" t="s">
        <v>759</v>
      </c>
      <c r="L1131" s="17" t="s">
        <v>732</v>
      </c>
      <c r="M1131" s="17" t="s">
        <v>738</v>
      </c>
      <c r="N1131" s="17">
        <v>2</v>
      </c>
    </row>
    <row r="1132" spans="1:14" x14ac:dyDescent="0.25">
      <c r="A1132" s="10">
        <v>995100</v>
      </c>
      <c r="B1132" s="22" t="str">
        <f>IFERROR(VLOOKUP(A1132,VLOOKUPS!$A$2:B$12589,2,FALSE),"")</f>
        <v>Asian Chopped Salad Kit 12oz-standard</v>
      </c>
      <c r="E1132">
        <v>2.4900000000000002</v>
      </c>
      <c r="F1132">
        <v>3.29</v>
      </c>
      <c r="G1132" s="13">
        <v>44407</v>
      </c>
      <c r="H1132" s="13"/>
      <c r="I1132" s="22" t="str">
        <f>VLOOKUP(J1132, Dropdowns!N:O, 2, FALSE)</f>
        <v>Standard</v>
      </c>
      <c r="J1132" t="s">
        <v>760</v>
      </c>
      <c r="L1132" s="17" t="s">
        <v>732</v>
      </c>
      <c r="M1132" s="17" t="s">
        <v>738</v>
      </c>
      <c r="N1132" s="17">
        <v>2</v>
      </c>
    </row>
    <row r="1133" spans="1:14" x14ac:dyDescent="0.25">
      <c r="A1133" s="10">
        <v>995131</v>
      </c>
      <c r="B1133" s="22" t="str">
        <f>IFERROR(VLOOKUP(A1133,VLOOKUPS!$A$2:B$12589,2,FALSE),"")</f>
        <v>Organic Baby Spinach &amp; Baby Kale 5oz-standard</v>
      </c>
      <c r="E1133">
        <v>2.56</v>
      </c>
      <c r="F1133">
        <v>1.66</v>
      </c>
      <c r="G1133" s="13">
        <v>44405</v>
      </c>
      <c r="H1133" s="13">
        <v>44406</v>
      </c>
      <c r="I1133" s="22" t="str">
        <f>VLOOKUP(J1133, Dropdowns!N:O, 2, FALSE)</f>
        <v>Lower Price</v>
      </c>
      <c r="J1133" t="s">
        <v>759</v>
      </c>
      <c r="L1133" s="17" t="s">
        <v>733</v>
      </c>
      <c r="M1133" s="17" t="s">
        <v>11</v>
      </c>
      <c r="N1133" s="17" t="s">
        <v>740</v>
      </c>
    </row>
    <row r="1134" spans="1:14" x14ac:dyDescent="0.25">
      <c r="A1134" s="10">
        <v>995131</v>
      </c>
      <c r="B1134" s="22" t="str">
        <f>IFERROR(VLOOKUP(A1134,VLOOKUPS!$A$2:B$12589,2,FALSE),"")</f>
        <v>Organic Baby Spinach &amp; Baby Kale 5oz-standard</v>
      </c>
      <c r="E1134">
        <v>1.66</v>
      </c>
      <c r="F1134">
        <v>2.56</v>
      </c>
      <c r="G1134" s="13">
        <v>44407</v>
      </c>
      <c r="H1134" s="13"/>
      <c r="I1134" s="22" t="str">
        <f>VLOOKUP(J1134, Dropdowns!N:O, 2, FALSE)</f>
        <v>Standard</v>
      </c>
      <c r="J1134" t="s">
        <v>760</v>
      </c>
      <c r="L1134" s="17" t="s">
        <v>733</v>
      </c>
      <c r="M1134" s="17" t="s">
        <v>11</v>
      </c>
      <c r="N1134" s="17" t="s">
        <v>740</v>
      </c>
    </row>
    <row r="1135" spans="1:14" x14ac:dyDescent="0.25">
      <c r="A1135" s="10">
        <v>995134</v>
      </c>
      <c r="B1135" s="22" t="str">
        <f>IFERROR(VLOOKUP(A1135,VLOOKUPS!$A$2:B$12589,2,FALSE),"")</f>
        <v>Mirepoix 10oz-standard</v>
      </c>
      <c r="E1135">
        <v>2.62</v>
      </c>
      <c r="F1135">
        <v>1.62</v>
      </c>
      <c r="G1135" s="13">
        <v>44405</v>
      </c>
      <c r="H1135" s="13">
        <v>44406</v>
      </c>
      <c r="I1135" s="22" t="str">
        <f>VLOOKUP(J1135, Dropdowns!N:O, 2, FALSE)</f>
        <v>Lower Price</v>
      </c>
      <c r="J1135" t="s">
        <v>759</v>
      </c>
      <c r="L1135" s="17" t="s">
        <v>733</v>
      </c>
      <c r="M1135" s="17" t="s">
        <v>11</v>
      </c>
      <c r="N1135" s="17" t="s">
        <v>740</v>
      </c>
    </row>
    <row r="1136" spans="1:14" x14ac:dyDescent="0.25">
      <c r="A1136" s="10">
        <v>995134</v>
      </c>
      <c r="B1136" s="22" t="str">
        <f>IFERROR(VLOOKUP(A1136,VLOOKUPS!$A$2:B$12589,2,FALSE),"")</f>
        <v>Mirepoix 10oz-standard</v>
      </c>
      <c r="E1136">
        <v>1.62</v>
      </c>
      <c r="F1136">
        <v>2.62</v>
      </c>
      <c r="G1136" s="13">
        <v>44407</v>
      </c>
      <c r="H1136" s="13"/>
      <c r="I1136" s="22" t="str">
        <f>VLOOKUP(J1136, Dropdowns!N:O, 2, FALSE)</f>
        <v>Standard</v>
      </c>
      <c r="J1136" t="s">
        <v>760</v>
      </c>
      <c r="L1136" s="17" t="s">
        <v>733</v>
      </c>
      <c r="M1136" s="17" t="s">
        <v>11</v>
      </c>
      <c r="N1136" s="17" t="s">
        <v>740</v>
      </c>
    </row>
    <row r="1137" spans="1:14" x14ac:dyDescent="0.25">
      <c r="A1137" s="10">
        <v>995142</v>
      </c>
      <c r="B1137" s="22" t="str">
        <f>IFERROR(VLOOKUP(A1137,VLOOKUPS!$A$2:B$12589,2,FALSE),"")</f>
        <v>Mango Pico De Gallo 16oz-standard</v>
      </c>
      <c r="E1137">
        <v>4.49</v>
      </c>
      <c r="F1137">
        <v>3.49</v>
      </c>
      <c r="G1137" s="13">
        <v>44405</v>
      </c>
      <c r="H1137" s="13">
        <v>44406</v>
      </c>
      <c r="I1137" s="22" t="str">
        <f>VLOOKUP(J1137, Dropdowns!N:O, 2, FALSE)</f>
        <v>Lower Price</v>
      </c>
      <c r="J1137" t="s">
        <v>759</v>
      </c>
      <c r="L1137" s="17" t="s">
        <v>732</v>
      </c>
      <c r="M1137" s="17" t="s">
        <v>736</v>
      </c>
      <c r="N1137" s="17" t="s">
        <v>736</v>
      </c>
    </row>
    <row r="1138" spans="1:14" x14ac:dyDescent="0.25">
      <c r="A1138" s="10">
        <v>995142</v>
      </c>
      <c r="B1138" s="22" t="str">
        <f>IFERROR(VLOOKUP(A1138,VLOOKUPS!$A$2:B$12589,2,FALSE),"")</f>
        <v>Mango Pico De Gallo 16oz-standard</v>
      </c>
      <c r="E1138">
        <v>3.49</v>
      </c>
      <c r="F1138">
        <v>4.49</v>
      </c>
      <c r="G1138" s="13">
        <v>44407</v>
      </c>
      <c r="H1138" s="13"/>
      <c r="I1138" s="22" t="str">
        <f>VLOOKUP(J1138, Dropdowns!N:O, 2, FALSE)</f>
        <v>Standard</v>
      </c>
      <c r="J1138" t="s">
        <v>760</v>
      </c>
      <c r="L1138" s="17" t="s">
        <v>732</v>
      </c>
      <c r="M1138" s="17" t="s">
        <v>736</v>
      </c>
      <c r="N1138" s="17" t="s">
        <v>736</v>
      </c>
    </row>
    <row r="1139" spans="1:14" x14ac:dyDescent="0.25">
      <c r="A1139" s="10">
        <v>984542</v>
      </c>
      <c r="B1139" s="22" t="str">
        <f>IFERROR(VLOOKUP(A1139,VLOOKUPS!$A$2:B$12589,2,FALSE),"")</f>
        <v>Blueberries 18oz-standard</v>
      </c>
      <c r="G1139" s="13">
        <v>44405</v>
      </c>
      <c r="H1139" s="13">
        <v>44405</v>
      </c>
      <c r="I1139" s="22" t="str">
        <f>VLOOKUP(J1139, Dropdowns!N:O, 2, FALSE)</f>
        <v>Lower Price</v>
      </c>
      <c r="J1139" t="s">
        <v>762</v>
      </c>
      <c r="L1139" s="17" t="s">
        <v>732</v>
      </c>
      <c r="M1139" s="17" t="s">
        <v>736</v>
      </c>
      <c r="N1139" s="17" t="s">
        <v>736</v>
      </c>
    </row>
    <row r="1140" spans="1:14" x14ac:dyDescent="0.25">
      <c r="A1140" s="10">
        <v>986250</v>
      </c>
      <c r="B1140" s="22" t="str">
        <f>IFERROR(VLOOKUP(A1140,VLOOKUPS!$A$2:B$12589,2,FALSE),"")</f>
        <v>French Beans 1lb-standard</v>
      </c>
      <c r="E1140">
        <v>1.79</v>
      </c>
      <c r="F1140">
        <v>2.99</v>
      </c>
      <c r="G1140" s="13">
        <v>44405</v>
      </c>
      <c r="H1140" s="13"/>
      <c r="I1140" s="22" t="str">
        <f>VLOOKUP(J1140, Dropdowns!N:O, 2, FALSE)</f>
        <v>Standard</v>
      </c>
      <c r="J1140" t="s">
        <v>760</v>
      </c>
      <c r="L1140" s="17" t="s">
        <v>732</v>
      </c>
      <c r="M1140" s="17" t="s">
        <v>737</v>
      </c>
      <c r="N1140" s="17" t="s">
        <v>736</v>
      </c>
    </row>
    <row r="1141" spans="1:14" x14ac:dyDescent="0.25">
      <c r="A1141" s="10">
        <v>986250</v>
      </c>
      <c r="B1141" s="22" t="str">
        <f>IFERROR(VLOOKUP(A1141,VLOOKUPS!$A$2:B$12589,2,FALSE),"")</f>
        <v>French Beans 1lb-standard</v>
      </c>
      <c r="G1141" s="13">
        <v>44405</v>
      </c>
      <c r="H1141" s="13">
        <v>44406</v>
      </c>
      <c r="I1141" s="22" t="str">
        <f>VLOOKUP(J1141, Dropdowns!N:O, 2, FALSE)</f>
        <v>Lower Price</v>
      </c>
      <c r="J1141" t="s">
        <v>762</v>
      </c>
      <c r="L1141" s="17" t="s">
        <v>732</v>
      </c>
      <c r="M1141" s="17" t="s">
        <v>10</v>
      </c>
      <c r="N1141" s="17">
        <v>2</v>
      </c>
    </row>
    <row r="1142" spans="1:14" x14ac:dyDescent="0.25">
      <c r="A1142" s="10">
        <v>995041</v>
      </c>
      <c r="B1142" s="22" t="str">
        <f>IFERROR(VLOOKUP(A1142,VLOOKUPS!$A$2:B$12589,2,FALSE),"")</f>
        <v>Pineapple Spears 16oz-standard</v>
      </c>
      <c r="E1142">
        <v>1.79</v>
      </c>
      <c r="F1142">
        <v>3.49</v>
      </c>
      <c r="G1142" s="13">
        <v>44405</v>
      </c>
      <c r="H1142" s="13"/>
      <c r="I1142" s="22" t="str">
        <f>VLOOKUP(J1142, Dropdowns!N:O, 2, FALSE)</f>
        <v>Standard</v>
      </c>
      <c r="J1142" t="s">
        <v>760</v>
      </c>
      <c r="L1142" s="17" t="s">
        <v>732</v>
      </c>
      <c r="M1142" s="17" t="s">
        <v>10</v>
      </c>
      <c r="N1142" s="17">
        <v>2</v>
      </c>
    </row>
    <row r="1143" spans="1:14" x14ac:dyDescent="0.25">
      <c r="A1143" s="10">
        <v>995041</v>
      </c>
      <c r="B1143" s="22" t="str">
        <f>IFERROR(VLOOKUP(A1143,VLOOKUPS!$A$2:B$12589,2,FALSE),"")</f>
        <v>Pineapple Spears 16oz-standard</v>
      </c>
      <c r="G1143" s="13">
        <v>44405</v>
      </c>
      <c r="H1143" s="13">
        <v>44406</v>
      </c>
      <c r="I1143" s="22" t="str">
        <f>VLOOKUP(J1143, Dropdowns!N:O, 2, FALSE)</f>
        <v>Lower Price</v>
      </c>
      <c r="J1143" t="s">
        <v>762</v>
      </c>
      <c r="L1143" s="17" t="s">
        <v>732</v>
      </c>
      <c r="M1143" s="17" t="s">
        <v>737</v>
      </c>
      <c r="N1143" s="17" t="s">
        <v>736</v>
      </c>
    </row>
    <row r="1144" spans="1:14" x14ac:dyDescent="0.25">
      <c r="A1144" s="10">
        <v>995042</v>
      </c>
      <c r="B1144" s="22" t="str">
        <f>IFERROR(VLOOKUP(A1144,VLOOKUPS!$A$2:B$12589,2,FALSE),"")</f>
        <v>Mango Chunks 16oz-standard</v>
      </c>
      <c r="E1144">
        <v>3.49</v>
      </c>
      <c r="F1144">
        <v>4.29</v>
      </c>
      <c r="G1144" s="13">
        <v>44405</v>
      </c>
      <c r="H1144" s="13"/>
      <c r="I1144" s="22" t="str">
        <f>VLOOKUP(J1144, Dropdowns!N:O, 2, FALSE)</f>
        <v>Standard</v>
      </c>
      <c r="J1144" t="s">
        <v>760</v>
      </c>
      <c r="L1144" s="17" t="s">
        <v>732</v>
      </c>
      <c r="M1144" s="17" t="s">
        <v>735</v>
      </c>
      <c r="N1144" s="17" t="s">
        <v>736</v>
      </c>
    </row>
    <row r="1145" spans="1:14" x14ac:dyDescent="0.25">
      <c r="A1145" s="10">
        <v>995042</v>
      </c>
      <c r="B1145" s="22" t="str">
        <f>IFERROR(VLOOKUP(A1145,VLOOKUPS!$A$2:B$12589,2,FALSE),"")</f>
        <v>Mango Chunks 16oz-standard</v>
      </c>
      <c r="G1145" s="13">
        <v>44405</v>
      </c>
      <c r="H1145" s="13">
        <v>44405</v>
      </c>
      <c r="I1145" s="22" t="str">
        <f>VLOOKUP(J1145, Dropdowns!N:O, 2, FALSE)</f>
        <v>Lower Price</v>
      </c>
      <c r="J1145" t="s">
        <v>762</v>
      </c>
      <c r="L1145" s="17" t="s">
        <v>733</v>
      </c>
      <c r="M1145" s="17" t="s">
        <v>11</v>
      </c>
      <c r="N1145" s="17" t="s">
        <v>740</v>
      </c>
    </row>
    <row r="1146" spans="1:14" x14ac:dyDescent="0.25">
      <c r="A1146" s="10">
        <v>995084</v>
      </c>
      <c r="B1146" s="22" t="str">
        <f>IFERROR(VLOOKUP(A1146,VLOOKUPS!$A$2:B$12589,2,FALSE),"")</f>
        <v>Eat Smart Green Beans 12oz-standard</v>
      </c>
      <c r="G1146" s="13">
        <v>44405</v>
      </c>
      <c r="H1146" s="13">
        <v>44407</v>
      </c>
      <c r="I1146" s="22" t="str">
        <f>VLOOKUP(J1146, Dropdowns!N:O, 2, FALSE)</f>
        <v>Lower Price</v>
      </c>
      <c r="J1146" t="s">
        <v>762</v>
      </c>
      <c r="L1146" s="17" t="s">
        <v>732</v>
      </c>
      <c r="M1146" s="17" t="s">
        <v>736</v>
      </c>
      <c r="N1146" s="17" t="s">
        <v>736</v>
      </c>
    </row>
    <row r="1147" spans="1:14" x14ac:dyDescent="0.25">
      <c r="A1147" s="10">
        <v>995010</v>
      </c>
      <c r="B1147" s="22" t="str">
        <f>IFERROR(VLOOKUP(A1147,VLOOKUPS!$A$2:B$12589,2,FALSE),"")</f>
        <v>RTE Turkey Bacon Cobb Salad 7.25oz-standard</v>
      </c>
      <c r="E1147">
        <v>2.89</v>
      </c>
      <c r="F1147">
        <v>2.89</v>
      </c>
      <c r="G1147" s="13">
        <v>44405</v>
      </c>
      <c r="H1147" s="13"/>
      <c r="I1147" s="22" t="str">
        <f>VLOOKUP(J1147, Dropdowns!N:O, 2, FALSE)</f>
        <v>Standard</v>
      </c>
      <c r="J1147" t="s">
        <v>760</v>
      </c>
      <c r="L1147" s="17" t="s">
        <v>733</v>
      </c>
      <c r="M1147" s="17" t="s">
        <v>736</v>
      </c>
      <c r="N1147" s="17" t="s">
        <v>740</v>
      </c>
    </row>
    <row r="1148" spans="1:14" x14ac:dyDescent="0.25">
      <c r="A1148" s="10">
        <v>995010</v>
      </c>
      <c r="B1148" s="22" t="str">
        <f>IFERROR(VLOOKUP(A1148,VLOOKUPS!$A$2:B$12589,2,FALSE),"")</f>
        <v>RTE Turkey Bacon Cobb Salad 7.25oz-standard</v>
      </c>
      <c r="E1148">
        <v>2.99</v>
      </c>
      <c r="F1148">
        <v>2.99</v>
      </c>
      <c r="G1148" s="13">
        <v>44405</v>
      </c>
      <c r="H1148" s="13"/>
      <c r="I1148" s="22" t="str">
        <f>VLOOKUP(J1148, Dropdowns!N:O, 2, FALSE)</f>
        <v>Standard</v>
      </c>
      <c r="J1148" t="s">
        <v>760</v>
      </c>
      <c r="L1148" s="17" t="s">
        <v>734</v>
      </c>
      <c r="M1148" s="17" t="s">
        <v>735</v>
      </c>
      <c r="N1148" s="17" t="s">
        <v>736</v>
      </c>
    </row>
    <row r="1149" spans="1:14" x14ac:dyDescent="0.25">
      <c r="A1149" s="10">
        <v>995015</v>
      </c>
      <c r="B1149" s="22" t="str">
        <f>IFERROR(VLOOKUP(A1149,VLOOKUPS!$A$2:B$12589,2,FALSE),"")</f>
        <v>Savory Spinach Dijon Salad 4.9oz-standard</v>
      </c>
      <c r="E1149">
        <v>2.89</v>
      </c>
      <c r="F1149">
        <v>2.89</v>
      </c>
      <c r="G1149" s="13">
        <v>44405</v>
      </c>
      <c r="H1149" s="13"/>
      <c r="I1149" s="22" t="str">
        <f>VLOOKUP(J1149, Dropdowns!N:O, 2, FALSE)</f>
        <v>Standard</v>
      </c>
      <c r="J1149" t="s">
        <v>760</v>
      </c>
      <c r="L1149" s="17" t="s">
        <v>733</v>
      </c>
      <c r="M1149" s="17" t="s">
        <v>736</v>
      </c>
      <c r="N1149" s="17" t="s">
        <v>740</v>
      </c>
    </row>
    <row r="1150" spans="1:14" x14ac:dyDescent="0.25">
      <c r="A1150" s="10">
        <v>995015</v>
      </c>
      <c r="B1150" s="22" t="str">
        <f>IFERROR(VLOOKUP(A1150,VLOOKUPS!$A$2:B$12589,2,FALSE),"")</f>
        <v>Savory Spinach Dijon Salad 4.9oz-standard</v>
      </c>
      <c r="E1150">
        <v>2.99</v>
      </c>
      <c r="F1150">
        <v>2.99</v>
      </c>
      <c r="G1150" s="13">
        <v>44405</v>
      </c>
      <c r="H1150" s="13"/>
      <c r="I1150" s="22" t="str">
        <f>VLOOKUP(J1150, Dropdowns!N:O, 2, FALSE)</f>
        <v>Standard</v>
      </c>
      <c r="J1150" t="s">
        <v>760</v>
      </c>
      <c r="L1150" s="17" t="s">
        <v>734</v>
      </c>
      <c r="M1150" s="17" t="s">
        <v>735</v>
      </c>
      <c r="N1150" s="17" t="s">
        <v>736</v>
      </c>
    </row>
    <row r="1151" spans="1:14" x14ac:dyDescent="0.25">
      <c r="A1151" s="10">
        <v>995000</v>
      </c>
      <c r="B1151" s="22" t="str">
        <f>IFERROR(VLOOKUP(A1151,VLOOKUPS!$A$2:B$12589,2,FALSE),"")</f>
        <v>Spring Mix 5oz-standard</v>
      </c>
      <c r="G1151" s="13">
        <v>44405</v>
      </c>
      <c r="H1151" s="13">
        <v>44411</v>
      </c>
      <c r="I1151" s="22" t="str">
        <f>VLOOKUP(J1151, Dropdowns!N:O, 2, FALSE)</f>
        <v>Lower Price</v>
      </c>
      <c r="J1151" t="s">
        <v>753</v>
      </c>
      <c r="L1151" s="17" t="s">
        <v>732</v>
      </c>
      <c r="M1151" s="17" t="s">
        <v>736</v>
      </c>
      <c r="N1151" s="17" t="s">
        <v>736</v>
      </c>
    </row>
    <row r="1152" spans="1:14" x14ac:dyDescent="0.25">
      <c r="A1152" s="10">
        <v>995115</v>
      </c>
      <c r="B1152" s="22" t="str">
        <f>IFERROR(VLOOKUP(A1152,VLOOKUPS!$A$2:B$12589,2,FALSE),"")</f>
        <v>Pineapple Chunks 10oz-standard</v>
      </c>
      <c r="G1152" s="13">
        <v>44405</v>
      </c>
      <c r="H1152" s="13">
        <v>44411</v>
      </c>
      <c r="I1152" s="22" t="str">
        <f>VLOOKUP(J1152, Dropdowns!N:O, 2, FALSE)</f>
        <v>Lower Price</v>
      </c>
      <c r="J1152" t="s">
        <v>753</v>
      </c>
      <c r="L1152" s="17" t="s">
        <v>732</v>
      </c>
      <c r="M1152" s="17" t="s">
        <v>736</v>
      </c>
      <c r="N1152" s="17" t="s">
        <v>736</v>
      </c>
    </row>
    <row r="1153" spans="1:14" x14ac:dyDescent="0.25">
      <c r="A1153" s="10">
        <v>995043</v>
      </c>
      <c r="B1153" s="22" t="str">
        <f>IFERROR(VLOOKUP(A1153,VLOOKUPS!$A$2:B$12589,2,FALSE),"")</f>
        <v>Watermelon Chunks 16oz-standard</v>
      </c>
      <c r="G1153" s="13">
        <v>44405</v>
      </c>
      <c r="H1153" s="13">
        <v>44411</v>
      </c>
      <c r="I1153" s="22" t="str">
        <f>VLOOKUP(J1153, Dropdowns!N:O, 2, FALSE)</f>
        <v>Lower Price</v>
      </c>
      <c r="J1153" t="s">
        <v>753</v>
      </c>
      <c r="L1153" s="17" t="s">
        <v>732</v>
      </c>
      <c r="M1153" s="17" t="s">
        <v>736</v>
      </c>
      <c r="N1153" s="17" t="s">
        <v>736</v>
      </c>
    </row>
    <row r="1154" spans="1:14" x14ac:dyDescent="0.25">
      <c r="A1154" s="10">
        <v>995071</v>
      </c>
      <c r="B1154" s="22" t="str">
        <f>IFERROR(VLOOKUP(A1154,VLOOKUPS!$A$2:B$12589,2,FALSE),"")</f>
        <v>Broccoli Florets 12oz-standard</v>
      </c>
      <c r="G1154" s="13">
        <v>44405</v>
      </c>
      <c r="H1154" s="13">
        <v>44411</v>
      </c>
      <c r="I1154" s="22" t="str">
        <f>VLOOKUP(J1154, Dropdowns!N:O, 2, FALSE)</f>
        <v>Lower Price</v>
      </c>
      <c r="J1154" t="s">
        <v>753</v>
      </c>
      <c r="L1154" s="17" t="s">
        <v>732</v>
      </c>
      <c r="M1154" s="17" t="s">
        <v>736</v>
      </c>
      <c r="N1154" s="17" t="s">
        <v>736</v>
      </c>
    </row>
    <row r="1155" spans="1:14" x14ac:dyDescent="0.25">
      <c r="A1155" s="10">
        <v>995077</v>
      </c>
      <c r="B1155" s="22" t="str">
        <f>IFERROR(VLOOKUP(A1155,VLOOKUPS!$A$2:B$12589,2,FALSE),"")</f>
        <v>Organic Baby Spring Mix 16oz-standard</v>
      </c>
      <c r="E1155">
        <v>4.66</v>
      </c>
      <c r="F1155">
        <v>4.49</v>
      </c>
      <c r="G1155" s="13">
        <v>44406</v>
      </c>
      <c r="H1155" s="13"/>
      <c r="I1155" s="22" t="str">
        <f>VLOOKUP(J1155, Dropdowns!N:O, 2, FALSE)</f>
        <v>Standard</v>
      </c>
      <c r="J1155" t="s">
        <v>761</v>
      </c>
      <c r="L1155" s="17" t="s">
        <v>732</v>
      </c>
      <c r="M1155" s="17" t="s">
        <v>736</v>
      </c>
      <c r="N1155" s="17" t="s">
        <v>736</v>
      </c>
    </row>
    <row r="1156" spans="1:14" x14ac:dyDescent="0.25">
      <c r="A1156" s="10">
        <v>985160</v>
      </c>
      <c r="B1156" s="22" t="str">
        <f>IFERROR(VLOOKUP(A1156,VLOOKUPS!$A$2:B$12589,2,FALSE),"")</f>
        <v>Romaine Hearts 3ct-standard</v>
      </c>
      <c r="E1156">
        <v>1.89</v>
      </c>
      <c r="F1156">
        <v>2.69</v>
      </c>
      <c r="G1156" s="13">
        <v>44407</v>
      </c>
      <c r="H1156" s="13"/>
      <c r="I1156" s="22" t="str">
        <f>VLOOKUP(J1156, Dropdowns!N:O, 2, FALSE)</f>
        <v>Standard</v>
      </c>
      <c r="J1156" t="s">
        <v>760</v>
      </c>
      <c r="L1156" s="17" t="s">
        <v>734</v>
      </c>
      <c r="M1156" s="17" t="s">
        <v>9</v>
      </c>
      <c r="N1156" s="17">
        <v>8</v>
      </c>
    </row>
    <row r="1157" spans="1:14" x14ac:dyDescent="0.25">
      <c r="A1157" s="10">
        <v>983201</v>
      </c>
      <c r="B1157" s="22" t="str">
        <f>IFERROR(VLOOKUP(A1157,VLOOKUPS!$A$2:B$12589,2,FALSE),"")</f>
        <v>Melons* Honeydew 1ct-LOOSE</v>
      </c>
      <c r="E1157">
        <v>3.58</v>
      </c>
      <c r="F1157">
        <v>2.68</v>
      </c>
      <c r="G1157" s="13">
        <v>44406</v>
      </c>
      <c r="H1157" s="13">
        <v>44407</v>
      </c>
      <c r="I1157" s="22" t="str">
        <f>VLOOKUP(J1157, Dropdowns!N:O, 2, FALSE)</f>
        <v>Lower Price</v>
      </c>
      <c r="J1157" t="s">
        <v>759</v>
      </c>
      <c r="L1157" s="17" t="s">
        <v>732</v>
      </c>
      <c r="M1157" s="17" t="s">
        <v>10</v>
      </c>
      <c r="N1157" s="17">
        <v>2</v>
      </c>
    </row>
    <row r="1158" spans="1:14" x14ac:dyDescent="0.25">
      <c r="A1158" s="10">
        <v>983201</v>
      </c>
      <c r="B1158" s="22" t="str">
        <f>IFERROR(VLOOKUP(A1158,VLOOKUPS!$A$2:B$12589,2,FALSE),"")</f>
        <v>Melons* Honeydew 1ct-LOOSE</v>
      </c>
      <c r="E1158">
        <v>2.68</v>
      </c>
      <c r="F1158">
        <v>3.58</v>
      </c>
      <c r="G1158" s="13">
        <v>44408</v>
      </c>
      <c r="H1158" s="13"/>
      <c r="I1158" s="22" t="str">
        <f>VLOOKUP(J1158, Dropdowns!N:O, 2, FALSE)</f>
        <v>Standard</v>
      </c>
      <c r="J1158" t="s">
        <v>760</v>
      </c>
      <c r="L1158" s="17" t="s">
        <v>732</v>
      </c>
      <c r="M1158" s="17" t="s">
        <v>10</v>
      </c>
      <c r="N1158" s="17">
        <v>2</v>
      </c>
    </row>
    <row r="1159" spans="1:14" x14ac:dyDescent="0.25">
      <c r="A1159" s="10">
        <v>985011</v>
      </c>
      <c r="B1159" s="22" t="str">
        <f>IFERROR(VLOOKUP(A1159,VLOOKUPS!$A$2:B$12589,2,FALSE),"")</f>
        <v>Lettuce Butter 1ct-standard</v>
      </c>
      <c r="E1159">
        <v>2.4900000000000002</v>
      </c>
      <c r="F1159">
        <v>1.49</v>
      </c>
      <c r="G1159" s="13">
        <v>44406</v>
      </c>
      <c r="H1159" s="13">
        <v>44407</v>
      </c>
      <c r="I1159" s="22" t="str">
        <f>VLOOKUP(J1159, Dropdowns!N:O, 2, FALSE)</f>
        <v>Lower Price</v>
      </c>
      <c r="J1159" t="s">
        <v>759</v>
      </c>
      <c r="L1159" s="17" t="s">
        <v>732</v>
      </c>
      <c r="M1159" s="17" t="s">
        <v>738</v>
      </c>
      <c r="N1159" s="17">
        <v>2</v>
      </c>
    </row>
    <row r="1160" spans="1:14" x14ac:dyDescent="0.25">
      <c r="A1160" s="10">
        <v>985011</v>
      </c>
      <c r="B1160" s="22" t="str">
        <f>IFERROR(VLOOKUP(A1160,VLOOKUPS!$A$2:B$12589,2,FALSE),"")</f>
        <v>Lettuce Butter 1ct-standard</v>
      </c>
      <c r="E1160">
        <v>1.49</v>
      </c>
      <c r="F1160">
        <v>2.4900000000000002</v>
      </c>
      <c r="G1160" s="13">
        <v>44408</v>
      </c>
      <c r="H1160" s="13"/>
      <c r="I1160" s="22" t="str">
        <f>VLOOKUP(J1160, Dropdowns!N:O, 2, FALSE)</f>
        <v>Standard</v>
      </c>
      <c r="J1160" t="s">
        <v>760</v>
      </c>
      <c r="L1160" s="17" t="s">
        <v>732</v>
      </c>
      <c r="M1160" s="17" t="s">
        <v>738</v>
      </c>
      <c r="N1160" s="17">
        <v>2</v>
      </c>
    </row>
    <row r="1161" spans="1:14" x14ac:dyDescent="0.25">
      <c r="A1161" s="10">
        <v>995021</v>
      </c>
      <c r="B1161" s="22" t="str">
        <f>IFERROR(VLOOKUP(A1161,VLOOKUPS!$A$2:B$12589,2,FALSE),"")</f>
        <v>Chopped Bacon Caesar Kit 10.2oz-standard</v>
      </c>
      <c r="E1161">
        <v>3.29</v>
      </c>
      <c r="F1161">
        <v>2.39</v>
      </c>
      <c r="G1161" s="13">
        <v>44406</v>
      </c>
      <c r="H1161" s="13">
        <v>44407</v>
      </c>
      <c r="I1161" s="22" t="str">
        <f>VLOOKUP(J1161, Dropdowns!N:O, 2, FALSE)</f>
        <v>Lower Price</v>
      </c>
      <c r="J1161" t="s">
        <v>759</v>
      </c>
      <c r="L1161" s="17" t="s">
        <v>732</v>
      </c>
      <c r="M1161" s="17" t="s">
        <v>9</v>
      </c>
      <c r="N1161" s="17" t="s">
        <v>736</v>
      </c>
    </row>
    <row r="1162" spans="1:14" x14ac:dyDescent="0.25">
      <c r="A1162" s="10">
        <v>995021</v>
      </c>
      <c r="B1162" s="22" t="str">
        <f>IFERROR(VLOOKUP(A1162,VLOOKUPS!$A$2:B$12589,2,FALSE),"")</f>
        <v>Chopped Bacon Caesar Kit 10.2oz-standard</v>
      </c>
      <c r="E1162">
        <v>2.39</v>
      </c>
      <c r="F1162">
        <v>3.29</v>
      </c>
      <c r="G1162" s="13">
        <v>44408</v>
      </c>
      <c r="H1162" s="13"/>
      <c r="I1162" s="22" t="str">
        <f>VLOOKUP(J1162, Dropdowns!N:O, 2, FALSE)</f>
        <v>Standard</v>
      </c>
      <c r="J1162" t="s">
        <v>760</v>
      </c>
      <c r="L1162" s="17" t="s">
        <v>732</v>
      </c>
      <c r="M1162" s="17" t="s">
        <v>9</v>
      </c>
      <c r="N1162" s="17" t="s">
        <v>736</v>
      </c>
    </row>
    <row r="1163" spans="1:14" x14ac:dyDescent="0.25">
      <c r="A1163" s="10">
        <v>995024</v>
      </c>
      <c r="B1163" s="22" t="str">
        <f>IFERROR(VLOOKUP(A1163,VLOOKUPS!$A$2:B$12589,2,FALSE),"")</f>
        <v>XL Spring Mix 16oz-standard</v>
      </c>
      <c r="E1163">
        <v>4.1900000000000004</v>
      </c>
      <c r="F1163">
        <v>3.19</v>
      </c>
      <c r="G1163" s="13">
        <v>44406</v>
      </c>
      <c r="H1163" s="13">
        <v>44407</v>
      </c>
      <c r="I1163" s="22" t="str">
        <f>VLOOKUP(J1163, Dropdowns!N:O, 2, FALSE)</f>
        <v>Lower Price</v>
      </c>
      <c r="J1163" t="s">
        <v>759</v>
      </c>
      <c r="L1163" s="17" t="s">
        <v>732</v>
      </c>
      <c r="M1163" s="17" t="s">
        <v>10</v>
      </c>
      <c r="N1163" s="17">
        <v>2</v>
      </c>
    </row>
    <row r="1164" spans="1:14" x14ac:dyDescent="0.25">
      <c r="A1164" s="10">
        <v>995024</v>
      </c>
      <c r="B1164" s="22" t="str">
        <f>IFERROR(VLOOKUP(A1164,VLOOKUPS!$A$2:B$12589,2,FALSE),"")</f>
        <v>XL Spring Mix 16oz-standard</v>
      </c>
      <c r="E1164">
        <v>3.19</v>
      </c>
      <c r="F1164">
        <v>4.1900000000000004</v>
      </c>
      <c r="G1164" s="13">
        <v>44408</v>
      </c>
      <c r="H1164" s="13"/>
      <c r="I1164" s="22" t="str">
        <f>VLOOKUP(J1164, Dropdowns!N:O, 2, FALSE)</f>
        <v>Standard</v>
      </c>
      <c r="J1164" t="s">
        <v>760</v>
      </c>
      <c r="L1164" s="17" t="s">
        <v>732</v>
      </c>
      <c r="M1164" s="17" t="s">
        <v>10</v>
      </c>
      <c r="N1164" s="17">
        <v>2</v>
      </c>
    </row>
    <row r="1165" spans="1:14" x14ac:dyDescent="0.25">
      <c r="A1165" s="10">
        <v>995069</v>
      </c>
      <c r="B1165" s="22" t="str">
        <f>IFERROR(VLOOKUP(A1165,VLOOKUPS!$A$2:B$12589,2,FALSE),"")</f>
        <v>Organic Baby Spinach 5oz-standard</v>
      </c>
      <c r="E1165">
        <v>2.4900000000000002</v>
      </c>
      <c r="F1165">
        <v>1.49</v>
      </c>
      <c r="G1165" s="13">
        <v>44406</v>
      </c>
      <c r="H1165" s="13">
        <v>44407</v>
      </c>
      <c r="I1165" s="22" t="str">
        <f>VLOOKUP(J1165, Dropdowns!N:O, 2, FALSE)</f>
        <v>Lower Price</v>
      </c>
      <c r="J1165" t="s">
        <v>759</v>
      </c>
      <c r="L1165" s="17" t="s">
        <v>732</v>
      </c>
      <c r="M1165" s="17" t="s">
        <v>738</v>
      </c>
      <c r="N1165" s="17">
        <v>2</v>
      </c>
    </row>
    <row r="1166" spans="1:14" x14ac:dyDescent="0.25">
      <c r="A1166" s="10">
        <v>995069</v>
      </c>
      <c r="B1166" s="22" t="str">
        <f>IFERROR(VLOOKUP(A1166,VLOOKUPS!$A$2:B$12589,2,FALSE),"")</f>
        <v>Organic Baby Spinach 5oz-standard</v>
      </c>
      <c r="E1166">
        <v>1.49</v>
      </c>
      <c r="F1166">
        <v>2.4900000000000002</v>
      </c>
      <c r="G1166" s="13">
        <v>44408</v>
      </c>
      <c r="H1166" s="13"/>
      <c r="I1166" s="22" t="str">
        <f>VLOOKUP(J1166, Dropdowns!N:O, 2, FALSE)</f>
        <v>Standard</v>
      </c>
      <c r="J1166" t="s">
        <v>760</v>
      </c>
      <c r="L1166" s="17" t="s">
        <v>732</v>
      </c>
      <c r="M1166" s="17" t="s">
        <v>738</v>
      </c>
      <c r="N1166" s="17">
        <v>2</v>
      </c>
    </row>
    <row r="1167" spans="1:14" x14ac:dyDescent="0.25">
      <c r="A1167" s="10">
        <v>995101</v>
      </c>
      <c r="B1167" s="22" t="str">
        <f>IFERROR(VLOOKUP(A1167,VLOOKUPS!$A$2:B$12589,2,FALSE),"")</f>
        <v>Avocado Ranch Salad Kit 11.3oz-standard</v>
      </c>
      <c r="E1167">
        <v>3.29</v>
      </c>
      <c r="F1167">
        <v>2.29</v>
      </c>
      <c r="G1167" s="13">
        <v>44406</v>
      </c>
      <c r="H1167" s="13">
        <v>44407</v>
      </c>
      <c r="I1167" s="22" t="str">
        <f>VLOOKUP(J1167, Dropdowns!N:O, 2, FALSE)</f>
        <v>Lower Price</v>
      </c>
      <c r="J1167" t="s">
        <v>759</v>
      </c>
      <c r="L1167" s="17" t="s">
        <v>732</v>
      </c>
      <c r="M1167" s="17" t="s">
        <v>10</v>
      </c>
      <c r="N1167" s="17">
        <v>2</v>
      </c>
    </row>
    <row r="1168" spans="1:14" x14ac:dyDescent="0.25">
      <c r="A1168" s="10">
        <v>995101</v>
      </c>
      <c r="B1168" s="22" t="str">
        <f>IFERROR(VLOOKUP(A1168,VLOOKUPS!$A$2:B$12589,2,FALSE),"")</f>
        <v>Avocado Ranch Salad Kit 11.3oz-standard</v>
      </c>
      <c r="E1168">
        <v>2.29</v>
      </c>
      <c r="F1168">
        <v>3.29</v>
      </c>
      <c r="G1168" s="13">
        <v>44408</v>
      </c>
      <c r="H1168" s="13"/>
      <c r="I1168" s="22" t="str">
        <f>VLOOKUP(J1168, Dropdowns!N:O, 2, FALSE)</f>
        <v>Standard</v>
      </c>
      <c r="J1168" t="s">
        <v>760</v>
      </c>
      <c r="L1168" s="17" t="s">
        <v>732</v>
      </c>
      <c r="M1168" s="17" t="s">
        <v>10</v>
      </c>
      <c r="N1168" s="17">
        <v>2</v>
      </c>
    </row>
    <row r="1169" spans="1:14" x14ac:dyDescent="0.25">
      <c r="A1169" s="10">
        <v>995119</v>
      </c>
      <c r="B1169" s="22" t="str">
        <f>IFERROR(VLOOKUP(A1169,VLOOKUPS!$A$2:B$12589,2,FALSE),"")</f>
        <v>RTE Green Goddess Salad 5.5oz-standard</v>
      </c>
      <c r="E1169">
        <v>2.89</v>
      </c>
      <c r="F1169">
        <v>1.89</v>
      </c>
      <c r="G1169" s="13">
        <v>44406</v>
      </c>
      <c r="H1169" s="13">
        <v>44407</v>
      </c>
      <c r="I1169" s="22" t="str">
        <f>VLOOKUP(J1169, Dropdowns!N:O, 2, FALSE)</f>
        <v>Lower Price</v>
      </c>
      <c r="J1169" t="s">
        <v>759</v>
      </c>
      <c r="L1169" s="17" t="s">
        <v>732</v>
      </c>
      <c r="M1169" s="17" t="s">
        <v>10</v>
      </c>
      <c r="N1169" s="17">
        <v>2</v>
      </c>
    </row>
    <row r="1170" spans="1:14" x14ac:dyDescent="0.25">
      <c r="A1170" s="10">
        <v>995119</v>
      </c>
      <c r="B1170" s="22" t="str">
        <f>IFERROR(VLOOKUP(A1170,VLOOKUPS!$A$2:B$12589,2,FALSE),"")</f>
        <v>RTE Green Goddess Salad 5.5oz-standard</v>
      </c>
      <c r="E1170">
        <v>1.89</v>
      </c>
      <c r="F1170">
        <v>2.89</v>
      </c>
      <c r="G1170" s="13">
        <v>44408</v>
      </c>
      <c r="H1170" s="13"/>
      <c r="I1170" s="22" t="str">
        <f>VLOOKUP(J1170, Dropdowns!N:O, 2, FALSE)</f>
        <v>Standard</v>
      </c>
      <c r="J1170" t="s">
        <v>760</v>
      </c>
      <c r="L1170" s="17" t="s">
        <v>732</v>
      </c>
      <c r="M1170" s="17" t="s">
        <v>10</v>
      </c>
      <c r="N1170" s="17">
        <v>2</v>
      </c>
    </row>
    <row r="1171" spans="1:14" x14ac:dyDescent="0.25">
      <c r="A1171" s="10">
        <v>995147</v>
      </c>
      <c r="B1171" s="22" t="str">
        <f>IFERROR(VLOOKUP(A1171,VLOOKUPS!$A$2:B$12589,2,FALSE),"")</f>
        <v>Celery Sticks 1.25lb-standard</v>
      </c>
      <c r="E1171">
        <v>2.74</v>
      </c>
      <c r="F1171">
        <v>1.74</v>
      </c>
      <c r="G1171" s="13">
        <v>44406</v>
      </c>
      <c r="H1171" s="13">
        <v>44407</v>
      </c>
      <c r="I1171" s="22" t="str">
        <f>VLOOKUP(J1171, Dropdowns!N:O, 2, FALSE)</f>
        <v>Lower Price</v>
      </c>
      <c r="J1171" t="s">
        <v>759</v>
      </c>
      <c r="L1171" s="17" t="s">
        <v>732</v>
      </c>
      <c r="M1171" s="17" t="s">
        <v>10</v>
      </c>
      <c r="N1171" s="17">
        <v>2</v>
      </c>
    </row>
    <row r="1172" spans="1:14" x14ac:dyDescent="0.25">
      <c r="A1172" s="10">
        <v>995147</v>
      </c>
      <c r="B1172" s="22" t="str">
        <f>IFERROR(VLOOKUP(A1172,VLOOKUPS!$A$2:B$12589,2,FALSE),"")</f>
        <v>Celery Sticks 1.25lb-standard</v>
      </c>
      <c r="E1172">
        <v>1.74</v>
      </c>
      <c r="F1172">
        <v>2.74</v>
      </c>
      <c r="G1172" s="13">
        <v>44408</v>
      </c>
      <c r="H1172" s="13"/>
      <c r="I1172" s="22" t="str">
        <f>VLOOKUP(J1172, Dropdowns!N:O, 2, FALSE)</f>
        <v>Standard</v>
      </c>
      <c r="J1172" t="s">
        <v>760</v>
      </c>
      <c r="L1172" s="17" t="s">
        <v>732</v>
      </c>
      <c r="M1172" s="17" t="s">
        <v>10</v>
      </c>
      <c r="N1172" s="17">
        <v>2</v>
      </c>
    </row>
    <row r="1173" spans="1:14" x14ac:dyDescent="0.25">
      <c r="A1173" s="10">
        <v>984542</v>
      </c>
      <c r="B1173" s="22" t="str">
        <f>IFERROR(VLOOKUP(A1173,VLOOKUPS!$A$2:B$12589,2,FALSE),"")</f>
        <v>Blueberries 18oz-standard</v>
      </c>
      <c r="G1173" s="13">
        <v>44406</v>
      </c>
      <c r="H1173" s="13">
        <v>44406</v>
      </c>
      <c r="I1173" s="22" t="str">
        <f>VLOOKUP(J1173, Dropdowns!N:O, 2, FALSE)</f>
        <v>Lower Price</v>
      </c>
      <c r="J1173" t="s">
        <v>762</v>
      </c>
      <c r="L1173" s="17" t="s">
        <v>732</v>
      </c>
      <c r="M1173" s="17" t="s">
        <v>736</v>
      </c>
      <c r="N1173" s="17" t="s">
        <v>736</v>
      </c>
    </row>
    <row r="1174" spans="1:14" x14ac:dyDescent="0.25">
      <c r="A1174" s="10">
        <v>995042</v>
      </c>
      <c r="B1174" s="22" t="str">
        <f>IFERROR(VLOOKUP(A1174,VLOOKUPS!$A$2:B$12589,2,FALSE),"")</f>
        <v>Mango Chunks 16oz-standard</v>
      </c>
      <c r="G1174" s="13">
        <v>44406</v>
      </c>
      <c r="H1174" s="13">
        <v>44406</v>
      </c>
      <c r="I1174" s="22" t="str">
        <f>VLOOKUP(J1174, Dropdowns!N:O, 2, FALSE)</f>
        <v>Lower Price</v>
      </c>
      <c r="J1174" t="s">
        <v>762</v>
      </c>
      <c r="L1174" s="17" t="s">
        <v>732</v>
      </c>
      <c r="M1174" s="17" t="s">
        <v>736</v>
      </c>
      <c r="N1174" s="17" t="s">
        <v>736</v>
      </c>
    </row>
    <row r="1175" spans="1:14" x14ac:dyDescent="0.25">
      <c r="A1175" s="10">
        <v>983151</v>
      </c>
      <c r="B1175" s="22" t="str">
        <f>IFERROR(VLOOKUP(A1175,VLOOKUPS!$A$2:B$12589,2,FALSE),"")</f>
        <v>Melons* Golden Honeydew 1ct-LOOSE</v>
      </c>
      <c r="E1175">
        <v>3.58</v>
      </c>
      <c r="F1175">
        <v>2.58</v>
      </c>
      <c r="G1175" s="13">
        <v>44407</v>
      </c>
      <c r="H1175" s="13">
        <v>44408</v>
      </c>
      <c r="I1175" s="22" t="str">
        <f>VLOOKUP(J1175, Dropdowns!N:O, 2, FALSE)</f>
        <v>Lower Price</v>
      </c>
      <c r="J1175" t="s">
        <v>759</v>
      </c>
      <c r="L1175" s="17" t="s">
        <v>732</v>
      </c>
      <c r="M1175" s="17" t="s">
        <v>735</v>
      </c>
      <c r="N1175" s="17" t="s">
        <v>736</v>
      </c>
    </row>
    <row r="1176" spans="1:14" x14ac:dyDescent="0.25">
      <c r="A1176" s="10">
        <v>983151</v>
      </c>
      <c r="B1176" s="22" t="str">
        <f>IFERROR(VLOOKUP(A1176,VLOOKUPS!$A$2:B$12589,2,FALSE),"")</f>
        <v>Melons* Golden Honeydew 1ct-LOOSE</v>
      </c>
      <c r="E1176">
        <v>2.58</v>
      </c>
      <c r="F1176">
        <v>3.58</v>
      </c>
      <c r="G1176" s="13">
        <v>44409</v>
      </c>
      <c r="H1176" s="13"/>
      <c r="I1176" s="22" t="str">
        <f>VLOOKUP(J1176, Dropdowns!N:O, 2, FALSE)</f>
        <v>Standard</v>
      </c>
      <c r="J1176" t="s">
        <v>760</v>
      </c>
      <c r="L1176" s="17" t="s">
        <v>732</v>
      </c>
      <c r="M1176" s="17" t="s">
        <v>735</v>
      </c>
      <c r="N1176" s="17" t="s">
        <v>736</v>
      </c>
    </row>
    <row r="1177" spans="1:14" x14ac:dyDescent="0.25">
      <c r="A1177" s="10">
        <v>984541</v>
      </c>
      <c r="B1177" s="22" t="str">
        <f>IFERROR(VLOOKUP(A1177,VLOOKUPS!$A$2:B$12589,2,FALSE),"")</f>
        <v>Blueberries 1pt-standard</v>
      </c>
      <c r="E1177">
        <v>2.58</v>
      </c>
      <c r="F1177">
        <v>1.58</v>
      </c>
      <c r="G1177" s="13">
        <v>44407</v>
      </c>
      <c r="H1177" s="13">
        <v>44409</v>
      </c>
      <c r="I1177" s="22" t="str">
        <f>VLOOKUP(J1177, Dropdowns!N:O, 2, FALSE)</f>
        <v>Lower Price</v>
      </c>
      <c r="J1177" t="s">
        <v>759</v>
      </c>
      <c r="L1177" s="17" t="s">
        <v>732</v>
      </c>
      <c r="M1177" s="17" t="s">
        <v>736</v>
      </c>
      <c r="N1177" s="17" t="s">
        <v>736</v>
      </c>
    </row>
    <row r="1178" spans="1:14" x14ac:dyDescent="0.25">
      <c r="A1178" s="10">
        <v>984541</v>
      </c>
      <c r="B1178" s="22" t="str">
        <f>IFERROR(VLOOKUP(A1178,VLOOKUPS!$A$2:B$12589,2,FALSE),"")</f>
        <v>Blueberries 1pt-standard</v>
      </c>
      <c r="E1178">
        <v>1.58</v>
      </c>
      <c r="F1178">
        <v>2.58</v>
      </c>
      <c r="G1178" s="13">
        <v>44410</v>
      </c>
      <c r="H1178" s="13"/>
      <c r="I1178" s="22" t="str">
        <f>VLOOKUP(J1178, Dropdowns!N:O, 2, FALSE)</f>
        <v>Standard</v>
      </c>
      <c r="J1178" t="s">
        <v>760</v>
      </c>
      <c r="L1178" s="17" t="s">
        <v>732</v>
      </c>
      <c r="M1178" s="17" t="s">
        <v>736</v>
      </c>
      <c r="N1178" s="17" t="s">
        <v>736</v>
      </c>
    </row>
    <row r="1179" spans="1:14" x14ac:dyDescent="0.25">
      <c r="A1179" s="10">
        <v>985111</v>
      </c>
      <c r="B1179" s="22" t="str">
        <f>IFERROR(VLOOKUP(A1179,VLOOKUPS!$A$2:B$12589,2,FALSE),"")</f>
        <v>Lettuce Mixed 1ct-standard</v>
      </c>
      <c r="E1179">
        <v>2.4900000000000002</v>
      </c>
      <c r="F1179">
        <v>1.49</v>
      </c>
      <c r="G1179" s="13">
        <v>44407</v>
      </c>
      <c r="H1179" s="13">
        <v>44408</v>
      </c>
      <c r="I1179" s="22" t="str">
        <f>VLOOKUP(J1179, Dropdowns!N:O, 2, FALSE)</f>
        <v>Lower Price</v>
      </c>
      <c r="J1179" t="s">
        <v>759</v>
      </c>
      <c r="L1179" s="17" t="s">
        <v>732</v>
      </c>
      <c r="M1179" s="17" t="s">
        <v>736</v>
      </c>
      <c r="N1179" s="17" t="s">
        <v>736</v>
      </c>
    </row>
    <row r="1180" spans="1:14" x14ac:dyDescent="0.25">
      <c r="A1180" s="10">
        <v>985111</v>
      </c>
      <c r="B1180" s="22" t="str">
        <f>IFERROR(VLOOKUP(A1180,VLOOKUPS!$A$2:B$12589,2,FALSE),"")</f>
        <v>Lettuce Mixed 1ct-standard</v>
      </c>
      <c r="E1180">
        <v>1.49</v>
      </c>
      <c r="F1180">
        <v>2.4900000000000002</v>
      </c>
      <c r="G1180" s="13">
        <v>44409</v>
      </c>
      <c r="H1180" s="13"/>
      <c r="I1180" s="22" t="str">
        <f>VLOOKUP(J1180, Dropdowns!N:O, 2, FALSE)</f>
        <v>Standard</v>
      </c>
      <c r="J1180" t="s">
        <v>760</v>
      </c>
      <c r="L1180" s="17" t="s">
        <v>732</v>
      </c>
      <c r="M1180" s="17" t="s">
        <v>736</v>
      </c>
      <c r="N1180" s="17" t="s">
        <v>736</v>
      </c>
    </row>
    <row r="1181" spans="1:14" x14ac:dyDescent="0.25">
      <c r="A1181" s="10">
        <v>985760</v>
      </c>
      <c r="B1181" s="22" t="str">
        <f>IFERROR(VLOOKUP(A1181,VLOOKUPS!$A$2:B$12589,2,FALSE),"")</f>
        <v>Asparagus 1lb-standard</v>
      </c>
      <c r="E1181">
        <v>2.99</v>
      </c>
      <c r="F1181">
        <v>1.49</v>
      </c>
      <c r="G1181" s="13">
        <v>44407</v>
      </c>
      <c r="H1181" s="13">
        <v>44409</v>
      </c>
      <c r="I1181" s="22" t="str">
        <f>VLOOKUP(J1181, Dropdowns!N:O, 2, FALSE)</f>
        <v>Lower Price</v>
      </c>
      <c r="J1181" t="s">
        <v>759</v>
      </c>
      <c r="L1181" s="17" t="s">
        <v>732</v>
      </c>
      <c r="M1181" s="17" t="s">
        <v>9</v>
      </c>
      <c r="N1181" s="17" t="s">
        <v>736</v>
      </c>
    </row>
    <row r="1182" spans="1:14" x14ac:dyDescent="0.25">
      <c r="A1182" s="10">
        <v>985760</v>
      </c>
      <c r="B1182" s="22" t="str">
        <f>IFERROR(VLOOKUP(A1182,VLOOKUPS!$A$2:B$12589,2,FALSE),"")</f>
        <v>Asparagus 1lb-standard</v>
      </c>
      <c r="E1182">
        <v>1.49</v>
      </c>
      <c r="F1182">
        <v>2.99</v>
      </c>
      <c r="G1182" s="13">
        <v>44410</v>
      </c>
      <c r="H1182" s="13"/>
      <c r="I1182" s="22" t="str">
        <f>VLOOKUP(J1182, Dropdowns!N:O, 2, FALSE)</f>
        <v>Standard</v>
      </c>
      <c r="J1182" t="s">
        <v>760</v>
      </c>
      <c r="L1182" s="17" t="s">
        <v>732</v>
      </c>
      <c r="M1182" s="17" t="s">
        <v>9</v>
      </c>
      <c r="N1182" s="17" t="s">
        <v>736</v>
      </c>
    </row>
    <row r="1183" spans="1:14" x14ac:dyDescent="0.25">
      <c r="A1183" s="10">
        <v>988620</v>
      </c>
      <c r="B1183" s="22" t="str">
        <f>IFERROR(VLOOKUP(A1183,VLOOKUPS!$A$2:B$12589,2,FALSE),"")</f>
        <v>Brussels Sprouts 1lb-standard</v>
      </c>
      <c r="E1183">
        <v>2.89</v>
      </c>
      <c r="F1183">
        <v>1.89</v>
      </c>
      <c r="G1183" s="13">
        <v>44407</v>
      </c>
      <c r="H1183" s="13">
        <v>44408</v>
      </c>
      <c r="I1183" s="22" t="str">
        <f>VLOOKUP(J1183, Dropdowns!N:O, 2, FALSE)</f>
        <v>Lower Price</v>
      </c>
      <c r="J1183" t="s">
        <v>759</v>
      </c>
      <c r="L1183" s="17" t="s">
        <v>732</v>
      </c>
      <c r="M1183" s="17" t="s">
        <v>736</v>
      </c>
      <c r="N1183" s="17" t="s">
        <v>736</v>
      </c>
    </row>
    <row r="1184" spans="1:14" x14ac:dyDescent="0.25">
      <c r="A1184" s="10">
        <v>988620</v>
      </c>
      <c r="B1184" s="22" t="str">
        <f>IFERROR(VLOOKUP(A1184,VLOOKUPS!$A$2:B$12589,2,FALSE),"")</f>
        <v>Brussels Sprouts 1lb-standard</v>
      </c>
      <c r="E1184">
        <v>1.89</v>
      </c>
      <c r="F1184">
        <v>2.89</v>
      </c>
      <c r="G1184" s="13">
        <v>44409</v>
      </c>
      <c r="H1184" s="13"/>
      <c r="I1184" s="22" t="str">
        <f>VLOOKUP(J1184, Dropdowns!N:O, 2, FALSE)</f>
        <v>Standard</v>
      </c>
      <c r="J1184" t="s">
        <v>760</v>
      </c>
      <c r="L1184" s="17" t="s">
        <v>732</v>
      </c>
      <c r="M1184" s="17" t="s">
        <v>736</v>
      </c>
      <c r="N1184" s="17" t="s">
        <v>736</v>
      </c>
    </row>
    <row r="1185" spans="1:14" x14ac:dyDescent="0.25">
      <c r="A1185" s="10">
        <v>995006</v>
      </c>
      <c r="B1185" s="22" t="str">
        <f>IFERROR(VLOOKUP(A1185,VLOOKUPS!$A$2:B$12589,2,FALSE),"")</f>
        <v>Italian Salad 9oz-standard</v>
      </c>
      <c r="E1185">
        <v>2.29</v>
      </c>
      <c r="F1185">
        <v>1.29</v>
      </c>
      <c r="G1185" s="13">
        <v>44407</v>
      </c>
      <c r="H1185" s="13">
        <v>44408</v>
      </c>
      <c r="I1185" s="22" t="str">
        <f>VLOOKUP(J1185, Dropdowns!N:O, 2, FALSE)</f>
        <v>Lower Price</v>
      </c>
      <c r="J1185" t="s">
        <v>759</v>
      </c>
      <c r="L1185" s="17" t="s">
        <v>732</v>
      </c>
      <c r="M1185" s="17" t="s">
        <v>738</v>
      </c>
      <c r="N1185" s="17">
        <v>2</v>
      </c>
    </row>
    <row r="1186" spans="1:14" x14ac:dyDescent="0.25">
      <c r="A1186" s="10">
        <v>995006</v>
      </c>
      <c r="B1186" s="22" t="str">
        <f>IFERROR(VLOOKUP(A1186,VLOOKUPS!$A$2:B$12589,2,FALSE),"")</f>
        <v>Italian Salad 9oz-standard</v>
      </c>
      <c r="E1186">
        <v>1.29</v>
      </c>
      <c r="F1186">
        <v>2.29</v>
      </c>
      <c r="G1186" s="13">
        <v>44409</v>
      </c>
      <c r="H1186" s="13"/>
      <c r="I1186" s="22" t="str">
        <f>VLOOKUP(J1186, Dropdowns!N:O, 2, FALSE)</f>
        <v>Standard</v>
      </c>
      <c r="J1186" t="s">
        <v>760</v>
      </c>
      <c r="L1186" s="17" t="s">
        <v>732</v>
      </c>
      <c r="M1186" s="17" t="s">
        <v>738</v>
      </c>
      <c r="N1186" s="17">
        <v>2</v>
      </c>
    </row>
    <row r="1187" spans="1:14" x14ac:dyDescent="0.25">
      <c r="A1187" s="10">
        <v>995008</v>
      </c>
      <c r="B1187" s="22" t="str">
        <f>IFERROR(VLOOKUP(A1187,VLOOKUPS!$A$2:B$12589,2,FALSE),"")</f>
        <v>Shredded Lettuce 8oz-standard</v>
      </c>
      <c r="E1187">
        <v>1.69</v>
      </c>
      <c r="F1187">
        <v>0.89</v>
      </c>
      <c r="G1187" s="13">
        <v>44407</v>
      </c>
      <c r="H1187" s="13">
        <v>44408</v>
      </c>
      <c r="I1187" s="22" t="str">
        <f>VLOOKUP(J1187, Dropdowns!N:O, 2, FALSE)</f>
        <v>Lower Price</v>
      </c>
      <c r="J1187" t="s">
        <v>759</v>
      </c>
      <c r="L1187" s="17" t="s">
        <v>733</v>
      </c>
      <c r="M1187" s="17" t="s">
        <v>11</v>
      </c>
      <c r="N1187" s="17" t="s">
        <v>740</v>
      </c>
    </row>
    <row r="1188" spans="1:14" x14ac:dyDescent="0.25">
      <c r="A1188" s="10">
        <v>995008</v>
      </c>
      <c r="B1188" s="22" t="str">
        <f>IFERROR(VLOOKUP(A1188,VLOOKUPS!$A$2:B$12589,2,FALSE),"")</f>
        <v>Shredded Lettuce 8oz-standard</v>
      </c>
      <c r="E1188">
        <v>0.89</v>
      </c>
      <c r="F1188">
        <v>1.69</v>
      </c>
      <c r="G1188" s="13">
        <v>44409</v>
      </c>
      <c r="H1188" s="13"/>
      <c r="I1188" s="22" t="str">
        <f>VLOOKUP(J1188, Dropdowns!N:O, 2, FALSE)</f>
        <v>Standard</v>
      </c>
      <c r="J1188" t="s">
        <v>760</v>
      </c>
      <c r="L1188" s="17" t="s">
        <v>733</v>
      </c>
      <c r="M1188" s="17" t="s">
        <v>11</v>
      </c>
      <c r="N1188" s="17" t="s">
        <v>740</v>
      </c>
    </row>
    <row r="1189" spans="1:14" x14ac:dyDescent="0.25">
      <c r="A1189" s="10">
        <v>995019</v>
      </c>
      <c r="B1189" s="22" t="str">
        <f>IFERROR(VLOOKUP(A1189,VLOOKUPS!$A$2:B$12589,2,FALSE),"")</f>
        <v>RTE Large Santa Fe Salad 14oz-standard</v>
      </c>
      <c r="E1189">
        <v>4.99</v>
      </c>
      <c r="F1189">
        <v>4.49</v>
      </c>
      <c r="G1189" s="13">
        <v>44407</v>
      </c>
      <c r="H1189" s="13">
        <v>44408</v>
      </c>
      <c r="I1189" s="22" t="str">
        <f>VLOOKUP(J1189, Dropdowns!N:O, 2, FALSE)</f>
        <v>Lower Price</v>
      </c>
      <c r="J1189" t="s">
        <v>759</v>
      </c>
      <c r="L1189" s="17" t="s">
        <v>733</v>
      </c>
      <c r="M1189" s="17" t="s">
        <v>11</v>
      </c>
      <c r="N1189" s="17" t="s">
        <v>740</v>
      </c>
    </row>
    <row r="1190" spans="1:14" x14ac:dyDescent="0.25">
      <c r="A1190" s="10">
        <v>995019</v>
      </c>
      <c r="B1190" s="22" t="str">
        <f>IFERROR(VLOOKUP(A1190,VLOOKUPS!$A$2:B$12589,2,FALSE),"")</f>
        <v>RTE Large Santa Fe Salad 14oz-standard</v>
      </c>
      <c r="E1190">
        <v>4.49</v>
      </c>
      <c r="F1190">
        <v>4.99</v>
      </c>
      <c r="G1190" s="13">
        <v>44409</v>
      </c>
      <c r="H1190" s="13"/>
      <c r="I1190" s="22" t="str">
        <f>VLOOKUP(J1190, Dropdowns!N:O, 2, FALSE)</f>
        <v>Standard</v>
      </c>
      <c r="J1190" t="s">
        <v>760</v>
      </c>
      <c r="L1190" s="17" t="s">
        <v>733</v>
      </c>
      <c r="M1190" s="17" t="s">
        <v>11</v>
      </c>
      <c r="N1190" s="17" t="s">
        <v>740</v>
      </c>
    </row>
    <row r="1191" spans="1:14" x14ac:dyDescent="0.25">
      <c r="A1191" s="10">
        <v>995032</v>
      </c>
      <c r="B1191" s="22" t="str">
        <f>IFERROR(VLOOKUP(A1191,VLOOKUPS!$A$2:B$12589,2,FALSE),"")</f>
        <v>Chopped Sunflower Crunch Kit 12.2oz-standard</v>
      </c>
      <c r="E1191">
        <v>3.29</v>
      </c>
      <c r="F1191">
        <v>1.99</v>
      </c>
      <c r="G1191" s="13">
        <v>44407</v>
      </c>
      <c r="H1191" s="13">
        <v>44408</v>
      </c>
      <c r="I1191" s="22" t="str">
        <f>VLOOKUP(J1191, Dropdowns!N:O, 2, FALSE)</f>
        <v>Lower Price</v>
      </c>
      <c r="J1191" t="s">
        <v>759</v>
      </c>
      <c r="L1191" s="17" t="s">
        <v>732</v>
      </c>
      <c r="M1191" s="17" t="s">
        <v>738</v>
      </c>
      <c r="N1191" s="17">
        <v>2</v>
      </c>
    </row>
    <row r="1192" spans="1:14" x14ac:dyDescent="0.25">
      <c r="A1192" s="10">
        <v>995032</v>
      </c>
      <c r="B1192" s="22" t="str">
        <f>IFERROR(VLOOKUP(A1192,VLOOKUPS!$A$2:B$12589,2,FALSE),"")</f>
        <v>Chopped Sunflower Crunch Kit 12.2oz-standard</v>
      </c>
      <c r="E1192">
        <v>1.99</v>
      </c>
      <c r="F1192">
        <v>3.29</v>
      </c>
      <c r="G1192" s="13">
        <v>44409</v>
      </c>
      <c r="H1192" s="13"/>
      <c r="I1192" s="22" t="str">
        <f>VLOOKUP(J1192, Dropdowns!N:O, 2, FALSE)</f>
        <v>Standard</v>
      </c>
      <c r="J1192" t="s">
        <v>760</v>
      </c>
      <c r="L1192" s="17" t="s">
        <v>732</v>
      </c>
      <c r="M1192" s="17" t="s">
        <v>738</v>
      </c>
      <c r="N1192" s="17">
        <v>2</v>
      </c>
    </row>
    <row r="1193" spans="1:14" x14ac:dyDescent="0.25">
      <c r="A1193" s="10">
        <v>995074</v>
      </c>
      <c r="B1193" s="22" t="str">
        <f>IFERROR(VLOOKUP(A1193,VLOOKUPS!$A$2:B$12589,2,FALSE),"")</f>
        <v>Southwest Chopped Salad Kit 12oz-standard</v>
      </c>
      <c r="E1193">
        <v>3.29</v>
      </c>
      <c r="F1193">
        <v>1.99</v>
      </c>
      <c r="G1193" s="13">
        <v>44407</v>
      </c>
      <c r="H1193" s="13">
        <v>44408</v>
      </c>
      <c r="I1193" s="22" t="str">
        <f>VLOOKUP(J1193, Dropdowns!N:O, 2, FALSE)</f>
        <v>Lower Price</v>
      </c>
      <c r="J1193" t="s">
        <v>759</v>
      </c>
      <c r="L1193" s="17" t="s">
        <v>733</v>
      </c>
      <c r="M1193" s="17" t="s">
        <v>11</v>
      </c>
      <c r="N1193" s="17" t="s">
        <v>740</v>
      </c>
    </row>
    <row r="1194" spans="1:14" x14ac:dyDescent="0.25">
      <c r="A1194" s="10">
        <v>995074</v>
      </c>
      <c r="B1194" s="22" t="str">
        <f>IFERROR(VLOOKUP(A1194,VLOOKUPS!$A$2:B$12589,2,FALSE),"")</f>
        <v>Southwest Chopped Salad Kit 12oz-standard</v>
      </c>
      <c r="E1194">
        <v>1.99</v>
      </c>
      <c r="F1194">
        <v>3.29</v>
      </c>
      <c r="G1194" s="13">
        <v>44409</v>
      </c>
      <c r="H1194" s="13"/>
      <c r="I1194" s="22" t="str">
        <f>VLOOKUP(J1194, Dropdowns!N:O, 2, FALSE)</f>
        <v>Standard</v>
      </c>
      <c r="J1194" t="s">
        <v>760</v>
      </c>
      <c r="L1194" s="17" t="s">
        <v>733</v>
      </c>
      <c r="M1194" s="17" t="s">
        <v>11</v>
      </c>
      <c r="N1194" s="17" t="s">
        <v>740</v>
      </c>
    </row>
    <row r="1195" spans="1:14" x14ac:dyDescent="0.25">
      <c r="A1195" s="10">
        <v>995119</v>
      </c>
      <c r="B1195" s="22" t="str">
        <f>IFERROR(VLOOKUP(A1195,VLOOKUPS!$A$2:B$12589,2,FALSE),"")</f>
        <v>RTE Green Goddess Salad 5.5oz-standard</v>
      </c>
      <c r="E1195">
        <v>2.89</v>
      </c>
      <c r="F1195">
        <v>1.89</v>
      </c>
      <c r="G1195" s="13">
        <v>44407</v>
      </c>
      <c r="H1195" s="13">
        <v>44409</v>
      </c>
      <c r="I1195" s="22" t="str">
        <f>VLOOKUP(J1195, Dropdowns!N:O, 2, FALSE)</f>
        <v>Lower Price</v>
      </c>
      <c r="J1195" t="s">
        <v>759</v>
      </c>
      <c r="L1195" s="17" t="s">
        <v>733</v>
      </c>
      <c r="M1195" s="17" t="s">
        <v>11</v>
      </c>
      <c r="N1195" s="17" t="s">
        <v>740</v>
      </c>
    </row>
    <row r="1196" spans="1:14" x14ac:dyDescent="0.25">
      <c r="A1196" s="10">
        <v>995119</v>
      </c>
      <c r="B1196" s="22" t="str">
        <f>IFERROR(VLOOKUP(A1196,VLOOKUPS!$A$2:B$12589,2,FALSE),"")</f>
        <v>RTE Green Goddess Salad 5.5oz-standard</v>
      </c>
      <c r="E1196">
        <v>1.89</v>
      </c>
      <c r="F1196">
        <v>2.89</v>
      </c>
      <c r="G1196" s="13">
        <v>44410</v>
      </c>
      <c r="H1196" s="13"/>
      <c r="I1196" s="22" t="str">
        <f>VLOOKUP(J1196, Dropdowns!N:O, 2, FALSE)</f>
        <v>Standard</v>
      </c>
      <c r="J1196" t="s">
        <v>760</v>
      </c>
      <c r="L1196" s="17" t="s">
        <v>733</v>
      </c>
      <c r="M1196" s="17" t="s">
        <v>11</v>
      </c>
      <c r="N1196" s="17" t="s">
        <v>740</v>
      </c>
    </row>
    <row r="1197" spans="1:14" x14ac:dyDescent="0.25">
      <c r="A1197" s="10">
        <v>995147</v>
      </c>
      <c r="B1197" s="22" t="str">
        <f>IFERROR(VLOOKUP(A1197,VLOOKUPS!$A$2:B$12589,2,FALSE),"")</f>
        <v>Celery Sticks 1.25lb-standard</v>
      </c>
      <c r="E1197">
        <v>2.74</v>
      </c>
      <c r="F1197">
        <v>1.74</v>
      </c>
      <c r="G1197" s="13">
        <v>44407</v>
      </c>
      <c r="H1197" s="13">
        <v>44409</v>
      </c>
      <c r="I1197" s="22" t="str">
        <f>VLOOKUP(J1197, Dropdowns!N:O, 2, FALSE)</f>
        <v>Lower Price</v>
      </c>
      <c r="J1197" t="s">
        <v>759</v>
      </c>
      <c r="L1197" s="17" t="s">
        <v>733</v>
      </c>
      <c r="M1197" s="17" t="s">
        <v>11</v>
      </c>
      <c r="N1197" s="17" t="s">
        <v>740</v>
      </c>
    </row>
    <row r="1198" spans="1:14" x14ac:dyDescent="0.25">
      <c r="A1198" s="10">
        <v>995147</v>
      </c>
      <c r="B1198" s="22" t="str">
        <f>IFERROR(VLOOKUP(A1198,VLOOKUPS!$A$2:B$12589,2,FALSE),"")</f>
        <v>Celery Sticks 1.25lb-standard</v>
      </c>
      <c r="E1198">
        <v>1.74</v>
      </c>
      <c r="F1198">
        <v>2.74</v>
      </c>
      <c r="G1198" s="13">
        <v>44410</v>
      </c>
      <c r="H1198" s="13"/>
      <c r="I1198" s="22" t="str">
        <f>VLOOKUP(J1198, Dropdowns!N:O, 2, FALSE)</f>
        <v>Standard</v>
      </c>
      <c r="J1198" t="s">
        <v>760</v>
      </c>
      <c r="L1198" s="17" t="s">
        <v>733</v>
      </c>
      <c r="M1198" s="17" t="s">
        <v>11</v>
      </c>
      <c r="N1198" s="17" t="s">
        <v>740</v>
      </c>
    </row>
    <row r="1199" spans="1:14" x14ac:dyDescent="0.25">
      <c r="A1199" s="10">
        <v>995041</v>
      </c>
      <c r="B1199" s="22" t="str">
        <f>IFERROR(VLOOKUP(A1199,VLOOKUPS!$A$2:B$12589,2,FALSE),"")</f>
        <v>Pineapple Spears 16oz-standard</v>
      </c>
      <c r="E1199">
        <v>1.79</v>
      </c>
      <c r="F1199">
        <v>3.49</v>
      </c>
      <c r="G1199" s="13">
        <v>44407</v>
      </c>
      <c r="H1199" s="13"/>
      <c r="I1199" s="22" t="str">
        <f>VLOOKUP(J1199, Dropdowns!N:O, 2, FALSE)</f>
        <v>Standard</v>
      </c>
      <c r="J1199" t="s">
        <v>760</v>
      </c>
      <c r="L1199" s="17" t="s">
        <v>732</v>
      </c>
      <c r="M1199" s="17" t="s">
        <v>737</v>
      </c>
      <c r="N1199" s="17" t="s">
        <v>736</v>
      </c>
    </row>
    <row r="1200" spans="1:14" x14ac:dyDescent="0.25">
      <c r="A1200" s="10">
        <v>995042</v>
      </c>
      <c r="B1200" s="22" t="str">
        <f>IFERROR(VLOOKUP(A1200,VLOOKUPS!$A$2:B$12589,2,FALSE),"")</f>
        <v>Mango Chunks 16oz-standard</v>
      </c>
      <c r="E1200">
        <v>3.49</v>
      </c>
      <c r="F1200">
        <v>4.29</v>
      </c>
      <c r="G1200" s="13">
        <v>44407</v>
      </c>
      <c r="H1200" s="13"/>
      <c r="I1200" s="22" t="str">
        <f>VLOOKUP(J1200, Dropdowns!N:O, 2, FALSE)</f>
        <v>Standard</v>
      </c>
      <c r="J1200" t="s">
        <v>760</v>
      </c>
      <c r="L1200" s="17" t="s">
        <v>733</v>
      </c>
      <c r="M1200" s="17" t="s">
        <v>11</v>
      </c>
      <c r="N1200" s="17" t="s">
        <v>740</v>
      </c>
    </row>
    <row r="1201" spans="1:14" x14ac:dyDescent="0.25">
      <c r="A1201" s="10">
        <v>984542</v>
      </c>
      <c r="B1201" s="22" t="str">
        <f>IFERROR(VLOOKUP(A1201,VLOOKUPS!$A$2:B$12589,2,FALSE),"")</f>
        <v>Blueberries 18oz-standard</v>
      </c>
      <c r="E1201">
        <v>2.99</v>
      </c>
      <c r="F1201">
        <v>4.1900000000000004</v>
      </c>
      <c r="G1201" s="13">
        <v>44407</v>
      </c>
      <c r="H1201" s="13"/>
      <c r="I1201" s="22" t="str">
        <f>VLOOKUP(J1201, Dropdowns!N:O, 2, FALSE)</f>
        <v>Standard</v>
      </c>
      <c r="J1201" t="s">
        <v>760</v>
      </c>
      <c r="L1201" s="17" t="s">
        <v>732</v>
      </c>
      <c r="M1201" s="17" t="s">
        <v>738</v>
      </c>
      <c r="N1201" s="17">
        <v>2</v>
      </c>
    </row>
    <row r="1202" spans="1:14" x14ac:dyDescent="0.25">
      <c r="A1202" s="10">
        <v>984542</v>
      </c>
      <c r="B1202" s="22" t="str">
        <f>IFERROR(VLOOKUP(A1202,VLOOKUPS!$A$2:B$12589,2,FALSE),"")</f>
        <v>Blueberries 18oz-standard</v>
      </c>
      <c r="G1202" s="13">
        <v>44407</v>
      </c>
      <c r="H1202" s="13">
        <v>44407</v>
      </c>
      <c r="I1202" s="22" t="str">
        <f>VLOOKUP(J1202, Dropdowns!N:O, 2, FALSE)</f>
        <v>Lower Price</v>
      </c>
      <c r="J1202" t="s">
        <v>762</v>
      </c>
      <c r="L1202" s="17" t="s">
        <v>732</v>
      </c>
      <c r="M1202" s="17" t="s">
        <v>9</v>
      </c>
      <c r="N1202" s="17" t="s">
        <v>736</v>
      </c>
    </row>
    <row r="1203" spans="1:14" x14ac:dyDescent="0.25">
      <c r="A1203" s="10">
        <v>986250</v>
      </c>
      <c r="B1203" s="22" t="str">
        <f>IFERROR(VLOOKUP(A1203,VLOOKUPS!$A$2:B$12589,2,FALSE),"")</f>
        <v>French Beans 1lb-standard</v>
      </c>
      <c r="G1203" s="13">
        <v>44407</v>
      </c>
      <c r="H1203" s="13">
        <v>44407</v>
      </c>
      <c r="I1203" s="22" t="str">
        <f>VLOOKUP(J1203, Dropdowns!N:O, 2, FALSE)</f>
        <v>Lower Price</v>
      </c>
      <c r="J1203" t="s">
        <v>762</v>
      </c>
      <c r="L1203" s="17" t="s">
        <v>732</v>
      </c>
      <c r="M1203" s="17" t="s">
        <v>10</v>
      </c>
      <c r="N1203" s="17">
        <v>2</v>
      </c>
    </row>
    <row r="1204" spans="1:14" x14ac:dyDescent="0.25">
      <c r="A1204" s="10">
        <v>983101</v>
      </c>
      <c r="B1204" s="22" t="str">
        <f>IFERROR(VLOOKUP(A1204,VLOOKUPS!$A$2:B$12589,2,FALSE),"")</f>
        <v>Melons Cantaloupes 1ct-LOOSE</v>
      </c>
      <c r="E1204">
        <v>1.98</v>
      </c>
      <c r="F1204">
        <v>1.18</v>
      </c>
      <c r="G1204" s="13">
        <v>44408</v>
      </c>
      <c r="H1204" s="13">
        <v>44409</v>
      </c>
      <c r="I1204" s="22" t="str">
        <f>VLOOKUP(J1204, Dropdowns!N:O, 2, FALSE)</f>
        <v>Lower Price</v>
      </c>
      <c r="J1204" t="s">
        <v>759</v>
      </c>
      <c r="L1204" s="17" t="s">
        <v>732</v>
      </c>
      <c r="M1204" s="17" t="s">
        <v>735</v>
      </c>
      <c r="N1204" s="17" t="s">
        <v>736</v>
      </c>
    </row>
    <row r="1205" spans="1:14" x14ac:dyDescent="0.25">
      <c r="A1205" s="10">
        <v>983101</v>
      </c>
      <c r="B1205" s="22" t="str">
        <f>IFERROR(VLOOKUP(A1205,VLOOKUPS!$A$2:B$12589,2,FALSE),"")</f>
        <v>Melons Cantaloupes 1ct-LOOSE</v>
      </c>
      <c r="E1205">
        <v>1.18</v>
      </c>
      <c r="F1205">
        <v>1.98</v>
      </c>
      <c r="G1205" s="13">
        <v>44410</v>
      </c>
      <c r="H1205" s="13"/>
      <c r="I1205" s="22" t="str">
        <f>VLOOKUP(J1205, Dropdowns!N:O, 2, FALSE)</f>
        <v>Standard</v>
      </c>
      <c r="J1205" t="s">
        <v>760</v>
      </c>
      <c r="L1205" s="17" t="s">
        <v>732</v>
      </c>
      <c r="M1205" s="17" t="s">
        <v>735</v>
      </c>
      <c r="N1205" s="17" t="s">
        <v>736</v>
      </c>
    </row>
    <row r="1206" spans="1:14" x14ac:dyDescent="0.25">
      <c r="A1206" s="10">
        <v>984700</v>
      </c>
      <c r="B1206" s="22" t="str">
        <f>IFERROR(VLOOKUP(A1206,VLOOKUPS!$A$2:B$12589,2,FALSE),"")</f>
        <v>Blackberries 6oz-standard</v>
      </c>
      <c r="E1206">
        <v>2.48</v>
      </c>
      <c r="F1206">
        <v>1.48</v>
      </c>
      <c r="G1206" s="13">
        <v>44408</v>
      </c>
      <c r="H1206" s="13">
        <v>44409</v>
      </c>
      <c r="I1206" s="22" t="str">
        <f>VLOOKUP(J1206, Dropdowns!N:O, 2, FALSE)</f>
        <v>Lower Price</v>
      </c>
      <c r="J1206" t="s">
        <v>759</v>
      </c>
      <c r="L1206" s="17" t="s">
        <v>732</v>
      </c>
      <c r="M1206" s="17" t="s">
        <v>737</v>
      </c>
      <c r="N1206" s="17" t="s">
        <v>736</v>
      </c>
    </row>
    <row r="1207" spans="1:14" x14ac:dyDescent="0.25">
      <c r="A1207" s="10">
        <v>984700</v>
      </c>
      <c r="B1207" s="22" t="str">
        <f>IFERROR(VLOOKUP(A1207,VLOOKUPS!$A$2:B$12589,2,FALSE),"")</f>
        <v>Blackberries 6oz-standard</v>
      </c>
      <c r="E1207">
        <v>1.48</v>
      </c>
      <c r="F1207">
        <v>2.48</v>
      </c>
      <c r="G1207" s="13">
        <v>44410</v>
      </c>
      <c r="H1207" s="13"/>
      <c r="I1207" s="22" t="str">
        <f>VLOOKUP(J1207, Dropdowns!N:O, 2, FALSE)</f>
        <v>Standard</v>
      </c>
      <c r="J1207" t="s">
        <v>760</v>
      </c>
      <c r="L1207" s="17" t="s">
        <v>732</v>
      </c>
      <c r="M1207" s="17" t="s">
        <v>737</v>
      </c>
      <c r="N1207" s="17" t="s">
        <v>736</v>
      </c>
    </row>
    <row r="1208" spans="1:14" x14ac:dyDescent="0.25">
      <c r="A1208" s="10">
        <v>985760</v>
      </c>
      <c r="B1208" s="22" t="str">
        <f>IFERROR(VLOOKUP(A1208,VLOOKUPS!$A$2:B$12589,2,FALSE),"")</f>
        <v>Asparagus 1lb-standard</v>
      </c>
      <c r="E1208">
        <v>2.99</v>
      </c>
      <c r="F1208">
        <v>1.49</v>
      </c>
      <c r="G1208" s="13">
        <v>44408</v>
      </c>
      <c r="H1208" s="13">
        <v>44409</v>
      </c>
      <c r="I1208" s="22" t="str">
        <f>VLOOKUP(J1208, Dropdowns!N:O, 2, FALSE)</f>
        <v>Lower Price</v>
      </c>
      <c r="J1208" t="s">
        <v>759</v>
      </c>
      <c r="L1208" s="17" t="s">
        <v>732</v>
      </c>
      <c r="M1208" s="17" t="s">
        <v>10</v>
      </c>
      <c r="N1208" s="17">
        <v>2</v>
      </c>
    </row>
    <row r="1209" spans="1:14" x14ac:dyDescent="0.25">
      <c r="A1209" s="10">
        <v>985760</v>
      </c>
      <c r="B1209" s="22" t="str">
        <f>IFERROR(VLOOKUP(A1209,VLOOKUPS!$A$2:B$12589,2,FALSE),"")</f>
        <v>Asparagus 1lb-standard</v>
      </c>
      <c r="E1209">
        <v>1.49</v>
      </c>
      <c r="F1209">
        <v>2.99</v>
      </c>
      <c r="G1209" s="13">
        <v>44410</v>
      </c>
      <c r="H1209" s="13"/>
      <c r="I1209" s="22" t="str">
        <f>VLOOKUP(J1209, Dropdowns!N:O, 2, FALSE)</f>
        <v>Standard</v>
      </c>
      <c r="J1209" t="s">
        <v>760</v>
      </c>
      <c r="L1209" s="17" t="s">
        <v>732</v>
      </c>
      <c r="M1209" s="17" t="s">
        <v>10</v>
      </c>
      <c r="N1209" s="17">
        <v>2</v>
      </c>
    </row>
    <row r="1210" spans="1:14" x14ac:dyDescent="0.25">
      <c r="A1210" s="10">
        <v>995002</v>
      </c>
      <c r="B1210" s="22" t="str">
        <f>IFERROR(VLOOKUP(A1210,VLOOKUPS!$A$2:B$12589,2,FALSE),"")</f>
        <v>Butter Blend 6oz-standard</v>
      </c>
      <c r="E1210">
        <v>2.29</v>
      </c>
      <c r="F1210">
        <v>1.29</v>
      </c>
      <c r="G1210" s="13">
        <v>44408</v>
      </c>
      <c r="H1210" s="13">
        <v>44409</v>
      </c>
      <c r="I1210" s="22" t="str">
        <f>VLOOKUP(J1210, Dropdowns!N:O, 2, FALSE)</f>
        <v>Lower Price</v>
      </c>
      <c r="J1210" t="s">
        <v>759</v>
      </c>
      <c r="L1210" s="17" t="s">
        <v>732</v>
      </c>
      <c r="M1210" s="17" t="s">
        <v>10</v>
      </c>
      <c r="N1210" s="17">
        <v>2</v>
      </c>
    </row>
    <row r="1211" spans="1:14" x14ac:dyDescent="0.25">
      <c r="A1211" s="10">
        <v>995002</v>
      </c>
      <c r="B1211" s="22" t="str">
        <f>IFERROR(VLOOKUP(A1211,VLOOKUPS!$A$2:B$12589,2,FALSE),"")</f>
        <v>Butter Blend 6oz-standard</v>
      </c>
      <c r="E1211">
        <v>1.29</v>
      </c>
      <c r="F1211">
        <v>2.29</v>
      </c>
      <c r="G1211" s="13">
        <v>44410</v>
      </c>
      <c r="H1211" s="13"/>
      <c r="I1211" s="22" t="str">
        <f>VLOOKUP(J1211, Dropdowns!N:O, 2, FALSE)</f>
        <v>Standard</v>
      </c>
      <c r="J1211" t="s">
        <v>760</v>
      </c>
      <c r="L1211" s="17" t="s">
        <v>732</v>
      </c>
      <c r="M1211" s="17" t="s">
        <v>10</v>
      </c>
      <c r="N1211" s="17">
        <v>2</v>
      </c>
    </row>
    <row r="1212" spans="1:14" x14ac:dyDescent="0.25">
      <c r="A1212" s="10">
        <v>995007</v>
      </c>
      <c r="B1212" s="22" t="str">
        <f>IFERROR(VLOOKUP(A1212,VLOOKUPS!$A$2:B$12589,2,FALSE),"")</f>
        <v>Caesar Salad Kit 10.5oz-standard</v>
      </c>
      <c r="E1212">
        <v>2.59</v>
      </c>
      <c r="F1212">
        <v>1.59</v>
      </c>
      <c r="G1212" s="13">
        <v>44408</v>
      </c>
      <c r="H1212" s="13">
        <v>44409</v>
      </c>
      <c r="I1212" s="22" t="str">
        <f>VLOOKUP(J1212, Dropdowns!N:O, 2, FALSE)</f>
        <v>Lower Price</v>
      </c>
      <c r="J1212" t="s">
        <v>759</v>
      </c>
      <c r="L1212" s="17" t="s">
        <v>732</v>
      </c>
      <c r="M1212" s="17" t="s">
        <v>737</v>
      </c>
      <c r="N1212" s="17" t="s">
        <v>736</v>
      </c>
    </row>
    <row r="1213" spans="1:14" x14ac:dyDescent="0.25">
      <c r="A1213" s="10">
        <v>995007</v>
      </c>
      <c r="B1213" s="22" t="str">
        <f>IFERROR(VLOOKUP(A1213,VLOOKUPS!$A$2:B$12589,2,FALSE),"")</f>
        <v>Caesar Salad Kit 10.5oz-standard</v>
      </c>
      <c r="E1213">
        <v>1.59</v>
      </c>
      <c r="F1213">
        <v>2.59</v>
      </c>
      <c r="G1213" s="13">
        <v>44410</v>
      </c>
      <c r="H1213" s="13"/>
      <c r="I1213" s="22" t="str">
        <f>VLOOKUP(J1213, Dropdowns!N:O, 2, FALSE)</f>
        <v>Standard</v>
      </c>
      <c r="J1213" t="s">
        <v>760</v>
      </c>
      <c r="L1213" s="17" t="s">
        <v>732</v>
      </c>
      <c r="M1213" s="17" t="s">
        <v>737</v>
      </c>
      <c r="N1213" s="17" t="s">
        <v>736</v>
      </c>
    </row>
    <row r="1214" spans="1:14" x14ac:dyDescent="0.25">
      <c r="A1214" s="10">
        <v>995021</v>
      </c>
      <c r="B1214" s="22" t="str">
        <f>IFERROR(VLOOKUP(A1214,VLOOKUPS!$A$2:B$12589,2,FALSE),"")</f>
        <v>Chopped Bacon Caesar Kit 10.2oz-standard</v>
      </c>
      <c r="E1214">
        <v>3.29</v>
      </c>
      <c r="F1214">
        <v>2.29</v>
      </c>
      <c r="G1214" s="13">
        <v>44408</v>
      </c>
      <c r="H1214" s="13">
        <v>44409</v>
      </c>
      <c r="I1214" s="22" t="str">
        <f>VLOOKUP(J1214, Dropdowns!N:O, 2, FALSE)</f>
        <v>Lower Price</v>
      </c>
      <c r="J1214" t="s">
        <v>759</v>
      </c>
      <c r="L1214" s="17" t="s">
        <v>733</v>
      </c>
      <c r="M1214" s="17" t="s">
        <v>11</v>
      </c>
      <c r="N1214" s="17" t="s">
        <v>740</v>
      </c>
    </row>
    <row r="1215" spans="1:14" x14ac:dyDescent="0.25">
      <c r="A1215" s="10">
        <v>995021</v>
      </c>
      <c r="B1215" s="22" t="str">
        <f>IFERROR(VLOOKUP(A1215,VLOOKUPS!$A$2:B$12589,2,FALSE),"")</f>
        <v>Chopped Bacon Caesar Kit 10.2oz-standard</v>
      </c>
      <c r="E1215">
        <v>2.29</v>
      </c>
      <c r="F1215">
        <v>3.29</v>
      </c>
      <c r="G1215" s="13">
        <v>44410</v>
      </c>
      <c r="H1215" s="13"/>
      <c r="I1215" s="22" t="str">
        <f>VLOOKUP(J1215, Dropdowns!N:O, 2, FALSE)</f>
        <v>Standard</v>
      </c>
      <c r="J1215" t="s">
        <v>760</v>
      </c>
      <c r="L1215" s="17" t="s">
        <v>733</v>
      </c>
      <c r="M1215" s="17" t="s">
        <v>11</v>
      </c>
      <c r="N1215" s="17" t="s">
        <v>740</v>
      </c>
    </row>
    <row r="1216" spans="1:14" x14ac:dyDescent="0.25">
      <c r="A1216" s="10">
        <v>995086</v>
      </c>
      <c r="B1216" s="22" t="str">
        <f>IFERROR(VLOOKUP(A1216,VLOOKUPS!$A$2:B$12589,2,FALSE),"")</f>
        <v>Eat Smart Broccoli Florets 2lbs-standard</v>
      </c>
      <c r="E1216">
        <v>5.98</v>
      </c>
      <c r="F1216">
        <v>3.98</v>
      </c>
      <c r="G1216" s="13">
        <v>44408</v>
      </c>
      <c r="H1216" s="13">
        <v>44409</v>
      </c>
      <c r="I1216" s="22" t="str">
        <f>VLOOKUP(J1216, Dropdowns!N:O, 2, FALSE)</f>
        <v>Lower Price</v>
      </c>
      <c r="J1216" t="s">
        <v>759</v>
      </c>
      <c r="L1216" s="17" t="s">
        <v>732</v>
      </c>
      <c r="M1216" s="17" t="s">
        <v>10</v>
      </c>
      <c r="N1216" s="17">
        <v>2</v>
      </c>
    </row>
    <row r="1217" spans="1:14" x14ac:dyDescent="0.25">
      <c r="A1217" s="10">
        <v>995086</v>
      </c>
      <c r="B1217" s="22" t="str">
        <f>IFERROR(VLOOKUP(A1217,VLOOKUPS!$A$2:B$12589,2,FALSE),"")</f>
        <v>Eat Smart Broccoli Florets 2lbs-standard</v>
      </c>
      <c r="E1217">
        <v>3.98</v>
      </c>
      <c r="F1217">
        <v>5.98</v>
      </c>
      <c r="G1217" s="13">
        <v>44410</v>
      </c>
      <c r="H1217" s="13"/>
      <c r="I1217" s="22" t="str">
        <f>VLOOKUP(J1217, Dropdowns!N:O, 2, FALSE)</f>
        <v>Standard</v>
      </c>
      <c r="J1217" t="s">
        <v>760</v>
      </c>
      <c r="L1217" s="17" t="s">
        <v>732</v>
      </c>
      <c r="M1217" s="17" t="s">
        <v>10</v>
      </c>
      <c r="N1217" s="17">
        <v>2</v>
      </c>
    </row>
    <row r="1218" spans="1:14" x14ac:dyDescent="0.25">
      <c r="A1218" s="10">
        <v>995097</v>
      </c>
      <c r="B1218" s="22" t="str">
        <f>IFERROR(VLOOKUP(A1218,VLOOKUPS!$A$2:B$12589,2,FALSE),"")</f>
        <v>Butternut Diced 12oz-standard</v>
      </c>
      <c r="E1218">
        <v>2.4900000000000002</v>
      </c>
      <c r="F1218">
        <v>1.49</v>
      </c>
      <c r="G1218" s="13">
        <v>44408</v>
      </c>
      <c r="H1218" s="13">
        <v>44409</v>
      </c>
      <c r="I1218" s="22" t="str">
        <f>VLOOKUP(J1218, Dropdowns!N:O, 2, FALSE)</f>
        <v>Lower Price</v>
      </c>
      <c r="J1218" t="s">
        <v>759</v>
      </c>
      <c r="L1218" s="17" t="s">
        <v>733</v>
      </c>
      <c r="M1218" s="17" t="s">
        <v>11</v>
      </c>
      <c r="N1218" s="17" t="s">
        <v>740</v>
      </c>
    </row>
    <row r="1219" spans="1:14" x14ac:dyDescent="0.25">
      <c r="A1219" s="10">
        <v>995097</v>
      </c>
      <c r="B1219" s="22" t="str">
        <f>IFERROR(VLOOKUP(A1219,VLOOKUPS!$A$2:B$12589,2,FALSE),"")</f>
        <v>Butternut Diced 12oz-standard</v>
      </c>
      <c r="E1219">
        <v>1.49</v>
      </c>
      <c r="F1219">
        <v>2.4900000000000002</v>
      </c>
      <c r="G1219" s="13">
        <v>44410</v>
      </c>
      <c r="H1219" s="13"/>
      <c r="I1219" s="22" t="str">
        <f>VLOOKUP(J1219, Dropdowns!N:O, 2, FALSE)</f>
        <v>Standard</v>
      </c>
      <c r="J1219" t="s">
        <v>760</v>
      </c>
      <c r="L1219" s="17" t="s">
        <v>733</v>
      </c>
      <c r="M1219" s="17" t="s">
        <v>11</v>
      </c>
      <c r="N1219" s="17" t="s">
        <v>740</v>
      </c>
    </row>
    <row r="1220" spans="1:14" x14ac:dyDescent="0.25">
      <c r="A1220" s="10">
        <v>995100</v>
      </c>
      <c r="B1220" s="22" t="str">
        <f>IFERROR(VLOOKUP(A1220,VLOOKUPS!$A$2:B$12589,2,FALSE),"")</f>
        <v>Asian Chopped Salad Kit 12oz-standard</v>
      </c>
      <c r="E1220">
        <v>3.29</v>
      </c>
      <c r="F1220">
        <v>1.99</v>
      </c>
      <c r="G1220" s="13">
        <v>44408</v>
      </c>
      <c r="H1220" s="13">
        <v>44409</v>
      </c>
      <c r="I1220" s="22" t="str">
        <f>VLOOKUP(J1220, Dropdowns!N:O, 2, FALSE)</f>
        <v>Lower Price</v>
      </c>
      <c r="J1220" t="s">
        <v>759</v>
      </c>
      <c r="L1220" s="17" t="s">
        <v>732</v>
      </c>
      <c r="M1220" s="17" t="s">
        <v>738</v>
      </c>
      <c r="N1220" s="17">
        <v>2</v>
      </c>
    </row>
    <row r="1221" spans="1:14" x14ac:dyDescent="0.25">
      <c r="A1221" s="10">
        <v>995100</v>
      </c>
      <c r="B1221" s="22" t="str">
        <f>IFERROR(VLOOKUP(A1221,VLOOKUPS!$A$2:B$12589,2,FALSE),"")</f>
        <v>Asian Chopped Salad Kit 12oz-standard</v>
      </c>
      <c r="E1221">
        <v>1.99</v>
      </c>
      <c r="F1221">
        <v>3.29</v>
      </c>
      <c r="G1221" s="13">
        <v>44410</v>
      </c>
      <c r="H1221" s="13"/>
      <c r="I1221" s="22" t="str">
        <f>VLOOKUP(J1221, Dropdowns!N:O, 2, FALSE)</f>
        <v>Standard</v>
      </c>
      <c r="J1221" t="s">
        <v>760</v>
      </c>
      <c r="L1221" s="17" t="s">
        <v>732</v>
      </c>
      <c r="M1221" s="17" t="s">
        <v>738</v>
      </c>
      <c r="N1221" s="17">
        <v>2</v>
      </c>
    </row>
    <row r="1222" spans="1:14" x14ac:dyDescent="0.25">
      <c r="A1222" s="10">
        <v>995147</v>
      </c>
      <c r="B1222" s="22" t="str">
        <f>IFERROR(VLOOKUP(A1222,VLOOKUPS!$A$2:B$12589,2,FALSE),"")</f>
        <v>Celery Sticks 1.25lb-standard</v>
      </c>
      <c r="E1222">
        <v>2.74</v>
      </c>
      <c r="F1222">
        <v>1.74</v>
      </c>
      <c r="G1222" s="13">
        <v>44408</v>
      </c>
      <c r="H1222" s="13">
        <v>44409</v>
      </c>
      <c r="I1222" s="22" t="str">
        <f>VLOOKUP(J1222, Dropdowns!N:O, 2, FALSE)</f>
        <v>Lower Price</v>
      </c>
      <c r="J1222" t="s">
        <v>759</v>
      </c>
      <c r="L1222" s="17" t="s">
        <v>732</v>
      </c>
      <c r="M1222" s="17" t="s">
        <v>9</v>
      </c>
      <c r="N1222" s="17" t="s">
        <v>736</v>
      </c>
    </row>
    <row r="1223" spans="1:14" x14ac:dyDescent="0.25">
      <c r="A1223" s="10">
        <v>995147</v>
      </c>
      <c r="B1223" s="22" t="str">
        <f>IFERROR(VLOOKUP(A1223,VLOOKUPS!$A$2:B$12589,2,FALSE),"")</f>
        <v>Celery Sticks 1.25lb-standard</v>
      </c>
      <c r="E1223">
        <v>1.74</v>
      </c>
      <c r="F1223">
        <v>2.74</v>
      </c>
      <c r="G1223" s="13">
        <v>44410</v>
      </c>
      <c r="H1223" s="13"/>
      <c r="I1223" s="22" t="str">
        <f>VLOOKUP(J1223, Dropdowns!N:O, 2, FALSE)</f>
        <v>Standard</v>
      </c>
      <c r="J1223" t="s">
        <v>760</v>
      </c>
      <c r="L1223" s="17" t="s">
        <v>732</v>
      </c>
      <c r="M1223" s="17" t="s">
        <v>9</v>
      </c>
      <c r="N1223" s="17" t="s">
        <v>736</v>
      </c>
    </row>
    <row r="1224" spans="1:14" x14ac:dyDescent="0.25">
      <c r="A1224" s="10">
        <v>984542</v>
      </c>
      <c r="B1224" s="22" t="str">
        <f>IFERROR(VLOOKUP(A1224,VLOOKUPS!$A$2:B$12589,2,FALSE),"")</f>
        <v>Blueberries 18oz-standard</v>
      </c>
      <c r="E1224">
        <v>2.99</v>
      </c>
      <c r="F1224">
        <v>4.1900000000000004</v>
      </c>
      <c r="G1224" s="13">
        <v>44408</v>
      </c>
      <c r="H1224" s="13"/>
      <c r="I1224" s="22" t="str">
        <f>VLOOKUP(J1224, Dropdowns!N:O, 2, FALSE)</f>
        <v>Standard</v>
      </c>
      <c r="J1224" t="s">
        <v>760</v>
      </c>
      <c r="L1224" s="17" t="s">
        <v>732</v>
      </c>
      <c r="M1224" s="17" t="s">
        <v>9</v>
      </c>
      <c r="N1224" s="17" t="s">
        <v>736</v>
      </c>
    </row>
    <row r="1225" spans="1:14" x14ac:dyDescent="0.25">
      <c r="A1225" s="10">
        <v>984542</v>
      </c>
      <c r="B1225" s="22" t="str">
        <f>IFERROR(VLOOKUP(A1225,VLOOKUPS!$A$2:B$12589,2,FALSE),"")</f>
        <v>Blueberries 18oz-standard</v>
      </c>
      <c r="E1225">
        <v>4.1900000000000004</v>
      </c>
      <c r="F1225">
        <v>2.99</v>
      </c>
      <c r="G1225" s="13">
        <v>44408</v>
      </c>
      <c r="H1225" s="13">
        <v>44409</v>
      </c>
      <c r="I1225" s="22" t="str">
        <f>VLOOKUP(J1225, Dropdowns!N:O, 2, FALSE)</f>
        <v>Lower Price</v>
      </c>
      <c r="J1225" t="s">
        <v>759</v>
      </c>
      <c r="L1225" s="17" t="s">
        <v>732</v>
      </c>
      <c r="M1225" s="17" t="s">
        <v>738</v>
      </c>
      <c r="N1225" s="17">
        <v>2</v>
      </c>
    </row>
    <row r="1226" spans="1:14" x14ac:dyDescent="0.25">
      <c r="A1226" s="10">
        <v>984542</v>
      </c>
      <c r="B1226" s="22" t="str">
        <f>IFERROR(VLOOKUP(A1226,VLOOKUPS!$A$2:B$12589,2,FALSE),"")</f>
        <v>Blueberries 18oz-standard</v>
      </c>
      <c r="E1226">
        <v>2.99</v>
      </c>
      <c r="F1226">
        <v>4.1900000000000004</v>
      </c>
      <c r="G1226" s="13">
        <v>44410</v>
      </c>
      <c r="H1226" s="13"/>
      <c r="I1226" s="22" t="str">
        <f>VLOOKUP(J1226, Dropdowns!N:O, 2, FALSE)</f>
        <v>Standard</v>
      </c>
      <c r="J1226" t="s">
        <v>760</v>
      </c>
      <c r="L1226" s="17" t="s">
        <v>732</v>
      </c>
      <c r="M1226" s="17" t="s">
        <v>738</v>
      </c>
      <c r="N1226" s="17">
        <v>2</v>
      </c>
    </row>
    <row r="1227" spans="1:14" x14ac:dyDescent="0.25">
      <c r="A1227" s="10">
        <v>986250</v>
      </c>
      <c r="B1227" s="22" t="str">
        <f>IFERROR(VLOOKUP(A1227,VLOOKUPS!$A$2:B$12589,2,FALSE),"")</f>
        <v>French Beans 1lb-standard</v>
      </c>
      <c r="G1227" s="13">
        <v>44408</v>
      </c>
      <c r="H1227" s="13">
        <v>44409</v>
      </c>
      <c r="I1227" s="22" t="str">
        <f>VLOOKUP(J1227, Dropdowns!N:O, 2, FALSE)</f>
        <v>Lower Price</v>
      </c>
      <c r="J1227" t="s">
        <v>762</v>
      </c>
      <c r="L1227" s="17" t="s">
        <v>732</v>
      </c>
      <c r="M1227" s="17" t="s">
        <v>10</v>
      </c>
      <c r="N1227" s="17">
        <v>2</v>
      </c>
    </row>
    <row r="1228" spans="1:14" x14ac:dyDescent="0.25">
      <c r="A1228" s="10">
        <v>986250</v>
      </c>
      <c r="B1228" s="22" t="str">
        <f>IFERROR(VLOOKUP(A1228,VLOOKUPS!$A$2:B$12589,2,FALSE),"")</f>
        <v>French Beans 1lb-standard</v>
      </c>
      <c r="E1228">
        <v>1.79</v>
      </c>
      <c r="F1228">
        <v>2.99</v>
      </c>
      <c r="G1228" s="13">
        <v>44410</v>
      </c>
      <c r="H1228" s="13"/>
      <c r="I1228" s="22" t="str">
        <f>VLOOKUP(J1228, Dropdowns!N:O, 2, FALSE)</f>
        <v>Standard</v>
      </c>
      <c r="J1228" t="s">
        <v>760</v>
      </c>
      <c r="L1228" s="17" t="s">
        <v>732</v>
      </c>
      <c r="M1228" s="17" t="s">
        <v>10</v>
      </c>
      <c r="N1228" s="17">
        <v>2</v>
      </c>
    </row>
    <row r="1229" spans="1:14" x14ac:dyDescent="0.25">
      <c r="A1229" s="10">
        <v>995084</v>
      </c>
      <c r="B1229" s="22" t="str">
        <f>IFERROR(VLOOKUP(A1229,VLOOKUPS!$A$2:B$12589,2,FALSE),"")</f>
        <v>Eat Smart Green Beans 12oz-standard</v>
      </c>
      <c r="G1229" s="13">
        <v>44408</v>
      </c>
      <c r="H1229" s="13">
        <v>44409</v>
      </c>
      <c r="I1229" s="22" t="str">
        <f>VLOOKUP(J1229, Dropdowns!N:O, 2, FALSE)</f>
        <v>Lower Price</v>
      </c>
      <c r="J1229" t="s">
        <v>762</v>
      </c>
      <c r="L1229" s="17" t="s">
        <v>732</v>
      </c>
      <c r="M1229" s="17" t="s">
        <v>736</v>
      </c>
      <c r="N1229" s="17" t="s">
        <v>736</v>
      </c>
    </row>
    <row r="1230" spans="1:14" x14ac:dyDescent="0.25">
      <c r="A1230" s="10">
        <v>995084</v>
      </c>
      <c r="B1230" s="22" t="str">
        <f>IFERROR(VLOOKUP(A1230,VLOOKUPS!$A$2:B$12589,2,FALSE),"")</f>
        <v>Eat Smart Green Beans 12oz-standard</v>
      </c>
      <c r="E1230">
        <v>1.88</v>
      </c>
      <c r="F1230">
        <v>2.78</v>
      </c>
      <c r="G1230" s="13">
        <v>44410</v>
      </c>
      <c r="H1230" s="13"/>
      <c r="I1230" s="22" t="str">
        <f>VLOOKUP(J1230, Dropdowns!N:O, 2, FALSE)</f>
        <v>Standard</v>
      </c>
      <c r="J1230" t="s">
        <v>760</v>
      </c>
      <c r="L1230" s="17" t="s">
        <v>733</v>
      </c>
      <c r="M1230" s="17" t="s">
        <v>736</v>
      </c>
      <c r="N1230" s="17" t="s">
        <v>740</v>
      </c>
    </row>
    <row r="1231" spans="1:14" x14ac:dyDescent="0.25">
      <c r="A1231" s="10">
        <v>995084</v>
      </c>
      <c r="B1231" s="22" t="str">
        <f>IFERROR(VLOOKUP(A1231,VLOOKUPS!$A$2:B$12589,2,FALSE),"")</f>
        <v>Eat Smart Green Beans 12oz-standard</v>
      </c>
      <c r="E1231">
        <v>1.88</v>
      </c>
      <c r="F1231">
        <v>2.88</v>
      </c>
      <c r="G1231" s="13">
        <v>44410</v>
      </c>
      <c r="H1231" s="13"/>
      <c r="I1231" s="22" t="str">
        <f>VLOOKUP(J1231, Dropdowns!N:O, 2, FALSE)</f>
        <v>Standard</v>
      </c>
      <c r="J1231" t="s">
        <v>760</v>
      </c>
      <c r="L1231" s="17" t="s">
        <v>734</v>
      </c>
      <c r="M1231" s="17" t="s">
        <v>735</v>
      </c>
      <c r="N1231" s="17" t="s">
        <v>736</v>
      </c>
    </row>
    <row r="1232" spans="1:14" x14ac:dyDescent="0.25">
      <c r="A1232" s="10">
        <v>983201</v>
      </c>
      <c r="B1232" s="22" t="str">
        <f>IFERROR(VLOOKUP(A1232,VLOOKUPS!$A$2:B$12589,2,FALSE),"")</f>
        <v>Melons* Honeydew 1ct-LOOSE</v>
      </c>
      <c r="E1232">
        <v>3.58</v>
      </c>
      <c r="F1232">
        <v>1.98</v>
      </c>
      <c r="G1232" s="13">
        <v>44411</v>
      </c>
      <c r="H1232" s="13">
        <v>44413</v>
      </c>
      <c r="I1232" s="22" t="str">
        <f>VLOOKUP(J1232, Dropdowns!N:O, 2, FALSE)</f>
        <v>Lower Price</v>
      </c>
      <c r="J1232" t="s">
        <v>759</v>
      </c>
      <c r="L1232" s="17" t="s">
        <v>732</v>
      </c>
      <c r="M1232" s="17" t="s">
        <v>735</v>
      </c>
      <c r="N1232" s="17" t="s">
        <v>736</v>
      </c>
    </row>
    <row r="1233" spans="1:14" x14ac:dyDescent="0.25">
      <c r="A1233" s="10">
        <v>983201</v>
      </c>
      <c r="B1233" s="22" t="str">
        <f>IFERROR(VLOOKUP(A1233,VLOOKUPS!$A$2:B$12589,2,FALSE),"")</f>
        <v>Melons* Honeydew 1ct-LOOSE</v>
      </c>
      <c r="E1233">
        <v>1.98</v>
      </c>
      <c r="F1233">
        <v>3.58</v>
      </c>
      <c r="G1233" s="13">
        <v>44414</v>
      </c>
      <c r="H1233" s="13"/>
      <c r="I1233" s="22" t="str">
        <f>VLOOKUP(J1233, Dropdowns!N:O, 2, FALSE)</f>
        <v>Standard</v>
      </c>
      <c r="J1233" t="s">
        <v>760</v>
      </c>
      <c r="L1233" s="17" t="s">
        <v>732</v>
      </c>
      <c r="M1233" s="17" t="s">
        <v>735</v>
      </c>
      <c r="N1233" s="17" t="s">
        <v>736</v>
      </c>
    </row>
    <row r="1234" spans="1:14" x14ac:dyDescent="0.25">
      <c r="A1234" s="10">
        <v>984542</v>
      </c>
      <c r="B1234" s="22" t="str">
        <f>IFERROR(VLOOKUP(A1234,VLOOKUPS!$A$2:B$12589,2,FALSE),"")</f>
        <v>Blueberries 18oz-standard</v>
      </c>
      <c r="E1234">
        <v>4.1900000000000004</v>
      </c>
      <c r="F1234">
        <v>4.29</v>
      </c>
      <c r="G1234" s="13">
        <v>44411</v>
      </c>
      <c r="H1234" s="13"/>
      <c r="I1234" s="22" t="str">
        <f>VLOOKUP(J1234, Dropdowns!N:O, 2, FALSE)</f>
        <v>Standard</v>
      </c>
      <c r="J1234" t="s">
        <v>761</v>
      </c>
      <c r="L1234" s="17" t="s">
        <v>732</v>
      </c>
      <c r="M1234" s="17" t="s">
        <v>736</v>
      </c>
      <c r="N1234" s="17" t="s">
        <v>736</v>
      </c>
    </row>
    <row r="1235" spans="1:14" x14ac:dyDescent="0.25">
      <c r="A1235" s="10">
        <v>984660</v>
      </c>
      <c r="B1235" s="22" t="str">
        <f>IFERROR(VLOOKUP(A1235,VLOOKUPS!$A$2:B$12589,2,FALSE),"")</f>
        <v>Organic Raspberries 6oz-standard</v>
      </c>
      <c r="G1235" s="13">
        <v>44411</v>
      </c>
      <c r="H1235" s="13"/>
      <c r="I1235" s="22" t="str">
        <f>VLOOKUP(J1235, Dropdowns!N:O, 2, FALSE)</f>
        <v>NA</v>
      </c>
      <c r="J1235" t="s">
        <v>754</v>
      </c>
      <c r="L1235" s="17" t="s">
        <v>732</v>
      </c>
      <c r="M1235" s="17" t="s">
        <v>735</v>
      </c>
      <c r="N1235" s="17" t="s">
        <v>736</v>
      </c>
    </row>
    <row r="1236" spans="1:14" x14ac:dyDescent="0.25">
      <c r="A1236" s="10">
        <v>984700</v>
      </c>
      <c r="B1236" s="22" t="str">
        <f>IFERROR(VLOOKUP(A1236,VLOOKUPS!$A$2:B$12589,2,FALSE),"")</f>
        <v>Blackberries 6oz-standard</v>
      </c>
      <c r="E1236">
        <v>2.48</v>
      </c>
      <c r="F1236">
        <v>1.78</v>
      </c>
      <c r="G1236" s="13">
        <v>44411</v>
      </c>
      <c r="H1236" s="13">
        <v>44412</v>
      </c>
      <c r="I1236" s="22" t="str">
        <f>VLOOKUP(J1236, Dropdowns!N:O, 2, FALSE)</f>
        <v>Lower Price</v>
      </c>
      <c r="J1236" t="s">
        <v>759</v>
      </c>
      <c r="L1236" s="17" t="s">
        <v>732</v>
      </c>
      <c r="M1236" s="17" t="s">
        <v>10</v>
      </c>
      <c r="N1236" s="17">
        <v>2</v>
      </c>
    </row>
    <row r="1237" spans="1:14" x14ac:dyDescent="0.25">
      <c r="A1237" s="10">
        <v>984700</v>
      </c>
      <c r="B1237" s="22" t="str">
        <f>IFERROR(VLOOKUP(A1237,VLOOKUPS!$A$2:B$12589,2,FALSE),"")</f>
        <v>Blackberries 6oz-standard</v>
      </c>
      <c r="E1237">
        <v>1.78</v>
      </c>
      <c r="F1237">
        <v>2.48</v>
      </c>
      <c r="G1237" s="13">
        <v>44413</v>
      </c>
      <c r="H1237" s="13"/>
      <c r="I1237" s="22" t="str">
        <f>VLOOKUP(J1237, Dropdowns!N:O, 2, FALSE)</f>
        <v>Standard</v>
      </c>
      <c r="J1237" t="s">
        <v>760</v>
      </c>
      <c r="L1237" s="17" t="s">
        <v>732</v>
      </c>
      <c r="M1237" s="17" t="s">
        <v>10</v>
      </c>
      <c r="N1237" s="17">
        <v>2</v>
      </c>
    </row>
    <row r="1238" spans="1:14" x14ac:dyDescent="0.25">
      <c r="A1238" s="10">
        <v>984740</v>
      </c>
      <c r="B1238" s="22" t="str">
        <f>IFERROR(VLOOKUP(A1238,VLOOKUPS!$A$2:B$12589,2,FALSE),"")</f>
        <v>Organic Blackberries 6oz-standard</v>
      </c>
      <c r="G1238" s="13">
        <v>44411</v>
      </c>
      <c r="H1238" s="13"/>
      <c r="I1238" s="22" t="str">
        <f>VLOOKUP(J1238, Dropdowns!N:O, 2, FALSE)</f>
        <v>NA</v>
      </c>
      <c r="J1238" t="s">
        <v>754</v>
      </c>
      <c r="L1238" s="17" t="s">
        <v>732</v>
      </c>
      <c r="M1238" s="17" t="s">
        <v>735</v>
      </c>
      <c r="N1238" s="17" t="s">
        <v>736</v>
      </c>
    </row>
    <row r="1239" spans="1:14" x14ac:dyDescent="0.25">
      <c r="A1239" s="10">
        <v>985760</v>
      </c>
      <c r="B1239" s="22" t="str">
        <f>IFERROR(VLOOKUP(A1239,VLOOKUPS!$A$2:B$12589,2,FALSE),"")</f>
        <v>Asparagus 1lb-standard</v>
      </c>
      <c r="E1239">
        <v>2.99</v>
      </c>
      <c r="F1239">
        <v>1.99</v>
      </c>
      <c r="G1239" s="13">
        <v>44411</v>
      </c>
      <c r="H1239" s="13">
        <v>44412</v>
      </c>
      <c r="I1239" s="22" t="str">
        <f>VLOOKUP(J1239, Dropdowns!N:O, 2, FALSE)</f>
        <v>Lower Price</v>
      </c>
      <c r="J1239" t="s">
        <v>759</v>
      </c>
      <c r="L1239" s="17" t="s">
        <v>733</v>
      </c>
      <c r="M1239" s="17" t="s">
        <v>11</v>
      </c>
      <c r="N1239" s="17" t="s">
        <v>740</v>
      </c>
    </row>
    <row r="1240" spans="1:14" x14ac:dyDescent="0.25">
      <c r="A1240" s="10">
        <v>985760</v>
      </c>
      <c r="B1240" s="22" t="str">
        <f>IFERROR(VLOOKUP(A1240,VLOOKUPS!$A$2:B$12589,2,FALSE),"")</f>
        <v>Asparagus 1lb-standard</v>
      </c>
      <c r="E1240">
        <v>1.99</v>
      </c>
      <c r="F1240">
        <v>2.99</v>
      </c>
      <c r="G1240" s="13">
        <v>44413</v>
      </c>
      <c r="H1240" s="13"/>
      <c r="I1240" s="22" t="str">
        <f>VLOOKUP(J1240, Dropdowns!N:O, 2, FALSE)</f>
        <v>Standard</v>
      </c>
      <c r="J1240" t="s">
        <v>760</v>
      </c>
      <c r="L1240" s="17" t="s">
        <v>733</v>
      </c>
      <c r="M1240" s="17" t="s">
        <v>11</v>
      </c>
      <c r="N1240" s="17" t="s">
        <v>740</v>
      </c>
    </row>
    <row r="1241" spans="1:14" x14ac:dyDescent="0.25">
      <c r="A1241" s="10">
        <v>995002</v>
      </c>
      <c r="B1241" s="22" t="str">
        <f>IFERROR(VLOOKUP(A1241,VLOOKUPS!$A$2:B$12589,2,FALSE),"")</f>
        <v>Butter Blend 6oz-standard</v>
      </c>
      <c r="E1241">
        <v>2.29</v>
      </c>
      <c r="F1241">
        <v>1.29</v>
      </c>
      <c r="G1241" s="13">
        <v>44411</v>
      </c>
      <c r="H1241" s="13">
        <v>44412</v>
      </c>
      <c r="I1241" s="22" t="str">
        <f>VLOOKUP(J1241, Dropdowns!N:O, 2, FALSE)</f>
        <v>Lower Price</v>
      </c>
      <c r="J1241" t="s">
        <v>759</v>
      </c>
      <c r="L1241" s="17" t="s">
        <v>732</v>
      </c>
      <c r="M1241" s="17" t="s">
        <v>736</v>
      </c>
      <c r="N1241" s="17" t="s">
        <v>736</v>
      </c>
    </row>
    <row r="1242" spans="1:14" x14ac:dyDescent="0.25">
      <c r="A1242" s="10">
        <v>995002</v>
      </c>
      <c r="B1242" s="22" t="str">
        <f>IFERROR(VLOOKUP(A1242,VLOOKUPS!$A$2:B$12589,2,FALSE),"")</f>
        <v>Butter Blend 6oz-standard</v>
      </c>
      <c r="E1242">
        <v>1.29</v>
      </c>
      <c r="F1242">
        <v>2.29</v>
      </c>
      <c r="G1242" s="13">
        <v>44413</v>
      </c>
      <c r="H1242" s="13"/>
      <c r="I1242" s="22" t="str">
        <f>VLOOKUP(J1242, Dropdowns!N:O, 2, FALSE)</f>
        <v>Standard</v>
      </c>
      <c r="J1242" t="s">
        <v>760</v>
      </c>
      <c r="L1242" s="17" t="s">
        <v>732</v>
      </c>
      <c r="M1242" s="17" t="s">
        <v>736</v>
      </c>
      <c r="N1242" s="17" t="s">
        <v>736</v>
      </c>
    </row>
    <row r="1243" spans="1:14" x14ac:dyDescent="0.25">
      <c r="A1243" s="10">
        <v>995006</v>
      </c>
      <c r="B1243" s="22" t="str">
        <f>IFERROR(VLOOKUP(A1243,VLOOKUPS!$A$2:B$12589,2,FALSE),"")</f>
        <v>Italian Salad 9oz-standard</v>
      </c>
      <c r="E1243">
        <v>2.29</v>
      </c>
      <c r="F1243">
        <v>1.29</v>
      </c>
      <c r="G1243" s="13">
        <v>44411</v>
      </c>
      <c r="H1243" s="13">
        <v>44412</v>
      </c>
      <c r="I1243" s="22" t="str">
        <f>VLOOKUP(J1243, Dropdowns!N:O, 2, FALSE)</f>
        <v>Lower Price</v>
      </c>
      <c r="J1243" t="s">
        <v>759</v>
      </c>
      <c r="L1243" s="17" t="s">
        <v>732</v>
      </c>
      <c r="M1243" s="17" t="s">
        <v>10</v>
      </c>
      <c r="N1243" s="17">
        <v>2</v>
      </c>
    </row>
    <row r="1244" spans="1:14" x14ac:dyDescent="0.25">
      <c r="A1244" s="10">
        <v>995006</v>
      </c>
      <c r="B1244" s="22" t="str">
        <f>IFERROR(VLOOKUP(A1244,VLOOKUPS!$A$2:B$12589,2,FALSE),"")</f>
        <v>Italian Salad 9oz-standard</v>
      </c>
      <c r="E1244">
        <v>1.29</v>
      </c>
      <c r="F1244">
        <v>2.29</v>
      </c>
      <c r="G1244" s="13">
        <v>44413</v>
      </c>
      <c r="H1244" s="13"/>
      <c r="I1244" s="22" t="str">
        <f>VLOOKUP(J1244, Dropdowns!N:O, 2, FALSE)</f>
        <v>Standard</v>
      </c>
      <c r="J1244" t="s">
        <v>760</v>
      </c>
      <c r="L1244" s="17" t="s">
        <v>732</v>
      </c>
      <c r="M1244" s="17" t="s">
        <v>10</v>
      </c>
      <c r="N1244" s="17">
        <v>2</v>
      </c>
    </row>
    <row r="1245" spans="1:14" x14ac:dyDescent="0.25">
      <c r="A1245" s="10">
        <v>995021</v>
      </c>
      <c r="B1245" s="22" t="str">
        <f>IFERROR(VLOOKUP(A1245,VLOOKUPS!$A$2:B$12589,2,FALSE),"")</f>
        <v>Chopped Bacon Caesar Kit 10.2oz-standard</v>
      </c>
      <c r="E1245">
        <v>3.29</v>
      </c>
      <c r="F1245">
        <v>1.99</v>
      </c>
      <c r="G1245" s="13">
        <v>44411</v>
      </c>
      <c r="H1245" s="13">
        <v>44412</v>
      </c>
      <c r="I1245" s="22" t="str">
        <f>VLOOKUP(J1245, Dropdowns!N:O, 2, FALSE)</f>
        <v>Lower Price</v>
      </c>
      <c r="J1245" t="s">
        <v>759</v>
      </c>
      <c r="L1245" s="17" t="s">
        <v>732</v>
      </c>
      <c r="M1245" s="17" t="s">
        <v>738</v>
      </c>
      <c r="N1245" s="17">
        <v>2</v>
      </c>
    </row>
    <row r="1246" spans="1:14" x14ac:dyDescent="0.25">
      <c r="A1246" s="10">
        <v>995021</v>
      </c>
      <c r="B1246" s="22" t="str">
        <f>IFERROR(VLOOKUP(A1246,VLOOKUPS!$A$2:B$12589,2,FALSE),"")</f>
        <v>Chopped Bacon Caesar Kit 10.2oz-standard</v>
      </c>
      <c r="E1246">
        <v>1.99</v>
      </c>
      <c r="F1246">
        <v>3.29</v>
      </c>
      <c r="G1246" s="13">
        <v>44413</v>
      </c>
      <c r="H1246" s="13"/>
      <c r="I1246" s="22" t="str">
        <f>VLOOKUP(J1246, Dropdowns!N:O, 2, FALSE)</f>
        <v>Standard</v>
      </c>
      <c r="J1246" t="s">
        <v>760</v>
      </c>
      <c r="L1246" s="17" t="s">
        <v>732</v>
      </c>
      <c r="M1246" s="17" t="s">
        <v>738</v>
      </c>
      <c r="N1246" s="17">
        <v>2</v>
      </c>
    </row>
    <row r="1247" spans="1:14" x14ac:dyDescent="0.25">
      <c r="A1247" s="10">
        <v>995041</v>
      </c>
      <c r="B1247" s="22" t="str">
        <f>IFERROR(VLOOKUP(A1247,VLOOKUPS!$A$2:B$12589,2,FALSE),"")</f>
        <v>Pineapple Spears 16oz-standard</v>
      </c>
      <c r="E1247">
        <v>3.49</v>
      </c>
      <c r="F1247">
        <v>1.99</v>
      </c>
      <c r="G1247" s="13">
        <v>44411</v>
      </c>
      <c r="H1247" s="13">
        <v>44412</v>
      </c>
      <c r="I1247" s="22" t="str">
        <f>VLOOKUP(J1247, Dropdowns!N:O, 2, FALSE)</f>
        <v>Lower Price</v>
      </c>
      <c r="J1247" t="s">
        <v>759</v>
      </c>
      <c r="L1247" s="17" t="s">
        <v>732</v>
      </c>
      <c r="M1247" s="17" t="s">
        <v>9</v>
      </c>
      <c r="N1247" s="17" t="s">
        <v>736</v>
      </c>
    </row>
    <row r="1248" spans="1:14" x14ac:dyDescent="0.25">
      <c r="A1248" s="10">
        <v>995041</v>
      </c>
      <c r="B1248" s="22" t="str">
        <f>IFERROR(VLOOKUP(A1248,VLOOKUPS!$A$2:B$12589,2,FALSE),"")</f>
        <v>Pineapple Spears 16oz-standard</v>
      </c>
      <c r="E1248">
        <v>1.99</v>
      </c>
      <c r="F1248">
        <v>3.49</v>
      </c>
      <c r="G1248" s="13">
        <v>44413</v>
      </c>
      <c r="H1248" s="13"/>
      <c r="I1248" s="22" t="str">
        <f>VLOOKUP(J1248, Dropdowns!N:O, 2, FALSE)</f>
        <v>Standard</v>
      </c>
      <c r="J1248" t="s">
        <v>760</v>
      </c>
      <c r="L1248" s="17" t="s">
        <v>732</v>
      </c>
      <c r="M1248" s="17" t="s">
        <v>9</v>
      </c>
      <c r="N1248" s="17" t="s">
        <v>736</v>
      </c>
    </row>
    <row r="1249" spans="1:14" x14ac:dyDescent="0.25">
      <c r="A1249" s="10">
        <v>995074</v>
      </c>
      <c r="B1249" s="22" t="str">
        <f>IFERROR(VLOOKUP(A1249,VLOOKUPS!$A$2:B$12589,2,FALSE),"")</f>
        <v>Southwest Chopped Salad Kit 12oz-standard</v>
      </c>
      <c r="E1249">
        <v>3.29</v>
      </c>
      <c r="F1249">
        <v>1.99</v>
      </c>
      <c r="G1249" s="13">
        <v>44411</v>
      </c>
      <c r="H1249" s="13">
        <v>44412</v>
      </c>
      <c r="I1249" s="22" t="str">
        <f>VLOOKUP(J1249, Dropdowns!N:O, 2, FALSE)</f>
        <v>Lower Price</v>
      </c>
      <c r="J1249" t="s">
        <v>759</v>
      </c>
      <c r="L1249" s="17" t="s">
        <v>732</v>
      </c>
      <c r="M1249" s="17" t="s">
        <v>735</v>
      </c>
      <c r="N1249" s="17" t="s">
        <v>736</v>
      </c>
    </row>
    <row r="1250" spans="1:14" x14ac:dyDescent="0.25">
      <c r="A1250" s="10">
        <v>995074</v>
      </c>
      <c r="B1250" s="22" t="str">
        <f>IFERROR(VLOOKUP(A1250,VLOOKUPS!$A$2:B$12589,2,FALSE),"")</f>
        <v>Southwest Chopped Salad Kit 12oz-standard</v>
      </c>
      <c r="E1250">
        <v>1.99</v>
      </c>
      <c r="F1250">
        <v>3.29</v>
      </c>
      <c r="G1250" s="13">
        <v>44413</v>
      </c>
      <c r="H1250" s="13"/>
      <c r="I1250" s="22" t="str">
        <f>VLOOKUP(J1250, Dropdowns!N:O, 2, FALSE)</f>
        <v>Standard</v>
      </c>
      <c r="J1250" t="s">
        <v>760</v>
      </c>
      <c r="L1250" s="17" t="s">
        <v>732</v>
      </c>
      <c r="M1250" s="17" t="s">
        <v>735</v>
      </c>
      <c r="N1250" s="17" t="s">
        <v>736</v>
      </c>
    </row>
    <row r="1251" spans="1:14" x14ac:dyDescent="0.25">
      <c r="A1251" s="10">
        <v>995084</v>
      </c>
      <c r="B1251" s="22" t="str">
        <f>IFERROR(VLOOKUP(A1251,VLOOKUPS!$A$2:B$12589,2,FALSE),"")</f>
        <v>Eat Smart Green Beans 12oz-standard</v>
      </c>
      <c r="E1251">
        <v>2.78</v>
      </c>
      <c r="F1251">
        <v>1.58</v>
      </c>
      <c r="G1251" s="13">
        <v>44411</v>
      </c>
      <c r="H1251" s="13">
        <v>44412</v>
      </c>
      <c r="I1251" s="22" t="str">
        <f>VLOOKUP(J1251, Dropdowns!N:O, 2, FALSE)</f>
        <v>Lower Price</v>
      </c>
      <c r="J1251" t="s">
        <v>759</v>
      </c>
      <c r="L1251" s="17" t="s">
        <v>733</v>
      </c>
      <c r="M1251" s="17" t="s">
        <v>735</v>
      </c>
      <c r="N1251" s="17" t="s">
        <v>740</v>
      </c>
    </row>
    <row r="1252" spans="1:14" x14ac:dyDescent="0.25">
      <c r="A1252" s="10">
        <v>995084</v>
      </c>
      <c r="B1252" s="22" t="str">
        <f>IFERROR(VLOOKUP(A1252,VLOOKUPS!$A$2:B$12589,2,FALSE),"")</f>
        <v>Eat Smart Green Beans 12oz-standard</v>
      </c>
      <c r="E1252">
        <v>2.88</v>
      </c>
      <c r="F1252">
        <v>1.68</v>
      </c>
      <c r="G1252" s="13">
        <v>44411</v>
      </c>
      <c r="H1252" s="13">
        <v>44412</v>
      </c>
      <c r="I1252" s="22" t="str">
        <f>VLOOKUP(J1252, Dropdowns!N:O, 2, FALSE)</f>
        <v>Lower Price</v>
      </c>
      <c r="J1252" t="s">
        <v>759</v>
      </c>
      <c r="L1252" s="17" t="s">
        <v>734</v>
      </c>
      <c r="M1252" s="17" t="s">
        <v>735</v>
      </c>
      <c r="N1252" s="17" t="s">
        <v>736</v>
      </c>
    </row>
    <row r="1253" spans="1:14" x14ac:dyDescent="0.25">
      <c r="A1253" s="10">
        <v>995084</v>
      </c>
      <c r="B1253" s="22" t="str">
        <f>IFERROR(VLOOKUP(A1253,VLOOKUPS!$A$2:B$12589,2,FALSE),"")</f>
        <v>Eat Smart Green Beans 12oz-standard</v>
      </c>
      <c r="E1253">
        <v>1.58</v>
      </c>
      <c r="F1253">
        <v>2.78</v>
      </c>
      <c r="G1253" s="13">
        <v>44413</v>
      </c>
      <c r="H1253" s="13"/>
      <c r="I1253" s="22" t="str">
        <f>VLOOKUP(J1253, Dropdowns!N:O, 2, FALSE)</f>
        <v>Standard</v>
      </c>
      <c r="J1253" t="s">
        <v>760</v>
      </c>
      <c r="L1253" s="17" t="s">
        <v>733</v>
      </c>
      <c r="M1253" s="17" t="s">
        <v>735</v>
      </c>
      <c r="N1253" s="17" t="s">
        <v>740</v>
      </c>
    </row>
    <row r="1254" spans="1:14" x14ac:dyDescent="0.25">
      <c r="A1254" s="10">
        <v>995084</v>
      </c>
      <c r="B1254" s="22" t="str">
        <f>IFERROR(VLOOKUP(A1254,VLOOKUPS!$A$2:B$12589,2,FALSE),"")</f>
        <v>Eat Smart Green Beans 12oz-standard</v>
      </c>
      <c r="E1254">
        <v>1.68</v>
      </c>
      <c r="F1254">
        <v>2.88</v>
      </c>
      <c r="G1254" s="13">
        <v>44413</v>
      </c>
      <c r="H1254" s="13"/>
      <c r="I1254" s="22" t="str">
        <f>VLOOKUP(J1254, Dropdowns!N:O, 2, FALSE)</f>
        <v>Standard</v>
      </c>
      <c r="J1254" t="s">
        <v>760</v>
      </c>
      <c r="L1254" s="17" t="s">
        <v>734</v>
      </c>
      <c r="M1254" s="17" t="s">
        <v>735</v>
      </c>
      <c r="N1254" s="17" t="s">
        <v>736</v>
      </c>
    </row>
    <row r="1255" spans="1:14" x14ac:dyDescent="0.25">
      <c r="A1255" s="10">
        <v>995086</v>
      </c>
      <c r="B1255" s="22" t="str">
        <f>IFERROR(VLOOKUP(A1255,VLOOKUPS!$A$2:B$12589,2,FALSE),"")</f>
        <v>Eat Smart Broccoli Florets 2lbs-standard</v>
      </c>
      <c r="E1255">
        <v>5.98</v>
      </c>
      <c r="F1255">
        <v>4.4800000000000004</v>
      </c>
      <c r="G1255" s="13">
        <v>44411</v>
      </c>
      <c r="H1255" s="13">
        <v>44412</v>
      </c>
      <c r="I1255" s="22" t="str">
        <f>VLOOKUP(J1255, Dropdowns!N:O, 2, FALSE)</f>
        <v>Lower Price</v>
      </c>
      <c r="J1255" t="s">
        <v>759</v>
      </c>
      <c r="L1255" s="17" t="s">
        <v>732</v>
      </c>
      <c r="M1255" s="17" t="s">
        <v>9</v>
      </c>
      <c r="N1255" s="17" t="s">
        <v>736</v>
      </c>
    </row>
    <row r="1256" spans="1:14" x14ac:dyDescent="0.25">
      <c r="A1256" s="10">
        <v>995086</v>
      </c>
      <c r="B1256" s="22" t="str">
        <f>IFERROR(VLOOKUP(A1256,VLOOKUPS!$A$2:B$12589,2,FALSE),"")</f>
        <v>Eat Smart Broccoli Florets 2lbs-standard</v>
      </c>
      <c r="E1256">
        <v>4.4800000000000004</v>
      </c>
      <c r="F1256">
        <v>5.98</v>
      </c>
      <c r="G1256" s="13">
        <v>44413</v>
      </c>
      <c r="H1256" s="13"/>
      <c r="I1256" s="22" t="str">
        <f>VLOOKUP(J1256, Dropdowns!N:O, 2, FALSE)</f>
        <v>Standard</v>
      </c>
      <c r="J1256" t="s">
        <v>760</v>
      </c>
      <c r="L1256" s="17" t="s">
        <v>732</v>
      </c>
      <c r="M1256" s="17" t="s">
        <v>9</v>
      </c>
      <c r="N1256" s="17" t="s">
        <v>736</v>
      </c>
    </row>
    <row r="1257" spans="1:14" x14ac:dyDescent="0.25">
      <c r="A1257" s="10">
        <v>995119</v>
      </c>
      <c r="B1257" s="22" t="str">
        <f>IFERROR(VLOOKUP(A1257,VLOOKUPS!$A$2:B$12589,2,FALSE),"")</f>
        <v>RTE Green Goddess Salad 5.5oz-standard</v>
      </c>
      <c r="E1257">
        <v>2.89</v>
      </c>
      <c r="F1257">
        <v>1.49</v>
      </c>
      <c r="G1257" s="13">
        <v>44411</v>
      </c>
      <c r="H1257" s="13">
        <v>44412</v>
      </c>
      <c r="I1257" s="22" t="str">
        <f>VLOOKUP(J1257, Dropdowns!N:O, 2, FALSE)</f>
        <v>Lower Price</v>
      </c>
      <c r="J1257" t="s">
        <v>759</v>
      </c>
      <c r="L1257" s="17" t="s">
        <v>732</v>
      </c>
      <c r="M1257" s="17" t="s">
        <v>738</v>
      </c>
      <c r="N1257" s="17">
        <v>2</v>
      </c>
    </row>
    <row r="1258" spans="1:14" x14ac:dyDescent="0.25">
      <c r="A1258" s="10">
        <v>995119</v>
      </c>
      <c r="B1258" s="22" t="str">
        <f>IFERROR(VLOOKUP(A1258,VLOOKUPS!$A$2:B$12589,2,FALSE),"")</f>
        <v>RTE Green Goddess Salad 5.5oz-standard</v>
      </c>
      <c r="E1258">
        <v>1.49</v>
      </c>
      <c r="F1258">
        <v>2.89</v>
      </c>
      <c r="G1258" s="13">
        <v>44413</v>
      </c>
      <c r="H1258" s="13"/>
      <c r="I1258" s="22" t="str">
        <f>VLOOKUP(J1258, Dropdowns!N:O, 2, FALSE)</f>
        <v>Standard</v>
      </c>
      <c r="J1258" t="s">
        <v>760</v>
      </c>
      <c r="L1258" s="17" t="s">
        <v>732</v>
      </c>
      <c r="M1258" s="17" t="s">
        <v>738</v>
      </c>
      <c r="N1258" s="17">
        <v>2</v>
      </c>
    </row>
    <row r="1259" spans="1:14" x14ac:dyDescent="0.25">
      <c r="A1259" s="10">
        <v>995141</v>
      </c>
      <c r="B1259" s="22" t="str">
        <f>IFERROR(VLOOKUP(A1259,VLOOKUPS!$A$2:B$12589,2,FALSE),"")</f>
        <v>Watermelon Chunks 32oz-standard</v>
      </c>
      <c r="E1259">
        <v>6.49</v>
      </c>
      <c r="F1259">
        <v>4.99</v>
      </c>
      <c r="G1259" s="13">
        <v>44411</v>
      </c>
      <c r="H1259" s="13">
        <v>44411</v>
      </c>
      <c r="I1259" s="22" t="str">
        <f>VLOOKUP(J1259, Dropdowns!N:O, 2, FALSE)</f>
        <v>Lower Price</v>
      </c>
      <c r="J1259" t="s">
        <v>759</v>
      </c>
      <c r="L1259" s="17" t="s">
        <v>733</v>
      </c>
      <c r="M1259" s="17" t="s">
        <v>11</v>
      </c>
      <c r="N1259" s="17" t="s">
        <v>740</v>
      </c>
    </row>
    <row r="1260" spans="1:14" x14ac:dyDescent="0.25">
      <c r="A1260" s="10">
        <v>995141</v>
      </c>
      <c r="B1260" s="22" t="str">
        <f>IFERROR(VLOOKUP(A1260,VLOOKUPS!$A$2:B$12589,2,FALSE),"")</f>
        <v>Watermelon Chunks 32oz-standard</v>
      </c>
      <c r="E1260">
        <v>4.99</v>
      </c>
      <c r="F1260">
        <v>6.49</v>
      </c>
      <c r="G1260" s="13">
        <v>44412</v>
      </c>
      <c r="H1260" s="13"/>
      <c r="I1260" s="22" t="str">
        <f>VLOOKUP(J1260, Dropdowns!N:O, 2, FALSE)</f>
        <v>Standard</v>
      </c>
      <c r="J1260" t="s">
        <v>760</v>
      </c>
      <c r="L1260" s="17" t="s">
        <v>733</v>
      </c>
      <c r="M1260" s="17" t="s">
        <v>11</v>
      </c>
      <c r="N1260" s="17" t="s">
        <v>740</v>
      </c>
    </row>
    <row r="1261" spans="1:14" x14ac:dyDescent="0.25">
      <c r="A1261" s="10">
        <v>995147</v>
      </c>
      <c r="B1261" s="22" t="str">
        <f>IFERROR(VLOOKUP(A1261,VLOOKUPS!$A$2:B$12589,2,FALSE),"")</f>
        <v>Celery Sticks 1.25lb-standard</v>
      </c>
      <c r="E1261">
        <v>2.74</v>
      </c>
      <c r="F1261">
        <v>1.44</v>
      </c>
      <c r="G1261" s="13">
        <v>44411</v>
      </c>
      <c r="H1261" s="13">
        <v>44413</v>
      </c>
      <c r="I1261" s="22" t="str">
        <f>VLOOKUP(J1261, Dropdowns!N:O, 2, FALSE)</f>
        <v>Lower Price</v>
      </c>
      <c r="J1261" t="s">
        <v>759</v>
      </c>
      <c r="L1261" s="17" t="s">
        <v>732</v>
      </c>
      <c r="M1261" s="17" t="s">
        <v>10</v>
      </c>
      <c r="N1261" s="17">
        <v>2</v>
      </c>
    </row>
    <row r="1262" spans="1:14" x14ac:dyDescent="0.25">
      <c r="A1262" s="10">
        <v>995147</v>
      </c>
      <c r="B1262" s="22" t="str">
        <f>IFERROR(VLOOKUP(A1262,VLOOKUPS!$A$2:B$12589,2,FALSE),"")</f>
        <v>Celery Sticks 1.25lb-standard</v>
      </c>
      <c r="E1262">
        <v>1.44</v>
      </c>
      <c r="F1262">
        <v>2.74</v>
      </c>
      <c r="G1262" s="13">
        <v>44414</v>
      </c>
      <c r="H1262" s="13"/>
      <c r="I1262" s="22" t="str">
        <f>VLOOKUP(J1262, Dropdowns!N:O, 2, FALSE)</f>
        <v>Standard</v>
      </c>
      <c r="J1262" t="s">
        <v>760</v>
      </c>
      <c r="L1262" s="17" t="s">
        <v>732</v>
      </c>
      <c r="M1262" s="17" t="s">
        <v>10</v>
      </c>
      <c r="N1262" s="17">
        <v>2</v>
      </c>
    </row>
    <row r="1263" spans="1:14" x14ac:dyDescent="0.25">
      <c r="A1263" s="10">
        <v>986250</v>
      </c>
      <c r="B1263" s="22" t="str">
        <f>IFERROR(VLOOKUP(A1263,VLOOKUPS!$A$2:B$12589,2,FALSE),"")</f>
        <v>French Beans 1lb-standard</v>
      </c>
      <c r="E1263">
        <v>2.99</v>
      </c>
      <c r="F1263">
        <v>1.99</v>
      </c>
      <c r="G1263" s="13">
        <v>44412</v>
      </c>
      <c r="H1263" s="13">
        <v>44412</v>
      </c>
      <c r="I1263" s="22" t="str">
        <f>VLOOKUP(J1263, Dropdowns!N:O, 2, FALSE)</f>
        <v>Lower Price</v>
      </c>
      <c r="J1263" t="s">
        <v>759</v>
      </c>
      <c r="L1263" s="17" t="s">
        <v>733</v>
      </c>
      <c r="M1263" s="17" t="s">
        <v>11</v>
      </c>
      <c r="N1263" s="17" t="s">
        <v>740</v>
      </c>
    </row>
    <row r="1264" spans="1:14" x14ac:dyDescent="0.25">
      <c r="A1264" s="10">
        <v>986250</v>
      </c>
      <c r="B1264" s="22" t="str">
        <f>IFERROR(VLOOKUP(A1264,VLOOKUPS!$A$2:B$12589,2,FALSE),"")</f>
        <v>French Beans 1lb-standard</v>
      </c>
      <c r="E1264">
        <v>1.99</v>
      </c>
      <c r="F1264">
        <v>2.99</v>
      </c>
      <c r="G1264" s="13">
        <v>44413</v>
      </c>
      <c r="H1264" s="13"/>
      <c r="I1264" s="22" t="str">
        <f>VLOOKUP(J1264, Dropdowns!N:O, 2, FALSE)</f>
        <v>Standard</v>
      </c>
      <c r="J1264" t="s">
        <v>760</v>
      </c>
      <c r="L1264" s="17" t="s">
        <v>733</v>
      </c>
      <c r="M1264" s="17" t="s">
        <v>11</v>
      </c>
      <c r="N1264" s="17" t="s">
        <v>740</v>
      </c>
    </row>
    <row r="1265" spans="1:14" x14ac:dyDescent="0.25">
      <c r="A1265" s="10">
        <v>995013</v>
      </c>
      <c r="B1265" s="22" t="str">
        <f>IFERROR(VLOOKUP(A1265,VLOOKUPS!$A$2:B$12589,2,FALSE),"")</f>
        <v>Spinach 8oz-standard</v>
      </c>
      <c r="E1265">
        <v>1.19</v>
      </c>
      <c r="F1265">
        <v>0.79</v>
      </c>
      <c r="G1265" s="13">
        <v>44412</v>
      </c>
      <c r="H1265" s="13">
        <v>44413</v>
      </c>
      <c r="I1265" s="22" t="str">
        <f>VLOOKUP(J1265, Dropdowns!N:O, 2, FALSE)</f>
        <v>Lower Price</v>
      </c>
      <c r="J1265" t="s">
        <v>759</v>
      </c>
      <c r="L1265" s="17" t="s">
        <v>732</v>
      </c>
      <c r="M1265" s="17" t="s">
        <v>9</v>
      </c>
      <c r="N1265" s="17" t="s">
        <v>736</v>
      </c>
    </row>
    <row r="1266" spans="1:14" x14ac:dyDescent="0.25">
      <c r="A1266" s="10">
        <v>995013</v>
      </c>
      <c r="B1266" s="22" t="str">
        <f>IFERROR(VLOOKUP(A1266,VLOOKUPS!$A$2:B$12589,2,FALSE),"")</f>
        <v>Spinach 8oz-standard</v>
      </c>
      <c r="E1266">
        <v>0.79</v>
      </c>
      <c r="F1266">
        <v>1.19</v>
      </c>
      <c r="G1266" s="13">
        <v>44414</v>
      </c>
      <c r="H1266" s="13"/>
      <c r="I1266" s="22" t="str">
        <f>VLOOKUP(J1266, Dropdowns!N:O, 2, FALSE)</f>
        <v>Standard</v>
      </c>
      <c r="J1266" t="s">
        <v>760</v>
      </c>
      <c r="L1266" s="17" t="s">
        <v>732</v>
      </c>
      <c r="M1266" s="17" t="s">
        <v>9</v>
      </c>
      <c r="N1266" s="17" t="s">
        <v>741</v>
      </c>
    </row>
    <row r="1267" spans="1:14" x14ac:dyDescent="0.25">
      <c r="A1267" s="10">
        <v>995022</v>
      </c>
      <c r="B1267" s="22" t="str">
        <f>IFERROR(VLOOKUP(A1267,VLOOKUPS!$A$2:B$12589,2,FALSE),"")</f>
        <v>American Blend 12oz-standard</v>
      </c>
      <c r="E1267">
        <v>1.99</v>
      </c>
      <c r="F1267">
        <v>0.99</v>
      </c>
      <c r="G1267" s="13">
        <v>44412</v>
      </c>
      <c r="H1267" s="13">
        <v>44413</v>
      </c>
      <c r="I1267" s="22" t="str">
        <f>VLOOKUP(J1267, Dropdowns!N:O, 2, FALSE)</f>
        <v>Lower Price</v>
      </c>
      <c r="J1267" t="s">
        <v>759</v>
      </c>
      <c r="L1267" s="17" t="s">
        <v>732</v>
      </c>
      <c r="M1267" s="17" t="s">
        <v>738</v>
      </c>
      <c r="N1267" s="17">
        <v>2</v>
      </c>
    </row>
    <row r="1268" spans="1:14" x14ac:dyDescent="0.25">
      <c r="A1268" s="10">
        <v>995022</v>
      </c>
      <c r="B1268" s="22" t="str">
        <f>IFERROR(VLOOKUP(A1268,VLOOKUPS!$A$2:B$12589,2,FALSE),"")</f>
        <v>American Blend 12oz-standard</v>
      </c>
      <c r="E1268">
        <v>0.99</v>
      </c>
      <c r="F1268">
        <v>1.99</v>
      </c>
      <c r="G1268" s="13">
        <v>44414</v>
      </c>
      <c r="H1268" s="13"/>
      <c r="I1268" s="22" t="str">
        <f>VLOOKUP(J1268, Dropdowns!N:O, 2, FALSE)</f>
        <v>Standard</v>
      </c>
      <c r="J1268" t="s">
        <v>760</v>
      </c>
      <c r="L1268" s="17" t="s">
        <v>732</v>
      </c>
      <c r="M1268" s="17" t="s">
        <v>738</v>
      </c>
      <c r="N1268" s="17">
        <v>2</v>
      </c>
    </row>
    <row r="1269" spans="1:14" x14ac:dyDescent="0.25">
      <c r="A1269" s="10">
        <v>995101</v>
      </c>
      <c r="B1269" s="22" t="str">
        <f>IFERROR(VLOOKUP(A1269,VLOOKUPS!$A$2:B$12589,2,FALSE),"")</f>
        <v>Avocado Ranch Salad Kit 11.3oz-standard</v>
      </c>
      <c r="E1269">
        <v>3.29</v>
      </c>
      <c r="F1269">
        <v>1.99</v>
      </c>
      <c r="G1269" s="13">
        <v>44412</v>
      </c>
      <c r="H1269" s="13">
        <v>44413</v>
      </c>
      <c r="I1269" s="22" t="str">
        <f>VLOOKUP(J1269, Dropdowns!N:O, 2, FALSE)</f>
        <v>Lower Price</v>
      </c>
      <c r="J1269" t="s">
        <v>759</v>
      </c>
      <c r="L1269" s="17" t="s">
        <v>732</v>
      </c>
      <c r="M1269" s="17" t="s">
        <v>10</v>
      </c>
      <c r="N1269" s="17">
        <v>2</v>
      </c>
    </row>
    <row r="1270" spans="1:14" x14ac:dyDescent="0.25">
      <c r="A1270" s="10">
        <v>995101</v>
      </c>
      <c r="B1270" s="22" t="str">
        <f>IFERROR(VLOOKUP(A1270,VLOOKUPS!$A$2:B$12589,2,FALSE),"")</f>
        <v>Avocado Ranch Salad Kit 11.3oz-standard</v>
      </c>
      <c r="E1270">
        <v>1.99</v>
      </c>
      <c r="F1270">
        <v>3.29</v>
      </c>
      <c r="G1270" s="13">
        <v>44414</v>
      </c>
      <c r="H1270" s="13"/>
      <c r="I1270" s="22" t="str">
        <f>VLOOKUP(J1270, Dropdowns!N:O, 2, FALSE)</f>
        <v>Standard</v>
      </c>
      <c r="J1270" t="s">
        <v>760</v>
      </c>
      <c r="L1270" s="17" t="s">
        <v>732</v>
      </c>
      <c r="M1270" s="17" t="s">
        <v>10</v>
      </c>
      <c r="N1270" s="17">
        <v>2</v>
      </c>
    </row>
    <row r="1271" spans="1:14" x14ac:dyDescent="0.25">
      <c r="A1271" s="10">
        <v>995119</v>
      </c>
      <c r="B1271" s="22" t="str">
        <f>IFERROR(VLOOKUP(A1271,VLOOKUPS!$A$2:B$12589,2,FALSE),"")</f>
        <v>RTE Green Goddess Salad 5.5oz-standard</v>
      </c>
      <c r="E1271">
        <v>2.89</v>
      </c>
      <c r="F1271">
        <v>1.89</v>
      </c>
      <c r="G1271" s="13">
        <v>44412</v>
      </c>
      <c r="H1271" s="13">
        <v>44414</v>
      </c>
      <c r="I1271" s="22" t="str">
        <f>VLOOKUP(J1271, Dropdowns!N:O, 2, FALSE)</f>
        <v>Lower Price</v>
      </c>
      <c r="J1271" t="s">
        <v>759</v>
      </c>
      <c r="L1271" s="17" t="s">
        <v>732</v>
      </c>
      <c r="M1271" s="17" t="s">
        <v>9</v>
      </c>
      <c r="N1271" s="17" t="s">
        <v>736</v>
      </c>
    </row>
    <row r="1272" spans="1:14" x14ac:dyDescent="0.25">
      <c r="A1272" s="10">
        <v>995119</v>
      </c>
      <c r="B1272" s="22" t="str">
        <f>IFERROR(VLOOKUP(A1272,VLOOKUPS!$A$2:B$12589,2,FALSE),"")</f>
        <v>RTE Green Goddess Salad 5.5oz-standard</v>
      </c>
      <c r="E1272">
        <v>1.89</v>
      </c>
      <c r="F1272">
        <v>2.89</v>
      </c>
      <c r="G1272" s="13">
        <v>44415</v>
      </c>
      <c r="H1272" s="13"/>
      <c r="I1272" s="22" t="str">
        <f>VLOOKUP(J1272, Dropdowns!N:O, 2, FALSE)</f>
        <v>Standard</v>
      </c>
      <c r="J1272" t="s">
        <v>760</v>
      </c>
      <c r="L1272" s="17" t="s">
        <v>732</v>
      </c>
      <c r="M1272" s="17" t="s">
        <v>9</v>
      </c>
      <c r="N1272" s="17" t="s">
        <v>736</v>
      </c>
    </row>
    <row r="1273" spans="1:14" x14ac:dyDescent="0.25">
      <c r="A1273" s="10">
        <v>984542</v>
      </c>
      <c r="B1273" s="22" t="str">
        <f>IFERROR(VLOOKUP(A1273,VLOOKUPS!$A$2:B$12589,2,FALSE),"")</f>
        <v>Blueberries 18oz-standard</v>
      </c>
      <c r="G1273" s="13">
        <v>44412</v>
      </c>
      <c r="H1273" s="13">
        <v>44418</v>
      </c>
      <c r="I1273" s="22" t="str">
        <f>VLOOKUP(J1273, Dropdowns!N:O, 2, FALSE)</f>
        <v>Lower Price</v>
      </c>
      <c r="J1273" t="s">
        <v>753</v>
      </c>
      <c r="L1273" s="17" t="s">
        <v>732</v>
      </c>
      <c r="M1273" s="17" t="s">
        <v>736</v>
      </c>
      <c r="N1273" s="17" t="s">
        <v>736</v>
      </c>
    </row>
    <row r="1274" spans="1:14" x14ac:dyDescent="0.25">
      <c r="A1274" s="10">
        <v>995000</v>
      </c>
      <c r="B1274" s="22" t="str">
        <f>IFERROR(VLOOKUP(A1274,VLOOKUPS!$A$2:B$12589,2,FALSE),"")</f>
        <v>Spring Mix 5oz-standard</v>
      </c>
      <c r="E1274">
        <v>1.39</v>
      </c>
      <c r="F1274">
        <v>1.89</v>
      </c>
      <c r="G1274" s="13">
        <v>44412</v>
      </c>
      <c r="H1274" s="13"/>
      <c r="I1274" s="22" t="str">
        <f>VLOOKUP(J1274, Dropdowns!N:O, 2, FALSE)</f>
        <v>Standard</v>
      </c>
      <c r="J1274" t="s">
        <v>760</v>
      </c>
      <c r="L1274" s="17" t="s">
        <v>732</v>
      </c>
      <c r="M1274" s="17" t="s">
        <v>736</v>
      </c>
      <c r="N1274" s="17" t="s">
        <v>736</v>
      </c>
    </row>
    <row r="1275" spans="1:14" x14ac:dyDescent="0.25">
      <c r="A1275" s="10">
        <v>995115</v>
      </c>
      <c r="B1275" s="22" t="str">
        <f>IFERROR(VLOOKUP(A1275,VLOOKUPS!$A$2:B$12589,2,FALSE),"")</f>
        <v>Pineapple Chunks 10oz-standard</v>
      </c>
      <c r="G1275" s="13">
        <v>44412</v>
      </c>
      <c r="H1275" s="13">
        <v>44414</v>
      </c>
      <c r="I1275" s="22" t="str">
        <f>VLOOKUP(J1275, Dropdowns!N:O, 2, FALSE)</f>
        <v>Lower Price</v>
      </c>
      <c r="J1275" t="s">
        <v>762</v>
      </c>
      <c r="L1275" s="17" t="s">
        <v>732</v>
      </c>
      <c r="M1275" s="17" t="s">
        <v>736</v>
      </c>
      <c r="N1275" s="17" t="s">
        <v>736</v>
      </c>
    </row>
    <row r="1276" spans="1:14" x14ac:dyDescent="0.25">
      <c r="A1276" s="10">
        <v>995043</v>
      </c>
      <c r="B1276" s="22" t="str">
        <f>IFERROR(VLOOKUP(A1276,VLOOKUPS!$A$2:B$12589,2,FALSE),"")</f>
        <v>Watermelon Chunks 16oz-standard</v>
      </c>
      <c r="E1276">
        <v>1.79</v>
      </c>
      <c r="F1276">
        <v>3.49</v>
      </c>
      <c r="G1276" s="13">
        <v>44412</v>
      </c>
      <c r="H1276" s="13"/>
      <c r="I1276" s="22" t="str">
        <f>VLOOKUP(J1276, Dropdowns!N:O, 2, FALSE)</f>
        <v>Standard</v>
      </c>
      <c r="J1276" t="s">
        <v>760</v>
      </c>
      <c r="L1276" s="17" t="s">
        <v>733</v>
      </c>
      <c r="M1276" s="17" t="s">
        <v>11</v>
      </c>
      <c r="N1276" s="17" t="s">
        <v>740</v>
      </c>
    </row>
    <row r="1277" spans="1:14" x14ac:dyDescent="0.25">
      <c r="A1277" s="10">
        <v>995043</v>
      </c>
      <c r="B1277" s="22" t="str">
        <f>IFERROR(VLOOKUP(A1277,VLOOKUPS!$A$2:B$12589,2,FALSE),"")</f>
        <v>Watermelon Chunks 16oz-standard</v>
      </c>
      <c r="G1277" s="13">
        <v>44412</v>
      </c>
      <c r="H1277" s="13">
        <v>44412</v>
      </c>
      <c r="I1277" s="22" t="str">
        <f>VLOOKUP(J1277, Dropdowns!N:O, 2, FALSE)</f>
        <v>Lower Price</v>
      </c>
      <c r="J1277" t="s">
        <v>762</v>
      </c>
      <c r="L1277" s="17" t="s">
        <v>732</v>
      </c>
      <c r="M1277" s="17" t="s">
        <v>735</v>
      </c>
      <c r="N1277" s="17" t="s">
        <v>736</v>
      </c>
    </row>
    <row r="1278" spans="1:14" x14ac:dyDescent="0.25">
      <c r="A1278" s="10">
        <v>995071</v>
      </c>
      <c r="B1278" s="22" t="str">
        <f>IFERROR(VLOOKUP(A1278,VLOOKUPS!$A$2:B$12589,2,FALSE),"")</f>
        <v>Broccoli Florets 12oz-standard</v>
      </c>
      <c r="E1278">
        <v>2.19</v>
      </c>
      <c r="F1278">
        <v>2.69</v>
      </c>
      <c r="G1278" s="13">
        <v>44412</v>
      </c>
      <c r="H1278" s="13"/>
      <c r="I1278" s="22" t="str">
        <f>VLOOKUP(J1278, Dropdowns!N:O, 2, FALSE)</f>
        <v>Standard</v>
      </c>
      <c r="J1278" t="s">
        <v>760</v>
      </c>
      <c r="L1278" s="17" t="s">
        <v>733</v>
      </c>
      <c r="M1278" s="17" t="s">
        <v>11</v>
      </c>
      <c r="N1278" s="17" t="s">
        <v>740</v>
      </c>
    </row>
    <row r="1279" spans="1:14" x14ac:dyDescent="0.25">
      <c r="A1279" s="10">
        <v>995071</v>
      </c>
      <c r="B1279" s="22" t="str">
        <f>IFERROR(VLOOKUP(A1279,VLOOKUPS!$A$2:B$12589,2,FALSE),"")</f>
        <v>Broccoli Florets 12oz-standard</v>
      </c>
      <c r="G1279" s="13">
        <v>44412</v>
      </c>
      <c r="H1279" s="13">
        <v>44413</v>
      </c>
      <c r="I1279" s="22" t="str">
        <f>VLOOKUP(J1279, Dropdowns!N:O, 2, FALSE)</f>
        <v>Lower Price</v>
      </c>
      <c r="J1279" t="s">
        <v>762</v>
      </c>
      <c r="L1279" s="17" t="s">
        <v>732</v>
      </c>
      <c r="M1279" s="17" t="s">
        <v>735</v>
      </c>
      <c r="N1279" s="17" t="s">
        <v>736</v>
      </c>
    </row>
    <row r="1280" spans="1:14" x14ac:dyDescent="0.25">
      <c r="A1280" s="10">
        <v>995013</v>
      </c>
      <c r="B1280" s="22" t="str">
        <f>IFERROR(VLOOKUP(A1280,VLOOKUPS!$A$2:B$12589,2,FALSE),"")</f>
        <v>Spinach 8oz-standard</v>
      </c>
      <c r="E1280">
        <v>0.79</v>
      </c>
      <c r="F1280">
        <v>1.49</v>
      </c>
      <c r="G1280" s="13">
        <v>44414</v>
      </c>
      <c r="H1280" s="13"/>
      <c r="I1280" s="22" t="str">
        <f>VLOOKUP(J1280, Dropdowns!N:O, 2, FALSE)</f>
        <v>Standard</v>
      </c>
      <c r="J1280" t="s">
        <v>760</v>
      </c>
      <c r="L1280" s="17" t="s">
        <v>734</v>
      </c>
      <c r="M1280" s="17" t="s">
        <v>9</v>
      </c>
      <c r="N1280" s="17">
        <v>8</v>
      </c>
    </row>
    <row r="1281" spans="1:14" x14ac:dyDescent="0.25">
      <c r="A1281" s="10">
        <v>984660</v>
      </c>
      <c r="B1281" s="22" t="str">
        <f>IFERROR(VLOOKUP(A1281,VLOOKUPS!$A$2:B$12589,2,FALSE),"")</f>
        <v>Organic Raspberries 6oz-standard</v>
      </c>
      <c r="E1281">
        <v>3.89</v>
      </c>
      <c r="G1281" s="13">
        <v>44413</v>
      </c>
      <c r="H1281" s="13"/>
      <c r="I1281" s="22" t="str">
        <f>VLOOKUP(J1281, Dropdowns!N:O, 2, FALSE)</f>
        <v>NA</v>
      </c>
      <c r="J1281" t="s">
        <v>754</v>
      </c>
      <c r="L1281" s="17" t="s">
        <v>732</v>
      </c>
      <c r="M1281" s="17" t="s">
        <v>735</v>
      </c>
      <c r="N1281" s="17" t="s">
        <v>736</v>
      </c>
    </row>
    <row r="1282" spans="1:14" x14ac:dyDescent="0.25">
      <c r="A1282" s="10">
        <v>984740</v>
      </c>
      <c r="B1282" s="22" t="str">
        <f>IFERROR(VLOOKUP(A1282,VLOOKUPS!$A$2:B$12589,2,FALSE),"")</f>
        <v>Organic Blackberries 6oz-standard</v>
      </c>
      <c r="E1282">
        <v>3.75</v>
      </c>
      <c r="G1282" s="13">
        <v>44413</v>
      </c>
      <c r="H1282" s="13"/>
      <c r="I1282" s="22" t="str">
        <f>VLOOKUP(J1282, Dropdowns!N:O, 2, FALSE)</f>
        <v>NA</v>
      </c>
      <c r="J1282" t="s">
        <v>754</v>
      </c>
      <c r="L1282" s="17" t="s">
        <v>732</v>
      </c>
      <c r="M1282" s="17" t="s">
        <v>735</v>
      </c>
      <c r="N1282" s="17" t="s">
        <v>736</v>
      </c>
    </row>
    <row r="1283" spans="1:14" x14ac:dyDescent="0.25">
      <c r="A1283" s="10">
        <v>995001</v>
      </c>
      <c r="B1283" s="22" t="str">
        <f>IFERROR(VLOOKUP(A1283,VLOOKUPS!$A$2:B$12589,2,FALSE),"")</f>
        <v>Spinach Baby 6oz-standard</v>
      </c>
      <c r="E1283">
        <v>2.2599999999999998</v>
      </c>
      <c r="F1283">
        <v>1.46</v>
      </c>
      <c r="G1283" s="13">
        <v>44413</v>
      </c>
      <c r="H1283" s="13">
        <v>44414</v>
      </c>
      <c r="I1283" s="22" t="str">
        <f>VLOOKUP(J1283, Dropdowns!N:O, 2, FALSE)</f>
        <v>Lower Price</v>
      </c>
      <c r="J1283" t="s">
        <v>759</v>
      </c>
      <c r="L1283" s="17" t="s">
        <v>732</v>
      </c>
      <c r="M1283" s="17" t="s">
        <v>738</v>
      </c>
      <c r="N1283" s="17">
        <v>2</v>
      </c>
    </row>
    <row r="1284" spans="1:14" x14ac:dyDescent="0.25">
      <c r="A1284" s="10">
        <v>995001</v>
      </c>
      <c r="B1284" s="22" t="str">
        <f>IFERROR(VLOOKUP(A1284,VLOOKUPS!$A$2:B$12589,2,FALSE),"")</f>
        <v>Spinach Baby 6oz-standard</v>
      </c>
      <c r="E1284">
        <v>1.46</v>
      </c>
      <c r="F1284">
        <v>2.2599999999999998</v>
      </c>
      <c r="G1284" s="13">
        <v>44415</v>
      </c>
      <c r="H1284" s="13"/>
      <c r="I1284" s="22" t="str">
        <f>VLOOKUP(J1284, Dropdowns!N:O, 2, FALSE)</f>
        <v>Standard</v>
      </c>
      <c r="J1284" t="s">
        <v>760</v>
      </c>
      <c r="L1284" s="17" t="s">
        <v>732</v>
      </c>
      <c r="M1284" s="17" t="s">
        <v>738</v>
      </c>
      <c r="N1284" s="17">
        <v>2</v>
      </c>
    </row>
    <row r="1285" spans="1:14" x14ac:dyDescent="0.25">
      <c r="A1285" s="10">
        <v>995007</v>
      </c>
      <c r="B1285" s="22" t="str">
        <f>IFERROR(VLOOKUP(A1285,VLOOKUPS!$A$2:B$12589,2,FALSE),"")</f>
        <v>Caesar Salad Kit 10.5oz-standard</v>
      </c>
      <c r="E1285">
        <v>2.59</v>
      </c>
      <c r="F1285">
        <v>1.59</v>
      </c>
      <c r="G1285" s="13">
        <v>44413</v>
      </c>
      <c r="H1285" s="13">
        <v>44414</v>
      </c>
      <c r="I1285" s="22" t="str">
        <f>VLOOKUP(J1285, Dropdowns!N:O, 2, FALSE)</f>
        <v>Lower Price</v>
      </c>
      <c r="J1285" t="s">
        <v>759</v>
      </c>
      <c r="L1285" s="17" t="s">
        <v>732</v>
      </c>
      <c r="M1285" s="17" t="s">
        <v>10</v>
      </c>
      <c r="N1285" s="17">
        <v>2</v>
      </c>
    </row>
    <row r="1286" spans="1:14" x14ac:dyDescent="0.25">
      <c r="A1286" s="10">
        <v>995007</v>
      </c>
      <c r="B1286" s="22" t="str">
        <f>IFERROR(VLOOKUP(A1286,VLOOKUPS!$A$2:B$12589,2,FALSE),"")</f>
        <v>Caesar Salad Kit 10.5oz-standard</v>
      </c>
      <c r="E1286">
        <v>1.59</v>
      </c>
      <c r="F1286">
        <v>2.59</v>
      </c>
      <c r="G1286" s="13">
        <v>44415</v>
      </c>
      <c r="H1286" s="13"/>
      <c r="I1286" s="22" t="str">
        <f>VLOOKUP(J1286, Dropdowns!N:O, 2, FALSE)</f>
        <v>Standard</v>
      </c>
      <c r="J1286" t="s">
        <v>760</v>
      </c>
      <c r="L1286" s="17" t="s">
        <v>732</v>
      </c>
      <c r="M1286" s="17" t="s">
        <v>10</v>
      </c>
      <c r="N1286" s="17">
        <v>2</v>
      </c>
    </row>
    <row r="1287" spans="1:14" x14ac:dyDescent="0.25">
      <c r="A1287" s="10">
        <v>995025</v>
      </c>
      <c r="B1287" s="22" t="str">
        <f>IFERROR(VLOOKUP(A1287,VLOOKUPS!$A$2:B$12589,2,FALSE),"")</f>
        <v>XL Half and Half Mix 16oz-standard</v>
      </c>
      <c r="E1287">
        <v>4.99</v>
      </c>
      <c r="G1287" s="13">
        <v>44413</v>
      </c>
      <c r="H1287" s="13"/>
      <c r="I1287" s="22" t="str">
        <f>VLOOKUP(J1287, Dropdowns!N:O, 2, FALSE)</f>
        <v>NA</v>
      </c>
      <c r="J1287" t="s">
        <v>754</v>
      </c>
      <c r="L1287" s="17" t="s">
        <v>732</v>
      </c>
      <c r="M1287" s="17" t="s">
        <v>736</v>
      </c>
      <c r="N1287" s="17" t="s">
        <v>736</v>
      </c>
    </row>
    <row r="1288" spans="1:14" x14ac:dyDescent="0.25">
      <c r="A1288" s="10">
        <v>995027</v>
      </c>
      <c r="B1288" s="22" t="str">
        <f>IFERROR(VLOOKUP(A1288,VLOOKUPS!$A$2:B$12589,2,FALSE),"")</f>
        <v>XL Baby Spinach 16oz-standard</v>
      </c>
      <c r="E1288">
        <v>4.1900000000000004</v>
      </c>
      <c r="G1288" s="13">
        <v>44413</v>
      </c>
      <c r="H1288" s="13"/>
      <c r="I1288" s="22" t="str">
        <f>VLOOKUP(J1288, Dropdowns!N:O, 2, FALSE)</f>
        <v>NA</v>
      </c>
      <c r="J1288" t="s">
        <v>754</v>
      </c>
      <c r="L1288" s="17" t="s">
        <v>732</v>
      </c>
      <c r="M1288" s="17" t="s">
        <v>738</v>
      </c>
      <c r="N1288" s="17">
        <v>2</v>
      </c>
    </row>
    <row r="1289" spans="1:14" x14ac:dyDescent="0.25">
      <c r="A1289" s="10">
        <v>995027</v>
      </c>
      <c r="B1289" s="22" t="str">
        <f>IFERROR(VLOOKUP(A1289,VLOOKUPS!$A$2:B$12589,2,FALSE),"")</f>
        <v>XL Baby Spinach 16oz-standard</v>
      </c>
      <c r="E1289">
        <v>4.1900000000000004</v>
      </c>
      <c r="F1289">
        <v>4.49</v>
      </c>
      <c r="G1289" s="13">
        <v>44413</v>
      </c>
      <c r="H1289" s="13"/>
      <c r="I1289" s="22" t="str">
        <f>VLOOKUP(J1289, Dropdowns!N:O, 2, FALSE)</f>
        <v>Standard</v>
      </c>
      <c r="J1289" t="s">
        <v>761</v>
      </c>
      <c r="L1289" s="17" t="s">
        <v>732</v>
      </c>
      <c r="M1289" s="17" t="s">
        <v>9</v>
      </c>
      <c r="N1289" s="17" t="s">
        <v>736</v>
      </c>
    </row>
    <row r="1290" spans="1:14" x14ac:dyDescent="0.25">
      <c r="A1290" s="10">
        <v>995084</v>
      </c>
      <c r="B1290" s="22" t="str">
        <f>IFERROR(VLOOKUP(A1290,VLOOKUPS!$A$2:B$12589,2,FALSE),"")</f>
        <v>Eat Smart Green Beans 12oz-standard</v>
      </c>
      <c r="E1290">
        <v>2.78</v>
      </c>
      <c r="F1290">
        <v>1.28</v>
      </c>
      <c r="G1290" s="13">
        <v>44413</v>
      </c>
      <c r="H1290" s="13">
        <v>44414</v>
      </c>
      <c r="I1290" s="22" t="str">
        <f>VLOOKUP(J1290, Dropdowns!N:O, 2, FALSE)</f>
        <v>Lower Price</v>
      </c>
      <c r="J1290" t="s">
        <v>759</v>
      </c>
      <c r="L1290" s="17" t="s">
        <v>733</v>
      </c>
      <c r="M1290" s="17" t="s">
        <v>11</v>
      </c>
      <c r="N1290" s="17" t="s">
        <v>740</v>
      </c>
    </row>
    <row r="1291" spans="1:14" x14ac:dyDescent="0.25">
      <c r="A1291" s="10">
        <v>995084</v>
      </c>
      <c r="B1291" s="22" t="str">
        <f>IFERROR(VLOOKUP(A1291,VLOOKUPS!$A$2:B$12589,2,FALSE),"")</f>
        <v>Eat Smart Green Beans 12oz-standard</v>
      </c>
      <c r="E1291">
        <v>1.28</v>
      </c>
      <c r="F1291">
        <v>2.78</v>
      </c>
      <c r="G1291" s="13">
        <v>44415</v>
      </c>
      <c r="H1291" s="13"/>
      <c r="I1291" s="22" t="str">
        <f>VLOOKUP(J1291, Dropdowns!N:O, 2, FALSE)</f>
        <v>Standard</v>
      </c>
      <c r="J1291" t="s">
        <v>760</v>
      </c>
      <c r="L1291" s="17" t="s">
        <v>733</v>
      </c>
      <c r="M1291" s="17" t="s">
        <v>11</v>
      </c>
      <c r="N1291" s="17" t="s">
        <v>740</v>
      </c>
    </row>
    <row r="1292" spans="1:14" x14ac:dyDescent="0.25">
      <c r="A1292" s="10">
        <v>995147</v>
      </c>
      <c r="B1292" s="22" t="str">
        <f>IFERROR(VLOOKUP(A1292,VLOOKUPS!$A$2:B$12589,2,FALSE),"")</f>
        <v>Celery Sticks 1.25lb-standard</v>
      </c>
      <c r="E1292">
        <v>2.74</v>
      </c>
      <c r="F1292">
        <v>1.44</v>
      </c>
      <c r="G1292" s="13">
        <v>44413</v>
      </c>
      <c r="H1292" s="13">
        <v>44414</v>
      </c>
      <c r="I1292" s="22" t="str">
        <f>VLOOKUP(J1292, Dropdowns!N:O, 2, FALSE)</f>
        <v>Lower Price</v>
      </c>
      <c r="J1292" t="s">
        <v>759</v>
      </c>
      <c r="L1292" s="17" t="s">
        <v>732</v>
      </c>
      <c r="M1292" s="17" t="s">
        <v>9</v>
      </c>
      <c r="N1292" s="17" t="s">
        <v>736</v>
      </c>
    </row>
    <row r="1293" spans="1:14" x14ac:dyDescent="0.25">
      <c r="A1293" s="10">
        <v>995147</v>
      </c>
      <c r="B1293" s="22" t="str">
        <f>IFERROR(VLOOKUP(A1293,VLOOKUPS!$A$2:B$12589,2,FALSE),"")</f>
        <v>Celery Sticks 1.25lb-standard</v>
      </c>
      <c r="E1293">
        <v>1.44</v>
      </c>
      <c r="F1293">
        <v>2.74</v>
      </c>
      <c r="G1293" s="13">
        <v>44415</v>
      </c>
      <c r="H1293" s="13"/>
      <c r="I1293" s="22" t="str">
        <f>VLOOKUP(J1293, Dropdowns!N:O, 2, FALSE)</f>
        <v>Standard</v>
      </c>
      <c r="J1293" t="s">
        <v>760</v>
      </c>
      <c r="L1293" s="17" t="s">
        <v>732</v>
      </c>
      <c r="M1293" s="17" t="s">
        <v>9</v>
      </c>
      <c r="N1293" s="17" t="s">
        <v>736</v>
      </c>
    </row>
    <row r="1294" spans="1:14" x14ac:dyDescent="0.25">
      <c r="A1294" s="10">
        <v>984460</v>
      </c>
      <c r="B1294" s="22" t="str">
        <f>IFERROR(VLOOKUP(A1294,VLOOKUPS!$A$2:B$12589,2,FALSE),"")</f>
        <v>Strawberries 1lb-standard</v>
      </c>
      <c r="E1294">
        <v>1.99</v>
      </c>
      <c r="F1294">
        <v>1.88</v>
      </c>
      <c r="G1294" s="13">
        <v>44414</v>
      </c>
      <c r="H1294" s="13"/>
      <c r="I1294" s="22" t="str">
        <f>VLOOKUP(J1294, Dropdowns!N:O, 2, FALSE)</f>
        <v>Standard</v>
      </c>
      <c r="J1294" t="s">
        <v>761</v>
      </c>
      <c r="L1294" s="17" t="s">
        <v>732</v>
      </c>
      <c r="M1294" s="17" t="s">
        <v>736</v>
      </c>
      <c r="N1294" s="17" t="s">
        <v>736</v>
      </c>
    </row>
    <row r="1295" spans="1:14" x14ac:dyDescent="0.25">
      <c r="A1295" s="10">
        <v>984500</v>
      </c>
      <c r="B1295" s="22" t="str">
        <f>IFERROR(VLOOKUP(A1295,VLOOKUPS!$A$2:B$12589,2,FALSE),"")</f>
        <v>Organic Strawberries 1lb-standard</v>
      </c>
      <c r="E1295">
        <v>2.79</v>
      </c>
      <c r="F1295">
        <v>2.84</v>
      </c>
      <c r="G1295" s="13">
        <v>44414</v>
      </c>
      <c r="H1295" s="13"/>
      <c r="I1295" s="22" t="str">
        <f>VLOOKUP(J1295, Dropdowns!N:O, 2, FALSE)</f>
        <v>Standard</v>
      </c>
      <c r="J1295" t="s">
        <v>761</v>
      </c>
      <c r="L1295" s="17" t="s">
        <v>732</v>
      </c>
      <c r="M1295" s="17" t="s">
        <v>736</v>
      </c>
      <c r="N1295" s="17" t="s">
        <v>736</v>
      </c>
    </row>
    <row r="1296" spans="1:14" x14ac:dyDescent="0.25">
      <c r="A1296" s="10">
        <v>984541</v>
      </c>
      <c r="B1296" s="22" t="str">
        <f>IFERROR(VLOOKUP(A1296,VLOOKUPS!$A$2:B$12589,2,FALSE),"")</f>
        <v>Blueberries 1pt-standard</v>
      </c>
      <c r="E1296">
        <v>2.58</v>
      </c>
      <c r="F1296">
        <v>2.48</v>
      </c>
      <c r="G1296" s="13">
        <v>44414</v>
      </c>
      <c r="H1296" s="13"/>
      <c r="I1296" s="22" t="str">
        <f>VLOOKUP(J1296, Dropdowns!N:O, 2, FALSE)</f>
        <v>Standard</v>
      </c>
      <c r="J1296" t="s">
        <v>761</v>
      </c>
      <c r="L1296" s="17" t="s">
        <v>732</v>
      </c>
      <c r="M1296" s="17" t="s">
        <v>736</v>
      </c>
      <c r="N1296" s="17" t="s">
        <v>736</v>
      </c>
    </row>
    <row r="1297" spans="1:17" x14ac:dyDescent="0.25">
      <c r="A1297" s="10">
        <v>984620</v>
      </c>
      <c r="B1297" s="22" t="str">
        <f>IFERROR(VLOOKUP(A1297,VLOOKUPS!$A$2:B$12589,2,FALSE),"")</f>
        <v>Raspberries 6oz-standard</v>
      </c>
      <c r="E1297">
        <v>2.38</v>
      </c>
      <c r="F1297">
        <v>3.12</v>
      </c>
      <c r="G1297" s="13">
        <v>44414</v>
      </c>
      <c r="H1297" s="13"/>
      <c r="I1297" s="22" t="str">
        <f>VLOOKUP(J1297, Dropdowns!N:O, 2, FALSE)</f>
        <v>Standard</v>
      </c>
      <c r="J1297" t="s">
        <v>761</v>
      </c>
      <c r="L1297" s="17" t="s">
        <v>732</v>
      </c>
      <c r="M1297" s="17" t="s">
        <v>736</v>
      </c>
      <c r="N1297" s="17" t="s">
        <v>736</v>
      </c>
    </row>
    <row r="1298" spans="1:17" x14ac:dyDescent="0.25">
      <c r="A1298" s="10">
        <v>984702</v>
      </c>
      <c r="B1298" s="22" t="str">
        <f>IFERROR(VLOOKUP(A1298,VLOOKUPS!$A$2:B$12589,2,FALSE),"")</f>
        <v>Blackberries 12oz-standard</v>
      </c>
      <c r="E1298">
        <v>4.4800000000000004</v>
      </c>
      <c r="F1298">
        <v>4.46</v>
      </c>
      <c r="G1298" s="13">
        <v>44414</v>
      </c>
      <c r="H1298" s="13"/>
      <c r="I1298" s="22" t="str">
        <f>VLOOKUP(J1298, Dropdowns!N:O, 2, FALSE)</f>
        <v>Standard</v>
      </c>
      <c r="J1298" t="s">
        <v>761</v>
      </c>
      <c r="L1298" s="17" t="s">
        <v>732</v>
      </c>
      <c r="M1298" s="17" t="s">
        <v>736</v>
      </c>
      <c r="N1298" s="17" t="s">
        <v>736</v>
      </c>
    </row>
    <row r="1299" spans="1:17" x14ac:dyDescent="0.25">
      <c r="A1299" s="10">
        <v>983101</v>
      </c>
      <c r="B1299" s="22" t="str">
        <f>IFERROR(VLOOKUP(A1299,VLOOKUPS!$A$2:B$12589,2,FALSE),"")</f>
        <v>Melons Cantaloupes 1ct-LOOSE</v>
      </c>
      <c r="E1299">
        <v>1.98</v>
      </c>
      <c r="F1299">
        <v>2.29</v>
      </c>
      <c r="G1299" s="13">
        <v>44414</v>
      </c>
      <c r="H1299" s="13"/>
      <c r="I1299" s="22" t="str">
        <f>VLOOKUP(J1299, Dropdowns!N:O, 2, FALSE)</f>
        <v>Standard</v>
      </c>
      <c r="J1299" t="s">
        <v>761</v>
      </c>
      <c r="L1299" s="17" t="s">
        <v>732</v>
      </c>
      <c r="M1299" s="17" t="s">
        <v>736</v>
      </c>
      <c r="N1299" s="17" t="s">
        <v>736</v>
      </c>
    </row>
    <row r="1300" spans="1:17" x14ac:dyDescent="0.25">
      <c r="A1300" s="10">
        <v>983151</v>
      </c>
      <c r="B1300" s="22" t="str">
        <f>IFERROR(VLOOKUP(A1300,VLOOKUPS!$A$2:B$12589,2,FALSE),"")</f>
        <v>Melons* Golden Honeydew 1ct-LOOSE</v>
      </c>
      <c r="E1300">
        <v>3.58</v>
      </c>
      <c r="F1300">
        <v>3.46</v>
      </c>
      <c r="G1300" s="13">
        <v>44414</v>
      </c>
      <c r="H1300" s="13"/>
      <c r="I1300" s="22" t="str">
        <f>VLOOKUP(J1300, Dropdowns!N:O, 2, FALSE)</f>
        <v>Standard</v>
      </c>
      <c r="J1300" t="s">
        <v>761</v>
      </c>
      <c r="L1300" s="17" t="s">
        <v>732</v>
      </c>
      <c r="M1300" s="17" t="s">
        <v>736</v>
      </c>
      <c r="N1300" s="17" t="s">
        <v>736</v>
      </c>
    </row>
    <row r="1301" spans="1:17" x14ac:dyDescent="0.25">
      <c r="A1301" s="10">
        <v>985060</v>
      </c>
      <c r="B1301" s="22" t="str">
        <f>IFERROR(VLOOKUP(A1301,VLOOKUPS!$A$2:B$12589,2,FALSE),"")</f>
        <v>Lettuce* Iceberg 1ct-standard</v>
      </c>
      <c r="E1301">
        <v>1.39</v>
      </c>
      <c r="F1301">
        <v>1.45</v>
      </c>
      <c r="G1301" s="13">
        <v>44414</v>
      </c>
      <c r="H1301" s="13"/>
      <c r="I1301" s="22" t="str">
        <f>VLOOKUP(J1301, Dropdowns!N:O, 2, FALSE)</f>
        <v>Standard</v>
      </c>
      <c r="J1301" t="s">
        <v>761</v>
      </c>
      <c r="L1301" s="17" t="s">
        <v>732</v>
      </c>
      <c r="M1301" s="17" t="s">
        <v>736</v>
      </c>
      <c r="N1301" s="17" t="s">
        <v>736</v>
      </c>
    </row>
    <row r="1302" spans="1:17" x14ac:dyDescent="0.25">
      <c r="A1302" s="10">
        <v>984461</v>
      </c>
      <c r="B1302" s="22" t="str">
        <f>IFERROR(VLOOKUP(A1302,VLOOKUPS!$A$2:B$12589,2,FALSE),"")</f>
        <v>Strawberries 2lb-standard</v>
      </c>
      <c r="G1302" s="13">
        <v>44414</v>
      </c>
      <c r="H1302" s="13"/>
      <c r="I1302" s="22" t="str">
        <f>VLOOKUP(J1302, Dropdowns!N:O, 2, FALSE)</f>
        <v>NA</v>
      </c>
      <c r="J1302" t="s">
        <v>754</v>
      </c>
      <c r="L1302" s="17" t="s">
        <v>732</v>
      </c>
      <c r="M1302" s="17" t="s">
        <v>736</v>
      </c>
      <c r="N1302" s="17" t="s">
        <v>736</v>
      </c>
    </row>
    <row r="1303" spans="1:17" x14ac:dyDescent="0.25">
      <c r="A1303" s="10">
        <v>995024</v>
      </c>
      <c r="B1303" s="22" t="str">
        <f>IFERROR(VLOOKUP(A1303,VLOOKUPS!$A$2:B$12589,2,FALSE),"")</f>
        <v>XL Spring Mix 16oz-standard</v>
      </c>
      <c r="E1303">
        <v>4.1900000000000004</v>
      </c>
      <c r="G1303" s="13">
        <v>44414</v>
      </c>
      <c r="H1303" s="13"/>
      <c r="I1303" s="22" t="str">
        <f>VLOOKUP(J1303, Dropdowns!N:O, 2, FALSE)</f>
        <v>NA</v>
      </c>
      <c r="J1303" t="s">
        <v>754</v>
      </c>
      <c r="L1303" s="17" t="s">
        <v>732</v>
      </c>
      <c r="M1303" s="17" t="s">
        <v>736</v>
      </c>
      <c r="N1303" s="17" t="s">
        <v>736</v>
      </c>
    </row>
    <row r="1304" spans="1:17" x14ac:dyDescent="0.25">
      <c r="A1304" s="10">
        <v>995136</v>
      </c>
      <c r="B1304" s="22" t="str">
        <f>IFERROR(VLOOKUP(A1304,VLOOKUPS!$A$2:B$12589,2,FALSE),"")</f>
        <v>Baby Spinach 11oz-standard</v>
      </c>
      <c r="F1304">
        <v>4.18</v>
      </c>
      <c r="G1304" s="13">
        <v>44414</v>
      </c>
      <c r="H1304" s="13"/>
      <c r="I1304" s="22" t="str">
        <f>VLOOKUP(J1304, Dropdowns!N:O, 2, FALSE)</f>
        <v>New</v>
      </c>
      <c r="J1304" t="s">
        <v>776</v>
      </c>
      <c r="L1304" s="17" t="s">
        <v>732</v>
      </c>
      <c r="M1304" s="17" t="s">
        <v>736</v>
      </c>
      <c r="N1304" s="17" t="s">
        <v>736</v>
      </c>
      <c r="O1304" s="17" t="s">
        <v>748</v>
      </c>
      <c r="P1304">
        <v>1</v>
      </c>
      <c r="Q1304" s="17" t="s">
        <v>1044</v>
      </c>
    </row>
    <row r="1305" spans="1:17" x14ac:dyDescent="0.25">
      <c r="A1305" s="10">
        <v>995137</v>
      </c>
      <c r="B1305" s="22" t="str">
        <f>IFERROR(VLOOKUP(A1305,VLOOKUPS!$A$2:B$12589,2,FALSE),"")</f>
        <v>Half and Half 11oz-standard</v>
      </c>
      <c r="F1305">
        <v>4.18</v>
      </c>
      <c r="G1305" s="13">
        <v>44414</v>
      </c>
      <c r="H1305" s="13"/>
      <c r="I1305" s="22" t="str">
        <f>VLOOKUP(J1305, Dropdowns!N:O, 2, FALSE)</f>
        <v>New</v>
      </c>
      <c r="J1305" t="s">
        <v>776</v>
      </c>
      <c r="L1305" s="17" t="s">
        <v>732</v>
      </c>
      <c r="M1305" s="17" t="s">
        <v>738</v>
      </c>
      <c r="N1305" s="17">
        <v>2</v>
      </c>
      <c r="O1305" s="17" t="s">
        <v>748</v>
      </c>
      <c r="P1305">
        <v>1</v>
      </c>
      <c r="Q1305" s="17" t="s">
        <v>1044</v>
      </c>
    </row>
    <row r="1306" spans="1:17" x14ac:dyDescent="0.25">
      <c r="A1306" s="10">
        <v>995138</v>
      </c>
      <c r="B1306" s="22" t="str">
        <f>IFERROR(VLOOKUP(A1306,VLOOKUPS!$A$2:B$12589,2,FALSE),"")</f>
        <v>Spring Mix 11oz-standard</v>
      </c>
      <c r="F1306">
        <v>3.99</v>
      </c>
      <c r="G1306" s="13">
        <v>44414</v>
      </c>
      <c r="H1306" s="13"/>
      <c r="I1306" s="22" t="str">
        <f>VLOOKUP(J1306, Dropdowns!N:O, 2, FALSE)</f>
        <v>New</v>
      </c>
      <c r="J1306" t="s">
        <v>776</v>
      </c>
      <c r="L1306" s="17" t="s">
        <v>732</v>
      </c>
      <c r="M1306" s="17" t="s">
        <v>737</v>
      </c>
      <c r="N1306" s="17" t="s">
        <v>736</v>
      </c>
      <c r="O1306" s="17" t="s">
        <v>748</v>
      </c>
      <c r="P1306">
        <v>1</v>
      </c>
      <c r="Q1306" s="17" t="s">
        <v>1044</v>
      </c>
    </row>
    <row r="1307" spans="1:17" x14ac:dyDescent="0.25">
      <c r="A1307" s="10">
        <v>995043</v>
      </c>
      <c r="B1307" s="22" t="str">
        <f>IFERROR(VLOOKUP(A1307,VLOOKUPS!$A$2:B$12589,2,FALSE),"")</f>
        <v>Watermelon Chunks 16oz-standard</v>
      </c>
      <c r="E1307">
        <v>1.79</v>
      </c>
      <c r="F1307">
        <v>3.49</v>
      </c>
      <c r="G1307" s="13">
        <v>44414</v>
      </c>
      <c r="H1307" s="13"/>
      <c r="I1307" s="22" t="str">
        <f>VLOOKUP(J1307, Dropdowns!N:O, 2, FALSE)</f>
        <v>Standard</v>
      </c>
      <c r="J1307" t="s">
        <v>760</v>
      </c>
      <c r="L1307" s="17" t="s">
        <v>732</v>
      </c>
      <c r="M1307" s="17" t="s">
        <v>10</v>
      </c>
      <c r="N1307" s="17">
        <v>2</v>
      </c>
    </row>
    <row r="1308" spans="1:17" x14ac:dyDescent="0.25">
      <c r="A1308" s="10">
        <v>995071</v>
      </c>
      <c r="B1308" s="22" t="str">
        <f>IFERROR(VLOOKUP(A1308,VLOOKUPS!$A$2:B$12589,2,FALSE),"")</f>
        <v>Broccoli Florets 12oz-standard</v>
      </c>
      <c r="E1308">
        <v>2.19</v>
      </c>
      <c r="F1308">
        <v>2.69</v>
      </c>
      <c r="G1308" s="13">
        <v>44414</v>
      </c>
      <c r="H1308" s="13"/>
      <c r="I1308" s="22" t="str">
        <f>VLOOKUP(J1308, Dropdowns!N:O, 2, FALSE)</f>
        <v>Standard</v>
      </c>
      <c r="J1308" t="s">
        <v>760</v>
      </c>
      <c r="L1308" s="17" t="s">
        <v>733</v>
      </c>
      <c r="M1308" s="17" t="s">
        <v>735</v>
      </c>
      <c r="N1308" s="17" t="s">
        <v>740</v>
      </c>
    </row>
    <row r="1309" spans="1:17" x14ac:dyDescent="0.25">
      <c r="A1309" s="10">
        <v>995071</v>
      </c>
      <c r="B1309" s="22" t="str">
        <f>IFERROR(VLOOKUP(A1309,VLOOKUPS!$A$2:B$12589,2,FALSE),"")</f>
        <v>Broccoli Florets 12oz-standard</v>
      </c>
      <c r="E1309">
        <v>2.29</v>
      </c>
      <c r="F1309">
        <v>2.79</v>
      </c>
      <c r="G1309" s="13">
        <v>44414</v>
      </c>
      <c r="H1309" s="13"/>
      <c r="I1309" s="22" t="str">
        <f>VLOOKUP(J1309, Dropdowns!N:O, 2, FALSE)</f>
        <v>Standard</v>
      </c>
      <c r="J1309" t="s">
        <v>760</v>
      </c>
      <c r="L1309" s="17" t="s">
        <v>734</v>
      </c>
      <c r="M1309" s="17" t="s">
        <v>735</v>
      </c>
      <c r="N1309" s="17" t="s">
        <v>736</v>
      </c>
    </row>
    <row r="1310" spans="1:17" x14ac:dyDescent="0.25">
      <c r="A1310" s="10">
        <v>995082</v>
      </c>
      <c r="B1310" s="22" t="str">
        <f>IFERROR(VLOOKUP(A1310,VLOOKUPS!$A$2:B$12589,2,FALSE),"")</f>
        <v>Melon Trio 16oz-standard</v>
      </c>
      <c r="E1310">
        <v>3.99</v>
      </c>
      <c r="F1310">
        <v>3.49</v>
      </c>
      <c r="G1310" s="13">
        <v>44415</v>
      </c>
      <c r="H1310" s="13"/>
      <c r="I1310" s="22" t="str">
        <f>VLOOKUP(J1310, Dropdowns!N:O, 2, FALSE)</f>
        <v>Standard</v>
      </c>
      <c r="J1310" t="s">
        <v>761</v>
      </c>
      <c r="L1310" s="17" t="s">
        <v>733</v>
      </c>
      <c r="M1310" s="17" t="s">
        <v>11</v>
      </c>
      <c r="N1310" s="17" t="s">
        <v>740</v>
      </c>
    </row>
    <row r="1311" spans="1:17" x14ac:dyDescent="0.25">
      <c r="A1311" s="10">
        <v>983201</v>
      </c>
      <c r="B1311" s="22" t="str">
        <f>IFERROR(VLOOKUP(A1311,VLOOKUPS!$A$2:B$12589,2,FALSE),"")</f>
        <v>Melons* Honeydew 1ct-LOOSE</v>
      </c>
      <c r="E1311">
        <v>3.58</v>
      </c>
      <c r="F1311">
        <v>2.2799999999999998</v>
      </c>
      <c r="G1311" s="13">
        <v>44415</v>
      </c>
      <c r="H1311" s="13">
        <v>44416</v>
      </c>
      <c r="I1311" s="22" t="str">
        <f>VLOOKUP(J1311, Dropdowns!N:O, 2, FALSE)</f>
        <v>Lower Price</v>
      </c>
      <c r="J1311" t="s">
        <v>759</v>
      </c>
      <c r="L1311" s="17" t="s">
        <v>733</v>
      </c>
      <c r="M1311" s="17" t="s">
        <v>11</v>
      </c>
      <c r="N1311" s="17" t="s">
        <v>740</v>
      </c>
    </row>
    <row r="1312" spans="1:17" x14ac:dyDescent="0.25">
      <c r="A1312" s="10">
        <v>984461</v>
      </c>
      <c r="B1312" s="22" t="str">
        <f>IFERROR(VLOOKUP(A1312,VLOOKUPS!$A$2:B$12589,2,FALSE),"")</f>
        <v>Strawberries 2lb-standard</v>
      </c>
      <c r="E1312">
        <v>3.79</v>
      </c>
      <c r="G1312" s="13">
        <v>44415</v>
      </c>
      <c r="H1312" s="13"/>
      <c r="I1312" s="22" t="str">
        <f>VLOOKUP(J1312, Dropdowns!N:O, 2, FALSE)</f>
        <v>NA</v>
      </c>
      <c r="J1312" t="s">
        <v>754</v>
      </c>
      <c r="L1312" s="17" t="s">
        <v>732</v>
      </c>
      <c r="M1312" s="17" t="s">
        <v>736</v>
      </c>
      <c r="N1312" s="17" t="s">
        <v>736</v>
      </c>
    </row>
    <row r="1313" spans="1:17" x14ac:dyDescent="0.25">
      <c r="A1313" s="10">
        <v>984555</v>
      </c>
      <c r="B1313" s="22" t="str">
        <f>IFERROR(VLOOKUP(A1313,VLOOKUPS!$A$2:B$12589,2,FALSE),"")</f>
        <v>Blueberries 2lb-standard</v>
      </c>
      <c r="E1313">
        <v>6.99</v>
      </c>
      <c r="G1313" s="13">
        <v>44415</v>
      </c>
      <c r="H1313" s="13"/>
      <c r="I1313" s="22" t="str">
        <f>VLOOKUP(J1313, Dropdowns!N:O, 2, FALSE)</f>
        <v>NA</v>
      </c>
      <c r="J1313" t="s">
        <v>754</v>
      </c>
      <c r="L1313" s="17" t="s">
        <v>732</v>
      </c>
      <c r="M1313" s="17" t="s">
        <v>736</v>
      </c>
      <c r="N1313" s="17" t="s">
        <v>736</v>
      </c>
    </row>
    <row r="1314" spans="1:17" x14ac:dyDescent="0.25">
      <c r="A1314" s="10">
        <v>988571</v>
      </c>
      <c r="B1314" s="22" t="str">
        <f>IFERROR(VLOOKUP(A1314,VLOOKUPS!$A$2:B$12589,2,FALSE),"")</f>
        <v>Cauliflower* 1ct-LOOSE</v>
      </c>
      <c r="E1314">
        <v>2.39</v>
      </c>
      <c r="F1314">
        <v>1.39</v>
      </c>
      <c r="G1314" s="13">
        <v>44415</v>
      </c>
      <c r="H1314" s="13">
        <v>44416</v>
      </c>
      <c r="I1314" s="22" t="str">
        <f>VLOOKUP(J1314, Dropdowns!N:O, 2, FALSE)</f>
        <v>Lower Price</v>
      </c>
      <c r="J1314" t="s">
        <v>759</v>
      </c>
      <c r="L1314" s="17" t="s">
        <v>732</v>
      </c>
      <c r="M1314" s="17" t="s">
        <v>9</v>
      </c>
      <c r="N1314" s="17" t="s">
        <v>736</v>
      </c>
    </row>
    <row r="1315" spans="1:17" x14ac:dyDescent="0.25">
      <c r="A1315" s="10">
        <v>988571</v>
      </c>
      <c r="B1315" s="22" t="str">
        <f>IFERROR(VLOOKUP(A1315,VLOOKUPS!$A$2:B$12589,2,FALSE),"")</f>
        <v>Cauliflower* 1ct-LOOSE</v>
      </c>
      <c r="E1315">
        <v>1.39</v>
      </c>
      <c r="F1315">
        <v>2.39</v>
      </c>
      <c r="G1315" s="13">
        <v>44417</v>
      </c>
      <c r="H1315" s="13"/>
      <c r="I1315" s="22" t="str">
        <f>VLOOKUP(J1315, Dropdowns!N:O, 2, FALSE)</f>
        <v>Standard</v>
      </c>
      <c r="J1315" t="s">
        <v>760</v>
      </c>
      <c r="L1315" s="17" t="s">
        <v>732</v>
      </c>
      <c r="M1315" s="17" t="s">
        <v>9</v>
      </c>
      <c r="N1315" s="17" t="s">
        <v>736</v>
      </c>
    </row>
    <row r="1316" spans="1:17" x14ac:dyDescent="0.25">
      <c r="A1316" s="10">
        <v>995018</v>
      </c>
      <c r="B1316" s="22" t="str">
        <f>IFERROR(VLOOKUP(A1316,VLOOKUPS!$A$2:B$12589,2,FALSE),"")</f>
        <v>RTE Large Chicken Caesar Salad 13.1oz-standard</v>
      </c>
      <c r="E1316">
        <v>4.99</v>
      </c>
      <c r="F1316">
        <v>3.99</v>
      </c>
      <c r="G1316" s="13">
        <v>44415</v>
      </c>
      <c r="H1316" s="13">
        <v>44416</v>
      </c>
      <c r="I1316" s="22" t="str">
        <f>VLOOKUP(J1316, Dropdowns!N:O, 2, FALSE)</f>
        <v>Lower Price</v>
      </c>
      <c r="J1316" t="s">
        <v>759</v>
      </c>
      <c r="L1316" s="17" t="s">
        <v>733</v>
      </c>
      <c r="M1316" s="17" t="s">
        <v>11</v>
      </c>
      <c r="N1316" s="17" t="s">
        <v>740</v>
      </c>
    </row>
    <row r="1317" spans="1:17" x14ac:dyDescent="0.25">
      <c r="A1317" s="10">
        <v>995018</v>
      </c>
      <c r="B1317" s="22" t="str">
        <f>IFERROR(VLOOKUP(A1317,VLOOKUPS!$A$2:B$12589,2,FALSE),"")</f>
        <v>RTE Large Chicken Caesar Salad 13.1oz-standard</v>
      </c>
      <c r="E1317">
        <v>3.99</v>
      </c>
      <c r="F1317">
        <v>4.99</v>
      </c>
      <c r="G1317" s="13">
        <v>44417</v>
      </c>
      <c r="H1317" s="13"/>
      <c r="I1317" s="22" t="str">
        <f>VLOOKUP(J1317, Dropdowns!N:O, 2, FALSE)</f>
        <v>Standard</v>
      </c>
      <c r="J1317" t="s">
        <v>760</v>
      </c>
      <c r="L1317" s="17" t="s">
        <v>733</v>
      </c>
      <c r="M1317" s="17" t="s">
        <v>11</v>
      </c>
      <c r="N1317" s="17" t="s">
        <v>740</v>
      </c>
    </row>
    <row r="1318" spans="1:17" x14ac:dyDescent="0.25">
      <c r="A1318" s="10">
        <v>995026</v>
      </c>
      <c r="B1318" s="22" t="str">
        <f>IFERROR(VLOOKUP(A1318,VLOOKUPS!$A$2:B$12589,2,FALSE),"")</f>
        <v>Baby Arugula 5oz-standard</v>
      </c>
      <c r="E1318">
        <v>2.29</v>
      </c>
      <c r="F1318">
        <v>1.49</v>
      </c>
      <c r="G1318" s="13">
        <v>44415</v>
      </c>
      <c r="H1318" s="13">
        <v>44416</v>
      </c>
      <c r="I1318" s="22" t="str">
        <f>VLOOKUP(J1318, Dropdowns!N:O, 2, FALSE)</f>
        <v>Lower Price</v>
      </c>
      <c r="J1318" t="s">
        <v>759</v>
      </c>
      <c r="L1318" s="17" t="s">
        <v>733</v>
      </c>
      <c r="M1318" s="17" t="s">
        <v>11</v>
      </c>
      <c r="N1318" s="17" t="s">
        <v>740</v>
      </c>
    </row>
    <row r="1319" spans="1:17" x14ac:dyDescent="0.25">
      <c r="A1319" s="10">
        <v>995026</v>
      </c>
      <c r="B1319" s="22" t="str">
        <f>IFERROR(VLOOKUP(A1319,VLOOKUPS!$A$2:B$12589,2,FALSE),"")</f>
        <v>Baby Arugula 5oz-standard</v>
      </c>
      <c r="E1319">
        <v>1.49</v>
      </c>
      <c r="F1319">
        <v>2.29</v>
      </c>
      <c r="G1319" s="13">
        <v>44417</v>
      </c>
      <c r="H1319" s="13"/>
      <c r="I1319" s="22" t="str">
        <f>VLOOKUP(J1319, Dropdowns!N:O, 2, FALSE)</f>
        <v>Standard</v>
      </c>
      <c r="J1319" t="s">
        <v>760</v>
      </c>
      <c r="L1319" s="17" t="s">
        <v>733</v>
      </c>
      <c r="M1319" s="17" t="s">
        <v>11</v>
      </c>
      <c r="N1319" s="17" t="s">
        <v>740</v>
      </c>
    </row>
    <row r="1320" spans="1:17" x14ac:dyDescent="0.25">
      <c r="A1320" s="10">
        <v>995084</v>
      </c>
      <c r="B1320" s="22" t="str">
        <f>IFERROR(VLOOKUP(A1320,VLOOKUPS!$A$2:B$12589,2,FALSE),"")</f>
        <v>Eat Smart Green Beans 12oz-standard</v>
      </c>
      <c r="E1320">
        <v>2.78</v>
      </c>
      <c r="F1320">
        <v>1.48</v>
      </c>
      <c r="G1320" s="13">
        <v>44415</v>
      </c>
      <c r="H1320" s="13">
        <v>44416</v>
      </c>
      <c r="I1320" s="22" t="str">
        <f>VLOOKUP(J1320, Dropdowns!N:O, 2, FALSE)</f>
        <v>Lower Price</v>
      </c>
      <c r="J1320" t="s">
        <v>759</v>
      </c>
      <c r="L1320" s="17" t="s">
        <v>733</v>
      </c>
      <c r="M1320" s="17" t="s">
        <v>9</v>
      </c>
      <c r="N1320" s="17" t="s">
        <v>740</v>
      </c>
    </row>
    <row r="1321" spans="1:17" x14ac:dyDescent="0.25">
      <c r="A1321" s="10">
        <v>995084</v>
      </c>
      <c r="B1321" s="22" t="str">
        <f>IFERROR(VLOOKUP(A1321,VLOOKUPS!$A$2:B$12589,2,FALSE),"")</f>
        <v>Eat Smart Green Beans 12oz-standard</v>
      </c>
      <c r="E1321">
        <v>2.88</v>
      </c>
      <c r="F1321">
        <v>1.58</v>
      </c>
      <c r="G1321" s="13">
        <v>44415</v>
      </c>
      <c r="H1321" s="13">
        <v>44416</v>
      </c>
      <c r="I1321" s="22" t="str">
        <f>VLOOKUP(J1321, Dropdowns!N:O, 2, FALSE)</f>
        <v>Lower Price</v>
      </c>
      <c r="J1321" t="s">
        <v>759</v>
      </c>
      <c r="L1321" s="17" t="s">
        <v>734</v>
      </c>
      <c r="M1321" s="17" t="s">
        <v>9</v>
      </c>
      <c r="N1321" s="17" t="s">
        <v>736</v>
      </c>
    </row>
    <row r="1322" spans="1:17" x14ac:dyDescent="0.25">
      <c r="A1322" s="10">
        <v>995084</v>
      </c>
      <c r="B1322" s="22" t="str">
        <f>IFERROR(VLOOKUP(A1322,VLOOKUPS!$A$2:B$12589,2,FALSE),"")</f>
        <v>Eat Smart Green Beans 12oz-standard</v>
      </c>
      <c r="E1322">
        <v>1.48</v>
      </c>
      <c r="F1322">
        <v>2.78</v>
      </c>
      <c r="G1322" s="13">
        <v>44417</v>
      </c>
      <c r="H1322" s="13"/>
      <c r="I1322" s="22" t="str">
        <f>VLOOKUP(J1322, Dropdowns!N:O, 2, FALSE)</f>
        <v>Standard</v>
      </c>
      <c r="J1322" t="s">
        <v>760</v>
      </c>
      <c r="L1322" s="17" t="s">
        <v>733</v>
      </c>
      <c r="M1322" s="17" t="s">
        <v>9</v>
      </c>
      <c r="N1322" s="17" t="s">
        <v>740</v>
      </c>
    </row>
    <row r="1323" spans="1:17" x14ac:dyDescent="0.25">
      <c r="A1323" s="10">
        <v>995084</v>
      </c>
      <c r="B1323" s="22" t="str">
        <f>IFERROR(VLOOKUP(A1323,VLOOKUPS!$A$2:B$12589,2,FALSE),"")</f>
        <v>Eat Smart Green Beans 12oz-standard</v>
      </c>
      <c r="E1323">
        <v>1.58</v>
      </c>
      <c r="F1323">
        <v>2.88</v>
      </c>
      <c r="G1323" s="13">
        <v>44417</v>
      </c>
      <c r="H1323" s="13"/>
      <c r="I1323" s="22" t="str">
        <f>VLOOKUP(J1323, Dropdowns!N:O, 2, FALSE)</f>
        <v>Standard</v>
      </c>
      <c r="J1323" t="s">
        <v>760</v>
      </c>
      <c r="L1323" s="17" t="s">
        <v>734</v>
      </c>
      <c r="M1323" s="17" t="s">
        <v>9</v>
      </c>
      <c r="N1323" s="17" t="s">
        <v>736</v>
      </c>
    </row>
    <row r="1324" spans="1:17" x14ac:dyDescent="0.25">
      <c r="A1324" s="10">
        <v>995116</v>
      </c>
      <c r="B1324" s="22" t="str">
        <f>IFERROR(VLOOKUP(A1324,VLOOKUPS!$A$2:B$12589,2,FALSE),"")</f>
        <v>Mango Chunks 10oz-standard</v>
      </c>
      <c r="E1324">
        <v>2.69</v>
      </c>
      <c r="G1324" s="13">
        <v>44417</v>
      </c>
      <c r="H1324" s="13"/>
      <c r="I1324" s="22" t="str">
        <f>VLOOKUP(J1324, Dropdowns!N:O, 2, FALSE)</f>
        <v>NA</v>
      </c>
      <c r="J1324" t="s">
        <v>754</v>
      </c>
      <c r="L1324" s="17" t="s">
        <v>733</v>
      </c>
      <c r="M1324" s="17" t="s">
        <v>11</v>
      </c>
      <c r="N1324" s="17" t="s">
        <v>740</v>
      </c>
    </row>
    <row r="1325" spans="1:17" x14ac:dyDescent="0.25">
      <c r="A1325" s="10">
        <v>995124</v>
      </c>
      <c r="B1325" s="22" t="str">
        <f>IFERROR(VLOOKUP(A1325,VLOOKUPS!$A$2:B$12589,2,FALSE),"")</f>
        <v>Sweet Potato Crinkle Fry 10oz-standard</v>
      </c>
      <c r="E1325">
        <v>2.4900000000000002</v>
      </c>
      <c r="F1325">
        <v>1.49</v>
      </c>
      <c r="G1325" s="13">
        <v>44415</v>
      </c>
      <c r="H1325" s="13">
        <v>44416</v>
      </c>
      <c r="I1325" s="22" t="str">
        <f>VLOOKUP(J1325, Dropdowns!N:O, 2, FALSE)</f>
        <v>Lower Price</v>
      </c>
      <c r="J1325" t="s">
        <v>759</v>
      </c>
      <c r="L1325" s="17" t="s">
        <v>732</v>
      </c>
      <c r="M1325" s="17" t="s">
        <v>738</v>
      </c>
      <c r="N1325" s="17">
        <v>2</v>
      </c>
    </row>
    <row r="1326" spans="1:17" x14ac:dyDescent="0.25">
      <c r="A1326" s="10">
        <v>995124</v>
      </c>
      <c r="B1326" s="22" t="str">
        <f>IFERROR(VLOOKUP(A1326,VLOOKUPS!$A$2:B$12589,2,FALSE),"")</f>
        <v>Sweet Potato Crinkle Fry 10oz-standard</v>
      </c>
      <c r="E1326">
        <v>1.49</v>
      </c>
      <c r="F1326">
        <v>2.4900000000000002</v>
      </c>
      <c r="G1326" s="13">
        <v>44417</v>
      </c>
      <c r="H1326" s="13"/>
      <c r="I1326" s="22" t="str">
        <f>VLOOKUP(J1326, Dropdowns!N:O, 2, FALSE)</f>
        <v>Standard</v>
      </c>
      <c r="J1326" t="s">
        <v>760</v>
      </c>
      <c r="L1326" s="17" t="s">
        <v>732</v>
      </c>
      <c r="M1326" s="17" t="s">
        <v>738</v>
      </c>
      <c r="N1326" s="17">
        <v>2</v>
      </c>
    </row>
    <row r="1327" spans="1:17" x14ac:dyDescent="0.25">
      <c r="A1327" s="10">
        <v>995137</v>
      </c>
      <c r="B1327" s="22" t="str">
        <f>IFERROR(VLOOKUP(A1327,VLOOKUPS!$A$2:B$12589,2,FALSE),"")</f>
        <v>Half and Half 11oz-standard</v>
      </c>
      <c r="F1327">
        <v>4.18</v>
      </c>
      <c r="G1327" s="13">
        <v>44415</v>
      </c>
      <c r="H1327" s="13"/>
      <c r="I1327" s="22" t="str">
        <f>VLOOKUP(J1327, Dropdowns!N:O, 2, FALSE)</f>
        <v>New</v>
      </c>
      <c r="J1327" t="s">
        <v>776</v>
      </c>
      <c r="L1327" s="17" t="s">
        <v>732</v>
      </c>
      <c r="M1327" s="17" t="s">
        <v>9</v>
      </c>
      <c r="N1327" s="17" t="s">
        <v>736</v>
      </c>
      <c r="O1327" s="17" t="s">
        <v>748</v>
      </c>
      <c r="P1327">
        <v>1</v>
      </c>
      <c r="Q1327" s="17" t="s">
        <v>1044</v>
      </c>
    </row>
    <row r="1328" spans="1:17" x14ac:dyDescent="0.25">
      <c r="A1328" s="10">
        <v>995138</v>
      </c>
      <c r="B1328" s="22" t="str">
        <f>IFERROR(VLOOKUP(A1328,VLOOKUPS!$A$2:B$12589,2,FALSE),"")</f>
        <v>Spring Mix 11oz-standard</v>
      </c>
      <c r="F1328">
        <v>3.99</v>
      </c>
      <c r="G1328" s="13">
        <v>44415</v>
      </c>
      <c r="H1328" s="13"/>
      <c r="I1328" s="22" t="str">
        <f>VLOOKUP(J1328, Dropdowns!N:O, 2, FALSE)</f>
        <v>New</v>
      </c>
      <c r="J1328" t="s">
        <v>776</v>
      </c>
      <c r="L1328" s="17" t="s">
        <v>732</v>
      </c>
      <c r="M1328" s="17" t="s">
        <v>10</v>
      </c>
      <c r="N1328" s="17">
        <v>2</v>
      </c>
      <c r="O1328" s="17" t="s">
        <v>748</v>
      </c>
      <c r="P1328">
        <v>1</v>
      </c>
      <c r="Q1328" s="17" t="s">
        <v>1044</v>
      </c>
    </row>
    <row r="1329" spans="1:14" x14ac:dyDescent="0.25">
      <c r="A1329" s="10">
        <v>995141</v>
      </c>
      <c r="B1329" s="22" t="str">
        <f>IFERROR(VLOOKUP(A1329,VLOOKUPS!$A$2:B$12589,2,FALSE),"")</f>
        <v>Watermelon Chunks 32oz-standard</v>
      </c>
      <c r="E1329">
        <v>6.49</v>
      </c>
      <c r="F1329">
        <v>5.49</v>
      </c>
      <c r="G1329" s="13">
        <v>44415</v>
      </c>
      <c r="H1329" s="13">
        <v>44416</v>
      </c>
      <c r="I1329" s="22" t="str">
        <f>VLOOKUP(J1329, Dropdowns!N:O, 2, FALSE)</f>
        <v>Lower Price</v>
      </c>
      <c r="J1329" t="s">
        <v>759</v>
      </c>
      <c r="L1329" s="17" t="s">
        <v>732</v>
      </c>
      <c r="M1329" s="17" t="s">
        <v>738</v>
      </c>
      <c r="N1329" s="17">
        <v>2</v>
      </c>
    </row>
    <row r="1330" spans="1:14" x14ac:dyDescent="0.25">
      <c r="A1330" s="10">
        <v>995141</v>
      </c>
      <c r="B1330" s="22" t="str">
        <f>IFERROR(VLOOKUP(A1330,VLOOKUPS!$A$2:B$12589,2,FALSE),"")</f>
        <v>Watermelon Chunks 32oz-standard</v>
      </c>
      <c r="E1330">
        <v>5.49</v>
      </c>
      <c r="F1330">
        <v>6.49</v>
      </c>
      <c r="G1330" s="13">
        <v>44417</v>
      </c>
      <c r="H1330" s="13"/>
      <c r="I1330" s="22" t="str">
        <f>VLOOKUP(J1330, Dropdowns!N:O, 2, FALSE)</f>
        <v>Standard</v>
      </c>
      <c r="J1330" t="s">
        <v>760</v>
      </c>
      <c r="L1330" s="17" t="s">
        <v>732</v>
      </c>
      <c r="M1330" s="17" t="s">
        <v>738</v>
      </c>
      <c r="N1330" s="17">
        <v>2</v>
      </c>
    </row>
    <row r="1331" spans="1:14" x14ac:dyDescent="0.25">
      <c r="A1331" s="10">
        <v>995115</v>
      </c>
      <c r="B1331" s="22" t="str">
        <f>IFERROR(VLOOKUP(A1331,VLOOKUPS!$A$2:B$12589,2,FALSE),"")</f>
        <v>Pineapple Chunks 10oz-standard</v>
      </c>
      <c r="E1331">
        <v>1.79</v>
      </c>
      <c r="F1331">
        <v>2.39</v>
      </c>
      <c r="G1331" s="13">
        <v>44415</v>
      </c>
      <c r="H1331" s="13"/>
      <c r="I1331" s="22" t="str">
        <f>VLOOKUP(J1331, Dropdowns!N:O, 2, FALSE)</f>
        <v>Standard</v>
      </c>
      <c r="J1331" t="s">
        <v>760</v>
      </c>
      <c r="L1331" s="17" t="s">
        <v>732</v>
      </c>
      <c r="M1331" s="17" t="s">
        <v>736</v>
      </c>
      <c r="N1331" s="17" t="s">
        <v>736</v>
      </c>
    </row>
    <row r="1332" spans="1:14" x14ac:dyDescent="0.25">
      <c r="A1332" s="10">
        <v>995147</v>
      </c>
      <c r="B1332" s="22" t="str">
        <f>IFERROR(VLOOKUP(A1332,VLOOKUPS!$A$2:B$12589,2,FALSE),"")</f>
        <v>Celery Sticks 1.25lb-standard</v>
      </c>
      <c r="E1332">
        <v>2.74</v>
      </c>
      <c r="F1332">
        <v>1.74</v>
      </c>
      <c r="G1332" s="13">
        <v>44416</v>
      </c>
      <c r="H1332" s="13">
        <v>44418</v>
      </c>
      <c r="I1332" s="22" t="str">
        <f>VLOOKUP(J1332, Dropdowns!N:O, 2, FALSE)</f>
        <v>Lower Price</v>
      </c>
      <c r="J1332" t="s">
        <v>759</v>
      </c>
      <c r="L1332" s="17" t="s">
        <v>732</v>
      </c>
      <c r="M1332" s="17" t="s">
        <v>10</v>
      </c>
      <c r="N1332" s="17">
        <v>2</v>
      </c>
    </row>
    <row r="1333" spans="1:14" x14ac:dyDescent="0.25">
      <c r="A1333" s="10">
        <v>995147</v>
      </c>
      <c r="B1333" s="22" t="str">
        <f>IFERROR(VLOOKUP(A1333,VLOOKUPS!$A$2:B$12589,2,FALSE),"")</f>
        <v>Celery Sticks 1.25lb-standard</v>
      </c>
      <c r="E1333">
        <v>1.74</v>
      </c>
      <c r="F1333">
        <v>2.74</v>
      </c>
      <c r="G1333" s="13">
        <v>44419</v>
      </c>
      <c r="H1333" s="13"/>
      <c r="I1333" s="22" t="str">
        <f>VLOOKUP(J1333, Dropdowns!N:O, 2, FALSE)</f>
        <v>Standard</v>
      </c>
      <c r="J1333" t="s">
        <v>760</v>
      </c>
      <c r="L1333" s="17" t="s">
        <v>732</v>
      </c>
      <c r="M1333" s="17" t="s">
        <v>10</v>
      </c>
      <c r="N1333" s="17">
        <v>2</v>
      </c>
    </row>
    <row r="1334" spans="1:14" x14ac:dyDescent="0.25">
      <c r="A1334" s="10">
        <v>995002</v>
      </c>
      <c r="B1334" s="22" t="str">
        <f>IFERROR(VLOOKUP(A1334,VLOOKUPS!$A$2:B$12589,2,FALSE),"")</f>
        <v>Butter Blend 6oz-standard</v>
      </c>
      <c r="E1334">
        <v>2.29</v>
      </c>
      <c r="F1334">
        <v>1.29</v>
      </c>
      <c r="G1334" s="13">
        <v>44418</v>
      </c>
      <c r="H1334" s="13">
        <v>44420</v>
      </c>
      <c r="I1334" s="22" t="str">
        <f>VLOOKUP(J1334, Dropdowns!N:O, 2, FALSE)</f>
        <v>Lower Price</v>
      </c>
      <c r="J1334" t="s">
        <v>759</v>
      </c>
      <c r="L1334" s="17" t="s">
        <v>732</v>
      </c>
      <c r="M1334" s="17" t="s">
        <v>736</v>
      </c>
      <c r="N1334" s="17" t="s">
        <v>736</v>
      </c>
    </row>
    <row r="1335" spans="1:14" x14ac:dyDescent="0.25">
      <c r="A1335" s="10">
        <v>995002</v>
      </c>
      <c r="B1335" s="22" t="str">
        <f>IFERROR(VLOOKUP(A1335,VLOOKUPS!$A$2:B$12589,2,FALSE),"")</f>
        <v>Butter Blend 6oz-standard</v>
      </c>
      <c r="E1335">
        <v>1.29</v>
      </c>
      <c r="F1335">
        <v>2.29</v>
      </c>
      <c r="G1335" s="13">
        <v>44421</v>
      </c>
      <c r="H1335" s="13"/>
      <c r="I1335" s="22" t="str">
        <f>VLOOKUP(J1335, Dropdowns!N:O, 2, FALSE)</f>
        <v>Standard</v>
      </c>
      <c r="J1335" t="s">
        <v>760</v>
      </c>
      <c r="L1335" s="17" t="s">
        <v>732</v>
      </c>
      <c r="M1335" s="17" t="s">
        <v>736</v>
      </c>
      <c r="N1335" s="17" t="s">
        <v>736</v>
      </c>
    </row>
    <row r="1336" spans="1:14" x14ac:dyDescent="0.25">
      <c r="A1336" s="10">
        <v>995008</v>
      </c>
      <c r="B1336" s="22" t="str">
        <f>IFERROR(VLOOKUP(A1336,VLOOKUPS!$A$2:B$12589,2,FALSE),"")</f>
        <v>Shredded Lettuce 8oz-standard</v>
      </c>
      <c r="E1336">
        <v>1.69</v>
      </c>
      <c r="F1336">
        <v>1.0900000000000001</v>
      </c>
      <c r="G1336" s="13">
        <v>44418</v>
      </c>
      <c r="H1336" s="13">
        <v>44419</v>
      </c>
      <c r="I1336" s="22" t="str">
        <f>VLOOKUP(J1336, Dropdowns!N:O, 2, FALSE)</f>
        <v>Lower Price</v>
      </c>
      <c r="J1336" t="s">
        <v>759</v>
      </c>
      <c r="L1336" s="17" t="s">
        <v>732</v>
      </c>
      <c r="M1336" s="17" t="s">
        <v>9</v>
      </c>
      <c r="N1336" s="17" t="s">
        <v>741</v>
      </c>
    </row>
    <row r="1337" spans="1:14" x14ac:dyDescent="0.25">
      <c r="A1337" s="10">
        <v>995008</v>
      </c>
      <c r="B1337" s="22" t="str">
        <f>IFERROR(VLOOKUP(A1337,VLOOKUPS!$A$2:B$12589,2,FALSE),"")</f>
        <v>Shredded Lettuce 8oz-standard</v>
      </c>
      <c r="E1337">
        <v>1.49</v>
      </c>
      <c r="F1337">
        <v>0.99</v>
      </c>
      <c r="G1337" s="13">
        <v>44418</v>
      </c>
      <c r="H1337" s="13">
        <v>44419</v>
      </c>
      <c r="I1337" s="22" t="str">
        <f>VLOOKUP(J1337, Dropdowns!N:O, 2, FALSE)</f>
        <v>Lower Price</v>
      </c>
      <c r="J1337" t="s">
        <v>759</v>
      </c>
      <c r="L1337" s="17" t="s">
        <v>734</v>
      </c>
      <c r="M1337" s="17" t="s">
        <v>9</v>
      </c>
      <c r="N1337" s="17">
        <v>8</v>
      </c>
    </row>
    <row r="1338" spans="1:14" x14ac:dyDescent="0.25">
      <c r="A1338" s="10">
        <v>995008</v>
      </c>
      <c r="B1338" s="22" t="str">
        <f>IFERROR(VLOOKUP(A1338,VLOOKUPS!$A$2:B$12589,2,FALSE),"")</f>
        <v>Shredded Lettuce 8oz-standard</v>
      </c>
      <c r="E1338">
        <v>1.0900000000000001</v>
      </c>
      <c r="F1338">
        <v>1.69</v>
      </c>
      <c r="G1338" s="13">
        <v>44420</v>
      </c>
      <c r="H1338" s="13"/>
      <c r="I1338" s="22" t="str">
        <f>VLOOKUP(J1338, Dropdowns!N:O, 2, FALSE)</f>
        <v>Standard</v>
      </c>
      <c r="J1338" t="s">
        <v>760</v>
      </c>
      <c r="L1338" s="17" t="s">
        <v>732</v>
      </c>
      <c r="M1338" s="17" t="s">
        <v>9</v>
      </c>
      <c r="N1338" s="17" t="s">
        <v>741</v>
      </c>
    </row>
    <row r="1339" spans="1:14" x14ac:dyDescent="0.25">
      <c r="A1339" s="10">
        <v>995008</v>
      </c>
      <c r="B1339" s="22" t="str">
        <f>IFERROR(VLOOKUP(A1339,VLOOKUPS!$A$2:B$12589,2,FALSE),"")</f>
        <v>Shredded Lettuce 8oz-standard</v>
      </c>
      <c r="E1339">
        <v>0.99</v>
      </c>
      <c r="F1339">
        <v>1.49</v>
      </c>
      <c r="G1339" s="13">
        <v>44420</v>
      </c>
      <c r="H1339" s="13"/>
      <c r="I1339" s="22" t="str">
        <f>VLOOKUP(J1339, Dropdowns!N:O, 2, FALSE)</f>
        <v>Standard</v>
      </c>
      <c r="J1339" t="s">
        <v>760</v>
      </c>
      <c r="L1339" s="17" t="s">
        <v>734</v>
      </c>
      <c r="M1339" s="17" t="s">
        <v>9</v>
      </c>
      <c r="N1339" s="17">
        <v>8</v>
      </c>
    </row>
    <row r="1340" spans="1:14" x14ac:dyDescent="0.25">
      <c r="A1340" s="10">
        <v>995041</v>
      </c>
      <c r="B1340" s="22" t="str">
        <f>IFERROR(VLOOKUP(A1340,VLOOKUPS!$A$2:B$12589,2,FALSE),"")</f>
        <v>Pineapple Spears 16oz-standard</v>
      </c>
      <c r="E1340">
        <v>3.49</v>
      </c>
      <c r="F1340">
        <v>2.4900000000000002</v>
      </c>
      <c r="G1340" s="13">
        <v>44418</v>
      </c>
      <c r="H1340" s="13">
        <v>44419</v>
      </c>
      <c r="I1340" s="22" t="str">
        <f>VLOOKUP(J1340, Dropdowns!N:O, 2, FALSE)</f>
        <v>Lower Price</v>
      </c>
      <c r="J1340" t="s">
        <v>759</v>
      </c>
      <c r="L1340" s="17" t="s">
        <v>732</v>
      </c>
      <c r="M1340" s="17" t="s">
        <v>10</v>
      </c>
      <c r="N1340" s="17">
        <v>2</v>
      </c>
    </row>
    <row r="1341" spans="1:14" x14ac:dyDescent="0.25">
      <c r="A1341" s="10">
        <v>995041</v>
      </c>
      <c r="B1341" s="22" t="str">
        <f>IFERROR(VLOOKUP(A1341,VLOOKUPS!$A$2:B$12589,2,FALSE),"")</f>
        <v>Pineapple Spears 16oz-standard</v>
      </c>
      <c r="E1341">
        <v>2.4900000000000002</v>
      </c>
      <c r="F1341">
        <v>3.49</v>
      </c>
      <c r="G1341" s="13">
        <v>44420</v>
      </c>
      <c r="H1341" s="13"/>
      <c r="I1341" s="22" t="str">
        <f>VLOOKUP(J1341, Dropdowns!N:O, 2, FALSE)</f>
        <v>Standard</v>
      </c>
      <c r="J1341" t="s">
        <v>760</v>
      </c>
      <c r="L1341" s="17" t="s">
        <v>732</v>
      </c>
      <c r="M1341" s="17" t="s">
        <v>10</v>
      </c>
      <c r="N1341" s="17">
        <v>2</v>
      </c>
    </row>
    <row r="1342" spans="1:14" x14ac:dyDescent="0.25">
      <c r="A1342" s="10">
        <v>995072</v>
      </c>
      <c r="B1342" s="22" t="str">
        <f>IFERROR(VLOOKUP(A1342,VLOOKUPS!$A$2:B$12589,2,FALSE),"")</f>
        <v>Broccoli Coleslaw 12oz-standard</v>
      </c>
      <c r="E1342">
        <v>1.99</v>
      </c>
      <c r="F1342">
        <v>1.29</v>
      </c>
      <c r="G1342" s="13">
        <v>44418</v>
      </c>
      <c r="H1342" s="13">
        <v>44419</v>
      </c>
      <c r="I1342" s="22" t="str">
        <f>VLOOKUP(J1342, Dropdowns!N:O, 2, FALSE)</f>
        <v>Lower Price</v>
      </c>
      <c r="J1342" t="s">
        <v>759</v>
      </c>
      <c r="L1342" s="17" t="s">
        <v>733</v>
      </c>
      <c r="M1342" s="17" t="s">
        <v>10</v>
      </c>
      <c r="N1342" s="17" t="s">
        <v>740</v>
      </c>
    </row>
    <row r="1343" spans="1:14" x14ac:dyDescent="0.25">
      <c r="A1343" s="10">
        <v>995072</v>
      </c>
      <c r="B1343" s="22" t="str">
        <f>IFERROR(VLOOKUP(A1343,VLOOKUPS!$A$2:B$12589,2,FALSE),"")</f>
        <v>Broccoli Coleslaw 12oz-standard</v>
      </c>
      <c r="E1343">
        <v>2.59</v>
      </c>
      <c r="F1343">
        <v>1.59</v>
      </c>
      <c r="G1343" s="13">
        <v>44418</v>
      </c>
      <c r="H1343" s="13">
        <v>44419</v>
      </c>
      <c r="I1343" s="22" t="str">
        <f>VLOOKUP(J1343, Dropdowns!N:O, 2, FALSE)</f>
        <v>Lower Price</v>
      </c>
      <c r="J1343" t="s">
        <v>759</v>
      </c>
      <c r="L1343" s="17" t="s">
        <v>734</v>
      </c>
      <c r="M1343" s="17" t="s">
        <v>10</v>
      </c>
      <c r="N1343" s="17">
        <v>2</v>
      </c>
    </row>
    <row r="1344" spans="1:14" x14ac:dyDescent="0.25">
      <c r="A1344" s="10">
        <v>995072</v>
      </c>
      <c r="B1344" s="22" t="str">
        <f>IFERROR(VLOOKUP(A1344,VLOOKUPS!$A$2:B$12589,2,FALSE),"")</f>
        <v>Broccoli Coleslaw 12oz-standard</v>
      </c>
      <c r="E1344">
        <v>1.29</v>
      </c>
      <c r="F1344">
        <v>1.99</v>
      </c>
      <c r="G1344" s="13">
        <v>44420</v>
      </c>
      <c r="H1344" s="13"/>
      <c r="I1344" s="22" t="str">
        <f>VLOOKUP(J1344, Dropdowns!N:O, 2, FALSE)</f>
        <v>Standard</v>
      </c>
      <c r="J1344" t="s">
        <v>760</v>
      </c>
      <c r="L1344" s="17" t="s">
        <v>733</v>
      </c>
      <c r="M1344" s="17" t="s">
        <v>10</v>
      </c>
      <c r="N1344" s="17" t="s">
        <v>740</v>
      </c>
    </row>
    <row r="1345" spans="1:14" x14ac:dyDescent="0.25">
      <c r="A1345" s="10">
        <v>995072</v>
      </c>
      <c r="B1345" s="22" t="str">
        <f>IFERROR(VLOOKUP(A1345,VLOOKUPS!$A$2:B$12589,2,FALSE),"")</f>
        <v>Broccoli Coleslaw 12oz-standard</v>
      </c>
      <c r="E1345">
        <v>1.59</v>
      </c>
      <c r="F1345">
        <v>2.59</v>
      </c>
      <c r="G1345" s="13">
        <v>44420</v>
      </c>
      <c r="H1345" s="13"/>
      <c r="I1345" s="22" t="str">
        <f>VLOOKUP(J1345, Dropdowns!N:O, 2, FALSE)</f>
        <v>Standard</v>
      </c>
      <c r="J1345" t="s">
        <v>760</v>
      </c>
      <c r="L1345" s="17" t="s">
        <v>734</v>
      </c>
      <c r="M1345" s="17" t="s">
        <v>10</v>
      </c>
      <c r="N1345" s="17">
        <v>2</v>
      </c>
    </row>
    <row r="1346" spans="1:14" x14ac:dyDescent="0.25">
      <c r="A1346" s="10">
        <v>983101</v>
      </c>
      <c r="B1346" s="22" t="str">
        <f>IFERROR(VLOOKUP(A1346,VLOOKUPS!$A$2:B$12589,2,FALSE),"")</f>
        <v>Melons Cantaloupes 1ct-LOOSE</v>
      </c>
      <c r="E1346">
        <v>2.29</v>
      </c>
      <c r="F1346">
        <v>1.98</v>
      </c>
      <c r="G1346" s="13">
        <v>44421</v>
      </c>
      <c r="H1346" s="13"/>
      <c r="I1346" s="22" t="str">
        <f>VLOOKUP(J1346, Dropdowns!N:O, 2, FALSE)</f>
        <v>Standard</v>
      </c>
      <c r="J1346" t="s">
        <v>761</v>
      </c>
      <c r="L1346" s="17" t="s">
        <v>732</v>
      </c>
      <c r="M1346" s="17" t="s">
        <v>736</v>
      </c>
      <c r="N1346" s="17" t="s">
        <v>741</v>
      </c>
    </row>
    <row r="1347" spans="1:14" x14ac:dyDescent="0.25">
      <c r="A1347" s="10">
        <v>983101</v>
      </c>
      <c r="B1347" s="22" t="str">
        <f>IFERROR(VLOOKUP(A1347,VLOOKUPS!$A$2:B$12589,2,FALSE),"")</f>
        <v>Melons Cantaloupes 1ct-LOOSE</v>
      </c>
      <c r="E1347">
        <v>2.29</v>
      </c>
      <c r="F1347">
        <v>2.4900000000000002</v>
      </c>
      <c r="G1347" s="13">
        <v>44418</v>
      </c>
      <c r="H1347" s="13"/>
      <c r="I1347" s="22" t="str">
        <f>VLOOKUP(J1347, Dropdowns!N:O, 2, FALSE)</f>
        <v>Standard</v>
      </c>
      <c r="J1347" t="s">
        <v>761</v>
      </c>
      <c r="L1347" s="17" t="s">
        <v>734</v>
      </c>
      <c r="M1347" s="17" t="s">
        <v>9</v>
      </c>
      <c r="N1347" s="17">
        <v>8</v>
      </c>
    </row>
    <row r="1348" spans="1:14" x14ac:dyDescent="0.25">
      <c r="A1348" s="10">
        <v>984582</v>
      </c>
      <c r="B1348" s="22" t="str">
        <f>IFERROR(VLOOKUP(A1348,VLOOKUPS!$A$2:B$12589,2,FALSE),"")</f>
        <v>Organic Blueberries 1pt-standard</v>
      </c>
      <c r="D1348">
        <v>12</v>
      </c>
      <c r="F1348">
        <v>3.86</v>
      </c>
      <c r="G1348" s="13">
        <v>44421</v>
      </c>
      <c r="H1348" s="13"/>
      <c r="I1348" s="22" t="str">
        <f>VLOOKUP(J1348, Dropdowns!N:O, 2, FALSE)</f>
        <v>New</v>
      </c>
      <c r="J1348" t="s">
        <v>776</v>
      </c>
      <c r="L1348" s="17" t="s">
        <v>732</v>
      </c>
      <c r="M1348" s="17" t="s">
        <v>736</v>
      </c>
      <c r="N1348" s="17" t="s">
        <v>736</v>
      </c>
    </row>
    <row r="1349" spans="1:14" x14ac:dyDescent="0.25">
      <c r="A1349" s="10">
        <v>984580</v>
      </c>
      <c r="B1349" s="22" t="str">
        <f>IFERROR(VLOOKUP(A1349,VLOOKUPS!$A$2:B$12589,2,FALSE),"")</f>
        <v>Organic Blueberries 6oz-standard</v>
      </c>
      <c r="E1349">
        <v>2.59</v>
      </c>
      <c r="G1349" s="13">
        <v>44422</v>
      </c>
      <c r="H1349" s="13"/>
      <c r="I1349" s="22" t="str">
        <f>VLOOKUP(J1349, Dropdowns!N:O, 2, FALSE)</f>
        <v>NA</v>
      </c>
      <c r="J1349" t="s">
        <v>754</v>
      </c>
      <c r="L1349" s="17" t="s">
        <v>732</v>
      </c>
      <c r="M1349" s="17" t="s">
        <v>736</v>
      </c>
      <c r="N1349" s="17" t="s">
        <v>736</v>
      </c>
    </row>
    <row r="1350" spans="1:14" x14ac:dyDescent="0.25">
      <c r="A1350" s="10">
        <v>988571</v>
      </c>
      <c r="B1350" s="22" t="str">
        <f>IFERROR(VLOOKUP(A1350,VLOOKUPS!$A$2:B$12589,2,FALSE),"")</f>
        <v>Cauliflower* 1ct-LOOSE</v>
      </c>
      <c r="E1350">
        <v>2.39</v>
      </c>
      <c r="F1350">
        <v>1.49</v>
      </c>
      <c r="G1350" s="13">
        <v>44422</v>
      </c>
      <c r="H1350" s="13">
        <v>44423</v>
      </c>
      <c r="I1350" s="22" t="str">
        <f>VLOOKUP(J1350, Dropdowns!N:O, 2, FALSE)</f>
        <v>Lower Price</v>
      </c>
      <c r="J1350" t="s">
        <v>759</v>
      </c>
      <c r="L1350" s="17" t="s">
        <v>732</v>
      </c>
      <c r="M1350" s="17" t="s">
        <v>9</v>
      </c>
      <c r="N1350" s="17" t="s">
        <v>736</v>
      </c>
    </row>
    <row r="1351" spans="1:14" x14ac:dyDescent="0.25">
      <c r="A1351" s="10">
        <v>988571</v>
      </c>
      <c r="B1351" s="22" t="str">
        <f>IFERROR(VLOOKUP(A1351,VLOOKUPS!$A$2:B$12589,2,FALSE),"")</f>
        <v>Cauliflower* 1ct-LOOSE</v>
      </c>
      <c r="E1351">
        <v>1.49</v>
      </c>
      <c r="F1351">
        <v>2.39</v>
      </c>
      <c r="G1351" s="13">
        <v>44424</v>
      </c>
      <c r="H1351" s="13"/>
      <c r="I1351" s="22" t="str">
        <f>VLOOKUP(J1351, Dropdowns!N:O, 2, FALSE)</f>
        <v>Standard</v>
      </c>
      <c r="J1351" t="s">
        <v>760</v>
      </c>
      <c r="L1351" s="17" t="s">
        <v>732</v>
      </c>
      <c r="M1351" s="17" t="s">
        <v>9</v>
      </c>
      <c r="N1351" s="17" t="s">
        <v>736</v>
      </c>
    </row>
    <row r="1352" spans="1:14" x14ac:dyDescent="0.25">
      <c r="A1352" s="10">
        <v>995002</v>
      </c>
      <c r="B1352" s="22" t="str">
        <f>IFERROR(VLOOKUP(A1352,VLOOKUPS!$A$2:B$12589,2,FALSE),"")</f>
        <v>Butter Blend 6oz-standard</v>
      </c>
      <c r="E1352">
        <v>2.29</v>
      </c>
      <c r="G1352" s="13">
        <v>44422</v>
      </c>
      <c r="H1352" s="13"/>
      <c r="I1352" s="22" t="str">
        <f>VLOOKUP(J1352, Dropdowns!N:O, 2, FALSE)</f>
        <v>NA</v>
      </c>
      <c r="J1352" t="s">
        <v>754</v>
      </c>
      <c r="L1352" s="17" t="s">
        <v>732</v>
      </c>
      <c r="M1352" s="17" t="s">
        <v>736</v>
      </c>
      <c r="N1352" s="17" t="s">
        <v>736</v>
      </c>
    </row>
    <row r="1353" spans="1:14" x14ac:dyDescent="0.25">
      <c r="A1353" s="10">
        <v>995007</v>
      </c>
      <c r="B1353" s="22" t="str">
        <f>IFERROR(VLOOKUP(A1353,VLOOKUPS!$A$2:B$12589,2,FALSE),"")</f>
        <v>Caesar Salad Kit 10.5oz-standard</v>
      </c>
      <c r="E1353">
        <v>2.59</v>
      </c>
      <c r="F1353">
        <v>1.79</v>
      </c>
      <c r="G1353" s="13">
        <v>44422</v>
      </c>
      <c r="H1353" s="13">
        <v>44423</v>
      </c>
      <c r="I1353" s="22" t="str">
        <f>VLOOKUP(J1353, Dropdowns!N:O, 2, FALSE)</f>
        <v>Lower Price</v>
      </c>
      <c r="J1353" t="s">
        <v>759</v>
      </c>
      <c r="L1353" s="17" t="s">
        <v>733</v>
      </c>
      <c r="M1353" s="17" t="s">
        <v>11</v>
      </c>
      <c r="N1353" s="17" t="s">
        <v>740</v>
      </c>
    </row>
    <row r="1354" spans="1:14" x14ac:dyDescent="0.25">
      <c r="A1354" s="10">
        <v>995007</v>
      </c>
      <c r="B1354" s="22" t="str">
        <f>IFERROR(VLOOKUP(A1354,VLOOKUPS!$A$2:B$12589,2,FALSE),"")</f>
        <v>Caesar Salad Kit 10.5oz-standard</v>
      </c>
      <c r="E1354">
        <v>1.79</v>
      </c>
      <c r="F1354">
        <v>2.59</v>
      </c>
      <c r="G1354" s="13">
        <v>44424</v>
      </c>
      <c r="H1354" s="13"/>
      <c r="I1354" s="22" t="str">
        <f>VLOOKUP(J1354, Dropdowns!N:O, 2, FALSE)</f>
        <v>Standard</v>
      </c>
      <c r="J1354" t="s">
        <v>760</v>
      </c>
      <c r="L1354" s="17" t="s">
        <v>733</v>
      </c>
      <c r="M1354" s="17" t="s">
        <v>11</v>
      </c>
      <c r="N1354" s="17" t="s">
        <v>740</v>
      </c>
    </row>
    <row r="1355" spans="1:14" x14ac:dyDescent="0.25">
      <c r="A1355" s="10">
        <v>995027</v>
      </c>
      <c r="B1355" s="22" t="str">
        <f>IFERROR(VLOOKUP(A1355,VLOOKUPS!$A$2:B$12589,2,FALSE),"")</f>
        <v>XL Baby Spinach 16oz-standard</v>
      </c>
      <c r="E1355">
        <v>4.49</v>
      </c>
      <c r="F1355">
        <v>3.49</v>
      </c>
      <c r="G1355" s="13">
        <v>44422</v>
      </c>
      <c r="H1355" s="13">
        <v>44423</v>
      </c>
      <c r="I1355" s="22" t="str">
        <f>VLOOKUP(J1355, Dropdowns!N:O, 2, FALSE)</f>
        <v>Lower Price</v>
      </c>
      <c r="J1355" t="s">
        <v>759</v>
      </c>
      <c r="L1355" s="17" t="s">
        <v>732</v>
      </c>
      <c r="M1355" s="17" t="s">
        <v>9</v>
      </c>
      <c r="N1355" s="17" t="s">
        <v>736</v>
      </c>
    </row>
    <row r="1356" spans="1:14" x14ac:dyDescent="0.25">
      <c r="A1356" s="10">
        <v>995027</v>
      </c>
      <c r="B1356" s="22" t="str">
        <f>IFERROR(VLOOKUP(A1356,VLOOKUPS!$A$2:B$12589,2,FALSE),"")</f>
        <v>XL Baby Spinach 16oz-standard</v>
      </c>
      <c r="E1356">
        <v>3.49</v>
      </c>
      <c r="F1356">
        <v>4.49</v>
      </c>
      <c r="G1356" s="13">
        <v>44424</v>
      </c>
      <c r="H1356" s="13"/>
      <c r="I1356" s="22" t="str">
        <f>VLOOKUP(J1356, Dropdowns!N:O, 2, FALSE)</f>
        <v>Standard</v>
      </c>
      <c r="J1356" t="s">
        <v>760</v>
      </c>
      <c r="L1356" s="17" t="s">
        <v>732</v>
      </c>
      <c r="M1356" s="17" t="s">
        <v>9</v>
      </c>
      <c r="N1356" s="17" t="s">
        <v>736</v>
      </c>
    </row>
    <row r="1357" spans="1:14" x14ac:dyDescent="0.25">
      <c r="A1357" s="10">
        <v>995101</v>
      </c>
      <c r="B1357" s="22" t="str">
        <f>IFERROR(VLOOKUP(A1357,VLOOKUPS!$A$2:B$12589,2,FALSE),"")</f>
        <v>Avocado Ranch Salad Kit 11.3oz-standard</v>
      </c>
      <c r="E1357">
        <v>3.29</v>
      </c>
      <c r="F1357">
        <v>2.39</v>
      </c>
      <c r="G1357" s="13">
        <v>44422</v>
      </c>
      <c r="H1357" s="13">
        <v>44423</v>
      </c>
      <c r="I1357" s="22" t="str">
        <f>VLOOKUP(J1357, Dropdowns!N:O, 2, FALSE)</f>
        <v>Lower Price</v>
      </c>
      <c r="J1357" t="s">
        <v>759</v>
      </c>
      <c r="L1357" s="17" t="s">
        <v>733</v>
      </c>
      <c r="M1357" s="17" t="s">
        <v>11</v>
      </c>
      <c r="N1357" s="17" t="s">
        <v>740</v>
      </c>
    </row>
    <row r="1358" spans="1:14" x14ac:dyDescent="0.25">
      <c r="A1358" s="10">
        <v>995101</v>
      </c>
      <c r="B1358" s="22" t="str">
        <f>IFERROR(VLOOKUP(A1358,VLOOKUPS!$A$2:B$12589,2,FALSE),"")</f>
        <v>Avocado Ranch Salad Kit 11.3oz-standard</v>
      </c>
      <c r="E1358">
        <v>2.39</v>
      </c>
      <c r="F1358">
        <v>3.29</v>
      </c>
      <c r="G1358" s="13">
        <v>44424</v>
      </c>
      <c r="H1358" s="13"/>
      <c r="I1358" s="22" t="str">
        <f>VLOOKUP(J1358, Dropdowns!N:O, 2, FALSE)</f>
        <v>Standard</v>
      </c>
      <c r="J1358" t="s">
        <v>760</v>
      </c>
      <c r="L1358" s="17" t="s">
        <v>733</v>
      </c>
      <c r="M1358" s="17" t="s">
        <v>11</v>
      </c>
      <c r="N1358" s="17" t="s">
        <v>740</v>
      </c>
    </row>
    <row r="1359" spans="1:14" x14ac:dyDescent="0.25">
      <c r="A1359" s="10">
        <v>995134</v>
      </c>
      <c r="B1359" s="22" t="str">
        <f>IFERROR(VLOOKUP(A1359,VLOOKUPS!$A$2:B$12589,2,FALSE),"")</f>
        <v>Mirepoix 10oz-standard</v>
      </c>
      <c r="E1359">
        <v>2.62</v>
      </c>
      <c r="G1359" s="13">
        <v>44423</v>
      </c>
      <c r="H1359" s="13"/>
      <c r="I1359" s="22" t="str">
        <f>VLOOKUP(J1359, Dropdowns!N:O, 2, FALSE)</f>
        <v>NA</v>
      </c>
      <c r="J1359" t="s">
        <v>754</v>
      </c>
      <c r="L1359" s="17" t="s">
        <v>732</v>
      </c>
      <c r="M1359" s="17" t="s">
        <v>736</v>
      </c>
      <c r="N1359" s="17" t="s">
        <v>736</v>
      </c>
    </row>
    <row r="1360" spans="1:14" x14ac:dyDescent="0.25">
      <c r="A1360" s="10">
        <v>995141</v>
      </c>
      <c r="B1360" s="22" t="str">
        <f>IFERROR(VLOOKUP(A1360,VLOOKUPS!$A$2:B$12589,2,FALSE),"")</f>
        <v>Watermelon Chunks 32oz-standard</v>
      </c>
      <c r="E1360">
        <v>6.49</v>
      </c>
      <c r="G1360" s="13">
        <v>44422</v>
      </c>
      <c r="H1360" s="13"/>
      <c r="I1360" s="22" t="str">
        <f>VLOOKUP(J1360, Dropdowns!N:O, 2, FALSE)</f>
        <v>NA</v>
      </c>
      <c r="J1360" t="s">
        <v>754</v>
      </c>
      <c r="L1360" s="17" t="s">
        <v>733</v>
      </c>
      <c r="M1360" s="17" t="s">
        <v>11</v>
      </c>
      <c r="N1360" s="17" t="s">
        <v>740</v>
      </c>
    </row>
    <row r="1361" spans="1:14" x14ac:dyDescent="0.25">
      <c r="A1361" s="10">
        <v>995144</v>
      </c>
      <c r="B1361" s="22" t="str">
        <f>IFERROR(VLOOKUP(A1361,VLOOKUPS!$A$2:B$12589,2,FALSE),"")</f>
        <v>Asparagus Spears 10oz-standard</v>
      </c>
      <c r="E1361">
        <v>3.98</v>
      </c>
      <c r="F1361">
        <v>2.98</v>
      </c>
      <c r="G1361" s="13">
        <v>44422</v>
      </c>
      <c r="H1361" s="13">
        <v>44423</v>
      </c>
      <c r="I1361" s="22" t="str">
        <f>VLOOKUP(J1361, Dropdowns!N:O, 2, FALSE)</f>
        <v>Lower Price</v>
      </c>
      <c r="J1361" t="s">
        <v>759</v>
      </c>
      <c r="L1361" s="17" t="s">
        <v>732</v>
      </c>
      <c r="M1361" s="17" t="s">
        <v>736</v>
      </c>
      <c r="N1361" s="17" t="s">
        <v>736</v>
      </c>
    </row>
    <row r="1362" spans="1:14" x14ac:dyDescent="0.25">
      <c r="A1362" s="10">
        <v>995144</v>
      </c>
      <c r="B1362" s="22" t="str">
        <f>IFERROR(VLOOKUP(A1362,VLOOKUPS!$A$2:B$12589,2,FALSE),"")</f>
        <v>Asparagus Spears 10oz-standard</v>
      </c>
      <c r="E1362">
        <v>2.98</v>
      </c>
      <c r="F1362">
        <v>3.98</v>
      </c>
      <c r="G1362" s="13">
        <v>44424</v>
      </c>
      <c r="H1362" s="13"/>
      <c r="I1362" s="22" t="str">
        <f>VLOOKUP(J1362, Dropdowns!N:O, 2, FALSE)</f>
        <v>Standard</v>
      </c>
      <c r="J1362" t="s">
        <v>760</v>
      </c>
      <c r="L1362" s="17" t="s">
        <v>732</v>
      </c>
      <c r="M1362" s="17" t="s">
        <v>736</v>
      </c>
      <c r="N1362" s="17" t="s">
        <v>736</v>
      </c>
    </row>
    <row r="1363" spans="1:14" x14ac:dyDescent="0.25">
      <c r="A1363" s="10">
        <v>984702</v>
      </c>
      <c r="B1363" s="22" t="str">
        <f>IFERROR(VLOOKUP(A1363,VLOOKUPS!$A$2:B$12589,2,FALSE),"")</f>
        <v>Blackberries 12oz-standard</v>
      </c>
      <c r="E1363">
        <v>4.46</v>
      </c>
      <c r="G1363" s="13">
        <v>44422</v>
      </c>
      <c r="H1363" s="13"/>
      <c r="I1363" s="22" t="str">
        <f>VLOOKUP(J1363, Dropdowns!N:O, 2, FALSE)</f>
        <v>NA</v>
      </c>
      <c r="J1363" t="s">
        <v>754</v>
      </c>
      <c r="L1363" s="17" t="s">
        <v>732</v>
      </c>
      <c r="M1363" s="17" t="s">
        <v>736</v>
      </c>
      <c r="N1363" s="17" t="s">
        <v>736</v>
      </c>
    </row>
    <row r="1364" spans="1:14" x14ac:dyDescent="0.25">
      <c r="A1364" s="10">
        <v>984740</v>
      </c>
      <c r="B1364" s="22" t="str">
        <f>IFERROR(VLOOKUP(A1364,VLOOKUPS!$A$2:B$12589,2,FALSE),"")</f>
        <v>Organic Blackberries 6oz-standard</v>
      </c>
      <c r="G1364" s="13">
        <v>44422</v>
      </c>
      <c r="H1364" s="13"/>
      <c r="I1364" s="22" t="str">
        <f>VLOOKUP(J1364, Dropdowns!N:O, 2, FALSE)</f>
        <v>NA</v>
      </c>
      <c r="J1364" t="s">
        <v>754</v>
      </c>
      <c r="L1364" s="17" t="s">
        <v>732</v>
      </c>
      <c r="M1364" s="17" t="s">
        <v>736</v>
      </c>
      <c r="N1364" s="17" t="s">
        <v>736</v>
      </c>
    </row>
    <row r="1365" spans="1:14" x14ac:dyDescent="0.25">
      <c r="A1365" s="10">
        <v>983101</v>
      </c>
      <c r="B1365" s="22" t="str">
        <f>IFERROR(VLOOKUP(A1365,VLOOKUPS!$A$2:B$12589,2,FALSE),"")</f>
        <v>Melons Cantaloupes 1ct-LOOSE</v>
      </c>
      <c r="E1365">
        <v>0.99</v>
      </c>
      <c r="F1365">
        <v>1.98</v>
      </c>
      <c r="G1365" s="13">
        <v>44424</v>
      </c>
      <c r="H1365" s="13"/>
      <c r="I1365" s="22" t="str">
        <f>VLOOKUP(J1365, Dropdowns!N:O, 2, FALSE)</f>
        <v>Standard</v>
      </c>
      <c r="J1365" t="s">
        <v>760</v>
      </c>
      <c r="L1365" s="17" t="s">
        <v>732</v>
      </c>
      <c r="M1365" s="17" t="s">
        <v>736</v>
      </c>
      <c r="N1365" s="17" t="s">
        <v>741</v>
      </c>
    </row>
    <row r="1366" spans="1:14" x14ac:dyDescent="0.25">
      <c r="A1366" s="10">
        <v>983101</v>
      </c>
      <c r="B1366" s="22" t="str">
        <f>IFERROR(VLOOKUP(A1366,VLOOKUPS!$A$2:B$12589,2,FALSE),"")</f>
        <v>Melons Cantaloupes 1ct-LOOSE</v>
      </c>
      <c r="E1366">
        <v>1.49</v>
      </c>
      <c r="F1366">
        <v>2.4900000000000002</v>
      </c>
      <c r="G1366" s="13">
        <v>44424</v>
      </c>
      <c r="H1366" s="13"/>
      <c r="I1366" s="22" t="str">
        <f>VLOOKUP(J1366, Dropdowns!N:O, 2, FALSE)</f>
        <v>Standard</v>
      </c>
      <c r="J1366" t="s">
        <v>760</v>
      </c>
      <c r="L1366" s="17" t="s">
        <v>734</v>
      </c>
      <c r="M1366" s="17" t="s">
        <v>9</v>
      </c>
      <c r="N1366" s="17">
        <v>8</v>
      </c>
    </row>
    <row r="1367" spans="1:14" x14ac:dyDescent="0.25">
      <c r="A1367" s="10">
        <v>984460</v>
      </c>
      <c r="B1367" s="22" t="str">
        <f>IFERROR(VLOOKUP(A1367,VLOOKUPS!$A$2:B$12589,2,FALSE),"")</f>
        <v>Strawberries 1lb-standard</v>
      </c>
      <c r="E1367">
        <v>1.88</v>
      </c>
      <c r="F1367">
        <v>2.19</v>
      </c>
      <c r="G1367" s="13">
        <v>44425</v>
      </c>
      <c r="H1367" s="13"/>
      <c r="I1367" s="22" t="str">
        <f>VLOOKUP(J1367, Dropdowns!N:O, 2, FALSE)</f>
        <v>Standard</v>
      </c>
      <c r="J1367" t="s">
        <v>761</v>
      </c>
      <c r="L1367" s="17" t="s">
        <v>732</v>
      </c>
      <c r="M1367" s="17" t="s">
        <v>736</v>
      </c>
      <c r="N1367" s="17" t="s">
        <v>736</v>
      </c>
    </row>
    <row r="1368" spans="1:14" x14ac:dyDescent="0.25">
      <c r="A1368" s="10">
        <v>984541</v>
      </c>
      <c r="B1368" s="22" t="str">
        <f>IFERROR(VLOOKUP(A1368,VLOOKUPS!$A$2:B$12589,2,FALSE),"")</f>
        <v>Blueberries 1pt-standard</v>
      </c>
      <c r="E1368">
        <v>2.48</v>
      </c>
      <c r="F1368">
        <v>2.79</v>
      </c>
      <c r="G1368" s="13">
        <v>44425</v>
      </c>
      <c r="H1368" s="13"/>
      <c r="I1368" s="22" t="str">
        <f>VLOOKUP(J1368, Dropdowns!N:O, 2, FALSE)</f>
        <v>Standard</v>
      </c>
      <c r="J1368" t="s">
        <v>761</v>
      </c>
      <c r="L1368" s="17" t="s">
        <v>732</v>
      </c>
      <c r="M1368" s="17" t="s">
        <v>736</v>
      </c>
      <c r="N1368" s="17" t="s">
        <v>736</v>
      </c>
    </row>
    <row r="1369" spans="1:14" x14ac:dyDescent="0.25">
      <c r="A1369" s="10">
        <v>983101</v>
      </c>
      <c r="B1369" s="22" t="str">
        <f>IFERROR(VLOOKUP(A1369,VLOOKUPS!$A$2:B$12589,2,FALSE),"")</f>
        <v>Melons Cantaloupes 1ct-LOOSE</v>
      </c>
      <c r="E1369">
        <v>1.98</v>
      </c>
      <c r="F1369">
        <v>2.59</v>
      </c>
      <c r="G1369" s="13">
        <v>44425</v>
      </c>
      <c r="H1369" s="13"/>
      <c r="I1369" s="22" t="str">
        <f>VLOOKUP(J1369, Dropdowns!N:O, 2, FALSE)</f>
        <v>Standard</v>
      </c>
      <c r="J1369" t="s">
        <v>761</v>
      </c>
      <c r="L1369" s="17" t="s">
        <v>732</v>
      </c>
      <c r="M1369" s="17" t="s">
        <v>736</v>
      </c>
      <c r="N1369" s="17" t="s">
        <v>741</v>
      </c>
    </row>
    <row r="1370" spans="1:14" x14ac:dyDescent="0.25">
      <c r="A1370" s="10">
        <v>984542</v>
      </c>
      <c r="B1370" s="22" t="str">
        <f>IFERROR(VLOOKUP(A1370,VLOOKUPS!$A$2:B$12589,2,FALSE),"")</f>
        <v>Blueberries 18oz-standard</v>
      </c>
      <c r="E1370">
        <v>4.29</v>
      </c>
      <c r="F1370">
        <v>4.1900000000000004</v>
      </c>
      <c r="G1370" s="13">
        <v>44425</v>
      </c>
      <c r="H1370" s="13"/>
      <c r="I1370" s="22" t="str">
        <f>VLOOKUP(J1370, Dropdowns!N:O, 2, FALSE)</f>
        <v>Standard</v>
      </c>
      <c r="J1370" t="s">
        <v>761</v>
      </c>
      <c r="L1370" s="17" t="s">
        <v>732</v>
      </c>
      <c r="M1370" s="17" t="s">
        <v>736</v>
      </c>
      <c r="N1370" s="17" t="s">
        <v>736</v>
      </c>
    </row>
    <row r="1371" spans="1:14" x14ac:dyDescent="0.25">
      <c r="A1371" s="10">
        <v>995027</v>
      </c>
      <c r="B1371" s="22" t="str">
        <f>IFERROR(VLOOKUP(A1371,VLOOKUPS!$A$2:B$12589,2,FALSE),"")</f>
        <v>XL Baby Spinach 16oz-standard</v>
      </c>
      <c r="E1371">
        <v>4.49</v>
      </c>
      <c r="F1371">
        <v>3.49</v>
      </c>
      <c r="G1371" s="13">
        <v>44425</v>
      </c>
      <c r="H1371" s="13">
        <v>44426</v>
      </c>
      <c r="I1371" s="22" t="str">
        <f>VLOOKUP(J1371, Dropdowns!N:O, 2, FALSE)</f>
        <v>Lower Price</v>
      </c>
      <c r="J1371" t="s">
        <v>759</v>
      </c>
      <c r="L1371" s="17" t="s">
        <v>732</v>
      </c>
      <c r="M1371" s="17" t="s">
        <v>9</v>
      </c>
      <c r="N1371" s="17" t="s">
        <v>736</v>
      </c>
    </row>
    <row r="1372" spans="1:14" x14ac:dyDescent="0.25">
      <c r="A1372" s="10">
        <v>995027</v>
      </c>
      <c r="B1372" s="22" t="str">
        <f>IFERROR(VLOOKUP(A1372,VLOOKUPS!$A$2:B$12589,2,FALSE),"")</f>
        <v>XL Baby Spinach 16oz-standard</v>
      </c>
      <c r="E1372">
        <v>3.49</v>
      </c>
      <c r="F1372">
        <v>4.49</v>
      </c>
      <c r="G1372" s="13">
        <v>44427</v>
      </c>
      <c r="H1372" s="13"/>
      <c r="I1372" s="22" t="str">
        <f>VLOOKUP(J1372, Dropdowns!N:O, 2, FALSE)</f>
        <v>Standard</v>
      </c>
      <c r="J1372" t="s">
        <v>760</v>
      </c>
      <c r="L1372" s="17" t="s">
        <v>732</v>
      </c>
      <c r="M1372" s="17" t="s">
        <v>9</v>
      </c>
      <c r="N1372" s="17" t="s">
        <v>736</v>
      </c>
    </row>
    <row r="1373" spans="1:14" x14ac:dyDescent="0.25">
      <c r="A1373" s="10">
        <v>995032</v>
      </c>
      <c r="B1373" s="22" t="str">
        <f>IFERROR(VLOOKUP(A1373,VLOOKUPS!$A$2:B$12589,2,FALSE),"")</f>
        <v>Chopped Sunflower Crunch Kit 12.2oz-standard</v>
      </c>
      <c r="E1373">
        <v>3.29</v>
      </c>
      <c r="F1373">
        <v>2.29</v>
      </c>
      <c r="G1373" s="13">
        <v>44425</v>
      </c>
      <c r="H1373" s="13">
        <v>44426</v>
      </c>
      <c r="I1373" s="22" t="str">
        <f>VLOOKUP(J1373, Dropdowns!N:O, 2, FALSE)</f>
        <v>Lower Price</v>
      </c>
      <c r="J1373" t="s">
        <v>759</v>
      </c>
      <c r="L1373" s="17" t="s">
        <v>732</v>
      </c>
      <c r="M1373" s="17" t="s">
        <v>736</v>
      </c>
      <c r="N1373" s="17" t="s">
        <v>736</v>
      </c>
    </row>
    <row r="1374" spans="1:14" x14ac:dyDescent="0.25">
      <c r="A1374" s="10">
        <v>995032</v>
      </c>
      <c r="B1374" s="22" t="str">
        <f>IFERROR(VLOOKUP(A1374,VLOOKUPS!$A$2:B$12589,2,FALSE),"")</f>
        <v>Chopped Sunflower Crunch Kit 12.2oz-standard</v>
      </c>
      <c r="E1374">
        <v>2.29</v>
      </c>
      <c r="F1374">
        <v>3.29</v>
      </c>
      <c r="G1374" s="13">
        <v>44427</v>
      </c>
      <c r="H1374" s="13"/>
      <c r="I1374" s="22" t="str">
        <f>VLOOKUP(J1374, Dropdowns!N:O, 2, FALSE)</f>
        <v>Standard</v>
      </c>
      <c r="J1374" t="s">
        <v>760</v>
      </c>
      <c r="L1374" s="17" t="s">
        <v>732</v>
      </c>
      <c r="M1374" s="17" t="s">
        <v>736</v>
      </c>
      <c r="N1374" s="17" t="s">
        <v>736</v>
      </c>
    </row>
    <row r="1375" spans="1:14" x14ac:dyDescent="0.25">
      <c r="A1375" s="10">
        <v>995101</v>
      </c>
      <c r="B1375" s="22" t="str">
        <f>IFERROR(VLOOKUP(A1375,VLOOKUPS!$A$2:B$12589,2,FALSE),"")</f>
        <v>Avocado Ranch Salad Kit 11.3oz-standard</v>
      </c>
      <c r="E1375">
        <v>3.29</v>
      </c>
      <c r="F1375">
        <v>1.99</v>
      </c>
      <c r="G1375" s="13">
        <v>44425</v>
      </c>
      <c r="H1375" s="13">
        <v>44426</v>
      </c>
      <c r="I1375" s="22" t="str">
        <f>VLOOKUP(J1375, Dropdowns!N:O, 2, FALSE)</f>
        <v>Lower Price</v>
      </c>
      <c r="J1375" t="s">
        <v>759</v>
      </c>
      <c r="L1375" s="17" t="s">
        <v>733</v>
      </c>
      <c r="M1375" s="17" t="s">
        <v>11</v>
      </c>
      <c r="N1375" s="17" t="s">
        <v>740</v>
      </c>
    </row>
    <row r="1376" spans="1:14" x14ac:dyDescent="0.25">
      <c r="A1376" s="10">
        <v>995101</v>
      </c>
      <c r="B1376" s="22" t="str">
        <f>IFERROR(VLOOKUP(A1376,VLOOKUPS!$A$2:B$12589,2,FALSE),"")</f>
        <v>Avocado Ranch Salad Kit 11.3oz-standard</v>
      </c>
      <c r="E1376">
        <v>1.99</v>
      </c>
      <c r="F1376">
        <v>2.39</v>
      </c>
      <c r="G1376" s="13">
        <v>44427</v>
      </c>
      <c r="H1376" s="13"/>
      <c r="I1376" s="22" t="str">
        <f>VLOOKUP(J1376, Dropdowns!N:O, 2, FALSE)</f>
        <v>Standard</v>
      </c>
      <c r="J1376" t="s">
        <v>760</v>
      </c>
      <c r="L1376" s="17" t="s">
        <v>733</v>
      </c>
      <c r="M1376" s="17" t="s">
        <v>11</v>
      </c>
      <c r="N1376" s="17" t="s">
        <v>740</v>
      </c>
    </row>
    <row r="1377" spans="1:14" x14ac:dyDescent="0.25">
      <c r="A1377" s="10">
        <v>995144</v>
      </c>
      <c r="B1377" s="22" t="str">
        <f>IFERROR(VLOOKUP(A1377,VLOOKUPS!$A$2:B$12589,2,FALSE),"")</f>
        <v>Asparagus Spears 10oz-standard</v>
      </c>
      <c r="E1377">
        <v>3.98</v>
      </c>
      <c r="F1377">
        <v>1.98</v>
      </c>
      <c r="G1377" s="13">
        <v>44425</v>
      </c>
      <c r="H1377" s="13">
        <v>44426</v>
      </c>
      <c r="I1377" s="22" t="str">
        <f>VLOOKUP(J1377, Dropdowns!N:O, 2, FALSE)</f>
        <v>Lower Price</v>
      </c>
      <c r="J1377" t="s">
        <v>759</v>
      </c>
      <c r="L1377" s="17" t="s">
        <v>732</v>
      </c>
      <c r="M1377" s="17" t="s">
        <v>738</v>
      </c>
      <c r="N1377" s="17">
        <v>2</v>
      </c>
    </row>
    <row r="1378" spans="1:14" x14ac:dyDescent="0.25">
      <c r="A1378" s="10">
        <v>995144</v>
      </c>
      <c r="B1378" s="22" t="str">
        <f>IFERROR(VLOOKUP(A1378,VLOOKUPS!$A$2:B$12589,2,FALSE),"")</f>
        <v>Asparagus Spears 10oz-standard</v>
      </c>
      <c r="E1378">
        <v>1.98</v>
      </c>
      <c r="F1378">
        <v>3.98</v>
      </c>
      <c r="G1378" s="13">
        <v>44427</v>
      </c>
      <c r="H1378" s="13"/>
      <c r="I1378" s="22" t="str">
        <f>VLOOKUP(J1378, Dropdowns!N:O, 2, FALSE)</f>
        <v>Standard</v>
      </c>
      <c r="J1378" t="s">
        <v>760</v>
      </c>
      <c r="L1378" s="17" t="s">
        <v>732</v>
      </c>
      <c r="M1378" s="17" t="s">
        <v>738</v>
      </c>
      <c r="N1378" s="17">
        <v>2</v>
      </c>
    </row>
    <row r="1379" spans="1:14" x14ac:dyDescent="0.25">
      <c r="A1379" s="10">
        <v>995147</v>
      </c>
      <c r="B1379" s="22" t="str">
        <f>IFERROR(VLOOKUP(A1379,VLOOKUPS!$A$2:B$12589,2,FALSE),"")</f>
        <v>Celery Sticks 1.25lb-standard</v>
      </c>
      <c r="E1379">
        <v>2.74</v>
      </c>
      <c r="F1379">
        <v>1.74</v>
      </c>
      <c r="G1379" s="13">
        <v>44425</v>
      </c>
      <c r="H1379" s="13">
        <v>44426</v>
      </c>
      <c r="I1379" s="22" t="str">
        <f>VLOOKUP(J1379, Dropdowns!N:O, 2, FALSE)</f>
        <v>Lower Price</v>
      </c>
      <c r="J1379" t="s">
        <v>759</v>
      </c>
      <c r="L1379" s="17" t="s">
        <v>733</v>
      </c>
      <c r="M1379" s="17" t="s">
        <v>11</v>
      </c>
      <c r="N1379" s="17" t="s">
        <v>740</v>
      </c>
    </row>
    <row r="1380" spans="1:14" x14ac:dyDescent="0.25">
      <c r="A1380" s="10">
        <v>995147</v>
      </c>
      <c r="B1380" s="22" t="str">
        <f>IFERROR(VLOOKUP(A1380,VLOOKUPS!$A$2:B$12589,2,FALSE),"")</f>
        <v>Celery Sticks 1.25lb-standard</v>
      </c>
      <c r="E1380">
        <v>1.74</v>
      </c>
      <c r="F1380">
        <v>2.74</v>
      </c>
      <c r="G1380" s="13">
        <v>44427</v>
      </c>
      <c r="H1380" s="13"/>
      <c r="I1380" s="22" t="str">
        <f>VLOOKUP(J1380, Dropdowns!N:O, 2, FALSE)</f>
        <v>Standard</v>
      </c>
      <c r="J1380" t="s">
        <v>760</v>
      </c>
      <c r="L1380" s="17" t="s">
        <v>733</v>
      </c>
      <c r="M1380" s="17" t="s">
        <v>11</v>
      </c>
      <c r="N1380" s="17" t="s">
        <v>740</v>
      </c>
    </row>
    <row r="1381" spans="1:14" x14ac:dyDescent="0.25">
      <c r="A1381" s="10">
        <v>983251</v>
      </c>
      <c r="B1381" s="22" t="str">
        <f>IFERROR(VLOOKUP(A1381,VLOOKUPS!$A$2:B$12589,2,FALSE),"")</f>
        <v>Watermelons Large Seedless 1ct-LOOSE</v>
      </c>
      <c r="E1381">
        <v>4.8899999999999997</v>
      </c>
      <c r="F1381">
        <v>3.49</v>
      </c>
      <c r="G1381" s="13">
        <v>44426</v>
      </c>
      <c r="H1381" s="13">
        <v>44427</v>
      </c>
      <c r="I1381" s="22" t="str">
        <f>VLOOKUP(J1381, Dropdowns!N:O, 2, FALSE)</f>
        <v>Lower Price</v>
      </c>
      <c r="J1381" t="s">
        <v>759</v>
      </c>
      <c r="L1381" s="17" t="s">
        <v>732</v>
      </c>
      <c r="M1381" s="17" t="s">
        <v>738</v>
      </c>
      <c r="N1381" s="17">
        <v>2</v>
      </c>
    </row>
    <row r="1382" spans="1:14" x14ac:dyDescent="0.25">
      <c r="A1382" s="10">
        <v>983251</v>
      </c>
      <c r="B1382" s="22" t="str">
        <f>IFERROR(VLOOKUP(A1382,VLOOKUPS!$A$2:B$12589,2,FALSE),"")</f>
        <v>Watermelons Large Seedless 1ct-LOOSE</v>
      </c>
      <c r="E1382">
        <v>3.49</v>
      </c>
      <c r="F1382">
        <v>4.8899999999999997</v>
      </c>
      <c r="G1382" s="13">
        <v>44428</v>
      </c>
      <c r="H1382" s="13"/>
      <c r="I1382" s="22" t="str">
        <f>VLOOKUP(J1382, Dropdowns!N:O, 2, FALSE)</f>
        <v>Standard</v>
      </c>
      <c r="J1382" t="s">
        <v>760</v>
      </c>
      <c r="L1382" s="17" t="s">
        <v>732</v>
      </c>
      <c r="M1382" s="17" t="s">
        <v>738</v>
      </c>
      <c r="N1382" s="17">
        <v>2</v>
      </c>
    </row>
    <row r="1383" spans="1:14" x14ac:dyDescent="0.25">
      <c r="A1383" s="10">
        <v>984542</v>
      </c>
      <c r="B1383" s="22" t="str">
        <f>IFERROR(VLOOKUP(A1383,VLOOKUPS!$A$2:B$12589,2,FALSE),"")</f>
        <v>Blueberries 18oz-standard</v>
      </c>
      <c r="E1383" s="23"/>
      <c r="F1383" s="23"/>
      <c r="G1383" s="13">
        <v>44426</v>
      </c>
      <c r="H1383" s="13">
        <v>44432</v>
      </c>
      <c r="I1383" s="22" t="str">
        <f>VLOOKUP(J1383, Dropdowns!N:O, 2, FALSE)</f>
        <v>Lower Price</v>
      </c>
      <c r="J1383" t="s">
        <v>753</v>
      </c>
      <c r="L1383" s="17" t="s">
        <v>732</v>
      </c>
      <c r="M1383" s="17" t="s">
        <v>736</v>
      </c>
      <c r="N1383" s="17" t="s">
        <v>736</v>
      </c>
    </row>
    <row r="1384" spans="1:14" x14ac:dyDescent="0.25">
      <c r="A1384" s="10">
        <v>995008</v>
      </c>
      <c r="B1384" s="22" t="str">
        <f>IFERROR(VLOOKUP(A1384,VLOOKUPS!$A$2:B$12589,2,FALSE),"")</f>
        <v>Shredded Lettuce 8oz-standard</v>
      </c>
      <c r="E1384">
        <v>1.69</v>
      </c>
      <c r="F1384">
        <v>0.99</v>
      </c>
      <c r="G1384" s="13">
        <v>44426</v>
      </c>
      <c r="H1384" s="13">
        <v>44427</v>
      </c>
      <c r="I1384" s="22" t="str">
        <f>VLOOKUP(J1384, Dropdowns!N:O, 2, FALSE)</f>
        <v>Lower Price</v>
      </c>
      <c r="J1384" t="s">
        <v>759</v>
      </c>
      <c r="L1384" s="17" t="s">
        <v>732</v>
      </c>
      <c r="M1384" s="17" t="s">
        <v>736</v>
      </c>
      <c r="N1384" s="17" t="s">
        <v>741</v>
      </c>
    </row>
    <row r="1385" spans="1:14" x14ac:dyDescent="0.25">
      <c r="A1385" s="10">
        <v>995008</v>
      </c>
      <c r="B1385" s="22" t="str">
        <f>IFERROR(VLOOKUP(A1385,VLOOKUPS!$A$2:B$12589,2,FALSE),"")</f>
        <v>Shredded Lettuce 8oz-standard</v>
      </c>
      <c r="E1385">
        <v>1.49</v>
      </c>
      <c r="F1385">
        <v>0.89</v>
      </c>
      <c r="G1385" s="13">
        <v>44426</v>
      </c>
      <c r="H1385" s="13">
        <v>44427</v>
      </c>
      <c r="I1385" s="22" t="str">
        <f>VLOOKUP(J1385, Dropdowns!N:O, 2, FALSE)</f>
        <v>Lower Price</v>
      </c>
      <c r="J1385" t="s">
        <v>759</v>
      </c>
      <c r="L1385" s="17" t="s">
        <v>734</v>
      </c>
      <c r="M1385" s="17" t="s">
        <v>9</v>
      </c>
      <c r="N1385" s="17">
        <v>8</v>
      </c>
    </row>
    <row r="1386" spans="1:14" x14ac:dyDescent="0.25">
      <c r="A1386" s="10">
        <v>995008</v>
      </c>
      <c r="B1386" s="22" t="str">
        <f>IFERROR(VLOOKUP(A1386,VLOOKUPS!$A$2:B$12589,2,FALSE),"")</f>
        <v>Shredded Lettuce 8oz-standard</v>
      </c>
      <c r="E1386">
        <v>0.99</v>
      </c>
      <c r="F1386">
        <v>1.69</v>
      </c>
      <c r="G1386" s="13">
        <v>44428</v>
      </c>
      <c r="H1386" s="13"/>
      <c r="I1386" s="22" t="str">
        <f>VLOOKUP(J1386, Dropdowns!N:O, 2, FALSE)</f>
        <v>Standard</v>
      </c>
      <c r="J1386" t="s">
        <v>760</v>
      </c>
      <c r="L1386" s="17" t="s">
        <v>732</v>
      </c>
      <c r="M1386" s="17" t="s">
        <v>736</v>
      </c>
      <c r="N1386" s="17" t="s">
        <v>741</v>
      </c>
    </row>
    <row r="1387" spans="1:14" x14ac:dyDescent="0.25">
      <c r="A1387" s="10">
        <v>995008</v>
      </c>
      <c r="B1387" s="22" t="str">
        <f>IFERROR(VLOOKUP(A1387,VLOOKUPS!$A$2:B$12589,2,FALSE),"")</f>
        <v>Shredded Lettuce 8oz-standard</v>
      </c>
      <c r="E1387">
        <v>0.89</v>
      </c>
      <c r="F1387">
        <v>1.49</v>
      </c>
      <c r="G1387" s="13">
        <v>44428</v>
      </c>
      <c r="H1387" s="13"/>
      <c r="I1387" s="22" t="str">
        <f>VLOOKUP(J1387, Dropdowns!N:O, 2, FALSE)</f>
        <v>Standard</v>
      </c>
      <c r="J1387" t="s">
        <v>760</v>
      </c>
      <c r="L1387" s="17" t="s">
        <v>734</v>
      </c>
      <c r="M1387" s="17" t="s">
        <v>9</v>
      </c>
      <c r="N1387" s="17">
        <v>8</v>
      </c>
    </row>
    <row r="1388" spans="1:14" x14ac:dyDescent="0.25">
      <c r="A1388" s="10">
        <v>995115</v>
      </c>
      <c r="B1388" s="22" t="str">
        <f>IFERROR(VLOOKUP(A1388,VLOOKUPS!$A$2:B$12589,2,FALSE),"")</f>
        <v>Pineapple Chunks 10oz-standard</v>
      </c>
      <c r="E1388">
        <v>2.39</v>
      </c>
      <c r="F1388">
        <v>1.49</v>
      </c>
      <c r="G1388" s="13">
        <v>44426</v>
      </c>
      <c r="H1388" s="13">
        <v>44427</v>
      </c>
      <c r="I1388" s="22" t="str">
        <f>VLOOKUP(J1388, Dropdowns!N:O, 2, FALSE)</f>
        <v>Lower Price</v>
      </c>
      <c r="J1388" t="s">
        <v>759</v>
      </c>
      <c r="L1388" s="17" t="s">
        <v>732</v>
      </c>
      <c r="M1388" s="17" t="s">
        <v>9</v>
      </c>
      <c r="N1388" s="17" t="s">
        <v>736</v>
      </c>
    </row>
    <row r="1389" spans="1:14" x14ac:dyDescent="0.25">
      <c r="A1389" s="10">
        <v>995115</v>
      </c>
      <c r="B1389" s="22" t="str">
        <f>IFERROR(VLOOKUP(A1389,VLOOKUPS!$A$2:B$12589,2,FALSE),"")</f>
        <v>Pineapple Chunks 10oz-standard</v>
      </c>
      <c r="E1389">
        <v>1.49</v>
      </c>
      <c r="F1389">
        <v>2.39</v>
      </c>
      <c r="G1389" s="13">
        <v>44428</v>
      </c>
      <c r="H1389" s="13"/>
      <c r="I1389" s="22" t="str">
        <f>VLOOKUP(J1389, Dropdowns!N:O, 2, FALSE)</f>
        <v>Standard</v>
      </c>
      <c r="J1389" t="s">
        <v>760</v>
      </c>
      <c r="L1389" s="17" t="s">
        <v>732</v>
      </c>
      <c r="M1389" s="17" t="s">
        <v>9</v>
      </c>
      <c r="N1389" s="17" t="s">
        <v>736</v>
      </c>
    </row>
    <row r="1390" spans="1:14" x14ac:dyDescent="0.25">
      <c r="A1390" s="10">
        <v>995144</v>
      </c>
      <c r="B1390" s="22" t="str">
        <f>IFERROR(VLOOKUP(A1390,VLOOKUPS!$A$2:B$12589,2,FALSE),"")</f>
        <v>Asparagus Spears 10oz-standard</v>
      </c>
      <c r="E1390">
        <v>3.98</v>
      </c>
      <c r="F1390">
        <v>2.48</v>
      </c>
      <c r="G1390" s="13">
        <v>44426</v>
      </c>
      <c r="H1390" s="13">
        <v>44427</v>
      </c>
      <c r="I1390" s="22" t="str">
        <f>VLOOKUP(J1390, Dropdowns!N:O, 2, FALSE)</f>
        <v>Lower Price</v>
      </c>
      <c r="J1390" t="s">
        <v>759</v>
      </c>
      <c r="L1390" s="17" t="s">
        <v>732</v>
      </c>
      <c r="M1390" s="17" t="s">
        <v>9</v>
      </c>
      <c r="N1390" s="17" t="s">
        <v>736</v>
      </c>
    </row>
    <row r="1391" spans="1:14" x14ac:dyDescent="0.25">
      <c r="A1391" s="10">
        <v>995144</v>
      </c>
      <c r="B1391" s="22" t="str">
        <f>IFERROR(VLOOKUP(A1391,VLOOKUPS!$A$2:B$12589,2,FALSE),"")</f>
        <v>Asparagus Spears 10oz-standard</v>
      </c>
      <c r="E1391">
        <v>2.48</v>
      </c>
      <c r="F1391">
        <v>3.98</v>
      </c>
      <c r="G1391" s="13">
        <v>44428</v>
      </c>
      <c r="H1391" s="13"/>
      <c r="I1391" s="22" t="str">
        <f>VLOOKUP(J1391, Dropdowns!N:O, 2, FALSE)</f>
        <v>Standard</v>
      </c>
      <c r="J1391" t="s">
        <v>760</v>
      </c>
      <c r="L1391" s="17" t="s">
        <v>732</v>
      </c>
      <c r="M1391" s="17" t="s">
        <v>9</v>
      </c>
      <c r="N1391" s="17" t="s">
        <v>736</v>
      </c>
    </row>
    <row r="1392" spans="1:14" x14ac:dyDescent="0.25">
      <c r="A1392" s="10">
        <v>985760</v>
      </c>
      <c r="B1392" s="22" t="str">
        <f>IFERROR(VLOOKUP(A1392,VLOOKUPS!$A$2:B$12589,2,FALSE),"")</f>
        <v>Asparagus 1lb-standard</v>
      </c>
      <c r="E1392">
        <v>1.89</v>
      </c>
      <c r="F1392">
        <v>2.99</v>
      </c>
      <c r="G1392" s="13">
        <v>44426</v>
      </c>
      <c r="H1392" s="13"/>
      <c r="I1392" s="22" t="str">
        <f>VLOOKUP(J1392, Dropdowns!N:O, 2, FALSE)</f>
        <v>Standard</v>
      </c>
      <c r="J1392" t="s">
        <v>760</v>
      </c>
      <c r="L1392" s="17" t="s">
        <v>732</v>
      </c>
      <c r="M1392" s="17" t="s">
        <v>738</v>
      </c>
      <c r="N1392" s="17">
        <v>2</v>
      </c>
    </row>
    <row r="1393" spans="1:17" x14ac:dyDescent="0.25">
      <c r="A1393" s="10">
        <v>985760</v>
      </c>
      <c r="B1393" s="22" t="str">
        <f>IFERROR(VLOOKUP(A1393,VLOOKUPS!$A$2:B$12589,2,FALSE),"")</f>
        <v>Asparagus 1lb-standard</v>
      </c>
      <c r="G1393" s="13">
        <v>44426</v>
      </c>
      <c r="H1393" s="13">
        <v>44426</v>
      </c>
      <c r="I1393" s="22" t="str">
        <f>VLOOKUP(J1393, Dropdowns!N:O, 2, FALSE)</f>
        <v>Lower Price</v>
      </c>
      <c r="J1393" t="s">
        <v>762</v>
      </c>
      <c r="L1393" s="17" t="s">
        <v>732</v>
      </c>
      <c r="M1393" s="17" t="s">
        <v>9</v>
      </c>
      <c r="N1393" s="17" t="s">
        <v>736</v>
      </c>
    </row>
    <row r="1394" spans="1:17" x14ac:dyDescent="0.25">
      <c r="A1394" s="10">
        <v>985760</v>
      </c>
      <c r="B1394" s="22" t="str">
        <f>IFERROR(VLOOKUP(A1394,VLOOKUPS!$A$2:B$12589,2,FALSE),"")</f>
        <v>Asparagus 1lb-standard</v>
      </c>
      <c r="E1394">
        <v>1.89</v>
      </c>
      <c r="F1394">
        <v>2.99</v>
      </c>
      <c r="G1394" s="13">
        <v>44427</v>
      </c>
      <c r="H1394" s="13"/>
      <c r="I1394" s="22" t="str">
        <f>VLOOKUP(J1394, Dropdowns!N:O, 2, FALSE)</f>
        <v>Standard</v>
      </c>
      <c r="J1394" t="s">
        <v>760</v>
      </c>
      <c r="L1394" s="17" t="s">
        <v>732</v>
      </c>
      <c r="M1394" s="17" t="s">
        <v>9</v>
      </c>
      <c r="N1394" s="17" t="s">
        <v>736</v>
      </c>
    </row>
    <row r="1395" spans="1:17" x14ac:dyDescent="0.25">
      <c r="A1395" s="10">
        <v>980010</v>
      </c>
      <c r="B1395" s="22" t="str">
        <f>IFERROR(VLOOKUP(A1395,VLOOKUPS!$A$2:B$12589,2,FALSE),"")</f>
        <v>Bananas Fun Size 7ct-standard</v>
      </c>
      <c r="E1395">
        <v>0.89</v>
      </c>
      <c r="G1395" s="13">
        <v>44427</v>
      </c>
      <c r="H1395" s="13"/>
      <c r="I1395" s="22" t="str">
        <f>VLOOKUP(J1395, Dropdowns!N:O, 2, FALSE)</f>
        <v>NA</v>
      </c>
      <c r="J1395" t="s">
        <v>754</v>
      </c>
      <c r="L1395" s="17" t="s">
        <v>732</v>
      </c>
      <c r="M1395" s="17" t="s">
        <v>736</v>
      </c>
      <c r="N1395" s="17" t="s">
        <v>736</v>
      </c>
    </row>
    <row r="1396" spans="1:17" x14ac:dyDescent="0.25">
      <c r="A1396" s="10">
        <v>983251</v>
      </c>
      <c r="B1396" s="22" t="str">
        <f>IFERROR(VLOOKUP(A1396,VLOOKUPS!$A$2:B$12589,2,FALSE),"")</f>
        <v>Watermelons Large Seedless 1ct-LOOSE</v>
      </c>
      <c r="E1396">
        <v>4.8899999999999997</v>
      </c>
      <c r="F1396">
        <v>4.4800000000000004</v>
      </c>
      <c r="G1396" s="13">
        <v>44427</v>
      </c>
      <c r="H1396" s="13"/>
      <c r="I1396" s="22" t="str">
        <f>VLOOKUP(J1396, Dropdowns!N:O, 2, FALSE)</f>
        <v>Standard</v>
      </c>
      <c r="J1396" t="s">
        <v>761</v>
      </c>
      <c r="L1396" s="17" t="s">
        <v>732</v>
      </c>
      <c r="M1396" s="17" t="s">
        <v>9</v>
      </c>
      <c r="N1396" s="17" t="s">
        <v>736</v>
      </c>
    </row>
    <row r="1397" spans="1:17" x14ac:dyDescent="0.25">
      <c r="A1397" s="10">
        <v>995001</v>
      </c>
      <c r="B1397" s="22" t="str">
        <f>IFERROR(VLOOKUP(A1397,VLOOKUPS!$A$2:B$12589,2,FALSE),"")</f>
        <v>Spinach Baby 6oz-standard</v>
      </c>
      <c r="E1397">
        <v>2.2599999999999998</v>
      </c>
      <c r="F1397">
        <v>1.46</v>
      </c>
      <c r="G1397" s="13">
        <v>44428</v>
      </c>
      <c r="H1397" s="13">
        <v>44429</v>
      </c>
      <c r="I1397" s="22" t="str">
        <f>VLOOKUP(J1397, Dropdowns!N:O, 2, FALSE)</f>
        <v>Lower Price</v>
      </c>
      <c r="J1397" t="s">
        <v>759</v>
      </c>
      <c r="L1397" s="17" t="s">
        <v>733</v>
      </c>
      <c r="M1397" s="17" t="s">
        <v>11</v>
      </c>
      <c r="N1397" s="17" t="s">
        <v>740</v>
      </c>
    </row>
    <row r="1398" spans="1:17" x14ac:dyDescent="0.25">
      <c r="A1398" s="10">
        <v>995001</v>
      </c>
      <c r="B1398" s="22" t="str">
        <f>IFERROR(VLOOKUP(A1398,VLOOKUPS!$A$2:B$12589,2,FALSE),"")</f>
        <v>Spinach Baby 6oz-standard</v>
      </c>
      <c r="E1398">
        <v>1.46</v>
      </c>
      <c r="F1398">
        <v>2.2599999999999998</v>
      </c>
      <c r="G1398" s="13">
        <v>44430</v>
      </c>
      <c r="H1398" s="13"/>
      <c r="I1398" s="22" t="str">
        <f>VLOOKUP(J1398, Dropdowns!N:O, 2, FALSE)</f>
        <v>Standard</v>
      </c>
      <c r="J1398" t="s">
        <v>760</v>
      </c>
      <c r="L1398" s="17" t="s">
        <v>733</v>
      </c>
      <c r="M1398" s="17" t="s">
        <v>11</v>
      </c>
      <c r="N1398" s="17" t="s">
        <v>740</v>
      </c>
    </row>
    <row r="1399" spans="1:17" x14ac:dyDescent="0.25">
      <c r="A1399" s="10">
        <v>995019</v>
      </c>
      <c r="B1399" s="22" t="str">
        <f>IFERROR(VLOOKUP(A1399,VLOOKUPS!$A$2:B$12589,2,FALSE),"")</f>
        <v>RTE Large Santa Fe Salad 14oz-standard</v>
      </c>
      <c r="E1399">
        <v>4.99</v>
      </c>
      <c r="G1399" s="13">
        <v>44428</v>
      </c>
      <c r="H1399" s="13"/>
      <c r="I1399" s="22" t="str">
        <f>VLOOKUP(J1399, Dropdowns!N:O, 2, FALSE)</f>
        <v>NA</v>
      </c>
      <c r="J1399" t="s">
        <v>754</v>
      </c>
      <c r="L1399" s="17" t="s">
        <v>732</v>
      </c>
      <c r="M1399" s="17" t="s">
        <v>736</v>
      </c>
      <c r="N1399" s="17" t="s">
        <v>736</v>
      </c>
    </row>
    <row r="1400" spans="1:17" x14ac:dyDescent="0.25">
      <c r="A1400" s="10">
        <v>995103</v>
      </c>
      <c r="B1400" s="22" t="str">
        <f>IFERROR(VLOOKUP(A1400,VLOOKUPS!$A$2:B$12589,2,FALSE),"")</f>
        <v>Teriyaki Stir Fry Kit 12.5oz-standard</v>
      </c>
      <c r="E1400">
        <v>2.98</v>
      </c>
      <c r="F1400">
        <v>1.98</v>
      </c>
      <c r="G1400" s="13">
        <v>44428</v>
      </c>
      <c r="H1400" s="13">
        <v>44429</v>
      </c>
      <c r="I1400" s="22" t="str">
        <f>VLOOKUP(J1400, Dropdowns!N:O, 2, FALSE)</f>
        <v>Lower Price</v>
      </c>
      <c r="J1400" t="s">
        <v>759</v>
      </c>
      <c r="L1400" s="17" t="s">
        <v>733</v>
      </c>
      <c r="M1400" s="17" t="s">
        <v>11</v>
      </c>
      <c r="N1400" s="17" t="s">
        <v>740</v>
      </c>
    </row>
    <row r="1401" spans="1:17" x14ac:dyDescent="0.25">
      <c r="A1401" s="10">
        <v>995103</v>
      </c>
      <c r="B1401" s="22" t="str">
        <f>IFERROR(VLOOKUP(A1401,VLOOKUPS!$A$2:B$12589,2,FALSE),"")</f>
        <v>Teriyaki Stir Fry Kit 12.5oz-standard</v>
      </c>
      <c r="E1401">
        <v>1.98</v>
      </c>
      <c r="F1401">
        <v>2.98</v>
      </c>
      <c r="G1401" s="13">
        <v>44430</v>
      </c>
      <c r="H1401" s="13"/>
      <c r="I1401" s="22" t="str">
        <f>VLOOKUP(J1401, Dropdowns!N:O, 2, FALSE)</f>
        <v>Standard</v>
      </c>
      <c r="J1401" t="s">
        <v>760</v>
      </c>
      <c r="L1401" s="17" t="s">
        <v>733</v>
      </c>
      <c r="M1401" s="17" t="s">
        <v>11</v>
      </c>
      <c r="N1401" s="17" t="s">
        <v>740</v>
      </c>
    </row>
    <row r="1402" spans="1:17" x14ac:dyDescent="0.25">
      <c r="A1402" s="10">
        <v>995109</v>
      </c>
      <c r="B1402" s="22" t="str">
        <f>IFERROR(VLOOKUP(A1402,VLOOKUPS!$A$2:B$12589,2,FALSE),"")</f>
        <v>Mediterranean Chopped Salad 11oz-standard</v>
      </c>
      <c r="D1402">
        <v>6</v>
      </c>
      <c r="F1402">
        <v>3.29</v>
      </c>
      <c r="G1402" s="13">
        <v>44428</v>
      </c>
      <c r="H1402" s="13"/>
      <c r="I1402" s="22" t="str">
        <f>VLOOKUP(J1402, Dropdowns!N:O, 2, FALSE)</f>
        <v>New</v>
      </c>
      <c r="J1402" t="s">
        <v>776</v>
      </c>
      <c r="L1402" s="17" t="s">
        <v>732</v>
      </c>
      <c r="M1402" s="17" t="s">
        <v>736</v>
      </c>
      <c r="N1402" s="17" t="s">
        <v>736</v>
      </c>
      <c r="O1402" s="17" t="s">
        <v>748</v>
      </c>
      <c r="P1402">
        <v>1</v>
      </c>
      <c r="Q1402" s="17" t="s">
        <v>1044</v>
      </c>
    </row>
    <row r="1403" spans="1:17" x14ac:dyDescent="0.25">
      <c r="A1403" s="10">
        <v>995144</v>
      </c>
      <c r="B1403" s="22" t="str">
        <f>IFERROR(VLOOKUP(A1403,VLOOKUPS!$A$2:B$12589,2,FALSE),"")</f>
        <v>Asparagus Spears 10oz-standard</v>
      </c>
      <c r="E1403">
        <v>3.98</v>
      </c>
      <c r="F1403">
        <v>1.98</v>
      </c>
      <c r="G1403" s="13">
        <v>44428</v>
      </c>
      <c r="H1403" s="13">
        <v>44429</v>
      </c>
      <c r="I1403" s="22" t="str">
        <f>VLOOKUP(J1403, Dropdowns!N:O, 2, FALSE)</f>
        <v>Lower Price</v>
      </c>
      <c r="J1403" t="s">
        <v>759</v>
      </c>
      <c r="L1403" s="17" t="s">
        <v>732</v>
      </c>
      <c r="M1403" s="17" t="s">
        <v>10</v>
      </c>
      <c r="N1403" s="17">
        <v>2</v>
      </c>
    </row>
    <row r="1404" spans="1:17" x14ac:dyDescent="0.25">
      <c r="A1404" s="10">
        <v>995144</v>
      </c>
      <c r="B1404" s="22" t="str">
        <f>IFERROR(VLOOKUP(A1404,VLOOKUPS!$A$2:B$12589,2,FALSE),"")</f>
        <v>Asparagus Spears 10oz-standard</v>
      </c>
      <c r="E1404">
        <v>1.98</v>
      </c>
      <c r="F1404">
        <v>3.98</v>
      </c>
      <c r="G1404" s="13">
        <v>44430</v>
      </c>
      <c r="H1404" s="13"/>
      <c r="I1404" s="22" t="str">
        <f>VLOOKUP(J1404, Dropdowns!N:O, 2, FALSE)</f>
        <v>Standard</v>
      </c>
      <c r="J1404" t="s">
        <v>760</v>
      </c>
      <c r="L1404" s="17" t="s">
        <v>732</v>
      </c>
      <c r="M1404" s="17" t="s">
        <v>10</v>
      </c>
      <c r="N1404" s="17">
        <v>2</v>
      </c>
    </row>
    <row r="1405" spans="1:17" x14ac:dyDescent="0.25">
      <c r="A1405" s="10">
        <v>995148</v>
      </c>
      <c r="B1405" s="22" t="str">
        <f>IFERROR(VLOOKUP(A1405,VLOOKUPS!$A$2:B$12589,2,FALSE),"")</f>
        <v>Fresh Salsa Verde 16oz-standard</v>
      </c>
      <c r="D1405">
        <v>6</v>
      </c>
      <c r="F1405">
        <v>4.49</v>
      </c>
      <c r="G1405" s="13">
        <v>44428</v>
      </c>
      <c r="H1405" s="13"/>
      <c r="I1405" s="22" t="str">
        <f>VLOOKUP(J1405, Dropdowns!N:O, 2, FALSE)</f>
        <v>New</v>
      </c>
      <c r="J1405" t="s">
        <v>776</v>
      </c>
      <c r="L1405" s="17" t="s">
        <v>732</v>
      </c>
      <c r="M1405" s="17" t="s">
        <v>736</v>
      </c>
      <c r="N1405" s="17" t="s">
        <v>736</v>
      </c>
      <c r="O1405" s="17" t="s">
        <v>748</v>
      </c>
      <c r="P1405">
        <v>1</v>
      </c>
      <c r="Q1405" s="17" t="s">
        <v>1044</v>
      </c>
    </row>
    <row r="1406" spans="1:17" x14ac:dyDescent="0.25">
      <c r="A1406" s="10">
        <v>983251</v>
      </c>
      <c r="B1406" s="22" t="str">
        <f>IFERROR(VLOOKUP(A1406,VLOOKUPS!$A$2:B$12589,2,FALSE),"")</f>
        <v>Watermelons Large Seedless 1ct-LOOSE</v>
      </c>
      <c r="E1406">
        <v>4.8899999999999997</v>
      </c>
      <c r="F1406">
        <v>4.6900000000000004</v>
      </c>
      <c r="G1406" s="13">
        <v>44429</v>
      </c>
      <c r="H1406" s="13"/>
      <c r="I1406" s="22" t="str">
        <f>VLOOKUP(J1406, Dropdowns!N:O, 2, FALSE)</f>
        <v>Standard</v>
      </c>
      <c r="J1406" t="s">
        <v>761</v>
      </c>
      <c r="L1406" s="17" t="s">
        <v>732</v>
      </c>
      <c r="M1406" s="17" t="s">
        <v>738</v>
      </c>
      <c r="N1406" s="17">
        <v>2</v>
      </c>
    </row>
    <row r="1407" spans="1:17" x14ac:dyDescent="0.25">
      <c r="A1407" s="10">
        <v>983251</v>
      </c>
      <c r="B1407" s="22" t="str">
        <f>IFERROR(VLOOKUP(A1407,VLOOKUPS!$A$2:B$12589,2,FALSE),"")</f>
        <v>Watermelons Large Seedless 1ct-LOOSE</v>
      </c>
      <c r="E1407">
        <v>4.4800000000000004</v>
      </c>
      <c r="F1407">
        <v>4.6900000000000004</v>
      </c>
      <c r="G1407" s="13">
        <v>44429</v>
      </c>
      <c r="H1407" s="13"/>
      <c r="I1407" s="22" t="str">
        <f>VLOOKUP(J1407, Dropdowns!N:O, 2, FALSE)</f>
        <v>Standard</v>
      </c>
      <c r="J1407" t="s">
        <v>761</v>
      </c>
      <c r="L1407" s="17" t="s">
        <v>732</v>
      </c>
      <c r="M1407" s="17" t="s">
        <v>9</v>
      </c>
      <c r="N1407" s="17" t="s">
        <v>736</v>
      </c>
    </row>
    <row r="1408" spans="1:17" x14ac:dyDescent="0.25">
      <c r="A1408" s="10">
        <v>984500</v>
      </c>
      <c r="B1408" s="22" t="str">
        <f>IFERROR(VLOOKUP(A1408,VLOOKUPS!$A$2:B$12589,2,FALSE),"")</f>
        <v>Organic Strawberries 1lb-standard</v>
      </c>
      <c r="E1408">
        <v>2.84</v>
      </c>
      <c r="F1408">
        <v>2.89</v>
      </c>
      <c r="G1408" s="13">
        <v>44429</v>
      </c>
      <c r="H1408" s="13"/>
      <c r="I1408" s="22" t="str">
        <f>VLOOKUP(J1408, Dropdowns!N:O, 2, FALSE)</f>
        <v>Standard</v>
      </c>
      <c r="J1408" t="s">
        <v>761</v>
      </c>
      <c r="L1408" s="17" t="s">
        <v>732</v>
      </c>
      <c r="M1408" s="17" t="s">
        <v>736</v>
      </c>
      <c r="N1408" s="17" t="s">
        <v>736</v>
      </c>
    </row>
    <row r="1409" spans="1:14" x14ac:dyDescent="0.25">
      <c r="A1409" s="10">
        <v>984541</v>
      </c>
      <c r="B1409" s="22" t="str">
        <f>IFERROR(VLOOKUP(A1409,VLOOKUPS!$A$2:B$12589,2,FALSE),"")</f>
        <v>Blueberries 1pt-standard</v>
      </c>
      <c r="E1409">
        <v>2.79</v>
      </c>
      <c r="F1409">
        <v>2.89</v>
      </c>
      <c r="G1409" s="13">
        <v>44429</v>
      </c>
      <c r="H1409" s="13"/>
      <c r="I1409" s="22" t="str">
        <f>VLOOKUP(J1409, Dropdowns!N:O, 2, FALSE)</f>
        <v>Standard</v>
      </c>
      <c r="J1409" t="s">
        <v>761</v>
      </c>
      <c r="L1409" s="17" t="s">
        <v>732</v>
      </c>
      <c r="M1409" s="17" t="s">
        <v>736</v>
      </c>
      <c r="N1409" s="17" t="s">
        <v>736</v>
      </c>
    </row>
    <row r="1410" spans="1:14" x14ac:dyDescent="0.25">
      <c r="A1410" s="10">
        <v>984542</v>
      </c>
      <c r="B1410" s="22" t="str">
        <f>IFERROR(VLOOKUP(A1410,VLOOKUPS!$A$2:B$12589,2,FALSE),"")</f>
        <v>Blueberries 18oz-standard</v>
      </c>
      <c r="E1410">
        <v>3.86</v>
      </c>
      <c r="F1410">
        <v>3.99</v>
      </c>
      <c r="G1410" s="13">
        <v>44429</v>
      </c>
      <c r="H1410" s="13"/>
      <c r="I1410" s="22" t="str">
        <f>VLOOKUP(J1410, Dropdowns!N:O, 2, FALSE)</f>
        <v>Standard</v>
      </c>
      <c r="J1410" t="s">
        <v>761</v>
      </c>
      <c r="L1410" s="17" t="s">
        <v>732</v>
      </c>
      <c r="M1410" s="17" t="s">
        <v>736</v>
      </c>
      <c r="N1410" s="17" t="s">
        <v>736</v>
      </c>
    </row>
    <row r="1411" spans="1:14" x14ac:dyDescent="0.25">
      <c r="A1411" s="10">
        <v>987560</v>
      </c>
      <c r="B1411" s="22" t="str">
        <f>IFERROR(VLOOKUP(A1411,VLOOKUPS!$A$2:B$12589,2,FALSE),"")</f>
        <v>Celery 1ct-standard</v>
      </c>
      <c r="E1411">
        <v>1.29</v>
      </c>
      <c r="F1411">
        <v>1.35</v>
      </c>
      <c r="G1411" s="13">
        <v>44429</v>
      </c>
      <c r="H1411" s="13"/>
      <c r="I1411" s="22" t="str">
        <f>VLOOKUP(J1411, Dropdowns!N:O, 2, FALSE)</f>
        <v>Standard</v>
      </c>
      <c r="J1411" t="s">
        <v>761</v>
      </c>
      <c r="L1411" s="17" t="s">
        <v>732</v>
      </c>
      <c r="M1411" s="17" t="s">
        <v>736</v>
      </c>
      <c r="N1411" s="17" t="s">
        <v>736</v>
      </c>
    </row>
    <row r="1412" spans="1:14" x14ac:dyDescent="0.25">
      <c r="A1412" s="10">
        <v>995012</v>
      </c>
      <c r="B1412" s="22" t="str">
        <f>IFERROR(VLOOKUP(A1412,VLOOKUPS!$A$2:B$12589,2,FALSE),"")</f>
        <v>RTE Cranberry Walnut Salad 4.5oz-standard</v>
      </c>
      <c r="E1412">
        <v>2.89</v>
      </c>
      <c r="G1412" s="13">
        <v>44429</v>
      </c>
      <c r="H1412" s="13"/>
      <c r="I1412" s="22" t="str">
        <f>VLOOKUP(J1412, Dropdowns!N:O, 2, FALSE)</f>
        <v>NA</v>
      </c>
      <c r="J1412" t="s">
        <v>754</v>
      </c>
      <c r="L1412" s="17" t="s">
        <v>733</v>
      </c>
      <c r="M1412" s="17" t="s">
        <v>736</v>
      </c>
      <c r="N1412" s="17" t="s">
        <v>740</v>
      </c>
    </row>
    <row r="1413" spans="1:14" x14ac:dyDescent="0.25">
      <c r="A1413" s="10">
        <v>995012</v>
      </c>
      <c r="B1413" s="22" t="str">
        <f>IFERROR(VLOOKUP(A1413,VLOOKUPS!$A$2:B$12589,2,FALSE),"")</f>
        <v>RTE Cranberry Walnut Salad 4.5oz-standard</v>
      </c>
      <c r="E1413">
        <v>2.99</v>
      </c>
      <c r="G1413" s="13">
        <v>44429</v>
      </c>
      <c r="H1413" s="13"/>
      <c r="I1413" s="22" t="str">
        <f>VLOOKUP(J1413, Dropdowns!N:O, 2, FALSE)</f>
        <v>NA</v>
      </c>
      <c r="J1413" t="s">
        <v>754</v>
      </c>
      <c r="L1413" s="17" t="s">
        <v>734</v>
      </c>
      <c r="M1413" s="17" t="s">
        <v>735</v>
      </c>
      <c r="N1413" s="17" t="s">
        <v>736</v>
      </c>
    </row>
    <row r="1414" spans="1:14" x14ac:dyDescent="0.25">
      <c r="A1414" s="10">
        <v>995019</v>
      </c>
      <c r="B1414" s="22" t="str">
        <f>IFERROR(VLOOKUP(A1414,VLOOKUPS!$A$2:B$12589,2,FALSE),"")</f>
        <v>RTE Large Santa Fe Salad 14oz-standard</v>
      </c>
      <c r="E1414">
        <v>4.99</v>
      </c>
      <c r="G1414" s="13">
        <v>44429</v>
      </c>
      <c r="H1414" s="13"/>
      <c r="I1414" s="22" t="str">
        <f>VLOOKUP(J1414, Dropdowns!N:O, 2, FALSE)</f>
        <v>NA</v>
      </c>
      <c r="J1414" t="s">
        <v>754</v>
      </c>
      <c r="L1414" s="17" t="s">
        <v>732</v>
      </c>
      <c r="M1414" s="17" t="s">
        <v>736</v>
      </c>
      <c r="N1414" s="17" t="s">
        <v>736</v>
      </c>
    </row>
    <row r="1415" spans="1:14" x14ac:dyDescent="0.25">
      <c r="A1415" s="10">
        <v>995021</v>
      </c>
      <c r="B1415" s="22" t="str">
        <f>IFERROR(VLOOKUP(A1415,VLOOKUPS!$A$2:B$12589,2,FALSE),"")</f>
        <v>Chopped Bacon Caesar Kit 10.2oz-standard</v>
      </c>
      <c r="E1415">
        <v>3.29</v>
      </c>
      <c r="F1415">
        <v>1.99</v>
      </c>
      <c r="G1415" s="13">
        <v>44429</v>
      </c>
      <c r="H1415" s="13">
        <v>44430</v>
      </c>
      <c r="I1415" s="22" t="str">
        <f>VLOOKUP(J1415, Dropdowns!N:O, 2, FALSE)</f>
        <v>Lower Price</v>
      </c>
      <c r="J1415" t="s">
        <v>759</v>
      </c>
      <c r="L1415" s="17" t="s">
        <v>732</v>
      </c>
      <c r="M1415" s="17" t="s">
        <v>738</v>
      </c>
      <c r="N1415" s="17">
        <v>2</v>
      </c>
    </row>
    <row r="1416" spans="1:14" x14ac:dyDescent="0.25">
      <c r="A1416" s="10">
        <v>995021</v>
      </c>
      <c r="B1416" s="22" t="str">
        <f>IFERROR(VLOOKUP(A1416,VLOOKUPS!$A$2:B$12589,2,FALSE),"")</f>
        <v>Chopped Bacon Caesar Kit 10.2oz-standard</v>
      </c>
      <c r="E1416">
        <v>1.99</v>
      </c>
      <c r="F1416">
        <v>3.29</v>
      </c>
      <c r="G1416" s="13">
        <v>44431</v>
      </c>
      <c r="H1416" s="13"/>
      <c r="I1416" s="22" t="str">
        <f>VLOOKUP(J1416, Dropdowns!N:O, 2, FALSE)</f>
        <v>Standard</v>
      </c>
      <c r="J1416" t="s">
        <v>760</v>
      </c>
      <c r="L1416" s="17" t="s">
        <v>732</v>
      </c>
      <c r="M1416" s="17" t="s">
        <v>738</v>
      </c>
      <c r="N1416" s="17">
        <v>2</v>
      </c>
    </row>
    <row r="1417" spans="1:14" x14ac:dyDescent="0.25">
      <c r="A1417" s="10">
        <v>995100</v>
      </c>
      <c r="B1417" s="22" t="str">
        <f>IFERROR(VLOOKUP(A1417,VLOOKUPS!$A$2:B$12589,2,FALSE),"")</f>
        <v>Asian Chopped Salad Kit 12oz-standard</v>
      </c>
      <c r="E1417">
        <v>3.29</v>
      </c>
      <c r="F1417">
        <v>1.99</v>
      </c>
      <c r="G1417" s="13">
        <v>44429</v>
      </c>
      <c r="H1417" s="13">
        <v>44430</v>
      </c>
      <c r="I1417" s="22" t="str">
        <f>VLOOKUP(J1417, Dropdowns!N:O, 2, FALSE)</f>
        <v>Lower Price</v>
      </c>
      <c r="J1417" t="s">
        <v>759</v>
      </c>
      <c r="L1417" s="17" t="s">
        <v>732</v>
      </c>
      <c r="M1417" s="17" t="s">
        <v>10</v>
      </c>
      <c r="N1417" s="17">
        <v>2</v>
      </c>
    </row>
    <row r="1418" spans="1:14" x14ac:dyDescent="0.25">
      <c r="A1418" s="10">
        <v>995100</v>
      </c>
      <c r="B1418" s="22" t="str">
        <f>IFERROR(VLOOKUP(A1418,VLOOKUPS!$A$2:B$12589,2,FALSE),"")</f>
        <v>Asian Chopped Salad Kit 12oz-standard</v>
      </c>
      <c r="E1418">
        <v>1.99</v>
      </c>
      <c r="F1418">
        <v>3.29</v>
      </c>
      <c r="G1418" s="13">
        <v>44431</v>
      </c>
      <c r="H1418" s="13"/>
      <c r="I1418" s="22" t="str">
        <f>VLOOKUP(J1418, Dropdowns!N:O, 2, FALSE)</f>
        <v>Standard</v>
      </c>
      <c r="J1418" t="s">
        <v>760</v>
      </c>
      <c r="L1418" s="17" t="s">
        <v>732</v>
      </c>
      <c r="M1418" s="17" t="s">
        <v>10</v>
      </c>
      <c r="N1418" s="17">
        <v>2</v>
      </c>
    </row>
    <row r="1419" spans="1:14" x14ac:dyDescent="0.25">
      <c r="A1419" s="10">
        <v>995119</v>
      </c>
      <c r="B1419" s="22" t="str">
        <f>IFERROR(VLOOKUP(A1419,VLOOKUPS!$A$2:B$12589,2,FALSE),"")</f>
        <v>RTE Green Goddess Salad 5.5oz-standard</v>
      </c>
      <c r="E1419">
        <v>2.89</v>
      </c>
      <c r="F1419">
        <v>1.89</v>
      </c>
      <c r="G1419" s="13">
        <v>44429</v>
      </c>
      <c r="H1419" s="13">
        <v>44430</v>
      </c>
      <c r="I1419" s="22" t="str">
        <f>VLOOKUP(J1419, Dropdowns!N:O, 2, FALSE)</f>
        <v>Lower Price</v>
      </c>
      <c r="J1419" t="s">
        <v>759</v>
      </c>
      <c r="L1419" s="17" t="s">
        <v>733</v>
      </c>
      <c r="M1419" s="17" t="s">
        <v>11</v>
      </c>
      <c r="N1419" s="17" t="s">
        <v>740</v>
      </c>
    </row>
    <row r="1420" spans="1:14" x14ac:dyDescent="0.25">
      <c r="A1420" s="10">
        <v>995119</v>
      </c>
      <c r="B1420" s="22" t="str">
        <f>IFERROR(VLOOKUP(A1420,VLOOKUPS!$A$2:B$12589,2,FALSE),"")</f>
        <v>RTE Green Goddess Salad 5.5oz-standard</v>
      </c>
      <c r="E1420">
        <v>1.89</v>
      </c>
      <c r="F1420">
        <v>2.89</v>
      </c>
      <c r="G1420" s="13">
        <v>44431</v>
      </c>
      <c r="H1420" s="13"/>
      <c r="I1420" s="22" t="str">
        <f>VLOOKUP(J1420, Dropdowns!N:O, 2, FALSE)</f>
        <v>Standard</v>
      </c>
      <c r="J1420" t="s">
        <v>760</v>
      </c>
      <c r="L1420" s="17" t="s">
        <v>733</v>
      </c>
      <c r="M1420" s="17" t="s">
        <v>11</v>
      </c>
      <c r="N1420" s="17" t="s">
        <v>740</v>
      </c>
    </row>
    <row r="1421" spans="1:14" x14ac:dyDescent="0.25">
      <c r="A1421" s="10">
        <v>995141</v>
      </c>
      <c r="B1421" s="22" t="str">
        <f>IFERROR(VLOOKUP(A1421,VLOOKUPS!$A$2:B$12589,2,FALSE),"")</f>
        <v>Watermelon Chunks 32oz-standard</v>
      </c>
      <c r="E1421">
        <v>6.49</v>
      </c>
      <c r="G1421" s="13">
        <v>44430</v>
      </c>
      <c r="H1421" s="13"/>
      <c r="I1421" s="22" t="str">
        <f>VLOOKUP(J1421, Dropdowns!N:O, 2, FALSE)</f>
        <v>NA</v>
      </c>
      <c r="J1421" t="s">
        <v>754</v>
      </c>
      <c r="L1421" s="17" t="s">
        <v>732</v>
      </c>
      <c r="M1421" s="17" t="s">
        <v>735</v>
      </c>
      <c r="N1421" s="17" t="s">
        <v>736</v>
      </c>
    </row>
    <row r="1422" spans="1:14" x14ac:dyDescent="0.25">
      <c r="A1422" s="10">
        <v>995144</v>
      </c>
      <c r="B1422" s="22" t="str">
        <f>IFERROR(VLOOKUP(A1422,VLOOKUPS!$A$2:B$12589,2,FALSE),"")</f>
        <v>Asparagus Spears 10oz-standard</v>
      </c>
      <c r="E1422">
        <v>3.98</v>
      </c>
      <c r="F1422">
        <v>2.98</v>
      </c>
      <c r="G1422" s="13">
        <v>44429</v>
      </c>
      <c r="H1422" s="13">
        <v>44430</v>
      </c>
      <c r="I1422" s="22" t="str">
        <f>VLOOKUP(J1422, Dropdowns!N:O, 2, FALSE)</f>
        <v>Lower Price</v>
      </c>
      <c r="J1422" t="s">
        <v>759</v>
      </c>
      <c r="L1422" s="17" t="s">
        <v>732</v>
      </c>
      <c r="M1422" s="17" t="s">
        <v>737</v>
      </c>
      <c r="N1422" s="17" t="s">
        <v>736</v>
      </c>
    </row>
    <row r="1423" spans="1:14" x14ac:dyDescent="0.25">
      <c r="A1423" s="10">
        <v>995144</v>
      </c>
      <c r="B1423" s="22" t="str">
        <f>IFERROR(VLOOKUP(A1423,VLOOKUPS!$A$2:B$12589,2,FALSE),"")</f>
        <v>Asparagus Spears 10oz-standard</v>
      </c>
      <c r="E1423">
        <v>2.98</v>
      </c>
      <c r="F1423">
        <v>3.98</v>
      </c>
      <c r="G1423" s="13">
        <v>44431</v>
      </c>
      <c r="H1423" s="13"/>
      <c r="I1423" s="22" t="str">
        <f>VLOOKUP(J1423, Dropdowns!N:O, 2, FALSE)</f>
        <v>Standard</v>
      </c>
      <c r="J1423" t="s">
        <v>760</v>
      </c>
      <c r="L1423" s="17" t="s">
        <v>732</v>
      </c>
      <c r="M1423" s="17" t="s">
        <v>737</v>
      </c>
      <c r="N1423" s="17" t="s">
        <v>736</v>
      </c>
    </row>
    <row r="1424" spans="1:14" x14ac:dyDescent="0.25">
      <c r="A1424" s="10">
        <v>989760</v>
      </c>
      <c r="B1424" s="22" t="str">
        <f>IFERROR(VLOOKUP(A1424,VLOOKUPS!$A$2:B$12589,2,FALSE),"")</f>
        <v>Potatoes Mixed Baby 1.5lb-standard</v>
      </c>
      <c r="G1424" s="13">
        <v>44429</v>
      </c>
      <c r="H1424" s="13">
        <v>44430</v>
      </c>
      <c r="I1424" s="22" t="str">
        <f>VLOOKUP(J1424, Dropdowns!N:O, 2, FALSE)</f>
        <v>Lower Price</v>
      </c>
      <c r="J1424" t="s">
        <v>753</v>
      </c>
      <c r="L1424" s="17" t="s">
        <v>732</v>
      </c>
      <c r="M1424" s="17" t="s">
        <v>736</v>
      </c>
      <c r="N1424" s="17" t="s">
        <v>736</v>
      </c>
    </row>
    <row r="1425" spans="1:14" x14ac:dyDescent="0.25">
      <c r="A1425" s="10">
        <v>989760</v>
      </c>
      <c r="B1425" s="22" t="str">
        <f>IFERROR(VLOOKUP(A1425,VLOOKUPS!$A$2:B$12589,2,FALSE),"")</f>
        <v>Potatoes Mixed Baby 1.5lb-standard</v>
      </c>
      <c r="E1425">
        <v>1.99</v>
      </c>
      <c r="F1425">
        <v>2.99</v>
      </c>
      <c r="G1425" s="13">
        <v>44431</v>
      </c>
      <c r="H1425" s="13"/>
      <c r="I1425" s="22" t="str">
        <f>VLOOKUP(J1425, Dropdowns!N:O, 2, FALSE)</f>
        <v>Standard</v>
      </c>
      <c r="J1425" t="s">
        <v>760</v>
      </c>
      <c r="L1425" s="17" t="s">
        <v>732</v>
      </c>
      <c r="M1425" s="17" t="s">
        <v>736</v>
      </c>
      <c r="N1425" s="17" t="s">
        <v>736</v>
      </c>
    </row>
    <row r="1426" spans="1:14" x14ac:dyDescent="0.25">
      <c r="A1426" s="10">
        <v>983473</v>
      </c>
      <c r="B1426" s="22" t="str">
        <f>IFERROR(VLOOKUP(A1426,VLOOKUPS!$A$2:B$12589,2,FALSE),"")</f>
        <v>Avocados Mini 6ct-standard</v>
      </c>
      <c r="G1426" s="13">
        <v>44429</v>
      </c>
      <c r="H1426" s="13">
        <v>44430</v>
      </c>
      <c r="I1426" s="22" t="str">
        <f>VLOOKUP(J1426, Dropdowns!N:O, 2, FALSE)</f>
        <v>Lower Price</v>
      </c>
      <c r="J1426" t="s">
        <v>753</v>
      </c>
      <c r="L1426" s="17" t="s">
        <v>732</v>
      </c>
      <c r="M1426" s="17" t="s">
        <v>736</v>
      </c>
      <c r="N1426" s="17" t="s">
        <v>736</v>
      </c>
    </row>
    <row r="1427" spans="1:14" x14ac:dyDescent="0.25">
      <c r="A1427" s="10">
        <v>983473</v>
      </c>
      <c r="B1427" s="22" t="str">
        <f>IFERROR(VLOOKUP(A1427,VLOOKUPS!$A$2:B$12589,2,FALSE),"")</f>
        <v>Avocados Mini 6ct-standard</v>
      </c>
      <c r="E1427">
        <v>1.99</v>
      </c>
      <c r="F1427">
        <v>2.79</v>
      </c>
      <c r="G1427" s="13">
        <v>44431</v>
      </c>
      <c r="H1427" s="13"/>
      <c r="I1427" s="22" t="str">
        <f>VLOOKUP(J1427, Dropdowns!N:O, 2, FALSE)</f>
        <v>Standard</v>
      </c>
      <c r="J1427" t="s">
        <v>760</v>
      </c>
      <c r="L1427" s="17" t="s">
        <v>732</v>
      </c>
      <c r="M1427" s="17" t="s">
        <v>736</v>
      </c>
      <c r="N1427" s="17" t="s">
        <v>736</v>
      </c>
    </row>
    <row r="1428" spans="1:14" x14ac:dyDescent="0.25">
      <c r="A1428" s="10">
        <v>985060</v>
      </c>
      <c r="B1428" s="22" t="str">
        <f>IFERROR(VLOOKUP(A1428,VLOOKUPS!$A$2:B$12589,2,FALSE),"")</f>
        <v>Lettuce* Iceberg 1ct-standard</v>
      </c>
      <c r="E1428">
        <v>1.45</v>
      </c>
      <c r="F1428">
        <v>1.05</v>
      </c>
      <c r="G1428" s="13">
        <v>44432</v>
      </c>
      <c r="H1428" s="13">
        <v>44433</v>
      </c>
      <c r="I1428" s="22" t="str">
        <f>VLOOKUP(J1428, Dropdowns!N:O, 2, FALSE)</f>
        <v>Lower Price</v>
      </c>
      <c r="J1428" t="s">
        <v>759</v>
      </c>
      <c r="L1428" s="17" t="s">
        <v>733</v>
      </c>
      <c r="M1428" s="17" t="s">
        <v>11</v>
      </c>
      <c r="N1428" s="17" t="s">
        <v>740</v>
      </c>
    </row>
    <row r="1429" spans="1:14" x14ac:dyDescent="0.25">
      <c r="A1429" s="10">
        <v>985060</v>
      </c>
      <c r="B1429" s="22" t="str">
        <f>IFERROR(VLOOKUP(A1429,VLOOKUPS!$A$2:B$12589,2,FALSE),"")</f>
        <v>Lettuce* Iceberg 1ct-standard</v>
      </c>
      <c r="E1429">
        <v>1.05</v>
      </c>
      <c r="F1429">
        <v>1.45</v>
      </c>
      <c r="G1429" s="13">
        <v>44434</v>
      </c>
      <c r="H1429" s="13"/>
      <c r="I1429" s="22" t="str">
        <f>VLOOKUP(J1429, Dropdowns!N:O, 2, FALSE)</f>
        <v>Standard</v>
      </c>
      <c r="J1429" t="s">
        <v>760</v>
      </c>
      <c r="L1429" s="17" t="s">
        <v>733</v>
      </c>
      <c r="M1429" s="17" t="s">
        <v>11</v>
      </c>
      <c r="N1429" s="17" t="s">
        <v>740</v>
      </c>
    </row>
    <row r="1430" spans="1:14" x14ac:dyDescent="0.25">
      <c r="A1430" s="10">
        <v>985760</v>
      </c>
      <c r="B1430" s="22" t="str">
        <f>IFERROR(VLOOKUP(A1430,VLOOKUPS!$A$2:B$12589,2,FALSE),"")</f>
        <v>Asparagus 1lb-standard</v>
      </c>
      <c r="E1430">
        <v>2.99</v>
      </c>
      <c r="F1430">
        <v>1.99</v>
      </c>
      <c r="G1430" s="13">
        <v>44432</v>
      </c>
      <c r="H1430" s="13">
        <v>44433</v>
      </c>
      <c r="I1430" s="22" t="str">
        <f>VLOOKUP(J1430, Dropdowns!N:O, 2, FALSE)</f>
        <v>Lower Price</v>
      </c>
      <c r="J1430" t="s">
        <v>759</v>
      </c>
      <c r="L1430" s="17" t="s">
        <v>732</v>
      </c>
      <c r="M1430" s="17" t="s">
        <v>738</v>
      </c>
      <c r="N1430" s="17">
        <v>2</v>
      </c>
    </row>
    <row r="1431" spans="1:14" x14ac:dyDescent="0.25">
      <c r="A1431" s="10">
        <v>985760</v>
      </c>
      <c r="B1431" s="22" t="str">
        <f>IFERROR(VLOOKUP(A1431,VLOOKUPS!$A$2:B$12589,2,FALSE),"")</f>
        <v>Asparagus 1lb-standard</v>
      </c>
      <c r="E1431">
        <v>1.99</v>
      </c>
      <c r="F1431">
        <v>2.99</v>
      </c>
      <c r="G1431" s="13">
        <v>44434</v>
      </c>
      <c r="H1431" s="13"/>
      <c r="I1431" s="22" t="str">
        <f>VLOOKUP(J1431, Dropdowns!N:O, 2, FALSE)</f>
        <v>Standard</v>
      </c>
      <c r="J1431" t="s">
        <v>760</v>
      </c>
      <c r="L1431" s="17" t="s">
        <v>732</v>
      </c>
      <c r="M1431" s="17" t="s">
        <v>738</v>
      </c>
      <c r="N1431" s="17">
        <v>2</v>
      </c>
    </row>
    <row r="1432" spans="1:14" x14ac:dyDescent="0.25">
      <c r="A1432" s="10">
        <v>986270</v>
      </c>
      <c r="B1432" s="22" t="str">
        <f>IFERROR(VLOOKUP(A1432,VLOOKUPS!$A$2:B$12589,2,FALSE),"")</f>
        <v>Organic French Beans 1lb-standard</v>
      </c>
      <c r="E1432">
        <v>3.99</v>
      </c>
      <c r="F1432">
        <v>2.99</v>
      </c>
      <c r="G1432" s="13">
        <v>44432</v>
      </c>
      <c r="H1432" s="13">
        <v>44432</v>
      </c>
      <c r="I1432" s="22" t="str">
        <f>VLOOKUP(J1432, Dropdowns!N:O, 2, FALSE)</f>
        <v>Lower Price</v>
      </c>
      <c r="J1432" t="s">
        <v>759</v>
      </c>
      <c r="L1432" s="17" t="s">
        <v>732</v>
      </c>
      <c r="M1432" s="17" t="s">
        <v>10</v>
      </c>
      <c r="N1432" s="17">
        <v>2</v>
      </c>
    </row>
    <row r="1433" spans="1:14" x14ac:dyDescent="0.25">
      <c r="A1433" s="10">
        <v>986270</v>
      </c>
      <c r="B1433" s="22" t="str">
        <f>IFERROR(VLOOKUP(A1433,VLOOKUPS!$A$2:B$12589,2,FALSE),"")</f>
        <v>Organic French Beans 1lb-standard</v>
      </c>
      <c r="E1433">
        <v>2.99</v>
      </c>
      <c r="F1433">
        <v>3.99</v>
      </c>
      <c r="G1433" s="13">
        <v>44433</v>
      </c>
      <c r="H1433" s="13"/>
      <c r="I1433" s="22" t="str">
        <f>VLOOKUP(J1433, Dropdowns!N:O, 2, FALSE)</f>
        <v>Standard</v>
      </c>
      <c r="J1433" t="s">
        <v>760</v>
      </c>
      <c r="L1433" s="17" t="s">
        <v>732</v>
      </c>
      <c r="M1433" s="17" t="s">
        <v>10</v>
      </c>
      <c r="N1433" s="17">
        <v>2</v>
      </c>
    </row>
    <row r="1434" spans="1:14" x14ac:dyDescent="0.25">
      <c r="A1434" s="10">
        <v>995011</v>
      </c>
      <c r="B1434" s="22" t="str">
        <f>IFERROR(VLOOKUP(A1434,VLOOKUPS!$A$2:B$12589,2,FALSE),"")</f>
        <v>RTE Santa Fe Salad 6.25oz-standard</v>
      </c>
      <c r="E1434">
        <v>2.89</v>
      </c>
      <c r="G1434" s="13">
        <v>44432</v>
      </c>
      <c r="H1434" s="13"/>
      <c r="I1434" s="22" t="str">
        <f>VLOOKUP(J1434, Dropdowns!N:O, 2, FALSE)</f>
        <v>NA</v>
      </c>
      <c r="J1434" t="s">
        <v>754</v>
      </c>
      <c r="L1434" s="17" t="s">
        <v>733</v>
      </c>
      <c r="M1434" s="17" t="s">
        <v>736</v>
      </c>
      <c r="N1434" s="17" t="s">
        <v>740</v>
      </c>
    </row>
    <row r="1435" spans="1:14" x14ac:dyDescent="0.25">
      <c r="A1435" s="10">
        <v>995011</v>
      </c>
      <c r="B1435" s="22" t="str">
        <f>IFERROR(VLOOKUP(A1435,VLOOKUPS!$A$2:B$12589,2,FALSE),"")</f>
        <v>RTE Santa Fe Salad 6.25oz-standard</v>
      </c>
      <c r="E1435">
        <v>2.99</v>
      </c>
      <c r="G1435" s="13">
        <v>44432</v>
      </c>
      <c r="H1435" s="13"/>
      <c r="I1435" s="22" t="str">
        <f>VLOOKUP(J1435, Dropdowns!N:O, 2, FALSE)</f>
        <v>NA</v>
      </c>
      <c r="J1435" t="s">
        <v>754</v>
      </c>
      <c r="L1435" s="17" t="s">
        <v>734</v>
      </c>
      <c r="M1435" s="17" t="s">
        <v>735</v>
      </c>
      <c r="N1435" s="17" t="s">
        <v>736</v>
      </c>
    </row>
    <row r="1436" spans="1:14" x14ac:dyDescent="0.25">
      <c r="A1436" s="10">
        <v>995082</v>
      </c>
      <c r="B1436" s="22" t="str">
        <f>IFERROR(VLOOKUP(A1436,VLOOKUPS!$A$2:B$12589,2,FALSE),"")</f>
        <v>Melon Trio 16oz-standard</v>
      </c>
      <c r="E1436">
        <v>3.99</v>
      </c>
      <c r="F1436">
        <v>2.99</v>
      </c>
      <c r="G1436" s="13">
        <v>44432</v>
      </c>
      <c r="H1436" s="13">
        <v>44433</v>
      </c>
      <c r="I1436" s="22" t="str">
        <f>VLOOKUP(J1436, Dropdowns!N:O, 2, FALSE)</f>
        <v>Lower Price</v>
      </c>
      <c r="J1436" t="s">
        <v>759</v>
      </c>
      <c r="L1436" s="17" t="s">
        <v>732</v>
      </c>
      <c r="M1436" s="17" t="s">
        <v>9</v>
      </c>
      <c r="N1436" s="17" t="s">
        <v>736</v>
      </c>
    </row>
    <row r="1437" spans="1:14" x14ac:dyDescent="0.25">
      <c r="A1437" s="10">
        <v>995082</v>
      </c>
      <c r="B1437" s="22" t="str">
        <f>IFERROR(VLOOKUP(A1437,VLOOKUPS!$A$2:B$12589,2,FALSE),"")</f>
        <v>Melon Trio 16oz-standard</v>
      </c>
      <c r="E1437">
        <v>2.99</v>
      </c>
      <c r="F1437">
        <v>3.99</v>
      </c>
      <c r="G1437" s="13">
        <v>44434</v>
      </c>
      <c r="H1437" s="13"/>
      <c r="I1437" s="22" t="str">
        <f>VLOOKUP(J1437, Dropdowns!N:O, 2, FALSE)</f>
        <v>Standard</v>
      </c>
      <c r="J1437" t="s">
        <v>760</v>
      </c>
      <c r="L1437" s="17" t="s">
        <v>732</v>
      </c>
      <c r="M1437" s="17" t="s">
        <v>9</v>
      </c>
      <c r="N1437" s="17" t="s">
        <v>736</v>
      </c>
    </row>
    <row r="1438" spans="1:14" x14ac:dyDescent="0.25">
      <c r="A1438" s="10">
        <v>995103</v>
      </c>
      <c r="B1438" s="22" t="str">
        <f>IFERROR(VLOOKUP(A1438,VLOOKUPS!$A$2:B$12589,2,FALSE),"")</f>
        <v>Teriyaki Stir Fry Kit 12.5oz-standard</v>
      </c>
      <c r="E1438">
        <v>2.98</v>
      </c>
      <c r="F1438">
        <v>1.98</v>
      </c>
      <c r="G1438" s="13">
        <v>44432</v>
      </c>
      <c r="H1438" s="13">
        <v>44433</v>
      </c>
      <c r="I1438" s="22" t="str">
        <f>VLOOKUP(J1438, Dropdowns!N:O, 2, FALSE)</f>
        <v>Lower Price</v>
      </c>
      <c r="J1438" t="s">
        <v>759</v>
      </c>
      <c r="L1438" s="17" t="s">
        <v>732</v>
      </c>
      <c r="M1438" s="17" t="s">
        <v>9</v>
      </c>
      <c r="N1438" s="17" t="s">
        <v>736</v>
      </c>
    </row>
    <row r="1439" spans="1:14" x14ac:dyDescent="0.25">
      <c r="A1439" s="10">
        <v>995103</v>
      </c>
      <c r="B1439" s="22" t="str">
        <f>IFERROR(VLOOKUP(A1439,VLOOKUPS!$A$2:B$12589,2,FALSE),"")</f>
        <v>Teriyaki Stir Fry Kit 12.5oz-standard</v>
      </c>
      <c r="E1439">
        <v>1.98</v>
      </c>
      <c r="F1439">
        <v>2.98</v>
      </c>
      <c r="G1439" s="13">
        <v>44434</v>
      </c>
      <c r="H1439" s="13"/>
      <c r="I1439" s="22" t="str">
        <f>VLOOKUP(J1439, Dropdowns!N:O, 2, FALSE)</f>
        <v>Standard</v>
      </c>
      <c r="J1439" t="s">
        <v>760</v>
      </c>
      <c r="L1439" s="17" t="s">
        <v>732</v>
      </c>
      <c r="M1439" s="17" t="s">
        <v>9</v>
      </c>
      <c r="N1439" s="17" t="s">
        <v>736</v>
      </c>
    </row>
    <row r="1440" spans="1:14" x14ac:dyDescent="0.25">
      <c r="A1440" s="10">
        <v>995109</v>
      </c>
      <c r="B1440" s="22" t="str">
        <f>IFERROR(VLOOKUP(A1440,VLOOKUPS!$A$2:B$12589,2,FALSE),"")</f>
        <v>Mediterranean Chopped Salad 11oz-standard</v>
      </c>
      <c r="E1440">
        <v>3.29</v>
      </c>
      <c r="F1440">
        <v>2.29</v>
      </c>
      <c r="G1440" s="13">
        <v>44432</v>
      </c>
      <c r="H1440" s="13">
        <v>44433</v>
      </c>
      <c r="I1440" s="22" t="str">
        <f>VLOOKUP(J1440, Dropdowns!N:O, 2, FALSE)</f>
        <v>Lower Price</v>
      </c>
      <c r="J1440" t="s">
        <v>759</v>
      </c>
      <c r="L1440" s="17" t="s">
        <v>732</v>
      </c>
      <c r="M1440" s="17" t="s">
        <v>738</v>
      </c>
      <c r="N1440" s="17">
        <v>2</v>
      </c>
    </row>
    <row r="1441" spans="1:16" x14ac:dyDescent="0.25">
      <c r="A1441" s="10">
        <v>995109</v>
      </c>
      <c r="B1441" s="22" t="str">
        <f>IFERROR(VLOOKUP(A1441,VLOOKUPS!$A$2:B$12589,2,FALSE),"")</f>
        <v>Mediterranean Chopped Salad 11oz-standard</v>
      </c>
      <c r="E1441">
        <v>2.29</v>
      </c>
      <c r="F1441">
        <v>3.29</v>
      </c>
      <c r="G1441" s="13">
        <v>44434</v>
      </c>
      <c r="H1441" s="13"/>
      <c r="I1441" s="22" t="str">
        <f>VLOOKUP(J1441, Dropdowns!N:O, 2, FALSE)</f>
        <v>Standard</v>
      </c>
      <c r="J1441" t="s">
        <v>760</v>
      </c>
      <c r="L1441" s="17" t="s">
        <v>732</v>
      </c>
      <c r="M1441" s="17" t="s">
        <v>738</v>
      </c>
      <c r="N1441" s="17">
        <v>2</v>
      </c>
    </row>
    <row r="1442" spans="1:16" x14ac:dyDescent="0.25">
      <c r="A1442" s="10">
        <v>995115</v>
      </c>
      <c r="B1442" s="22" t="str">
        <f>IFERROR(VLOOKUP(A1442,VLOOKUPS!$A$2:B$12589,2,FALSE),"")</f>
        <v>Pineapple Chunks 10oz-standard</v>
      </c>
      <c r="E1442">
        <v>2.39</v>
      </c>
      <c r="F1442">
        <v>1.59</v>
      </c>
      <c r="G1442" s="13">
        <v>44432</v>
      </c>
      <c r="H1442" s="13">
        <v>44433</v>
      </c>
      <c r="I1442" s="22" t="str">
        <f>VLOOKUP(J1442, Dropdowns!N:O, 2, FALSE)</f>
        <v>Lower Price</v>
      </c>
      <c r="J1442" t="s">
        <v>759</v>
      </c>
      <c r="L1442" s="17" t="s">
        <v>732</v>
      </c>
      <c r="M1442" s="17" t="s">
        <v>9</v>
      </c>
      <c r="N1442" s="17" t="s">
        <v>736</v>
      </c>
    </row>
    <row r="1443" spans="1:16" x14ac:dyDescent="0.25">
      <c r="A1443" s="10">
        <v>995115</v>
      </c>
      <c r="B1443" s="22" t="str">
        <f>IFERROR(VLOOKUP(A1443,VLOOKUPS!$A$2:B$12589,2,FALSE),"")</f>
        <v>Pineapple Chunks 10oz-standard</v>
      </c>
      <c r="E1443">
        <v>1.59</v>
      </c>
      <c r="F1443">
        <v>2.39</v>
      </c>
      <c r="G1443" s="13">
        <v>44434</v>
      </c>
      <c r="H1443" s="13"/>
      <c r="I1443" s="22" t="str">
        <f>VLOOKUP(J1443, Dropdowns!N:O, 2, FALSE)</f>
        <v>Standard</v>
      </c>
      <c r="J1443" t="s">
        <v>760</v>
      </c>
      <c r="L1443" s="17" t="s">
        <v>732</v>
      </c>
      <c r="M1443" s="17" t="s">
        <v>9</v>
      </c>
      <c r="N1443" s="17" t="s">
        <v>736</v>
      </c>
    </row>
    <row r="1444" spans="1:16" x14ac:dyDescent="0.25">
      <c r="A1444" s="10">
        <v>995144</v>
      </c>
      <c r="B1444" s="22" t="str">
        <f>IFERROR(VLOOKUP(A1444,VLOOKUPS!$A$2:B$12589,2,FALSE),"")</f>
        <v>Asparagus Spears 10oz-standard</v>
      </c>
      <c r="E1444">
        <v>3.98</v>
      </c>
      <c r="F1444">
        <v>2.98</v>
      </c>
      <c r="G1444" s="13">
        <v>44432</v>
      </c>
      <c r="H1444" s="13">
        <v>44433</v>
      </c>
      <c r="I1444" s="22" t="str">
        <f>VLOOKUP(J1444, Dropdowns!N:O, 2, FALSE)</f>
        <v>Lower Price</v>
      </c>
      <c r="J1444" t="s">
        <v>759</v>
      </c>
      <c r="L1444" s="17" t="s">
        <v>732</v>
      </c>
      <c r="M1444" s="17" t="s">
        <v>10</v>
      </c>
      <c r="N1444" s="17">
        <v>2</v>
      </c>
    </row>
    <row r="1445" spans="1:16" x14ac:dyDescent="0.25">
      <c r="A1445" s="10">
        <v>995144</v>
      </c>
      <c r="B1445" s="22" t="str">
        <f>IFERROR(VLOOKUP(A1445,VLOOKUPS!$A$2:B$12589,2,FALSE),"")</f>
        <v>Asparagus Spears 10oz-standard</v>
      </c>
      <c r="E1445">
        <v>2.98</v>
      </c>
      <c r="F1445">
        <v>3.98</v>
      </c>
      <c r="G1445" s="13">
        <v>44434</v>
      </c>
      <c r="H1445" s="13"/>
      <c r="I1445" s="22" t="str">
        <f>VLOOKUP(J1445, Dropdowns!N:O, 2, FALSE)</f>
        <v>Standard</v>
      </c>
      <c r="J1445" t="s">
        <v>760</v>
      </c>
      <c r="L1445" s="17" t="s">
        <v>732</v>
      </c>
      <c r="M1445" s="17" t="s">
        <v>10</v>
      </c>
      <c r="N1445" s="17">
        <v>2</v>
      </c>
    </row>
    <row r="1446" spans="1:16" x14ac:dyDescent="0.25">
      <c r="A1446" s="10">
        <v>982671</v>
      </c>
      <c r="B1446" s="22" t="str">
        <f>IFERROR(VLOOKUP(A1446,VLOOKUPS!$A$2:B$12589,2,FALSE),"")</f>
        <v>Grapes Jammer 1lb-standard</v>
      </c>
      <c r="D1446">
        <v>20</v>
      </c>
      <c r="F1446">
        <v>3.49</v>
      </c>
      <c r="G1446" s="13">
        <v>44432</v>
      </c>
      <c r="H1446" s="13"/>
      <c r="I1446" s="22" t="str">
        <f>VLOOKUP(J1446, Dropdowns!N:O, 2, FALSE)</f>
        <v>New</v>
      </c>
      <c r="J1446" t="s">
        <v>776</v>
      </c>
      <c r="L1446" s="17" t="s">
        <v>732</v>
      </c>
      <c r="M1446" s="17" t="s">
        <v>736</v>
      </c>
      <c r="N1446" s="17" t="s">
        <v>736</v>
      </c>
      <c r="O1446" t="s">
        <v>748</v>
      </c>
      <c r="P1446">
        <v>1</v>
      </c>
    </row>
    <row r="1447" spans="1:16" x14ac:dyDescent="0.25">
      <c r="A1447" s="10">
        <v>982800</v>
      </c>
      <c r="B1447" s="22" t="str">
        <f>IFERROR(VLOOKUP(A1447,VLOOKUPS!$A$2:B$12589,2,FALSE),"")</f>
        <v>Organic* Grapes Red Seedless 2lb-standard</v>
      </c>
      <c r="E1447">
        <v>4.99</v>
      </c>
      <c r="F1447">
        <v>5.29</v>
      </c>
      <c r="G1447" s="13">
        <v>44432</v>
      </c>
      <c r="H1447" s="13"/>
      <c r="I1447" s="22" t="str">
        <f>VLOOKUP(J1447, Dropdowns!N:O, 2, FALSE)</f>
        <v>Standard</v>
      </c>
      <c r="J1447" t="s">
        <v>761</v>
      </c>
      <c r="L1447" s="17" t="s">
        <v>732</v>
      </c>
      <c r="M1447" s="17" t="s">
        <v>9</v>
      </c>
      <c r="N1447" s="17" t="s">
        <v>736</v>
      </c>
    </row>
    <row r="1448" spans="1:16" x14ac:dyDescent="0.25">
      <c r="A1448" s="10">
        <v>982962</v>
      </c>
      <c r="B1448" s="22" t="str">
        <f>IFERROR(VLOOKUP(A1448,VLOOKUPS!$A$2:B$12589,2,FALSE),"")</f>
        <v>Grapes Specialty 1lb-standard</v>
      </c>
      <c r="D1448">
        <v>16</v>
      </c>
      <c r="F1448">
        <v>3.49</v>
      </c>
      <c r="G1448" s="13">
        <v>44432</v>
      </c>
      <c r="H1448" s="13"/>
      <c r="I1448" s="22" t="str">
        <f>VLOOKUP(J1448, Dropdowns!N:O, 2, FALSE)</f>
        <v>New</v>
      </c>
      <c r="J1448" t="s">
        <v>776</v>
      </c>
      <c r="L1448" s="17" t="s">
        <v>732</v>
      </c>
      <c r="M1448" s="17" t="s">
        <v>736</v>
      </c>
      <c r="N1448" s="17" t="s">
        <v>736</v>
      </c>
      <c r="O1448" t="s">
        <v>748</v>
      </c>
      <c r="P1448">
        <v>1</v>
      </c>
    </row>
    <row r="1449" spans="1:16" x14ac:dyDescent="0.25">
      <c r="A1449" s="10">
        <v>982800</v>
      </c>
      <c r="B1449" s="22" t="str">
        <f>IFERROR(VLOOKUP(A1449,VLOOKUPS!$A$2:B$12589,2,FALSE),"")</f>
        <v>Organic* Grapes Red Seedless 2lb-standard</v>
      </c>
      <c r="E1449">
        <v>4.99</v>
      </c>
      <c r="F1449">
        <v>3.99</v>
      </c>
      <c r="G1449" s="13">
        <v>44432</v>
      </c>
      <c r="H1449" s="13">
        <v>44433</v>
      </c>
      <c r="I1449" s="22" t="str">
        <f>VLOOKUP(J1449, Dropdowns!N:O, 2, FALSE)</f>
        <v>Lower Price</v>
      </c>
      <c r="J1449" t="s">
        <v>759</v>
      </c>
      <c r="L1449" s="17" t="s">
        <v>732</v>
      </c>
      <c r="M1449" s="17" t="s">
        <v>738</v>
      </c>
      <c r="N1449" s="17">
        <v>2</v>
      </c>
    </row>
    <row r="1450" spans="1:16" x14ac:dyDescent="0.25">
      <c r="A1450" s="10">
        <v>982800</v>
      </c>
      <c r="B1450" s="22" t="str">
        <f>IFERROR(VLOOKUP(A1450,VLOOKUPS!$A$2:B$12589,2,FALSE),"")</f>
        <v>Organic* Grapes Red Seedless 2lb-standard</v>
      </c>
      <c r="E1450">
        <v>3.99</v>
      </c>
      <c r="F1450">
        <v>4.99</v>
      </c>
      <c r="G1450" s="13">
        <v>44434</v>
      </c>
      <c r="H1450" s="13"/>
      <c r="I1450" s="22" t="str">
        <f>VLOOKUP(J1450, Dropdowns!N:O, 2, FALSE)</f>
        <v>Standard</v>
      </c>
      <c r="J1450" t="s">
        <v>760</v>
      </c>
      <c r="L1450" s="17" t="s">
        <v>732</v>
      </c>
      <c r="M1450" s="17" t="s">
        <v>738</v>
      </c>
      <c r="N1450" s="17">
        <v>2</v>
      </c>
    </row>
    <row r="1451" spans="1:16" x14ac:dyDescent="0.25">
      <c r="A1451" s="10">
        <v>983101</v>
      </c>
      <c r="B1451" s="22" t="str">
        <f>IFERROR(VLOOKUP(A1451,VLOOKUPS!$A$2:B$12589,2,FALSE),"")</f>
        <v>Melons Cantaloupes 1ct-LOOSE</v>
      </c>
      <c r="E1451">
        <v>2.59</v>
      </c>
      <c r="F1451">
        <v>1.59</v>
      </c>
      <c r="G1451" s="13">
        <v>44433</v>
      </c>
      <c r="H1451" s="13">
        <v>44434</v>
      </c>
      <c r="I1451" s="22" t="str">
        <f>VLOOKUP(J1451, Dropdowns!N:O, 2, FALSE)</f>
        <v>Lower Price</v>
      </c>
      <c r="J1451" t="s">
        <v>759</v>
      </c>
      <c r="L1451" s="17" t="s">
        <v>732</v>
      </c>
      <c r="M1451" s="17" t="s">
        <v>735</v>
      </c>
      <c r="N1451" s="17" t="s">
        <v>736</v>
      </c>
    </row>
    <row r="1452" spans="1:16" x14ac:dyDescent="0.25">
      <c r="A1452" s="10">
        <v>983101</v>
      </c>
      <c r="B1452" s="22" t="str">
        <f>IFERROR(VLOOKUP(A1452,VLOOKUPS!$A$2:B$12589,2,FALSE),"")</f>
        <v>Melons Cantaloupes 1ct-LOOSE</v>
      </c>
      <c r="E1452">
        <v>1.59</v>
      </c>
      <c r="F1452">
        <v>2.59</v>
      </c>
      <c r="G1452" s="13">
        <v>44435</v>
      </c>
      <c r="H1452" s="13"/>
      <c r="I1452" s="22" t="str">
        <f>VLOOKUP(J1452, Dropdowns!N:O, 2, FALSE)</f>
        <v>Standard</v>
      </c>
      <c r="J1452" t="s">
        <v>760</v>
      </c>
      <c r="L1452" s="17" t="s">
        <v>732</v>
      </c>
      <c r="M1452" s="17" t="s">
        <v>735</v>
      </c>
      <c r="N1452" s="17" t="s">
        <v>736</v>
      </c>
    </row>
    <row r="1453" spans="1:16" x14ac:dyDescent="0.25">
      <c r="A1453" s="10">
        <v>983151</v>
      </c>
      <c r="B1453" s="22" t="str">
        <f>IFERROR(VLOOKUP(A1453,VLOOKUPS!$A$2:B$12589,2,FALSE),"")</f>
        <v>Melons* Golden Honeydew 1ct-LOOSE</v>
      </c>
      <c r="E1453">
        <v>3.46</v>
      </c>
      <c r="F1453">
        <v>2.66</v>
      </c>
      <c r="G1453" s="13">
        <v>44433</v>
      </c>
      <c r="H1453" s="13">
        <v>44434</v>
      </c>
      <c r="I1453" s="22" t="str">
        <f>VLOOKUP(J1453, Dropdowns!N:O, 2, FALSE)</f>
        <v>Lower Price</v>
      </c>
      <c r="J1453" t="s">
        <v>759</v>
      </c>
      <c r="L1453" s="17" t="s">
        <v>732</v>
      </c>
      <c r="M1453" s="17" t="s">
        <v>735</v>
      </c>
      <c r="N1453" s="17" t="s">
        <v>736</v>
      </c>
    </row>
    <row r="1454" spans="1:16" x14ac:dyDescent="0.25">
      <c r="A1454" s="10">
        <v>983151</v>
      </c>
      <c r="B1454" s="22" t="str">
        <f>IFERROR(VLOOKUP(A1454,VLOOKUPS!$A$2:B$12589,2,FALSE),"")</f>
        <v>Melons* Golden Honeydew 1ct-LOOSE</v>
      </c>
      <c r="E1454">
        <v>2.66</v>
      </c>
      <c r="F1454">
        <v>3.46</v>
      </c>
      <c r="G1454" s="13">
        <v>44435</v>
      </c>
      <c r="H1454" s="13"/>
      <c r="I1454" s="22" t="str">
        <f>VLOOKUP(J1454, Dropdowns!N:O, 2, FALSE)</f>
        <v>Standard</v>
      </c>
      <c r="J1454" t="s">
        <v>760</v>
      </c>
      <c r="L1454" s="17" t="s">
        <v>732</v>
      </c>
      <c r="M1454" s="17" t="s">
        <v>735</v>
      </c>
      <c r="N1454" s="17" t="s">
        <v>736</v>
      </c>
    </row>
    <row r="1455" spans="1:16" x14ac:dyDescent="0.25">
      <c r="A1455" s="10">
        <v>983201</v>
      </c>
      <c r="B1455" s="22" t="str">
        <f>IFERROR(VLOOKUP(A1455,VLOOKUPS!$A$2:B$12589,2,FALSE),"")</f>
        <v>Melons* Honeydew 1ct-LOOSE</v>
      </c>
      <c r="E1455">
        <v>3.58</v>
      </c>
      <c r="F1455">
        <v>2.58</v>
      </c>
      <c r="G1455" s="13">
        <v>44433</v>
      </c>
      <c r="H1455" s="13">
        <v>44434</v>
      </c>
      <c r="I1455" s="22" t="str">
        <f>VLOOKUP(J1455, Dropdowns!N:O, 2, FALSE)</f>
        <v>Lower Price</v>
      </c>
      <c r="J1455" t="s">
        <v>759</v>
      </c>
      <c r="L1455" s="17" t="s">
        <v>732</v>
      </c>
      <c r="M1455" s="17" t="s">
        <v>9</v>
      </c>
      <c r="N1455" s="17" t="s">
        <v>736</v>
      </c>
    </row>
    <row r="1456" spans="1:16" x14ac:dyDescent="0.25">
      <c r="A1456" s="10">
        <v>983201</v>
      </c>
      <c r="B1456" s="22" t="str">
        <f>IFERROR(VLOOKUP(A1456,VLOOKUPS!$A$2:B$12589,2,FALSE),"")</f>
        <v>Melons* Honeydew 1ct-LOOSE</v>
      </c>
      <c r="E1456">
        <v>2.58</v>
      </c>
      <c r="F1456">
        <v>3.58</v>
      </c>
      <c r="G1456" s="13">
        <v>44435</v>
      </c>
      <c r="H1456" s="13"/>
      <c r="I1456" s="22" t="str">
        <f>VLOOKUP(J1456, Dropdowns!N:O, 2, FALSE)</f>
        <v>Standard</v>
      </c>
      <c r="J1456" t="s">
        <v>760</v>
      </c>
      <c r="L1456" s="17" t="s">
        <v>732</v>
      </c>
      <c r="M1456" s="17" t="s">
        <v>9</v>
      </c>
      <c r="N1456" s="17" t="s">
        <v>736</v>
      </c>
    </row>
    <row r="1457" spans="1:14" x14ac:dyDescent="0.25">
      <c r="A1457" s="10">
        <v>983251</v>
      </c>
      <c r="B1457" s="22" t="str">
        <f>IFERROR(VLOOKUP(A1457,VLOOKUPS!$A$2:B$12589,2,FALSE),"")</f>
        <v>Watermelons Large Seedless 1ct-LOOSE</v>
      </c>
      <c r="E1457">
        <v>4.6900000000000004</v>
      </c>
      <c r="F1457">
        <v>3.49</v>
      </c>
      <c r="G1457" s="13">
        <v>44433</v>
      </c>
      <c r="H1457" s="13">
        <v>44434</v>
      </c>
      <c r="I1457" s="22" t="str">
        <f>VLOOKUP(J1457, Dropdowns!N:O, 2, FALSE)</f>
        <v>Lower Price</v>
      </c>
      <c r="J1457" t="s">
        <v>759</v>
      </c>
      <c r="L1457" s="17" t="s">
        <v>733</v>
      </c>
      <c r="M1457" s="17" t="s">
        <v>11</v>
      </c>
      <c r="N1457" s="17" t="s">
        <v>740</v>
      </c>
    </row>
    <row r="1458" spans="1:14" x14ac:dyDescent="0.25">
      <c r="A1458" s="10">
        <v>983251</v>
      </c>
      <c r="B1458" s="22" t="str">
        <f>IFERROR(VLOOKUP(A1458,VLOOKUPS!$A$2:B$12589,2,FALSE),"")</f>
        <v>Watermelons Large Seedless 1ct-LOOSE</v>
      </c>
      <c r="E1458">
        <v>3.49</v>
      </c>
      <c r="F1458">
        <v>4.6900000000000004</v>
      </c>
      <c r="G1458" s="13">
        <v>44435</v>
      </c>
      <c r="H1458" s="13"/>
      <c r="I1458" s="22" t="str">
        <f>VLOOKUP(J1458, Dropdowns!N:O, 2, FALSE)</f>
        <v>Standard</v>
      </c>
      <c r="J1458" t="s">
        <v>760</v>
      </c>
      <c r="L1458" s="17" t="s">
        <v>733</v>
      </c>
      <c r="M1458" s="17" t="s">
        <v>11</v>
      </c>
      <c r="N1458" s="17" t="s">
        <v>740</v>
      </c>
    </row>
    <row r="1459" spans="1:14" x14ac:dyDescent="0.25">
      <c r="A1459" s="10">
        <v>984541</v>
      </c>
      <c r="B1459" s="22" t="str">
        <f>IFERROR(VLOOKUP(A1459,VLOOKUPS!$A$2:B$12589,2,FALSE),"")</f>
        <v>Blueberries 1pt-standard</v>
      </c>
      <c r="E1459">
        <v>2.89</v>
      </c>
      <c r="F1459">
        <v>1.99</v>
      </c>
      <c r="G1459" s="13">
        <v>44433</v>
      </c>
      <c r="H1459" s="13">
        <v>44434</v>
      </c>
      <c r="I1459" s="22" t="str">
        <f>VLOOKUP(J1459, Dropdowns!N:O, 2, FALSE)</f>
        <v>Lower Price</v>
      </c>
      <c r="J1459" t="s">
        <v>759</v>
      </c>
      <c r="L1459" s="17" t="s">
        <v>733</v>
      </c>
      <c r="M1459" s="17" t="s">
        <v>11</v>
      </c>
      <c r="N1459" s="17" t="s">
        <v>740</v>
      </c>
    </row>
    <row r="1460" spans="1:14" x14ac:dyDescent="0.25">
      <c r="A1460" s="10">
        <v>984541</v>
      </c>
      <c r="B1460" s="22" t="str">
        <f>IFERROR(VLOOKUP(A1460,VLOOKUPS!$A$2:B$12589,2,FALSE),"")</f>
        <v>Blueberries 1pt-standard</v>
      </c>
      <c r="E1460">
        <v>1.99</v>
      </c>
      <c r="F1460">
        <v>2.89</v>
      </c>
      <c r="G1460" s="13">
        <v>44435</v>
      </c>
      <c r="H1460" s="13"/>
      <c r="I1460" s="22" t="str">
        <f>VLOOKUP(J1460, Dropdowns!N:O, 2, FALSE)</f>
        <v>Standard</v>
      </c>
      <c r="J1460" t="s">
        <v>760</v>
      </c>
      <c r="L1460" s="17" t="s">
        <v>733</v>
      </c>
      <c r="M1460" s="17" t="s">
        <v>11</v>
      </c>
      <c r="N1460" s="17" t="s">
        <v>740</v>
      </c>
    </row>
    <row r="1461" spans="1:14" x14ac:dyDescent="0.25">
      <c r="A1461" s="10">
        <v>984700</v>
      </c>
      <c r="B1461" s="22" t="str">
        <f>IFERROR(VLOOKUP(A1461,VLOOKUPS!$A$2:B$12589,2,FALSE),"")</f>
        <v>Blackberries 6oz-standard</v>
      </c>
      <c r="E1461">
        <v>2.48</v>
      </c>
      <c r="F1461">
        <v>1.88</v>
      </c>
      <c r="G1461" s="13">
        <v>44433</v>
      </c>
      <c r="H1461" s="13">
        <v>44434</v>
      </c>
      <c r="I1461" s="22" t="str">
        <f>VLOOKUP(J1461, Dropdowns!N:O, 2, FALSE)</f>
        <v>Lower Price</v>
      </c>
      <c r="J1461" t="s">
        <v>759</v>
      </c>
      <c r="L1461" s="17" t="s">
        <v>733</v>
      </c>
      <c r="M1461" s="17" t="s">
        <v>11</v>
      </c>
      <c r="N1461" s="17" t="s">
        <v>740</v>
      </c>
    </row>
    <row r="1462" spans="1:14" x14ac:dyDescent="0.25">
      <c r="A1462" s="10">
        <v>984700</v>
      </c>
      <c r="B1462" s="22" t="str">
        <f>IFERROR(VLOOKUP(A1462,VLOOKUPS!$A$2:B$12589,2,FALSE),"")</f>
        <v>Blackberries 6oz-standard</v>
      </c>
      <c r="E1462">
        <v>1.88</v>
      </c>
      <c r="F1462">
        <v>2.48</v>
      </c>
      <c r="G1462" s="13">
        <v>44435</v>
      </c>
      <c r="H1462" s="13"/>
      <c r="I1462" s="22" t="str">
        <f>VLOOKUP(J1462, Dropdowns!N:O, 2, FALSE)</f>
        <v>Standard</v>
      </c>
      <c r="J1462" t="s">
        <v>760</v>
      </c>
      <c r="L1462" s="17" t="s">
        <v>733</v>
      </c>
      <c r="M1462" s="17" t="s">
        <v>11</v>
      </c>
      <c r="N1462" s="17" t="s">
        <v>740</v>
      </c>
    </row>
    <row r="1463" spans="1:14" x14ac:dyDescent="0.25">
      <c r="A1463" s="10">
        <v>995067</v>
      </c>
      <c r="B1463" s="22" t="str">
        <f>IFERROR(VLOOKUP(A1463,VLOOKUPS!$A$2:B$12589,2,FALSE),"")</f>
        <v>Organic Baby Arugula 5oz-standard</v>
      </c>
      <c r="E1463">
        <v>2.56</v>
      </c>
      <c r="F1463">
        <v>1.56</v>
      </c>
      <c r="G1463" s="13">
        <v>44433</v>
      </c>
      <c r="H1463" s="13">
        <v>44434</v>
      </c>
      <c r="I1463" s="22" t="str">
        <f>VLOOKUP(J1463, Dropdowns!N:O, 2, FALSE)</f>
        <v>Lower Price</v>
      </c>
      <c r="J1463" t="s">
        <v>759</v>
      </c>
      <c r="L1463" s="17" t="s">
        <v>733</v>
      </c>
      <c r="M1463" s="17" t="s">
        <v>737</v>
      </c>
      <c r="N1463" s="17" t="s">
        <v>740</v>
      </c>
    </row>
    <row r="1464" spans="1:14" x14ac:dyDescent="0.25">
      <c r="A1464" s="10">
        <v>995067</v>
      </c>
      <c r="B1464" s="22" t="str">
        <f>IFERROR(VLOOKUP(A1464,VLOOKUPS!$A$2:B$12589,2,FALSE),"")</f>
        <v>Organic Baby Arugula 5oz-standard</v>
      </c>
      <c r="E1464">
        <v>3.26</v>
      </c>
      <c r="F1464">
        <v>2.2599999999999998</v>
      </c>
      <c r="G1464" s="13">
        <v>44433</v>
      </c>
      <c r="H1464" s="13">
        <v>44434</v>
      </c>
      <c r="I1464" s="22" t="str">
        <f>VLOOKUP(J1464, Dropdowns!N:O, 2, FALSE)</f>
        <v>Lower Price</v>
      </c>
      <c r="J1464" t="s">
        <v>759</v>
      </c>
      <c r="L1464" s="17" t="s">
        <v>734</v>
      </c>
      <c r="M1464" s="17" t="s">
        <v>9</v>
      </c>
      <c r="N1464" s="17" t="s">
        <v>741</v>
      </c>
    </row>
    <row r="1465" spans="1:14" x14ac:dyDescent="0.25">
      <c r="A1465" s="10">
        <v>995067</v>
      </c>
      <c r="B1465" s="22" t="str">
        <f>IFERROR(VLOOKUP(A1465,VLOOKUPS!$A$2:B$12589,2,FALSE),"")</f>
        <v>Organic Baby Arugula 5oz-standard</v>
      </c>
      <c r="E1465">
        <v>1.56</v>
      </c>
      <c r="F1465">
        <v>2.56</v>
      </c>
      <c r="G1465" s="13">
        <v>44435</v>
      </c>
      <c r="H1465" s="13"/>
      <c r="I1465" s="22" t="str">
        <f>VLOOKUP(J1465, Dropdowns!N:O, 2, FALSE)</f>
        <v>Standard</v>
      </c>
      <c r="J1465" t="s">
        <v>760</v>
      </c>
      <c r="L1465" s="17" t="s">
        <v>733</v>
      </c>
      <c r="M1465" s="17" t="s">
        <v>737</v>
      </c>
      <c r="N1465" s="17" t="s">
        <v>740</v>
      </c>
    </row>
    <row r="1466" spans="1:14" x14ac:dyDescent="0.25">
      <c r="A1466" s="10">
        <v>995067</v>
      </c>
      <c r="B1466" s="22" t="str">
        <f>IFERROR(VLOOKUP(A1466,VLOOKUPS!$A$2:B$12589,2,FALSE),"")</f>
        <v>Organic Baby Arugula 5oz-standard</v>
      </c>
      <c r="E1466">
        <v>2.2599999999999998</v>
      </c>
      <c r="F1466">
        <v>3.26</v>
      </c>
      <c r="G1466" s="13">
        <v>44435</v>
      </c>
      <c r="H1466" s="13"/>
      <c r="I1466" s="22" t="str">
        <f>VLOOKUP(J1466, Dropdowns!N:O, 2, FALSE)</f>
        <v>Standard</v>
      </c>
      <c r="J1466" t="s">
        <v>760</v>
      </c>
      <c r="L1466" s="17" t="s">
        <v>734</v>
      </c>
      <c r="M1466" s="17" t="s">
        <v>9</v>
      </c>
      <c r="N1466" s="17" t="s">
        <v>741</v>
      </c>
    </row>
    <row r="1467" spans="1:14" x14ac:dyDescent="0.25">
      <c r="A1467" s="10">
        <v>995074</v>
      </c>
      <c r="B1467" s="22" t="str">
        <f>IFERROR(VLOOKUP(A1467,VLOOKUPS!$A$2:B$12589,2,FALSE),"")</f>
        <v>Southwest Chopped Salad Kit 12oz-standard</v>
      </c>
      <c r="E1467">
        <v>3.29</v>
      </c>
      <c r="F1467">
        <v>1.99</v>
      </c>
      <c r="G1467" s="13">
        <v>44433</v>
      </c>
      <c r="H1467" s="13">
        <v>44434</v>
      </c>
      <c r="I1467" s="22" t="str">
        <f>VLOOKUP(J1467, Dropdowns!N:O, 2, FALSE)</f>
        <v>Lower Price</v>
      </c>
      <c r="J1467" t="s">
        <v>759</v>
      </c>
      <c r="L1467" s="17" t="s">
        <v>732</v>
      </c>
      <c r="M1467" s="17" t="s">
        <v>738</v>
      </c>
      <c r="N1467" s="17">
        <v>2</v>
      </c>
    </row>
    <row r="1468" spans="1:14" x14ac:dyDescent="0.25">
      <c r="A1468" s="10">
        <v>995074</v>
      </c>
      <c r="B1468" s="22" t="str">
        <f>IFERROR(VLOOKUP(A1468,VLOOKUPS!$A$2:B$12589,2,FALSE),"")</f>
        <v>Southwest Chopped Salad Kit 12oz-standard</v>
      </c>
      <c r="E1468">
        <v>1.99</v>
      </c>
      <c r="F1468">
        <v>3.29</v>
      </c>
      <c r="G1468" s="13">
        <v>44435</v>
      </c>
      <c r="H1468" s="13"/>
      <c r="I1468" s="22" t="str">
        <f>VLOOKUP(J1468, Dropdowns!N:O, 2, FALSE)</f>
        <v>Standard</v>
      </c>
      <c r="J1468" t="s">
        <v>760</v>
      </c>
      <c r="L1468" s="17" t="s">
        <v>732</v>
      </c>
      <c r="M1468" s="17" t="s">
        <v>738</v>
      </c>
      <c r="N1468" s="17">
        <v>2</v>
      </c>
    </row>
    <row r="1469" spans="1:14" x14ac:dyDescent="0.25">
      <c r="A1469" s="10">
        <v>995101</v>
      </c>
      <c r="B1469" s="22" t="str">
        <f>IFERROR(VLOOKUP(A1469,VLOOKUPS!$A$2:B$12589,2,FALSE),"")</f>
        <v>Avocado Ranch Salad Kit 11.3oz-standard</v>
      </c>
      <c r="E1469">
        <v>3.29</v>
      </c>
      <c r="F1469">
        <v>1.99</v>
      </c>
      <c r="G1469" s="13">
        <v>44433</v>
      </c>
      <c r="H1469" s="13">
        <v>44434</v>
      </c>
      <c r="I1469" s="22" t="str">
        <f>VLOOKUP(J1469, Dropdowns!N:O, 2, FALSE)</f>
        <v>Lower Price</v>
      </c>
      <c r="J1469" t="s">
        <v>759</v>
      </c>
      <c r="L1469" s="17" t="s">
        <v>732</v>
      </c>
      <c r="M1469" s="17" t="s">
        <v>10</v>
      </c>
      <c r="N1469" s="17">
        <v>2</v>
      </c>
    </row>
    <row r="1470" spans="1:14" x14ac:dyDescent="0.25">
      <c r="A1470" s="10">
        <v>995101</v>
      </c>
      <c r="B1470" s="22" t="str">
        <f>IFERROR(VLOOKUP(A1470,VLOOKUPS!$A$2:B$12589,2,FALSE),"")</f>
        <v>Avocado Ranch Salad Kit 11.3oz-standard</v>
      </c>
      <c r="E1470">
        <v>1.99</v>
      </c>
      <c r="F1470">
        <v>3.29</v>
      </c>
      <c r="G1470" s="13">
        <v>44435</v>
      </c>
      <c r="H1470" s="13"/>
      <c r="I1470" s="22" t="str">
        <f>VLOOKUP(J1470, Dropdowns!N:O, 2, FALSE)</f>
        <v>Standard</v>
      </c>
      <c r="J1470" t="s">
        <v>760</v>
      </c>
      <c r="L1470" s="17" t="s">
        <v>732</v>
      </c>
      <c r="M1470" s="17" t="s">
        <v>10</v>
      </c>
      <c r="N1470" s="17">
        <v>2</v>
      </c>
    </row>
    <row r="1471" spans="1:14" x14ac:dyDescent="0.25">
      <c r="A1471" s="10">
        <v>995104</v>
      </c>
      <c r="B1471" s="22" t="str">
        <f>IFERROR(VLOOKUP(A1471,VLOOKUPS!$A$2:B$12589,2,FALSE),"")</f>
        <v>Ginger Garlic Stir Fry Kit 14oz-standard</v>
      </c>
      <c r="E1471">
        <v>2.99</v>
      </c>
      <c r="F1471">
        <v>1.99</v>
      </c>
      <c r="G1471" s="13">
        <v>44433</v>
      </c>
      <c r="H1471" s="13">
        <v>44434</v>
      </c>
      <c r="I1471" s="22" t="str">
        <f>VLOOKUP(J1471, Dropdowns!N:O, 2, FALSE)</f>
        <v>Lower Price</v>
      </c>
      <c r="J1471" t="s">
        <v>759</v>
      </c>
      <c r="L1471" s="17" t="s">
        <v>732</v>
      </c>
      <c r="M1471" s="17" t="s">
        <v>9</v>
      </c>
      <c r="N1471" s="17" t="s">
        <v>736</v>
      </c>
    </row>
    <row r="1472" spans="1:14" x14ac:dyDescent="0.25">
      <c r="A1472" s="10">
        <v>995104</v>
      </c>
      <c r="B1472" s="22" t="str">
        <f>IFERROR(VLOOKUP(A1472,VLOOKUPS!$A$2:B$12589,2,FALSE),"")</f>
        <v>Ginger Garlic Stir Fry Kit 14oz-standard</v>
      </c>
      <c r="E1472">
        <v>1.99</v>
      </c>
      <c r="F1472">
        <v>2.99</v>
      </c>
      <c r="G1472" s="13">
        <v>44435</v>
      </c>
      <c r="H1472" s="13"/>
      <c r="I1472" s="22" t="str">
        <f>VLOOKUP(J1472, Dropdowns!N:O, 2, FALSE)</f>
        <v>Standard</v>
      </c>
      <c r="J1472" t="s">
        <v>760</v>
      </c>
      <c r="L1472" s="17" t="s">
        <v>732</v>
      </c>
      <c r="M1472" s="17" t="s">
        <v>9</v>
      </c>
      <c r="N1472" s="17" t="s">
        <v>736</v>
      </c>
    </row>
    <row r="1473" spans="1:14" x14ac:dyDescent="0.25">
      <c r="A1473" s="10">
        <v>995119</v>
      </c>
      <c r="B1473" s="22" t="str">
        <f>IFERROR(VLOOKUP(A1473,VLOOKUPS!$A$2:B$12589,2,FALSE),"")</f>
        <v>RTE Green Goddess Salad 5.5oz-standard</v>
      </c>
      <c r="E1473">
        <v>2.89</v>
      </c>
      <c r="F1473">
        <v>1.99</v>
      </c>
      <c r="G1473" s="13">
        <v>44433</v>
      </c>
      <c r="H1473" s="13">
        <v>44434</v>
      </c>
      <c r="I1473" s="22" t="str">
        <f>VLOOKUP(J1473, Dropdowns!N:O, 2, FALSE)</f>
        <v>Lower Price</v>
      </c>
      <c r="J1473" t="s">
        <v>759</v>
      </c>
      <c r="L1473" s="17" t="s">
        <v>732</v>
      </c>
      <c r="M1473" s="17" t="s">
        <v>10</v>
      </c>
      <c r="N1473" s="17">
        <v>2</v>
      </c>
    </row>
    <row r="1474" spans="1:14" x14ac:dyDescent="0.25">
      <c r="A1474" s="10">
        <v>995119</v>
      </c>
      <c r="B1474" s="22" t="str">
        <f>IFERROR(VLOOKUP(A1474,VLOOKUPS!$A$2:B$12589,2,FALSE),"")</f>
        <v>RTE Green Goddess Salad 5.5oz-standard</v>
      </c>
      <c r="E1474">
        <v>1.99</v>
      </c>
      <c r="F1474">
        <v>2.89</v>
      </c>
      <c r="G1474" s="13">
        <v>44435</v>
      </c>
      <c r="H1474" s="13"/>
      <c r="I1474" s="22" t="str">
        <f>VLOOKUP(J1474, Dropdowns!N:O, 2, FALSE)</f>
        <v>Standard</v>
      </c>
      <c r="J1474" t="s">
        <v>760</v>
      </c>
      <c r="L1474" s="17" t="s">
        <v>732</v>
      </c>
      <c r="M1474" s="17" t="s">
        <v>10</v>
      </c>
      <c r="N1474" s="17">
        <v>2</v>
      </c>
    </row>
    <row r="1475" spans="1:14" x14ac:dyDescent="0.25">
      <c r="A1475" s="10">
        <v>984542</v>
      </c>
      <c r="B1475" s="22" t="str">
        <f>IFERROR(VLOOKUP(A1475,VLOOKUPS!$A$2:B$12589,2,FALSE),"")</f>
        <v>Blueberries 18oz-standard</v>
      </c>
      <c r="E1475">
        <v>2.89</v>
      </c>
      <c r="F1475">
        <v>4.1900000000000004</v>
      </c>
      <c r="G1475" s="13">
        <v>44433</v>
      </c>
      <c r="H1475" s="13"/>
      <c r="I1475" s="22" t="str">
        <f>VLOOKUP(J1475, Dropdowns!N:O, 2, FALSE)</f>
        <v>Standard</v>
      </c>
      <c r="J1475" t="s">
        <v>760</v>
      </c>
      <c r="L1475" s="17" t="s">
        <v>732</v>
      </c>
      <c r="M1475" s="17" t="s">
        <v>738</v>
      </c>
      <c r="N1475" s="17">
        <v>2</v>
      </c>
    </row>
    <row r="1476" spans="1:14" x14ac:dyDescent="0.25">
      <c r="A1476" s="10">
        <v>984542</v>
      </c>
      <c r="B1476" s="22" t="str">
        <f>IFERROR(VLOOKUP(A1476,VLOOKUPS!$A$2:B$12589,2,FALSE),"")</f>
        <v>Blueberries 18oz-standard</v>
      </c>
      <c r="G1476" s="13">
        <v>44433</v>
      </c>
      <c r="H1476" s="13">
        <v>44433</v>
      </c>
      <c r="I1476" s="22" t="str">
        <f>VLOOKUP(J1476, Dropdowns!N:O, 2, FALSE)</f>
        <v>Lower Price</v>
      </c>
      <c r="J1476" t="s">
        <v>762</v>
      </c>
      <c r="L1476" s="17" t="s">
        <v>732</v>
      </c>
      <c r="M1476" s="17" t="s">
        <v>9</v>
      </c>
      <c r="N1476" s="17" t="s">
        <v>736</v>
      </c>
    </row>
    <row r="1477" spans="1:14" x14ac:dyDescent="0.25">
      <c r="A1477" s="10">
        <v>982650</v>
      </c>
      <c r="B1477" s="22" t="str">
        <f>IFERROR(VLOOKUP(A1477,VLOOKUPS!$A$2:B$12589,2,FALSE),"")</f>
        <v>Grapes* Green Seedless 1lb-LOOSE</v>
      </c>
      <c r="E1477">
        <v>1.19</v>
      </c>
      <c r="F1477">
        <v>1.89</v>
      </c>
      <c r="G1477" s="13">
        <v>44433</v>
      </c>
      <c r="H1477" s="13"/>
      <c r="I1477" s="22" t="str">
        <f>VLOOKUP(J1477, Dropdowns!N:O, 2, FALSE)</f>
        <v>Standard</v>
      </c>
      <c r="J1477" t="s">
        <v>760</v>
      </c>
      <c r="L1477" s="17" t="s">
        <v>732</v>
      </c>
      <c r="M1477" s="17" t="s">
        <v>738</v>
      </c>
      <c r="N1477" s="17">
        <v>2</v>
      </c>
    </row>
    <row r="1478" spans="1:14" x14ac:dyDescent="0.25">
      <c r="A1478" s="10">
        <v>982650</v>
      </c>
      <c r="B1478" s="22" t="str">
        <f>IFERROR(VLOOKUP(A1478,VLOOKUPS!$A$2:B$12589,2,FALSE),"")</f>
        <v>Grapes* Green Seedless 1lb-LOOSE</v>
      </c>
      <c r="G1478" s="13">
        <v>44433</v>
      </c>
      <c r="H1478" s="13">
        <v>44433</v>
      </c>
      <c r="I1478" s="22" t="str">
        <f>VLOOKUP(J1478, Dropdowns!N:O, 2, FALSE)</f>
        <v>Lower Price</v>
      </c>
      <c r="J1478" t="s">
        <v>762</v>
      </c>
      <c r="L1478" s="17" t="s">
        <v>732</v>
      </c>
      <c r="M1478" s="17" t="s">
        <v>9</v>
      </c>
      <c r="N1478" s="17" t="s">
        <v>736</v>
      </c>
    </row>
    <row r="1479" spans="1:14" x14ac:dyDescent="0.25">
      <c r="A1479" s="10">
        <v>982710</v>
      </c>
      <c r="B1479" s="22" t="str">
        <f>IFERROR(VLOOKUP(A1479,VLOOKUPS!$A$2:B$12589,2,FALSE),"")</f>
        <v>Organic* Grapes Green Seedless 2lb-standard</v>
      </c>
      <c r="E1479">
        <v>5.29</v>
      </c>
      <c r="F1479">
        <v>3.99</v>
      </c>
      <c r="G1479" s="13">
        <v>44433</v>
      </c>
      <c r="H1479" s="13">
        <v>44435</v>
      </c>
      <c r="I1479" s="22" t="str">
        <f>VLOOKUP(J1479, Dropdowns!N:O, 2, FALSE)</f>
        <v>Lower Price</v>
      </c>
      <c r="J1479" t="s">
        <v>759</v>
      </c>
      <c r="L1479" s="17" t="s">
        <v>732</v>
      </c>
      <c r="M1479" s="17" t="s">
        <v>10</v>
      </c>
      <c r="N1479" s="17">
        <v>2</v>
      </c>
    </row>
    <row r="1480" spans="1:14" x14ac:dyDescent="0.25">
      <c r="A1480" s="10">
        <v>982710</v>
      </c>
      <c r="B1480" s="22" t="str">
        <f>IFERROR(VLOOKUP(A1480,VLOOKUPS!$A$2:B$12589,2,FALSE),"")</f>
        <v>Organic* Grapes Green Seedless 2lb-standard</v>
      </c>
      <c r="E1480">
        <v>3.99</v>
      </c>
      <c r="F1480">
        <v>5.29</v>
      </c>
      <c r="G1480" s="13">
        <v>44436</v>
      </c>
      <c r="H1480" s="13"/>
      <c r="I1480" s="22" t="str">
        <f>VLOOKUP(J1480, Dropdowns!N:O, 2, FALSE)</f>
        <v>Standard</v>
      </c>
      <c r="J1480" t="s">
        <v>760</v>
      </c>
      <c r="L1480" s="17" t="s">
        <v>732</v>
      </c>
      <c r="M1480" s="17" t="s">
        <v>10</v>
      </c>
      <c r="N1480" s="17">
        <v>2</v>
      </c>
    </row>
    <row r="1481" spans="1:14" x14ac:dyDescent="0.25">
      <c r="A1481" s="10">
        <v>982830</v>
      </c>
      <c r="B1481" s="22" t="str">
        <f>IFERROR(VLOOKUP(A1481,VLOOKUPS!$A$2:B$12589,2,FALSE),"")</f>
        <v>Grapes* Black Seedless 1lb-LOOSE</v>
      </c>
      <c r="E1481">
        <v>1.79</v>
      </c>
      <c r="F1481">
        <v>0.89</v>
      </c>
      <c r="G1481" s="13">
        <v>44433</v>
      </c>
      <c r="H1481" s="13">
        <v>44434</v>
      </c>
      <c r="I1481" s="22" t="str">
        <f>VLOOKUP(J1481, Dropdowns!N:O, 2, FALSE)</f>
        <v>Lower Price</v>
      </c>
      <c r="J1481" t="s">
        <v>759</v>
      </c>
      <c r="L1481" s="17" t="s">
        <v>732</v>
      </c>
      <c r="M1481" s="17" t="s">
        <v>10</v>
      </c>
      <c r="N1481" s="17">
        <v>2</v>
      </c>
    </row>
    <row r="1482" spans="1:14" x14ac:dyDescent="0.25">
      <c r="A1482" s="10">
        <v>982830</v>
      </c>
      <c r="B1482" s="22" t="str">
        <f>IFERROR(VLOOKUP(A1482,VLOOKUPS!$A$2:B$12589,2,FALSE),"")</f>
        <v>Grapes* Black Seedless 1lb-LOOSE</v>
      </c>
      <c r="E1482">
        <v>0.89</v>
      </c>
      <c r="F1482">
        <v>1.79</v>
      </c>
      <c r="G1482" s="13">
        <v>44435</v>
      </c>
      <c r="H1482" s="13"/>
      <c r="I1482" s="22" t="str">
        <f>VLOOKUP(J1482, Dropdowns!N:O, 2, FALSE)</f>
        <v>Standard</v>
      </c>
      <c r="J1482" t="s">
        <v>760</v>
      </c>
      <c r="L1482" s="17" t="s">
        <v>732</v>
      </c>
      <c r="M1482" s="17" t="s">
        <v>10</v>
      </c>
      <c r="N1482" s="17">
        <v>2</v>
      </c>
    </row>
    <row r="1483" spans="1:14" x14ac:dyDescent="0.25">
      <c r="A1483" s="10">
        <v>982740</v>
      </c>
      <c r="B1483" s="22" t="str">
        <f>IFERROR(VLOOKUP(A1483,VLOOKUPS!$A$2:B$12589,2,FALSE),"")</f>
        <v>Grapes* Red Seedless 1lb-LOOSE</v>
      </c>
      <c r="E1483">
        <v>1.59</v>
      </c>
      <c r="F1483">
        <v>0.99</v>
      </c>
      <c r="G1483" s="13">
        <v>44434</v>
      </c>
      <c r="H1483" s="13">
        <v>44435</v>
      </c>
      <c r="I1483" s="22" t="str">
        <f>VLOOKUP(J1483, Dropdowns!N:O, 2, FALSE)</f>
        <v>Lower Price</v>
      </c>
      <c r="J1483" t="s">
        <v>759</v>
      </c>
      <c r="L1483" s="17" t="s">
        <v>732</v>
      </c>
      <c r="M1483" s="17" t="s">
        <v>735</v>
      </c>
      <c r="N1483" s="17" t="s">
        <v>736</v>
      </c>
    </row>
    <row r="1484" spans="1:14" x14ac:dyDescent="0.25">
      <c r="A1484" s="10">
        <v>982740</v>
      </c>
      <c r="B1484" s="22" t="str">
        <f>IFERROR(VLOOKUP(A1484,VLOOKUPS!$A$2:B$12589,2,FALSE),"")</f>
        <v>Grapes* Red Seedless 1lb-LOOSE</v>
      </c>
      <c r="E1484">
        <v>0.99</v>
      </c>
      <c r="F1484">
        <v>1.59</v>
      </c>
      <c r="G1484" s="13">
        <v>44436</v>
      </c>
      <c r="H1484" s="13"/>
      <c r="I1484" s="22" t="str">
        <f>VLOOKUP(J1484, Dropdowns!N:O, 2, FALSE)</f>
        <v>Standard</v>
      </c>
      <c r="J1484" t="s">
        <v>760</v>
      </c>
      <c r="L1484" s="17" t="s">
        <v>732</v>
      </c>
      <c r="M1484" s="17" t="s">
        <v>735</v>
      </c>
      <c r="N1484" s="17" t="s">
        <v>736</v>
      </c>
    </row>
    <row r="1485" spans="1:14" x14ac:dyDescent="0.25">
      <c r="A1485" s="10">
        <v>984582</v>
      </c>
      <c r="B1485" s="22" t="str">
        <f>IFERROR(VLOOKUP(A1485,VLOOKUPS!$A$2:B$12589,2,FALSE),"")</f>
        <v>Organic Blueberries 1pt-standard</v>
      </c>
      <c r="E1485">
        <v>3.86</v>
      </c>
      <c r="F1485">
        <v>3.99</v>
      </c>
      <c r="G1485" s="13">
        <v>44434</v>
      </c>
      <c r="H1485" s="13"/>
      <c r="I1485" s="22" t="str">
        <f>VLOOKUP(J1485, Dropdowns!N:O, 2, FALSE)</f>
        <v>Standard</v>
      </c>
      <c r="J1485" t="s">
        <v>761</v>
      </c>
      <c r="L1485" s="17" t="s">
        <v>732</v>
      </c>
      <c r="M1485" s="17" t="s">
        <v>736</v>
      </c>
      <c r="N1485" s="17" t="s">
        <v>736</v>
      </c>
    </row>
    <row r="1486" spans="1:14" x14ac:dyDescent="0.25">
      <c r="A1486" s="10">
        <v>995050</v>
      </c>
      <c r="B1486" s="22" t="str">
        <f>IFERROR(VLOOKUP(A1486,VLOOKUPS!$A$2:B$12589,2,FALSE),"")</f>
        <v>Organic Bagged Kale 10oz-standard</v>
      </c>
      <c r="E1486">
        <v>2.69</v>
      </c>
      <c r="F1486">
        <v>1.69</v>
      </c>
      <c r="G1486" s="13">
        <v>44434</v>
      </c>
      <c r="H1486" s="13">
        <v>44435</v>
      </c>
      <c r="I1486" s="22" t="str">
        <f>VLOOKUP(J1486, Dropdowns!N:O, 2, FALSE)</f>
        <v>Lower Price</v>
      </c>
      <c r="J1486" t="s">
        <v>759</v>
      </c>
      <c r="L1486" s="17" t="s">
        <v>733</v>
      </c>
      <c r="M1486" s="17" t="s">
        <v>11</v>
      </c>
      <c r="N1486" s="17" t="s">
        <v>740</v>
      </c>
    </row>
    <row r="1487" spans="1:14" x14ac:dyDescent="0.25">
      <c r="A1487" s="10">
        <v>995050</v>
      </c>
      <c r="B1487" s="22" t="str">
        <f>IFERROR(VLOOKUP(A1487,VLOOKUPS!$A$2:B$12589,2,FALSE),"")</f>
        <v>Organic Bagged Kale 10oz-standard</v>
      </c>
      <c r="E1487">
        <v>1.69</v>
      </c>
      <c r="F1487">
        <v>2.69</v>
      </c>
      <c r="G1487" s="13">
        <v>44436</v>
      </c>
      <c r="H1487" s="13"/>
      <c r="I1487" s="22" t="str">
        <f>VLOOKUP(J1487, Dropdowns!N:O, 2, FALSE)</f>
        <v>Standard</v>
      </c>
      <c r="J1487" t="s">
        <v>760</v>
      </c>
      <c r="L1487" s="17" t="s">
        <v>733</v>
      </c>
      <c r="M1487" s="17" t="s">
        <v>11</v>
      </c>
      <c r="N1487" s="17" t="s">
        <v>740</v>
      </c>
    </row>
    <row r="1488" spans="1:14" x14ac:dyDescent="0.25">
      <c r="A1488" s="10">
        <v>995074</v>
      </c>
      <c r="B1488" s="22" t="str">
        <f>IFERROR(VLOOKUP(A1488,VLOOKUPS!$A$2:B$12589,2,FALSE),"")</f>
        <v>Southwest Chopped Salad Kit 12oz-standard</v>
      </c>
      <c r="E1488">
        <v>3.29</v>
      </c>
      <c r="F1488">
        <v>1.99</v>
      </c>
      <c r="G1488" s="13">
        <v>44434</v>
      </c>
      <c r="H1488" s="13">
        <v>44435</v>
      </c>
      <c r="I1488" s="22" t="str">
        <f>VLOOKUP(J1488, Dropdowns!N:O, 2, FALSE)</f>
        <v>Lower Price</v>
      </c>
      <c r="J1488" t="s">
        <v>759</v>
      </c>
      <c r="L1488" s="17" t="s">
        <v>732</v>
      </c>
      <c r="M1488" s="17" t="s">
        <v>9</v>
      </c>
      <c r="N1488" s="17" t="s">
        <v>736</v>
      </c>
    </row>
    <row r="1489" spans="1:14" x14ac:dyDescent="0.25">
      <c r="A1489" s="10">
        <v>995074</v>
      </c>
      <c r="B1489" s="22" t="str">
        <f>IFERROR(VLOOKUP(A1489,VLOOKUPS!$A$2:B$12589,2,FALSE),"")</f>
        <v>Southwest Chopped Salad Kit 12oz-standard</v>
      </c>
      <c r="E1489">
        <v>1.99</v>
      </c>
      <c r="F1489">
        <v>3.29</v>
      </c>
      <c r="G1489" s="13">
        <v>44436</v>
      </c>
      <c r="H1489" s="13"/>
      <c r="I1489" s="22" t="str">
        <f>VLOOKUP(J1489, Dropdowns!N:O, 2, FALSE)</f>
        <v>Standard</v>
      </c>
      <c r="J1489" t="s">
        <v>760</v>
      </c>
      <c r="L1489" s="17" t="s">
        <v>732</v>
      </c>
      <c r="M1489" s="17" t="s">
        <v>9</v>
      </c>
      <c r="N1489" s="17" t="s">
        <v>736</v>
      </c>
    </row>
    <row r="1490" spans="1:14" x14ac:dyDescent="0.25">
      <c r="A1490" s="10">
        <v>984542</v>
      </c>
      <c r="B1490" s="22" t="str">
        <f>IFERROR(VLOOKUP(A1490,VLOOKUPS!$A$2:B$12589,2,FALSE),"")</f>
        <v>Blueberries 18oz-standard</v>
      </c>
      <c r="E1490">
        <v>2.89</v>
      </c>
      <c r="F1490">
        <v>4.1900000000000004</v>
      </c>
      <c r="G1490" s="13">
        <v>44434</v>
      </c>
      <c r="H1490" s="13"/>
      <c r="I1490" s="22" t="str">
        <f>VLOOKUP(J1490, Dropdowns!N:O, 2, FALSE)</f>
        <v>Standard</v>
      </c>
      <c r="J1490" t="s">
        <v>760</v>
      </c>
      <c r="L1490" s="17" t="s">
        <v>732</v>
      </c>
      <c r="M1490" s="17" t="s">
        <v>9</v>
      </c>
      <c r="N1490" s="17" t="s">
        <v>736</v>
      </c>
    </row>
    <row r="1491" spans="1:14" x14ac:dyDescent="0.25">
      <c r="A1491" s="10">
        <v>982650</v>
      </c>
      <c r="B1491" s="22" t="str">
        <f>IFERROR(VLOOKUP(A1491,VLOOKUPS!$A$2:B$12589,2,FALSE),"")</f>
        <v>Grapes* Green Seedless 1lb-LOOSE</v>
      </c>
      <c r="E1491">
        <v>1.19</v>
      </c>
      <c r="F1491">
        <v>1.89</v>
      </c>
      <c r="G1491" s="13">
        <v>44434</v>
      </c>
      <c r="H1491" s="13"/>
      <c r="I1491" s="22" t="str">
        <f>VLOOKUP(J1491, Dropdowns!N:O, 2, FALSE)</f>
        <v>Standard</v>
      </c>
      <c r="J1491" t="s">
        <v>760</v>
      </c>
      <c r="L1491" s="17" t="s">
        <v>732</v>
      </c>
      <c r="M1491" s="17" t="s">
        <v>9</v>
      </c>
      <c r="N1491" s="17" t="s">
        <v>736</v>
      </c>
    </row>
    <row r="1492" spans="1:14" x14ac:dyDescent="0.25">
      <c r="A1492" s="10">
        <v>983101</v>
      </c>
      <c r="B1492" s="22" t="str">
        <f>IFERROR(VLOOKUP(A1492,VLOOKUPS!$A$2:B$12589,2,FALSE),"")</f>
        <v>Melons Cantaloupes 1ct-LOOSE</v>
      </c>
      <c r="E1492">
        <v>2.59</v>
      </c>
      <c r="F1492">
        <v>1.79</v>
      </c>
      <c r="G1492" s="13">
        <v>44435</v>
      </c>
      <c r="H1492" s="13">
        <v>44436</v>
      </c>
      <c r="I1492" s="22" t="str">
        <f>VLOOKUP(J1492, Dropdowns!N:O, 2, FALSE)</f>
        <v>Lower Price</v>
      </c>
      <c r="J1492" t="s">
        <v>759</v>
      </c>
      <c r="L1492" s="17" t="s">
        <v>733</v>
      </c>
      <c r="M1492" s="17" t="s">
        <v>11</v>
      </c>
      <c r="N1492" s="17" t="s">
        <v>740</v>
      </c>
    </row>
    <row r="1493" spans="1:14" x14ac:dyDescent="0.25">
      <c r="A1493" s="10">
        <v>983101</v>
      </c>
      <c r="B1493" s="22" t="str">
        <f>IFERROR(VLOOKUP(A1493,VLOOKUPS!$A$2:B$12589,2,FALSE),"")</f>
        <v>Melons Cantaloupes 1ct-LOOSE</v>
      </c>
      <c r="E1493">
        <v>1.79</v>
      </c>
      <c r="F1493">
        <v>2.59</v>
      </c>
      <c r="G1493" s="13">
        <v>44437</v>
      </c>
      <c r="H1493" s="13"/>
      <c r="I1493" s="22" t="str">
        <f>VLOOKUP(J1493, Dropdowns!N:O, 2, FALSE)</f>
        <v>Standard</v>
      </c>
      <c r="J1493" t="s">
        <v>760</v>
      </c>
      <c r="L1493" s="17" t="s">
        <v>733</v>
      </c>
      <c r="M1493" s="17" t="s">
        <v>11</v>
      </c>
      <c r="N1493" s="17" t="s">
        <v>740</v>
      </c>
    </row>
    <row r="1494" spans="1:14" x14ac:dyDescent="0.25">
      <c r="A1494" s="10">
        <v>983251</v>
      </c>
      <c r="B1494" s="22" t="str">
        <f>IFERROR(VLOOKUP(A1494,VLOOKUPS!$A$2:B$12589,2,FALSE),"")</f>
        <v>Watermelons Large Seedless 1ct-LOOSE</v>
      </c>
      <c r="E1494">
        <v>4.6900000000000004</v>
      </c>
      <c r="F1494">
        <v>4.4800000000000004</v>
      </c>
      <c r="G1494" s="13">
        <v>44435</v>
      </c>
      <c r="H1494" s="13"/>
      <c r="I1494" s="22" t="str">
        <f>VLOOKUP(J1494, Dropdowns!N:O, 2, FALSE)</f>
        <v>Standard</v>
      </c>
      <c r="J1494" t="s">
        <v>761</v>
      </c>
      <c r="L1494" s="17" t="s">
        <v>732</v>
      </c>
      <c r="M1494" s="17" t="s">
        <v>735</v>
      </c>
      <c r="N1494" s="17" t="s">
        <v>736</v>
      </c>
    </row>
    <row r="1495" spans="1:14" x14ac:dyDescent="0.25">
      <c r="A1495" s="10">
        <v>984460</v>
      </c>
      <c r="B1495" s="22" t="str">
        <f>IFERROR(VLOOKUP(A1495,VLOOKUPS!$A$2:B$12589,2,FALSE),"")</f>
        <v>Strawberries 1lb-standard</v>
      </c>
      <c r="E1495">
        <v>2.19</v>
      </c>
      <c r="F1495">
        <v>2.29</v>
      </c>
      <c r="G1495" s="13">
        <v>44435</v>
      </c>
      <c r="H1495" s="13"/>
      <c r="I1495" s="22" t="str">
        <f>VLOOKUP(J1495, Dropdowns!N:O, 2, FALSE)</f>
        <v>Standard</v>
      </c>
      <c r="J1495" t="s">
        <v>761</v>
      </c>
      <c r="L1495" s="17" t="s">
        <v>732</v>
      </c>
      <c r="M1495" s="17" t="s">
        <v>736</v>
      </c>
      <c r="N1495" s="17" t="s">
        <v>736</v>
      </c>
    </row>
    <row r="1496" spans="1:14" x14ac:dyDescent="0.25">
      <c r="A1496" s="10">
        <v>984500</v>
      </c>
      <c r="B1496" s="22" t="str">
        <f>IFERROR(VLOOKUP(A1496,VLOOKUPS!$A$2:B$12589,2,FALSE),"")</f>
        <v>Organic Strawberries 1lb-standard</v>
      </c>
      <c r="E1496">
        <v>2.89</v>
      </c>
      <c r="F1496">
        <v>2.97</v>
      </c>
      <c r="G1496" s="13">
        <v>44435</v>
      </c>
      <c r="H1496" s="13"/>
      <c r="I1496" s="22" t="str">
        <f>VLOOKUP(J1496, Dropdowns!N:O, 2, FALSE)</f>
        <v>Standard</v>
      </c>
      <c r="J1496" t="s">
        <v>761</v>
      </c>
      <c r="L1496" s="17" t="s">
        <v>732</v>
      </c>
      <c r="M1496" s="17" t="s">
        <v>736</v>
      </c>
      <c r="N1496" s="17" t="s">
        <v>736</v>
      </c>
    </row>
    <row r="1497" spans="1:14" x14ac:dyDescent="0.25">
      <c r="A1497" s="10">
        <v>984541</v>
      </c>
      <c r="B1497" s="22" t="str">
        <f>IFERROR(VLOOKUP(A1497,VLOOKUPS!$A$2:B$12589,2,FALSE),"")</f>
        <v>Blueberries 1pt-standard</v>
      </c>
      <c r="E1497">
        <v>2.89</v>
      </c>
      <c r="F1497">
        <v>3.19</v>
      </c>
      <c r="G1497" s="13">
        <v>44435</v>
      </c>
      <c r="H1497" s="13"/>
      <c r="I1497" s="22" t="str">
        <f>VLOOKUP(J1497, Dropdowns!N:O, 2, FALSE)</f>
        <v>Standard</v>
      </c>
      <c r="J1497" t="s">
        <v>761</v>
      </c>
      <c r="L1497" s="17" t="s">
        <v>732</v>
      </c>
      <c r="M1497" s="17" t="s">
        <v>735</v>
      </c>
      <c r="N1497" s="17" t="s">
        <v>736</v>
      </c>
    </row>
    <row r="1498" spans="1:14" x14ac:dyDescent="0.25">
      <c r="A1498" s="10">
        <v>984542</v>
      </c>
      <c r="B1498" s="22" t="str">
        <f>IFERROR(VLOOKUP(A1498,VLOOKUPS!$A$2:B$12589,2,FALSE),"")</f>
        <v>Blueberries 18oz-standard</v>
      </c>
      <c r="E1498">
        <v>4.1900000000000004</v>
      </c>
      <c r="F1498">
        <v>4.99</v>
      </c>
      <c r="G1498" s="13">
        <v>44435</v>
      </c>
      <c r="H1498" s="13"/>
      <c r="I1498" s="22" t="str">
        <f>VLOOKUP(J1498, Dropdowns!N:O, 2, FALSE)</f>
        <v>Standard</v>
      </c>
      <c r="J1498" t="s">
        <v>761</v>
      </c>
      <c r="L1498" s="17" t="s">
        <v>732</v>
      </c>
      <c r="M1498" s="17" t="s">
        <v>736</v>
      </c>
      <c r="N1498" s="17" t="s">
        <v>736</v>
      </c>
    </row>
    <row r="1499" spans="1:14" x14ac:dyDescent="0.25">
      <c r="A1499" s="10">
        <v>984582</v>
      </c>
      <c r="B1499" s="22" t="str">
        <f>IFERROR(VLOOKUP(A1499,VLOOKUPS!$A$2:B$12589,2,FALSE),"")</f>
        <v>Organic Blueberries 1pt-standard</v>
      </c>
      <c r="E1499">
        <v>3.99</v>
      </c>
      <c r="F1499">
        <v>4.29</v>
      </c>
      <c r="G1499" s="13">
        <v>44435</v>
      </c>
      <c r="H1499" s="13"/>
      <c r="I1499" s="22" t="str">
        <f>VLOOKUP(J1499, Dropdowns!N:O, 2, FALSE)</f>
        <v>Standard</v>
      </c>
      <c r="J1499" t="s">
        <v>761</v>
      </c>
      <c r="L1499" s="17" t="s">
        <v>732</v>
      </c>
      <c r="M1499" s="17" t="s">
        <v>736</v>
      </c>
      <c r="N1499" s="17" t="s">
        <v>736</v>
      </c>
    </row>
    <row r="1500" spans="1:14" x14ac:dyDescent="0.25">
      <c r="A1500" s="10">
        <v>984700</v>
      </c>
      <c r="B1500" s="22" t="str">
        <f>IFERROR(VLOOKUP(A1500,VLOOKUPS!$A$2:B$12589,2,FALSE),"")</f>
        <v>Blackberries 6oz-standard</v>
      </c>
      <c r="E1500">
        <v>2.48</v>
      </c>
      <c r="F1500">
        <v>2.4900000000000002</v>
      </c>
      <c r="G1500" s="13">
        <v>44435</v>
      </c>
      <c r="H1500" s="13"/>
      <c r="I1500" s="22" t="str">
        <f>VLOOKUP(J1500, Dropdowns!N:O, 2, FALSE)</f>
        <v>Standard</v>
      </c>
      <c r="J1500" t="s">
        <v>761</v>
      </c>
      <c r="L1500" s="17" t="s">
        <v>732</v>
      </c>
      <c r="M1500" s="17" t="s">
        <v>736</v>
      </c>
      <c r="N1500" s="17" t="s">
        <v>736</v>
      </c>
    </row>
    <row r="1501" spans="1:14" x14ac:dyDescent="0.25">
      <c r="A1501" s="10">
        <v>985190</v>
      </c>
      <c r="B1501" s="22" t="str">
        <f>IFERROR(VLOOKUP(A1501,VLOOKUPS!$A$2:B$12589,2,FALSE),"")</f>
        <v>Organic Romaine Hearts 3ct-standard</v>
      </c>
      <c r="E1501">
        <v>2.79</v>
      </c>
      <c r="F1501">
        <v>3.39</v>
      </c>
      <c r="G1501" s="13">
        <v>44435</v>
      </c>
      <c r="H1501" s="13"/>
      <c r="I1501" s="22" t="str">
        <f>VLOOKUP(J1501, Dropdowns!N:O, 2, FALSE)</f>
        <v>Standard</v>
      </c>
      <c r="J1501" t="s">
        <v>761</v>
      </c>
      <c r="L1501" s="17" t="s">
        <v>732</v>
      </c>
      <c r="M1501" s="17" t="s">
        <v>736</v>
      </c>
      <c r="N1501" s="17" t="s">
        <v>736</v>
      </c>
    </row>
    <row r="1502" spans="1:14" x14ac:dyDescent="0.25">
      <c r="A1502" s="10">
        <v>985760</v>
      </c>
      <c r="B1502" s="22" t="str">
        <f>IFERROR(VLOOKUP(A1502,VLOOKUPS!$A$2:B$12589,2,FALSE),"")</f>
        <v>Asparagus 1lb-standard</v>
      </c>
      <c r="E1502">
        <v>2.99</v>
      </c>
      <c r="F1502">
        <v>1.99</v>
      </c>
      <c r="G1502" s="13">
        <v>44435</v>
      </c>
      <c r="H1502" s="13">
        <v>44436</v>
      </c>
      <c r="I1502" s="22" t="str">
        <f>VLOOKUP(J1502, Dropdowns!N:O, 2, FALSE)</f>
        <v>Lower Price</v>
      </c>
      <c r="J1502" t="s">
        <v>759</v>
      </c>
      <c r="L1502" s="17" t="s">
        <v>732</v>
      </c>
      <c r="M1502" s="17" t="s">
        <v>737</v>
      </c>
      <c r="N1502" s="17" t="s">
        <v>736</v>
      </c>
    </row>
    <row r="1503" spans="1:14" x14ac:dyDescent="0.25">
      <c r="A1503" s="10">
        <v>985760</v>
      </c>
      <c r="B1503" s="22" t="str">
        <f>IFERROR(VLOOKUP(A1503,VLOOKUPS!$A$2:B$12589,2,FALSE),"")</f>
        <v>Asparagus 1lb-standard</v>
      </c>
      <c r="E1503">
        <v>1.99</v>
      </c>
      <c r="F1503">
        <v>2.99</v>
      </c>
      <c r="G1503" s="13">
        <v>44437</v>
      </c>
      <c r="H1503" s="13"/>
      <c r="I1503" s="22" t="str">
        <f>VLOOKUP(J1503, Dropdowns!N:O, 2, FALSE)</f>
        <v>Standard</v>
      </c>
      <c r="J1503" t="s">
        <v>760</v>
      </c>
      <c r="L1503" s="17" t="s">
        <v>732</v>
      </c>
      <c r="M1503" s="17" t="s">
        <v>737</v>
      </c>
      <c r="N1503" s="17" t="s">
        <v>736</v>
      </c>
    </row>
    <row r="1504" spans="1:14" x14ac:dyDescent="0.25">
      <c r="A1504" s="10">
        <v>995021</v>
      </c>
      <c r="B1504" s="22" t="str">
        <f>IFERROR(VLOOKUP(A1504,VLOOKUPS!$A$2:B$12589,2,FALSE),"")</f>
        <v>Chopped Bacon Caesar Kit 10.2oz-standard</v>
      </c>
      <c r="E1504">
        <v>3.29</v>
      </c>
      <c r="F1504">
        <v>3.49</v>
      </c>
      <c r="G1504" s="13">
        <v>44435</v>
      </c>
      <c r="H1504" s="13"/>
      <c r="I1504" s="22" t="str">
        <f>VLOOKUP(J1504, Dropdowns!N:O, 2, FALSE)</f>
        <v>Standard</v>
      </c>
      <c r="J1504" t="s">
        <v>761</v>
      </c>
      <c r="L1504" s="17" t="s">
        <v>732</v>
      </c>
      <c r="M1504" s="17" t="s">
        <v>736</v>
      </c>
      <c r="N1504" s="17" t="s">
        <v>736</v>
      </c>
    </row>
    <row r="1505" spans="1:14" x14ac:dyDescent="0.25">
      <c r="A1505" s="10">
        <v>995032</v>
      </c>
      <c r="B1505" s="22" t="str">
        <f>IFERROR(VLOOKUP(A1505,VLOOKUPS!$A$2:B$12589,2,FALSE),"")</f>
        <v>Chopped Sunflower Crunch Kit 12.2oz-standard</v>
      </c>
      <c r="E1505">
        <v>3.29</v>
      </c>
      <c r="F1505">
        <v>3.49</v>
      </c>
      <c r="G1505" s="13">
        <v>44435</v>
      </c>
      <c r="H1505" s="13"/>
      <c r="I1505" s="22" t="str">
        <f>VLOOKUP(J1505, Dropdowns!N:O, 2, FALSE)</f>
        <v>Standard</v>
      </c>
      <c r="J1505" t="s">
        <v>761</v>
      </c>
      <c r="L1505" s="17" t="s">
        <v>732</v>
      </c>
      <c r="M1505" s="17" t="s">
        <v>736</v>
      </c>
      <c r="N1505" s="17" t="s">
        <v>736</v>
      </c>
    </row>
    <row r="1506" spans="1:14" x14ac:dyDescent="0.25">
      <c r="A1506" s="10">
        <v>995100</v>
      </c>
      <c r="B1506" s="22" t="str">
        <f>IFERROR(VLOOKUP(A1506,VLOOKUPS!$A$2:B$12589,2,FALSE),"")</f>
        <v>Asian Chopped Salad Kit 12oz-standard</v>
      </c>
      <c r="E1506">
        <v>3.29</v>
      </c>
      <c r="F1506">
        <v>3.49</v>
      </c>
      <c r="G1506" s="13">
        <v>44435</v>
      </c>
      <c r="H1506" s="13"/>
      <c r="I1506" s="22" t="str">
        <f>VLOOKUP(J1506, Dropdowns!N:O, 2, FALSE)</f>
        <v>Standard</v>
      </c>
      <c r="J1506" t="s">
        <v>761</v>
      </c>
      <c r="L1506" s="17" t="s">
        <v>732</v>
      </c>
      <c r="M1506" s="17" t="s">
        <v>736</v>
      </c>
      <c r="N1506" s="17" t="s">
        <v>736</v>
      </c>
    </row>
    <row r="1507" spans="1:14" x14ac:dyDescent="0.25">
      <c r="A1507" s="10">
        <v>995101</v>
      </c>
      <c r="B1507" s="22" t="str">
        <f>IFERROR(VLOOKUP(A1507,VLOOKUPS!$A$2:B$12589,2,FALSE),"")</f>
        <v>Avocado Ranch Salad Kit 11.3oz-standard</v>
      </c>
      <c r="E1507">
        <v>3.29</v>
      </c>
      <c r="F1507">
        <v>3.49</v>
      </c>
      <c r="G1507" s="13">
        <v>44435</v>
      </c>
      <c r="H1507" s="13"/>
      <c r="I1507" s="22" t="str">
        <f>VLOOKUP(J1507, Dropdowns!N:O, 2, FALSE)</f>
        <v>Standard</v>
      </c>
      <c r="J1507" t="s">
        <v>761</v>
      </c>
      <c r="L1507" s="17" t="s">
        <v>732</v>
      </c>
      <c r="M1507" s="17" t="s">
        <v>9</v>
      </c>
      <c r="N1507" s="17" t="s">
        <v>736</v>
      </c>
    </row>
    <row r="1508" spans="1:14" x14ac:dyDescent="0.25">
      <c r="A1508" s="10">
        <v>995101</v>
      </c>
      <c r="B1508" s="22" t="str">
        <f>IFERROR(VLOOKUP(A1508,VLOOKUPS!$A$2:B$12589,2,FALSE),"")</f>
        <v>Avocado Ranch Salad Kit 11.3oz-standard</v>
      </c>
      <c r="E1508">
        <v>2.39</v>
      </c>
      <c r="F1508">
        <v>3.49</v>
      </c>
      <c r="G1508" s="13">
        <v>44435</v>
      </c>
      <c r="H1508" s="13"/>
      <c r="I1508" s="22" t="str">
        <f>VLOOKUP(J1508, Dropdowns!N:O, 2, FALSE)</f>
        <v>Standard</v>
      </c>
      <c r="J1508" t="s">
        <v>761</v>
      </c>
      <c r="L1508" s="17" t="s">
        <v>733</v>
      </c>
      <c r="M1508" s="17" t="s">
        <v>11</v>
      </c>
      <c r="N1508" s="17" t="s">
        <v>740</v>
      </c>
    </row>
    <row r="1509" spans="1:14" x14ac:dyDescent="0.25">
      <c r="A1509" s="10">
        <v>995109</v>
      </c>
      <c r="B1509" s="22" t="str">
        <f>IFERROR(VLOOKUP(A1509,VLOOKUPS!$A$2:B$12589,2,FALSE),"")</f>
        <v>Mediterranean Chopped Salad 11oz-standard</v>
      </c>
      <c r="E1509">
        <v>3.29</v>
      </c>
      <c r="F1509">
        <v>1.99</v>
      </c>
      <c r="G1509" s="13">
        <v>44435</v>
      </c>
      <c r="H1509" s="13">
        <v>44436</v>
      </c>
      <c r="I1509" s="22" t="str">
        <f>VLOOKUP(J1509, Dropdowns!N:O, 2, FALSE)</f>
        <v>Lower Price</v>
      </c>
      <c r="J1509" t="s">
        <v>759</v>
      </c>
      <c r="L1509" s="17" t="s">
        <v>733</v>
      </c>
      <c r="M1509" s="17" t="s">
        <v>11</v>
      </c>
      <c r="N1509" s="17" t="s">
        <v>740</v>
      </c>
    </row>
    <row r="1510" spans="1:14" x14ac:dyDescent="0.25">
      <c r="A1510" s="10">
        <v>995109</v>
      </c>
      <c r="B1510" s="22" t="str">
        <f>IFERROR(VLOOKUP(A1510,VLOOKUPS!$A$2:B$12589,2,FALSE),"")</f>
        <v>Mediterranean Chopped Salad 11oz-standard</v>
      </c>
      <c r="E1510">
        <v>1.99</v>
      </c>
      <c r="F1510">
        <v>3.29</v>
      </c>
      <c r="G1510" s="13">
        <v>44437</v>
      </c>
      <c r="H1510" s="13"/>
      <c r="I1510" s="22" t="str">
        <f>VLOOKUP(J1510, Dropdowns!N:O, 2, FALSE)</f>
        <v>Standard</v>
      </c>
      <c r="J1510" t="s">
        <v>760</v>
      </c>
      <c r="L1510" s="17" t="s">
        <v>733</v>
      </c>
      <c r="M1510" s="17" t="s">
        <v>11</v>
      </c>
      <c r="N1510" s="17" t="s">
        <v>740</v>
      </c>
    </row>
    <row r="1511" spans="1:14" x14ac:dyDescent="0.25">
      <c r="A1511" s="10">
        <v>995147</v>
      </c>
      <c r="B1511" s="22" t="str">
        <f>IFERROR(VLOOKUP(A1511,VLOOKUPS!$A$2:B$12589,2,FALSE),"")</f>
        <v>Celery Sticks 1.25lb-standard</v>
      </c>
      <c r="E1511">
        <v>2.74</v>
      </c>
      <c r="F1511">
        <v>1.74</v>
      </c>
      <c r="G1511" s="13">
        <v>44435</v>
      </c>
      <c r="H1511" s="13">
        <v>44436</v>
      </c>
      <c r="I1511" s="22" t="str">
        <f>VLOOKUP(J1511, Dropdowns!N:O, 2, FALSE)</f>
        <v>Lower Price</v>
      </c>
      <c r="J1511" t="s">
        <v>759</v>
      </c>
      <c r="L1511" s="17" t="s">
        <v>733</v>
      </c>
      <c r="M1511" s="17" t="s">
        <v>11</v>
      </c>
      <c r="N1511" s="17" t="s">
        <v>740</v>
      </c>
    </row>
    <row r="1512" spans="1:14" x14ac:dyDescent="0.25">
      <c r="A1512" s="10">
        <v>995147</v>
      </c>
      <c r="B1512" s="22" t="str">
        <f>IFERROR(VLOOKUP(A1512,VLOOKUPS!$A$2:B$12589,2,FALSE),"")</f>
        <v>Celery Sticks 1.25lb-standard</v>
      </c>
      <c r="E1512">
        <v>1.74</v>
      </c>
      <c r="F1512">
        <v>2.74</v>
      </c>
      <c r="G1512" s="13">
        <v>44437</v>
      </c>
      <c r="H1512" s="13"/>
      <c r="I1512" s="22" t="str">
        <f>VLOOKUP(J1512, Dropdowns!N:O, 2, FALSE)</f>
        <v>Standard</v>
      </c>
      <c r="J1512" t="s">
        <v>760</v>
      </c>
      <c r="L1512" s="17" t="s">
        <v>733</v>
      </c>
      <c r="M1512" s="17" t="s">
        <v>11</v>
      </c>
      <c r="N1512" s="17" t="s">
        <v>740</v>
      </c>
    </row>
    <row r="1513" spans="1:14" x14ac:dyDescent="0.25">
      <c r="A1513" s="10">
        <v>982800</v>
      </c>
      <c r="B1513" s="22" t="str">
        <f>IFERROR(VLOOKUP(A1513,VLOOKUPS!$A$2:B$12589,2,FALSE),"")</f>
        <v>Organic* Grapes Red Seedless 2lb-standard</v>
      </c>
      <c r="E1513">
        <v>4.99</v>
      </c>
      <c r="F1513">
        <v>3.49</v>
      </c>
      <c r="G1513" s="13">
        <v>44435</v>
      </c>
      <c r="H1513" s="13">
        <v>44436</v>
      </c>
      <c r="I1513" s="22" t="str">
        <f>VLOOKUP(J1513, Dropdowns!N:O, 2, FALSE)</f>
        <v>Lower Price</v>
      </c>
      <c r="J1513" t="s">
        <v>759</v>
      </c>
      <c r="L1513" s="17" t="s">
        <v>732</v>
      </c>
      <c r="M1513" s="17" t="s">
        <v>10</v>
      </c>
      <c r="N1513" s="17">
        <v>2</v>
      </c>
    </row>
    <row r="1514" spans="1:14" x14ac:dyDescent="0.25">
      <c r="A1514" s="10">
        <v>982800</v>
      </c>
      <c r="B1514" s="22" t="str">
        <f>IFERROR(VLOOKUP(A1514,VLOOKUPS!$A$2:B$12589,2,FALSE),"")</f>
        <v>Organic* Grapes Red Seedless 2lb-standard</v>
      </c>
      <c r="E1514">
        <v>3.49</v>
      </c>
      <c r="F1514">
        <v>4.99</v>
      </c>
      <c r="G1514" s="13">
        <v>44437</v>
      </c>
      <c r="H1514" s="13"/>
      <c r="I1514" s="22" t="str">
        <f>VLOOKUP(J1514, Dropdowns!N:O, 2, FALSE)</f>
        <v>Standard</v>
      </c>
      <c r="J1514" t="s">
        <v>760</v>
      </c>
      <c r="L1514" s="17" t="s">
        <v>732</v>
      </c>
      <c r="M1514" s="17" t="s">
        <v>10</v>
      </c>
      <c r="N1514" s="17">
        <v>2</v>
      </c>
    </row>
    <row r="1515" spans="1:14" x14ac:dyDescent="0.25">
      <c r="A1515" s="10">
        <v>982710</v>
      </c>
      <c r="B1515" s="22" t="str">
        <f>IFERROR(VLOOKUP(A1515,VLOOKUPS!$A$2:B$12589,2,FALSE),"")</f>
        <v>Organic* Grapes Green Seedless 2lb-standard</v>
      </c>
      <c r="E1515">
        <v>5.29</v>
      </c>
      <c r="F1515">
        <v>3.49</v>
      </c>
      <c r="G1515" s="13">
        <v>44436</v>
      </c>
      <c r="H1515" s="13">
        <v>44437</v>
      </c>
      <c r="I1515" s="22" t="str">
        <f>VLOOKUP(J1515, Dropdowns!N:O, 2, FALSE)</f>
        <v>Lower Price</v>
      </c>
      <c r="J1515" t="s">
        <v>759</v>
      </c>
      <c r="L1515" s="17" t="s">
        <v>733</v>
      </c>
      <c r="M1515" s="17" t="s">
        <v>11</v>
      </c>
      <c r="N1515" s="17" t="s">
        <v>740</v>
      </c>
    </row>
    <row r="1516" spans="1:14" x14ac:dyDescent="0.25">
      <c r="A1516" s="10">
        <v>982710</v>
      </c>
      <c r="B1516" s="22" t="str">
        <f>IFERROR(VLOOKUP(A1516,VLOOKUPS!$A$2:B$12589,2,FALSE),"")</f>
        <v>Organic* Grapes Green Seedless 2lb-standard</v>
      </c>
      <c r="E1516">
        <v>3.49</v>
      </c>
      <c r="F1516">
        <v>5.29</v>
      </c>
      <c r="G1516" s="13">
        <v>44438</v>
      </c>
      <c r="H1516" s="13"/>
      <c r="I1516" s="22" t="str">
        <f>VLOOKUP(J1516, Dropdowns!N:O, 2, FALSE)</f>
        <v>Standard</v>
      </c>
      <c r="J1516" t="s">
        <v>760</v>
      </c>
      <c r="L1516" s="17" t="s">
        <v>733</v>
      </c>
      <c r="M1516" s="17" t="s">
        <v>11</v>
      </c>
      <c r="N1516" s="17" t="s">
        <v>740</v>
      </c>
    </row>
    <row r="1517" spans="1:14" x14ac:dyDescent="0.25">
      <c r="A1517" s="10">
        <v>983151</v>
      </c>
      <c r="B1517" s="22" t="str">
        <f>IFERROR(VLOOKUP(A1517,VLOOKUPS!$A$2:B$12589,2,FALSE),"")</f>
        <v>Melons* Golden Honeydew 1ct-LOOSE</v>
      </c>
      <c r="E1517">
        <v>3.46</v>
      </c>
      <c r="F1517">
        <v>3.88</v>
      </c>
      <c r="G1517" s="13">
        <v>44436</v>
      </c>
      <c r="H1517" s="13"/>
      <c r="I1517" s="22" t="str">
        <f>VLOOKUP(J1517, Dropdowns!N:O, 2, FALSE)</f>
        <v>Standard</v>
      </c>
      <c r="J1517" t="s">
        <v>761</v>
      </c>
      <c r="L1517" s="17" t="s">
        <v>732</v>
      </c>
      <c r="M1517" s="17" t="s">
        <v>736</v>
      </c>
      <c r="N1517" s="17" t="s">
        <v>736</v>
      </c>
    </row>
    <row r="1518" spans="1:14" x14ac:dyDescent="0.25">
      <c r="A1518" s="10">
        <v>983251</v>
      </c>
      <c r="B1518" s="22" t="str">
        <f>IFERROR(VLOOKUP(A1518,VLOOKUPS!$A$2:B$12589,2,FALSE),"")</f>
        <v>Watermelons Large Seedless 1ct-LOOSE</v>
      </c>
      <c r="E1518">
        <v>4.6900000000000004</v>
      </c>
      <c r="F1518">
        <v>4.4800000000000004</v>
      </c>
      <c r="G1518" s="13">
        <v>44436</v>
      </c>
      <c r="H1518" s="13"/>
      <c r="I1518" s="22" t="str">
        <f>VLOOKUP(J1518, Dropdowns!N:O, 2, FALSE)</f>
        <v>Standard</v>
      </c>
      <c r="J1518" t="s">
        <v>761</v>
      </c>
      <c r="L1518" s="17" t="s">
        <v>733</v>
      </c>
      <c r="M1518" s="17" t="s">
        <v>11</v>
      </c>
      <c r="N1518" s="17" t="s">
        <v>740</v>
      </c>
    </row>
    <row r="1519" spans="1:14" x14ac:dyDescent="0.25">
      <c r="A1519" s="10">
        <v>984541</v>
      </c>
      <c r="B1519" s="22" t="str">
        <f>IFERROR(VLOOKUP(A1519,VLOOKUPS!$A$2:B$12589,2,FALSE),"")</f>
        <v>Blueberries 1pt-standard</v>
      </c>
      <c r="E1519">
        <v>3.19</v>
      </c>
      <c r="F1519">
        <v>2.19</v>
      </c>
      <c r="G1519" s="13">
        <v>44436</v>
      </c>
      <c r="H1519" s="13">
        <v>44437</v>
      </c>
      <c r="I1519" s="22" t="str">
        <f>VLOOKUP(J1519, Dropdowns!N:O, 2, FALSE)</f>
        <v>Lower Price</v>
      </c>
      <c r="J1519" t="s">
        <v>759</v>
      </c>
      <c r="L1519" s="17" t="s">
        <v>732</v>
      </c>
      <c r="M1519" s="17" t="s">
        <v>735</v>
      </c>
      <c r="N1519" s="17" t="s">
        <v>736</v>
      </c>
    </row>
    <row r="1520" spans="1:14" x14ac:dyDescent="0.25">
      <c r="A1520" s="10">
        <v>984541</v>
      </c>
      <c r="B1520" s="22" t="str">
        <f>IFERROR(VLOOKUP(A1520,VLOOKUPS!$A$2:B$12589,2,FALSE),"")</f>
        <v>Blueberries 1pt-standard</v>
      </c>
      <c r="E1520">
        <v>2.19</v>
      </c>
      <c r="F1520">
        <v>3.19</v>
      </c>
      <c r="G1520" s="13">
        <v>44438</v>
      </c>
      <c r="H1520" s="13"/>
      <c r="I1520" s="22" t="str">
        <f>VLOOKUP(J1520, Dropdowns!N:O, 2, FALSE)</f>
        <v>Standard</v>
      </c>
      <c r="J1520" t="s">
        <v>760</v>
      </c>
      <c r="L1520" s="17" t="s">
        <v>732</v>
      </c>
      <c r="M1520" s="17" t="s">
        <v>735</v>
      </c>
      <c r="N1520" s="17" t="s">
        <v>736</v>
      </c>
    </row>
    <row r="1521" spans="1:14" x14ac:dyDescent="0.25">
      <c r="A1521" s="10">
        <v>995032</v>
      </c>
      <c r="B1521" s="22" t="str">
        <f>IFERROR(VLOOKUP(A1521,VLOOKUPS!$A$2:B$12589,2,FALSE),"")</f>
        <v>Chopped Sunflower Crunch Kit 12.2oz-standard</v>
      </c>
      <c r="E1521">
        <v>3.49</v>
      </c>
      <c r="F1521">
        <v>2.4900000000000002</v>
      </c>
      <c r="G1521" s="13">
        <v>44436</v>
      </c>
      <c r="H1521" s="13">
        <v>44437</v>
      </c>
      <c r="I1521" s="22" t="str">
        <f>VLOOKUP(J1521, Dropdowns!N:O, 2, FALSE)</f>
        <v>Lower Price</v>
      </c>
      <c r="J1521" t="s">
        <v>759</v>
      </c>
      <c r="L1521" s="17" t="s">
        <v>733</v>
      </c>
      <c r="M1521" s="17" t="s">
        <v>11</v>
      </c>
      <c r="N1521" s="17" t="s">
        <v>740</v>
      </c>
    </row>
    <row r="1522" spans="1:14" x14ac:dyDescent="0.25">
      <c r="A1522" s="10">
        <v>995032</v>
      </c>
      <c r="B1522" s="22" t="str">
        <f>IFERROR(VLOOKUP(A1522,VLOOKUPS!$A$2:B$12589,2,FALSE),"")</f>
        <v>Chopped Sunflower Crunch Kit 12.2oz-standard</v>
      </c>
      <c r="E1522">
        <v>2.4900000000000002</v>
      </c>
      <c r="F1522">
        <v>3.49</v>
      </c>
      <c r="G1522" s="13">
        <v>44438</v>
      </c>
      <c r="H1522" s="13"/>
      <c r="I1522" s="22" t="str">
        <f>VLOOKUP(J1522, Dropdowns!N:O, 2, FALSE)</f>
        <v>Standard</v>
      </c>
      <c r="J1522" t="s">
        <v>760</v>
      </c>
      <c r="L1522" s="17" t="s">
        <v>733</v>
      </c>
      <c r="M1522" s="17" t="s">
        <v>11</v>
      </c>
      <c r="N1522" s="17" t="s">
        <v>740</v>
      </c>
    </row>
    <row r="1523" spans="1:14" x14ac:dyDescent="0.25">
      <c r="A1523" s="10">
        <v>995074</v>
      </c>
      <c r="B1523" s="22" t="str">
        <f>IFERROR(VLOOKUP(A1523,VLOOKUPS!$A$2:B$12589,2,FALSE),"")</f>
        <v>Southwest Chopped Salad Kit 12oz-standard</v>
      </c>
      <c r="E1523">
        <v>3.29</v>
      </c>
      <c r="F1523">
        <v>1.99</v>
      </c>
      <c r="G1523" s="13">
        <v>44436</v>
      </c>
      <c r="H1523" s="13">
        <v>44437</v>
      </c>
      <c r="I1523" s="22" t="str">
        <f>VLOOKUP(J1523, Dropdowns!N:O, 2, FALSE)</f>
        <v>Lower Price</v>
      </c>
      <c r="J1523" t="s">
        <v>759</v>
      </c>
      <c r="L1523" s="17" t="s">
        <v>733</v>
      </c>
      <c r="M1523" s="17" t="s">
        <v>11</v>
      </c>
      <c r="N1523" s="17" t="s">
        <v>740</v>
      </c>
    </row>
    <row r="1524" spans="1:14" x14ac:dyDescent="0.25">
      <c r="A1524" s="10">
        <v>995074</v>
      </c>
      <c r="B1524" s="22" t="str">
        <f>IFERROR(VLOOKUP(A1524,VLOOKUPS!$A$2:B$12589,2,FALSE),"")</f>
        <v>Southwest Chopped Salad Kit 12oz-standard</v>
      </c>
      <c r="E1524">
        <v>1.99</v>
      </c>
      <c r="F1524">
        <v>3.29</v>
      </c>
      <c r="G1524" s="13">
        <v>44438</v>
      </c>
      <c r="H1524" s="13"/>
      <c r="I1524" s="22" t="str">
        <f>VLOOKUP(J1524, Dropdowns!N:O, 2, FALSE)</f>
        <v>Standard</v>
      </c>
      <c r="J1524" t="s">
        <v>760</v>
      </c>
      <c r="L1524" s="17" t="s">
        <v>733</v>
      </c>
      <c r="M1524" s="17" t="s">
        <v>11</v>
      </c>
      <c r="N1524" s="17" t="s">
        <v>740</v>
      </c>
    </row>
    <row r="1525" spans="1:14" x14ac:dyDescent="0.25">
      <c r="A1525" s="10">
        <v>995101</v>
      </c>
      <c r="B1525" s="22" t="str">
        <f>IFERROR(VLOOKUP(A1525,VLOOKUPS!$A$2:B$12589,2,FALSE),"")</f>
        <v>Avocado Ranch Salad Kit 11.3oz-standard</v>
      </c>
      <c r="E1525">
        <v>3.29</v>
      </c>
      <c r="F1525">
        <v>3.49</v>
      </c>
      <c r="G1525" s="13">
        <v>44436</v>
      </c>
      <c r="H1525" s="13"/>
      <c r="I1525" s="22" t="str">
        <f>VLOOKUP(J1525, Dropdowns!N:O, 2, FALSE)</f>
        <v>Standard</v>
      </c>
      <c r="J1525" t="s">
        <v>761</v>
      </c>
      <c r="L1525" s="17" t="s">
        <v>732</v>
      </c>
      <c r="M1525" s="17" t="s">
        <v>10</v>
      </c>
      <c r="N1525" s="17">
        <v>2</v>
      </c>
    </row>
    <row r="1526" spans="1:14" x14ac:dyDescent="0.25">
      <c r="A1526" s="10">
        <v>995101</v>
      </c>
      <c r="B1526" s="22" t="str">
        <f>IFERROR(VLOOKUP(A1526,VLOOKUPS!$A$2:B$12589,2,FALSE),"")</f>
        <v>Avocado Ranch Salad Kit 11.3oz-standard</v>
      </c>
      <c r="E1526">
        <v>3.49</v>
      </c>
      <c r="F1526">
        <v>2.4900000000000002</v>
      </c>
      <c r="G1526" s="13">
        <v>44437</v>
      </c>
      <c r="H1526" s="13">
        <v>44438</v>
      </c>
      <c r="I1526" s="22" t="str">
        <f>VLOOKUP(J1526, Dropdowns!N:O, 2, FALSE)</f>
        <v>Lower Price</v>
      </c>
      <c r="J1526" t="s">
        <v>759</v>
      </c>
      <c r="L1526" s="17" t="s">
        <v>732</v>
      </c>
      <c r="M1526" s="17" t="s">
        <v>738</v>
      </c>
      <c r="N1526" s="17">
        <v>2</v>
      </c>
    </row>
    <row r="1527" spans="1:14" x14ac:dyDescent="0.25">
      <c r="A1527" s="10">
        <v>995101</v>
      </c>
      <c r="B1527" s="22" t="str">
        <f>IFERROR(VLOOKUP(A1527,VLOOKUPS!$A$2:B$12589,2,FALSE),"")</f>
        <v>Avocado Ranch Salad Kit 11.3oz-standard</v>
      </c>
      <c r="E1527">
        <v>2.4900000000000002</v>
      </c>
      <c r="F1527">
        <v>3.49</v>
      </c>
      <c r="G1527" s="13">
        <v>44439</v>
      </c>
      <c r="H1527" s="13"/>
      <c r="I1527" s="22" t="str">
        <f>VLOOKUP(J1527, Dropdowns!N:O, 2, FALSE)</f>
        <v>Standard</v>
      </c>
      <c r="J1527" t="s">
        <v>760</v>
      </c>
      <c r="L1527" s="17" t="s">
        <v>732</v>
      </c>
      <c r="M1527" s="17" t="s">
        <v>738</v>
      </c>
      <c r="N1527" s="17">
        <v>2</v>
      </c>
    </row>
    <row r="1528" spans="1:14" x14ac:dyDescent="0.25">
      <c r="A1528" s="10">
        <v>995148</v>
      </c>
      <c r="B1528" s="22" t="str">
        <f>IFERROR(VLOOKUP(A1528,VLOOKUPS!$A$2:B$12589,2,FALSE),"")</f>
        <v>Fresh Salsa Verde 16oz-standard</v>
      </c>
      <c r="E1528">
        <v>4.49</v>
      </c>
      <c r="F1528">
        <v>2.99</v>
      </c>
      <c r="G1528" s="13">
        <v>44436</v>
      </c>
      <c r="H1528" s="13">
        <v>44437</v>
      </c>
      <c r="I1528" s="22" t="str">
        <f>VLOOKUP(J1528, Dropdowns!N:O, 2, FALSE)</f>
        <v>Lower Price</v>
      </c>
      <c r="J1528" t="s">
        <v>759</v>
      </c>
      <c r="L1528" s="17" t="s">
        <v>733</v>
      </c>
      <c r="M1528" s="17" t="s">
        <v>11</v>
      </c>
      <c r="N1528" s="17" t="s">
        <v>740</v>
      </c>
    </row>
    <row r="1529" spans="1:14" x14ac:dyDescent="0.25">
      <c r="A1529" s="10">
        <v>995148</v>
      </c>
      <c r="B1529" s="22" t="str">
        <f>IFERROR(VLOOKUP(A1529,VLOOKUPS!$A$2:B$12589,2,FALSE),"")</f>
        <v>Fresh Salsa Verde 16oz-standard</v>
      </c>
      <c r="E1529">
        <v>2.99</v>
      </c>
      <c r="F1529">
        <v>4.49</v>
      </c>
      <c r="G1529" s="13">
        <v>44438</v>
      </c>
      <c r="H1529" s="13"/>
      <c r="I1529" s="22" t="str">
        <f>VLOOKUP(J1529, Dropdowns!N:O, 2, FALSE)</f>
        <v>Standard</v>
      </c>
      <c r="J1529" t="s">
        <v>760</v>
      </c>
      <c r="L1529" s="17" t="s">
        <v>733</v>
      </c>
      <c r="M1529" s="17" t="s">
        <v>11</v>
      </c>
      <c r="N1529" s="17" t="s">
        <v>740</v>
      </c>
    </row>
    <row r="1530" spans="1:14" x14ac:dyDescent="0.25">
      <c r="A1530" s="10">
        <v>982710</v>
      </c>
      <c r="B1530" s="22" t="str">
        <f>IFERROR(VLOOKUP(A1530,VLOOKUPS!$A$2:B$12589,2,FALSE),"")</f>
        <v>Organic* Grapes Green Seedless 2lb-standard</v>
      </c>
      <c r="E1530">
        <v>5.29</v>
      </c>
      <c r="F1530">
        <v>3.99</v>
      </c>
      <c r="G1530" s="13">
        <v>44439</v>
      </c>
      <c r="H1530" s="13">
        <v>44440</v>
      </c>
      <c r="I1530" s="22" t="str">
        <f>VLOOKUP(J1530, Dropdowns!N:O, 2, FALSE)</f>
        <v>Lower Price</v>
      </c>
      <c r="J1530" t="s">
        <v>759</v>
      </c>
      <c r="L1530" s="17" t="s">
        <v>732</v>
      </c>
      <c r="M1530" s="17" t="s">
        <v>737</v>
      </c>
      <c r="N1530" s="17" t="s">
        <v>736</v>
      </c>
    </row>
    <row r="1531" spans="1:14" x14ac:dyDescent="0.25">
      <c r="A1531" s="10">
        <v>982710</v>
      </c>
      <c r="B1531" s="22" t="str">
        <f>IFERROR(VLOOKUP(A1531,VLOOKUPS!$A$2:B$12589,2,FALSE),"")</f>
        <v>Organic* Grapes Green Seedless 2lb-standard</v>
      </c>
      <c r="E1531">
        <v>3.99</v>
      </c>
      <c r="F1531">
        <v>5.29</v>
      </c>
      <c r="G1531" s="13">
        <v>44441</v>
      </c>
      <c r="H1531" s="13"/>
      <c r="I1531" s="22" t="str">
        <f>VLOOKUP(J1531, Dropdowns!N:O, 2, FALSE)</f>
        <v>Standard</v>
      </c>
      <c r="J1531" t="s">
        <v>760</v>
      </c>
      <c r="L1531" s="17" t="s">
        <v>732</v>
      </c>
      <c r="M1531" s="17" t="s">
        <v>737</v>
      </c>
      <c r="N1531" s="17" t="s">
        <v>736</v>
      </c>
    </row>
    <row r="1532" spans="1:14" x14ac:dyDescent="0.25">
      <c r="A1532" s="10">
        <v>983151</v>
      </c>
      <c r="B1532" s="22" t="str">
        <f>IFERROR(VLOOKUP(A1532,VLOOKUPS!$A$2:B$12589,2,FALSE),"")</f>
        <v>Melons* Golden Honeydew 1ct-LOOSE</v>
      </c>
      <c r="E1532">
        <v>3.88</v>
      </c>
      <c r="F1532">
        <v>2.88</v>
      </c>
      <c r="G1532" s="13">
        <v>44439</v>
      </c>
      <c r="H1532" s="13">
        <v>44440</v>
      </c>
      <c r="I1532" s="22" t="str">
        <f>VLOOKUP(J1532, Dropdowns!N:O, 2, FALSE)</f>
        <v>Lower Price</v>
      </c>
      <c r="J1532" t="s">
        <v>759</v>
      </c>
      <c r="L1532" s="17" t="s">
        <v>732</v>
      </c>
      <c r="M1532" s="17" t="s">
        <v>736</v>
      </c>
      <c r="N1532" s="17" t="s">
        <v>736</v>
      </c>
    </row>
    <row r="1533" spans="1:14" x14ac:dyDescent="0.25">
      <c r="A1533" s="10">
        <v>983151</v>
      </c>
      <c r="B1533" s="22" t="str">
        <f>IFERROR(VLOOKUP(A1533,VLOOKUPS!$A$2:B$12589,2,FALSE),"")</f>
        <v>Melons* Golden Honeydew 1ct-LOOSE</v>
      </c>
      <c r="E1533">
        <v>2.88</v>
      </c>
      <c r="F1533">
        <v>3.88</v>
      </c>
      <c r="G1533" s="13">
        <v>44441</v>
      </c>
      <c r="H1533" s="13"/>
      <c r="I1533" s="22" t="str">
        <f>VLOOKUP(J1533, Dropdowns!N:O, 2, FALSE)</f>
        <v>Standard</v>
      </c>
      <c r="J1533" t="s">
        <v>760</v>
      </c>
      <c r="L1533" s="17" t="s">
        <v>732</v>
      </c>
      <c r="M1533" s="17" t="s">
        <v>736</v>
      </c>
      <c r="N1533" s="17" t="s">
        <v>736</v>
      </c>
    </row>
    <row r="1534" spans="1:14" x14ac:dyDescent="0.25">
      <c r="A1534" s="10">
        <v>983201</v>
      </c>
      <c r="B1534" s="22" t="str">
        <f>IFERROR(VLOOKUP(A1534,VLOOKUPS!$A$2:B$12589,2,FALSE),"")</f>
        <v>Melons* Honeydew 1ct-LOOSE</v>
      </c>
      <c r="E1534">
        <v>3.58</v>
      </c>
      <c r="F1534">
        <v>2.58</v>
      </c>
      <c r="G1534" s="13">
        <v>44439</v>
      </c>
      <c r="H1534" s="13">
        <v>44440</v>
      </c>
      <c r="I1534" s="22" t="str">
        <f>VLOOKUP(J1534, Dropdowns!N:O, 2, FALSE)</f>
        <v>Lower Price</v>
      </c>
      <c r="J1534" t="s">
        <v>759</v>
      </c>
      <c r="L1534" s="17" t="s">
        <v>732</v>
      </c>
      <c r="M1534" s="17" t="s">
        <v>738</v>
      </c>
      <c r="N1534" s="17">
        <v>2</v>
      </c>
    </row>
    <row r="1535" spans="1:14" x14ac:dyDescent="0.25">
      <c r="A1535" s="10">
        <v>983201</v>
      </c>
      <c r="B1535" s="22" t="str">
        <f>IFERROR(VLOOKUP(A1535,VLOOKUPS!$A$2:B$12589,2,FALSE),"")</f>
        <v>Melons* Honeydew 1ct-LOOSE</v>
      </c>
      <c r="E1535">
        <v>2.58</v>
      </c>
      <c r="F1535">
        <v>3.58</v>
      </c>
      <c r="G1535" s="13">
        <v>44441</v>
      </c>
      <c r="H1535" s="13"/>
      <c r="I1535" s="22" t="str">
        <f>VLOOKUP(J1535, Dropdowns!N:O, 2, FALSE)</f>
        <v>Standard</v>
      </c>
      <c r="J1535" t="s">
        <v>760</v>
      </c>
      <c r="L1535" s="17" t="s">
        <v>732</v>
      </c>
      <c r="M1535" s="17" t="s">
        <v>738</v>
      </c>
      <c r="N1535" s="17">
        <v>2</v>
      </c>
    </row>
    <row r="1536" spans="1:14" x14ac:dyDescent="0.25">
      <c r="A1536" s="10">
        <v>984500</v>
      </c>
      <c r="B1536" s="22" t="str">
        <f>IFERROR(VLOOKUP(A1536,VLOOKUPS!$A$2:B$12589,2,FALSE),"")</f>
        <v>Organic Strawberries 1lb-standard</v>
      </c>
      <c r="E1536">
        <v>2.97</v>
      </c>
      <c r="F1536">
        <v>2.27</v>
      </c>
      <c r="G1536" s="13">
        <v>44439</v>
      </c>
      <c r="H1536" s="13">
        <v>44440</v>
      </c>
      <c r="I1536" s="22" t="str">
        <f>VLOOKUP(J1536, Dropdowns!N:O, 2, FALSE)</f>
        <v>Lower Price</v>
      </c>
      <c r="J1536" t="s">
        <v>759</v>
      </c>
      <c r="L1536" s="17" t="s">
        <v>733</v>
      </c>
      <c r="M1536" s="17" t="s">
        <v>11</v>
      </c>
      <c r="N1536" s="17" t="s">
        <v>740</v>
      </c>
    </row>
    <row r="1537" spans="1:14" x14ac:dyDescent="0.25">
      <c r="A1537" s="10">
        <v>984500</v>
      </c>
      <c r="B1537" s="22" t="str">
        <f>IFERROR(VLOOKUP(A1537,VLOOKUPS!$A$2:B$12589,2,FALSE),"")</f>
        <v>Organic Strawberries 1lb-standard</v>
      </c>
      <c r="E1537">
        <v>2.27</v>
      </c>
      <c r="F1537">
        <v>2.97</v>
      </c>
      <c r="G1537" s="13">
        <v>44441</v>
      </c>
      <c r="H1537" s="13"/>
      <c r="I1537" s="22" t="str">
        <f>VLOOKUP(J1537, Dropdowns!N:O, 2, FALSE)</f>
        <v>Standard</v>
      </c>
      <c r="J1537" t="s">
        <v>760</v>
      </c>
      <c r="L1537" s="17" t="s">
        <v>733</v>
      </c>
      <c r="M1537" s="17" t="s">
        <v>11</v>
      </c>
      <c r="N1537" s="17" t="s">
        <v>740</v>
      </c>
    </row>
    <row r="1538" spans="1:14" x14ac:dyDescent="0.25">
      <c r="A1538" s="10">
        <v>985060</v>
      </c>
      <c r="B1538" s="22" t="str">
        <f>IFERROR(VLOOKUP(A1538,VLOOKUPS!$A$2:B$12589,2,FALSE),"")</f>
        <v>Lettuce* Iceberg 1ct-standard</v>
      </c>
      <c r="E1538">
        <v>1.45</v>
      </c>
      <c r="F1538">
        <v>0.85</v>
      </c>
      <c r="G1538" s="13">
        <v>44439</v>
      </c>
      <c r="H1538" s="13">
        <v>44440</v>
      </c>
      <c r="I1538" s="22" t="str">
        <f>VLOOKUP(J1538, Dropdowns!N:O, 2, FALSE)</f>
        <v>Lower Price</v>
      </c>
      <c r="J1538" t="s">
        <v>759</v>
      </c>
      <c r="L1538" s="17" t="s">
        <v>733</v>
      </c>
      <c r="M1538" s="17" t="s">
        <v>11</v>
      </c>
      <c r="N1538" s="17" t="s">
        <v>740</v>
      </c>
    </row>
    <row r="1539" spans="1:14" x14ac:dyDescent="0.25">
      <c r="A1539" s="10">
        <v>985060</v>
      </c>
      <c r="B1539" s="22" t="str">
        <f>IFERROR(VLOOKUP(A1539,VLOOKUPS!$A$2:B$12589,2,FALSE),"")</f>
        <v>Lettuce* Iceberg 1ct-standard</v>
      </c>
      <c r="E1539">
        <v>0.85</v>
      </c>
      <c r="F1539">
        <v>1.45</v>
      </c>
      <c r="G1539" s="13">
        <v>44441</v>
      </c>
      <c r="H1539" s="13"/>
      <c r="I1539" s="22" t="str">
        <f>VLOOKUP(J1539, Dropdowns!N:O, 2, FALSE)</f>
        <v>Standard</v>
      </c>
      <c r="J1539" t="s">
        <v>760</v>
      </c>
      <c r="L1539" s="17" t="s">
        <v>733</v>
      </c>
      <c r="M1539" s="17" t="s">
        <v>11</v>
      </c>
      <c r="N1539" s="17" t="s">
        <v>740</v>
      </c>
    </row>
    <row r="1540" spans="1:14" x14ac:dyDescent="0.25">
      <c r="A1540" s="10">
        <v>985760</v>
      </c>
      <c r="B1540" s="22" t="str">
        <f>IFERROR(VLOOKUP(A1540,VLOOKUPS!$A$2:B$12589,2,FALSE),"")</f>
        <v>Asparagus 1lb-standard</v>
      </c>
      <c r="E1540">
        <v>2.99</v>
      </c>
      <c r="F1540">
        <v>1.99</v>
      </c>
      <c r="G1540" s="13">
        <v>44439</v>
      </c>
      <c r="H1540" s="13">
        <v>44440</v>
      </c>
      <c r="I1540" s="22" t="str">
        <f>VLOOKUP(J1540, Dropdowns!N:O, 2, FALSE)</f>
        <v>Lower Price</v>
      </c>
      <c r="J1540" t="s">
        <v>759</v>
      </c>
      <c r="L1540" s="17" t="s">
        <v>732</v>
      </c>
      <c r="M1540" s="17" t="s">
        <v>737</v>
      </c>
      <c r="N1540" s="17" t="s">
        <v>736</v>
      </c>
    </row>
    <row r="1541" spans="1:14" x14ac:dyDescent="0.25">
      <c r="A1541" s="10">
        <v>985760</v>
      </c>
      <c r="B1541" s="22" t="str">
        <f>IFERROR(VLOOKUP(A1541,VLOOKUPS!$A$2:B$12589,2,FALSE),"")</f>
        <v>Asparagus 1lb-standard</v>
      </c>
      <c r="E1541">
        <v>1.99</v>
      </c>
      <c r="F1541">
        <v>2.99</v>
      </c>
      <c r="G1541" s="13">
        <v>44441</v>
      </c>
      <c r="H1541" s="13"/>
      <c r="I1541" s="22" t="str">
        <f>VLOOKUP(J1541, Dropdowns!N:O, 2, FALSE)</f>
        <v>Standard</v>
      </c>
      <c r="J1541" t="s">
        <v>760</v>
      </c>
      <c r="L1541" s="17" t="s">
        <v>732</v>
      </c>
      <c r="M1541" s="17" t="s">
        <v>737</v>
      </c>
      <c r="N1541" s="17" t="s">
        <v>736</v>
      </c>
    </row>
    <row r="1542" spans="1:14" x14ac:dyDescent="0.25">
      <c r="A1542" s="10">
        <v>995041</v>
      </c>
      <c r="B1542" s="22" t="str">
        <f>IFERROR(VLOOKUP(A1542,VLOOKUPS!$A$2:B$12589,2,FALSE),"")</f>
        <v>Pineapple Spears 16oz-standard</v>
      </c>
      <c r="E1542">
        <v>3.49</v>
      </c>
      <c r="F1542">
        <v>1.99</v>
      </c>
      <c r="G1542" s="13">
        <v>44439</v>
      </c>
      <c r="H1542" s="13">
        <v>44440</v>
      </c>
      <c r="I1542" s="22" t="str">
        <f>VLOOKUP(J1542, Dropdowns!N:O, 2, FALSE)</f>
        <v>Lower Price</v>
      </c>
      <c r="J1542" t="s">
        <v>759</v>
      </c>
      <c r="L1542" s="17" t="s">
        <v>732</v>
      </c>
      <c r="M1542" s="17" t="s">
        <v>9</v>
      </c>
      <c r="N1542" s="17" t="s">
        <v>736</v>
      </c>
    </row>
    <row r="1543" spans="1:14" x14ac:dyDescent="0.25">
      <c r="A1543" s="10">
        <v>995041</v>
      </c>
      <c r="B1543" s="22" t="str">
        <f>IFERROR(VLOOKUP(A1543,VLOOKUPS!$A$2:B$12589,2,FALSE),"")</f>
        <v>Pineapple Spears 16oz-standard</v>
      </c>
      <c r="E1543">
        <v>1.99</v>
      </c>
      <c r="F1543">
        <v>2.4900000000000002</v>
      </c>
      <c r="G1543" s="13">
        <v>44441</v>
      </c>
      <c r="H1543" s="13"/>
      <c r="I1543" s="22" t="str">
        <f>VLOOKUP(J1543, Dropdowns!N:O, 2, FALSE)</f>
        <v>Standard</v>
      </c>
      <c r="J1543" t="s">
        <v>760</v>
      </c>
      <c r="L1543" s="17" t="s">
        <v>732</v>
      </c>
      <c r="M1543" s="17" t="s">
        <v>9</v>
      </c>
      <c r="N1543" s="17" t="s">
        <v>736</v>
      </c>
    </row>
    <row r="1544" spans="1:14" x14ac:dyDescent="0.25">
      <c r="A1544" s="10">
        <v>995051</v>
      </c>
      <c r="B1544" s="22" t="str">
        <f>IFERROR(VLOOKUP(A1544,VLOOKUPS!$A$2:B$12589,2,FALSE),"")</f>
        <v>Mild Fresh Chopped Salsa 16oz-standard</v>
      </c>
      <c r="E1544">
        <v>4.49</v>
      </c>
      <c r="F1544">
        <v>3.29</v>
      </c>
      <c r="G1544" s="13">
        <v>44439</v>
      </c>
      <c r="H1544" s="13">
        <v>44440</v>
      </c>
      <c r="I1544" s="22" t="str">
        <f>VLOOKUP(J1544, Dropdowns!N:O, 2, FALSE)</f>
        <v>Lower Price</v>
      </c>
      <c r="J1544" t="s">
        <v>759</v>
      </c>
      <c r="L1544" s="17" t="s">
        <v>732</v>
      </c>
      <c r="M1544" s="17" t="s">
        <v>10</v>
      </c>
      <c r="N1544" s="17">
        <v>2</v>
      </c>
    </row>
    <row r="1545" spans="1:14" x14ac:dyDescent="0.25">
      <c r="A1545" s="10">
        <v>995051</v>
      </c>
      <c r="B1545" s="22" t="str">
        <f>IFERROR(VLOOKUP(A1545,VLOOKUPS!$A$2:B$12589,2,FALSE),"")</f>
        <v>Mild Fresh Chopped Salsa 16oz-standard</v>
      </c>
      <c r="E1545">
        <v>3.29</v>
      </c>
      <c r="F1545">
        <v>4.49</v>
      </c>
      <c r="G1545" s="13">
        <v>44441</v>
      </c>
      <c r="H1545" s="13"/>
      <c r="I1545" s="22" t="str">
        <f>VLOOKUP(J1545, Dropdowns!N:O, 2, FALSE)</f>
        <v>Standard</v>
      </c>
      <c r="J1545" t="s">
        <v>760</v>
      </c>
      <c r="L1545" s="17" t="s">
        <v>732</v>
      </c>
      <c r="M1545" s="17" t="s">
        <v>10</v>
      </c>
      <c r="N1545" s="17">
        <v>2</v>
      </c>
    </row>
    <row r="1546" spans="1:14" x14ac:dyDescent="0.25">
      <c r="A1546" s="10">
        <v>995082</v>
      </c>
      <c r="B1546" s="22" t="str">
        <f>IFERROR(VLOOKUP(A1546,VLOOKUPS!$A$2:B$12589,2,FALSE),"")</f>
        <v>Melon Trio 16oz-standard</v>
      </c>
      <c r="E1546">
        <v>3.99</v>
      </c>
      <c r="F1546">
        <v>2.99</v>
      </c>
      <c r="G1546" s="13">
        <v>44439</v>
      </c>
      <c r="H1546" s="13">
        <v>44440</v>
      </c>
      <c r="I1546" s="22" t="str">
        <f>VLOOKUP(J1546, Dropdowns!N:O, 2, FALSE)</f>
        <v>Lower Price</v>
      </c>
      <c r="J1546" t="s">
        <v>759</v>
      </c>
      <c r="L1546" s="17" t="s">
        <v>732</v>
      </c>
      <c r="M1546" s="17" t="s">
        <v>9</v>
      </c>
      <c r="N1546" s="17" t="s">
        <v>736</v>
      </c>
    </row>
    <row r="1547" spans="1:14" x14ac:dyDescent="0.25">
      <c r="A1547" s="10">
        <v>995082</v>
      </c>
      <c r="B1547" s="22" t="str">
        <f>IFERROR(VLOOKUP(A1547,VLOOKUPS!$A$2:B$12589,2,FALSE),"")</f>
        <v>Melon Trio 16oz-standard</v>
      </c>
      <c r="E1547">
        <v>2.99</v>
      </c>
      <c r="F1547">
        <v>3.99</v>
      </c>
      <c r="G1547" s="13">
        <v>44441</v>
      </c>
      <c r="H1547" s="13"/>
      <c r="I1547" s="22" t="str">
        <f>VLOOKUP(J1547, Dropdowns!N:O, 2, FALSE)</f>
        <v>Standard</v>
      </c>
      <c r="J1547" t="s">
        <v>760</v>
      </c>
      <c r="L1547" s="17" t="s">
        <v>732</v>
      </c>
      <c r="M1547" s="17" t="s">
        <v>9</v>
      </c>
      <c r="N1547" s="17" t="s">
        <v>736</v>
      </c>
    </row>
    <row r="1548" spans="1:14" x14ac:dyDescent="0.25">
      <c r="A1548" s="10">
        <v>995131</v>
      </c>
      <c r="B1548" s="22" t="str">
        <f>IFERROR(VLOOKUP(A1548,VLOOKUPS!$A$2:B$12589,2,FALSE),"")</f>
        <v>Organic Baby Spinach &amp; Baby Kale 5oz-standard</v>
      </c>
      <c r="E1548">
        <v>2.56</v>
      </c>
      <c r="F1548">
        <v>1.56</v>
      </c>
      <c r="G1548" s="13">
        <v>44439</v>
      </c>
      <c r="H1548" s="13">
        <v>44440</v>
      </c>
      <c r="I1548" s="22" t="str">
        <f>VLOOKUP(J1548, Dropdowns!N:O, 2, FALSE)</f>
        <v>Lower Price</v>
      </c>
      <c r="J1548" t="s">
        <v>759</v>
      </c>
      <c r="L1548" s="17" t="s">
        <v>732</v>
      </c>
      <c r="M1548" s="17" t="s">
        <v>9</v>
      </c>
      <c r="N1548" s="17" t="s">
        <v>736</v>
      </c>
    </row>
    <row r="1549" spans="1:14" x14ac:dyDescent="0.25">
      <c r="A1549" s="10">
        <v>995131</v>
      </c>
      <c r="B1549" s="22" t="str">
        <f>IFERROR(VLOOKUP(A1549,VLOOKUPS!$A$2:B$12589,2,FALSE),"")</f>
        <v>Organic Baby Spinach &amp; Baby Kale 5oz-standard</v>
      </c>
      <c r="E1549">
        <v>1.56</v>
      </c>
      <c r="F1549">
        <v>2.56</v>
      </c>
      <c r="G1549" s="13">
        <v>44441</v>
      </c>
      <c r="H1549" s="13"/>
      <c r="I1549" s="22" t="str">
        <f>VLOOKUP(J1549, Dropdowns!N:O, 2, FALSE)</f>
        <v>Standard</v>
      </c>
      <c r="J1549" t="s">
        <v>760</v>
      </c>
      <c r="L1549" s="17" t="s">
        <v>732</v>
      </c>
      <c r="M1549" s="17" t="s">
        <v>9</v>
      </c>
      <c r="N1549" s="17" t="s">
        <v>736</v>
      </c>
    </row>
    <row r="1550" spans="1:14" x14ac:dyDescent="0.25">
      <c r="A1550" s="10">
        <v>995148</v>
      </c>
      <c r="B1550" s="22" t="str">
        <f>IFERROR(VLOOKUP(A1550,VLOOKUPS!$A$2:B$12589,2,FALSE),"")</f>
        <v>Fresh Salsa Verde 16oz-standard</v>
      </c>
      <c r="E1550">
        <v>4.49</v>
      </c>
      <c r="F1550">
        <v>3.49</v>
      </c>
      <c r="G1550" s="13">
        <v>44439</v>
      </c>
      <c r="H1550" s="13">
        <v>44440</v>
      </c>
      <c r="I1550" s="22" t="str">
        <f>VLOOKUP(J1550, Dropdowns!N:O, 2, FALSE)</f>
        <v>Lower Price</v>
      </c>
      <c r="J1550" t="s">
        <v>759</v>
      </c>
      <c r="L1550" s="17" t="s">
        <v>732</v>
      </c>
      <c r="M1550" s="17" t="s">
        <v>10</v>
      </c>
      <c r="N1550" s="17">
        <v>2</v>
      </c>
    </row>
    <row r="1551" spans="1:14" x14ac:dyDescent="0.25">
      <c r="A1551" s="10">
        <v>995148</v>
      </c>
      <c r="B1551" s="22" t="str">
        <f>IFERROR(VLOOKUP(A1551,VLOOKUPS!$A$2:B$12589,2,FALSE),"")</f>
        <v>Fresh Salsa Verde 16oz-standard</v>
      </c>
      <c r="E1551">
        <v>3.49</v>
      </c>
      <c r="F1551">
        <v>4.49</v>
      </c>
      <c r="G1551" s="13">
        <v>44441</v>
      </c>
      <c r="H1551" s="13"/>
      <c r="I1551" s="22" t="str">
        <f>VLOOKUP(J1551, Dropdowns!N:O, 2, FALSE)</f>
        <v>Standard</v>
      </c>
      <c r="J1551" t="s">
        <v>760</v>
      </c>
      <c r="L1551" s="17" t="s">
        <v>732</v>
      </c>
      <c r="M1551" s="17" t="s">
        <v>10</v>
      </c>
      <c r="N1551" s="17">
        <v>2</v>
      </c>
    </row>
    <row r="1552" spans="1:14" x14ac:dyDescent="0.25">
      <c r="A1552" s="10">
        <v>983101</v>
      </c>
      <c r="B1552" s="22" t="str">
        <f>IFERROR(VLOOKUP(A1552,VLOOKUPS!$A$2:B$12589,2,FALSE),"")</f>
        <v>Melons Cantaloupes 1ct-LOOSE</v>
      </c>
      <c r="E1552">
        <v>2.59</v>
      </c>
      <c r="F1552">
        <v>1.79</v>
      </c>
      <c r="G1552" s="13">
        <v>44440</v>
      </c>
      <c r="H1552" s="13">
        <v>44441</v>
      </c>
      <c r="I1552" s="22" t="str">
        <f>VLOOKUP(J1552, Dropdowns!N:O, 2, FALSE)</f>
        <v>Lower Price</v>
      </c>
      <c r="J1552" t="s">
        <v>759</v>
      </c>
      <c r="L1552" s="17" t="s">
        <v>732</v>
      </c>
      <c r="M1552" s="17" t="s">
        <v>9</v>
      </c>
      <c r="N1552" s="17" t="s">
        <v>736</v>
      </c>
    </row>
    <row r="1553" spans="1:14" x14ac:dyDescent="0.25">
      <c r="A1553" s="10">
        <v>983101</v>
      </c>
      <c r="B1553" s="22" t="str">
        <f>IFERROR(VLOOKUP(A1553,VLOOKUPS!$A$2:B$12589,2,FALSE),"")</f>
        <v>Melons Cantaloupes 1ct-LOOSE</v>
      </c>
      <c r="E1553">
        <v>1.79</v>
      </c>
      <c r="F1553">
        <v>2.59</v>
      </c>
      <c r="G1553" s="13">
        <v>44442</v>
      </c>
      <c r="H1553" s="13"/>
      <c r="I1553" s="22" t="str">
        <f>VLOOKUP(J1553, Dropdowns!N:O, 2, FALSE)</f>
        <v>Standard</v>
      </c>
      <c r="J1553" t="s">
        <v>760</v>
      </c>
      <c r="L1553" s="17" t="s">
        <v>732</v>
      </c>
      <c r="M1553" s="17" t="s">
        <v>9</v>
      </c>
      <c r="N1553" s="17" t="s">
        <v>736</v>
      </c>
    </row>
    <row r="1554" spans="1:14" x14ac:dyDescent="0.25">
      <c r="A1554" s="10">
        <v>995001</v>
      </c>
      <c r="B1554" s="22" t="str">
        <f>IFERROR(VLOOKUP(A1554,VLOOKUPS!$A$2:B$12589,2,FALSE),"")</f>
        <v>Spinach Baby 6oz-standard</v>
      </c>
      <c r="E1554">
        <v>2.2599999999999998</v>
      </c>
      <c r="F1554">
        <v>1.56</v>
      </c>
      <c r="G1554" s="13">
        <v>44440</v>
      </c>
      <c r="H1554" s="13">
        <v>44441</v>
      </c>
      <c r="I1554" s="22" t="str">
        <f>VLOOKUP(J1554, Dropdowns!N:O, 2, FALSE)</f>
        <v>Lower Price</v>
      </c>
      <c r="J1554" t="s">
        <v>759</v>
      </c>
      <c r="L1554" s="17" t="s">
        <v>733</v>
      </c>
      <c r="M1554" s="17" t="s">
        <v>11</v>
      </c>
      <c r="N1554" s="17" t="s">
        <v>740</v>
      </c>
    </row>
    <row r="1555" spans="1:14" x14ac:dyDescent="0.25">
      <c r="A1555" s="10">
        <v>995001</v>
      </c>
      <c r="B1555" s="22" t="str">
        <f>IFERROR(VLOOKUP(A1555,VLOOKUPS!$A$2:B$12589,2,FALSE),"")</f>
        <v>Spinach Baby 6oz-standard</v>
      </c>
      <c r="E1555">
        <v>1.56</v>
      </c>
      <c r="F1555">
        <v>2.2599999999999998</v>
      </c>
      <c r="G1555" s="13">
        <v>44442</v>
      </c>
      <c r="H1555" s="13"/>
      <c r="I1555" s="22" t="str">
        <f>VLOOKUP(J1555, Dropdowns!N:O, 2, FALSE)</f>
        <v>Standard</v>
      </c>
      <c r="J1555" t="s">
        <v>760</v>
      </c>
      <c r="L1555" s="17" t="s">
        <v>733</v>
      </c>
      <c r="M1555" s="17" t="s">
        <v>11</v>
      </c>
      <c r="N1555" s="17" t="s">
        <v>740</v>
      </c>
    </row>
    <row r="1556" spans="1:14" x14ac:dyDescent="0.25">
      <c r="A1556" s="10">
        <v>995008</v>
      </c>
      <c r="B1556" s="22" t="str">
        <f>IFERROR(VLOOKUP(A1556,VLOOKUPS!$A$2:B$12589,2,FALSE),"")</f>
        <v>Shredded Lettuce 8oz-standard</v>
      </c>
      <c r="E1556">
        <v>1.69</v>
      </c>
      <c r="F1556">
        <v>0.99</v>
      </c>
      <c r="G1556" s="13">
        <v>44440</v>
      </c>
      <c r="H1556" s="13">
        <v>44441</v>
      </c>
      <c r="I1556" s="22" t="str">
        <f>VLOOKUP(J1556, Dropdowns!N:O, 2, FALSE)</f>
        <v>Lower Price</v>
      </c>
      <c r="J1556" t="s">
        <v>759</v>
      </c>
      <c r="L1556" s="17" t="s">
        <v>733</v>
      </c>
      <c r="M1556" s="17" t="s">
        <v>11</v>
      </c>
      <c r="N1556" s="17" t="s">
        <v>740</v>
      </c>
    </row>
    <row r="1557" spans="1:14" x14ac:dyDescent="0.25">
      <c r="A1557" s="10">
        <v>995008</v>
      </c>
      <c r="B1557" s="22" t="str">
        <f>IFERROR(VLOOKUP(A1557,VLOOKUPS!$A$2:B$12589,2,FALSE),"")</f>
        <v>Shredded Lettuce 8oz-standard</v>
      </c>
      <c r="E1557">
        <v>0.99</v>
      </c>
      <c r="F1557">
        <v>1.69</v>
      </c>
      <c r="G1557" s="13">
        <v>44442</v>
      </c>
      <c r="H1557" s="13"/>
      <c r="I1557" s="22" t="str">
        <f>VLOOKUP(J1557, Dropdowns!N:O, 2, FALSE)</f>
        <v>Standard</v>
      </c>
      <c r="J1557" t="s">
        <v>760</v>
      </c>
      <c r="L1557" s="17" t="s">
        <v>733</v>
      </c>
      <c r="M1557" s="17" t="s">
        <v>11</v>
      </c>
      <c r="N1557" s="17" t="s">
        <v>740</v>
      </c>
    </row>
    <row r="1558" spans="1:14" x14ac:dyDescent="0.25">
      <c r="A1558" s="10">
        <v>995050</v>
      </c>
      <c r="B1558" s="22" t="str">
        <f>IFERROR(VLOOKUP(A1558,VLOOKUPS!$A$2:B$12589,2,FALSE),"")</f>
        <v>Organic Bagged Kale 10oz-standard</v>
      </c>
      <c r="E1558">
        <v>2.69</v>
      </c>
      <c r="F1558">
        <v>1.69</v>
      </c>
      <c r="G1558" s="13">
        <v>44440</v>
      </c>
      <c r="H1558" s="13">
        <v>44441</v>
      </c>
      <c r="I1558" s="22" t="str">
        <f>VLOOKUP(J1558, Dropdowns!N:O, 2, FALSE)</f>
        <v>Lower Price</v>
      </c>
      <c r="J1558" t="s">
        <v>759</v>
      </c>
      <c r="L1558" s="17" t="s">
        <v>732</v>
      </c>
      <c r="M1558" s="17" t="s">
        <v>10</v>
      </c>
      <c r="N1558" s="17">
        <v>2</v>
      </c>
    </row>
    <row r="1559" spans="1:14" x14ac:dyDescent="0.25">
      <c r="A1559" s="10">
        <v>995050</v>
      </c>
      <c r="B1559" s="22" t="str">
        <f>IFERROR(VLOOKUP(A1559,VLOOKUPS!$A$2:B$12589,2,FALSE),"")</f>
        <v>Organic Bagged Kale 10oz-standard</v>
      </c>
      <c r="E1559">
        <v>1.69</v>
      </c>
      <c r="F1559">
        <v>2.69</v>
      </c>
      <c r="G1559" s="13">
        <v>44442</v>
      </c>
      <c r="H1559" s="13"/>
      <c r="I1559" s="22" t="str">
        <f>VLOOKUP(J1559, Dropdowns!N:O, 2, FALSE)</f>
        <v>Standard</v>
      </c>
      <c r="J1559" t="s">
        <v>760</v>
      </c>
      <c r="L1559" s="17" t="s">
        <v>732</v>
      </c>
      <c r="M1559" s="17" t="s">
        <v>10</v>
      </c>
      <c r="N1559" s="17">
        <v>2</v>
      </c>
    </row>
    <row r="1560" spans="1:14" x14ac:dyDescent="0.25">
      <c r="A1560" s="10">
        <v>995102</v>
      </c>
      <c r="B1560" s="22" t="str">
        <f>IFERROR(VLOOKUP(A1560,VLOOKUPS!$A$2:B$12589,2,FALSE),"")</f>
        <v>Cantaloupe Chunks 16oz-standard</v>
      </c>
      <c r="E1560">
        <v>3.49</v>
      </c>
      <c r="F1560">
        <v>2.4900000000000002</v>
      </c>
      <c r="G1560" s="13">
        <v>44440</v>
      </c>
      <c r="H1560" s="13">
        <v>44441</v>
      </c>
      <c r="I1560" s="22" t="str">
        <f>VLOOKUP(J1560, Dropdowns!N:O, 2, FALSE)</f>
        <v>Lower Price</v>
      </c>
      <c r="J1560" t="s">
        <v>759</v>
      </c>
      <c r="L1560" s="17" t="s">
        <v>732</v>
      </c>
      <c r="M1560" s="17" t="s">
        <v>9</v>
      </c>
      <c r="N1560" s="17" t="s">
        <v>736</v>
      </c>
    </row>
    <row r="1561" spans="1:14" x14ac:dyDescent="0.25">
      <c r="A1561" s="10">
        <v>995102</v>
      </c>
      <c r="B1561" s="22" t="str">
        <f>IFERROR(VLOOKUP(A1561,VLOOKUPS!$A$2:B$12589,2,FALSE),"")</f>
        <v>Cantaloupe Chunks 16oz-standard</v>
      </c>
      <c r="E1561">
        <v>2.4900000000000002</v>
      </c>
      <c r="F1561">
        <v>3.49</v>
      </c>
      <c r="G1561" s="13">
        <v>44442</v>
      </c>
      <c r="H1561" s="13"/>
      <c r="I1561" s="22" t="str">
        <f>VLOOKUP(J1561, Dropdowns!N:O, 2, FALSE)</f>
        <v>Standard</v>
      </c>
      <c r="J1561" t="s">
        <v>760</v>
      </c>
      <c r="L1561" s="17" t="s">
        <v>732</v>
      </c>
      <c r="M1561" s="17" t="s">
        <v>9</v>
      </c>
      <c r="N1561" s="17" t="s">
        <v>736</v>
      </c>
    </row>
    <row r="1562" spans="1:14" x14ac:dyDescent="0.25">
      <c r="A1562" s="10">
        <v>983251</v>
      </c>
      <c r="B1562" s="22" t="str">
        <f>IFERROR(VLOOKUP(A1562,VLOOKUPS!$A$2:B$12589,2,FALSE),"")</f>
        <v>Watermelons Large Seedless 1ct-LOOSE</v>
      </c>
      <c r="G1562" s="13">
        <v>44440</v>
      </c>
      <c r="H1562" s="13">
        <v>44446</v>
      </c>
      <c r="I1562" s="22" t="str">
        <f>VLOOKUP(J1562, Dropdowns!N:O, 2, FALSE)</f>
        <v>Lower Price</v>
      </c>
      <c r="J1562" t="s">
        <v>753</v>
      </c>
      <c r="L1562" s="17" t="s">
        <v>732</v>
      </c>
      <c r="M1562" s="17" t="s">
        <v>736</v>
      </c>
      <c r="N1562" s="17" t="s">
        <v>736</v>
      </c>
    </row>
    <row r="1563" spans="1:14" x14ac:dyDescent="0.25">
      <c r="A1563" s="10">
        <v>982800</v>
      </c>
      <c r="B1563" s="22" t="str">
        <f>IFERROR(VLOOKUP(A1563,VLOOKUPS!$A$2:B$12589,2,FALSE),"")</f>
        <v>Organic* Grapes Red Seedless 2lb-standard</v>
      </c>
      <c r="E1563">
        <v>4.99</v>
      </c>
      <c r="F1563">
        <v>5.29</v>
      </c>
      <c r="G1563" s="13">
        <v>44440</v>
      </c>
      <c r="H1563" s="13"/>
      <c r="I1563" s="22" t="str">
        <f>VLOOKUP(J1563, Dropdowns!N:O, 2, FALSE)</f>
        <v>Standard</v>
      </c>
      <c r="J1563" t="s">
        <v>761</v>
      </c>
      <c r="L1563" s="17" t="s">
        <v>732</v>
      </c>
      <c r="M1563" s="17" t="s">
        <v>738</v>
      </c>
      <c r="N1563" s="17">
        <v>2</v>
      </c>
    </row>
    <row r="1564" spans="1:14" x14ac:dyDescent="0.25">
      <c r="A1564" s="10">
        <v>982740</v>
      </c>
      <c r="B1564" s="22" t="str">
        <f>IFERROR(VLOOKUP(A1564,VLOOKUPS!$A$2:B$12589,2,FALSE),"")</f>
        <v>Grapes* Red Seedless 1lb-LOOSE</v>
      </c>
      <c r="E1564">
        <v>1.59</v>
      </c>
      <c r="F1564">
        <v>0.99</v>
      </c>
      <c r="G1564" s="13">
        <v>44440</v>
      </c>
      <c r="H1564" s="13">
        <v>44441</v>
      </c>
      <c r="I1564" s="22" t="str">
        <f>VLOOKUP(J1564, Dropdowns!N:O, 2, FALSE)</f>
        <v>Lower Price</v>
      </c>
      <c r="J1564" t="s">
        <v>759</v>
      </c>
      <c r="L1564" s="17" t="s">
        <v>732</v>
      </c>
      <c r="M1564" s="17" t="s">
        <v>735</v>
      </c>
      <c r="N1564" s="17" t="s">
        <v>736</v>
      </c>
    </row>
    <row r="1565" spans="1:14" x14ac:dyDescent="0.25">
      <c r="A1565" s="10">
        <v>982740</v>
      </c>
      <c r="B1565" s="22" t="str">
        <f>IFERROR(VLOOKUP(A1565,VLOOKUPS!$A$2:B$12589,2,FALSE),"")</f>
        <v>Grapes* Red Seedless 1lb-LOOSE</v>
      </c>
      <c r="E1565">
        <v>0.99</v>
      </c>
      <c r="F1565">
        <v>1.59</v>
      </c>
      <c r="G1565" s="13">
        <v>44442</v>
      </c>
      <c r="H1565" s="13"/>
      <c r="I1565" s="22" t="str">
        <f>VLOOKUP(J1565, Dropdowns!N:O, 2, FALSE)</f>
        <v>Standard</v>
      </c>
      <c r="J1565" t="s">
        <v>760</v>
      </c>
      <c r="L1565" s="17" t="s">
        <v>732</v>
      </c>
      <c r="M1565" s="17" t="s">
        <v>735</v>
      </c>
      <c r="N1565" s="17" t="s">
        <v>736</v>
      </c>
    </row>
    <row r="1566" spans="1:14" x14ac:dyDescent="0.25">
      <c r="A1566" s="10">
        <v>995032</v>
      </c>
      <c r="B1566" s="22" t="str">
        <f>IFERROR(VLOOKUP(A1566,VLOOKUPS!$A$2:B$12589,2,FALSE),"")</f>
        <v>Chopped Sunflower Crunch Kit 12.2oz-standard</v>
      </c>
      <c r="E1566">
        <v>3.49</v>
      </c>
      <c r="F1566">
        <v>2.4900000000000002</v>
      </c>
      <c r="G1566" s="13">
        <v>44441</v>
      </c>
      <c r="H1566" s="13">
        <v>44442</v>
      </c>
      <c r="I1566" s="22" t="str">
        <f>VLOOKUP(J1566, Dropdowns!N:O, 2, FALSE)</f>
        <v>Lower Price</v>
      </c>
      <c r="J1566" t="s">
        <v>759</v>
      </c>
      <c r="L1566" s="17" t="s">
        <v>732</v>
      </c>
      <c r="M1566" s="17" t="s">
        <v>10</v>
      </c>
      <c r="N1566" s="17">
        <v>2</v>
      </c>
    </row>
    <row r="1567" spans="1:14" x14ac:dyDescent="0.25">
      <c r="A1567" s="10">
        <v>995032</v>
      </c>
      <c r="B1567" s="22" t="str">
        <f>IFERROR(VLOOKUP(A1567,VLOOKUPS!$A$2:B$12589,2,FALSE),"")</f>
        <v>Chopped Sunflower Crunch Kit 12.2oz-standard</v>
      </c>
      <c r="E1567">
        <v>2.4900000000000002</v>
      </c>
      <c r="F1567">
        <v>3.49</v>
      </c>
      <c r="G1567" s="13">
        <v>44443</v>
      </c>
      <c r="H1567" s="13"/>
      <c r="I1567" s="22" t="str">
        <f>VLOOKUP(J1567, Dropdowns!N:O, 2, FALSE)</f>
        <v>Standard</v>
      </c>
      <c r="J1567" t="s">
        <v>760</v>
      </c>
      <c r="L1567" s="17" t="s">
        <v>732</v>
      </c>
      <c r="M1567" s="17" t="s">
        <v>10</v>
      </c>
      <c r="N1567" s="17">
        <v>2</v>
      </c>
    </row>
    <row r="1568" spans="1:14" x14ac:dyDescent="0.25">
      <c r="A1568" s="10">
        <v>995068</v>
      </c>
      <c r="B1568" s="22" t="str">
        <f>IFERROR(VLOOKUP(A1568,VLOOKUPS!$A$2:B$12589,2,FALSE),"")</f>
        <v>Organic Half and Half 5oz-standard</v>
      </c>
      <c r="E1568">
        <v>2.4900000000000002</v>
      </c>
      <c r="F1568">
        <v>1.49</v>
      </c>
      <c r="G1568" s="13">
        <v>44441</v>
      </c>
      <c r="H1568" s="13">
        <v>44442</v>
      </c>
      <c r="I1568" s="22" t="str">
        <f>VLOOKUP(J1568, Dropdowns!N:O, 2, FALSE)</f>
        <v>Lower Price</v>
      </c>
      <c r="J1568" t="s">
        <v>759</v>
      </c>
      <c r="L1568" s="17" t="s">
        <v>732</v>
      </c>
      <c r="M1568" s="17" t="s">
        <v>10</v>
      </c>
      <c r="N1568" s="17">
        <v>2</v>
      </c>
    </row>
    <row r="1569" spans="1:14" x14ac:dyDescent="0.25">
      <c r="A1569" s="10">
        <v>995068</v>
      </c>
      <c r="B1569" s="22" t="str">
        <f>IFERROR(VLOOKUP(A1569,VLOOKUPS!$A$2:B$12589,2,FALSE),"")</f>
        <v>Organic Half and Half 5oz-standard</v>
      </c>
      <c r="E1569">
        <v>1.49</v>
      </c>
      <c r="F1569">
        <v>2.4900000000000002</v>
      </c>
      <c r="G1569" s="13">
        <v>44443</v>
      </c>
      <c r="H1569" s="13"/>
      <c r="I1569" s="22" t="str">
        <f>VLOOKUP(J1569, Dropdowns!N:O, 2, FALSE)</f>
        <v>Standard</v>
      </c>
      <c r="J1569" t="s">
        <v>760</v>
      </c>
      <c r="L1569" s="17" t="s">
        <v>732</v>
      </c>
      <c r="M1569" s="17" t="s">
        <v>10</v>
      </c>
      <c r="N1569" s="17">
        <v>2</v>
      </c>
    </row>
    <row r="1570" spans="1:14" x14ac:dyDescent="0.25">
      <c r="A1570" s="10">
        <v>995100</v>
      </c>
      <c r="B1570" s="22" t="str">
        <f>IFERROR(VLOOKUP(A1570,VLOOKUPS!$A$2:B$12589,2,FALSE),"")</f>
        <v>Asian Chopped Salad Kit 12oz-standard</v>
      </c>
      <c r="E1570">
        <v>3.49</v>
      </c>
      <c r="F1570">
        <v>2.4900000000000002</v>
      </c>
      <c r="G1570" s="13">
        <v>44441</v>
      </c>
      <c r="H1570" s="13">
        <v>44442</v>
      </c>
      <c r="I1570" s="22" t="str">
        <f>VLOOKUP(J1570, Dropdowns!N:O, 2, FALSE)</f>
        <v>Lower Price</v>
      </c>
      <c r="J1570" t="s">
        <v>759</v>
      </c>
      <c r="L1570" s="17" t="s">
        <v>732</v>
      </c>
      <c r="M1570" s="17" t="s">
        <v>738</v>
      </c>
      <c r="N1570" s="17">
        <v>2</v>
      </c>
    </row>
    <row r="1571" spans="1:14" x14ac:dyDescent="0.25">
      <c r="A1571" s="10">
        <v>995100</v>
      </c>
      <c r="B1571" s="22" t="str">
        <f>IFERROR(VLOOKUP(A1571,VLOOKUPS!$A$2:B$12589,2,FALSE),"")</f>
        <v>Asian Chopped Salad Kit 12oz-standard</v>
      </c>
      <c r="E1571">
        <v>2.4900000000000002</v>
      </c>
      <c r="F1571">
        <v>3.49</v>
      </c>
      <c r="G1571" s="13">
        <v>44443</v>
      </c>
      <c r="H1571" s="13"/>
      <c r="I1571" s="22" t="str">
        <f>VLOOKUP(J1571, Dropdowns!N:O, 2, FALSE)</f>
        <v>Standard</v>
      </c>
      <c r="J1571" t="s">
        <v>760</v>
      </c>
      <c r="L1571" s="17" t="s">
        <v>732</v>
      </c>
      <c r="M1571" s="17" t="s">
        <v>738</v>
      </c>
      <c r="N1571" s="17">
        <v>2</v>
      </c>
    </row>
    <row r="1572" spans="1:14" x14ac:dyDescent="0.25">
      <c r="A1572" s="10">
        <v>995000</v>
      </c>
      <c r="B1572" s="22" t="str">
        <f>IFERROR(VLOOKUP(A1572,VLOOKUPS!$A$2:B$12589,2,FALSE),"")</f>
        <v>Spring Mix 5oz-standard</v>
      </c>
      <c r="D1572">
        <v>8</v>
      </c>
      <c r="E1572">
        <v>1.89</v>
      </c>
      <c r="G1572" s="13">
        <v>44442</v>
      </c>
      <c r="H1572" s="13"/>
      <c r="I1572" s="22" t="str">
        <f>VLOOKUP(J1572, Dropdowns!N:O, 2, FALSE)</f>
        <v>Standard</v>
      </c>
      <c r="J1572" t="s">
        <v>782</v>
      </c>
      <c r="L1572" s="17" t="s">
        <v>732</v>
      </c>
      <c r="M1572" s="17" t="s">
        <v>736</v>
      </c>
      <c r="N1572" s="17" t="s">
        <v>736</v>
      </c>
    </row>
    <row r="1573" spans="1:14" x14ac:dyDescent="0.25">
      <c r="A1573" s="10">
        <v>995004</v>
      </c>
      <c r="B1573" s="22" t="str">
        <f>IFERROR(VLOOKUP(A1573,VLOOKUPS!$A$2:B$12589,2,FALSE),"")</f>
        <v>Chicken Caesar Salad 6.25oz-standard</v>
      </c>
      <c r="D1573">
        <v>8</v>
      </c>
      <c r="E1573">
        <v>2.89</v>
      </c>
      <c r="G1573" s="13">
        <v>44442</v>
      </c>
      <c r="H1573" s="13"/>
      <c r="I1573" s="22" t="str">
        <f>VLOOKUP(J1573, Dropdowns!N:O, 2, FALSE)</f>
        <v>Standard</v>
      </c>
      <c r="J1573" t="s">
        <v>782</v>
      </c>
      <c r="L1573" s="17" t="s">
        <v>733</v>
      </c>
      <c r="M1573" s="17" t="s">
        <v>736</v>
      </c>
      <c r="N1573" s="17" t="s">
        <v>740</v>
      </c>
    </row>
    <row r="1574" spans="1:14" x14ac:dyDescent="0.25">
      <c r="A1574" s="10">
        <v>995004</v>
      </c>
      <c r="B1574" s="22" t="str">
        <f>IFERROR(VLOOKUP(A1574,VLOOKUPS!$A$2:B$12589,2,FALSE),"")</f>
        <v>Chicken Caesar Salad 6.25oz-standard</v>
      </c>
      <c r="D1574">
        <v>8</v>
      </c>
      <c r="E1574">
        <v>2.99</v>
      </c>
      <c r="G1574" s="13">
        <v>44442</v>
      </c>
      <c r="H1574" s="13"/>
      <c r="I1574" s="22" t="str">
        <f>VLOOKUP(J1574, Dropdowns!N:O, 2, FALSE)</f>
        <v>Standard</v>
      </c>
      <c r="J1574" t="s">
        <v>782</v>
      </c>
      <c r="L1574" s="17" t="s">
        <v>734</v>
      </c>
      <c r="M1574" s="17" t="s">
        <v>735</v>
      </c>
      <c r="N1574" s="17" t="s">
        <v>736</v>
      </c>
    </row>
    <row r="1575" spans="1:14" x14ac:dyDescent="0.25">
      <c r="A1575" s="10">
        <v>995005</v>
      </c>
      <c r="B1575" s="22" t="str">
        <f>IFERROR(VLOOKUP(A1575,VLOOKUPS!$A$2:B$12589,2,FALSE),"")</f>
        <v>Garden Salad 12oz-standard</v>
      </c>
      <c r="D1575">
        <v>10</v>
      </c>
      <c r="E1575">
        <v>0.89</v>
      </c>
      <c r="G1575" s="13">
        <v>44442</v>
      </c>
      <c r="H1575" s="13"/>
      <c r="I1575" s="22" t="str">
        <f>VLOOKUP(J1575, Dropdowns!N:O, 2, FALSE)</f>
        <v>Standard</v>
      </c>
      <c r="J1575" t="s">
        <v>782</v>
      </c>
      <c r="L1575" s="17" t="s">
        <v>733</v>
      </c>
      <c r="M1575" s="17" t="s">
        <v>736</v>
      </c>
      <c r="N1575" s="17" t="s">
        <v>740</v>
      </c>
    </row>
    <row r="1576" spans="1:14" x14ac:dyDescent="0.25">
      <c r="A1576" s="10">
        <v>995005</v>
      </c>
      <c r="B1576" s="22" t="str">
        <f>IFERROR(VLOOKUP(A1576,VLOOKUPS!$A$2:B$12589,2,FALSE),"")</f>
        <v>Garden Salad 12oz-standard</v>
      </c>
      <c r="D1576">
        <v>10</v>
      </c>
      <c r="E1576">
        <v>1.29</v>
      </c>
      <c r="G1576" s="13">
        <v>44442</v>
      </c>
      <c r="H1576" s="13"/>
      <c r="I1576" s="22" t="str">
        <f>VLOOKUP(J1576, Dropdowns!N:O, 2, FALSE)</f>
        <v>Standard</v>
      </c>
      <c r="J1576" t="s">
        <v>782</v>
      </c>
      <c r="L1576" s="17" t="s">
        <v>734</v>
      </c>
      <c r="M1576" s="17" t="s">
        <v>735</v>
      </c>
      <c r="N1576" s="17" t="s">
        <v>741</v>
      </c>
    </row>
    <row r="1577" spans="1:14" x14ac:dyDescent="0.25">
      <c r="A1577" s="10">
        <v>995005</v>
      </c>
      <c r="B1577" s="22" t="str">
        <f>IFERROR(VLOOKUP(A1577,VLOOKUPS!$A$2:B$12589,2,FALSE),"")</f>
        <v>Garden Salad 12oz-standard</v>
      </c>
      <c r="D1577">
        <v>10</v>
      </c>
      <c r="E1577">
        <v>1.49</v>
      </c>
      <c r="G1577" s="13">
        <v>44442</v>
      </c>
      <c r="H1577" s="13"/>
      <c r="I1577" s="22" t="str">
        <f>VLOOKUP(J1577, Dropdowns!N:O, 2, FALSE)</f>
        <v>Standard</v>
      </c>
      <c r="J1577" t="s">
        <v>782</v>
      </c>
      <c r="L1577" s="17" t="s">
        <v>734</v>
      </c>
      <c r="M1577" s="17" t="s">
        <v>9</v>
      </c>
      <c r="N1577" s="17">
        <v>8</v>
      </c>
    </row>
    <row r="1578" spans="1:14" x14ac:dyDescent="0.25">
      <c r="A1578" s="10">
        <v>995006</v>
      </c>
      <c r="B1578" s="22" t="str">
        <f>IFERROR(VLOOKUP(A1578,VLOOKUPS!$A$2:B$12589,2,FALSE),"")</f>
        <v>Italian Salad 9oz-standard</v>
      </c>
      <c r="D1578">
        <v>8</v>
      </c>
      <c r="E1578">
        <v>2.29</v>
      </c>
      <c r="G1578" s="13">
        <v>44442</v>
      </c>
      <c r="H1578" s="13"/>
      <c r="I1578" s="22" t="str">
        <f>VLOOKUP(J1578, Dropdowns!N:O, 2, FALSE)</f>
        <v>Standard</v>
      </c>
      <c r="J1578" t="s">
        <v>782</v>
      </c>
      <c r="L1578" s="17" t="s">
        <v>732</v>
      </c>
      <c r="M1578" s="17" t="s">
        <v>736</v>
      </c>
      <c r="N1578" s="17" t="s">
        <v>736</v>
      </c>
    </row>
    <row r="1579" spans="1:14" x14ac:dyDescent="0.25">
      <c r="A1579" s="10">
        <v>995007</v>
      </c>
      <c r="B1579" s="22" t="str">
        <f>IFERROR(VLOOKUP(A1579,VLOOKUPS!$A$2:B$12589,2,FALSE),"")</f>
        <v>Caesar Salad Kit 10.5oz-standard</v>
      </c>
      <c r="D1579">
        <v>7</v>
      </c>
      <c r="E1579">
        <v>2.59</v>
      </c>
      <c r="G1579" s="13">
        <v>44442</v>
      </c>
      <c r="H1579" s="13"/>
      <c r="I1579" s="22" t="str">
        <f>VLOOKUP(J1579, Dropdowns!N:O, 2, FALSE)</f>
        <v>Standard</v>
      </c>
      <c r="J1579" t="s">
        <v>782</v>
      </c>
      <c r="L1579" s="17" t="s">
        <v>732</v>
      </c>
      <c r="M1579" s="17" t="s">
        <v>736</v>
      </c>
      <c r="N1579" s="17" t="s">
        <v>736</v>
      </c>
    </row>
    <row r="1580" spans="1:14" x14ac:dyDescent="0.25">
      <c r="A1580" s="10">
        <v>995009</v>
      </c>
      <c r="B1580" s="22" t="str">
        <f>IFERROR(VLOOKUP(A1580,VLOOKUPS!$A$2:B$12589,2,FALSE),"")</f>
        <v>Classic Coleslaw 14oz-standard</v>
      </c>
      <c r="D1580">
        <v>9</v>
      </c>
      <c r="E1580">
        <v>1.39</v>
      </c>
      <c r="G1580" s="13">
        <v>44442</v>
      </c>
      <c r="H1580" s="13"/>
      <c r="I1580" s="22" t="str">
        <f>VLOOKUP(J1580, Dropdowns!N:O, 2, FALSE)</f>
        <v>Standard</v>
      </c>
      <c r="J1580" t="s">
        <v>782</v>
      </c>
      <c r="L1580" s="17" t="s">
        <v>733</v>
      </c>
      <c r="M1580" s="17" t="s">
        <v>736</v>
      </c>
      <c r="N1580" s="17" t="s">
        <v>740</v>
      </c>
    </row>
    <row r="1581" spans="1:14" x14ac:dyDescent="0.25">
      <c r="A1581" s="10">
        <v>995009</v>
      </c>
      <c r="B1581" s="22" t="str">
        <f>IFERROR(VLOOKUP(A1581,VLOOKUPS!$A$2:B$12589,2,FALSE),"")</f>
        <v>Classic Coleslaw 14oz-standard</v>
      </c>
      <c r="D1581">
        <v>9</v>
      </c>
      <c r="E1581">
        <v>1.59</v>
      </c>
      <c r="G1581" s="13">
        <v>44442</v>
      </c>
      <c r="H1581" s="13"/>
      <c r="I1581" s="22" t="str">
        <f>VLOOKUP(J1581, Dropdowns!N:O, 2, FALSE)</f>
        <v>Standard</v>
      </c>
      <c r="J1581" t="s">
        <v>782</v>
      </c>
      <c r="L1581" s="17" t="s">
        <v>734</v>
      </c>
      <c r="M1581" s="17" t="s">
        <v>735</v>
      </c>
      <c r="N1581" s="17" t="s">
        <v>736</v>
      </c>
    </row>
    <row r="1582" spans="1:14" x14ac:dyDescent="0.25">
      <c r="A1582" s="10">
        <v>995010</v>
      </c>
      <c r="B1582" s="22" t="str">
        <f>IFERROR(VLOOKUP(A1582,VLOOKUPS!$A$2:B$12589,2,FALSE),"")</f>
        <v>RTE Turkey Bacon Cobb Salad 7.25oz-standard</v>
      </c>
      <c r="D1582">
        <v>8</v>
      </c>
      <c r="E1582">
        <v>2.89</v>
      </c>
      <c r="G1582" s="13">
        <v>44442</v>
      </c>
      <c r="H1582" s="13"/>
      <c r="I1582" s="22" t="str">
        <f>VLOOKUP(J1582, Dropdowns!N:O, 2, FALSE)</f>
        <v>Standard</v>
      </c>
      <c r="J1582" t="s">
        <v>782</v>
      </c>
      <c r="L1582" s="17" t="s">
        <v>733</v>
      </c>
      <c r="M1582" s="17" t="s">
        <v>736</v>
      </c>
      <c r="N1582" s="17" t="s">
        <v>740</v>
      </c>
    </row>
    <row r="1583" spans="1:14" x14ac:dyDescent="0.25">
      <c r="A1583" s="10">
        <v>995010</v>
      </c>
      <c r="B1583" s="22" t="str">
        <f>IFERROR(VLOOKUP(A1583,VLOOKUPS!$A$2:B$12589,2,FALSE),"")</f>
        <v>RTE Turkey Bacon Cobb Salad 7.25oz-standard</v>
      </c>
      <c r="D1583">
        <v>8</v>
      </c>
      <c r="E1583">
        <v>2.99</v>
      </c>
      <c r="G1583" s="13">
        <v>44442</v>
      </c>
      <c r="H1583" s="13"/>
      <c r="I1583" s="22" t="str">
        <f>VLOOKUP(J1583, Dropdowns!N:O, 2, FALSE)</f>
        <v>Standard</v>
      </c>
      <c r="J1583" t="s">
        <v>782</v>
      </c>
      <c r="L1583" s="17" t="s">
        <v>734</v>
      </c>
      <c r="M1583" s="17" t="s">
        <v>735</v>
      </c>
      <c r="N1583" s="17" t="s">
        <v>736</v>
      </c>
    </row>
    <row r="1584" spans="1:14" x14ac:dyDescent="0.25">
      <c r="A1584" s="10">
        <v>995013</v>
      </c>
      <c r="B1584" s="22" t="str">
        <f>IFERROR(VLOOKUP(A1584,VLOOKUPS!$A$2:B$12589,2,FALSE),"")</f>
        <v>Spinach 8oz-standard</v>
      </c>
      <c r="D1584">
        <v>8</v>
      </c>
      <c r="E1584">
        <v>1.19</v>
      </c>
      <c r="G1584" s="13">
        <v>44442</v>
      </c>
      <c r="H1584" s="13"/>
      <c r="I1584" s="22" t="str">
        <f>VLOOKUP(J1584, Dropdowns!N:O, 2, FALSE)</f>
        <v>Standard</v>
      </c>
      <c r="J1584" t="s">
        <v>782</v>
      </c>
      <c r="L1584" s="17" t="s">
        <v>732</v>
      </c>
      <c r="M1584" s="17" t="s">
        <v>736</v>
      </c>
      <c r="N1584" s="17" t="s">
        <v>741</v>
      </c>
    </row>
    <row r="1585" spans="1:14" x14ac:dyDescent="0.25">
      <c r="A1585" s="10">
        <v>995013</v>
      </c>
      <c r="B1585" s="22" t="str">
        <f>IFERROR(VLOOKUP(A1585,VLOOKUPS!$A$2:B$12589,2,FALSE),"")</f>
        <v>Spinach 8oz-standard</v>
      </c>
      <c r="D1585">
        <v>8</v>
      </c>
      <c r="E1585">
        <v>1.39</v>
      </c>
      <c r="G1585" s="13">
        <v>44442</v>
      </c>
      <c r="H1585" s="13"/>
      <c r="I1585" s="22" t="str">
        <f>VLOOKUP(J1585, Dropdowns!N:O, 2, FALSE)</f>
        <v>Standard</v>
      </c>
      <c r="J1585" t="s">
        <v>782</v>
      </c>
      <c r="L1585" s="17" t="s">
        <v>734</v>
      </c>
      <c r="M1585" s="17" t="s">
        <v>9</v>
      </c>
      <c r="N1585" s="17">
        <v>8</v>
      </c>
    </row>
    <row r="1586" spans="1:14" x14ac:dyDescent="0.25">
      <c r="A1586" s="10">
        <v>995014</v>
      </c>
      <c r="B1586" s="22" t="str">
        <f>IFERROR(VLOOKUP(A1586,VLOOKUPS!$A$2:B$12589,2,FALSE),"")</f>
        <v>RTE Café Style Chef Salad 7.65oz-standard</v>
      </c>
      <c r="E1586">
        <v>2.89</v>
      </c>
      <c r="F1586">
        <v>2.99</v>
      </c>
      <c r="G1586" s="13">
        <v>44442</v>
      </c>
      <c r="H1586" s="13"/>
      <c r="I1586" s="22" t="str">
        <f>VLOOKUP(J1586, Dropdowns!N:O, 2, FALSE)</f>
        <v>Standard</v>
      </c>
      <c r="J1586" t="s">
        <v>761</v>
      </c>
      <c r="L1586" s="17" t="s">
        <v>734</v>
      </c>
      <c r="M1586" s="17" t="s">
        <v>735</v>
      </c>
      <c r="N1586" s="17" t="s">
        <v>736</v>
      </c>
    </row>
    <row r="1587" spans="1:14" x14ac:dyDescent="0.25">
      <c r="A1587" s="10">
        <v>995015</v>
      </c>
      <c r="B1587" s="22" t="str">
        <f>IFERROR(VLOOKUP(A1587,VLOOKUPS!$A$2:B$12589,2,FALSE),"")</f>
        <v>Savory Spinach Dijon Salad 4.9oz-standard</v>
      </c>
      <c r="D1587">
        <v>8</v>
      </c>
      <c r="E1587">
        <v>2.89</v>
      </c>
      <c r="G1587" s="13">
        <v>44442</v>
      </c>
      <c r="H1587" s="13"/>
      <c r="I1587" s="22" t="str">
        <f>VLOOKUP(J1587, Dropdowns!N:O, 2, FALSE)</f>
        <v>Standard</v>
      </c>
      <c r="J1587" t="s">
        <v>782</v>
      </c>
      <c r="L1587" s="17" t="s">
        <v>733</v>
      </c>
      <c r="M1587" s="17" t="s">
        <v>736</v>
      </c>
      <c r="N1587" s="17" t="s">
        <v>740</v>
      </c>
    </row>
    <row r="1588" spans="1:14" x14ac:dyDescent="0.25">
      <c r="A1588" s="10">
        <v>995015</v>
      </c>
      <c r="B1588" s="22" t="str">
        <f>IFERROR(VLOOKUP(A1588,VLOOKUPS!$A$2:B$12589,2,FALSE),"")</f>
        <v>Savory Spinach Dijon Salad 4.9oz-standard</v>
      </c>
      <c r="D1588">
        <v>8</v>
      </c>
      <c r="E1588">
        <v>2.99</v>
      </c>
      <c r="G1588" s="13">
        <v>44442</v>
      </c>
      <c r="H1588" s="13"/>
      <c r="I1588" s="22" t="str">
        <f>VLOOKUP(J1588, Dropdowns!N:O, 2, FALSE)</f>
        <v>Standard</v>
      </c>
      <c r="J1588" t="s">
        <v>782</v>
      </c>
      <c r="L1588" s="17" t="s">
        <v>734</v>
      </c>
      <c r="M1588" s="17" t="s">
        <v>735</v>
      </c>
      <c r="N1588" s="17" t="s">
        <v>736</v>
      </c>
    </row>
    <row r="1589" spans="1:14" x14ac:dyDescent="0.25">
      <c r="A1589" s="10">
        <v>995018</v>
      </c>
      <c r="B1589" s="22" t="str">
        <f>IFERROR(VLOOKUP(A1589,VLOOKUPS!$A$2:B$12589,2,FALSE),"")</f>
        <v>RTE Large Chicken Caesar Salad 13.1oz-standard</v>
      </c>
      <c r="D1589">
        <v>4</v>
      </c>
      <c r="E1589">
        <v>4.99</v>
      </c>
      <c r="G1589" s="13">
        <v>44442</v>
      </c>
      <c r="H1589" s="13"/>
      <c r="I1589" s="22" t="str">
        <f>VLOOKUP(J1589, Dropdowns!N:O, 2, FALSE)</f>
        <v>Standard</v>
      </c>
      <c r="J1589" t="s">
        <v>782</v>
      </c>
      <c r="L1589" s="17" t="s">
        <v>732</v>
      </c>
      <c r="M1589" s="17" t="s">
        <v>736</v>
      </c>
      <c r="N1589" s="17" t="s">
        <v>736</v>
      </c>
    </row>
    <row r="1590" spans="1:14" x14ac:dyDescent="0.25">
      <c r="A1590" s="10">
        <v>985760</v>
      </c>
      <c r="B1590" s="22" t="str">
        <f>IFERROR(VLOOKUP(A1590,VLOOKUPS!$A$2:B$12589,2,FALSE),"")</f>
        <v>Asparagus 1lb-standard</v>
      </c>
      <c r="E1590">
        <v>2.99</v>
      </c>
      <c r="F1590">
        <v>1.49</v>
      </c>
      <c r="G1590" s="13">
        <v>44442</v>
      </c>
      <c r="H1590" s="13">
        <v>44443</v>
      </c>
      <c r="I1590" s="22" t="str">
        <f>VLOOKUP(J1590, Dropdowns!N:O, 2, FALSE)</f>
        <v>Lower Price</v>
      </c>
      <c r="J1590" t="s">
        <v>759</v>
      </c>
      <c r="L1590" s="17" t="s">
        <v>732</v>
      </c>
      <c r="M1590" s="17" t="s">
        <v>9</v>
      </c>
      <c r="N1590" s="17" t="s">
        <v>736</v>
      </c>
    </row>
    <row r="1591" spans="1:14" x14ac:dyDescent="0.25">
      <c r="A1591" s="10">
        <v>985760</v>
      </c>
      <c r="B1591" s="22" t="str">
        <f>IFERROR(VLOOKUP(A1591,VLOOKUPS!$A$2:B$12589,2,FALSE),"")</f>
        <v>Asparagus 1lb-standard</v>
      </c>
      <c r="E1591">
        <v>1.49</v>
      </c>
      <c r="F1591">
        <v>2.99</v>
      </c>
      <c r="G1591" s="13">
        <v>44444</v>
      </c>
      <c r="H1591" s="13"/>
      <c r="I1591" s="22" t="str">
        <f>VLOOKUP(J1591, Dropdowns!N:O, 2, FALSE)</f>
        <v>Standard</v>
      </c>
      <c r="J1591" t="s">
        <v>760</v>
      </c>
      <c r="L1591" s="17" t="s">
        <v>732</v>
      </c>
      <c r="M1591" s="17" t="s">
        <v>9</v>
      </c>
      <c r="N1591" s="17" t="s">
        <v>736</v>
      </c>
    </row>
    <row r="1592" spans="1:14" x14ac:dyDescent="0.25">
      <c r="A1592" s="10">
        <v>995006</v>
      </c>
      <c r="B1592" s="22" t="str">
        <f>IFERROR(VLOOKUP(A1592,VLOOKUPS!$A$2:B$12589,2,FALSE),"")</f>
        <v>Italian Salad 9oz-standard</v>
      </c>
      <c r="E1592">
        <v>2.29</v>
      </c>
      <c r="F1592">
        <v>1.29</v>
      </c>
      <c r="G1592" s="13">
        <v>44442</v>
      </c>
      <c r="H1592" s="13">
        <v>44443</v>
      </c>
      <c r="I1592" s="22" t="str">
        <f>VLOOKUP(J1592, Dropdowns!N:O, 2, FALSE)</f>
        <v>Lower Price</v>
      </c>
      <c r="J1592" t="s">
        <v>759</v>
      </c>
      <c r="L1592" s="17" t="s">
        <v>733</v>
      </c>
      <c r="M1592" s="17" t="s">
        <v>11</v>
      </c>
      <c r="N1592" s="17" t="s">
        <v>740</v>
      </c>
    </row>
    <row r="1593" spans="1:14" x14ac:dyDescent="0.25">
      <c r="A1593" s="10">
        <v>995006</v>
      </c>
      <c r="B1593" s="22" t="str">
        <f>IFERROR(VLOOKUP(A1593,VLOOKUPS!$A$2:B$12589,2,FALSE),"")</f>
        <v>Italian Salad 9oz-standard</v>
      </c>
      <c r="E1593">
        <v>1.29</v>
      </c>
      <c r="F1593">
        <v>2.29</v>
      </c>
      <c r="G1593" s="13">
        <v>44444</v>
      </c>
      <c r="H1593" s="13"/>
      <c r="I1593" s="22" t="str">
        <f>VLOOKUP(J1593, Dropdowns!N:O, 2, FALSE)</f>
        <v>Standard</v>
      </c>
      <c r="J1593" t="s">
        <v>760</v>
      </c>
      <c r="L1593" s="17" t="s">
        <v>733</v>
      </c>
      <c r="M1593" s="17" t="s">
        <v>11</v>
      </c>
      <c r="N1593" s="17" t="s">
        <v>740</v>
      </c>
    </row>
    <row r="1594" spans="1:14" x14ac:dyDescent="0.25">
      <c r="A1594" s="10">
        <v>995032</v>
      </c>
      <c r="B1594" s="22" t="str">
        <f>IFERROR(VLOOKUP(A1594,VLOOKUPS!$A$2:B$12589,2,FALSE),"")</f>
        <v>Chopped Sunflower Crunch Kit 12.2oz-standard</v>
      </c>
      <c r="E1594">
        <v>3.49</v>
      </c>
      <c r="F1594">
        <v>2.4900000000000002</v>
      </c>
      <c r="G1594" s="13">
        <v>44442</v>
      </c>
      <c r="H1594" s="13">
        <v>44443</v>
      </c>
      <c r="I1594" s="22" t="str">
        <f>VLOOKUP(J1594, Dropdowns!N:O, 2, FALSE)</f>
        <v>Lower Price</v>
      </c>
      <c r="J1594" t="s">
        <v>759</v>
      </c>
      <c r="L1594" s="17" t="s">
        <v>732</v>
      </c>
      <c r="M1594" s="17" t="s">
        <v>9</v>
      </c>
      <c r="N1594" s="17" t="s">
        <v>736</v>
      </c>
    </row>
    <row r="1595" spans="1:14" x14ac:dyDescent="0.25">
      <c r="A1595" s="10">
        <v>995032</v>
      </c>
      <c r="B1595" s="22" t="str">
        <f>IFERROR(VLOOKUP(A1595,VLOOKUPS!$A$2:B$12589,2,FALSE),"")</f>
        <v>Chopped Sunflower Crunch Kit 12.2oz-standard</v>
      </c>
      <c r="E1595">
        <v>2.4900000000000002</v>
      </c>
      <c r="F1595">
        <v>3.49</v>
      </c>
      <c r="G1595" s="13">
        <v>44444</v>
      </c>
      <c r="H1595" s="13"/>
      <c r="I1595" s="22" t="str">
        <f>VLOOKUP(J1595, Dropdowns!N:O, 2, FALSE)</f>
        <v>Standard</v>
      </c>
      <c r="J1595" t="s">
        <v>760</v>
      </c>
      <c r="L1595" s="17" t="s">
        <v>732</v>
      </c>
      <c r="M1595" s="17" t="s">
        <v>9</v>
      </c>
      <c r="N1595" s="17" t="s">
        <v>736</v>
      </c>
    </row>
    <row r="1596" spans="1:14" x14ac:dyDescent="0.25">
      <c r="A1596" s="10">
        <v>995115</v>
      </c>
      <c r="B1596" s="22" t="str">
        <f>IFERROR(VLOOKUP(A1596,VLOOKUPS!$A$2:B$12589,2,FALSE),"")</f>
        <v>Pineapple Chunks 10oz-standard</v>
      </c>
      <c r="E1596">
        <v>2.39</v>
      </c>
      <c r="F1596">
        <v>1.39</v>
      </c>
      <c r="G1596" s="13">
        <v>44442</v>
      </c>
      <c r="H1596" s="13">
        <v>44443</v>
      </c>
      <c r="I1596" s="22" t="str">
        <f>VLOOKUP(J1596, Dropdowns!N:O, 2, FALSE)</f>
        <v>Lower Price</v>
      </c>
      <c r="J1596" t="s">
        <v>759</v>
      </c>
      <c r="L1596" s="17" t="s">
        <v>732</v>
      </c>
      <c r="M1596" s="17" t="s">
        <v>9</v>
      </c>
      <c r="N1596" s="17" t="s">
        <v>736</v>
      </c>
    </row>
    <row r="1597" spans="1:14" x14ac:dyDescent="0.25">
      <c r="A1597" s="10">
        <v>995115</v>
      </c>
      <c r="B1597" s="22" t="str">
        <f>IFERROR(VLOOKUP(A1597,VLOOKUPS!$A$2:B$12589,2,FALSE),"")</f>
        <v>Pineapple Chunks 10oz-standard</v>
      </c>
      <c r="E1597">
        <v>1.39</v>
      </c>
      <c r="F1597">
        <v>2.39</v>
      </c>
      <c r="G1597" s="13">
        <v>44444</v>
      </c>
      <c r="H1597" s="13"/>
      <c r="I1597" s="22" t="str">
        <f>VLOOKUP(J1597, Dropdowns!N:O, 2, FALSE)</f>
        <v>Standard</v>
      </c>
      <c r="J1597" t="s">
        <v>760</v>
      </c>
      <c r="L1597" s="17" t="s">
        <v>732</v>
      </c>
      <c r="M1597" s="17" t="s">
        <v>9</v>
      </c>
      <c r="N1597" s="17" t="s">
        <v>736</v>
      </c>
    </row>
    <row r="1598" spans="1:14" x14ac:dyDescent="0.25">
      <c r="A1598" s="10">
        <v>995137</v>
      </c>
      <c r="B1598" s="22" t="str">
        <f>IFERROR(VLOOKUP(A1598,VLOOKUPS!$A$2:B$12589,2,FALSE),"")</f>
        <v>Half and Half 11oz-standard</v>
      </c>
      <c r="E1598">
        <v>4.18</v>
      </c>
      <c r="F1598">
        <v>3.18</v>
      </c>
      <c r="G1598" s="13">
        <v>44442</v>
      </c>
      <c r="H1598" s="13">
        <v>44443</v>
      </c>
      <c r="I1598" s="22" t="str">
        <f>VLOOKUP(J1598, Dropdowns!N:O, 2, FALSE)</f>
        <v>Lower Price</v>
      </c>
      <c r="J1598" t="s">
        <v>759</v>
      </c>
      <c r="L1598" s="17" t="s">
        <v>733</v>
      </c>
      <c r="M1598" s="17" t="s">
        <v>11</v>
      </c>
      <c r="N1598" s="17" t="s">
        <v>740</v>
      </c>
    </row>
    <row r="1599" spans="1:14" x14ac:dyDescent="0.25">
      <c r="A1599" s="10">
        <v>995137</v>
      </c>
      <c r="B1599" s="22" t="str">
        <f>IFERROR(VLOOKUP(A1599,VLOOKUPS!$A$2:B$12589,2,FALSE),"")</f>
        <v>Half and Half 11oz-standard</v>
      </c>
      <c r="E1599">
        <v>3.18</v>
      </c>
      <c r="F1599">
        <v>4.18</v>
      </c>
      <c r="G1599" s="13">
        <v>44444</v>
      </c>
      <c r="H1599" s="13"/>
      <c r="I1599" s="22" t="str">
        <f>VLOOKUP(J1599, Dropdowns!N:O, 2, FALSE)</f>
        <v>Standard</v>
      </c>
      <c r="J1599" t="s">
        <v>760</v>
      </c>
      <c r="L1599" s="17" t="s">
        <v>733</v>
      </c>
      <c r="M1599" s="17" t="s">
        <v>11</v>
      </c>
      <c r="N1599" s="17" t="s">
        <v>740</v>
      </c>
    </row>
    <row r="1600" spans="1:14" x14ac:dyDescent="0.25">
      <c r="A1600" s="10">
        <v>982710</v>
      </c>
      <c r="B1600" s="22" t="str">
        <f>IFERROR(VLOOKUP(A1600,VLOOKUPS!$A$2:B$12589,2,FALSE),"")</f>
        <v>Organic* Grapes Green Seedless 2lb-standard</v>
      </c>
      <c r="E1600">
        <v>5.29</v>
      </c>
      <c r="F1600">
        <v>2.99</v>
      </c>
      <c r="G1600" s="13">
        <v>44442</v>
      </c>
      <c r="H1600" s="13">
        <v>44443</v>
      </c>
      <c r="I1600" s="22" t="str">
        <f>VLOOKUP(J1600, Dropdowns!N:O, 2, FALSE)</f>
        <v>Lower Price</v>
      </c>
      <c r="J1600" t="s">
        <v>759</v>
      </c>
      <c r="L1600" s="17" t="s">
        <v>733</v>
      </c>
      <c r="M1600" s="17" t="s">
        <v>11</v>
      </c>
      <c r="N1600" s="17" t="s">
        <v>740</v>
      </c>
    </row>
    <row r="1601" spans="1:14" x14ac:dyDescent="0.25">
      <c r="A1601" s="10">
        <v>982710</v>
      </c>
      <c r="B1601" s="22" t="str">
        <f>IFERROR(VLOOKUP(A1601,VLOOKUPS!$A$2:B$12589,2,FALSE),"")</f>
        <v>Organic* Grapes Green Seedless 2lb-standard</v>
      </c>
      <c r="E1601">
        <v>2.99</v>
      </c>
      <c r="F1601">
        <v>5.29</v>
      </c>
      <c r="G1601" s="13">
        <v>44444</v>
      </c>
      <c r="H1601" s="13"/>
      <c r="I1601" s="22" t="str">
        <f>VLOOKUP(J1601, Dropdowns!N:O, 2, FALSE)</f>
        <v>Standard</v>
      </c>
      <c r="J1601" t="s">
        <v>760</v>
      </c>
      <c r="L1601" s="17" t="s">
        <v>733</v>
      </c>
      <c r="M1601" s="17" t="s">
        <v>11</v>
      </c>
      <c r="N1601" s="17" t="s">
        <v>740</v>
      </c>
    </row>
    <row r="1602" spans="1:14" x14ac:dyDescent="0.25">
      <c r="A1602" s="10">
        <v>984620</v>
      </c>
      <c r="B1602" s="22" t="str">
        <f>IFERROR(VLOOKUP(A1602,VLOOKUPS!$A$2:B$12589,2,FALSE),"")</f>
        <v>Raspberries 6oz-standard</v>
      </c>
      <c r="G1602" s="13">
        <v>44443</v>
      </c>
      <c r="H1602" s="13">
        <v>44445</v>
      </c>
      <c r="I1602" s="22" t="str">
        <f>VLOOKUP(J1602, Dropdowns!N:O, 2, FALSE)</f>
        <v>Lower Price</v>
      </c>
      <c r="J1602" t="s">
        <v>753</v>
      </c>
      <c r="L1602" s="17" t="s">
        <v>732</v>
      </c>
      <c r="M1602" s="17" t="s">
        <v>736</v>
      </c>
      <c r="N1602" s="17" t="s">
        <v>736</v>
      </c>
    </row>
    <row r="1603" spans="1:14" x14ac:dyDescent="0.25">
      <c r="A1603" s="10">
        <v>984620</v>
      </c>
      <c r="B1603" s="22" t="str">
        <f>IFERROR(VLOOKUP(A1603,VLOOKUPS!$A$2:B$12589,2,FALSE),"")</f>
        <v>Raspberries 6oz-standard</v>
      </c>
      <c r="E1603">
        <v>1.79</v>
      </c>
      <c r="F1603">
        <v>3.12</v>
      </c>
      <c r="G1603" s="13">
        <v>44446</v>
      </c>
      <c r="H1603" s="13"/>
      <c r="I1603" s="22" t="str">
        <f>VLOOKUP(J1603, Dropdowns!N:O, 2, FALSE)</f>
        <v>Standard</v>
      </c>
      <c r="J1603" t="s">
        <v>760</v>
      </c>
      <c r="L1603" s="17" t="s">
        <v>732</v>
      </c>
      <c r="M1603" s="17" t="s">
        <v>736</v>
      </c>
      <c r="N1603" s="17" t="s">
        <v>736</v>
      </c>
    </row>
    <row r="1604" spans="1:14" x14ac:dyDescent="0.25">
      <c r="A1604" s="10">
        <v>995021</v>
      </c>
      <c r="B1604" s="22" t="str">
        <f>IFERROR(VLOOKUP(A1604,VLOOKUPS!$A$2:B$12589,2,FALSE),"")</f>
        <v>Chopped Bacon Caesar Kit 10.2oz-standard</v>
      </c>
      <c r="E1604">
        <v>3.49</v>
      </c>
      <c r="G1604" s="13">
        <v>44443</v>
      </c>
      <c r="H1604" s="13"/>
      <c r="I1604" s="22" t="str">
        <f>VLOOKUP(J1604, Dropdowns!N:O, 2, FALSE)</f>
        <v>Standard</v>
      </c>
      <c r="J1604" t="s">
        <v>782</v>
      </c>
      <c r="L1604" s="17" t="s">
        <v>732</v>
      </c>
      <c r="M1604" s="17" t="s">
        <v>736</v>
      </c>
      <c r="N1604" s="17" t="s">
        <v>736</v>
      </c>
    </row>
    <row r="1605" spans="1:14" x14ac:dyDescent="0.25">
      <c r="A1605" s="10">
        <v>995022</v>
      </c>
      <c r="B1605" s="22" t="str">
        <f>IFERROR(VLOOKUP(A1605,VLOOKUPS!$A$2:B$12589,2,FALSE),"")</f>
        <v>American Blend 12oz-standard</v>
      </c>
      <c r="E1605">
        <v>1.99</v>
      </c>
      <c r="G1605" s="13">
        <v>44443</v>
      </c>
      <c r="H1605" s="13"/>
      <c r="I1605" s="22" t="str">
        <f>VLOOKUP(J1605, Dropdowns!N:O, 2, FALSE)</f>
        <v>Standard</v>
      </c>
      <c r="J1605" t="s">
        <v>782</v>
      </c>
      <c r="L1605" s="17" t="s">
        <v>732</v>
      </c>
      <c r="M1605" s="17" t="s">
        <v>736</v>
      </c>
      <c r="N1605" s="17" t="s">
        <v>736</v>
      </c>
    </row>
    <row r="1606" spans="1:14" x14ac:dyDescent="0.25">
      <c r="A1606" s="10">
        <v>995026</v>
      </c>
      <c r="B1606" s="22" t="str">
        <f>IFERROR(VLOOKUP(A1606,VLOOKUPS!$A$2:B$12589,2,FALSE),"")</f>
        <v>Baby Arugula 5oz-standard</v>
      </c>
      <c r="E1606">
        <v>2.29</v>
      </c>
      <c r="G1606" s="13">
        <v>44443</v>
      </c>
      <c r="H1606" s="13"/>
      <c r="I1606" s="22" t="str">
        <f>VLOOKUP(J1606, Dropdowns!N:O, 2, FALSE)</f>
        <v>Standard</v>
      </c>
      <c r="J1606" t="s">
        <v>782</v>
      </c>
      <c r="L1606" s="17" t="s">
        <v>733</v>
      </c>
      <c r="M1606" s="17" t="s">
        <v>736</v>
      </c>
      <c r="N1606" s="17" t="s">
        <v>740</v>
      </c>
    </row>
    <row r="1607" spans="1:14" x14ac:dyDescent="0.25">
      <c r="A1607" s="10">
        <v>995026</v>
      </c>
      <c r="B1607" s="22" t="str">
        <f>IFERROR(VLOOKUP(A1607,VLOOKUPS!$A$2:B$12589,2,FALSE),"")</f>
        <v>Baby Arugula 5oz-standard</v>
      </c>
      <c r="E1607">
        <v>2.99</v>
      </c>
      <c r="G1607" s="13">
        <v>44443</v>
      </c>
      <c r="H1607" s="13"/>
      <c r="I1607" s="22" t="str">
        <f>VLOOKUP(J1607, Dropdowns!N:O, 2, FALSE)</f>
        <v>Standard</v>
      </c>
      <c r="J1607" t="s">
        <v>782</v>
      </c>
      <c r="L1607" s="17" t="s">
        <v>734</v>
      </c>
      <c r="M1607" s="17" t="s">
        <v>735</v>
      </c>
      <c r="N1607" s="17" t="s">
        <v>736</v>
      </c>
    </row>
    <row r="1608" spans="1:14" x14ac:dyDescent="0.25">
      <c r="A1608" s="10">
        <v>995027</v>
      </c>
      <c r="B1608" s="22" t="str">
        <f>IFERROR(VLOOKUP(A1608,VLOOKUPS!$A$2:B$12589,2,FALSE),"")</f>
        <v>XL Baby Spinach 16oz-standard</v>
      </c>
      <c r="E1608">
        <v>4.49</v>
      </c>
      <c r="G1608" s="13">
        <v>44443</v>
      </c>
      <c r="H1608" s="13"/>
      <c r="I1608" s="22" t="str">
        <f>VLOOKUP(J1608, Dropdowns!N:O, 2, FALSE)</f>
        <v>Standard</v>
      </c>
      <c r="J1608" t="s">
        <v>782</v>
      </c>
      <c r="L1608" s="17" t="s">
        <v>732</v>
      </c>
      <c r="M1608" s="17" t="s">
        <v>9</v>
      </c>
      <c r="N1608" s="17" t="s">
        <v>736</v>
      </c>
    </row>
    <row r="1609" spans="1:14" x14ac:dyDescent="0.25">
      <c r="A1609" s="10">
        <v>995035</v>
      </c>
      <c r="B1609" s="22" t="str">
        <f>IFERROR(VLOOKUP(A1609,VLOOKUPS!$A$2:B$12589,2,FALSE),"")</f>
        <v>Kale Greens 16oz-standard</v>
      </c>
      <c r="E1609">
        <v>2.19</v>
      </c>
      <c r="G1609" s="13">
        <v>44443</v>
      </c>
      <c r="H1609" s="13"/>
      <c r="I1609" s="22" t="str">
        <f>VLOOKUP(J1609, Dropdowns!N:O, 2, FALSE)</f>
        <v>Standard</v>
      </c>
      <c r="J1609" t="s">
        <v>782</v>
      </c>
      <c r="L1609" s="17" t="s">
        <v>732</v>
      </c>
      <c r="M1609" s="17" t="s">
        <v>736</v>
      </c>
      <c r="N1609" s="17" t="s">
        <v>741</v>
      </c>
    </row>
    <row r="1610" spans="1:14" x14ac:dyDescent="0.25">
      <c r="A1610" s="10">
        <v>995035</v>
      </c>
      <c r="B1610" s="22" t="str">
        <f>IFERROR(VLOOKUP(A1610,VLOOKUPS!$A$2:B$12589,2,FALSE),"")</f>
        <v>Kale Greens 16oz-standard</v>
      </c>
      <c r="E1610">
        <v>2.4900000000000002</v>
      </c>
      <c r="G1610" s="13">
        <v>44443</v>
      </c>
      <c r="H1610" s="13"/>
      <c r="I1610" s="22" t="str">
        <f>VLOOKUP(J1610, Dropdowns!N:O, 2, FALSE)</f>
        <v>Standard</v>
      </c>
      <c r="J1610" t="s">
        <v>782</v>
      </c>
      <c r="L1610" s="17" t="s">
        <v>734</v>
      </c>
      <c r="M1610" s="17" t="s">
        <v>9</v>
      </c>
      <c r="N1610" s="17">
        <v>8</v>
      </c>
    </row>
    <row r="1611" spans="1:14" x14ac:dyDescent="0.25">
      <c r="A1611" s="10">
        <v>995041</v>
      </c>
      <c r="B1611" s="22" t="str">
        <f>IFERROR(VLOOKUP(A1611,VLOOKUPS!$A$2:B$12589,2,FALSE),"")</f>
        <v>Pineapple Spears 16oz-standard</v>
      </c>
      <c r="E1611">
        <v>2.4900000000000002</v>
      </c>
      <c r="F1611">
        <v>3.49</v>
      </c>
      <c r="G1611" s="13">
        <v>44443</v>
      </c>
      <c r="H1611" s="13"/>
      <c r="I1611" s="22" t="str">
        <f>VLOOKUP(J1611, Dropdowns!N:O, 2, FALSE)</f>
        <v>Standard</v>
      </c>
      <c r="J1611" t="s">
        <v>761</v>
      </c>
      <c r="L1611" s="17" t="s">
        <v>732</v>
      </c>
      <c r="M1611" s="17" t="s">
        <v>9</v>
      </c>
      <c r="N1611" s="17" t="s">
        <v>736</v>
      </c>
    </row>
    <row r="1612" spans="1:14" x14ac:dyDescent="0.25">
      <c r="A1612" s="10">
        <v>995042</v>
      </c>
      <c r="B1612" s="22" t="str">
        <f>IFERROR(VLOOKUP(A1612,VLOOKUPS!$A$2:B$12589,2,FALSE),"")</f>
        <v>Mango Chunks 16oz-standard</v>
      </c>
      <c r="E1612">
        <v>4.29</v>
      </c>
      <c r="G1612" s="13">
        <v>44443</v>
      </c>
      <c r="H1612" s="13"/>
      <c r="I1612" s="22" t="str">
        <f>VLOOKUP(J1612, Dropdowns!N:O, 2, FALSE)</f>
        <v>Standard</v>
      </c>
      <c r="J1612" t="s">
        <v>782</v>
      </c>
      <c r="L1612" s="17" t="s">
        <v>732</v>
      </c>
      <c r="M1612" s="17" t="s">
        <v>736</v>
      </c>
      <c r="N1612" s="17" t="s">
        <v>736</v>
      </c>
    </row>
    <row r="1613" spans="1:14" x14ac:dyDescent="0.25">
      <c r="A1613" s="10">
        <v>995043</v>
      </c>
      <c r="B1613" s="22" t="str">
        <f>IFERROR(VLOOKUP(A1613,VLOOKUPS!$A$2:B$12589,2,FALSE),"")</f>
        <v>Watermelon Chunks 16oz-standard</v>
      </c>
      <c r="E1613">
        <v>3.49</v>
      </c>
      <c r="G1613" s="13">
        <v>44443</v>
      </c>
      <c r="H1613" s="13"/>
      <c r="I1613" s="22" t="str">
        <f>VLOOKUP(J1613, Dropdowns!N:O, 2, FALSE)</f>
        <v>Standard</v>
      </c>
      <c r="J1613" t="s">
        <v>782</v>
      </c>
      <c r="L1613" s="17" t="s">
        <v>732</v>
      </c>
      <c r="M1613" s="17" t="s">
        <v>736</v>
      </c>
      <c r="N1613" s="17" t="s">
        <v>736</v>
      </c>
    </row>
    <row r="1614" spans="1:14" x14ac:dyDescent="0.25">
      <c r="A1614" s="10">
        <v>995045</v>
      </c>
      <c r="B1614" s="22" t="str">
        <f>IFERROR(VLOOKUP(A1614,VLOOKUPS!$A$2:B$12589,2,FALSE),"")</f>
        <v>Fajita Blend 12oz-standard</v>
      </c>
      <c r="E1614">
        <v>3.99</v>
      </c>
      <c r="G1614" s="13">
        <v>44443</v>
      </c>
      <c r="H1614" s="13"/>
      <c r="I1614" s="22" t="str">
        <f>VLOOKUP(J1614, Dropdowns!N:O, 2, FALSE)</f>
        <v>Standard</v>
      </c>
      <c r="J1614" t="s">
        <v>782</v>
      </c>
      <c r="L1614" s="17" t="s">
        <v>732</v>
      </c>
      <c r="M1614" s="17" t="s">
        <v>736</v>
      </c>
      <c r="N1614" s="17" t="s">
        <v>736</v>
      </c>
    </row>
    <row r="1615" spans="1:14" x14ac:dyDescent="0.25">
      <c r="A1615" s="10">
        <v>995046</v>
      </c>
      <c r="B1615" s="22" t="str">
        <f>IFERROR(VLOOKUP(A1615,VLOOKUPS!$A$2:B$12589,2,FALSE),"")</f>
        <v>Diced Onion 8oz-standard</v>
      </c>
      <c r="E1615">
        <v>1.99</v>
      </c>
      <c r="G1615" s="13">
        <v>44443</v>
      </c>
      <c r="H1615" s="13"/>
      <c r="I1615" s="22" t="str">
        <f>VLOOKUP(J1615, Dropdowns!N:O, 2, FALSE)</f>
        <v>Standard</v>
      </c>
      <c r="J1615" t="s">
        <v>782</v>
      </c>
      <c r="L1615" s="17" t="s">
        <v>732</v>
      </c>
      <c r="M1615" s="17" t="s">
        <v>736</v>
      </c>
      <c r="N1615" s="17" t="s">
        <v>736</v>
      </c>
    </row>
    <row r="1616" spans="1:14" x14ac:dyDescent="0.25">
      <c r="A1616" s="10">
        <v>995050</v>
      </c>
      <c r="B1616" s="22" t="str">
        <f>IFERROR(VLOOKUP(A1616,VLOOKUPS!$A$2:B$12589,2,FALSE),"")</f>
        <v>Organic Bagged Kale 10oz-standard</v>
      </c>
      <c r="E1616">
        <v>2.69</v>
      </c>
      <c r="G1616" s="13">
        <v>44443</v>
      </c>
      <c r="H1616" s="13"/>
      <c r="I1616" s="22" t="str">
        <f>VLOOKUP(J1616, Dropdowns!N:O, 2, FALSE)</f>
        <v>Standard</v>
      </c>
      <c r="J1616" t="s">
        <v>782</v>
      </c>
      <c r="L1616" s="17" t="s">
        <v>732</v>
      </c>
      <c r="M1616" s="17" t="s">
        <v>736</v>
      </c>
      <c r="N1616" s="17" t="s">
        <v>741</v>
      </c>
    </row>
    <row r="1617" spans="1:14" x14ac:dyDescent="0.25">
      <c r="A1617" s="10">
        <v>995050</v>
      </c>
      <c r="B1617" s="22" t="str">
        <f>IFERROR(VLOOKUP(A1617,VLOOKUPS!$A$2:B$12589,2,FALSE),"")</f>
        <v>Organic Bagged Kale 10oz-standard</v>
      </c>
      <c r="E1617">
        <v>3.19</v>
      </c>
      <c r="G1617" s="13">
        <v>44443</v>
      </c>
      <c r="H1617" s="13"/>
      <c r="I1617" s="22" t="str">
        <f>VLOOKUP(J1617, Dropdowns!N:O, 2, FALSE)</f>
        <v>Standard</v>
      </c>
      <c r="J1617" t="s">
        <v>782</v>
      </c>
      <c r="L1617" s="17" t="s">
        <v>734</v>
      </c>
      <c r="M1617" s="17" t="s">
        <v>9</v>
      </c>
      <c r="N1617" s="17">
        <v>8</v>
      </c>
    </row>
    <row r="1618" spans="1:14" x14ac:dyDescent="0.25">
      <c r="A1618" s="10">
        <v>995051</v>
      </c>
      <c r="B1618" s="22" t="str">
        <f>IFERROR(VLOOKUP(A1618,VLOOKUPS!$A$2:B$12589,2,FALSE),"")</f>
        <v>Mild Fresh Chopped Salsa 16oz-standard</v>
      </c>
      <c r="E1618">
        <v>4.49</v>
      </c>
      <c r="G1618" s="13">
        <v>44443</v>
      </c>
      <c r="H1618" s="13"/>
      <c r="I1618" s="22" t="str">
        <f>VLOOKUP(J1618, Dropdowns!N:O, 2, FALSE)</f>
        <v>Standard</v>
      </c>
      <c r="J1618" t="s">
        <v>782</v>
      </c>
      <c r="L1618" s="17" t="s">
        <v>732</v>
      </c>
      <c r="M1618" s="17" t="s">
        <v>736</v>
      </c>
      <c r="N1618" s="17" t="s">
        <v>736</v>
      </c>
    </row>
    <row r="1619" spans="1:14" x14ac:dyDescent="0.25">
      <c r="A1619" s="10">
        <v>995053</v>
      </c>
      <c r="B1619" s="22" t="str">
        <f>IFERROR(VLOOKUP(A1619,VLOOKUPS!$A$2:B$12589,2,FALSE),"")</f>
        <v>Fresh Chopped Salsa Pico 16oz-standard</v>
      </c>
      <c r="E1619">
        <v>4.49</v>
      </c>
      <c r="G1619" s="13">
        <v>44443</v>
      </c>
      <c r="H1619" s="13"/>
      <c r="I1619" s="22" t="str">
        <f>VLOOKUP(J1619, Dropdowns!N:O, 2, FALSE)</f>
        <v>Standard</v>
      </c>
      <c r="J1619" t="s">
        <v>782</v>
      </c>
      <c r="L1619" s="17" t="s">
        <v>732</v>
      </c>
      <c r="M1619" s="17" t="s">
        <v>736</v>
      </c>
      <c r="N1619" s="17" t="s">
        <v>736</v>
      </c>
    </row>
    <row r="1620" spans="1:14" x14ac:dyDescent="0.25">
      <c r="A1620" s="10">
        <v>982671</v>
      </c>
      <c r="B1620" s="22" t="str">
        <f>IFERROR(VLOOKUP(A1620,VLOOKUPS!$A$2:B$12589,2,FALSE),"")</f>
        <v>Grapes Jammer 1lb-standard</v>
      </c>
      <c r="E1620">
        <v>3.49</v>
      </c>
      <c r="G1620" s="13">
        <v>44445</v>
      </c>
      <c r="H1620" s="13"/>
      <c r="I1620" s="22" t="str">
        <f>VLOOKUP(J1620, Dropdowns!N:O, 2, FALSE)</f>
        <v>NA</v>
      </c>
      <c r="J1620" t="s">
        <v>754</v>
      </c>
      <c r="L1620" s="17" t="s">
        <v>732</v>
      </c>
      <c r="M1620" s="17" t="s">
        <v>736</v>
      </c>
      <c r="N1620" s="17" t="s">
        <v>736</v>
      </c>
    </row>
    <row r="1621" spans="1:14" x14ac:dyDescent="0.25">
      <c r="A1621" s="10">
        <v>982962</v>
      </c>
      <c r="B1621" s="22" t="str">
        <f>IFERROR(VLOOKUP(A1621,VLOOKUPS!$A$2:B$12589,2,FALSE),"")</f>
        <v>Grapes Specialty 1lb-standard</v>
      </c>
      <c r="E1621">
        <v>3.49</v>
      </c>
      <c r="G1621" s="13">
        <v>44445</v>
      </c>
      <c r="H1621" s="13"/>
      <c r="I1621" s="22" t="str">
        <f>VLOOKUP(J1621, Dropdowns!N:O, 2, FALSE)</f>
        <v>NA</v>
      </c>
      <c r="J1621" t="s">
        <v>754</v>
      </c>
      <c r="L1621" s="17" t="s">
        <v>732</v>
      </c>
      <c r="M1621" s="17" t="s">
        <v>736</v>
      </c>
      <c r="N1621" s="17" t="s">
        <v>736</v>
      </c>
    </row>
    <row r="1622" spans="1:14" x14ac:dyDescent="0.25">
      <c r="A1622" s="10">
        <v>983201</v>
      </c>
      <c r="B1622" s="22" t="str">
        <f>IFERROR(VLOOKUP(A1622,VLOOKUPS!$A$2:B$12589,2,FALSE),"")</f>
        <v>Melons* Honeydew 1ct-LOOSE</v>
      </c>
      <c r="E1622">
        <v>3.58</v>
      </c>
      <c r="F1622">
        <v>2.58</v>
      </c>
      <c r="G1622" s="13">
        <v>44443</v>
      </c>
      <c r="H1622" s="13">
        <v>44444</v>
      </c>
      <c r="I1622" s="22" t="str">
        <f>VLOOKUP(J1622, Dropdowns!N:O, 2, FALSE)</f>
        <v>Lower Price</v>
      </c>
      <c r="J1622" t="s">
        <v>759</v>
      </c>
      <c r="L1622" s="17" t="s">
        <v>732</v>
      </c>
      <c r="M1622" s="17" t="s">
        <v>735</v>
      </c>
      <c r="N1622" s="17" t="s">
        <v>736</v>
      </c>
    </row>
    <row r="1623" spans="1:14" x14ac:dyDescent="0.25">
      <c r="A1623" s="10">
        <v>983201</v>
      </c>
      <c r="B1623" s="22" t="str">
        <f>IFERROR(VLOOKUP(A1623,VLOOKUPS!$A$2:B$12589,2,FALSE),"")</f>
        <v>Melons* Honeydew 1ct-LOOSE</v>
      </c>
      <c r="E1623">
        <v>2.58</v>
      </c>
      <c r="F1623">
        <v>3.58</v>
      </c>
      <c r="G1623" s="13">
        <v>44445</v>
      </c>
      <c r="H1623" s="13"/>
      <c r="I1623" s="22" t="str">
        <f>VLOOKUP(J1623, Dropdowns!N:O, 2, FALSE)</f>
        <v>Standard</v>
      </c>
      <c r="J1623" t="s">
        <v>760</v>
      </c>
      <c r="L1623" s="17" t="s">
        <v>732</v>
      </c>
      <c r="M1623" s="17" t="s">
        <v>735</v>
      </c>
      <c r="N1623" s="17" t="s">
        <v>736</v>
      </c>
    </row>
    <row r="1624" spans="1:14" x14ac:dyDescent="0.25">
      <c r="A1624" s="10">
        <v>983251</v>
      </c>
      <c r="B1624" s="22" t="str">
        <f>IFERROR(VLOOKUP(A1624,VLOOKUPS!$A$2:B$12589,2,FALSE),"")</f>
        <v>Watermelons Large Seedless 1ct-LOOSE</v>
      </c>
      <c r="G1624" s="13">
        <v>44443</v>
      </c>
      <c r="H1624" s="13">
        <v>44446</v>
      </c>
      <c r="I1624" s="22" t="str">
        <f>VLOOKUP(J1624, Dropdowns!N:O, 2, FALSE)</f>
        <v>Lower Price</v>
      </c>
      <c r="J1624" t="s">
        <v>779</v>
      </c>
      <c r="L1624" s="17" t="s">
        <v>732</v>
      </c>
      <c r="M1624" s="17" t="s">
        <v>737</v>
      </c>
      <c r="N1624" s="17" t="s">
        <v>736</v>
      </c>
    </row>
    <row r="1625" spans="1:14" x14ac:dyDescent="0.25">
      <c r="A1625" s="10">
        <v>995011</v>
      </c>
      <c r="B1625" s="22" t="str">
        <f>IFERROR(VLOOKUP(A1625,VLOOKUPS!$A$2:B$12589,2,FALSE),"")</f>
        <v>RTE Santa Fe Salad 6.25oz-standard</v>
      </c>
      <c r="F1625">
        <v>2.89</v>
      </c>
      <c r="G1625" s="13">
        <v>44444</v>
      </c>
      <c r="H1625" s="13"/>
      <c r="I1625" s="22" t="str">
        <f>VLOOKUP(J1625, Dropdowns!N:O, 2, FALSE)</f>
        <v>New</v>
      </c>
      <c r="J1625" t="s">
        <v>776</v>
      </c>
      <c r="L1625" s="17" t="s">
        <v>733</v>
      </c>
      <c r="M1625" s="17" t="s">
        <v>736</v>
      </c>
      <c r="N1625" s="17" t="s">
        <v>740</v>
      </c>
    </row>
    <row r="1626" spans="1:14" x14ac:dyDescent="0.25">
      <c r="A1626" s="10">
        <v>995011</v>
      </c>
      <c r="B1626" s="22" t="str">
        <f>IFERROR(VLOOKUP(A1626,VLOOKUPS!$A$2:B$12589,2,FALSE),"")</f>
        <v>RTE Santa Fe Salad 6.25oz-standard</v>
      </c>
      <c r="F1626">
        <v>2.99</v>
      </c>
      <c r="G1626" s="13">
        <v>44444</v>
      </c>
      <c r="H1626" s="13"/>
      <c r="I1626" s="22" t="str">
        <f>VLOOKUP(J1626, Dropdowns!N:O, 2, FALSE)</f>
        <v>New</v>
      </c>
      <c r="J1626" t="s">
        <v>776</v>
      </c>
      <c r="L1626" s="17" t="s">
        <v>734</v>
      </c>
      <c r="M1626" s="17" t="s">
        <v>735</v>
      </c>
      <c r="N1626" s="17" t="s">
        <v>736</v>
      </c>
    </row>
    <row r="1627" spans="1:14" x14ac:dyDescent="0.25">
      <c r="A1627" s="10">
        <v>995012</v>
      </c>
      <c r="B1627" s="22" t="str">
        <f>IFERROR(VLOOKUP(A1627,VLOOKUPS!$A$2:B$12589,2,FALSE),"")</f>
        <v>RTE Cranberry Walnut Salad 4.5oz-standard</v>
      </c>
      <c r="F1627">
        <v>2.89</v>
      </c>
      <c r="G1627" s="13">
        <v>44444</v>
      </c>
      <c r="H1627" s="13"/>
      <c r="I1627" s="22" t="str">
        <f>VLOOKUP(J1627, Dropdowns!N:O, 2, FALSE)</f>
        <v>New</v>
      </c>
      <c r="J1627" t="s">
        <v>776</v>
      </c>
      <c r="L1627" s="17" t="s">
        <v>733</v>
      </c>
      <c r="M1627" s="17" t="s">
        <v>736</v>
      </c>
      <c r="N1627" s="17" t="s">
        <v>740</v>
      </c>
    </row>
    <row r="1628" spans="1:14" x14ac:dyDescent="0.25">
      <c r="A1628" s="10">
        <v>995012</v>
      </c>
      <c r="B1628" s="22" t="str">
        <f>IFERROR(VLOOKUP(A1628,VLOOKUPS!$A$2:B$12589,2,FALSE),"")</f>
        <v>RTE Cranberry Walnut Salad 4.5oz-standard</v>
      </c>
      <c r="F1628">
        <v>2.99</v>
      </c>
      <c r="G1628" s="13">
        <v>44444</v>
      </c>
      <c r="H1628" s="13"/>
      <c r="I1628" s="22" t="str">
        <f>VLOOKUP(J1628, Dropdowns!N:O, 2, FALSE)</f>
        <v>New</v>
      </c>
      <c r="J1628" t="s">
        <v>776</v>
      </c>
      <c r="L1628" s="17" t="s">
        <v>734</v>
      </c>
      <c r="M1628" s="17" t="s">
        <v>735</v>
      </c>
      <c r="N1628" s="17" t="s">
        <v>736</v>
      </c>
    </row>
    <row r="1629" spans="1:14" x14ac:dyDescent="0.25">
      <c r="A1629" s="10">
        <v>995019</v>
      </c>
      <c r="B1629" s="22" t="str">
        <f>IFERROR(VLOOKUP(A1629,VLOOKUPS!$A$2:B$12589,2,FALSE),"")</f>
        <v>RTE Large Santa Fe Salad 14oz-standard</v>
      </c>
      <c r="F1629">
        <v>4.99</v>
      </c>
      <c r="G1629" s="13">
        <v>44444</v>
      </c>
      <c r="H1629" s="13"/>
      <c r="I1629" s="22" t="str">
        <f>VLOOKUP(J1629, Dropdowns!N:O, 2, FALSE)</f>
        <v>New</v>
      </c>
      <c r="J1629" t="s">
        <v>776</v>
      </c>
      <c r="L1629" s="17" t="s">
        <v>732</v>
      </c>
      <c r="M1629" s="17" t="s">
        <v>736</v>
      </c>
      <c r="N1629" s="17" t="s">
        <v>736</v>
      </c>
    </row>
    <row r="1630" spans="1:14" x14ac:dyDescent="0.25">
      <c r="A1630" s="10">
        <v>995026</v>
      </c>
      <c r="B1630" s="22" t="str">
        <f>IFERROR(VLOOKUP(A1630,VLOOKUPS!$A$2:B$12589,2,FALSE),"")</f>
        <v>Baby Arugula 5oz-standard</v>
      </c>
      <c r="E1630">
        <v>2.29</v>
      </c>
      <c r="F1630">
        <v>1.49</v>
      </c>
      <c r="G1630" s="13">
        <v>44443</v>
      </c>
      <c r="H1630" s="13">
        <v>44444</v>
      </c>
      <c r="I1630" s="22" t="str">
        <f>VLOOKUP(J1630, Dropdowns!N:O, 2, FALSE)</f>
        <v>Lower Price</v>
      </c>
      <c r="J1630" t="s">
        <v>759</v>
      </c>
      <c r="L1630" s="17" t="s">
        <v>733</v>
      </c>
      <c r="M1630" s="17" t="s">
        <v>11</v>
      </c>
      <c r="N1630" s="17" t="s">
        <v>740</v>
      </c>
    </row>
    <row r="1631" spans="1:14" x14ac:dyDescent="0.25">
      <c r="A1631" s="10">
        <v>995026</v>
      </c>
      <c r="B1631" s="22" t="str">
        <f>IFERROR(VLOOKUP(A1631,VLOOKUPS!$A$2:B$12589,2,FALSE),"")</f>
        <v>Baby Arugula 5oz-standard</v>
      </c>
      <c r="E1631">
        <v>1.49</v>
      </c>
      <c r="F1631">
        <v>2.29</v>
      </c>
      <c r="G1631" s="13">
        <v>44445</v>
      </c>
      <c r="H1631" s="13"/>
      <c r="I1631" s="22" t="str">
        <f>VLOOKUP(J1631, Dropdowns!N:O, 2, FALSE)</f>
        <v>Standard</v>
      </c>
      <c r="J1631" t="s">
        <v>760</v>
      </c>
      <c r="L1631" s="17" t="s">
        <v>733</v>
      </c>
      <c r="M1631" s="17" t="s">
        <v>11</v>
      </c>
      <c r="N1631" s="17" t="s">
        <v>740</v>
      </c>
    </row>
    <row r="1632" spans="1:14" x14ac:dyDescent="0.25">
      <c r="A1632" s="10">
        <v>984541</v>
      </c>
      <c r="B1632" s="22" t="str">
        <f>IFERROR(VLOOKUP(A1632,VLOOKUPS!$A$2:B$12589,2,FALSE),"")</f>
        <v>Blueberries 1pt-standard</v>
      </c>
      <c r="E1632">
        <v>3.19</v>
      </c>
      <c r="F1632">
        <v>2.79</v>
      </c>
      <c r="G1632" s="13">
        <v>44449</v>
      </c>
      <c r="H1632" s="13"/>
      <c r="I1632" s="22" t="str">
        <f>VLOOKUP(J1632, Dropdowns!N:O, 2, FALSE)</f>
        <v>Standard</v>
      </c>
      <c r="J1632" t="s">
        <v>761</v>
      </c>
      <c r="L1632" s="17" t="s">
        <v>732</v>
      </c>
      <c r="M1632" s="17" t="s">
        <v>736</v>
      </c>
      <c r="N1632" s="17" t="s">
        <v>736</v>
      </c>
    </row>
    <row r="1633" spans="1:14" x14ac:dyDescent="0.25">
      <c r="A1633" s="10">
        <v>982740</v>
      </c>
      <c r="B1633" s="22" t="str">
        <f>IFERROR(VLOOKUP(A1633,VLOOKUPS!$A$2:B$12589,2,FALSE),"")</f>
        <v>Grapes* Red Seedless 1lb-LOOSE</v>
      </c>
      <c r="G1633" s="13">
        <v>44447</v>
      </c>
      <c r="H1633" s="13">
        <v>44453</v>
      </c>
      <c r="I1633" s="22" t="str">
        <f>VLOOKUP(J1633, Dropdowns!N:O, 2, FALSE)</f>
        <v>Lower Price</v>
      </c>
      <c r="J1633" t="s">
        <v>753</v>
      </c>
      <c r="L1633" s="17" t="s">
        <v>732</v>
      </c>
      <c r="M1633" s="17" t="s">
        <v>736</v>
      </c>
      <c r="N1633" s="17" t="s">
        <v>736</v>
      </c>
    </row>
    <row r="1634" spans="1:14" x14ac:dyDescent="0.25">
      <c r="A1634" s="10">
        <v>983151</v>
      </c>
      <c r="B1634" s="22" t="str">
        <f>IFERROR(VLOOKUP(A1634,VLOOKUPS!$A$2:B$12589,2,FALSE),"")</f>
        <v>Melons* Golden Honeydew 1ct-LOOSE</v>
      </c>
      <c r="E1634">
        <v>3.88</v>
      </c>
      <c r="F1634">
        <v>2.88</v>
      </c>
      <c r="G1634" s="13">
        <v>44447</v>
      </c>
      <c r="H1634" s="13">
        <v>44448</v>
      </c>
      <c r="I1634" s="22" t="str">
        <f>VLOOKUP(J1634, Dropdowns!N:O, 2, FALSE)</f>
        <v>Lower Price</v>
      </c>
      <c r="J1634" t="s">
        <v>759</v>
      </c>
      <c r="L1634" s="17" t="s">
        <v>732</v>
      </c>
      <c r="M1634" s="17" t="s">
        <v>737</v>
      </c>
      <c r="N1634" s="17" t="s">
        <v>736</v>
      </c>
    </row>
    <row r="1635" spans="1:14" x14ac:dyDescent="0.25">
      <c r="A1635" s="10">
        <v>983151</v>
      </c>
      <c r="B1635" s="22" t="str">
        <f>IFERROR(VLOOKUP(A1635,VLOOKUPS!$A$2:B$12589,2,FALSE),"")</f>
        <v>Melons* Golden Honeydew 1ct-LOOSE</v>
      </c>
      <c r="E1635">
        <v>3.88</v>
      </c>
      <c r="F1635">
        <v>2.88</v>
      </c>
      <c r="G1635" s="13">
        <v>44449</v>
      </c>
      <c r="H1635" s="13">
        <v>44450</v>
      </c>
      <c r="I1635" s="22" t="str">
        <f>VLOOKUP(J1635, Dropdowns!N:O, 2, FALSE)</f>
        <v>Lower Price</v>
      </c>
      <c r="J1635" t="s">
        <v>759</v>
      </c>
      <c r="L1635" s="17" t="s">
        <v>732</v>
      </c>
      <c r="M1635" s="17" t="s">
        <v>736</v>
      </c>
    </row>
    <row r="1636" spans="1:14" x14ac:dyDescent="0.25">
      <c r="A1636" s="10">
        <v>984700</v>
      </c>
      <c r="B1636" s="22" t="str">
        <f>IFERROR(VLOOKUP(A1636,VLOOKUPS!$A$2:B$12589,2,FALSE),"")</f>
        <v>Blackberries 6oz-standard</v>
      </c>
      <c r="E1636">
        <v>2.4900000000000002</v>
      </c>
      <c r="F1636">
        <v>1.89</v>
      </c>
      <c r="G1636" s="13">
        <v>44447</v>
      </c>
      <c r="H1636" s="13">
        <v>44448</v>
      </c>
      <c r="I1636" s="22" t="str">
        <f>VLOOKUP(J1636, Dropdowns!N:O, 2, FALSE)</f>
        <v>Lower Price</v>
      </c>
      <c r="J1636" t="s">
        <v>759</v>
      </c>
      <c r="L1636" s="17" t="s">
        <v>732</v>
      </c>
      <c r="M1636" s="17" t="s">
        <v>738</v>
      </c>
      <c r="N1636" s="17">
        <v>2</v>
      </c>
    </row>
    <row r="1637" spans="1:14" x14ac:dyDescent="0.25">
      <c r="A1637" s="10">
        <v>984700</v>
      </c>
      <c r="B1637" s="22" t="str">
        <f>IFERROR(VLOOKUP(A1637,VLOOKUPS!$A$2:B$12589,2,FALSE),"")</f>
        <v>Blackberries 6oz-standard</v>
      </c>
      <c r="E1637">
        <v>1.89</v>
      </c>
      <c r="F1637">
        <v>2.4900000000000002</v>
      </c>
      <c r="G1637" s="13">
        <v>44449</v>
      </c>
      <c r="H1637" s="13"/>
      <c r="I1637" s="22" t="str">
        <f>VLOOKUP(J1637, Dropdowns!N:O, 2, FALSE)</f>
        <v>Standard</v>
      </c>
      <c r="J1637" t="s">
        <v>760</v>
      </c>
      <c r="L1637" s="17" t="s">
        <v>732</v>
      </c>
      <c r="M1637" s="17" t="s">
        <v>738</v>
      </c>
      <c r="N1637" s="17">
        <v>2</v>
      </c>
    </row>
    <row r="1638" spans="1:14" x14ac:dyDescent="0.25">
      <c r="A1638" s="10">
        <v>985190</v>
      </c>
      <c r="B1638" s="22" t="str">
        <f>IFERROR(VLOOKUP(A1638,VLOOKUPS!$A$2:B$12589,2,FALSE),"")</f>
        <v>Organic Romaine Hearts 3ct-standard</v>
      </c>
      <c r="E1638">
        <v>3.39</v>
      </c>
      <c r="F1638">
        <v>2.4900000000000002</v>
      </c>
      <c r="G1638" s="13">
        <v>44447</v>
      </c>
      <c r="H1638" s="13">
        <v>44448</v>
      </c>
      <c r="I1638" s="22" t="str">
        <f>VLOOKUP(J1638, Dropdowns!N:O, 2, FALSE)</f>
        <v>Lower Price</v>
      </c>
      <c r="J1638" t="s">
        <v>759</v>
      </c>
      <c r="L1638" s="17" t="s">
        <v>733</v>
      </c>
      <c r="M1638" s="17" t="s">
        <v>11</v>
      </c>
      <c r="N1638" s="17" t="s">
        <v>740</v>
      </c>
    </row>
    <row r="1639" spans="1:14" x14ac:dyDescent="0.25">
      <c r="A1639" s="10">
        <v>985190</v>
      </c>
      <c r="B1639" s="22" t="str">
        <f>IFERROR(VLOOKUP(A1639,VLOOKUPS!$A$2:B$12589,2,FALSE),"")</f>
        <v>Organic Romaine Hearts 3ct-standard</v>
      </c>
      <c r="E1639">
        <v>2.4900000000000002</v>
      </c>
      <c r="F1639">
        <v>3.39</v>
      </c>
      <c r="G1639" s="13">
        <v>44449</v>
      </c>
      <c r="H1639" s="13"/>
      <c r="I1639" s="22" t="str">
        <f>VLOOKUP(J1639, Dropdowns!N:O, 2, FALSE)</f>
        <v>Standard</v>
      </c>
      <c r="J1639" t="s">
        <v>760</v>
      </c>
      <c r="L1639" s="17" t="s">
        <v>733</v>
      </c>
      <c r="M1639" s="17" t="s">
        <v>11</v>
      </c>
      <c r="N1639" s="17" t="s">
        <v>740</v>
      </c>
    </row>
    <row r="1640" spans="1:14" x14ac:dyDescent="0.25">
      <c r="A1640" s="10">
        <v>985760</v>
      </c>
      <c r="B1640" s="22" t="str">
        <f>IFERROR(VLOOKUP(A1640,VLOOKUPS!$A$2:B$12589,2,FALSE),"")</f>
        <v>Asparagus 1lb-standard</v>
      </c>
      <c r="E1640">
        <v>2.99</v>
      </c>
      <c r="F1640">
        <v>1.99</v>
      </c>
      <c r="G1640" s="13">
        <v>44447</v>
      </c>
      <c r="H1640" s="13">
        <v>44448</v>
      </c>
      <c r="I1640" s="22" t="str">
        <f>VLOOKUP(J1640, Dropdowns!N:O, 2, FALSE)</f>
        <v>Lower Price</v>
      </c>
      <c r="J1640" t="s">
        <v>759</v>
      </c>
      <c r="L1640" s="17" t="s">
        <v>732</v>
      </c>
      <c r="M1640" s="17" t="s">
        <v>738</v>
      </c>
      <c r="N1640" s="17">
        <v>2</v>
      </c>
    </row>
    <row r="1641" spans="1:14" x14ac:dyDescent="0.25">
      <c r="A1641" s="10">
        <v>985760</v>
      </c>
      <c r="B1641" s="22" t="str">
        <f>IFERROR(VLOOKUP(A1641,VLOOKUPS!$A$2:B$12589,2,FALSE),"")</f>
        <v>Asparagus 1lb-standard</v>
      </c>
      <c r="E1641">
        <v>1.99</v>
      </c>
      <c r="F1641">
        <v>2.99</v>
      </c>
      <c r="G1641" s="13">
        <v>44449</v>
      </c>
      <c r="H1641" s="13"/>
      <c r="I1641" s="22" t="str">
        <f>VLOOKUP(J1641, Dropdowns!N:O, 2, FALSE)</f>
        <v>Standard</v>
      </c>
      <c r="J1641" t="s">
        <v>760</v>
      </c>
      <c r="L1641" s="17" t="s">
        <v>732</v>
      </c>
      <c r="M1641" s="17" t="s">
        <v>738</v>
      </c>
      <c r="N1641" s="17">
        <v>2</v>
      </c>
    </row>
    <row r="1642" spans="1:14" x14ac:dyDescent="0.25">
      <c r="A1642" s="10">
        <v>986270</v>
      </c>
      <c r="B1642" s="22" t="str">
        <f>IFERROR(VLOOKUP(A1642,VLOOKUPS!$A$2:B$12589,2,FALSE),"")</f>
        <v>Organic French Beans 1lb-standard</v>
      </c>
      <c r="E1642">
        <v>3.99</v>
      </c>
      <c r="F1642">
        <v>2.99</v>
      </c>
      <c r="G1642" s="13">
        <v>44447</v>
      </c>
      <c r="H1642" s="13">
        <v>44448</v>
      </c>
      <c r="I1642" s="22" t="str">
        <f>VLOOKUP(J1642, Dropdowns!N:O, 2, FALSE)</f>
        <v>Lower Price</v>
      </c>
      <c r="J1642" t="s">
        <v>759</v>
      </c>
      <c r="L1642" s="17" t="s">
        <v>732</v>
      </c>
      <c r="M1642" s="17" t="s">
        <v>10</v>
      </c>
      <c r="N1642" s="17">
        <v>2</v>
      </c>
    </row>
    <row r="1643" spans="1:14" x14ac:dyDescent="0.25">
      <c r="A1643" s="10">
        <v>986270</v>
      </c>
      <c r="B1643" s="22" t="str">
        <f>IFERROR(VLOOKUP(A1643,VLOOKUPS!$A$2:B$12589,2,FALSE),"")</f>
        <v>Organic French Beans 1lb-standard</v>
      </c>
      <c r="E1643">
        <v>2.99</v>
      </c>
      <c r="F1643">
        <v>3.99</v>
      </c>
      <c r="G1643" s="13">
        <v>44449</v>
      </c>
      <c r="H1643" s="13"/>
      <c r="I1643" s="22" t="str">
        <f>VLOOKUP(J1643, Dropdowns!N:O, 2, FALSE)</f>
        <v>Standard</v>
      </c>
      <c r="J1643" t="s">
        <v>760</v>
      </c>
      <c r="L1643" s="17" t="s">
        <v>732</v>
      </c>
      <c r="M1643" s="17" t="s">
        <v>10</v>
      </c>
      <c r="N1643" s="17">
        <v>2</v>
      </c>
    </row>
    <row r="1644" spans="1:14" x14ac:dyDescent="0.25">
      <c r="A1644" s="10">
        <v>988540</v>
      </c>
      <c r="B1644" s="22" t="str">
        <f>IFERROR(VLOOKUP(A1644,VLOOKUPS!$A$2:B$12589,2,FALSE),"")</f>
        <v>Broccolini 6oz-standard</v>
      </c>
      <c r="E1644">
        <v>2.79</v>
      </c>
      <c r="F1644">
        <v>1.99</v>
      </c>
      <c r="G1644" s="13">
        <v>44447</v>
      </c>
      <c r="H1644" s="13">
        <v>44448</v>
      </c>
      <c r="I1644" s="22" t="str">
        <f>VLOOKUP(J1644, Dropdowns!N:O, 2, FALSE)</f>
        <v>Lower Price</v>
      </c>
      <c r="J1644" t="s">
        <v>759</v>
      </c>
      <c r="L1644" s="17" t="s">
        <v>733</v>
      </c>
      <c r="M1644" s="17" t="s">
        <v>11</v>
      </c>
      <c r="N1644" s="17" t="s">
        <v>740</v>
      </c>
    </row>
    <row r="1645" spans="1:14" x14ac:dyDescent="0.25">
      <c r="A1645" s="10">
        <v>988540</v>
      </c>
      <c r="B1645" s="22" t="str">
        <f>IFERROR(VLOOKUP(A1645,VLOOKUPS!$A$2:B$12589,2,FALSE),"")</f>
        <v>Broccolini 6oz-standard</v>
      </c>
      <c r="E1645">
        <v>1.99</v>
      </c>
      <c r="F1645">
        <v>2.79</v>
      </c>
      <c r="G1645" s="13">
        <v>44449</v>
      </c>
      <c r="H1645" s="13"/>
      <c r="I1645" s="22" t="str">
        <f>VLOOKUP(J1645, Dropdowns!N:O, 2, FALSE)</f>
        <v>Standard</v>
      </c>
      <c r="J1645" t="s">
        <v>760</v>
      </c>
      <c r="L1645" s="17" t="s">
        <v>733</v>
      </c>
      <c r="M1645" s="17" t="s">
        <v>11</v>
      </c>
      <c r="N1645" s="17" t="s">
        <v>740</v>
      </c>
    </row>
    <row r="1646" spans="1:14" x14ac:dyDescent="0.25">
      <c r="A1646" s="10">
        <v>995032</v>
      </c>
      <c r="B1646" s="22" t="str">
        <f>IFERROR(VLOOKUP(A1646,VLOOKUPS!$A$2:B$12589,2,FALSE),"")</f>
        <v>Chopped Sunflower Crunch Kit 12.2oz-standard</v>
      </c>
      <c r="E1646">
        <v>3.49</v>
      </c>
      <c r="F1646">
        <v>2.4900000000000002</v>
      </c>
      <c r="G1646" s="13">
        <v>44447</v>
      </c>
      <c r="H1646" s="13">
        <v>44448</v>
      </c>
      <c r="I1646" s="22" t="str">
        <f>VLOOKUP(J1646, Dropdowns!N:O, 2, FALSE)</f>
        <v>Lower Price</v>
      </c>
      <c r="J1646" t="s">
        <v>759</v>
      </c>
      <c r="L1646" s="17" t="s">
        <v>732</v>
      </c>
      <c r="M1646" s="17" t="s">
        <v>738</v>
      </c>
      <c r="N1646" s="17">
        <v>2</v>
      </c>
    </row>
    <row r="1647" spans="1:14" x14ac:dyDescent="0.25">
      <c r="A1647" s="10">
        <v>995032</v>
      </c>
      <c r="B1647" s="22" t="str">
        <f>IFERROR(VLOOKUP(A1647,VLOOKUPS!$A$2:B$12589,2,FALSE),"")</f>
        <v>Chopped Sunflower Crunch Kit 12.2oz-standard</v>
      </c>
      <c r="E1647">
        <v>2.4900000000000002</v>
      </c>
      <c r="F1647">
        <v>3.49</v>
      </c>
      <c r="G1647" s="13">
        <v>44449</v>
      </c>
      <c r="H1647" s="13"/>
      <c r="I1647" s="22" t="str">
        <f>VLOOKUP(J1647, Dropdowns!N:O, 2, FALSE)</f>
        <v>Standard</v>
      </c>
      <c r="J1647" t="s">
        <v>760</v>
      </c>
      <c r="L1647" s="17" t="s">
        <v>732</v>
      </c>
      <c r="M1647" s="17" t="s">
        <v>738</v>
      </c>
      <c r="N1647" s="17">
        <v>2</v>
      </c>
    </row>
    <row r="1648" spans="1:14" x14ac:dyDescent="0.25">
      <c r="A1648" s="10">
        <v>995068</v>
      </c>
      <c r="B1648" s="22" t="str">
        <f>IFERROR(VLOOKUP(A1648,VLOOKUPS!$A$2:B$12589,2,FALSE),"")</f>
        <v>Organic Half and Half 5oz-standard</v>
      </c>
      <c r="E1648">
        <v>2.4900000000000002</v>
      </c>
      <c r="F1648">
        <v>1.49</v>
      </c>
      <c r="G1648" s="13">
        <v>44447</v>
      </c>
      <c r="H1648" s="13">
        <v>44448</v>
      </c>
      <c r="I1648" s="22" t="str">
        <f>VLOOKUP(J1648, Dropdowns!N:O, 2, FALSE)</f>
        <v>Lower Price</v>
      </c>
      <c r="J1648" t="s">
        <v>759</v>
      </c>
      <c r="L1648" s="17" t="s">
        <v>733</v>
      </c>
      <c r="M1648" s="17" t="s">
        <v>11</v>
      </c>
      <c r="N1648" s="17" t="s">
        <v>740</v>
      </c>
    </row>
    <row r="1649" spans="1:14" x14ac:dyDescent="0.25">
      <c r="A1649" s="10">
        <v>995068</v>
      </c>
      <c r="B1649" s="22" t="str">
        <f>IFERROR(VLOOKUP(A1649,VLOOKUPS!$A$2:B$12589,2,FALSE),"")</f>
        <v>Organic Half and Half 5oz-standard</v>
      </c>
      <c r="E1649">
        <v>1.49</v>
      </c>
      <c r="F1649">
        <v>2.4900000000000002</v>
      </c>
      <c r="G1649" s="13">
        <v>44449</v>
      </c>
      <c r="H1649" s="13"/>
      <c r="I1649" s="22" t="str">
        <f>VLOOKUP(J1649, Dropdowns!N:O, 2, FALSE)</f>
        <v>Standard</v>
      </c>
      <c r="J1649" t="s">
        <v>760</v>
      </c>
      <c r="L1649" s="17" t="s">
        <v>733</v>
      </c>
      <c r="M1649" s="17" t="s">
        <v>11</v>
      </c>
      <c r="N1649" s="17" t="s">
        <v>740</v>
      </c>
    </row>
    <row r="1650" spans="1:14" x14ac:dyDescent="0.25">
      <c r="A1650" s="10">
        <v>995070</v>
      </c>
      <c r="B1650" s="22" t="str">
        <f>IFERROR(VLOOKUP(A1650,VLOOKUPS!$A$2:B$12589,2,FALSE),"")</f>
        <v>Organic Baby Spring Mix 5oz-standard</v>
      </c>
      <c r="E1650">
        <v>2.56</v>
      </c>
      <c r="F1650">
        <v>1.56</v>
      </c>
      <c r="G1650" s="13">
        <v>44447</v>
      </c>
      <c r="H1650" s="13">
        <v>44448</v>
      </c>
      <c r="I1650" s="22" t="str">
        <f>VLOOKUP(J1650, Dropdowns!N:O, 2, FALSE)</f>
        <v>Lower Price</v>
      </c>
      <c r="J1650" t="s">
        <v>759</v>
      </c>
      <c r="L1650" s="17" t="s">
        <v>732</v>
      </c>
      <c r="M1650" s="17" t="s">
        <v>736</v>
      </c>
      <c r="N1650" s="17" t="s">
        <v>736</v>
      </c>
    </row>
    <row r="1651" spans="1:14" x14ac:dyDescent="0.25">
      <c r="A1651" s="10">
        <v>995070</v>
      </c>
      <c r="B1651" s="22" t="str">
        <f>IFERROR(VLOOKUP(A1651,VLOOKUPS!$A$2:B$12589,2,FALSE),"")</f>
        <v>Organic Baby Spring Mix 5oz-standard</v>
      </c>
      <c r="E1651">
        <v>1.56</v>
      </c>
      <c r="F1651">
        <v>2.56</v>
      </c>
      <c r="G1651" s="13">
        <v>44449</v>
      </c>
      <c r="H1651" s="13"/>
      <c r="I1651" s="22" t="str">
        <f>VLOOKUP(J1651, Dropdowns!N:O, 2, FALSE)</f>
        <v>Standard</v>
      </c>
      <c r="J1651" t="s">
        <v>760</v>
      </c>
      <c r="L1651" s="17" t="s">
        <v>732</v>
      </c>
      <c r="M1651" s="17" t="s">
        <v>736</v>
      </c>
      <c r="N1651" s="17" t="s">
        <v>736</v>
      </c>
    </row>
    <row r="1652" spans="1:14" x14ac:dyDescent="0.25">
      <c r="A1652" s="10">
        <v>995100</v>
      </c>
      <c r="B1652" s="22" t="str">
        <f>IFERROR(VLOOKUP(A1652,VLOOKUPS!$A$2:B$12589,2,FALSE),"")</f>
        <v>Asian Chopped Salad Kit 12oz-standard</v>
      </c>
      <c r="E1652">
        <v>3.49</v>
      </c>
      <c r="F1652">
        <v>2.4900000000000002</v>
      </c>
      <c r="G1652" s="13">
        <v>44447</v>
      </c>
      <c r="H1652" s="13">
        <v>44448</v>
      </c>
      <c r="I1652" s="22" t="str">
        <f>VLOOKUP(J1652, Dropdowns!N:O, 2, FALSE)</f>
        <v>Lower Price</v>
      </c>
      <c r="J1652" t="s">
        <v>759</v>
      </c>
      <c r="L1652" s="17" t="s">
        <v>732</v>
      </c>
      <c r="M1652" s="17" t="s">
        <v>10</v>
      </c>
      <c r="N1652" s="17">
        <v>2</v>
      </c>
    </row>
    <row r="1653" spans="1:14" x14ac:dyDescent="0.25">
      <c r="A1653" s="10">
        <v>995100</v>
      </c>
      <c r="B1653" s="22" t="str">
        <f>IFERROR(VLOOKUP(A1653,VLOOKUPS!$A$2:B$12589,2,FALSE),"")</f>
        <v>Asian Chopped Salad Kit 12oz-standard</v>
      </c>
      <c r="E1653">
        <v>2.4900000000000002</v>
      </c>
      <c r="F1653">
        <v>3.49</v>
      </c>
      <c r="G1653" s="13">
        <v>44449</v>
      </c>
      <c r="H1653" s="13"/>
      <c r="I1653" s="22" t="str">
        <f>VLOOKUP(J1653, Dropdowns!N:O, 2, FALSE)</f>
        <v>Standard</v>
      </c>
      <c r="J1653" t="s">
        <v>760</v>
      </c>
      <c r="L1653" s="17" t="s">
        <v>732</v>
      </c>
      <c r="M1653" s="17" t="s">
        <v>10</v>
      </c>
      <c r="N1653" s="17">
        <v>2</v>
      </c>
    </row>
    <row r="1654" spans="1:14" x14ac:dyDescent="0.25">
      <c r="A1654" s="10">
        <v>995124</v>
      </c>
      <c r="B1654" s="22" t="str">
        <f>IFERROR(VLOOKUP(A1654,VLOOKUPS!$A$2:B$12589,2,FALSE),"")</f>
        <v>Sweet Potato Crinkle Fry 10oz-standard</v>
      </c>
      <c r="E1654">
        <v>2.4900000000000002</v>
      </c>
      <c r="F1654">
        <v>1.49</v>
      </c>
      <c r="G1654" s="13">
        <v>44447</v>
      </c>
      <c r="H1654" s="13">
        <v>44448</v>
      </c>
      <c r="I1654" s="22" t="str">
        <f>VLOOKUP(J1654, Dropdowns!N:O, 2, FALSE)</f>
        <v>Lower Price</v>
      </c>
      <c r="J1654" t="s">
        <v>759</v>
      </c>
      <c r="L1654" s="17" t="s">
        <v>732</v>
      </c>
      <c r="M1654" s="17" t="s">
        <v>738</v>
      </c>
      <c r="N1654" s="17">
        <v>2</v>
      </c>
    </row>
    <row r="1655" spans="1:14" x14ac:dyDescent="0.25">
      <c r="A1655" s="10">
        <v>995124</v>
      </c>
      <c r="B1655" s="22" t="str">
        <f>IFERROR(VLOOKUP(A1655,VLOOKUPS!$A$2:B$12589,2,FALSE),"")</f>
        <v>Sweet Potato Crinkle Fry 10oz-standard</v>
      </c>
      <c r="E1655">
        <v>1.49</v>
      </c>
      <c r="F1655">
        <v>2.4900000000000002</v>
      </c>
      <c r="G1655" s="13">
        <v>44449</v>
      </c>
      <c r="H1655" s="13"/>
      <c r="I1655" s="22" t="str">
        <f>VLOOKUP(J1655, Dropdowns!N:O, 2, FALSE)</f>
        <v>Standard</v>
      </c>
      <c r="J1655" t="s">
        <v>760</v>
      </c>
      <c r="L1655" s="17" t="s">
        <v>732</v>
      </c>
      <c r="M1655" s="17" t="s">
        <v>738</v>
      </c>
      <c r="N1655" s="17">
        <v>2</v>
      </c>
    </row>
    <row r="1656" spans="1:14" x14ac:dyDescent="0.25">
      <c r="A1656" s="10">
        <v>995144</v>
      </c>
      <c r="B1656" s="22" t="str">
        <f>IFERROR(VLOOKUP(A1656,VLOOKUPS!$A$2:B$12589,2,FALSE),"")</f>
        <v>Asparagus Spears 10oz-standard</v>
      </c>
      <c r="E1656">
        <v>3.98</v>
      </c>
      <c r="F1656">
        <v>2.48</v>
      </c>
      <c r="G1656" s="13">
        <v>44447</v>
      </c>
      <c r="H1656" s="13">
        <v>44448</v>
      </c>
      <c r="I1656" s="22" t="str">
        <f>VLOOKUP(J1656, Dropdowns!N:O, 2, FALSE)</f>
        <v>Lower Price</v>
      </c>
      <c r="J1656" t="s">
        <v>759</v>
      </c>
      <c r="L1656" s="17" t="s">
        <v>732</v>
      </c>
      <c r="M1656" s="17" t="s">
        <v>736</v>
      </c>
      <c r="N1656" s="17" t="s">
        <v>736</v>
      </c>
    </row>
    <row r="1657" spans="1:14" x14ac:dyDescent="0.25">
      <c r="A1657" s="10">
        <v>995144</v>
      </c>
      <c r="B1657" s="22" t="str">
        <f>IFERROR(VLOOKUP(A1657,VLOOKUPS!$A$2:B$12589,2,FALSE),"")</f>
        <v>Asparagus Spears 10oz-standard</v>
      </c>
      <c r="E1657">
        <v>2.48</v>
      </c>
      <c r="F1657">
        <v>3.98</v>
      </c>
      <c r="G1657" s="13">
        <v>44449</v>
      </c>
      <c r="H1657" s="13"/>
      <c r="I1657" s="22" t="str">
        <f>VLOOKUP(J1657, Dropdowns!N:O, 2, FALSE)</f>
        <v>Standard</v>
      </c>
      <c r="J1657" t="s">
        <v>760</v>
      </c>
      <c r="L1657" s="17" t="s">
        <v>732</v>
      </c>
      <c r="M1657" s="17" t="s">
        <v>736</v>
      </c>
      <c r="N1657" s="17" t="s">
        <v>736</v>
      </c>
    </row>
    <row r="1658" spans="1:14" x14ac:dyDescent="0.25">
      <c r="A1658" s="10">
        <v>995147</v>
      </c>
      <c r="B1658" s="22" t="str">
        <f>IFERROR(VLOOKUP(A1658,VLOOKUPS!$A$2:B$12589,2,FALSE),"")</f>
        <v>Celery Sticks 1.25lb-standard</v>
      </c>
      <c r="E1658">
        <v>2.74</v>
      </c>
      <c r="F1658">
        <v>1.74</v>
      </c>
      <c r="G1658" s="13">
        <v>44447</v>
      </c>
      <c r="H1658" s="13">
        <v>44448</v>
      </c>
      <c r="I1658" s="22" t="str">
        <f>VLOOKUP(J1658, Dropdowns!N:O, 2, FALSE)</f>
        <v>Lower Price</v>
      </c>
      <c r="J1658" t="s">
        <v>759</v>
      </c>
      <c r="L1658" s="17" t="s">
        <v>732</v>
      </c>
      <c r="M1658" s="17" t="s">
        <v>738</v>
      </c>
      <c r="N1658" s="17">
        <v>2</v>
      </c>
    </row>
    <row r="1659" spans="1:14" x14ac:dyDescent="0.25">
      <c r="A1659" s="10">
        <v>995147</v>
      </c>
      <c r="B1659" s="22" t="str">
        <f>IFERROR(VLOOKUP(A1659,VLOOKUPS!$A$2:B$12589,2,FALSE),"")</f>
        <v>Celery Sticks 1.25lb-standard</v>
      </c>
      <c r="E1659">
        <v>1.74</v>
      </c>
      <c r="F1659">
        <v>2.74</v>
      </c>
      <c r="G1659" s="13">
        <v>44449</v>
      </c>
      <c r="H1659" s="13"/>
      <c r="I1659" s="22" t="str">
        <f>VLOOKUP(J1659, Dropdowns!N:O, 2, FALSE)</f>
        <v>Standard</v>
      </c>
      <c r="J1659" t="s">
        <v>760</v>
      </c>
      <c r="L1659" s="17" t="s">
        <v>732</v>
      </c>
      <c r="M1659" s="17" t="s">
        <v>738</v>
      </c>
      <c r="N1659" s="17">
        <v>2</v>
      </c>
    </row>
    <row r="1660" spans="1:14" x14ac:dyDescent="0.25">
      <c r="A1660" s="10">
        <v>983201</v>
      </c>
      <c r="B1660" s="22" t="str">
        <f>IFERROR(VLOOKUP(A1660,VLOOKUPS!$A$2:B$12589,2,FALSE),"")</f>
        <v>Melons* Honeydew 1ct-LOOSE</v>
      </c>
      <c r="G1660" s="13">
        <v>44447</v>
      </c>
      <c r="H1660" s="13">
        <v>44453</v>
      </c>
      <c r="I1660" s="22" t="str">
        <f>VLOOKUP(J1660, Dropdowns!N:O, 2, FALSE)</f>
        <v>Lower Price</v>
      </c>
      <c r="J1660" t="s">
        <v>753</v>
      </c>
      <c r="L1660" s="17" t="s">
        <v>732</v>
      </c>
      <c r="M1660" s="17" t="s">
        <v>736</v>
      </c>
      <c r="N1660" s="17" t="s">
        <v>736</v>
      </c>
    </row>
    <row r="1661" spans="1:14" x14ac:dyDescent="0.25">
      <c r="A1661" s="10">
        <v>984620</v>
      </c>
      <c r="B1661" s="22" t="str">
        <f>IFERROR(VLOOKUP(A1661,VLOOKUPS!$A$2:B$12589,2,FALSE),"")</f>
        <v>Raspberries 6oz-standard</v>
      </c>
      <c r="E1661">
        <v>3.12</v>
      </c>
      <c r="F1661">
        <v>1.79</v>
      </c>
      <c r="G1661" s="13">
        <v>44447</v>
      </c>
      <c r="H1661" s="13">
        <v>44448</v>
      </c>
      <c r="I1661" s="22" t="str">
        <f>VLOOKUP(J1661, Dropdowns!N:O, 2, FALSE)</f>
        <v>Lower Price</v>
      </c>
      <c r="J1661" t="s">
        <v>759</v>
      </c>
      <c r="L1661" s="17" t="s">
        <v>732</v>
      </c>
      <c r="M1661" s="17" t="s">
        <v>737</v>
      </c>
      <c r="N1661" s="17" t="s">
        <v>736</v>
      </c>
    </row>
    <row r="1662" spans="1:14" x14ac:dyDescent="0.25">
      <c r="A1662" s="10">
        <v>984620</v>
      </c>
      <c r="B1662" s="22" t="str">
        <f>IFERROR(VLOOKUP(A1662,VLOOKUPS!$A$2:B$12589,2,FALSE),"")</f>
        <v>Raspberries 6oz-standard</v>
      </c>
      <c r="E1662">
        <v>3.12</v>
      </c>
      <c r="F1662">
        <v>1.19</v>
      </c>
      <c r="G1662" s="13">
        <v>44447</v>
      </c>
      <c r="H1662" s="13">
        <v>44448</v>
      </c>
      <c r="I1662" s="22" t="str">
        <f>VLOOKUP(J1662, Dropdowns!N:O, 2, FALSE)</f>
        <v>Lower Price</v>
      </c>
      <c r="J1662" t="s">
        <v>759</v>
      </c>
      <c r="L1662" s="17" t="s">
        <v>732</v>
      </c>
      <c r="M1662" s="17" t="s">
        <v>10</v>
      </c>
      <c r="N1662" s="17">
        <v>2</v>
      </c>
    </row>
    <row r="1663" spans="1:14" x14ac:dyDescent="0.25">
      <c r="A1663" s="10">
        <v>984620</v>
      </c>
      <c r="B1663" s="22" t="str">
        <f>IFERROR(VLOOKUP(A1663,VLOOKUPS!$A$2:B$12589,2,FALSE),"")</f>
        <v>Raspberries 6oz-standard</v>
      </c>
      <c r="E1663">
        <v>1.79</v>
      </c>
      <c r="F1663">
        <v>3.12</v>
      </c>
      <c r="G1663" s="13">
        <v>44449</v>
      </c>
      <c r="H1663" s="13"/>
      <c r="I1663" s="22" t="str">
        <f>VLOOKUP(J1663, Dropdowns!N:O, 2, FALSE)</f>
        <v>Standard</v>
      </c>
      <c r="J1663" t="s">
        <v>760</v>
      </c>
      <c r="L1663" s="17" t="s">
        <v>732</v>
      </c>
      <c r="M1663" s="17" t="s">
        <v>737</v>
      </c>
      <c r="N1663" s="17" t="s">
        <v>736</v>
      </c>
    </row>
    <row r="1664" spans="1:14" x14ac:dyDescent="0.25">
      <c r="A1664" s="10">
        <v>984620</v>
      </c>
      <c r="B1664" s="22" t="str">
        <f>IFERROR(VLOOKUP(A1664,VLOOKUPS!$A$2:B$12589,2,FALSE),"")</f>
        <v>Raspberries 6oz-standard</v>
      </c>
      <c r="E1664">
        <v>1.19</v>
      </c>
      <c r="F1664">
        <v>3.12</v>
      </c>
      <c r="G1664" s="13">
        <v>44449</v>
      </c>
      <c r="H1664" s="13"/>
      <c r="I1664" s="22" t="str">
        <f>VLOOKUP(J1664, Dropdowns!N:O, 2, FALSE)</f>
        <v>Standard</v>
      </c>
      <c r="J1664" t="s">
        <v>760</v>
      </c>
      <c r="L1664" s="17" t="s">
        <v>732</v>
      </c>
      <c r="M1664" s="17" t="s">
        <v>737</v>
      </c>
      <c r="N1664" s="17" t="s">
        <v>736</v>
      </c>
    </row>
    <row r="1665" spans="1:17" x14ac:dyDescent="0.25">
      <c r="A1665" s="10">
        <v>983251</v>
      </c>
      <c r="B1665" s="22" t="str">
        <f>IFERROR(VLOOKUP(A1665,VLOOKUPS!$A$2:B$12589,2,FALSE),"")</f>
        <v>Watermelons Large Seedless 1ct-LOOSE</v>
      </c>
      <c r="E1665">
        <v>3.48</v>
      </c>
      <c r="F1665">
        <v>4.4800000000000004</v>
      </c>
      <c r="G1665" s="13">
        <v>44447</v>
      </c>
      <c r="H1665" s="13"/>
      <c r="I1665" s="22" t="str">
        <f>VLOOKUP(J1665, Dropdowns!N:O, 2, FALSE)</f>
        <v>Standard</v>
      </c>
      <c r="J1665" t="s">
        <v>760</v>
      </c>
      <c r="L1665" s="17" t="s">
        <v>732</v>
      </c>
      <c r="M1665" s="17" t="s">
        <v>10</v>
      </c>
      <c r="N1665" s="17">
        <v>2</v>
      </c>
    </row>
    <row r="1666" spans="1:17" x14ac:dyDescent="0.25">
      <c r="A1666" s="10">
        <v>983251</v>
      </c>
      <c r="B1666" s="22" t="str">
        <f>IFERROR(VLOOKUP(A1666,VLOOKUPS!$A$2:B$12589,2,FALSE),"")</f>
        <v>Watermelons Large Seedless 1ct-LOOSE</v>
      </c>
      <c r="G1666" s="13">
        <v>44447</v>
      </c>
      <c r="H1666" s="13">
        <v>44448</v>
      </c>
      <c r="I1666" s="22" t="str">
        <f>VLOOKUP(J1666, Dropdowns!N:O, 2, FALSE)</f>
        <v>Lower Price</v>
      </c>
      <c r="J1666" t="s">
        <v>762</v>
      </c>
      <c r="L1666" s="17" t="s">
        <v>732</v>
      </c>
      <c r="M1666" s="17" t="s">
        <v>737</v>
      </c>
      <c r="N1666" s="17" t="s">
        <v>736</v>
      </c>
    </row>
    <row r="1667" spans="1:17" x14ac:dyDescent="0.25">
      <c r="A1667" s="10">
        <v>982831</v>
      </c>
      <c r="B1667" s="22" t="str">
        <f>IFERROR(VLOOKUP(A1667,VLOOKUPS!$A$2:B$12589,2,FALSE),"")</f>
        <v>Grapes Multi-Color 3lb-PK</v>
      </c>
      <c r="D1667">
        <v>6</v>
      </c>
      <c r="F1667">
        <v>5.99</v>
      </c>
      <c r="G1667" s="13">
        <v>44448</v>
      </c>
      <c r="H1667" s="13"/>
      <c r="I1667" s="22" t="str">
        <f>VLOOKUP(J1667, Dropdowns!N:O, 2, FALSE)</f>
        <v>New</v>
      </c>
      <c r="J1667" t="s">
        <v>776</v>
      </c>
      <c r="L1667" s="17" t="s">
        <v>733</v>
      </c>
      <c r="M1667" s="17" t="s">
        <v>11</v>
      </c>
      <c r="N1667" s="17" t="s">
        <v>740</v>
      </c>
      <c r="O1667" t="s">
        <v>748</v>
      </c>
      <c r="P1667">
        <v>1</v>
      </c>
      <c r="Q1667" s="17" t="s">
        <v>1035</v>
      </c>
    </row>
    <row r="1668" spans="1:17" x14ac:dyDescent="0.25">
      <c r="A1668" s="10">
        <v>984621</v>
      </c>
      <c r="B1668" s="22" t="str">
        <f>IFERROR(VLOOKUP(A1668,VLOOKUPS!$A$2:B$12589,2,FALSE),"")</f>
        <v>Raspberries 12oz-standard</v>
      </c>
      <c r="D1668">
        <v>6</v>
      </c>
      <c r="F1668">
        <v>5.73</v>
      </c>
      <c r="G1668" s="13">
        <v>44448</v>
      </c>
      <c r="H1668" s="13"/>
      <c r="I1668" s="22" t="str">
        <f>VLOOKUP(J1668, Dropdowns!N:O, 2, FALSE)</f>
        <v>New</v>
      </c>
      <c r="J1668" t="s">
        <v>776</v>
      </c>
      <c r="L1668" s="17" t="s">
        <v>732</v>
      </c>
      <c r="M1668" s="17" t="s">
        <v>738</v>
      </c>
      <c r="N1668" s="17">
        <v>2</v>
      </c>
      <c r="O1668" s="17" t="s">
        <v>748</v>
      </c>
      <c r="P1668">
        <v>1</v>
      </c>
      <c r="Q1668" s="17" t="s">
        <v>1035</v>
      </c>
    </row>
    <row r="1669" spans="1:17" x14ac:dyDescent="0.25">
      <c r="A1669" s="10">
        <v>995154</v>
      </c>
      <c r="B1669" s="22" t="str">
        <f>IFERROR(VLOOKUP(A1669,VLOOKUPS!$A$2:B$12589,2,FALSE),"")</f>
        <v>Butter Blend 5oz-standard</v>
      </c>
      <c r="D1669">
        <v>8</v>
      </c>
      <c r="F1669">
        <v>2.4900000000000002</v>
      </c>
      <c r="G1669" s="13">
        <v>44449</v>
      </c>
      <c r="H1669" s="13"/>
      <c r="I1669" s="22" t="str">
        <f>VLOOKUP(J1669, Dropdowns!N:O, 2, FALSE)</f>
        <v>New</v>
      </c>
      <c r="J1669" t="s">
        <v>776</v>
      </c>
      <c r="L1669" s="17" t="s">
        <v>732</v>
      </c>
      <c r="M1669" s="17" t="s">
        <v>735</v>
      </c>
      <c r="N1669" s="17" t="s">
        <v>1062</v>
      </c>
      <c r="O1669" s="17" t="s">
        <v>748</v>
      </c>
      <c r="P1669">
        <v>1</v>
      </c>
      <c r="Q1669" s="17" t="s">
        <v>1035</v>
      </c>
    </row>
    <row r="1670" spans="1:17" x14ac:dyDescent="0.25">
      <c r="A1670" s="10">
        <v>995154</v>
      </c>
      <c r="B1670" s="22" t="str">
        <f>IFERROR(VLOOKUP(A1670,VLOOKUPS!$A$2:B$12589,2,FALSE),"")</f>
        <v>Butter Blend 5oz-standard</v>
      </c>
      <c r="D1670">
        <v>8</v>
      </c>
      <c r="F1670">
        <v>2.4900000000000002</v>
      </c>
      <c r="G1670" s="13">
        <v>44450</v>
      </c>
      <c r="H1670" s="13"/>
      <c r="I1670" s="22" t="str">
        <f>VLOOKUP(J1670, Dropdowns!N:O, 2, FALSE)</f>
        <v>New</v>
      </c>
      <c r="J1670" t="s">
        <v>776</v>
      </c>
      <c r="L1670" s="17" t="s">
        <v>733</v>
      </c>
      <c r="M1670" s="17" t="s">
        <v>11</v>
      </c>
      <c r="N1670" s="17" t="s">
        <v>740</v>
      </c>
      <c r="O1670" s="17" t="s">
        <v>748</v>
      </c>
      <c r="P1670">
        <v>1</v>
      </c>
      <c r="Q1670" t="s">
        <v>1035</v>
      </c>
    </row>
    <row r="1671" spans="1:17" x14ac:dyDescent="0.25">
      <c r="A1671" s="10">
        <v>982831</v>
      </c>
      <c r="B1671" s="22" t="str">
        <f>IFERROR(VLOOKUP(A1671,VLOOKUPS!$A$2:B$12589,2,FALSE),"")</f>
        <v>Grapes Multi-Color 3lb-PK</v>
      </c>
      <c r="D1671">
        <v>6</v>
      </c>
      <c r="F1671">
        <v>5.99</v>
      </c>
      <c r="G1671" s="13">
        <v>44449</v>
      </c>
      <c r="H1671" s="13"/>
      <c r="I1671" s="22" t="str">
        <f>VLOOKUP(J1671, Dropdowns!N:O, 2, FALSE)</f>
        <v>New</v>
      </c>
      <c r="J1671" t="s">
        <v>776</v>
      </c>
      <c r="L1671" s="17" t="s">
        <v>732</v>
      </c>
      <c r="M1671" s="17" t="s">
        <v>735</v>
      </c>
      <c r="N1671" s="17" t="s">
        <v>736</v>
      </c>
      <c r="O1671" s="17" t="s">
        <v>748</v>
      </c>
      <c r="P1671">
        <v>1</v>
      </c>
      <c r="Q1671" s="17" t="s">
        <v>1035</v>
      </c>
    </row>
    <row r="1672" spans="1:17" x14ac:dyDescent="0.25">
      <c r="A1672" s="10">
        <v>984621</v>
      </c>
      <c r="B1672" s="22" t="str">
        <f>IFERROR(VLOOKUP(A1672,VLOOKUPS!$A$2:B$12589,2,FALSE),"")</f>
        <v>Raspberries 12oz-standard</v>
      </c>
      <c r="D1672">
        <v>6</v>
      </c>
      <c r="F1672">
        <v>5.73</v>
      </c>
      <c r="G1672" s="13">
        <v>44449</v>
      </c>
      <c r="H1672" s="13"/>
      <c r="I1672" s="22" t="str">
        <f>VLOOKUP(J1672, Dropdowns!N:O, 2, FALSE)</f>
        <v>New</v>
      </c>
      <c r="J1672" t="s">
        <v>776</v>
      </c>
      <c r="L1672" s="17" t="s">
        <v>732</v>
      </c>
      <c r="M1672" s="17" t="s">
        <v>9</v>
      </c>
      <c r="N1672" s="17" t="s">
        <v>736</v>
      </c>
      <c r="O1672" s="17" t="s">
        <v>748</v>
      </c>
      <c r="P1672">
        <v>1</v>
      </c>
      <c r="Q1672" s="17" t="s">
        <v>1035</v>
      </c>
    </row>
    <row r="1673" spans="1:17" x14ac:dyDescent="0.25">
      <c r="A1673" s="10">
        <v>984702</v>
      </c>
      <c r="B1673" s="22" t="str">
        <f>IFERROR(VLOOKUP(A1673,VLOOKUPS!$A$2:B$12589,2,FALSE),"")</f>
        <v>Blackberries 12oz-standard</v>
      </c>
      <c r="D1673">
        <v>8</v>
      </c>
      <c r="F1673">
        <v>4.29</v>
      </c>
      <c r="G1673" s="13">
        <v>44450</v>
      </c>
      <c r="H1673" s="13"/>
      <c r="I1673" s="22" t="str">
        <f>VLOOKUP(J1673, Dropdowns!N:O, 2, FALSE)</f>
        <v>New</v>
      </c>
      <c r="J1673" t="s">
        <v>776</v>
      </c>
      <c r="L1673" s="17" t="s">
        <v>732</v>
      </c>
      <c r="M1673" s="17" t="s">
        <v>736</v>
      </c>
      <c r="N1673" s="17" t="s">
        <v>736</v>
      </c>
      <c r="O1673" s="17" t="s">
        <v>748</v>
      </c>
      <c r="P1673">
        <v>1</v>
      </c>
      <c r="Q1673" s="17" t="s">
        <v>1035</v>
      </c>
    </row>
    <row r="1674" spans="1:17" x14ac:dyDescent="0.25">
      <c r="A1674" s="10">
        <v>984541</v>
      </c>
      <c r="B1674" s="22" t="str">
        <f>IFERROR(VLOOKUP(A1674,VLOOKUPS!$A$2:B$12589,2,FALSE),"")</f>
        <v>Blueberries 1pt-standard</v>
      </c>
      <c r="G1674" s="13">
        <v>44450</v>
      </c>
      <c r="H1674" s="13">
        <v>44451</v>
      </c>
      <c r="I1674" s="22" t="str">
        <f>VLOOKUP(J1674, Dropdowns!N:O, 2, FALSE)</f>
        <v>Lower Price</v>
      </c>
      <c r="J1674" t="s">
        <v>753</v>
      </c>
      <c r="L1674" s="17" t="s">
        <v>732</v>
      </c>
      <c r="M1674" s="17" t="s">
        <v>736</v>
      </c>
      <c r="N1674" s="17" t="s">
        <v>736</v>
      </c>
    </row>
    <row r="1675" spans="1:17" x14ac:dyDescent="0.25">
      <c r="A1675" s="10">
        <v>984541</v>
      </c>
      <c r="B1675" s="22" t="str">
        <f>IFERROR(VLOOKUP(A1675,VLOOKUPS!$A$2:B$12589,2,FALSE),"")</f>
        <v>Blueberries 1pt-standard</v>
      </c>
      <c r="E1675">
        <v>1.79</v>
      </c>
      <c r="F1675">
        <v>2.79</v>
      </c>
      <c r="G1675" s="13">
        <v>44452</v>
      </c>
      <c r="H1675" s="13"/>
      <c r="I1675" s="22" t="str">
        <f>VLOOKUP(J1675, Dropdowns!N:O, 2, FALSE)</f>
        <v>Standard</v>
      </c>
      <c r="J1675" t="s">
        <v>760</v>
      </c>
      <c r="L1675" s="17" t="s">
        <v>732</v>
      </c>
      <c r="M1675" s="17" t="s">
        <v>736</v>
      </c>
      <c r="N1675" s="17" t="s">
        <v>736</v>
      </c>
    </row>
    <row r="1676" spans="1:17" x14ac:dyDescent="0.25">
      <c r="A1676" s="10">
        <v>984541</v>
      </c>
      <c r="B1676" s="22" t="str">
        <f>IFERROR(VLOOKUP(A1676,VLOOKUPS!$A$2:B$12589,2,FALSE),"")</f>
        <v>Blueberries 1pt-standard</v>
      </c>
      <c r="E1676">
        <v>2.79</v>
      </c>
      <c r="F1676">
        <v>3.19</v>
      </c>
      <c r="G1676" s="13">
        <v>44453</v>
      </c>
      <c r="H1676" s="13"/>
      <c r="I1676" s="22" t="str">
        <f>VLOOKUP(J1676, Dropdowns!N:O, 2, FALSE)</f>
        <v>Standard</v>
      </c>
      <c r="J1676" t="s">
        <v>761</v>
      </c>
      <c r="L1676" s="17" t="s">
        <v>732</v>
      </c>
      <c r="M1676" s="17" t="s">
        <v>736</v>
      </c>
      <c r="N1676" s="17" t="s">
        <v>736</v>
      </c>
    </row>
    <row r="1677" spans="1:17" x14ac:dyDescent="0.25">
      <c r="A1677" s="10">
        <v>983151</v>
      </c>
      <c r="B1677" s="22" t="str">
        <f>IFERROR(VLOOKUP(A1677,VLOOKUPS!$A$2:B$12589,2,FALSE),"")</f>
        <v>Melons* Golden Honeydew 1ct-LOOSE</v>
      </c>
      <c r="G1677" s="13">
        <v>44451</v>
      </c>
      <c r="H1677" s="13"/>
      <c r="I1677" s="22" t="str">
        <f>VLOOKUP(J1677, Dropdowns!N:O, 2, FALSE)</f>
        <v>Standard</v>
      </c>
      <c r="J1677" t="s">
        <v>760</v>
      </c>
      <c r="L1677" s="17" t="s">
        <v>732</v>
      </c>
      <c r="M1677" s="17" t="s">
        <v>736</v>
      </c>
      <c r="N1677" s="17" t="s">
        <v>736</v>
      </c>
    </row>
    <row r="1678" spans="1:17" x14ac:dyDescent="0.25">
      <c r="A1678" s="10">
        <v>983106</v>
      </c>
      <c r="B1678" s="22" t="str">
        <f>IFERROR(VLOOKUP(A1678,VLOOKUPS!$A$2:B$12589,2,FALSE),"")</f>
        <v>Melons Golden Hami 1ct-loose</v>
      </c>
      <c r="E1678">
        <v>4.49</v>
      </c>
      <c r="F1678">
        <v>3.49</v>
      </c>
      <c r="G1678" s="13">
        <v>44449</v>
      </c>
      <c r="H1678" s="13">
        <v>44449</v>
      </c>
      <c r="I1678" s="22" t="str">
        <f>VLOOKUP(J1678, Dropdowns!N:O, 2, FALSE)</f>
        <v>Lower Price</v>
      </c>
      <c r="J1678" t="s">
        <v>759</v>
      </c>
      <c r="L1678" s="17" t="s">
        <v>732</v>
      </c>
      <c r="M1678" s="17" t="s">
        <v>9</v>
      </c>
      <c r="N1678" s="17" t="s">
        <v>736</v>
      </c>
    </row>
    <row r="1679" spans="1:17" x14ac:dyDescent="0.25">
      <c r="A1679" s="10">
        <v>984500</v>
      </c>
      <c r="B1679" s="22" t="str">
        <f>IFERROR(VLOOKUP(A1679,VLOOKUPS!$A$2:B$12589,2,FALSE),"")</f>
        <v>Organic Strawberries 1lb-standard</v>
      </c>
      <c r="E1679">
        <v>2.97</v>
      </c>
      <c r="F1679">
        <v>2.29</v>
      </c>
      <c r="G1679" s="13">
        <v>44449</v>
      </c>
      <c r="H1679" s="13">
        <v>44449</v>
      </c>
      <c r="I1679" s="22" t="str">
        <f>VLOOKUP(J1679, Dropdowns!N:O, 2, FALSE)</f>
        <v>Lower Price</v>
      </c>
      <c r="J1679" t="s">
        <v>759</v>
      </c>
      <c r="L1679" s="17" t="s">
        <v>732</v>
      </c>
      <c r="M1679" s="17" t="s">
        <v>10</v>
      </c>
      <c r="N1679" s="17">
        <v>2</v>
      </c>
    </row>
    <row r="1680" spans="1:17" x14ac:dyDescent="0.25">
      <c r="A1680" s="10">
        <v>983106</v>
      </c>
      <c r="B1680" s="22" t="str">
        <f>IFERROR(VLOOKUP(A1680,VLOOKUPS!$A$2:B$12589,2,FALSE),"")</f>
        <v>Melons Golden Hami 1ct-loose</v>
      </c>
      <c r="E1680">
        <v>3.49</v>
      </c>
      <c r="F1680">
        <v>4.49</v>
      </c>
      <c r="G1680" s="13">
        <v>44450</v>
      </c>
      <c r="H1680" s="13"/>
      <c r="I1680" s="22" t="str">
        <f>VLOOKUP(J1680, Dropdowns!N:O, 2, FALSE)</f>
        <v>Standard</v>
      </c>
      <c r="J1680" t="s">
        <v>760</v>
      </c>
      <c r="L1680" s="17" t="s">
        <v>732</v>
      </c>
      <c r="M1680" s="17" t="s">
        <v>9</v>
      </c>
      <c r="N1680" s="17" t="s">
        <v>736</v>
      </c>
    </row>
    <row r="1681" spans="1:14" x14ac:dyDescent="0.25">
      <c r="A1681" s="10">
        <v>984500</v>
      </c>
      <c r="B1681" s="22" t="str">
        <f>IFERROR(VLOOKUP(A1681,VLOOKUPS!$A$2:B$12589,2,FALSE),"")</f>
        <v>Organic Strawberries 1lb-standard</v>
      </c>
      <c r="E1681">
        <v>2.29</v>
      </c>
      <c r="F1681">
        <v>2.97</v>
      </c>
      <c r="G1681" s="13">
        <v>44450</v>
      </c>
      <c r="H1681" s="13"/>
      <c r="I1681" s="22" t="str">
        <f>VLOOKUP(J1681, Dropdowns!N:O, 2, FALSE)</f>
        <v>Standard</v>
      </c>
      <c r="J1681" t="s">
        <v>760</v>
      </c>
      <c r="L1681" s="17" t="s">
        <v>732</v>
      </c>
      <c r="M1681" s="17" t="s">
        <v>10</v>
      </c>
      <c r="N1681" s="17">
        <v>2</v>
      </c>
    </row>
    <row r="1682" spans="1:14" x14ac:dyDescent="0.25">
      <c r="A1682" s="10">
        <v>982740</v>
      </c>
      <c r="B1682" s="22" t="str">
        <f>IFERROR(VLOOKUP(A1682,VLOOKUPS!$A$2:B$12589,2,FALSE),"")</f>
        <v>Grapes* Red Seedless 1lb-LOOSE</v>
      </c>
      <c r="E1682">
        <v>0.85</v>
      </c>
      <c r="F1682">
        <v>1.59</v>
      </c>
      <c r="G1682" s="13">
        <v>44454</v>
      </c>
      <c r="H1682" s="13"/>
      <c r="I1682" s="22" t="str">
        <f>VLOOKUP(J1682, Dropdowns!N:O, 2, FALSE)</f>
        <v>Standard</v>
      </c>
      <c r="J1682" t="s">
        <v>760</v>
      </c>
      <c r="L1682" s="17" t="s">
        <v>732</v>
      </c>
      <c r="M1682" s="17" t="s">
        <v>736</v>
      </c>
      <c r="N1682" s="17" t="s">
        <v>736</v>
      </c>
    </row>
    <row r="1683" spans="1:14" x14ac:dyDescent="0.25">
      <c r="A1683">
        <v>983201</v>
      </c>
      <c r="B1683" s="22" t="str">
        <f>IFERROR(VLOOKUP(A1683,VLOOKUPS!$A$2:B$12589,2,FALSE),"")</f>
        <v>Melons* Honeydew 1ct-LOOSE</v>
      </c>
      <c r="G1683" s="13">
        <v>44454</v>
      </c>
      <c r="H1683" s="13">
        <v>44455</v>
      </c>
      <c r="I1683" s="22" t="str">
        <f>VLOOKUP(J1683, Dropdowns!N:O, 2, FALSE)</f>
        <v>Lower Price</v>
      </c>
      <c r="J1683" t="s">
        <v>779</v>
      </c>
      <c r="L1683" s="17" t="s">
        <v>732</v>
      </c>
      <c r="M1683" s="17" t="s">
        <v>10</v>
      </c>
      <c r="N1683" s="17">
        <v>2</v>
      </c>
    </row>
    <row r="1684" spans="1:14" x14ac:dyDescent="0.25">
      <c r="A1684" s="10">
        <v>983201</v>
      </c>
      <c r="B1684" s="22" t="str">
        <f>IFERROR(VLOOKUP(A1684,VLOOKUPS!$A$2:B$12589,2,FALSE),"")</f>
        <v>Melons* Honeydew 1ct-LOOSE</v>
      </c>
      <c r="G1684" s="13">
        <v>44454</v>
      </c>
      <c r="H1684" s="13">
        <v>44456</v>
      </c>
      <c r="I1684" s="22" t="str">
        <f>VLOOKUP(J1684, Dropdowns!N:O, 2, FALSE)</f>
        <v>Lower Price</v>
      </c>
      <c r="J1684" t="s">
        <v>779</v>
      </c>
      <c r="L1684" s="17" t="s">
        <v>732</v>
      </c>
      <c r="M1684" s="17" t="s">
        <v>737</v>
      </c>
      <c r="N1684" s="17" t="s">
        <v>736</v>
      </c>
    </row>
    <row r="1685" spans="1:14" x14ac:dyDescent="0.25">
      <c r="A1685" s="10">
        <v>985605</v>
      </c>
      <c r="B1685" s="22" t="str">
        <f>IFERROR(VLOOKUP(A1685,VLOOKUPS!$A$2:B$12589,2,FALSE),"")</f>
        <v>Cucumbers* Long English 1ct-LOOSE</v>
      </c>
      <c r="E1685">
        <v>0.75</v>
      </c>
      <c r="F1685">
        <v>1.29</v>
      </c>
      <c r="G1685" s="13">
        <v>44454</v>
      </c>
      <c r="H1685" s="13"/>
      <c r="I1685" s="22" t="str">
        <f>VLOOKUP(J1685, Dropdowns!N:O, 2, FALSE)</f>
        <v>Standard</v>
      </c>
      <c r="J1685" t="s">
        <v>760</v>
      </c>
      <c r="L1685" s="17" t="s">
        <v>732</v>
      </c>
      <c r="M1685" s="17" t="s">
        <v>736</v>
      </c>
      <c r="N1685" s="17" t="s">
        <v>736</v>
      </c>
    </row>
    <row r="1686" spans="1:14" x14ac:dyDescent="0.25">
      <c r="A1686" s="10">
        <v>986890</v>
      </c>
      <c r="B1686" s="22" t="str">
        <f>IFERROR(VLOOKUP(A1686,VLOOKUPS!$A$2:B$12589,2,FALSE),"")</f>
        <v>Tomatoes Mix 12oz-standard</v>
      </c>
      <c r="E1686">
        <v>1.99</v>
      </c>
      <c r="F1686">
        <v>2.89</v>
      </c>
      <c r="G1686" s="13">
        <v>44454</v>
      </c>
      <c r="H1686" s="13"/>
      <c r="I1686" s="22" t="str">
        <f>VLOOKUP(J1686, Dropdowns!N:O, 2, FALSE)</f>
        <v>Standard</v>
      </c>
      <c r="J1686" t="s">
        <v>760</v>
      </c>
      <c r="L1686" s="17" t="s">
        <v>732</v>
      </c>
      <c r="M1686" s="17" t="s">
        <v>11</v>
      </c>
      <c r="N1686" s="17" t="s">
        <v>740</v>
      </c>
    </row>
    <row r="1687" spans="1:14" x14ac:dyDescent="0.25">
      <c r="A1687" s="10">
        <v>986890</v>
      </c>
      <c r="B1687" s="22" t="str">
        <f>IFERROR(VLOOKUP(A1687,VLOOKUPS!$A$2:B$12589,2,FALSE),"")</f>
        <v>Tomatoes Mix 12oz-standard</v>
      </c>
      <c r="G1687" s="13">
        <v>44454</v>
      </c>
      <c r="H1687" s="13">
        <v>44454</v>
      </c>
      <c r="I1687" s="22" t="str">
        <f>VLOOKUP(J1687, Dropdowns!N:O, 2, FALSE)</f>
        <v>Lower Price</v>
      </c>
      <c r="J1687" t="s">
        <v>762</v>
      </c>
      <c r="L1687" s="17" t="s">
        <v>732</v>
      </c>
      <c r="M1687" s="17" t="s">
        <v>735</v>
      </c>
    </row>
    <row r="1688" spans="1:14" x14ac:dyDescent="0.25">
      <c r="A1688" s="10">
        <v>983101</v>
      </c>
      <c r="B1688" s="22" t="str">
        <f>IFERROR(VLOOKUP(A1688,VLOOKUPS!$A$2:B$12589,2,FALSE),"")</f>
        <v>Melons Cantaloupes 1ct-LOOSE</v>
      </c>
      <c r="E1688">
        <v>2.59</v>
      </c>
      <c r="F1688">
        <v>1.59</v>
      </c>
      <c r="G1688" s="13">
        <v>44455</v>
      </c>
      <c r="H1688" s="13">
        <v>44456</v>
      </c>
      <c r="I1688" s="22" t="str">
        <f>VLOOKUP(J1688, Dropdowns!N:O, 2, FALSE)</f>
        <v>Lower Price</v>
      </c>
      <c r="J1688" t="s">
        <v>759</v>
      </c>
      <c r="L1688" s="17" t="s">
        <v>732</v>
      </c>
      <c r="M1688" s="17" t="s">
        <v>9</v>
      </c>
      <c r="N1688" s="17" t="s">
        <v>736</v>
      </c>
    </row>
    <row r="1689" spans="1:14" x14ac:dyDescent="0.25">
      <c r="A1689" s="10">
        <v>983101</v>
      </c>
      <c r="B1689" s="22" t="str">
        <f>IFERROR(VLOOKUP(A1689,VLOOKUPS!$A$2:B$12589,2,FALSE),"")</f>
        <v>Melons Cantaloupes 1ct-LOOSE</v>
      </c>
      <c r="E1689">
        <v>1.59</v>
      </c>
      <c r="F1689">
        <v>2.59</v>
      </c>
      <c r="G1689" s="13">
        <v>44457</v>
      </c>
      <c r="H1689" s="13"/>
      <c r="I1689" s="22" t="str">
        <f>VLOOKUP(J1689, Dropdowns!N:O, 2, FALSE)</f>
        <v>Standard</v>
      </c>
      <c r="J1689" t="s">
        <v>760</v>
      </c>
      <c r="L1689" s="17" t="s">
        <v>732</v>
      </c>
      <c r="M1689" s="17" t="s">
        <v>9</v>
      </c>
      <c r="N1689" s="17" t="s">
        <v>736</v>
      </c>
    </row>
    <row r="1690" spans="1:14" x14ac:dyDescent="0.25">
      <c r="A1690" s="10">
        <v>984460</v>
      </c>
      <c r="B1690" s="22" t="str">
        <f>IFERROR(VLOOKUP(A1690,VLOOKUPS!$A$2:B$12589,2,FALSE),"")</f>
        <v>Strawberries 1lb-standard</v>
      </c>
      <c r="E1690">
        <v>2.29</v>
      </c>
      <c r="F1690">
        <v>1.69</v>
      </c>
      <c r="G1690" s="13">
        <v>44455</v>
      </c>
      <c r="H1690" s="13">
        <v>44456</v>
      </c>
      <c r="I1690" s="22" t="str">
        <f>VLOOKUP(J1690, Dropdowns!N:O, 2, FALSE)</f>
        <v>Lower Price</v>
      </c>
      <c r="J1690" t="s">
        <v>759</v>
      </c>
      <c r="L1690" s="17" t="s">
        <v>732</v>
      </c>
      <c r="M1690" s="17" t="s">
        <v>10</v>
      </c>
      <c r="N1690" s="17">
        <v>2</v>
      </c>
    </row>
    <row r="1691" spans="1:14" x14ac:dyDescent="0.25">
      <c r="A1691" s="10">
        <v>984460</v>
      </c>
      <c r="B1691" s="22" t="str">
        <f>IFERROR(VLOOKUP(A1691,VLOOKUPS!$A$2:B$12589,2,FALSE),"")</f>
        <v>Strawberries 1lb-standard</v>
      </c>
      <c r="E1691">
        <v>1.69</v>
      </c>
      <c r="F1691">
        <v>2.29</v>
      </c>
      <c r="G1691" s="13">
        <v>44457</v>
      </c>
      <c r="H1691" s="13"/>
      <c r="I1691" s="22" t="str">
        <f>VLOOKUP(J1691, Dropdowns!N:O, 2, FALSE)</f>
        <v>Standard</v>
      </c>
      <c r="J1691" t="s">
        <v>760</v>
      </c>
      <c r="L1691" s="17" t="s">
        <v>732</v>
      </c>
      <c r="M1691" s="17" t="s">
        <v>10</v>
      </c>
      <c r="N1691" s="17">
        <v>2</v>
      </c>
    </row>
    <row r="1692" spans="1:14" x14ac:dyDescent="0.25">
      <c r="A1692" s="10">
        <v>984621</v>
      </c>
      <c r="B1692" s="22" t="str">
        <f>IFERROR(VLOOKUP(A1692,VLOOKUPS!$A$2:B$12589,2,FALSE),"")</f>
        <v>Raspberries 12oz-standard</v>
      </c>
      <c r="E1692">
        <v>5.73</v>
      </c>
      <c r="F1692">
        <v>4.49</v>
      </c>
      <c r="G1692" s="13">
        <v>44455</v>
      </c>
      <c r="H1692" s="13">
        <v>44456</v>
      </c>
      <c r="I1692" s="22" t="str">
        <f>VLOOKUP(J1692, Dropdowns!N:O, 2, FALSE)</f>
        <v>Lower Price</v>
      </c>
      <c r="J1692" t="s">
        <v>759</v>
      </c>
      <c r="L1692" s="17" t="s">
        <v>732</v>
      </c>
      <c r="M1692" s="17" t="s">
        <v>738</v>
      </c>
      <c r="N1692" s="17">
        <v>2</v>
      </c>
    </row>
    <row r="1693" spans="1:14" x14ac:dyDescent="0.25">
      <c r="A1693" s="10">
        <v>984621</v>
      </c>
      <c r="B1693" s="22" t="str">
        <f>IFERROR(VLOOKUP(A1693,VLOOKUPS!$A$2:B$12589,2,FALSE),"")</f>
        <v>Raspberries 12oz-standard</v>
      </c>
      <c r="E1693">
        <v>4.49</v>
      </c>
      <c r="F1693">
        <v>5.73</v>
      </c>
      <c r="G1693" s="13">
        <v>44457</v>
      </c>
      <c r="H1693" s="13"/>
      <c r="I1693" s="22" t="str">
        <f>VLOOKUP(J1693, Dropdowns!N:O, 2, FALSE)</f>
        <v>Standard</v>
      </c>
      <c r="J1693" t="s">
        <v>760</v>
      </c>
      <c r="L1693" s="17" t="s">
        <v>732</v>
      </c>
      <c r="M1693" s="17" t="s">
        <v>738</v>
      </c>
      <c r="N1693" s="17">
        <v>2</v>
      </c>
    </row>
    <row r="1694" spans="1:14" x14ac:dyDescent="0.25">
      <c r="A1694" s="10">
        <v>985760</v>
      </c>
      <c r="B1694" s="22" t="str">
        <f>IFERROR(VLOOKUP(A1694,VLOOKUPS!$A$2:B$12589,2,FALSE),"")</f>
        <v>Asparagus 1lb-standard</v>
      </c>
      <c r="E1694">
        <v>2.99</v>
      </c>
      <c r="F1694">
        <v>1.99</v>
      </c>
      <c r="G1694" s="13">
        <v>44455</v>
      </c>
      <c r="H1694" s="13">
        <v>44456</v>
      </c>
      <c r="I1694" s="22" t="str">
        <f>VLOOKUP(J1694, Dropdowns!N:O, 2, FALSE)</f>
        <v>Lower Price</v>
      </c>
      <c r="J1694" t="s">
        <v>759</v>
      </c>
      <c r="L1694" s="17" t="s">
        <v>732</v>
      </c>
      <c r="M1694" s="17" t="s">
        <v>9</v>
      </c>
      <c r="N1694" s="17" t="s">
        <v>736</v>
      </c>
    </row>
    <row r="1695" spans="1:14" x14ac:dyDescent="0.25">
      <c r="A1695" s="10">
        <v>985760</v>
      </c>
      <c r="B1695" s="22" t="str">
        <f>IFERROR(VLOOKUP(A1695,VLOOKUPS!$A$2:B$12589,2,FALSE),"")</f>
        <v>Asparagus 1lb-standard</v>
      </c>
      <c r="E1695">
        <v>1.99</v>
      </c>
      <c r="F1695">
        <v>2.99</v>
      </c>
      <c r="G1695" s="13">
        <v>44457</v>
      </c>
      <c r="H1695" s="13"/>
      <c r="I1695" s="22" t="str">
        <f>VLOOKUP(J1695, Dropdowns!N:O, 2, FALSE)</f>
        <v>Standard</v>
      </c>
      <c r="J1695" t="s">
        <v>760</v>
      </c>
      <c r="L1695" s="17" t="s">
        <v>732</v>
      </c>
      <c r="M1695" s="17" t="s">
        <v>9</v>
      </c>
      <c r="N1695" s="17" t="s">
        <v>736</v>
      </c>
    </row>
    <row r="1696" spans="1:14" x14ac:dyDescent="0.25">
      <c r="A1696" s="10">
        <v>995006</v>
      </c>
      <c r="B1696" s="22" t="str">
        <f>IFERROR(VLOOKUP(A1696,VLOOKUPS!$A$2:B$12589,2,FALSE),"")</f>
        <v>Italian Salad 9oz-standard</v>
      </c>
      <c r="E1696">
        <v>2.29</v>
      </c>
      <c r="F1696">
        <v>1.49</v>
      </c>
      <c r="G1696" s="13">
        <v>44455</v>
      </c>
      <c r="H1696" s="13">
        <v>44456</v>
      </c>
      <c r="I1696" s="22" t="str">
        <f>VLOOKUP(J1696, Dropdowns!N:O, 2, FALSE)</f>
        <v>Lower Price</v>
      </c>
      <c r="J1696" t="s">
        <v>759</v>
      </c>
      <c r="L1696" s="17" t="s">
        <v>733</v>
      </c>
      <c r="M1696" s="17" t="s">
        <v>11</v>
      </c>
      <c r="N1696" s="17" t="s">
        <v>740</v>
      </c>
    </row>
    <row r="1697" spans="1:14" x14ac:dyDescent="0.25">
      <c r="A1697" s="10">
        <v>995006</v>
      </c>
      <c r="B1697" s="22" t="str">
        <f>IFERROR(VLOOKUP(A1697,VLOOKUPS!$A$2:B$12589,2,FALSE),"")</f>
        <v>Italian Salad 9oz-standard</v>
      </c>
      <c r="E1697">
        <v>1.49</v>
      </c>
      <c r="F1697">
        <v>2.29</v>
      </c>
      <c r="G1697" s="13">
        <v>44457</v>
      </c>
      <c r="H1697" s="13"/>
      <c r="I1697" s="22" t="str">
        <f>VLOOKUP(J1697, Dropdowns!N:O, 2, FALSE)</f>
        <v>Standard</v>
      </c>
      <c r="J1697" t="s">
        <v>760</v>
      </c>
      <c r="L1697" s="17" t="s">
        <v>733</v>
      </c>
      <c r="M1697" s="17" t="s">
        <v>11</v>
      </c>
      <c r="N1697" s="17" t="s">
        <v>740</v>
      </c>
    </row>
    <row r="1698" spans="1:14" x14ac:dyDescent="0.25">
      <c r="A1698" s="10">
        <v>995101</v>
      </c>
      <c r="B1698" s="22" t="str">
        <f>IFERROR(VLOOKUP(A1698,VLOOKUPS!$A$2:B$12589,2,FALSE),"")</f>
        <v>Avocado Ranch Salad Kit 11.3oz-standard</v>
      </c>
      <c r="E1698">
        <v>3.49</v>
      </c>
      <c r="F1698">
        <v>2.4900000000000002</v>
      </c>
      <c r="G1698" s="13">
        <v>44455</v>
      </c>
      <c r="H1698" s="13">
        <v>44456</v>
      </c>
      <c r="I1698" s="22" t="str">
        <f>VLOOKUP(J1698, Dropdowns!N:O, 2, FALSE)</f>
        <v>Lower Price</v>
      </c>
      <c r="J1698" t="s">
        <v>759</v>
      </c>
      <c r="L1698" s="17" t="s">
        <v>733</v>
      </c>
      <c r="M1698" s="17" t="s">
        <v>11</v>
      </c>
      <c r="N1698" s="17" t="s">
        <v>740</v>
      </c>
    </row>
    <row r="1699" spans="1:14" x14ac:dyDescent="0.25">
      <c r="A1699" s="10">
        <v>995101</v>
      </c>
      <c r="B1699" s="22" t="str">
        <f>IFERROR(VLOOKUP(A1699,VLOOKUPS!$A$2:B$12589,2,FALSE),"")</f>
        <v>Avocado Ranch Salad Kit 11.3oz-standard</v>
      </c>
      <c r="E1699">
        <v>2.4900000000000002</v>
      </c>
      <c r="F1699">
        <v>3.49</v>
      </c>
      <c r="G1699" s="13">
        <v>44457</v>
      </c>
      <c r="H1699" s="13"/>
      <c r="I1699" s="22" t="str">
        <f>VLOOKUP(J1699, Dropdowns!N:O, 2, FALSE)</f>
        <v>Standard</v>
      </c>
      <c r="J1699" t="s">
        <v>760</v>
      </c>
      <c r="L1699" s="17" t="s">
        <v>733</v>
      </c>
      <c r="M1699" s="17" t="s">
        <v>11</v>
      </c>
      <c r="N1699" s="17" t="s">
        <v>740</v>
      </c>
    </row>
    <row r="1700" spans="1:14" x14ac:dyDescent="0.25">
      <c r="A1700" s="10">
        <v>983101</v>
      </c>
      <c r="B1700" s="22" t="str">
        <f>IFERROR(VLOOKUP(A1700,VLOOKUPS!$A$2:B$12589,2,FALSE),"")</f>
        <v>Melons Cantaloupes 1ct-LOOSE</v>
      </c>
      <c r="E1700">
        <v>2.59</v>
      </c>
      <c r="F1700">
        <v>2.39</v>
      </c>
      <c r="G1700" s="13">
        <v>44456</v>
      </c>
      <c r="H1700" s="13"/>
      <c r="I1700" s="22" t="str">
        <f>VLOOKUP(J1700, Dropdowns!N:O, 2, FALSE)</f>
        <v>Standard</v>
      </c>
      <c r="J1700" t="s">
        <v>761</v>
      </c>
      <c r="L1700" s="17" t="s">
        <v>732</v>
      </c>
      <c r="M1700" s="17" t="s">
        <v>738</v>
      </c>
      <c r="N1700" s="17">
        <v>2</v>
      </c>
    </row>
    <row r="1701" spans="1:14" x14ac:dyDescent="0.25">
      <c r="A1701" s="10">
        <v>983106</v>
      </c>
      <c r="B1701" s="22" t="str">
        <f>IFERROR(VLOOKUP(A1701,VLOOKUPS!$A$2:B$12589,2,FALSE),"")</f>
        <v>Melons Golden Hami 1ct-loose</v>
      </c>
      <c r="E1701">
        <v>4.49</v>
      </c>
      <c r="F1701">
        <v>4.79</v>
      </c>
      <c r="G1701" s="13">
        <v>44456</v>
      </c>
      <c r="H1701" s="13"/>
      <c r="I1701" s="22" t="str">
        <f>VLOOKUP(J1701, Dropdowns!N:O, 2, FALSE)</f>
        <v>Standard</v>
      </c>
      <c r="J1701" t="s">
        <v>761</v>
      </c>
      <c r="L1701" s="17" t="s">
        <v>732</v>
      </c>
      <c r="M1701" s="17" t="s">
        <v>736</v>
      </c>
      <c r="N1701" s="17" t="s">
        <v>736</v>
      </c>
    </row>
    <row r="1702" spans="1:14" x14ac:dyDescent="0.25">
      <c r="A1702" s="10">
        <v>983151</v>
      </c>
      <c r="B1702" s="22" t="str">
        <f>IFERROR(VLOOKUP(A1702,VLOOKUPS!$A$2:B$12589,2,FALSE),"")</f>
        <v>Melons* Golden Honeydew 1ct-LOOSE</v>
      </c>
      <c r="E1702">
        <v>3.88</v>
      </c>
      <c r="F1702">
        <v>2.4900000000000002</v>
      </c>
      <c r="G1702" s="13">
        <v>44456</v>
      </c>
      <c r="H1702" s="13">
        <v>44457</v>
      </c>
      <c r="I1702" s="22" t="str">
        <f>VLOOKUP(J1702, Dropdowns!N:O, 2, FALSE)</f>
        <v>Lower Price</v>
      </c>
      <c r="J1702" t="s">
        <v>759</v>
      </c>
      <c r="L1702" s="17" t="s">
        <v>732</v>
      </c>
      <c r="M1702" s="17" t="s">
        <v>736</v>
      </c>
      <c r="N1702" s="17" t="s">
        <v>736</v>
      </c>
    </row>
    <row r="1703" spans="1:14" x14ac:dyDescent="0.25">
      <c r="A1703" s="10">
        <v>983151</v>
      </c>
      <c r="B1703" s="22" t="str">
        <f>IFERROR(VLOOKUP(A1703,VLOOKUPS!$A$2:B$12589,2,FALSE),"")</f>
        <v>Melons* Golden Honeydew 1ct-LOOSE</v>
      </c>
      <c r="E1703">
        <v>2.4900000000000002</v>
      </c>
      <c r="F1703">
        <v>3.88</v>
      </c>
      <c r="G1703" s="13">
        <v>44458</v>
      </c>
      <c r="H1703" s="13"/>
      <c r="I1703" s="22" t="str">
        <f>VLOOKUP(J1703, Dropdowns!N:O, 2, FALSE)</f>
        <v>Standard</v>
      </c>
      <c r="J1703" t="s">
        <v>760</v>
      </c>
      <c r="L1703" s="17" t="s">
        <v>732</v>
      </c>
      <c r="M1703" s="17" t="s">
        <v>736</v>
      </c>
      <c r="N1703" s="17" t="s">
        <v>736</v>
      </c>
    </row>
    <row r="1704" spans="1:14" x14ac:dyDescent="0.25">
      <c r="A1704" s="10">
        <v>984500</v>
      </c>
      <c r="B1704" s="22" t="str">
        <f>IFERROR(VLOOKUP(A1704,VLOOKUPS!$A$2:B$12589,2,FALSE),"")</f>
        <v>Organic Strawberries 1lb-standard</v>
      </c>
      <c r="E1704">
        <v>2.97</v>
      </c>
      <c r="F1704">
        <v>3.19</v>
      </c>
      <c r="G1704" s="13">
        <v>44456</v>
      </c>
      <c r="H1704" s="13"/>
      <c r="I1704" s="22" t="str">
        <f>VLOOKUP(J1704, Dropdowns!N:O, 2, FALSE)</f>
        <v>Standard</v>
      </c>
      <c r="J1704" t="s">
        <v>761</v>
      </c>
      <c r="L1704" s="17" t="s">
        <v>732</v>
      </c>
      <c r="M1704" s="17" t="s">
        <v>736</v>
      </c>
      <c r="N1704" s="17" t="s">
        <v>736</v>
      </c>
    </row>
    <row r="1705" spans="1:14" x14ac:dyDescent="0.25">
      <c r="A1705" s="10">
        <v>984541</v>
      </c>
      <c r="B1705" s="22" t="str">
        <f>IFERROR(VLOOKUP(A1705,VLOOKUPS!$A$2:B$12589,2,FALSE),"")</f>
        <v>Blueberries 1pt-standard</v>
      </c>
      <c r="E1705">
        <v>3.19</v>
      </c>
      <c r="F1705">
        <v>2.89</v>
      </c>
      <c r="G1705" s="13">
        <v>44456</v>
      </c>
      <c r="H1705" s="13"/>
      <c r="I1705" s="22" t="str">
        <f>VLOOKUP(J1705, Dropdowns!N:O, 2, FALSE)</f>
        <v>Standard</v>
      </c>
      <c r="J1705" t="s">
        <v>761</v>
      </c>
      <c r="L1705" s="17" t="s">
        <v>732</v>
      </c>
      <c r="M1705" s="17" t="s">
        <v>736</v>
      </c>
      <c r="N1705" s="17" t="s">
        <v>736</v>
      </c>
    </row>
    <row r="1706" spans="1:14" x14ac:dyDescent="0.25">
      <c r="A1706" s="10">
        <v>984542</v>
      </c>
      <c r="B1706" s="22" t="str">
        <f>IFERROR(VLOOKUP(A1706,VLOOKUPS!$A$2:B$12589,2,FALSE),"")</f>
        <v>Blueberries 18oz-standard</v>
      </c>
      <c r="E1706">
        <v>4.99</v>
      </c>
      <c r="F1706">
        <v>4.59</v>
      </c>
      <c r="G1706" s="13">
        <v>44456</v>
      </c>
      <c r="H1706" s="13"/>
      <c r="I1706" s="22" t="str">
        <f>VLOOKUP(J1706, Dropdowns!N:O, 2, FALSE)</f>
        <v>Standard</v>
      </c>
      <c r="J1706" t="s">
        <v>761</v>
      </c>
      <c r="L1706" s="17" t="s">
        <v>732</v>
      </c>
      <c r="M1706" s="17" t="s">
        <v>736</v>
      </c>
      <c r="N1706" s="17" t="s">
        <v>736</v>
      </c>
    </row>
    <row r="1707" spans="1:14" x14ac:dyDescent="0.25">
      <c r="A1707" s="10">
        <v>984582</v>
      </c>
      <c r="B1707" s="22" t="str">
        <f>IFERROR(VLOOKUP(A1707,VLOOKUPS!$A$2:B$12589,2,FALSE),"")</f>
        <v>Organic Blueberries 1pt-standard</v>
      </c>
      <c r="E1707">
        <v>4.29</v>
      </c>
      <c r="F1707">
        <v>4.59</v>
      </c>
      <c r="G1707" s="13">
        <v>44456</v>
      </c>
      <c r="H1707" s="13"/>
      <c r="I1707" s="22" t="str">
        <f>VLOOKUP(J1707, Dropdowns!N:O, 2, FALSE)</f>
        <v>Standard</v>
      </c>
      <c r="J1707" t="s">
        <v>761</v>
      </c>
      <c r="L1707" s="17" t="s">
        <v>732</v>
      </c>
      <c r="M1707" s="17" t="s">
        <v>736</v>
      </c>
      <c r="N1707" s="17" t="s">
        <v>736</v>
      </c>
    </row>
    <row r="1708" spans="1:14" x14ac:dyDescent="0.25">
      <c r="A1708" s="10">
        <v>984620</v>
      </c>
      <c r="B1708" s="22" t="str">
        <f>IFERROR(VLOOKUP(A1708,VLOOKUPS!$A$2:B$12589,2,FALSE),"")</f>
        <v>Raspberries 6oz-standard</v>
      </c>
      <c r="E1708">
        <v>3.12</v>
      </c>
      <c r="F1708">
        <v>2.7</v>
      </c>
      <c r="G1708" s="13">
        <v>44456</v>
      </c>
      <c r="H1708" s="13"/>
      <c r="I1708" s="22" t="str">
        <f>VLOOKUP(J1708, Dropdowns!N:O, 2, FALSE)</f>
        <v>Standard</v>
      </c>
      <c r="J1708" t="s">
        <v>761</v>
      </c>
      <c r="L1708" s="17" t="s">
        <v>732</v>
      </c>
      <c r="M1708" s="17" t="s">
        <v>736</v>
      </c>
      <c r="N1708" s="17" t="s">
        <v>736</v>
      </c>
    </row>
    <row r="1709" spans="1:14" x14ac:dyDescent="0.25">
      <c r="A1709" s="10">
        <v>984621</v>
      </c>
      <c r="B1709" s="22" t="str">
        <f>IFERROR(VLOOKUP(A1709,VLOOKUPS!$A$2:B$12589,2,FALSE),"")</f>
        <v>Raspberries 12oz-standard</v>
      </c>
      <c r="E1709">
        <v>5.73</v>
      </c>
      <c r="F1709">
        <v>5.2</v>
      </c>
      <c r="G1709" s="13">
        <v>44456</v>
      </c>
      <c r="H1709" s="13"/>
      <c r="I1709" s="22" t="str">
        <f>VLOOKUP(J1709, Dropdowns!N:O, 2, FALSE)</f>
        <v>Standard</v>
      </c>
      <c r="J1709" t="s">
        <v>761</v>
      </c>
      <c r="L1709" s="17" t="s">
        <v>732</v>
      </c>
      <c r="M1709" s="17" t="s">
        <v>736</v>
      </c>
      <c r="N1709" s="17" t="s">
        <v>736</v>
      </c>
    </row>
    <row r="1710" spans="1:14" x14ac:dyDescent="0.25">
      <c r="A1710" s="10">
        <v>984700</v>
      </c>
      <c r="B1710" s="22" t="str">
        <f>IFERROR(VLOOKUP(A1710,VLOOKUPS!$A$2:B$12589,2,FALSE),"")</f>
        <v>Blackberries 6oz-standard</v>
      </c>
      <c r="E1710">
        <v>2.4900000000000002</v>
      </c>
      <c r="F1710">
        <v>2.68</v>
      </c>
      <c r="G1710" s="13">
        <v>44456</v>
      </c>
      <c r="H1710" s="13"/>
      <c r="I1710" s="22" t="str">
        <f>VLOOKUP(J1710, Dropdowns!N:O, 2, FALSE)</f>
        <v>Standard</v>
      </c>
      <c r="J1710" t="s">
        <v>761</v>
      </c>
      <c r="L1710" s="17" t="s">
        <v>732</v>
      </c>
      <c r="M1710" s="17" t="s">
        <v>736</v>
      </c>
      <c r="N1710" s="17" t="s">
        <v>736</v>
      </c>
    </row>
    <row r="1711" spans="1:14" x14ac:dyDescent="0.25">
      <c r="A1711" s="10">
        <v>984702</v>
      </c>
      <c r="B1711" s="22" t="str">
        <f>IFERROR(VLOOKUP(A1711,VLOOKUPS!$A$2:B$12589,2,FALSE),"")</f>
        <v>Blackberries 12oz-standard</v>
      </c>
      <c r="E1711">
        <v>4.29</v>
      </c>
      <c r="F1711">
        <v>4.9800000000000004</v>
      </c>
      <c r="G1711" s="13">
        <v>44456</v>
      </c>
      <c r="H1711" s="13"/>
      <c r="I1711" s="22" t="str">
        <f>VLOOKUP(J1711, Dropdowns!N:O, 2, FALSE)</f>
        <v>Standard</v>
      </c>
      <c r="J1711" t="s">
        <v>761</v>
      </c>
      <c r="L1711" s="17" t="s">
        <v>732</v>
      </c>
      <c r="M1711" s="17" t="s">
        <v>736</v>
      </c>
      <c r="N1711" s="17" t="s">
        <v>736</v>
      </c>
    </row>
    <row r="1712" spans="1:14" x14ac:dyDescent="0.25">
      <c r="A1712" s="10">
        <v>985160</v>
      </c>
      <c r="B1712" s="22" t="str">
        <f>IFERROR(VLOOKUP(A1712,VLOOKUPS!$A$2:B$12589,2,FALSE),"")</f>
        <v>Romaine Hearts 3ct-standard</v>
      </c>
      <c r="E1712">
        <v>2.59</v>
      </c>
      <c r="F1712">
        <v>2.29</v>
      </c>
      <c r="G1712" s="13">
        <v>44456</v>
      </c>
      <c r="H1712" s="13"/>
      <c r="I1712" s="22" t="str">
        <f>VLOOKUP(J1712, Dropdowns!N:O, 2, FALSE)</f>
        <v>Standard</v>
      </c>
      <c r="J1712" t="s">
        <v>761</v>
      </c>
      <c r="L1712" s="17" t="s">
        <v>732</v>
      </c>
      <c r="M1712" s="17" t="s">
        <v>736</v>
      </c>
      <c r="N1712" s="17" t="s">
        <v>736</v>
      </c>
    </row>
    <row r="1713" spans="1:14" x14ac:dyDescent="0.25">
      <c r="A1713" s="10">
        <v>985190</v>
      </c>
      <c r="B1713" s="22" t="str">
        <f>IFERROR(VLOOKUP(A1713,VLOOKUPS!$A$2:B$12589,2,FALSE),"")</f>
        <v>Organic Romaine Hearts 3ct-standard</v>
      </c>
      <c r="E1713">
        <v>3.39</v>
      </c>
      <c r="F1713">
        <v>2.99</v>
      </c>
      <c r="G1713" s="13">
        <v>44456</v>
      </c>
      <c r="H1713" s="13"/>
      <c r="I1713" s="22" t="str">
        <f>VLOOKUP(J1713, Dropdowns!N:O, 2, FALSE)</f>
        <v>Standard</v>
      </c>
      <c r="J1713" t="s">
        <v>761</v>
      </c>
      <c r="L1713" s="17" t="s">
        <v>732</v>
      </c>
      <c r="M1713" s="17" t="s">
        <v>736</v>
      </c>
      <c r="N1713" s="17" t="s">
        <v>736</v>
      </c>
    </row>
    <row r="1714" spans="1:14" x14ac:dyDescent="0.25">
      <c r="A1714" s="10">
        <v>987560</v>
      </c>
      <c r="B1714" s="22" t="str">
        <f>IFERROR(VLOOKUP(A1714,VLOOKUPS!$A$2:B$12589,2,FALSE),"")</f>
        <v>Celery 1ct-standard</v>
      </c>
      <c r="E1714">
        <v>1.39</v>
      </c>
      <c r="F1714">
        <v>1.19</v>
      </c>
      <c r="G1714" s="13">
        <v>44456</v>
      </c>
      <c r="H1714" s="13"/>
      <c r="I1714" s="22" t="str">
        <f>VLOOKUP(J1714, Dropdowns!N:O, 2, FALSE)</f>
        <v>Standard</v>
      </c>
      <c r="J1714" t="s">
        <v>761</v>
      </c>
      <c r="L1714" s="17" t="s">
        <v>732</v>
      </c>
      <c r="M1714" s="17" t="s">
        <v>736</v>
      </c>
      <c r="N1714" s="17" t="s">
        <v>736</v>
      </c>
    </row>
    <row r="1715" spans="1:14" x14ac:dyDescent="0.25">
      <c r="A1715" s="10">
        <v>995032</v>
      </c>
      <c r="B1715" s="22" t="str">
        <f>IFERROR(VLOOKUP(A1715,VLOOKUPS!$A$2:B$12589,2,FALSE),"")</f>
        <v>Chopped Sunflower Crunch Kit 12.2oz-standard</v>
      </c>
      <c r="E1715">
        <v>3.49</v>
      </c>
      <c r="F1715">
        <v>2.4900000000000002</v>
      </c>
      <c r="G1715" s="13">
        <v>44456</v>
      </c>
      <c r="H1715" s="13">
        <v>44457</v>
      </c>
      <c r="I1715" s="22" t="str">
        <f>VLOOKUP(J1715, Dropdowns!N:O, 2, FALSE)</f>
        <v>Lower Price</v>
      </c>
      <c r="J1715" t="s">
        <v>759</v>
      </c>
      <c r="L1715" s="17" t="s">
        <v>732</v>
      </c>
      <c r="M1715" s="17" t="s">
        <v>9</v>
      </c>
      <c r="N1715" s="17" t="s">
        <v>736</v>
      </c>
    </row>
    <row r="1716" spans="1:14" x14ac:dyDescent="0.25">
      <c r="A1716" s="10">
        <v>995032</v>
      </c>
      <c r="B1716" s="22" t="str">
        <f>IFERROR(VLOOKUP(A1716,VLOOKUPS!$A$2:B$12589,2,FALSE),"")</f>
        <v>Chopped Sunflower Crunch Kit 12.2oz-standard</v>
      </c>
      <c r="E1716">
        <v>2.4900000000000002</v>
      </c>
      <c r="F1716">
        <v>3.49</v>
      </c>
      <c r="G1716" s="13">
        <v>44458</v>
      </c>
      <c r="H1716" s="13"/>
      <c r="I1716" s="22" t="str">
        <f>VLOOKUP(J1716, Dropdowns!N:O, 2, FALSE)</f>
        <v>Standard</v>
      </c>
      <c r="J1716" t="s">
        <v>760</v>
      </c>
      <c r="L1716" s="17" t="s">
        <v>732</v>
      </c>
      <c r="M1716" s="17" t="s">
        <v>9</v>
      </c>
      <c r="N1716" s="17" t="s">
        <v>736</v>
      </c>
    </row>
    <row r="1717" spans="1:14" x14ac:dyDescent="0.25">
      <c r="A1717" s="10">
        <v>995041</v>
      </c>
      <c r="B1717" s="22" t="str">
        <f>IFERROR(VLOOKUP(A1717,VLOOKUPS!$A$2:B$12589,2,FALSE),"")</f>
        <v>Pineapple Spears 16oz-standard</v>
      </c>
      <c r="E1717">
        <v>3.49</v>
      </c>
      <c r="F1717">
        <v>1.99</v>
      </c>
      <c r="G1717" s="13">
        <v>44456</v>
      </c>
      <c r="H1717" s="13">
        <v>44457</v>
      </c>
      <c r="I1717" s="22" t="str">
        <f>VLOOKUP(J1717, Dropdowns!N:O, 2, FALSE)</f>
        <v>Lower Price</v>
      </c>
      <c r="J1717" t="s">
        <v>759</v>
      </c>
      <c r="L1717" s="17" t="s">
        <v>733</v>
      </c>
      <c r="M1717" s="17" t="s">
        <v>11</v>
      </c>
      <c r="N1717" s="17" t="s">
        <v>740</v>
      </c>
    </row>
    <row r="1718" spans="1:14" x14ac:dyDescent="0.25">
      <c r="A1718" s="10">
        <v>995041</v>
      </c>
      <c r="B1718" s="22" t="str">
        <f>IFERROR(VLOOKUP(A1718,VLOOKUPS!$A$2:B$12589,2,FALSE),"")</f>
        <v>Pineapple Spears 16oz-standard</v>
      </c>
      <c r="E1718">
        <v>1.99</v>
      </c>
      <c r="F1718">
        <v>3.49</v>
      </c>
      <c r="G1718" s="13">
        <v>44458</v>
      </c>
      <c r="H1718" s="13"/>
      <c r="I1718" s="22" t="str">
        <f>VLOOKUP(J1718, Dropdowns!N:O, 2, FALSE)</f>
        <v>Standard</v>
      </c>
      <c r="J1718" t="s">
        <v>760</v>
      </c>
      <c r="L1718" s="17" t="s">
        <v>733</v>
      </c>
      <c r="M1718" s="17" t="s">
        <v>11</v>
      </c>
      <c r="N1718" s="17" t="s">
        <v>740</v>
      </c>
    </row>
    <row r="1719" spans="1:14" x14ac:dyDescent="0.25">
      <c r="A1719" s="10">
        <v>995077</v>
      </c>
      <c r="B1719" s="22" t="str">
        <f>IFERROR(VLOOKUP(A1719,VLOOKUPS!$A$2:B$12589,2,FALSE),"")</f>
        <v>Organic Baby Spring Mix 16oz-standard</v>
      </c>
      <c r="E1719">
        <v>4.49</v>
      </c>
      <c r="F1719">
        <v>3.49</v>
      </c>
      <c r="G1719" s="13">
        <v>44456</v>
      </c>
      <c r="H1719" s="13">
        <v>44457</v>
      </c>
      <c r="I1719" s="22" t="str">
        <f>VLOOKUP(J1719, Dropdowns!N:O, 2, FALSE)</f>
        <v>Lower Price</v>
      </c>
      <c r="J1719" t="s">
        <v>759</v>
      </c>
      <c r="L1719" s="17" t="s">
        <v>733</v>
      </c>
      <c r="M1719" s="17" t="s">
        <v>11</v>
      </c>
      <c r="N1719" s="17" t="s">
        <v>740</v>
      </c>
    </row>
    <row r="1720" spans="1:14" x14ac:dyDescent="0.25">
      <c r="A1720" s="10">
        <v>995077</v>
      </c>
      <c r="B1720" s="22" t="str">
        <f>IFERROR(VLOOKUP(A1720,VLOOKUPS!$A$2:B$12589,2,FALSE),"")</f>
        <v>Organic Baby Spring Mix 16oz-standard</v>
      </c>
      <c r="E1720">
        <v>3.49</v>
      </c>
      <c r="F1720">
        <v>4.49</v>
      </c>
      <c r="G1720" s="13">
        <v>44458</v>
      </c>
      <c r="H1720" s="13"/>
      <c r="I1720" s="22" t="str">
        <f>VLOOKUP(J1720, Dropdowns!N:O, 2, FALSE)</f>
        <v>Standard</v>
      </c>
      <c r="J1720" t="s">
        <v>760</v>
      </c>
      <c r="L1720" s="17" t="s">
        <v>733</v>
      </c>
      <c r="M1720" s="17" t="s">
        <v>11</v>
      </c>
      <c r="N1720" s="17" t="s">
        <v>740</v>
      </c>
    </row>
    <row r="1721" spans="1:14" x14ac:dyDescent="0.25">
      <c r="A1721" s="10">
        <v>995144</v>
      </c>
      <c r="B1721" s="22" t="str">
        <f>IFERROR(VLOOKUP(A1721,VLOOKUPS!$A$2:B$12589,2,FALSE),"")</f>
        <v>Asparagus Spears 10oz-standard</v>
      </c>
      <c r="E1721">
        <v>3.98</v>
      </c>
      <c r="F1721">
        <v>2.98</v>
      </c>
      <c r="G1721" s="13">
        <v>44456</v>
      </c>
      <c r="H1721" s="13">
        <v>44456</v>
      </c>
      <c r="I1721" s="22" t="str">
        <f>VLOOKUP(J1721, Dropdowns!N:O, 2, FALSE)</f>
        <v>Lower Price</v>
      </c>
      <c r="J1721" t="s">
        <v>759</v>
      </c>
      <c r="L1721" s="17" t="s">
        <v>732</v>
      </c>
      <c r="M1721" s="17" t="s">
        <v>10</v>
      </c>
      <c r="N1721" s="17">
        <v>2</v>
      </c>
    </row>
    <row r="1722" spans="1:14" x14ac:dyDescent="0.25">
      <c r="A1722" s="10">
        <v>995144</v>
      </c>
      <c r="B1722" s="22" t="str">
        <f>IFERROR(VLOOKUP(A1722,VLOOKUPS!$A$2:B$12589,2,FALSE),"")</f>
        <v>Asparagus Spears 10oz-standard</v>
      </c>
      <c r="E1722">
        <v>2.98</v>
      </c>
      <c r="F1722">
        <v>3.98</v>
      </c>
      <c r="G1722" s="13">
        <v>44457</v>
      </c>
      <c r="H1722" s="13"/>
      <c r="I1722" s="22" t="str">
        <f>VLOOKUP(J1722, Dropdowns!N:O, 2, FALSE)</f>
        <v>Standard</v>
      </c>
      <c r="J1722" t="s">
        <v>760</v>
      </c>
      <c r="L1722" s="17" t="s">
        <v>732</v>
      </c>
      <c r="M1722" s="17" t="s">
        <v>10</v>
      </c>
      <c r="N1722" s="17">
        <v>2</v>
      </c>
    </row>
    <row r="1723" spans="1:14" x14ac:dyDescent="0.25">
      <c r="A1723" s="10">
        <v>982830</v>
      </c>
      <c r="B1723" s="22" t="str">
        <f>IFERROR(VLOOKUP(A1723,VLOOKUPS!$A$2:B$12589,2,FALSE),"")</f>
        <v>Grapes* Black Seedless 1lb-LOOSE</v>
      </c>
      <c r="E1723">
        <v>1.79</v>
      </c>
      <c r="F1723">
        <v>0.99</v>
      </c>
      <c r="G1723" s="13">
        <v>44457</v>
      </c>
      <c r="H1723" s="13">
        <v>44458</v>
      </c>
      <c r="I1723" s="22" t="str">
        <f>VLOOKUP(J1723, Dropdowns!N:O, 2, FALSE)</f>
        <v>Lower Price</v>
      </c>
      <c r="J1723" t="s">
        <v>759</v>
      </c>
      <c r="L1723" s="17" t="s">
        <v>732</v>
      </c>
      <c r="M1723" s="17" t="s">
        <v>10</v>
      </c>
      <c r="N1723" s="17">
        <v>2</v>
      </c>
    </row>
    <row r="1724" spans="1:14" x14ac:dyDescent="0.25">
      <c r="A1724" s="10">
        <v>982830</v>
      </c>
      <c r="B1724" s="22" t="str">
        <f>IFERROR(VLOOKUP(A1724,VLOOKUPS!$A$2:B$12589,2,FALSE),"")</f>
        <v>Grapes* Black Seedless 1lb-LOOSE</v>
      </c>
      <c r="E1724">
        <v>0.99</v>
      </c>
      <c r="F1724">
        <v>1.79</v>
      </c>
      <c r="G1724" s="13">
        <v>44459</v>
      </c>
      <c r="H1724" s="13"/>
      <c r="I1724" s="22" t="str">
        <f>VLOOKUP(J1724, Dropdowns!N:O, 2, FALSE)</f>
        <v>Standard</v>
      </c>
      <c r="J1724" t="s">
        <v>760</v>
      </c>
      <c r="L1724" s="17" t="s">
        <v>732</v>
      </c>
      <c r="M1724" s="17" t="s">
        <v>10</v>
      </c>
      <c r="N1724" s="17">
        <v>2</v>
      </c>
    </row>
    <row r="1725" spans="1:14" x14ac:dyDescent="0.25">
      <c r="A1725" s="10">
        <v>983201</v>
      </c>
      <c r="B1725" s="22" t="str">
        <f>IFERROR(VLOOKUP(A1725,VLOOKUPS!$A$2:B$12589,2,FALSE),"")</f>
        <v>Melons* Honeydew 1ct-LOOSE</v>
      </c>
      <c r="G1725" s="13">
        <v>44456</v>
      </c>
      <c r="H1725" s="13">
        <v>44457</v>
      </c>
      <c r="I1725" s="22" t="str">
        <f>VLOOKUP(J1725, Dropdowns!N:O, 2, FALSE)</f>
        <v>Lower Price</v>
      </c>
      <c r="J1725" t="s">
        <v>762</v>
      </c>
      <c r="L1725" s="17" t="s">
        <v>732</v>
      </c>
      <c r="M1725" s="17" t="s">
        <v>10</v>
      </c>
      <c r="N1725" s="17">
        <v>2</v>
      </c>
    </row>
    <row r="1726" spans="1:14" x14ac:dyDescent="0.25">
      <c r="A1726" s="10">
        <v>982650</v>
      </c>
      <c r="B1726" s="22" t="str">
        <f>IFERROR(VLOOKUP(A1726,VLOOKUPS!$A$2:B$12589,2,FALSE),"")</f>
        <v>Grapes* Green Seedless 1lb-LOOSE</v>
      </c>
      <c r="E1726">
        <v>1.89</v>
      </c>
      <c r="F1726">
        <v>1.29</v>
      </c>
      <c r="G1726" s="13">
        <v>44457</v>
      </c>
      <c r="H1726" s="13"/>
      <c r="I1726" s="22" t="str">
        <f>VLOOKUP(J1726, Dropdowns!N:O, 2, FALSE)</f>
        <v>Standard</v>
      </c>
      <c r="J1726" t="s">
        <v>761</v>
      </c>
      <c r="L1726" s="17" t="s">
        <v>732</v>
      </c>
      <c r="M1726" s="17" t="s">
        <v>736</v>
      </c>
      <c r="N1726" s="17" t="s">
        <v>736</v>
      </c>
    </row>
    <row r="1727" spans="1:14" x14ac:dyDescent="0.25">
      <c r="A1727" s="10">
        <v>982740</v>
      </c>
      <c r="B1727" s="22" t="str">
        <f>IFERROR(VLOOKUP(A1727,VLOOKUPS!$A$2:B$12589,2,FALSE),"")</f>
        <v>Grapes* Red Seedless 1lb-LOOSE</v>
      </c>
      <c r="E1727">
        <v>1.59</v>
      </c>
      <c r="F1727">
        <v>1.59</v>
      </c>
      <c r="G1727" s="13">
        <v>44457</v>
      </c>
      <c r="H1727" s="13"/>
      <c r="I1727" s="22" t="str">
        <f>VLOOKUP(J1727, Dropdowns!N:O, 2, FALSE)</f>
        <v>Standard</v>
      </c>
      <c r="J1727" t="s">
        <v>761</v>
      </c>
      <c r="L1727" s="17" t="s">
        <v>732</v>
      </c>
      <c r="M1727" s="17" t="s">
        <v>736</v>
      </c>
      <c r="N1727" s="17" t="s">
        <v>736</v>
      </c>
    </row>
    <row r="1728" spans="1:14" x14ac:dyDescent="0.25">
      <c r="A1728" s="10">
        <v>982830</v>
      </c>
      <c r="B1728" s="22" t="str">
        <f>IFERROR(VLOOKUP(A1728,VLOOKUPS!$A$2:B$12589,2,FALSE),"")</f>
        <v>Grapes* Black Seedless 1lb-LOOSE</v>
      </c>
      <c r="E1728">
        <v>1.79</v>
      </c>
      <c r="F1728">
        <v>1.42</v>
      </c>
      <c r="G1728" s="13">
        <v>44457</v>
      </c>
      <c r="H1728" s="13"/>
      <c r="I1728" s="22" t="str">
        <f>VLOOKUP(J1728, Dropdowns!N:O, 2, FALSE)</f>
        <v>Standard</v>
      </c>
      <c r="J1728" t="s">
        <v>761</v>
      </c>
      <c r="L1728" s="17" t="s">
        <v>732</v>
      </c>
      <c r="M1728" s="17" t="s">
        <v>736</v>
      </c>
      <c r="N1728" s="17" t="s">
        <v>736</v>
      </c>
    </row>
    <row r="1729" spans="1:14" x14ac:dyDescent="0.25">
      <c r="A1729" s="10">
        <v>984621</v>
      </c>
      <c r="B1729" s="22" t="str">
        <f>IFERROR(VLOOKUP(A1729,VLOOKUPS!$A$2:B$12589,2,FALSE),"")</f>
        <v>Raspberries 12oz-standard</v>
      </c>
      <c r="E1729">
        <v>5.2</v>
      </c>
      <c r="F1729">
        <v>4.9400000000000004</v>
      </c>
      <c r="G1729" s="13">
        <v>44457</v>
      </c>
      <c r="H1729" s="13"/>
      <c r="I1729" s="22" t="str">
        <f>VLOOKUP(J1729, Dropdowns!N:O, 2, FALSE)</f>
        <v>Standard</v>
      </c>
      <c r="J1729" t="s">
        <v>761</v>
      </c>
      <c r="L1729" s="17" t="s">
        <v>732</v>
      </c>
      <c r="M1729" s="17" t="s">
        <v>736</v>
      </c>
      <c r="N1729" s="17" t="s">
        <v>736</v>
      </c>
    </row>
    <row r="1730" spans="1:14" x14ac:dyDescent="0.25">
      <c r="A1730" s="10">
        <v>984700</v>
      </c>
      <c r="B1730" s="22" t="str">
        <f>IFERROR(VLOOKUP(A1730,VLOOKUPS!$A$2:B$12589,2,FALSE),"")</f>
        <v>Blackberries 6oz-standard</v>
      </c>
      <c r="E1730">
        <v>2.68</v>
      </c>
      <c r="F1730">
        <v>1.68</v>
      </c>
      <c r="G1730" s="13">
        <v>44457</v>
      </c>
      <c r="H1730" s="13">
        <v>44458</v>
      </c>
      <c r="I1730" s="22" t="str">
        <f>VLOOKUP(J1730, Dropdowns!N:O, 2, FALSE)</f>
        <v>Lower Price</v>
      </c>
      <c r="J1730" t="s">
        <v>759</v>
      </c>
      <c r="L1730" s="17" t="s">
        <v>732</v>
      </c>
      <c r="M1730" s="17" t="s">
        <v>9</v>
      </c>
      <c r="N1730" s="17" t="s">
        <v>736</v>
      </c>
    </row>
    <row r="1731" spans="1:14" x14ac:dyDescent="0.25">
      <c r="A1731" s="10">
        <v>984700</v>
      </c>
      <c r="B1731" s="22" t="str">
        <f>IFERROR(VLOOKUP(A1731,VLOOKUPS!$A$2:B$12589,2,FALSE),"")</f>
        <v>Blackberries 6oz-standard</v>
      </c>
      <c r="E1731">
        <v>1.68</v>
      </c>
      <c r="F1731">
        <v>2.68</v>
      </c>
      <c r="G1731" s="13">
        <v>44459</v>
      </c>
      <c r="H1731" s="13"/>
      <c r="I1731" s="22" t="str">
        <f>VLOOKUP(J1731, Dropdowns!N:O, 2, FALSE)</f>
        <v>Standard</v>
      </c>
      <c r="J1731" t="s">
        <v>760</v>
      </c>
      <c r="L1731" s="17" t="s">
        <v>732</v>
      </c>
      <c r="M1731" s="17" t="s">
        <v>9</v>
      </c>
      <c r="N1731" s="17" t="s">
        <v>736</v>
      </c>
    </row>
    <row r="1732" spans="1:14" x14ac:dyDescent="0.25">
      <c r="A1732" s="10">
        <v>984702</v>
      </c>
      <c r="B1732" s="22" t="str">
        <f>IFERROR(VLOOKUP(A1732,VLOOKUPS!$A$2:B$12589,2,FALSE),"")</f>
        <v>Blackberries 12oz-standard</v>
      </c>
      <c r="E1732">
        <v>4.9800000000000004</v>
      </c>
      <c r="F1732">
        <v>4.62</v>
      </c>
      <c r="G1732" s="13">
        <v>44457</v>
      </c>
      <c r="H1732" s="13"/>
      <c r="I1732" s="22" t="str">
        <f>VLOOKUP(J1732, Dropdowns!N:O, 2, FALSE)</f>
        <v>Standard</v>
      </c>
      <c r="J1732" t="s">
        <v>761</v>
      </c>
      <c r="L1732" s="17" t="s">
        <v>732</v>
      </c>
      <c r="M1732" s="17" t="s">
        <v>736</v>
      </c>
      <c r="N1732" s="17" t="s">
        <v>736</v>
      </c>
    </row>
    <row r="1733" spans="1:14" x14ac:dyDescent="0.25">
      <c r="A1733" s="10">
        <v>985760</v>
      </c>
      <c r="B1733" s="22" t="str">
        <f>IFERROR(VLOOKUP(A1733,VLOOKUPS!$A$2:B$12589,2,FALSE),"")</f>
        <v>Asparagus 1lb-standard</v>
      </c>
      <c r="E1733">
        <v>2.99</v>
      </c>
      <c r="F1733">
        <v>1.99</v>
      </c>
      <c r="G1733" s="13">
        <v>44457</v>
      </c>
      <c r="H1733" s="13">
        <v>44458</v>
      </c>
      <c r="I1733" s="22" t="str">
        <f>VLOOKUP(J1733, Dropdowns!N:O, 2, FALSE)</f>
        <v>Lower Price</v>
      </c>
      <c r="J1733" t="s">
        <v>759</v>
      </c>
      <c r="L1733" s="17" t="s">
        <v>732</v>
      </c>
      <c r="M1733" s="17" t="s">
        <v>738</v>
      </c>
      <c r="N1733" s="17">
        <v>2</v>
      </c>
    </row>
    <row r="1734" spans="1:14" x14ac:dyDescent="0.25">
      <c r="A1734" s="10">
        <v>985760</v>
      </c>
      <c r="B1734" s="22" t="str">
        <f>IFERROR(VLOOKUP(A1734,VLOOKUPS!$A$2:B$12589,2,FALSE),"")</f>
        <v>Asparagus 1lb-standard</v>
      </c>
      <c r="E1734">
        <v>1.99</v>
      </c>
      <c r="F1734">
        <v>2.99</v>
      </c>
      <c r="G1734" s="13">
        <v>44459</v>
      </c>
      <c r="H1734" s="13"/>
      <c r="I1734" s="22" t="str">
        <f>VLOOKUP(J1734, Dropdowns!N:O, 2, FALSE)</f>
        <v>Standard</v>
      </c>
      <c r="J1734" t="s">
        <v>760</v>
      </c>
      <c r="L1734" s="17" t="s">
        <v>732</v>
      </c>
      <c r="M1734" s="17" t="s">
        <v>738</v>
      </c>
      <c r="N1734" s="17">
        <v>2</v>
      </c>
    </row>
    <row r="1735" spans="1:14" x14ac:dyDescent="0.25">
      <c r="A1735" s="10">
        <v>988540</v>
      </c>
      <c r="B1735" s="22" t="str">
        <f>IFERROR(VLOOKUP(A1735,VLOOKUPS!$A$2:B$12589,2,FALSE),"")</f>
        <v>Broccolini 6oz-standard</v>
      </c>
      <c r="E1735">
        <v>2.79</v>
      </c>
      <c r="F1735">
        <v>2.99</v>
      </c>
      <c r="G1735" s="13">
        <v>44457</v>
      </c>
      <c r="H1735" s="13"/>
      <c r="I1735" s="22" t="str">
        <f>VLOOKUP(J1735, Dropdowns!N:O, 2, FALSE)</f>
        <v>Standard</v>
      </c>
      <c r="J1735" t="s">
        <v>761</v>
      </c>
      <c r="L1735" s="17" t="s">
        <v>732</v>
      </c>
      <c r="M1735" s="17" t="s">
        <v>736</v>
      </c>
      <c r="N1735" s="17" t="s">
        <v>736</v>
      </c>
    </row>
    <row r="1736" spans="1:14" x14ac:dyDescent="0.25">
      <c r="A1736" s="10">
        <v>995069</v>
      </c>
      <c r="B1736" s="22" t="str">
        <f>IFERROR(VLOOKUP(A1736,VLOOKUPS!$A$2:B$12589,2,FALSE),"")</f>
        <v>Organic Baby Spinach 5oz-standard</v>
      </c>
      <c r="E1736">
        <v>2.4900000000000002</v>
      </c>
      <c r="F1736">
        <v>1.49</v>
      </c>
      <c r="G1736" s="13">
        <v>44457</v>
      </c>
      <c r="H1736" s="13">
        <v>44458</v>
      </c>
      <c r="I1736" s="22" t="str">
        <f>VLOOKUP(J1736, Dropdowns!N:O, 2, FALSE)</f>
        <v>Lower Price</v>
      </c>
      <c r="J1736" t="s">
        <v>759</v>
      </c>
      <c r="L1736" s="17" t="s">
        <v>733</v>
      </c>
      <c r="M1736" s="17" t="s">
        <v>11</v>
      </c>
      <c r="N1736" s="17" t="s">
        <v>740</v>
      </c>
    </row>
    <row r="1737" spans="1:14" x14ac:dyDescent="0.25">
      <c r="A1737" s="10">
        <v>995069</v>
      </c>
      <c r="B1737" s="22" t="str">
        <f>IFERROR(VLOOKUP(A1737,VLOOKUPS!$A$2:B$12589,2,FALSE),"")</f>
        <v>Organic Baby Spinach 5oz-standard</v>
      </c>
      <c r="E1737">
        <v>1.49</v>
      </c>
      <c r="F1737">
        <v>2.4900000000000002</v>
      </c>
      <c r="G1737" s="13">
        <v>44459</v>
      </c>
      <c r="H1737" s="13"/>
      <c r="I1737" s="22" t="str">
        <f>VLOOKUP(J1737, Dropdowns!N:O, 2, FALSE)</f>
        <v>Standard</v>
      </c>
      <c r="J1737" t="s">
        <v>760</v>
      </c>
      <c r="L1737" s="17" t="s">
        <v>733</v>
      </c>
      <c r="M1737" s="17" t="s">
        <v>11</v>
      </c>
      <c r="N1737" s="17" t="s">
        <v>740</v>
      </c>
    </row>
    <row r="1738" spans="1:14" x14ac:dyDescent="0.25">
      <c r="A1738" s="10">
        <v>983201</v>
      </c>
      <c r="B1738" s="22" t="str">
        <f>IFERROR(VLOOKUP(A1738,VLOOKUPS!$A$2:B$12589,2,FALSE),"")</f>
        <v>Melons* Honeydew 1ct-LOOSE</v>
      </c>
      <c r="E1738">
        <v>1.99</v>
      </c>
      <c r="F1738">
        <v>3.58</v>
      </c>
      <c r="G1738" s="13">
        <v>44457</v>
      </c>
      <c r="H1738" s="13"/>
      <c r="I1738" s="22" t="str">
        <f>VLOOKUP(J1738, Dropdowns!N:O, 2, FALSE)</f>
        <v>Standard</v>
      </c>
      <c r="J1738" t="s">
        <v>760</v>
      </c>
      <c r="L1738" s="17" t="s">
        <v>733</v>
      </c>
      <c r="M1738" s="17" t="s">
        <v>11</v>
      </c>
      <c r="N1738" s="17" t="s">
        <v>740</v>
      </c>
    </row>
    <row r="1739" spans="1:14" x14ac:dyDescent="0.25">
      <c r="A1739" s="10">
        <v>983201</v>
      </c>
      <c r="B1739" s="22" t="str">
        <f>IFERROR(VLOOKUP(A1739,VLOOKUPS!$A$2:B$12589,2,FALSE),"")</f>
        <v>Melons* Honeydew 1ct-LOOSE</v>
      </c>
      <c r="G1739" s="13">
        <v>44457</v>
      </c>
      <c r="H1739" s="13">
        <v>44459</v>
      </c>
      <c r="I1739" s="22" t="str">
        <f>VLOOKUP(J1739, Dropdowns!N:O, 2, FALSE)</f>
        <v>Lower Price</v>
      </c>
      <c r="J1739" t="s">
        <v>762</v>
      </c>
      <c r="L1739" s="17" t="s">
        <v>732</v>
      </c>
      <c r="M1739" s="17" t="s">
        <v>9</v>
      </c>
      <c r="N1739" s="17" t="s">
        <v>736</v>
      </c>
    </row>
    <row r="1740" spans="1:14" x14ac:dyDescent="0.25">
      <c r="A1740" s="10">
        <v>983201</v>
      </c>
      <c r="B1740" s="22" t="str">
        <f>IFERROR(VLOOKUP(A1740,VLOOKUPS!$A$2:B$12589,2,FALSE),"")</f>
        <v>Melons* Honeydew 1ct-LOOSE</v>
      </c>
      <c r="E1740">
        <v>1.99</v>
      </c>
      <c r="F1740">
        <v>3.58</v>
      </c>
      <c r="G1740" s="13">
        <v>44458</v>
      </c>
      <c r="H1740" s="13"/>
      <c r="I1740" s="22" t="str">
        <f>VLOOKUP(J1740, Dropdowns!N:O, 2, FALSE)</f>
        <v>Standard</v>
      </c>
      <c r="J1740" t="s">
        <v>760</v>
      </c>
      <c r="L1740" s="17" t="s">
        <v>732</v>
      </c>
      <c r="M1740" s="17" t="s">
        <v>10</v>
      </c>
      <c r="N1740" s="17">
        <v>2</v>
      </c>
    </row>
    <row r="1741" spans="1:14" x14ac:dyDescent="0.25">
      <c r="A1741" s="10">
        <v>983101</v>
      </c>
      <c r="B1741" s="22" t="str">
        <f>IFERROR(VLOOKUP(A1741,VLOOKUPS!$A$2:B$12589,2,FALSE),"")</f>
        <v>Melons Cantaloupes 1ct-LOOSE</v>
      </c>
      <c r="E1741">
        <v>2.59</v>
      </c>
      <c r="F1741">
        <v>2.39</v>
      </c>
      <c r="G1741" s="13">
        <v>44460</v>
      </c>
      <c r="H1741" s="13"/>
      <c r="I1741" s="22" t="str">
        <f>VLOOKUP(J1741, Dropdowns!N:O, 2, FALSE)</f>
        <v>Standard</v>
      </c>
      <c r="J1741" t="s">
        <v>761</v>
      </c>
      <c r="L1741" s="17" t="s">
        <v>732</v>
      </c>
      <c r="M1741" s="17" t="s">
        <v>9</v>
      </c>
      <c r="N1741" s="17" t="s">
        <v>736</v>
      </c>
    </row>
    <row r="1742" spans="1:14" x14ac:dyDescent="0.25">
      <c r="A1742" s="10">
        <v>983201</v>
      </c>
      <c r="B1742" s="22" t="str">
        <f>IFERROR(VLOOKUP(A1742,VLOOKUPS!$A$2:B$12589,2,FALSE),"")</f>
        <v>Melons* Honeydew 1ct-LOOSE</v>
      </c>
      <c r="G1742" s="13">
        <v>44460</v>
      </c>
      <c r="H1742" s="13">
        <v>44462</v>
      </c>
      <c r="I1742" s="22" t="str">
        <f>VLOOKUP(J1742, Dropdowns!N:O, 2, FALSE)</f>
        <v>Lower Price</v>
      </c>
      <c r="J1742" t="s">
        <v>762</v>
      </c>
      <c r="L1742" s="17" t="s">
        <v>732</v>
      </c>
      <c r="M1742" s="17" t="s">
        <v>9</v>
      </c>
      <c r="N1742" s="17" t="s">
        <v>736</v>
      </c>
    </row>
    <row r="1743" spans="1:14" x14ac:dyDescent="0.25">
      <c r="A1743" s="10">
        <v>984702</v>
      </c>
      <c r="B1743" s="22" t="str">
        <f>IFERROR(VLOOKUP(A1743,VLOOKUPS!$A$2:B$12589,2,FALSE),"")</f>
        <v>Blackberries 12oz-standard</v>
      </c>
      <c r="E1743">
        <v>4.62</v>
      </c>
      <c r="F1743">
        <v>3.62</v>
      </c>
      <c r="G1743" s="13">
        <v>44460</v>
      </c>
      <c r="H1743" s="13">
        <v>44461</v>
      </c>
      <c r="I1743" s="22" t="str">
        <f>VLOOKUP(J1743, Dropdowns!N:O, 2, FALSE)</f>
        <v>Lower Price</v>
      </c>
      <c r="J1743" t="s">
        <v>759</v>
      </c>
      <c r="L1743" s="17" t="s">
        <v>732</v>
      </c>
      <c r="M1743" s="17" t="s">
        <v>10</v>
      </c>
      <c r="N1743" s="17">
        <v>2</v>
      </c>
    </row>
    <row r="1744" spans="1:14" x14ac:dyDescent="0.25">
      <c r="A1744" s="10">
        <v>984702</v>
      </c>
      <c r="B1744" s="22" t="str">
        <f>IFERROR(VLOOKUP(A1744,VLOOKUPS!$A$2:B$12589,2,FALSE),"")</f>
        <v>Blackberries 12oz-standard</v>
      </c>
      <c r="E1744">
        <v>3.62</v>
      </c>
      <c r="F1744">
        <v>4.62</v>
      </c>
      <c r="G1744" s="13">
        <v>44462</v>
      </c>
      <c r="H1744" s="13"/>
      <c r="I1744" s="22" t="str">
        <f>VLOOKUP(J1744, Dropdowns!N:O, 2, FALSE)</f>
        <v>Standard</v>
      </c>
      <c r="J1744" t="s">
        <v>760</v>
      </c>
      <c r="L1744" s="17" t="s">
        <v>732</v>
      </c>
      <c r="M1744" s="17" t="s">
        <v>10</v>
      </c>
      <c r="N1744" s="17">
        <v>2</v>
      </c>
    </row>
    <row r="1745" spans="1:14" x14ac:dyDescent="0.25">
      <c r="A1745" s="10">
        <v>995022</v>
      </c>
      <c r="B1745" s="22" t="str">
        <f>IFERROR(VLOOKUP(A1745,VLOOKUPS!$A$2:B$12589,2,FALSE),"")</f>
        <v>American Blend 12oz-standard</v>
      </c>
      <c r="E1745">
        <v>1.99</v>
      </c>
      <c r="F1745">
        <v>1.29</v>
      </c>
      <c r="G1745" s="13">
        <v>44460</v>
      </c>
      <c r="H1745" s="13">
        <v>44461</v>
      </c>
      <c r="I1745" s="22" t="str">
        <f>VLOOKUP(J1745, Dropdowns!N:O, 2, FALSE)</f>
        <v>Lower Price</v>
      </c>
      <c r="J1745" t="s">
        <v>759</v>
      </c>
      <c r="L1745" s="17" t="s">
        <v>733</v>
      </c>
      <c r="M1745" s="17" t="s">
        <v>11</v>
      </c>
      <c r="N1745" s="17" t="s">
        <v>740</v>
      </c>
    </row>
    <row r="1746" spans="1:14" x14ac:dyDescent="0.25">
      <c r="A1746" s="10">
        <v>995022</v>
      </c>
      <c r="B1746" s="22" t="str">
        <f>IFERROR(VLOOKUP(A1746,VLOOKUPS!$A$2:B$12589,2,FALSE),"")</f>
        <v>American Blend 12oz-standard</v>
      </c>
      <c r="E1746">
        <v>1.29</v>
      </c>
      <c r="F1746">
        <v>1.99</v>
      </c>
      <c r="G1746" s="13">
        <v>44462</v>
      </c>
      <c r="H1746" s="13"/>
      <c r="I1746" s="22" t="str">
        <f>VLOOKUP(J1746, Dropdowns!N:O, 2, FALSE)</f>
        <v>Standard</v>
      </c>
      <c r="J1746" t="s">
        <v>760</v>
      </c>
      <c r="L1746" s="17" t="s">
        <v>733</v>
      </c>
      <c r="M1746" s="17" t="s">
        <v>11</v>
      </c>
      <c r="N1746" s="17" t="s">
        <v>740</v>
      </c>
    </row>
    <row r="1747" spans="1:14" x14ac:dyDescent="0.25">
      <c r="A1747" s="10">
        <v>995051</v>
      </c>
      <c r="B1747" s="22" t="str">
        <f>IFERROR(VLOOKUP(A1747,VLOOKUPS!$A$2:B$12589,2,FALSE),"")</f>
        <v>Mild Fresh Chopped Salsa 16oz-standard</v>
      </c>
      <c r="E1747">
        <v>4.49</v>
      </c>
      <c r="F1747">
        <v>3.49</v>
      </c>
      <c r="G1747" s="13">
        <v>44460</v>
      </c>
      <c r="H1747" s="13">
        <v>44461</v>
      </c>
      <c r="I1747" s="22" t="str">
        <f>VLOOKUP(J1747, Dropdowns!N:O, 2, FALSE)</f>
        <v>Lower Price</v>
      </c>
      <c r="J1747" t="s">
        <v>759</v>
      </c>
      <c r="L1747" s="17" t="s">
        <v>732</v>
      </c>
      <c r="M1747" s="17" t="s">
        <v>10</v>
      </c>
      <c r="N1747" s="17">
        <v>2</v>
      </c>
    </row>
    <row r="1748" spans="1:14" x14ac:dyDescent="0.25">
      <c r="A1748" s="10">
        <v>995051</v>
      </c>
      <c r="B1748" s="22" t="str">
        <f>IFERROR(VLOOKUP(A1748,VLOOKUPS!$A$2:B$12589,2,FALSE),"")</f>
        <v>Mild Fresh Chopped Salsa 16oz-standard</v>
      </c>
      <c r="E1748">
        <v>3.49</v>
      </c>
      <c r="F1748">
        <v>4.49</v>
      </c>
      <c r="G1748" s="13">
        <v>44462</v>
      </c>
      <c r="H1748" s="13"/>
      <c r="I1748" s="22" t="str">
        <f>VLOOKUP(J1748, Dropdowns!N:O, 2, FALSE)</f>
        <v>Standard</v>
      </c>
      <c r="J1748" t="s">
        <v>760</v>
      </c>
      <c r="L1748" s="17" t="s">
        <v>732</v>
      </c>
      <c r="M1748" s="17" t="s">
        <v>10</v>
      </c>
      <c r="N1748" s="17">
        <v>2</v>
      </c>
    </row>
    <row r="1749" spans="1:14" x14ac:dyDescent="0.25">
      <c r="A1749" s="10">
        <v>995070</v>
      </c>
      <c r="B1749" s="22" t="str">
        <f>IFERROR(VLOOKUP(A1749,VLOOKUPS!$A$2:B$12589,2,FALSE),"")</f>
        <v>Organic Baby Spring Mix 5oz-standard</v>
      </c>
      <c r="E1749">
        <v>2.56</v>
      </c>
      <c r="F1749">
        <v>1.56</v>
      </c>
      <c r="G1749" s="13">
        <v>44460</v>
      </c>
      <c r="H1749" s="13">
        <v>44461</v>
      </c>
      <c r="I1749" s="22" t="str">
        <f>VLOOKUP(J1749, Dropdowns!N:O, 2, FALSE)</f>
        <v>Lower Price</v>
      </c>
      <c r="J1749" t="s">
        <v>759</v>
      </c>
      <c r="L1749" s="17" t="s">
        <v>733</v>
      </c>
      <c r="M1749" s="17" t="s">
        <v>11</v>
      </c>
      <c r="N1749" s="17" t="s">
        <v>740</v>
      </c>
    </row>
    <row r="1750" spans="1:14" x14ac:dyDescent="0.25">
      <c r="A1750" s="10">
        <v>995070</v>
      </c>
      <c r="B1750" s="22" t="str">
        <f>IFERROR(VLOOKUP(A1750,VLOOKUPS!$A$2:B$12589,2,FALSE),"")</f>
        <v>Organic Baby Spring Mix 5oz-standard</v>
      </c>
      <c r="E1750">
        <v>1.56</v>
      </c>
      <c r="F1750">
        <v>2.56</v>
      </c>
      <c r="G1750" s="13">
        <v>44462</v>
      </c>
      <c r="H1750" s="13"/>
      <c r="I1750" s="22" t="str">
        <f>VLOOKUP(J1750, Dropdowns!N:O, 2, FALSE)</f>
        <v>Standard</v>
      </c>
      <c r="J1750" t="s">
        <v>760</v>
      </c>
      <c r="L1750" s="17" t="s">
        <v>733</v>
      </c>
      <c r="M1750" s="17" t="s">
        <v>11</v>
      </c>
      <c r="N1750" s="17" t="s">
        <v>740</v>
      </c>
    </row>
    <row r="1751" spans="1:14" x14ac:dyDescent="0.25">
      <c r="A1751" s="10">
        <v>995136</v>
      </c>
      <c r="B1751" s="22" t="str">
        <f>IFERROR(VLOOKUP(A1751,VLOOKUPS!$A$2:B$12589,2,FALSE),"")</f>
        <v>Baby Spinach 11oz-standard</v>
      </c>
      <c r="E1751">
        <v>4.18</v>
      </c>
      <c r="F1751">
        <v>3.18</v>
      </c>
      <c r="G1751" s="13">
        <v>44460</v>
      </c>
      <c r="H1751" s="13">
        <v>44461</v>
      </c>
      <c r="I1751" s="22" t="str">
        <f>VLOOKUP(J1751, Dropdowns!N:O, 2, FALSE)</f>
        <v>Lower Price</v>
      </c>
      <c r="J1751" t="s">
        <v>759</v>
      </c>
      <c r="L1751" s="17" t="s">
        <v>732</v>
      </c>
      <c r="M1751" s="17" t="s">
        <v>10</v>
      </c>
      <c r="N1751" s="17">
        <v>2</v>
      </c>
    </row>
    <row r="1752" spans="1:14" x14ac:dyDescent="0.25">
      <c r="A1752" s="10">
        <v>995136</v>
      </c>
      <c r="B1752" s="22" t="str">
        <f>IFERROR(VLOOKUP(A1752,VLOOKUPS!$A$2:B$12589,2,FALSE),"")</f>
        <v>Baby Spinach 11oz-standard</v>
      </c>
      <c r="E1752">
        <v>3.18</v>
      </c>
      <c r="F1752">
        <v>4.18</v>
      </c>
      <c r="G1752" s="13">
        <v>44462</v>
      </c>
      <c r="H1752" s="13"/>
      <c r="I1752" s="22" t="str">
        <f>VLOOKUP(J1752, Dropdowns!N:O, 2, FALSE)</f>
        <v>Standard</v>
      </c>
      <c r="J1752" t="s">
        <v>760</v>
      </c>
      <c r="L1752" s="17" t="s">
        <v>732</v>
      </c>
      <c r="M1752" s="17" t="s">
        <v>10</v>
      </c>
      <c r="N1752" s="17">
        <v>2</v>
      </c>
    </row>
    <row r="1753" spans="1:14" x14ac:dyDescent="0.25">
      <c r="A1753" s="10">
        <v>983101</v>
      </c>
      <c r="B1753" s="22" t="str">
        <f>IFERROR(VLOOKUP(A1753,VLOOKUPS!$A$2:B$12589,2,FALSE),"")</f>
        <v>Melons Cantaloupes 1ct-LOOSE</v>
      </c>
      <c r="E1753">
        <v>2.39</v>
      </c>
      <c r="F1753">
        <v>1.39</v>
      </c>
      <c r="G1753" s="13">
        <v>44461</v>
      </c>
      <c r="H1753" s="13">
        <v>44462</v>
      </c>
      <c r="I1753" s="22" t="str">
        <f>VLOOKUP(J1753, Dropdowns!N:O, 2, FALSE)</f>
        <v>Lower Price</v>
      </c>
      <c r="J1753" t="s">
        <v>759</v>
      </c>
      <c r="L1753" s="17" t="s">
        <v>732</v>
      </c>
      <c r="M1753" s="17" t="s">
        <v>9</v>
      </c>
      <c r="N1753" s="17" t="s">
        <v>736</v>
      </c>
    </row>
    <row r="1754" spans="1:14" x14ac:dyDescent="0.25">
      <c r="A1754" s="10">
        <v>983101</v>
      </c>
      <c r="B1754" s="22" t="str">
        <f>IFERROR(VLOOKUP(A1754,VLOOKUPS!$A$2:B$12589,2,FALSE),"")</f>
        <v>Melons Cantaloupes 1ct-LOOSE</v>
      </c>
      <c r="E1754">
        <v>1.39</v>
      </c>
      <c r="F1754">
        <v>2.39</v>
      </c>
      <c r="G1754" s="13">
        <v>44463</v>
      </c>
      <c r="H1754" s="13"/>
      <c r="I1754" s="22" t="str">
        <f>VLOOKUP(J1754, Dropdowns!N:O, 2, FALSE)</f>
        <v>Standard</v>
      </c>
      <c r="J1754" t="s">
        <v>760</v>
      </c>
      <c r="L1754" s="17" t="s">
        <v>732</v>
      </c>
      <c r="M1754" s="17" t="s">
        <v>9</v>
      </c>
      <c r="N1754" s="17" t="s">
        <v>736</v>
      </c>
    </row>
    <row r="1755" spans="1:14" x14ac:dyDescent="0.25">
      <c r="A1755" s="10">
        <v>984620</v>
      </c>
      <c r="B1755" s="22" t="str">
        <f>IFERROR(VLOOKUP(A1755,VLOOKUPS!$A$2:B$12589,2,FALSE),"")</f>
        <v>Raspberries 6oz-standard</v>
      </c>
      <c r="E1755">
        <v>2.7</v>
      </c>
      <c r="F1755">
        <v>1.9</v>
      </c>
      <c r="G1755" s="13">
        <v>44461</v>
      </c>
      <c r="H1755" s="13">
        <v>44462</v>
      </c>
      <c r="I1755" s="22" t="str">
        <f>VLOOKUP(J1755, Dropdowns!N:O, 2, FALSE)</f>
        <v>Lower Price</v>
      </c>
      <c r="J1755" t="s">
        <v>759</v>
      </c>
      <c r="L1755" s="17" t="s">
        <v>732</v>
      </c>
      <c r="M1755" s="17" t="s">
        <v>735</v>
      </c>
      <c r="N1755" s="17" t="s">
        <v>736</v>
      </c>
    </row>
    <row r="1756" spans="1:14" x14ac:dyDescent="0.25">
      <c r="A1756" s="10">
        <v>984620</v>
      </c>
      <c r="B1756" s="22" t="str">
        <f>IFERROR(VLOOKUP(A1756,VLOOKUPS!$A$2:B$12589,2,FALSE),"")</f>
        <v>Raspberries 6oz-standard</v>
      </c>
      <c r="E1756">
        <v>1.9</v>
      </c>
      <c r="F1756">
        <v>2.7</v>
      </c>
      <c r="G1756" s="13">
        <v>44463</v>
      </c>
      <c r="H1756" s="13"/>
      <c r="I1756" s="22" t="str">
        <f>VLOOKUP(J1756, Dropdowns!N:O, 2, FALSE)</f>
        <v>Standard</v>
      </c>
      <c r="J1756" t="s">
        <v>760</v>
      </c>
      <c r="L1756" s="17" t="s">
        <v>732</v>
      </c>
      <c r="M1756" s="17" t="s">
        <v>735</v>
      </c>
      <c r="N1756" s="17" t="s">
        <v>736</v>
      </c>
    </row>
    <row r="1757" spans="1:14" x14ac:dyDescent="0.25">
      <c r="A1757" s="10">
        <v>995021</v>
      </c>
      <c r="B1757" s="22" t="str">
        <f>IFERROR(VLOOKUP(A1757,VLOOKUPS!$A$2:B$12589,2,FALSE),"")</f>
        <v>Chopped Bacon Caesar Kit 10.2oz-standard</v>
      </c>
      <c r="E1757">
        <v>3.49</v>
      </c>
      <c r="F1757">
        <v>2.4900000000000002</v>
      </c>
      <c r="G1757" s="13">
        <v>44461</v>
      </c>
      <c r="H1757" s="13">
        <v>44462</v>
      </c>
      <c r="I1757" s="22" t="str">
        <f>VLOOKUP(J1757, Dropdowns!N:O, 2, FALSE)</f>
        <v>Lower Price</v>
      </c>
      <c r="J1757" t="s">
        <v>759</v>
      </c>
      <c r="L1757" s="17" t="s">
        <v>733</v>
      </c>
      <c r="M1757" s="17" t="s">
        <v>11</v>
      </c>
      <c r="N1757" s="17" t="s">
        <v>740</v>
      </c>
    </row>
    <row r="1758" spans="1:14" x14ac:dyDescent="0.25">
      <c r="A1758" s="10">
        <v>995021</v>
      </c>
      <c r="B1758" s="22" t="str">
        <f>IFERROR(VLOOKUP(A1758,VLOOKUPS!$A$2:B$12589,2,FALSE),"")</f>
        <v>Chopped Bacon Caesar Kit 10.2oz-standard</v>
      </c>
      <c r="E1758">
        <v>2.4900000000000002</v>
      </c>
      <c r="F1758">
        <v>3.49</v>
      </c>
      <c r="G1758" s="13">
        <v>44463</v>
      </c>
      <c r="H1758" s="13"/>
      <c r="I1758" s="22" t="str">
        <f>VLOOKUP(J1758, Dropdowns!N:O, 2, FALSE)</f>
        <v>Standard</v>
      </c>
      <c r="J1758" t="s">
        <v>760</v>
      </c>
      <c r="L1758" s="17" t="s">
        <v>733</v>
      </c>
      <c r="M1758" s="17" t="s">
        <v>11</v>
      </c>
      <c r="N1758" s="17" t="s">
        <v>740</v>
      </c>
    </row>
    <row r="1759" spans="1:14" x14ac:dyDescent="0.25">
      <c r="A1759" s="10">
        <v>995068</v>
      </c>
      <c r="B1759" s="22" t="str">
        <f>IFERROR(VLOOKUP(A1759,VLOOKUPS!$A$2:B$12589,2,FALSE),"")</f>
        <v>Organic Half and Half 5oz-standard</v>
      </c>
      <c r="E1759">
        <v>2.4900000000000002</v>
      </c>
      <c r="F1759">
        <v>1.79</v>
      </c>
      <c r="G1759" s="13">
        <v>44461</v>
      </c>
      <c r="H1759" s="13">
        <v>44462</v>
      </c>
      <c r="I1759" s="22" t="str">
        <f>VLOOKUP(J1759, Dropdowns!N:O, 2, FALSE)</f>
        <v>Lower Price</v>
      </c>
      <c r="J1759" t="s">
        <v>759</v>
      </c>
      <c r="L1759" s="17" t="s">
        <v>732</v>
      </c>
      <c r="M1759" s="17" t="s">
        <v>737</v>
      </c>
      <c r="N1759" s="17" t="s">
        <v>736</v>
      </c>
    </row>
    <row r="1760" spans="1:14" x14ac:dyDescent="0.25">
      <c r="A1760" s="10">
        <v>995068</v>
      </c>
      <c r="B1760" s="22" t="str">
        <f>IFERROR(VLOOKUP(A1760,VLOOKUPS!$A$2:B$12589,2,FALSE),"")</f>
        <v>Organic Half and Half 5oz-standard</v>
      </c>
      <c r="E1760">
        <v>1.79</v>
      </c>
      <c r="F1760">
        <v>2.4900000000000002</v>
      </c>
      <c r="G1760" s="13">
        <v>44463</v>
      </c>
      <c r="H1760" s="13"/>
      <c r="I1760" s="22" t="str">
        <f>VLOOKUP(J1760, Dropdowns!N:O, 2, FALSE)</f>
        <v>Standard</v>
      </c>
      <c r="J1760" t="s">
        <v>760</v>
      </c>
      <c r="L1760" s="17" t="s">
        <v>732</v>
      </c>
      <c r="M1760" s="17" t="s">
        <v>737</v>
      </c>
      <c r="N1760" s="17" t="s">
        <v>736</v>
      </c>
    </row>
    <row r="1761" spans="1:16" x14ac:dyDescent="0.25">
      <c r="A1761" s="10">
        <v>995097</v>
      </c>
      <c r="B1761" s="22" t="str">
        <f>IFERROR(VLOOKUP(A1761,VLOOKUPS!$A$2:B$12589,2,FALSE),"")</f>
        <v>Butternut Diced 12oz-standard</v>
      </c>
      <c r="E1761">
        <v>2.4900000000000002</v>
      </c>
      <c r="F1761">
        <v>1.49</v>
      </c>
      <c r="G1761" s="13">
        <v>44461</v>
      </c>
      <c r="H1761" s="13">
        <v>44462</v>
      </c>
      <c r="I1761" s="22" t="str">
        <f>VLOOKUP(J1761, Dropdowns!N:O, 2, FALSE)</f>
        <v>Lower Price</v>
      </c>
      <c r="J1761" t="s">
        <v>759</v>
      </c>
      <c r="L1761" s="17" t="s">
        <v>733</v>
      </c>
      <c r="M1761" s="17" t="s">
        <v>11</v>
      </c>
      <c r="N1761" s="17" t="s">
        <v>740</v>
      </c>
    </row>
    <row r="1762" spans="1:16" x14ac:dyDescent="0.25">
      <c r="A1762" s="10">
        <v>995097</v>
      </c>
      <c r="B1762" s="22" t="str">
        <f>IFERROR(VLOOKUP(A1762,VLOOKUPS!$A$2:B$12589,2,FALSE),"")</f>
        <v>Butternut Diced 12oz-standard</v>
      </c>
      <c r="E1762">
        <v>1.49</v>
      </c>
      <c r="F1762">
        <v>2.4900000000000002</v>
      </c>
      <c r="G1762" s="13">
        <v>44463</v>
      </c>
      <c r="H1762" s="13"/>
      <c r="I1762" s="22" t="str">
        <f>VLOOKUP(J1762, Dropdowns!N:O, 2, FALSE)</f>
        <v>Standard</v>
      </c>
      <c r="J1762" t="s">
        <v>760</v>
      </c>
      <c r="L1762" s="17" t="s">
        <v>733</v>
      </c>
      <c r="M1762" s="17" t="s">
        <v>11</v>
      </c>
      <c r="N1762" s="17" t="s">
        <v>740</v>
      </c>
    </row>
    <row r="1763" spans="1:16" x14ac:dyDescent="0.25">
      <c r="A1763" s="10">
        <v>995100</v>
      </c>
      <c r="B1763" s="22" t="str">
        <f>IFERROR(VLOOKUP(A1763,VLOOKUPS!$A$2:B$12589,2,FALSE),"")</f>
        <v>Asian Chopped Salad Kit 12oz-standard</v>
      </c>
      <c r="E1763">
        <v>3.49</v>
      </c>
      <c r="F1763">
        <v>2.4900000000000002</v>
      </c>
      <c r="G1763" s="13">
        <v>44461</v>
      </c>
      <c r="H1763" s="13">
        <v>44462</v>
      </c>
      <c r="I1763" s="22" t="str">
        <f>VLOOKUP(J1763, Dropdowns!N:O, 2, FALSE)</f>
        <v>Lower Price</v>
      </c>
      <c r="J1763" t="s">
        <v>759</v>
      </c>
      <c r="L1763" s="17" t="s">
        <v>732</v>
      </c>
      <c r="M1763" s="17" t="s">
        <v>10</v>
      </c>
      <c r="N1763" s="17">
        <v>2</v>
      </c>
    </row>
    <row r="1764" spans="1:16" x14ac:dyDescent="0.25">
      <c r="A1764" s="10">
        <v>995100</v>
      </c>
      <c r="B1764" s="22" t="str">
        <f>IFERROR(VLOOKUP(A1764,VLOOKUPS!$A$2:B$12589,2,FALSE),"")</f>
        <v>Asian Chopped Salad Kit 12oz-standard</v>
      </c>
      <c r="E1764">
        <v>2.4900000000000002</v>
      </c>
      <c r="F1764">
        <v>3.49</v>
      </c>
      <c r="G1764" s="13">
        <v>44463</v>
      </c>
      <c r="H1764" s="13"/>
      <c r="I1764" s="22" t="str">
        <f>VLOOKUP(J1764, Dropdowns!N:O, 2, FALSE)</f>
        <v>Standard</v>
      </c>
      <c r="J1764" t="s">
        <v>760</v>
      </c>
      <c r="L1764" s="17" t="s">
        <v>732</v>
      </c>
      <c r="M1764" s="17" t="s">
        <v>10</v>
      </c>
      <c r="N1764" s="17">
        <v>2</v>
      </c>
    </row>
    <row r="1765" spans="1:16" x14ac:dyDescent="0.25">
      <c r="A1765" s="10">
        <v>995137</v>
      </c>
      <c r="B1765" s="22" t="str">
        <f>IFERROR(VLOOKUP(A1765,VLOOKUPS!$A$2:B$12589,2,FALSE),"")</f>
        <v>Half and Half 11oz-standard</v>
      </c>
      <c r="E1765">
        <v>4.18</v>
      </c>
      <c r="F1765">
        <v>3.18</v>
      </c>
      <c r="G1765" s="13">
        <v>44461</v>
      </c>
      <c r="H1765" s="13">
        <v>44462</v>
      </c>
      <c r="I1765" s="22" t="str">
        <f>VLOOKUP(J1765, Dropdowns!N:O, 2, FALSE)</f>
        <v>Lower Price</v>
      </c>
      <c r="J1765" t="s">
        <v>759</v>
      </c>
      <c r="L1765" s="17" t="s">
        <v>732</v>
      </c>
      <c r="M1765" s="17" t="s">
        <v>10</v>
      </c>
      <c r="N1765" s="17">
        <v>2</v>
      </c>
    </row>
    <row r="1766" spans="1:16" x14ac:dyDescent="0.25">
      <c r="A1766" s="10">
        <v>995137</v>
      </c>
      <c r="B1766" s="22" t="str">
        <f>IFERROR(VLOOKUP(A1766,VLOOKUPS!$A$2:B$12589,2,FALSE),"")</f>
        <v>Half and Half 11oz-standard</v>
      </c>
      <c r="E1766">
        <v>3.18</v>
      </c>
      <c r="F1766">
        <v>4.18</v>
      </c>
      <c r="G1766" s="13">
        <v>44463</v>
      </c>
      <c r="H1766" s="13"/>
      <c r="I1766" s="22" t="str">
        <f>VLOOKUP(J1766, Dropdowns!N:O, 2, FALSE)</f>
        <v>Standard</v>
      </c>
      <c r="J1766" t="s">
        <v>760</v>
      </c>
      <c r="L1766" s="17" t="s">
        <v>732</v>
      </c>
      <c r="M1766" s="17" t="s">
        <v>10</v>
      </c>
    </row>
    <row r="1767" spans="1:16" x14ac:dyDescent="0.25">
      <c r="A1767" s="10">
        <v>982831</v>
      </c>
      <c r="B1767" s="22" t="str">
        <f>IFERROR(VLOOKUP(A1767,VLOOKUPS!$A$2:B$12589,2,FALSE),"")</f>
        <v>Grapes Multi-Color 3lb-PK</v>
      </c>
      <c r="E1767">
        <v>5.99</v>
      </c>
      <c r="F1767">
        <v>4.49</v>
      </c>
      <c r="G1767" s="13">
        <v>44461</v>
      </c>
      <c r="H1767" s="13">
        <v>44462</v>
      </c>
      <c r="I1767" s="22" t="str">
        <f>VLOOKUP(J1767, Dropdowns!N:O, 2, FALSE)</f>
        <v>Lower Price</v>
      </c>
      <c r="J1767" t="s">
        <v>759</v>
      </c>
      <c r="L1767" s="17" t="s">
        <v>733</v>
      </c>
      <c r="M1767" s="17" t="s">
        <v>11</v>
      </c>
      <c r="N1767" s="17" t="s">
        <v>740</v>
      </c>
    </row>
    <row r="1768" spans="1:16" x14ac:dyDescent="0.25">
      <c r="A1768" s="10">
        <v>982831</v>
      </c>
      <c r="B1768" s="22" t="str">
        <f>IFERROR(VLOOKUP(A1768,VLOOKUPS!$A$2:B$12589,2,FALSE),"")</f>
        <v>Grapes Multi-Color 3lb-PK</v>
      </c>
      <c r="E1768">
        <v>4.49</v>
      </c>
      <c r="F1768">
        <v>5.99</v>
      </c>
      <c r="G1768" s="13">
        <v>44463</v>
      </c>
      <c r="H1768" s="13"/>
      <c r="I1768" s="22" t="str">
        <f>VLOOKUP(J1768, Dropdowns!N:O, 2, FALSE)</f>
        <v>Standard</v>
      </c>
      <c r="J1768" t="s">
        <v>760</v>
      </c>
      <c r="L1768" s="17" t="s">
        <v>733</v>
      </c>
      <c r="M1768" s="17" t="s">
        <v>11</v>
      </c>
      <c r="N1768" s="17" t="s">
        <v>740</v>
      </c>
    </row>
    <row r="1769" spans="1:16" x14ac:dyDescent="0.25">
      <c r="A1769" s="10">
        <v>982960</v>
      </c>
      <c r="B1769" s="22" t="str">
        <f>IFERROR(VLOOKUP(A1769,VLOOKUPS!$A$2:B$12589,2,FALSE),"")</f>
        <v>Grapes Specialty* 1lb-LOOSE</v>
      </c>
      <c r="D1769">
        <v>16</v>
      </c>
      <c r="F1769">
        <v>3.99</v>
      </c>
      <c r="G1769" s="13">
        <v>44462</v>
      </c>
      <c r="H1769" s="13"/>
      <c r="I1769" s="22" t="str">
        <f>VLOOKUP(J1769, Dropdowns!N:O, 2, FALSE)</f>
        <v>New</v>
      </c>
      <c r="J1769" t="s">
        <v>776</v>
      </c>
      <c r="L1769" s="17" t="s">
        <v>732</v>
      </c>
      <c r="M1769" s="17" t="s">
        <v>736</v>
      </c>
      <c r="N1769" s="17" t="s">
        <v>736</v>
      </c>
      <c r="O1769" t="s">
        <v>748</v>
      </c>
      <c r="P1769">
        <v>1</v>
      </c>
    </row>
    <row r="1770" spans="1:16" x14ac:dyDescent="0.25">
      <c r="A1770" s="10">
        <v>995006</v>
      </c>
      <c r="B1770" s="22" t="str">
        <f>IFERROR(VLOOKUP(A1770,VLOOKUPS!$A$2:B$12589,2,FALSE),"")</f>
        <v>Italian Salad 9oz-standard</v>
      </c>
      <c r="E1770">
        <v>2.29</v>
      </c>
      <c r="F1770">
        <v>1.49</v>
      </c>
      <c r="G1770" s="13">
        <v>44462</v>
      </c>
      <c r="H1770" s="13">
        <v>44463</v>
      </c>
      <c r="I1770" s="22" t="str">
        <f>VLOOKUP(J1770, Dropdowns!N:O, 2, FALSE)</f>
        <v>Lower Price</v>
      </c>
      <c r="J1770" t="s">
        <v>759</v>
      </c>
      <c r="L1770" s="17" t="s">
        <v>732</v>
      </c>
      <c r="M1770" s="17" t="s">
        <v>10</v>
      </c>
      <c r="N1770" s="17">
        <v>2</v>
      </c>
    </row>
    <row r="1771" spans="1:16" x14ac:dyDescent="0.25">
      <c r="A1771" s="10">
        <v>995006</v>
      </c>
      <c r="B1771" s="22" t="str">
        <f>IFERROR(VLOOKUP(A1771,VLOOKUPS!$A$2:B$12589,2,FALSE),"")</f>
        <v>Italian Salad 9oz-standard</v>
      </c>
      <c r="E1771">
        <v>1.49</v>
      </c>
      <c r="F1771">
        <v>2.29</v>
      </c>
      <c r="G1771" s="13">
        <v>44464</v>
      </c>
      <c r="H1771" s="13"/>
      <c r="I1771" s="22" t="str">
        <f>VLOOKUP(J1771, Dropdowns!N:O, 2, FALSE)</f>
        <v>Standard</v>
      </c>
      <c r="J1771" t="s">
        <v>760</v>
      </c>
      <c r="L1771" s="17" t="s">
        <v>732</v>
      </c>
      <c r="M1771" s="17" t="s">
        <v>10</v>
      </c>
      <c r="N1771" s="17">
        <v>2</v>
      </c>
    </row>
    <row r="1772" spans="1:16" x14ac:dyDescent="0.25">
      <c r="A1772" s="10">
        <v>995026</v>
      </c>
      <c r="B1772" s="22" t="str">
        <f>IFERROR(VLOOKUP(A1772,VLOOKUPS!$A$2:B$12589,2,FALSE),"")</f>
        <v>Baby Arugula 5oz-standard</v>
      </c>
      <c r="E1772">
        <v>2.29</v>
      </c>
      <c r="F1772">
        <v>1.49</v>
      </c>
      <c r="G1772" s="13">
        <v>44462</v>
      </c>
      <c r="H1772" s="13">
        <v>44463</v>
      </c>
      <c r="I1772" s="22" t="str">
        <f>VLOOKUP(J1772, Dropdowns!N:O, 2, FALSE)</f>
        <v>Lower Price</v>
      </c>
      <c r="J1772" t="s">
        <v>759</v>
      </c>
      <c r="L1772" s="17" t="s">
        <v>733</v>
      </c>
      <c r="M1772" s="17" t="s">
        <v>10</v>
      </c>
      <c r="N1772" s="17" t="s">
        <v>740</v>
      </c>
    </row>
    <row r="1773" spans="1:16" x14ac:dyDescent="0.25">
      <c r="A1773" s="10">
        <v>995026</v>
      </c>
      <c r="B1773" s="22" t="str">
        <f>IFERROR(VLOOKUP(A1773,VLOOKUPS!$A$2:B$12589,2,FALSE),"")</f>
        <v>Baby Arugula 5oz-standard</v>
      </c>
      <c r="E1773">
        <v>2.99</v>
      </c>
      <c r="F1773">
        <v>1.99</v>
      </c>
      <c r="G1773" s="13">
        <v>44462</v>
      </c>
      <c r="H1773" s="13">
        <v>44463</v>
      </c>
      <c r="I1773" s="22" t="str">
        <f>VLOOKUP(J1773, Dropdowns!N:O, 2, FALSE)</f>
        <v>Lower Price</v>
      </c>
      <c r="J1773" t="s">
        <v>759</v>
      </c>
      <c r="L1773" s="17" t="s">
        <v>734</v>
      </c>
      <c r="M1773" s="17" t="s">
        <v>10</v>
      </c>
      <c r="N1773" s="17">
        <v>2</v>
      </c>
    </row>
    <row r="1774" spans="1:16" x14ac:dyDescent="0.25">
      <c r="A1774" s="10">
        <v>995026</v>
      </c>
      <c r="B1774" s="22" t="str">
        <f>IFERROR(VLOOKUP(A1774,VLOOKUPS!$A$2:B$12589,2,FALSE),"")</f>
        <v>Baby Arugula 5oz-standard</v>
      </c>
      <c r="E1774">
        <v>1.49</v>
      </c>
      <c r="F1774">
        <v>2.29</v>
      </c>
      <c r="G1774" s="13">
        <v>44464</v>
      </c>
      <c r="H1774" s="13"/>
      <c r="I1774" s="22" t="str">
        <f>VLOOKUP(J1774, Dropdowns!N:O, 2, FALSE)</f>
        <v>Standard</v>
      </c>
      <c r="J1774" t="s">
        <v>760</v>
      </c>
      <c r="L1774" s="17" t="s">
        <v>733</v>
      </c>
      <c r="M1774" s="17" t="s">
        <v>10</v>
      </c>
      <c r="N1774" s="17" t="s">
        <v>740</v>
      </c>
    </row>
    <row r="1775" spans="1:16" x14ac:dyDescent="0.25">
      <c r="A1775" s="10">
        <v>995026</v>
      </c>
      <c r="B1775" s="22" t="str">
        <f>IFERROR(VLOOKUP(A1775,VLOOKUPS!$A$2:B$12589,2,FALSE),"")</f>
        <v>Baby Arugula 5oz-standard</v>
      </c>
      <c r="E1775">
        <v>1.99</v>
      </c>
      <c r="F1775">
        <v>2.99</v>
      </c>
      <c r="G1775" s="13">
        <v>44464</v>
      </c>
      <c r="H1775" s="13"/>
      <c r="I1775" s="22" t="str">
        <f>VLOOKUP(J1775, Dropdowns!N:O, 2, FALSE)</f>
        <v>Standard</v>
      </c>
      <c r="J1775" t="s">
        <v>760</v>
      </c>
      <c r="L1775" s="17" t="s">
        <v>734</v>
      </c>
      <c r="M1775" s="17" t="s">
        <v>10</v>
      </c>
      <c r="N1775" s="17">
        <v>2</v>
      </c>
    </row>
    <row r="1776" spans="1:16" x14ac:dyDescent="0.25">
      <c r="A1776" s="10">
        <v>995078</v>
      </c>
      <c r="B1776" s="22" t="str">
        <f>IFERROR(VLOOKUP(A1776,VLOOKUPS!$A$2:B$12589,2,FALSE),"")</f>
        <v>Organic Baby Spinach 16oz-standard</v>
      </c>
      <c r="E1776">
        <v>4.66</v>
      </c>
      <c r="F1776">
        <v>3.46</v>
      </c>
      <c r="G1776" s="13">
        <v>44462</v>
      </c>
      <c r="H1776" s="13">
        <v>44463</v>
      </c>
      <c r="I1776" s="22" t="str">
        <f>VLOOKUP(J1776, Dropdowns!N:O, 2, FALSE)</f>
        <v>Lower Price</v>
      </c>
      <c r="J1776" t="s">
        <v>759</v>
      </c>
      <c r="L1776" s="17" t="s">
        <v>733</v>
      </c>
      <c r="M1776" s="17" t="s">
        <v>11</v>
      </c>
      <c r="N1776" s="17" t="s">
        <v>740</v>
      </c>
    </row>
    <row r="1777" spans="1:14" x14ac:dyDescent="0.25">
      <c r="A1777" s="10">
        <v>995078</v>
      </c>
      <c r="B1777" s="22" t="str">
        <f>IFERROR(VLOOKUP(A1777,VLOOKUPS!$A$2:B$12589,2,FALSE),"")</f>
        <v>Organic Baby Spinach 16oz-standard</v>
      </c>
      <c r="E1777">
        <v>3.46</v>
      </c>
      <c r="F1777">
        <v>4.66</v>
      </c>
      <c r="G1777" s="13">
        <v>44464</v>
      </c>
      <c r="H1777" s="13"/>
      <c r="I1777" s="22" t="str">
        <f>VLOOKUP(J1777, Dropdowns!N:O, 2, FALSE)</f>
        <v>Standard</v>
      </c>
      <c r="J1777" t="s">
        <v>760</v>
      </c>
      <c r="L1777" s="17" t="s">
        <v>733</v>
      </c>
      <c r="M1777" s="17" t="s">
        <v>11</v>
      </c>
      <c r="N1777" s="17" t="s">
        <v>740</v>
      </c>
    </row>
    <row r="1778" spans="1:14" x14ac:dyDescent="0.25">
      <c r="A1778" s="10">
        <v>995022</v>
      </c>
      <c r="B1778" s="22" t="str">
        <f>IFERROR(VLOOKUP(A1778,VLOOKUPS!$A$2:B$12589,2,FALSE),"")</f>
        <v>American Blend 12oz-standard</v>
      </c>
      <c r="E1778">
        <v>1.99</v>
      </c>
      <c r="F1778">
        <v>0.99</v>
      </c>
      <c r="G1778" s="13">
        <v>44463</v>
      </c>
      <c r="H1778" s="13">
        <v>44464</v>
      </c>
      <c r="I1778" s="22" t="str">
        <f>VLOOKUP(J1778, Dropdowns!N:O, 2, FALSE)</f>
        <v>Lower Price</v>
      </c>
      <c r="J1778" t="s">
        <v>759</v>
      </c>
      <c r="L1778" s="17" t="s">
        <v>733</v>
      </c>
      <c r="M1778" s="17" t="s">
        <v>11</v>
      </c>
      <c r="N1778" s="17" t="s">
        <v>740</v>
      </c>
    </row>
    <row r="1779" spans="1:14" x14ac:dyDescent="0.25">
      <c r="A1779" s="10">
        <v>995022</v>
      </c>
      <c r="B1779" s="22" t="str">
        <f>IFERROR(VLOOKUP(A1779,VLOOKUPS!$A$2:B$12589,2,FALSE),"")</f>
        <v>American Blend 12oz-standard</v>
      </c>
      <c r="E1779">
        <v>0.99</v>
      </c>
      <c r="F1779">
        <v>1.99</v>
      </c>
      <c r="G1779" s="13">
        <v>44465</v>
      </c>
      <c r="H1779" s="13"/>
      <c r="I1779" s="22" t="str">
        <f>VLOOKUP(J1779, Dropdowns!N:O, 2, FALSE)</f>
        <v>Standard</v>
      </c>
      <c r="J1779" t="s">
        <v>760</v>
      </c>
      <c r="L1779" s="17" t="s">
        <v>733</v>
      </c>
      <c r="M1779" s="17" t="s">
        <v>11</v>
      </c>
      <c r="N1779" s="17" t="s">
        <v>740</v>
      </c>
    </row>
    <row r="1780" spans="1:14" x14ac:dyDescent="0.25">
      <c r="A1780" s="10">
        <v>983201</v>
      </c>
      <c r="B1780" s="22" t="str">
        <f>IFERROR(VLOOKUP(A1780,VLOOKUPS!$A$2:B$12589,2,FALSE),"")</f>
        <v>Melons* Honeydew 1ct-LOOSE</v>
      </c>
      <c r="G1780" s="13">
        <v>44463</v>
      </c>
      <c r="H1780" s="13">
        <v>44464</v>
      </c>
      <c r="I1780" s="22" t="str">
        <f>VLOOKUP(J1780, Dropdowns!N:O, 2, FALSE)</f>
        <v>Lower Price</v>
      </c>
      <c r="J1780" t="s">
        <v>762</v>
      </c>
      <c r="L1780" s="17" t="s">
        <v>732</v>
      </c>
      <c r="M1780" s="17" t="s">
        <v>9</v>
      </c>
      <c r="N1780" s="17" t="s">
        <v>736</v>
      </c>
    </row>
    <row r="1781" spans="1:14" x14ac:dyDescent="0.25">
      <c r="A1781" s="10">
        <v>984460</v>
      </c>
      <c r="B1781" s="22" t="str">
        <f>IFERROR(VLOOKUP(A1781,VLOOKUPS!$A$2:B$12589,2,FALSE),"")</f>
        <v>Strawberries 1lb-standard</v>
      </c>
      <c r="G1781" s="13">
        <v>44464</v>
      </c>
      <c r="H1781" s="13">
        <v>44465</v>
      </c>
      <c r="I1781" s="22" t="str">
        <f>VLOOKUP(J1781, Dropdowns!N:O, 2, FALSE)</f>
        <v>Lower Price</v>
      </c>
      <c r="J1781" t="s">
        <v>753</v>
      </c>
      <c r="L1781" s="17" t="s">
        <v>732</v>
      </c>
      <c r="M1781" s="17" t="s">
        <v>736</v>
      </c>
      <c r="N1781" s="17" t="s">
        <v>736</v>
      </c>
    </row>
    <row r="1782" spans="1:14" x14ac:dyDescent="0.25">
      <c r="A1782" s="10">
        <v>984700</v>
      </c>
      <c r="B1782" s="22" t="str">
        <f>IFERROR(VLOOKUP(A1782,VLOOKUPS!$A$2:B$12589,2,FALSE),"")</f>
        <v>Blackberries 6oz-standard</v>
      </c>
      <c r="G1782" s="13">
        <v>44464</v>
      </c>
      <c r="H1782" s="13">
        <v>44465</v>
      </c>
      <c r="I1782" s="22" t="str">
        <f>VLOOKUP(J1782, Dropdowns!N:O, 2, FALSE)</f>
        <v>Lower Price</v>
      </c>
      <c r="J1782" t="s">
        <v>753</v>
      </c>
      <c r="L1782" s="17" t="s">
        <v>732</v>
      </c>
      <c r="M1782" s="17" t="s">
        <v>736</v>
      </c>
      <c r="N1782" s="17" t="s">
        <v>736</v>
      </c>
    </row>
    <row r="1783" spans="1:14" x14ac:dyDescent="0.25">
      <c r="A1783" s="10">
        <v>984460</v>
      </c>
      <c r="B1783" s="22" t="str">
        <f>IFERROR(VLOOKUP(A1783,VLOOKUPS!$A$2:B$12589,2,FALSE),"")</f>
        <v>Strawberries 1lb-standard</v>
      </c>
      <c r="E1783">
        <v>1.79</v>
      </c>
      <c r="F1783">
        <v>2.29</v>
      </c>
      <c r="G1783" s="13">
        <v>44466</v>
      </c>
      <c r="H1783" s="13"/>
      <c r="I1783" s="22" t="str">
        <f>VLOOKUP(J1783, Dropdowns!N:O, 2, FALSE)</f>
        <v>Standard</v>
      </c>
      <c r="J1783" t="s">
        <v>760</v>
      </c>
      <c r="L1783" s="17" t="s">
        <v>732</v>
      </c>
      <c r="M1783" s="17" t="s">
        <v>736</v>
      </c>
      <c r="N1783" s="17" t="s">
        <v>736</v>
      </c>
    </row>
    <row r="1784" spans="1:14" x14ac:dyDescent="0.25">
      <c r="A1784" s="10">
        <v>984700</v>
      </c>
      <c r="B1784" s="22" t="str">
        <f>IFERROR(VLOOKUP(A1784,VLOOKUPS!$A$2:B$12589,2,FALSE),"")</f>
        <v>Blackberries 6oz-standard</v>
      </c>
      <c r="E1784">
        <v>0.99</v>
      </c>
      <c r="F1784">
        <v>2.68</v>
      </c>
      <c r="G1784" s="13">
        <v>44466</v>
      </c>
      <c r="H1784" s="13"/>
      <c r="I1784" s="22" t="str">
        <f>VLOOKUP(J1784, Dropdowns!N:O, 2, FALSE)</f>
        <v>Standard</v>
      </c>
      <c r="J1784" t="s">
        <v>760</v>
      </c>
      <c r="L1784" s="17" t="s">
        <v>732</v>
      </c>
      <c r="M1784" s="17" t="s">
        <v>736</v>
      </c>
      <c r="N1784" s="17" t="s">
        <v>736</v>
      </c>
    </row>
    <row r="1785" spans="1:14" x14ac:dyDescent="0.25">
      <c r="A1785" s="10">
        <v>995001</v>
      </c>
      <c r="B1785" s="22" t="str">
        <f>IFERROR(VLOOKUP(A1785,VLOOKUPS!$A$2:B$12589,2,FALSE),"")</f>
        <v>Spinach Baby 6oz-standard</v>
      </c>
      <c r="E1785">
        <v>2.2599999999999998</v>
      </c>
      <c r="F1785">
        <v>2.2200000000000002</v>
      </c>
      <c r="G1785" s="13">
        <v>44464</v>
      </c>
      <c r="H1785" s="13"/>
      <c r="I1785" s="22" t="str">
        <f>VLOOKUP(J1785, Dropdowns!N:O, 2, FALSE)</f>
        <v>Standard</v>
      </c>
      <c r="J1785" t="s">
        <v>761</v>
      </c>
      <c r="L1785" s="17" t="s">
        <v>732</v>
      </c>
      <c r="M1785" s="17" t="s">
        <v>736</v>
      </c>
      <c r="N1785" s="17" t="s">
        <v>736</v>
      </c>
    </row>
    <row r="1786" spans="1:14" x14ac:dyDescent="0.25">
      <c r="A1786" s="10">
        <v>995007</v>
      </c>
      <c r="B1786" s="22" t="str">
        <f>IFERROR(VLOOKUP(A1786,VLOOKUPS!$A$2:B$12589,2,FALSE),"")</f>
        <v>Caesar Salad Kit 10.5oz-standard</v>
      </c>
      <c r="E1786">
        <v>2.59</v>
      </c>
      <c r="F1786">
        <v>1.59</v>
      </c>
      <c r="G1786" s="13">
        <v>44464</v>
      </c>
      <c r="H1786" s="13">
        <v>44465</v>
      </c>
      <c r="I1786" s="22" t="str">
        <f>VLOOKUP(J1786, Dropdowns!N:O, 2, FALSE)</f>
        <v>Lower Price</v>
      </c>
      <c r="J1786" t="s">
        <v>759</v>
      </c>
      <c r="L1786" s="17" t="s">
        <v>733</v>
      </c>
      <c r="M1786" s="17" t="s">
        <v>11</v>
      </c>
      <c r="N1786" s="17" t="s">
        <v>740</v>
      </c>
    </row>
    <row r="1787" spans="1:14" x14ac:dyDescent="0.25">
      <c r="A1787" s="10">
        <v>995007</v>
      </c>
      <c r="B1787" s="22" t="str">
        <f>IFERROR(VLOOKUP(A1787,VLOOKUPS!$A$2:B$12589,2,FALSE),"")</f>
        <v>Caesar Salad Kit 10.5oz-standard</v>
      </c>
      <c r="E1787">
        <v>1.59</v>
      </c>
      <c r="F1787">
        <v>2.59</v>
      </c>
      <c r="G1787" s="13">
        <v>44466</v>
      </c>
      <c r="H1787" s="13"/>
      <c r="I1787" s="22" t="str">
        <f>VLOOKUP(J1787, Dropdowns!N:O, 2, FALSE)</f>
        <v>Standard</v>
      </c>
      <c r="J1787" t="s">
        <v>760</v>
      </c>
      <c r="L1787" s="17" t="s">
        <v>733</v>
      </c>
      <c r="M1787" s="17" t="s">
        <v>11</v>
      </c>
      <c r="N1787" s="17" t="s">
        <v>740</v>
      </c>
    </row>
    <row r="1788" spans="1:14" x14ac:dyDescent="0.25">
      <c r="A1788" s="10">
        <v>995008</v>
      </c>
      <c r="B1788" s="22" t="str">
        <f>IFERROR(VLOOKUP(A1788,VLOOKUPS!$A$2:B$12589,2,FALSE),"")</f>
        <v>Shredded Lettuce 8oz-standard</v>
      </c>
      <c r="E1788">
        <v>1.69</v>
      </c>
      <c r="F1788">
        <v>1.0900000000000001</v>
      </c>
      <c r="G1788" s="13">
        <v>44464</v>
      </c>
      <c r="H1788" s="13">
        <v>44465</v>
      </c>
      <c r="I1788" s="22" t="str">
        <f>VLOOKUP(J1788, Dropdowns!N:O, 2, FALSE)</f>
        <v>Lower Price</v>
      </c>
      <c r="J1788" t="s">
        <v>759</v>
      </c>
      <c r="L1788" s="17" t="s">
        <v>733</v>
      </c>
      <c r="M1788" s="17" t="s">
        <v>11</v>
      </c>
      <c r="N1788" s="17" t="s">
        <v>740</v>
      </c>
    </row>
    <row r="1789" spans="1:14" x14ac:dyDescent="0.25">
      <c r="A1789" s="10">
        <v>995008</v>
      </c>
      <c r="B1789" s="22" t="str">
        <f>IFERROR(VLOOKUP(A1789,VLOOKUPS!$A$2:B$12589,2,FALSE),"")</f>
        <v>Shredded Lettuce 8oz-standard</v>
      </c>
      <c r="E1789">
        <v>1.0900000000000001</v>
      </c>
      <c r="F1789">
        <v>1.69</v>
      </c>
      <c r="G1789" s="13">
        <v>44466</v>
      </c>
      <c r="H1789" s="13"/>
      <c r="I1789" s="22" t="str">
        <f>VLOOKUP(J1789, Dropdowns!N:O, 2, FALSE)</f>
        <v>Standard</v>
      </c>
      <c r="J1789" t="s">
        <v>760</v>
      </c>
      <c r="L1789" s="17" t="s">
        <v>733</v>
      </c>
      <c r="M1789" s="17" t="s">
        <v>11</v>
      </c>
      <c r="N1789" s="17" t="s">
        <v>740</v>
      </c>
    </row>
    <row r="1790" spans="1:14" x14ac:dyDescent="0.25">
      <c r="A1790" s="10">
        <v>995026</v>
      </c>
      <c r="B1790" s="22" t="str">
        <f>IFERROR(VLOOKUP(A1790,VLOOKUPS!$A$2:B$12589,2,FALSE),"")</f>
        <v>Baby Arugula 5oz-standard</v>
      </c>
      <c r="E1790">
        <v>2.29</v>
      </c>
      <c r="F1790">
        <v>1.59</v>
      </c>
      <c r="G1790" s="13">
        <v>44464</v>
      </c>
      <c r="H1790" s="13">
        <v>44465</v>
      </c>
      <c r="I1790" s="22" t="str">
        <f>VLOOKUP(J1790, Dropdowns!N:O, 2, FALSE)</f>
        <v>Lower Price</v>
      </c>
      <c r="J1790" t="s">
        <v>759</v>
      </c>
      <c r="L1790" s="17" t="s">
        <v>733</v>
      </c>
      <c r="M1790" s="17" t="s">
        <v>11</v>
      </c>
      <c r="N1790" s="17" t="s">
        <v>740</v>
      </c>
    </row>
    <row r="1791" spans="1:14" x14ac:dyDescent="0.25">
      <c r="A1791" s="10">
        <v>995026</v>
      </c>
      <c r="B1791" s="22" t="str">
        <f>IFERROR(VLOOKUP(A1791,VLOOKUPS!$A$2:B$12589,2,FALSE),"")</f>
        <v>Baby Arugula 5oz-standard</v>
      </c>
      <c r="E1791">
        <v>1.59</v>
      </c>
      <c r="F1791">
        <v>2.29</v>
      </c>
      <c r="G1791" s="13">
        <v>44466</v>
      </c>
      <c r="H1791" s="13"/>
      <c r="I1791" s="22" t="str">
        <f>VLOOKUP(J1791, Dropdowns!N:O, 2, FALSE)</f>
        <v>Standard</v>
      </c>
      <c r="J1791" t="s">
        <v>760</v>
      </c>
      <c r="L1791" s="17" t="s">
        <v>733</v>
      </c>
      <c r="M1791" s="17" t="s">
        <v>11</v>
      </c>
      <c r="N1791" s="17" t="s">
        <v>740</v>
      </c>
    </row>
    <row r="1792" spans="1:14" x14ac:dyDescent="0.25">
      <c r="A1792" s="10">
        <v>995137</v>
      </c>
      <c r="B1792" s="22" t="str">
        <f>IFERROR(VLOOKUP(A1792,VLOOKUPS!$A$2:B$12589,2,FALSE),"")</f>
        <v>Half and Half 11oz-standard</v>
      </c>
      <c r="E1792">
        <v>4.18</v>
      </c>
      <c r="F1792">
        <v>3.28</v>
      </c>
      <c r="G1792" s="13">
        <v>44464</v>
      </c>
      <c r="H1792" s="13">
        <v>44465</v>
      </c>
      <c r="I1792" s="22" t="str">
        <f>VLOOKUP(J1792, Dropdowns!N:O, 2, FALSE)</f>
        <v>Lower Price</v>
      </c>
      <c r="J1792" t="s">
        <v>759</v>
      </c>
      <c r="L1792" s="17" t="s">
        <v>732</v>
      </c>
      <c r="M1792" s="17" t="s">
        <v>10</v>
      </c>
      <c r="N1792" s="17">
        <v>2</v>
      </c>
    </row>
    <row r="1793" spans="1:14" x14ac:dyDescent="0.25">
      <c r="A1793" s="10">
        <v>995137</v>
      </c>
      <c r="B1793" s="22" t="str">
        <f>IFERROR(VLOOKUP(A1793,VLOOKUPS!$A$2:B$12589,2,FALSE),"")</f>
        <v>Half and Half 11oz-standard</v>
      </c>
      <c r="E1793">
        <v>3.28</v>
      </c>
      <c r="F1793">
        <v>4.18</v>
      </c>
      <c r="G1793" s="13">
        <v>44466</v>
      </c>
      <c r="H1793" s="13"/>
      <c r="I1793" s="22" t="str">
        <f>VLOOKUP(J1793, Dropdowns!N:O, 2, FALSE)</f>
        <v>Standard</v>
      </c>
      <c r="J1793" t="s">
        <v>760</v>
      </c>
      <c r="L1793" s="17" t="s">
        <v>732</v>
      </c>
      <c r="M1793" s="17" t="s">
        <v>10</v>
      </c>
      <c r="N1793" s="17">
        <v>2</v>
      </c>
    </row>
    <row r="1794" spans="1:14" x14ac:dyDescent="0.25">
      <c r="A1794" s="10">
        <v>995144</v>
      </c>
      <c r="B1794" s="22" t="str">
        <f>IFERROR(VLOOKUP(A1794,VLOOKUPS!$A$2:B$12589,2,FALSE),"")</f>
        <v>Asparagus Spears 10oz-standard</v>
      </c>
      <c r="E1794">
        <v>3.98</v>
      </c>
      <c r="F1794">
        <v>3.28</v>
      </c>
      <c r="G1794" s="13">
        <v>44464</v>
      </c>
      <c r="H1794" s="13">
        <v>44465</v>
      </c>
      <c r="I1794" s="22" t="str">
        <f>VLOOKUP(J1794, Dropdowns!N:O, 2, FALSE)</f>
        <v>Lower Price</v>
      </c>
      <c r="J1794" t="s">
        <v>759</v>
      </c>
      <c r="L1794" s="17" t="s">
        <v>732</v>
      </c>
      <c r="M1794" s="17" t="s">
        <v>9</v>
      </c>
      <c r="N1794" s="17" t="s">
        <v>736</v>
      </c>
    </row>
    <row r="1795" spans="1:14" x14ac:dyDescent="0.25">
      <c r="A1795" s="10">
        <v>995144</v>
      </c>
      <c r="B1795" s="22" t="str">
        <f>IFERROR(VLOOKUP(A1795,VLOOKUPS!$A$2:B$12589,2,FALSE),"")</f>
        <v>Asparagus Spears 10oz-standard</v>
      </c>
      <c r="E1795">
        <v>3.28</v>
      </c>
      <c r="F1795">
        <v>3.98</v>
      </c>
      <c r="G1795" s="13">
        <v>44466</v>
      </c>
      <c r="H1795" s="13"/>
      <c r="I1795" s="22" t="str">
        <f>VLOOKUP(J1795, Dropdowns!N:O, 2, FALSE)</f>
        <v>Standard</v>
      </c>
      <c r="J1795" t="s">
        <v>760</v>
      </c>
      <c r="L1795" s="17" t="s">
        <v>732</v>
      </c>
      <c r="M1795" s="17" t="s">
        <v>9</v>
      </c>
      <c r="N1795" s="17" t="s">
        <v>736</v>
      </c>
    </row>
    <row r="1796" spans="1:14" x14ac:dyDescent="0.25">
      <c r="A1796" s="10">
        <v>995148</v>
      </c>
      <c r="B1796" s="22" t="str">
        <f>IFERROR(VLOOKUP(A1796,VLOOKUPS!$A$2:B$12589,2,FALSE),"")</f>
        <v>Fresh Salsa Verde 16oz-standard</v>
      </c>
      <c r="E1796">
        <v>4.49</v>
      </c>
      <c r="F1796">
        <v>2.99</v>
      </c>
      <c r="G1796" s="13">
        <v>44464</v>
      </c>
      <c r="H1796" s="13">
        <v>44465</v>
      </c>
      <c r="I1796" s="22" t="str">
        <f>VLOOKUP(J1796, Dropdowns!N:O, 2, FALSE)</f>
        <v>Lower Price</v>
      </c>
      <c r="J1796" t="s">
        <v>759</v>
      </c>
      <c r="L1796" s="17" t="s">
        <v>732</v>
      </c>
      <c r="M1796" s="17" t="s">
        <v>736</v>
      </c>
      <c r="N1796" s="17" t="s">
        <v>736</v>
      </c>
    </row>
    <row r="1797" spans="1:14" x14ac:dyDescent="0.25">
      <c r="A1797" s="10">
        <v>995148</v>
      </c>
      <c r="B1797" s="22" t="str">
        <f>IFERROR(VLOOKUP(A1797,VLOOKUPS!$A$2:B$12589,2,FALSE),"")</f>
        <v>Fresh Salsa Verde 16oz-standard</v>
      </c>
      <c r="E1797">
        <v>2.99</v>
      </c>
      <c r="F1797">
        <v>4.49</v>
      </c>
      <c r="G1797" s="13">
        <v>44466</v>
      </c>
      <c r="H1797" s="13"/>
      <c r="I1797" s="22" t="str">
        <f>VLOOKUP(J1797, Dropdowns!N:O, 2, FALSE)</f>
        <v>Standard</v>
      </c>
      <c r="J1797" t="s">
        <v>760</v>
      </c>
      <c r="L1797" s="17" t="s">
        <v>732</v>
      </c>
      <c r="M1797" s="17" t="s">
        <v>736</v>
      </c>
      <c r="N1797" s="17" t="s">
        <v>736</v>
      </c>
    </row>
    <row r="1798" spans="1:14" x14ac:dyDescent="0.25">
      <c r="A1798" s="10">
        <v>983201</v>
      </c>
      <c r="B1798" s="22" t="str">
        <f>IFERROR(VLOOKUP(A1798,VLOOKUPS!$A$2:B$12589,2,FALSE),"")</f>
        <v>Melons* Honeydew 1ct-LOOSE</v>
      </c>
      <c r="E1798">
        <v>1.99</v>
      </c>
      <c r="F1798">
        <v>3.58</v>
      </c>
      <c r="G1798" s="13">
        <v>44465</v>
      </c>
      <c r="H1798" s="13"/>
      <c r="I1798" s="22" t="str">
        <f>VLOOKUP(J1798, Dropdowns!N:O, 2, FALSE)</f>
        <v>Standard</v>
      </c>
      <c r="J1798" t="s">
        <v>760</v>
      </c>
      <c r="L1798" s="17" t="s">
        <v>732</v>
      </c>
      <c r="M1798" s="17" t="s">
        <v>9</v>
      </c>
      <c r="N1798" s="17" t="s">
        <v>736</v>
      </c>
    </row>
    <row r="1799" spans="1:14" x14ac:dyDescent="0.25">
      <c r="A1799" s="10">
        <v>982830</v>
      </c>
      <c r="B1799" s="22" t="str">
        <f>IFERROR(VLOOKUP(A1799,VLOOKUPS!$A$2:B$12589,2,FALSE),"")</f>
        <v>Grapes* Black Seedless 1lb-LOOSE</v>
      </c>
      <c r="E1799">
        <v>1.42</v>
      </c>
      <c r="F1799">
        <v>0.99</v>
      </c>
      <c r="G1799" s="13">
        <v>44464</v>
      </c>
      <c r="H1799" s="13">
        <v>44465</v>
      </c>
      <c r="I1799" s="22" t="str">
        <f>VLOOKUP(J1799, Dropdowns!N:O, 2, FALSE)</f>
        <v>Lower Price</v>
      </c>
      <c r="J1799" t="s">
        <v>759</v>
      </c>
      <c r="L1799" s="17" t="s">
        <v>732</v>
      </c>
      <c r="M1799" s="17" t="s">
        <v>10</v>
      </c>
      <c r="N1799" s="17">
        <v>2</v>
      </c>
    </row>
    <row r="1800" spans="1:14" x14ac:dyDescent="0.25">
      <c r="A1800" s="10">
        <v>982830</v>
      </c>
      <c r="B1800" s="22" t="str">
        <f>IFERROR(VLOOKUP(A1800,VLOOKUPS!$A$2:B$12589,2,FALSE),"")</f>
        <v>Grapes* Black Seedless 1lb-LOOSE</v>
      </c>
      <c r="E1800">
        <v>0.99</v>
      </c>
      <c r="F1800">
        <v>1.42</v>
      </c>
      <c r="G1800" s="13">
        <v>44466</v>
      </c>
      <c r="H1800" s="13"/>
      <c r="I1800" s="22" t="str">
        <f>VLOOKUP(J1800, Dropdowns!N:O, 2, FALSE)</f>
        <v>Standard</v>
      </c>
      <c r="J1800" t="s">
        <v>760</v>
      </c>
      <c r="L1800" s="17" t="s">
        <v>732</v>
      </c>
      <c r="M1800" s="17" t="s">
        <v>10</v>
      </c>
      <c r="N1800" s="17">
        <v>2</v>
      </c>
    </row>
    <row r="1801" spans="1:14" x14ac:dyDescent="0.25">
      <c r="A1801" s="10">
        <v>982831</v>
      </c>
      <c r="B1801" s="22" t="str">
        <f>IFERROR(VLOOKUP(A1801,VLOOKUPS!$A$2:B$12589,2,FALSE),"")</f>
        <v>Grapes Multi-Color 3lb-PK</v>
      </c>
      <c r="E1801">
        <v>5.99</v>
      </c>
      <c r="F1801">
        <v>4.49</v>
      </c>
      <c r="G1801" s="13">
        <v>44464</v>
      </c>
      <c r="H1801" s="13">
        <v>44465</v>
      </c>
      <c r="I1801" s="22" t="str">
        <f>VLOOKUP(J1801, Dropdowns!N:O, 2, FALSE)</f>
        <v>Lower Price</v>
      </c>
      <c r="J1801" t="s">
        <v>759</v>
      </c>
      <c r="L1801" s="17" t="s">
        <v>732</v>
      </c>
      <c r="M1801" s="17" t="s">
        <v>10</v>
      </c>
      <c r="N1801" s="17">
        <v>2</v>
      </c>
    </row>
    <row r="1802" spans="1:14" x14ac:dyDescent="0.25">
      <c r="A1802" s="10">
        <v>982831</v>
      </c>
      <c r="B1802" s="22" t="str">
        <f>IFERROR(VLOOKUP(A1802,VLOOKUPS!$A$2:B$12589,2,FALSE),"")</f>
        <v>Grapes Multi-Color 3lb-PK</v>
      </c>
      <c r="E1802">
        <v>4.49</v>
      </c>
      <c r="F1802">
        <v>5.99</v>
      </c>
      <c r="G1802" s="13">
        <v>44466</v>
      </c>
      <c r="H1802" s="13"/>
      <c r="I1802" s="22" t="str">
        <f>VLOOKUP(J1802, Dropdowns!N:O, 2, FALSE)</f>
        <v>Standard</v>
      </c>
      <c r="J1802" t="s">
        <v>760</v>
      </c>
      <c r="L1802" s="17" t="s">
        <v>732</v>
      </c>
      <c r="M1802" s="17" t="s">
        <v>10</v>
      </c>
      <c r="N1802" s="17">
        <v>2</v>
      </c>
    </row>
    <row r="1803" spans="1:14" x14ac:dyDescent="0.25">
      <c r="A1803" s="10">
        <v>983251</v>
      </c>
      <c r="B1803" s="22" t="str">
        <f>IFERROR(VLOOKUP(A1803,VLOOKUPS!$A$2:B$12589,2,FALSE),"")</f>
        <v>Watermelons Large Seedless 1ct-LOOSE</v>
      </c>
      <c r="G1803" s="13">
        <v>44465</v>
      </c>
      <c r="H1803" s="13"/>
      <c r="I1803" s="22" t="str">
        <f>VLOOKUP(J1803, Dropdowns!N:O, 2, FALSE)</f>
        <v>NA</v>
      </c>
      <c r="J1803" t="s">
        <v>754</v>
      </c>
      <c r="L1803" s="17" t="s">
        <v>732</v>
      </c>
      <c r="M1803" s="17" t="s">
        <v>736</v>
      </c>
      <c r="N1803" s="17" t="s">
        <v>736</v>
      </c>
    </row>
    <row r="1804" spans="1:14" x14ac:dyDescent="0.25">
      <c r="A1804" s="10">
        <v>982740</v>
      </c>
      <c r="B1804" s="22" t="str">
        <f>IFERROR(VLOOKUP(A1804,VLOOKUPS!$A$2:B$12589,2,FALSE),"")</f>
        <v>Grapes* Red Seedless 1lb-LOOSE</v>
      </c>
      <c r="E1804">
        <v>1.29</v>
      </c>
      <c r="F1804">
        <v>1.59</v>
      </c>
      <c r="G1804" s="13">
        <v>44467</v>
      </c>
      <c r="H1804" s="13"/>
      <c r="I1804" s="22" t="str">
        <f>VLOOKUP(J1804, Dropdowns!N:O, 2, FALSE)</f>
        <v>Standard</v>
      </c>
      <c r="J1804" t="s">
        <v>761</v>
      </c>
      <c r="L1804" s="17" t="s">
        <v>732</v>
      </c>
      <c r="M1804" s="17" t="s">
        <v>736</v>
      </c>
      <c r="N1804" s="17" t="s">
        <v>736</v>
      </c>
    </row>
    <row r="1805" spans="1:14" x14ac:dyDescent="0.25">
      <c r="A1805" s="10">
        <v>983151</v>
      </c>
      <c r="B1805" s="22" t="str">
        <f>IFERROR(VLOOKUP(A1805,VLOOKUPS!$A$2:B$12589,2,FALSE),"")</f>
        <v>Melons* Golden Honeydew 1ct-LOOSE</v>
      </c>
      <c r="E1805">
        <v>3.88</v>
      </c>
      <c r="G1805" s="13">
        <v>44467</v>
      </c>
      <c r="H1805" s="13"/>
      <c r="I1805" s="22" t="str">
        <f>VLOOKUP(J1805, Dropdowns!N:O, 2, FALSE)</f>
        <v>NA</v>
      </c>
      <c r="J1805" t="s">
        <v>754</v>
      </c>
      <c r="L1805" s="17" t="s">
        <v>732</v>
      </c>
      <c r="M1805" s="17" t="s">
        <v>736</v>
      </c>
      <c r="N1805" s="17" t="s">
        <v>736</v>
      </c>
    </row>
    <row r="1806" spans="1:14" x14ac:dyDescent="0.25">
      <c r="A1806" s="10">
        <v>983201</v>
      </c>
      <c r="B1806" s="22" t="str">
        <f>IFERROR(VLOOKUP(A1806,VLOOKUPS!$A$2:B$12589,2,FALSE),"")</f>
        <v>Melons* Honeydew 1ct-LOOSE</v>
      </c>
      <c r="E1806">
        <v>3.58</v>
      </c>
      <c r="F1806">
        <v>1.99</v>
      </c>
      <c r="G1806" s="13">
        <v>44467</v>
      </c>
      <c r="H1806" s="13">
        <v>44468</v>
      </c>
      <c r="I1806" s="22" t="str">
        <f>VLOOKUP(J1806, Dropdowns!N:O, 2, FALSE)</f>
        <v>Lower Price</v>
      </c>
      <c r="J1806" t="s">
        <v>759</v>
      </c>
      <c r="L1806" s="17" t="s">
        <v>732</v>
      </c>
      <c r="M1806" s="17" t="s">
        <v>737</v>
      </c>
      <c r="N1806" s="17" t="s">
        <v>736</v>
      </c>
    </row>
    <row r="1807" spans="1:14" x14ac:dyDescent="0.25">
      <c r="A1807" s="10">
        <v>983201</v>
      </c>
      <c r="B1807" s="22" t="str">
        <f>IFERROR(VLOOKUP(A1807,VLOOKUPS!$A$2:B$12589,2,FALSE),"")</f>
        <v>Melons* Honeydew 1ct-LOOSE</v>
      </c>
      <c r="E1807">
        <v>1.99</v>
      </c>
      <c r="F1807">
        <v>3.58</v>
      </c>
      <c r="G1807" s="13">
        <v>44469</v>
      </c>
      <c r="H1807" s="13"/>
      <c r="I1807" s="22" t="str">
        <f>VLOOKUP(J1807, Dropdowns!N:O, 2, FALSE)</f>
        <v>Standard</v>
      </c>
      <c r="J1807" t="s">
        <v>760</v>
      </c>
      <c r="L1807" s="17" t="s">
        <v>732</v>
      </c>
      <c r="M1807" s="17" t="s">
        <v>737</v>
      </c>
      <c r="N1807" s="17" t="s">
        <v>736</v>
      </c>
    </row>
    <row r="1808" spans="1:14" x14ac:dyDescent="0.25">
      <c r="A1808" s="10">
        <v>984460</v>
      </c>
      <c r="B1808" s="22" t="str">
        <f>IFERROR(VLOOKUP(A1808,VLOOKUPS!$A$2:B$12589,2,FALSE),"")</f>
        <v>Strawberries 1lb-standard</v>
      </c>
      <c r="E1808">
        <v>2.29</v>
      </c>
      <c r="F1808">
        <v>1.39</v>
      </c>
      <c r="G1808" s="13">
        <v>44467</v>
      </c>
      <c r="H1808" s="13">
        <v>44468</v>
      </c>
      <c r="I1808" s="22" t="str">
        <f>VLOOKUP(J1808, Dropdowns!N:O, 2, FALSE)</f>
        <v>Lower Price</v>
      </c>
      <c r="J1808" t="s">
        <v>759</v>
      </c>
      <c r="L1808" s="17" t="s">
        <v>732</v>
      </c>
      <c r="M1808" s="17" t="s">
        <v>10</v>
      </c>
      <c r="N1808" s="17">
        <v>2</v>
      </c>
    </row>
    <row r="1809" spans="1:14" x14ac:dyDescent="0.25">
      <c r="A1809" s="10">
        <v>984460</v>
      </c>
      <c r="B1809" s="22" t="str">
        <f>IFERROR(VLOOKUP(A1809,VLOOKUPS!$A$2:B$12589,2,FALSE),"")</f>
        <v>Strawberries 1lb-standard</v>
      </c>
      <c r="E1809">
        <v>1.39</v>
      </c>
      <c r="F1809">
        <v>2.29</v>
      </c>
      <c r="G1809" s="13">
        <v>44469</v>
      </c>
      <c r="H1809" s="13"/>
      <c r="I1809" s="22" t="str">
        <f>VLOOKUP(J1809, Dropdowns!N:O, 2, FALSE)</f>
        <v>Standard</v>
      </c>
      <c r="J1809" t="s">
        <v>760</v>
      </c>
      <c r="L1809" s="17" t="s">
        <v>732</v>
      </c>
      <c r="M1809" s="17" t="s">
        <v>10</v>
      </c>
      <c r="N1809" s="17">
        <v>2</v>
      </c>
    </row>
    <row r="1810" spans="1:14" x14ac:dyDescent="0.25">
      <c r="A1810" s="10">
        <v>984542</v>
      </c>
      <c r="B1810" s="22" t="str">
        <f>IFERROR(VLOOKUP(A1810,VLOOKUPS!$A$2:B$12589,2,FALSE),"")</f>
        <v>Blueberries 18oz-standard</v>
      </c>
      <c r="E1810">
        <v>4.59</v>
      </c>
      <c r="F1810">
        <v>4.99</v>
      </c>
      <c r="G1810" s="13">
        <v>44467</v>
      </c>
      <c r="H1810" s="13"/>
      <c r="I1810" s="22" t="str">
        <f>VLOOKUP(J1810, Dropdowns!N:O, 2, FALSE)</f>
        <v>Standard</v>
      </c>
      <c r="J1810" t="s">
        <v>761</v>
      </c>
      <c r="L1810" s="17" t="s">
        <v>732</v>
      </c>
      <c r="M1810" s="17" t="s">
        <v>736</v>
      </c>
      <c r="N1810" s="17" t="s">
        <v>736</v>
      </c>
    </row>
    <row r="1811" spans="1:14" x14ac:dyDescent="0.25">
      <c r="A1811" s="10">
        <v>988571</v>
      </c>
      <c r="B1811" s="22" t="str">
        <f>IFERROR(VLOOKUP(A1811,VLOOKUPS!$A$2:B$12589,2,FALSE),"")</f>
        <v>Cauliflower* 1ct-LOOSE</v>
      </c>
      <c r="E1811">
        <v>2.39</v>
      </c>
      <c r="F1811">
        <v>1.69</v>
      </c>
      <c r="G1811" s="13">
        <v>44467</v>
      </c>
      <c r="H1811" s="13">
        <v>44468</v>
      </c>
      <c r="I1811" s="22" t="str">
        <f>VLOOKUP(J1811, Dropdowns!N:O, 2, FALSE)</f>
        <v>Lower Price</v>
      </c>
      <c r="J1811" t="s">
        <v>759</v>
      </c>
      <c r="L1811" s="17" t="s">
        <v>733</v>
      </c>
      <c r="M1811" s="17" t="s">
        <v>11</v>
      </c>
      <c r="N1811" s="17" t="s">
        <v>740</v>
      </c>
    </row>
    <row r="1812" spans="1:14" x14ac:dyDescent="0.25">
      <c r="A1812" s="10">
        <v>988571</v>
      </c>
      <c r="B1812" s="22" t="str">
        <f>IFERROR(VLOOKUP(A1812,VLOOKUPS!$A$2:B$12589,2,FALSE),"")</f>
        <v>Cauliflower* 1ct-LOOSE</v>
      </c>
      <c r="E1812">
        <v>1.69</v>
      </c>
      <c r="F1812">
        <v>2.39</v>
      </c>
      <c r="G1812" s="13">
        <v>44469</v>
      </c>
      <c r="H1812" s="13"/>
      <c r="I1812" s="22" t="str">
        <f>VLOOKUP(J1812, Dropdowns!N:O, 2, FALSE)</f>
        <v>Standard</v>
      </c>
      <c r="J1812" t="s">
        <v>760</v>
      </c>
      <c r="L1812" s="17" t="s">
        <v>733</v>
      </c>
      <c r="M1812" s="17" t="s">
        <v>11</v>
      </c>
      <c r="N1812" s="17" t="s">
        <v>740</v>
      </c>
    </row>
    <row r="1813" spans="1:14" x14ac:dyDescent="0.25">
      <c r="A1813" s="10">
        <v>995043</v>
      </c>
      <c r="B1813" s="22" t="str">
        <f>IFERROR(VLOOKUP(A1813,VLOOKUPS!$A$2:B$12589,2,FALSE),"")</f>
        <v>Watermelon Chunks 16oz-standard</v>
      </c>
      <c r="E1813">
        <v>3.49</v>
      </c>
      <c r="F1813">
        <v>1.99</v>
      </c>
      <c r="G1813" s="13">
        <v>44467</v>
      </c>
      <c r="H1813" s="13">
        <v>44468</v>
      </c>
      <c r="I1813" s="22" t="str">
        <f>VLOOKUP(J1813, Dropdowns!N:O, 2, FALSE)</f>
        <v>Lower Price</v>
      </c>
      <c r="J1813" t="s">
        <v>759</v>
      </c>
      <c r="L1813" s="17" t="s">
        <v>733</v>
      </c>
      <c r="M1813" s="17" t="s">
        <v>11</v>
      </c>
      <c r="N1813" s="17" t="s">
        <v>740</v>
      </c>
    </row>
    <row r="1814" spans="1:14" x14ac:dyDescent="0.25">
      <c r="A1814" s="10">
        <v>995043</v>
      </c>
      <c r="B1814" s="22" t="str">
        <f>IFERROR(VLOOKUP(A1814,VLOOKUPS!$A$2:B$12589,2,FALSE),"")</f>
        <v>Watermelon Chunks 16oz-standard</v>
      </c>
      <c r="E1814">
        <v>1.99</v>
      </c>
      <c r="F1814">
        <v>3.49</v>
      </c>
      <c r="G1814" s="13">
        <v>44469</v>
      </c>
      <c r="H1814" s="13"/>
      <c r="I1814" s="22" t="str">
        <f>VLOOKUP(J1814, Dropdowns!N:O, 2, FALSE)</f>
        <v>Standard</v>
      </c>
      <c r="J1814" t="s">
        <v>760</v>
      </c>
      <c r="L1814" s="17" t="s">
        <v>733</v>
      </c>
      <c r="M1814" s="17" t="s">
        <v>11</v>
      </c>
      <c r="N1814" s="17" t="s">
        <v>740</v>
      </c>
    </row>
    <row r="1815" spans="1:14" x14ac:dyDescent="0.25">
      <c r="A1815" s="10">
        <v>995051</v>
      </c>
      <c r="B1815" s="22" t="str">
        <f>IFERROR(VLOOKUP(A1815,VLOOKUPS!$A$2:B$12589,2,FALSE),"")</f>
        <v>Mild Fresh Chopped Salsa 16oz-standard</v>
      </c>
      <c r="E1815">
        <v>4.49</v>
      </c>
      <c r="F1815">
        <v>3.49</v>
      </c>
      <c r="G1815" s="13">
        <v>44467</v>
      </c>
      <c r="H1815" s="13">
        <v>44468</v>
      </c>
      <c r="I1815" s="22" t="str">
        <f>VLOOKUP(J1815, Dropdowns!N:O, 2, FALSE)</f>
        <v>Lower Price</v>
      </c>
      <c r="J1815" t="s">
        <v>759</v>
      </c>
      <c r="L1815" s="17" t="s">
        <v>732</v>
      </c>
      <c r="M1815" s="17" t="s">
        <v>9</v>
      </c>
      <c r="N1815" s="17" t="s">
        <v>736</v>
      </c>
    </row>
    <row r="1816" spans="1:14" x14ac:dyDescent="0.25">
      <c r="A1816" s="10">
        <v>995051</v>
      </c>
      <c r="B1816" s="22" t="str">
        <f>IFERROR(VLOOKUP(A1816,VLOOKUPS!$A$2:B$12589,2,FALSE),"")</f>
        <v>Mild Fresh Chopped Salsa 16oz-standard</v>
      </c>
      <c r="E1816">
        <v>3.49</v>
      </c>
      <c r="F1816">
        <v>4.49</v>
      </c>
      <c r="G1816" s="13">
        <v>44469</v>
      </c>
      <c r="H1816" s="13"/>
      <c r="I1816" s="22" t="str">
        <f>VLOOKUP(J1816, Dropdowns!N:O, 2, FALSE)</f>
        <v>Standard</v>
      </c>
      <c r="J1816" t="s">
        <v>760</v>
      </c>
      <c r="L1816" s="17" t="s">
        <v>732</v>
      </c>
      <c r="M1816" s="17" t="s">
        <v>9</v>
      </c>
      <c r="N1816" s="17" t="s">
        <v>736</v>
      </c>
    </row>
    <row r="1817" spans="1:14" x14ac:dyDescent="0.25">
      <c r="A1817" s="10">
        <v>995067</v>
      </c>
      <c r="B1817" s="22" t="str">
        <f>IFERROR(VLOOKUP(A1817,VLOOKUPS!$A$2:B$12589,2,FALSE),"")</f>
        <v>Organic Baby Arugula 5oz-standard</v>
      </c>
      <c r="E1817">
        <v>2.56</v>
      </c>
      <c r="F1817">
        <v>1.86</v>
      </c>
      <c r="G1817" s="13">
        <v>44467</v>
      </c>
      <c r="H1817" s="13">
        <v>44468</v>
      </c>
      <c r="I1817" s="22" t="str">
        <f>VLOOKUP(J1817, Dropdowns!N:O, 2, FALSE)</f>
        <v>Lower Price</v>
      </c>
      <c r="J1817" t="s">
        <v>759</v>
      </c>
      <c r="L1817" s="17" t="s">
        <v>733</v>
      </c>
      <c r="M1817" s="17" t="s">
        <v>11</v>
      </c>
      <c r="N1817" s="17" t="s">
        <v>740</v>
      </c>
    </row>
    <row r="1818" spans="1:14" x14ac:dyDescent="0.25">
      <c r="A1818" s="10">
        <v>995067</v>
      </c>
      <c r="B1818" s="22" t="str">
        <f>IFERROR(VLOOKUP(A1818,VLOOKUPS!$A$2:B$12589,2,FALSE),"")</f>
        <v>Organic Baby Arugula 5oz-standard</v>
      </c>
      <c r="E1818">
        <v>1.86</v>
      </c>
      <c r="F1818">
        <v>2.56</v>
      </c>
      <c r="G1818" s="13">
        <v>44469</v>
      </c>
      <c r="H1818" s="13"/>
      <c r="I1818" s="22" t="str">
        <f>VLOOKUP(J1818, Dropdowns!N:O, 2, FALSE)</f>
        <v>Standard</v>
      </c>
      <c r="J1818" t="s">
        <v>760</v>
      </c>
      <c r="L1818" s="17" t="s">
        <v>733</v>
      </c>
      <c r="M1818" s="17" t="s">
        <v>11</v>
      </c>
      <c r="N1818" s="17" t="s">
        <v>740</v>
      </c>
    </row>
    <row r="1819" spans="1:14" x14ac:dyDescent="0.25">
      <c r="A1819" s="10">
        <v>995137</v>
      </c>
      <c r="B1819" s="22" t="str">
        <f>IFERROR(VLOOKUP(A1819,VLOOKUPS!$A$2:B$12589,2,FALSE),"")</f>
        <v>Half and Half 11oz-standard</v>
      </c>
      <c r="E1819">
        <v>4.18</v>
      </c>
      <c r="F1819">
        <v>3.18</v>
      </c>
      <c r="G1819" s="13">
        <v>44467</v>
      </c>
      <c r="H1819" s="13">
        <v>44468</v>
      </c>
      <c r="I1819" s="22" t="str">
        <f>VLOOKUP(J1819, Dropdowns!N:O, 2, FALSE)</f>
        <v>Lower Price</v>
      </c>
      <c r="J1819" t="s">
        <v>759</v>
      </c>
      <c r="L1819" s="17" t="s">
        <v>732</v>
      </c>
      <c r="M1819" s="17" t="s">
        <v>10</v>
      </c>
      <c r="N1819" s="17">
        <v>2</v>
      </c>
    </row>
    <row r="1820" spans="1:14" x14ac:dyDescent="0.25">
      <c r="A1820" s="10">
        <v>995137</v>
      </c>
      <c r="B1820" s="22" t="str">
        <f>IFERROR(VLOOKUP(A1820,VLOOKUPS!$A$2:B$12589,2,FALSE),"")</f>
        <v>Half and Half 11oz-standard</v>
      </c>
      <c r="E1820">
        <v>3.18</v>
      </c>
      <c r="F1820">
        <v>4.18</v>
      </c>
      <c r="G1820" s="13">
        <v>44469</v>
      </c>
      <c r="H1820" s="13"/>
      <c r="I1820" s="22" t="str">
        <f>VLOOKUP(J1820, Dropdowns!N:O, 2, FALSE)</f>
        <v>Standard</v>
      </c>
      <c r="J1820" t="s">
        <v>760</v>
      </c>
      <c r="L1820" s="17" t="s">
        <v>732</v>
      </c>
      <c r="M1820" s="17" t="s">
        <v>10</v>
      </c>
      <c r="N1820" s="17">
        <v>2</v>
      </c>
    </row>
    <row r="1821" spans="1:14" x14ac:dyDescent="0.25">
      <c r="A1821" s="10">
        <v>995147</v>
      </c>
      <c r="B1821" s="22" t="str">
        <f>IFERROR(VLOOKUP(A1821,VLOOKUPS!$A$2:B$12589,2,FALSE),"")</f>
        <v>Celery Sticks 1.25lb-standard</v>
      </c>
      <c r="E1821">
        <v>2.74</v>
      </c>
      <c r="F1821">
        <v>1.74</v>
      </c>
      <c r="G1821" s="13">
        <v>44467</v>
      </c>
      <c r="H1821" s="13">
        <v>44468</v>
      </c>
      <c r="I1821" s="22" t="str">
        <f>VLOOKUP(J1821, Dropdowns!N:O, 2, FALSE)</f>
        <v>Lower Price</v>
      </c>
      <c r="J1821" t="s">
        <v>759</v>
      </c>
      <c r="L1821" s="17" t="s">
        <v>732</v>
      </c>
      <c r="M1821" s="17" t="s">
        <v>9</v>
      </c>
      <c r="N1821" s="17" t="s">
        <v>736</v>
      </c>
    </row>
    <row r="1822" spans="1:14" x14ac:dyDescent="0.25">
      <c r="A1822" s="10">
        <v>995147</v>
      </c>
      <c r="B1822" s="22" t="str">
        <f>IFERROR(VLOOKUP(A1822,VLOOKUPS!$A$2:B$12589,2,FALSE),"")</f>
        <v>Celery Sticks 1.25lb-standard</v>
      </c>
      <c r="E1822">
        <v>1.74</v>
      </c>
      <c r="F1822">
        <v>2.74</v>
      </c>
      <c r="G1822" s="13">
        <v>44469</v>
      </c>
      <c r="H1822" s="13"/>
      <c r="I1822" s="22" t="str">
        <f>VLOOKUP(J1822, Dropdowns!N:O, 2, FALSE)</f>
        <v>Standard</v>
      </c>
      <c r="J1822" t="s">
        <v>760</v>
      </c>
      <c r="L1822" s="17" t="s">
        <v>732</v>
      </c>
      <c r="M1822" s="17" t="s">
        <v>9</v>
      </c>
      <c r="N1822" s="17" t="s">
        <v>736</v>
      </c>
    </row>
    <row r="1823" spans="1:14" x14ac:dyDescent="0.25">
      <c r="A1823" s="10">
        <v>995074</v>
      </c>
      <c r="B1823" s="22" t="str">
        <f>IFERROR(VLOOKUP(A1823,VLOOKUPS!$A$2:B$12589,2,FALSE),"")</f>
        <v>Southwest Chopped Salad Kit 12oz-standard</v>
      </c>
      <c r="G1823" s="13">
        <v>44467</v>
      </c>
      <c r="H1823" s="13"/>
      <c r="I1823" s="22" t="str">
        <f>VLOOKUP(J1823, Dropdowns!N:O, 2, FALSE)</f>
        <v>NA</v>
      </c>
      <c r="J1823" t="s">
        <v>754</v>
      </c>
      <c r="L1823" s="17" t="s">
        <v>732</v>
      </c>
      <c r="M1823" s="17" t="s">
        <v>736</v>
      </c>
      <c r="N1823" s="17" t="s">
        <v>736</v>
      </c>
    </row>
    <row r="1824" spans="1:14" x14ac:dyDescent="0.25">
      <c r="A1824" s="10">
        <v>995070</v>
      </c>
      <c r="B1824" s="22" t="str">
        <f>IFERROR(VLOOKUP(A1824,VLOOKUPS!$A$2:B$12589,2,FALSE),"")</f>
        <v>Organic Baby Spring Mix 5oz-standard</v>
      </c>
      <c r="E1824">
        <v>2.56</v>
      </c>
      <c r="F1824">
        <v>2.98</v>
      </c>
      <c r="G1824" s="13">
        <v>44467</v>
      </c>
      <c r="H1824" s="13"/>
      <c r="I1824" s="22" t="str">
        <f>VLOOKUP(J1824, Dropdowns!N:O, 2, FALSE)</f>
        <v>Standard</v>
      </c>
      <c r="J1824" t="s">
        <v>761</v>
      </c>
      <c r="L1824" s="17" t="s">
        <v>732</v>
      </c>
      <c r="M1824" s="17" t="s">
        <v>736</v>
      </c>
      <c r="N1824" s="17" t="s">
        <v>736</v>
      </c>
    </row>
    <row r="1825" spans="1:14" x14ac:dyDescent="0.25">
      <c r="A1825" s="10">
        <v>995078</v>
      </c>
      <c r="B1825" s="22" t="str">
        <f>IFERROR(VLOOKUP(A1825,VLOOKUPS!$A$2:B$12589,2,FALSE),"")</f>
        <v>Organic Baby Spinach 16oz-standard</v>
      </c>
      <c r="E1825">
        <v>4.66</v>
      </c>
      <c r="F1825">
        <v>4.9800000000000004</v>
      </c>
      <c r="G1825" s="13">
        <v>44467</v>
      </c>
      <c r="H1825" s="13"/>
      <c r="I1825" s="22" t="str">
        <f>VLOOKUP(J1825, Dropdowns!N:O, 2, FALSE)</f>
        <v>Standard</v>
      </c>
      <c r="J1825" t="s">
        <v>761</v>
      </c>
      <c r="L1825" s="17" t="s">
        <v>732</v>
      </c>
      <c r="M1825" s="17" t="s">
        <v>736</v>
      </c>
      <c r="N1825" s="17" t="s">
        <v>736</v>
      </c>
    </row>
    <row r="1826" spans="1:14" x14ac:dyDescent="0.25">
      <c r="A1826" s="10">
        <v>995131</v>
      </c>
      <c r="B1826" s="22" t="str">
        <f>IFERROR(VLOOKUP(A1826,VLOOKUPS!$A$2:B$12589,2,FALSE),"")</f>
        <v>Organic Baby Spinach &amp; Baby Kale 5oz-standard</v>
      </c>
      <c r="E1826">
        <v>2.56</v>
      </c>
      <c r="F1826">
        <v>2.98</v>
      </c>
      <c r="G1826" s="13">
        <v>44467</v>
      </c>
      <c r="H1826" s="13"/>
      <c r="I1826" s="22" t="str">
        <f>VLOOKUP(J1826, Dropdowns!N:O, 2, FALSE)</f>
        <v>Standard</v>
      </c>
      <c r="J1826" t="s">
        <v>761</v>
      </c>
      <c r="L1826" s="17" t="s">
        <v>732</v>
      </c>
      <c r="M1826" s="17" t="s">
        <v>736</v>
      </c>
      <c r="N1826" s="17" t="s">
        <v>736</v>
      </c>
    </row>
    <row r="1827" spans="1:14" x14ac:dyDescent="0.25">
      <c r="A1827" s="10">
        <v>984460</v>
      </c>
      <c r="B1827" s="22" t="str">
        <f>IFERROR(VLOOKUP(A1827,VLOOKUPS!$A$2:B$12589,2,FALSE),"")</f>
        <v>Strawberries 1lb-standard</v>
      </c>
      <c r="E1827">
        <v>1.79</v>
      </c>
      <c r="F1827">
        <v>2.29</v>
      </c>
      <c r="G1827" s="13">
        <v>44469</v>
      </c>
      <c r="H1827" s="13"/>
      <c r="I1827" s="22" t="str">
        <f>VLOOKUP(J1827, Dropdowns!N:O, 2, FALSE)</f>
        <v>Standard</v>
      </c>
      <c r="J1827" t="s">
        <v>760</v>
      </c>
      <c r="L1827" s="17" t="s">
        <v>732</v>
      </c>
      <c r="M1827" s="17" t="s">
        <v>737</v>
      </c>
      <c r="N1827" s="17" t="s">
        <v>736</v>
      </c>
    </row>
    <row r="1828" spans="1:14" x14ac:dyDescent="0.25">
      <c r="A1828" s="10">
        <v>982740</v>
      </c>
      <c r="B1828" s="22" t="str">
        <f>IFERROR(VLOOKUP(A1828,VLOOKUPS!$A$2:B$12589,2,FALSE),"")</f>
        <v>Grapes* Red Seedless 1lb-LOOSE</v>
      </c>
      <c r="G1828" s="13">
        <v>44468</v>
      </c>
      <c r="H1828" s="13">
        <v>44474</v>
      </c>
      <c r="I1828" s="22" t="str">
        <f>VLOOKUP(J1828, Dropdowns!N:O, 2, FALSE)</f>
        <v>Lower Price</v>
      </c>
      <c r="J1828" t="s">
        <v>753</v>
      </c>
      <c r="L1828" s="17" t="s">
        <v>732</v>
      </c>
      <c r="M1828" s="17" t="s">
        <v>736</v>
      </c>
      <c r="N1828" s="17" t="s">
        <v>736</v>
      </c>
    </row>
    <row r="1829" spans="1:14" x14ac:dyDescent="0.25">
      <c r="A1829" s="10">
        <v>984542</v>
      </c>
      <c r="B1829" s="22" t="str">
        <f>IFERROR(VLOOKUP(A1829,VLOOKUPS!$A$2:B$12589,2,FALSE),"")</f>
        <v>Blueberries 18oz-standard</v>
      </c>
      <c r="G1829" s="13">
        <v>44468</v>
      </c>
      <c r="H1829" s="13">
        <v>44474</v>
      </c>
      <c r="I1829" s="22" t="str">
        <f>VLOOKUP(J1829, Dropdowns!N:O, 2, FALSE)</f>
        <v>Lower Price</v>
      </c>
      <c r="J1829" t="s">
        <v>753</v>
      </c>
      <c r="L1829" s="17" t="s">
        <v>732</v>
      </c>
      <c r="M1829" s="17" t="s">
        <v>736</v>
      </c>
      <c r="N1829" s="17" t="s">
        <v>736</v>
      </c>
    </row>
    <row r="1830" spans="1:14" x14ac:dyDescent="0.25">
      <c r="A1830" s="10">
        <v>985060</v>
      </c>
      <c r="B1830" s="22" t="str">
        <f>IFERROR(VLOOKUP(A1830,VLOOKUPS!$A$2:B$12589,2,FALSE),"")</f>
        <v>Lettuce* Iceberg 1ct-standard</v>
      </c>
      <c r="E1830">
        <v>1.45</v>
      </c>
      <c r="F1830">
        <v>0.85</v>
      </c>
      <c r="G1830" s="13">
        <v>44468</v>
      </c>
      <c r="H1830" s="13">
        <v>44469</v>
      </c>
      <c r="I1830" s="22" t="str">
        <f>VLOOKUP(J1830, Dropdowns!N:O, 2, FALSE)</f>
        <v>Lower Price</v>
      </c>
      <c r="J1830" t="s">
        <v>759</v>
      </c>
      <c r="L1830" s="17" t="s">
        <v>733</v>
      </c>
      <c r="M1830" s="17" t="s">
        <v>11</v>
      </c>
      <c r="N1830" s="17" t="s">
        <v>740</v>
      </c>
    </row>
    <row r="1831" spans="1:14" x14ac:dyDescent="0.25">
      <c r="A1831" s="10">
        <v>985060</v>
      </c>
      <c r="B1831" s="22" t="str">
        <f>IFERROR(VLOOKUP(A1831,VLOOKUPS!$A$2:B$12589,2,FALSE),"")</f>
        <v>Lettuce* Iceberg 1ct-standard</v>
      </c>
      <c r="E1831">
        <v>0.85</v>
      </c>
      <c r="F1831">
        <v>1.45</v>
      </c>
      <c r="G1831" s="13">
        <v>44470</v>
      </c>
      <c r="H1831" s="13"/>
      <c r="I1831" s="22" t="str">
        <f>VLOOKUP(J1831, Dropdowns!N:O, 2, FALSE)</f>
        <v>Standard</v>
      </c>
      <c r="J1831" t="s">
        <v>760</v>
      </c>
      <c r="L1831" s="17" t="s">
        <v>733</v>
      </c>
      <c r="M1831" s="17" t="s">
        <v>11</v>
      </c>
      <c r="N1831" s="17" t="s">
        <v>740</v>
      </c>
    </row>
    <row r="1832" spans="1:14" x14ac:dyDescent="0.25">
      <c r="A1832" s="10">
        <v>995046</v>
      </c>
      <c r="B1832" s="22" t="str">
        <f>IFERROR(VLOOKUP(A1832,VLOOKUPS!$A$2:B$12589,2,FALSE),"")</f>
        <v>Diced Onion 8oz-standard</v>
      </c>
      <c r="E1832">
        <v>1.99</v>
      </c>
      <c r="F1832">
        <v>0.99</v>
      </c>
      <c r="G1832" s="13">
        <v>44468</v>
      </c>
      <c r="H1832" s="13">
        <v>44469</v>
      </c>
      <c r="I1832" s="22" t="str">
        <f>VLOOKUP(J1832, Dropdowns!N:O, 2, FALSE)</f>
        <v>Lower Price</v>
      </c>
      <c r="J1832" t="s">
        <v>759</v>
      </c>
      <c r="L1832" s="17" t="s">
        <v>733</v>
      </c>
      <c r="M1832" s="17" t="s">
        <v>11</v>
      </c>
      <c r="N1832" s="17" t="s">
        <v>740</v>
      </c>
    </row>
    <row r="1833" spans="1:14" x14ac:dyDescent="0.25">
      <c r="A1833" s="10">
        <v>995046</v>
      </c>
      <c r="B1833" s="22" t="str">
        <f>IFERROR(VLOOKUP(A1833,VLOOKUPS!$A$2:B$12589,2,FALSE),"")</f>
        <v>Diced Onion 8oz-standard</v>
      </c>
      <c r="E1833">
        <v>0.99</v>
      </c>
      <c r="F1833">
        <v>1.99</v>
      </c>
      <c r="G1833" s="13">
        <v>44470</v>
      </c>
      <c r="H1833" s="13"/>
      <c r="I1833" s="22" t="str">
        <f>VLOOKUP(J1833, Dropdowns!N:O, 2, FALSE)</f>
        <v>Standard</v>
      </c>
      <c r="J1833" t="s">
        <v>760</v>
      </c>
      <c r="L1833" s="17" t="s">
        <v>733</v>
      </c>
      <c r="M1833" s="17" t="s">
        <v>11</v>
      </c>
      <c r="N1833" s="17" t="s">
        <v>740</v>
      </c>
    </row>
    <row r="1834" spans="1:14" x14ac:dyDescent="0.25">
      <c r="A1834" s="10">
        <v>995067</v>
      </c>
      <c r="B1834" s="22" t="str">
        <f>IFERROR(VLOOKUP(A1834,VLOOKUPS!$A$2:B$12589,2,FALSE),"")</f>
        <v>Organic Baby Arugula 5oz-standard</v>
      </c>
      <c r="E1834">
        <v>2.56</v>
      </c>
      <c r="F1834">
        <v>1.56</v>
      </c>
      <c r="G1834" s="13">
        <v>44468</v>
      </c>
      <c r="H1834" s="13">
        <v>44469</v>
      </c>
      <c r="I1834" s="22" t="str">
        <f>VLOOKUP(J1834, Dropdowns!N:O, 2, FALSE)</f>
        <v>Lower Price</v>
      </c>
      <c r="J1834" t="s">
        <v>759</v>
      </c>
      <c r="L1834" s="17" t="s">
        <v>733</v>
      </c>
      <c r="M1834" s="17" t="s">
        <v>10</v>
      </c>
      <c r="N1834" s="17" t="s">
        <v>740</v>
      </c>
    </row>
    <row r="1835" spans="1:14" x14ac:dyDescent="0.25">
      <c r="A1835" s="10">
        <v>995067</v>
      </c>
      <c r="B1835" s="22" t="str">
        <f>IFERROR(VLOOKUP(A1835,VLOOKUPS!$A$2:B$12589,2,FALSE),"")</f>
        <v>Organic Baby Arugula 5oz-standard</v>
      </c>
      <c r="E1835">
        <v>3.26</v>
      </c>
      <c r="F1835">
        <v>1.96</v>
      </c>
      <c r="G1835" s="13">
        <v>44468</v>
      </c>
      <c r="H1835" s="13">
        <v>44469</v>
      </c>
      <c r="I1835" s="22" t="str">
        <f>VLOOKUP(J1835, Dropdowns!N:O, 2, FALSE)</f>
        <v>Lower Price</v>
      </c>
      <c r="J1835" t="s">
        <v>759</v>
      </c>
      <c r="L1835" s="17" t="s">
        <v>734</v>
      </c>
      <c r="M1835" s="17" t="s">
        <v>10</v>
      </c>
      <c r="N1835" s="17">
        <v>2</v>
      </c>
    </row>
    <row r="1836" spans="1:14" x14ac:dyDescent="0.25">
      <c r="A1836" s="10">
        <v>995067</v>
      </c>
      <c r="B1836" s="22" t="str">
        <f>IFERROR(VLOOKUP(A1836,VLOOKUPS!$A$2:B$12589,2,FALSE),"")</f>
        <v>Organic Baby Arugula 5oz-standard</v>
      </c>
      <c r="E1836">
        <v>1.56</v>
      </c>
      <c r="F1836">
        <v>2.56</v>
      </c>
      <c r="G1836" s="13">
        <v>44470</v>
      </c>
      <c r="H1836" s="13"/>
      <c r="I1836" s="22" t="str">
        <f>VLOOKUP(J1836, Dropdowns!N:O, 2, FALSE)</f>
        <v>Standard</v>
      </c>
      <c r="J1836" t="s">
        <v>760</v>
      </c>
      <c r="L1836" s="17" t="s">
        <v>733</v>
      </c>
      <c r="M1836" s="17" t="s">
        <v>10</v>
      </c>
      <c r="N1836" s="17" t="s">
        <v>740</v>
      </c>
    </row>
    <row r="1837" spans="1:14" x14ac:dyDescent="0.25">
      <c r="A1837" s="10">
        <v>995067</v>
      </c>
      <c r="B1837" s="22" t="str">
        <f>IFERROR(VLOOKUP(A1837,VLOOKUPS!$A$2:B$12589,2,FALSE),"")</f>
        <v>Organic Baby Arugula 5oz-standard</v>
      </c>
      <c r="E1837">
        <v>1.96</v>
      </c>
      <c r="F1837">
        <v>3.26</v>
      </c>
      <c r="G1837" s="13">
        <v>44470</v>
      </c>
      <c r="H1837" s="13"/>
      <c r="I1837" s="22" t="str">
        <f>VLOOKUP(J1837, Dropdowns!N:O, 2, FALSE)</f>
        <v>Standard</v>
      </c>
      <c r="J1837" t="s">
        <v>760</v>
      </c>
      <c r="L1837" s="17" t="s">
        <v>734</v>
      </c>
      <c r="M1837" s="17" t="s">
        <v>10</v>
      </c>
      <c r="N1837" s="17">
        <v>2</v>
      </c>
    </row>
    <row r="1838" spans="1:14" x14ac:dyDescent="0.25">
      <c r="A1838" s="10">
        <v>995068</v>
      </c>
      <c r="B1838" s="22" t="str">
        <f>IFERROR(VLOOKUP(A1838,VLOOKUPS!$A$2:B$12589,2,FALSE),"")</f>
        <v>Organic Half and Half 5oz-standard</v>
      </c>
      <c r="E1838">
        <v>2.4900000000000002</v>
      </c>
      <c r="F1838">
        <v>1.49</v>
      </c>
      <c r="G1838" s="13">
        <v>44468</v>
      </c>
      <c r="H1838" s="13">
        <v>44469</v>
      </c>
      <c r="I1838" s="22" t="str">
        <f>VLOOKUP(J1838, Dropdowns!N:O, 2, FALSE)</f>
        <v>Lower Price</v>
      </c>
      <c r="J1838" t="s">
        <v>759</v>
      </c>
      <c r="L1838" s="17" t="s">
        <v>732</v>
      </c>
      <c r="M1838" s="17" t="s">
        <v>10</v>
      </c>
      <c r="N1838" s="17">
        <v>2</v>
      </c>
    </row>
    <row r="1839" spans="1:14" x14ac:dyDescent="0.25">
      <c r="A1839" s="10">
        <v>995068</v>
      </c>
      <c r="B1839" s="22" t="str">
        <f>IFERROR(VLOOKUP(A1839,VLOOKUPS!$A$2:B$12589,2,FALSE),"")</f>
        <v>Organic Half and Half 5oz-standard</v>
      </c>
      <c r="E1839">
        <v>1.49</v>
      </c>
      <c r="F1839">
        <v>2.4900000000000002</v>
      </c>
      <c r="G1839" s="13">
        <v>44470</v>
      </c>
      <c r="H1839" s="13"/>
      <c r="I1839" s="22" t="str">
        <f>VLOOKUP(J1839, Dropdowns!N:O, 2, FALSE)</f>
        <v>Standard</v>
      </c>
      <c r="J1839" t="s">
        <v>760</v>
      </c>
      <c r="L1839" s="17" t="s">
        <v>732</v>
      </c>
      <c r="M1839" s="17" t="s">
        <v>10</v>
      </c>
      <c r="N1839" s="17">
        <v>2</v>
      </c>
    </row>
    <row r="1840" spans="1:14" x14ac:dyDescent="0.25">
      <c r="A1840" s="10">
        <v>995070</v>
      </c>
      <c r="B1840" s="22" t="str">
        <f>IFERROR(VLOOKUP(A1840,VLOOKUPS!$A$2:B$12589,2,FALSE),"")</f>
        <v>Organic Baby Spring Mix 5oz-standard</v>
      </c>
      <c r="E1840">
        <v>2.98</v>
      </c>
      <c r="F1840">
        <v>1.98</v>
      </c>
      <c r="G1840" s="13">
        <v>44468</v>
      </c>
      <c r="H1840" s="13">
        <v>44469</v>
      </c>
      <c r="I1840" s="22" t="str">
        <f>VLOOKUP(J1840, Dropdowns!N:O, 2, FALSE)</f>
        <v>Lower Price</v>
      </c>
      <c r="J1840" t="s">
        <v>759</v>
      </c>
      <c r="L1840" s="17" t="s">
        <v>732</v>
      </c>
      <c r="M1840" s="17" t="s">
        <v>10</v>
      </c>
      <c r="N1840" s="17">
        <v>2</v>
      </c>
    </row>
    <row r="1841" spans="1:14" x14ac:dyDescent="0.25">
      <c r="A1841" s="10">
        <v>995070</v>
      </c>
      <c r="B1841" s="22" t="str">
        <f>IFERROR(VLOOKUP(A1841,VLOOKUPS!$A$2:B$12589,2,FALSE),"")</f>
        <v>Organic Baby Spring Mix 5oz-standard</v>
      </c>
      <c r="E1841">
        <v>1.98</v>
      </c>
      <c r="F1841">
        <v>2.98</v>
      </c>
      <c r="G1841" s="13">
        <v>44470</v>
      </c>
      <c r="H1841" s="13"/>
      <c r="I1841" s="22" t="str">
        <f>VLOOKUP(J1841, Dropdowns!N:O, 2, FALSE)</f>
        <v>Standard</v>
      </c>
      <c r="J1841" t="s">
        <v>760</v>
      </c>
      <c r="L1841" s="17" t="s">
        <v>732</v>
      </c>
      <c r="M1841" s="17" t="s">
        <v>10</v>
      </c>
      <c r="N1841" s="17">
        <v>2</v>
      </c>
    </row>
    <row r="1842" spans="1:14" x14ac:dyDescent="0.25">
      <c r="A1842" s="10">
        <v>995138</v>
      </c>
      <c r="B1842" s="22" t="str">
        <f>IFERROR(VLOOKUP(A1842,VLOOKUPS!$A$2:B$12589,2,FALSE),"")</f>
        <v>Spring Mix 11oz-standard</v>
      </c>
      <c r="E1842">
        <v>3.99</v>
      </c>
      <c r="F1842">
        <v>2.99</v>
      </c>
      <c r="G1842" s="13">
        <v>44468</v>
      </c>
      <c r="H1842" s="13">
        <v>44469</v>
      </c>
      <c r="I1842" s="22" t="str">
        <f>VLOOKUP(J1842, Dropdowns!N:O, 2, FALSE)</f>
        <v>Lower Price</v>
      </c>
      <c r="J1842" t="s">
        <v>759</v>
      </c>
      <c r="L1842" s="17" t="s">
        <v>733</v>
      </c>
      <c r="M1842" s="17" t="s">
        <v>11</v>
      </c>
      <c r="N1842" s="17" t="s">
        <v>740</v>
      </c>
    </row>
    <row r="1843" spans="1:14" x14ac:dyDescent="0.25">
      <c r="A1843" s="10">
        <v>995138</v>
      </c>
      <c r="B1843" s="22" t="str">
        <f>IFERROR(VLOOKUP(A1843,VLOOKUPS!$A$2:B$12589,2,FALSE),"")</f>
        <v>Spring Mix 11oz-standard</v>
      </c>
      <c r="E1843">
        <v>2.99</v>
      </c>
      <c r="F1843">
        <v>3.99</v>
      </c>
      <c r="G1843" s="13">
        <v>44470</v>
      </c>
      <c r="H1843" s="13"/>
      <c r="I1843" s="22" t="str">
        <f>VLOOKUP(J1843, Dropdowns!N:O, 2, FALSE)</f>
        <v>Standard</v>
      </c>
      <c r="J1843" t="s">
        <v>760</v>
      </c>
      <c r="L1843" s="17" t="s">
        <v>733</v>
      </c>
      <c r="M1843" s="17" t="s">
        <v>11</v>
      </c>
      <c r="N1843" s="17" t="s">
        <v>740</v>
      </c>
    </row>
    <row r="1844" spans="1:14" x14ac:dyDescent="0.25">
      <c r="A1844" s="10">
        <v>995109</v>
      </c>
      <c r="B1844" s="22" t="str">
        <f>IFERROR(VLOOKUP(A1844,VLOOKUPS!$A$2:B$12589,2,FALSE),"")</f>
        <v>Mediterranean Chopped Salad 11oz-standard</v>
      </c>
      <c r="E1844">
        <v>3.29</v>
      </c>
      <c r="F1844">
        <v>3.49</v>
      </c>
      <c r="G1844" s="13">
        <v>44469</v>
      </c>
      <c r="H1844" s="13"/>
      <c r="I1844" s="22" t="str">
        <f>VLOOKUP(J1844, Dropdowns!N:O, 2, FALSE)</f>
        <v>Standard</v>
      </c>
      <c r="J1844" t="s">
        <v>761</v>
      </c>
      <c r="L1844" s="17" t="s">
        <v>732</v>
      </c>
      <c r="M1844" s="17" t="s">
        <v>736</v>
      </c>
      <c r="N1844" s="17" t="s">
        <v>736</v>
      </c>
    </row>
    <row r="1845" spans="1:14" x14ac:dyDescent="0.25">
      <c r="A1845" s="10">
        <v>983151</v>
      </c>
      <c r="B1845" s="22" t="str">
        <f>IFERROR(VLOOKUP(A1845,VLOOKUPS!$A$2:B$12589,2,FALSE),"")</f>
        <v>Melons* Golden Honeydew 1ct-LOOSE</v>
      </c>
      <c r="E1845">
        <v>3.88</v>
      </c>
      <c r="F1845">
        <v>2.48</v>
      </c>
      <c r="G1845" s="13">
        <v>44469</v>
      </c>
      <c r="H1845" s="13">
        <v>44470</v>
      </c>
      <c r="I1845" s="22" t="str">
        <f>VLOOKUP(J1845, Dropdowns!N:O, 2, FALSE)</f>
        <v>Lower Price</v>
      </c>
      <c r="J1845" t="s">
        <v>759</v>
      </c>
      <c r="L1845" s="17" t="s">
        <v>732</v>
      </c>
      <c r="M1845" s="17" t="s">
        <v>9</v>
      </c>
      <c r="N1845" s="17" t="s">
        <v>736</v>
      </c>
    </row>
    <row r="1846" spans="1:14" x14ac:dyDescent="0.25">
      <c r="A1846" s="10">
        <v>983151</v>
      </c>
      <c r="B1846" s="22" t="str">
        <f>IFERROR(VLOOKUP(A1846,VLOOKUPS!$A$2:B$12589,2,FALSE),"")</f>
        <v>Melons* Golden Honeydew 1ct-LOOSE</v>
      </c>
      <c r="E1846">
        <v>2.48</v>
      </c>
      <c r="F1846">
        <v>3.88</v>
      </c>
      <c r="G1846" s="13">
        <v>44471</v>
      </c>
      <c r="H1846" s="13"/>
      <c r="I1846" s="22" t="str">
        <f>VLOOKUP(J1846, Dropdowns!N:O, 2, FALSE)</f>
        <v>Standard</v>
      </c>
      <c r="J1846" t="s">
        <v>760</v>
      </c>
      <c r="L1846" s="17" t="s">
        <v>732</v>
      </c>
      <c r="M1846" s="17" t="s">
        <v>9</v>
      </c>
      <c r="N1846" s="17" t="s">
        <v>736</v>
      </c>
    </row>
    <row r="1847" spans="1:14" x14ac:dyDescent="0.25">
      <c r="A1847" s="10">
        <v>983201</v>
      </c>
      <c r="B1847" s="22" t="str">
        <f>IFERROR(VLOOKUP(A1847,VLOOKUPS!$A$2:B$12589,2,FALSE),"")</f>
        <v>Melons* Honeydew 1ct-LOOSE</v>
      </c>
      <c r="E1847">
        <v>3.58</v>
      </c>
      <c r="F1847">
        <v>3.98</v>
      </c>
      <c r="G1847" s="13">
        <v>44469</v>
      </c>
      <c r="H1847" s="13"/>
      <c r="I1847" s="22" t="str">
        <f>VLOOKUP(J1847, Dropdowns!N:O, 2, FALSE)</f>
        <v>Standard</v>
      </c>
      <c r="J1847" t="s">
        <v>761</v>
      </c>
      <c r="L1847" s="17" t="s">
        <v>732</v>
      </c>
      <c r="M1847" s="17" t="s">
        <v>10</v>
      </c>
      <c r="N1847" s="17">
        <v>2</v>
      </c>
    </row>
    <row r="1848" spans="1:14" x14ac:dyDescent="0.25">
      <c r="A1848" s="10">
        <v>985011</v>
      </c>
      <c r="B1848" s="22" t="str">
        <f>IFERROR(VLOOKUP(A1848,VLOOKUPS!$A$2:B$12589,2,FALSE),"")</f>
        <v>Lettuce Butter 1ct-standard</v>
      </c>
      <c r="E1848">
        <v>2.4900000000000002</v>
      </c>
      <c r="F1848">
        <v>2.79</v>
      </c>
      <c r="G1848" s="13">
        <v>44469</v>
      </c>
      <c r="H1848" s="13"/>
      <c r="I1848" s="22" t="str">
        <f>VLOOKUP(J1848, Dropdowns!N:O, 2, FALSE)</f>
        <v>Standard</v>
      </c>
      <c r="J1848" t="s">
        <v>761</v>
      </c>
      <c r="L1848" s="17" t="s">
        <v>732</v>
      </c>
      <c r="M1848" s="17" t="s">
        <v>736</v>
      </c>
      <c r="N1848" s="17" t="s">
        <v>736</v>
      </c>
    </row>
    <row r="1849" spans="1:14" x14ac:dyDescent="0.25">
      <c r="A1849" s="10">
        <v>985111</v>
      </c>
      <c r="B1849" s="22" t="str">
        <f>IFERROR(VLOOKUP(A1849,VLOOKUPS!$A$2:B$12589,2,FALSE),"")</f>
        <v>Lettuce Mixed 1ct-standard</v>
      </c>
      <c r="E1849">
        <v>2.4900000000000002</v>
      </c>
      <c r="F1849">
        <v>2.79</v>
      </c>
      <c r="G1849" s="13">
        <v>44469</v>
      </c>
      <c r="H1849" s="13"/>
      <c r="I1849" s="22" t="str">
        <f>VLOOKUP(J1849, Dropdowns!N:O, 2, FALSE)</f>
        <v>Standard</v>
      </c>
      <c r="J1849" t="s">
        <v>761</v>
      </c>
      <c r="L1849" s="17" t="s">
        <v>732</v>
      </c>
      <c r="M1849" s="17" t="s">
        <v>736</v>
      </c>
      <c r="N1849" s="17" t="s">
        <v>736</v>
      </c>
    </row>
    <row r="1850" spans="1:14" x14ac:dyDescent="0.25">
      <c r="A1850" s="10">
        <v>995021</v>
      </c>
      <c r="B1850" s="22" t="str">
        <f>IFERROR(VLOOKUP(A1850,VLOOKUPS!$A$2:B$12589,2,FALSE),"")</f>
        <v>Chopped Bacon Caesar Kit 10.2oz-standard</v>
      </c>
      <c r="E1850">
        <v>3.49</v>
      </c>
      <c r="F1850">
        <v>2.4900000000000002</v>
      </c>
      <c r="G1850" s="13">
        <v>44469</v>
      </c>
      <c r="H1850" s="13">
        <v>44470</v>
      </c>
      <c r="I1850" s="22" t="str">
        <f>VLOOKUP(J1850, Dropdowns!N:O, 2, FALSE)</f>
        <v>Lower Price</v>
      </c>
      <c r="J1850" t="s">
        <v>759</v>
      </c>
      <c r="L1850" s="17" t="s">
        <v>732</v>
      </c>
      <c r="M1850" s="17" t="s">
        <v>10</v>
      </c>
      <c r="N1850" s="17">
        <v>2</v>
      </c>
    </row>
    <row r="1851" spans="1:14" x14ac:dyDescent="0.25">
      <c r="A1851" s="10">
        <v>995021</v>
      </c>
      <c r="B1851" s="22" t="str">
        <f>IFERROR(VLOOKUP(A1851,VLOOKUPS!$A$2:B$12589,2,FALSE),"")</f>
        <v>Chopped Bacon Caesar Kit 10.2oz-standard</v>
      </c>
      <c r="E1851">
        <v>2.4900000000000002</v>
      </c>
      <c r="F1851">
        <v>3.49</v>
      </c>
      <c r="G1851" s="13">
        <v>44471</v>
      </c>
      <c r="H1851" s="13"/>
      <c r="I1851" s="22" t="str">
        <f>VLOOKUP(J1851, Dropdowns!N:O, 2, FALSE)</f>
        <v>Standard</v>
      </c>
      <c r="J1851" t="s">
        <v>760</v>
      </c>
      <c r="L1851" s="17" t="s">
        <v>732</v>
      </c>
      <c r="M1851" s="17" t="s">
        <v>10</v>
      </c>
      <c r="N1851" s="17">
        <v>2</v>
      </c>
    </row>
    <row r="1852" spans="1:14" x14ac:dyDescent="0.25">
      <c r="A1852" s="10">
        <v>995077</v>
      </c>
      <c r="B1852" s="22" t="str">
        <f>IFERROR(VLOOKUP(A1852,VLOOKUPS!$A$2:B$12589,2,FALSE),"")</f>
        <v>Organic Baby Spring Mix 16oz-standard</v>
      </c>
      <c r="E1852">
        <v>4.49</v>
      </c>
      <c r="F1852">
        <v>2.99</v>
      </c>
      <c r="G1852" s="13">
        <v>44469</v>
      </c>
      <c r="H1852" s="13">
        <v>44470</v>
      </c>
      <c r="I1852" s="22" t="str">
        <f>VLOOKUP(J1852, Dropdowns!N:O, 2, FALSE)</f>
        <v>Lower Price</v>
      </c>
      <c r="J1852" t="s">
        <v>759</v>
      </c>
      <c r="L1852" s="17" t="s">
        <v>732</v>
      </c>
      <c r="M1852" s="17" t="s">
        <v>10</v>
      </c>
      <c r="N1852" s="17">
        <v>2</v>
      </c>
    </row>
    <row r="1853" spans="1:14" x14ac:dyDescent="0.25">
      <c r="A1853" s="10">
        <v>995077</v>
      </c>
      <c r="B1853" s="22" t="str">
        <f>IFERROR(VLOOKUP(A1853,VLOOKUPS!$A$2:B$12589,2,FALSE),"")</f>
        <v>Organic Baby Spring Mix 16oz-standard</v>
      </c>
      <c r="E1853">
        <v>2.99</v>
      </c>
      <c r="F1853">
        <v>4.49</v>
      </c>
      <c r="G1853" s="13">
        <v>44471</v>
      </c>
      <c r="H1853" s="13"/>
      <c r="I1853" s="22" t="str">
        <f>VLOOKUP(J1853, Dropdowns!N:O, 2, FALSE)</f>
        <v>Standard</v>
      </c>
      <c r="J1853" t="s">
        <v>760</v>
      </c>
      <c r="L1853" s="17" t="s">
        <v>732</v>
      </c>
      <c r="M1853" s="17" t="s">
        <v>10</v>
      </c>
      <c r="N1853" s="17">
        <v>2</v>
      </c>
    </row>
    <row r="1854" spans="1:14" x14ac:dyDescent="0.25">
      <c r="A1854" s="10">
        <v>995144</v>
      </c>
      <c r="B1854" s="22" t="str">
        <f>IFERROR(VLOOKUP(A1854,VLOOKUPS!$A$2:B$12589,2,FALSE),"")</f>
        <v>Asparagus Spears 10oz-standard</v>
      </c>
      <c r="E1854">
        <v>3.98</v>
      </c>
      <c r="F1854">
        <v>2.98</v>
      </c>
      <c r="G1854" s="13">
        <v>44469</v>
      </c>
      <c r="H1854" s="13">
        <v>44470</v>
      </c>
      <c r="I1854" s="22" t="str">
        <f>VLOOKUP(J1854, Dropdowns!N:O, 2, FALSE)</f>
        <v>Lower Price</v>
      </c>
      <c r="J1854" t="s">
        <v>759</v>
      </c>
      <c r="L1854" s="17" t="s">
        <v>732</v>
      </c>
      <c r="M1854" s="17" t="s">
        <v>736</v>
      </c>
      <c r="N1854" s="17" t="s">
        <v>736</v>
      </c>
    </row>
    <row r="1855" spans="1:14" x14ac:dyDescent="0.25">
      <c r="A1855" s="10">
        <v>995144</v>
      </c>
      <c r="B1855" s="22" t="str">
        <f>IFERROR(VLOOKUP(A1855,VLOOKUPS!$A$2:B$12589,2,FALSE),"")</f>
        <v>Asparagus Spears 10oz-standard</v>
      </c>
      <c r="E1855">
        <v>2.98</v>
      </c>
      <c r="F1855">
        <v>3.98</v>
      </c>
      <c r="G1855" s="13">
        <v>44471</v>
      </c>
      <c r="H1855" s="13"/>
      <c r="I1855" s="22" t="str">
        <f>VLOOKUP(J1855, Dropdowns!N:O, 2, FALSE)</f>
        <v>Standard</v>
      </c>
      <c r="J1855" t="s">
        <v>760</v>
      </c>
      <c r="L1855" s="17" t="s">
        <v>732</v>
      </c>
      <c r="M1855" s="17" t="s">
        <v>736</v>
      </c>
    </row>
    <row r="1856" spans="1:14" x14ac:dyDescent="0.25">
      <c r="A1856" s="10">
        <v>982230</v>
      </c>
      <c r="B1856" s="22" t="str">
        <f>IFERROR(VLOOKUP(A1856,VLOOKUPS!$A$2:B$12589,2,FALSE),"")</f>
        <v>Peaches 2lb-standard</v>
      </c>
      <c r="E1856">
        <v>3.68</v>
      </c>
      <c r="F1856">
        <v>2.29</v>
      </c>
      <c r="G1856" s="13">
        <v>44469</v>
      </c>
      <c r="H1856" s="13">
        <v>44470</v>
      </c>
      <c r="I1856" s="22" t="str">
        <f>VLOOKUP(J1856, Dropdowns!N:O, 2, FALSE)</f>
        <v>Lower Price</v>
      </c>
      <c r="J1856" t="s">
        <v>759</v>
      </c>
      <c r="L1856" s="17" t="s">
        <v>732</v>
      </c>
      <c r="M1856" s="17" t="s">
        <v>10</v>
      </c>
      <c r="N1856" s="17">
        <v>2</v>
      </c>
    </row>
    <row r="1857" spans="1:17" x14ac:dyDescent="0.25">
      <c r="A1857" s="10">
        <v>982230</v>
      </c>
      <c r="B1857" s="22" t="str">
        <f>IFERROR(VLOOKUP(A1857,VLOOKUPS!$A$2:B$12589,2,FALSE),"")</f>
        <v>Peaches 2lb-standard</v>
      </c>
      <c r="E1857">
        <v>2.29</v>
      </c>
      <c r="F1857">
        <v>3.68</v>
      </c>
      <c r="G1857" s="13">
        <v>44471</v>
      </c>
      <c r="H1857" s="13"/>
      <c r="I1857" s="22" t="str">
        <f>VLOOKUP(J1857, Dropdowns!N:O, 2, FALSE)</f>
        <v>Standard</v>
      </c>
      <c r="J1857" t="s">
        <v>760</v>
      </c>
      <c r="L1857" s="17" t="s">
        <v>732</v>
      </c>
      <c r="M1857" s="17" t="s">
        <v>10</v>
      </c>
      <c r="N1857" s="17">
        <v>2</v>
      </c>
    </row>
    <row r="1858" spans="1:17" x14ac:dyDescent="0.25">
      <c r="A1858" s="10">
        <v>983151</v>
      </c>
      <c r="B1858" s="22" t="str">
        <f>IFERROR(VLOOKUP(A1858,VLOOKUPS!$A$2:B$12589,2,FALSE),"")</f>
        <v>Melons* Golden Honeydew 1ct-LOOSE</v>
      </c>
      <c r="E1858">
        <v>3.88</v>
      </c>
      <c r="G1858" s="13">
        <v>44470</v>
      </c>
      <c r="H1858" s="13"/>
      <c r="I1858" s="22" t="str">
        <f>VLOOKUP(J1858, Dropdowns!N:O, 2, FALSE)</f>
        <v>NA</v>
      </c>
      <c r="J1858" t="s">
        <v>754</v>
      </c>
      <c r="L1858" s="17" t="s">
        <v>732</v>
      </c>
      <c r="M1858" s="17" t="s">
        <v>738</v>
      </c>
      <c r="N1858" s="17">
        <v>2</v>
      </c>
    </row>
    <row r="1859" spans="1:17" x14ac:dyDescent="0.25">
      <c r="A1859" s="10">
        <v>983201</v>
      </c>
      <c r="B1859" s="22" t="str">
        <f>IFERROR(VLOOKUP(A1859,VLOOKUPS!$A$2:B$12589,2,FALSE),"")</f>
        <v>Melons* Honeydew 1ct-LOOSE</v>
      </c>
      <c r="E1859">
        <v>3.58</v>
      </c>
      <c r="F1859">
        <v>3.98</v>
      </c>
      <c r="G1859" s="13">
        <v>44470</v>
      </c>
      <c r="H1859" s="13"/>
      <c r="I1859" s="22" t="str">
        <f>VLOOKUP(J1859, Dropdowns!N:O, 2, FALSE)</f>
        <v>Standard</v>
      </c>
      <c r="J1859" t="s">
        <v>761</v>
      </c>
      <c r="L1859" s="17" t="s">
        <v>732</v>
      </c>
      <c r="M1859" s="17" t="s">
        <v>737</v>
      </c>
      <c r="N1859" s="17" t="s">
        <v>736</v>
      </c>
    </row>
    <row r="1860" spans="1:17" x14ac:dyDescent="0.25">
      <c r="A1860" s="10">
        <v>984460</v>
      </c>
      <c r="B1860" s="22" t="str">
        <f>IFERROR(VLOOKUP(A1860,VLOOKUPS!$A$2:B$12589,2,FALSE),"")</f>
        <v>Strawberries 1lb-standard</v>
      </c>
      <c r="E1860">
        <v>2.29</v>
      </c>
      <c r="F1860">
        <v>1.79</v>
      </c>
      <c r="G1860" s="13">
        <v>44470</v>
      </c>
      <c r="H1860" s="13">
        <v>44471</v>
      </c>
      <c r="I1860" s="22" t="str">
        <f>VLOOKUP(J1860, Dropdowns!N:O, 2, FALSE)</f>
        <v>Lower Price</v>
      </c>
      <c r="J1860" t="s">
        <v>759</v>
      </c>
      <c r="L1860" s="17" t="s">
        <v>732</v>
      </c>
      <c r="M1860" s="17" t="s">
        <v>10</v>
      </c>
      <c r="N1860" s="17">
        <v>2</v>
      </c>
    </row>
    <row r="1861" spans="1:17" x14ac:dyDescent="0.25">
      <c r="A1861" s="10">
        <v>984460</v>
      </c>
      <c r="B1861" s="22" t="str">
        <f>IFERROR(VLOOKUP(A1861,VLOOKUPS!$A$2:B$12589,2,FALSE),"")</f>
        <v>Strawberries 1lb-standard</v>
      </c>
      <c r="E1861">
        <v>1.79</v>
      </c>
      <c r="F1861">
        <v>2.29</v>
      </c>
      <c r="G1861" s="13">
        <v>44472</v>
      </c>
      <c r="H1861" s="13"/>
      <c r="I1861" s="22" t="str">
        <f>VLOOKUP(J1861, Dropdowns!N:O, 2, FALSE)</f>
        <v>Standard</v>
      </c>
      <c r="J1861" t="s">
        <v>760</v>
      </c>
      <c r="L1861" s="17" t="s">
        <v>732</v>
      </c>
      <c r="M1861" s="17" t="s">
        <v>10</v>
      </c>
      <c r="N1861" s="17">
        <v>2</v>
      </c>
    </row>
    <row r="1862" spans="1:17" x14ac:dyDescent="0.25">
      <c r="A1862" s="10">
        <v>995032</v>
      </c>
      <c r="B1862" s="22" t="str">
        <f>IFERROR(VLOOKUP(A1862,VLOOKUPS!$A$2:B$12589,2,FALSE),"")</f>
        <v>Chopped Sunflower Crunch Kit 12.2oz-standard</v>
      </c>
      <c r="E1862">
        <v>3.49</v>
      </c>
      <c r="F1862">
        <v>1.99</v>
      </c>
      <c r="G1862" s="13">
        <v>44470</v>
      </c>
      <c r="H1862" s="13">
        <v>44471</v>
      </c>
      <c r="I1862" s="22" t="str">
        <f>VLOOKUP(J1862, Dropdowns!N:O, 2, FALSE)</f>
        <v>Lower Price</v>
      </c>
      <c r="J1862" t="s">
        <v>759</v>
      </c>
      <c r="L1862" s="17" t="s">
        <v>733</v>
      </c>
      <c r="M1862" s="17" t="s">
        <v>11</v>
      </c>
      <c r="N1862" s="17" t="s">
        <v>740</v>
      </c>
    </row>
    <row r="1863" spans="1:17" x14ac:dyDescent="0.25">
      <c r="A1863" s="10">
        <v>995032</v>
      </c>
      <c r="B1863" s="22" t="str">
        <f>IFERROR(VLOOKUP(A1863,VLOOKUPS!$A$2:B$12589,2,FALSE),"")</f>
        <v>Chopped Sunflower Crunch Kit 12.2oz-standard</v>
      </c>
      <c r="E1863">
        <v>1.99</v>
      </c>
      <c r="F1863">
        <v>3.49</v>
      </c>
      <c r="G1863" s="13">
        <v>44472</v>
      </c>
      <c r="H1863" s="13"/>
      <c r="I1863" s="22" t="str">
        <f>VLOOKUP(J1863, Dropdowns!N:O, 2, FALSE)</f>
        <v>Standard</v>
      </c>
      <c r="J1863" t="s">
        <v>760</v>
      </c>
      <c r="L1863" s="17" t="s">
        <v>733</v>
      </c>
      <c r="M1863" s="17" t="s">
        <v>11</v>
      </c>
      <c r="N1863" s="17" t="s">
        <v>740</v>
      </c>
    </row>
    <row r="1864" spans="1:17" x14ac:dyDescent="0.25">
      <c r="A1864" s="10">
        <v>995074</v>
      </c>
      <c r="B1864" s="22" t="str">
        <f>IFERROR(VLOOKUP(A1864,VLOOKUPS!$A$2:B$12589,2,FALSE),"")</f>
        <v>Southwest Chopped Salad Kit 12oz-standard</v>
      </c>
      <c r="G1864" s="13">
        <v>44470</v>
      </c>
      <c r="H1864" s="13"/>
      <c r="I1864" s="22" t="str">
        <f>VLOOKUP(J1864, Dropdowns!N:O, 2, FALSE)</f>
        <v>NA</v>
      </c>
      <c r="J1864" t="s">
        <v>754</v>
      </c>
      <c r="L1864" s="17" t="s">
        <v>732</v>
      </c>
      <c r="M1864" s="17" t="s">
        <v>736</v>
      </c>
      <c r="N1864" s="17" t="s">
        <v>736</v>
      </c>
    </row>
    <row r="1865" spans="1:17" x14ac:dyDescent="0.25">
      <c r="A1865" s="10">
        <v>995133</v>
      </c>
      <c r="B1865" s="22" t="str">
        <f>IFERROR(VLOOKUP(A1865,VLOOKUPS!$A$2:B$12589,2,FALSE),"")</f>
        <v>Organic Baby Spinach &amp; Arugula 5oz-standard</v>
      </c>
      <c r="E1865">
        <v>2.4900000000000002</v>
      </c>
      <c r="F1865">
        <v>1.49</v>
      </c>
      <c r="G1865" s="13">
        <v>44470</v>
      </c>
      <c r="H1865" s="13">
        <v>44471</v>
      </c>
      <c r="I1865" s="22" t="str">
        <f>VLOOKUP(J1865, Dropdowns!N:O, 2, FALSE)</f>
        <v>Lower Price</v>
      </c>
      <c r="J1865" t="s">
        <v>759</v>
      </c>
      <c r="L1865" s="17" t="s">
        <v>733</v>
      </c>
      <c r="M1865" s="17" t="s">
        <v>11</v>
      </c>
      <c r="N1865" s="17" t="s">
        <v>740</v>
      </c>
    </row>
    <row r="1866" spans="1:17" x14ac:dyDescent="0.25">
      <c r="A1866" s="10">
        <v>995133</v>
      </c>
      <c r="B1866" s="22" t="str">
        <f>IFERROR(VLOOKUP(A1866,VLOOKUPS!$A$2:B$12589,2,FALSE),"")</f>
        <v>Organic Baby Spinach &amp; Arugula 5oz-standard</v>
      </c>
      <c r="E1866">
        <v>1.49</v>
      </c>
      <c r="F1866">
        <v>2.4900000000000002</v>
      </c>
      <c r="G1866" s="13">
        <v>44472</v>
      </c>
      <c r="H1866" s="13"/>
      <c r="I1866" s="22" t="str">
        <f>VLOOKUP(J1866, Dropdowns!N:O, 2, FALSE)</f>
        <v>Standard</v>
      </c>
      <c r="J1866" t="s">
        <v>760</v>
      </c>
      <c r="L1866" s="17" t="s">
        <v>733</v>
      </c>
      <c r="M1866" s="17" t="s">
        <v>11</v>
      </c>
      <c r="N1866" s="17" t="s">
        <v>740</v>
      </c>
    </row>
    <row r="1867" spans="1:17" x14ac:dyDescent="0.25">
      <c r="A1867" s="10">
        <v>995158</v>
      </c>
      <c r="B1867" s="22" t="str">
        <f>IFERROR(VLOOKUP(A1867,VLOOKUPS!$A$2:B$12589,2,FALSE),"")</f>
        <v>Pico Guacamole 14oz-standard</v>
      </c>
      <c r="D1867">
        <v>6</v>
      </c>
      <c r="F1867">
        <v>4.49</v>
      </c>
      <c r="G1867" s="13">
        <v>44470</v>
      </c>
      <c r="H1867" s="13"/>
      <c r="I1867" s="22" t="str">
        <f>VLOOKUP(J1867, Dropdowns!N:O, 2, FALSE)</f>
        <v>New</v>
      </c>
      <c r="J1867" t="s">
        <v>776</v>
      </c>
      <c r="L1867" s="17" t="s">
        <v>732</v>
      </c>
      <c r="M1867" s="17" t="s">
        <v>736</v>
      </c>
      <c r="N1867" s="17" t="s">
        <v>736</v>
      </c>
      <c r="O1867" t="s">
        <v>748</v>
      </c>
      <c r="P1867">
        <v>1</v>
      </c>
      <c r="Q1867" s="17" t="s">
        <v>1044</v>
      </c>
    </row>
    <row r="1868" spans="1:17" x14ac:dyDescent="0.25">
      <c r="A1868" s="10">
        <v>982710</v>
      </c>
      <c r="B1868" s="22" t="str">
        <f>IFERROR(VLOOKUP(A1868,VLOOKUPS!$A$2:B$12589,2,FALSE),"")</f>
        <v>Organic* Grapes Green Seedless 2lb-standard</v>
      </c>
      <c r="E1868">
        <v>5.29</v>
      </c>
      <c r="F1868">
        <v>5.98</v>
      </c>
      <c r="G1868" s="13">
        <v>44470</v>
      </c>
      <c r="H1868" s="13"/>
      <c r="I1868" s="22" t="str">
        <f>VLOOKUP(J1868, Dropdowns!N:O, 2, FALSE)</f>
        <v>Standard</v>
      </c>
      <c r="J1868" t="s">
        <v>761</v>
      </c>
      <c r="L1868" s="17" t="s">
        <v>732</v>
      </c>
      <c r="M1868" s="17" t="s">
        <v>736</v>
      </c>
      <c r="N1868" s="17" t="s">
        <v>736</v>
      </c>
    </row>
    <row r="1869" spans="1:17" x14ac:dyDescent="0.25">
      <c r="A1869" s="10">
        <v>983151</v>
      </c>
      <c r="B1869" s="22" t="str">
        <f>IFERROR(VLOOKUP(A1869,VLOOKUPS!$A$2:B$12589,2,FALSE),"")</f>
        <v>Melons* Golden Honeydew 1ct-LOOSE</v>
      </c>
      <c r="E1869">
        <v>3.88</v>
      </c>
      <c r="G1869" s="13">
        <v>44473</v>
      </c>
      <c r="H1869" s="13"/>
      <c r="I1869" s="22" t="str">
        <f>VLOOKUP(J1869, Dropdowns!N:O, 2, FALSE)</f>
        <v>NA</v>
      </c>
      <c r="J1869" t="s">
        <v>754</v>
      </c>
      <c r="L1869" s="17" t="s">
        <v>732</v>
      </c>
      <c r="M1869" s="17" t="s">
        <v>9</v>
      </c>
      <c r="N1869" s="17" t="s">
        <v>736</v>
      </c>
    </row>
    <row r="1870" spans="1:17" x14ac:dyDescent="0.25">
      <c r="A1870" s="10">
        <v>984702</v>
      </c>
      <c r="B1870" s="22" t="str">
        <f>IFERROR(VLOOKUP(A1870,VLOOKUPS!$A$2:B$12589,2,FALSE),"")</f>
        <v>Blackberries 12oz-standard</v>
      </c>
      <c r="E1870">
        <v>4.62</v>
      </c>
      <c r="F1870">
        <v>3.62</v>
      </c>
      <c r="G1870" s="13">
        <v>44471</v>
      </c>
      <c r="H1870" s="13">
        <v>44472</v>
      </c>
      <c r="I1870" s="22" t="str">
        <f>VLOOKUP(J1870, Dropdowns!N:O, 2, FALSE)</f>
        <v>Lower Price</v>
      </c>
      <c r="J1870" t="s">
        <v>759</v>
      </c>
      <c r="L1870" s="17" t="s">
        <v>733</v>
      </c>
      <c r="M1870" s="17" t="s">
        <v>11</v>
      </c>
      <c r="N1870" s="17" t="s">
        <v>740</v>
      </c>
    </row>
    <row r="1871" spans="1:17" x14ac:dyDescent="0.25">
      <c r="A1871" s="10">
        <v>984702</v>
      </c>
      <c r="B1871" s="22" t="str">
        <f>IFERROR(VLOOKUP(A1871,VLOOKUPS!$A$2:B$12589,2,FALSE),"")</f>
        <v>Blackberries 12oz-standard</v>
      </c>
      <c r="E1871">
        <v>3.62</v>
      </c>
      <c r="F1871">
        <v>4.62</v>
      </c>
      <c r="G1871" s="13">
        <v>44473</v>
      </c>
      <c r="H1871" s="13"/>
      <c r="I1871" s="22" t="str">
        <f>VLOOKUP(J1871, Dropdowns!N:O, 2, FALSE)</f>
        <v>Standard</v>
      </c>
      <c r="J1871" t="s">
        <v>760</v>
      </c>
      <c r="L1871" s="17" t="s">
        <v>733</v>
      </c>
      <c r="M1871" s="17" t="s">
        <v>11</v>
      </c>
      <c r="N1871" s="17" t="s">
        <v>740</v>
      </c>
    </row>
    <row r="1872" spans="1:17" x14ac:dyDescent="0.25">
      <c r="A1872" s="10">
        <v>995032</v>
      </c>
      <c r="B1872" s="22" t="str">
        <f>IFERROR(VLOOKUP(A1872,VLOOKUPS!$A$2:B$12589,2,FALSE),"")</f>
        <v>Chopped Sunflower Crunch Kit 12.2oz-standard</v>
      </c>
      <c r="E1872">
        <v>3.49</v>
      </c>
      <c r="F1872">
        <v>2.4900000000000002</v>
      </c>
      <c r="G1872" s="13">
        <v>44471</v>
      </c>
      <c r="H1872" s="13">
        <v>44472</v>
      </c>
      <c r="I1872" s="22" t="str">
        <f>VLOOKUP(J1872, Dropdowns!N:O, 2, FALSE)</f>
        <v>Lower Price</v>
      </c>
      <c r="J1872" t="s">
        <v>759</v>
      </c>
      <c r="L1872" s="17" t="s">
        <v>732</v>
      </c>
      <c r="M1872" s="17" t="s">
        <v>10</v>
      </c>
      <c r="N1872" s="17">
        <v>2</v>
      </c>
    </row>
    <row r="1873" spans="1:14" x14ac:dyDescent="0.25">
      <c r="A1873" s="10">
        <v>995032</v>
      </c>
      <c r="B1873" s="22" t="str">
        <f>IFERROR(VLOOKUP(A1873,VLOOKUPS!$A$2:B$12589,2,FALSE),"")</f>
        <v>Chopped Sunflower Crunch Kit 12.2oz-standard</v>
      </c>
      <c r="E1873">
        <v>2.4900000000000002</v>
      </c>
      <c r="F1873">
        <v>3.49</v>
      </c>
      <c r="G1873" s="13">
        <v>44473</v>
      </c>
      <c r="H1873" s="13"/>
      <c r="I1873" s="22" t="str">
        <f>VLOOKUP(J1873, Dropdowns!N:O, 2, FALSE)</f>
        <v>Standard</v>
      </c>
      <c r="J1873" t="s">
        <v>760</v>
      </c>
      <c r="L1873" s="17" t="s">
        <v>732</v>
      </c>
      <c r="M1873" s="17" t="s">
        <v>10</v>
      </c>
      <c r="N1873" s="17">
        <v>2</v>
      </c>
    </row>
    <row r="1874" spans="1:14" x14ac:dyDescent="0.25">
      <c r="A1874" s="10">
        <v>995148</v>
      </c>
      <c r="B1874" s="22" t="str">
        <f>IFERROR(VLOOKUP(A1874,VLOOKUPS!$A$2:B$12589,2,FALSE),"")</f>
        <v>Fresh Salsa Verde 16oz-standard</v>
      </c>
      <c r="E1874">
        <v>4.49</v>
      </c>
      <c r="G1874" s="13">
        <v>44473</v>
      </c>
      <c r="H1874" s="13"/>
      <c r="I1874" s="22" t="str">
        <f>VLOOKUP(J1874, Dropdowns!N:O, 2, FALSE)</f>
        <v>NA</v>
      </c>
      <c r="J1874" t="s">
        <v>754</v>
      </c>
      <c r="L1874" s="17" t="s">
        <v>732</v>
      </c>
      <c r="M1874" s="17" t="s">
        <v>736</v>
      </c>
      <c r="N1874" s="17" t="s">
        <v>736</v>
      </c>
    </row>
    <row r="1875" spans="1:14" x14ac:dyDescent="0.25">
      <c r="A1875" s="10">
        <v>982230</v>
      </c>
      <c r="B1875" s="22" t="str">
        <f>IFERROR(VLOOKUP(A1875,VLOOKUPS!$A$2:B$12589,2,FALSE),"")</f>
        <v>Peaches 2lb-standard</v>
      </c>
      <c r="E1875">
        <v>3.68</v>
      </c>
      <c r="F1875">
        <v>2.68</v>
      </c>
      <c r="G1875" s="13">
        <v>44472</v>
      </c>
      <c r="H1875" s="13">
        <v>44473</v>
      </c>
      <c r="I1875" s="22" t="str">
        <f>VLOOKUP(J1875, Dropdowns!N:O, 2, FALSE)</f>
        <v>Lower Price</v>
      </c>
      <c r="J1875" t="s">
        <v>759</v>
      </c>
      <c r="L1875" s="17" t="s">
        <v>732</v>
      </c>
      <c r="M1875" s="17" t="s">
        <v>10</v>
      </c>
      <c r="N1875" s="17">
        <v>2</v>
      </c>
    </row>
    <row r="1876" spans="1:14" x14ac:dyDescent="0.25">
      <c r="A1876" s="10">
        <v>982230</v>
      </c>
      <c r="B1876" s="22" t="str">
        <f>IFERROR(VLOOKUP(A1876,VLOOKUPS!$A$2:B$12589,2,FALSE),"")</f>
        <v>Peaches 2lb-standard</v>
      </c>
      <c r="E1876">
        <v>2.68</v>
      </c>
      <c r="F1876">
        <v>3.68</v>
      </c>
      <c r="G1876" s="13">
        <v>44474</v>
      </c>
      <c r="H1876" s="13"/>
      <c r="I1876" s="22" t="str">
        <f>VLOOKUP(J1876, Dropdowns!N:O, 2, FALSE)</f>
        <v>Standard</v>
      </c>
      <c r="J1876" t="s">
        <v>760</v>
      </c>
      <c r="L1876" s="17" t="s">
        <v>732</v>
      </c>
      <c r="M1876" s="17" t="s">
        <v>10</v>
      </c>
      <c r="N1876" s="17">
        <v>2</v>
      </c>
    </row>
    <row r="1877" spans="1:14" x14ac:dyDescent="0.25">
      <c r="A1877" s="10">
        <v>982430</v>
      </c>
      <c r="B1877" s="22" t="str">
        <f>IFERROR(VLOOKUP(A1877,VLOOKUPS!$A$2:B$12589,2,FALSE),"")</f>
        <v>Plums 2lb-standard</v>
      </c>
      <c r="E1877">
        <v>3.98</v>
      </c>
      <c r="F1877">
        <v>2.98</v>
      </c>
      <c r="G1877" s="13">
        <v>44472</v>
      </c>
      <c r="H1877" s="13">
        <v>44473</v>
      </c>
      <c r="I1877" s="22" t="str">
        <f>VLOOKUP(J1877, Dropdowns!N:O, 2, FALSE)</f>
        <v>Lower Price</v>
      </c>
      <c r="J1877" t="s">
        <v>759</v>
      </c>
      <c r="L1877" s="17" t="s">
        <v>732</v>
      </c>
      <c r="M1877" s="17" t="s">
        <v>738</v>
      </c>
      <c r="N1877" s="17">
        <v>2</v>
      </c>
    </row>
    <row r="1878" spans="1:14" x14ac:dyDescent="0.25">
      <c r="A1878" s="10">
        <v>982430</v>
      </c>
      <c r="B1878" s="22" t="str">
        <f>IFERROR(VLOOKUP(A1878,VLOOKUPS!$A$2:B$12589,2,FALSE),"")</f>
        <v>Plums 2lb-standard</v>
      </c>
      <c r="E1878">
        <v>2.98</v>
      </c>
      <c r="F1878">
        <v>3.98</v>
      </c>
      <c r="G1878" s="13">
        <v>44474</v>
      </c>
      <c r="H1878" s="13"/>
      <c r="I1878" s="22" t="str">
        <f>VLOOKUP(J1878, Dropdowns!N:O, 2, FALSE)</f>
        <v>Standard</v>
      </c>
      <c r="J1878" t="s">
        <v>760</v>
      </c>
      <c r="L1878" s="17" t="s">
        <v>732</v>
      </c>
      <c r="M1878" s="17" t="s">
        <v>738</v>
      </c>
      <c r="N1878" s="17">
        <v>2</v>
      </c>
    </row>
    <row r="1879" spans="1:14" x14ac:dyDescent="0.25">
      <c r="A1879" s="10">
        <v>983201</v>
      </c>
      <c r="B1879" s="22" t="str">
        <f>IFERROR(VLOOKUP(A1879,VLOOKUPS!$A$2:B$12589,2,FALSE),"")</f>
        <v>Melons* Honeydew 1ct-LOOSE</v>
      </c>
      <c r="E1879">
        <v>3.98</v>
      </c>
      <c r="F1879">
        <v>2.48</v>
      </c>
      <c r="G1879" s="13">
        <v>44474</v>
      </c>
      <c r="H1879" s="13">
        <v>44476</v>
      </c>
      <c r="I1879" s="22" t="str">
        <f>VLOOKUP(J1879, Dropdowns!N:O, 2, FALSE)</f>
        <v>Lower Price</v>
      </c>
      <c r="J1879" t="s">
        <v>759</v>
      </c>
      <c r="L1879" s="17" t="s">
        <v>733</v>
      </c>
      <c r="M1879" s="17" t="s">
        <v>11</v>
      </c>
      <c r="N1879" s="17" t="s">
        <v>740</v>
      </c>
    </row>
    <row r="1880" spans="1:14" x14ac:dyDescent="0.25">
      <c r="A1880" s="10">
        <v>983201</v>
      </c>
      <c r="B1880" s="22" t="str">
        <f>IFERROR(VLOOKUP(A1880,VLOOKUPS!$A$2:B$12589,2,FALSE),"")</f>
        <v>Melons* Honeydew 1ct-LOOSE</v>
      </c>
      <c r="E1880">
        <v>2.48</v>
      </c>
      <c r="F1880">
        <v>3.98</v>
      </c>
      <c r="G1880" s="13">
        <v>44477</v>
      </c>
      <c r="H1880" s="13"/>
      <c r="I1880" s="22" t="str">
        <f>VLOOKUP(J1880, Dropdowns!N:O, 2, FALSE)</f>
        <v>Standard</v>
      </c>
      <c r="J1880" t="s">
        <v>760</v>
      </c>
      <c r="L1880" s="17" t="s">
        <v>733</v>
      </c>
      <c r="M1880" s="17" t="s">
        <v>11</v>
      </c>
      <c r="N1880" s="17" t="s">
        <v>740</v>
      </c>
    </row>
    <row r="1881" spans="1:14" x14ac:dyDescent="0.25">
      <c r="A1881" s="10">
        <v>984460</v>
      </c>
      <c r="B1881" s="22" t="str">
        <f>IFERROR(VLOOKUP(A1881,VLOOKUPS!$A$2:B$12589,2,FALSE),"")</f>
        <v>Strawberries 1lb-standard</v>
      </c>
      <c r="E1881">
        <v>2.29</v>
      </c>
      <c r="F1881">
        <v>1.69</v>
      </c>
      <c r="G1881" s="13">
        <v>44474</v>
      </c>
      <c r="H1881" s="13">
        <v>44475</v>
      </c>
      <c r="I1881" s="22" t="str">
        <f>VLOOKUP(J1881, Dropdowns!N:O, 2, FALSE)</f>
        <v>Lower Price</v>
      </c>
      <c r="J1881" t="s">
        <v>759</v>
      </c>
      <c r="L1881" s="17" t="s">
        <v>732</v>
      </c>
      <c r="M1881" s="17" t="s">
        <v>10</v>
      </c>
      <c r="N1881" s="17">
        <v>2</v>
      </c>
    </row>
    <row r="1882" spans="1:14" x14ac:dyDescent="0.25">
      <c r="A1882" s="10">
        <v>984460</v>
      </c>
      <c r="B1882" s="22" t="str">
        <f>IFERROR(VLOOKUP(A1882,VLOOKUPS!$A$2:B$12589,2,FALSE),"")</f>
        <v>Strawberries 1lb-standard</v>
      </c>
      <c r="E1882">
        <v>1.69</v>
      </c>
      <c r="F1882">
        <v>2.29</v>
      </c>
      <c r="G1882" s="13">
        <v>44476</v>
      </c>
      <c r="H1882" s="13"/>
      <c r="I1882" s="22" t="str">
        <f>VLOOKUP(J1882, Dropdowns!N:O, 2, FALSE)</f>
        <v>Standard</v>
      </c>
      <c r="J1882" t="s">
        <v>760</v>
      </c>
      <c r="L1882" s="17" t="s">
        <v>732</v>
      </c>
      <c r="M1882" s="17" t="s">
        <v>10</v>
      </c>
      <c r="N1882" s="17">
        <v>2</v>
      </c>
    </row>
    <row r="1883" spans="1:14" x14ac:dyDescent="0.25">
      <c r="A1883" s="10">
        <v>984620</v>
      </c>
      <c r="B1883" s="22" t="str">
        <f>IFERROR(VLOOKUP(A1883,VLOOKUPS!$A$2:B$12589,2,FALSE),"")</f>
        <v>Raspberries 6oz-standard</v>
      </c>
      <c r="E1883">
        <v>2.7</v>
      </c>
      <c r="F1883">
        <v>3.12</v>
      </c>
      <c r="G1883" s="13">
        <v>44474</v>
      </c>
      <c r="H1883" s="13"/>
      <c r="I1883" s="22" t="str">
        <f>VLOOKUP(J1883, Dropdowns!N:O, 2, FALSE)</f>
        <v>Standard</v>
      </c>
      <c r="J1883" t="s">
        <v>761</v>
      </c>
      <c r="L1883" s="17" t="s">
        <v>732</v>
      </c>
      <c r="M1883" s="17" t="s">
        <v>736</v>
      </c>
      <c r="N1883" s="17" t="s">
        <v>736</v>
      </c>
    </row>
    <row r="1884" spans="1:14" x14ac:dyDescent="0.25">
      <c r="A1884" s="10">
        <v>995006</v>
      </c>
      <c r="B1884" s="22" t="str">
        <f>IFERROR(VLOOKUP(A1884,VLOOKUPS!$A$2:B$12589,2,FALSE),"")</f>
        <v>Italian Salad 9oz-standard</v>
      </c>
      <c r="E1884">
        <v>2.29</v>
      </c>
      <c r="F1884">
        <v>1.49</v>
      </c>
      <c r="G1884" s="13">
        <v>44474</v>
      </c>
      <c r="H1884" s="13">
        <v>44475</v>
      </c>
      <c r="I1884" s="22" t="str">
        <f>VLOOKUP(J1884, Dropdowns!N:O, 2, FALSE)</f>
        <v>Lower Price</v>
      </c>
      <c r="J1884" t="s">
        <v>759</v>
      </c>
      <c r="L1884" s="17" t="s">
        <v>733</v>
      </c>
      <c r="M1884" s="17" t="s">
        <v>11</v>
      </c>
      <c r="N1884" s="17" t="s">
        <v>740</v>
      </c>
    </row>
    <row r="1885" spans="1:14" x14ac:dyDescent="0.25">
      <c r="A1885" s="10">
        <v>995006</v>
      </c>
      <c r="B1885" s="22" t="str">
        <f>IFERROR(VLOOKUP(A1885,VLOOKUPS!$A$2:B$12589,2,FALSE),"")</f>
        <v>Italian Salad 9oz-standard</v>
      </c>
      <c r="E1885">
        <v>1.49</v>
      </c>
      <c r="F1885">
        <v>2.29</v>
      </c>
      <c r="G1885" s="13">
        <v>44476</v>
      </c>
      <c r="H1885" s="13"/>
      <c r="I1885" s="22" t="str">
        <f>VLOOKUP(J1885, Dropdowns!N:O, 2, FALSE)</f>
        <v>Standard</v>
      </c>
      <c r="J1885" t="s">
        <v>760</v>
      </c>
      <c r="L1885" s="17" t="s">
        <v>733</v>
      </c>
      <c r="M1885" s="17" t="s">
        <v>11</v>
      </c>
      <c r="N1885" s="17" t="s">
        <v>740</v>
      </c>
    </row>
    <row r="1886" spans="1:14" x14ac:dyDescent="0.25">
      <c r="A1886" s="10">
        <v>995015</v>
      </c>
      <c r="B1886" s="22" t="str">
        <f>IFERROR(VLOOKUP(A1886,VLOOKUPS!$A$2:B$12589,2,FALSE),"")</f>
        <v>Savory Spinach Dijon Salad 4.9oz-standard</v>
      </c>
      <c r="E1886">
        <v>2.89</v>
      </c>
      <c r="G1886" s="13">
        <v>44474</v>
      </c>
      <c r="H1886" s="13"/>
      <c r="I1886" s="22" t="str">
        <f>VLOOKUP(J1886, Dropdowns!N:O, 2, FALSE)</f>
        <v>NA</v>
      </c>
      <c r="J1886" t="s">
        <v>754</v>
      </c>
      <c r="L1886" s="17" t="s">
        <v>732</v>
      </c>
      <c r="M1886" s="17" t="s">
        <v>736</v>
      </c>
      <c r="N1886" t="s">
        <v>736</v>
      </c>
    </row>
    <row r="1887" spans="1:14" x14ac:dyDescent="0.25">
      <c r="A1887" s="10">
        <v>995045</v>
      </c>
      <c r="B1887" s="22" t="str">
        <f>IFERROR(VLOOKUP(A1887,VLOOKUPS!$A$2:B$12589,2,FALSE),"")</f>
        <v>Fajita Blend 12oz-standard</v>
      </c>
      <c r="E1887">
        <v>3.99</v>
      </c>
      <c r="F1887">
        <v>2.99</v>
      </c>
      <c r="G1887" s="13">
        <v>44474</v>
      </c>
      <c r="H1887" s="13">
        <v>44475</v>
      </c>
      <c r="I1887" s="22" t="str">
        <f>VLOOKUP(J1887, Dropdowns!N:O, 2, FALSE)</f>
        <v>Lower Price</v>
      </c>
      <c r="J1887" t="s">
        <v>759</v>
      </c>
      <c r="L1887" s="17" t="s">
        <v>733</v>
      </c>
      <c r="M1887" s="17" t="s">
        <v>11</v>
      </c>
      <c r="N1887" s="17" t="s">
        <v>740</v>
      </c>
    </row>
    <row r="1888" spans="1:14" x14ac:dyDescent="0.25">
      <c r="A1888" s="10">
        <v>995045</v>
      </c>
      <c r="B1888" s="22" t="str">
        <f>IFERROR(VLOOKUP(A1888,VLOOKUPS!$A$2:B$12589,2,FALSE),"")</f>
        <v>Fajita Blend 12oz-standard</v>
      </c>
      <c r="E1888">
        <v>2.99</v>
      </c>
      <c r="F1888">
        <v>3.99</v>
      </c>
      <c r="G1888" s="13">
        <v>44476</v>
      </c>
      <c r="H1888" s="13"/>
      <c r="I1888" s="22" t="str">
        <f>VLOOKUP(J1888, Dropdowns!N:O, 2, FALSE)</f>
        <v>Standard</v>
      </c>
      <c r="J1888" t="s">
        <v>760</v>
      </c>
      <c r="L1888" s="17" t="s">
        <v>733</v>
      </c>
      <c r="M1888" s="17" t="s">
        <v>11</v>
      </c>
      <c r="N1888" s="17" t="s">
        <v>740</v>
      </c>
    </row>
    <row r="1889" spans="1:14" x14ac:dyDescent="0.25">
      <c r="A1889" s="10">
        <v>995100</v>
      </c>
      <c r="B1889" s="22" t="str">
        <f>IFERROR(VLOOKUP(A1889,VLOOKUPS!$A$2:B$12589,2,FALSE),"")</f>
        <v>Asian Chopped Salad Kit 12oz-standard</v>
      </c>
      <c r="E1889">
        <v>3.49</v>
      </c>
      <c r="F1889">
        <v>2.4900000000000002</v>
      </c>
      <c r="G1889" s="13">
        <v>44474</v>
      </c>
      <c r="H1889" s="13">
        <v>44475</v>
      </c>
      <c r="I1889" s="22" t="str">
        <f>VLOOKUP(J1889, Dropdowns!N:O, 2, FALSE)</f>
        <v>Lower Price</v>
      </c>
      <c r="J1889" t="s">
        <v>759</v>
      </c>
      <c r="L1889" s="17" t="s">
        <v>732</v>
      </c>
      <c r="M1889" s="17" t="s">
        <v>10</v>
      </c>
      <c r="N1889" s="17">
        <v>2</v>
      </c>
    </row>
    <row r="1890" spans="1:14" x14ac:dyDescent="0.25">
      <c r="A1890" s="10">
        <v>995100</v>
      </c>
      <c r="B1890" s="22" t="str">
        <f>IFERROR(VLOOKUP(A1890,VLOOKUPS!$A$2:B$12589,2,FALSE),"")</f>
        <v>Asian Chopped Salad Kit 12oz-standard</v>
      </c>
      <c r="E1890">
        <v>2.4900000000000002</v>
      </c>
      <c r="F1890">
        <v>3.49</v>
      </c>
      <c r="G1890" s="13">
        <v>44476</v>
      </c>
      <c r="H1890" s="13"/>
      <c r="I1890" s="22" t="str">
        <f>VLOOKUP(J1890, Dropdowns!N:O, 2, FALSE)</f>
        <v>Standard</v>
      </c>
      <c r="J1890" t="s">
        <v>760</v>
      </c>
      <c r="L1890" s="17" t="s">
        <v>732</v>
      </c>
      <c r="M1890" s="17" t="s">
        <v>10</v>
      </c>
      <c r="N1890" s="17">
        <v>2</v>
      </c>
    </row>
    <row r="1891" spans="1:14" x14ac:dyDescent="0.25">
      <c r="A1891" s="10">
        <v>995137</v>
      </c>
      <c r="B1891" s="22" t="str">
        <f>IFERROR(VLOOKUP(A1891,VLOOKUPS!$A$2:B$12589,2,FALSE),"")</f>
        <v>Half and Half 11oz-standard</v>
      </c>
      <c r="E1891">
        <v>4.18</v>
      </c>
      <c r="F1891">
        <v>3.18</v>
      </c>
      <c r="G1891" s="13">
        <v>44474</v>
      </c>
      <c r="H1891" s="13">
        <v>44475</v>
      </c>
      <c r="I1891" s="22" t="str">
        <f>VLOOKUP(J1891, Dropdowns!N:O, 2, FALSE)</f>
        <v>Lower Price</v>
      </c>
      <c r="J1891" t="s">
        <v>759</v>
      </c>
      <c r="L1891" s="17" t="s">
        <v>732</v>
      </c>
      <c r="M1891" s="17" t="s">
        <v>737</v>
      </c>
      <c r="N1891" s="17" t="s">
        <v>736</v>
      </c>
    </row>
    <row r="1892" spans="1:14" x14ac:dyDescent="0.25">
      <c r="A1892" s="10">
        <v>995137</v>
      </c>
      <c r="B1892" s="22" t="str">
        <f>IFERROR(VLOOKUP(A1892,VLOOKUPS!$A$2:B$12589,2,FALSE),"")</f>
        <v>Half and Half 11oz-standard</v>
      </c>
      <c r="E1892">
        <v>3.18</v>
      </c>
      <c r="F1892">
        <v>4.18</v>
      </c>
      <c r="G1892" s="13">
        <v>44476</v>
      </c>
      <c r="H1892" s="13"/>
      <c r="I1892" s="22" t="str">
        <f>VLOOKUP(J1892, Dropdowns!N:O, 2, FALSE)</f>
        <v>Standard</v>
      </c>
      <c r="J1892" t="s">
        <v>760</v>
      </c>
      <c r="L1892" s="17" t="s">
        <v>732</v>
      </c>
      <c r="M1892" s="17" t="s">
        <v>737</v>
      </c>
      <c r="N1892" s="17" t="s">
        <v>736</v>
      </c>
    </row>
    <row r="1893" spans="1:14" x14ac:dyDescent="0.25">
      <c r="A1893" s="10">
        <v>982800</v>
      </c>
      <c r="B1893" s="22" t="str">
        <f>IFERROR(VLOOKUP(A1893,VLOOKUPS!$A$2:B$12589,2,FALSE),"")</f>
        <v>Organic* Grapes Red Seedless 2lb-standard</v>
      </c>
      <c r="E1893">
        <v>5.29</v>
      </c>
      <c r="F1893">
        <v>3.99</v>
      </c>
      <c r="G1893" s="13">
        <v>44474</v>
      </c>
      <c r="H1893" s="13">
        <v>44475</v>
      </c>
      <c r="I1893" s="22" t="str">
        <f>VLOOKUP(J1893, Dropdowns!N:O, 2, FALSE)</f>
        <v>Lower Price</v>
      </c>
      <c r="J1893" t="s">
        <v>759</v>
      </c>
      <c r="L1893" s="17" t="s">
        <v>733</v>
      </c>
      <c r="M1893" s="17" t="s">
        <v>11</v>
      </c>
      <c r="N1893" s="17" t="s">
        <v>740</v>
      </c>
    </row>
    <row r="1894" spans="1:14" x14ac:dyDescent="0.25">
      <c r="A1894" s="10">
        <v>982800</v>
      </c>
      <c r="B1894" s="22" t="str">
        <f>IFERROR(VLOOKUP(A1894,VLOOKUPS!$A$2:B$12589,2,FALSE),"")</f>
        <v>Organic* Grapes Red Seedless 2lb-standard</v>
      </c>
      <c r="E1894">
        <v>3.99</v>
      </c>
      <c r="F1894">
        <v>5.29</v>
      </c>
      <c r="G1894" s="13">
        <v>44476</v>
      </c>
      <c r="H1894" s="13"/>
      <c r="I1894" s="22" t="str">
        <f>VLOOKUP(J1894, Dropdowns!N:O, 2, FALSE)</f>
        <v>Standard</v>
      </c>
      <c r="J1894" t="s">
        <v>760</v>
      </c>
      <c r="L1894" s="17" t="s">
        <v>733</v>
      </c>
      <c r="M1894" s="17" t="s">
        <v>11</v>
      </c>
      <c r="N1894" s="17" t="s">
        <v>740</v>
      </c>
    </row>
    <row r="1895" spans="1:14" x14ac:dyDescent="0.25">
      <c r="A1895" s="10">
        <v>982400</v>
      </c>
      <c r="B1895" s="22" t="str">
        <f>IFERROR(VLOOKUP(A1895,VLOOKUPS!$A$2:B$12589,2,FALSE),"")</f>
        <v>Plums 1lb-LOOSE</v>
      </c>
      <c r="E1895">
        <v>2.08</v>
      </c>
      <c r="F1895">
        <v>1.49</v>
      </c>
      <c r="G1895" s="13">
        <v>44474</v>
      </c>
      <c r="H1895" s="13">
        <v>44475</v>
      </c>
      <c r="I1895" s="22" t="str">
        <f>VLOOKUP(J1895, Dropdowns!N:O, 2, FALSE)</f>
        <v>Lower Price</v>
      </c>
      <c r="J1895" t="s">
        <v>759</v>
      </c>
      <c r="L1895" s="17" t="s">
        <v>732</v>
      </c>
      <c r="M1895" s="17" t="s">
        <v>10</v>
      </c>
      <c r="N1895" s="17">
        <v>2</v>
      </c>
    </row>
    <row r="1896" spans="1:14" x14ac:dyDescent="0.25">
      <c r="A1896" s="10">
        <v>982400</v>
      </c>
      <c r="B1896" s="22" t="str">
        <f>IFERROR(VLOOKUP(A1896,VLOOKUPS!$A$2:B$12589,2,FALSE),"")</f>
        <v>Plums 1lb-LOOSE</v>
      </c>
      <c r="E1896">
        <v>1.49</v>
      </c>
      <c r="F1896">
        <v>2.08</v>
      </c>
      <c r="G1896" s="13">
        <v>44476</v>
      </c>
      <c r="H1896" s="13"/>
      <c r="I1896" s="22" t="str">
        <f>VLOOKUP(J1896, Dropdowns!N:O, 2, FALSE)</f>
        <v>Standard</v>
      </c>
      <c r="J1896" t="s">
        <v>760</v>
      </c>
      <c r="L1896" s="17" t="s">
        <v>732</v>
      </c>
      <c r="M1896" s="17" t="s">
        <v>10</v>
      </c>
      <c r="N1896" s="17">
        <v>2</v>
      </c>
    </row>
    <row r="1897" spans="1:14" x14ac:dyDescent="0.25">
      <c r="A1897" s="10">
        <v>984541</v>
      </c>
      <c r="B1897" s="22" t="str">
        <f>IFERROR(VLOOKUP(A1897,VLOOKUPS!$A$2:B$12589,2,FALSE),"")</f>
        <v>Blueberries 1pt-standard</v>
      </c>
      <c r="E1897">
        <v>2.89</v>
      </c>
      <c r="F1897">
        <v>1.89</v>
      </c>
      <c r="G1897" s="13">
        <v>44475</v>
      </c>
      <c r="H1897" s="13">
        <v>44476</v>
      </c>
      <c r="I1897" s="22" t="str">
        <f>VLOOKUP(J1897, Dropdowns!N:O, 2, FALSE)</f>
        <v>Lower Price</v>
      </c>
      <c r="J1897" t="s">
        <v>759</v>
      </c>
      <c r="L1897" s="17" t="s">
        <v>733</v>
      </c>
      <c r="M1897" s="17" t="s">
        <v>11</v>
      </c>
      <c r="N1897" s="17" t="s">
        <v>740</v>
      </c>
    </row>
    <row r="1898" spans="1:14" x14ac:dyDescent="0.25">
      <c r="A1898" s="10">
        <v>984541</v>
      </c>
      <c r="B1898" s="22" t="str">
        <f>IFERROR(VLOOKUP(A1898,VLOOKUPS!$A$2:B$12589,2,FALSE),"")</f>
        <v>Blueberries 1pt-standard</v>
      </c>
      <c r="E1898">
        <v>1.89</v>
      </c>
      <c r="F1898">
        <v>2.89</v>
      </c>
      <c r="G1898" s="13">
        <v>44477</v>
      </c>
      <c r="H1898" s="13"/>
      <c r="I1898" s="22" t="str">
        <f>VLOOKUP(J1898, Dropdowns!N:O, 2, FALSE)</f>
        <v>Standard</v>
      </c>
      <c r="J1898" t="s">
        <v>760</v>
      </c>
      <c r="L1898" s="17" t="s">
        <v>733</v>
      </c>
      <c r="M1898" s="17" t="s">
        <v>11</v>
      </c>
      <c r="N1898" s="17" t="s">
        <v>740</v>
      </c>
    </row>
    <row r="1899" spans="1:14" x14ac:dyDescent="0.25">
      <c r="A1899" s="10">
        <v>984620</v>
      </c>
      <c r="B1899" s="22" t="str">
        <f>IFERROR(VLOOKUP(A1899,VLOOKUPS!$A$2:B$12589,2,FALSE),"")</f>
        <v>Raspberries 6oz-standard</v>
      </c>
      <c r="G1899" s="13">
        <v>44475</v>
      </c>
      <c r="H1899" s="13">
        <v>44481</v>
      </c>
      <c r="I1899" s="22" t="str">
        <f>VLOOKUP(J1899, Dropdowns!N:O, 2, FALSE)</f>
        <v>Lower Price</v>
      </c>
      <c r="J1899" t="s">
        <v>753</v>
      </c>
      <c r="L1899" s="17" t="s">
        <v>732</v>
      </c>
      <c r="M1899" s="17" t="s">
        <v>736</v>
      </c>
      <c r="N1899" s="17" t="s">
        <v>736</v>
      </c>
    </row>
    <row r="1900" spans="1:14" x14ac:dyDescent="0.25">
      <c r="A1900" s="10">
        <v>984700</v>
      </c>
      <c r="B1900" s="22" t="str">
        <f>IFERROR(VLOOKUP(A1900,VLOOKUPS!$A$2:B$12589,2,FALSE),"")</f>
        <v>Blackberries 6oz-standard</v>
      </c>
      <c r="E1900">
        <v>2.68</v>
      </c>
      <c r="F1900">
        <v>1.78</v>
      </c>
      <c r="G1900" s="13">
        <v>44475</v>
      </c>
      <c r="H1900" s="13">
        <v>44476</v>
      </c>
      <c r="I1900" s="22" t="str">
        <f>VLOOKUP(J1900, Dropdowns!N:O, 2, FALSE)</f>
        <v>Lower Price</v>
      </c>
      <c r="J1900" t="s">
        <v>759</v>
      </c>
      <c r="L1900" s="17" t="s">
        <v>732</v>
      </c>
      <c r="M1900" s="17" t="s">
        <v>10</v>
      </c>
      <c r="N1900" s="17">
        <v>2</v>
      </c>
    </row>
    <row r="1901" spans="1:14" x14ac:dyDescent="0.25">
      <c r="A1901" s="10">
        <v>984700</v>
      </c>
      <c r="B1901" s="22" t="str">
        <f>IFERROR(VLOOKUP(A1901,VLOOKUPS!$A$2:B$12589,2,FALSE),"")</f>
        <v>Blackberries 6oz-standard</v>
      </c>
      <c r="E1901">
        <v>1.78</v>
      </c>
      <c r="F1901">
        <v>2.68</v>
      </c>
      <c r="G1901" s="13">
        <v>44477</v>
      </c>
      <c r="H1901" s="13"/>
      <c r="I1901" s="22" t="str">
        <f>VLOOKUP(J1901, Dropdowns!N:O, 2, FALSE)</f>
        <v>Standard</v>
      </c>
      <c r="J1901" t="s">
        <v>760</v>
      </c>
      <c r="L1901" s="17" t="s">
        <v>732</v>
      </c>
      <c r="M1901" s="17" t="s">
        <v>10</v>
      </c>
      <c r="N1901" s="17">
        <v>2</v>
      </c>
    </row>
    <row r="1902" spans="1:14" x14ac:dyDescent="0.25">
      <c r="A1902" s="10">
        <v>982831</v>
      </c>
      <c r="B1902" s="22" t="str">
        <f>IFERROR(VLOOKUP(A1902,VLOOKUPS!$A$2:B$12589,2,FALSE),"")</f>
        <v>Grapes Multi-Color 3lb-PK</v>
      </c>
      <c r="G1902" s="13">
        <v>44475</v>
      </c>
      <c r="H1902" s="13"/>
      <c r="I1902" s="22" t="str">
        <f>VLOOKUP(J1902, Dropdowns!N:O, 2, FALSE)</f>
        <v>NA</v>
      </c>
      <c r="J1902" t="s">
        <v>754</v>
      </c>
      <c r="L1902" s="17" t="s">
        <v>732</v>
      </c>
      <c r="M1902" s="17" t="s">
        <v>736</v>
      </c>
      <c r="N1902" s="17" t="s">
        <v>736</v>
      </c>
    </row>
    <row r="1903" spans="1:14" x14ac:dyDescent="0.25">
      <c r="A1903" s="10">
        <v>982740</v>
      </c>
      <c r="B1903" s="22" t="str">
        <f>IFERROR(VLOOKUP(A1903,VLOOKUPS!$A$2:B$12589,2,FALSE),"")</f>
        <v>Grapes* Red Seedless 1lb-LOOSE</v>
      </c>
      <c r="E1903">
        <v>0.95</v>
      </c>
      <c r="F1903">
        <v>1.59</v>
      </c>
      <c r="G1903" s="13">
        <v>44475</v>
      </c>
      <c r="H1903" s="13"/>
      <c r="I1903" s="22" t="str">
        <f>VLOOKUP(J1903, Dropdowns!N:O, 2, FALSE)</f>
        <v>Standard</v>
      </c>
      <c r="J1903" t="s">
        <v>760</v>
      </c>
      <c r="L1903" s="17" t="s">
        <v>732</v>
      </c>
      <c r="M1903" s="17" t="s">
        <v>736</v>
      </c>
      <c r="N1903" s="17" t="s">
        <v>736</v>
      </c>
    </row>
    <row r="1904" spans="1:14" x14ac:dyDescent="0.25">
      <c r="A1904" s="10">
        <v>984542</v>
      </c>
      <c r="B1904" s="22" t="str">
        <f>IFERROR(VLOOKUP(A1904,VLOOKUPS!$A$2:B$12589,2,FALSE),"")</f>
        <v>Blueberries 18oz-standard</v>
      </c>
      <c r="E1904">
        <v>2.4900000000000002</v>
      </c>
      <c r="F1904">
        <v>4.99</v>
      </c>
      <c r="G1904" s="13">
        <v>44475</v>
      </c>
      <c r="H1904" s="13"/>
      <c r="I1904" s="22" t="str">
        <f>VLOOKUP(J1904, Dropdowns!N:O, 2, FALSE)</f>
        <v>Standard</v>
      </c>
      <c r="J1904" t="s">
        <v>760</v>
      </c>
      <c r="L1904" s="17" t="s">
        <v>732</v>
      </c>
      <c r="M1904" s="17" t="s">
        <v>736</v>
      </c>
      <c r="N1904" s="17" t="s">
        <v>736</v>
      </c>
    </row>
    <row r="1905" spans="1:17" x14ac:dyDescent="0.25">
      <c r="A1905" s="10">
        <v>984542</v>
      </c>
      <c r="B1905" s="22" t="str">
        <f>IFERROR(VLOOKUP(A1905,VLOOKUPS!$A$2:B$12589,2,FALSE),"")</f>
        <v>Blueberries 18oz-standard</v>
      </c>
      <c r="E1905">
        <v>4.99</v>
      </c>
      <c r="F1905">
        <v>4.59</v>
      </c>
      <c r="G1905" s="13">
        <v>44476</v>
      </c>
      <c r="H1905" s="13"/>
      <c r="I1905" s="22" t="str">
        <f>VLOOKUP(J1905, Dropdowns!N:O, 2, FALSE)</f>
        <v>Standard</v>
      </c>
      <c r="J1905" t="s">
        <v>761</v>
      </c>
      <c r="L1905" s="17" t="s">
        <v>732</v>
      </c>
      <c r="M1905" s="17" t="s">
        <v>738</v>
      </c>
      <c r="N1905" s="17">
        <v>2</v>
      </c>
    </row>
    <row r="1906" spans="1:17" x14ac:dyDescent="0.25">
      <c r="A1906" s="10">
        <v>984542</v>
      </c>
      <c r="B1906" s="22" t="str">
        <f>IFERROR(VLOOKUP(A1906,VLOOKUPS!$A$2:B$12589,2,FALSE),"")</f>
        <v>Blueberries 18oz-standard</v>
      </c>
      <c r="E1906">
        <v>4.99</v>
      </c>
      <c r="F1906">
        <v>3.49</v>
      </c>
      <c r="G1906" s="13">
        <v>44476</v>
      </c>
      <c r="H1906" s="13">
        <v>44478</v>
      </c>
      <c r="I1906" s="22" t="str">
        <f>VLOOKUP(J1906, Dropdowns!N:O, 2, FALSE)</f>
        <v>Lower Price</v>
      </c>
      <c r="J1906" t="s">
        <v>759</v>
      </c>
      <c r="L1906" s="17" t="s">
        <v>732</v>
      </c>
      <c r="M1906" s="17" t="s">
        <v>9</v>
      </c>
      <c r="N1906" s="17" t="s">
        <v>736</v>
      </c>
    </row>
    <row r="1907" spans="1:17" x14ac:dyDescent="0.25">
      <c r="A1907" s="10">
        <v>984542</v>
      </c>
      <c r="B1907" s="22" t="str">
        <f>IFERROR(VLOOKUP(A1907,VLOOKUPS!$A$2:B$12589,2,FALSE),"")</f>
        <v>Blueberries 18oz-standard</v>
      </c>
      <c r="E1907">
        <v>3.49</v>
      </c>
      <c r="F1907">
        <v>4.99</v>
      </c>
      <c r="G1907" s="13">
        <v>44479</v>
      </c>
      <c r="H1907" s="13"/>
      <c r="I1907" s="22" t="str">
        <f>VLOOKUP(J1907, Dropdowns!N:O, 2, FALSE)</f>
        <v>Standard</v>
      </c>
      <c r="J1907" t="s">
        <v>760</v>
      </c>
      <c r="L1907" s="17" t="s">
        <v>732</v>
      </c>
      <c r="M1907" s="17" t="s">
        <v>9</v>
      </c>
      <c r="N1907" s="17" t="s">
        <v>736</v>
      </c>
    </row>
    <row r="1908" spans="1:17" x14ac:dyDescent="0.25">
      <c r="A1908" s="10">
        <v>984542</v>
      </c>
      <c r="B1908" s="22" t="str">
        <f>IFERROR(VLOOKUP(A1908,VLOOKUPS!$A$2:B$12589,2,FALSE),"")</f>
        <v>Blueberries 18oz-standard</v>
      </c>
      <c r="E1908">
        <v>4.99</v>
      </c>
      <c r="F1908">
        <v>4.59</v>
      </c>
      <c r="G1908" s="13">
        <v>44480</v>
      </c>
      <c r="H1908" s="13"/>
      <c r="I1908" s="22" t="str">
        <f>VLOOKUP(J1908, Dropdowns!N:O, 2, FALSE)</f>
        <v>Standard</v>
      </c>
      <c r="J1908" t="s">
        <v>761</v>
      </c>
      <c r="L1908" s="17" t="s">
        <v>732</v>
      </c>
      <c r="M1908" s="17" t="s">
        <v>9</v>
      </c>
      <c r="N1908" s="17" t="s">
        <v>736</v>
      </c>
    </row>
    <row r="1909" spans="1:17" x14ac:dyDescent="0.25">
      <c r="A1909" s="10">
        <v>984621</v>
      </c>
      <c r="B1909" s="22" t="str">
        <f>IFERROR(VLOOKUP(A1909,VLOOKUPS!$A$2:B$12589,2,FALSE),"")</f>
        <v>Raspberries 12oz-standard</v>
      </c>
      <c r="E1909">
        <v>4.9400000000000004</v>
      </c>
      <c r="F1909">
        <v>3.94</v>
      </c>
      <c r="G1909" s="13">
        <v>44476</v>
      </c>
      <c r="H1909" s="13">
        <v>44477</v>
      </c>
      <c r="I1909" s="22" t="str">
        <f>VLOOKUP(J1909, Dropdowns!N:O, 2, FALSE)</f>
        <v>Lower Price</v>
      </c>
      <c r="J1909" t="s">
        <v>759</v>
      </c>
      <c r="L1909" s="17" t="s">
        <v>733</v>
      </c>
      <c r="M1909" s="17" t="s">
        <v>11</v>
      </c>
      <c r="N1909" s="17" t="s">
        <v>740</v>
      </c>
    </row>
    <row r="1910" spans="1:17" x14ac:dyDescent="0.25">
      <c r="A1910" s="10">
        <v>984621</v>
      </c>
      <c r="B1910" s="22" t="str">
        <f>IFERROR(VLOOKUP(A1910,VLOOKUPS!$A$2:B$12589,2,FALSE),"")</f>
        <v>Raspberries 12oz-standard</v>
      </c>
      <c r="E1910">
        <v>3.94</v>
      </c>
      <c r="F1910">
        <v>4.9400000000000004</v>
      </c>
      <c r="G1910" s="13">
        <v>44478</v>
      </c>
      <c r="H1910" s="13"/>
      <c r="I1910" s="22" t="str">
        <f>VLOOKUP(J1910, Dropdowns!N:O, 2, FALSE)</f>
        <v>Standard</v>
      </c>
      <c r="J1910" t="s">
        <v>760</v>
      </c>
      <c r="L1910" s="17" t="s">
        <v>733</v>
      </c>
      <c r="M1910" s="17" t="s">
        <v>11</v>
      </c>
      <c r="N1910" s="17" t="s">
        <v>740</v>
      </c>
    </row>
    <row r="1911" spans="1:17" x14ac:dyDescent="0.25">
      <c r="A1911" s="10">
        <v>995067</v>
      </c>
      <c r="B1911" s="22" t="str">
        <f>IFERROR(VLOOKUP(A1911,VLOOKUPS!$A$2:B$12589,2,FALSE),"")</f>
        <v>Organic Baby Arugula 5oz-standard</v>
      </c>
      <c r="E1911">
        <v>2.56</v>
      </c>
      <c r="F1911">
        <v>1.66</v>
      </c>
      <c r="G1911" s="13">
        <v>44476</v>
      </c>
      <c r="H1911" s="13">
        <v>44477</v>
      </c>
      <c r="I1911" s="22" t="str">
        <f>VLOOKUP(J1911, Dropdowns!N:O, 2, FALSE)</f>
        <v>Lower Price</v>
      </c>
      <c r="J1911" t="s">
        <v>759</v>
      </c>
      <c r="L1911" s="17" t="s">
        <v>733</v>
      </c>
      <c r="M1911" s="17" t="s">
        <v>11</v>
      </c>
      <c r="N1911" s="17" t="s">
        <v>740</v>
      </c>
    </row>
    <row r="1912" spans="1:17" x14ac:dyDescent="0.25">
      <c r="A1912" s="10">
        <v>995067</v>
      </c>
      <c r="B1912" s="22" t="str">
        <f>IFERROR(VLOOKUP(A1912,VLOOKUPS!$A$2:B$12589,2,FALSE),"")</f>
        <v>Organic Baby Arugula 5oz-standard</v>
      </c>
      <c r="E1912">
        <v>1.66</v>
      </c>
      <c r="F1912">
        <v>2.56</v>
      </c>
      <c r="G1912" s="13">
        <v>44478</v>
      </c>
      <c r="H1912" s="13"/>
      <c r="I1912" s="22" t="str">
        <f>VLOOKUP(J1912, Dropdowns!N:O, 2, FALSE)</f>
        <v>Standard</v>
      </c>
      <c r="J1912" t="s">
        <v>760</v>
      </c>
      <c r="L1912" s="17" t="s">
        <v>733</v>
      </c>
      <c r="M1912" s="17" t="s">
        <v>11</v>
      </c>
      <c r="N1912" s="17" t="s">
        <v>740</v>
      </c>
    </row>
    <row r="1913" spans="1:17" x14ac:dyDescent="0.25">
      <c r="A1913" s="10">
        <v>995136</v>
      </c>
      <c r="B1913" s="22" t="str">
        <f>IFERROR(VLOOKUP(A1913,VLOOKUPS!$A$2:B$12589,2,FALSE),"")</f>
        <v>Baby Spinach 11oz-standard</v>
      </c>
      <c r="E1913">
        <v>4.18</v>
      </c>
      <c r="F1913">
        <v>3.18</v>
      </c>
      <c r="G1913" s="13">
        <v>44476</v>
      </c>
      <c r="H1913" s="13">
        <v>44477</v>
      </c>
      <c r="I1913" s="22" t="str">
        <f>VLOOKUP(J1913, Dropdowns!N:O, 2, FALSE)</f>
        <v>Lower Price</v>
      </c>
      <c r="J1913" t="s">
        <v>759</v>
      </c>
      <c r="L1913" s="17" t="s">
        <v>733</v>
      </c>
      <c r="M1913" s="17" t="s">
        <v>11</v>
      </c>
      <c r="N1913" s="17" t="s">
        <v>740</v>
      </c>
    </row>
    <row r="1914" spans="1:17" x14ac:dyDescent="0.25">
      <c r="A1914" s="10">
        <v>995136</v>
      </c>
      <c r="B1914" s="22" t="str">
        <f>IFERROR(VLOOKUP(A1914,VLOOKUPS!$A$2:B$12589,2,FALSE),"")</f>
        <v>Baby Spinach 11oz-standard</v>
      </c>
      <c r="E1914">
        <v>3.18</v>
      </c>
      <c r="F1914">
        <v>4.18</v>
      </c>
      <c r="G1914" s="13">
        <v>44478</v>
      </c>
      <c r="H1914" s="13"/>
      <c r="I1914" s="22" t="str">
        <f>VLOOKUP(J1914, Dropdowns!N:O, 2, FALSE)</f>
        <v>Standard</v>
      </c>
      <c r="J1914" t="s">
        <v>760</v>
      </c>
      <c r="L1914" s="17" t="s">
        <v>733</v>
      </c>
      <c r="M1914" s="17" t="s">
        <v>11</v>
      </c>
      <c r="N1914" s="17" t="s">
        <v>740</v>
      </c>
    </row>
    <row r="1915" spans="1:17" x14ac:dyDescent="0.25">
      <c r="A1915" s="10">
        <v>995148</v>
      </c>
      <c r="B1915" s="22" t="str">
        <f>IFERROR(VLOOKUP(A1915,VLOOKUPS!$A$2:B$12589,2,FALSE),"")</f>
        <v>Fresh Salsa Verde 16oz-standard</v>
      </c>
      <c r="E1915">
        <v>4.49</v>
      </c>
      <c r="G1915" s="13">
        <v>44476</v>
      </c>
      <c r="H1915" s="13"/>
      <c r="I1915" s="22" t="str">
        <f>VLOOKUP(J1915, Dropdowns!N:O, 2, FALSE)</f>
        <v>NA</v>
      </c>
      <c r="J1915" t="s">
        <v>754</v>
      </c>
      <c r="L1915" s="17" t="s">
        <v>732</v>
      </c>
      <c r="M1915" s="17" t="s">
        <v>736</v>
      </c>
      <c r="N1915" s="17" t="s">
        <v>736</v>
      </c>
    </row>
    <row r="1916" spans="1:17" x14ac:dyDescent="0.25">
      <c r="A1916" s="10">
        <v>995041</v>
      </c>
      <c r="B1916" s="22" t="str">
        <f>IFERROR(VLOOKUP(A1916,VLOOKUPS!$A$2:B$12589,2,FALSE),"")</f>
        <v>Pineapple Spears 16oz-standard</v>
      </c>
      <c r="E1916">
        <v>3.49</v>
      </c>
      <c r="F1916">
        <v>2.79</v>
      </c>
      <c r="G1916" s="13">
        <v>44477</v>
      </c>
      <c r="H1916" s="13">
        <v>44478</v>
      </c>
      <c r="I1916" s="22" t="str">
        <f>VLOOKUP(J1916, Dropdowns!N:O, 2, FALSE)</f>
        <v>Lower Price</v>
      </c>
      <c r="J1916" t="s">
        <v>759</v>
      </c>
      <c r="L1916" s="17" t="s">
        <v>733</v>
      </c>
      <c r="M1916" s="17" t="s">
        <v>11</v>
      </c>
      <c r="N1916" s="17" t="s">
        <v>740</v>
      </c>
    </row>
    <row r="1917" spans="1:17" x14ac:dyDescent="0.25">
      <c r="A1917" s="10">
        <v>995041</v>
      </c>
      <c r="B1917" s="22" t="str">
        <f>IFERROR(VLOOKUP(A1917,VLOOKUPS!$A$2:B$12589,2,FALSE),"")</f>
        <v>Pineapple Spears 16oz-standard</v>
      </c>
      <c r="E1917">
        <v>2.79</v>
      </c>
      <c r="F1917">
        <v>3.49</v>
      </c>
      <c r="G1917" s="13">
        <v>44479</v>
      </c>
      <c r="H1917" s="13"/>
      <c r="I1917" s="22" t="str">
        <f>VLOOKUP(J1917, Dropdowns!N:O, 2, FALSE)</f>
        <v>Standard</v>
      </c>
      <c r="J1917" t="s">
        <v>760</v>
      </c>
      <c r="L1917" s="17" t="s">
        <v>733</v>
      </c>
      <c r="M1917" s="17" t="s">
        <v>11</v>
      </c>
      <c r="N1917" s="17" t="s">
        <v>740</v>
      </c>
    </row>
    <row r="1918" spans="1:17" x14ac:dyDescent="0.25">
      <c r="A1918" s="10">
        <v>995083</v>
      </c>
      <c r="B1918" s="22" t="str">
        <f>IFERROR(VLOOKUP(A1918,VLOOKUPS!$A$2:B$12589,2,FALSE),"")</f>
        <v>Butternut Squash Noodles 12oz-standard</v>
      </c>
      <c r="D1918">
        <v>4</v>
      </c>
      <c r="F1918">
        <v>2.4900000000000002</v>
      </c>
      <c r="G1918" s="13">
        <v>44477</v>
      </c>
      <c r="H1918" s="13"/>
      <c r="I1918" s="22" t="str">
        <f>VLOOKUP(J1918, Dropdowns!N:O, 2, FALSE)</f>
        <v>New</v>
      </c>
      <c r="J1918" t="s">
        <v>776</v>
      </c>
      <c r="L1918" s="17" t="s">
        <v>732</v>
      </c>
      <c r="M1918" s="17" t="s">
        <v>736</v>
      </c>
      <c r="N1918" s="17" t="s">
        <v>736</v>
      </c>
      <c r="O1918" s="17" t="s">
        <v>748</v>
      </c>
      <c r="P1918">
        <v>1</v>
      </c>
      <c r="Q1918" s="17" t="s">
        <v>1044</v>
      </c>
    </row>
    <row r="1919" spans="1:17" x14ac:dyDescent="0.25">
      <c r="A1919" s="10">
        <v>995101</v>
      </c>
      <c r="B1919" s="22" t="str">
        <f>IFERROR(VLOOKUP(A1919,VLOOKUPS!$A$2:B$12589,2,FALSE),"")</f>
        <v>Avocado Ranch Salad Kit 11.3oz-standard</v>
      </c>
      <c r="E1919">
        <v>3.49</v>
      </c>
      <c r="F1919">
        <v>2.4900000000000002</v>
      </c>
      <c r="G1919" s="13">
        <v>44477</v>
      </c>
      <c r="H1919" s="13">
        <v>44478</v>
      </c>
      <c r="I1919" s="22" t="str">
        <f>VLOOKUP(J1919, Dropdowns!N:O, 2, FALSE)</f>
        <v>Lower Price</v>
      </c>
      <c r="J1919" t="s">
        <v>759</v>
      </c>
      <c r="L1919" s="17" t="s">
        <v>732</v>
      </c>
      <c r="M1919" s="17" t="s">
        <v>736</v>
      </c>
      <c r="N1919" s="17" t="s">
        <v>736</v>
      </c>
    </row>
    <row r="1920" spans="1:17" x14ac:dyDescent="0.25">
      <c r="A1920" s="10">
        <v>995101</v>
      </c>
      <c r="B1920" s="22" t="str">
        <f>IFERROR(VLOOKUP(A1920,VLOOKUPS!$A$2:B$12589,2,FALSE),"")</f>
        <v>Avocado Ranch Salad Kit 11.3oz-standard</v>
      </c>
      <c r="E1920">
        <v>2.4900000000000002</v>
      </c>
      <c r="F1920">
        <v>3.49</v>
      </c>
      <c r="G1920" s="13">
        <v>44479</v>
      </c>
      <c r="H1920" s="13"/>
      <c r="I1920" s="22" t="str">
        <f>VLOOKUP(J1920, Dropdowns!N:O, 2, FALSE)</f>
        <v>Standard</v>
      </c>
      <c r="J1920" t="s">
        <v>760</v>
      </c>
      <c r="L1920" s="17" t="s">
        <v>732</v>
      </c>
      <c r="M1920" s="17" t="s">
        <v>736</v>
      </c>
      <c r="N1920" s="17" t="s">
        <v>736</v>
      </c>
    </row>
    <row r="1921" spans="1:17" x14ac:dyDescent="0.25">
      <c r="A1921" s="10">
        <v>995144</v>
      </c>
      <c r="B1921" s="22" t="str">
        <f>IFERROR(VLOOKUP(A1921,VLOOKUPS!$A$2:B$12589,2,FALSE),"")</f>
        <v>Asparagus Spears 10oz-standard</v>
      </c>
      <c r="E1921">
        <v>3.98</v>
      </c>
      <c r="F1921">
        <v>2.98</v>
      </c>
      <c r="G1921" s="13">
        <v>44477</v>
      </c>
      <c r="H1921" s="13">
        <v>44478</v>
      </c>
      <c r="I1921" s="22" t="str">
        <f>VLOOKUP(J1921, Dropdowns!N:O, 2, FALSE)</f>
        <v>Lower Price</v>
      </c>
      <c r="J1921" t="s">
        <v>759</v>
      </c>
      <c r="L1921" s="17" t="s">
        <v>732</v>
      </c>
      <c r="M1921" s="17" t="s">
        <v>737</v>
      </c>
      <c r="N1921" s="17" t="s">
        <v>736</v>
      </c>
    </row>
    <row r="1922" spans="1:17" x14ac:dyDescent="0.25">
      <c r="A1922" s="10">
        <v>995144</v>
      </c>
      <c r="B1922" s="22" t="str">
        <f>IFERROR(VLOOKUP(A1922,VLOOKUPS!$A$2:B$12589,2,FALSE),"")</f>
        <v>Asparagus Spears 10oz-standard</v>
      </c>
      <c r="E1922">
        <v>2.98</v>
      </c>
      <c r="F1922">
        <v>3.98</v>
      </c>
      <c r="G1922" s="13">
        <v>44479</v>
      </c>
      <c r="H1922" s="13"/>
      <c r="I1922" s="22" t="str">
        <f>VLOOKUP(J1922, Dropdowns!N:O, 2, FALSE)</f>
        <v>Standard</v>
      </c>
      <c r="J1922" t="s">
        <v>760</v>
      </c>
      <c r="L1922" s="17" t="s">
        <v>732</v>
      </c>
      <c r="M1922" s="17" t="s">
        <v>737</v>
      </c>
      <c r="N1922" s="17" t="s">
        <v>736</v>
      </c>
    </row>
    <row r="1923" spans="1:17" x14ac:dyDescent="0.25">
      <c r="A1923" s="10">
        <v>995153</v>
      </c>
      <c r="B1923" s="22" t="str">
        <f>IFERROR(VLOOKUP(A1923,VLOOKUPS!$A$2:B$12589,2,FALSE),"")</f>
        <v>Sweet Apple Slices 14oz-standard</v>
      </c>
      <c r="D1923">
        <v>6</v>
      </c>
      <c r="F1923">
        <v>3.49</v>
      </c>
      <c r="G1923" s="13">
        <v>44477</v>
      </c>
      <c r="H1923" s="13"/>
      <c r="I1923" s="22" t="str">
        <f>VLOOKUP(J1923, Dropdowns!N:O, 2, FALSE)</f>
        <v>New</v>
      </c>
      <c r="J1923" t="s">
        <v>776</v>
      </c>
      <c r="L1923" s="17" t="s">
        <v>732</v>
      </c>
      <c r="M1923" s="17" t="s">
        <v>736</v>
      </c>
      <c r="N1923" s="17" t="s">
        <v>736</v>
      </c>
      <c r="O1923" s="17" t="s">
        <v>748</v>
      </c>
      <c r="P1923">
        <v>1</v>
      </c>
      <c r="Q1923" s="17" t="s">
        <v>1044</v>
      </c>
    </row>
    <row r="1924" spans="1:17" x14ac:dyDescent="0.25">
      <c r="A1924" s="10">
        <v>995155</v>
      </c>
      <c r="B1924" s="22" t="str">
        <f>IFERROR(VLOOKUP(A1924,VLOOKUPS!$A$2:B$12589,2,FALSE),"")</f>
        <v>Organic Sweet Apple Slices 12oz-standard</v>
      </c>
      <c r="D1924">
        <v>6</v>
      </c>
      <c r="F1924">
        <v>3.99</v>
      </c>
      <c r="G1924" s="13">
        <v>44477</v>
      </c>
      <c r="H1924" s="13"/>
      <c r="I1924" s="22" t="str">
        <f>VLOOKUP(J1924, Dropdowns!N:O, 2, FALSE)</f>
        <v>New</v>
      </c>
      <c r="J1924" t="s">
        <v>776</v>
      </c>
      <c r="L1924" s="17" t="s">
        <v>732</v>
      </c>
      <c r="M1924" s="17" t="s">
        <v>736</v>
      </c>
      <c r="N1924" s="17" t="s">
        <v>736</v>
      </c>
      <c r="O1924" s="17" t="s">
        <v>748</v>
      </c>
      <c r="P1924">
        <v>1</v>
      </c>
      <c r="Q1924" s="17" t="s">
        <v>1044</v>
      </c>
    </row>
    <row r="1925" spans="1:17" x14ac:dyDescent="0.25">
      <c r="A1925" s="10">
        <v>983201</v>
      </c>
      <c r="B1925" s="22" t="str">
        <f>IFERROR(VLOOKUP(A1925,VLOOKUPS!$A$2:B$12589,2,FALSE),"")</f>
        <v>Melons* Honeydew 1ct-LOOSE</v>
      </c>
      <c r="E1925">
        <v>3.98</v>
      </c>
      <c r="F1925">
        <v>2.98</v>
      </c>
      <c r="G1925" s="13">
        <v>44478</v>
      </c>
      <c r="H1925" s="13">
        <v>44479</v>
      </c>
      <c r="I1925" s="22" t="str">
        <f>VLOOKUP(J1925, Dropdowns!N:O, 2, FALSE)</f>
        <v>Lower Price</v>
      </c>
      <c r="J1925" t="s">
        <v>759</v>
      </c>
      <c r="L1925" s="17" t="s">
        <v>732</v>
      </c>
      <c r="M1925" s="17" t="s">
        <v>9</v>
      </c>
      <c r="N1925" s="17" t="s">
        <v>736</v>
      </c>
    </row>
    <row r="1926" spans="1:17" x14ac:dyDescent="0.25">
      <c r="A1926" s="10">
        <v>983201</v>
      </c>
      <c r="B1926" s="22" t="str">
        <f>IFERROR(VLOOKUP(A1926,VLOOKUPS!$A$2:B$12589,2,FALSE),"")</f>
        <v>Melons* Honeydew 1ct-LOOSE</v>
      </c>
      <c r="E1926">
        <v>2.98</v>
      </c>
      <c r="F1926">
        <v>3.98</v>
      </c>
      <c r="G1926" s="13">
        <v>44480</v>
      </c>
      <c r="H1926" s="13"/>
      <c r="I1926" s="22" t="str">
        <f>VLOOKUP(J1926, Dropdowns!N:O, 2, FALSE)</f>
        <v>Standard</v>
      </c>
      <c r="J1926" t="s">
        <v>760</v>
      </c>
      <c r="L1926" s="17" t="s">
        <v>732</v>
      </c>
      <c r="M1926" s="17" t="s">
        <v>9</v>
      </c>
      <c r="N1926" s="17" t="s">
        <v>736</v>
      </c>
    </row>
    <row r="1927" spans="1:17" x14ac:dyDescent="0.25">
      <c r="A1927" s="10">
        <v>984460</v>
      </c>
      <c r="B1927" s="22" t="str">
        <f>IFERROR(VLOOKUP(A1927,VLOOKUPS!$A$2:B$12589,2,FALSE),"")</f>
        <v>Strawberries 1lb-standard</v>
      </c>
      <c r="G1927" s="13">
        <v>44478</v>
      </c>
      <c r="H1927" s="13">
        <v>44479</v>
      </c>
      <c r="I1927" s="22" t="str">
        <f>VLOOKUP(J1927, Dropdowns!N:O, 2, FALSE)</f>
        <v>Lower Price</v>
      </c>
      <c r="J1927" t="s">
        <v>753</v>
      </c>
      <c r="L1927" s="17" t="s">
        <v>732</v>
      </c>
      <c r="M1927" s="17" t="s">
        <v>736</v>
      </c>
      <c r="N1927" s="17" t="s">
        <v>736</v>
      </c>
    </row>
    <row r="1928" spans="1:17" x14ac:dyDescent="0.25">
      <c r="A1928" s="10">
        <v>984460</v>
      </c>
      <c r="B1928" s="22" t="str">
        <f>IFERROR(VLOOKUP(A1928,VLOOKUPS!$A$2:B$12589,2,FALSE),"")</f>
        <v>Strawberries 1lb-standard</v>
      </c>
      <c r="E1928">
        <v>1.69</v>
      </c>
      <c r="F1928">
        <v>2.29</v>
      </c>
      <c r="G1928" s="13">
        <v>44480</v>
      </c>
      <c r="H1928" s="13"/>
      <c r="I1928" s="22" t="str">
        <f>VLOOKUP(J1928, Dropdowns!N:O, 2, FALSE)</f>
        <v>Standard</v>
      </c>
      <c r="J1928" t="s">
        <v>760</v>
      </c>
      <c r="L1928" s="17" t="s">
        <v>732</v>
      </c>
      <c r="M1928" s="17" t="s">
        <v>736</v>
      </c>
      <c r="N1928" s="17" t="s">
        <v>736</v>
      </c>
    </row>
    <row r="1929" spans="1:17" x14ac:dyDescent="0.25">
      <c r="A1929" s="10">
        <v>984700</v>
      </c>
      <c r="B1929" s="22" t="str">
        <f>IFERROR(VLOOKUP(A1929,VLOOKUPS!$A$2:B$12589,2,FALSE),"")</f>
        <v>Blackberries 6oz-standard</v>
      </c>
      <c r="E1929">
        <v>2.68</v>
      </c>
      <c r="F1929">
        <v>2.2799999999999998</v>
      </c>
      <c r="G1929" s="13">
        <v>44478</v>
      </c>
      <c r="H1929" s="13"/>
      <c r="I1929" s="22" t="str">
        <f>VLOOKUP(J1929, Dropdowns!N:O, 2, FALSE)</f>
        <v>Standard</v>
      </c>
      <c r="J1929" t="s">
        <v>761</v>
      </c>
      <c r="L1929" s="17" t="s">
        <v>732</v>
      </c>
      <c r="M1929" s="17" t="s">
        <v>736</v>
      </c>
      <c r="N1929" s="17" t="s">
        <v>736</v>
      </c>
    </row>
    <row r="1930" spans="1:17" x14ac:dyDescent="0.25">
      <c r="A1930" s="10">
        <v>984702</v>
      </c>
      <c r="B1930" s="22" t="str">
        <f>IFERROR(VLOOKUP(A1930,VLOOKUPS!$A$2:B$12589,2,FALSE),"")</f>
        <v>Blackberries 12oz-standard</v>
      </c>
      <c r="E1930">
        <v>4.62</v>
      </c>
      <c r="F1930">
        <v>4.38</v>
      </c>
      <c r="G1930" s="13">
        <v>44478</v>
      </c>
      <c r="H1930" s="13"/>
      <c r="I1930" s="22" t="str">
        <f>VLOOKUP(J1930, Dropdowns!N:O, 2, FALSE)</f>
        <v>Standard</v>
      </c>
      <c r="J1930" t="s">
        <v>761</v>
      </c>
      <c r="L1930" s="17" t="s">
        <v>732</v>
      </c>
      <c r="M1930" s="17" t="s">
        <v>736</v>
      </c>
      <c r="N1930" s="17" t="s">
        <v>736</v>
      </c>
    </row>
    <row r="1931" spans="1:17" x14ac:dyDescent="0.25">
      <c r="A1931" s="10">
        <v>995022</v>
      </c>
      <c r="B1931" s="22" t="str">
        <f>IFERROR(VLOOKUP(A1931,VLOOKUPS!$A$2:B$12589,2,FALSE),"")</f>
        <v>American Blend 12oz-standard</v>
      </c>
      <c r="E1931">
        <v>1.99</v>
      </c>
      <c r="F1931">
        <v>1.29</v>
      </c>
      <c r="G1931" s="13">
        <v>44478</v>
      </c>
      <c r="H1931" s="13">
        <v>44479</v>
      </c>
      <c r="I1931" s="22" t="str">
        <f>VLOOKUP(J1931, Dropdowns!N:O, 2, FALSE)</f>
        <v>Lower Price</v>
      </c>
      <c r="J1931" t="s">
        <v>759</v>
      </c>
      <c r="L1931" s="17" t="s">
        <v>733</v>
      </c>
      <c r="M1931" s="17" t="s">
        <v>11</v>
      </c>
      <c r="N1931" s="17" t="s">
        <v>740</v>
      </c>
    </row>
    <row r="1932" spans="1:17" x14ac:dyDescent="0.25">
      <c r="A1932" s="10">
        <v>995022</v>
      </c>
      <c r="B1932" s="22" t="str">
        <f>IFERROR(VLOOKUP(A1932,VLOOKUPS!$A$2:B$12589,2,FALSE),"")</f>
        <v>American Blend 12oz-standard</v>
      </c>
      <c r="E1932">
        <v>1.29</v>
      </c>
      <c r="F1932">
        <v>1.99</v>
      </c>
      <c r="G1932" s="13">
        <v>44480</v>
      </c>
      <c r="H1932" s="13"/>
      <c r="I1932" s="22" t="str">
        <f>VLOOKUP(J1932, Dropdowns!N:O, 2, FALSE)</f>
        <v>Standard</v>
      </c>
      <c r="J1932" t="s">
        <v>760</v>
      </c>
      <c r="L1932" s="17" t="s">
        <v>733</v>
      </c>
      <c r="M1932" s="17" t="s">
        <v>11</v>
      </c>
      <c r="N1932" s="17" t="s">
        <v>740</v>
      </c>
    </row>
    <row r="1933" spans="1:17" x14ac:dyDescent="0.25">
      <c r="A1933" s="10">
        <v>995052</v>
      </c>
      <c r="B1933" s="22" t="str">
        <f>IFERROR(VLOOKUP(A1933,VLOOKUPS!$A$2:B$12589,2,FALSE),"")</f>
        <v>Southwestern Salsa 16oz-standard</v>
      </c>
      <c r="D1933">
        <v>6</v>
      </c>
      <c r="F1933">
        <v>4.49</v>
      </c>
      <c r="G1933" s="13">
        <v>44478</v>
      </c>
      <c r="H1933" s="13"/>
      <c r="I1933" s="22" t="str">
        <f>VLOOKUP(J1933, Dropdowns!N:O, 2, FALSE)</f>
        <v>New</v>
      </c>
      <c r="J1933" t="s">
        <v>776</v>
      </c>
      <c r="L1933" s="17" t="s">
        <v>732</v>
      </c>
      <c r="M1933" s="17" t="s">
        <v>736</v>
      </c>
      <c r="N1933" s="17" t="s">
        <v>736</v>
      </c>
      <c r="O1933" s="17" t="s">
        <v>748</v>
      </c>
      <c r="P1933">
        <v>1</v>
      </c>
      <c r="Q1933" s="17" t="s">
        <v>1044</v>
      </c>
    </row>
    <row r="1934" spans="1:17" x14ac:dyDescent="0.25">
      <c r="A1934" s="10">
        <v>984460</v>
      </c>
      <c r="B1934" s="22" t="str">
        <f>IFERROR(VLOOKUP(A1934,VLOOKUPS!$A$2:B$12589,2,FALSE),"")</f>
        <v>Strawberries 1lb-standard</v>
      </c>
      <c r="D1934">
        <v>8</v>
      </c>
      <c r="E1934">
        <v>2.29</v>
      </c>
      <c r="F1934">
        <v>2.5</v>
      </c>
      <c r="G1934" s="13">
        <v>44481</v>
      </c>
      <c r="H1934" s="13"/>
      <c r="I1934" s="22" t="str">
        <f>VLOOKUP(J1934, Dropdowns!N:O, 2, FALSE)</f>
        <v>Standard</v>
      </c>
      <c r="J1934" t="s">
        <v>761</v>
      </c>
      <c r="L1934" s="17" t="s">
        <v>732</v>
      </c>
      <c r="M1934" s="17" t="s">
        <v>736</v>
      </c>
      <c r="N1934" s="17" t="s">
        <v>736</v>
      </c>
    </row>
    <row r="1935" spans="1:17" x14ac:dyDescent="0.25">
      <c r="A1935" s="10">
        <v>984500</v>
      </c>
      <c r="B1935" s="22" t="str">
        <f>IFERROR(VLOOKUP(A1935,VLOOKUPS!$A$2:B$12589,2,FALSE),"")</f>
        <v>Organic Strawberries 1lb-standard</v>
      </c>
      <c r="D1935">
        <v>8</v>
      </c>
      <c r="E1935">
        <v>3.19</v>
      </c>
      <c r="F1935">
        <v>3.84</v>
      </c>
      <c r="G1935" s="13">
        <v>44481</v>
      </c>
      <c r="H1935" s="13"/>
      <c r="I1935" s="22" t="str">
        <f>VLOOKUP(J1935, Dropdowns!N:O, 2, FALSE)</f>
        <v>Standard</v>
      </c>
      <c r="J1935" t="s">
        <v>761</v>
      </c>
      <c r="L1935" s="17" t="s">
        <v>732</v>
      </c>
      <c r="M1935" s="17" t="s">
        <v>736</v>
      </c>
      <c r="N1935" s="17" t="s">
        <v>736</v>
      </c>
    </row>
    <row r="1936" spans="1:17" x14ac:dyDescent="0.25">
      <c r="A1936" s="10">
        <v>984541</v>
      </c>
      <c r="B1936" s="22" t="str">
        <f>IFERROR(VLOOKUP(A1936,VLOOKUPS!$A$2:B$12589,2,FALSE),"")</f>
        <v>Blueberries 1pt-standard</v>
      </c>
      <c r="E1936">
        <v>2.89</v>
      </c>
      <c r="F1936">
        <v>2.79</v>
      </c>
      <c r="G1936" s="13">
        <v>44481</v>
      </c>
      <c r="H1936" s="13"/>
      <c r="I1936" s="22" t="str">
        <f>VLOOKUP(J1936, Dropdowns!N:O, 2, FALSE)</f>
        <v>Standard</v>
      </c>
      <c r="J1936" t="s">
        <v>761</v>
      </c>
      <c r="L1936" s="17" t="s">
        <v>732</v>
      </c>
      <c r="M1936" s="17" t="s">
        <v>736</v>
      </c>
      <c r="N1936" s="17" t="s">
        <v>736</v>
      </c>
    </row>
    <row r="1937" spans="1:14" x14ac:dyDescent="0.25">
      <c r="A1937" s="10">
        <v>984621</v>
      </c>
      <c r="B1937" s="22" t="str">
        <f>IFERROR(VLOOKUP(A1937,VLOOKUPS!$A$2:B$12589,2,FALSE),"")</f>
        <v>Raspberries 12oz-standard</v>
      </c>
      <c r="E1937">
        <v>4.9400000000000004</v>
      </c>
      <c r="F1937">
        <v>5.18</v>
      </c>
      <c r="G1937" s="13">
        <v>44481</v>
      </c>
      <c r="H1937" s="13"/>
      <c r="I1937" s="22" t="str">
        <f>VLOOKUP(J1937, Dropdowns!N:O, 2, FALSE)</f>
        <v>Standard</v>
      </c>
      <c r="J1937" t="s">
        <v>761</v>
      </c>
      <c r="L1937" s="17" t="s">
        <v>732</v>
      </c>
      <c r="M1937" s="17" t="s">
        <v>736</v>
      </c>
      <c r="N1937" s="17" t="s">
        <v>736</v>
      </c>
    </row>
    <row r="1938" spans="1:14" x14ac:dyDescent="0.25">
      <c r="A1938" s="10">
        <v>984700</v>
      </c>
      <c r="B1938" s="22" t="str">
        <f>IFERROR(VLOOKUP(A1938,VLOOKUPS!$A$2:B$12589,2,FALSE),"")</f>
        <v>Blackberries 6oz-standard</v>
      </c>
      <c r="E1938">
        <v>2.2799999999999998</v>
      </c>
      <c r="F1938">
        <v>2.68</v>
      </c>
      <c r="G1938" s="13">
        <v>44481</v>
      </c>
      <c r="H1938" s="13"/>
      <c r="I1938" s="22" t="str">
        <f>VLOOKUP(J1938, Dropdowns!N:O, 2, FALSE)</f>
        <v>Standard</v>
      </c>
      <c r="J1938" t="s">
        <v>761</v>
      </c>
      <c r="L1938" s="17" t="s">
        <v>732</v>
      </c>
      <c r="M1938" s="17" t="s">
        <v>736</v>
      </c>
      <c r="N1938" s="17" t="s">
        <v>736</v>
      </c>
    </row>
    <row r="1939" spans="1:14" x14ac:dyDescent="0.25">
      <c r="A1939" s="10">
        <v>995043</v>
      </c>
      <c r="B1939" s="22" t="str">
        <f>IFERROR(VLOOKUP(A1939,VLOOKUPS!$A$2:B$12589,2,FALSE),"")</f>
        <v>Watermelon Chunks 16oz-standard</v>
      </c>
      <c r="E1939">
        <v>3.49</v>
      </c>
      <c r="F1939">
        <v>2.4900000000000002</v>
      </c>
      <c r="G1939" s="13">
        <v>44481</v>
      </c>
      <c r="H1939" s="13">
        <v>44482</v>
      </c>
      <c r="I1939" s="22" t="str">
        <f>VLOOKUP(J1939, Dropdowns!N:O, 2, FALSE)</f>
        <v>Lower Price</v>
      </c>
      <c r="J1939" t="s">
        <v>759</v>
      </c>
      <c r="L1939" s="17" t="s">
        <v>733</v>
      </c>
      <c r="M1939" s="17" t="s">
        <v>11</v>
      </c>
      <c r="N1939" s="17" t="s">
        <v>740</v>
      </c>
    </row>
    <row r="1940" spans="1:14" x14ac:dyDescent="0.25">
      <c r="A1940" s="10">
        <v>995043</v>
      </c>
      <c r="B1940" s="22" t="str">
        <f>IFERROR(VLOOKUP(A1940,VLOOKUPS!$A$2:B$12589,2,FALSE),"")</f>
        <v>Watermelon Chunks 16oz-standard</v>
      </c>
      <c r="E1940">
        <v>2.4900000000000002</v>
      </c>
      <c r="F1940">
        <v>3.49</v>
      </c>
      <c r="G1940" s="13">
        <v>44483</v>
      </c>
      <c r="H1940" s="13"/>
      <c r="I1940" s="22" t="str">
        <f>VLOOKUP(J1940, Dropdowns!N:O, 2, FALSE)</f>
        <v>Standard</v>
      </c>
      <c r="J1940" t="s">
        <v>760</v>
      </c>
      <c r="L1940" s="17" t="s">
        <v>733</v>
      </c>
      <c r="M1940" s="17" t="s">
        <v>11</v>
      </c>
      <c r="N1940" s="17" t="s">
        <v>740</v>
      </c>
    </row>
    <row r="1941" spans="1:14" x14ac:dyDescent="0.25">
      <c r="A1941" s="10">
        <v>995115</v>
      </c>
      <c r="B1941" s="22" t="str">
        <f>IFERROR(VLOOKUP(A1941,VLOOKUPS!$A$2:B$12589,2,FALSE),"")</f>
        <v>Pineapple Chunks 10oz-standard</v>
      </c>
      <c r="E1941">
        <v>2.39</v>
      </c>
      <c r="F1941">
        <v>1.59</v>
      </c>
      <c r="G1941" s="13">
        <v>44481</v>
      </c>
      <c r="H1941" s="13">
        <v>44482</v>
      </c>
      <c r="I1941" s="22" t="str">
        <f>VLOOKUP(J1941, Dropdowns!N:O, 2, FALSE)</f>
        <v>Lower Price</v>
      </c>
      <c r="J1941" t="s">
        <v>759</v>
      </c>
      <c r="L1941" s="17" t="s">
        <v>732</v>
      </c>
      <c r="M1941" s="17" t="s">
        <v>735</v>
      </c>
      <c r="N1941" s="17" t="s">
        <v>736</v>
      </c>
    </row>
    <row r="1942" spans="1:14" x14ac:dyDescent="0.25">
      <c r="A1942" s="10">
        <v>995115</v>
      </c>
      <c r="B1942" s="22" t="str">
        <f>IFERROR(VLOOKUP(A1942,VLOOKUPS!$A$2:B$12589,2,FALSE),"")</f>
        <v>Pineapple Chunks 10oz-standard</v>
      </c>
      <c r="E1942">
        <v>1.59</v>
      </c>
      <c r="F1942">
        <v>2.39</v>
      </c>
      <c r="G1942" s="13">
        <v>44483</v>
      </c>
      <c r="H1942" s="13"/>
      <c r="I1942" s="22" t="str">
        <f>VLOOKUP(J1942, Dropdowns!N:O, 2, FALSE)</f>
        <v>Standard</v>
      </c>
      <c r="J1942" t="s">
        <v>760</v>
      </c>
      <c r="L1942" s="17" t="s">
        <v>732</v>
      </c>
      <c r="M1942" s="17" t="s">
        <v>735</v>
      </c>
      <c r="N1942" s="17" t="s">
        <v>736</v>
      </c>
    </row>
    <row r="1943" spans="1:14" x14ac:dyDescent="0.25">
      <c r="A1943" s="10">
        <v>995067</v>
      </c>
      <c r="B1943" s="22" t="str">
        <f>IFERROR(VLOOKUP(A1943,VLOOKUPS!$A$2:B$12589,2,FALSE),"")</f>
        <v>Organic Baby Arugula 5oz-standard</v>
      </c>
      <c r="E1943">
        <v>2.56</v>
      </c>
      <c r="F1943">
        <v>2.98</v>
      </c>
      <c r="G1943" s="13">
        <v>44482</v>
      </c>
      <c r="H1943" s="13"/>
      <c r="I1943" s="22" t="str">
        <f>VLOOKUP(J1943, Dropdowns!N:O, 2, FALSE)</f>
        <v>Standard</v>
      </c>
      <c r="J1943" t="s">
        <v>761</v>
      </c>
      <c r="L1943" s="17" t="s">
        <v>733</v>
      </c>
      <c r="M1943" s="17" t="s">
        <v>9</v>
      </c>
      <c r="N1943" s="17" t="s">
        <v>740</v>
      </c>
    </row>
    <row r="1944" spans="1:14" x14ac:dyDescent="0.25">
      <c r="A1944" s="10">
        <v>995067</v>
      </c>
      <c r="B1944" s="22" t="str">
        <f>IFERROR(VLOOKUP(A1944,VLOOKUPS!$A$2:B$12589,2,FALSE),"")</f>
        <v>Organic Baby Arugula 5oz-standard</v>
      </c>
      <c r="E1944">
        <v>2.4900000000000002</v>
      </c>
      <c r="F1944">
        <v>3.26</v>
      </c>
      <c r="G1944" s="13">
        <v>44482</v>
      </c>
      <c r="H1944" s="13"/>
      <c r="I1944" s="22" t="str">
        <f>VLOOKUP(J1944, Dropdowns!N:O, 2, FALSE)</f>
        <v>Standard</v>
      </c>
      <c r="J1944" t="s">
        <v>761</v>
      </c>
      <c r="L1944" s="17" t="s">
        <v>734</v>
      </c>
      <c r="M1944" s="17" t="s">
        <v>9</v>
      </c>
      <c r="N1944" s="17">
        <v>8</v>
      </c>
    </row>
    <row r="1945" spans="1:14" x14ac:dyDescent="0.25">
      <c r="A1945" s="10">
        <v>995008</v>
      </c>
      <c r="B1945" s="22" t="str">
        <f>IFERROR(VLOOKUP(A1945,VLOOKUPS!$A$2:B$12589,2,FALSE),"")</f>
        <v>Shredded Lettuce 8oz-standard</v>
      </c>
      <c r="E1945">
        <v>1.49</v>
      </c>
      <c r="F1945">
        <v>1.69</v>
      </c>
      <c r="G1945" s="13">
        <v>44482</v>
      </c>
      <c r="H1945" s="13"/>
      <c r="I1945" s="22" t="str">
        <f>VLOOKUP(J1945, Dropdowns!N:O, 2, FALSE)</f>
        <v>Standard</v>
      </c>
      <c r="J1945" t="s">
        <v>761</v>
      </c>
      <c r="L1945" s="17" t="s">
        <v>734</v>
      </c>
      <c r="M1945" s="17" t="s">
        <v>9</v>
      </c>
      <c r="N1945" s="17">
        <v>8</v>
      </c>
    </row>
    <row r="1946" spans="1:14" x14ac:dyDescent="0.25">
      <c r="A1946" s="10">
        <v>995076</v>
      </c>
      <c r="B1946" s="22" t="str">
        <f>IFERROR(VLOOKUP(A1946,VLOOKUPS!$A$2:B$12589,2,FALSE),"")</f>
        <v>Organic Power Greens 5oz-standard</v>
      </c>
      <c r="E1946">
        <v>2.4900000000000002</v>
      </c>
      <c r="F1946">
        <v>2.99</v>
      </c>
      <c r="G1946" s="13">
        <v>44482</v>
      </c>
      <c r="H1946" s="13"/>
      <c r="I1946" s="22" t="str">
        <f>VLOOKUP(J1946, Dropdowns!N:O, 2, FALSE)</f>
        <v>Standard</v>
      </c>
      <c r="J1946" t="s">
        <v>761</v>
      </c>
      <c r="L1946" s="17" t="s">
        <v>734</v>
      </c>
      <c r="M1946" s="17" t="s">
        <v>9</v>
      </c>
      <c r="N1946" s="17">
        <v>8</v>
      </c>
    </row>
    <row r="1947" spans="1:14" x14ac:dyDescent="0.25">
      <c r="A1947" s="10">
        <v>995085</v>
      </c>
      <c r="B1947" s="22" t="str">
        <f>IFERROR(VLOOKUP(A1947,VLOOKUPS!$A$2:B$12589,2,FALSE),"")</f>
        <v>Sugar Snap Peas 8oz-standard</v>
      </c>
      <c r="E1947">
        <v>2.39</v>
      </c>
      <c r="F1947">
        <v>2.59</v>
      </c>
      <c r="G1947" s="13">
        <v>44482</v>
      </c>
      <c r="H1947" s="13"/>
      <c r="I1947" s="22" t="str">
        <f>VLOOKUP(J1947, Dropdowns!N:O, 2, FALSE)</f>
        <v>Standard</v>
      </c>
      <c r="J1947" t="s">
        <v>761</v>
      </c>
      <c r="L1947" s="17" t="s">
        <v>734</v>
      </c>
      <c r="M1947" s="17" t="s">
        <v>9</v>
      </c>
      <c r="N1947" s="17">
        <v>8</v>
      </c>
    </row>
    <row r="1948" spans="1:14" x14ac:dyDescent="0.25">
      <c r="A1948" s="10">
        <v>984542</v>
      </c>
      <c r="B1948" s="22" t="str">
        <f>IFERROR(VLOOKUP(A1948,VLOOKUPS!$A$2:B$12589,2,FALSE),"")</f>
        <v>Blueberries 18oz-standard</v>
      </c>
      <c r="G1948" s="13">
        <v>44482</v>
      </c>
      <c r="H1948" s="13">
        <v>44488</v>
      </c>
      <c r="I1948" s="22" t="str">
        <f>VLOOKUP(J1948, Dropdowns!N:O, 2, FALSE)</f>
        <v>Lower Price</v>
      </c>
      <c r="J1948" t="s">
        <v>753</v>
      </c>
      <c r="L1948" s="17" t="s">
        <v>732</v>
      </c>
      <c r="M1948" s="17" t="s">
        <v>736</v>
      </c>
      <c r="N1948" s="17" t="s">
        <v>736</v>
      </c>
    </row>
    <row r="1949" spans="1:14" x14ac:dyDescent="0.25">
      <c r="A1949" s="10">
        <v>984621</v>
      </c>
      <c r="B1949" s="22" t="str">
        <f>IFERROR(VLOOKUP(A1949,VLOOKUPS!$A$2:B$12589,2,FALSE),"")</f>
        <v>Raspberries 12oz-standard</v>
      </c>
      <c r="E1949">
        <v>5.18</v>
      </c>
      <c r="F1949">
        <v>3.99</v>
      </c>
      <c r="G1949" s="13">
        <v>44482</v>
      </c>
      <c r="H1949" s="13">
        <v>44483</v>
      </c>
      <c r="I1949" s="22" t="str">
        <f>VLOOKUP(J1949, Dropdowns!N:O, 2, FALSE)</f>
        <v>Lower Price</v>
      </c>
      <c r="J1949" t="s">
        <v>759</v>
      </c>
      <c r="L1949" s="17" t="s">
        <v>733</v>
      </c>
      <c r="M1949" s="17" t="s">
        <v>11</v>
      </c>
      <c r="N1949" s="17" t="s">
        <v>740</v>
      </c>
    </row>
    <row r="1950" spans="1:14" x14ac:dyDescent="0.25">
      <c r="A1950" s="10">
        <v>984621</v>
      </c>
      <c r="B1950" s="22" t="str">
        <f>IFERROR(VLOOKUP(A1950,VLOOKUPS!$A$2:B$12589,2,FALSE),"")</f>
        <v>Raspberries 12oz-standard</v>
      </c>
      <c r="E1950">
        <v>3.99</v>
      </c>
      <c r="F1950">
        <v>5.18</v>
      </c>
      <c r="G1950" s="13">
        <v>44484</v>
      </c>
      <c r="H1950" s="13"/>
      <c r="I1950" s="22" t="str">
        <f>VLOOKUP(J1950, Dropdowns!N:O, 2, FALSE)</f>
        <v>Standard</v>
      </c>
      <c r="J1950" t="s">
        <v>760</v>
      </c>
      <c r="L1950" s="17" t="s">
        <v>733</v>
      </c>
      <c r="M1950" s="17" t="s">
        <v>11</v>
      </c>
      <c r="N1950" s="17" t="s">
        <v>740</v>
      </c>
    </row>
    <row r="1951" spans="1:14" x14ac:dyDescent="0.25">
      <c r="A1951" s="10">
        <v>984700</v>
      </c>
      <c r="B1951" s="22" t="str">
        <f>IFERROR(VLOOKUP(A1951,VLOOKUPS!$A$2:B$12589,2,FALSE),"")</f>
        <v>Blackberries 6oz-standard</v>
      </c>
      <c r="G1951" s="13">
        <v>44482</v>
      </c>
      <c r="H1951" s="13">
        <v>44488</v>
      </c>
      <c r="I1951" s="22" t="str">
        <f>VLOOKUP(J1951, Dropdowns!N:O, 2, FALSE)</f>
        <v>Lower Price</v>
      </c>
      <c r="J1951" t="s">
        <v>753</v>
      </c>
      <c r="L1951" s="17" t="s">
        <v>732</v>
      </c>
      <c r="M1951" s="17" t="s">
        <v>736</v>
      </c>
      <c r="N1951" s="17" t="s">
        <v>736</v>
      </c>
    </row>
    <row r="1952" spans="1:14" x14ac:dyDescent="0.25">
      <c r="A1952" s="10">
        <v>995083</v>
      </c>
      <c r="B1952" s="22" t="str">
        <f>IFERROR(VLOOKUP(A1952,VLOOKUPS!$A$2:B$12589,2,FALSE),"")</f>
        <v>Butternut Squash Noodles 12oz-standard</v>
      </c>
      <c r="E1952">
        <v>2.4900000000000002</v>
      </c>
      <c r="F1952">
        <v>1.49</v>
      </c>
      <c r="G1952" s="13">
        <v>44482</v>
      </c>
      <c r="H1952" s="13">
        <v>44483</v>
      </c>
      <c r="I1952" s="22" t="str">
        <f>VLOOKUP(J1952, Dropdowns!N:O, 2, FALSE)</f>
        <v>Lower Price</v>
      </c>
      <c r="J1952" t="s">
        <v>759</v>
      </c>
      <c r="L1952" s="17" t="s">
        <v>732</v>
      </c>
      <c r="M1952" s="17" t="s">
        <v>10</v>
      </c>
      <c r="N1952" s="17">
        <v>2</v>
      </c>
    </row>
    <row r="1953" spans="1:14" x14ac:dyDescent="0.25">
      <c r="A1953" s="10">
        <v>995083</v>
      </c>
      <c r="B1953" s="22" t="str">
        <f>IFERROR(VLOOKUP(A1953,VLOOKUPS!$A$2:B$12589,2,FALSE),"")</f>
        <v>Butternut Squash Noodles 12oz-standard</v>
      </c>
      <c r="E1953">
        <v>1.49</v>
      </c>
      <c r="F1953">
        <v>2.4900000000000002</v>
      </c>
      <c r="G1953" s="13">
        <v>44484</v>
      </c>
      <c r="H1953" s="13"/>
      <c r="I1953" s="22" t="str">
        <f>VLOOKUP(J1953, Dropdowns!N:O, 2, FALSE)</f>
        <v>Standard</v>
      </c>
      <c r="J1953" t="s">
        <v>760</v>
      </c>
      <c r="L1953" s="17" t="s">
        <v>732</v>
      </c>
      <c r="M1953" s="17" t="s">
        <v>10</v>
      </c>
      <c r="N1953" s="17">
        <v>2</v>
      </c>
    </row>
    <row r="1954" spans="1:14" x14ac:dyDescent="0.25">
      <c r="A1954" s="10">
        <v>984620</v>
      </c>
      <c r="B1954" s="22" t="str">
        <f>IFERROR(VLOOKUP(A1954,VLOOKUPS!$A$2:B$12589,2,FALSE),"")</f>
        <v>Raspberries 6oz-standard</v>
      </c>
      <c r="G1954" s="13">
        <v>44482</v>
      </c>
      <c r="H1954" s="13">
        <v>44482</v>
      </c>
      <c r="I1954" s="22" t="str">
        <f>VLOOKUP(J1954, Dropdowns!N:O, 2, FALSE)</f>
        <v>Lower Price</v>
      </c>
      <c r="J1954" t="s">
        <v>762</v>
      </c>
      <c r="L1954" s="17" t="s">
        <v>732</v>
      </c>
      <c r="M1954" s="17" t="s">
        <v>736</v>
      </c>
      <c r="N1954" s="17" t="s">
        <v>736</v>
      </c>
    </row>
    <row r="1955" spans="1:14" x14ac:dyDescent="0.25">
      <c r="A1955" s="10">
        <v>982740</v>
      </c>
      <c r="B1955" s="22" t="str">
        <f>IFERROR(VLOOKUP(A1955,VLOOKUPS!$A$2:B$12589,2,FALSE),"")</f>
        <v>Grapes* Red Seedless 1lb-LOOSE</v>
      </c>
      <c r="E1955">
        <v>1.59</v>
      </c>
      <c r="F1955">
        <v>1.44</v>
      </c>
      <c r="G1955" s="13">
        <v>44482</v>
      </c>
      <c r="H1955" s="13"/>
      <c r="I1955" s="22" t="str">
        <f>VLOOKUP(J1955, Dropdowns!N:O, 2, FALSE)</f>
        <v>Standard</v>
      </c>
      <c r="J1955" t="s">
        <v>761</v>
      </c>
      <c r="L1955" s="17" t="s">
        <v>732</v>
      </c>
      <c r="M1955" s="17" t="s">
        <v>736</v>
      </c>
      <c r="N1955" s="17" t="s">
        <v>736</v>
      </c>
    </row>
    <row r="1956" spans="1:14" x14ac:dyDescent="0.25">
      <c r="A1956" s="10">
        <v>995067</v>
      </c>
      <c r="B1956" s="22" t="str">
        <f>IFERROR(VLOOKUP(A1956,VLOOKUPS!$A$2:B$12589,2,FALSE),"")</f>
        <v>Organic Baby Arugula 5oz-standard</v>
      </c>
      <c r="E1956">
        <v>2.56</v>
      </c>
      <c r="F1956">
        <v>2.98</v>
      </c>
      <c r="G1956" s="13">
        <v>44483</v>
      </c>
      <c r="H1956" s="13"/>
      <c r="I1956" s="22" t="str">
        <f>VLOOKUP(J1956, Dropdowns!N:O, 2, FALSE)</f>
        <v>Standard</v>
      </c>
      <c r="J1956" t="s">
        <v>761</v>
      </c>
      <c r="L1956" s="17" t="s">
        <v>733</v>
      </c>
      <c r="M1956" s="17" t="s">
        <v>738</v>
      </c>
      <c r="N1956" s="17" t="s">
        <v>740</v>
      </c>
    </row>
    <row r="1957" spans="1:14" x14ac:dyDescent="0.25">
      <c r="A1957" s="10">
        <v>984620</v>
      </c>
      <c r="B1957" s="22" t="str">
        <f>IFERROR(VLOOKUP(A1957,VLOOKUPS!$A$2:B$12589,2,FALSE),"")</f>
        <v>Raspberries 6oz-standard</v>
      </c>
      <c r="G1957" s="13">
        <v>44483</v>
      </c>
      <c r="H1957" s="13">
        <v>44483</v>
      </c>
      <c r="I1957" s="22" t="str">
        <f>VLOOKUP(J1957, Dropdowns!N:O, 2, FALSE)</f>
        <v>Lower Price</v>
      </c>
      <c r="J1957" t="s">
        <v>762</v>
      </c>
      <c r="L1957" s="17" t="s">
        <v>732</v>
      </c>
      <c r="M1957" s="17" t="s">
        <v>736</v>
      </c>
      <c r="N1957" s="17" t="s">
        <v>736</v>
      </c>
    </row>
    <row r="1958" spans="1:14" x14ac:dyDescent="0.25">
      <c r="A1958" s="10">
        <v>984621</v>
      </c>
      <c r="B1958" s="22" t="str">
        <f>IFERROR(VLOOKUP(A1958,VLOOKUPS!$A$2:B$12589,2,FALSE),"")</f>
        <v>Raspberries 12oz-standard</v>
      </c>
      <c r="E1958">
        <v>5.18</v>
      </c>
      <c r="F1958">
        <v>4.18</v>
      </c>
      <c r="G1958" s="13">
        <v>44483</v>
      </c>
      <c r="H1958" s="13">
        <v>44484</v>
      </c>
      <c r="I1958" s="22" t="str">
        <f>VLOOKUP(J1958, Dropdowns!N:O, 2, FALSE)</f>
        <v>Lower Price</v>
      </c>
      <c r="J1958" t="s">
        <v>759</v>
      </c>
      <c r="L1958" s="17" t="s">
        <v>732</v>
      </c>
      <c r="M1958" s="17" t="s">
        <v>735</v>
      </c>
      <c r="N1958" s="17" t="s">
        <v>736</v>
      </c>
    </row>
    <row r="1959" spans="1:14" x14ac:dyDescent="0.25">
      <c r="A1959" s="10">
        <v>984621</v>
      </c>
      <c r="B1959" s="22" t="str">
        <f>IFERROR(VLOOKUP(A1959,VLOOKUPS!$A$2:B$12589,2,FALSE),"")</f>
        <v>Raspberries 12oz-standard</v>
      </c>
      <c r="E1959">
        <v>4.18</v>
      </c>
      <c r="F1959">
        <v>5.18</v>
      </c>
      <c r="G1959" s="13">
        <v>44485</v>
      </c>
      <c r="H1959" s="13"/>
      <c r="I1959" s="22" t="str">
        <f>VLOOKUP(J1959, Dropdowns!N:O, 2, FALSE)</f>
        <v>Standard</v>
      </c>
      <c r="J1959" t="s">
        <v>760</v>
      </c>
      <c r="L1959" s="17" t="s">
        <v>732</v>
      </c>
      <c r="M1959" s="17" t="s">
        <v>735</v>
      </c>
      <c r="N1959" s="17" t="s">
        <v>736</v>
      </c>
    </row>
    <row r="1960" spans="1:14" x14ac:dyDescent="0.25">
      <c r="A1960" s="10">
        <v>995041</v>
      </c>
      <c r="B1960" s="22" t="str">
        <f>IFERROR(VLOOKUP(A1960,VLOOKUPS!$A$2:B$12589,2,FALSE),"")</f>
        <v>Pineapple Spears 16oz-standard</v>
      </c>
      <c r="E1960">
        <v>3.49</v>
      </c>
      <c r="F1960">
        <v>2.4900000000000002</v>
      </c>
      <c r="G1960" s="13">
        <v>44483</v>
      </c>
      <c r="H1960" s="13">
        <v>44484</v>
      </c>
      <c r="I1960" s="22" t="str">
        <f>VLOOKUP(J1960, Dropdowns!N:O, 2, FALSE)</f>
        <v>Lower Price</v>
      </c>
      <c r="J1960" t="s">
        <v>759</v>
      </c>
      <c r="L1960" s="17" t="s">
        <v>732</v>
      </c>
      <c r="M1960" s="17" t="s">
        <v>10</v>
      </c>
      <c r="N1960" s="17">
        <v>2</v>
      </c>
    </row>
    <row r="1961" spans="1:14" x14ac:dyDescent="0.25">
      <c r="A1961" s="10">
        <v>995041</v>
      </c>
      <c r="B1961" s="22" t="str">
        <f>IFERROR(VLOOKUP(A1961,VLOOKUPS!$A$2:B$12589,2,FALSE),"")</f>
        <v>Pineapple Spears 16oz-standard</v>
      </c>
      <c r="E1961">
        <v>2.4900000000000002</v>
      </c>
      <c r="F1961">
        <v>3.49</v>
      </c>
      <c r="G1961" s="13">
        <v>44485</v>
      </c>
      <c r="H1961" s="13"/>
      <c r="I1961" s="22" t="str">
        <f>VLOOKUP(J1961, Dropdowns!N:O, 2, FALSE)</f>
        <v>Standard</v>
      </c>
      <c r="J1961" t="s">
        <v>760</v>
      </c>
      <c r="L1961" s="17" t="s">
        <v>732</v>
      </c>
      <c r="M1961" s="17" t="s">
        <v>10</v>
      </c>
      <c r="N1961" s="17">
        <v>2</v>
      </c>
    </row>
    <row r="1962" spans="1:14" x14ac:dyDescent="0.25">
      <c r="A1962" s="10">
        <v>995124</v>
      </c>
      <c r="B1962" s="22" t="str">
        <f>IFERROR(VLOOKUP(A1962,VLOOKUPS!$A$2:B$12589,2,FALSE),"")</f>
        <v>Sweet Potato Crinkle Fry 10oz-standard</v>
      </c>
      <c r="E1962">
        <v>2.4900000000000002</v>
      </c>
      <c r="F1962">
        <v>1.49</v>
      </c>
      <c r="G1962" s="13">
        <v>44483</v>
      </c>
      <c r="H1962" s="13">
        <v>44484</v>
      </c>
      <c r="I1962" s="22" t="str">
        <f>VLOOKUP(J1962, Dropdowns!N:O, 2, FALSE)</f>
        <v>Lower Price</v>
      </c>
      <c r="J1962" t="s">
        <v>759</v>
      </c>
      <c r="L1962" s="17" t="s">
        <v>733</v>
      </c>
      <c r="M1962" s="17" t="s">
        <v>11</v>
      </c>
      <c r="N1962" s="17" t="s">
        <v>740</v>
      </c>
    </row>
    <row r="1963" spans="1:14" x14ac:dyDescent="0.25">
      <c r="A1963" s="10">
        <v>995124</v>
      </c>
      <c r="B1963" s="22" t="str">
        <f>IFERROR(VLOOKUP(A1963,VLOOKUPS!$A$2:B$12589,2,FALSE),"")</f>
        <v>Sweet Potato Crinkle Fry 10oz-standard</v>
      </c>
      <c r="E1963">
        <v>1.49</v>
      </c>
      <c r="F1963">
        <v>2.4900000000000002</v>
      </c>
      <c r="G1963" s="13">
        <v>44485</v>
      </c>
      <c r="H1963" s="13"/>
      <c r="I1963" s="22" t="str">
        <f>VLOOKUP(J1963, Dropdowns!N:O, 2, FALSE)</f>
        <v>Standard</v>
      </c>
      <c r="J1963" t="s">
        <v>760</v>
      </c>
      <c r="L1963" s="17" t="s">
        <v>733</v>
      </c>
      <c r="M1963" s="17" t="s">
        <v>11</v>
      </c>
      <c r="N1963" s="17" t="s">
        <v>740</v>
      </c>
    </row>
    <row r="1964" spans="1:14" x14ac:dyDescent="0.25">
      <c r="A1964" s="10">
        <v>995136</v>
      </c>
      <c r="B1964" s="22" t="str">
        <f>IFERROR(VLOOKUP(A1964,VLOOKUPS!$A$2:B$12589,2,FALSE),"")</f>
        <v>Baby Spinach 11oz-standard</v>
      </c>
      <c r="E1964">
        <v>4.18</v>
      </c>
      <c r="F1964">
        <v>3.18</v>
      </c>
      <c r="G1964" s="13">
        <v>44483</v>
      </c>
      <c r="H1964" s="13">
        <v>44484</v>
      </c>
      <c r="I1964" s="22" t="str">
        <f>VLOOKUP(J1964, Dropdowns!N:O, 2, FALSE)</f>
        <v>Lower Price</v>
      </c>
      <c r="J1964" t="s">
        <v>759</v>
      </c>
      <c r="L1964" s="17" t="s">
        <v>732</v>
      </c>
      <c r="M1964" s="17" t="s">
        <v>735</v>
      </c>
      <c r="N1964" s="17" t="s">
        <v>736</v>
      </c>
    </row>
    <row r="1965" spans="1:14" x14ac:dyDescent="0.25">
      <c r="A1965" s="10">
        <v>995136</v>
      </c>
      <c r="B1965" s="22" t="str">
        <f>IFERROR(VLOOKUP(A1965,VLOOKUPS!$A$2:B$12589,2,FALSE),"")</f>
        <v>Baby Spinach 11oz-standard</v>
      </c>
      <c r="E1965">
        <v>3.18</v>
      </c>
      <c r="F1965">
        <v>4.18</v>
      </c>
      <c r="G1965" s="13">
        <v>44485</v>
      </c>
      <c r="H1965" s="13"/>
      <c r="I1965" s="22" t="str">
        <f>VLOOKUP(J1965, Dropdowns!N:O, 2, FALSE)</f>
        <v>Standard</v>
      </c>
      <c r="J1965" t="s">
        <v>760</v>
      </c>
      <c r="L1965" s="17" t="s">
        <v>732</v>
      </c>
      <c r="M1965" s="17" t="s">
        <v>735</v>
      </c>
      <c r="N1965" s="17" t="s">
        <v>736</v>
      </c>
    </row>
    <row r="1966" spans="1:14" x14ac:dyDescent="0.25">
      <c r="A1966" s="10">
        <v>982650</v>
      </c>
      <c r="B1966" s="22" t="str">
        <f>IFERROR(VLOOKUP(A1966,VLOOKUPS!$A$2:B$12589,2,FALSE),"")</f>
        <v>Grapes* Green Seedless 1lb-LOOSE</v>
      </c>
      <c r="G1966" s="13">
        <v>44485</v>
      </c>
      <c r="H1966" s="13">
        <v>44486</v>
      </c>
      <c r="I1966" s="22" t="str">
        <f>VLOOKUP(J1966, Dropdowns!N:O, 2, FALSE)</f>
        <v>Lower Price</v>
      </c>
      <c r="J1966" t="s">
        <v>753</v>
      </c>
      <c r="L1966" s="17" t="s">
        <v>732</v>
      </c>
      <c r="M1966" s="17" t="s">
        <v>736</v>
      </c>
      <c r="N1966" s="17" t="s">
        <v>736</v>
      </c>
    </row>
    <row r="1967" spans="1:14" x14ac:dyDescent="0.25">
      <c r="A1967" s="10">
        <v>982650</v>
      </c>
      <c r="B1967" s="22" t="str">
        <f>IFERROR(VLOOKUP(A1967,VLOOKUPS!$A$2:B$12589,2,FALSE),"")</f>
        <v>Grapes* Green Seedless 1lb-LOOSE</v>
      </c>
      <c r="E1967">
        <v>0.69</v>
      </c>
      <c r="F1967">
        <v>1.29</v>
      </c>
      <c r="G1967" s="13">
        <v>44487</v>
      </c>
      <c r="H1967" s="13"/>
      <c r="I1967" s="22" t="str">
        <f>VLOOKUP(J1967, Dropdowns!N:O, 2, FALSE)</f>
        <v>Standard</v>
      </c>
      <c r="J1967" t="s">
        <v>760</v>
      </c>
      <c r="L1967" s="17" t="s">
        <v>732</v>
      </c>
      <c r="M1967" s="17" t="s">
        <v>736</v>
      </c>
      <c r="N1967" s="17" t="s">
        <v>736</v>
      </c>
    </row>
    <row r="1968" spans="1:14" x14ac:dyDescent="0.25">
      <c r="A1968" s="10">
        <v>982637</v>
      </c>
      <c r="B1968" s="22" t="str">
        <f>IFERROR(VLOOKUP(A1968,VLOOKUPS!$A$2:B$12589,2,FALSE),"")</f>
        <v>Plumcots 2lb-standard</v>
      </c>
      <c r="E1968">
        <v>3.98</v>
      </c>
      <c r="G1968" s="13">
        <v>44484</v>
      </c>
      <c r="H1968" s="13"/>
      <c r="I1968" s="22" t="str">
        <f>VLOOKUP(J1968, Dropdowns!N:O, 2, FALSE)</f>
        <v>NA</v>
      </c>
      <c r="J1968" t="s">
        <v>754</v>
      </c>
      <c r="L1968" s="17" t="s">
        <v>732</v>
      </c>
      <c r="M1968" s="17" t="s">
        <v>736</v>
      </c>
      <c r="N1968" s="17" t="s">
        <v>736</v>
      </c>
    </row>
    <row r="1969" spans="1:17" x14ac:dyDescent="0.25">
      <c r="A1969" s="10">
        <v>982830</v>
      </c>
      <c r="B1969" s="22" t="str">
        <f>IFERROR(VLOOKUP(A1969,VLOOKUPS!$A$2:B$12589,2,FALSE),"")</f>
        <v>Grapes* Black Seedless 1lb-LOOSE</v>
      </c>
      <c r="E1969">
        <v>1.42</v>
      </c>
      <c r="F1969">
        <v>1.47</v>
      </c>
      <c r="G1969" s="13">
        <v>44484</v>
      </c>
      <c r="H1969" s="13"/>
      <c r="I1969" s="22" t="str">
        <f>VLOOKUP(J1969, Dropdowns!N:O, 2, FALSE)</f>
        <v>Standard</v>
      </c>
      <c r="J1969" t="s">
        <v>761</v>
      </c>
      <c r="L1969" s="17" t="s">
        <v>732</v>
      </c>
      <c r="M1969" s="17" t="s">
        <v>736</v>
      </c>
      <c r="N1969" s="17" t="s">
        <v>736</v>
      </c>
    </row>
    <row r="1970" spans="1:17" x14ac:dyDescent="0.25">
      <c r="A1970" s="10">
        <v>984620</v>
      </c>
      <c r="B1970" s="22" t="str">
        <f>IFERROR(VLOOKUP(A1970,VLOOKUPS!$A$2:B$12589,2,FALSE),"")</f>
        <v>Raspberries 6oz-standard</v>
      </c>
      <c r="E1970">
        <v>2.29</v>
      </c>
      <c r="F1970">
        <v>3.12</v>
      </c>
      <c r="G1970" s="13">
        <v>44484</v>
      </c>
      <c r="H1970" s="13"/>
      <c r="I1970" s="22" t="str">
        <f>VLOOKUP(J1970, Dropdowns!N:O, 2, FALSE)</f>
        <v>Standard</v>
      </c>
      <c r="J1970" t="s">
        <v>760</v>
      </c>
      <c r="L1970" s="17" t="s">
        <v>732</v>
      </c>
      <c r="M1970" s="17" t="s">
        <v>736</v>
      </c>
      <c r="N1970" s="17" t="s">
        <v>736</v>
      </c>
    </row>
    <row r="1971" spans="1:17" x14ac:dyDescent="0.25">
      <c r="A1971" s="10">
        <v>984620</v>
      </c>
      <c r="B1971" s="22" t="str">
        <f>IFERROR(VLOOKUP(A1971,VLOOKUPS!$A$2:B$12589,2,FALSE),"")</f>
        <v>Raspberries 6oz-standard</v>
      </c>
      <c r="E1971">
        <v>3.12</v>
      </c>
      <c r="F1971">
        <v>2.84</v>
      </c>
      <c r="G1971" s="13">
        <v>44485</v>
      </c>
      <c r="H1971" s="13"/>
      <c r="I1971" s="22" t="str">
        <f>VLOOKUP(J1971, Dropdowns!N:O, 2, FALSE)</f>
        <v>Standard</v>
      </c>
      <c r="J1971" t="s">
        <v>761</v>
      </c>
      <c r="L1971" s="17" t="s">
        <v>732</v>
      </c>
      <c r="M1971" s="17" t="s">
        <v>736</v>
      </c>
      <c r="N1971" s="17" t="s">
        <v>736</v>
      </c>
    </row>
    <row r="1972" spans="1:17" x14ac:dyDescent="0.25">
      <c r="A1972" s="10">
        <v>986340</v>
      </c>
      <c r="B1972" s="22" t="str">
        <f>IFERROR(VLOOKUP(A1972,VLOOKUPS!$A$2:B$12589,2,FALSE),"")</f>
        <v>Mirepoix 16oz-standard</v>
      </c>
      <c r="D1972">
        <v>6</v>
      </c>
      <c r="F1972">
        <v>2.99</v>
      </c>
      <c r="G1972" s="13">
        <v>44484</v>
      </c>
      <c r="H1972" s="13"/>
      <c r="I1972" s="22" t="str">
        <f>VLOOKUP(J1972, Dropdowns!N:O, 2, FALSE)</f>
        <v>New</v>
      </c>
      <c r="J1972" t="s">
        <v>776</v>
      </c>
      <c r="L1972" s="17" t="s">
        <v>732</v>
      </c>
      <c r="M1972" s="17" t="s">
        <v>736</v>
      </c>
      <c r="N1972" s="17" t="s">
        <v>736</v>
      </c>
      <c r="O1972" s="17" t="s">
        <v>748</v>
      </c>
      <c r="P1972">
        <v>1</v>
      </c>
      <c r="Q1972" s="17" t="s">
        <v>1044</v>
      </c>
    </row>
    <row r="1973" spans="1:17" x14ac:dyDescent="0.25">
      <c r="A1973" s="10">
        <v>995008</v>
      </c>
      <c r="B1973" s="22" t="str">
        <f>IFERROR(VLOOKUP(A1973,VLOOKUPS!$A$2:B$12589,2,FALSE),"")</f>
        <v>Shredded Lettuce 8oz-standard</v>
      </c>
      <c r="E1973">
        <v>1.69</v>
      </c>
      <c r="F1973">
        <v>0.99</v>
      </c>
      <c r="G1973" s="13">
        <v>44484</v>
      </c>
      <c r="H1973" s="13">
        <v>44485</v>
      </c>
      <c r="I1973" s="22" t="str">
        <f>VLOOKUP(J1973, Dropdowns!N:O, 2, FALSE)</f>
        <v>Lower Price</v>
      </c>
      <c r="J1973" t="s">
        <v>759</v>
      </c>
      <c r="L1973" s="17" t="s">
        <v>733</v>
      </c>
      <c r="M1973" s="17" t="s">
        <v>11</v>
      </c>
      <c r="N1973" s="17" t="s">
        <v>740</v>
      </c>
    </row>
    <row r="1974" spans="1:17" x14ac:dyDescent="0.25">
      <c r="A1974" s="10">
        <v>995008</v>
      </c>
      <c r="B1974" s="22" t="str">
        <f>IFERROR(VLOOKUP(A1974,VLOOKUPS!$A$2:B$12589,2,FALSE),"")</f>
        <v>Shredded Lettuce 8oz-standard</v>
      </c>
      <c r="E1974">
        <v>0.99</v>
      </c>
      <c r="F1974">
        <v>1.69</v>
      </c>
      <c r="G1974" s="13">
        <v>44486</v>
      </c>
      <c r="H1974" s="13"/>
      <c r="I1974" s="22" t="str">
        <f>VLOOKUP(J1974, Dropdowns!N:O, 2, FALSE)</f>
        <v>Standard</v>
      </c>
      <c r="J1974" t="s">
        <v>760</v>
      </c>
      <c r="L1974" s="17" t="s">
        <v>733</v>
      </c>
      <c r="M1974" s="17" t="s">
        <v>11</v>
      </c>
      <c r="N1974" s="17" t="s">
        <v>740</v>
      </c>
    </row>
    <row r="1975" spans="1:17" x14ac:dyDescent="0.25">
      <c r="A1975" s="10">
        <v>995022</v>
      </c>
      <c r="B1975" s="22" t="str">
        <f>IFERROR(VLOOKUP(A1975,VLOOKUPS!$A$2:B$12589,2,FALSE),"")</f>
        <v>American Blend 12oz-standard</v>
      </c>
      <c r="E1975">
        <v>1.99</v>
      </c>
      <c r="F1975">
        <v>0.99</v>
      </c>
      <c r="G1975" s="13">
        <v>44484</v>
      </c>
      <c r="H1975" s="13">
        <v>44485</v>
      </c>
      <c r="I1975" s="22" t="str">
        <f>VLOOKUP(J1975, Dropdowns!N:O, 2, FALSE)</f>
        <v>Lower Price</v>
      </c>
      <c r="J1975" t="s">
        <v>759</v>
      </c>
      <c r="L1975" s="17" t="s">
        <v>732</v>
      </c>
      <c r="M1975" s="17" t="s">
        <v>10</v>
      </c>
      <c r="N1975" s="17">
        <v>2</v>
      </c>
    </row>
    <row r="1976" spans="1:17" x14ac:dyDescent="0.25">
      <c r="A1976" s="10">
        <v>995022</v>
      </c>
      <c r="B1976" s="22" t="str">
        <f>IFERROR(VLOOKUP(A1976,VLOOKUPS!$A$2:B$12589,2,FALSE),"")</f>
        <v>American Blend 12oz-standard</v>
      </c>
      <c r="E1976">
        <v>0.99</v>
      </c>
      <c r="F1976">
        <v>1.99</v>
      </c>
      <c r="G1976" s="13">
        <v>44486</v>
      </c>
      <c r="H1976" s="13"/>
      <c r="I1976" s="22" t="str">
        <f>VLOOKUP(J1976, Dropdowns!N:O, 2, FALSE)</f>
        <v>Standard</v>
      </c>
      <c r="J1976" t="s">
        <v>760</v>
      </c>
      <c r="L1976" s="17" t="s">
        <v>732</v>
      </c>
      <c r="M1976" s="17" t="s">
        <v>10</v>
      </c>
      <c r="N1976" s="17">
        <v>2</v>
      </c>
    </row>
    <row r="1977" spans="1:17" x14ac:dyDescent="0.25">
      <c r="A1977" s="10">
        <v>995043</v>
      </c>
      <c r="B1977" s="22" t="str">
        <f>IFERROR(VLOOKUP(A1977,VLOOKUPS!$A$2:B$12589,2,FALSE),"")</f>
        <v>Watermelon Chunks 16oz-standard</v>
      </c>
      <c r="E1977">
        <v>3.49</v>
      </c>
      <c r="F1977">
        <v>1.99</v>
      </c>
      <c r="G1977" s="13">
        <v>44484</v>
      </c>
      <c r="H1977" s="13">
        <v>44485</v>
      </c>
      <c r="I1977" s="22" t="str">
        <f>VLOOKUP(J1977, Dropdowns!N:O, 2, FALSE)</f>
        <v>Lower Price</v>
      </c>
      <c r="J1977" t="s">
        <v>759</v>
      </c>
      <c r="L1977" s="17" t="s">
        <v>733</v>
      </c>
      <c r="M1977" s="17" t="s">
        <v>11</v>
      </c>
      <c r="N1977" s="17" t="s">
        <v>740</v>
      </c>
    </row>
    <row r="1978" spans="1:17" x14ac:dyDescent="0.25">
      <c r="A1978" s="10">
        <v>995043</v>
      </c>
      <c r="B1978" s="22" t="str">
        <f>IFERROR(VLOOKUP(A1978,VLOOKUPS!$A$2:B$12589,2,FALSE),"")</f>
        <v>Watermelon Chunks 16oz-standard</v>
      </c>
      <c r="E1978">
        <v>1.99</v>
      </c>
      <c r="F1978">
        <v>3.49</v>
      </c>
      <c r="G1978" s="13">
        <v>44486</v>
      </c>
      <c r="H1978" s="13"/>
      <c r="I1978" s="22" t="str">
        <f>VLOOKUP(J1978, Dropdowns!N:O, 2, FALSE)</f>
        <v>Standard</v>
      </c>
      <c r="J1978" t="s">
        <v>760</v>
      </c>
      <c r="L1978" s="17" t="s">
        <v>733</v>
      </c>
      <c r="M1978" s="17" t="s">
        <v>11</v>
      </c>
      <c r="N1978" s="17" t="s">
        <v>740</v>
      </c>
    </row>
    <row r="1979" spans="1:17" x14ac:dyDescent="0.25">
      <c r="A1979" s="10">
        <v>995070</v>
      </c>
      <c r="B1979" s="22" t="str">
        <f>IFERROR(VLOOKUP(A1979,VLOOKUPS!$A$2:B$12589,2,FALSE),"")</f>
        <v>Organic Baby Spring Mix 5oz-standard</v>
      </c>
      <c r="E1979">
        <v>2.98</v>
      </c>
      <c r="F1979">
        <v>1.48</v>
      </c>
      <c r="G1979" s="13">
        <v>44484</v>
      </c>
      <c r="H1979" s="13">
        <v>44484</v>
      </c>
      <c r="I1979" s="22" t="str">
        <f>VLOOKUP(J1979, Dropdowns!N:O, 2, FALSE)</f>
        <v>Lower Price</v>
      </c>
      <c r="J1979" t="s">
        <v>759</v>
      </c>
      <c r="L1979" s="17" t="s">
        <v>733</v>
      </c>
      <c r="M1979" s="17" t="s">
        <v>11</v>
      </c>
      <c r="N1979" s="17" t="s">
        <v>740</v>
      </c>
    </row>
    <row r="1980" spans="1:17" x14ac:dyDescent="0.25">
      <c r="A1980" s="10">
        <v>995070</v>
      </c>
      <c r="B1980" s="22" t="str">
        <f>IFERROR(VLOOKUP(A1980,VLOOKUPS!$A$2:B$12589,2,FALSE),"")</f>
        <v>Organic Baby Spring Mix 5oz-standard</v>
      </c>
      <c r="E1980">
        <v>1.48</v>
      </c>
      <c r="F1980">
        <v>2.98</v>
      </c>
      <c r="G1980" s="13">
        <v>44485</v>
      </c>
      <c r="H1980" s="13"/>
      <c r="I1980" s="22" t="str">
        <f>VLOOKUP(J1980, Dropdowns!N:O, 2, FALSE)</f>
        <v>Standard</v>
      </c>
      <c r="J1980" t="s">
        <v>760</v>
      </c>
      <c r="L1980" s="17" t="s">
        <v>733</v>
      </c>
      <c r="M1980" s="17" t="s">
        <v>11</v>
      </c>
      <c r="N1980" s="17" t="s">
        <v>740</v>
      </c>
    </row>
    <row r="1981" spans="1:17" x14ac:dyDescent="0.25">
      <c r="A1981" s="10">
        <v>995072</v>
      </c>
      <c r="B1981" s="22" t="str">
        <f>IFERROR(VLOOKUP(A1981,VLOOKUPS!$A$2:B$12589,2,FALSE),"")</f>
        <v>Broccoli Coleslaw 12oz-standard</v>
      </c>
      <c r="E1981">
        <v>1.99</v>
      </c>
      <c r="F1981">
        <v>0.99</v>
      </c>
      <c r="G1981" s="13">
        <v>44484</v>
      </c>
      <c r="H1981" s="13">
        <v>44485</v>
      </c>
      <c r="I1981" s="22" t="str">
        <f>VLOOKUP(J1981, Dropdowns!N:O, 2, FALSE)</f>
        <v>Lower Price</v>
      </c>
      <c r="J1981" t="s">
        <v>759</v>
      </c>
      <c r="L1981" s="17" t="s">
        <v>733</v>
      </c>
      <c r="M1981" s="17" t="s">
        <v>9</v>
      </c>
      <c r="N1981" s="17" t="s">
        <v>740</v>
      </c>
    </row>
    <row r="1982" spans="1:17" x14ac:dyDescent="0.25">
      <c r="A1982" s="10">
        <v>995072</v>
      </c>
      <c r="B1982" s="22" t="str">
        <f>IFERROR(VLOOKUP(A1982,VLOOKUPS!$A$2:B$12589,2,FALSE),"")</f>
        <v>Broccoli Coleslaw 12oz-standard</v>
      </c>
      <c r="E1982">
        <v>2.59</v>
      </c>
      <c r="F1982">
        <v>1.59</v>
      </c>
      <c r="G1982" s="13">
        <v>44484</v>
      </c>
      <c r="H1982" s="13">
        <v>44485</v>
      </c>
      <c r="I1982" s="22" t="str">
        <f>VLOOKUP(J1982, Dropdowns!N:O, 2, FALSE)</f>
        <v>Lower Price</v>
      </c>
      <c r="J1982" t="s">
        <v>759</v>
      </c>
      <c r="L1982" s="17" t="s">
        <v>734</v>
      </c>
      <c r="M1982" s="17" t="s">
        <v>9</v>
      </c>
      <c r="N1982" s="17" t="s">
        <v>736</v>
      </c>
    </row>
    <row r="1983" spans="1:17" x14ac:dyDescent="0.25">
      <c r="A1983" s="10">
        <v>995072</v>
      </c>
      <c r="B1983" s="22" t="str">
        <f>IFERROR(VLOOKUP(A1983,VLOOKUPS!$A$2:B$12589,2,FALSE),"")</f>
        <v>Broccoli Coleslaw 12oz-standard</v>
      </c>
      <c r="E1983">
        <v>0.99</v>
      </c>
      <c r="F1983">
        <v>1.99</v>
      </c>
      <c r="G1983" s="13">
        <v>44486</v>
      </c>
      <c r="H1983" s="13"/>
      <c r="I1983" s="22" t="str">
        <f>VLOOKUP(J1983, Dropdowns!N:O, 2, FALSE)</f>
        <v>Standard</v>
      </c>
      <c r="J1983" t="s">
        <v>760</v>
      </c>
      <c r="L1983" s="17" t="s">
        <v>733</v>
      </c>
      <c r="M1983" s="17" t="s">
        <v>9</v>
      </c>
      <c r="N1983" s="17" t="s">
        <v>740</v>
      </c>
    </row>
    <row r="1984" spans="1:17" x14ac:dyDescent="0.25">
      <c r="A1984" s="10">
        <v>995072</v>
      </c>
      <c r="B1984" s="22" t="str">
        <f>IFERROR(VLOOKUP(A1984,VLOOKUPS!$A$2:B$12589,2,FALSE),"")</f>
        <v>Broccoli Coleslaw 12oz-standard</v>
      </c>
      <c r="E1984">
        <v>1.59</v>
      </c>
      <c r="F1984">
        <v>2.59</v>
      </c>
      <c r="G1984" s="13">
        <v>44486</v>
      </c>
      <c r="H1984" s="13"/>
      <c r="I1984" s="22" t="str">
        <f>VLOOKUP(J1984, Dropdowns!N:O, 2, FALSE)</f>
        <v>Standard</v>
      </c>
      <c r="J1984" t="s">
        <v>760</v>
      </c>
      <c r="L1984" s="17" t="s">
        <v>734</v>
      </c>
      <c r="M1984" s="17" t="s">
        <v>9</v>
      </c>
      <c r="N1984" s="17" t="s">
        <v>736</v>
      </c>
    </row>
    <row r="1985" spans="1:17" x14ac:dyDescent="0.25">
      <c r="A1985" s="10">
        <v>995076</v>
      </c>
      <c r="B1985" s="22" t="str">
        <f>IFERROR(VLOOKUP(A1985,VLOOKUPS!$A$2:B$12589,2,FALSE),"")</f>
        <v>Organic Power Greens 5oz-standard</v>
      </c>
      <c r="E1985">
        <v>2.4900000000000002</v>
      </c>
      <c r="F1985">
        <v>1.49</v>
      </c>
      <c r="G1985" s="13">
        <v>44484</v>
      </c>
      <c r="H1985" s="13">
        <v>44485</v>
      </c>
      <c r="I1985" s="22" t="str">
        <f>VLOOKUP(J1985, Dropdowns!N:O, 2, FALSE)</f>
        <v>Lower Price</v>
      </c>
      <c r="J1985" t="s">
        <v>759</v>
      </c>
      <c r="L1985" s="17" t="s">
        <v>733</v>
      </c>
      <c r="M1985" s="17" t="s">
        <v>738</v>
      </c>
      <c r="N1985" s="17" t="s">
        <v>740</v>
      </c>
    </row>
    <row r="1986" spans="1:17" x14ac:dyDescent="0.25">
      <c r="A1986" s="10">
        <v>995076</v>
      </c>
      <c r="B1986" s="22" t="str">
        <f>IFERROR(VLOOKUP(A1986,VLOOKUPS!$A$2:B$12589,2,FALSE),"")</f>
        <v>Organic Power Greens 5oz-standard</v>
      </c>
      <c r="E1986">
        <v>1.49</v>
      </c>
      <c r="F1986">
        <v>2.4900000000000002</v>
      </c>
      <c r="G1986" s="13">
        <v>44486</v>
      </c>
      <c r="H1986" s="13"/>
      <c r="I1986" s="22" t="str">
        <f>VLOOKUP(J1986, Dropdowns!N:O, 2, FALSE)</f>
        <v>Standard</v>
      </c>
      <c r="J1986" t="s">
        <v>760</v>
      </c>
      <c r="L1986" s="17" t="s">
        <v>733</v>
      </c>
      <c r="M1986" s="17" t="s">
        <v>738</v>
      </c>
      <c r="N1986" s="17" t="s">
        <v>740</v>
      </c>
    </row>
    <row r="1987" spans="1:17" x14ac:dyDescent="0.25">
      <c r="A1987" s="10">
        <v>995156</v>
      </c>
      <c r="B1987" s="22" t="str">
        <f>IFERROR(VLOOKUP(A1987,VLOOKUPS!$A$2:B$12589,2,FALSE),"")</f>
        <v>Mild Guacamole 12oz-standard</v>
      </c>
      <c r="D1987">
        <v>2</v>
      </c>
      <c r="F1987">
        <v>4.99</v>
      </c>
      <c r="G1987" s="13">
        <v>44484</v>
      </c>
      <c r="H1987" s="13"/>
      <c r="I1987" s="22" t="str">
        <f>VLOOKUP(J1987, Dropdowns!N:O, 2, FALSE)</f>
        <v>New</v>
      </c>
      <c r="J1987" t="s">
        <v>776</v>
      </c>
      <c r="L1987" s="17" t="s">
        <v>732</v>
      </c>
      <c r="M1987" s="17" t="s">
        <v>735</v>
      </c>
      <c r="N1987" s="17" t="s">
        <v>736</v>
      </c>
      <c r="O1987" s="17" t="s">
        <v>748</v>
      </c>
      <c r="P1987">
        <v>1</v>
      </c>
      <c r="Q1987" s="17" t="s">
        <v>1044</v>
      </c>
    </row>
    <row r="1988" spans="1:17" x14ac:dyDescent="0.25">
      <c r="A1988" s="10">
        <v>995153</v>
      </c>
      <c r="B1988" s="22" t="str">
        <f>IFERROR(VLOOKUP(A1988,VLOOKUPS!$A$2:B$12589,2,FALSE),"")</f>
        <v>Sweet Apple Slices 14oz-standard</v>
      </c>
      <c r="E1988">
        <v>3.49</v>
      </c>
      <c r="F1988">
        <v>2.4900000000000002</v>
      </c>
      <c r="G1988" s="13">
        <v>44488</v>
      </c>
      <c r="H1988" s="13">
        <v>44489</v>
      </c>
      <c r="I1988" s="22" t="str">
        <f>VLOOKUP(J1988, Dropdowns!N:O, 2, FALSE)</f>
        <v>Lower Price</v>
      </c>
      <c r="J1988" t="s">
        <v>759</v>
      </c>
      <c r="L1988" s="17" t="s">
        <v>733</v>
      </c>
      <c r="M1988" s="17" t="s">
        <v>11</v>
      </c>
      <c r="N1988" s="17" t="s">
        <v>740</v>
      </c>
    </row>
    <row r="1989" spans="1:17" x14ac:dyDescent="0.25">
      <c r="A1989" s="10">
        <v>995153</v>
      </c>
      <c r="B1989" s="22" t="str">
        <f>IFERROR(VLOOKUP(A1989,VLOOKUPS!$A$2:B$12589,2,FALSE),"")</f>
        <v>Sweet Apple Slices 14oz-standard</v>
      </c>
      <c r="E1989">
        <v>2.4900000000000002</v>
      </c>
      <c r="F1989">
        <v>3.49</v>
      </c>
      <c r="G1989" s="13">
        <v>44490</v>
      </c>
      <c r="H1989" s="13"/>
      <c r="I1989" s="22" t="str">
        <f>VLOOKUP(J1989, Dropdowns!N:O, 2, FALSE)</f>
        <v>Standard</v>
      </c>
      <c r="J1989" t="s">
        <v>760</v>
      </c>
      <c r="L1989" s="17" t="s">
        <v>733</v>
      </c>
      <c r="M1989" s="17" t="s">
        <v>11</v>
      </c>
      <c r="N1989" s="17" t="s">
        <v>740</v>
      </c>
    </row>
    <row r="1990" spans="1:17" x14ac:dyDescent="0.25">
      <c r="A1990" s="10">
        <v>984620</v>
      </c>
      <c r="B1990" s="22" t="str">
        <f>IFERROR(VLOOKUP(A1990,VLOOKUPS!$A$2:B$12589,2,FALSE),"")</f>
        <v>Raspberries 6oz-standard</v>
      </c>
      <c r="E1990">
        <v>2.84</v>
      </c>
      <c r="F1990">
        <v>2.7</v>
      </c>
      <c r="G1990" s="13">
        <v>44488</v>
      </c>
      <c r="H1990" s="13"/>
      <c r="I1990" s="22" t="str">
        <f>VLOOKUP(J1990, Dropdowns!N:O, 2, FALSE)</f>
        <v>Standard</v>
      </c>
      <c r="J1990" t="s">
        <v>761</v>
      </c>
      <c r="L1990" s="17" t="s">
        <v>732</v>
      </c>
      <c r="M1990" s="17" t="s">
        <v>736</v>
      </c>
      <c r="N1990" s="17" t="s">
        <v>736</v>
      </c>
    </row>
    <row r="1991" spans="1:17" x14ac:dyDescent="0.25">
      <c r="A1991" s="10">
        <v>984541</v>
      </c>
      <c r="B1991" s="22" t="str">
        <f>IFERROR(VLOOKUP(A1991,VLOOKUPS!$A$2:B$12589,2,FALSE),"")</f>
        <v>Blueberries 1pt-standard</v>
      </c>
      <c r="E1991">
        <v>2.79</v>
      </c>
      <c r="F1991">
        <v>2.89</v>
      </c>
      <c r="G1991" s="13">
        <v>44490</v>
      </c>
      <c r="H1991" s="13"/>
      <c r="I1991" s="22" t="str">
        <f>VLOOKUP(J1991, Dropdowns!N:O, 2, FALSE)</f>
        <v>Standard</v>
      </c>
      <c r="J1991" t="s">
        <v>761</v>
      </c>
      <c r="L1991" s="17" t="s">
        <v>732</v>
      </c>
      <c r="M1991" s="17" t="s">
        <v>736</v>
      </c>
      <c r="N1991" s="17" t="s">
        <v>736</v>
      </c>
    </row>
    <row r="1992" spans="1:17" x14ac:dyDescent="0.25">
      <c r="A1992" s="10">
        <v>982650</v>
      </c>
      <c r="B1992" s="22" t="str">
        <f>IFERROR(VLOOKUP(A1992,VLOOKUPS!$A$2:B$12589,2,FALSE),"")</f>
        <v>Grapes* Green Seedless 1lb-LOOSE</v>
      </c>
      <c r="E1992">
        <v>1.29</v>
      </c>
      <c r="F1992">
        <v>1.59</v>
      </c>
      <c r="G1992" s="13">
        <v>44489</v>
      </c>
      <c r="H1992" s="13"/>
      <c r="I1992" s="22" t="str">
        <f>VLOOKUP(J1992, Dropdowns!N:O, 2, FALSE)</f>
        <v>Standard</v>
      </c>
      <c r="J1992" t="s">
        <v>761</v>
      </c>
      <c r="L1992" s="17" t="s">
        <v>732</v>
      </c>
      <c r="M1992" s="17" t="s">
        <v>736</v>
      </c>
      <c r="N1992" s="17" t="s">
        <v>736</v>
      </c>
    </row>
    <row r="1993" spans="1:17" x14ac:dyDescent="0.25">
      <c r="A1993" s="10">
        <v>983301</v>
      </c>
      <c r="B1993" s="22" t="str">
        <f>IFERROR(VLOOKUP(A1993,VLOOKUPS!$A$2:B$12589,2,FALSE),"")</f>
        <v>Watermelons* Mini Seedless 1ct-LOOSE</v>
      </c>
      <c r="E1993">
        <v>3.28</v>
      </c>
      <c r="G1993" s="13">
        <v>44489</v>
      </c>
      <c r="H1993" s="13"/>
      <c r="I1993" s="22" t="str">
        <f>VLOOKUP(J1993, Dropdowns!N:O, 2, FALSE)</f>
        <v>NA</v>
      </c>
      <c r="J1993" t="s">
        <v>754</v>
      </c>
      <c r="L1993" s="17" t="s">
        <v>732</v>
      </c>
      <c r="M1993" s="17" t="s">
        <v>736</v>
      </c>
      <c r="N1993" s="17" t="s">
        <v>736</v>
      </c>
    </row>
    <row r="1994" spans="1:17" x14ac:dyDescent="0.25">
      <c r="A1994" s="10">
        <v>984620</v>
      </c>
      <c r="B1994" s="22" t="str">
        <f>IFERROR(VLOOKUP(A1994,VLOOKUPS!$A$2:B$12589,2,FALSE),"")</f>
        <v>Raspberries 6oz-standard</v>
      </c>
      <c r="G1994" s="13">
        <v>44489</v>
      </c>
      <c r="H1994" s="13">
        <v>44495</v>
      </c>
      <c r="I1994" s="22" t="str">
        <f>VLOOKUP(J1994, Dropdowns!N:O, 2, FALSE)</f>
        <v>Lower Price</v>
      </c>
      <c r="J1994" t="s">
        <v>753</v>
      </c>
      <c r="L1994" s="17" t="s">
        <v>732</v>
      </c>
      <c r="M1994" s="17" t="s">
        <v>736</v>
      </c>
      <c r="N1994" s="17" t="s">
        <v>736</v>
      </c>
    </row>
    <row r="1995" spans="1:17" x14ac:dyDescent="0.25">
      <c r="A1995" s="10">
        <v>985760</v>
      </c>
      <c r="B1995" s="22" t="str">
        <f>IFERROR(VLOOKUP(A1995,VLOOKUPS!$A$2:B$12589,2,FALSE),"")</f>
        <v>Asparagus 1lb-standard</v>
      </c>
      <c r="E1995">
        <v>2.99</v>
      </c>
      <c r="F1995">
        <v>1.99</v>
      </c>
      <c r="G1995" s="13">
        <v>44489</v>
      </c>
      <c r="H1995" s="13">
        <v>44490</v>
      </c>
      <c r="I1995" s="22" t="str">
        <f>VLOOKUP(J1995, Dropdowns!N:O, 2, FALSE)</f>
        <v>Lower Price</v>
      </c>
      <c r="J1995" t="s">
        <v>759</v>
      </c>
      <c r="L1995" s="17" t="s">
        <v>732</v>
      </c>
      <c r="M1995" s="17" t="s">
        <v>10</v>
      </c>
      <c r="N1995" s="17">
        <v>2</v>
      </c>
    </row>
    <row r="1996" spans="1:17" x14ac:dyDescent="0.25">
      <c r="A1996" s="10">
        <v>985760</v>
      </c>
      <c r="B1996" s="22" t="str">
        <f>IFERROR(VLOOKUP(A1996,VLOOKUPS!$A$2:B$12589,2,FALSE),"")</f>
        <v>Asparagus 1lb-standard</v>
      </c>
      <c r="E1996">
        <v>1.99</v>
      </c>
      <c r="F1996">
        <v>2.99</v>
      </c>
      <c r="G1996" s="13">
        <v>44491</v>
      </c>
      <c r="H1996" s="13"/>
      <c r="I1996" s="22" t="str">
        <f>VLOOKUP(J1996, Dropdowns!N:O, 2, FALSE)</f>
        <v>Standard</v>
      </c>
      <c r="J1996" t="s">
        <v>760</v>
      </c>
      <c r="L1996" s="17" t="s">
        <v>732</v>
      </c>
      <c r="M1996" s="17" t="s">
        <v>10</v>
      </c>
      <c r="N1996" s="17">
        <v>2</v>
      </c>
    </row>
    <row r="1997" spans="1:17" x14ac:dyDescent="0.25">
      <c r="A1997" s="10">
        <v>995019</v>
      </c>
      <c r="B1997" s="22" t="str">
        <f>IFERROR(VLOOKUP(A1997,VLOOKUPS!$A$2:B$12589,2,FALSE),"")</f>
        <v>RTE Large Santa Fe Salad 14oz-standard</v>
      </c>
      <c r="E1997">
        <v>4.99</v>
      </c>
      <c r="F1997">
        <v>3.49</v>
      </c>
      <c r="G1997" s="13">
        <v>44489</v>
      </c>
      <c r="H1997" s="13">
        <v>44490</v>
      </c>
      <c r="I1997" s="22" t="str">
        <f>VLOOKUP(J1997, Dropdowns!N:O, 2, FALSE)</f>
        <v>Lower Price</v>
      </c>
      <c r="J1997" t="s">
        <v>759</v>
      </c>
      <c r="L1997" s="17" t="s">
        <v>733</v>
      </c>
      <c r="M1997" s="17" t="s">
        <v>11</v>
      </c>
      <c r="N1997" s="17" t="s">
        <v>740</v>
      </c>
    </row>
    <row r="1998" spans="1:17" x14ac:dyDescent="0.25">
      <c r="A1998" s="10">
        <v>995019</v>
      </c>
      <c r="B1998" s="22" t="str">
        <f>IFERROR(VLOOKUP(A1998,VLOOKUPS!$A$2:B$12589,2,FALSE),"")</f>
        <v>RTE Large Santa Fe Salad 14oz-standard</v>
      </c>
      <c r="E1998">
        <v>3.49</v>
      </c>
      <c r="F1998">
        <v>4.99</v>
      </c>
      <c r="G1998" s="13">
        <v>44491</v>
      </c>
      <c r="H1998" s="13"/>
      <c r="I1998" s="22" t="str">
        <f>VLOOKUP(J1998, Dropdowns!N:O, 2, FALSE)</f>
        <v>Standard</v>
      </c>
      <c r="J1998" t="s">
        <v>760</v>
      </c>
      <c r="L1998" s="17" t="s">
        <v>733</v>
      </c>
      <c r="M1998" s="17" t="s">
        <v>11</v>
      </c>
      <c r="N1998" s="17" t="s">
        <v>740</v>
      </c>
    </row>
    <row r="1999" spans="1:17" x14ac:dyDescent="0.25">
      <c r="A1999" s="10">
        <v>995145</v>
      </c>
      <c r="B1999" s="22" t="str">
        <f>IFERROR(VLOOKUP(A1999,VLOOKUPS!$A$2:B$12589,2,FALSE),"")</f>
        <v>Mango Spears 32oz-standard</v>
      </c>
      <c r="E1999">
        <v>7.99</v>
      </c>
      <c r="G1999" s="13">
        <v>44489</v>
      </c>
      <c r="H1999" s="13"/>
      <c r="I1999" s="22" t="str">
        <f>VLOOKUP(J1999, Dropdowns!N:O, 2, FALSE)</f>
        <v>NA</v>
      </c>
      <c r="J1999" t="s">
        <v>754</v>
      </c>
      <c r="L1999" s="17" t="s">
        <v>732</v>
      </c>
      <c r="M1999" s="17" t="s">
        <v>736</v>
      </c>
      <c r="N1999" s="17" t="s">
        <v>736</v>
      </c>
    </row>
    <row r="2000" spans="1:17" x14ac:dyDescent="0.25">
      <c r="A2000" s="10">
        <v>995158</v>
      </c>
      <c r="B2000" s="22" t="str">
        <f>IFERROR(VLOOKUP(A2000,VLOOKUPS!$A$2:B$12589,2,FALSE),"")</f>
        <v>Pico Guacamole 14oz-standard</v>
      </c>
      <c r="E2000">
        <v>4.49</v>
      </c>
      <c r="F2000">
        <v>2.99</v>
      </c>
      <c r="G2000" s="13">
        <v>44489</v>
      </c>
      <c r="H2000" s="13">
        <v>44490</v>
      </c>
      <c r="I2000" s="22" t="str">
        <f>VLOOKUP(J2000, Dropdowns!N:O, 2, FALSE)</f>
        <v>Lower Price</v>
      </c>
      <c r="J2000" t="s">
        <v>759</v>
      </c>
      <c r="L2000" s="17" t="s">
        <v>733</v>
      </c>
      <c r="M2000" s="17" t="s">
        <v>11</v>
      </c>
      <c r="N2000" s="17" t="s">
        <v>740</v>
      </c>
    </row>
    <row r="2001" spans="1:17" x14ac:dyDescent="0.25">
      <c r="A2001" s="10">
        <v>995158</v>
      </c>
      <c r="B2001" s="22" t="str">
        <f>IFERROR(VLOOKUP(A2001,VLOOKUPS!$A$2:B$12589,2,FALSE),"")</f>
        <v>Pico Guacamole 14oz-standard</v>
      </c>
      <c r="E2001">
        <v>2.99</v>
      </c>
      <c r="F2001">
        <v>4.49</v>
      </c>
      <c r="G2001" s="13">
        <v>44491</v>
      </c>
      <c r="H2001" s="13"/>
      <c r="I2001" s="22" t="str">
        <f>VLOOKUP(J2001, Dropdowns!N:O, 2, FALSE)</f>
        <v>Standard</v>
      </c>
      <c r="J2001" t="s">
        <v>760</v>
      </c>
      <c r="L2001" s="17" t="s">
        <v>733</v>
      </c>
      <c r="M2001" s="17" t="s">
        <v>11</v>
      </c>
      <c r="N2001" s="17" t="s">
        <v>740</v>
      </c>
    </row>
    <row r="2002" spans="1:17" x14ac:dyDescent="0.25">
      <c r="A2002" s="10">
        <v>984700</v>
      </c>
      <c r="B2002" s="22" t="str">
        <f>IFERROR(VLOOKUP(A2002,VLOOKUPS!$A$2:B$12589,2,FALSE),"")</f>
        <v>Blackberries 6oz-standard</v>
      </c>
      <c r="E2002">
        <v>1.49</v>
      </c>
      <c r="F2002">
        <v>2.68</v>
      </c>
      <c r="G2002" s="13">
        <v>44489</v>
      </c>
      <c r="H2002" s="13"/>
      <c r="I2002" s="22" t="str">
        <f>VLOOKUP(J2002, Dropdowns!N:O, 2, FALSE)</f>
        <v>Standard</v>
      </c>
      <c r="J2002" t="s">
        <v>760</v>
      </c>
      <c r="L2002" s="17" t="s">
        <v>732</v>
      </c>
      <c r="M2002" s="17" t="s">
        <v>10</v>
      </c>
      <c r="N2002" s="17">
        <v>2</v>
      </c>
    </row>
    <row r="2003" spans="1:17" x14ac:dyDescent="0.25">
      <c r="A2003" s="10">
        <v>984700</v>
      </c>
      <c r="B2003" s="22" t="str">
        <f>IFERROR(VLOOKUP(A2003,VLOOKUPS!$A$2:B$12589,2,FALSE),"")</f>
        <v>Blackberries 6oz-standard</v>
      </c>
      <c r="G2003" s="13">
        <v>44489</v>
      </c>
      <c r="H2003" s="13">
        <v>44489</v>
      </c>
      <c r="I2003" s="22" t="str">
        <f>VLOOKUP(J2003, Dropdowns!N:O, 2, FALSE)</f>
        <v>Lower Price</v>
      </c>
      <c r="J2003" t="s">
        <v>762</v>
      </c>
      <c r="L2003" s="17" t="s">
        <v>732</v>
      </c>
      <c r="M2003" s="17" t="s">
        <v>737</v>
      </c>
      <c r="N2003" s="17" t="s">
        <v>736</v>
      </c>
    </row>
    <row r="2004" spans="1:17" x14ac:dyDescent="0.25">
      <c r="A2004" s="10">
        <v>984542</v>
      </c>
      <c r="B2004" s="22" t="str">
        <f>IFERROR(VLOOKUP(A2004,VLOOKUPS!$A$2:B$12589,2,FALSE),"")</f>
        <v>Blueberries 18oz-standard</v>
      </c>
      <c r="G2004" s="13">
        <v>44489</v>
      </c>
      <c r="H2004" s="13">
        <v>44489</v>
      </c>
      <c r="I2004" s="22" t="str">
        <f>VLOOKUP(J2004, Dropdowns!N:O, 2, FALSE)</f>
        <v>Lower Price</v>
      </c>
      <c r="J2004" t="s">
        <v>762</v>
      </c>
      <c r="L2004" s="17" t="s">
        <v>732</v>
      </c>
      <c r="M2004" s="17" t="s">
        <v>736</v>
      </c>
      <c r="N2004" s="17" t="s">
        <v>736</v>
      </c>
    </row>
    <row r="2005" spans="1:17" x14ac:dyDescent="0.25">
      <c r="A2005" s="10">
        <v>983671</v>
      </c>
      <c r="B2005" s="22" t="str">
        <f>IFERROR(VLOOKUP(A2005,VLOOKUPS!$A$2:B$12589,2,FALSE),"")</f>
        <v>Kiwis Gold 1lb-standard</v>
      </c>
      <c r="E2005">
        <v>2.4900000000000002</v>
      </c>
      <c r="F2005">
        <v>3.49</v>
      </c>
      <c r="G2005" s="13">
        <v>44489</v>
      </c>
      <c r="H2005" s="13"/>
      <c r="I2005" s="22" t="str">
        <f>VLOOKUP(J2005, Dropdowns!N:O, 2, FALSE)</f>
        <v>Standard</v>
      </c>
      <c r="J2005" t="s">
        <v>760</v>
      </c>
      <c r="L2005" s="17" t="s">
        <v>732</v>
      </c>
      <c r="M2005" s="17" t="s">
        <v>9</v>
      </c>
      <c r="N2005" s="17" t="s">
        <v>736</v>
      </c>
    </row>
    <row r="2006" spans="1:17" x14ac:dyDescent="0.25">
      <c r="A2006" s="10">
        <v>983671</v>
      </c>
      <c r="B2006" s="22" t="str">
        <f>IFERROR(VLOOKUP(A2006,VLOOKUPS!$A$2:B$12589,2,FALSE),"")</f>
        <v>Kiwis Gold 1lb-standard</v>
      </c>
      <c r="G2006" s="13">
        <v>44489</v>
      </c>
      <c r="H2006" s="13">
        <v>44489</v>
      </c>
      <c r="I2006" s="22" t="str">
        <f>VLOOKUP(J2006, Dropdowns!N:O, 2, FALSE)</f>
        <v>Lower Price</v>
      </c>
      <c r="J2006" t="s">
        <v>762</v>
      </c>
      <c r="L2006" s="17" t="s">
        <v>732</v>
      </c>
      <c r="M2006" s="17" t="s">
        <v>738</v>
      </c>
      <c r="N2006" s="17">
        <v>2</v>
      </c>
    </row>
    <row r="2007" spans="1:17" x14ac:dyDescent="0.25">
      <c r="A2007" s="10">
        <v>984542</v>
      </c>
      <c r="B2007" s="22" t="str">
        <f>IFERROR(VLOOKUP(A2007,VLOOKUPS!$A$2:B$12589,2,FALSE),"")</f>
        <v>Blueberries 18oz-standard</v>
      </c>
      <c r="E2007">
        <v>2.99</v>
      </c>
      <c r="F2007">
        <v>4.59</v>
      </c>
      <c r="G2007" s="13">
        <v>44490</v>
      </c>
      <c r="H2007" s="13"/>
      <c r="I2007" s="22" t="str">
        <f>VLOOKUP(J2007, Dropdowns!N:O, 2, FALSE)</f>
        <v>Standard</v>
      </c>
      <c r="J2007" t="s">
        <v>760</v>
      </c>
      <c r="L2007" s="17" t="s">
        <v>732</v>
      </c>
      <c r="M2007" s="17" t="s">
        <v>736</v>
      </c>
      <c r="N2007" s="17" t="s">
        <v>736</v>
      </c>
    </row>
    <row r="2008" spans="1:17" x14ac:dyDescent="0.25">
      <c r="A2008" s="10">
        <v>984542</v>
      </c>
      <c r="B2008" s="22" t="str">
        <f>IFERROR(VLOOKUP(A2008,VLOOKUPS!$A$2:B$12589,2,FALSE),"")</f>
        <v>Blueberries 18oz-standard</v>
      </c>
      <c r="E2008">
        <v>4.59</v>
      </c>
      <c r="F2008">
        <v>4.29</v>
      </c>
      <c r="G2008" s="13">
        <v>44491</v>
      </c>
      <c r="H2008" s="13"/>
      <c r="I2008" s="22" t="str">
        <f>VLOOKUP(J2008, Dropdowns!N:O, 2, FALSE)</f>
        <v>Standard</v>
      </c>
      <c r="J2008" t="s">
        <v>761</v>
      </c>
      <c r="L2008" s="17" t="s">
        <v>732</v>
      </c>
      <c r="M2008" s="17" t="s">
        <v>736</v>
      </c>
      <c r="N2008" s="17" t="s">
        <v>736</v>
      </c>
    </row>
    <row r="2009" spans="1:17" x14ac:dyDescent="0.25">
      <c r="A2009" s="10">
        <v>984621</v>
      </c>
      <c r="B2009" s="22" t="str">
        <f>IFERROR(VLOOKUP(A2009,VLOOKUPS!$A$2:B$12589,2,FALSE),"")</f>
        <v>Raspberries 12oz-standard</v>
      </c>
      <c r="E2009">
        <v>5.18</v>
      </c>
      <c r="F2009">
        <v>3.99</v>
      </c>
      <c r="G2009" s="13">
        <v>44490</v>
      </c>
      <c r="H2009" s="13">
        <v>44491</v>
      </c>
      <c r="I2009" s="22" t="str">
        <f>VLOOKUP(J2009, Dropdowns!N:O, 2, FALSE)</f>
        <v>Lower Price</v>
      </c>
      <c r="J2009" t="s">
        <v>759</v>
      </c>
      <c r="L2009" s="17" t="s">
        <v>732</v>
      </c>
      <c r="M2009" s="17" t="s">
        <v>10</v>
      </c>
      <c r="N2009" s="17">
        <v>2</v>
      </c>
    </row>
    <row r="2010" spans="1:17" x14ac:dyDescent="0.25">
      <c r="A2010" s="10">
        <v>984621</v>
      </c>
      <c r="B2010" s="22" t="str">
        <f>IFERROR(VLOOKUP(A2010,VLOOKUPS!$A$2:B$12589,2,FALSE),"")</f>
        <v>Raspberries 12oz-standard</v>
      </c>
      <c r="E2010">
        <v>3.99</v>
      </c>
      <c r="F2010">
        <v>5.18</v>
      </c>
      <c r="G2010" s="13">
        <v>44492</v>
      </c>
      <c r="H2010" s="13"/>
      <c r="I2010" s="22" t="str">
        <f>VLOOKUP(J2010, Dropdowns!N:O, 2, FALSE)</f>
        <v>Standard</v>
      </c>
      <c r="J2010" t="s">
        <v>760</v>
      </c>
      <c r="L2010" s="17" t="s">
        <v>732</v>
      </c>
      <c r="M2010" s="17" t="s">
        <v>10</v>
      </c>
      <c r="N2010" s="17">
        <v>2</v>
      </c>
    </row>
    <row r="2011" spans="1:17" x14ac:dyDescent="0.25">
      <c r="A2011" s="10">
        <v>984700</v>
      </c>
      <c r="B2011" s="22" t="str">
        <f>IFERROR(VLOOKUP(A2011,VLOOKUPS!$A$2:B$12589,2,FALSE),"")</f>
        <v>Blackberries 6oz-standard</v>
      </c>
      <c r="E2011">
        <v>1.49</v>
      </c>
      <c r="F2011">
        <v>2.68</v>
      </c>
      <c r="G2011" s="13">
        <v>44490</v>
      </c>
      <c r="H2011" s="13"/>
      <c r="I2011" s="22" t="str">
        <f>VLOOKUP(J2011, Dropdowns!N:O, 2, FALSE)</f>
        <v>Standard</v>
      </c>
      <c r="J2011" t="s">
        <v>760</v>
      </c>
      <c r="L2011" s="17" t="s">
        <v>733</v>
      </c>
      <c r="M2011" s="17" t="s">
        <v>11</v>
      </c>
      <c r="N2011" s="17" t="s">
        <v>740</v>
      </c>
    </row>
    <row r="2012" spans="1:17" x14ac:dyDescent="0.25">
      <c r="A2012" s="10">
        <v>984700</v>
      </c>
      <c r="B2012" s="22" t="str">
        <f>IFERROR(VLOOKUP(A2012,VLOOKUPS!$A$2:B$12589,2,FALSE),"")</f>
        <v>Blackberries 6oz-standard</v>
      </c>
      <c r="G2012" s="13">
        <v>44490</v>
      </c>
      <c r="H2012" s="13">
        <v>44490</v>
      </c>
      <c r="I2012" s="22" t="str">
        <f>VLOOKUP(J2012, Dropdowns!N:O, 2, FALSE)</f>
        <v>Lower Price</v>
      </c>
      <c r="J2012" t="s">
        <v>762</v>
      </c>
      <c r="L2012" s="17" t="s">
        <v>732</v>
      </c>
      <c r="M2012" s="17" t="s">
        <v>9</v>
      </c>
      <c r="N2012" s="17" t="s">
        <v>736</v>
      </c>
    </row>
    <row r="2013" spans="1:17" x14ac:dyDescent="0.25">
      <c r="A2013" s="10">
        <v>984780</v>
      </c>
      <c r="B2013" s="22" t="str">
        <f>IFERROR(VLOOKUP(A2013,VLOOKUPS!$A$2:B$12589,2,FALSE),"")</f>
        <v>Cranberries 12oz-standard</v>
      </c>
      <c r="D2013">
        <v>24</v>
      </c>
      <c r="F2013">
        <v>1.98</v>
      </c>
      <c r="G2013" s="13">
        <v>44490</v>
      </c>
      <c r="H2013" s="13"/>
      <c r="I2013" s="22" t="str">
        <f>VLOOKUP(J2013, Dropdowns!N:O, 2, FALSE)</f>
        <v>New</v>
      </c>
      <c r="J2013" t="s">
        <v>776</v>
      </c>
      <c r="L2013" s="17" t="s">
        <v>732</v>
      </c>
      <c r="M2013" s="17" t="s">
        <v>736</v>
      </c>
      <c r="N2013" s="17" t="s">
        <v>736</v>
      </c>
      <c r="O2013" s="17" t="s">
        <v>748</v>
      </c>
      <c r="P2013">
        <v>1</v>
      </c>
      <c r="Q2013" s="17" t="s">
        <v>1044</v>
      </c>
    </row>
    <row r="2014" spans="1:17" x14ac:dyDescent="0.25">
      <c r="A2014" s="10">
        <v>985160</v>
      </c>
      <c r="B2014" s="22" t="str">
        <f>IFERROR(VLOOKUP(A2014,VLOOKUPS!$A$2:B$12589,2,FALSE),"")</f>
        <v>Romaine Hearts 3ct-standard</v>
      </c>
      <c r="E2014">
        <v>2.29</v>
      </c>
      <c r="F2014">
        <v>2.59</v>
      </c>
      <c r="G2014" s="13">
        <v>44490</v>
      </c>
      <c r="H2014" s="13"/>
      <c r="I2014" s="22" t="str">
        <f>VLOOKUP(J2014, Dropdowns!N:O, 2, FALSE)</f>
        <v>Standard</v>
      </c>
      <c r="J2014" t="s">
        <v>761</v>
      </c>
      <c r="L2014" s="17" t="s">
        <v>732</v>
      </c>
      <c r="M2014" s="17" t="s">
        <v>736</v>
      </c>
      <c r="N2014" s="17" t="s">
        <v>736</v>
      </c>
    </row>
    <row r="2015" spans="1:17" x14ac:dyDescent="0.25">
      <c r="A2015" s="10">
        <v>987560</v>
      </c>
      <c r="B2015" s="22" t="str">
        <f>IFERROR(VLOOKUP(A2015,VLOOKUPS!$A$2:B$12589,2,FALSE),"")</f>
        <v>Celery 1ct-standard</v>
      </c>
      <c r="E2015">
        <v>1.19</v>
      </c>
      <c r="F2015">
        <v>1.35</v>
      </c>
      <c r="G2015" s="13">
        <v>44490</v>
      </c>
      <c r="H2015" s="13"/>
      <c r="I2015" s="22" t="str">
        <f>VLOOKUP(J2015, Dropdowns!N:O, 2, FALSE)</f>
        <v>Standard</v>
      </c>
      <c r="J2015" t="s">
        <v>761</v>
      </c>
      <c r="L2015" s="17" t="s">
        <v>732</v>
      </c>
      <c r="M2015" s="17" t="s">
        <v>736</v>
      </c>
      <c r="N2015" s="17" t="s">
        <v>736</v>
      </c>
    </row>
    <row r="2016" spans="1:17" x14ac:dyDescent="0.25">
      <c r="A2016" s="10">
        <v>995086</v>
      </c>
      <c r="B2016" s="22" t="str">
        <f>IFERROR(VLOOKUP(A2016,VLOOKUPS!$A$2:B$12589,2,FALSE),"")</f>
        <v>Eat Smart Broccoli Florets 2lbs-standard</v>
      </c>
      <c r="E2016">
        <v>5.98</v>
      </c>
      <c r="F2016">
        <v>3.98</v>
      </c>
      <c r="G2016" s="13">
        <v>44490</v>
      </c>
      <c r="H2016" s="13">
        <v>44491</v>
      </c>
      <c r="I2016" s="22" t="str">
        <f>VLOOKUP(J2016, Dropdowns!N:O, 2, FALSE)</f>
        <v>Lower Price</v>
      </c>
      <c r="J2016" t="s">
        <v>759</v>
      </c>
      <c r="L2016" s="17" t="s">
        <v>732</v>
      </c>
      <c r="M2016" s="17" t="s">
        <v>738</v>
      </c>
      <c r="N2016" s="17">
        <v>2</v>
      </c>
    </row>
    <row r="2017" spans="1:17" x14ac:dyDescent="0.25">
      <c r="A2017" s="10">
        <v>995086</v>
      </c>
      <c r="B2017" s="22" t="str">
        <f>IFERROR(VLOOKUP(A2017,VLOOKUPS!$A$2:B$12589,2,FALSE),"")</f>
        <v>Eat Smart Broccoli Florets 2lbs-standard</v>
      </c>
      <c r="E2017">
        <v>3.98</v>
      </c>
      <c r="F2017">
        <v>5.98</v>
      </c>
      <c r="G2017" s="13">
        <v>44492</v>
      </c>
      <c r="H2017" s="13"/>
      <c r="I2017" s="22" t="str">
        <f>VLOOKUP(J2017, Dropdowns!N:O, 2, FALSE)</f>
        <v>Standard</v>
      </c>
      <c r="J2017" t="s">
        <v>760</v>
      </c>
      <c r="L2017" s="17" t="s">
        <v>732</v>
      </c>
      <c r="M2017" s="17" t="s">
        <v>738</v>
      </c>
      <c r="N2017" s="17">
        <v>2</v>
      </c>
    </row>
    <row r="2018" spans="1:17" x14ac:dyDescent="0.25">
      <c r="A2018" s="10">
        <v>995144</v>
      </c>
      <c r="B2018" s="22" t="str">
        <f>IFERROR(VLOOKUP(A2018,VLOOKUPS!$A$2:B$12589,2,FALSE),"")</f>
        <v>Asparagus Spears 10oz-standard</v>
      </c>
      <c r="E2018">
        <v>3.98</v>
      </c>
      <c r="F2018">
        <v>2.98</v>
      </c>
      <c r="G2018" s="13">
        <v>44490</v>
      </c>
      <c r="H2018" s="13">
        <v>44491</v>
      </c>
      <c r="I2018" s="22" t="str">
        <f>VLOOKUP(J2018, Dropdowns!N:O, 2, FALSE)</f>
        <v>Lower Price</v>
      </c>
      <c r="J2018" t="s">
        <v>759</v>
      </c>
      <c r="L2018" s="17" t="s">
        <v>732</v>
      </c>
      <c r="M2018" s="17" t="s">
        <v>10</v>
      </c>
      <c r="N2018" s="17">
        <v>2</v>
      </c>
    </row>
    <row r="2019" spans="1:17" x14ac:dyDescent="0.25">
      <c r="A2019" s="10">
        <v>995144</v>
      </c>
      <c r="B2019" s="22" t="str">
        <f>IFERROR(VLOOKUP(A2019,VLOOKUPS!$A$2:B$12589,2,FALSE),"")</f>
        <v>Asparagus Spears 10oz-standard</v>
      </c>
      <c r="E2019">
        <v>2.98</v>
      </c>
      <c r="F2019">
        <v>3.98</v>
      </c>
      <c r="G2019" s="13">
        <v>44492</v>
      </c>
      <c r="H2019" s="13"/>
      <c r="I2019" s="22" t="str">
        <f>VLOOKUP(J2019, Dropdowns!N:O, 2, FALSE)</f>
        <v>Standard</v>
      </c>
      <c r="J2019" t="s">
        <v>760</v>
      </c>
      <c r="L2019" s="17" t="s">
        <v>732</v>
      </c>
      <c r="M2019" s="17" t="s">
        <v>10</v>
      </c>
      <c r="N2019" s="17">
        <v>2</v>
      </c>
    </row>
    <row r="2020" spans="1:17" x14ac:dyDescent="0.25">
      <c r="A2020" s="10">
        <v>995163</v>
      </c>
      <c r="B2020" s="22" t="str">
        <f>IFERROR(VLOOKUP(A2020,VLOOKUPS!$A$2:B$12589,2,FALSE),"")</f>
        <v>XL Caesar Salad Kit 15oz-standard</v>
      </c>
      <c r="D2020">
        <v>6</v>
      </c>
      <c r="F2020">
        <v>4.4400000000000004</v>
      </c>
      <c r="G2020" s="13">
        <v>44490</v>
      </c>
      <c r="H2020" s="13"/>
      <c r="I2020" s="22" t="str">
        <f>VLOOKUP(J2020, Dropdowns!N:O, 2, FALSE)</f>
        <v>New</v>
      </c>
      <c r="J2020" t="s">
        <v>776</v>
      </c>
      <c r="L2020" s="17" t="s">
        <v>732</v>
      </c>
      <c r="M2020" s="17" t="s">
        <v>736</v>
      </c>
      <c r="N2020" s="17" t="s">
        <v>736</v>
      </c>
      <c r="O2020" s="17" t="s">
        <v>748</v>
      </c>
      <c r="P2020">
        <v>1</v>
      </c>
      <c r="Q2020" s="17" t="s">
        <v>1044</v>
      </c>
    </row>
    <row r="2021" spans="1:17" x14ac:dyDescent="0.25">
      <c r="A2021" s="10">
        <v>982650</v>
      </c>
      <c r="B2021" s="22" t="str">
        <f>IFERROR(VLOOKUP(A2021,VLOOKUPS!$A$2:B$12589,2,FALSE),"")</f>
        <v>Grapes* Green Seedless 1lb-LOOSE</v>
      </c>
      <c r="E2021">
        <v>1.59</v>
      </c>
      <c r="F2021">
        <v>1.54</v>
      </c>
      <c r="G2021" s="13">
        <v>44491</v>
      </c>
      <c r="H2021" s="13"/>
      <c r="I2021" s="22" t="str">
        <f>VLOOKUP(J2021, Dropdowns!N:O, 2, FALSE)</f>
        <v>Standard</v>
      </c>
      <c r="J2021" t="s">
        <v>761</v>
      </c>
      <c r="L2021" s="17" t="s">
        <v>732</v>
      </c>
      <c r="M2021" s="17" t="s">
        <v>736</v>
      </c>
      <c r="N2021" s="17" t="s">
        <v>736</v>
      </c>
    </row>
    <row r="2022" spans="1:17" x14ac:dyDescent="0.25">
      <c r="A2022" s="10">
        <v>982400</v>
      </c>
      <c r="B2022" s="22" t="str">
        <f>IFERROR(VLOOKUP(A2022,VLOOKUPS!$A$2:B$12589,2,FALSE),"")</f>
        <v>Plums 1lb-LOOSE</v>
      </c>
      <c r="E2022">
        <v>2.08</v>
      </c>
      <c r="F2022">
        <v>1.49</v>
      </c>
      <c r="G2022" s="13">
        <v>44491</v>
      </c>
      <c r="H2022" s="13">
        <v>44494</v>
      </c>
      <c r="I2022" s="22" t="str">
        <f>VLOOKUP(J2022, Dropdowns!N:O, 2, FALSE)</f>
        <v>Lower Price</v>
      </c>
      <c r="J2022" t="s">
        <v>759</v>
      </c>
      <c r="L2022" s="17" t="s">
        <v>732</v>
      </c>
      <c r="M2022" s="17" t="s">
        <v>736</v>
      </c>
      <c r="N2022" s="17" t="s">
        <v>736</v>
      </c>
    </row>
    <row r="2023" spans="1:17" x14ac:dyDescent="0.25">
      <c r="A2023" s="10">
        <v>982430</v>
      </c>
      <c r="B2023" s="22" t="str">
        <f>IFERROR(VLOOKUP(A2023,VLOOKUPS!$A$2:B$12589,2,FALSE),"")</f>
        <v>Plums 2lb-standard</v>
      </c>
      <c r="E2023">
        <v>3.98</v>
      </c>
      <c r="F2023">
        <v>2.4900000000000002</v>
      </c>
      <c r="G2023" s="13">
        <v>44491</v>
      </c>
      <c r="H2023" s="13">
        <v>44494</v>
      </c>
      <c r="I2023" s="22" t="str">
        <f>VLOOKUP(J2023, Dropdowns!N:O, 2, FALSE)</f>
        <v>Lower Price</v>
      </c>
      <c r="J2023" t="s">
        <v>759</v>
      </c>
      <c r="L2023" s="17" t="s">
        <v>732</v>
      </c>
      <c r="M2023" s="17" t="s">
        <v>736</v>
      </c>
      <c r="N2023" s="17" t="s">
        <v>736</v>
      </c>
    </row>
    <row r="2024" spans="1:17" x14ac:dyDescent="0.25">
      <c r="A2024" s="10">
        <v>982400</v>
      </c>
      <c r="B2024" s="22" t="str">
        <f>IFERROR(VLOOKUP(A2024,VLOOKUPS!$A$2:B$12589,2,FALSE),"")</f>
        <v>Plums 1lb-LOOSE</v>
      </c>
      <c r="E2024">
        <v>1.49</v>
      </c>
      <c r="F2024">
        <v>2.08</v>
      </c>
      <c r="G2024" s="13">
        <v>44495</v>
      </c>
      <c r="H2024" s="13"/>
      <c r="I2024" s="22" t="str">
        <f>VLOOKUP(J2024, Dropdowns!N:O, 2, FALSE)</f>
        <v>Standard</v>
      </c>
      <c r="J2024" t="s">
        <v>760</v>
      </c>
      <c r="L2024" s="17" t="s">
        <v>732</v>
      </c>
      <c r="M2024" s="17" t="s">
        <v>736</v>
      </c>
      <c r="N2024" s="17" t="s">
        <v>736</v>
      </c>
    </row>
    <row r="2025" spans="1:17" x14ac:dyDescent="0.25">
      <c r="A2025" s="10">
        <v>982430</v>
      </c>
      <c r="B2025" s="22" t="str">
        <f>IFERROR(VLOOKUP(A2025,VLOOKUPS!$A$2:B$12589,2,FALSE),"")</f>
        <v>Plums 2lb-standard</v>
      </c>
      <c r="E2025">
        <v>2.4900000000000002</v>
      </c>
      <c r="F2025">
        <v>3.98</v>
      </c>
      <c r="G2025" s="13">
        <v>44495</v>
      </c>
      <c r="H2025" s="13"/>
      <c r="I2025" s="22" t="str">
        <f>VLOOKUP(J2025, Dropdowns!N:O, 2, FALSE)</f>
        <v>Standard</v>
      </c>
      <c r="J2025" t="s">
        <v>760</v>
      </c>
      <c r="L2025" s="17" t="s">
        <v>732</v>
      </c>
      <c r="M2025" s="17" t="s">
        <v>736</v>
      </c>
      <c r="N2025" s="17" t="s">
        <v>736</v>
      </c>
    </row>
    <row r="2026" spans="1:17" x14ac:dyDescent="0.25">
      <c r="A2026" s="10">
        <v>982202</v>
      </c>
      <c r="B2026" s="22" t="str">
        <f>IFERROR(VLOOKUP(A2026,VLOOKUPS!$A$2:B$12589,2,FALSE),"")</f>
        <v>Peaches* 1lb-LOOSE</v>
      </c>
      <c r="E2026">
        <v>2.1800000000000002</v>
      </c>
      <c r="F2026">
        <v>1.49</v>
      </c>
      <c r="G2026" s="13">
        <v>44491</v>
      </c>
      <c r="H2026" s="13">
        <v>44494</v>
      </c>
      <c r="I2026" s="22" t="str">
        <f>VLOOKUP(J2026, Dropdowns!N:O, 2, FALSE)</f>
        <v>Lower Price</v>
      </c>
      <c r="J2026" t="s">
        <v>759</v>
      </c>
      <c r="L2026" s="17" t="s">
        <v>732</v>
      </c>
      <c r="M2026" s="17" t="s">
        <v>736</v>
      </c>
      <c r="N2026" s="17" t="s">
        <v>736</v>
      </c>
    </row>
    <row r="2027" spans="1:17" x14ac:dyDescent="0.25">
      <c r="A2027" s="10">
        <v>982202</v>
      </c>
      <c r="B2027" s="22" t="str">
        <f>IFERROR(VLOOKUP(A2027,VLOOKUPS!$A$2:B$12589,2,FALSE),"")</f>
        <v>Peaches* 1lb-LOOSE</v>
      </c>
      <c r="E2027">
        <v>1.49</v>
      </c>
      <c r="F2027">
        <v>2.1800000000000002</v>
      </c>
      <c r="G2027" s="13">
        <v>44495</v>
      </c>
      <c r="H2027" s="13"/>
      <c r="I2027" s="22" t="str">
        <f>VLOOKUP(J2027, Dropdowns!N:O, 2, FALSE)</f>
        <v>Standard</v>
      </c>
      <c r="J2027" t="s">
        <v>760</v>
      </c>
      <c r="L2027" s="17" t="s">
        <v>732</v>
      </c>
      <c r="M2027" s="17" t="s">
        <v>736</v>
      </c>
      <c r="N2027" s="17" t="s">
        <v>736</v>
      </c>
    </row>
    <row r="2028" spans="1:17" x14ac:dyDescent="0.25">
      <c r="A2028" s="10">
        <v>982230</v>
      </c>
      <c r="B2028" s="22" t="str">
        <f>IFERROR(VLOOKUP(A2028,VLOOKUPS!$A$2:B$12589,2,FALSE),"")</f>
        <v>Peaches 2lb-standard</v>
      </c>
      <c r="E2028">
        <v>3.68</v>
      </c>
      <c r="F2028">
        <v>2.4900000000000002</v>
      </c>
      <c r="G2028" s="13">
        <v>44491</v>
      </c>
      <c r="H2028" s="13">
        <v>44494</v>
      </c>
      <c r="I2028" s="22" t="str">
        <f>VLOOKUP(J2028, Dropdowns!N:O, 2, FALSE)</f>
        <v>Lower Price</v>
      </c>
      <c r="J2028" t="s">
        <v>759</v>
      </c>
      <c r="L2028" s="17" t="s">
        <v>732</v>
      </c>
      <c r="M2028" s="17" t="s">
        <v>736</v>
      </c>
      <c r="N2028" s="17" t="s">
        <v>736</v>
      </c>
    </row>
    <row r="2029" spans="1:17" x14ac:dyDescent="0.25">
      <c r="A2029" s="10">
        <v>982230</v>
      </c>
      <c r="B2029" s="22" t="str">
        <f>IFERROR(VLOOKUP(A2029,VLOOKUPS!$A$2:B$12589,2,FALSE),"")</f>
        <v>Peaches 2lb-standard</v>
      </c>
      <c r="E2029">
        <v>2.4900000000000002</v>
      </c>
      <c r="F2029">
        <v>3.68</v>
      </c>
      <c r="G2029" s="13">
        <v>44495</v>
      </c>
      <c r="H2029" s="13"/>
      <c r="I2029" s="22" t="str">
        <f>VLOOKUP(J2029, Dropdowns!N:O, 2, FALSE)</f>
        <v>Standard</v>
      </c>
      <c r="J2029" t="s">
        <v>760</v>
      </c>
      <c r="L2029" s="17" t="s">
        <v>732</v>
      </c>
      <c r="M2029" s="17" t="s">
        <v>736</v>
      </c>
      <c r="N2029" s="17" t="s">
        <v>736</v>
      </c>
    </row>
    <row r="2030" spans="1:17" x14ac:dyDescent="0.25">
      <c r="A2030" s="10">
        <v>995116</v>
      </c>
      <c r="B2030" s="22" t="str">
        <f>IFERROR(VLOOKUP(A2030,VLOOKUPS!$A$2:B$12589,2,FALSE),"")</f>
        <v>Mango Chunks 10oz-standard</v>
      </c>
      <c r="E2030">
        <v>2.69</v>
      </c>
      <c r="F2030">
        <v>2.99</v>
      </c>
      <c r="G2030" s="13">
        <v>44491</v>
      </c>
      <c r="H2030" s="13"/>
      <c r="I2030" s="22" t="str">
        <f>VLOOKUP(J2030, Dropdowns!N:O, 2, FALSE)</f>
        <v>Standard</v>
      </c>
      <c r="J2030" t="s">
        <v>761</v>
      </c>
      <c r="L2030" s="17" t="s">
        <v>732</v>
      </c>
      <c r="M2030" s="17" t="s">
        <v>735</v>
      </c>
      <c r="N2030" s="17" t="s">
        <v>736</v>
      </c>
    </row>
    <row r="2031" spans="1:17" x14ac:dyDescent="0.25">
      <c r="A2031" s="10">
        <v>995068</v>
      </c>
      <c r="B2031" s="22" t="str">
        <f>IFERROR(VLOOKUP(A2031,VLOOKUPS!$A$2:B$12589,2,FALSE),"")</f>
        <v>Organic Half and Half 5oz-standard</v>
      </c>
      <c r="E2031">
        <v>2.4900000000000002</v>
      </c>
      <c r="F2031">
        <v>2.56</v>
      </c>
      <c r="G2031" s="13">
        <v>44491</v>
      </c>
      <c r="H2031" s="13"/>
      <c r="I2031" s="22" t="str">
        <f>VLOOKUP(J2031, Dropdowns!N:O, 2, FALSE)</f>
        <v>Standard</v>
      </c>
      <c r="J2031" t="s">
        <v>761</v>
      </c>
      <c r="L2031" s="17" t="s">
        <v>732</v>
      </c>
      <c r="M2031" s="17" t="s">
        <v>736</v>
      </c>
      <c r="N2031" s="17" t="s">
        <v>736</v>
      </c>
    </row>
    <row r="2032" spans="1:17" x14ac:dyDescent="0.25">
      <c r="A2032" s="10">
        <v>984460</v>
      </c>
      <c r="B2032" s="22" t="str">
        <f>IFERROR(VLOOKUP(A2032,VLOOKUPS!$A$2:B$12589,2,FALSE),"")</f>
        <v>Strawberries 1lb-standard</v>
      </c>
      <c r="E2032">
        <v>2.5</v>
      </c>
      <c r="F2032">
        <v>1.5</v>
      </c>
      <c r="G2032" s="13">
        <v>44491</v>
      </c>
      <c r="H2032" s="13">
        <v>44491</v>
      </c>
      <c r="I2032" s="22" t="str">
        <f>VLOOKUP(J2032, Dropdowns!N:O, 2, FALSE)</f>
        <v>Lower Price</v>
      </c>
      <c r="J2032" t="s">
        <v>759</v>
      </c>
      <c r="L2032" s="17" t="s">
        <v>732</v>
      </c>
      <c r="M2032" s="17" t="s">
        <v>10</v>
      </c>
      <c r="N2032" s="17">
        <v>2</v>
      </c>
    </row>
    <row r="2033" spans="1:14" x14ac:dyDescent="0.25">
      <c r="A2033" s="10">
        <v>984460</v>
      </c>
      <c r="B2033" s="22" t="str">
        <f>IFERROR(VLOOKUP(A2033,VLOOKUPS!$A$2:B$12589,2,FALSE),"")</f>
        <v>Strawberries 1lb-standard</v>
      </c>
      <c r="E2033">
        <v>1.5</v>
      </c>
      <c r="F2033">
        <v>2.5</v>
      </c>
      <c r="G2033" s="13">
        <v>44492</v>
      </c>
      <c r="H2033" s="13"/>
      <c r="I2033" s="22" t="str">
        <f>VLOOKUP(J2033, Dropdowns!N:O, 2, FALSE)</f>
        <v>Standard</v>
      </c>
      <c r="J2033" t="s">
        <v>760</v>
      </c>
      <c r="L2033" s="17" t="s">
        <v>732</v>
      </c>
      <c r="M2033" s="17" t="s">
        <v>10</v>
      </c>
      <c r="N2033" s="17">
        <v>2</v>
      </c>
    </row>
    <row r="2034" spans="1:14" x14ac:dyDescent="0.25">
      <c r="A2034" s="10">
        <v>984621</v>
      </c>
      <c r="B2034" s="22" t="str">
        <f>IFERROR(VLOOKUP(A2034,VLOOKUPS!$A$2:B$12589,2,FALSE),"")</f>
        <v>Raspberries 12oz-standard</v>
      </c>
      <c r="E2034">
        <v>5.18</v>
      </c>
      <c r="F2034">
        <v>3.99</v>
      </c>
      <c r="G2034" s="13">
        <v>44491</v>
      </c>
      <c r="H2034" s="13">
        <v>44492</v>
      </c>
      <c r="I2034" s="22" t="str">
        <f>VLOOKUP(J2034, Dropdowns!N:O, 2, FALSE)</f>
        <v>Lower Price</v>
      </c>
      <c r="J2034" t="s">
        <v>759</v>
      </c>
      <c r="L2034" s="17" t="s">
        <v>732</v>
      </c>
      <c r="M2034" s="17" t="s">
        <v>737</v>
      </c>
      <c r="N2034" s="17" t="s">
        <v>736</v>
      </c>
    </row>
    <row r="2035" spans="1:14" x14ac:dyDescent="0.25">
      <c r="A2035" s="10">
        <v>984621</v>
      </c>
      <c r="B2035" s="22" t="str">
        <f>IFERROR(VLOOKUP(A2035,VLOOKUPS!$A$2:B$12589,2,FALSE),"")</f>
        <v>Raspberries 12oz-standard</v>
      </c>
      <c r="E2035">
        <v>3.99</v>
      </c>
      <c r="F2035">
        <v>5.18</v>
      </c>
      <c r="G2035" s="13">
        <v>44493</v>
      </c>
      <c r="H2035" s="13"/>
      <c r="I2035" s="22" t="str">
        <f>VLOOKUP(J2035, Dropdowns!N:O, 2, FALSE)</f>
        <v>Standard</v>
      </c>
      <c r="J2035" t="s">
        <v>760</v>
      </c>
      <c r="L2035" s="17" t="s">
        <v>732</v>
      </c>
      <c r="M2035" s="17" t="s">
        <v>737</v>
      </c>
      <c r="N2035" s="17" t="s">
        <v>736</v>
      </c>
    </row>
    <row r="2036" spans="1:14" x14ac:dyDescent="0.25">
      <c r="A2036" s="10">
        <v>995000</v>
      </c>
      <c r="B2036" s="22" t="str">
        <f>IFERROR(VLOOKUP(A2036,VLOOKUPS!$A$2:B$12589,2,FALSE),"")</f>
        <v>Spring Mix 5oz-standard</v>
      </c>
      <c r="E2036">
        <v>1.89</v>
      </c>
      <c r="F2036">
        <v>0.99</v>
      </c>
      <c r="G2036" s="13">
        <v>44491</v>
      </c>
      <c r="H2036" s="13">
        <v>44492</v>
      </c>
      <c r="I2036" s="22" t="str">
        <f>VLOOKUP(J2036, Dropdowns!N:O, 2, FALSE)</f>
        <v>Lower Price</v>
      </c>
      <c r="J2036" t="s">
        <v>759</v>
      </c>
      <c r="L2036" s="17" t="s">
        <v>732</v>
      </c>
      <c r="M2036" s="17" t="s">
        <v>9</v>
      </c>
      <c r="N2036" s="17" t="s">
        <v>736</v>
      </c>
    </row>
    <row r="2037" spans="1:14" x14ac:dyDescent="0.25">
      <c r="A2037" s="10">
        <v>995000</v>
      </c>
      <c r="B2037" s="22" t="str">
        <f>IFERROR(VLOOKUP(A2037,VLOOKUPS!$A$2:B$12589,2,FALSE),"")</f>
        <v>Spring Mix 5oz-standard</v>
      </c>
      <c r="E2037">
        <v>0.99</v>
      </c>
      <c r="F2037">
        <v>1.89</v>
      </c>
      <c r="G2037" s="13">
        <v>44493</v>
      </c>
      <c r="H2037" s="13"/>
      <c r="I2037" s="22" t="str">
        <f>VLOOKUP(J2037, Dropdowns!N:O, 2, FALSE)</f>
        <v>Standard</v>
      </c>
      <c r="J2037" t="s">
        <v>760</v>
      </c>
      <c r="L2037" s="17" t="s">
        <v>732</v>
      </c>
      <c r="M2037" s="17" t="s">
        <v>9</v>
      </c>
      <c r="N2037" s="17" t="s">
        <v>736</v>
      </c>
    </row>
    <row r="2038" spans="1:14" x14ac:dyDescent="0.25">
      <c r="A2038" s="10">
        <v>995004</v>
      </c>
      <c r="B2038" s="22" t="str">
        <f>IFERROR(VLOOKUP(A2038,VLOOKUPS!$A$2:B$12589,2,FALSE),"")</f>
        <v>Chicken Caesar Salad 6.25oz-standard</v>
      </c>
      <c r="E2038">
        <v>2.89</v>
      </c>
      <c r="F2038">
        <v>1.89</v>
      </c>
      <c r="G2038" s="13">
        <v>44491</v>
      </c>
      <c r="H2038" s="13">
        <v>44492</v>
      </c>
      <c r="I2038" s="22" t="str">
        <f>VLOOKUP(J2038, Dropdowns!N:O, 2, FALSE)</f>
        <v>Lower Price</v>
      </c>
      <c r="J2038" t="s">
        <v>759</v>
      </c>
      <c r="L2038" s="17" t="s">
        <v>733</v>
      </c>
      <c r="M2038" s="17" t="s">
        <v>10</v>
      </c>
      <c r="N2038" s="17" t="s">
        <v>740</v>
      </c>
    </row>
    <row r="2039" spans="1:14" x14ac:dyDescent="0.25">
      <c r="A2039" s="10">
        <v>995004</v>
      </c>
      <c r="B2039" s="22" t="str">
        <f>IFERROR(VLOOKUP(A2039,VLOOKUPS!$A$2:B$12589,2,FALSE),"")</f>
        <v>Chicken Caesar Salad 6.25oz-standard</v>
      </c>
      <c r="E2039">
        <v>2.99</v>
      </c>
      <c r="F2039">
        <v>1.99</v>
      </c>
      <c r="G2039" s="13">
        <v>44491</v>
      </c>
      <c r="H2039" s="13">
        <v>44492</v>
      </c>
      <c r="I2039" s="22" t="str">
        <f>VLOOKUP(J2039, Dropdowns!N:O, 2, FALSE)</f>
        <v>Lower Price</v>
      </c>
      <c r="J2039" t="s">
        <v>759</v>
      </c>
      <c r="L2039" s="17" t="s">
        <v>734</v>
      </c>
      <c r="M2039" s="17" t="s">
        <v>10</v>
      </c>
      <c r="N2039" s="17">
        <v>2</v>
      </c>
    </row>
    <row r="2040" spans="1:14" x14ac:dyDescent="0.25">
      <c r="A2040" s="10">
        <v>995004</v>
      </c>
      <c r="B2040" s="22" t="str">
        <f>IFERROR(VLOOKUP(A2040,VLOOKUPS!$A$2:B$12589,2,FALSE),"")</f>
        <v>Chicken Caesar Salad 6.25oz-standard</v>
      </c>
      <c r="E2040">
        <v>1.89</v>
      </c>
      <c r="F2040">
        <v>2.89</v>
      </c>
      <c r="G2040" s="13">
        <v>44493</v>
      </c>
      <c r="H2040" s="13"/>
      <c r="I2040" s="22" t="str">
        <f>VLOOKUP(J2040, Dropdowns!N:O, 2, FALSE)</f>
        <v>Standard</v>
      </c>
      <c r="J2040" t="s">
        <v>760</v>
      </c>
      <c r="L2040" s="17" t="s">
        <v>733</v>
      </c>
      <c r="M2040" s="17" t="s">
        <v>10</v>
      </c>
      <c r="N2040" s="17" t="s">
        <v>740</v>
      </c>
    </row>
    <row r="2041" spans="1:14" x14ac:dyDescent="0.25">
      <c r="A2041" s="10">
        <v>995004</v>
      </c>
      <c r="B2041" s="22" t="str">
        <f>IFERROR(VLOOKUP(A2041,VLOOKUPS!$A$2:B$12589,2,FALSE),"")</f>
        <v>Chicken Caesar Salad 6.25oz-standard</v>
      </c>
      <c r="E2041">
        <v>1.99</v>
      </c>
      <c r="F2041">
        <v>2.99</v>
      </c>
      <c r="G2041" s="13">
        <v>44493</v>
      </c>
      <c r="H2041" s="13"/>
      <c r="I2041" s="22" t="str">
        <f>VLOOKUP(J2041, Dropdowns!N:O, 2, FALSE)</f>
        <v>Standard</v>
      </c>
      <c r="J2041" t="s">
        <v>760</v>
      </c>
      <c r="L2041" s="17" t="s">
        <v>734</v>
      </c>
      <c r="M2041" s="17" t="s">
        <v>10</v>
      </c>
      <c r="N2041" s="17">
        <v>2</v>
      </c>
    </row>
    <row r="2042" spans="1:14" x14ac:dyDescent="0.25">
      <c r="A2042" s="10">
        <v>995005</v>
      </c>
      <c r="B2042" s="22" t="str">
        <f>IFERROR(VLOOKUP(A2042,VLOOKUPS!$A$2:B$12589,2,FALSE),"")</f>
        <v>Garden Salad 12oz-standard</v>
      </c>
      <c r="E2042">
        <v>0.89</v>
      </c>
      <c r="F2042">
        <v>0.49</v>
      </c>
      <c r="G2042" s="13">
        <v>44491</v>
      </c>
      <c r="H2042" s="13">
        <v>44492</v>
      </c>
      <c r="I2042" s="22" t="str">
        <f>VLOOKUP(J2042, Dropdowns!N:O, 2, FALSE)</f>
        <v>Lower Price</v>
      </c>
      <c r="J2042" t="s">
        <v>759</v>
      </c>
      <c r="L2042" s="17" t="s">
        <v>733</v>
      </c>
      <c r="M2042" s="17" t="s">
        <v>735</v>
      </c>
      <c r="N2042" s="17" t="s">
        <v>740</v>
      </c>
    </row>
    <row r="2043" spans="1:14" x14ac:dyDescent="0.25">
      <c r="A2043" s="10">
        <v>995005</v>
      </c>
      <c r="B2043" s="22" t="str">
        <f>IFERROR(VLOOKUP(A2043,VLOOKUPS!$A$2:B$12589,2,FALSE),"")</f>
        <v>Garden Salad 12oz-standard</v>
      </c>
      <c r="E2043">
        <v>0.49</v>
      </c>
      <c r="F2043">
        <v>0.89</v>
      </c>
      <c r="G2043" s="13">
        <v>44493</v>
      </c>
      <c r="H2043" s="13"/>
      <c r="I2043" s="22" t="str">
        <f>VLOOKUP(J2043, Dropdowns!N:O, 2, FALSE)</f>
        <v>Standard</v>
      </c>
      <c r="J2043" t="s">
        <v>760</v>
      </c>
      <c r="L2043" s="17" t="s">
        <v>733</v>
      </c>
      <c r="M2043" s="17" t="s">
        <v>735</v>
      </c>
      <c r="N2043" s="17" t="s">
        <v>740</v>
      </c>
    </row>
    <row r="2044" spans="1:14" x14ac:dyDescent="0.25">
      <c r="A2044" s="10">
        <v>995053</v>
      </c>
      <c r="B2044" s="22" t="str">
        <f>IFERROR(VLOOKUP(A2044,VLOOKUPS!$A$2:B$12589,2,FALSE),"")</f>
        <v>Fresh Chopped Salsa Pico 16oz-standard</v>
      </c>
      <c r="E2044">
        <v>4.49</v>
      </c>
      <c r="F2044">
        <v>3.49</v>
      </c>
      <c r="G2044" s="13">
        <v>44491</v>
      </c>
      <c r="H2044" s="13">
        <v>44492</v>
      </c>
      <c r="I2044" s="22" t="str">
        <f>VLOOKUP(J2044, Dropdowns!N:O, 2, FALSE)</f>
        <v>Lower Price</v>
      </c>
      <c r="J2044" t="s">
        <v>759</v>
      </c>
      <c r="L2044" s="17" t="s">
        <v>732</v>
      </c>
      <c r="M2044" s="17" t="s">
        <v>9</v>
      </c>
      <c r="N2044" s="17" t="s">
        <v>736</v>
      </c>
    </row>
    <row r="2045" spans="1:14" x14ac:dyDescent="0.25">
      <c r="A2045" s="10">
        <v>995053</v>
      </c>
      <c r="B2045" s="22" t="str">
        <f>IFERROR(VLOOKUP(A2045,VLOOKUPS!$A$2:B$12589,2,FALSE),"")</f>
        <v>Fresh Chopped Salsa Pico 16oz-standard</v>
      </c>
      <c r="E2045">
        <v>3.49</v>
      </c>
      <c r="F2045">
        <v>4.49</v>
      </c>
      <c r="G2045" s="13">
        <v>44493</v>
      </c>
      <c r="H2045" s="13"/>
      <c r="I2045" s="22" t="str">
        <f>VLOOKUP(J2045, Dropdowns!N:O, 2, FALSE)</f>
        <v>Standard</v>
      </c>
      <c r="J2045" t="s">
        <v>760</v>
      </c>
      <c r="L2045" s="17" t="s">
        <v>732</v>
      </c>
      <c r="M2045" s="17" t="s">
        <v>9</v>
      </c>
      <c r="N2045" s="17" t="s">
        <v>736</v>
      </c>
    </row>
    <row r="2046" spans="1:14" x14ac:dyDescent="0.25">
      <c r="A2046" s="10">
        <v>995082</v>
      </c>
      <c r="B2046" s="22" t="str">
        <f>IFERROR(VLOOKUP(A2046,VLOOKUPS!$A$2:B$12589,2,FALSE),"")</f>
        <v>Melon Trio 16oz-standard</v>
      </c>
      <c r="E2046">
        <v>3.99</v>
      </c>
      <c r="F2046">
        <v>2.99</v>
      </c>
      <c r="G2046" s="13">
        <v>44491</v>
      </c>
      <c r="H2046" s="13">
        <v>44492</v>
      </c>
      <c r="I2046" s="22" t="str">
        <f>VLOOKUP(J2046, Dropdowns!N:O, 2, FALSE)</f>
        <v>Lower Price</v>
      </c>
      <c r="J2046" t="s">
        <v>759</v>
      </c>
      <c r="L2046" s="17" t="s">
        <v>732</v>
      </c>
      <c r="M2046" s="17" t="s">
        <v>10</v>
      </c>
      <c r="N2046" s="17">
        <v>2</v>
      </c>
    </row>
    <row r="2047" spans="1:14" x14ac:dyDescent="0.25">
      <c r="A2047" s="10">
        <v>995082</v>
      </c>
      <c r="B2047" s="22" t="str">
        <f>IFERROR(VLOOKUP(A2047,VLOOKUPS!$A$2:B$12589,2,FALSE),"")</f>
        <v>Melon Trio 16oz-standard</v>
      </c>
      <c r="E2047">
        <v>2.99</v>
      </c>
      <c r="F2047">
        <v>3.99</v>
      </c>
      <c r="G2047" s="13">
        <v>44493</v>
      </c>
      <c r="H2047" s="13"/>
      <c r="I2047" s="22" t="str">
        <f>VLOOKUP(J2047, Dropdowns!N:O, 2, FALSE)</f>
        <v>Standard</v>
      </c>
      <c r="J2047" t="s">
        <v>760</v>
      </c>
      <c r="L2047" s="17" t="s">
        <v>732</v>
      </c>
      <c r="M2047" s="17" t="s">
        <v>10</v>
      </c>
      <c r="N2047" s="17">
        <v>2</v>
      </c>
    </row>
    <row r="2048" spans="1:14" x14ac:dyDescent="0.25">
      <c r="A2048" s="10">
        <v>995136</v>
      </c>
      <c r="B2048" s="22" t="str">
        <f>IFERROR(VLOOKUP(A2048,VLOOKUPS!$A$2:B$12589,2,FALSE),"")</f>
        <v>Baby Spinach 11oz-standard</v>
      </c>
      <c r="E2048">
        <v>4.18</v>
      </c>
      <c r="F2048">
        <v>3.18</v>
      </c>
      <c r="G2048" s="13">
        <v>44491</v>
      </c>
      <c r="H2048" s="13">
        <v>44492</v>
      </c>
      <c r="I2048" s="22" t="str">
        <f>VLOOKUP(J2048, Dropdowns!N:O, 2, FALSE)</f>
        <v>Lower Price</v>
      </c>
      <c r="J2048" t="s">
        <v>759</v>
      </c>
      <c r="L2048" s="17" t="s">
        <v>732</v>
      </c>
      <c r="M2048" s="17" t="s">
        <v>9</v>
      </c>
      <c r="N2048" s="17" t="s">
        <v>736</v>
      </c>
    </row>
    <row r="2049" spans="1:15" x14ac:dyDescent="0.25">
      <c r="A2049" s="10">
        <v>995136</v>
      </c>
      <c r="B2049" s="22" t="str">
        <f>IFERROR(VLOOKUP(A2049,VLOOKUPS!$A$2:B$12589,2,FALSE),"")</f>
        <v>Baby Spinach 11oz-standard</v>
      </c>
      <c r="E2049">
        <v>3.18</v>
      </c>
      <c r="F2049">
        <v>4.18</v>
      </c>
      <c r="G2049" s="13">
        <v>44493</v>
      </c>
      <c r="H2049" s="13"/>
      <c r="I2049" s="22" t="str">
        <f>VLOOKUP(J2049, Dropdowns!N:O, 2, FALSE)</f>
        <v>Standard</v>
      </c>
      <c r="J2049" t="s">
        <v>760</v>
      </c>
      <c r="L2049" s="17" t="s">
        <v>732</v>
      </c>
      <c r="M2049" s="17" t="s">
        <v>9</v>
      </c>
      <c r="N2049" s="17" t="s">
        <v>736</v>
      </c>
    </row>
    <row r="2050" spans="1:15" x14ac:dyDescent="0.25">
      <c r="A2050" s="10">
        <v>995155</v>
      </c>
      <c r="B2050" s="22" t="str">
        <f>IFERROR(VLOOKUP(A2050,VLOOKUPS!$A$2:B$12589,2,FALSE),"")</f>
        <v>Organic Sweet Apple Slices 12oz-standard</v>
      </c>
      <c r="E2050">
        <v>3.99</v>
      </c>
      <c r="F2050">
        <v>2.99</v>
      </c>
      <c r="G2050" s="13">
        <v>44491</v>
      </c>
      <c r="H2050" s="13">
        <v>44493</v>
      </c>
      <c r="I2050" s="22" t="str">
        <f>VLOOKUP(J2050, Dropdowns!N:O, 2, FALSE)</f>
        <v>Lower Price</v>
      </c>
      <c r="J2050" t="s">
        <v>759</v>
      </c>
      <c r="L2050" s="17" t="s">
        <v>732</v>
      </c>
      <c r="M2050" s="17" t="s">
        <v>9</v>
      </c>
      <c r="N2050" s="17" t="s">
        <v>736</v>
      </c>
    </row>
    <row r="2051" spans="1:15" x14ac:dyDescent="0.25">
      <c r="A2051" s="10">
        <v>995155</v>
      </c>
      <c r="B2051" s="22" t="str">
        <f>IFERROR(VLOOKUP(A2051,VLOOKUPS!$A$2:B$12589,2,FALSE),"")</f>
        <v>Organic Sweet Apple Slices 12oz-standard</v>
      </c>
      <c r="E2051">
        <v>2.99</v>
      </c>
      <c r="F2051">
        <v>3.99</v>
      </c>
      <c r="G2051" s="13">
        <v>44494</v>
      </c>
      <c r="H2051" s="13"/>
      <c r="I2051" s="22" t="str">
        <f>VLOOKUP(J2051, Dropdowns!N:O, 2, FALSE)</f>
        <v>Standard</v>
      </c>
      <c r="J2051" t="s">
        <v>760</v>
      </c>
      <c r="L2051" s="17" t="s">
        <v>732</v>
      </c>
      <c r="M2051" s="17" t="s">
        <v>9</v>
      </c>
      <c r="N2051" s="17" t="s">
        <v>736</v>
      </c>
    </row>
    <row r="2052" spans="1:15" x14ac:dyDescent="0.25">
      <c r="A2052" s="10">
        <v>984700</v>
      </c>
      <c r="B2052" s="22" t="str">
        <f>IFERROR(VLOOKUP(A2052,VLOOKUPS!$A$2:B$12589,2,FALSE),"")</f>
        <v>Blackberries 6oz-standard</v>
      </c>
      <c r="G2052" s="13">
        <v>44491</v>
      </c>
      <c r="H2052" s="13">
        <v>44491</v>
      </c>
      <c r="I2052" s="22" t="str">
        <f>VLOOKUP(J2052, Dropdowns!N:O, 2, FALSE)</f>
        <v>Lower Price</v>
      </c>
      <c r="J2052" t="s">
        <v>762</v>
      </c>
      <c r="L2052" s="17" t="s">
        <v>732</v>
      </c>
      <c r="M2052" s="17" t="s">
        <v>9</v>
      </c>
      <c r="N2052" s="17" t="s">
        <v>736</v>
      </c>
    </row>
    <row r="2053" spans="1:15" x14ac:dyDescent="0.25">
      <c r="A2053" s="10">
        <v>983151</v>
      </c>
      <c r="B2053" s="22" t="str">
        <f>IFERROR(VLOOKUP(A2053,VLOOKUPS!$A$2:B$12589,2,FALSE),"")</f>
        <v>Melons* Golden Honeydew 1ct-LOOSE</v>
      </c>
      <c r="D2053">
        <v>5</v>
      </c>
      <c r="F2053">
        <v>3.88</v>
      </c>
      <c r="G2053" s="13">
        <v>44495</v>
      </c>
      <c r="H2053" s="13"/>
      <c r="I2053" s="22" t="str">
        <f>VLOOKUP(J2053, Dropdowns!N:O, 2, FALSE)</f>
        <v>New</v>
      </c>
      <c r="J2053" t="s">
        <v>776</v>
      </c>
      <c r="L2053" s="17" t="s">
        <v>732</v>
      </c>
      <c r="M2053" s="17" t="s">
        <v>736</v>
      </c>
      <c r="N2053" s="17" t="s">
        <v>736</v>
      </c>
      <c r="O2053" t="s">
        <v>1019</v>
      </c>
    </row>
    <row r="2054" spans="1:15" x14ac:dyDescent="0.25">
      <c r="A2054" s="10">
        <v>984582</v>
      </c>
      <c r="B2054" s="22" t="str">
        <f>IFERROR(VLOOKUP(A2054,VLOOKUPS!$A$2:B$12589,2,FALSE),"")</f>
        <v>Organic Blueberries 1pt-standard</v>
      </c>
      <c r="E2054">
        <v>4.59</v>
      </c>
      <c r="F2054">
        <v>3.49</v>
      </c>
      <c r="G2054" s="13">
        <v>44495</v>
      </c>
      <c r="H2054" s="13">
        <v>44496</v>
      </c>
      <c r="I2054" s="22" t="str">
        <f>VLOOKUP(J2054, Dropdowns!N:O, 2, FALSE)</f>
        <v>Lower Price</v>
      </c>
      <c r="J2054" t="s">
        <v>759</v>
      </c>
      <c r="L2054" s="17" t="s">
        <v>732</v>
      </c>
      <c r="M2054" s="17" t="s">
        <v>738</v>
      </c>
      <c r="N2054" s="17">
        <v>2</v>
      </c>
    </row>
    <row r="2055" spans="1:15" x14ac:dyDescent="0.25">
      <c r="A2055" s="10">
        <v>984582</v>
      </c>
      <c r="B2055" s="22" t="str">
        <f>IFERROR(VLOOKUP(A2055,VLOOKUPS!$A$2:B$12589,2,FALSE),"")</f>
        <v>Organic Blueberries 1pt-standard</v>
      </c>
      <c r="E2055">
        <v>3.49</v>
      </c>
      <c r="F2055">
        <v>4.59</v>
      </c>
      <c r="G2055" s="13">
        <v>44497</v>
      </c>
      <c r="H2055" s="13"/>
      <c r="I2055" s="22" t="str">
        <f>VLOOKUP(J2055, Dropdowns!N:O, 2, FALSE)</f>
        <v>Standard</v>
      </c>
      <c r="J2055" t="s">
        <v>760</v>
      </c>
      <c r="L2055" s="17" t="s">
        <v>732</v>
      </c>
      <c r="M2055" s="17" t="s">
        <v>738</v>
      </c>
      <c r="N2055" s="17">
        <v>2</v>
      </c>
    </row>
    <row r="2056" spans="1:15" x14ac:dyDescent="0.25">
      <c r="A2056" s="10">
        <v>984621</v>
      </c>
      <c r="B2056" s="22" t="str">
        <f>IFERROR(VLOOKUP(A2056,VLOOKUPS!$A$2:B$12589,2,FALSE),"")</f>
        <v>Raspberries 12oz-standard</v>
      </c>
      <c r="E2056">
        <v>5.18</v>
      </c>
      <c r="F2056">
        <v>3.99</v>
      </c>
      <c r="G2056" s="13">
        <v>44495</v>
      </c>
      <c r="H2056" s="13">
        <v>44496</v>
      </c>
      <c r="I2056" s="22" t="str">
        <f>VLOOKUP(J2056, Dropdowns!N:O, 2, FALSE)</f>
        <v>Lower Price</v>
      </c>
      <c r="J2056" t="s">
        <v>759</v>
      </c>
      <c r="L2056" s="17" t="s">
        <v>732</v>
      </c>
      <c r="M2056" s="17" t="s">
        <v>738</v>
      </c>
      <c r="N2056" s="17">
        <v>2</v>
      </c>
    </row>
    <row r="2057" spans="1:15" x14ac:dyDescent="0.25">
      <c r="A2057" s="10">
        <v>984621</v>
      </c>
      <c r="B2057" s="22" t="str">
        <f>IFERROR(VLOOKUP(A2057,VLOOKUPS!$A$2:B$12589,2,FALSE),"")</f>
        <v>Raspberries 12oz-standard</v>
      </c>
      <c r="E2057">
        <v>3.99</v>
      </c>
      <c r="F2057">
        <v>5.18</v>
      </c>
      <c r="G2057" s="13">
        <v>44497</v>
      </c>
      <c r="H2057" s="13"/>
      <c r="I2057" s="22" t="str">
        <f>VLOOKUP(J2057, Dropdowns!N:O, 2, FALSE)</f>
        <v>Standard</v>
      </c>
      <c r="J2057" t="s">
        <v>760</v>
      </c>
      <c r="L2057" s="17" t="s">
        <v>732</v>
      </c>
      <c r="M2057" s="17" t="s">
        <v>738</v>
      </c>
      <c r="N2057" s="17">
        <v>2</v>
      </c>
    </row>
    <row r="2058" spans="1:15" x14ac:dyDescent="0.25">
      <c r="A2058" s="10">
        <v>995009</v>
      </c>
      <c r="B2058" s="22" t="str">
        <f>IFERROR(VLOOKUP(A2058,VLOOKUPS!$A$2:B$12589,2,FALSE),"")</f>
        <v>Classic Coleslaw 14oz-standard</v>
      </c>
      <c r="E2058">
        <v>1.39</v>
      </c>
      <c r="F2058">
        <v>0.59</v>
      </c>
      <c r="G2058" s="13">
        <v>44495</v>
      </c>
      <c r="H2058" s="13">
        <v>44497</v>
      </c>
      <c r="I2058" s="22" t="str">
        <f>VLOOKUP(J2058, Dropdowns!N:O, 2, FALSE)</f>
        <v>Lower Price</v>
      </c>
      <c r="J2058" t="s">
        <v>759</v>
      </c>
      <c r="L2058" s="17" t="s">
        <v>733</v>
      </c>
      <c r="M2058" s="17" t="s">
        <v>9</v>
      </c>
      <c r="N2058" s="17" t="s">
        <v>740</v>
      </c>
    </row>
    <row r="2059" spans="1:15" x14ac:dyDescent="0.25">
      <c r="A2059" s="10">
        <v>995009</v>
      </c>
      <c r="B2059" s="22" t="str">
        <f>IFERROR(VLOOKUP(A2059,VLOOKUPS!$A$2:B$12589,2,FALSE),"")</f>
        <v>Classic Coleslaw 14oz-standard</v>
      </c>
      <c r="E2059">
        <v>1.59</v>
      </c>
      <c r="F2059">
        <v>0.79</v>
      </c>
      <c r="G2059" s="13">
        <v>44495</v>
      </c>
      <c r="H2059" s="13">
        <v>44497</v>
      </c>
      <c r="I2059" s="22" t="str">
        <f>VLOOKUP(J2059, Dropdowns!N:O, 2, FALSE)</f>
        <v>Lower Price</v>
      </c>
      <c r="J2059" t="s">
        <v>759</v>
      </c>
      <c r="L2059" s="17" t="s">
        <v>734</v>
      </c>
      <c r="M2059" s="17" t="s">
        <v>9</v>
      </c>
      <c r="N2059" s="17" t="s">
        <v>736</v>
      </c>
    </row>
    <row r="2060" spans="1:15" x14ac:dyDescent="0.25">
      <c r="A2060" s="10">
        <v>995009</v>
      </c>
      <c r="B2060" s="22" t="str">
        <f>IFERROR(VLOOKUP(A2060,VLOOKUPS!$A$2:B$12589,2,FALSE),"")</f>
        <v>Classic Coleslaw 14oz-standard</v>
      </c>
      <c r="E2060">
        <v>0.59</v>
      </c>
      <c r="F2060">
        <v>1.59</v>
      </c>
      <c r="G2060" s="13">
        <v>44498</v>
      </c>
      <c r="H2060" s="13"/>
      <c r="I2060" s="22" t="str">
        <f>VLOOKUP(J2060, Dropdowns!N:O, 2, FALSE)</f>
        <v>Standard</v>
      </c>
      <c r="J2060" t="s">
        <v>760</v>
      </c>
      <c r="L2060" s="17" t="s">
        <v>733</v>
      </c>
      <c r="M2060" s="17" t="s">
        <v>9</v>
      </c>
      <c r="N2060" s="17" t="s">
        <v>740</v>
      </c>
    </row>
    <row r="2061" spans="1:15" x14ac:dyDescent="0.25">
      <c r="A2061" s="10">
        <v>995009</v>
      </c>
      <c r="B2061" s="22" t="str">
        <f>IFERROR(VLOOKUP(A2061,VLOOKUPS!$A$2:B$12589,2,FALSE),"")</f>
        <v>Classic Coleslaw 14oz-standard</v>
      </c>
      <c r="E2061">
        <v>0.79</v>
      </c>
      <c r="F2061">
        <v>1.59</v>
      </c>
      <c r="G2061" s="13">
        <v>44498</v>
      </c>
      <c r="H2061" s="13"/>
      <c r="I2061" s="22" t="str">
        <f>VLOOKUP(J2061, Dropdowns!N:O, 2, FALSE)</f>
        <v>Standard</v>
      </c>
      <c r="J2061" t="s">
        <v>760</v>
      </c>
      <c r="L2061" s="17" t="s">
        <v>734</v>
      </c>
      <c r="M2061" s="17" t="s">
        <v>9</v>
      </c>
      <c r="N2061" s="17" t="s">
        <v>736</v>
      </c>
    </row>
    <row r="2062" spans="1:15" x14ac:dyDescent="0.25">
      <c r="A2062" s="10">
        <v>995032</v>
      </c>
      <c r="B2062" s="22" t="str">
        <f>IFERROR(VLOOKUP(A2062,VLOOKUPS!$A$2:B$12589,2,FALSE),"")</f>
        <v>Chopped Sunflower Crunch Kit 12.2oz-standard</v>
      </c>
      <c r="E2062">
        <v>3.49</v>
      </c>
      <c r="F2062">
        <v>2.4900000000000002</v>
      </c>
      <c r="G2062" s="13">
        <v>44495</v>
      </c>
      <c r="H2062" s="13">
        <v>44496</v>
      </c>
      <c r="I2062" s="22" t="str">
        <f>VLOOKUP(J2062, Dropdowns!N:O, 2, FALSE)</f>
        <v>Lower Price</v>
      </c>
      <c r="J2062" t="s">
        <v>759</v>
      </c>
      <c r="L2062" s="17" t="s">
        <v>732</v>
      </c>
      <c r="M2062" s="17" t="s">
        <v>10</v>
      </c>
      <c r="N2062" s="17">
        <v>2</v>
      </c>
    </row>
    <row r="2063" spans="1:15" x14ac:dyDescent="0.25">
      <c r="A2063" s="10">
        <v>995032</v>
      </c>
      <c r="B2063" s="22" t="str">
        <f>IFERROR(VLOOKUP(A2063,VLOOKUPS!$A$2:B$12589,2,FALSE),"")</f>
        <v>Chopped Sunflower Crunch Kit 12.2oz-standard</v>
      </c>
      <c r="E2063">
        <v>2.4900000000000002</v>
      </c>
      <c r="F2063">
        <v>3.49</v>
      </c>
      <c r="G2063" s="13">
        <v>44497</v>
      </c>
      <c r="H2063" s="13"/>
      <c r="I2063" s="22" t="str">
        <f>VLOOKUP(J2063, Dropdowns!N:O, 2, FALSE)</f>
        <v>Standard</v>
      </c>
      <c r="J2063" t="s">
        <v>760</v>
      </c>
      <c r="L2063" s="17" t="s">
        <v>732</v>
      </c>
      <c r="M2063" s="17" t="s">
        <v>10</v>
      </c>
      <c r="N2063" s="17">
        <v>2</v>
      </c>
    </row>
    <row r="2064" spans="1:15" x14ac:dyDescent="0.25">
      <c r="A2064" s="10">
        <v>995041</v>
      </c>
      <c r="B2064" s="22" t="str">
        <f>IFERROR(VLOOKUP(A2064,VLOOKUPS!$A$2:B$12589,2,FALSE),"")</f>
        <v>Pineapple Spears 16oz-standard</v>
      </c>
      <c r="E2064">
        <v>3.49</v>
      </c>
      <c r="F2064">
        <v>1.49</v>
      </c>
      <c r="G2064" s="13">
        <v>44495</v>
      </c>
      <c r="H2064" s="13">
        <v>44496</v>
      </c>
      <c r="I2064" s="22" t="str">
        <f>VLOOKUP(J2064, Dropdowns!N:O, 2, FALSE)</f>
        <v>Lower Price</v>
      </c>
      <c r="J2064" t="s">
        <v>759</v>
      </c>
      <c r="L2064" s="17" t="s">
        <v>732</v>
      </c>
      <c r="M2064" s="17" t="s">
        <v>9</v>
      </c>
      <c r="N2064" s="17" t="s">
        <v>736</v>
      </c>
    </row>
    <row r="2065" spans="1:14" x14ac:dyDescent="0.25">
      <c r="A2065" s="10">
        <v>995041</v>
      </c>
      <c r="B2065" s="22" t="str">
        <f>IFERROR(VLOOKUP(A2065,VLOOKUPS!$A$2:B$12589,2,FALSE),"")</f>
        <v>Pineapple Spears 16oz-standard</v>
      </c>
      <c r="E2065">
        <v>1.49</v>
      </c>
      <c r="F2065">
        <v>3.49</v>
      </c>
      <c r="G2065" s="13">
        <v>44497</v>
      </c>
      <c r="H2065" s="13"/>
      <c r="I2065" s="22" t="str">
        <f>VLOOKUP(J2065, Dropdowns!N:O, 2, FALSE)</f>
        <v>Standard</v>
      </c>
      <c r="J2065" t="s">
        <v>760</v>
      </c>
      <c r="L2065" s="17" t="s">
        <v>732</v>
      </c>
      <c r="M2065" s="17" t="s">
        <v>9</v>
      </c>
      <c r="N2065" s="17" t="s">
        <v>736</v>
      </c>
    </row>
    <row r="2066" spans="1:14" x14ac:dyDescent="0.25">
      <c r="A2066" s="10">
        <v>995084</v>
      </c>
      <c r="B2066" s="22" t="str">
        <f>IFERROR(VLOOKUP(A2066,VLOOKUPS!$A$2:B$12589,2,FALSE),"")</f>
        <v>Eat Smart Green Beans 12oz-standard</v>
      </c>
      <c r="E2066">
        <v>2.78</v>
      </c>
      <c r="F2066">
        <v>1.78</v>
      </c>
      <c r="G2066" s="13">
        <v>44495</v>
      </c>
      <c r="H2066" s="13">
        <v>44496</v>
      </c>
      <c r="I2066" s="22" t="str">
        <f>VLOOKUP(J2066, Dropdowns!N:O, 2, FALSE)</f>
        <v>Lower Price</v>
      </c>
      <c r="J2066" t="s">
        <v>759</v>
      </c>
      <c r="L2066" s="17" t="s">
        <v>733</v>
      </c>
      <c r="M2066" s="17" t="s">
        <v>10</v>
      </c>
      <c r="N2066" s="17" t="s">
        <v>740</v>
      </c>
    </row>
    <row r="2067" spans="1:14" x14ac:dyDescent="0.25">
      <c r="A2067" s="10">
        <v>995084</v>
      </c>
      <c r="B2067" s="22" t="str">
        <f>IFERROR(VLOOKUP(A2067,VLOOKUPS!$A$2:B$12589,2,FALSE),"")</f>
        <v>Eat Smart Green Beans 12oz-standard</v>
      </c>
      <c r="E2067">
        <v>1.78</v>
      </c>
      <c r="F2067">
        <v>2.78</v>
      </c>
      <c r="G2067" s="13">
        <v>44497</v>
      </c>
      <c r="H2067" s="13"/>
      <c r="I2067" s="22" t="str">
        <f>VLOOKUP(J2067, Dropdowns!N:O, 2, FALSE)</f>
        <v>Standard</v>
      </c>
      <c r="J2067" t="s">
        <v>760</v>
      </c>
      <c r="L2067" s="17" t="s">
        <v>733</v>
      </c>
      <c r="M2067" s="17" t="s">
        <v>10</v>
      </c>
      <c r="N2067" s="17" t="s">
        <v>740</v>
      </c>
    </row>
    <row r="2068" spans="1:14" x14ac:dyDescent="0.25">
      <c r="A2068" s="10">
        <v>995086</v>
      </c>
      <c r="B2068" s="22" t="str">
        <f>IFERROR(VLOOKUP(A2068,VLOOKUPS!$A$2:B$12589,2,FALSE),"")</f>
        <v>Eat Smart Broccoli Florets 2lbs-standard</v>
      </c>
      <c r="E2068">
        <v>5.98</v>
      </c>
      <c r="F2068">
        <v>4.4800000000000004</v>
      </c>
      <c r="G2068" s="13">
        <v>44495</v>
      </c>
      <c r="H2068" s="13">
        <v>44496</v>
      </c>
      <c r="I2068" s="22" t="str">
        <f>VLOOKUP(J2068, Dropdowns!N:O, 2, FALSE)</f>
        <v>Lower Price</v>
      </c>
      <c r="J2068" t="s">
        <v>759</v>
      </c>
      <c r="L2068" s="17" t="s">
        <v>732</v>
      </c>
      <c r="M2068" s="17" t="s">
        <v>738</v>
      </c>
      <c r="N2068" s="17">
        <v>2</v>
      </c>
    </row>
    <row r="2069" spans="1:14" x14ac:dyDescent="0.25">
      <c r="A2069" s="10">
        <v>995086</v>
      </c>
      <c r="B2069" s="22" t="str">
        <f>IFERROR(VLOOKUP(A2069,VLOOKUPS!$A$2:B$12589,2,FALSE),"")</f>
        <v>Eat Smart Broccoli Florets 2lbs-standard</v>
      </c>
      <c r="E2069">
        <v>4.4800000000000004</v>
      </c>
      <c r="F2069">
        <v>5.98</v>
      </c>
      <c r="G2069" s="13">
        <v>44497</v>
      </c>
      <c r="H2069" s="13"/>
      <c r="I2069" s="22" t="str">
        <f>VLOOKUP(J2069, Dropdowns!N:O, 2, FALSE)</f>
        <v>Standard</v>
      </c>
      <c r="J2069" t="s">
        <v>760</v>
      </c>
      <c r="L2069" s="17" t="s">
        <v>732</v>
      </c>
      <c r="M2069" s="17" t="s">
        <v>738</v>
      </c>
      <c r="N2069" s="17">
        <v>2</v>
      </c>
    </row>
    <row r="2070" spans="1:14" x14ac:dyDescent="0.25">
      <c r="A2070" s="10">
        <v>995100</v>
      </c>
      <c r="B2070" s="22" t="str">
        <f>IFERROR(VLOOKUP(A2070,VLOOKUPS!$A$2:B$12589,2,FALSE),"")</f>
        <v>Asian Chopped Salad Kit 12oz-standard</v>
      </c>
      <c r="E2070">
        <v>3.49</v>
      </c>
      <c r="F2070">
        <v>2.4900000000000002</v>
      </c>
      <c r="G2070" s="13">
        <v>44495</v>
      </c>
      <c r="H2070" s="13">
        <v>44496</v>
      </c>
      <c r="I2070" s="22" t="str">
        <f>VLOOKUP(J2070, Dropdowns!N:O, 2, FALSE)</f>
        <v>Lower Price</v>
      </c>
      <c r="J2070" t="s">
        <v>759</v>
      </c>
      <c r="L2070" s="17" t="s">
        <v>732</v>
      </c>
      <c r="M2070" s="17" t="s">
        <v>9</v>
      </c>
      <c r="N2070" s="17" t="s">
        <v>736</v>
      </c>
    </row>
    <row r="2071" spans="1:14" x14ac:dyDescent="0.25">
      <c r="A2071" s="10">
        <v>995100</v>
      </c>
      <c r="B2071" s="22" t="str">
        <f>IFERROR(VLOOKUP(A2071,VLOOKUPS!$A$2:B$12589,2,FALSE),"")</f>
        <v>Asian Chopped Salad Kit 12oz-standard</v>
      </c>
      <c r="E2071">
        <v>2.4900000000000002</v>
      </c>
      <c r="F2071">
        <v>3.49</v>
      </c>
      <c r="G2071" s="13">
        <v>44497</v>
      </c>
      <c r="H2071" s="13"/>
      <c r="I2071" s="22" t="str">
        <f>VLOOKUP(J2071, Dropdowns!N:O, 2, FALSE)</f>
        <v>Standard</v>
      </c>
      <c r="J2071" t="s">
        <v>760</v>
      </c>
      <c r="L2071" s="17" t="s">
        <v>732</v>
      </c>
      <c r="M2071" s="17" t="s">
        <v>9</v>
      </c>
      <c r="N2071" s="17" t="s">
        <v>736</v>
      </c>
    </row>
    <row r="2072" spans="1:14" x14ac:dyDescent="0.25">
      <c r="A2072" s="10">
        <v>995119</v>
      </c>
      <c r="B2072" s="22" t="str">
        <f>IFERROR(VLOOKUP(A2072,VLOOKUPS!$A$2:B$12589,2,FALSE),"")</f>
        <v>RTE Green Goddess Salad 5.5oz-standard</v>
      </c>
      <c r="E2072">
        <v>2.89</v>
      </c>
      <c r="F2072">
        <v>1.69</v>
      </c>
      <c r="G2072" s="13">
        <v>44495</v>
      </c>
      <c r="H2072" s="13">
        <v>44497</v>
      </c>
      <c r="I2072" s="22" t="str">
        <f>VLOOKUP(J2072, Dropdowns!N:O, 2, FALSE)</f>
        <v>Lower Price</v>
      </c>
      <c r="J2072" t="s">
        <v>759</v>
      </c>
      <c r="L2072" s="17" t="s">
        <v>732</v>
      </c>
      <c r="M2072" s="17" t="s">
        <v>738</v>
      </c>
      <c r="N2072" s="17">
        <v>2</v>
      </c>
    </row>
    <row r="2073" spans="1:14" x14ac:dyDescent="0.25">
      <c r="A2073" s="10">
        <v>995119</v>
      </c>
      <c r="B2073" s="22" t="str">
        <f>IFERROR(VLOOKUP(A2073,VLOOKUPS!$A$2:B$12589,2,FALSE),"")</f>
        <v>RTE Green Goddess Salad 5.5oz-standard</v>
      </c>
      <c r="E2073">
        <v>1.69</v>
      </c>
      <c r="F2073">
        <v>2.89</v>
      </c>
      <c r="G2073" s="13">
        <v>44498</v>
      </c>
      <c r="H2073" s="13"/>
      <c r="I2073" s="22" t="str">
        <f>VLOOKUP(J2073, Dropdowns!N:O, 2, FALSE)</f>
        <v>Standard</v>
      </c>
      <c r="J2073" t="s">
        <v>760</v>
      </c>
      <c r="L2073" s="17" t="s">
        <v>732</v>
      </c>
      <c r="M2073" s="17" t="s">
        <v>738</v>
      </c>
      <c r="N2073" s="17">
        <v>2</v>
      </c>
    </row>
    <row r="2074" spans="1:14" x14ac:dyDescent="0.25">
      <c r="A2074" s="10">
        <v>995131</v>
      </c>
      <c r="B2074" s="22" t="str">
        <f>IFERROR(VLOOKUP(A2074,VLOOKUPS!$A$2:B$12589,2,FALSE),"")</f>
        <v>Organic Baby Spinach &amp; Baby Kale 5oz-standard</v>
      </c>
      <c r="E2074">
        <v>2.98</v>
      </c>
      <c r="F2074">
        <v>1.98</v>
      </c>
      <c r="G2074" s="13">
        <v>44495</v>
      </c>
      <c r="H2074" s="13">
        <v>44496</v>
      </c>
      <c r="I2074" s="22" t="str">
        <f>VLOOKUP(J2074, Dropdowns!N:O, 2, FALSE)</f>
        <v>Lower Price</v>
      </c>
      <c r="J2074" t="s">
        <v>759</v>
      </c>
      <c r="L2074" s="17" t="s">
        <v>732</v>
      </c>
      <c r="M2074" s="17" t="s">
        <v>10</v>
      </c>
      <c r="N2074" s="17">
        <v>2</v>
      </c>
    </row>
    <row r="2075" spans="1:14" x14ac:dyDescent="0.25">
      <c r="A2075" s="10">
        <v>995131</v>
      </c>
      <c r="B2075" s="22" t="str">
        <f>IFERROR(VLOOKUP(A2075,VLOOKUPS!$A$2:B$12589,2,FALSE),"")</f>
        <v>Organic Baby Spinach &amp; Baby Kale 5oz-standard</v>
      </c>
      <c r="E2075">
        <v>1.98</v>
      </c>
      <c r="F2075">
        <v>2.98</v>
      </c>
      <c r="G2075" s="13">
        <v>44497</v>
      </c>
      <c r="H2075" s="13"/>
      <c r="I2075" s="22" t="str">
        <f>VLOOKUP(J2075, Dropdowns!N:O, 2, FALSE)</f>
        <v>Standard</v>
      </c>
      <c r="J2075" t="s">
        <v>760</v>
      </c>
      <c r="L2075" s="17" t="s">
        <v>732</v>
      </c>
      <c r="M2075" s="17" t="s">
        <v>10</v>
      </c>
      <c r="N2075" s="17">
        <v>2</v>
      </c>
    </row>
    <row r="2076" spans="1:14" x14ac:dyDescent="0.25">
      <c r="A2076" s="10">
        <v>995156</v>
      </c>
      <c r="B2076" s="22" t="str">
        <f>IFERROR(VLOOKUP(A2076,VLOOKUPS!$A$2:B$12589,2,FALSE),"")</f>
        <v>Mild Guacamole 12oz-standard</v>
      </c>
      <c r="E2076">
        <v>4.99</v>
      </c>
      <c r="F2076">
        <v>3.99</v>
      </c>
      <c r="G2076" s="13">
        <v>44495</v>
      </c>
      <c r="H2076" s="13">
        <v>44495</v>
      </c>
      <c r="I2076" s="22" t="str">
        <f>VLOOKUP(J2076, Dropdowns!N:O, 2, FALSE)</f>
        <v>Lower Price</v>
      </c>
      <c r="J2076" t="s">
        <v>759</v>
      </c>
      <c r="L2076" s="17" t="s">
        <v>732</v>
      </c>
      <c r="M2076" s="17" t="s">
        <v>10</v>
      </c>
      <c r="N2076" s="17">
        <v>2</v>
      </c>
    </row>
    <row r="2077" spans="1:14" x14ac:dyDescent="0.25">
      <c r="A2077" s="10">
        <v>995156</v>
      </c>
      <c r="B2077" s="22" t="str">
        <f>IFERROR(VLOOKUP(A2077,VLOOKUPS!$A$2:B$12589,2,FALSE),"")</f>
        <v>Mild Guacamole 12oz-standard</v>
      </c>
      <c r="E2077">
        <v>3.99</v>
      </c>
      <c r="F2077">
        <v>4.99</v>
      </c>
      <c r="G2077" s="13">
        <v>44496</v>
      </c>
      <c r="H2077" s="13"/>
      <c r="I2077" s="22" t="str">
        <f>VLOOKUP(J2077, Dropdowns!N:O, 2, FALSE)</f>
        <v>Standard</v>
      </c>
      <c r="J2077" t="s">
        <v>760</v>
      </c>
      <c r="L2077" s="17" t="s">
        <v>732</v>
      </c>
      <c r="M2077" s="17" t="s">
        <v>10</v>
      </c>
      <c r="N2077" s="17">
        <v>2</v>
      </c>
    </row>
    <row r="2078" spans="1:14" x14ac:dyDescent="0.25">
      <c r="A2078" s="10">
        <v>982202</v>
      </c>
      <c r="B2078" s="22" t="str">
        <f>IFERROR(VLOOKUP(A2078,VLOOKUPS!$A$2:B$12589,2,FALSE),"")</f>
        <v>Peaches* 1lb-LOOSE</v>
      </c>
      <c r="E2078">
        <v>2.1800000000000002</v>
      </c>
      <c r="F2078">
        <v>0.99</v>
      </c>
      <c r="G2078" s="13">
        <v>44496</v>
      </c>
      <c r="H2078" s="13">
        <v>44501</v>
      </c>
      <c r="I2078" s="22" t="str">
        <f>VLOOKUP(J2078, Dropdowns!N:O, 2, FALSE)</f>
        <v>Lower Price</v>
      </c>
      <c r="J2078" t="s">
        <v>759</v>
      </c>
      <c r="L2078" s="17" t="s">
        <v>732</v>
      </c>
      <c r="M2078" s="17" t="s">
        <v>736</v>
      </c>
      <c r="N2078" s="17" t="s">
        <v>736</v>
      </c>
    </row>
    <row r="2079" spans="1:14" x14ac:dyDescent="0.25">
      <c r="A2079" s="10">
        <v>982202</v>
      </c>
      <c r="B2079" s="22" t="str">
        <f>IFERROR(VLOOKUP(A2079,VLOOKUPS!$A$2:B$12589,2,FALSE),"")</f>
        <v>Peaches* 1lb-LOOSE</v>
      </c>
      <c r="E2079">
        <v>0.99</v>
      </c>
      <c r="F2079">
        <v>2.1800000000000002</v>
      </c>
      <c r="G2079" s="13">
        <v>44502</v>
      </c>
      <c r="H2079" s="13"/>
      <c r="I2079" s="22" t="str">
        <f>VLOOKUP(J2079, Dropdowns!N:O, 2, FALSE)</f>
        <v>Standard</v>
      </c>
      <c r="J2079" t="s">
        <v>760</v>
      </c>
      <c r="L2079" s="17" t="s">
        <v>732</v>
      </c>
      <c r="M2079" s="17" t="s">
        <v>736</v>
      </c>
      <c r="N2079" s="17" t="s">
        <v>736</v>
      </c>
    </row>
    <row r="2080" spans="1:14" x14ac:dyDescent="0.25">
      <c r="A2080" s="10">
        <v>982230</v>
      </c>
      <c r="B2080" s="22" t="str">
        <f>IFERROR(VLOOKUP(A2080,VLOOKUPS!$A$2:B$12589,2,FALSE),"")</f>
        <v>Peaches 2lb-standard</v>
      </c>
      <c r="E2080">
        <v>3.68</v>
      </c>
      <c r="F2080">
        <v>1.99</v>
      </c>
      <c r="G2080" s="13">
        <v>44496</v>
      </c>
      <c r="H2080" s="13">
        <v>44501</v>
      </c>
      <c r="I2080" s="22" t="str">
        <f>VLOOKUP(J2080, Dropdowns!N:O, 2, FALSE)</f>
        <v>Lower Price</v>
      </c>
      <c r="J2080" t="s">
        <v>759</v>
      </c>
      <c r="L2080" s="17" t="s">
        <v>732</v>
      </c>
      <c r="M2080" s="17" t="s">
        <v>736</v>
      </c>
      <c r="N2080" s="17" t="s">
        <v>736</v>
      </c>
    </row>
    <row r="2081" spans="1:17" x14ac:dyDescent="0.25">
      <c r="A2081" s="10">
        <v>982230</v>
      </c>
      <c r="B2081" s="22" t="str">
        <f>IFERROR(VLOOKUP(A2081,VLOOKUPS!$A$2:B$12589,2,FALSE),"")</f>
        <v>Peaches 2lb-standard</v>
      </c>
      <c r="E2081">
        <v>1.99</v>
      </c>
      <c r="F2081">
        <v>3.68</v>
      </c>
      <c r="G2081" s="13">
        <v>44502</v>
      </c>
      <c r="H2081" s="13"/>
      <c r="I2081" s="22" t="str">
        <f>VLOOKUP(J2081, Dropdowns!N:O, 2, FALSE)</f>
        <v>Standard</v>
      </c>
      <c r="J2081" t="s">
        <v>760</v>
      </c>
      <c r="L2081" s="17" t="s">
        <v>732</v>
      </c>
      <c r="M2081" s="17" t="s">
        <v>736</v>
      </c>
      <c r="N2081" s="17" t="s">
        <v>736</v>
      </c>
    </row>
    <row r="2082" spans="1:17" x14ac:dyDescent="0.25">
      <c r="A2082" s="10">
        <v>982400</v>
      </c>
      <c r="B2082" s="22" t="str">
        <f>IFERROR(VLOOKUP(A2082,VLOOKUPS!$A$2:B$12589,2,FALSE),"")</f>
        <v>Plums 1lb-LOOSE</v>
      </c>
      <c r="E2082">
        <v>2.08</v>
      </c>
      <c r="F2082">
        <v>0.99</v>
      </c>
      <c r="G2082" s="13">
        <v>44496</v>
      </c>
      <c r="H2082" s="13">
        <v>44501</v>
      </c>
      <c r="I2082" s="22" t="str">
        <f>VLOOKUP(J2082, Dropdowns!N:O, 2, FALSE)</f>
        <v>Lower Price</v>
      </c>
      <c r="J2082" t="s">
        <v>759</v>
      </c>
      <c r="L2082" s="17" t="s">
        <v>732</v>
      </c>
      <c r="M2082" s="17" t="s">
        <v>736</v>
      </c>
      <c r="N2082" s="17" t="s">
        <v>736</v>
      </c>
    </row>
    <row r="2083" spans="1:17" x14ac:dyDescent="0.25">
      <c r="A2083" s="10">
        <v>982400</v>
      </c>
      <c r="B2083" s="22" t="str">
        <f>IFERROR(VLOOKUP(A2083,VLOOKUPS!$A$2:B$12589,2,FALSE),"")</f>
        <v>Plums 1lb-LOOSE</v>
      </c>
      <c r="C2083" s="26" t="s">
        <v>1068</v>
      </c>
      <c r="E2083">
        <v>0.99</v>
      </c>
      <c r="F2083">
        <v>2.08</v>
      </c>
      <c r="G2083" s="13">
        <v>44502</v>
      </c>
      <c r="H2083" s="13"/>
      <c r="I2083" s="22" t="str">
        <f>VLOOKUP(J2083, Dropdowns!N:O, 2, FALSE)</f>
        <v>Standard</v>
      </c>
      <c r="J2083" t="s">
        <v>760</v>
      </c>
      <c r="L2083" s="17" t="s">
        <v>732</v>
      </c>
      <c r="M2083" s="17" t="s">
        <v>736</v>
      </c>
      <c r="N2083" s="17" t="s">
        <v>736</v>
      </c>
    </row>
    <row r="2084" spans="1:17" x14ac:dyDescent="0.25">
      <c r="A2084" s="10">
        <v>982430</v>
      </c>
      <c r="B2084" s="22" t="str">
        <f>IFERROR(VLOOKUP(A2084,VLOOKUPS!$A$2:B$12589,2,FALSE),"")</f>
        <v>Plums 2lb-standard</v>
      </c>
      <c r="E2084">
        <v>3.98</v>
      </c>
      <c r="F2084">
        <v>1.99</v>
      </c>
      <c r="G2084" s="13">
        <v>44496</v>
      </c>
      <c r="H2084" s="13">
        <v>44501</v>
      </c>
      <c r="I2084" s="22" t="str">
        <f>VLOOKUP(J2084, Dropdowns!N:O, 2, FALSE)</f>
        <v>Lower Price</v>
      </c>
      <c r="J2084" t="s">
        <v>759</v>
      </c>
      <c r="L2084" s="17" t="s">
        <v>732</v>
      </c>
      <c r="M2084" s="17" t="s">
        <v>736</v>
      </c>
      <c r="N2084" s="17" t="s">
        <v>736</v>
      </c>
    </row>
    <row r="2085" spans="1:17" x14ac:dyDescent="0.25">
      <c r="A2085" s="10">
        <v>982430</v>
      </c>
      <c r="B2085" s="22" t="str">
        <f>IFERROR(VLOOKUP(A2085,VLOOKUPS!$A$2:B$12589,2,FALSE),"")</f>
        <v>Plums 2lb-standard</v>
      </c>
      <c r="E2085">
        <v>1.99</v>
      </c>
      <c r="F2085">
        <v>3.98</v>
      </c>
      <c r="G2085" s="13">
        <v>44502</v>
      </c>
      <c r="H2085" s="13"/>
      <c r="I2085" s="22" t="str">
        <f>VLOOKUP(J2085, Dropdowns!N:O, 2, FALSE)</f>
        <v>Standard</v>
      </c>
      <c r="J2085" t="s">
        <v>760</v>
      </c>
      <c r="L2085" s="17" t="s">
        <v>732</v>
      </c>
      <c r="M2085" s="17" t="s">
        <v>736</v>
      </c>
      <c r="N2085" s="17" t="s">
        <v>736</v>
      </c>
    </row>
    <row r="2086" spans="1:17" x14ac:dyDescent="0.25">
      <c r="A2086" s="10">
        <v>984700</v>
      </c>
      <c r="B2086" s="22" t="str">
        <f>IFERROR(VLOOKUP(A2086,VLOOKUPS!$A$2:B$12589,2,FALSE),"")</f>
        <v>Blackberries 6oz-standard</v>
      </c>
      <c r="G2086" s="13">
        <v>44496</v>
      </c>
      <c r="H2086" s="13">
        <v>44502</v>
      </c>
      <c r="I2086" s="22" t="str">
        <f>VLOOKUP(J2086, Dropdowns!N:O, 2, FALSE)</f>
        <v>Lower Price</v>
      </c>
      <c r="J2086" t="s">
        <v>753</v>
      </c>
      <c r="L2086" s="17" t="s">
        <v>732</v>
      </c>
      <c r="M2086" s="17" t="s">
        <v>736</v>
      </c>
      <c r="N2086" s="17" t="s">
        <v>736</v>
      </c>
    </row>
    <row r="2087" spans="1:17" x14ac:dyDescent="0.25">
      <c r="A2087" s="10">
        <v>984620</v>
      </c>
      <c r="B2087" s="22" t="str">
        <f>IFERROR(VLOOKUP(A2087,VLOOKUPS!$A$2:B$12589,2,FALSE),"")</f>
        <v>Raspberries 6oz-standard</v>
      </c>
      <c r="E2087">
        <v>1.79</v>
      </c>
      <c r="F2087">
        <v>2.7</v>
      </c>
      <c r="G2087" s="13">
        <v>44496</v>
      </c>
      <c r="H2087" s="13"/>
      <c r="I2087" s="22" t="str">
        <f>VLOOKUP(J2087, Dropdowns!N:O, 2, FALSE)</f>
        <v>Standard</v>
      </c>
      <c r="J2087" t="s">
        <v>760</v>
      </c>
      <c r="L2087" s="17" t="s">
        <v>732</v>
      </c>
      <c r="M2087" s="17" t="s">
        <v>735</v>
      </c>
      <c r="N2087" s="17" t="s">
        <v>736</v>
      </c>
    </row>
    <row r="2088" spans="1:17" x14ac:dyDescent="0.25">
      <c r="A2088" s="10">
        <v>984620</v>
      </c>
      <c r="B2088" s="22" t="str">
        <f>IFERROR(VLOOKUP(A2088,VLOOKUPS!$A$2:B$12589,2,FALSE),"")</f>
        <v>Raspberries 6oz-standard</v>
      </c>
      <c r="G2088" s="13">
        <v>44496</v>
      </c>
      <c r="H2088" s="13">
        <v>44497</v>
      </c>
      <c r="I2088" s="22" t="str">
        <f>VLOOKUP(J2088, Dropdowns!N:O, 2, FALSE)</f>
        <v>Lower Price</v>
      </c>
      <c r="J2088" t="s">
        <v>762</v>
      </c>
      <c r="L2088" s="17" t="s">
        <v>733</v>
      </c>
      <c r="M2088" s="17" t="s">
        <v>11</v>
      </c>
      <c r="N2088" s="17" t="s">
        <v>740</v>
      </c>
    </row>
    <row r="2089" spans="1:17" x14ac:dyDescent="0.25">
      <c r="A2089" s="10">
        <v>984555</v>
      </c>
      <c r="B2089" s="22" t="str">
        <f>IFERROR(VLOOKUP(A2089,VLOOKUPS!$A$2:B$12589,2,FALSE),"")</f>
        <v>Blueberries 2lb-standard</v>
      </c>
      <c r="D2089">
        <v>12</v>
      </c>
      <c r="F2089">
        <v>6.99</v>
      </c>
      <c r="G2089" s="13">
        <v>44497</v>
      </c>
      <c r="H2089" s="13"/>
      <c r="I2089" s="22" t="str">
        <f>VLOOKUP(J2089, Dropdowns!N:O, 2, FALSE)</f>
        <v>New</v>
      </c>
      <c r="J2089" t="s">
        <v>776</v>
      </c>
      <c r="L2089" s="17" t="s">
        <v>732</v>
      </c>
      <c r="M2089" s="17" t="s">
        <v>736</v>
      </c>
      <c r="N2089" s="17" t="s">
        <v>736</v>
      </c>
      <c r="O2089" t="s">
        <v>748</v>
      </c>
      <c r="P2089">
        <v>1</v>
      </c>
      <c r="Q2089" s="17" t="s">
        <v>1044</v>
      </c>
    </row>
    <row r="2090" spans="1:17" x14ac:dyDescent="0.25">
      <c r="A2090" s="10">
        <v>984621</v>
      </c>
      <c r="B2090" s="22" t="str">
        <f>IFERROR(VLOOKUP(A2090,VLOOKUPS!$A$2:B$12589,2,FALSE),"")</f>
        <v>Raspberries 12oz-standard</v>
      </c>
      <c r="E2090">
        <v>5.18</v>
      </c>
      <c r="F2090">
        <v>3.99</v>
      </c>
      <c r="G2090" s="13">
        <v>44497</v>
      </c>
      <c r="H2090" s="13">
        <v>44498</v>
      </c>
      <c r="I2090" s="22" t="str">
        <f>VLOOKUP(J2090, Dropdowns!N:O, 2, FALSE)</f>
        <v>Lower Price</v>
      </c>
      <c r="J2090" t="s">
        <v>759</v>
      </c>
      <c r="L2090" s="17" t="s">
        <v>732</v>
      </c>
      <c r="M2090" s="17" t="s">
        <v>9</v>
      </c>
      <c r="N2090" s="17" t="s">
        <v>736</v>
      </c>
    </row>
    <row r="2091" spans="1:17" x14ac:dyDescent="0.25">
      <c r="A2091" s="10">
        <v>984621</v>
      </c>
      <c r="B2091" s="22" t="str">
        <f>IFERROR(VLOOKUP(A2091,VLOOKUPS!$A$2:B$12589,2,FALSE),"")</f>
        <v>Raspberries 12oz-standard</v>
      </c>
      <c r="E2091">
        <v>3.99</v>
      </c>
      <c r="F2091">
        <v>5.18</v>
      </c>
      <c r="G2091" s="13">
        <v>44499</v>
      </c>
      <c r="H2091" s="13"/>
      <c r="I2091" s="22" t="str">
        <f>VLOOKUP(J2091, Dropdowns!N:O, 2, FALSE)</f>
        <v>Standard</v>
      </c>
      <c r="J2091" t="s">
        <v>760</v>
      </c>
      <c r="L2091" s="17" t="s">
        <v>732</v>
      </c>
      <c r="M2091" s="17" t="s">
        <v>9</v>
      </c>
      <c r="N2091" s="17" t="s">
        <v>736</v>
      </c>
    </row>
    <row r="2092" spans="1:17" x14ac:dyDescent="0.25">
      <c r="A2092" s="10">
        <v>995004</v>
      </c>
      <c r="B2092" s="22" t="str">
        <f>IFERROR(VLOOKUP(A2092,VLOOKUPS!$A$2:B$12589,2,FALSE),"")</f>
        <v>Chicken Caesar Salad 6.25oz-standard</v>
      </c>
      <c r="E2092">
        <v>2.89</v>
      </c>
      <c r="F2092">
        <v>1.79</v>
      </c>
      <c r="G2092" s="13">
        <v>44497</v>
      </c>
      <c r="H2092" s="13">
        <v>44498</v>
      </c>
      <c r="I2092" s="22" t="str">
        <f>VLOOKUP(J2092, Dropdowns!N:O, 2, FALSE)</f>
        <v>Lower Price</v>
      </c>
      <c r="J2092" t="s">
        <v>759</v>
      </c>
      <c r="L2092" s="17" t="s">
        <v>733</v>
      </c>
      <c r="M2092" s="17" t="s">
        <v>11</v>
      </c>
      <c r="N2092" s="17" t="s">
        <v>740</v>
      </c>
    </row>
    <row r="2093" spans="1:17" x14ac:dyDescent="0.25">
      <c r="A2093" s="10">
        <v>995004</v>
      </c>
      <c r="B2093" s="22" t="str">
        <f>IFERROR(VLOOKUP(A2093,VLOOKUPS!$A$2:B$12589,2,FALSE),"")</f>
        <v>Chicken Caesar Salad 6.25oz-standard</v>
      </c>
      <c r="E2093">
        <v>1.79</v>
      </c>
      <c r="F2093">
        <v>2.89</v>
      </c>
      <c r="G2093" s="13">
        <v>44499</v>
      </c>
      <c r="H2093" s="13"/>
      <c r="I2093" s="22" t="str">
        <f>VLOOKUP(J2093, Dropdowns!N:O, 2, FALSE)</f>
        <v>Standard</v>
      </c>
      <c r="J2093" t="s">
        <v>760</v>
      </c>
      <c r="L2093" s="17" t="s">
        <v>733</v>
      </c>
      <c r="M2093" s="17" t="s">
        <v>11</v>
      </c>
      <c r="N2093" s="17" t="s">
        <v>740</v>
      </c>
    </row>
    <row r="2094" spans="1:17" x14ac:dyDescent="0.25">
      <c r="A2094" s="10">
        <v>995006</v>
      </c>
      <c r="B2094" s="22" t="str">
        <f>IFERROR(VLOOKUP(A2094,VLOOKUPS!$A$2:B$12589,2,FALSE),"")</f>
        <v>Italian Salad 9oz-standard</v>
      </c>
      <c r="E2094">
        <v>2.29</v>
      </c>
      <c r="F2094">
        <v>1.29</v>
      </c>
      <c r="G2094" s="13">
        <v>44497</v>
      </c>
      <c r="H2094" s="13">
        <v>44498</v>
      </c>
      <c r="I2094" s="22" t="str">
        <f>VLOOKUP(J2094, Dropdowns!N:O, 2, FALSE)</f>
        <v>Lower Price</v>
      </c>
      <c r="J2094" t="s">
        <v>759</v>
      </c>
      <c r="L2094" s="17" t="s">
        <v>733</v>
      </c>
      <c r="M2094" s="17" t="s">
        <v>9</v>
      </c>
      <c r="N2094" s="17" t="s">
        <v>740</v>
      </c>
    </row>
    <row r="2095" spans="1:17" x14ac:dyDescent="0.25">
      <c r="A2095" s="10">
        <v>995006</v>
      </c>
      <c r="B2095" s="22" t="str">
        <f>IFERROR(VLOOKUP(A2095,VLOOKUPS!$A$2:B$12589,2,FALSE),"")</f>
        <v>Italian Salad 9oz-standard</v>
      </c>
      <c r="E2095">
        <v>1.29</v>
      </c>
      <c r="F2095">
        <v>2.29</v>
      </c>
      <c r="G2095" s="13">
        <v>44499</v>
      </c>
      <c r="H2095" s="13"/>
      <c r="I2095" s="22" t="str">
        <f>VLOOKUP(J2095, Dropdowns!N:O, 2, FALSE)</f>
        <v>Standard</v>
      </c>
      <c r="J2095" t="s">
        <v>760</v>
      </c>
      <c r="L2095" s="17" t="s">
        <v>733</v>
      </c>
      <c r="M2095" s="17" t="s">
        <v>9</v>
      </c>
      <c r="N2095" s="17" t="s">
        <v>740</v>
      </c>
    </row>
    <row r="2096" spans="1:17" x14ac:dyDescent="0.25">
      <c r="A2096" s="10">
        <v>995051</v>
      </c>
      <c r="B2096" s="22" t="str">
        <f>IFERROR(VLOOKUP(A2096,VLOOKUPS!$A$2:B$12589,2,FALSE),"")</f>
        <v>Mild Fresh Chopped Salsa 16oz-standard</v>
      </c>
      <c r="E2096">
        <v>4.49</v>
      </c>
      <c r="F2096">
        <v>3.49</v>
      </c>
      <c r="G2096" s="13">
        <v>44497</v>
      </c>
      <c r="H2096" s="13">
        <v>44498</v>
      </c>
      <c r="I2096" s="22" t="str">
        <f>VLOOKUP(J2096, Dropdowns!N:O, 2, FALSE)</f>
        <v>Lower Price</v>
      </c>
      <c r="J2096" t="s">
        <v>759</v>
      </c>
      <c r="L2096" s="17" t="s">
        <v>732</v>
      </c>
      <c r="M2096" s="17" t="s">
        <v>9</v>
      </c>
      <c r="N2096" s="17" t="s">
        <v>736</v>
      </c>
    </row>
    <row r="2097" spans="1:14" x14ac:dyDescent="0.25">
      <c r="A2097" s="10">
        <v>995051</v>
      </c>
      <c r="B2097" s="22" t="str">
        <f>IFERROR(VLOOKUP(A2097,VLOOKUPS!$A$2:B$12589,2,FALSE),"")</f>
        <v>Mild Fresh Chopped Salsa 16oz-standard</v>
      </c>
      <c r="E2097">
        <v>3.49</v>
      </c>
      <c r="F2097">
        <v>4.49</v>
      </c>
      <c r="G2097" s="13">
        <v>44499</v>
      </c>
      <c r="H2097" s="13"/>
      <c r="I2097" s="22" t="str">
        <f>VLOOKUP(J2097, Dropdowns!N:O, 2, FALSE)</f>
        <v>Standard</v>
      </c>
      <c r="J2097" t="s">
        <v>760</v>
      </c>
      <c r="L2097" s="17" t="s">
        <v>732</v>
      </c>
      <c r="M2097" s="17" t="s">
        <v>9</v>
      </c>
      <c r="N2097" s="17" t="s">
        <v>736</v>
      </c>
    </row>
    <row r="2098" spans="1:14" x14ac:dyDescent="0.25">
      <c r="A2098" s="10">
        <v>995072</v>
      </c>
      <c r="B2098" s="22" t="str">
        <f>IFERROR(VLOOKUP(A2098,VLOOKUPS!$A$2:B$12589,2,FALSE),"")</f>
        <v>Broccoli Coleslaw 12oz-standard</v>
      </c>
      <c r="E2098">
        <v>1.99</v>
      </c>
      <c r="F2098">
        <v>1.29</v>
      </c>
      <c r="G2098" s="13">
        <v>44497</v>
      </c>
      <c r="H2098" s="13">
        <v>44498</v>
      </c>
      <c r="I2098" s="22" t="str">
        <f>VLOOKUP(J2098, Dropdowns!N:O, 2, FALSE)</f>
        <v>Lower Price</v>
      </c>
      <c r="J2098" t="s">
        <v>759</v>
      </c>
      <c r="L2098" s="17" t="s">
        <v>733</v>
      </c>
      <c r="M2098" s="17" t="s">
        <v>10</v>
      </c>
      <c r="N2098" s="17" t="s">
        <v>740</v>
      </c>
    </row>
    <row r="2099" spans="1:14" x14ac:dyDescent="0.25">
      <c r="A2099" s="10">
        <v>995072</v>
      </c>
      <c r="B2099" s="22" t="str">
        <f>IFERROR(VLOOKUP(A2099,VLOOKUPS!$A$2:B$12589,2,FALSE),"")</f>
        <v>Broccoli Coleslaw 12oz-standard</v>
      </c>
      <c r="E2099">
        <v>1.29</v>
      </c>
      <c r="F2099">
        <v>1.99</v>
      </c>
      <c r="G2099" s="13">
        <v>44499</v>
      </c>
      <c r="H2099" s="13"/>
      <c r="I2099" s="22" t="str">
        <f>VLOOKUP(J2099, Dropdowns!N:O, 2, FALSE)</f>
        <v>Standard</v>
      </c>
      <c r="J2099" t="s">
        <v>760</v>
      </c>
      <c r="L2099" s="17" t="s">
        <v>733</v>
      </c>
      <c r="M2099" s="17" t="s">
        <v>10</v>
      </c>
      <c r="N2099" s="17" t="s">
        <v>740</v>
      </c>
    </row>
    <row r="2100" spans="1:14" x14ac:dyDescent="0.25">
      <c r="A2100" s="10">
        <v>995076</v>
      </c>
      <c r="B2100" s="22" t="str">
        <f>IFERROR(VLOOKUP(A2100,VLOOKUPS!$A$2:B$12589,2,FALSE),"")</f>
        <v>Organic Power Greens 5oz-standard</v>
      </c>
      <c r="E2100">
        <v>2.4900000000000002</v>
      </c>
      <c r="F2100">
        <v>1.49</v>
      </c>
      <c r="G2100" s="13">
        <v>44497</v>
      </c>
      <c r="H2100" s="13">
        <v>44498</v>
      </c>
      <c r="I2100" s="22" t="str">
        <f>VLOOKUP(J2100, Dropdowns!N:O, 2, FALSE)</f>
        <v>Lower Price</v>
      </c>
      <c r="J2100" t="s">
        <v>759</v>
      </c>
      <c r="L2100" s="17" t="s">
        <v>733</v>
      </c>
      <c r="M2100" s="17" t="s">
        <v>11</v>
      </c>
      <c r="N2100" s="17" t="s">
        <v>740</v>
      </c>
    </row>
    <row r="2101" spans="1:14" x14ac:dyDescent="0.25">
      <c r="A2101" s="10">
        <v>995076</v>
      </c>
      <c r="B2101" s="22" t="str">
        <f>IFERROR(VLOOKUP(A2101,VLOOKUPS!$A$2:B$12589,2,FALSE),"")</f>
        <v>Organic Power Greens 5oz-standard</v>
      </c>
      <c r="E2101">
        <v>1.49</v>
      </c>
      <c r="F2101">
        <v>2.4900000000000002</v>
      </c>
      <c r="G2101" s="13">
        <v>44499</v>
      </c>
      <c r="H2101" s="13"/>
      <c r="I2101" s="22" t="str">
        <f>VLOOKUP(J2101, Dropdowns!N:O, 2, FALSE)</f>
        <v>Standard</v>
      </c>
      <c r="J2101" t="s">
        <v>760</v>
      </c>
      <c r="L2101" s="17" t="s">
        <v>733</v>
      </c>
      <c r="M2101" s="17" t="s">
        <v>11</v>
      </c>
      <c r="N2101" s="17" t="s">
        <v>740</v>
      </c>
    </row>
    <row r="2102" spans="1:14" x14ac:dyDescent="0.25">
      <c r="A2102" s="10">
        <v>995102</v>
      </c>
      <c r="B2102" s="22" t="str">
        <f>IFERROR(VLOOKUP(A2102,VLOOKUPS!$A$2:B$12589,2,FALSE),"")</f>
        <v>Cantaloupe Chunks 16oz-standard</v>
      </c>
      <c r="E2102">
        <v>3.49</v>
      </c>
      <c r="F2102">
        <v>1.99</v>
      </c>
      <c r="G2102" s="13">
        <v>44497</v>
      </c>
      <c r="H2102" s="13">
        <v>44498</v>
      </c>
      <c r="I2102" s="22" t="str">
        <f>VLOOKUP(J2102, Dropdowns!N:O, 2, FALSE)</f>
        <v>Lower Price</v>
      </c>
      <c r="J2102" t="s">
        <v>759</v>
      </c>
      <c r="L2102" s="17" t="s">
        <v>732</v>
      </c>
      <c r="M2102" s="17" t="s">
        <v>9</v>
      </c>
      <c r="N2102" s="17" t="s">
        <v>736</v>
      </c>
    </row>
    <row r="2103" spans="1:14" x14ac:dyDescent="0.25">
      <c r="A2103" s="10">
        <v>995102</v>
      </c>
      <c r="B2103" s="22" t="str">
        <f>IFERROR(VLOOKUP(A2103,VLOOKUPS!$A$2:B$12589,2,FALSE),"")</f>
        <v>Cantaloupe Chunks 16oz-standard</v>
      </c>
      <c r="E2103">
        <v>1.99</v>
      </c>
      <c r="F2103">
        <v>3.49</v>
      </c>
      <c r="G2103" s="13">
        <v>44499</v>
      </c>
      <c r="H2103" s="13"/>
      <c r="I2103" s="22" t="str">
        <f>VLOOKUP(J2103, Dropdowns!N:O, 2, FALSE)</f>
        <v>Standard</v>
      </c>
      <c r="J2103" t="s">
        <v>760</v>
      </c>
      <c r="L2103" s="17" t="s">
        <v>732</v>
      </c>
      <c r="M2103" s="17" t="s">
        <v>9</v>
      </c>
      <c r="N2103" s="17" t="s">
        <v>736</v>
      </c>
    </row>
    <row r="2104" spans="1:14" x14ac:dyDescent="0.25">
      <c r="A2104" s="10">
        <v>995137</v>
      </c>
      <c r="B2104" s="22" t="str">
        <f>IFERROR(VLOOKUP(A2104,VLOOKUPS!$A$2:B$12589,2,FALSE),"")</f>
        <v>Half and Half 11oz-standard</v>
      </c>
      <c r="E2104">
        <v>4.18</v>
      </c>
      <c r="F2104">
        <v>2.99</v>
      </c>
      <c r="G2104" s="13">
        <v>44497</v>
      </c>
      <c r="H2104" s="13">
        <v>44498</v>
      </c>
      <c r="I2104" s="22" t="str">
        <f>VLOOKUP(J2104, Dropdowns!N:O, 2, FALSE)</f>
        <v>Lower Price</v>
      </c>
      <c r="J2104" t="s">
        <v>759</v>
      </c>
      <c r="L2104" s="17" t="s">
        <v>733</v>
      </c>
      <c r="M2104" s="17" t="s">
        <v>11</v>
      </c>
      <c r="N2104" s="17" t="s">
        <v>740</v>
      </c>
    </row>
    <row r="2105" spans="1:14" x14ac:dyDescent="0.25">
      <c r="A2105" s="10">
        <v>995137</v>
      </c>
      <c r="B2105" s="22" t="str">
        <f>IFERROR(VLOOKUP(A2105,VLOOKUPS!$A$2:B$12589,2,FALSE),"")</f>
        <v>Half and Half 11oz-standard</v>
      </c>
      <c r="E2105">
        <v>2.99</v>
      </c>
      <c r="F2105">
        <v>4.18</v>
      </c>
      <c r="G2105" s="13">
        <v>44499</v>
      </c>
      <c r="H2105" s="13"/>
      <c r="I2105" s="22" t="str">
        <f>VLOOKUP(J2105, Dropdowns!N:O, 2, FALSE)</f>
        <v>Standard</v>
      </c>
      <c r="J2105" t="s">
        <v>760</v>
      </c>
      <c r="L2105" s="17" t="s">
        <v>733</v>
      </c>
      <c r="M2105" s="17" t="s">
        <v>11</v>
      </c>
      <c r="N2105" s="17" t="s">
        <v>740</v>
      </c>
    </row>
    <row r="2106" spans="1:14" x14ac:dyDescent="0.25">
      <c r="A2106" s="10">
        <v>995153</v>
      </c>
      <c r="B2106" s="22" t="str">
        <f>IFERROR(VLOOKUP(A2106,VLOOKUPS!$A$2:B$12589,2,FALSE),"")</f>
        <v>Sweet Apple Slices 14oz-standard</v>
      </c>
      <c r="E2106">
        <v>3.49</v>
      </c>
      <c r="F2106">
        <v>1.99</v>
      </c>
      <c r="G2106" s="13">
        <v>44497</v>
      </c>
      <c r="H2106" s="13">
        <v>44498</v>
      </c>
      <c r="I2106" s="22" t="str">
        <f>VLOOKUP(J2106, Dropdowns!N:O, 2, FALSE)</f>
        <v>Lower Price</v>
      </c>
      <c r="J2106" t="s">
        <v>759</v>
      </c>
      <c r="L2106" s="17" t="s">
        <v>732</v>
      </c>
      <c r="M2106" s="17" t="s">
        <v>737</v>
      </c>
      <c r="N2106" s="17" t="s">
        <v>736</v>
      </c>
    </row>
    <row r="2107" spans="1:14" x14ac:dyDescent="0.25">
      <c r="A2107" s="10">
        <v>995153</v>
      </c>
      <c r="B2107" s="22" t="str">
        <f>IFERROR(VLOOKUP(A2107,VLOOKUPS!$A$2:B$12589,2,FALSE),"")</f>
        <v>Sweet Apple Slices 14oz-standard</v>
      </c>
      <c r="E2107">
        <v>1.99</v>
      </c>
      <c r="F2107">
        <v>3.49</v>
      </c>
      <c r="G2107" s="13">
        <v>44499</v>
      </c>
      <c r="H2107" s="13"/>
      <c r="I2107" s="22" t="str">
        <f>VLOOKUP(J2107, Dropdowns!N:O, 2, FALSE)</f>
        <v>Standard</v>
      </c>
      <c r="J2107" t="s">
        <v>760</v>
      </c>
      <c r="L2107" s="17" t="s">
        <v>732</v>
      </c>
      <c r="M2107" s="17" t="s">
        <v>737</v>
      </c>
      <c r="N2107" s="17" t="s">
        <v>736</v>
      </c>
    </row>
    <row r="2108" spans="1:14" x14ac:dyDescent="0.25">
      <c r="A2108" s="10">
        <v>982740</v>
      </c>
      <c r="B2108" s="22" t="str">
        <f>IFERROR(VLOOKUP(A2108,VLOOKUPS!$A$2:B$12589,2,FALSE),"")</f>
        <v>Grapes* Red Seedless 1lb-LOOSE</v>
      </c>
      <c r="E2108">
        <v>1.44</v>
      </c>
      <c r="F2108">
        <v>1.29</v>
      </c>
      <c r="G2108" s="13">
        <v>44498</v>
      </c>
      <c r="H2108" s="13"/>
      <c r="I2108" s="22" t="str">
        <f>VLOOKUP(J2108, Dropdowns!N:O, 2, FALSE)</f>
        <v>Standard</v>
      </c>
      <c r="J2108" t="s">
        <v>761</v>
      </c>
      <c r="L2108" s="17" t="s">
        <v>732</v>
      </c>
      <c r="M2108" s="17" t="s">
        <v>736</v>
      </c>
      <c r="N2108" s="17" t="s">
        <v>736</v>
      </c>
    </row>
    <row r="2109" spans="1:14" x14ac:dyDescent="0.25">
      <c r="A2109" s="10">
        <v>984780</v>
      </c>
      <c r="B2109" s="22" t="str">
        <f>IFERROR(VLOOKUP(A2109,VLOOKUPS!$A$2:B$12589,2,FALSE),"")</f>
        <v>Cranberries 12oz-standard</v>
      </c>
      <c r="E2109">
        <v>1.98</v>
      </c>
      <c r="F2109">
        <v>1.49</v>
      </c>
      <c r="G2109" s="13">
        <v>44498</v>
      </c>
      <c r="H2109" s="13"/>
      <c r="I2109" s="22" t="str">
        <f>VLOOKUP(J2109, Dropdowns!N:O, 2, FALSE)</f>
        <v>Standard</v>
      </c>
      <c r="J2109" t="s">
        <v>761</v>
      </c>
      <c r="L2109" s="17" t="s">
        <v>732</v>
      </c>
      <c r="M2109" s="17" t="s">
        <v>736</v>
      </c>
      <c r="N2109" s="17" t="s">
        <v>736</v>
      </c>
    </row>
    <row r="2110" spans="1:14" x14ac:dyDescent="0.25">
      <c r="A2110" s="10">
        <v>985011</v>
      </c>
      <c r="B2110" s="22" t="str">
        <f>IFERROR(VLOOKUP(A2110,VLOOKUPS!$A$2:B$12589,2,FALSE),"")</f>
        <v>Lettuce Butter 1ct-standard</v>
      </c>
      <c r="E2110">
        <v>2.79</v>
      </c>
      <c r="F2110">
        <v>1.99</v>
      </c>
      <c r="G2110" s="13">
        <v>44498</v>
      </c>
      <c r="H2110" s="13">
        <v>44499</v>
      </c>
      <c r="I2110" s="22" t="str">
        <f>VLOOKUP(J2110, Dropdowns!N:O, 2, FALSE)</f>
        <v>Lower Price</v>
      </c>
      <c r="J2110" t="s">
        <v>759</v>
      </c>
      <c r="L2110" s="17" t="s">
        <v>732</v>
      </c>
      <c r="M2110" s="17" t="s">
        <v>9</v>
      </c>
      <c r="N2110" s="17" t="s">
        <v>736</v>
      </c>
    </row>
    <row r="2111" spans="1:14" x14ac:dyDescent="0.25">
      <c r="A2111" s="10">
        <v>985011</v>
      </c>
      <c r="B2111" s="22" t="str">
        <f>IFERROR(VLOOKUP(A2111,VLOOKUPS!$A$2:B$12589,2,FALSE),"")</f>
        <v>Lettuce Butter 1ct-standard</v>
      </c>
      <c r="E2111">
        <v>1.99</v>
      </c>
      <c r="F2111">
        <v>2.79</v>
      </c>
      <c r="G2111" s="13">
        <v>44500</v>
      </c>
      <c r="H2111" s="13"/>
      <c r="I2111" s="22" t="str">
        <f>VLOOKUP(J2111, Dropdowns!N:O, 2, FALSE)</f>
        <v>Standard</v>
      </c>
      <c r="J2111" t="s">
        <v>760</v>
      </c>
      <c r="L2111" s="17" t="s">
        <v>732</v>
      </c>
      <c r="M2111" s="17" t="s">
        <v>9</v>
      </c>
      <c r="N2111" s="17" t="s">
        <v>736</v>
      </c>
    </row>
    <row r="2112" spans="1:14" x14ac:dyDescent="0.25">
      <c r="A2112" s="10">
        <v>995008</v>
      </c>
      <c r="B2112" s="22" t="str">
        <f>IFERROR(VLOOKUP(A2112,VLOOKUPS!$A$2:B$12589,2,FALSE),"")</f>
        <v>Shredded Lettuce 8oz-standard</v>
      </c>
      <c r="E2112">
        <v>1.69</v>
      </c>
      <c r="F2112">
        <v>0.99</v>
      </c>
      <c r="G2112" s="13">
        <v>44498</v>
      </c>
      <c r="H2112" s="13">
        <v>44499</v>
      </c>
      <c r="I2112" s="22" t="str">
        <f>VLOOKUP(J2112, Dropdowns!N:O, 2, FALSE)</f>
        <v>Lower Price</v>
      </c>
      <c r="J2112" t="s">
        <v>759</v>
      </c>
      <c r="L2112" s="17" t="s">
        <v>732</v>
      </c>
      <c r="M2112" s="17" t="s">
        <v>9</v>
      </c>
      <c r="N2112" s="17" t="s">
        <v>736</v>
      </c>
    </row>
    <row r="2113" spans="1:17" x14ac:dyDescent="0.25">
      <c r="A2113" s="10">
        <v>995008</v>
      </c>
      <c r="B2113" s="22" t="str">
        <f>IFERROR(VLOOKUP(A2113,VLOOKUPS!$A$2:B$12589,2,FALSE),"")</f>
        <v>Shredded Lettuce 8oz-standard</v>
      </c>
      <c r="E2113">
        <v>0.99</v>
      </c>
      <c r="F2113">
        <v>1.69</v>
      </c>
      <c r="G2113" s="13">
        <v>44500</v>
      </c>
      <c r="H2113" s="13"/>
      <c r="I2113" s="22" t="str">
        <f>VLOOKUP(J2113, Dropdowns!N:O, 2, FALSE)</f>
        <v>Standard</v>
      </c>
      <c r="J2113" t="s">
        <v>760</v>
      </c>
      <c r="L2113" s="17" t="s">
        <v>732</v>
      </c>
      <c r="M2113" s="17" t="s">
        <v>9</v>
      </c>
      <c r="N2113" s="17" t="s">
        <v>736</v>
      </c>
    </row>
    <row r="2114" spans="1:17" x14ac:dyDescent="0.25">
      <c r="A2114" s="10">
        <v>995021</v>
      </c>
      <c r="B2114" s="22" t="str">
        <f>IFERROR(VLOOKUP(A2114,VLOOKUPS!$A$2:B$12589,2,FALSE),"")</f>
        <v>Chopped Bacon Caesar Kit 10.2oz-standard</v>
      </c>
      <c r="E2114">
        <v>3.49</v>
      </c>
      <c r="F2114">
        <v>2.4900000000000002</v>
      </c>
      <c r="G2114" s="13">
        <v>44498</v>
      </c>
      <c r="H2114" s="13">
        <v>44499</v>
      </c>
      <c r="I2114" s="22" t="str">
        <f>VLOOKUP(J2114, Dropdowns!N:O, 2, FALSE)</f>
        <v>Lower Price</v>
      </c>
      <c r="J2114" t="s">
        <v>759</v>
      </c>
      <c r="L2114" s="17" t="s">
        <v>732</v>
      </c>
      <c r="M2114" s="17" t="s">
        <v>9</v>
      </c>
      <c r="N2114" s="17" t="s">
        <v>736</v>
      </c>
    </row>
    <row r="2115" spans="1:17" x14ac:dyDescent="0.25">
      <c r="A2115" s="10">
        <v>995021</v>
      </c>
      <c r="B2115" s="22" t="str">
        <f>IFERROR(VLOOKUP(A2115,VLOOKUPS!$A$2:B$12589,2,FALSE),"")</f>
        <v>Chopped Bacon Caesar Kit 10.2oz-standard</v>
      </c>
      <c r="E2115">
        <v>2.4900000000000002</v>
      </c>
      <c r="F2115">
        <v>3.49</v>
      </c>
      <c r="G2115" s="13">
        <v>44500</v>
      </c>
      <c r="H2115" s="13"/>
      <c r="I2115" s="22" t="str">
        <f>VLOOKUP(J2115, Dropdowns!N:O, 2, FALSE)</f>
        <v>Standard</v>
      </c>
      <c r="J2115" t="s">
        <v>760</v>
      </c>
      <c r="L2115" s="17" t="s">
        <v>732</v>
      </c>
      <c r="M2115" s="17" t="s">
        <v>9</v>
      </c>
      <c r="N2115" s="17" t="s">
        <v>736</v>
      </c>
    </row>
    <row r="2116" spans="1:17" x14ac:dyDescent="0.25">
      <c r="A2116" s="10">
        <v>995041</v>
      </c>
      <c r="B2116" s="22" t="str">
        <f>IFERROR(VLOOKUP(A2116,VLOOKUPS!$A$2:B$12589,2,FALSE),"")</f>
        <v>Pineapple Spears 16oz-standard</v>
      </c>
      <c r="E2116">
        <v>3.49</v>
      </c>
      <c r="F2116">
        <v>1.99</v>
      </c>
      <c r="G2116" s="13">
        <v>44498</v>
      </c>
      <c r="H2116" s="13">
        <v>44498</v>
      </c>
      <c r="I2116" s="22" t="str">
        <f>VLOOKUP(J2116, Dropdowns!N:O, 2, FALSE)</f>
        <v>Lower Price</v>
      </c>
      <c r="J2116" t="s">
        <v>759</v>
      </c>
      <c r="L2116" s="17" t="s">
        <v>733</v>
      </c>
      <c r="M2116" s="17" t="s">
        <v>11</v>
      </c>
      <c r="N2116" s="17" t="s">
        <v>740</v>
      </c>
    </row>
    <row r="2117" spans="1:17" x14ac:dyDescent="0.25">
      <c r="A2117" s="10">
        <v>995041</v>
      </c>
      <c r="B2117" s="22" t="str">
        <f>IFERROR(VLOOKUP(A2117,VLOOKUPS!$A$2:B$12589,2,FALSE),"")</f>
        <v>Pineapple Spears 16oz-standard</v>
      </c>
      <c r="E2117">
        <v>1.99</v>
      </c>
      <c r="F2117">
        <v>3.49</v>
      </c>
      <c r="G2117" s="13">
        <v>44499</v>
      </c>
      <c r="H2117" s="13"/>
      <c r="I2117" s="22" t="str">
        <f>VLOOKUP(J2117, Dropdowns!N:O, 2, FALSE)</f>
        <v>Standard</v>
      </c>
      <c r="J2117" t="s">
        <v>760</v>
      </c>
      <c r="L2117" s="17" t="s">
        <v>733</v>
      </c>
      <c r="M2117" s="17" t="s">
        <v>11</v>
      </c>
      <c r="N2117" s="17" t="s">
        <v>740</v>
      </c>
    </row>
    <row r="2118" spans="1:17" x14ac:dyDescent="0.25">
      <c r="A2118" s="10">
        <v>995070</v>
      </c>
      <c r="B2118" s="22" t="str">
        <f>IFERROR(VLOOKUP(A2118,VLOOKUPS!$A$2:B$12589,2,FALSE),"")</f>
        <v>Organic Baby Spring Mix 5oz-standard</v>
      </c>
      <c r="E2118">
        <v>2.98</v>
      </c>
      <c r="F2118">
        <v>1.98</v>
      </c>
      <c r="G2118" s="13">
        <v>44498</v>
      </c>
      <c r="H2118" s="13">
        <v>44499</v>
      </c>
      <c r="I2118" s="22" t="str">
        <f>VLOOKUP(J2118, Dropdowns!N:O, 2, FALSE)</f>
        <v>Lower Price</v>
      </c>
      <c r="J2118" t="s">
        <v>759</v>
      </c>
      <c r="L2118" s="17" t="s">
        <v>733</v>
      </c>
      <c r="M2118" s="17" t="s">
        <v>11</v>
      </c>
      <c r="N2118" s="17" t="s">
        <v>740</v>
      </c>
    </row>
    <row r="2119" spans="1:17" x14ac:dyDescent="0.25">
      <c r="A2119" s="10">
        <v>995070</v>
      </c>
      <c r="B2119" s="22" t="str">
        <f>IFERROR(VLOOKUP(A2119,VLOOKUPS!$A$2:B$12589,2,FALSE),"")</f>
        <v>Organic Baby Spring Mix 5oz-standard</v>
      </c>
      <c r="E2119">
        <v>1.98</v>
      </c>
      <c r="F2119">
        <v>2.98</v>
      </c>
      <c r="G2119" s="13">
        <v>44500</v>
      </c>
      <c r="H2119" s="13"/>
      <c r="I2119" s="22" t="str">
        <f>VLOOKUP(J2119, Dropdowns!N:O, 2, FALSE)</f>
        <v>Standard</v>
      </c>
      <c r="J2119" t="s">
        <v>760</v>
      </c>
      <c r="L2119" s="17" t="s">
        <v>733</v>
      </c>
      <c r="M2119" s="17" t="s">
        <v>11</v>
      </c>
      <c r="N2119" s="17" t="s">
        <v>740</v>
      </c>
    </row>
    <row r="2120" spans="1:17" x14ac:dyDescent="0.25">
      <c r="A2120" s="10">
        <v>995100</v>
      </c>
      <c r="B2120" s="22" t="str">
        <f>IFERROR(VLOOKUP(A2120,VLOOKUPS!$A$2:B$12589,2,FALSE),"")</f>
        <v>Asian Chopped Salad Kit 12oz-standard</v>
      </c>
      <c r="E2120">
        <v>3.49</v>
      </c>
      <c r="F2120">
        <v>2.4900000000000002</v>
      </c>
      <c r="G2120" s="13">
        <v>44498</v>
      </c>
      <c r="H2120" s="13">
        <v>44499</v>
      </c>
      <c r="I2120" s="22" t="str">
        <f>VLOOKUP(J2120, Dropdowns!N:O, 2, FALSE)</f>
        <v>Lower Price</v>
      </c>
      <c r="J2120" t="s">
        <v>759</v>
      </c>
      <c r="L2120" s="17" t="s">
        <v>732</v>
      </c>
      <c r="M2120" s="17" t="s">
        <v>9</v>
      </c>
      <c r="N2120" s="17" t="s">
        <v>736</v>
      </c>
    </row>
    <row r="2121" spans="1:17" x14ac:dyDescent="0.25">
      <c r="A2121" s="10">
        <v>995100</v>
      </c>
      <c r="B2121" s="22" t="str">
        <f>IFERROR(VLOOKUP(A2121,VLOOKUPS!$A$2:B$12589,2,FALSE),"")</f>
        <v>Asian Chopped Salad Kit 12oz-standard</v>
      </c>
      <c r="E2121">
        <v>2.4900000000000002</v>
      </c>
      <c r="F2121">
        <v>3.49</v>
      </c>
      <c r="G2121" s="13">
        <v>44500</v>
      </c>
      <c r="H2121" s="13"/>
      <c r="I2121" s="22" t="str">
        <f>VLOOKUP(J2121, Dropdowns!N:O, 2, FALSE)</f>
        <v>Standard</v>
      </c>
      <c r="J2121" t="s">
        <v>760</v>
      </c>
      <c r="L2121" s="17" t="s">
        <v>732</v>
      </c>
      <c r="M2121" s="17" t="s">
        <v>9</v>
      </c>
      <c r="N2121" s="17" t="s">
        <v>736</v>
      </c>
    </row>
    <row r="2122" spans="1:17" x14ac:dyDescent="0.25">
      <c r="A2122" s="10">
        <v>995115</v>
      </c>
      <c r="B2122" s="22" t="str">
        <f>IFERROR(VLOOKUP(A2122,VLOOKUPS!$A$2:B$12589,2,FALSE),"")</f>
        <v>Pineapple Chunks 10oz-standard</v>
      </c>
      <c r="E2122">
        <v>2.39</v>
      </c>
      <c r="F2122">
        <v>1.19</v>
      </c>
      <c r="G2122" s="13">
        <v>44498</v>
      </c>
      <c r="H2122" s="13">
        <v>44498</v>
      </c>
      <c r="I2122" s="22" t="str">
        <f>VLOOKUP(J2122, Dropdowns!N:O, 2, FALSE)</f>
        <v>Lower Price</v>
      </c>
      <c r="J2122" t="s">
        <v>759</v>
      </c>
      <c r="L2122" s="17" t="s">
        <v>732</v>
      </c>
      <c r="M2122" s="17" t="s">
        <v>9</v>
      </c>
      <c r="N2122" s="17" t="s">
        <v>736</v>
      </c>
    </row>
    <row r="2123" spans="1:17" x14ac:dyDescent="0.25">
      <c r="A2123" s="10">
        <v>995115</v>
      </c>
      <c r="B2123" s="22" t="str">
        <f>IFERROR(VLOOKUP(A2123,VLOOKUPS!$A$2:B$12589,2,FALSE),"")</f>
        <v>Pineapple Chunks 10oz-standard</v>
      </c>
      <c r="E2123">
        <v>1.19</v>
      </c>
      <c r="F2123">
        <v>2.39</v>
      </c>
      <c r="G2123" s="13">
        <v>44499</v>
      </c>
      <c r="H2123" s="13"/>
      <c r="I2123" s="22" t="str">
        <f>VLOOKUP(J2123, Dropdowns!N:O, 2, FALSE)</f>
        <v>Standard</v>
      </c>
      <c r="J2123" t="s">
        <v>760</v>
      </c>
      <c r="L2123" s="17" t="s">
        <v>732</v>
      </c>
      <c r="M2123" s="17" t="s">
        <v>9</v>
      </c>
      <c r="N2123" s="17" t="s">
        <v>736</v>
      </c>
    </row>
    <row r="2124" spans="1:17" x14ac:dyDescent="0.25">
      <c r="A2124" s="10">
        <v>995142</v>
      </c>
      <c r="B2124" s="22" t="str">
        <f>IFERROR(VLOOKUP(A2124,VLOOKUPS!$A$2:B$12589,2,FALSE),"")</f>
        <v>Mango Pico De Gallo 16oz-standard</v>
      </c>
      <c r="E2124">
        <v>4.49</v>
      </c>
      <c r="G2124" s="13">
        <v>44498</v>
      </c>
      <c r="H2124" s="13"/>
      <c r="I2124" s="22" t="str">
        <f>VLOOKUP(J2124, Dropdowns!N:O, 2, FALSE)</f>
        <v>NA</v>
      </c>
      <c r="J2124" t="s">
        <v>754</v>
      </c>
      <c r="L2124" s="17" t="s">
        <v>732</v>
      </c>
      <c r="M2124" s="17" t="s">
        <v>736</v>
      </c>
      <c r="N2124" s="17" t="s">
        <v>736</v>
      </c>
    </row>
    <row r="2125" spans="1:17" x14ac:dyDescent="0.25">
      <c r="A2125" s="10">
        <v>983106</v>
      </c>
      <c r="B2125" s="22" t="str">
        <f>IFERROR(VLOOKUP(A2125,VLOOKUPS!$A$2:B$12589,2,FALSE),"")</f>
        <v>Melons Golden Hami 1ct-loose</v>
      </c>
      <c r="E2125">
        <v>4.79</v>
      </c>
      <c r="G2125" s="13">
        <v>44498</v>
      </c>
      <c r="H2125" s="13"/>
      <c r="I2125" s="22" t="str">
        <f>VLOOKUP(J2125, Dropdowns!N:O, 2, FALSE)</f>
        <v>NA</v>
      </c>
      <c r="J2125" t="s">
        <v>754</v>
      </c>
      <c r="L2125" s="17" t="s">
        <v>732</v>
      </c>
      <c r="M2125" s="17" t="s">
        <v>736</v>
      </c>
      <c r="N2125" s="17" t="s">
        <v>736</v>
      </c>
    </row>
    <row r="2126" spans="1:17" x14ac:dyDescent="0.25">
      <c r="A2126" s="10">
        <v>995147</v>
      </c>
      <c r="B2126" s="22" t="str">
        <f>IFERROR(VLOOKUP(A2126,VLOOKUPS!$A$2:B$12589,2,FALSE),"")</f>
        <v>Celery Sticks 1.25lb-standard</v>
      </c>
      <c r="E2126">
        <v>2.74</v>
      </c>
      <c r="F2126">
        <v>1.74</v>
      </c>
      <c r="G2126" s="13">
        <v>44498</v>
      </c>
      <c r="H2126" s="13">
        <v>44499</v>
      </c>
      <c r="I2126" s="22" t="str">
        <f>VLOOKUP(J2126, Dropdowns!N:O, 2, FALSE)</f>
        <v>Lower Price</v>
      </c>
      <c r="J2126" t="s">
        <v>759</v>
      </c>
      <c r="L2126" s="17" t="s">
        <v>732</v>
      </c>
      <c r="M2126" s="17" t="s">
        <v>735</v>
      </c>
      <c r="N2126" s="17" t="s">
        <v>736</v>
      </c>
    </row>
    <row r="2127" spans="1:17" x14ac:dyDescent="0.25">
      <c r="A2127" s="10">
        <v>995147</v>
      </c>
      <c r="B2127" s="22" t="str">
        <f>IFERROR(VLOOKUP(A2127,VLOOKUPS!$A$2:B$12589,2,FALSE),"")</f>
        <v>Celery Sticks 1.25lb-standard</v>
      </c>
      <c r="E2127">
        <v>1.74</v>
      </c>
      <c r="F2127">
        <v>2.74</v>
      </c>
      <c r="G2127" s="13">
        <v>44500</v>
      </c>
      <c r="H2127" s="13"/>
      <c r="I2127" s="22" t="str">
        <f>VLOOKUP(J2127, Dropdowns!N:O, 2, FALSE)</f>
        <v>Standard</v>
      </c>
      <c r="J2127" t="s">
        <v>760</v>
      </c>
      <c r="L2127" s="17" t="s">
        <v>732</v>
      </c>
      <c r="M2127" s="17" t="s">
        <v>735</v>
      </c>
      <c r="N2127" s="17" t="s">
        <v>736</v>
      </c>
    </row>
    <row r="2128" spans="1:17" x14ac:dyDescent="0.25">
      <c r="A2128" s="10">
        <v>995159</v>
      </c>
      <c r="B2128" s="22" t="str">
        <f>IFERROR(VLOOKUP(A2128,VLOOKUPS!$A$2:B$12589,2,FALSE),"")</f>
        <v>Aparagus &amp; Mushrooms 12oz-standard</v>
      </c>
      <c r="D2128">
        <v>6</v>
      </c>
      <c r="F2128">
        <v>4.99</v>
      </c>
      <c r="G2128" s="13">
        <v>44498</v>
      </c>
      <c r="H2128" s="13"/>
      <c r="I2128" s="22" t="str">
        <f>VLOOKUP(J2128, Dropdowns!N:O, 2, FALSE)</f>
        <v>New</v>
      </c>
      <c r="J2128" t="s">
        <v>776</v>
      </c>
      <c r="L2128" s="17" t="s">
        <v>732</v>
      </c>
      <c r="M2128" s="17" t="s">
        <v>736</v>
      </c>
      <c r="N2128" s="17" t="s">
        <v>736</v>
      </c>
      <c r="O2128" s="17" t="s">
        <v>748</v>
      </c>
      <c r="P2128">
        <v>1</v>
      </c>
      <c r="Q2128" s="17" t="s">
        <v>1044</v>
      </c>
    </row>
    <row r="2129" spans="1:17" x14ac:dyDescent="0.25">
      <c r="A2129" s="10">
        <v>995161</v>
      </c>
      <c r="B2129" s="22" t="str">
        <f>IFERROR(VLOOKUP(A2129,VLOOKUPS!$A$2:B$12589,2,FALSE),"")</f>
        <v/>
      </c>
      <c r="D2129">
        <v>6</v>
      </c>
      <c r="F2129">
        <v>3.79</v>
      </c>
      <c r="G2129" s="13">
        <v>44498</v>
      </c>
      <c r="H2129" s="13"/>
      <c r="I2129" s="22" t="str">
        <f>VLOOKUP(J2129, Dropdowns!N:O, 2, FALSE)</f>
        <v>New</v>
      </c>
      <c r="J2129" t="s">
        <v>776</v>
      </c>
      <c r="L2129" s="17" t="s">
        <v>732</v>
      </c>
      <c r="M2129" s="17" t="s">
        <v>736</v>
      </c>
      <c r="N2129" s="17" t="s">
        <v>736</v>
      </c>
      <c r="O2129" s="17" t="s">
        <v>748</v>
      </c>
      <c r="P2129">
        <v>1</v>
      </c>
      <c r="Q2129" s="17" t="s">
        <v>1044</v>
      </c>
    </row>
    <row r="2130" spans="1:17" x14ac:dyDescent="0.25">
      <c r="A2130" s="10">
        <v>981186</v>
      </c>
      <c r="B2130" s="22" t="str">
        <f>IFERROR(VLOOKUP(A2130,VLOOKUPS!$A$2:B$12589,2,FALSE),"")</f>
        <v>Apples Golden Delicious 5lb-standard</v>
      </c>
      <c r="E2130">
        <v>4.99</v>
      </c>
      <c r="F2130">
        <v>3.49</v>
      </c>
      <c r="G2130" s="13">
        <v>44498</v>
      </c>
      <c r="H2130" s="13">
        <v>44499</v>
      </c>
      <c r="I2130" s="22" t="str">
        <f>VLOOKUP(J2130, Dropdowns!N:O, 2, FALSE)</f>
        <v>Lower Price</v>
      </c>
      <c r="J2130" t="s">
        <v>759</v>
      </c>
      <c r="L2130" s="17" t="s">
        <v>732</v>
      </c>
      <c r="M2130" s="17" t="s">
        <v>9</v>
      </c>
      <c r="N2130" s="17" t="s">
        <v>736</v>
      </c>
    </row>
    <row r="2131" spans="1:17" x14ac:dyDescent="0.25">
      <c r="A2131" s="10">
        <v>981186</v>
      </c>
      <c r="B2131" s="22" t="str">
        <f>IFERROR(VLOOKUP(A2131,VLOOKUPS!$A$2:B$12589,2,FALSE),"")</f>
        <v>Apples Golden Delicious 5lb-standard</v>
      </c>
      <c r="E2131">
        <v>3.49</v>
      </c>
      <c r="F2131">
        <v>4.99</v>
      </c>
      <c r="G2131" s="13">
        <v>44500</v>
      </c>
      <c r="H2131" s="13"/>
      <c r="I2131" s="22" t="str">
        <f>VLOOKUP(J2131, Dropdowns!N:O, 2, FALSE)</f>
        <v>Standard</v>
      </c>
      <c r="J2131" t="s">
        <v>760</v>
      </c>
      <c r="L2131" s="17" t="s">
        <v>732</v>
      </c>
      <c r="M2131" s="17" t="s">
        <v>9</v>
      </c>
      <c r="N2131" s="17" t="s">
        <v>736</v>
      </c>
    </row>
    <row r="2132" spans="1:17" x14ac:dyDescent="0.25">
      <c r="A2132" s="10">
        <v>984620</v>
      </c>
      <c r="B2132" s="22" t="str">
        <f>IFERROR(VLOOKUP(A2132,VLOOKUPS!$A$2:B$12589,2,FALSE),"")</f>
        <v>Raspberries 6oz-standard</v>
      </c>
      <c r="E2132">
        <v>1.79</v>
      </c>
      <c r="F2132">
        <v>2.7</v>
      </c>
      <c r="G2132" s="13">
        <v>44498</v>
      </c>
      <c r="H2132" s="13"/>
      <c r="I2132" s="22" t="str">
        <f>VLOOKUP(J2132, Dropdowns!N:O, 2, FALSE)</f>
        <v>Standard</v>
      </c>
      <c r="J2132" t="s">
        <v>760</v>
      </c>
      <c r="L2132" s="17" t="s">
        <v>733</v>
      </c>
      <c r="M2132" s="17" t="s">
        <v>11</v>
      </c>
      <c r="N2132" s="17" t="s">
        <v>740</v>
      </c>
    </row>
    <row r="2133" spans="1:17" x14ac:dyDescent="0.25">
      <c r="A2133" s="10">
        <v>984620</v>
      </c>
      <c r="B2133" s="22" t="str">
        <f>IFERROR(VLOOKUP(A2133,VLOOKUPS!$A$2:B$12589,2,FALSE),"")</f>
        <v>Raspberries 6oz-standard</v>
      </c>
      <c r="E2133">
        <v>2.7</v>
      </c>
      <c r="F2133">
        <v>2.84</v>
      </c>
      <c r="G2133" s="13">
        <v>44498</v>
      </c>
      <c r="H2133" s="13"/>
      <c r="I2133" s="22" t="str">
        <f>VLOOKUP(J2133, Dropdowns!N:O, 2, FALSE)</f>
        <v>Standard</v>
      </c>
      <c r="J2133" t="s">
        <v>761</v>
      </c>
      <c r="L2133" s="17" t="s">
        <v>732</v>
      </c>
      <c r="M2133" s="17" t="s">
        <v>735</v>
      </c>
      <c r="N2133" s="17" t="s">
        <v>736</v>
      </c>
    </row>
    <row r="2134" spans="1:17" x14ac:dyDescent="0.25">
      <c r="A2134" s="10">
        <v>984620</v>
      </c>
      <c r="B2134" s="22" t="str">
        <f>IFERROR(VLOOKUP(A2134,VLOOKUPS!$A$2:B$12589,2,FALSE),"")</f>
        <v>Raspberries 6oz-standard</v>
      </c>
      <c r="E2134">
        <v>2.7</v>
      </c>
      <c r="F2134">
        <v>2.84</v>
      </c>
      <c r="G2134" s="13">
        <v>44499</v>
      </c>
      <c r="H2134" s="13"/>
      <c r="I2134" s="22" t="str">
        <f>VLOOKUP(J2134, Dropdowns!N:O, 2, FALSE)</f>
        <v>Standard</v>
      </c>
      <c r="J2134" t="s">
        <v>761</v>
      </c>
      <c r="L2134" s="17" t="s">
        <v>733</v>
      </c>
      <c r="M2134" s="17" t="s">
        <v>11</v>
      </c>
      <c r="N2134" s="17" t="s">
        <v>740</v>
      </c>
    </row>
    <row r="2135" spans="1:17" x14ac:dyDescent="0.25">
      <c r="A2135" s="10">
        <v>984460</v>
      </c>
      <c r="B2135" s="22" t="str">
        <f>IFERROR(VLOOKUP(A2135,VLOOKUPS!$A$2:B$12589,2,FALSE),"")</f>
        <v>Strawberries 1lb-standard</v>
      </c>
      <c r="E2135">
        <v>2.5</v>
      </c>
      <c r="F2135">
        <v>1.9</v>
      </c>
      <c r="G2135" s="13">
        <v>44499</v>
      </c>
      <c r="H2135" s="13">
        <v>44499</v>
      </c>
      <c r="I2135" s="22" t="str">
        <f>VLOOKUP(J2135, Dropdowns!N:O, 2, FALSE)</f>
        <v>Lower Price</v>
      </c>
      <c r="J2135" t="s">
        <v>759</v>
      </c>
      <c r="L2135" s="17" t="s">
        <v>732</v>
      </c>
      <c r="M2135" s="17" t="s">
        <v>10</v>
      </c>
      <c r="N2135" s="17">
        <v>2</v>
      </c>
    </row>
    <row r="2136" spans="1:17" x14ac:dyDescent="0.25">
      <c r="A2136" s="10">
        <v>984460</v>
      </c>
      <c r="B2136" s="22" t="str">
        <f>IFERROR(VLOOKUP(A2136,VLOOKUPS!$A$2:B$12589,2,FALSE),"")</f>
        <v>Strawberries 1lb-standard</v>
      </c>
      <c r="E2136">
        <v>1.9</v>
      </c>
      <c r="F2136">
        <v>2.5</v>
      </c>
      <c r="G2136" s="13">
        <v>44500</v>
      </c>
      <c r="H2136" s="13"/>
      <c r="I2136" s="22" t="str">
        <f>VLOOKUP(J2136, Dropdowns!N:O, 2, FALSE)</f>
        <v>Standard</v>
      </c>
      <c r="J2136" t="s">
        <v>760</v>
      </c>
      <c r="L2136" s="17" t="s">
        <v>732</v>
      </c>
      <c r="M2136" s="17" t="s">
        <v>10</v>
      </c>
      <c r="N2136" s="17">
        <v>2</v>
      </c>
    </row>
    <row r="2137" spans="1:17" x14ac:dyDescent="0.25">
      <c r="A2137" s="10">
        <v>984582</v>
      </c>
      <c r="B2137" s="22" t="str">
        <f>IFERROR(VLOOKUP(A2137,VLOOKUPS!$A$2:B$12589,2,FALSE),"")</f>
        <v>Organic Blueberries 1pt-standard</v>
      </c>
      <c r="E2137">
        <v>4.59</v>
      </c>
      <c r="F2137">
        <v>2.99</v>
      </c>
      <c r="G2137" s="13">
        <v>44499</v>
      </c>
      <c r="H2137" s="13">
        <v>44500</v>
      </c>
      <c r="I2137" s="22" t="str">
        <f>VLOOKUP(J2137, Dropdowns!N:O, 2, FALSE)</f>
        <v>Lower Price</v>
      </c>
      <c r="J2137" t="s">
        <v>759</v>
      </c>
      <c r="L2137" s="17" t="s">
        <v>733</v>
      </c>
      <c r="M2137" s="17" t="s">
        <v>11</v>
      </c>
      <c r="N2137" s="17" t="s">
        <v>740</v>
      </c>
    </row>
    <row r="2138" spans="1:17" x14ac:dyDescent="0.25">
      <c r="A2138" s="10">
        <v>984582</v>
      </c>
      <c r="B2138" s="22" t="str">
        <f>IFERROR(VLOOKUP(A2138,VLOOKUPS!$A$2:B$12589,2,FALSE),"")</f>
        <v>Organic Blueberries 1pt-standard</v>
      </c>
      <c r="E2138">
        <v>2.99</v>
      </c>
      <c r="F2138">
        <v>4.59</v>
      </c>
      <c r="G2138" s="13">
        <v>44501</v>
      </c>
      <c r="H2138" s="13"/>
      <c r="I2138" s="22" t="str">
        <f>VLOOKUP(J2138, Dropdowns!N:O, 2, FALSE)</f>
        <v>Standard</v>
      </c>
      <c r="J2138" t="s">
        <v>760</v>
      </c>
      <c r="L2138" s="17" t="s">
        <v>733</v>
      </c>
      <c r="M2138" s="17" t="s">
        <v>11</v>
      </c>
      <c r="N2138" s="17" t="s">
        <v>740</v>
      </c>
    </row>
    <row r="2139" spans="1:17" x14ac:dyDescent="0.25">
      <c r="A2139" s="10">
        <v>984621</v>
      </c>
      <c r="B2139" s="22" t="str">
        <f>IFERROR(VLOOKUP(A2139,VLOOKUPS!$A$2:B$12589,2,FALSE),"")</f>
        <v>Raspberries 12oz-standard</v>
      </c>
      <c r="E2139">
        <v>5.18</v>
      </c>
      <c r="F2139">
        <v>4.29</v>
      </c>
      <c r="G2139" s="13">
        <v>44499</v>
      </c>
      <c r="H2139" s="13">
        <v>44500</v>
      </c>
      <c r="I2139" s="22" t="str">
        <f>VLOOKUP(J2139, Dropdowns!N:O, 2, FALSE)</f>
        <v>Lower Price</v>
      </c>
      <c r="J2139" t="s">
        <v>759</v>
      </c>
      <c r="L2139" s="17" t="s">
        <v>733</v>
      </c>
      <c r="M2139" s="17" t="s">
        <v>11</v>
      </c>
      <c r="N2139" s="17" t="s">
        <v>740</v>
      </c>
    </row>
    <row r="2140" spans="1:17" x14ac:dyDescent="0.25">
      <c r="A2140" s="10">
        <v>984621</v>
      </c>
      <c r="B2140" s="22" t="str">
        <f>IFERROR(VLOOKUP(A2140,VLOOKUPS!$A$2:B$12589,2,FALSE),"")</f>
        <v>Raspberries 12oz-standard</v>
      </c>
      <c r="E2140">
        <v>4.29</v>
      </c>
      <c r="F2140">
        <v>5.18</v>
      </c>
      <c r="G2140" s="13">
        <v>44501</v>
      </c>
      <c r="H2140" s="13"/>
      <c r="I2140" s="22" t="str">
        <f>VLOOKUP(J2140, Dropdowns!N:O, 2, FALSE)</f>
        <v>Standard</v>
      </c>
      <c r="J2140" t="s">
        <v>760</v>
      </c>
      <c r="L2140" s="17" t="s">
        <v>733</v>
      </c>
      <c r="M2140" s="17" t="s">
        <v>11</v>
      </c>
      <c r="N2140" s="17" t="s">
        <v>740</v>
      </c>
    </row>
    <row r="2141" spans="1:17" x14ac:dyDescent="0.25">
      <c r="A2141" s="10">
        <v>985760</v>
      </c>
      <c r="B2141" s="22" t="str">
        <f>IFERROR(VLOOKUP(A2141,VLOOKUPS!$A$2:B$12589,2,FALSE),"")</f>
        <v>Asparagus 1lb-standard</v>
      </c>
      <c r="G2141" s="13">
        <v>44499</v>
      </c>
      <c r="H2141" s="13">
        <v>44500</v>
      </c>
      <c r="I2141" s="22" t="str">
        <f>VLOOKUP(J2141, Dropdowns!N:O, 2, FALSE)</f>
        <v>Lower Price</v>
      </c>
      <c r="J2141" t="s">
        <v>753</v>
      </c>
      <c r="L2141" s="17" t="s">
        <v>732</v>
      </c>
      <c r="M2141" s="17" t="s">
        <v>736</v>
      </c>
      <c r="N2141" s="17" t="s">
        <v>736</v>
      </c>
    </row>
    <row r="2142" spans="1:17" x14ac:dyDescent="0.25">
      <c r="A2142" s="10">
        <v>985760</v>
      </c>
      <c r="B2142" s="22" t="str">
        <f>IFERROR(VLOOKUP(A2142,VLOOKUPS!$A$2:B$12589,2,FALSE),"")</f>
        <v>Asparagus 1lb-standard</v>
      </c>
      <c r="E2142">
        <v>1.99</v>
      </c>
      <c r="F2142">
        <v>2.99</v>
      </c>
      <c r="G2142" s="13">
        <v>44501</v>
      </c>
      <c r="H2142" s="13"/>
      <c r="I2142" s="22" t="str">
        <f>VLOOKUP(J2142, Dropdowns!N:O, 2, FALSE)</f>
        <v>Standard</v>
      </c>
      <c r="J2142" t="s">
        <v>760</v>
      </c>
      <c r="L2142" s="17" t="s">
        <v>732</v>
      </c>
      <c r="M2142" s="17" t="s">
        <v>736</v>
      </c>
      <c r="N2142" s="17" t="s">
        <v>736</v>
      </c>
    </row>
    <row r="2143" spans="1:17" x14ac:dyDescent="0.25">
      <c r="A2143" s="10">
        <v>986340</v>
      </c>
      <c r="B2143" s="22" t="str">
        <f>IFERROR(VLOOKUP(A2143,VLOOKUPS!$A$2:B$12589,2,FALSE),"")</f>
        <v>Mirepoix 16oz-standard</v>
      </c>
      <c r="E2143">
        <v>2.99</v>
      </c>
      <c r="F2143">
        <v>1.79</v>
      </c>
      <c r="G2143" s="13">
        <v>44499</v>
      </c>
      <c r="H2143" s="13">
        <v>44500</v>
      </c>
      <c r="I2143" s="22" t="str">
        <f>VLOOKUP(J2143, Dropdowns!N:O, 2, FALSE)</f>
        <v>Lower Price</v>
      </c>
      <c r="J2143" t="s">
        <v>759</v>
      </c>
      <c r="L2143" s="17" t="s">
        <v>733</v>
      </c>
      <c r="M2143" s="17" t="s">
        <v>11</v>
      </c>
      <c r="N2143" s="17" t="s">
        <v>740</v>
      </c>
    </row>
    <row r="2144" spans="1:17" x14ac:dyDescent="0.25">
      <c r="A2144" s="10">
        <v>986340</v>
      </c>
      <c r="B2144" s="22" t="str">
        <f>IFERROR(VLOOKUP(A2144,VLOOKUPS!$A$2:B$12589,2,FALSE),"")</f>
        <v>Mirepoix 16oz-standard</v>
      </c>
      <c r="E2144">
        <v>1.79</v>
      </c>
      <c r="F2144">
        <v>2.99</v>
      </c>
      <c r="G2144" s="13">
        <v>44501</v>
      </c>
      <c r="H2144" s="13"/>
      <c r="I2144" s="22" t="str">
        <f>VLOOKUP(J2144, Dropdowns!N:O, 2, FALSE)</f>
        <v>Standard</v>
      </c>
      <c r="J2144" t="s">
        <v>760</v>
      </c>
      <c r="L2144" s="17" t="s">
        <v>733</v>
      </c>
      <c r="M2144" s="17" t="s">
        <v>11</v>
      </c>
      <c r="N2144" s="17" t="s">
        <v>740</v>
      </c>
    </row>
    <row r="2145" spans="1:14" x14ac:dyDescent="0.25">
      <c r="A2145" s="10">
        <v>995009</v>
      </c>
      <c r="B2145" s="22" t="str">
        <f>IFERROR(VLOOKUP(A2145,VLOOKUPS!$A$2:B$12589,2,FALSE),"")</f>
        <v>Classic Coleslaw 14oz-standard</v>
      </c>
      <c r="E2145">
        <v>1.59</v>
      </c>
      <c r="F2145">
        <v>1.59</v>
      </c>
      <c r="G2145" s="13">
        <v>44502</v>
      </c>
      <c r="H2145" s="13"/>
      <c r="I2145" s="22" t="str">
        <f>VLOOKUP(J2145, Dropdowns!N:O, 2, FALSE)</f>
        <v>Standard</v>
      </c>
      <c r="J2145" t="s">
        <v>761</v>
      </c>
      <c r="L2145" s="17" t="s">
        <v>733</v>
      </c>
      <c r="M2145" s="17" t="s">
        <v>9</v>
      </c>
      <c r="N2145" s="17" t="s">
        <v>740</v>
      </c>
    </row>
    <row r="2146" spans="1:14" x14ac:dyDescent="0.25">
      <c r="A2146" s="10">
        <v>995109</v>
      </c>
      <c r="B2146" s="22" t="str">
        <f>IFERROR(VLOOKUP(A2146,VLOOKUPS!$A$2:B$12589,2,FALSE),"")</f>
        <v>Mediterranean Chopped Salad 11oz-standard</v>
      </c>
      <c r="E2146">
        <v>3.49</v>
      </c>
      <c r="F2146">
        <v>2.4900000000000002</v>
      </c>
      <c r="G2146" s="13">
        <v>44499</v>
      </c>
      <c r="H2146" s="13">
        <v>44500</v>
      </c>
      <c r="I2146" s="22" t="str">
        <f>VLOOKUP(J2146, Dropdowns!N:O, 2, FALSE)</f>
        <v>Lower Price</v>
      </c>
      <c r="J2146" t="s">
        <v>759</v>
      </c>
      <c r="L2146" s="17" t="s">
        <v>733</v>
      </c>
      <c r="M2146" s="17" t="s">
        <v>11</v>
      </c>
      <c r="N2146" s="17" t="s">
        <v>740</v>
      </c>
    </row>
    <row r="2147" spans="1:14" x14ac:dyDescent="0.25">
      <c r="A2147" s="10">
        <v>995109</v>
      </c>
      <c r="B2147" s="22" t="str">
        <f>IFERROR(VLOOKUP(A2147,VLOOKUPS!$A$2:B$12589,2,FALSE),"")</f>
        <v>Mediterranean Chopped Salad 11oz-standard</v>
      </c>
      <c r="E2147">
        <v>2.4900000000000002</v>
      </c>
      <c r="F2147">
        <v>3.49</v>
      </c>
      <c r="G2147" s="13">
        <v>44501</v>
      </c>
      <c r="H2147" s="13"/>
      <c r="I2147" s="22" t="str">
        <f>VLOOKUP(J2147, Dropdowns!N:O, 2, FALSE)</f>
        <v>Standard</v>
      </c>
      <c r="J2147" t="s">
        <v>760</v>
      </c>
      <c r="L2147" s="17" t="s">
        <v>733</v>
      </c>
      <c r="M2147" s="17" t="s">
        <v>11</v>
      </c>
      <c r="N2147" s="17" t="s">
        <v>740</v>
      </c>
    </row>
    <row r="2148" spans="1:14" x14ac:dyDescent="0.25">
      <c r="A2148" s="10">
        <v>995115</v>
      </c>
      <c r="B2148" s="22" t="str">
        <f>IFERROR(VLOOKUP(A2148,VLOOKUPS!$A$2:B$12589,2,FALSE),"")</f>
        <v>Pineapple Chunks 10oz-standard</v>
      </c>
      <c r="E2148">
        <v>2.39</v>
      </c>
      <c r="F2148">
        <v>2.97</v>
      </c>
      <c r="G2148" s="13">
        <v>44499</v>
      </c>
      <c r="H2148" s="13"/>
      <c r="I2148" s="22" t="str">
        <f>VLOOKUP(J2148, Dropdowns!N:O, 2, FALSE)</f>
        <v>Standard</v>
      </c>
      <c r="J2148" t="s">
        <v>761</v>
      </c>
      <c r="L2148" s="17" t="s">
        <v>732</v>
      </c>
      <c r="M2148" s="17" t="s">
        <v>738</v>
      </c>
      <c r="N2148" s="17">
        <v>2</v>
      </c>
    </row>
    <row r="2149" spans="1:14" x14ac:dyDescent="0.25">
      <c r="A2149" s="10">
        <v>995115</v>
      </c>
      <c r="B2149" s="22" t="str">
        <f>IFERROR(VLOOKUP(A2149,VLOOKUPS!$A$2:B$12589,2,FALSE),"")</f>
        <v>Pineapple Chunks 10oz-standard</v>
      </c>
      <c r="E2149">
        <v>2.39</v>
      </c>
      <c r="F2149">
        <v>2.97</v>
      </c>
      <c r="G2149" s="13">
        <v>44501</v>
      </c>
      <c r="H2149" s="13"/>
      <c r="I2149" s="22" t="str">
        <f>VLOOKUP(J2149, Dropdowns!N:O, 2, FALSE)</f>
        <v>Standard</v>
      </c>
      <c r="J2149" t="s">
        <v>761</v>
      </c>
      <c r="L2149" s="17" t="s">
        <v>732</v>
      </c>
      <c r="M2149" s="17" t="s">
        <v>9</v>
      </c>
      <c r="N2149" s="17" t="s">
        <v>736</v>
      </c>
    </row>
    <row r="2150" spans="1:14" x14ac:dyDescent="0.25">
      <c r="A2150" s="10">
        <v>995119</v>
      </c>
      <c r="B2150" s="22" t="str">
        <f>IFERROR(VLOOKUP(A2150,VLOOKUPS!$A$2:B$12589,2,FALSE),"")</f>
        <v>RTE Green Goddess Salad 5.5oz-standard</v>
      </c>
      <c r="E2150">
        <v>2.89</v>
      </c>
      <c r="F2150">
        <v>1.89</v>
      </c>
      <c r="G2150" s="13">
        <v>44499</v>
      </c>
      <c r="H2150" s="13">
        <v>44500</v>
      </c>
      <c r="I2150" s="22" t="str">
        <f>VLOOKUP(J2150, Dropdowns!N:O, 2, FALSE)</f>
        <v>Lower Price</v>
      </c>
      <c r="J2150" t="s">
        <v>759</v>
      </c>
      <c r="L2150" s="17" t="s">
        <v>732</v>
      </c>
      <c r="M2150" s="17" t="s">
        <v>10</v>
      </c>
      <c r="N2150" s="17">
        <v>2</v>
      </c>
    </row>
    <row r="2151" spans="1:14" x14ac:dyDescent="0.25">
      <c r="A2151" s="10">
        <v>995119</v>
      </c>
      <c r="B2151" s="22" t="str">
        <f>IFERROR(VLOOKUP(A2151,VLOOKUPS!$A$2:B$12589,2,FALSE),"")</f>
        <v>RTE Green Goddess Salad 5.5oz-standard</v>
      </c>
      <c r="E2151">
        <v>1.89</v>
      </c>
      <c r="F2151">
        <v>2.89</v>
      </c>
      <c r="G2151" s="13">
        <v>44501</v>
      </c>
      <c r="H2151" s="13"/>
      <c r="I2151" s="22" t="str">
        <f>VLOOKUP(J2151, Dropdowns!N:O, 2, FALSE)</f>
        <v>Standard</v>
      </c>
      <c r="J2151" t="s">
        <v>760</v>
      </c>
      <c r="L2151" s="17" t="s">
        <v>732</v>
      </c>
      <c r="M2151" s="17" t="s">
        <v>10</v>
      </c>
      <c r="N2151" s="17">
        <v>2</v>
      </c>
    </row>
    <row r="2152" spans="1:14" x14ac:dyDescent="0.25">
      <c r="A2152" s="10">
        <v>995147</v>
      </c>
      <c r="B2152" s="22" t="str">
        <f>IFERROR(VLOOKUP(A2152,VLOOKUPS!$A$2:B$12589,2,FALSE),"")</f>
        <v>Celery Sticks 1.25lb-standard</v>
      </c>
      <c r="E2152">
        <v>2.74</v>
      </c>
      <c r="F2152">
        <v>1.74</v>
      </c>
      <c r="G2152" s="13">
        <v>44499</v>
      </c>
      <c r="H2152" s="13">
        <v>44500</v>
      </c>
      <c r="I2152" s="22" t="str">
        <f>VLOOKUP(J2152, Dropdowns!N:O, 2, FALSE)</f>
        <v>Lower Price</v>
      </c>
      <c r="J2152" t="s">
        <v>759</v>
      </c>
      <c r="L2152" s="17" t="s">
        <v>733</v>
      </c>
      <c r="M2152" s="17" t="s">
        <v>11</v>
      </c>
      <c r="N2152" s="17" t="s">
        <v>740</v>
      </c>
    </row>
    <row r="2153" spans="1:14" x14ac:dyDescent="0.25">
      <c r="A2153" s="10">
        <v>995147</v>
      </c>
      <c r="B2153" s="22" t="str">
        <f>IFERROR(VLOOKUP(A2153,VLOOKUPS!$A$2:B$12589,2,FALSE),"")</f>
        <v>Celery Sticks 1.25lb-standard</v>
      </c>
      <c r="E2153">
        <v>1.74</v>
      </c>
      <c r="F2153">
        <v>2.74</v>
      </c>
      <c r="G2153" s="13">
        <v>44501</v>
      </c>
      <c r="H2153" s="13"/>
      <c r="I2153" s="22" t="str">
        <f>VLOOKUP(J2153, Dropdowns!N:O, 2, FALSE)</f>
        <v>Standard</v>
      </c>
      <c r="J2153" t="s">
        <v>760</v>
      </c>
      <c r="L2153" s="17" t="s">
        <v>733</v>
      </c>
      <c r="M2153" s="17" t="s">
        <v>11</v>
      </c>
      <c r="N2153" s="17" t="s">
        <v>740</v>
      </c>
    </row>
    <row r="2154" spans="1:14" x14ac:dyDescent="0.25">
      <c r="A2154" s="10">
        <v>995155</v>
      </c>
      <c r="B2154" s="22" t="str">
        <f>IFERROR(VLOOKUP(A2154,VLOOKUPS!$A$2:B$12589,2,FALSE),"")</f>
        <v>Organic Sweet Apple Slices 12oz-standard</v>
      </c>
      <c r="E2154">
        <v>3.99</v>
      </c>
      <c r="F2154">
        <v>2.99</v>
      </c>
      <c r="G2154" s="13">
        <v>44499</v>
      </c>
      <c r="H2154" s="13">
        <v>44500</v>
      </c>
      <c r="I2154" s="22" t="str">
        <f>VLOOKUP(J2154, Dropdowns!N:O, 2, FALSE)</f>
        <v>Lower Price</v>
      </c>
      <c r="J2154" t="s">
        <v>759</v>
      </c>
      <c r="L2154" s="17" t="s">
        <v>732</v>
      </c>
      <c r="M2154" s="17" t="s">
        <v>736</v>
      </c>
      <c r="N2154" s="17" t="s">
        <v>736</v>
      </c>
    </row>
    <row r="2155" spans="1:14" x14ac:dyDescent="0.25">
      <c r="A2155" s="10">
        <v>995155</v>
      </c>
      <c r="B2155" s="22" t="str">
        <f>IFERROR(VLOOKUP(A2155,VLOOKUPS!$A$2:B$12589,2,FALSE),"")</f>
        <v>Organic Sweet Apple Slices 12oz-standard</v>
      </c>
      <c r="E2155">
        <v>2.99</v>
      </c>
      <c r="F2155">
        <v>3.99</v>
      </c>
      <c r="G2155" s="13">
        <v>44501</v>
      </c>
      <c r="H2155" s="13"/>
      <c r="I2155" s="22" t="str">
        <f>VLOOKUP(J2155, Dropdowns!N:O, 2, FALSE)</f>
        <v>Standard</v>
      </c>
      <c r="J2155" t="s">
        <v>760</v>
      </c>
      <c r="L2155" s="17" t="s">
        <v>732</v>
      </c>
      <c r="M2155" s="17" t="s">
        <v>736</v>
      </c>
      <c r="N2155" s="17" t="s">
        <v>736</v>
      </c>
    </row>
    <row r="2156" spans="1:14" x14ac:dyDescent="0.25">
      <c r="A2156" s="10">
        <v>984621</v>
      </c>
      <c r="B2156" s="22" t="str">
        <f>IFERROR(VLOOKUP(A2156,VLOOKUPS!$A$2:B$12589,2,FALSE),"")</f>
        <v>Raspberries 12oz-standard</v>
      </c>
      <c r="E2156">
        <v>5.18</v>
      </c>
      <c r="F2156">
        <v>3.99</v>
      </c>
      <c r="G2156" s="13">
        <v>44502</v>
      </c>
      <c r="H2156" s="13">
        <v>44502</v>
      </c>
      <c r="I2156" s="22" t="str">
        <f>VLOOKUP(J2156, Dropdowns!N:O, 2, FALSE)</f>
        <v>Lower Price</v>
      </c>
      <c r="J2156" t="s">
        <v>759</v>
      </c>
      <c r="L2156" s="17" t="s">
        <v>732</v>
      </c>
      <c r="M2156" s="17" t="s">
        <v>737</v>
      </c>
      <c r="N2156" s="17" t="s">
        <v>736</v>
      </c>
    </row>
    <row r="2157" spans="1:14" x14ac:dyDescent="0.25">
      <c r="A2157" s="10">
        <v>984621</v>
      </c>
      <c r="B2157" s="22" t="str">
        <f>IFERROR(VLOOKUP(A2157,VLOOKUPS!$A$2:B$12589,2,FALSE),"")</f>
        <v>Raspberries 12oz-standard</v>
      </c>
      <c r="E2157">
        <v>3.99</v>
      </c>
      <c r="F2157">
        <v>5.18</v>
      </c>
      <c r="G2157" s="13">
        <v>44503</v>
      </c>
      <c r="H2157" s="13"/>
      <c r="I2157" s="22" t="str">
        <f>VLOOKUP(J2157, Dropdowns!N:O, 2, FALSE)</f>
        <v>Standard</v>
      </c>
      <c r="J2157" t="s">
        <v>760</v>
      </c>
      <c r="L2157" s="17" t="s">
        <v>732</v>
      </c>
      <c r="M2157" s="17" t="s">
        <v>737</v>
      </c>
      <c r="N2157" s="17" t="s">
        <v>736</v>
      </c>
    </row>
    <row r="2158" spans="1:14" x14ac:dyDescent="0.25">
      <c r="A2158" s="10">
        <v>984702</v>
      </c>
      <c r="B2158" s="22" t="str">
        <f>IFERROR(VLOOKUP(A2158,VLOOKUPS!$A$2:B$12589,2,FALSE),"")</f>
        <v>Blackberries 12oz-standard</v>
      </c>
      <c r="E2158">
        <v>4.38</v>
      </c>
      <c r="F2158">
        <v>3.18</v>
      </c>
      <c r="G2158" s="13">
        <v>44502</v>
      </c>
      <c r="H2158" s="13">
        <v>44503</v>
      </c>
      <c r="I2158" s="22" t="str">
        <f>VLOOKUP(J2158, Dropdowns!N:O, 2, FALSE)</f>
        <v>Lower Price</v>
      </c>
      <c r="J2158" t="s">
        <v>759</v>
      </c>
      <c r="L2158" s="17" t="s">
        <v>732</v>
      </c>
      <c r="M2158" s="17" t="s">
        <v>10</v>
      </c>
      <c r="N2158" s="17">
        <v>2</v>
      </c>
    </row>
    <row r="2159" spans="1:14" x14ac:dyDescent="0.25">
      <c r="A2159" s="10">
        <v>984702</v>
      </c>
      <c r="B2159" s="22" t="str">
        <f>IFERROR(VLOOKUP(A2159,VLOOKUPS!$A$2:B$12589,2,FALSE),"")</f>
        <v>Blackberries 12oz-standard</v>
      </c>
      <c r="E2159">
        <v>3.18</v>
      </c>
      <c r="F2159">
        <v>4.38</v>
      </c>
      <c r="G2159" s="13">
        <v>44504</v>
      </c>
      <c r="H2159" s="13"/>
      <c r="I2159" s="22" t="str">
        <f>VLOOKUP(J2159, Dropdowns!N:O, 2, FALSE)</f>
        <v>Standard</v>
      </c>
      <c r="J2159" t="s">
        <v>760</v>
      </c>
      <c r="L2159" s="17" t="s">
        <v>732</v>
      </c>
      <c r="M2159" s="17" t="s">
        <v>10</v>
      </c>
      <c r="N2159" s="17">
        <v>2</v>
      </c>
    </row>
    <row r="2160" spans="1:14" x14ac:dyDescent="0.25">
      <c r="A2160" s="10">
        <v>995104</v>
      </c>
      <c r="B2160" s="22" t="str">
        <f>IFERROR(VLOOKUP(A2160,VLOOKUPS!$A$2:B$12589,2,FALSE),"")</f>
        <v>Ginger Garlic Stir Fry Kit 14oz-standard</v>
      </c>
      <c r="E2160">
        <v>2.99</v>
      </c>
      <c r="F2160">
        <v>2.98</v>
      </c>
      <c r="G2160" s="13">
        <v>44502</v>
      </c>
      <c r="H2160" s="13"/>
      <c r="I2160" s="22" t="str">
        <f>VLOOKUP(J2160, Dropdowns!N:O, 2, FALSE)</f>
        <v>Standard</v>
      </c>
      <c r="J2160" t="s">
        <v>761</v>
      </c>
      <c r="L2160" s="17" t="s">
        <v>732</v>
      </c>
      <c r="M2160" s="17" t="s">
        <v>736</v>
      </c>
      <c r="N2160" s="17" t="s">
        <v>736</v>
      </c>
    </row>
    <row r="2161" spans="1:14" x14ac:dyDescent="0.25">
      <c r="A2161" s="10">
        <v>995115</v>
      </c>
      <c r="B2161" s="22" t="str">
        <f>IFERROR(VLOOKUP(A2161,VLOOKUPS!$A$2:B$12589,2,FALSE),"")</f>
        <v>Pineapple Chunks 10oz-standard</v>
      </c>
      <c r="E2161">
        <v>2.97</v>
      </c>
      <c r="F2161">
        <v>2.58</v>
      </c>
      <c r="G2161" s="13">
        <v>44502</v>
      </c>
      <c r="H2161" s="13"/>
      <c r="I2161" s="22" t="str">
        <f>VLOOKUP(J2161, Dropdowns!N:O, 2, FALSE)</f>
        <v>Standard</v>
      </c>
      <c r="J2161" t="s">
        <v>761</v>
      </c>
      <c r="L2161" s="17" t="s">
        <v>732</v>
      </c>
      <c r="M2161" s="17" t="s">
        <v>736</v>
      </c>
      <c r="N2161" s="17" t="s">
        <v>736</v>
      </c>
    </row>
    <row r="2162" spans="1:14" x14ac:dyDescent="0.25">
      <c r="A2162" s="10">
        <v>995124</v>
      </c>
      <c r="B2162" s="22" t="str">
        <f>IFERROR(VLOOKUP(A2162,VLOOKUPS!$A$2:B$12589,2,FALSE),"")</f>
        <v>Sweet Potato Crinkle Fry 10oz-standard</v>
      </c>
      <c r="E2162">
        <v>2.4900000000000002</v>
      </c>
      <c r="G2162" s="13">
        <v>44502</v>
      </c>
      <c r="H2162" s="13"/>
      <c r="I2162" s="22" t="str">
        <f>VLOOKUP(J2162, Dropdowns!N:O, 2, FALSE)</f>
        <v>NA</v>
      </c>
      <c r="J2162" t="s">
        <v>754</v>
      </c>
      <c r="L2162" s="17" t="s">
        <v>732</v>
      </c>
      <c r="M2162" s="17" t="s">
        <v>736</v>
      </c>
      <c r="N2162" s="17" t="s">
        <v>736</v>
      </c>
    </row>
    <row r="2163" spans="1:14" x14ac:dyDescent="0.25">
      <c r="A2163" s="10">
        <v>995004</v>
      </c>
      <c r="B2163" s="22" t="str">
        <f>IFERROR(VLOOKUP(A2163,VLOOKUPS!$A$2:B$12589,2,FALSE),"")</f>
        <v>Chicken Caesar Salad 6.25oz-standard</v>
      </c>
      <c r="E2163">
        <v>2.89</v>
      </c>
      <c r="F2163">
        <v>3</v>
      </c>
      <c r="G2163" s="13">
        <v>44502</v>
      </c>
      <c r="H2163" s="13"/>
      <c r="I2163" s="22" t="str">
        <f>VLOOKUP(J2163, Dropdowns!N:O, 2, FALSE)</f>
        <v>Standard</v>
      </c>
      <c r="J2163" t="s">
        <v>761</v>
      </c>
      <c r="L2163" s="17" t="s">
        <v>733</v>
      </c>
      <c r="M2163" s="17" t="s">
        <v>736</v>
      </c>
      <c r="N2163" s="17" t="s">
        <v>740</v>
      </c>
    </row>
    <row r="2164" spans="1:14" x14ac:dyDescent="0.25">
      <c r="A2164" s="10">
        <v>995004</v>
      </c>
      <c r="B2164" s="22" t="str">
        <f>IFERROR(VLOOKUP(A2164,VLOOKUPS!$A$2:B$12589,2,FALSE),"")</f>
        <v>Chicken Caesar Salad 6.25oz-standard</v>
      </c>
      <c r="E2164">
        <v>2.99</v>
      </c>
      <c r="F2164">
        <v>3</v>
      </c>
      <c r="G2164" s="13">
        <v>44502</v>
      </c>
      <c r="H2164" s="13"/>
      <c r="I2164" s="22" t="str">
        <f>VLOOKUP(J2164, Dropdowns!N:O, 2, FALSE)</f>
        <v>Standard</v>
      </c>
      <c r="J2164" t="s">
        <v>761</v>
      </c>
      <c r="L2164" s="17" t="s">
        <v>734</v>
      </c>
      <c r="M2164" s="17" t="s">
        <v>735</v>
      </c>
      <c r="N2164" s="17" t="s">
        <v>736</v>
      </c>
    </row>
    <row r="2165" spans="1:14" x14ac:dyDescent="0.25">
      <c r="A2165" s="10">
        <v>995010</v>
      </c>
      <c r="B2165" s="22" t="str">
        <f>IFERROR(VLOOKUP(A2165,VLOOKUPS!$A$2:B$12589,2,FALSE),"")</f>
        <v>RTE Turkey Bacon Cobb Salad 7.25oz-standard</v>
      </c>
      <c r="E2165">
        <v>2.89</v>
      </c>
      <c r="F2165">
        <v>3</v>
      </c>
      <c r="G2165" s="13">
        <v>44502</v>
      </c>
      <c r="H2165" s="13"/>
      <c r="I2165" s="22" t="str">
        <f>VLOOKUP(J2165, Dropdowns!N:O, 2, FALSE)</f>
        <v>Standard</v>
      </c>
      <c r="J2165" t="s">
        <v>761</v>
      </c>
      <c r="L2165" s="17" t="s">
        <v>733</v>
      </c>
      <c r="M2165" s="17" t="s">
        <v>736</v>
      </c>
      <c r="N2165" s="17" t="s">
        <v>740</v>
      </c>
    </row>
    <row r="2166" spans="1:14" x14ac:dyDescent="0.25">
      <c r="A2166" s="10">
        <v>995010</v>
      </c>
      <c r="B2166" s="22" t="str">
        <f>IFERROR(VLOOKUP(A2166,VLOOKUPS!$A$2:B$12589,2,FALSE),"")</f>
        <v>RTE Turkey Bacon Cobb Salad 7.25oz-standard</v>
      </c>
      <c r="E2166">
        <v>2.99</v>
      </c>
      <c r="F2166">
        <v>3</v>
      </c>
      <c r="G2166" s="13">
        <v>44502</v>
      </c>
      <c r="H2166" s="13"/>
      <c r="I2166" s="22" t="str">
        <f>VLOOKUP(J2166, Dropdowns!N:O, 2, FALSE)</f>
        <v>Standard</v>
      </c>
      <c r="J2166" t="s">
        <v>761</v>
      </c>
      <c r="L2166" s="17" t="s">
        <v>734</v>
      </c>
      <c r="M2166" s="17" t="s">
        <v>735</v>
      </c>
      <c r="N2166" s="17" t="s">
        <v>736</v>
      </c>
    </row>
    <row r="2167" spans="1:14" x14ac:dyDescent="0.25">
      <c r="A2167" s="10">
        <v>995011</v>
      </c>
      <c r="B2167" s="22" t="str">
        <f>IFERROR(VLOOKUP(A2167,VLOOKUPS!$A$2:B$12589,2,FALSE),"")</f>
        <v>RTE Santa Fe Salad 6.25oz-standard</v>
      </c>
      <c r="E2167">
        <v>2.89</v>
      </c>
      <c r="F2167">
        <v>3</v>
      </c>
      <c r="G2167" s="13">
        <v>44502</v>
      </c>
      <c r="H2167" s="13"/>
      <c r="I2167" s="22" t="str">
        <f>VLOOKUP(J2167, Dropdowns!N:O, 2, FALSE)</f>
        <v>Standard</v>
      </c>
      <c r="J2167" t="s">
        <v>761</v>
      </c>
      <c r="L2167" s="17" t="s">
        <v>733</v>
      </c>
      <c r="M2167" s="17" t="s">
        <v>736</v>
      </c>
      <c r="N2167" s="17" t="s">
        <v>740</v>
      </c>
    </row>
    <row r="2168" spans="1:14" x14ac:dyDescent="0.25">
      <c r="A2168" s="10">
        <v>995011</v>
      </c>
      <c r="B2168" s="22" t="str">
        <f>IFERROR(VLOOKUP(A2168,VLOOKUPS!$A$2:B$12589,2,FALSE),"")</f>
        <v>RTE Santa Fe Salad 6.25oz-standard</v>
      </c>
      <c r="E2168">
        <v>2.99</v>
      </c>
      <c r="F2168">
        <v>3</v>
      </c>
      <c r="G2168" s="13">
        <v>44502</v>
      </c>
      <c r="H2168" s="13"/>
      <c r="I2168" s="22" t="str">
        <f>VLOOKUP(J2168, Dropdowns!N:O, 2, FALSE)</f>
        <v>Standard</v>
      </c>
      <c r="J2168" t="s">
        <v>761</v>
      </c>
      <c r="L2168" s="17" t="s">
        <v>734</v>
      </c>
      <c r="M2168" s="17" t="s">
        <v>735</v>
      </c>
      <c r="N2168" s="17" t="s">
        <v>736</v>
      </c>
    </row>
    <row r="2169" spans="1:14" x14ac:dyDescent="0.25">
      <c r="A2169" s="10">
        <v>995012</v>
      </c>
      <c r="B2169" s="22" t="str">
        <f>IFERROR(VLOOKUP(A2169,VLOOKUPS!$A$2:B$12589,2,FALSE),"")</f>
        <v>RTE Cranberry Walnut Salad 4.5oz-standard</v>
      </c>
      <c r="E2169">
        <v>2.89</v>
      </c>
      <c r="F2169">
        <v>3</v>
      </c>
      <c r="G2169" s="13">
        <v>44502</v>
      </c>
      <c r="H2169" s="13"/>
      <c r="I2169" s="22" t="str">
        <f>VLOOKUP(J2169, Dropdowns!N:O, 2, FALSE)</f>
        <v>Standard</v>
      </c>
      <c r="J2169" t="s">
        <v>761</v>
      </c>
      <c r="L2169" s="17" t="s">
        <v>733</v>
      </c>
      <c r="M2169" s="17" t="s">
        <v>736</v>
      </c>
      <c r="N2169" s="17" t="s">
        <v>740</v>
      </c>
    </row>
    <row r="2170" spans="1:14" x14ac:dyDescent="0.25">
      <c r="A2170" s="10">
        <v>995012</v>
      </c>
      <c r="B2170" s="22" t="str">
        <f>IFERROR(VLOOKUP(A2170,VLOOKUPS!$A$2:B$12589,2,FALSE),"")</f>
        <v>RTE Cranberry Walnut Salad 4.5oz-standard</v>
      </c>
      <c r="E2170">
        <v>2.99</v>
      </c>
      <c r="F2170">
        <v>3</v>
      </c>
      <c r="G2170" s="13">
        <v>44502</v>
      </c>
      <c r="H2170" s="13"/>
      <c r="I2170" s="22" t="str">
        <f>VLOOKUP(J2170, Dropdowns!N:O, 2, FALSE)</f>
        <v>Standard</v>
      </c>
      <c r="J2170" t="s">
        <v>761</v>
      </c>
      <c r="L2170" s="17" t="s">
        <v>734</v>
      </c>
      <c r="M2170" s="17" t="s">
        <v>735</v>
      </c>
      <c r="N2170" s="17" t="s">
        <v>736</v>
      </c>
    </row>
    <row r="2171" spans="1:14" x14ac:dyDescent="0.25">
      <c r="A2171" s="10">
        <v>995014</v>
      </c>
      <c r="B2171" s="22" t="str">
        <f>IFERROR(VLOOKUP(A2171,VLOOKUPS!$A$2:B$12589,2,FALSE),"")</f>
        <v>RTE Café Style Chef Salad 7.65oz-standard</v>
      </c>
      <c r="E2171">
        <v>2.89</v>
      </c>
      <c r="F2171">
        <v>3</v>
      </c>
      <c r="G2171" s="13">
        <v>44502</v>
      </c>
      <c r="H2171" s="13"/>
      <c r="I2171" s="22" t="str">
        <f>VLOOKUP(J2171, Dropdowns!N:O, 2, FALSE)</f>
        <v>Standard</v>
      </c>
      <c r="J2171" t="s">
        <v>761</v>
      </c>
      <c r="L2171" s="17" t="s">
        <v>733</v>
      </c>
      <c r="M2171" s="17" t="s">
        <v>736</v>
      </c>
      <c r="N2171" s="17" t="s">
        <v>740</v>
      </c>
    </row>
    <row r="2172" spans="1:14" x14ac:dyDescent="0.25">
      <c r="A2172" s="10">
        <v>995014</v>
      </c>
      <c r="B2172" s="22" t="str">
        <f>IFERROR(VLOOKUP(A2172,VLOOKUPS!$A$2:B$12589,2,FALSE),"")</f>
        <v>RTE Café Style Chef Salad 7.65oz-standard</v>
      </c>
      <c r="E2172">
        <v>2.99</v>
      </c>
      <c r="F2172">
        <v>3</v>
      </c>
      <c r="G2172" s="13">
        <v>44502</v>
      </c>
      <c r="H2172" s="13"/>
      <c r="I2172" s="22" t="str">
        <f>VLOOKUP(J2172, Dropdowns!N:O, 2, FALSE)</f>
        <v>Standard</v>
      </c>
      <c r="J2172" t="s">
        <v>761</v>
      </c>
      <c r="L2172" s="17" t="s">
        <v>734</v>
      </c>
      <c r="M2172" s="17" t="s">
        <v>735</v>
      </c>
      <c r="N2172" s="17" t="s">
        <v>736</v>
      </c>
    </row>
    <row r="2173" spans="1:14" x14ac:dyDescent="0.25">
      <c r="A2173" s="10">
        <v>995077</v>
      </c>
      <c r="B2173" s="22" t="str">
        <f>IFERROR(VLOOKUP(A2173,VLOOKUPS!$A$2:B$12589,2,FALSE),"")</f>
        <v>Organic Baby Spring Mix 16oz-standard</v>
      </c>
      <c r="E2173">
        <v>4.49</v>
      </c>
      <c r="F2173">
        <v>4.9800000000000004</v>
      </c>
      <c r="G2173" s="13">
        <v>44502</v>
      </c>
      <c r="H2173" s="13"/>
      <c r="I2173" s="22" t="str">
        <f>VLOOKUP(J2173, Dropdowns!N:O, 2, FALSE)</f>
        <v>Standard</v>
      </c>
      <c r="J2173" t="s">
        <v>761</v>
      </c>
      <c r="L2173" s="17" t="s">
        <v>732</v>
      </c>
      <c r="M2173" s="17" t="s">
        <v>736</v>
      </c>
      <c r="N2173" s="17" t="s">
        <v>736</v>
      </c>
    </row>
    <row r="2174" spans="1:14" x14ac:dyDescent="0.25">
      <c r="A2174" s="10">
        <v>982740</v>
      </c>
      <c r="B2174" s="22" t="str">
        <f>IFERROR(VLOOKUP(A2174,VLOOKUPS!$A$2:B$12589,2,FALSE),"")</f>
        <v>Grapes* Red Seedless 1lb-LOOSE</v>
      </c>
      <c r="E2174">
        <v>1.29</v>
      </c>
      <c r="F2174">
        <v>1.44</v>
      </c>
      <c r="G2174" s="13">
        <v>44502</v>
      </c>
      <c r="H2174" s="13"/>
      <c r="I2174" s="22" t="str">
        <f>VLOOKUP(J2174, Dropdowns!N:O, 2, FALSE)</f>
        <v>Standard</v>
      </c>
      <c r="J2174" t="s">
        <v>761</v>
      </c>
      <c r="L2174" s="17" t="s">
        <v>732</v>
      </c>
      <c r="M2174" s="17" t="s">
        <v>736</v>
      </c>
      <c r="N2174" s="17" t="s">
        <v>736</v>
      </c>
    </row>
    <row r="2175" spans="1:14" x14ac:dyDescent="0.25">
      <c r="A2175" s="10">
        <v>982740</v>
      </c>
      <c r="B2175" s="22" t="str">
        <f>IFERROR(VLOOKUP(A2175,VLOOKUPS!$A$2:B$12589,2,FALSE),"")</f>
        <v>Grapes* Red Seedless 1lb-LOOSE</v>
      </c>
      <c r="E2175">
        <v>1.44</v>
      </c>
      <c r="F2175">
        <v>0.88</v>
      </c>
      <c r="G2175" s="13">
        <v>44503</v>
      </c>
      <c r="H2175" s="13">
        <v>44503</v>
      </c>
      <c r="I2175" s="22" t="str">
        <f>VLOOKUP(J2175, Dropdowns!N:O, 2, FALSE)</f>
        <v>Lower Price</v>
      </c>
      <c r="J2175" t="s">
        <v>759</v>
      </c>
      <c r="L2175" s="17" t="s">
        <v>733</v>
      </c>
      <c r="M2175" s="17" t="s">
        <v>11</v>
      </c>
      <c r="N2175" s="17" t="s">
        <v>740</v>
      </c>
    </row>
    <row r="2176" spans="1:14" x14ac:dyDescent="0.25">
      <c r="A2176" s="10">
        <v>982740</v>
      </c>
      <c r="B2176" s="22" t="str">
        <f>IFERROR(VLOOKUP(A2176,VLOOKUPS!$A$2:B$12589,2,FALSE),"")</f>
        <v>Grapes* Red Seedless 1lb-LOOSE</v>
      </c>
      <c r="E2176">
        <v>0.88</v>
      </c>
      <c r="F2176">
        <v>1.44</v>
      </c>
      <c r="G2176" s="13">
        <v>44504</v>
      </c>
      <c r="H2176" s="13"/>
      <c r="I2176" s="22" t="str">
        <f>VLOOKUP(J2176, Dropdowns!N:O, 2, FALSE)</f>
        <v>Standard</v>
      </c>
      <c r="J2176" t="s">
        <v>760</v>
      </c>
      <c r="L2176" s="17" t="s">
        <v>733</v>
      </c>
      <c r="M2176" s="17" t="s">
        <v>11</v>
      </c>
      <c r="N2176" s="17" t="s">
        <v>740</v>
      </c>
    </row>
    <row r="2177" spans="1:14" x14ac:dyDescent="0.25">
      <c r="A2177" s="10">
        <v>984582</v>
      </c>
      <c r="B2177" s="22" t="str">
        <f>IFERROR(VLOOKUP(A2177,VLOOKUPS!$A$2:B$12589,2,FALSE),"")</f>
        <v>Organic Blueberries 1pt-standard</v>
      </c>
      <c r="E2177">
        <v>4.59</v>
      </c>
      <c r="F2177">
        <v>3.49</v>
      </c>
      <c r="G2177" s="13">
        <v>44503</v>
      </c>
      <c r="H2177" s="13">
        <v>44504</v>
      </c>
      <c r="I2177" s="22" t="str">
        <f>VLOOKUP(J2177, Dropdowns!N:O, 2, FALSE)</f>
        <v>Lower Price</v>
      </c>
      <c r="J2177" t="s">
        <v>759</v>
      </c>
      <c r="L2177" s="17" t="s">
        <v>732</v>
      </c>
      <c r="M2177" s="17" t="s">
        <v>9</v>
      </c>
      <c r="N2177" s="17" t="s">
        <v>736</v>
      </c>
    </row>
    <row r="2178" spans="1:14" x14ac:dyDescent="0.25">
      <c r="A2178" s="10">
        <v>984582</v>
      </c>
      <c r="B2178" s="22" t="str">
        <f>IFERROR(VLOOKUP(A2178,VLOOKUPS!$A$2:B$12589,2,FALSE),"")</f>
        <v>Organic Blueberries 1pt-standard</v>
      </c>
      <c r="E2178">
        <v>3.49</v>
      </c>
      <c r="F2178">
        <v>4.59</v>
      </c>
      <c r="G2178" s="13">
        <v>44505</v>
      </c>
      <c r="H2178" s="13"/>
      <c r="I2178" s="22" t="str">
        <f>VLOOKUP(J2178, Dropdowns!N:O, 2, FALSE)</f>
        <v>Standard</v>
      </c>
      <c r="J2178" t="s">
        <v>760</v>
      </c>
      <c r="L2178" s="17" t="s">
        <v>732</v>
      </c>
      <c r="M2178" s="17" t="s">
        <v>9</v>
      </c>
      <c r="N2178" s="17" t="s">
        <v>736</v>
      </c>
    </row>
    <row r="2179" spans="1:14" x14ac:dyDescent="0.25">
      <c r="A2179" s="10">
        <v>986340</v>
      </c>
      <c r="B2179" s="22" t="str">
        <f>IFERROR(VLOOKUP(A2179,VLOOKUPS!$A$2:B$12589,2,FALSE),"")</f>
        <v>Mirepoix 16oz-standard</v>
      </c>
      <c r="E2179">
        <v>2.99</v>
      </c>
      <c r="F2179">
        <v>1.99</v>
      </c>
      <c r="G2179" s="13">
        <v>44503</v>
      </c>
      <c r="H2179" s="13">
        <v>44504</v>
      </c>
      <c r="I2179" s="22" t="str">
        <f>VLOOKUP(J2179, Dropdowns!N:O, 2, FALSE)</f>
        <v>Lower Price</v>
      </c>
      <c r="J2179" t="s">
        <v>759</v>
      </c>
      <c r="L2179" s="17" t="s">
        <v>733</v>
      </c>
      <c r="M2179" s="17" t="s">
        <v>11</v>
      </c>
      <c r="N2179" s="17" t="s">
        <v>740</v>
      </c>
    </row>
    <row r="2180" spans="1:14" x14ac:dyDescent="0.25">
      <c r="A2180" s="10">
        <v>986340</v>
      </c>
      <c r="B2180" s="22" t="str">
        <f>IFERROR(VLOOKUP(A2180,VLOOKUPS!$A$2:B$12589,2,FALSE),"")</f>
        <v>Mirepoix 16oz-standard</v>
      </c>
      <c r="E2180">
        <v>1.99</v>
      </c>
      <c r="F2180">
        <v>2.99</v>
      </c>
      <c r="G2180" s="13">
        <v>44505</v>
      </c>
      <c r="H2180" s="13"/>
      <c r="I2180" s="22" t="str">
        <f>VLOOKUP(J2180, Dropdowns!N:O, 2, FALSE)</f>
        <v>Standard</v>
      </c>
      <c r="J2180" t="s">
        <v>760</v>
      </c>
      <c r="L2180" s="17" t="s">
        <v>733</v>
      </c>
      <c r="M2180" s="17" t="s">
        <v>11</v>
      </c>
      <c r="N2180" s="17" t="s">
        <v>740</v>
      </c>
    </row>
    <row r="2181" spans="1:14" x14ac:dyDescent="0.25">
      <c r="A2181" s="10">
        <v>995035</v>
      </c>
      <c r="B2181" s="22" t="str">
        <f>IFERROR(VLOOKUP(A2181,VLOOKUPS!$A$2:B$12589,2,FALSE),"")</f>
        <v>Kale Greens 16oz-standard</v>
      </c>
      <c r="E2181">
        <v>2.19</v>
      </c>
      <c r="F2181">
        <v>1.49</v>
      </c>
      <c r="G2181" s="13">
        <v>44503</v>
      </c>
      <c r="H2181" s="13">
        <v>44504</v>
      </c>
      <c r="I2181" s="22" t="str">
        <f>VLOOKUP(J2181, Dropdowns!N:O, 2, FALSE)</f>
        <v>Lower Price</v>
      </c>
      <c r="J2181" t="s">
        <v>759</v>
      </c>
      <c r="L2181" s="17" t="s">
        <v>732</v>
      </c>
      <c r="M2181" s="17" t="s">
        <v>10</v>
      </c>
      <c r="N2181" s="17">
        <v>2</v>
      </c>
    </row>
    <row r="2182" spans="1:14" x14ac:dyDescent="0.25">
      <c r="A2182" s="10">
        <v>995035</v>
      </c>
      <c r="B2182" s="22" t="str">
        <f>IFERROR(VLOOKUP(A2182,VLOOKUPS!$A$2:B$12589,2,FALSE),"")</f>
        <v>Kale Greens 16oz-standard</v>
      </c>
      <c r="E2182">
        <v>1.49</v>
      </c>
      <c r="F2182">
        <v>2.19</v>
      </c>
      <c r="G2182" s="13">
        <v>44505</v>
      </c>
      <c r="H2182" s="13"/>
      <c r="I2182" s="22" t="str">
        <f>VLOOKUP(J2182, Dropdowns!N:O, 2, FALSE)</f>
        <v>Standard</v>
      </c>
      <c r="J2182" t="s">
        <v>760</v>
      </c>
      <c r="L2182" s="17" t="s">
        <v>732</v>
      </c>
      <c r="M2182" s="17" t="s">
        <v>10</v>
      </c>
      <c r="N2182" s="17">
        <v>2</v>
      </c>
    </row>
    <row r="2183" spans="1:14" x14ac:dyDescent="0.25">
      <c r="A2183" s="10">
        <v>995097</v>
      </c>
      <c r="B2183" s="22" t="str">
        <f>IFERROR(VLOOKUP(A2183,VLOOKUPS!$A$2:B$12589,2,FALSE),"")</f>
        <v>Butternut Diced 12oz-standard</v>
      </c>
      <c r="E2183">
        <v>2.4900000000000002</v>
      </c>
      <c r="F2183">
        <v>1.49</v>
      </c>
      <c r="G2183" s="13">
        <v>44503</v>
      </c>
      <c r="H2183" s="13">
        <v>44504</v>
      </c>
      <c r="I2183" s="22" t="str">
        <f>VLOOKUP(J2183, Dropdowns!N:O, 2, FALSE)</f>
        <v>Lower Price</v>
      </c>
      <c r="J2183" t="s">
        <v>759</v>
      </c>
      <c r="L2183" s="17" t="s">
        <v>732</v>
      </c>
      <c r="M2183" s="17" t="s">
        <v>10</v>
      </c>
      <c r="N2183" s="17">
        <v>2</v>
      </c>
    </row>
    <row r="2184" spans="1:14" x14ac:dyDescent="0.25">
      <c r="A2184" s="10">
        <v>995097</v>
      </c>
      <c r="B2184" s="22" t="str">
        <f>IFERROR(VLOOKUP(A2184,VLOOKUPS!$A$2:B$12589,2,FALSE),"")</f>
        <v>Butternut Diced 12oz-standard</v>
      </c>
      <c r="E2184">
        <v>1.49</v>
      </c>
      <c r="F2184">
        <v>2.4900000000000002</v>
      </c>
      <c r="G2184" s="13">
        <v>44505</v>
      </c>
      <c r="H2184" s="13"/>
      <c r="I2184" s="22" t="str">
        <f>VLOOKUP(J2184, Dropdowns!N:O, 2, FALSE)</f>
        <v>Standard</v>
      </c>
      <c r="J2184" t="s">
        <v>760</v>
      </c>
      <c r="L2184" s="17" t="s">
        <v>732</v>
      </c>
      <c r="M2184" s="17" t="s">
        <v>10</v>
      </c>
      <c r="N2184" s="17">
        <v>2</v>
      </c>
    </row>
    <row r="2185" spans="1:14" x14ac:dyDescent="0.25">
      <c r="A2185" s="10">
        <v>984700</v>
      </c>
      <c r="B2185" s="22" t="str">
        <f>IFERROR(VLOOKUP(A2185,VLOOKUPS!$A$2:B$12589,2,FALSE),"")</f>
        <v>Blackberries 6oz-standard</v>
      </c>
      <c r="G2185" s="13">
        <v>44503</v>
      </c>
      <c r="H2185" s="13">
        <v>44504</v>
      </c>
      <c r="I2185" s="22" t="str">
        <f>VLOOKUP(J2185, Dropdowns!N:O, 2, FALSE)</f>
        <v>Lower Price</v>
      </c>
      <c r="J2185" t="s">
        <v>762</v>
      </c>
      <c r="L2185" s="17" t="s">
        <v>732</v>
      </c>
      <c r="M2185" s="17" t="s">
        <v>736</v>
      </c>
      <c r="N2185" s="17" t="s">
        <v>736</v>
      </c>
    </row>
    <row r="2186" spans="1:14" x14ac:dyDescent="0.25">
      <c r="A2186" s="10">
        <v>984620</v>
      </c>
      <c r="B2186" s="22" t="str">
        <f>IFERROR(VLOOKUP(A2186,VLOOKUPS!$A$2:B$12589,2,FALSE),"")</f>
        <v>Raspberries 6oz-standard</v>
      </c>
      <c r="G2186" s="13">
        <v>44503</v>
      </c>
      <c r="H2186" s="13">
        <v>44509</v>
      </c>
      <c r="I2186" s="22" t="str">
        <f>VLOOKUP(J2186, Dropdowns!N:O, 2, FALSE)</f>
        <v>Lower Price</v>
      </c>
      <c r="J2186" t="s">
        <v>753</v>
      </c>
      <c r="L2186" s="17" t="s">
        <v>732</v>
      </c>
      <c r="M2186" s="17" t="s">
        <v>736</v>
      </c>
      <c r="N2186" s="17" t="s">
        <v>736</v>
      </c>
    </row>
    <row r="2187" spans="1:14" x14ac:dyDescent="0.25">
      <c r="A2187" s="10">
        <v>984555</v>
      </c>
      <c r="B2187" s="22" t="str">
        <f>IFERROR(VLOOKUP(A2187,VLOOKUPS!$A$2:B$12589,2,FALSE),"")</f>
        <v>Blueberries 2lb-standard</v>
      </c>
      <c r="G2187" s="13">
        <v>44503</v>
      </c>
      <c r="H2187" s="13">
        <v>44509</v>
      </c>
      <c r="I2187" s="22" t="str">
        <f>VLOOKUP(J2187, Dropdowns!N:O, 2, FALSE)</f>
        <v>Lower Price</v>
      </c>
      <c r="J2187" t="s">
        <v>753</v>
      </c>
      <c r="L2187" s="17" t="s">
        <v>732</v>
      </c>
      <c r="M2187" s="17" t="s">
        <v>736</v>
      </c>
      <c r="N2187" s="17" t="s">
        <v>736</v>
      </c>
    </row>
    <row r="2188" spans="1:14" x14ac:dyDescent="0.25">
      <c r="A2188" s="10">
        <v>995001</v>
      </c>
      <c r="B2188" s="22" t="str">
        <f>IFERROR(VLOOKUP(A2188,VLOOKUPS!$A$2:B$12589,2,FALSE),"")</f>
        <v>Spinach Baby 6oz-standard</v>
      </c>
      <c r="E2188">
        <v>2.2200000000000002</v>
      </c>
      <c r="F2188">
        <v>2.3199999999999998</v>
      </c>
      <c r="G2188" s="13">
        <v>44503</v>
      </c>
      <c r="H2188" s="13"/>
      <c r="I2188" s="22" t="str">
        <f>VLOOKUP(J2188, Dropdowns!N:O, 2, FALSE)</f>
        <v>Standard</v>
      </c>
      <c r="J2188" t="s">
        <v>761</v>
      </c>
      <c r="L2188" s="17" t="s">
        <v>732</v>
      </c>
      <c r="M2188" s="17" t="s">
        <v>736</v>
      </c>
      <c r="N2188" s="17" t="s">
        <v>736</v>
      </c>
    </row>
    <row r="2189" spans="1:14" x14ac:dyDescent="0.25">
      <c r="A2189" s="10">
        <v>995082</v>
      </c>
      <c r="B2189" s="22" t="str">
        <f>IFERROR(VLOOKUP(A2189,VLOOKUPS!$A$2:B$12589,2,FALSE),"")</f>
        <v>Melon Trio 16oz-standard</v>
      </c>
      <c r="E2189">
        <v>3.99</v>
      </c>
      <c r="F2189">
        <v>2.4900000000000002</v>
      </c>
      <c r="G2189" s="13">
        <v>44503</v>
      </c>
      <c r="H2189" s="13">
        <v>44504</v>
      </c>
      <c r="I2189" s="22" t="str">
        <f>VLOOKUP(J2189, Dropdowns!N:O, 2, FALSE)</f>
        <v>Lower Price</v>
      </c>
      <c r="J2189" t="s">
        <v>759</v>
      </c>
      <c r="L2189" s="17" t="s">
        <v>732</v>
      </c>
      <c r="M2189" s="17" t="s">
        <v>9</v>
      </c>
      <c r="N2189" s="17" t="s">
        <v>736</v>
      </c>
    </row>
    <row r="2190" spans="1:14" x14ac:dyDescent="0.25">
      <c r="A2190" s="10">
        <v>995082</v>
      </c>
      <c r="B2190" s="22" t="str">
        <f>IFERROR(VLOOKUP(A2190,VLOOKUPS!$A$2:B$12589,2,FALSE),"")</f>
        <v>Melon Trio 16oz-standard</v>
      </c>
      <c r="E2190">
        <v>2.4900000000000002</v>
      </c>
      <c r="F2190">
        <v>3.99</v>
      </c>
      <c r="G2190" s="13">
        <v>44505</v>
      </c>
      <c r="H2190" s="13"/>
      <c r="I2190" s="22" t="str">
        <f>VLOOKUP(J2190, Dropdowns!N:O, 2, FALSE)</f>
        <v>Standard</v>
      </c>
      <c r="J2190" t="s">
        <v>760</v>
      </c>
      <c r="L2190" s="17" t="s">
        <v>732</v>
      </c>
      <c r="M2190" s="17" t="s">
        <v>9</v>
      </c>
      <c r="N2190" s="17" t="s">
        <v>736</v>
      </c>
    </row>
    <row r="2191" spans="1:14" x14ac:dyDescent="0.25">
      <c r="A2191" s="10">
        <v>995115</v>
      </c>
      <c r="B2191" s="22" t="str">
        <f>IFERROR(VLOOKUP(A2191,VLOOKUPS!$A$2:B$12589,2,FALSE),"")</f>
        <v>Pineapple Chunks 10oz-standard</v>
      </c>
      <c r="E2191">
        <v>2.58</v>
      </c>
      <c r="F2191">
        <v>1.48</v>
      </c>
      <c r="G2191" s="13">
        <v>44503</v>
      </c>
      <c r="H2191" s="13">
        <v>44504</v>
      </c>
      <c r="I2191" s="22" t="str">
        <f>VLOOKUP(J2191, Dropdowns!N:O, 2, FALSE)</f>
        <v>Lower Price</v>
      </c>
      <c r="J2191" t="s">
        <v>759</v>
      </c>
      <c r="L2191" s="17" t="s">
        <v>732</v>
      </c>
      <c r="M2191" s="17" t="s">
        <v>9</v>
      </c>
      <c r="N2191" s="17" t="s">
        <v>736</v>
      </c>
    </row>
    <row r="2192" spans="1:14" x14ac:dyDescent="0.25">
      <c r="A2192" s="10">
        <v>995115</v>
      </c>
      <c r="B2192" s="22" t="str">
        <f>IFERROR(VLOOKUP(A2192,VLOOKUPS!$A$2:B$12589,2,FALSE),"")</f>
        <v>Pineapple Chunks 10oz-standard</v>
      </c>
      <c r="E2192">
        <v>1.48</v>
      </c>
      <c r="F2192">
        <v>2.58</v>
      </c>
      <c r="G2192" s="13">
        <v>44505</v>
      </c>
      <c r="H2192" s="13"/>
      <c r="I2192" s="22" t="str">
        <f>VLOOKUP(J2192, Dropdowns!N:O, 2, FALSE)</f>
        <v>Standard</v>
      </c>
      <c r="J2192" t="s">
        <v>760</v>
      </c>
      <c r="L2192" s="17" t="s">
        <v>732</v>
      </c>
      <c r="M2192" s="17" t="s">
        <v>9</v>
      </c>
      <c r="N2192" s="17" t="s">
        <v>736</v>
      </c>
    </row>
    <row r="2193" spans="1:14" x14ac:dyDescent="0.25">
      <c r="A2193" s="10">
        <v>995119</v>
      </c>
      <c r="B2193" s="22" t="str">
        <f>IFERROR(VLOOKUP(A2193,VLOOKUPS!$A$2:B$12589,2,FALSE),"")</f>
        <v>RTE Green Goddess Salad 5.5oz-standard</v>
      </c>
      <c r="E2193">
        <v>2.89</v>
      </c>
      <c r="F2193">
        <v>3</v>
      </c>
      <c r="G2193" s="13">
        <v>44504</v>
      </c>
      <c r="H2193" s="13"/>
      <c r="I2193" s="22" t="str">
        <f>VLOOKUP(J2193, Dropdowns!N:O, 2, FALSE)</f>
        <v>Standard</v>
      </c>
      <c r="J2193" t="s">
        <v>761</v>
      </c>
      <c r="L2193" s="17" t="s">
        <v>732</v>
      </c>
      <c r="M2193" s="17" t="s">
        <v>736</v>
      </c>
      <c r="N2193" s="17" t="s">
        <v>736</v>
      </c>
    </row>
    <row r="2194" spans="1:14" x14ac:dyDescent="0.25">
      <c r="A2194" s="10">
        <v>984460</v>
      </c>
      <c r="B2194" s="22" t="str">
        <f>IFERROR(VLOOKUP(A2194,VLOOKUPS!$A$2:B$12589,2,FALSE),"")</f>
        <v>Strawberries 1lb-standard</v>
      </c>
      <c r="E2194">
        <v>2.5</v>
      </c>
      <c r="F2194">
        <v>3.12</v>
      </c>
      <c r="G2194" s="13">
        <v>44504</v>
      </c>
      <c r="H2194" s="13"/>
      <c r="I2194" s="22" t="str">
        <f>VLOOKUP(J2194, Dropdowns!N:O, 2, FALSE)</f>
        <v>Standard</v>
      </c>
      <c r="J2194" t="s">
        <v>761</v>
      </c>
      <c r="L2194" s="17" t="s">
        <v>732</v>
      </c>
      <c r="M2194" s="17" t="s">
        <v>736</v>
      </c>
      <c r="N2194" s="17" t="s">
        <v>736</v>
      </c>
    </row>
    <row r="2195" spans="1:14" x14ac:dyDescent="0.25">
      <c r="A2195" s="10">
        <v>983101</v>
      </c>
      <c r="B2195" s="22" t="str">
        <f>IFERROR(VLOOKUP(A2195,VLOOKUPS!$A$2:B$12589,2,FALSE),"")</f>
        <v>Melons Cantaloupes 1ct-LOOSE</v>
      </c>
      <c r="E2195">
        <v>2.39</v>
      </c>
      <c r="F2195">
        <v>2.48</v>
      </c>
      <c r="G2195" s="13">
        <v>44504</v>
      </c>
      <c r="H2195" s="13"/>
      <c r="I2195" s="22" t="str">
        <f>VLOOKUP(J2195, Dropdowns!N:O, 2, FALSE)</f>
        <v>Standard</v>
      </c>
      <c r="J2195" t="s">
        <v>761</v>
      </c>
      <c r="L2195" s="17" t="s">
        <v>732</v>
      </c>
      <c r="M2195" s="17" t="s">
        <v>736</v>
      </c>
      <c r="N2195" s="17" t="s">
        <v>736</v>
      </c>
    </row>
    <row r="2196" spans="1:14" x14ac:dyDescent="0.25">
      <c r="A2196" s="10">
        <v>995136</v>
      </c>
      <c r="B2196" s="22" t="str">
        <f>IFERROR(VLOOKUP(A2196,VLOOKUPS!$A$2:B$12589,2,FALSE),"")</f>
        <v>Baby Spinach 11oz-standard</v>
      </c>
      <c r="E2196">
        <v>4.18</v>
      </c>
      <c r="F2196">
        <v>3.28</v>
      </c>
      <c r="G2196" s="13">
        <v>44504</v>
      </c>
      <c r="H2196" s="13"/>
      <c r="I2196" s="22" t="str">
        <f>VLOOKUP(J2196, Dropdowns!N:O, 2, FALSE)</f>
        <v>Standard</v>
      </c>
      <c r="J2196" t="s">
        <v>761</v>
      </c>
      <c r="L2196" s="17" t="s">
        <v>732</v>
      </c>
      <c r="M2196" s="17" t="s">
        <v>736</v>
      </c>
      <c r="N2196" s="17" t="s">
        <v>736</v>
      </c>
    </row>
    <row r="2197" spans="1:14" x14ac:dyDescent="0.25">
      <c r="A2197" s="10">
        <v>995137</v>
      </c>
      <c r="B2197" s="22" t="str">
        <f>IFERROR(VLOOKUP(A2197,VLOOKUPS!$A$2:B$12589,2,FALSE),"")</f>
        <v>Half and Half 11oz-standard</v>
      </c>
      <c r="E2197">
        <v>4.18</v>
      </c>
      <c r="F2197">
        <v>3.28</v>
      </c>
      <c r="G2197" s="13">
        <v>44504</v>
      </c>
      <c r="H2197" s="13"/>
      <c r="I2197" s="22" t="str">
        <f>VLOOKUP(J2197, Dropdowns!N:O, 2, FALSE)</f>
        <v>Standard</v>
      </c>
      <c r="J2197" t="s">
        <v>761</v>
      </c>
      <c r="L2197" s="17" t="s">
        <v>732</v>
      </c>
      <c r="M2197" s="17" t="s">
        <v>736</v>
      </c>
      <c r="N2197" s="17" t="s">
        <v>736</v>
      </c>
    </row>
    <row r="2198" spans="1:14" x14ac:dyDescent="0.25">
      <c r="A2198" s="10">
        <v>995138</v>
      </c>
      <c r="B2198" s="22" t="str">
        <f>IFERROR(VLOOKUP(A2198,VLOOKUPS!$A$2:B$12589,2,FALSE),"")</f>
        <v>Spring Mix 11oz-standard</v>
      </c>
      <c r="E2198">
        <v>3.99</v>
      </c>
      <c r="F2198">
        <v>3.28</v>
      </c>
      <c r="G2198" s="13">
        <v>44504</v>
      </c>
      <c r="H2198" s="13"/>
      <c r="I2198" s="22" t="str">
        <f>VLOOKUP(J2198, Dropdowns!N:O, 2, FALSE)</f>
        <v>Standard</v>
      </c>
      <c r="J2198" t="s">
        <v>761</v>
      </c>
      <c r="L2198" s="17" t="s">
        <v>732</v>
      </c>
      <c r="M2198" s="17" t="s">
        <v>736</v>
      </c>
      <c r="N2198" s="17" t="s">
        <v>736</v>
      </c>
    </row>
    <row r="2199" spans="1:14" x14ac:dyDescent="0.25">
      <c r="A2199" s="10">
        <v>995163</v>
      </c>
      <c r="B2199" s="22" t="str">
        <f>IFERROR(VLOOKUP(A2199,VLOOKUPS!$A$2:B$12589,2,FALSE),"")</f>
        <v>XL Caesar Salad Kit 15oz-standard</v>
      </c>
      <c r="E2199">
        <v>4.4400000000000004</v>
      </c>
      <c r="F2199">
        <v>2.99</v>
      </c>
      <c r="G2199" s="13">
        <v>44504</v>
      </c>
      <c r="H2199" s="13">
        <v>44505</v>
      </c>
      <c r="I2199" s="22" t="str">
        <f>VLOOKUP(J2199, Dropdowns!N:O, 2, FALSE)</f>
        <v>Lower Price</v>
      </c>
      <c r="J2199" t="s">
        <v>759</v>
      </c>
      <c r="L2199" s="17" t="s">
        <v>732</v>
      </c>
      <c r="M2199" s="17" t="s">
        <v>738</v>
      </c>
      <c r="N2199" s="17">
        <v>2</v>
      </c>
    </row>
    <row r="2200" spans="1:14" x14ac:dyDescent="0.25">
      <c r="A2200" s="10">
        <v>984621</v>
      </c>
      <c r="B2200" s="22" t="str">
        <f>IFERROR(VLOOKUP(A2200,VLOOKUPS!$A$2:B$12589,2,FALSE),"")</f>
        <v>Raspberries 12oz-standard</v>
      </c>
      <c r="E2200">
        <v>5.18</v>
      </c>
      <c r="F2200">
        <v>3.99</v>
      </c>
      <c r="G2200" s="13">
        <v>44504</v>
      </c>
      <c r="H2200" s="13">
        <v>44505</v>
      </c>
      <c r="I2200" s="22" t="str">
        <f>VLOOKUP(J2200, Dropdowns!N:O, 2, FALSE)</f>
        <v>Lower Price</v>
      </c>
      <c r="J2200" t="s">
        <v>759</v>
      </c>
      <c r="L2200" s="17" t="s">
        <v>732</v>
      </c>
      <c r="M2200" s="17" t="s">
        <v>10</v>
      </c>
      <c r="N2200" s="17">
        <v>2</v>
      </c>
    </row>
    <row r="2201" spans="1:14" x14ac:dyDescent="0.25">
      <c r="A2201" s="10">
        <v>995163</v>
      </c>
      <c r="B2201" s="22" t="str">
        <f>IFERROR(VLOOKUP(A2201,VLOOKUPS!$A$2:B$12589,2,FALSE),"")</f>
        <v>XL Caesar Salad Kit 15oz-standard</v>
      </c>
      <c r="E2201">
        <v>2.99</v>
      </c>
      <c r="F2201">
        <v>4.4400000000000004</v>
      </c>
      <c r="G2201" s="13">
        <v>44506</v>
      </c>
      <c r="H2201" s="13"/>
      <c r="I2201" s="22" t="str">
        <f>VLOOKUP(J2201, Dropdowns!N:O, 2, FALSE)</f>
        <v>Standard</v>
      </c>
      <c r="J2201" t="s">
        <v>760</v>
      </c>
      <c r="L2201" s="17" t="s">
        <v>732</v>
      </c>
      <c r="M2201" s="17" t="s">
        <v>738</v>
      </c>
      <c r="N2201" s="17">
        <v>2</v>
      </c>
    </row>
    <row r="2202" spans="1:14" x14ac:dyDescent="0.25">
      <c r="A2202" s="10">
        <v>984621</v>
      </c>
      <c r="B2202" s="22" t="str">
        <f>IFERROR(VLOOKUP(A2202,VLOOKUPS!$A$2:B$12589,2,FALSE),"")</f>
        <v>Raspberries 12oz-standard</v>
      </c>
      <c r="E2202">
        <v>3.99</v>
      </c>
      <c r="F2202">
        <v>5.18</v>
      </c>
      <c r="G2202" s="13">
        <v>44506</v>
      </c>
      <c r="H2202" s="13"/>
      <c r="I2202" s="22" t="str">
        <f>VLOOKUP(J2202, Dropdowns!N:O, 2, FALSE)</f>
        <v>Standard</v>
      </c>
      <c r="J2202" t="s">
        <v>760</v>
      </c>
      <c r="L2202" s="17" t="s">
        <v>732</v>
      </c>
      <c r="M2202" s="17" t="s">
        <v>10</v>
      </c>
      <c r="N2202" s="17">
        <v>2</v>
      </c>
    </row>
    <row r="2203" spans="1:14" x14ac:dyDescent="0.25">
      <c r="A2203" s="10">
        <v>988620</v>
      </c>
      <c r="B2203" s="22" t="str">
        <f>IFERROR(VLOOKUP(A2203,VLOOKUPS!$A$2:B$12589,2,FALSE),"")</f>
        <v>Brussels Sprouts 1lb-standard</v>
      </c>
      <c r="E2203">
        <v>2.89</v>
      </c>
      <c r="F2203">
        <v>1.99</v>
      </c>
      <c r="G2203" s="13">
        <v>44504</v>
      </c>
      <c r="H2203" s="13">
        <v>44505</v>
      </c>
      <c r="I2203" s="22" t="str">
        <f>VLOOKUP(J2203, Dropdowns!N:O, 2, FALSE)</f>
        <v>Lower Price</v>
      </c>
      <c r="J2203" t="s">
        <v>759</v>
      </c>
      <c r="L2203" s="17" t="s">
        <v>732</v>
      </c>
      <c r="M2203" s="17" t="s">
        <v>738</v>
      </c>
      <c r="N2203" s="17">
        <v>2</v>
      </c>
    </row>
    <row r="2204" spans="1:14" x14ac:dyDescent="0.25">
      <c r="A2204" s="10">
        <v>988620</v>
      </c>
      <c r="B2204" s="22" t="str">
        <f>IFERROR(VLOOKUP(A2204,VLOOKUPS!$A$2:B$12589,2,FALSE),"")</f>
        <v>Brussels Sprouts 1lb-standard</v>
      </c>
      <c r="E2204">
        <v>1.99</v>
      </c>
      <c r="F2204">
        <v>2.89</v>
      </c>
      <c r="G2204" s="13">
        <v>44506</v>
      </c>
      <c r="H2204" s="13"/>
      <c r="I2204" s="22" t="str">
        <f>VLOOKUP(J2204, Dropdowns!N:O, 2, FALSE)</f>
        <v>Standard</v>
      </c>
      <c r="J2204" t="s">
        <v>760</v>
      </c>
      <c r="L2204" s="17" t="s">
        <v>732</v>
      </c>
      <c r="M2204" s="17" t="s">
        <v>738</v>
      </c>
      <c r="N2204" s="17">
        <v>2</v>
      </c>
    </row>
    <row r="2205" spans="1:14" x14ac:dyDescent="0.25">
      <c r="A2205" s="10">
        <v>995103</v>
      </c>
      <c r="B2205" s="22" t="str">
        <f>IFERROR(VLOOKUP(A2205,VLOOKUPS!$A$2:B$12589,2,FALSE),"")</f>
        <v>Teriyaki Stir Fry Kit 12.5oz-standard</v>
      </c>
      <c r="E2205">
        <v>2.98</v>
      </c>
      <c r="F2205">
        <v>1.98</v>
      </c>
      <c r="G2205" s="13">
        <v>44504</v>
      </c>
      <c r="H2205" s="13">
        <v>44505</v>
      </c>
      <c r="I2205" s="22" t="str">
        <f>VLOOKUP(J2205, Dropdowns!N:O, 2, FALSE)</f>
        <v>Lower Price</v>
      </c>
      <c r="J2205" t="s">
        <v>759</v>
      </c>
      <c r="L2205" s="17" t="s">
        <v>732</v>
      </c>
      <c r="M2205" s="17" t="s">
        <v>738</v>
      </c>
      <c r="N2205" s="17">
        <v>2</v>
      </c>
    </row>
    <row r="2206" spans="1:14" x14ac:dyDescent="0.25">
      <c r="A2206" s="10">
        <v>995103</v>
      </c>
      <c r="B2206" s="22" t="str">
        <f>IFERROR(VLOOKUP(A2206,VLOOKUPS!$A$2:B$12589,2,FALSE),"")</f>
        <v>Teriyaki Stir Fry Kit 12.5oz-standard</v>
      </c>
      <c r="E2206">
        <v>1.98</v>
      </c>
      <c r="F2206">
        <v>2.98</v>
      </c>
      <c r="G2206" s="13">
        <v>44506</v>
      </c>
      <c r="H2206" s="13"/>
      <c r="I2206" s="22" t="str">
        <f>VLOOKUP(J2206, Dropdowns!N:O, 2, FALSE)</f>
        <v>Standard</v>
      </c>
      <c r="J2206" t="s">
        <v>760</v>
      </c>
      <c r="L2206" s="17" t="s">
        <v>732</v>
      </c>
      <c r="M2206" s="17" t="s">
        <v>738</v>
      </c>
      <c r="N2206" s="17">
        <v>2</v>
      </c>
    </row>
    <row r="2207" spans="1:14" x14ac:dyDescent="0.25">
      <c r="A2207" s="10">
        <v>995104</v>
      </c>
      <c r="B2207" s="22" t="str">
        <f>IFERROR(VLOOKUP(A2207,VLOOKUPS!$A$2:B$12589,2,FALSE),"")</f>
        <v>Ginger Garlic Stir Fry Kit 14oz-standard</v>
      </c>
      <c r="E2207">
        <v>2.98</v>
      </c>
      <c r="F2207">
        <v>1.98</v>
      </c>
      <c r="G2207" s="13">
        <v>44504</v>
      </c>
      <c r="H2207" s="13">
        <v>44505</v>
      </c>
      <c r="I2207" s="22" t="str">
        <f>VLOOKUP(J2207, Dropdowns!N:O, 2, FALSE)</f>
        <v>Lower Price</v>
      </c>
      <c r="J2207" t="s">
        <v>759</v>
      </c>
      <c r="L2207" s="17" t="s">
        <v>732</v>
      </c>
      <c r="M2207" s="17" t="s">
        <v>10</v>
      </c>
      <c r="N2207" s="17">
        <v>2</v>
      </c>
    </row>
    <row r="2208" spans="1:14" x14ac:dyDescent="0.25">
      <c r="A2208" s="10">
        <v>995104</v>
      </c>
      <c r="B2208" s="22" t="str">
        <f>IFERROR(VLOOKUP(A2208,VLOOKUPS!$A$2:B$12589,2,FALSE),"")</f>
        <v>Ginger Garlic Stir Fry Kit 14oz-standard</v>
      </c>
      <c r="E2208">
        <v>1.98</v>
      </c>
      <c r="F2208">
        <v>2.98</v>
      </c>
      <c r="G2208" s="13">
        <v>44506</v>
      </c>
      <c r="H2208" s="13"/>
      <c r="I2208" s="22" t="str">
        <f>VLOOKUP(J2208, Dropdowns!N:O, 2, FALSE)</f>
        <v>Standard</v>
      </c>
      <c r="J2208" t="s">
        <v>760</v>
      </c>
      <c r="L2208" s="17" t="s">
        <v>732</v>
      </c>
      <c r="M2208" s="17" t="s">
        <v>10</v>
      </c>
      <c r="N2208" s="17">
        <v>2</v>
      </c>
    </row>
    <row r="2209" spans="1:14" x14ac:dyDescent="0.25">
      <c r="A2209" s="10">
        <v>995035</v>
      </c>
      <c r="B2209" s="22" t="str">
        <f>IFERROR(VLOOKUP(A2209,VLOOKUPS!$A$2:B$12589,2,FALSE),"")</f>
        <v>Kale Greens 16oz-standard</v>
      </c>
      <c r="E2209">
        <v>2.19</v>
      </c>
      <c r="F2209">
        <v>2.2799999999999998</v>
      </c>
      <c r="G2209" s="13">
        <v>44504</v>
      </c>
      <c r="H2209" s="13"/>
      <c r="I2209" s="22" t="str">
        <f>VLOOKUP(J2209, Dropdowns!N:O, 2, FALSE)</f>
        <v>Standard</v>
      </c>
      <c r="J2209" t="s">
        <v>761</v>
      </c>
      <c r="L2209" s="17" t="s">
        <v>732</v>
      </c>
      <c r="M2209" s="17" t="s">
        <v>737</v>
      </c>
      <c r="N2209" s="17" t="s">
        <v>736</v>
      </c>
    </row>
    <row r="2210" spans="1:14" x14ac:dyDescent="0.25">
      <c r="A2210" s="10">
        <v>995035</v>
      </c>
      <c r="B2210" s="22" t="str">
        <f>IFERROR(VLOOKUP(A2210,VLOOKUPS!$A$2:B$12589,2,FALSE),"")</f>
        <v>Kale Greens 16oz-standard</v>
      </c>
      <c r="E2210">
        <v>2.19</v>
      </c>
      <c r="F2210">
        <v>2.2799999999999998</v>
      </c>
      <c r="G2210" s="13">
        <v>44506</v>
      </c>
      <c r="H2210" s="13"/>
      <c r="I2210" s="22" t="str">
        <f>VLOOKUP(J2210, Dropdowns!N:O, 2, FALSE)</f>
        <v>Standard</v>
      </c>
      <c r="J2210" t="s">
        <v>761</v>
      </c>
      <c r="L2210" s="17" t="s">
        <v>732</v>
      </c>
      <c r="M2210" s="17" t="s">
        <v>10</v>
      </c>
      <c r="N2210" s="17">
        <v>2</v>
      </c>
    </row>
    <row r="2211" spans="1:14" x14ac:dyDescent="0.25">
      <c r="A2211" s="10">
        <v>983201</v>
      </c>
      <c r="B2211" s="22" t="str">
        <f>IFERROR(VLOOKUP(A2211,VLOOKUPS!$A$2:B$12589,2,FALSE),"")</f>
        <v>Melons* Honeydew 1ct-LOOSE</v>
      </c>
      <c r="E2211">
        <v>3.98</v>
      </c>
      <c r="F2211">
        <v>2.98</v>
      </c>
      <c r="G2211" s="13">
        <v>44504</v>
      </c>
      <c r="H2211" s="13">
        <v>44505</v>
      </c>
      <c r="I2211" s="22" t="str">
        <f>VLOOKUP(J2211, Dropdowns!N:O, 2, FALSE)</f>
        <v>Lower Price</v>
      </c>
      <c r="J2211" t="s">
        <v>759</v>
      </c>
      <c r="L2211" s="17" t="s">
        <v>732</v>
      </c>
      <c r="M2211" s="17" t="s">
        <v>9</v>
      </c>
      <c r="N2211" s="17" t="s">
        <v>736</v>
      </c>
    </row>
    <row r="2212" spans="1:14" x14ac:dyDescent="0.25">
      <c r="A2212" s="10">
        <v>983201</v>
      </c>
      <c r="B2212" s="22" t="str">
        <f>IFERROR(VLOOKUP(A2212,VLOOKUPS!$A$2:B$12589,2,FALSE),"")</f>
        <v>Melons* Honeydew 1ct-LOOSE</v>
      </c>
      <c r="E2212">
        <v>2.98</v>
      </c>
      <c r="F2212">
        <v>3.98</v>
      </c>
      <c r="G2212" s="13">
        <v>44506</v>
      </c>
      <c r="H2212" s="13"/>
      <c r="I2212" s="22" t="str">
        <f>VLOOKUP(J2212, Dropdowns!N:O, 2, FALSE)</f>
        <v>Standard</v>
      </c>
      <c r="J2212" t="s">
        <v>760</v>
      </c>
      <c r="L2212" s="17" t="s">
        <v>732</v>
      </c>
      <c r="M2212" s="17" t="s">
        <v>9</v>
      </c>
      <c r="N2212" s="17" t="s">
        <v>736</v>
      </c>
    </row>
    <row r="2213" spans="1:14" x14ac:dyDescent="0.25">
      <c r="A2213" s="10">
        <v>984621</v>
      </c>
      <c r="B2213" s="22" t="str">
        <f>IFERROR(VLOOKUP(A2213,VLOOKUPS!$A$2:B$12589,2,FALSE),"")</f>
        <v>Raspberries 12oz-standard</v>
      </c>
      <c r="E2213">
        <v>5.18</v>
      </c>
      <c r="F2213">
        <v>3.99</v>
      </c>
      <c r="G2213" s="13">
        <v>44504</v>
      </c>
      <c r="H2213" s="13">
        <v>44505</v>
      </c>
      <c r="I2213" s="22" t="str">
        <f>VLOOKUP(J2213, Dropdowns!N:O, 2, FALSE)</f>
        <v>Lower Price</v>
      </c>
      <c r="J2213" t="s">
        <v>759</v>
      </c>
      <c r="L2213" s="17" t="s">
        <v>732</v>
      </c>
      <c r="M2213" s="17" t="s">
        <v>736</v>
      </c>
      <c r="N2213" s="17" t="s">
        <v>736</v>
      </c>
    </row>
    <row r="2214" spans="1:14" x14ac:dyDescent="0.25">
      <c r="A2214" s="10">
        <v>984621</v>
      </c>
      <c r="B2214" s="22" t="str">
        <f>IFERROR(VLOOKUP(A2214,VLOOKUPS!$A$2:B$12589,2,FALSE),"")</f>
        <v>Raspberries 12oz-standard</v>
      </c>
      <c r="E2214">
        <v>3.99</v>
      </c>
      <c r="F2214">
        <v>5.18</v>
      </c>
      <c r="G2214" s="13">
        <v>44506</v>
      </c>
      <c r="H2214" s="13"/>
      <c r="I2214" s="22" t="str">
        <f>VLOOKUP(J2214, Dropdowns!N:O, 2, FALSE)</f>
        <v>Standard</v>
      </c>
      <c r="J2214" t="s">
        <v>760</v>
      </c>
      <c r="L2214" s="17" t="s">
        <v>732</v>
      </c>
      <c r="M2214" s="17" t="s">
        <v>736</v>
      </c>
      <c r="N2214" s="17" t="s">
        <v>736</v>
      </c>
    </row>
    <row r="2215" spans="1:14" x14ac:dyDescent="0.25">
      <c r="A2215" s="10">
        <v>988540</v>
      </c>
      <c r="B2215" s="22" t="str">
        <f>IFERROR(VLOOKUP(A2215,VLOOKUPS!$A$2:B$12589,2,FALSE),"")</f>
        <v>Broccolini 6oz-standard</v>
      </c>
      <c r="E2215">
        <v>2.99</v>
      </c>
      <c r="G2215" s="13">
        <v>44504</v>
      </c>
      <c r="H2215" s="13"/>
      <c r="I2215" s="22" t="str">
        <f>VLOOKUP(J2215, Dropdowns!N:O, 2, FALSE)</f>
        <v>NA</v>
      </c>
      <c r="J2215" t="s">
        <v>754</v>
      </c>
      <c r="L2215" s="17" t="s">
        <v>732</v>
      </c>
      <c r="M2215" s="17" t="s">
        <v>736</v>
      </c>
      <c r="N2215" s="17" t="s">
        <v>736</v>
      </c>
    </row>
    <row r="2216" spans="1:14" x14ac:dyDescent="0.25">
      <c r="A2216" s="10">
        <v>995022</v>
      </c>
      <c r="B2216" s="22" t="str">
        <f>IFERROR(VLOOKUP(A2216,VLOOKUPS!$A$2:B$12589,2,FALSE),"")</f>
        <v>American Blend 12oz-standard</v>
      </c>
      <c r="E2216">
        <v>1.99</v>
      </c>
      <c r="F2216">
        <v>0.99</v>
      </c>
      <c r="G2216" s="13">
        <v>44504</v>
      </c>
      <c r="H2216" s="13">
        <v>44505</v>
      </c>
      <c r="I2216" s="22" t="str">
        <f>VLOOKUP(J2216, Dropdowns!N:O, 2, FALSE)</f>
        <v>Lower Price</v>
      </c>
      <c r="J2216" t="s">
        <v>759</v>
      </c>
      <c r="L2216" s="17" t="s">
        <v>733</v>
      </c>
      <c r="M2216" s="17" t="s">
        <v>11</v>
      </c>
      <c r="N2216" s="17" t="s">
        <v>740</v>
      </c>
    </row>
    <row r="2217" spans="1:14" x14ac:dyDescent="0.25">
      <c r="A2217" s="10">
        <v>995022</v>
      </c>
      <c r="B2217" s="22" t="str">
        <f>IFERROR(VLOOKUP(A2217,VLOOKUPS!$A$2:B$12589,2,FALSE),"")</f>
        <v>American Blend 12oz-standard</v>
      </c>
      <c r="E2217">
        <v>0.99</v>
      </c>
      <c r="F2217">
        <v>1.99</v>
      </c>
      <c r="G2217" s="13">
        <v>44506</v>
      </c>
      <c r="H2217" s="13"/>
      <c r="I2217" s="22" t="str">
        <f>VLOOKUP(J2217, Dropdowns!N:O, 2, FALSE)</f>
        <v>Standard</v>
      </c>
      <c r="J2217" t="s">
        <v>760</v>
      </c>
      <c r="L2217" s="17" t="s">
        <v>733</v>
      </c>
      <c r="M2217" s="17" t="s">
        <v>11</v>
      </c>
      <c r="N2217" s="17" t="s">
        <v>740</v>
      </c>
    </row>
    <row r="2218" spans="1:14" x14ac:dyDescent="0.25">
      <c r="A2218" s="10">
        <v>995041</v>
      </c>
      <c r="B2218" s="22" t="str">
        <f>IFERROR(VLOOKUP(A2218,VLOOKUPS!$A$2:B$12589,2,FALSE),"")</f>
        <v>Pineapple Spears 16oz-standard</v>
      </c>
      <c r="E2218">
        <v>3.49</v>
      </c>
      <c r="F2218">
        <v>1.99</v>
      </c>
      <c r="G2218" s="13">
        <v>44504</v>
      </c>
      <c r="H2218" s="13">
        <v>44505</v>
      </c>
      <c r="I2218" s="22" t="str">
        <f>VLOOKUP(J2218, Dropdowns!N:O, 2, FALSE)</f>
        <v>Lower Price</v>
      </c>
      <c r="J2218" t="s">
        <v>759</v>
      </c>
      <c r="L2218" s="17" t="s">
        <v>732</v>
      </c>
      <c r="M2218" s="17" t="s">
        <v>9</v>
      </c>
      <c r="N2218" s="17" t="s">
        <v>736</v>
      </c>
    </row>
    <row r="2219" spans="1:14" x14ac:dyDescent="0.25">
      <c r="A2219" s="10">
        <v>995041</v>
      </c>
      <c r="B2219" s="22" t="str">
        <f>IFERROR(VLOOKUP(A2219,VLOOKUPS!$A$2:B$12589,2,FALSE),"")</f>
        <v>Pineapple Spears 16oz-standard</v>
      </c>
      <c r="E2219">
        <v>1.99</v>
      </c>
      <c r="F2219">
        <v>3.49</v>
      </c>
      <c r="G2219" s="13">
        <v>44507</v>
      </c>
      <c r="H2219" s="13"/>
      <c r="I2219" s="22" t="str">
        <f>VLOOKUP(J2219, Dropdowns!N:O, 2, FALSE)</f>
        <v>Standard</v>
      </c>
      <c r="J2219" t="s">
        <v>760</v>
      </c>
      <c r="L2219" s="17" t="s">
        <v>732</v>
      </c>
      <c r="M2219" s="17" t="s">
        <v>9</v>
      </c>
      <c r="N2219" s="17" t="s">
        <v>736</v>
      </c>
    </row>
    <row r="2220" spans="1:14" x14ac:dyDescent="0.25">
      <c r="A2220" s="10">
        <v>995050</v>
      </c>
      <c r="B2220" s="22" t="str">
        <f>IFERROR(VLOOKUP(A2220,VLOOKUPS!$A$2:B$12589,2,FALSE),"")</f>
        <v>Organic Bagged Kale 10oz-standard</v>
      </c>
      <c r="E2220">
        <v>2.69</v>
      </c>
      <c r="G2220" s="13">
        <v>44504</v>
      </c>
      <c r="H2220" s="13"/>
      <c r="I2220" s="22" t="str">
        <f>VLOOKUP(J2220, Dropdowns!N:O, 2, FALSE)</f>
        <v>NA</v>
      </c>
      <c r="J2220" t="s">
        <v>754</v>
      </c>
      <c r="L2220" s="17" t="s">
        <v>732</v>
      </c>
      <c r="M2220" s="17" t="s">
        <v>736</v>
      </c>
      <c r="N2220" s="17" t="s">
        <v>736</v>
      </c>
    </row>
    <row r="2221" spans="1:14" x14ac:dyDescent="0.25">
      <c r="A2221" s="10">
        <v>995053</v>
      </c>
      <c r="B2221" s="22" t="str">
        <f>IFERROR(VLOOKUP(A2221,VLOOKUPS!$A$2:B$12589,2,FALSE),"")</f>
        <v>Fresh Chopped Salsa Pico 16oz-standard</v>
      </c>
      <c r="E2221">
        <v>4.49</v>
      </c>
      <c r="F2221">
        <v>2.99</v>
      </c>
      <c r="G2221" s="13">
        <v>44504</v>
      </c>
      <c r="H2221" s="13">
        <v>44505</v>
      </c>
      <c r="I2221" s="22" t="str">
        <f>VLOOKUP(J2221, Dropdowns!N:O, 2, FALSE)</f>
        <v>Lower Price</v>
      </c>
      <c r="J2221" t="s">
        <v>759</v>
      </c>
      <c r="L2221" s="17" t="s">
        <v>732</v>
      </c>
      <c r="M2221" s="17" t="s">
        <v>9</v>
      </c>
      <c r="N2221" s="17" t="s">
        <v>736</v>
      </c>
    </row>
    <row r="2222" spans="1:14" x14ac:dyDescent="0.25">
      <c r="A2222" s="10">
        <v>995053</v>
      </c>
      <c r="B2222" s="22" t="str">
        <f>IFERROR(VLOOKUP(A2222,VLOOKUPS!$A$2:B$12589,2,FALSE),"")</f>
        <v>Fresh Chopped Salsa Pico 16oz-standard</v>
      </c>
      <c r="E2222">
        <v>2.99</v>
      </c>
      <c r="F2222">
        <v>4.49</v>
      </c>
      <c r="G2222" s="13">
        <v>44507</v>
      </c>
      <c r="H2222" s="13"/>
      <c r="I2222" s="22" t="str">
        <f>VLOOKUP(J2222, Dropdowns!N:O, 2, FALSE)</f>
        <v>Standard</v>
      </c>
      <c r="J2222" t="s">
        <v>760</v>
      </c>
      <c r="L2222" s="17" t="s">
        <v>732</v>
      </c>
      <c r="M2222" s="17" t="s">
        <v>9</v>
      </c>
      <c r="N2222" s="17" t="s">
        <v>736</v>
      </c>
    </row>
    <row r="2223" spans="1:14" x14ac:dyDescent="0.25">
      <c r="A2223" s="10">
        <v>995067</v>
      </c>
      <c r="B2223" s="22" t="str">
        <f>IFERROR(VLOOKUP(A2223,VLOOKUPS!$A$2:B$12589,2,FALSE),"")</f>
        <v>Organic Baby Arugula 5oz-standard</v>
      </c>
      <c r="E2223">
        <v>2.98</v>
      </c>
      <c r="F2223">
        <v>1.98</v>
      </c>
      <c r="G2223" s="13">
        <v>44504</v>
      </c>
      <c r="H2223" s="13">
        <v>44505</v>
      </c>
      <c r="I2223" s="22" t="str">
        <f>VLOOKUP(J2223, Dropdowns!N:O, 2, FALSE)</f>
        <v>Lower Price</v>
      </c>
      <c r="J2223" t="s">
        <v>759</v>
      </c>
      <c r="L2223" s="17" t="s">
        <v>733</v>
      </c>
      <c r="M2223" s="17" t="s">
        <v>11</v>
      </c>
      <c r="N2223" s="17" t="s">
        <v>740</v>
      </c>
    </row>
    <row r="2224" spans="1:14" x14ac:dyDescent="0.25">
      <c r="A2224" s="10">
        <v>995067</v>
      </c>
      <c r="B2224" s="22" t="str">
        <f>IFERROR(VLOOKUP(A2224,VLOOKUPS!$A$2:B$12589,2,FALSE),"")</f>
        <v>Organic Baby Arugula 5oz-standard</v>
      </c>
      <c r="E2224">
        <v>1.98</v>
      </c>
      <c r="F2224">
        <v>2.98</v>
      </c>
      <c r="G2224" s="13">
        <v>44506</v>
      </c>
      <c r="H2224" s="13"/>
      <c r="I2224" s="22" t="str">
        <f>VLOOKUP(J2224, Dropdowns!N:O, 2, FALSE)</f>
        <v>Standard</v>
      </c>
      <c r="J2224" t="s">
        <v>760</v>
      </c>
      <c r="L2224" s="17" t="s">
        <v>733</v>
      </c>
      <c r="M2224" s="17" t="s">
        <v>11</v>
      </c>
      <c r="N2224" s="17" t="s">
        <v>740</v>
      </c>
    </row>
    <row r="2225" spans="1:14" x14ac:dyDescent="0.25">
      <c r="A2225" s="10">
        <v>995076</v>
      </c>
      <c r="B2225" s="22" t="str">
        <f>IFERROR(VLOOKUP(A2225,VLOOKUPS!$A$2:B$12589,2,FALSE),"")</f>
        <v>Organic Power Greens 5oz-standard</v>
      </c>
      <c r="E2225">
        <v>2.4900000000000002</v>
      </c>
      <c r="F2225">
        <v>1.49</v>
      </c>
      <c r="G2225" s="13">
        <v>44504</v>
      </c>
      <c r="H2225" s="13">
        <v>44505</v>
      </c>
      <c r="I2225" s="22" t="str">
        <f>VLOOKUP(J2225, Dropdowns!N:O, 2, FALSE)</f>
        <v>Lower Price</v>
      </c>
      <c r="J2225" t="s">
        <v>759</v>
      </c>
      <c r="L2225" s="17" t="s">
        <v>733</v>
      </c>
      <c r="M2225" s="17" t="s">
        <v>11</v>
      </c>
      <c r="N2225" s="17" t="s">
        <v>740</v>
      </c>
    </row>
    <row r="2226" spans="1:14" x14ac:dyDescent="0.25">
      <c r="A2226" s="10">
        <v>995076</v>
      </c>
      <c r="B2226" s="22" t="str">
        <f>IFERROR(VLOOKUP(A2226,VLOOKUPS!$A$2:B$12589,2,FALSE),"")</f>
        <v>Organic Power Greens 5oz-standard</v>
      </c>
      <c r="E2226">
        <v>1.49</v>
      </c>
      <c r="F2226">
        <v>2.4900000000000002</v>
      </c>
      <c r="G2226" s="13">
        <v>44506</v>
      </c>
      <c r="H2226" s="13"/>
      <c r="I2226" s="22" t="str">
        <f>VLOOKUP(J2226, Dropdowns!N:O, 2, FALSE)</f>
        <v>Standard</v>
      </c>
      <c r="J2226" t="s">
        <v>760</v>
      </c>
      <c r="L2226" s="17" t="s">
        <v>733</v>
      </c>
      <c r="M2226" s="17" t="s">
        <v>11</v>
      </c>
      <c r="N2226" s="17" t="s">
        <v>740</v>
      </c>
    </row>
    <row r="2227" spans="1:14" x14ac:dyDescent="0.25">
      <c r="A2227" s="10">
        <v>995078</v>
      </c>
      <c r="B2227" s="22" t="str">
        <f>IFERROR(VLOOKUP(A2227,VLOOKUPS!$A$2:B$12589,2,FALSE),"")</f>
        <v>Organic Baby Spinach 16oz-standard</v>
      </c>
      <c r="E2227">
        <v>4.9800000000000004</v>
      </c>
      <c r="F2227">
        <v>3.98</v>
      </c>
      <c r="G2227" s="13">
        <v>44504</v>
      </c>
      <c r="H2227" s="13">
        <v>44505</v>
      </c>
      <c r="I2227" s="22" t="str">
        <f>VLOOKUP(J2227, Dropdowns!N:O, 2, FALSE)</f>
        <v>Lower Price</v>
      </c>
      <c r="J2227" t="s">
        <v>759</v>
      </c>
      <c r="L2227" s="17" t="s">
        <v>732</v>
      </c>
      <c r="M2227" s="17" t="s">
        <v>738</v>
      </c>
      <c r="N2227" s="17">
        <v>2</v>
      </c>
    </row>
    <row r="2228" spans="1:14" x14ac:dyDescent="0.25">
      <c r="A2228" s="10">
        <v>995078</v>
      </c>
      <c r="B2228" s="22" t="str">
        <f>IFERROR(VLOOKUP(A2228,VLOOKUPS!$A$2:B$12589,2,FALSE),"")</f>
        <v>Organic Baby Spinach 16oz-standard</v>
      </c>
      <c r="E2228">
        <v>3.98</v>
      </c>
      <c r="F2228">
        <v>4.9800000000000004</v>
      </c>
      <c r="G2228" s="13">
        <v>44506</v>
      </c>
      <c r="H2228" s="13"/>
      <c r="I2228" s="22" t="str">
        <f>VLOOKUP(J2228, Dropdowns!N:O, 2, FALSE)</f>
        <v>Standard</v>
      </c>
      <c r="J2228" t="s">
        <v>760</v>
      </c>
      <c r="L2228" s="17" t="s">
        <v>732</v>
      </c>
      <c r="M2228" s="17" t="s">
        <v>738</v>
      </c>
      <c r="N2228" s="17">
        <v>2</v>
      </c>
    </row>
    <row r="2229" spans="1:14" x14ac:dyDescent="0.25">
      <c r="A2229" s="10">
        <v>995097</v>
      </c>
      <c r="B2229" s="22" t="str">
        <f>IFERROR(VLOOKUP(A2229,VLOOKUPS!$A$2:B$12589,2,FALSE),"")</f>
        <v>Butternut Diced 12oz-standard</v>
      </c>
      <c r="E2229">
        <v>2.4900000000000002</v>
      </c>
      <c r="F2229">
        <v>2.25</v>
      </c>
      <c r="G2229" s="13">
        <v>44504</v>
      </c>
      <c r="H2229" s="13"/>
      <c r="I2229" s="22" t="str">
        <f>VLOOKUP(J2229, Dropdowns!N:O, 2, FALSE)</f>
        <v>Standard</v>
      </c>
      <c r="J2229" t="s">
        <v>761</v>
      </c>
      <c r="L2229" s="17" t="s">
        <v>732</v>
      </c>
      <c r="M2229" s="17" t="s">
        <v>737</v>
      </c>
    </row>
    <row r="2230" spans="1:14" x14ac:dyDescent="0.25">
      <c r="A2230" s="10">
        <v>995084</v>
      </c>
      <c r="B2230" s="22" t="str">
        <f>IFERROR(VLOOKUP(A2230,VLOOKUPS!$A$2:B$12589,2,FALSE),"")</f>
        <v>Eat Smart Green Beans 12oz-standard</v>
      </c>
      <c r="E2230">
        <v>2.78</v>
      </c>
      <c r="F2230">
        <v>1.78</v>
      </c>
      <c r="G2230" s="13">
        <v>44504</v>
      </c>
      <c r="H2230" s="13">
        <v>44505</v>
      </c>
      <c r="I2230" s="22" t="str">
        <f>VLOOKUP(J2230, Dropdowns!N:O, 2, FALSE)</f>
        <v>Lower Price</v>
      </c>
      <c r="J2230" t="s">
        <v>759</v>
      </c>
      <c r="L2230" s="17" t="s">
        <v>733</v>
      </c>
      <c r="M2230" s="17" t="s">
        <v>735</v>
      </c>
      <c r="N2230" s="17" t="s">
        <v>740</v>
      </c>
    </row>
    <row r="2231" spans="1:14" x14ac:dyDescent="0.25">
      <c r="A2231" s="10">
        <v>995084</v>
      </c>
      <c r="B2231" s="22" t="str">
        <f>IFERROR(VLOOKUP(A2231,VLOOKUPS!$A$2:B$12589,2,FALSE),"")</f>
        <v>Eat Smart Green Beans 12oz-standard</v>
      </c>
      <c r="E2231">
        <v>2.88</v>
      </c>
      <c r="F2231">
        <v>1.88</v>
      </c>
      <c r="G2231" s="13">
        <v>44504</v>
      </c>
      <c r="H2231" s="13">
        <v>44505</v>
      </c>
      <c r="I2231" s="22" t="str">
        <f>VLOOKUP(J2231, Dropdowns!N:O, 2, FALSE)</f>
        <v>Lower Price</v>
      </c>
      <c r="J2231" t="s">
        <v>759</v>
      </c>
      <c r="L2231" s="17" t="s">
        <v>734</v>
      </c>
      <c r="M2231" s="17" t="s">
        <v>735</v>
      </c>
      <c r="N2231" s="17" t="s">
        <v>736</v>
      </c>
    </row>
    <row r="2232" spans="1:14" x14ac:dyDescent="0.25">
      <c r="A2232" s="10">
        <v>995084</v>
      </c>
      <c r="B2232" s="22" t="str">
        <f>IFERROR(VLOOKUP(A2232,VLOOKUPS!$A$2:B$12589,2,FALSE),"")</f>
        <v>Eat Smart Green Beans 12oz-standard</v>
      </c>
      <c r="E2232">
        <v>1.88</v>
      </c>
      <c r="F2232">
        <v>2.88</v>
      </c>
      <c r="G2232" s="13">
        <v>44506</v>
      </c>
      <c r="H2232" s="13"/>
      <c r="I2232" s="22" t="str">
        <f>VLOOKUP(J2232, Dropdowns!N:O, 2, FALSE)</f>
        <v>Standard</v>
      </c>
      <c r="J2232" t="s">
        <v>760</v>
      </c>
      <c r="L2232" s="17" t="s">
        <v>734</v>
      </c>
      <c r="M2232" s="17" t="s">
        <v>735</v>
      </c>
      <c r="N2232" s="17" t="s">
        <v>736</v>
      </c>
    </row>
    <row r="2233" spans="1:14" x14ac:dyDescent="0.25">
      <c r="A2233" s="10">
        <v>995084</v>
      </c>
      <c r="B2233" s="22" t="str">
        <f>IFERROR(VLOOKUP(A2233,VLOOKUPS!$A$2:B$12589,2,FALSE),"")</f>
        <v>Eat Smart Green Beans 12oz-standard</v>
      </c>
      <c r="E2233">
        <v>1.78</v>
      </c>
      <c r="F2233">
        <v>2.78</v>
      </c>
      <c r="G2233" s="13">
        <v>44506</v>
      </c>
      <c r="H2233" s="13"/>
      <c r="I2233" s="22" t="str">
        <f>VLOOKUP(J2233, Dropdowns!N:O, 2, FALSE)</f>
        <v>Standard</v>
      </c>
      <c r="J2233" t="s">
        <v>760</v>
      </c>
      <c r="L2233" s="17" t="s">
        <v>733</v>
      </c>
      <c r="M2233" s="17" t="s">
        <v>735</v>
      </c>
      <c r="N2233" s="17" t="s">
        <v>740</v>
      </c>
    </row>
    <row r="2234" spans="1:14" x14ac:dyDescent="0.25">
      <c r="A2234" s="10">
        <v>995097</v>
      </c>
      <c r="B2234" s="22" t="str">
        <f>IFERROR(VLOOKUP(A2234,VLOOKUPS!$A$2:B$12589,2,FALSE),"")</f>
        <v>Butternut Diced 12oz-standard</v>
      </c>
      <c r="E2234">
        <v>2.4900000000000002</v>
      </c>
      <c r="F2234">
        <v>2.25</v>
      </c>
      <c r="G2234" s="13">
        <v>44506</v>
      </c>
      <c r="H2234" s="13"/>
      <c r="I2234" s="22" t="str">
        <f>VLOOKUP(J2234, Dropdowns!N:O, 2, FALSE)</f>
        <v>Standard</v>
      </c>
      <c r="J2234" t="s">
        <v>761</v>
      </c>
      <c r="L2234" s="17" t="s">
        <v>732</v>
      </c>
      <c r="M2234" s="17" t="s">
        <v>10</v>
      </c>
      <c r="N2234" s="17">
        <v>2</v>
      </c>
    </row>
    <row r="2235" spans="1:14" x14ac:dyDescent="0.25">
      <c r="A2235" s="10">
        <v>995124</v>
      </c>
      <c r="B2235" s="22" t="str">
        <f>IFERROR(VLOOKUP(A2235,VLOOKUPS!$A$2:B$12589,2,FALSE),"")</f>
        <v>Sweet Potato Crinkle Fry 10oz-standard</v>
      </c>
      <c r="E2235">
        <v>2.4900000000000002</v>
      </c>
      <c r="G2235" s="13">
        <v>44504</v>
      </c>
      <c r="H2235" s="13"/>
      <c r="I2235" s="22" t="str">
        <f>VLOOKUP(J2235, Dropdowns!N:O, 2, FALSE)</f>
        <v>NA</v>
      </c>
      <c r="J2235" t="s">
        <v>754</v>
      </c>
      <c r="L2235" s="17" t="s">
        <v>732</v>
      </c>
      <c r="M2235" s="17" t="s">
        <v>736</v>
      </c>
      <c r="N2235" s="17" t="s">
        <v>736</v>
      </c>
    </row>
    <row r="2236" spans="1:14" x14ac:dyDescent="0.25">
      <c r="A2236" s="10">
        <v>995129</v>
      </c>
      <c r="B2236" s="22" t="str">
        <f>IFERROR(VLOOKUP(A2236,VLOOKUPS!$A$2:B$12589,2,FALSE),"")</f>
        <v>Organic Broccoli Florets 10oz-standard</v>
      </c>
      <c r="E2236">
        <v>3.29</v>
      </c>
      <c r="G2236" s="13">
        <v>44504</v>
      </c>
      <c r="H2236" s="13"/>
      <c r="I2236" s="22" t="str">
        <f>VLOOKUP(J2236, Dropdowns!N:O, 2, FALSE)</f>
        <v>NA</v>
      </c>
      <c r="J2236" t="s">
        <v>754</v>
      </c>
      <c r="L2236" s="17" t="s">
        <v>732</v>
      </c>
      <c r="M2236" s="17" t="s">
        <v>736</v>
      </c>
      <c r="N2236" s="17" t="s">
        <v>736</v>
      </c>
    </row>
    <row r="2237" spans="1:14" x14ac:dyDescent="0.25">
      <c r="A2237" s="10">
        <v>995130</v>
      </c>
      <c r="B2237" s="22" t="str">
        <f>IFERROR(VLOOKUP(A2237,VLOOKUPS!$A$2:B$12589,2,FALSE),"")</f>
        <v>Organic Green Beans 10oz-standard</v>
      </c>
      <c r="E2237">
        <v>3.29</v>
      </c>
      <c r="G2237" s="13">
        <v>44504</v>
      </c>
      <c r="H2237" s="13"/>
      <c r="I2237" s="22" t="str">
        <f>VLOOKUP(J2237, Dropdowns!N:O, 2, FALSE)</f>
        <v>NA</v>
      </c>
      <c r="J2237" t="s">
        <v>754</v>
      </c>
      <c r="L2237" s="17" t="s">
        <v>732</v>
      </c>
      <c r="M2237" s="17" t="s">
        <v>736</v>
      </c>
      <c r="N2237" s="17" t="s">
        <v>736</v>
      </c>
    </row>
    <row r="2238" spans="1:14" x14ac:dyDescent="0.25">
      <c r="A2238" s="10">
        <v>995147</v>
      </c>
      <c r="B2238" s="22" t="str">
        <f>IFERROR(VLOOKUP(A2238,VLOOKUPS!$A$2:B$12589,2,FALSE),"")</f>
        <v>Celery Sticks 1.25lb-standard</v>
      </c>
      <c r="E2238">
        <v>2.74</v>
      </c>
      <c r="F2238">
        <v>1.74</v>
      </c>
      <c r="G2238" s="13">
        <v>44504</v>
      </c>
      <c r="H2238" s="13">
        <v>44505</v>
      </c>
      <c r="I2238" s="22" t="str">
        <f>VLOOKUP(J2238, Dropdowns!N:O, 2, FALSE)</f>
        <v>Lower Price</v>
      </c>
      <c r="J2238" t="s">
        <v>759</v>
      </c>
      <c r="L2238" s="17" t="s">
        <v>733</v>
      </c>
      <c r="M2238" s="17" t="s">
        <v>11</v>
      </c>
      <c r="N2238" s="17" t="s">
        <v>740</v>
      </c>
    </row>
    <row r="2239" spans="1:14" x14ac:dyDescent="0.25">
      <c r="A2239" s="10">
        <v>995147</v>
      </c>
      <c r="B2239" s="22" t="str">
        <f>IFERROR(VLOOKUP(A2239,VLOOKUPS!$A$2:B$12589,2,FALSE),"")</f>
        <v>Celery Sticks 1.25lb-standard</v>
      </c>
      <c r="E2239">
        <v>1.74</v>
      </c>
      <c r="F2239">
        <v>2.74</v>
      </c>
      <c r="G2239" s="13">
        <v>44507</v>
      </c>
      <c r="H2239" s="13"/>
      <c r="I2239" s="22" t="str">
        <f>VLOOKUP(J2239, Dropdowns!N:O, 2, FALSE)</f>
        <v>Standard</v>
      </c>
      <c r="J2239" t="s">
        <v>760</v>
      </c>
      <c r="L2239" s="17" t="s">
        <v>733</v>
      </c>
      <c r="M2239" s="17" t="s">
        <v>11</v>
      </c>
      <c r="N2239" s="17" t="s">
        <v>740</v>
      </c>
    </row>
    <row r="2240" spans="1:14" x14ac:dyDescent="0.25">
      <c r="A2240" s="10">
        <v>995155</v>
      </c>
      <c r="B2240" s="22" t="str">
        <f>IFERROR(VLOOKUP(A2240,VLOOKUPS!$A$2:B$12589,2,FALSE),"")</f>
        <v>Organic Sweet Apple Slices 12oz-standard</v>
      </c>
      <c r="E2240">
        <v>3.99</v>
      </c>
      <c r="F2240">
        <v>1.49</v>
      </c>
      <c r="G2240" s="13">
        <v>44504</v>
      </c>
      <c r="H2240" s="13">
        <v>44506</v>
      </c>
      <c r="I2240" s="22" t="str">
        <f>VLOOKUP(J2240, Dropdowns!N:O, 2, FALSE)</f>
        <v>Lower Price</v>
      </c>
      <c r="J2240" t="s">
        <v>759</v>
      </c>
      <c r="L2240" s="17" t="s">
        <v>733</v>
      </c>
      <c r="M2240" s="17" t="s">
        <v>11</v>
      </c>
      <c r="N2240" s="17" t="s">
        <v>740</v>
      </c>
    </row>
    <row r="2241" spans="1:17" x14ac:dyDescent="0.25">
      <c r="A2241" s="10">
        <v>995155</v>
      </c>
      <c r="B2241" s="22" t="str">
        <f>IFERROR(VLOOKUP(A2241,VLOOKUPS!$A$2:B$12589,2,FALSE),"")</f>
        <v>Organic Sweet Apple Slices 12oz-standard</v>
      </c>
      <c r="E2241">
        <v>1.49</v>
      </c>
      <c r="F2241">
        <v>3.99</v>
      </c>
      <c r="G2241" s="13">
        <v>44507</v>
      </c>
      <c r="H2241" s="13"/>
      <c r="I2241" s="22" t="str">
        <f>VLOOKUP(J2241, Dropdowns!N:O, 2, FALSE)</f>
        <v>Standard</v>
      </c>
      <c r="J2241" t="s">
        <v>760</v>
      </c>
      <c r="L2241" s="17" t="s">
        <v>733</v>
      </c>
      <c r="M2241" s="17" t="s">
        <v>11</v>
      </c>
      <c r="N2241" s="17" t="s">
        <v>740</v>
      </c>
    </row>
    <row r="2242" spans="1:17" x14ac:dyDescent="0.25">
      <c r="A2242" s="10">
        <v>995162</v>
      </c>
      <c r="B2242" s="22" t="str">
        <f>IFERROR(VLOOKUP(A2242,VLOOKUPS!$A$2:B$12589,2,FALSE),"")</f>
        <v>Buffalo Ranch Salad Kit 12oz-standard</v>
      </c>
      <c r="D2242">
        <v>9</v>
      </c>
      <c r="F2242">
        <v>3.49</v>
      </c>
      <c r="G2242" s="13">
        <v>44504</v>
      </c>
      <c r="H2242" s="13"/>
      <c r="I2242" s="22" t="str">
        <f>VLOOKUP(J2242, Dropdowns!N:O, 2, FALSE)</f>
        <v>New</v>
      </c>
      <c r="J2242" t="s">
        <v>776</v>
      </c>
      <c r="L2242" s="17" t="s">
        <v>732</v>
      </c>
      <c r="M2242" s="17" t="s">
        <v>736</v>
      </c>
      <c r="N2242" s="17" t="s">
        <v>736</v>
      </c>
      <c r="O2242" t="s">
        <v>748</v>
      </c>
      <c r="P2242">
        <v>1</v>
      </c>
      <c r="Q2242" s="17" t="s">
        <v>1044</v>
      </c>
    </row>
    <row r="2243" spans="1:17" x14ac:dyDescent="0.25">
      <c r="A2243" s="10">
        <v>984542</v>
      </c>
      <c r="B2243" s="22" t="str">
        <f>IFERROR(VLOOKUP(A2243,VLOOKUPS!$A$2:B$12589,2,FALSE),"")</f>
        <v>Blueberries 18oz-standard</v>
      </c>
      <c r="E2243">
        <v>4.29</v>
      </c>
      <c r="F2243">
        <v>2.99</v>
      </c>
      <c r="G2243" s="13">
        <v>44505</v>
      </c>
      <c r="H2243" s="13">
        <v>44506</v>
      </c>
      <c r="I2243" s="22" t="str">
        <f>VLOOKUP(J2243, Dropdowns!N:O, 2, FALSE)</f>
        <v>Lower Price</v>
      </c>
      <c r="J2243" t="s">
        <v>759</v>
      </c>
      <c r="L2243" s="17" t="s">
        <v>732</v>
      </c>
      <c r="M2243" s="17" t="s">
        <v>736</v>
      </c>
      <c r="N2243" s="17" t="s">
        <v>736</v>
      </c>
    </row>
    <row r="2244" spans="1:17" x14ac:dyDescent="0.25">
      <c r="A2244" s="10">
        <v>984542</v>
      </c>
      <c r="B2244" s="22" t="str">
        <f>IFERROR(VLOOKUP(A2244,VLOOKUPS!$A$2:B$12589,2,FALSE),"")</f>
        <v>Blueberries 18oz-standard</v>
      </c>
      <c r="E2244">
        <v>2.99</v>
      </c>
      <c r="F2244">
        <v>4.29</v>
      </c>
      <c r="G2244" s="13">
        <v>44507</v>
      </c>
      <c r="H2244" s="13"/>
      <c r="I2244" s="22" t="str">
        <f>VLOOKUP(J2244, Dropdowns!N:O, 2, FALSE)</f>
        <v>Standard</v>
      </c>
      <c r="J2244" t="s">
        <v>760</v>
      </c>
      <c r="L2244" s="17" t="s">
        <v>732</v>
      </c>
      <c r="M2244" s="17" t="s">
        <v>736</v>
      </c>
      <c r="N2244" s="17" t="s">
        <v>736</v>
      </c>
    </row>
    <row r="2245" spans="1:17" x14ac:dyDescent="0.25">
      <c r="A2245" s="10">
        <v>988540</v>
      </c>
      <c r="B2245" s="22" t="str">
        <f>IFERROR(VLOOKUP(A2245,VLOOKUPS!$A$2:B$12589,2,FALSE),"")</f>
        <v>Broccolini 6oz-standard</v>
      </c>
      <c r="E2245">
        <v>2.99</v>
      </c>
      <c r="G2245" s="13">
        <v>44505</v>
      </c>
      <c r="H2245" s="13"/>
      <c r="I2245" s="22" t="str">
        <f>VLOOKUP(J2245, Dropdowns!N:O, 2, FALSE)</f>
        <v>NA</v>
      </c>
      <c r="J2245" t="s">
        <v>754</v>
      </c>
      <c r="L2245" s="17" t="s">
        <v>732</v>
      </c>
    </row>
    <row r="2246" spans="1:17" x14ac:dyDescent="0.25">
      <c r="A2246" s="10">
        <v>988703</v>
      </c>
      <c r="B2246" s="22" t="str">
        <f>IFERROR(VLOOKUP(A2246,VLOOKUPS!$A$2:B$12589,2,FALSE),"")</f>
        <v>Collard Greens 16oz-standard</v>
      </c>
      <c r="D2246">
        <v>6</v>
      </c>
      <c r="F2246">
        <v>2.25</v>
      </c>
      <c r="G2246" s="13">
        <v>44505</v>
      </c>
      <c r="H2246" s="13"/>
      <c r="I2246" s="22" t="str">
        <f>VLOOKUP(J2246, Dropdowns!N:O, 2, FALSE)</f>
        <v>New</v>
      </c>
      <c r="J2246" t="s">
        <v>776</v>
      </c>
      <c r="L2246" s="17" t="s">
        <v>732</v>
      </c>
      <c r="O2246" s="17" t="s">
        <v>748</v>
      </c>
      <c r="P2246">
        <v>1</v>
      </c>
      <c r="Q2246" s="17" t="s">
        <v>1044</v>
      </c>
    </row>
    <row r="2247" spans="1:17" x14ac:dyDescent="0.25">
      <c r="A2247" s="10">
        <v>995022</v>
      </c>
      <c r="B2247" s="22" t="str">
        <f>IFERROR(VLOOKUP(A2247,VLOOKUPS!$A$2:B$12589,2,FALSE),"")</f>
        <v>American Blend 12oz-standard</v>
      </c>
      <c r="E2247">
        <v>1.99</v>
      </c>
      <c r="F2247">
        <v>0.99</v>
      </c>
      <c r="G2247" s="13">
        <v>44505</v>
      </c>
      <c r="H2247" s="13">
        <v>44506</v>
      </c>
      <c r="I2247" s="22" t="str">
        <f>VLOOKUP(J2247, Dropdowns!N:O, 2, FALSE)</f>
        <v>Lower Price</v>
      </c>
      <c r="J2247" t="s">
        <v>759</v>
      </c>
      <c r="L2247" s="17" t="s">
        <v>733</v>
      </c>
      <c r="M2247" s="17" t="s">
        <v>11</v>
      </c>
      <c r="N2247" s="17" t="s">
        <v>740</v>
      </c>
    </row>
    <row r="2248" spans="1:17" x14ac:dyDescent="0.25">
      <c r="A2248" s="10">
        <v>995022</v>
      </c>
      <c r="B2248" s="22" t="str">
        <f>IFERROR(VLOOKUP(A2248,VLOOKUPS!$A$2:B$12589,2,FALSE),"")</f>
        <v>American Blend 12oz-standard</v>
      </c>
      <c r="E2248">
        <v>0.99</v>
      </c>
      <c r="F2248">
        <v>1.99</v>
      </c>
      <c r="G2248" s="13">
        <v>44507</v>
      </c>
      <c r="H2248" s="13"/>
      <c r="I2248" s="22" t="str">
        <f>VLOOKUP(J2248, Dropdowns!N:O, 2, FALSE)</f>
        <v>Standard</v>
      </c>
      <c r="J2248" t="s">
        <v>760</v>
      </c>
      <c r="L2248" s="17" t="s">
        <v>733</v>
      </c>
      <c r="M2248" s="17" t="s">
        <v>11</v>
      </c>
      <c r="N2248" s="17" t="s">
        <v>740</v>
      </c>
    </row>
    <row r="2249" spans="1:17" x14ac:dyDescent="0.25">
      <c r="A2249" s="10">
        <v>995041</v>
      </c>
      <c r="B2249" s="22" t="str">
        <f>IFERROR(VLOOKUP(A2249,VLOOKUPS!$A$2:B$12589,2,FALSE),"")</f>
        <v>Pineapple Spears 16oz-standard</v>
      </c>
      <c r="E2249">
        <v>3.49</v>
      </c>
      <c r="F2249">
        <v>1.99</v>
      </c>
      <c r="G2249" s="13">
        <v>44505</v>
      </c>
      <c r="H2249" s="13">
        <v>44506</v>
      </c>
      <c r="I2249" s="22" t="str">
        <f>VLOOKUP(J2249, Dropdowns!N:O, 2, FALSE)</f>
        <v>Lower Price</v>
      </c>
      <c r="J2249" t="s">
        <v>759</v>
      </c>
      <c r="L2249" s="17" t="s">
        <v>732</v>
      </c>
      <c r="M2249" s="17" t="s">
        <v>9</v>
      </c>
      <c r="N2249" s="17" t="s">
        <v>736</v>
      </c>
    </row>
    <row r="2250" spans="1:17" x14ac:dyDescent="0.25">
      <c r="A2250" s="10">
        <v>995043</v>
      </c>
      <c r="B2250" s="22" t="str">
        <f>IFERROR(VLOOKUP(A2250,VLOOKUPS!$A$2:B$12589,2,FALSE),"")</f>
        <v>Watermelon Chunks 16oz-standard</v>
      </c>
      <c r="E2250">
        <v>3.49</v>
      </c>
      <c r="F2250">
        <v>2.4900000000000002</v>
      </c>
      <c r="G2250" s="13">
        <v>44505</v>
      </c>
      <c r="H2250" s="13">
        <v>44506</v>
      </c>
      <c r="I2250" s="22" t="str">
        <f>VLOOKUP(J2250, Dropdowns!N:O, 2, FALSE)</f>
        <v>Lower Price</v>
      </c>
      <c r="J2250" t="s">
        <v>759</v>
      </c>
      <c r="L2250" s="17" t="s">
        <v>732</v>
      </c>
      <c r="M2250" s="17" t="s">
        <v>736</v>
      </c>
      <c r="N2250" s="17" t="s">
        <v>736</v>
      </c>
    </row>
    <row r="2251" spans="1:17" x14ac:dyDescent="0.25">
      <c r="A2251" s="10">
        <v>995043</v>
      </c>
      <c r="B2251" s="22" t="str">
        <f>IFERROR(VLOOKUP(A2251,VLOOKUPS!$A$2:B$12589,2,FALSE),"")</f>
        <v>Watermelon Chunks 16oz-standard</v>
      </c>
      <c r="E2251">
        <v>2.4900000000000002</v>
      </c>
      <c r="F2251">
        <v>3.49</v>
      </c>
      <c r="G2251" s="13">
        <v>44507</v>
      </c>
      <c r="H2251" s="13"/>
      <c r="I2251" s="22" t="str">
        <f>VLOOKUP(J2251, Dropdowns!N:O, 2, FALSE)</f>
        <v>Standard</v>
      </c>
      <c r="J2251" t="s">
        <v>760</v>
      </c>
      <c r="L2251" s="17" t="s">
        <v>732</v>
      </c>
      <c r="M2251" s="17" t="s">
        <v>736</v>
      </c>
      <c r="N2251" s="17" t="s">
        <v>736</v>
      </c>
    </row>
    <row r="2252" spans="1:17" x14ac:dyDescent="0.25">
      <c r="A2252" s="10">
        <v>995053</v>
      </c>
      <c r="B2252" s="22" t="str">
        <f>IFERROR(VLOOKUP(A2252,VLOOKUPS!$A$2:B$12589,2,FALSE),"")</f>
        <v>Fresh Chopped Salsa Pico 16oz-standard</v>
      </c>
      <c r="E2252">
        <v>4.49</v>
      </c>
      <c r="F2252">
        <v>2.99</v>
      </c>
      <c r="G2252" s="13">
        <v>44505</v>
      </c>
      <c r="H2252" s="13">
        <v>44506</v>
      </c>
      <c r="I2252" s="22" t="str">
        <f>VLOOKUP(J2252, Dropdowns!N:O, 2, FALSE)</f>
        <v>Lower Price</v>
      </c>
      <c r="J2252" t="s">
        <v>759</v>
      </c>
      <c r="L2252" s="17" t="s">
        <v>732</v>
      </c>
      <c r="M2252" s="17" t="s">
        <v>9</v>
      </c>
      <c r="N2252" s="17" t="s">
        <v>736</v>
      </c>
    </row>
    <row r="2253" spans="1:17" x14ac:dyDescent="0.25">
      <c r="A2253" s="10">
        <v>995067</v>
      </c>
      <c r="B2253" s="22" t="str">
        <f>IFERROR(VLOOKUP(A2253,VLOOKUPS!$A$2:B$12589,2,FALSE),"")</f>
        <v>Organic Baby Arugula 5oz-standard</v>
      </c>
      <c r="E2253">
        <v>2.98</v>
      </c>
      <c r="F2253">
        <v>1.98</v>
      </c>
      <c r="G2253" s="13">
        <v>44505</v>
      </c>
      <c r="H2253" s="13">
        <v>44506</v>
      </c>
      <c r="I2253" s="22" t="str">
        <f>VLOOKUP(J2253, Dropdowns!N:O, 2, FALSE)</f>
        <v>Lower Price</v>
      </c>
      <c r="J2253" t="s">
        <v>759</v>
      </c>
      <c r="L2253" s="17" t="s">
        <v>733</v>
      </c>
      <c r="M2253" s="17" t="s">
        <v>11</v>
      </c>
      <c r="N2253" s="17" t="s">
        <v>740</v>
      </c>
    </row>
    <row r="2254" spans="1:17" x14ac:dyDescent="0.25">
      <c r="A2254" s="10">
        <v>995067</v>
      </c>
      <c r="B2254" s="22" t="str">
        <f>IFERROR(VLOOKUP(A2254,VLOOKUPS!$A$2:B$12589,2,FALSE),"")</f>
        <v>Organic Baby Arugula 5oz-standard</v>
      </c>
      <c r="E2254">
        <v>1.98</v>
      </c>
      <c r="F2254">
        <v>2.98</v>
      </c>
      <c r="G2254" s="13">
        <v>44507</v>
      </c>
      <c r="H2254" s="13"/>
      <c r="I2254" s="22" t="str">
        <f>VLOOKUP(J2254, Dropdowns!N:O, 2, FALSE)</f>
        <v>Standard</v>
      </c>
      <c r="J2254" t="s">
        <v>760</v>
      </c>
      <c r="L2254" s="17" t="s">
        <v>733</v>
      </c>
      <c r="M2254" s="17" t="s">
        <v>11</v>
      </c>
      <c r="N2254" s="17" t="s">
        <v>740</v>
      </c>
    </row>
    <row r="2255" spans="1:17" x14ac:dyDescent="0.25">
      <c r="A2255" s="10">
        <v>995068</v>
      </c>
      <c r="B2255" s="22" t="str">
        <f>IFERROR(VLOOKUP(A2255,VLOOKUPS!$A$2:B$12589,2,FALSE),"")</f>
        <v>Organic Half and Half 5oz-standard</v>
      </c>
      <c r="E2255">
        <v>2.56</v>
      </c>
      <c r="F2255">
        <v>1.76</v>
      </c>
      <c r="G2255" s="13">
        <v>44505</v>
      </c>
      <c r="H2255" s="13">
        <v>44506</v>
      </c>
      <c r="I2255" s="22" t="str">
        <f>VLOOKUP(J2255, Dropdowns!N:O, 2, FALSE)</f>
        <v>Lower Price</v>
      </c>
      <c r="J2255" t="s">
        <v>759</v>
      </c>
      <c r="L2255" s="17" t="s">
        <v>732</v>
      </c>
      <c r="M2255" s="17" t="s">
        <v>738</v>
      </c>
      <c r="N2255" s="17">
        <v>2</v>
      </c>
    </row>
    <row r="2256" spans="1:17" x14ac:dyDescent="0.25">
      <c r="A2256" s="10">
        <v>995068</v>
      </c>
      <c r="B2256" s="22" t="str">
        <f>IFERROR(VLOOKUP(A2256,VLOOKUPS!$A$2:B$12589,2,FALSE),"")</f>
        <v>Organic Half and Half 5oz-standard</v>
      </c>
      <c r="E2256">
        <v>1.76</v>
      </c>
      <c r="F2256">
        <v>2.56</v>
      </c>
      <c r="G2256" s="13">
        <v>44507</v>
      </c>
      <c r="H2256" s="13"/>
      <c r="I2256" s="22" t="str">
        <f>VLOOKUP(J2256, Dropdowns!N:O, 2, FALSE)</f>
        <v>Standard</v>
      </c>
      <c r="J2256" t="s">
        <v>760</v>
      </c>
      <c r="L2256" s="17" t="s">
        <v>732</v>
      </c>
      <c r="M2256" s="17" t="s">
        <v>738</v>
      </c>
      <c r="N2256" s="17">
        <v>2</v>
      </c>
    </row>
    <row r="2257" spans="1:17" x14ac:dyDescent="0.25">
      <c r="A2257" s="10">
        <v>995078</v>
      </c>
      <c r="B2257" s="22" t="str">
        <f>IFERROR(VLOOKUP(A2257,VLOOKUPS!$A$2:B$12589,2,FALSE),"")</f>
        <v>Organic Baby Spinach 16oz-standard</v>
      </c>
      <c r="E2257">
        <v>4.9800000000000004</v>
      </c>
      <c r="F2257">
        <v>3.98</v>
      </c>
      <c r="G2257" s="13">
        <v>44505</v>
      </c>
      <c r="H2257" s="13">
        <v>44506</v>
      </c>
      <c r="I2257" s="22" t="str">
        <f>VLOOKUP(J2257, Dropdowns!N:O, 2, FALSE)</f>
        <v>Lower Price</v>
      </c>
      <c r="J2257" t="s">
        <v>759</v>
      </c>
      <c r="L2257" s="17" t="s">
        <v>732</v>
      </c>
      <c r="M2257" s="17" t="s">
        <v>10</v>
      </c>
      <c r="N2257" s="17">
        <v>2</v>
      </c>
    </row>
    <row r="2258" spans="1:17" x14ac:dyDescent="0.25">
      <c r="A2258" s="10">
        <v>995078</v>
      </c>
      <c r="B2258" s="22" t="str">
        <f>IFERROR(VLOOKUP(A2258,VLOOKUPS!$A$2:B$12589,2,FALSE),"")</f>
        <v>Organic Baby Spinach 16oz-standard</v>
      </c>
      <c r="E2258">
        <v>3.98</v>
      </c>
      <c r="F2258">
        <v>4.9800000000000004</v>
      </c>
      <c r="G2258" s="13">
        <v>44507</v>
      </c>
      <c r="H2258" s="13"/>
      <c r="I2258" s="22" t="str">
        <f>VLOOKUP(J2258, Dropdowns!N:O, 2, FALSE)</f>
        <v>Standard</v>
      </c>
      <c r="J2258" t="s">
        <v>760</v>
      </c>
      <c r="L2258" s="17" t="s">
        <v>732</v>
      </c>
      <c r="M2258" s="17" t="s">
        <v>10</v>
      </c>
      <c r="N2258" s="17">
        <v>2</v>
      </c>
    </row>
    <row r="2259" spans="1:17" x14ac:dyDescent="0.25">
      <c r="A2259" s="10">
        <v>995083</v>
      </c>
      <c r="B2259" s="22" t="str">
        <f>IFERROR(VLOOKUP(A2259,VLOOKUPS!$A$2:B$12589,2,FALSE),"")</f>
        <v>Butternut Squash Noodles 12oz-standard</v>
      </c>
      <c r="E2259">
        <v>2.4900000000000002</v>
      </c>
      <c r="F2259">
        <v>1.59</v>
      </c>
      <c r="G2259" s="13">
        <v>44505</v>
      </c>
      <c r="H2259" s="13">
        <v>44506</v>
      </c>
      <c r="I2259" s="22" t="str">
        <f>VLOOKUP(J2259, Dropdowns!N:O, 2, FALSE)</f>
        <v>Lower Price</v>
      </c>
      <c r="J2259" t="s">
        <v>759</v>
      </c>
      <c r="L2259" s="17" t="s">
        <v>732</v>
      </c>
      <c r="M2259" s="17" t="s">
        <v>10</v>
      </c>
      <c r="N2259" s="17">
        <v>2</v>
      </c>
    </row>
    <row r="2260" spans="1:17" x14ac:dyDescent="0.25">
      <c r="A2260" s="10">
        <v>995083</v>
      </c>
      <c r="B2260" s="22" t="str">
        <f>IFERROR(VLOOKUP(A2260,VLOOKUPS!$A$2:B$12589,2,FALSE),"")</f>
        <v>Butternut Squash Noodles 12oz-standard</v>
      </c>
      <c r="E2260">
        <v>1.59</v>
      </c>
      <c r="F2260">
        <v>2.4900000000000002</v>
      </c>
      <c r="G2260" s="13">
        <v>44507</v>
      </c>
      <c r="H2260" s="13"/>
      <c r="I2260" s="22" t="str">
        <f>VLOOKUP(J2260, Dropdowns!N:O, 2, FALSE)</f>
        <v>Standard</v>
      </c>
      <c r="J2260" t="s">
        <v>760</v>
      </c>
      <c r="L2260" s="17" t="s">
        <v>732</v>
      </c>
      <c r="M2260" s="17" t="s">
        <v>10</v>
      </c>
      <c r="N2260" s="17">
        <v>2</v>
      </c>
    </row>
    <row r="2261" spans="1:17" x14ac:dyDescent="0.25">
      <c r="A2261" s="10">
        <v>995115</v>
      </c>
      <c r="B2261" s="22" t="str">
        <f>IFERROR(VLOOKUP(A2261,VLOOKUPS!$A$2:B$12589,2,FALSE),"")</f>
        <v>Pineapple Chunks 10oz-standard</v>
      </c>
      <c r="E2261">
        <v>2.58</v>
      </c>
      <c r="F2261">
        <v>1.58</v>
      </c>
      <c r="G2261" s="13">
        <v>44505</v>
      </c>
      <c r="H2261" s="13">
        <v>44506</v>
      </c>
      <c r="I2261" s="22" t="str">
        <f>VLOOKUP(J2261, Dropdowns!N:O, 2, FALSE)</f>
        <v>Lower Price</v>
      </c>
      <c r="J2261" t="s">
        <v>759</v>
      </c>
      <c r="L2261" s="17" t="s">
        <v>732</v>
      </c>
      <c r="M2261" s="17" t="s">
        <v>9</v>
      </c>
      <c r="N2261" s="17" t="s">
        <v>736</v>
      </c>
    </row>
    <row r="2262" spans="1:17" x14ac:dyDescent="0.25">
      <c r="A2262" s="10">
        <v>995115</v>
      </c>
      <c r="B2262" s="22" t="str">
        <f>IFERROR(VLOOKUP(A2262,VLOOKUPS!$A$2:B$12589,2,FALSE),"")</f>
        <v>Pineapple Chunks 10oz-standard</v>
      </c>
      <c r="E2262">
        <v>1.58</v>
      </c>
      <c r="F2262">
        <v>2.58</v>
      </c>
      <c r="G2262" s="13">
        <v>44507</v>
      </c>
      <c r="H2262" s="13"/>
      <c r="I2262" s="22" t="str">
        <f>VLOOKUP(J2262, Dropdowns!N:O, 2, FALSE)</f>
        <v>Standard</v>
      </c>
      <c r="J2262" t="s">
        <v>760</v>
      </c>
      <c r="L2262" s="17" t="s">
        <v>732</v>
      </c>
      <c r="M2262" s="17" t="s">
        <v>9</v>
      </c>
      <c r="N2262" s="17" t="s">
        <v>736</v>
      </c>
    </row>
    <row r="2263" spans="1:17" x14ac:dyDescent="0.25">
      <c r="A2263" s="10">
        <v>995119</v>
      </c>
      <c r="B2263" s="22" t="str">
        <f>IFERROR(VLOOKUP(A2263,VLOOKUPS!$A$2:B$12589,2,FALSE),"")</f>
        <v>RTE Green Goddess Salad 5.5oz-standard</v>
      </c>
      <c r="E2263">
        <v>3</v>
      </c>
      <c r="F2263">
        <v>2</v>
      </c>
      <c r="G2263" s="13">
        <v>44505</v>
      </c>
      <c r="H2263" s="13">
        <v>44506</v>
      </c>
      <c r="I2263" s="22" t="str">
        <f>VLOOKUP(J2263, Dropdowns!N:O, 2, FALSE)</f>
        <v>Lower Price</v>
      </c>
      <c r="J2263" t="s">
        <v>759</v>
      </c>
      <c r="L2263" s="17" t="s">
        <v>732</v>
      </c>
      <c r="M2263" s="17" t="s">
        <v>9</v>
      </c>
      <c r="N2263" s="17" t="s">
        <v>736</v>
      </c>
    </row>
    <row r="2264" spans="1:17" x14ac:dyDescent="0.25">
      <c r="A2264" s="10">
        <v>995119</v>
      </c>
      <c r="B2264" s="22" t="str">
        <f>IFERROR(VLOOKUP(A2264,VLOOKUPS!$A$2:B$12589,2,FALSE),"")</f>
        <v>RTE Green Goddess Salad 5.5oz-standard</v>
      </c>
      <c r="E2264">
        <v>2</v>
      </c>
      <c r="F2264">
        <v>3</v>
      </c>
      <c r="G2264" s="13">
        <v>44507</v>
      </c>
      <c r="H2264" s="13"/>
      <c r="I2264" s="22" t="str">
        <f>VLOOKUP(J2264, Dropdowns!N:O, 2, FALSE)</f>
        <v>Standard</v>
      </c>
      <c r="J2264" t="s">
        <v>760</v>
      </c>
      <c r="L2264" s="17" t="s">
        <v>732</v>
      </c>
      <c r="M2264" s="17" t="s">
        <v>9</v>
      </c>
      <c r="N2264" s="17" t="s">
        <v>736</v>
      </c>
    </row>
    <row r="2265" spans="1:17" x14ac:dyDescent="0.25">
      <c r="A2265" s="10">
        <v>995129</v>
      </c>
      <c r="B2265" s="22" t="str">
        <f>IFERROR(VLOOKUP(A2265,VLOOKUPS!$A$2:B$12589,2,FALSE),"")</f>
        <v>Organic Broccoli Florets 10oz-standard</v>
      </c>
      <c r="E2265">
        <v>3.29</v>
      </c>
      <c r="G2265" s="13">
        <v>44505</v>
      </c>
      <c r="H2265" s="13"/>
      <c r="I2265" s="22" t="str">
        <f>VLOOKUP(J2265, Dropdowns!N:O, 2, FALSE)</f>
        <v>NA</v>
      </c>
      <c r="J2265" t="s">
        <v>754</v>
      </c>
      <c r="L2265" s="17" t="s">
        <v>732</v>
      </c>
      <c r="M2265" s="17" t="s">
        <v>9</v>
      </c>
      <c r="N2265" s="17" t="s">
        <v>736</v>
      </c>
    </row>
    <row r="2266" spans="1:17" x14ac:dyDescent="0.25">
      <c r="A2266" s="10">
        <v>995144</v>
      </c>
      <c r="B2266" s="22" t="str">
        <f>IFERROR(VLOOKUP(A2266,VLOOKUPS!$A$2:B$12589,2,FALSE),"")</f>
        <v>Asparagus Spears 10oz-standard</v>
      </c>
      <c r="E2266">
        <v>3.98</v>
      </c>
      <c r="F2266">
        <v>2.98</v>
      </c>
      <c r="G2266" s="13">
        <v>44505</v>
      </c>
      <c r="H2266" s="13">
        <v>44506</v>
      </c>
      <c r="I2266" s="22" t="str">
        <f>VLOOKUP(J2266, Dropdowns!N:O, 2, FALSE)</f>
        <v>Lower Price</v>
      </c>
      <c r="J2266" t="s">
        <v>759</v>
      </c>
      <c r="L2266" s="17" t="s">
        <v>732</v>
      </c>
      <c r="M2266" s="17" t="s">
        <v>736</v>
      </c>
      <c r="N2266" s="17" t="s">
        <v>736</v>
      </c>
    </row>
    <row r="2267" spans="1:17" x14ac:dyDescent="0.25">
      <c r="A2267" s="10">
        <v>995144</v>
      </c>
      <c r="B2267" s="22" t="str">
        <f>IFERROR(VLOOKUP(A2267,VLOOKUPS!$A$2:B$12589,2,FALSE),"")</f>
        <v>Asparagus Spears 10oz-standard</v>
      </c>
      <c r="E2267">
        <v>2.98</v>
      </c>
      <c r="F2267">
        <v>3.98</v>
      </c>
      <c r="G2267" s="13">
        <v>44507</v>
      </c>
      <c r="H2267" s="13"/>
      <c r="I2267" s="22" t="str">
        <f>VLOOKUP(J2267, Dropdowns!N:O, 2, FALSE)</f>
        <v>Standard</v>
      </c>
      <c r="J2267" t="s">
        <v>760</v>
      </c>
      <c r="L2267" s="17" t="s">
        <v>732</v>
      </c>
      <c r="M2267" s="17" t="s">
        <v>736</v>
      </c>
      <c r="N2267" s="17" t="s">
        <v>736</v>
      </c>
    </row>
    <row r="2268" spans="1:17" x14ac:dyDescent="0.25">
      <c r="A2268" s="10">
        <v>995147</v>
      </c>
      <c r="B2268" s="22" t="str">
        <f>IFERROR(VLOOKUP(A2268,VLOOKUPS!$A$2:B$12589,2,FALSE),"")</f>
        <v>Celery Sticks 1.25lb-standard</v>
      </c>
      <c r="E2268">
        <v>2.74</v>
      </c>
      <c r="F2268">
        <v>1.74</v>
      </c>
      <c r="G2268" s="13">
        <v>44505</v>
      </c>
      <c r="H2268" s="13">
        <v>44506</v>
      </c>
      <c r="I2268" s="22" t="str">
        <f>VLOOKUP(J2268, Dropdowns!N:O, 2, FALSE)</f>
        <v>Lower Price</v>
      </c>
      <c r="J2268" t="s">
        <v>759</v>
      </c>
      <c r="L2268" s="17" t="s">
        <v>733</v>
      </c>
      <c r="M2268" s="17" t="s">
        <v>11</v>
      </c>
      <c r="N2268" s="17" t="s">
        <v>740</v>
      </c>
    </row>
    <row r="2269" spans="1:17" x14ac:dyDescent="0.25">
      <c r="A2269" s="10">
        <v>995155</v>
      </c>
      <c r="B2269" s="22" t="str">
        <f>IFERROR(VLOOKUP(A2269,VLOOKUPS!$A$2:B$12589,2,FALSE),"")</f>
        <v>Organic Sweet Apple Slices 12oz-standard</v>
      </c>
      <c r="E2269">
        <v>3.99</v>
      </c>
      <c r="F2269">
        <v>2.4900000000000002</v>
      </c>
      <c r="G2269" s="13">
        <v>44505</v>
      </c>
      <c r="H2269" s="13">
        <v>44506</v>
      </c>
      <c r="I2269" s="22" t="str">
        <f>VLOOKUP(J2269, Dropdowns!N:O, 2, FALSE)</f>
        <v>Lower Price</v>
      </c>
      <c r="J2269" t="s">
        <v>759</v>
      </c>
      <c r="L2269" s="17" t="s">
        <v>733</v>
      </c>
      <c r="M2269" s="17" t="s">
        <v>11</v>
      </c>
      <c r="N2269" s="17" t="s">
        <v>740</v>
      </c>
    </row>
    <row r="2270" spans="1:17" x14ac:dyDescent="0.25">
      <c r="A2270" s="10">
        <v>995155</v>
      </c>
      <c r="B2270" s="22" t="str">
        <f>IFERROR(VLOOKUP(A2270,VLOOKUPS!$A$2:B$12589,2,FALSE),"")</f>
        <v>Organic Sweet Apple Slices 12oz-standard</v>
      </c>
      <c r="E2270">
        <v>2.4900000000000002</v>
      </c>
      <c r="F2270">
        <v>3.99</v>
      </c>
      <c r="G2270" s="13">
        <v>44507</v>
      </c>
      <c r="H2270" s="13"/>
      <c r="I2270" s="22" t="str">
        <f>VLOOKUP(J2270, Dropdowns!N:O, 2, FALSE)</f>
        <v>Standard</v>
      </c>
      <c r="J2270" t="s">
        <v>760</v>
      </c>
      <c r="L2270" s="17" t="s">
        <v>733</v>
      </c>
      <c r="M2270" s="17" t="s">
        <v>11</v>
      </c>
      <c r="N2270" s="17" t="s">
        <v>740</v>
      </c>
    </row>
    <row r="2271" spans="1:17" x14ac:dyDescent="0.25">
      <c r="A2271" s="10">
        <v>995162</v>
      </c>
      <c r="B2271" s="22" t="str">
        <f>IFERROR(VLOOKUP(A2271,VLOOKUPS!$A$2:B$12589,2,FALSE),"")</f>
        <v>Buffalo Ranch Salad Kit 12oz-standard</v>
      </c>
      <c r="D2271">
        <v>9</v>
      </c>
      <c r="F2271">
        <v>3.49</v>
      </c>
      <c r="G2271" s="13">
        <v>44505</v>
      </c>
      <c r="H2271" s="13"/>
      <c r="I2271" s="22" t="str">
        <f>VLOOKUP(J2271, Dropdowns!N:O, 2, FALSE)</f>
        <v>New</v>
      </c>
      <c r="J2271" t="s">
        <v>776</v>
      </c>
      <c r="L2271" s="17" t="s">
        <v>732</v>
      </c>
      <c r="M2271" s="17" t="s">
        <v>736</v>
      </c>
      <c r="N2271" s="17" t="s">
        <v>736</v>
      </c>
      <c r="O2271" s="17" t="s">
        <v>748</v>
      </c>
      <c r="P2271">
        <v>1</v>
      </c>
      <c r="Q2271" s="17" t="s">
        <v>1044</v>
      </c>
    </row>
    <row r="2272" spans="1:17" x14ac:dyDescent="0.25">
      <c r="A2272" s="10">
        <v>995163</v>
      </c>
      <c r="B2272" s="22" t="str">
        <f>IFERROR(VLOOKUP(A2272,VLOOKUPS!$A$2:B$12589,2,FALSE),"")</f>
        <v>XL Caesar Salad Kit 15oz-standard</v>
      </c>
      <c r="E2272">
        <v>4.4400000000000004</v>
      </c>
      <c r="F2272">
        <v>3.44</v>
      </c>
      <c r="G2272" s="13">
        <v>44505</v>
      </c>
      <c r="H2272" s="13">
        <v>44506</v>
      </c>
      <c r="I2272" s="22" t="str">
        <f>VLOOKUP(J2272, Dropdowns!N:O, 2, FALSE)</f>
        <v>Lower Price</v>
      </c>
      <c r="J2272" t="s">
        <v>759</v>
      </c>
      <c r="L2272" s="17" t="s">
        <v>732</v>
      </c>
      <c r="M2272" s="17" t="s">
        <v>10</v>
      </c>
      <c r="N2272" s="17">
        <v>2</v>
      </c>
    </row>
    <row r="2273" spans="1:14" x14ac:dyDescent="0.25">
      <c r="A2273" s="10">
        <v>995163</v>
      </c>
      <c r="B2273" s="22" t="str">
        <f>IFERROR(VLOOKUP(A2273,VLOOKUPS!$A$2:B$12589,2,FALSE),"")</f>
        <v>XL Caesar Salad Kit 15oz-standard</v>
      </c>
      <c r="E2273">
        <v>2.99</v>
      </c>
      <c r="F2273">
        <v>4.4400000000000004</v>
      </c>
      <c r="G2273" s="13">
        <v>44507</v>
      </c>
      <c r="H2273" s="13"/>
      <c r="I2273" s="22" t="str">
        <f>VLOOKUP(J2273, Dropdowns!N:O, 2, FALSE)</f>
        <v>Standard</v>
      </c>
      <c r="J2273" t="s">
        <v>760</v>
      </c>
      <c r="L2273" s="17" t="s">
        <v>732</v>
      </c>
      <c r="M2273" s="17" t="s">
        <v>10</v>
      </c>
      <c r="N2273" s="17">
        <v>2</v>
      </c>
    </row>
    <row r="2274" spans="1:14" x14ac:dyDescent="0.25">
      <c r="A2274" s="10">
        <v>989660</v>
      </c>
      <c r="B2274" s="22" t="str">
        <f>IFERROR(VLOOKUP(A2274,VLOOKUPS!$A$2:B$12589,2,FALSE),"")</f>
        <v>Potatoes Yellow 5lb-standard</v>
      </c>
      <c r="E2274">
        <v>3.49</v>
      </c>
      <c r="F2274">
        <v>4.99</v>
      </c>
      <c r="G2274" s="13">
        <v>44505</v>
      </c>
      <c r="H2274" s="13"/>
      <c r="I2274" s="22" t="str">
        <f>VLOOKUP(J2274, Dropdowns!N:O, 2, FALSE)</f>
        <v>Standard</v>
      </c>
      <c r="J2274" t="s">
        <v>760</v>
      </c>
      <c r="L2274" s="17" t="s">
        <v>733</v>
      </c>
      <c r="M2274" s="17" t="s">
        <v>11</v>
      </c>
      <c r="N2274" s="17" t="s">
        <v>740</v>
      </c>
    </row>
    <row r="2275" spans="1:14" x14ac:dyDescent="0.25">
      <c r="A2275" s="10">
        <v>984700</v>
      </c>
      <c r="B2275" s="22" t="str">
        <f>IFERROR(VLOOKUP(A2275,VLOOKUPS!$A$2:B$12589,2,FALSE),"")</f>
        <v>Blackberries 6oz-standard</v>
      </c>
      <c r="E2275">
        <v>1.49</v>
      </c>
      <c r="F2275">
        <v>2.68</v>
      </c>
      <c r="G2275" s="13">
        <v>44505</v>
      </c>
      <c r="H2275" s="13"/>
      <c r="I2275" s="22" t="str">
        <f>VLOOKUP(J2275, Dropdowns!N:O, 2, FALSE)</f>
        <v>Standard</v>
      </c>
      <c r="J2275" t="s">
        <v>760</v>
      </c>
      <c r="L2275" s="17" t="s">
        <v>733</v>
      </c>
      <c r="M2275" s="17" t="s">
        <v>11</v>
      </c>
      <c r="N2275" s="17" t="s">
        <v>740</v>
      </c>
    </row>
    <row r="2276" spans="1:14" x14ac:dyDescent="0.25">
      <c r="A2276" s="10">
        <v>984700</v>
      </c>
      <c r="B2276" s="22" t="str">
        <f>IFERROR(VLOOKUP(A2276,VLOOKUPS!$A$2:B$12589,2,FALSE),"")</f>
        <v>Blackberries 6oz-standard</v>
      </c>
      <c r="G2276" s="13">
        <v>44505</v>
      </c>
      <c r="H2276" s="13">
        <v>44505</v>
      </c>
      <c r="I2276" s="22" t="str">
        <f>VLOOKUP(J2276, Dropdowns!N:O, 2, FALSE)</f>
        <v>Lower Price</v>
      </c>
      <c r="J2276" t="s">
        <v>762</v>
      </c>
      <c r="L2276" s="17" t="s">
        <v>732</v>
      </c>
      <c r="M2276" s="17" t="s">
        <v>735</v>
      </c>
      <c r="N2276" s="17" t="s">
        <v>736</v>
      </c>
    </row>
    <row r="2277" spans="1:14" x14ac:dyDescent="0.25">
      <c r="A2277" s="10">
        <v>982800</v>
      </c>
      <c r="B2277" s="22" t="str">
        <f>IFERROR(VLOOKUP(A2277,VLOOKUPS!$A$2:B$12589,2,FALSE),"")</f>
        <v>Organic* Grapes Red Seedless 2lb-standard</v>
      </c>
      <c r="E2277">
        <v>5.29</v>
      </c>
      <c r="F2277">
        <v>3.99</v>
      </c>
      <c r="G2277" s="13">
        <v>44506</v>
      </c>
      <c r="H2277" s="13">
        <v>44507</v>
      </c>
      <c r="I2277" s="22" t="str">
        <f>VLOOKUP(J2277, Dropdowns!N:O, 2, FALSE)</f>
        <v>Lower Price</v>
      </c>
      <c r="J2277" t="s">
        <v>759</v>
      </c>
      <c r="L2277" s="17" t="s">
        <v>732</v>
      </c>
      <c r="M2277" s="17" t="s">
        <v>738</v>
      </c>
      <c r="N2277" s="17">
        <v>2</v>
      </c>
    </row>
    <row r="2278" spans="1:14" x14ac:dyDescent="0.25">
      <c r="A2278" s="10">
        <v>982800</v>
      </c>
      <c r="B2278" s="22" t="str">
        <f>IFERROR(VLOOKUP(A2278,VLOOKUPS!$A$2:B$12589,2,FALSE),"")</f>
        <v>Organic* Grapes Red Seedless 2lb-standard</v>
      </c>
      <c r="E2278">
        <v>3.99</v>
      </c>
      <c r="F2278">
        <v>5.29</v>
      </c>
      <c r="G2278" s="13">
        <v>44508</v>
      </c>
      <c r="H2278" s="13"/>
      <c r="I2278" s="22" t="str">
        <f>VLOOKUP(J2278, Dropdowns!N:O, 2, FALSE)</f>
        <v>Standard</v>
      </c>
      <c r="J2278" t="s">
        <v>760</v>
      </c>
      <c r="L2278" s="17" t="s">
        <v>732</v>
      </c>
      <c r="M2278" s="17" t="s">
        <v>738</v>
      </c>
      <c r="N2278" s="17">
        <v>2</v>
      </c>
    </row>
    <row r="2279" spans="1:14" x14ac:dyDescent="0.25">
      <c r="A2279" s="10">
        <v>982960</v>
      </c>
      <c r="B2279" s="22" t="str">
        <f>IFERROR(VLOOKUP(A2279,VLOOKUPS!$A$2:B$12589,2,FALSE),"")</f>
        <v>Grapes Specialty* 1lb-LOOSE</v>
      </c>
      <c r="E2279">
        <v>3.99</v>
      </c>
      <c r="F2279">
        <v>2.99</v>
      </c>
      <c r="G2279" s="13">
        <v>44506</v>
      </c>
      <c r="H2279" s="13">
        <v>44507</v>
      </c>
      <c r="I2279" s="22" t="str">
        <f>VLOOKUP(J2279, Dropdowns!N:O, 2, FALSE)</f>
        <v>Lower Price</v>
      </c>
      <c r="J2279" t="s">
        <v>759</v>
      </c>
      <c r="L2279" s="17" t="s">
        <v>732</v>
      </c>
      <c r="M2279" s="17" t="s">
        <v>736</v>
      </c>
      <c r="N2279" s="17" t="s">
        <v>736</v>
      </c>
    </row>
    <row r="2280" spans="1:14" x14ac:dyDescent="0.25">
      <c r="A2280" s="10">
        <v>982960</v>
      </c>
      <c r="B2280" s="22" t="str">
        <f>IFERROR(VLOOKUP(A2280,VLOOKUPS!$A$2:B$12589,2,FALSE),"")</f>
        <v>Grapes Specialty* 1lb-LOOSE</v>
      </c>
      <c r="E2280">
        <v>2.99</v>
      </c>
      <c r="F2280">
        <v>3.99</v>
      </c>
      <c r="G2280" s="13">
        <v>44508</v>
      </c>
      <c r="H2280" s="13"/>
      <c r="I2280" s="22" t="str">
        <f>VLOOKUP(J2280, Dropdowns!N:O, 2, FALSE)</f>
        <v>Standard</v>
      </c>
      <c r="J2280" t="s">
        <v>760</v>
      </c>
      <c r="L2280" s="17" t="s">
        <v>732</v>
      </c>
      <c r="M2280" s="17" t="s">
        <v>736</v>
      </c>
      <c r="N2280" s="17" t="s">
        <v>736</v>
      </c>
    </row>
    <row r="2281" spans="1:14" x14ac:dyDescent="0.25">
      <c r="A2281" s="10">
        <v>983101</v>
      </c>
      <c r="B2281" s="22" t="str">
        <f>IFERROR(VLOOKUP(A2281,VLOOKUPS!$A$2:B$12589,2,FALSE),"")</f>
        <v>Melons Cantaloupes 1ct-LOOSE</v>
      </c>
      <c r="E2281">
        <v>2.48</v>
      </c>
      <c r="F2281">
        <v>2.98</v>
      </c>
      <c r="G2281" s="13">
        <v>44506</v>
      </c>
      <c r="H2281" s="13"/>
      <c r="I2281" s="22" t="str">
        <f>VLOOKUP(J2281, Dropdowns!N:O, 2, FALSE)</f>
        <v>Standard</v>
      </c>
      <c r="J2281" t="s">
        <v>761</v>
      </c>
      <c r="L2281" s="17" t="s">
        <v>732</v>
      </c>
      <c r="M2281" s="17" t="s">
        <v>736</v>
      </c>
      <c r="N2281" s="17" t="s">
        <v>736</v>
      </c>
    </row>
    <row r="2282" spans="1:14" x14ac:dyDescent="0.25">
      <c r="A2282" s="10">
        <v>984460</v>
      </c>
      <c r="B2282" s="22" t="str">
        <f>IFERROR(VLOOKUP(A2282,VLOOKUPS!$A$2:B$12589,2,FALSE),"")</f>
        <v>Strawberries 1lb-standard</v>
      </c>
      <c r="E2282">
        <v>3.12</v>
      </c>
      <c r="F2282">
        <v>3.19</v>
      </c>
      <c r="G2282" s="13">
        <v>44506</v>
      </c>
      <c r="H2282" s="13"/>
      <c r="I2282" s="22" t="str">
        <f>VLOOKUP(J2282, Dropdowns!N:O, 2, FALSE)</f>
        <v>Standard</v>
      </c>
      <c r="J2282" t="s">
        <v>761</v>
      </c>
      <c r="L2282" s="17" t="s">
        <v>732</v>
      </c>
      <c r="M2282" s="17" t="s">
        <v>736</v>
      </c>
      <c r="N2282" s="17" t="s">
        <v>736</v>
      </c>
    </row>
    <row r="2283" spans="1:14" x14ac:dyDescent="0.25">
      <c r="A2283" s="10">
        <v>984500</v>
      </c>
      <c r="B2283" s="22" t="str">
        <f>IFERROR(VLOOKUP(A2283,VLOOKUPS!$A$2:B$12589,2,FALSE),"")</f>
        <v>Organic Strawberries 1lb-standard</v>
      </c>
      <c r="E2283">
        <v>3.84</v>
      </c>
      <c r="F2283">
        <v>4.38</v>
      </c>
      <c r="G2283" s="13">
        <v>44506</v>
      </c>
      <c r="H2283" s="13"/>
      <c r="I2283" s="22" t="str">
        <f>VLOOKUP(J2283, Dropdowns!N:O, 2, FALSE)</f>
        <v>Standard</v>
      </c>
      <c r="J2283" t="s">
        <v>761</v>
      </c>
      <c r="L2283" s="17" t="s">
        <v>732</v>
      </c>
      <c r="M2283" s="17" t="s">
        <v>736</v>
      </c>
      <c r="N2283" s="17" t="s">
        <v>736</v>
      </c>
    </row>
    <row r="2284" spans="1:14" x14ac:dyDescent="0.25">
      <c r="A2284" s="10">
        <v>985060</v>
      </c>
      <c r="B2284" s="22" t="str">
        <f>IFERROR(VLOOKUP(A2284,VLOOKUPS!$A$2:B$12589,2,FALSE),"")</f>
        <v>Lettuce* Iceberg 1ct-standard</v>
      </c>
      <c r="E2284">
        <v>1.35</v>
      </c>
      <c r="F2284">
        <v>1.59</v>
      </c>
      <c r="G2284" s="13">
        <v>44506</v>
      </c>
      <c r="H2284" s="13"/>
      <c r="I2284" s="22" t="str">
        <f>VLOOKUP(J2284, Dropdowns!N:O, 2, FALSE)</f>
        <v>Standard</v>
      </c>
      <c r="J2284" t="s">
        <v>761</v>
      </c>
      <c r="L2284" s="17" t="s">
        <v>732</v>
      </c>
      <c r="M2284" s="17" t="s">
        <v>736</v>
      </c>
      <c r="N2284" s="17" t="s">
        <v>736</v>
      </c>
    </row>
    <row r="2285" spans="1:14" x14ac:dyDescent="0.25">
      <c r="A2285" s="10">
        <v>984541</v>
      </c>
      <c r="B2285" s="22" t="str">
        <f>IFERROR(VLOOKUP(A2285,VLOOKUPS!$A$2:B$12589,2,FALSE),"")</f>
        <v>Blueberries 1pt-standard</v>
      </c>
      <c r="E2285">
        <v>2.89</v>
      </c>
      <c r="F2285">
        <v>1.89</v>
      </c>
      <c r="G2285" s="13">
        <v>44506</v>
      </c>
      <c r="H2285" s="13">
        <v>44507</v>
      </c>
      <c r="I2285" s="22" t="str">
        <f>VLOOKUP(J2285, Dropdowns!N:O, 2, FALSE)</f>
        <v>Lower Price</v>
      </c>
      <c r="J2285" t="s">
        <v>759</v>
      </c>
      <c r="L2285" s="17" t="s">
        <v>733</v>
      </c>
      <c r="M2285" s="17" t="s">
        <v>11</v>
      </c>
      <c r="N2285" s="17" t="s">
        <v>740</v>
      </c>
    </row>
    <row r="2286" spans="1:14" x14ac:dyDescent="0.25">
      <c r="A2286" s="10">
        <v>984541</v>
      </c>
      <c r="B2286" s="22" t="str">
        <f>IFERROR(VLOOKUP(A2286,VLOOKUPS!$A$2:B$12589,2,FALSE),"")</f>
        <v>Blueberries 1pt-standard</v>
      </c>
      <c r="E2286">
        <v>1.89</v>
      </c>
      <c r="F2286">
        <v>2.89</v>
      </c>
      <c r="G2286" s="13">
        <v>44508</v>
      </c>
      <c r="H2286" s="13"/>
      <c r="I2286" s="22" t="str">
        <f>VLOOKUP(J2286, Dropdowns!N:O, 2, FALSE)</f>
        <v>Standard</v>
      </c>
      <c r="J2286" t="s">
        <v>760</v>
      </c>
      <c r="L2286" s="17" t="s">
        <v>733</v>
      </c>
      <c r="M2286" s="17" t="s">
        <v>11</v>
      </c>
      <c r="N2286" s="17" t="s">
        <v>740</v>
      </c>
    </row>
    <row r="2287" spans="1:14" x14ac:dyDescent="0.25">
      <c r="A2287" s="10">
        <v>984582</v>
      </c>
      <c r="B2287" s="22" t="str">
        <f>IFERROR(VLOOKUP(A2287,VLOOKUPS!$A$2:B$12589,2,FALSE),"")</f>
        <v>Organic Blueberries 1pt-standard</v>
      </c>
      <c r="E2287">
        <v>4.59</v>
      </c>
      <c r="F2287">
        <v>3.49</v>
      </c>
      <c r="G2287" s="13">
        <v>44506</v>
      </c>
      <c r="H2287" s="13">
        <v>44507</v>
      </c>
      <c r="I2287" s="22" t="str">
        <f>VLOOKUP(J2287, Dropdowns!N:O, 2, FALSE)</f>
        <v>Lower Price</v>
      </c>
      <c r="J2287" t="s">
        <v>759</v>
      </c>
      <c r="L2287" s="17" t="s">
        <v>732</v>
      </c>
      <c r="M2287" s="17" t="s">
        <v>736</v>
      </c>
      <c r="N2287" s="17" t="s">
        <v>736</v>
      </c>
    </row>
    <row r="2288" spans="1:14" x14ac:dyDescent="0.25">
      <c r="A2288" s="10">
        <v>984582</v>
      </c>
      <c r="B2288" s="22" t="str">
        <f>IFERROR(VLOOKUP(A2288,VLOOKUPS!$A$2:B$12589,2,FALSE),"")</f>
        <v>Organic Blueberries 1pt-standard</v>
      </c>
      <c r="E2288">
        <v>3.49</v>
      </c>
      <c r="F2288">
        <v>4.59</v>
      </c>
      <c r="G2288" s="13">
        <v>44508</v>
      </c>
      <c r="H2288" s="13"/>
      <c r="I2288" s="22" t="str">
        <f>VLOOKUP(J2288, Dropdowns!N:O, 2, FALSE)</f>
        <v>Standard</v>
      </c>
      <c r="J2288" t="s">
        <v>760</v>
      </c>
      <c r="L2288" s="17" t="s">
        <v>732</v>
      </c>
      <c r="M2288" s="17" t="s">
        <v>736</v>
      </c>
      <c r="N2288" s="17" t="s">
        <v>736</v>
      </c>
    </row>
    <row r="2289" spans="1:14" x14ac:dyDescent="0.25">
      <c r="A2289" s="10">
        <v>984582</v>
      </c>
      <c r="B2289" s="22" t="str">
        <f>IFERROR(VLOOKUP(A2289,VLOOKUPS!$A$2:B$12589,2,FALSE),"")</f>
        <v>Organic Blueberries 1pt-standard</v>
      </c>
      <c r="E2289">
        <v>4.59</v>
      </c>
      <c r="F2289">
        <v>4.8899999999999997</v>
      </c>
      <c r="G2289" s="13">
        <v>44509</v>
      </c>
      <c r="H2289" s="13"/>
      <c r="I2289" s="22" t="str">
        <f>VLOOKUP(J2289, Dropdowns!N:O, 2, FALSE)</f>
        <v>Standard</v>
      </c>
      <c r="J2289" t="s">
        <v>761</v>
      </c>
      <c r="L2289" s="17" t="s">
        <v>732</v>
      </c>
      <c r="M2289" s="17" t="s">
        <v>736</v>
      </c>
      <c r="N2289" s="17" t="s">
        <v>736</v>
      </c>
    </row>
    <row r="2290" spans="1:14" x14ac:dyDescent="0.25">
      <c r="A2290" s="10">
        <v>984700</v>
      </c>
      <c r="B2290" s="22" t="str">
        <f>IFERROR(VLOOKUP(A2290,VLOOKUPS!$A$2:B$12589,2,FALSE),"")</f>
        <v>Blackberries 6oz-standard</v>
      </c>
      <c r="G2290" s="13">
        <v>44506</v>
      </c>
      <c r="H2290" s="13">
        <v>44507</v>
      </c>
      <c r="I2290" s="22" t="str">
        <f>VLOOKUP(J2290, Dropdowns!N:O, 2, FALSE)</f>
        <v>Lower Price</v>
      </c>
      <c r="J2290" t="s">
        <v>762</v>
      </c>
      <c r="L2290" s="17" t="s">
        <v>732</v>
      </c>
      <c r="M2290" s="17" t="s">
        <v>735</v>
      </c>
      <c r="N2290" s="17" t="s">
        <v>736</v>
      </c>
    </row>
    <row r="2291" spans="1:14" x14ac:dyDescent="0.25">
      <c r="A2291" s="10">
        <v>984700</v>
      </c>
      <c r="B2291" s="22" t="str">
        <f>IFERROR(VLOOKUP(A2291,VLOOKUPS!$A$2:B$12589,2,FALSE),"")</f>
        <v>Blackberries 6oz-standard</v>
      </c>
      <c r="E2291">
        <v>1.49</v>
      </c>
      <c r="F2291">
        <v>2.68</v>
      </c>
      <c r="G2291" s="13">
        <v>44508</v>
      </c>
      <c r="H2291" s="13"/>
      <c r="I2291" s="22" t="str">
        <f>VLOOKUP(J2291, Dropdowns!N:O, 2, FALSE)</f>
        <v>Standard</v>
      </c>
      <c r="J2291" t="s">
        <v>760</v>
      </c>
      <c r="L2291" s="17" t="s">
        <v>732</v>
      </c>
      <c r="M2291" s="17" t="s">
        <v>735</v>
      </c>
      <c r="N2291" s="17" t="s">
        <v>736</v>
      </c>
    </row>
    <row r="2292" spans="1:14" x14ac:dyDescent="0.25">
      <c r="A2292" s="10">
        <v>984700</v>
      </c>
      <c r="B2292" s="22" t="str">
        <f>IFERROR(VLOOKUP(A2292,VLOOKUPS!$A$2:B$12589,2,FALSE),"")</f>
        <v>Blackberries 6oz-standard</v>
      </c>
      <c r="E2292">
        <v>2.68</v>
      </c>
      <c r="F2292">
        <v>2.2799999999999998</v>
      </c>
      <c r="G2292" s="13">
        <v>44509</v>
      </c>
      <c r="H2292" s="13"/>
      <c r="I2292" s="22" t="str">
        <f>VLOOKUP(J2292, Dropdowns!N:O, 2, FALSE)</f>
        <v>Standard</v>
      </c>
      <c r="J2292" t="s">
        <v>761</v>
      </c>
      <c r="L2292" s="17" t="s">
        <v>732</v>
      </c>
      <c r="M2292" s="17" t="s">
        <v>736</v>
      </c>
      <c r="N2292" s="17" t="s">
        <v>736</v>
      </c>
    </row>
    <row r="2293" spans="1:14" x14ac:dyDescent="0.25">
      <c r="A2293" s="10">
        <v>984702</v>
      </c>
      <c r="B2293" s="22" t="str">
        <f>IFERROR(VLOOKUP(A2293,VLOOKUPS!$A$2:B$12589,2,FALSE),"")</f>
        <v>Blackberries 12oz-standard</v>
      </c>
      <c r="E2293">
        <v>4.38</v>
      </c>
      <c r="F2293">
        <v>3.28</v>
      </c>
      <c r="G2293" s="13">
        <v>44506</v>
      </c>
      <c r="H2293" s="13">
        <v>44507</v>
      </c>
      <c r="I2293" s="22" t="str">
        <f>VLOOKUP(J2293, Dropdowns!N:O, 2, FALSE)</f>
        <v>Lower Price</v>
      </c>
      <c r="J2293" t="s">
        <v>759</v>
      </c>
      <c r="L2293" s="17" t="s">
        <v>732</v>
      </c>
      <c r="M2293" s="17" t="s">
        <v>9</v>
      </c>
      <c r="N2293" s="17" t="s">
        <v>736</v>
      </c>
    </row>
    <row r="2294" spans="1:14" x14ac:dyDescent="0.25">
      <c r="A2294" s="10">
        <v>984702</v>
      </c>
      <c r="B2294" s="22" t="str">
        <f>IFERROR(VLOOKUP(A2294,VLOOKUPS!$A$2:B$12589,2,FALSE),"")</f>
        <v>Blackberries 12oz-standard</v>
      </c>
      <c r="E2294">
        <v>3.28</v>
      </c>
      <c r="F2294">
        <v>4.38</v>
      </c>
      <c r="G2294" s="13">
        <v>44508</v>
      </c>
      <c r="H2294" s="13"/>
      <c r="I2294" s="22" t="str">
        <f>VLOOKUP(J2294, Dropdowns!N:O, 2, FALSE)</f>
        <v>Standard</v>
      </c>
      <c r="J2294" t="s">
        <v>760</v>
      </c>
      <c r="L2294" s="17" t="s">
        <v>732</v>
      </c>
      <c r="M2294" s="17" t="s">
        <v>9</v>
      </c>
      <c r="N2294" s="17" t="s">
        <v>736</v>
      </c>
    </row>
    <row r="2295" spans="1:14" x14ac:dyDescent="0.25">
      <c r="A2295" s="10">
        <v>995021</v>
      </c>
      <c r="B2295" s="22" t="str">
        <f>IFERROR(VLOOKUP(A2295,VLOOKUPS!$A$2:B$12589,2,FALSE),"")</f>
        <v>Chopped Bacon Caesar Kit 10.2oz-standard</v>
      </c>
      <c r="E2295">
        <v>3.49</v>
      </c>
      <c r="F2295">
        <v>2.4900000000000002</v>
      </c>
      <c r="G2295" s="13">
        <v>44506</v>
      </c>
      <c r="H2295" s="13">
        <v>44507</v>
      </c>
      <c r="I2295" s="22" t="str">
        <f>VLOOKUP(J2295, Dropdowns!N:O, 2, FALSE)</f>
        <v>Lower Price</v>
      </c>
      <c r="J2295" t="s">
        <v>759</v>
      </c>
      <c r="L2295" s="17" t="s">
        <v>733</v>
      </c>
      <c r="M2295" s="17" t="s">
        <v>11</v>
      </c>
      <c r="N2295" s="17" t="s">
        <v>740</v>
      </c>
    </row>
    <row r="2296" spans="1:14" x14ac:dyDescent="0.25">
      <c r="A2296" s="10">
        <v>995021</v>
      </c>
      <c r="B2296" s="22" t="str">
        <f>IFERROR(VLOOKUP(A2296,VLOOKUPS!$A$2:B$12589,2,FALSE),"")</f>
        <v>Chopped Bacon Caesar Kit 10.2oz-standard</v>
      </c>
      <c r="E2296">
        <v>2.4900000000000002</v>
      </c>
      <c r="F2296">
        <v>3.49</v>
      </c>
      <c r="G2296" s="13">
        <v>44508</v>
      </c>
      <c r="H2296" s="13"/>
      <c r="I2296" s="22" t="str">
        <f>VLOOKUP(J2296, Dropdowns!N:O, 2, FALSE)</f>
        <v>Standard</v>
      </c>
      <c r="J2296" t="s">
        <v>760</v>
      </c>
      <c r="L2296" s="17" t="s">
        <v>733</v>
      </c>
      <c r="M2296" s="17" t="s">
        <v>11</v>
      </c>
      <c r="N2296" s="17" t="s">
        <v>740</v>
      </c>
    </row>
    <row r="2297" spans="1:14" x14ac:dyDescent="0.25">
      <c r="A2297" s="10">
        <v>995035</v>
      </c>
      <c r="B2297" s="22" t="str">
        <f>IFERROR(VLOOKUP(A2297,VLOOKUPS!$A$2:B$12589,2,FALSE),"")</f>
        <v>Kale Greens 16oz-standard</v>
      </c>
      <c r="E2297">
        <v>2.19</v>
      </c>
      <c r="F2297">
        <v>2.2799999999999998</v>
      </c>
      <c r="G2297" s="13">
        <v>44506</v>
      </c>
      <c r="H2297" s="13"/>
      <c r="I2297" s="22" t="str">
        <f>VLOOKUP(J2297, Dropdowns!N:O, 2, FALSE)</f>
        <v>Standard</v>
      </c>
      <c r="J2297" t="s">
        <v>761</v>
      </c>
      <c r="L2297" s="17" t="s">
        <v>732</v>
      </c>
      <c r="M2297" s="17" t="s">
        <v>10</v>
      </c>
      <c r="N2297" s="17">
        <v>2</v>
      </c>
    </row>
    <row r="2298" spans="1:14" x14ac:dyDescent="0.25">
      <c r="A2298" s="10">
        <v>995041</v>
      </c>
      <c r="B2298" s="22" t="str">
        <f>IFERROR(VLOOKUP(A2298,VLOOKUPS!$A$2:B$12589,2,FALSE),"")</f>
        <v>Pineapple Spears 16oz-standard</v>
      </c>
      <c r="E2298">
        <v>3.49</v>
      </c>
      <c r="F2298">
        <v>1.99</v>
      </c>
      <c r="G2298" s="13">
        <v>44506</v>
      </c>
      <c r="H2298" s="13">
        <v>44507</v>
      </c>
      <c r="I2298" s="22" t="str">
        <f>VLOOKUP(J2298, Dropdowns!N:O, 2, FALSE)</f>
        <v>Lower Price</v>
      </c>
      <c r="J2298" t="s">
        <v>759</v>
      </c>
      <c r="L2298" s="17" t="s">
        <v>732</v>
      </c>
      <c r="M2298" s="17" t="s">
        <v>10</v>
      </c>
      <c r="N2298" s="17">
        <v>2</v>
      </c>
    </row>
    <row r="2299" spans="1:14" x14ac:dyDescent="0.25">
      <c r="A2299" s="10">
        <v>995041</v>
      </c>
      <c r="B2299" s="22" t="str">
        <f>IFERROR(VLOOKUP(A2299,VLOOKUPS!$A$2:B$12589,2,FALSE),"")</f>
        <v>Pineapple Spears 16oz-standard</v>
      </c>
      <c r="E2299">
        <v>1.99</v>
      </c>
      <c r="F2299">
        <v>3.49</v>
      </c>
      <c r="G2299" s="13">
        <v>44508</v>
      </c>
      <c r="H2299" s="13"/>
      <c r="I2299" s="22" t="str">
        <f>VLOOKUP(J2299, Dropdowns!N:O, 2, FALSE)</f>
        <v>Standard</v>
      </c>
      <c r="J2299" t="s">
        <v>760</v>
      </c>
      <c r="L2299" s="17" t="s">
        <v>732</v>
      </c>
      <c r="M2299" s="17" t="s">
        <v>10</v>
      </c>
      <c r="N2299" s="17">
        <v>2</v>
      </c>
    </row>
    <row r="2300" spans="1:14" x14ac:dyDescent="0.25">
      <c r="A2300" s="10">
        <v>995068</v>
      </c>
      <c r="B2300" s="22" t="str">
        <f>IFERROR(VLOOKUP(A2300,VLOOKUPS!$A$2:B$12589,2,FALSE),"")</f>
        <v>Organic Half and Half 5oz-standard</v>
      </c>
      <c r="E2300">
        <v>2.56</v>
      </c>
      <c r="F2300">
        <v>1.56</v>
      </c>
      <c r="G2300" s="13">
        <v>44506</v>
      </c>
      <c r="H2300" s="13">
        <v>44507</v>
      </c>
      <c r="I2300" s="22" t="str">
        <f>VLOOKUP(J2300, Dropdowns!N:O, 2, FALSE)</f>
        <v>Lower Price</v>
      </c>
      <c r="J2300" t="s">
        <v>759</v>
      </c>
      <c r="L2300" s="17" t="s">
        <v>733</v>
      </c>
      <c r="M2300" s="17" t="s">
        <v>9</v>
      </c>
      <c r="N2300" s="17" t="s">
        <v>740</v>
      </c>
    </row>
    <row r="2301" spans="1:14" x14ac:dyDescent="0.25">
      <c r="A2301" s="10">
        <v>995068</v>
      </c>
      <c r="B2301" s="22" t="str">
        <f>IFERROR(VLOOKUP(A2301,VLOOKUPS!$A$2:B$12589,2,FALSE),"")</f>
        <v>Organic Half and Half 5oz-standard</v>
      </c>
      <c r="E2301">
        <v>1.56</v>
      </c>
      <c r="F2301">
        <v>2.56</v>
      </c>
      <c r="G2301" s="13">
        <v>44508</v>
      </c>
      <c r="H2301" s="13"/>
      <c r="I2301" s="22" t="str">
        <f>VLOOKUP(J2301, Dropdowns!N:O, 2, FALSE)</f>
        <v>Standard</v>
      </c>
      <c r="J2301" t="s">
        <v>760</v>
      </c>
      <c r="L2301" s="17" t="s">
        <v>733</v>
      </c>
      <c r="M2301" s="17" t="s">
        <v>9</v>
      </c>
      <c r="N2301" s="17" t="s">
        <v>740</v>
      </c>
    </row>
    <row r="2302" spans="1:14" x14ac:dyDescent="0.25">
      <c r="A2302" s="10">
        <v>995072</v>
      </c>
      <c r="B2302" s="22" t="str">
        <f>IFERROR(VLOOKUP(A2302,VLOOKUPS!$A$2:B$12589,2,FALSE),"")</f>
        <v>Broccoli Coleslaw 12oz-standard</v>
      </c>
      <c r="E2302">
        <v>1.99</v>
      </c>
      <c r="F2302">
        <v>1.29</v>
      </c>
      <c r="G2302" s="13">
        <v>44506</v>
      </c>
      <c r="H2302" s="13">
        <v>44507</v>
      </c>
      <c r="I2302" s="22" t="str">
        <f>VLOOKUP(J2302, Dropdowns!N:O, 2, FALSE)</f>
        <v>Lower Price</v>
      </c>
      <c r="J2302" t="s">
        <v>759</v>
      </c>
      <c r="L2302" s="17" t="s">
        <v>733</v>
      </c>
      <c r="M2302" s="17" t="s">
        <v>11</v>
      </c>
      <c r="N2302" s="17" t="s">
        <v>740</v>
      </c>
    </row>
    <row r="2303" spans="1:14" x14ac:dyDescent="0.25">
      <c r="A2303" s="10">
        <v>995072</v>
      </c>
      <c r="B2303" s="22" t="str">
        <f>IFERROR(VLOOKUP(A2303,VLOOKUPS!$A$2:B$12589,2,FALSE),"")</f>
        <v>Broccoli Coleslaw 12oz-standard</v>
      </c>
      <c r="E2303">
        <v>1.29</v>
      </c>
      <c r="F2303">
        <v>1.99</v>
      </c>
      <c r="G2303" s="13">
        <v>44508</v>
      </c>
      <c r="H2303" s="13"/>
      <c r="I2303" s="22" t="str">
        <f>VLOOKUP(J2303, Dropdowns!N:O, 2, FALSE)</f>
        <v>Standard</v>
      </c>
      <c r="J2303" t="s">
        <v>760</v>
      </c>
      <c r="L2303" s="17" t="s">
        <v>733</v>
      </c>
      <c r="M2303" s="17" t="s">
        <v>11</v>
      </c>
      <c r="N2303" s="17" t="s">
        <v>740</v>
      </c>
    </row>
    <row r="2304" spans="1:14" x14ac:dyDescent="0.25">
      <c r="A2304" s="10">
        <v>995084</v>
      </c>
      <c r="B2304" s="22" t="str">
        <f>IFERROR(VLOOKUP(A2304,VLOOKUPS!$A$2:B$12589,2,FALSE),"")</f>
        <v>Eat Smart Green Beans 12oz-standard</v>
      </c>
      <c r="E2304">
        <v>2.78</v>
      </c>
      <c r="F2304">
        <v>1.78</v>
      </c>
      <c r="G2304" s="13">
        <v>44506</v>
      </c>
      <c r="H2304" s="13">
        <v>44507</v>
      </c>
      <c r="I2304" s="22" t="str">
        <f>VLOOKUP(J2304, Dropdowns!N:O, 2, FALSE)</f>
        <v>Lower Price</v>
      </c>
      <c r="J2304" t="s">
        <v>759</v>
      </c>
      <c r="L2304" s="17" t="s">
        <v>733</v>
      </c>
      <c r="M2304" s="17" t="s">
        <v>736</v>
      </c>
      <c r="N2304" s="17" t="s">
        <v>740</v>
      </c>
    </row>
    <row r="2305" spans="1:17" x14ac:dyDescent="0.25">
      <c r="A2305" s="10">
        <v>995084</v>
      </c>
      <c r="B2305" s="22" t="str">
        <f>IFERROR(VLOOKUP(A2305,VLOOKUPS!$A$2:B$12589,2,FALSE),"")</f>
        <v>Eat Smart Green Beans 12oz-standard</v>
      </c>
      <c r="E2305">
        <v>2.88</v>
      </c>
      <c r="F2305">
        <v>1.88</v>
      </c>
      <c r="G2305" s="13">
        <v>44506</v>
      </c>
      <c r="H2305" s="13">
        <v>44507</v>
      </c>
      <c r="I2305" s="22" t="str">
        <f>VLOOKUP(J2305, Dropdowns!N:O, 2, FALSE)</f>
        <v>Lower Price</v>
      </c>
      <c r="J2305" t="s">
        <v>759</v>
      </c>
      <c r="L2305" s="17" t="s">
        <v>734</v>
      </c>
      <c r="M2305" s="17" t="s">
        <v>735</v>
      </c>
      <c r="N2305" s="17" t="s">
        <v>736</v>
      </c>
    </row>
    <row r="2306" spans="1:17" x14ac:dyDescent="0.25">
      <c r="A2306" s="10">
        <v>995084</v>
      </c>
      <c r="B2306" s="22" t="str">
        <f>IFERROR(VLOOKUP(A2306,VLOOKUPS!$A$2:B$12589,2,FALSE),"")</f>
        <v>Eat Smart Green Beans 12oz-standard</v>
      </c>
      <c r="E2306">
        <v>1.78</v>
      </c>
      <c r="F2306">
        <v>2.78</v>
      </c>
      <c r="G2306" s="13">
        <v>44508</v>
      </c>
      <c r="H2306" s="13"/>
      <c r="I2306" s="22" t="str">
        <f>VLOOKUP(J2306, Dropdowns!N:O, 2, FALSE)</f>
        <v>Standard</v>
      </c>
      <c r="J2306" t="s">
        <v>760</v>
      </c>
      <c r="L2306" s="17" t="s">
        <v>733</v>
      </c>
      <c r="M2306" s="17" t="s">
        <v>736</v>
      </c>
      <c r="N2306" s="17" t="s">
        <v>740</v>
      </c>
    </row>
    <row r="2307" spans="1:17" x14ac:dyDescent="0.25">
      <c r="A2307" s="10">
        <v>995084</v>
      </c>
      <c r="B2307" s="22" t="str">
        <f>IFERROR(VLOOKUP(A2307,VLOOKUPS!$A$2:B$12589,2,FALSE),"")</f>
        <v>Eat Smart Green Beans 12oz-standard</v>
      </c>
      <c r="E2307">
        <v>1.88</v>
      </c>
      <c r="F2307">
        <v>2.88</v>
      </c>
      <c r="G2307" s="13">
        <v>44508</v>
      </c>
      <c r="H2307" s="13"/>
      <c r="I2307" s="22" t="str">
        <f>VLOOKUP(J2307, Dropdowns!N:O, 2, FALSE)</f>
        <v>Standard</v>
      </c>
      <c r="J2307" t="s">
        <v>760</v>
      </c>
      <c r="L2307" s="17" t="s">
        <v>734</v>
      </c>
      <c r="M2307" s="17" t="s">
        <v>735</v>
      </c>
      <c r="N2307" s="17" t="s">
        <v>736</v>
      </c>
    </row>
    <row r="2308" spans="1:17" x14ac:dyDescent="0.25">
      <c r="A2308" s="10">
        <v>995086</v>
      </c>
      <c r="B2308" s="22" t="str">
        <f>IFERROR(VLOOKUP(A2308,VLOOKUPS!$A$2:B$12589,2,FALSE),"")</f>
        <v>Eat Smart Broccoli Florets 2lbs-standard</v>
      </c>
      <c r="E2308">
        <v>5.98</v>
      </c>
      <c r="F2308">
        <v>3.98</v>
      </c>
      <c r="G2308" s="13">
        <v>44506</v>
      </c>
      <c r="H2308" s="13">
        <v>44507</v>
      </c>
      <c r="I2308" s="22" t="str">
        <f>VLOOKUP(J2308, Dropdowns!N:O, 2, FALSE)</f>
        <v>Lower Price</v>
      </c>
      <c r="J2308" t="s">
        <v>759</v>
      </c>
      <c r="L2308" s="17" t="s">
        <v>732</v>
      </c>
      <c r="M2308" s="17" t="s">
        <v>735</v>
      </c>
      <c r="N2308" s="17" t="s">
        <v>736</v>
      </c>
    </row>
    <row r="2309" spans="1:17" x14ac:dyDescent="0.25">
      <c r="A2309" s="10">
        <v>995086</v>
      </c>
      <c r="B2309" s="22" t="str">
        <f>IFERROR(VLOOKUP(A2309,VLOOKUPS!$A$2:B$12589,2,FALSE),"")</f>
        <v>Eat Smart Broccoli Florets 2lbs-standard</v>
      </c>
      <c r="E2309">
        <v>3.98</v>
      </c>
      <c r="F2309">
        <v>5.98</v>
      </c>
      <c r="G2309" s="13">
        <v>44508</v>
      </c>
      <c r="H2309" s="13"/>
      <c r="I2309" s="22" t="str">
        <f>VLOOKUP(J2309, Dropdowns!N:O, 2, FALSE)</f>
        <v>Standard</v>
      </c>
      <c r="J2309" t="s">
        <v>760</v>
      </c>
      <c r="L2309" s="17" t="s">
        <v>732</v>
      </c>
      <c r="M2309" s="17" t="s">
        <v>735</v>
      </c>
      <c r="N2309" s="17" t="s">
        <v>736</v>
      </c>
    </row>
    <row r="2310" spans="1:17" x14ac:dyDescent="0.25">
      <c r="A2310" s="10">
        <v>995097</v>
      </c>
      <c r="B2310" s="22" t="str">
        <f>IFERROR(VLOOKUP(A2310,VLOOKUPS!$A$2:B$12589,2,FALSE),"")</f>
        <v>Butternut Diced 12oz-standard</v>
      </c>
      <c r="E2310">
        <v>2.4900000000000002</v>
      </c>
      <c r="F2310">
        <v>2.25</v>
      </c>
      <c r="G2310" s="13">
        <v>44509</v>
      </c>
      <c r="H2310" s="13"/>
      <c r="I2310" s="22" t="str">
        <f>VLOOKUP(J2310, Dropdowns!N:O, 2, FALSE)</f>
        <v>Standard</v>
      </c>
      <c r="J2310" t="s">
        <v>761</v>
      </c>
      <c r="L2310" s="17" t="s">
        <v>732</v>
      </c>
      <c r="M2310" s="17" t="s">
        <v>736</v>
      </c>
      <c r="N2310" s="17" t="s">
        <v>736</v>
      </c>
    </row>
    <row r="2311" spans="1:17" x14ac:dyDescent="0.25">
      <c r="A2311" s="10">
        <v>995100</v>
      </c>
      <c r="B2311" s="22" t="str">
        <f>IFERROR(VLOOKUP(A2311,VLOOKUPS!$A$2:B$12589,2,FALSE),"")</f>
        <v>Asian Chopped Salad Kit 12oz-standard</v>
      </c>
      <c r="E2311">
        <v>3.49</v>
      </c>
      <c r="F2311">
        <v>2.4900000000000002</v>
      </c>
      <c r="G2311" s="13">
        <v>44506</v>
      </c>
      <c r="H2311" s="13">
        <v>44506</v>
      </c>
      <c r="I2311" s="22" t="str">
        <f>VLOOKUP(J2311, Dropdowns!N:O, 2, FALSE)</f>
        <v>Lower Price</v>
      </c>
      <c r="J2311" t="s">
        <v>759</v>
      </c>
      <c r="L2311" s="17" t="s">
        <v>732</v>
      </c>
      <c r="M2311" s="17" t="s">
        <v>10</v>
      </c>
      <c r="N2311" s="17">
        <v>2</v>
      </c>
    </row>
    <row r="2312" spans="1:17" x14ac:dyDescent="0.25">
      <c r="A2312" s="10">
        <v>995100</v>
      </c>
      <c r="B2312" s="22" t="str">
        <f>IFERROR(VLOOKUP(A2312,VLOOKUPS!$A$2:B$12589,2,FALSE),"")</f>
        <v>Asian Chopped Salad Kit 12oz-standard</v>
      </c>
      <c r="E2312">
        <v>2.4900000000000002</v>
      </c>
      <c r="F2312">
        <v>3.49</v>
      </c>
      <c r="G2312" s="13">
        <v>44507</v>
      </c>
      <c r="H2312" s="13"/>
      <c r="I2312" s="22" t="str">
        <f>VLOOKUP(J2312, Dropdowns!N:O, 2, FALSE)</f>
        <v>Standard</v>
      </c>
      <c r="J2312" t="s">
        <v>760</v>
      </c>
      <c r="L2312" s="17" t="s">
        <v>732</v>
      </c>
      <c r="M2312" s="17" t="s">
        <v>10</v>
      </c>
      <c r="N2312" s="17">
        <v>2</v>
      </c>
    </row>
    <row r="2313" spans="1:17" x14ac:dyDescent="0.25">
      <c r="A2313" s="10">
        <v>995153</v>
      </c>
      <c r="B2313" s="22" t="str">
        <f>IFERROR(VLOOKUP(A2313,VLOOKUPS!$A$2:B$12589,2,FALSE),"")</f>
        <v>Sweet Apple Slices 14oz-standard</v>
      </c>
      <c r="E2313">
        <v>3.49</v>
      </c>
      <c r="F2313">
        <v>1.99</v>
      </c>
      <c r="G2313" s="13">
        <v>44506</v>
      </c>
      <c r="H2313" s="13">
        <v>44507</v>
      </c>
      <c r="I2313" s="22" t="str">
        <f>VLOOKUP(J2313, Dropdowns!N:O, 2, FALSE)</f>
        <v>Lower Price</v>
      </c>
      <c r="J2313" t="s">
        <v>759</v>
      </c>
      <c r="L2313" s="17" t="s">
        <v>733</v>
      </c>
      <c r="M2313" s="17" t="s">
        <v>11</v>
      </c>
      <c r="N2313" s="17" t="s">
        <v>740</v>
      </c>
    </row>
    <row r="2314" spans="1:17" x14ac:dyDescent="0.25">
      <c r="A2314" s="10">
        <v>995153</v>
      </c>
      <c r="B2314" s="22" t="str">
        <f>IFERROR(VLOOKUP(A2314,VLOOKUPS!$A$2:B$12589,2,FALSE),"")</f>
        <v>Sweet Apple Slices 14oz-standard</v>
      </c>
      <c r="E2314">
        <v>1.99</v>
      </c>
      <c r="F2314">
        <v>3.49</v>
      </c>
      <c r="G2314" s="13">
        <v>44508</v>
      </c>
      <c r="H2314" s="13"/>
      <c r="I2314" s="22" t="str">
        <f>VLOOKUP(J2314, Dropdowns!N:O, 2, FALSE)</f>
        <v>Standard</v>
      </c>
      <c r="J2314" t="s">
        <v>760</v>
      </c>
      <c r="L2314" s="17" t="s">
        <v>733</v>
      </c>
      <c r="M2314" s="17" t="s">
        <v>11</v>
      </c>
      <c r="N2314" s="17" t="s">
        <v>740</v>
      </c>
    </row>
    <row r="2315" spans="1:17" x14ac:dyDescent="0.25">
      <c r="A2315" s="10">
        <v>995165</v>
      </c>
      <c r="B2315" s="22" t="str">
        <f>IFERROR(VLOOKUP(A2315,VLOOKUPS!$A$2:B$12589,2,FALSE),"")</f>
        <v>Organic Kale Greens 12oz-PK</v>
      </c>
      <c r="D2315">
        <v>8</v>
      </c>
      <c r="F2315">
        <v>3.19</v>
      </c>
      <c r="G2315" s="13">
        <v>44506</v>
      </c>
      <c r="H2315" s="13"/>
      <c r="I2315" s="22" t="str">
        <f>VLOOKUP(J2315, Dropdowns!N:O, 2, FALSE)</f>
        <v>New</v>
      </c>
      <c r="J2315" t="s">
        <v>776</v>
      </c>
      <c r="L2315" s="17" t="s">
        <v>732</v>
      </c>
      <c r="M2315" s="17" t="s">
        <v>736</v>
      </c>
      <c r="N2315" s="17" t="s">
        <v>736</v>
      </c>
      <c r="O2315" s="17" t="s">
        <v>748</v>
      </c>
      <c r="P2315">
        <v>1</v>
      </c>
      <c r="Q2315" s="17" t="s">
        <v>1044</v>
      </c>
    </row>
    <row r="2316" spans="1:17" x14ac:dyDescent="0.25">
      <c r="A2316" s="10">
        <v>984542</v>
      </c>
      <c r="B2316" s="22" t="str">
        <f>IFERROR(VLOOKUP(A2316,VLOOKUPS!$A$2:B$12589,2,FALSE),"")</f>
        <v>Blueberries 18oz-standard</v>
      </c>
      <c r="E2316">
        <v>4.29</v>
      </c>
      <c r="F2316">
        <v>2.99</v>
      </c>
      <c r="G2316" s="13">
        <v>44509</v>
      </c>
      <c r="H2316" s="13">
        <v>44510</v>
      </c>
      <c r="I2316" s="22" t="str">
        <f>VLOOKUP(J2316, Dropdowns!N:O, 2, FALSE)</f>
        <v>Lower Price</v>
      </c>
      <c r="J2316" t="s">
        <v>759</v>
      </c>
      <c r="L2316" s="17" t="s">
        <v>732</v>
      </c>
      <c r="M2316" s="17" t="s">
        <v>736</v>
      </c>
      <c r="N2316" s="17" t="s">
        <v>736</v>
      </c>
    </row>
    <row r="2317" spans="1:17" x14ac:dyDescent="0.25">
      <c r="A2317" s="10">
        <v>984542</v>
      </c>
      <c r="B2317" s="22" t="str">
        <f>IFERROR(VLOOKUP(A2317,VLOOKUPS!$A$2:B$12589,2,FALSE),"")</f>
        <v>Blueberries 18oz-standard</v>
      </c>
      <c r="E2317">
        <v>2.99</v>
      </c>
      <c r="F2317">
        <v>4.29</v>
      </c>
      <c r="G2317" s="13">
        <v>44511</v>
      </c>
      <c r="H2317" s="13"/>
      <c r="I2317" s="22" t="str">
        <f>VLOOKUP(J2317, Dropdowns!N:O, 2, FALSE)</f>
        <v>Standard</v>
      </c>
      <c r="J2317" t="s">
        <v>760</v>
      </c>
      <c r="L2317" s="17" t="s">
        <v>732</v>
      </c>
      <c r="M2317" s="17" t="s">
        <v>736</v>
      </c>
      <c r="N2317" s="17" t="s">
        <v>736</v>
      </c>
    </row>
    <row r="2318" spans="1:17" x14ac:dyDescent="0.25">
      <c r="A2318" s="10">
        <v>984582</v>
      </c>
      <c r="B2318" s="22" t="str">
        <f>IFERROR(VLOOKUP(A2318,VLOOKUPS!$A$2:B$12589,2,FALSE),"")</f>
        <v>Organic Blueberries 1pt-standard</v>
      </c>
      <c r="E2318">
        <v>4.59</v>
      </c>
      <c r="F2318">
        <v>4.8899999999999997</v>
      </c>
      <c r="G2318" s="13">
        <v>44509</v>
      </c>
      <c r="H2318" s="13"/>
      <c r="I2318" s="22" t="str">
        <f>VLOOKUP(J2318, Dropdowns!N:O, 2, FALSE)</f>
        <v>Standard</v>
      </c>
      <c r="J2318" t="s">
        <v>761</v>
      </c>
      <c r="L2318" s="17" t="s">
        <v>732</v>
      </c>
      <c r="M2318" s="17" t="s">
        <v>736</v>
      </c>
      <c r="N2318" s="17" t="s">
        <v>736</v>
      </c>
    </row>
    <row r="2319" spans="1:17" x14ac:dyDescent="0.25">
      <c r="A2319" s="10">
        <v>995041</v>
      </c>
      <c r="B2319" s="22" t="str">
        <f>IFERROR(VLOOKUP(A2319,VLOOKUPS!$A$2:B$12589,2,FALSE),"")</f>
        <v>Pineapple Spears 16oz-standard</v>
      </c>
      <c r="E2319">
        <v>3.49</v>
      </c>
      <c r="F2319">
        <v>1.99</v>
      </c>
      <c r="G2319" s="13">
        <v>44509</v>
      </c>
      <c r="H2319" s="13">
        <v>44509</v>
      </c>
      <c r="I2319" s="22" t="str">
        <f>VLOOKUP(J2319, Dropdowns!N:O, 2, FALSE)</f>
        <v>Lower Price</v>
      </c>
      <c r="J2319" t="s">
        <v>759</v>
      </c>
      <c r="L2319" s="17" t="s">
        <v>732</v>
      </c>
      <c r="M2319" s="17" t="s">
        <v>735</v>
      </c>
      <c r="N2319" s="17" t="s">
        <v>736</v>
      </c>
    </row>
    <row r="2320" spans="1:17" x14ac:dyDescent="0.25">
      <c r="A2320" s="10">
        <v>995041</v>
      </c>
      <c r="B2320" s="22" t="str">
        <f>IFERROR(VLOOKUP(A2320,VLOOKUPS!$A$2:B$12589,2,FALSE),"")</f>
        <v>Pineapple Spears 16oz-standard</v>
      </c>
      <c r="E2320">
        <v>1.99</v>
      </c>
      <c r="F2320">
        <v>3.49</v>
      </c>
      <c r="G2320" s="13">
        <v>44510</v>
      </c>
      <c r="H2320" s="13"/>
      <c r="I2320" s="22" t="str">
        <f>VLOOKUP(J2320, Dropdowns!N:O, 2, FALSE)</f>
        <v>Standard</v>
      </c>
      <c r="J2320" t="s">
        <v>760</v>
      </c>
      <c r="L2320" s="17" t="s">
        <v>732</v>
      </c>
      <c r="M2320" s="17" t="s">
        <v>735</v>
      </c>
      <c r="N2320" s="17" t="s">
        <v>736</v>
      </c>
    </row>
    <row r="2321" spans="1:14" x14ac:dyDescent="0.25">
      <c r="A2321" s="10">
        <v>995109</v>
      </c>
      <c r="B2321" s="22" t="str">
        <f>IFERROR(VLOOKUP(A2321,VLOOKUPS!$A$2:B$12589,2,FALSE),"")</f>
        <v>Mediterranean Chopped Salad 11oz-standard</v>
      </c>
      <c r="E2321">
        <v>3.49</v>
      </c>
      <c r="F2321">
        <v>1.99</v>
      </c>
      <c r="G2321" s="13">
        <v>44509</v>
      </c>
      <c r="H2321" s="13">
        <v>44510</v>
      </c>
      <c r="I2321" s="22" t="str">
        <f>VLOOKUP(J2321, Dropdowns!N:O, 2, FALSE)</f>
        <v>Lower Price</v>
      </c>
      <c r="J2321" t="s">
        <v>759</v>
      </c>
      <c r="L2321" s="17" t="s">
        <v>732</v>
      </c>
      <c r="M2321" s="17" t="s">
        <v>736</v>
      </c>
      <c r="N2321" s="17" t="s">
        <v>736</v>
      </c>
    </row>
    <row r="2322" spans="1:14" x14ac:dyDescent="0.25">
      <c r="A2322" s="10">
        <v>995109</v>
      </c>
      <c r="B2322" s="22" t="str">
        <f>IFERROR(VLOOKUP(A2322,VLOOKUPS!$A$2:B$12589,2,FALSE),"")</f>
        <v>Mediterranean Chopped Salad 11oz-standard</v>
      </c>
      <c r="E2322">
        <v>1.99</v>
      </c>
      <c r="F2322">
        <v>3.49</v>
      </c>
      <c r="G2322" s="13">
        <v>44511</v>
      </c>
      <c r="H2322" s="13"/>
      <c r="I2322" s="22" t="str">
        <f>VLOOKUP(J2322, Dropdowns!N:O, 2, FALSE)</f>
        <v>Standard</v>
      </c>
      <c r="J2322" t="s">
        <v>760</v>
      </c>
      <c r="L2322" s="17" t="s">
        <v>732</v>
      </c>
      <c r="M2322" s="17" t="s">
        <v>736</v>
      </c>
      <c r="N2322" s="17" t="s">
        <v>736</v>
      </c>
    </row>
    <row r="2323" spans="1:14" x14ac:dyDescent="0.25">
      <c r="A2323" s="10">
        <v>995115</v>
      </c>
      <c r="B2323" s="22" t="str">
        <f>IFERROR(VLOOKUP(A2323,VLOOKUPS!$A$2:B$12589,2,FALSE),"")</f>
        <v>Pineapple Chunks 10oz-standard</v>
      </c>
      <c r="E2323">
        <v>2.58</v>
      </c>
      <c r="F2323">
        <v>1.58</v>
      </c>
      <c r="G2323" s="13">
        <v>44509</v>
      </c>
      <c r="H2323" s="13">
        <v>44510</v>
      </c>
      <c r="I2323" s="22" t="str">
        <f>VLOOKUP(J2323, Dropdowns!N:O, 2, FALSE)</f>
        <v>Lower Price</v>
      </c>
      <c r="J2323" t="s">
        <v>759</v>
      </c>
      <c r="L2323" s="17" t="s">
        <v>732</v>
      </c>
      <c r="M2323" s="17" t="s">
        <v>10</v>
      </c>
      <c r="N2323" s="17">
        <v>2</v>
      </c>
    </row>
    <row r="2324" spans="1:14" x14ac:dyDescent="0.25">
      <c r="A2324" s="10">
        <v>995115</v>
      </c>
      <c r="B2324" s="22" t="str">
        <f>IFERROR(VLOOKUP(A2324,VLOOKUPS!$A$2:B$12589,2,FALSE),"")</f>
        <v>Pineapple Chunks 10oz-standard</v>
      </c>
      <c r="E2324">
        <v>1.58</v>
      </c>
      <c r="F2324">
        <v>2.58</v>
      </c>
      <c r="G2324" s="13">
        <v>44511</v>
      </c>
      <c r="H2324" s="13"/>
      <c r="I2324" s="22" t="str">
        <f>VLOOKUP(J2324, Dropdowns!N:O, 2, FALSE)</f>
        <v>Standard</v>
      </c>
      <c r="J2324" t="s">
        <v>760</v>
      </c>
      <c r="L2324" s="17" t="s">
        <v>732</v>
      </c>
      <c r="M2324" s="17" t="s">
        <v>10</v>
      </c>
      <c r="N2324" s="17">
        <v>2</v>
      </c>
    </row>
    <row r="2325" spans="1:14" x14ac:dyDescent="0.25">
      <c r="A2325" s="10">
        <v>995119</v>
      </c>
      <c r="B2325" s="22" t="str">
        <f>IFERROR(VLOOKUP(A2325,VLOOKUPS!$A$2:B$12589,2,FALSE),"")</f>
        <v>RTE Green Goddess Salad 5.5oz-standard</v>
      </c>
      <c r="E2325">
        <v>3</v>
      </c>
      <c r="G2325" s="13">
        <v>44509</v>
      </c>
      <c r="H2325" s="13"/>
      <c r="I2325" s="22" t="str">
        <f>VLOOKUP(J2325, Dropdowns!N:O, 2, FALSE)</f>
        <v>NA</v>
      </c>
      <c r="J2325" t="s">
        <v>754</v>
      </c>
      <c r="L2325" s="17" t="s">
        <v>732</v>
      </c>
      <c r="M2325" s="17" t="s">
        <v>736</v>
      </c>
      <c r="N2325" s="17" t="s">
        <v>736</v>
      </c>
    </row>
    <row r="2326" spans="1:14" x14ac:dyDescent="0.25">
      <c r="A2326" s="10">
        <v>995153</v>
      </c>
      <c r="B2326" s="22" t="str">
        <f>IFERROR(VLOOKUP(A2326,VLOOKUPS!$A$2:B$12589,2,FALSE),"")</f>
        <v>Sweet Apple Slices 14oz-standard</v>
      </c>
      <c r="E2326">
        <v>3.49</v>
      </c>
      <c r="F2326">
        <v>1.99</v>
      </c>
      <c r="G2326" s="13">
        <v>44509</v>
      </c>
      <c r="H2326" s="13">
        <v>44510</v>
      </c>
      <c r="I2326" s="22" t="str">
        <f>VLOOKUP(J2326, Dropdowns!N:O, 2, FALSE)</f>
        <v>Lower Price</v>
      </c>
      <c r="J2326" t="s">
        <v>759</v>
      </c>
      <c r="L2326" s="17" t="s">
        <v>732</v>
      </c>
      <c r="M2326" s="17" t="s">
        <v>738</v>
      </c>
      <c r="N2326" s="17">
        <v>2</v>
      </c>
    </row>
    <row r="2327" spans="1:14" x14ac:dyDescent="0.25">
      <c r="A2327" s="10">
        <v>995153</v>
      </c>
      <c r="B2327" s="22" t="str">
        <f>IFERROR(VLOOKUP(A2327,VLOOKUPS!$A$2:B$12589,2,FALSE),"")</f>
        <v>Sweet Apple Slices 14oz-standard</v>
      </c>
      <c r="E2327">
        <v>1.99</v>
      </c>
      <c r="F2327">
        <v>3.49</v>
      </c>
      <c r="G2327" s="13">
        <v>44511</v>
      </c>
      <c r="H2327" s="13"/>
      <c r="I2327" s="22" t="str">
        <f>VLOOKUP(J2327, Dropdowns!N:O, 2, FALSE)</f>
        <v>Standard</v>
      </c>
      <c r="J2327" t="s">
        <v>760</v>
      </c>
      <c r="L2327" s="17" t="s">
        <v>732</v>
      </c>
      <c r="M2327" s="17" t="s">
        <v>738</v>
      </c>
      <c r="N2327" s="17">
        <v>2</v>
      </c>
    </row>
    <row r="2328" spans="1:14" x14ac:dyDescent="0.25">
      <c r="A2328" s="10">
        <v>995154</v>
      </c>
      <c r="B2328" s="22" t="str">
        <f>IFERROR(VLOOKUP(A2328,VLOOKUPS!$A$2:B$12589,2,FALSE),"")</f>
        <v>Butter Blend 5oz-standard</v>
      </c>
      <c r="E2328">
        <v>2.4900000000000002</v>
      </c>
      <c r="F2328">
        <v>2.98</v>
      </c>
      <c r="G2328" s="13">
        <v>44509</v>
      </c>
      <c r="H2328" s="13"/>
      <c r="I2328" s="22" t="str">
        <f>VLOOKUP(J2328, Dropdowns!N:O, 2, FALSE)</f>
        <v>Standard</v>
      </c>
      <c r="J2328" t="s">
        <v>761</v>
      </c>
      <c r="L2328" s="17" t="s">
        <v>732</v>
      </c>
      <c r="M2328" s="17" t="s">
        <v>736</v>
      </c>
      <c r="N2328" s="17" t="s">
        <v>736</v>
      </c>
    </row>
    <row r="2329" spans="1:14" x14ac:dyDescent="0.25">
      <c r="A2329" s="10">
        <v>995155</v>
      </c>
      <c r="B2329" s="22" t="str">
        <f>IFERROR(VLOOKUP(A2329,VLOOKUPS!$A$2:B$12589,2,FALSE),"")</f>
        <v>Organic Sweet Apple Slices 12oz-standard</v>
      </c>
      <c r="E2329">
        <v>3.99</v>
      </c>
      <c r="F2329">
        <v>2.4900000000000002</v>
      </c>
      <c r="G2329" s="13">
        <v>44509</v>
      </c>
      <c r="H2329" s="13">
        <v>44511</v>
      </c>
      <c r="I2329" s="22" t="str">
        <f>VLOOKUP(J2329, Dropdowns!N:O, 2, FALSE)</f>
        <v>Lower Price</v>
      </c>
      <c r="J2329" t="s">
        <v>759</v>
      </c>
      <c r="L2329" s="17" t="s">
        <v>732</v>
      </c>
      <c r="M2329" s="17" t="s">
        <v>738</v>
      </c>
      <c r="N2329" s="17">
        <v>2</v>
      </c>
    </row>
    <row r="2330" spans="1:14" x14ac:dyDescent="0.25">
      <c r="A2330" s="10">
        <v>995155</v>
      </c>
      <c r="B2330" s="22" t="str">
        <f>IFERROR(VLOOKUP(A2330,VLOOKUPS!$A$2:B$12589,2,FALSE),"")</f>
        <v>Organic Sweet Apple Slices 12oz-standard</v>
      </c>
      <c r="E2330">
        <v>2.4900000000000002</v>
      </c>
      <c r="F2330">
        <v>3.99</v>
      </c>
      <c r="G2330" s="13">
        <v>44512</v>
      </c>
      <c r="H2330" s="13"/>
      <c r="I2330" s="22" t="str">
        <f>VLOOKUP(J2330, Dropdowns!N:O, 2, FALSE)</f>
        <v>Standard</v>
      </c>
      <c r="J2330" t="s">
        <v>760</v>
      </c>
      <c r="L2330" s="17" t="s">
        <v>732</v>
      </c>
      <c r="M2330" s="17" t="s">
        <v>738</v>
      </c>
      <c r="N2330" s="17">
        <v>2</v>
      </c>
    </row>
    <row r="2331" spans="1:14" x14ac:dyDescent="0.25">
      <c r="A2331" s="10">
        <v>995163</v>
      </c>
      <c r="B2331" s="22" t="str">
        <f>IFERROR(VLOOKUP(A2331,VLOOKUPS!$A$2:B$12589,2,FALSE),"")</f>
        <v>XL Caesar Salad Kit 15oz-standard</v>
      </c>
      <c r="E2331">
        <v>4.4400000000000004</v>
      </c>
      <c r="F2331">
        <v>2.99</v>
      </c>
      <c r="G2331" s="13">
        <v>44509</v>
      </c>
      <c r="H2331" s="13">
        <v>44510</v>
      </c>
      <c r="I2331" s="22" t="str">
        <f>VLOOKUP(J2331, Dropdowns!N:O, 2, FALSE)</f>
        <v>Lower Price</v>
      </c>
      <c r="J2331" t="s">
        <v>759</v>
      </c>
      <c r="L2331" s="17" t="s">
        <v>733</v>
      </c>
      <c r="M2331" s="17" t="s">
        <v>11</v>
      </c>
      <c r="N2331" s="17" t="s">
        <v>740</v>
      </c>
    </row>
    <row r="2332" spans="1:14" x14ac:dyDescent="0.25">
      <c r="A2332" s="10">
        <v>995163</v>
      </c>
      <c r="B2332" s="22" t="str">
        <f>IFERROR(VLOOKUP(A2332,VLOOKUPS!$A$2:B$12589,2,FALSE),"")</f>
        <v>XL Caesar Salad Kit 15oz-standard</v>
      </c>
      <c r="E2332">
        <v>2.99</v>
      </c>
      <c r="F2332">
        <v>4.4400000000000004</v>
      </c>
      <c r="G2332" s="13">
        <v>44511</v>
      </c>
      <c r="H2332" s="13"/>
      <c r="I2332" s="22" t="str">
        <f>VLOOKUP(J2332, Dropdowns!N:O, 2, FALSE)</f>
        <v>Standard</v>
      </c>
      <c r="J2332" t="s">
        <v>760</v>
      </c>
      <c r="L2332" s="17" t="s">
        <v>733</v>
      </c>
      <c r="M2332" s="17" t="s">
        <v>11</v>
      </c>
      <c r="N2332" s="17" t="s">
        <v>740</v>
      </c>
    </row>
    <row r="2333" spans="1:14" x14ac:dyDescent="0.25">
      <c r="A2333" s="10">
        <v>982960</v>
      </c>
      <c r="B2333" s="22" t="str">
        <f>IFERROR(VLOOKUP(A2333,VLOOKUPS!$A$2:B$12589,2,FALSE),"")</f>
        <v>Grapes Specialty* 1lb-LOOSE</v>
      </c>
      <c r="E2333">
        <v>3.99</v>
      </c>
      <c r="F2333">
        <v>2.99</v>
      </c>
      <c r="G2333" s="13">
        <v>44509</v>
      </c>
      <c r="H2333" s="13">
        <v>44510</v>
      </c>
      <c r="I2333" s="22" t="str">
        <f>VLOOKUP(J2333, Dropdowns!N:O, 2, FALSE)</f>
        <v>Lower Price</v>
      </c>
      <c r="J2333" t="s">
        <v>759</v>
      </c>
      <c r="L2333" s="17" t="s">
        <v>732</v>
      </c>
      <c r="M2333" s="17" t="s">
        <v>737</v>
      </c>
      <c r="N2333" s="17" t="s">
        <v>736</v>
      </c>
    </row>
    <row r="2334" spans="1:14" x14ac:dyDescent="0.25">
      <c r="A2334" s="10">
        <v>982960</v>
      </c>
      <c r="B2334" s="22" t="str">
        <f>IFERROR(VLOOKUP(A2334,VLOOKUPS!$A$2:B$12589,2,FALSE),"")</f>
        <v>Grapes Specialty* 1lb-LOOSE</v>
      </c>
      <c r="E2334">
        <v>2.99</v>
      </c>
      <c r="F2334">
        <v>3.99</v>
      </c>
      <c r="G2334" s="13">
        <v>44511</v>
      </c>
      <c r="H2334" s="13"/>
      <c r="I2334" s="22" t="str">
        <f>VLOOKUP(J2334, Dropdowns!N:O, 2, FALSE)</f>
        <v>Standard</v>
      </c>
      <c r="J2334" t="s">
        <v>760</v>
      </c>
      <c r="L2334" s="17" t="s">
        <v>732</v>
      </c>
      <c r="M2334" s="17" t="s">
        <v>737</v>
      </c>
      <c r="N2334" s="17" t="s">
        <v>736</v>
      </c>
    </row>
    <row r="2335" spans="1:14" x14ac:dyDescent="0.25">
      <c r="A2335" s="10">
        <v>982800</v>
      </c>
      <c r="B2335" s="22" t="str">
        <f>IFERROR(VLOOKUP(A2335,VLOOKUPS!$A$2:B$12589,2,FALSE),"")</f>
        <v>Organic* Grapes Red Seedless 2lb-standard</v>
      </c>
      <c r="E2335">
        <v>5.29</v>
      </c>
      <c r="F2335">
        <v>3.99</v>
      </c>
      <c r="G2335" s="13">
        <v>44509</v>
      </c>
      <c r="H2335" s="13">
        <v>44510</v>
      </c>
      <c r="I2335" s="22" t="str">
        <f>VLOOKUP(J2335, Dropdowns!N:O, 2, FALSE)</f>
        <v>Lower Price</v>
      </c>
      <c r="J2335" t="s">
        <v>759</v>
      </c>
      <c r="L2335" s="17" t="s">
        <v>732</v>
      </c>
      <c r="M2335" s="17" t="s">
        <v>738</v>
      </c>
      <c r="N2335" s="17">
        <v>2</v>
      </c>
    </row>
    <row r="2336" spans="1:14" x14ac:dyDescent="0.25">
      <c r="A2336" s="10">
        <v>982800</v>
      </c>
      <c r="B2336" s="22" t="str">
        <f>IFERROR(VLOOKUP(A2336,VLOOKUPS!$A$2:B$12589,2,FALSE),"")</f>
        <v>Organic* Grapes Red Seedless 2lb-standard</v>
      </c>
      <c r="E2336">
        <v>3.99</v>
      </c>
      <c r="F2336">
        <v>5.29</v>
      </c>
      <c r="G2336" s="13">
        <v>44511</v>
      </c>
      <c r="H2336" s="13"/>
      <c r="I2336" s="22" t="str">
        <f>VLOOKUP(J2336, Dropdowns!N:O, 2, FALSE)</f>
        <v>Standard</v>
      </c>
      <c r="J2336" t="s">
        <v>760</v>
      </c>
      <c r="L2336" s="17" t="s">
        <v>732</v>
      </c>
      <c r="M2336" s="17" t="s">
        <v>738</v>
      </c>
      <c r="N2336" s="17">
        <v>2</v>
      </c>
    </row>
    <row r="2337" spans="1:14" x14ac:dyDescent="0.25">
      <c r="A2337" s="10">
        <v>984621</v>
      </c>
      <c r="B2337" s="22" t="str">
        <f>IFERROR(VLOOKUP(A2337,VLOOKUPS!$A$2:B$12589,2,FALSE),"")</f>
        <v>Raspberries 12oz-standard</v>
      </c>
      <c r="E2337">
        <v>5.18</v>
      </c>
      <c r="F2337">
        <v>3.49</v>
      </c>
      <c r="G2337" s="13">
        <v>44510</v>
      </c>
      <c r="H2337" s="13">
        <v>44511</v>
      </c>
      <c r="I2337" s="22" t="str">
        <f>VLOOKUP(J2337, Dropdowns!N:O, 2, FALSE)</f>
        <v>Lower Price</v>
      </c>
      <c r="J2337" t="s">
        <v>759</v>
      </c>
      <c r="L2337" s="17" t="s">
        <v>732</v>
      </c>
      <c r="M2337" s="17" t="s">
        <v>10</v>
      </c>
      <c r="N2337" s="17">
        <v>2</v>
      </c>
    </row>
    <row r="2338" spans="1:14" x14ac:dyDescent="0.25">
      <c r="A2338" s="10">
        <v>984621</v>
      </c>
      <c r="B2338" s="22" t="str">
        <f>IFERROR(VLOOKUP(A2338,VLOOKUPS!$A$2:B$12589,2,FALSE),"")</f>
        <v>Raspberries 12oz-standard</v>
      </c>
      <c r="E2338">
        <v>3.49</v>
      </c>
      <c r="F2338">
        <v>5.18</v>
      </c>
      <c r="G2338" s="13">
        <v>44512</v>
      </c>
      <c r="H2338" s="13"/>
      <c r="I2338" s="22" t="str">
        <f>VLOOKUP(J2338, Dropdowns!N:O, 2, FALSE)</f>
        <v>Standard</v>
      </c>
      <c r="J2338" t="s">
        <v>760</v>
      </c>
      <c r="L2338" s="17" t="s">
        <v>732</v>
      </c>
      <c r="M2338" s="17" t="s">
        <v>10</v>
      </c>
      <c r="N2338" s="17">
        <v>2</v>
      </c>
    </row>
    <row r="2339" spans="1:14" x14ac:dyDescent="0.25">
      <c r="A2339" s="10">
        <v>984700</v>
      </c>
      <c r="B2339" s="22" t="str">
        <f>IFERROR(VLOOKUP(A2339,VLOOKUPS!$A$2:B$12589,2,FALSE),"")</f>
        <v>Blackberries 6oz-standard</v>
      </c>
      <c r="E2339">
        <v>2.2799999999999998</v>
      </c>
      <c r="F2339">
        <v>1.28</v>
      </c>
      <c r="G2339" s="13">
        <v>44510</v>
      </c>
      <c r="H2339" s="13">
        <v>44511</v>
      </c>
      <c r="I2339" s="22" t="str">
        <f>VLOOKUP(J2339, Dropdowns!N:O, 2, FALSE)</f>
        <v>Lower Price</v>
      </c>
      <c r="J2339" t="s">
        <v>759</v>
      </c>
      <c r="L2339" s="17" t="s">
        <v>732</v>
      </c>
      <c r="M2339" s="17" t="s">
        <v>735</v>
      </c>
      <c r="N2339" s="17" t="s">
        <v>736</v>
      </c>
    </row>
    <row r="2340" spans="1:14" x14ac:dyDescent="0.25">
      <c r="A2340" s="10">
        <v>984700</v>
      </c>
      <c r="B2340" s="22" t="str">
        <f>IFERROR(VLOOKUP(A2340,VLOOKUPS!$A$2:B$12589,2,FALSE),"")</f>
        <v>Blackberries 6oz-standard</v>
      </c>
      <c r="E2340">
        <v>1.28</v>
      </c>
      <c r="F2340">
        <v>2.2799999999999998</v>
      </c>
      <c r="G2340" s="13">
        <v>44512</v>
      </c>
      <c r="H2340" s="13"/>
      <c r="I2340" s="22" t="str">
        <f>VLOOKUP(J2340, Dropdowns!N:O, 2, FALSE)</f>
        <v>Standard</v>
      </c>
      <c r="J2340" t="s">
        <v>760</v>
      </c>
      <c r="L2340" s="17" t="s">
        <v>732</v>
      </c>
      <c r="M2340" s="17" t="s">
        <v>735</v>
      </c>
      <c r="N2340" s="17" t="s">
        <v>736</v>
      </c>
    </row>
    <row r="2341" spans="1:14" x14ac:dyDescent="0.25">
      <c r="A2341" s="10">
        <v>985760</v>
      </c>
      <c r="B2341" s="22" t="str">
        <f>IFERROR(VLOOKUP(A2341,VLOOKUPS!$A$2:B$12589,2,FALSE),"")</f>
        <v>Asparagus 1lb-standard</v>
      </c>
      <c r="G2341" s="13">
        <v>44510</v>
      </c>
      <c r="H2341" s="13">
        <v>44516</v>
      </c>
      <c r="I2341" s="22" t="str">
        <f>VLOOKUP(J2341, Dropdowns!N:O, 2, FALSE)</f>
        <v>Lower Price</v>
      </c>
      <c r="J2341" t="s">
        <v>753</v>
      </c>
      <c r="L2341" s="17" t="s">
        <v>732</v>
      </c>
      <c r="M2341" s="17" t="s">
        <v>736</v>
      </c>
      <c r="N2341" s="17" t="s">
        <v>736</v>
      </c>
    </row>
    <row r="2342" spans="1:14" x14ac:dyDescent="0.25">
      <c r="A2342" s="10">
        <v>988620</v>
      </c>
      <c r="B2342" s="22" t="str">
        <f>IFERROR(VLOOKUP(A2342,VLOOKUPS!$A$2:B$12589,2,FALSE),"")</f>
        <v>Brussels Sprouts 1lb-standard</v>
      </c>
      <c r="G2342" s="13">
        <v>44510</v>
      </c>
      <c r="H2342" s="13">
        <v>44516</v>
      </c>
      <c r="I2342" s="22" t="str">
        <f>VLOOKUP(J2342, Dropdowns!N:O, 2, FALSE)</f>
        <v>Lower Price</v>
      </c>
      <c r="J2342" t="s">
        <v>753</v>
      </c>
      <c r="L2342" s="17" t="s">
        <v>732</v>
      </c>
      <c r="M2342" s="17" t="s">
        <v>736</v>
      </c>
      <c r="N2342" s="17" t="s">
        <v>736</v>
      </c>
    </row>
    <row r="2343" spans="1:14" x14ac:dyDescent="0.25">
      <c r="A2343" s="10">
        <v>995001</v>
      </c>
      <c r="B2343" s="22" t="str">
        <f>IFERROR(VLOOKUP(A2343,VLOOKUPS!$A$2:B$12589,2,FALSE),"")</f>
        <v>Spinach Baby 6oz-standard</v>
      </c>
      <c r="E2343">
        <v>2.2200000000000002</v>
      </c>
      <c r="F2343">
        <v>2.3199999999999998</v>
      </c>
      <c r="G2343" s="13">
        <v>44510</v>
      </c>
      <c r="H2343" s="13"/>
      <c r="I2343" s="22" t="str">
        <f>VLOOKUP(J2343, Dropdowns!N:O, 2, FALSE)</f>
        <v>Standard</v>
      </c>
      <c r="J2343" t="s">
        <v>761</v>
      </c>
      <c r="L2343" s="17" t="s">
        <v>732</v>
      </c>
      <c r="M2343" s="17" t="s">
        <v>736</v>
      </c>
      <c r="N2343" s="17" t="s">
        <v>736</v>
      </c>
    </row>
    <row r="2344" spans="1:14" x14ac:dyDescent="0.25">
      <c r="A2344" s="10">
        <v>995006</v>
      </c>
      <c r="B2344" s="22" t="str">
        <f>IFERROR(VLOOKUP(A2344,VLOOKUPS!$A$2:B$12589,2,FALSE),"")</f>
        <v>Italian Salad 9oz-standard</v>
      </c>
      <c r="E2344">
        <v>2.29</v>
      </c>
      <c r="F2344">
        <v>1.39</v>
      </c>
      <c r="G2344" s="13">
        <v>44510</v>
      </c>
      <c r="H2344" s="13">
        <v>44511</v>
      </c>
      <c r="I2344" s="22" t="str">
        <f>VLOOKUP(J2344, Dropdowns!N:O, 2, FALSE)</f>
        <v>Lower Price</v>
      </c>
      <c r="J2344" t="s">
        <v>759</v>
      </c>
      <c r="L2344" s="17" t="s">
        <v>733</v>
      </c>
      <c r="M2344" s="17" t="s">
        <v>11</v>
      </c>
      <c r="N2344" s="17" t="s">
        <v>740</v>
      </c>
    </row>
    <row r="2345" spans="1:14" x14ac:dyDescent="0.25">
      <c r="A2345" s="10">
        <v>995006</v>
      </c>
      <c r="B2345" s="22" t="str">
        <f>IFERROR(VLOOKUP(A2345,VLOOKUPS!$A$2:B$12589,2,FALSE),"")</f>
        <v>Italian Salad 9oz-standard</v>
      </c>
      <c r="E2345">
        <v>1.39</v>
      </c>
      <c r="F2345">
        <v>2.29</v>
      </c>
      <c r="G2345" s="13">
        <v>44512</v>
      </c>
      <c r="H2345" s="13"/>
      <c r="I2345" s="22" t="str">
        <f>VLOOKUP(J2345, Dropdowns!N:O, 2, FALSE)</f>
        <v>Standard</v>
      </c>
      <c r="J2345" t="s">
        <v>760</v>
      </c>
      <c r="L2345" s="17" t="s">
        <v>733</v>
      </c>
      <c r="M2345" s="17" t="s">
        <v>11</v>
      </c>
      <c r="N2345" s="17" t="s">
        <v>740</v>
      </c>
    </row>
    <row r="2346" spans="1:14" x14ac:dyDescent="0.25">
      <c r="A2346" s="10">
        <v>995045</v>
      </c>
      <c r="B2346" s="22" t="str">
        <f>IFERROR(VLOOKUP(A2346,VLOOKUPS!$A$2:B$12589,2,FALSE),"")</f>
        <v>Fajita Blend 12oz-standard</v>
      </c>
      <c r="E2346">
        <v>3.99</v>
      </c>
      <c r="F2346">
        <v>2.99</v>
      </c>
      <c r="G2346" s="13">
        <v>44510</v>
      </c>
      <c r="H2346" s="13">
        <v>44510</v>
      </c>
      <c r="I2346" s="22" t="str">
        <f>VLOOKUP(J2346, Dropdowns!N:O, 2, FALSE)</f>
        <v>Lower Price</v>
      </c>
      <c r="J2346" t="s">
        <v>759</v>
      </c>
      <c r="L2346" s="17" t="s">
        <v>732</v>
      </c>
      <c r="M2346" s="17" t="s">
        <v>10</v>
      </c>
      <c r="N2346" s="17">
        <v>2</v>
      </c>
    </row>
    <row r="2347" spans="1:14" x14ac:dyDescent="0.25">
      <c r="A2347" s="10">
        <v>995045</v>
      </c>
      <c r="B2347" s="22" t="str">
        <f>IFERROR(VLOOKUP(A2347,VLOOKUPS!$A$2:B$12589,2,FALSE),"")</f>
        <v>Fajita Blend 12oz-standard</v>
      </c>
      <c r="E2347">
        <v>2.99</v>
      </c>
      <c r="F2347">
        <v>3.99</v>
      </c>
      <c r="G2347" s="13">
        <v>44511</v>
      </c>
      <c r="H2347" s="13"/>
      <c r="I2347" s="22" t="str">
        <f>VLOOKUP(J2347, Dropdowns!N:O, 2, FALSE)</f>
        <v>Standard</v>
      </c>
      <c r="J2347" t="s">
        <v>760</v>
      </c>
      <c r="L2347" s="17" t="s">
        <v>732</v>
      </c>
      <c r="M2347" s="17" t="s">
        <v>10</v>
      </c>
      <c r="N2347" s="17">
        <v>2</v>
      </c>
    </row>
    <row r="2348" spans="1:14" x14ac:dyDescent="0.25">
      <c r="A2348" s="10">
        <v>995084</v>
      </c>
      <c r="B2348" s="22" t="str">
        <f>IFERROR(VLOOKUP(A2348,VLOOKUPS!$A$2:B$12589,2,FALSE),"")</f>
        <v>Eat Smart Green Beans 12oz-standard</v>
      </c>
      <c r="E2348">
        <v>2.78</v>
      </c>
      <c r="F2348">
        <v>1.78</v>
      </c>
      <c r="G2348" s="13">
        <v>44510</v>
      </c>
      <c r="H2348" s="13">
        <v>44511</v>
      </c>
      <c r="I2348" s="22" t="str">
        <f>VLOOKUP(J2348, Dropdowns!N:O, 2, FALSE)</f>
        <v>Lower Price</v>
      </c>
      <c r="J2348" t="s">
        <v>759</v>
      </c>
      <c r="L2348" s="17" t="s">
        <v>733</v>
      </c>
      <c r="M2348" s="17" t="s">
        <v>10</v>
      </c>
      <c r="N2348" s="17" t="s">
        <v>740</v>
      </c>
    </row>
    <row r="2349" spans="1:14" x14ac:dyDescent="0.25">
      <c r="A2349" s="10">
        <v>995084</v>
      </c>
      <c r="B2349" s="22" t="str">
        <f>IFERROR(VLOOKUP(A2349,VLOOKUPS!$A$2:B$12589,2,FALSE),"")</f>
        <v>Eat Smart Green Beans 12oz-standard</v>
      </c>
      <c r="E2349">
        <v>1.78</v>
      </c>
      <c r="F2349">
        <v>2.78</v>
      </c>
      <c r="G2349" s="13">
        <v>44512</v>
      </c>
      <c r="H2349" s="13"/>
      <c r="I2349" s="22" t="str">
        <f>VLOOKUP(J2349, Dropdowns!N:O, 2, FALSE)</f>
        <v>Standard</v>
      </c>
      <c r="J2349" t="s">
        <v>760</v>
      </c>
      <c r="L2349" s="17" t="s">
        <v>733</v>
      </c>
      <c r="M2349" s="17" t="s">
        <v>10</v>
      </c>
      <c r="N2349" s="17" t="s">
        <v>740</v>
      </c>
    </row>
    <row r="2350" spans="1:14" x14ac:dyDescent="0.25">
      <c r="A2350" s="10">
        <v>995086</v>
      </c>
      <c r="B2350" s="22" t="str">
        <f>IFERROR(VLOOKUP(A2350,VLOOKUPS!$A$2:B$12589,2,FALSE),"")</f>
        <v>Eat Smart Broccoli Florets 2lbs-standard</v>
      </c>
      <c r="E2350">
        <v>5.98</v>
      </c>
      <c r="F2350">
        <v>4.9800000000000004</v>
      </c>
      <c r="G2350" s="13">
        <v>44510</v>
      </c>
      <c r="H2350" s="13">
        <v>44511</v>
      </c>
      <c r="I2350" s="22" t="str">
        <f>VLOOKUP(J2350, Dropdowns!N:O, 2, FALSE)</f>
        <v>Lower Price</v>
      </c>
      <c r="J2350" t="s">
        <v>759</v>
      </c>
      <c r="L2350" s="17" t="s">
        <v>732</v>
      </c>
      <c r="M2350" s="17" t="s">
        <v>735</v>
      </c>
      <c r="N2350" s="17" t="s">
        <v>736</v>
      </c>
    </row>
    <row r="2351" spans="1:14" x14ac:dyDescent="0.25">
      <c r="A2351" s="10">
        <v>995086</v>
      </c>
      <c r="B2351" s="22" t="str">
        <f>IFERROR(VLOOKUP(A2351,VLOOKUPS!$A$2:B$12589,2,FALSE),"")</f>
        <v>Eat Smart Broccoli Florets 2lbs-standard</v>
      </c>
      <c r="E2351">
        <v>4.9800000000000004</v>
      </c>
      <c r="F2351">
        <v>5.98</v>
      </c>
      <c r="G2351" s="13">
        <v>44512</v>
      </c>
      <c r="H2351" s="13"/>
      <c r="I2351" s="22" t="str">
        <f>VLOOKUP(J2351, Dropdowns!N:O, 2, FALSE)</f>
        <v>Standard</v>
      </c>
      <c r="J2351" t="s">
        <v>760</v>
      </c>
      <c r="L2351" s="17" t="s">
        <v>732</v>
      </c>
      <c r="M2351" s="17" t="s">
        <v>735</v>
      </c>
      <c r="N2351" s="17" t="s">
        <v>736</v>
      </c>
    </row>
    <row r="2352" spans="1:14" x14ac:dyDescent="0.25">
      <c r="A2352" s="10">
        <v>995101</v>
      </c>
      <c r="B2352" s="22" t="str">
        <f>IFERROR(VLOOKUP(A2352,VLOOKUPS!$A$2:B$12589,2,FALSE),"")</f>
        <v>Avocado Ranch Salad Kit 11.3oz-standard</v>
      </c>
      <c r="E2352">
        <v>3.49</v>
      </c>
      <c r="F2352">
        <v>2.4900000000000002</v>
      </c>
      <c r="G2352" s="13">
        <v>44510</v>
      </c>
      <c r="H2352" s="13">
        <v>44511</v>
      </c>
      <c r="I2352" s="22" t="str">
        <f>VLOOKUP(J2352, Dropdowns!N:O, 2, FALSE)</f>
        <v>Lower Price</v>
      </c>
      <c r="J2352" t="s">
        <v>759</v>
      </c>
      <c r="L2352" s="17" t="s">
        <v>732</v>
      </c>
      <c r="M2352" s="17" t="s">
        <v>9</v>
      </c>
      <c r="N2352" s="17" t="s">
        <v>736</v>
      </c>
    </row>
    <row r="2353" spans="1:14" x14ac:dyDescent="0.25">
      <c r="A2353" s="10">
        <v>995101</v>
      </c>
      <c r="B2353" s="22" t="str">
        <f>IFERROR(VLOOKUP(A2353,VLOOKUPS!$A$2:B$12589,2,FALSE),"")</f>
        <v>Avocado Ranch Salad Kit 11.3oz-standard</v>
      </c>
      <c r="E2353">
        <v>2.4900000000000002</v>
      </c>
      <c r="F2353">
        <v>3.49</v>
      </c>
      <c r="G2353" s="13">
        <v>44512</v>
      </c>
      <c r="H2353" s="13"/>
      <c r="I2353" s="22" t="str">
        <f>VLOOKUP(J2353, Dropdowns!N:O, 2, FALSE)</f>
        <v>Standard</v>
      </c>
      <c r="J2353" t="s">
        <v>760</v>
      </c>
      <c r="L2353" s="17" t="s">
        <v>732</v>
      </c>
      <c r="M2353" s="17" t="s">
        <v>9</v>
      </c>
      <c r="N2353" s="17" t="s">
        <v>736</v>
      </c>
    </row>
    <row r="2354" spans="1:14" x14ac:dyDescent="0.25">
      <c r="A2354" s="10">
        <v>995147</v>
      </c>
      <c r="B2354" s="22" t="str">
        <f>IFERROR(VLOOKUP(A2354,VLOOKUPS!$A$2:B$12589,2,FALSE),"")</f>
        <v>Celery Sticks 1.25lb-standard</v>
      </c>
      <c r="E2354">
        <v>2.74</v>
      </c>
      <c r="F2354">
        <v>1.74</v>
      </c>
      <c r="G2354" s="13">
        <v>44510</v>
      </c>
      <c r="H2354" s="13">
        <v>44511</v>
      </c>
      <c r="I2354" s="22" t="str">
        <f>VLOOKUP(J2354, Dropdowns!N:O, 2, FALSE)</f>
        <v>Lower Price</v>
      </c>
      <c r="J2354" t="s">
        <v>759</v>
      </c>
      <c r="L2354" s="17" t="s">
        <v>732</v>
      </c>
      <c r="M2354" s="17" t="s">
        <v>10</v>
      </c>
      <c r="N2354" s="17">
        <v>2</v>
      </c>
    </row>
    <row r="2355" spans="1:14" x14ac:dyDescent="0.25">
      <c r="A2355" s="10">
        <v>995147</v>
      </c>
      <c r="B2355" s="22" t="str">
        <f>IFERROR(VLOOKUP(A2355,VLOOKUPS!$A$2:B$12589,2,FALSE),"")</f>
        <v>Celery Sticks 1.25lb-standard</v>
      </c>
      <c r="E2355">
        <v>1.74</v>
      </c>
      <c r="F2355">
        <v>2.74</v>
      </c>
      <c r="G2355" s="13">
        <v>44512</v>
      </c>
      <c r="H2355" s="13"/>
      <c r="I2355" s="22" t="str">
        <f>VLOOKUP(J2355, Dropdowns!N:O, 2, FALSE)</f>
        <v>Standard</v>
      </c>
      <c r="J2355" t="s">
        <v>760</v>
      </c>
      <c r="L2355" s="17" t="s">
        <v>732</v>
      </c>
      <c r="M2355" s="17" t="s">
        <v>10</v>
      </c>
      <c r="N2355" s="17">
        <v>2</v>
      </c>
    </row>
    <row r="2356" spans="1:14" x14ac:dyDescent="0.25">
      <c r="A2356" s="10">
        <v>995158</v>
      </c>
      <c r="B2356" s="22" t="str">
        <f>IFERROR(VLOOKUP(A2356,VLOOKUPS!$A$2:B$12589,2,FALSE),"")</f>
        <v>Pico Guacamole 14oz-standard</v>
      </c>
      <c r="E2356">
        <v>4.49</v>
      </c>
      <c r="F2356">
        <v>3.49</v>
      </c>
      <c r="G2356" s="13">
        <v>44510</v>
      </c>
      <c r="H2356" s="13">
        <v>44511</v>
      </c>
      <c r="I2356" s="22" t="str">
        <f>VLOOKUP(J2356, Dropdowns!N:O, 2, FALSE)</f>
        <v>Lower Price</v>
      </c>
      <c r="J2356" t="s">
        <v>759</v>
      </c>
      <c r="L2356" s="17" t="s">
        <v>732</v>
      </c>
      <c r="M2356" s="17" t="s">
        <v>10</v>
      </c>
      <c r="N2356" s="17">
        <v>2</v>
      </c>
    </row>
    <row r="2357" spans="1:14" x14ac:dyDescent="0.25">
      <c r="A2357" s="10">
        <v>995158</v>
      </c>
      <c r="B2357" s="22" t="str">
        <f>IFERROR(VLOOKUP(A2357,VLOOKUPS!$A$2:B$12589,2,FALSE),"")</f>
        <v>Pico Guacamole 14oz-standard</v>
      </c>
      <c r="E2357">
        <v>3.49</v>
      </c>
      <c r="F2357">
        <v>4.49</v>
      </c>
      <c r="G2357" s="13">
        <v>44512</v>
      </c>
      <c r="H2357" s="13"/>
      <c r="I2357" s="22" t="str">
        <f>VLOOKUP(J2357, Dropdowns!N:O, 2, FALSE)</f>
        <v>Standard</v>
      </c>
      <c r="J2357" t="s">
        <v>760</v>
      </c>
      <c r="L2357" s="17" t="s">
        <v>732</v>
      </c>
      <c r="M2357" s="17" t="s">
        <v>10</v>
      </c>
      <c r="N2357" s="17">
        <v>2</v>
      </c>
    </row>
    <row r="2358" spans="1:14" x14ac:dyDescent="0.25">
      <c r="A2358" s="10">
        <v>984620</v>
      </c>
      <c r="B2358" s="22" t="str">
        <f>IFERROR(VLOOKUP(A2358,VLOOKUPS!$A$2:B$12589,2,FALSE),"")</f>
        <v>Raspberries 6oz-standard</v>
      </c>
      <c r="G2358" s="13">
        <v>44510</v>
      </c>
      <c r="H2358" s="13">
        <v>44511</v>
      </c>
      <c r="I2358" s="22" t="str">
        <f>VLOOKUP(J2358, Dropdowns!N:O, 2, FALSE)</f>
        <v>Lower Price</v>
      </c>
      <c r="J2358" t="s">
        <v>762</v>
      </c>
      <c r="L2358" s="17" t="s">
        <v>732</v>
      </c>
      <c r="M2358" s="17" t="s">
        <v>736</v>
      </c>
      <c r="N2358" s="17" t="s">
        <v>736</v>
      </c>
    </row>
    <row r="2359" spans="1:14" x14ac:dyDescent="0.25">
      <c r="A2359" s="10">
        <v>984555</v>
      </c>
      <c r="B2359" s="22" t="str">
        <f>IFERROR(VLOOKUP(A2359,VLOOKUPS!$A$2:B$12589,2,FALSE),"")</f>
        <v>Blueberries 2lb-standard</v>
      </c>
      <c r="E2359">
        <v>3.99</v>
      </c>
      <c r="F2359">
        <v>6.99</v>
      </c>
      <c r="G2359" s="13">
        <v>44510</v>
      </c>
      <c r="H2359" s="13"/>
      <c r="I2359" s="22" t="str">
        <f>VLOOKUP(J2359, Dropdowns!N:O, 2, FALSE)</f>
        <v>Standard</v>
      </c>
      <c r="J2359" t="s">
        <v>760</v>
      </c>
      <c r="L2359" s="17" t="s">
        <v>732</v>
      </c>
      <c r="M2359" s="17" t="s">
        <v>738</v>
      </c>
      <c r="N2359" s="17">
        <v>2</v>
      </c>
    </row>
    <row r="2360" spans="1:14" x14ac:dyDescent="0.25">
      <c r="A2360" s="10">
        <v>984555</v>
      </c>
      <c r="B2360" s="22" t="str">
        <f>IFERROR(VLOOKUP(A2360,VLOOKUPS!$A$2:B$12589,2,FALSE),"")</f>
        <v>Blueberries 2lb-standard</v>
      </c>
      <c r="G2360" s="13">
        <v>44510</v>
      </c>
      <c r="H2360" s="13">
        <v>44510</v>
      </c>
      <c r="I2360" s="22" t="str">
        <f>VLOOKUP(J2360, Dropdowns!N:O, 2, FALSE)</f>
        <v>Lower Price</v>
      </c>
      <c r="J2360" t="s">
        <v>762</v>
      </c>
      <c r="L2360" s="17" t="s">
        <v>732</v>
      </c>
      <c r="M2360" s="17" t="s">
        <v>9</v>
      </c>
      <c r="N2360" s="17" t="s">
        <v>736</v>
      </c>
    </row>
    <row r="2361" spans="1:14" x14ac:dyDescent="0.25">
      <c r="A2361" s="10">
        <v>982650</v>
      </c>
      <c r="B2361" s="22" t="str">
        <f>IFERROR(VLOOKUP(A2361,VLOOKUPS!$A$2:B$12589,2,FALSE),"")</f>
        <v>Grapes* Green Seedless 1lb-LOOSE</v>
      </c>
      <c r="G2361" s="13">
        <v>44510</v>
      </c>
      <c r="H2361" s="13"/>
      <c r="I2361" s="22" t="str">
        <f>VLOOKUP(J2361, Dropdowns!N:O, 2, FALSE)</f>
        <v>Lower Price</v>
      </c>
      <c r="J2361" t="s">
        <v>753</v>
      </c>
      <c r="L2361" s="17" t="s">
        <v>732</v>
      </c>
      <c r="M2361" s="17" t="s">
        <v>736</v>
      </c>
      <c r="N2361" s="17" t="s">
        <v>736</v>
      </c>
    </row>
    <row r="2362" spans="1:14" x14ac:dyDescent="0.25">
      <c r="A2362" s="10">
        <v>984541</v>
      </c>
      <c r="B2362" s="22" t="str">
        <f>IFERROR(VLOOKUP(A2362,VLOOKUPS!$A$2:B$12589,2,FALSE),"")</f>
        <v>Blueberries 1pt-standard</v>
      </c>
      <c r="E2362">
        <v>2.89</v>
      </c>
      <c r="F2362">
        <v>1.89</v>
      </c>
      <c r="G2362" s="13">
        <v>44511</v>
      </c>
      <c r="H2362" s="13">
        <v>44512</v>
      </c>
      <c r="I2362" s="22" t="str">
        <f>VLOOKUP(J2362, Dropdowns!N:O, 2, FALSE)</f>
        <v>Lower Price</v>
      </c>
      <c r="J2362" t="s">
        <v>759</v>
      </c>
      <c r="L2362" s="17" t="s">
        <v>732</v>
      </c>
      <c r="M2362" s="17" t="s">
        <v>737</v>
      </c>
      <c r="N2362" s="17" t="s">
        <v>736</v>
      </c>
    </row>
    <row r="2363" spans="1:14" x14ac:dyDescent="0.25">
      <c r="A2363" s="10">
        <v>984541</v>
      </c>
      <c r="B2363" s="22" t="str">
        <f>IFERROR(VLOOKUP(A2363,VLOOKUPS!$A$2:B$12589,2,FALSE),"")</f>
        <v>Blueberries 1pt-standard</v>
      </c>
      <c r="E2363">
        <v>1.89</v>
      </c>
      <c r="F2363">
        <v>2.89</v>
      </c>
      <c r="G2363" s="13">
        <v>44513</v>
      </c>
      <c r="H2363" s="13"/>
      <c r="I2363" s="22" t="str">
        <f>VLOOKUP(J2363, Dropdowns!N:O, 2, FALSE)</f>
        <v>Standard</v>
      </c>
      <c r="J2363" t="s">
        <v>760</v>
      </c>
      <c r="L2363" s="17" t="s">
        <v>732</v>
      </c>
      <c r="M2363" s="17" t="s">
        <v>737</v>
      </c>
      <c r="N2363" s="17" t="s">
        <v>736</v>
      </c>
    </row>
    <row r="2364" spans="1:14" x14ac:dyDescent="0.25">
      <c r="A2364" s="10">
        <v>984555</v>
      </c>
      <c r="B2364" s="22" t="str">
        <f>IFERROR(VLOOKUP(A2364,VLOOKUPS!$A$2:B$12589,2,FALSE),"")</f>
        <v>Blueberries 2lb-standard</v>
      </c>
      <c r="E2364">
        <v>3.99</v>
      </c>
      <c r="F2364">
        <v>6.99</v>
      </c>
      <c r="G2364" s="13">
        <v>44511</v>
      </c>
      <c r="H2364" s="13"/>
      <c r="I2364" s="22" t="str">
        <f>VLOOKUP(J2364, Dropdowns!N:O, 2, FALSE)</f>
        <v>Standard</v>
      </c>
      <c r="J2364" t="s">
        <v>760</v>
      </c>
      <c r="L2364" s="17" t="s">
        <v>732</v>
      </c>
      <c r="M2364" s="17" t="s">
        <v>9</v>
      </c>
      <c r="N2364" s="17" t="s">
        <v>736</v>
      </c>
    </row>
    <row r="2365" spans="1:14" x14ac:dyDescent="0.25">
      <c r="A2365" s="10">
        <v>995021</v>
      </c>
      <c r="B2365" s="22" t="str">
        <f>IFERROR(VLOOKUP(A2365,VLOOKUPS!$A$2:B$12589,2,FALSE),"")</f>
        <v>Chopped Bacon Caesar Kit 10.2oz-standard</v>
      </c>
      <c r="E2365">
        <v>3.49</v>
      </c>
      <c r="F2365">
        <v>2.4900000000000002</v>
      </c>
      <c r="G2365" s="13">
        <v>44511</v>
      </c>
      <c r="H2365" s="13">
        <v>44511</v>
      </c>
      <c r="I2365" s="22" t="str">
        <f>VLOOKUP(J2365, Dropdowns!N:O, 2, FALSE)</f>
        <v>Lower Price</v>
      </c>
      <c r="J2365" t="s">
        <v>759</v>
      </c>
      <c r="L2365" s="17" t="s">
        <v>732</v>
      </c>
      <c r="M2365" s="17" t="s">
        <v>10</v>
      </c>
      <c r="N2365" s="17">
        <v>2</v>
      </c>
    </row>
    <row r="2366" spans="1:14" x14ac:dyDescent="0.25">
      <c r="A2366" s="10">
        <v>995021</v>
      </c>
      <c r="B2366" s="22" t="str">
        <f>IFERROR(VLOOKUP(A2366,VLOOKUPS!$A$2:B$12589,2,FALSE),"")</f>
        <v>Chopped Bacon Caesar Kit 10.2oz-standard</v>
      </c>
      <c r="E2366">
        <v>2.4900000000000002</v>
      </c>
      <c r="F2366">
        <v>3.49</v>
      </c>
      <c r="G2366" s="13">
        <v>44512</v>
      </c>
      <c r="H2366" s="13"/>
      <c r="I2366" s="22" t="str">
        <f>VLOOKUP(J2366, Dropdowns!N:O, 2, FALSE)</f>
        <v>Standard</v>
      </c>
      <c r="J2366" t="s">
        <v>760</v>
      </c>
      <c r="L2366" s="17" t="s">
        <v>732</v>
      </c>
      <c r="M2366" s="17" t="s">
        <v>10</v>
      </c>
      <c r="N2366" s="17">
        <v>2</v>
      </c>
    </row>
    <row r="2367" spans="1:14" x14ac:dyDescent="0.25">
      <c r="A2367" s="10">
        <v>995072</v>
      </c>
      <c r="B2367" s="22" t="str">
        <f>IFERROR(VLOOKUP(A2367,VLOOKUPS!$A$2:B$12589,2,FALSE),"")</f>
        <v>Broccoli Coleslaw 12oz-standard</v>
      </c>
      <c r="E2367">
        <v>1.99</v>
      </c>
      <c r="F2367">
        <v>1.29</v>
      </c>
      <c r="G2367" s="13">
        <v>44511</v>
      </c>
      <c r="H2367" s="13">
        <v>44512</v>
      </c>
      <c r="I2367" s="22" t="str">
        <f>VLOOKUP(J2367, Dropdowns!N:O, 2, FALSE)</f>
        <v>Lower Price</v>
      </c>
      <c r="J2367" t="s">
        <v>759</v>
      </c>
      <c r="L2367" s="17" t="s">
        <v>732</v>
      </c>
      <c r="M2367" s="17" t="s">
        <v>10</v>
      </c>
      <c r="N2367" s="17">
        <v>2</v>
      </c>
    </row>
    <row r="2368" spans="1:14" x14ac:dyDescent="0.25">
      <c r="A2368" s="10">
        <v>995072</v>
      </c>
      <c r="B2368" s="22" t="str">
        <f>IFERROR(VLOOKUP(A2368,VLOOKUPS!$A$2:B$12589,2,FALSE),"")</f>
        <v>Broccoli Coleslaw 12oz-standard</v>
      </c>
      <c r="E2368">
        <v>1.29</v>
      </c>
      <c r="F2368">
        <v>1.99</v>
      </c>
      <c r="G2368" s="13">
        <v>44513</v>
      </c>
      <c r="H2368" s="13"/>
      <c r="I2368" s="22" t="str">
        <f>VLOOKUP(J2368, Dropdowns!N:O, 2, FALSE)</f>
        <v>Standard</v>
      </c>
      <c r="J2368" t="s">
        <v>760</v>
      </c>
      <c r="L2368" s="17" t="s">
        <v>732</v>
      </c>
      <c r="M2368" s="17" t="s">
        <v>10</v>
      </c>
      <c r="N2368" s="17">
        <v>2</v>
      </c>
    </row>
    <row r="2369" spans="1:17" x14ac:dyDescent="0.25">
      <c r="A2369" s="10">
        <v>995118</v>
      </c>
      <c r="B2369" s="22" t="str">
        <f>IFERROR(VLOOKUP(A2369,VLOOKUPS!$A$2:B$12589,2,FALSE),"")</f>
        <v>Thai Chili Mango Salad Kit 10oz-standard</v>
      </c>
      <c r="D2369">
        <v>6</v>
      </c>
      <c r="F2369">
        <v>3.49</v>
      </c>
      <c r="G2369" s="13">
        <v>44511</v>
      </c>
      <c r="H2369" s="13"/>
      <c r="I2369" s="22" t="str">
        <f>VLOOKUP(J2369, Dropdowns!N:O, 2, FALSE)</f>
        <v>New</v>
      </c>
      <c r="J2369" t="s">
        <v>776</v>
      </c>
      <c r="L2369" s="17" t="s">
        <v>732</v>
      </c>
      <c r="M2369" s="17" t="s">
        <v>736</v>
      </c>
      <c r="N2369" s="17" t="s">
        <v>736</v>
      </c>
      <c r="O2369" s="17" t="s">
        <v>748</v>
      </c>
      <c r="P2369">
        <v>1</v>
      </c>
      <c r="Q2369" s="17" t="s">
        <v>1044</v>
      </c>
    </row>
    <row r="2370" spans="1:17" x14ac:dyDescent="0.25">
      <c r="A2370" s="10">
        <v>995123</v>
      </c>
      <c r="B2370" s="22" t="str">
        <f>IFERROR(VLOOKUP(A2370,VLOOKUPS!$A$2:B$12589,2,FALSE),"")</f>
        <v>Vegetable Medley 12oz-standard</v>
      </c>
      <c r="D2370">
        <v>6</v>
      </c>
      <c r="F2370">
        <v>2.78</v>
      </c>
      <c r="G2370" s="13">
        <v>44511</v>
      </c>
      <c r="H2370" s="13"/>
      <c r="I2370" s="22" t="str">
        <f>VLOOKUP(J2370, Dropdowns!N:O, 2, FALSE)</f>
        <v>New</v>
      </c>
      <c r="J2370" t="s">
        <v>776</v>
      </c>
      <c r="L2370" s="17" t="s">
        <v>732</v>
      </c>
      <c r="M2370" s="17" t="s">
        <v>736</v>
      </c>
      <c r="N2370" s="17" t="s">
        <v>736</v>
      </c>
      <c r="O2370" s="17" t="s">
        <v>748</v>
      </c>
      <c r="P2370">
        <v>1</v>
      </c>
      <c r="Q2370" s="17" t="s">
        <v>1044</v>
      </c>
    </row>
    <row r="2371" spans="1:17" x14ac:dyDescent="0.25">
      <c r="A2371" s="10">
        <v>995126</v>
      </c>
      <c r="B2371" s="22" t="str">
        <f>IFERROR(VLOOKUP(A2371,VLOOKUPS!$A$2:B$12589,2,FALSE),"")</f>
        <v>Broccoli &amp; Cauliflower 12oz-standard</v>
      </c>
      <c r="D2371">
        <v>6</v>
      </c>
      <c r="F2371">
        <v>2.4900000000000002</v>
      </c>
      <c r="G2371" s="13">
        <v>44511</v>
      </c>
      <c r="H2371" s="13"/>
      <c r="I2371" s="22" t="str">
        <f>VLOOKUP(J2371, Dropdowns!N:O, 2, FALSE)</f>
        <v>New</v>
      </c>
      <c r="J2371" t="s">
        <v>776</v>
      </c>
      <c r="L2371" s="17" t="s">
        <v>732</v>
      </c>
      <c r="M2371" s="17" t="s">
        <v>736</v>
      </c>
      <c r="N2371" s="17" t="s">
        <v>736</v>
      </c>
      <c r="O2371" s="17" t="s">
        <v>748</v>
      </c>
      <c r="P2371">
        <v>1</v>
      </c>
      <c r="Q2371" s="17" t="s">
        <v>1044</v>
      </c>
    </row>
    <row r="2372" spans="1:17" x14ac:dyDescent="0.25">
      <c r="A2372" s="10">
        <v>982830</v>
      </c>
      <c r="B2372" s="22" t="str">
        <f>IFERROR(VLOOKUP(A2372,VLOOKUPS!$A$2:B$12589,2,FALSE),"")</f>
        <v>Grapes* Black Seedless 1lb-LOOSE</v>
      </c>
      <c r="E2372">
        <v>1.47</v>
      </c>
      <c r="F2372">
        <v>1.88</v>
      </c>
      <c r="G2372" s="13">
        <v>44512</v>
      </c>
      <c r="H2372" s="13"/>
      <c r="I2372" s="22" t="str">
        <f>VLOOKUP(J2372, Dropdowns!N:O, 2, FALSE)</f>
        <v>Standard</v>
      </c>
      <c r="J2372" t="s">
        <v>761</v>
      </c>
      <c r="L2372" s="17" t="s">
        <v>732</v>
      </c>
      <c r="M2372" s="17" t="s">
        <v>736</v>
      </c>
      <c r="N2372" s="17" t="s">
        <v>736</v>
      </c>
    </row>
    <row r="2373" spans="1:17" x14ac:dyDescent="0.25">
      <c r="A2373" s="10">
        <v>982740</v>
      </c>
      <c r="B2373" s="22" t="str">
        <f>IFERROR(VLOOKUP(A2373,VLOOKUPS!$A$2:B$12589,2,FALSE),"")</f>
        <v>Grapes* Red Seedless 1lb-LOOSE</v>
      </c>
      <c r="E2373">
        <v>1.44</v>
      </c>
      <c r="F2373">
        <v>1.56</v>
      </c>
      <c r="G2373" s="13">
        <v>44512</v>
      </c>
      <c r="H2373" s="13"/>
      <c r="I2373" s="22" t="str">
        <f>VLOOKUP(J2373, Dropdowns!N:O, 2, FALSE)</f>
        <v>Standard</v>
      </c>
      <c r="J2373" t="s">
        <v>761</v>
      </c>
      <c r="L2373" s="17" t="s">
        <v>732</v>
      </c>
      <c r="M2373" s="17" t="s">
        <v>736</v>
      </c>
      <c r="N2373" s="17" t="s">
        <v>736</v>
      </c>
    </row>
    <row r="2374" spans="1:17" x14ac:dyDescent="0.25">
      <c r="A2374" s="10">
        <v>984541</v>
      </c>
      <c r="B2374" s="22" t="str">
        <f>IFERROR(VLOOKUP(A2374,VLOOKUPS!$A$2:B$12589,2,FALSE),"")</f>
        <v>Blueberries 1pt-standard</v>
      </c>
      <c r="E2374">
        <v>2.89</v>
      </c>
      <c r="F2374">
        <v>1.99</v>
      </c>
      <c r="G2374" s="13">
        <v>44512</v>
      </c>
      <c r="H2374" s="13">
        <v>44513</v>
      </c>
      <c r="I2374" s="22" t="str">
        <f>VLOOKUP(J2374, Dropdowns!N:O, 2, FALSE)</f>
        <v>Lower Price</v>
      </c>
      <c r="J2374" t="s">
        <v>759</v>
      </c>
      <c r="L2374" s="17" t="s">
        <v>732</v>
      </c>
      <c r="M2374" s="17" t="s">
        <v>10</v>
      </c>
      <c r="N2374" s="17">
        <v>2</v>
      </c>
    </row>
    <row r="2375" spans="1:17" x14ac:dyDescent="0.25">
      <c r="A2375" s="10">
        <v>984541</v>
      </c>
      <c r="B2375" s="22" t="str">
        <f>IFERROR(VLOOKUP(A2375,VLOOKUPS!$A$2:B$12589,2,FALSE),"")</f>
        <v>Blueberries 1pt-standard</v>
      </c>
      <c r="E2375">
        <v>1.99</v>
      </c>
      <c r="F2375">
        <v>2.89</v>
      </c>
      <c r="G2375" s="13">
        <v>44514</v>
      </c>
      <c r="H2375" s="13"/>
      <c r="I2375" s="22" t="str">
        <f>VLOOKUP(J2375, Dropdowns!N:O, 2, FALSE)</f>
        <v>Standard</v>
      </c>
      <c r="J2375" t="s">
        <v>760</v>
      </c>
      <c r="L2375" s="17" t="s">
        <v>732</v>
      </c>
      <c r="M2375" s="17" t="s">
        <v>10</v>
      </c>
      <c r="N2375" s="17">
        <v>2</v>
      </c>
    </row>
    <row r="2376" spans="1:17" x14ac:dyDescent="0.25">
      <c r="A2376" s="10">
        <v>984620</v>
      </c>
      <c r="B2376" s="22" t="str">
        <f>IFERROR(VLOOKUP(A2376,VLOOKUPS!$A$2:B$12589,2,FALSE),"")</f>
        <v>Raspberries 6oz-standard</v>
      </c>
      <c r="E2376">
        <v>1.49</v>
      </c>
      <c r="F2376">
        <v>2.84</v>
      </c>
      <c r="G2376" s="13">
        <v>44512</v>
      </c>
      <c r="H2376" s="13"/>
      <c r="I2376" s="22" t="str">
        <f>VLOOKUP(J2376, Dropdowns!N:O, 2, FALSE)</f>
        <v>Standard</v>
      </c>
      <c r="J2376" t="s">
        <v>760</v>
      </c>
      <c r="L2376" s="17" t="s">
        <v>732</v>
      </c>
      <c r="M2376" s="17" t="s">
        <v>10</v>
      </c>
      <c r="N2376" s="17">
        <v>2</v>
      </c>
    </row>
    <row r="2377" spans="1:17" x14ac:dyDescent="0.25">
      <c r="A2377" s="10">
        <v>984620</v>
      </c>
      <c r="B2377" s="22" t="str">
        <f>IFERROR(VLOOKUP(A2377,VLOOKUPS!$A$2:B$12589,2,FALSE),"")</f>
        <v>Raspberries 6oz-standard</v>
      </c>
      <c r="G2377" s="13">
        <v>44512</v>
      </c>
      <c r="H2377" s="13">
        <v>44513</v>
      </c>
      <c r="I2377" s="22" t="str">
        <f>VLOOKUP(J2377, Dropdowns!N:O, 2, FALSE)</f>
        <v>Lower Price</v>
      </c>
      <c r="J2377" t="s">
        <v>762</v>
      </c>
      <c r="L2377" s="17" t="s">
        <v>732</v>
      </c>
      <c r="M2377" s="17" t="s">
        <v>737</v>
      </c>
      <c r="N2377" s="17" t="s">
        <v>736</v>
      </c>
    </row>
    <row r="2378" spans="1:17" x14ac:dyDescent="0.25">
      <c r="A2378" s="10">
        <v>995144</v>
      </c>
      <c r="B2378" s="22" t="str">
        <f>IFERROR(VLOOKUP(A2378,VLOOKUPS!$A$2:B$12589,2,FALSE),"")</f>
        <v>Asparagus Spears 10oz-standard</v>
      </c>
      <c r="E2378">
        <v>3.98</v>
      </c>
      <c r="F2378">
        <v>2.98</v>
      </c>
      <c r="G2378" s="13">
        <v>44512</v>
      </c>
      <c r="H2378" s="13">
        <v>44513</v>
      </c>
      <c r="I2378" s="22" t="str">
        <f>VLOOKUP(J2378, Dropdowns!N:O, 2, FALSE)</f>
        <v>Lower Price</v>
      </c>
      <c r="J2378" t="s">
        <v>759</v>
      </c>
      <c r="L2378" s="17" t="s">
        <v>732</v>
      </c>
      <c r="M2378" s="17" t="s">
        <v>738</v>
      </c>
      <c r="N2378" s="17">
        <v>2</v>
      </c>
    </row>
    <row r="2379" spans="1:17" x14ac:dyDescent="0.25">
      <c r="A2379" s="10">
        <v>995144</v>
      </c>
      <c r="B2379" s="22" t="str">
        <f>IFERROR(VLOOKUP(A2379,VLOOKUPS!$A$2:B$12589,2,FALSE),"")</f>
        <v>Asparagus Spears 10oz-standard</v>
      </c>
      <c r="E2379">
        <v>2.98</v>
      </c>
      <c r="F2379">
        <v>3.98</v>
      </c>
      <c r="G2379" s="13">
        <v>44514</v>
      </c>
      <c r="H2379" s="13"/>
      <c r="I2379" s="22" t="str">
        <f>VLOOKUP(J2379, Dropdowns!N:O, 2, FALSE)</f>
        <v>Standard</v>
      </c>
      <c r="J2379" t="s">
        <v>760</v>
      </c>
      <c r="L2379" s="17" t="s">
        <v>732</v>
      </c>
      <c r="M2379" s="17" t="s">
        <v>738</v>
      </c>
      <c r="N2379" s="17">
        <v>2</v>
      </c>
    </row>
    <row r="2380" spans="1:17" x14ac:dyDescent="0.25">
      <c r="A2380" s="10">
        <v>995153</v>
      </c>
      <c r="B2380" s="22" t="str">
        <f>IFERROR(VLOOKUP(A2380,VLOOKUPS!$A$2:B$12589,2,FALSE),"")</f>
        <v>Sweet Apple Slices 14oz-standard</v>
      </c>
      <c r="E2380">
        <v>3.49</v>
      </c>
      <c r="F2380">
        <v>1.99</v>
      </c>
      <c r="G2380" s="13">
        <v>44512</v>
      </c>
      <c r="H2380" s="13">
        <v>44514</v>
      </c>
      <c r="I2380" s="22" t="str">
        <f>VLOOKUP(J2380, Dropdowns!N:O, 2, FALSE)</f>
        <v>Lower Price</v>
      </c>
      <c r="J2380" t="s">
        <v>759</v>
      </c>
      <c r="L2380" s="17" t="s">
        <v>732</v>
      </c>
      <c r="M2380" s="17" t="s">
        <v>736</v>
      </c>
      <c r="N2380" s="17" t="s">
        <v>736</v>
      </c>
    </row>
    <row r="2381" spans="1:17" x14ac:dyDescent="0.25">
      <c r="A2381" s="10">
        <v>995153</v>
      </c>
      <c r="B2381" s="22" t="str">
        <f>IFERROR(VLOOKUP(A2381,VLOOKUPS!$A$2:B$12589,2,FALSE),"")</f>
        <v>Sweet Apple Slices 14oz-standard</v>
      </c>
      <c r="E2381">
        <v>1.99</v>
      </c>
      <c r="F2381">
        <v>3.49</v>
      </c>
      <c r="G2381" s="13">
        <v>44515</v>
      </c>
      <c r="H2381" s="13"/>
      <c r="I2381" s="22" t="str">
        <f>VLOOKUP(J2381, Dropdowns!N:O, 2, FALSE)</f>
        <v>Standard</v>
      </c>
      <c r="J2381" t="s">
        <v>760</v>
      </c>
      <c r="L2381" s="17" t="s">
        <v>732</v>
      </c>
      <c r="M2381" s="17" t="s">
        <v>736</v>
      </c>
      <c r="N2381" s="17" t="s">
        <v>736</v>
      </c>
    </row>
    <row r="2382" spans="1:17" x14ac:dyDescent="0.25">
      <c r="A2382" s="10">
        <v>985060</v>
      </c>
      <c r="B2382" s="22" t="str">
        <f>IFERROR(VLOOKUP(A2382,VLOOKUPS!$A$2:B$12589,2,FALSE),"")</f>
        <v>Lettuce* Iceberg 1ct-standard</v>
      </c>
      <c r="E2382">
        <v>1.59</v>
      </c>
      <c r="F2382">
        <v>1.78</v>
      </c>
      <c r="G2382" s="13">
        <v>44513</v>
      </c>
      <c r="H2382" s="13"/>
      <c r="I2382" s="22" t="str">
        <f>VLOOKUP(J2382, Dropdowns!N:O, 2, FALSE)</f>
        <v>Standard</v>
      </c>
      <c r="J2382" t="s">
        <v>761</v>
      </c>
      <c r="L2382" s="17" t="s">
        <v>732</v>
      </c>
      <c r="M2382" s="17" t="s">
        <v>736</v>
      </c>
      <c r="N2382" s="17" t="s">
        <v>736</v>
      </c>
    </row>
    <row r="2383" spans="1:17" x14ac:dyDescent="0.25">
      <c r="A2383" s="10">
        <v>983151</v>
      </c>
      <c r="B2383" s="22" t="str">
        <f>IFERROR(VLOOKUP(A2383,VLOOKUPS!$A$2:B$12589,2,FALSE),"")</f>
        <v>Melons* Golden Honeydew 1ct-LOOSE</v>
      </c>
      <c r="D2383">
        <v>5</v>
      </c>
      <c r="E2383">
        <v>3.88</v>
      </c>
      <c r="G2383" s="13">
        <v>44514</v>
      </c>
      <c r="H2383" s="13"/>
      <c r="I2383" s="22" t="str">
        <f>VLOOKUP(J2383, Dropdowns!N:O, 2, FALSE)</f>
        <v>NA</v>
      </c>
      <c r="J2383" t="s">
        <v>754</v>
      </c>
      <c r="L2383" s="17" t="s">
        <v>732</v>
      </c>
      <c r="M2383" s="17" t="s">
        <v>736</v>
      </c>
      <c r="N2383" s="17" t="s">
        <v>736</v>
      </c>
    </row>
    <row r="2384" spans="1:17" x14ac:dyDescent="0.25">
      <c r="A2384" s="10">
        <v>984541</v>
      </c>
      <c r="B2384" s="22" t="str">
        <f>IFERROR(VLOOKUP(A2384,VLOOKUPS!$A$2:B$12589,2,FALSE),"")</f>
        <v>Blueberries 1pt-standard</v>
      </c>
      <c r="E2384">
        <v>2.89</v>
      </c>
      <c r="F2384">
        <v>2.7</v>
      </c>
      <c r="G2384" s="13">
        <v>44516</v>
      </c>
      <c r="H2384" s="13"/>
      <c r="I2384" s="22" t="str">
        <f>VLOOKUP(J2384, Dropdowns!N:O, 2, FALSE)</f>
        <v>Standard</v>
      </c>
      <c r="J2384" t="s">
        <v>761</v>
      </c>
      <c r="L2384" s="17" t="s">
        <v>732</v>
      </c>
      <c r="M2384" s="17" t="s">
        <v>736</v>
      </c>
      <c r="N2384" s="17" t="s">
        <v>736</v>
      </c>
    </row>
    <row r="2385" spans="1:14" x14ac:dyDescent="0.25">
      <c r="A2385" s="10">
        <v>984582</v>
      </c>
      <c r="B2385" s="22" t="str">
        <f>IFERROR(VLOOKUP(A2385,VLOOKUPS!$A$2:B$12589,2,FALSE),"")</f>
        <v>Organic Blueberries 1pt-standard</v>
      </c>
      <c r="E2385">
        <v>4.8899999999999997</v>
      </c>
      <c r="F2385">
        <v>3.96</v>
      </c>
      <c r="G2385" s="13">
        <v>44516</v>
      </c>
      <c r="H2385" s="13"/>
      <c r="I2385" s="22" t="str">
        <f>VLOOKUP(J2385, Dropdowns!N:O, 2, FALSE)</f>
        <v>Standard</v>
      </c>
      <c r="J2385" t="s">
        <v>761</v>
      </c>
      <c r="L2385" s="17" t="s">
        <v>732</v>
      </c>
      <c r="M2385" s="17" t="s">
        <v>736</v>
      </c>
      <c r="N2385" s="17" t="s">
        <v>736</v>
      </c>
    </row>
    <row r="2386" spans="1:14" x14ac:dyDescent="0.25">
      <c r="A2386" s="10">
        <v>984620</v>
      </c>
      <c r="B2386" s="22" t="str">
        <f>IFERROR(VLOOKUP(A2386,VLOOKUPS!$A$2:B$12589,2,FALSE),"")</f>
        <v>Raspberries 6oz-standard</v>
      </c>
      <c r="E2386">
        <v>2.84</v>
      </c>
      <c r="F2386">
        <v>2.44</v>
      </c>
      <c r="G2386" s="13">
        <v>44516</v>
      </c>
      <c r="H2386" s="13"/>
      <c r="I2386" s="22" t="str">
        <f>VLOOKUP(J2386, Dropdowns!N:O, 2, FALSE)</f>
        <v>Standard</v>
      </c>
      <c r="J2386" t="s">
        <v>761</v>
      </c>
      <c r="L2386" s="17" t="s">
        <v>732</v>
      </c>
      <c r="M2386" s="17" t="s">
        <v>736</v>
      </c>
      <c r="N2386" s="17" t="s">
        <v>736</v>
      </c>
    </row>
    <row r="2387" spans="1:14" x14ac:dyDescent="0.25">
      <c r="A2387" s="10">
        <v>984621</v>
      </c>
      <c r="B2387" s="22" t="str">
        <f>IFERROR(VLOOKUP(A2387,VLOOKUPS!$A$2:B$12589,2,FALSE),"")</f>
        <v>Raspberries 12oz-standard</v>
      </c>
      <c r="E2387">
        <v>5.18</v>
      </c>
      <c r="F2387">
        <v>4.74</v>
      </c>
      <c r="G2387" s="13">
        <v>44516</v>
      </c>
      <c r="H2387" s="13"/>
      <c r="I2387" s="22" t="str">
        <f>VLOOKUP(J2387, Dropdowns!N:O, 2, FALSE)</f>
        <v>Standard</v>
      </c>
      <c r="J2387" t="s">
        <v>761</v>
      </c>
      <c r="L2387" s="17" t="s">
        <v>732</v>
      </c>
      <c r="M2387" s="17" t="s">
        <v>736</v>
      </c>
      <c r="N2387" s="17" t="s">
        <v>736</v>
      </c>
    </row>
    <row r="2388" spans="1:14" x14ac:dyDescent="0.25">
      <c r="A2388" s="10">
        <v>984700</v>
      </c>
      <c r="B2388" s="22" t="str">
        <f>IFERROR(VLOOKUP(A2388,VLOOKUPS!$A$2:B$12589,2,FALSE),"")</f>
        <v>Blackberries 6oz-standard</v>
      </c>
      <c r="E2388">
        <v>2.2799999999999998</v>
      </c>
      <c r="F2388">
        <v>1.28</v>
      </c>
      <c r="G2388" s="13">
        <v>44513</v>
      </c>
      <c r="H2388" s="13">
        <v>44514</v>
      </c>
      <c r="I2388" s="22" t="str">
        <f>VLOOKUP(J2388, Dropdowns!N:O, 2, FALSE)</f>
        <v>Lower Price</v>
      </c>
      <c r="J2388" t="s">
        <v>759</v>
      </c>
      <c r="L2388" s="17" t="s">
        <v>732</v>
      </c>
      <c r="M2388" s="17" t="s">
        <v>735</v>
      </c>
      <c r="N2388" s="17" t="s">
        <v>736</v>
      </c>
    </row>
    <row r="2389" spans="1:14" x14ac:dyDescent="0.25">
      <c r="A2389" s="10">
        <v>984700</v>
      </c>
      <c r="B2389" s="22" t="str">
        <f>IFERROR(VLOOKUP(A2389,VLOOKUPS!$A$2:B$12589,2,FALSE),"")</f>
        <v>Blackberries 6oz-standard</v>
      </c>
      <c r="E2389">
        <v>1.28</v>
      </c>
      <c r="F2389">
        <v>2.2799999999999998</v>
      </c>
      <c r="G2389" s="13">
        <v>44515</v>
      </c>
      <c r="H2389" s="13"/>
      <c r="I2389" s="22" t="str">
        <f>VLOOKUP(J2389, Dropdowns!N:O, 2, FALSE)</f>
        <v>Standard</v>
      </c>
      <c r="J2389" t="s">
        <v>760</v>
      </c>
      <c r="L2389" s="17" t="s">
        <v>732</v>
      </c>
      <c r="M2389" s="17" t="s">
        <v>735</v>
      </c>
      <c r="N2389" s="17" t="s">
        <v>736</v>
      </c>
    </row>
    <row r="2390" spans="1:14" x14ac:dyDescent="0.25">
      <c r="A2390" s="10">
        <v>984702</v>
      </c>
      <c r="B2390" s="22" t="str">
        <f>IFERROR(VLOOKUP(A2390,VLOOKUPS!$A$2:B$12589,2,FALSE),"")</f>
        <v>Blackberries 12oz-standard</v>
      </c>
      <c r="E2390">
        <v>4.38</v>
      </c>
      <c r="F2390">
        <v>2.98</v>
      </c>
      <c r="G2390" s="13">
        <v>44513</v>
      </c>
      <c r="H2390" s="13">
        <v>44514</v>
      </c>
      <c r="I2390" s="22" t="str">
        <f>VLOOKUP(J2390, Dropdowns!N:O, 2, FALSE)</f>
        <v>Lower Price</v>
      </c>
      <c r="J2390" t="s">
        <v>759</v>
      </c>
      <c r="L2390" s="17" t="s">
        <v>732</v>
      </c>
      <c r="M2390" s="17" t="s">
        <v>736</v>
      </c>
      <c r="N2390" s="17" t="s">
        <v>736</v>
      </c>
    </row>
    <row r="2391" spans="1:14" x14ac:dyDescent="0.25">
      <c r="A2391" s="10">
        <v>984702</v>
      </c>
      <c r="B2391" s="22" t="str">
        <f>IFERROR(VLOOKUP(A2391,VLOOKUPS!$A$2:B$12589,2,FALSE),"")</f>
        <v>Blackberries 12oz-standard</v>
      </c>
      <c r="E2391">
        <v>2.98</v>
      </c>
      <c r="F2391">
        <v>4.38</v>
      </c>
      <c r="G2391" s="13">
        <v>44515</v>
      </c>
      <c r="H2391" s="13"/>
      <c r="I2391" s="22" t="str">
        <f>VLOOKUP(J2391, Dropdowns!N:O, 2, FALSE)</f>
        <v>Standard</v>
      </c>
      <c r="J2391" t="s">
        <v>760</v>
      </c>
      <c r="L2391" s="17" t="s">
        <v>732</v>
      </c>
      <c r="M2391" s="17" t="s">
        <v>736</v>
      </c>
      <c r="N2391" s="17" t="s">
        <v>736</v>
      </c>
    </row>
    <row r="2392" spans="1:14" x14ac:dyDescent="0.25">
      <c r="A2392" s="10">
        <v>988703</v>
      </c>
      <c r="B2392" s="22" t="str">
        <f>IFERROR(VLOOKUP(A2392,VLOOKUPS!$A$2:B$12589,2,FALSE),"")</f>
        <v>Collard Greens 16oz-standard</v>
      </c>
      <c r="E2392">
        <v>2.25</v>
      </c>
      <c r="F2392">
        <v>2.2799999999999998</v>
      </c>
      <c r="G2392" s="13">
        <v>44516</v>
      </c>
      <c r="H2392" s="13"/>
      <c r="I2392" s="22" t="str">
        <f>VLOOKUP(J2392, Dropdowns!N:O, 2, FALSE)</f>
        <v>Standard</v>
      </c>
      <c r="J2392" t="s">
        <v>761</v>
      </c>
      <c r="L2392" s="17" t="s">
        <v>732</v>
      </c>
      <c r="M2392" s="17" t="s">
        <v>736</v>
      </c>
      <c r="N2392" s="17" t="s">
        <v>736</v>
      </c>
    </row>
    <row r="2393" spans="1:14" x14ac:dyDescent="0.25">
      <c r="A2393" s="10">
        <v>995021</v>
      </c>
      <c r="B2393" s="22" t="str">
        <f>IFERROR(VLOOKUP(A2393,VLOOKUPS!$A$2:B$12589,2,FALSE),"")</f>
        <v>Chopped Bacon Caesar Kit 10.2oz-standard</v>
      </c>
      <c r="E2393">
        <v>3.49</v>
      </c>
      <c r="F2393">
        <v>2.4900000000000002</v>
      </c>
      <c r="G2393" s="13">
        <v>44513</v>
      </c>
      <c r="H2393" s="13">
        <v>44514</v>
      </c>
      <c r="I2393" s="22" t="str">
        <f>VLOOKUP(J2393, Dropdowns!N:O, 2, FALSE)</f>
        <v>Lower Price</v>
      </c>
      <c r="J2393" t="s">
        <v>759</v>
      </c>
      <c r="L2393" s="17" t="s">
        <v>733</v>
      </c>
      <c r="M2393" s="17" t="s">
        <v>11</v>
      </c>
      <c r="N2393" s="17" t="s">
        <v>740</v>
      </c>
    </row>
    <row r="2394" spans="1:14" x14ac:dyDescent="0.25">
      <c r="A2394" s="10">
        <v>995021</v>
      </c>
      <c r="B2394" s="22" t="str">
        <f>IFERROR(VLOOKUP(A2394,VLOOKUPS!$A$2:B$12589,2,FALSE),"")</f>
        <v>Chopped Bacon Caesar Kit 10.2oz-standard</v>
      </c>
      <c r="E2394">
        <v>2.4900000000000002</v>
      </c>
      <c r="F2394">
        <v>3.49</v>
      </c>
      <c r="G2394" s="13">
        <v>44515</v>
      </c>
      <c r="H2394" s="13"/>
      <c r="I2394" s="22" t="str">
        <f>VLOOKUP(J2394, Dropdowns!N:O, 2, FALSE)</f>
        <v>Standard</v>
      </c>
      <c r="J2394" t="s">
        <v>760</v>
      </c>
      <c r="L2394" s="17" t="s">
        <v>733</v>
      </c>
      <c r="M2394" s="17" t="s">
        <v>11</v>
      </c>
      <c r="N2394" s="17" t="s">
        <v>740</v>
      </c>
    </row>
    <row r="2395" spans="1:14" x14ac:dyDescent="0.25">
      <c r="A2395" s="10">
        <v>995109</v>
      </c>
      <c r="B2395" s="22" t="str">
        <f>IFERROR(VLOOKUP(A2395,VLOOKUPS!$A$2:B$12589,2,FALSE),"")</f>
        <v>Mediterranean Chopped Salad 11oz-standard</v>
      </c>
      <c r="D2395">
        <v>6</v>
      </c>
      <c r="E2395">
        <v>3.49</v>
      </c>
      <c r="G2395" s="13">
        <v>44513</v>
      </c>
      <c r="H2395" s="13"/>
      <c r="I2395" s="22" t="str">
        <f>VLOOKUP(J2395, Dropdowns!N:O, 2, FALSE)</f>
        <v>NA</v>
      </c>
      <c r="J2395" t="s">
        <v>754</v>
      </c>
      <c r="L2395" s="17" t="s">
        <v>732</v>
      </c>
      <c r="M2395" s="17" t="s">
        <v>738</v>
      </c>
      <c r="N2395" s="17">
        <v>2</v>
      </c>
    </row>
    <row r="2396" spans="1:14" x14ac:dyDescent="0.25">
      <c r="A2396" s="10">
        <v>995109</v>
      </c>
      <c r="B2396" s="22" t="str">
        <f>IFERROR(VLOOKUP(A2396,VLOOKUPS!$A$2:B$12589,2,FALSE),"")</f>
        <v>Mediterranean Chopped Salad 11oz-standard</v>
      </c>
      <c r="D2396">
        <v>6</v>
      </c>
      <c r="E2396">
        <v>3.49</v>
      </c>
      <c r="G2396" s="13">
        <v>44515</v>
      </c>
      <c r="H2396" s="13"/>
      <c r="I2396" s="22" t="str">
        <f>VLOOKUP(J2396, Dropdowns!N:O, 2, FALSE)</f>
        <v>NA</v>
      </c>
      <c r="J2396" t="s">
        <v>754</v>
      </c>
      <c r="L2396" s="17" t="s">
        <v>732</v>
      </c>
      <c r="M2396" s="17" t="s">
        <v>9</v>
      </c>
      <c r="N2396" s="17" t="s">
        <v>736</v>
      </c>
    </row>
    <row r="2397" spans="1:14" x14ac:dyDescent="0.25">
      <c r="A2397" s="10">
        <v>984620</v>
      </c>
      <c r="B2397" s="22" t="str">
        <f>IFERROR(VLOOKUP(A2397,VLOOKUPS!$A$2:B$12589,2,FALSE),"")</f>
        <v>Raspberries 6oz-standard</v>
      </c>
      <c r="E2397">
        <v>1.49</v>
      </c>
      <c r="F2397">
        <v>2.84</v>
      </c>
      <c r="G2397" s="13">
        <v>44514</v>
      </c>
      <c r="H2397" s="13"/>
      <c r="I2397" s="22" t="str">
        <f>VLOOKUP(J2397, Dropdowns!N:O, 2, FALSE)</f>
        <v>Standard</v>
      </c>
      <c r="J2397" t="s">
        <v>760</v>
      </c>
      <c r="L2397" s="17" t="s">
        <v>732</v>
      </c>
      <c r="M2397" s="17" t="s">
        <v>737</v>
      </c>
      <c r="N2397" s="17" t="s">
        <v>736</v>
      </c>
    </row>
    <row r="2398" spans="1:14" x14ac:dyDescent="0.25">
      <c r="A2398" s="10">
        <v>984620</v>
      </c>
      <c r="B2398" s="22" t="str">
        <f>IFERROR(VLOOKUP(A2398,VLOOKUPS!$A$2:B$12589,2,FALSE),"")</f>
        <v>Raspberries 6oz-standard</v>
      </c>
      <c r="E2398">
        <v>2.84</v>
      </c>
      <c r="F2398">
        <v>0.99</v>
      </c>
      <c r="G2398" s="13">
        <v>44516</v>
      </c>
      <c r="H2398" s="13">
        <v>44517</v>
      </c>
      <c r="I2398" s="22" t="str">
        <f>VLOOKUP(J2398, Dropdowns!N:O, 2, FALSE)</f>
        <v>Lower Price</v>
      </c>
      <c r="J2398" t="s">
        <v>759</v>
      </c>
      <c r="L2398" s="17" t="s">
        <v>732</v>
      </c>
      <c r="M2398" s="17" t="s">
        <v>9</v>
      </c>
      <c r="N2398" s="17" t="s">
        <v>736</v>
      </c>
    </row>
    <row r="2399" spans="1:14" x14ac:dyDescent="0.25">
      <c r="A2399" s="10">
        <v>984620</v>
      </c>
      <c r="B2399" s="22" t="str">
        <f>IFERROR(VLOOKUP(A2399,VLOOKUPS!$A$2:B$12589,2,FALSE),"")</f>
        <v>Raspberries 6oz-standard</v>
      </c>
      <c r="E2399">
        <v>0.99</v>
      </c>
      <c r="F2399">
        <v>2.84</v>
      </c>
      <c r="G2399" s="13">
        <v>44518</v>
      </c>
      <c r="H2399" s="13"/>
      <c r="I2399" s="22" t="str">
        <f>VLOOKUP(J2399, Dropdowns!N:O, 2, FALSE)</f>
        <v>Standard</v>
      </c>
      <c r="J2399" t="s">
        <v>760</v>
      </c>
      <c r="L2399" s="17" t="s">
        <v>732</v>
      </c>
      <c r="M2399" s="17" t="s">
        <v>9</v>
      </c>
      <c r="N2399" s="17" t="s">
        <v>736</v>
      </c>
    </row>
    <row r="2400" spans="1:14" x14ac:dyDescent="0.25">
      <c r="A2400" s="10">
        <v>984700</v>
      </c>
      <c r="B2400" s="22" t="str">
        <f>IFERROR(VLOOKUP(A2400,VLOOKUPS!$A$2:B$12589,2,FALSE),"")</f>
        <v>Blackberries 6oz-standard</v>
      </c>
      <c r="E2400">
        <v>2.2799999999999998</v>
      </c>
      <c r="F2400">
        <v>1.28</v>
      </c>
      <c r="G2400" s="13">
        <v>44516</v>
      </c>
      <c r="H2400" s="13">
        <v>44517</v>
      </c>
      <c r="I2400" s="22" t="str">
        <f>VLOOKUP(J2400, Dropdowns!N:O, 2, FALSE)</f>
        <v>Lower Price</v>
      </c>
      <c r="J2400" t="s">
        <v>759</v>
      </c>
      <c r="L2400" s="17" t="s">
        <v>732</v>
      </c>
      <c r="M2400" s="17" t="s">
        <v>738</v>
      </c>
      <c r="N2400" s="17">
        <v>2</v>
      </c>
    </row>
    <row r="2401" spans="1:14" x14ac:dyDescent="0.25">
      <c r="A2401" s="10">
        <v>984700</v>
      </c>
      <c r="B2401" s="22" t="str">
        <f>IFERROR(VLOOKUP(A2401,VLOOKUPS!$A$2:B$12589,2,FALSE),"")</f>
        <v>Blackberries 6oz-standard</v>
      </c>
      <c r="E2401">
        <v>1.28</v>
      </c>
      <c r="F2401">
        <v>2.2799999999999998</v>
      </c>
      <c r="G2401" s="13">
        <v>44518</v>
      </c>
      <c r="H2401" s="13"/>
      <c r="I2401" s="22" t="str">
        <f>VLOOKUP(J2401, Dropdowns!N:O, 2, FALSE)</f>
        <v>Standard</v>
      </c>
      <c r="J2401" t="s">
        <v>760</v>
      </c>
      <c r="L2401" s="17" t="s">
        <v>732</v>
      </c>
      <c r="M2401" s="17" t="s">
        <v>738</v>
      </c>
      <c r="N2401" s="17">
        <v>2</v>
      </c>
    </row>
    <row r="2402" spans="1:14" x14ac:dyDescent="0.25">
      <c r="A2402" s="10">
        <v>995041</v>
      </c>
      <c r="B2402" s="22" t="str">
        <f>IFERROR(VLOOKUP(A2402,VLOOKUPS!$A$2:B$12589,2,FALSE),"")</f>
        <v>Pineapple Spears 16oz-standard</v>
      </c>
      <c r="D2402">
        <v>4</v>
      </c>
      <c r="E2402">
        <v>3.49</v>
      </c>
      <c r="G2402" s="13">
        <v>44516</v>
      </c>
      <c r="H2402" s="13"/>
      <c r="I2402" s="22" t="str">
        <f>VLOOKUP(J2402, Dropdowns!N:O, 2, FALSE)</f>
        <v>Standard</v>
      </c>
      <c r="J2402" t="s">
        <v>782</v>
      </c>
      <c r="L2402" s="17" t="s">
        <v>732</v>
      </c>
      <c r="M2402" s="17" t="s">
        <v>736</v>
      </c>
      <c r="N2402" s="17" t="s">
        <v>736</v>
      </c>
    </row>
    <row r="2403" spans="1:14" x14ac:dyDescent="0.25">
      <c r="A2403" s="10">
        <v>995042</v>
      </c>
      <c r="B2403" s="22" t="str">
        <f>IFERROR(VLOOKUP(A2403,VLOOKUPS!$A$2:B$12589,2,FALSE),"")</f>
        <v>Mango Chunks 16oz-standard</v>
      </c>
      <c r="D2403">
        <v>4</v>
      </c>
      <c r="E2403">
        <v>4.29</v>
      </c>
      <c r="G2403" s="13">
        <v>44516</v>
      </c>
      <c r="H2403" s="13"/>
      <c r="I2403" s="22" t="str">
        <f>VLOOKUP(J2403, Dropdowns!N:O, 2, FALSE)</f>
        <v>Standard</v>
      </c>
      <c r="J2403" t="s">
        <v>782</v>
      </c>
      <c r="L2403" s="17" t="s">
        <v>732</v>
      </c>
      <c r="M2403" s="17" t="s">
        <v>736</v>
      </c>
      <c r="N2403" s="17" t="s">
        <v>736</v>
      </c>
    </row>
    <row r="2404" spans="1:14" x14ac:dyDescent="0.25">
      <c r="A2404" s="10">
        <v>995043</v>
      </c>
      <c r="B2404" s="22" t="str">
        <f>IFERROR(VLOOKUP(A2404,VLOOKUPS!$A$2:B$12589,2,FALSE),"")</f>
        <v>Watermelon Chunks 16oz-standard</v>
      </c>
      <c r="D2404">
        <v>4</v>
      </c>
      <c r="E2404">
        <v>3.49</v>
      </c>
      <c r="G2404" s="13">
        <v>44516</v>
      </c>
      <c r="H2404" s="13"/>
      <c r="I2404" s="22" t="str">
        <f>VLOOKUP(J2404, Dropdowns!N:O, 2, FALSE)</f>
        <v>Standard</v>
      </c>
      <c r="J2404" t="s">
        <v>782</v>
      </c>
      <c r="L2404" s="17" t="s">
        <v>732</v>
      </c>
      <c r="M2404" s="17" t="s">
        <v>736</v>
      </c>
      <c r="N2404" s="17" t="s">
        <v>736</v>
      </c>
    </row>
    <row r="2405" spans="1:14" x14ac:dyDescent="0.25">
      <c r="A2405" s="10">
        <v>995076</v>
      </c>
      <c r="B2405" s="22" t="str">
        <f>IFERROR(VLOOKUP(A2405,VLOOKUPS!$A$2:B$12589,2,FALSE),"")</f>
        <v>Organic Power Greens 5oz-standard</v>
      </c>
      <c r="E2405">
        <v>2.4900000000000002</v>
      </c>
      <c r="F2405">
        <v>1.69</v>
      </c>
      <c r="G2405" s="13">
        <v>44516</v>
      </c>
      <c r="H2405" s="13">
        <v>44517</v>
      </c>
      <c r="I2405" s="22" t="str">
        <f>VLOOKUP(J2405, Dropdowns!N:O, 2, FALSE)</f>
        <v>Lower Price</v>
      </c>
      <c r="J2405" t="s">
        <v>759</v>
      </c>
      <c r="L2405" s="17" t="s">
        <v>733</v>
      </c>
      <c r="M2405" s="17" t="s">
        <v>11</v>
      </c>
      <c r="N2405" s="17" t="s">
        <v>740</v>
      </c>
    </row>
    <row r="2406" spans="1:14" x14ac:dyDescent="0.25">
      <c r="A2406" s="10">
        <v>995076</v>
      </c>
      <c r="B2406" s="22" t="str">
        <f>IFERROR(VLOOKUP(A2406,VLOOKUPS!$A$2:B$12589,2,FALSE),"")</f>
        <v>Organic Power Greens 5oz-standard</v>
      </c>
      <c r="E2406">
        <v>1.69</v>
      </c>
      <c r="F2406">
        <v>2.4900000000000002</v>
      </c>
      <c r="G2406" s="13">
        <v>44518</v>
      </c>
      <c r="H2406" s="13"/>
      <c r="I2406" s="22" t="str">
        <f>VLOOKUP(J2406, Dropdowns!N:O, 2, FALSE)</f>
        <v>Standard</v>
      </c>
      <c r="J2406" t="s">
        <v>760</v>
      </c>
      <c r="L2406" s="17" t="s">
        <v>733</v>
      </c>
      <c r="M2406" s="17" t="s">
        <v>11</v>
      </c>
      <c r="N2406" s="17" t="s">
        <v>740</v>
      </c>
    </row>
    <row r="2407" spans="1:14" x14ac:dyDescent="0.25">
      <c r="A2407" s="10">
        <v>995082</v>
      </c>
      <c r="B2407" s="22" t="str">
        <f>IFERROR(VLOOKUP(A2407,VLOOKUPS!$A$2:B$12589,2,FALSE),"")</f>
        <v>Melon Trio 16oz-standard</v>
      </c>
      <c r="D2407">
        <v>4</v>
      </c>
      <c r="E2407">
        <v>3.99</v>
      </c>
      <c r="G2407" s="13">
        <v>44516</v>
      </c>
      <c r="H2407" s="13"/>
      <c r="I2407" s="22" t="str">
        <f>VLOOKUP(J2407, Dropdowns!N:O, 2, FALSE)</f>
        <v>Standard</v>
      </c>
      <c r="J2407" t="s">
        <v>782</v>
      </c>
      <c r="L2407" s="17" t="s">
        <v>732</v>
      </c>
      <c r="M2407" s="17" t="s">
        <v>735</v>
      </c>
      <c r="N2407" s="17" t="s">
        <v>736</v>
      </c>
    </row>
    <row r="2408" spans="1:14" x14ac:dyDescent="0.25">
      <c r="A2408" s="10">
        <v>995082</v>
      </c>
      <c r="B2408" s="22" t="str">
        <f>IFERROR(VLOOKUP(A2408,VLOOKUPS!$A$2:B$12589,2,FALSE),"")</f>
        <v>Melon Trio 16oz-standard</v>
      </c>
      <c r="D2408">
        <v>4</v>
      </c>
      <c r="E2408">
        <v>3.49</v>
      </c>
      <c r="G2408" s="13">
        <v>44516</v>
      </c>
      <c r="H2408" s="13"/>
      <c r="I2408" s="22" t="str">
        <f>VLOOKUP(J2408, Dropdowns!N:O, 2, FALSE)</f>
        <v>Standard</v>
      </c>
      <c r="J2408" t="s">
        <v>782</v>
      </c>
      <c r="L2408" s="17" t="s">
        <v>733</v>
      </c>
      <c r="M2408" s="17" t="s">
        <v>11</v>
      </c>
      <c r="N2408" s="17" t="s">
        <v>740</v>
      </c>
    </row>
    <row r="2409" spans="1:14" x14ac:dyDescent="0.25">
      <c r="A2409" s="10">
        <v>995083</v>
      </c>
      <c r="B2409" s="22" t="str">
        <f>IFERROR(VLOOKUP(A2409,VLOOKUPS!$A$2:B$12589,2,FALSE),"")</f>
        <v>Butternut Squash Noodles 12oz-standard</v>
      </c>
      <c r="E2409">
        <v>2.4900000000000002</v>
      </c>
      <c r="F2409">
        <v>1.79</v>
      </c>
      <c r="G2409" s="13">
        <v>44516</v>
      </c>
      <c r="H2409" s="13">
        <v>44517</v>
      </c>
      <c r="I2409" s="22" t="str">
        <f>VLOOKUP(J2409, Dropdowns!N:O, 2, FALSE)</f>
        <v>Lower Price</v>
      </c>
      <c r="J2409" t="s">
        <v>759</v>
      </c>
      <c r="L2409" s="17" t="s">
        <v>733</v>
      </c>
      <c r="M2409" s="17" t="s">
        <v>11</v>
      </c>
      <c r="N2409" s="17" t="s">
        <v>740</v>
      </c>
    </row>
    <row r="2410" spans="1:14" x14ac:dyDescent="0.25">
      <c r="A2410" s="10">
        <v>995083</v>
      </c>
      <c r="B2410" s="22" t="str">
        <f>IFERROR(VLOOKUP(A2410,VLOOKUPS!$A$2:B$12589,2,FALSE),"")</f>
        <v>Butternut Squash Noodles 12oz-standard</v>
      </c>
      <c r="E2410">
        <v>1.79</v>
      </c>
      <c r="F2410">
        <v>2.4900000000000002</v>
      </c>
      <c r="G2410" s="13">
        <v>44518</v>
      </c>
      <c r="H2410" s="13"/>
      <c r="I2410" s="22" t="str">
        <f>VLOOKUP(J2410, Dropdowns!N:O, 2, FALSE)</f>
        <v>Standard</v>
      </c>
      <c r="J2410" t="s">
        <v>760</v>
      </c>
      <c r="L2410" s="17" t="s">
        <v>733</v>
      </c>
      <c r="M2410" s="17" t="s">
        <v>11</v>
      </c>
      <c r="N2410" s="17" t="s">
        <v>740</v>
      </c>
    </row>
    <row r="2411" spans="1:14" x14ac:dyDescent="0.25">
      <c r="A2411" s="10">
        <v>995102</v>
      </c>
      <c r="B2411" s="22" t="str">
        <f>IFERROR(VLOOKUP(A2411,VLOOKUPS!$A$2:B$12589,2,FALSE),"")</f>
        <v>Cantaloupe Chunks 16oz-standard</v>
      </c>
      <c r="D2411">
        <v>4</v>
      </c>
      <c r="E2411">
        <v>3.49</v>
      </c>
      <c r="G2411" s="13">
        <v>44516</v>
      </c>
      <c r="H2411" s="13"/>
      <c r="I2411" s="22" t="str">
        <f>VLOOKUP(J2411, Dropdowns!N:O, 2, FALSE)</f>
        <v>Standard</v>
      </c>
      <c r="J2411" t="s">
        <v>782</v>
      </c>
      <c r="L2411" s="17" t="s">
        <v>732</v>
      </c>
      <c r="M2411" s="17" t="s">
        <v>736</v>
      </c>
      <c r="N2411" s="17" t="s">
        <v>736</v>
      </c>
    </row>
    <row r="2412" spans="1:14" x14ac:dyDescent="0.25">
      <c r="A2412" s="10">
        <v>995109</v>
      </c>
      <c r="B2412" s="22" t="str">
        <f>IFERROR(VLOOKUP(A2412,VLOOKUPS!$A$2:B$12589,2,FALSE),"")</f>
        <v>Mediterranean Chopped Salad 11oz-standard</v>
      </c>
      <c r="D2412">
        <v>6</v>
      </c>
      <c r="E2412">
        <v>3.49</v>
      </c>
      <c r="G2412" s="13">
        <v>44516</v>
      </c>
      <c r="H2412" s="13"/>
      <c r="I2412" s="22" t="str">
        <f>VLOOKUP(J2412, Dropdowns!N:O, 2, FALSE)</f>
        <v>NA</v>
      </c>
      <c r="J2412" t="s">
        <v>754</v>
      </c>
      <c r="L2412" s="17" t="s">
        <v>732</v>
      </c>
      <c r="M2412" s="17" t="s">
        <v>736</v>
      </c>
      <c r="N2412" s="17" t="s">
        <v>736</v>
      </c>
    </row>
    <row r="2413" spans="1:14" x14ac:dyDescent="0.25">
      <c r="A2413" s="10">
        <v>995115</v>
      </c>
      <c r="B2413" s="22" t="str">
        <f>IFERROR(VLOOKUP(A2413,VLOOKUPS!$A$2:B$12589,2,FALSE),"")</f>
        <v>Pineapple Chunks 10oz-standard</v>
      </c>
      <c r="D2413">
        <v>4</v>
      </c>
      <c r="E2413">
        <v>2.58</v>
      </c>
      <c r="G2413" s="13">
        <v>44516</v>
      </c>
      <c r="H2413" s="13"/>
      <c r="I2413" s="22" t="str">
        <f>VLOOKUP(J2413, Dropdowns!N:O, 2, FALSE)</f>
        <v>Standard</v>
      </c>
      <c r="J2413" t="s">
        <v>782</v>
      </c>
      <c r="L2413" s="17" t="s">
        <v>732</v>
      </c>
      <c r="M2413" s="17" t="s">
        <v>736</v>
      </c>
      <c r="N2413" s="17" t="s">
        <v>736</v>
      </c>
    </row>
    <row r="2414" spans="1:14" x14ac:dyDescent="0.25">
      <c r="A2414" s="10">
        <v>995116</v>
      </c>
      <c r="B2414" s="22" t="str">
        <f>IFERROR(VLOOKUP(A2414,VLOOKUPS!$A$2:B$12589,2,FALSE),"")</f>
        <v>Mango Chunks 10oz-standard</v>
      </c>
      <c r="D2414">
        <v>4</v>
      </c>
      <c r="E2414">
        <v>2.99</v>
      </c>
      <c r="G2414" s="13">
        <v>44516</v>
      </c>
      <c r="H2414" s="13"/>
      <c r="I2414" s="22" t="str">
        <f>VLOOKUP(J2414, Dropdowns!N:O, 2, FALSE)</f>
        <v>Standard</v>
      </c>
      <c r="J2414" t="s">
        <v>782</v>
      </c>
      <c r="L2414" s="17" t="s">
        <v>732</v>
      </c>
      <c r="M2414" s="17" t="s">
        <v>735</v>
      </c>
      <c r="N2414" s="17" t="s">
        <v>736</v>
      </c>
    </row>
    <row r="2415" spans="1:14" x14ac:dyDescent="0.25">
      <c r="A2415" s="10">
        <v>995153</v>
      </c>
      <c r="B2415" s="22" t="str">
        <f>IFERROR(VLOOKUP(A2415,VLOOKUPS!$A$2:B$12589,2,FALSE),"")</f>
        <v>Sweet Apple Slices 14oz-standard</v>
      </c>
      <c r="E2415">
        <v>3.49</v>
      </c>
      <c r="F2415">
        <v>0.99</v>
      </c>
      <c r="G2415" s="13">
        <v>44516</v>
      </c>
      <c r="H2415" s="13">
        <v>44518</v>
      </c>
      <c r="I2415" s="22" t="str">
        <f>VLOOKUP(J2415, Dropdowns!N:O, 2, FALSE)</f>
        <v>Lower Price</v>
      </c>
      <c r="J2415" t="s">
        <v>759</v>
      </c>
      <c r="L2415" s="17" t="s">
        <v>732</v>
      </c>
      <c r="M2415" s="17" t="s">
        <v>11</v>
      </c>
      <c r="N2415" s="17" t="s">
        <v>740</v>
      </c>
    </row>
    <row r="2416" spans="1:14" x14ac:dyDescent="0.25">
      <c r="A2416" s="10">
        <v>995153</v>
      </c>
      <c r="B2416" s="22" t="str">
        <f>IFERROR(VLOOKUP(A2416,VLOOKUPS!$A$2:B$12589,2,FALSE),"")</f>
        <v>Sweet Apple Slices 14oz-standard</v>
      </c>
      <c r="D2416">
        <v>6</v>
      </c>
      <c r="E2416">
        <v>3.49</v>
      </c>
      <c r="G2416" s="13">
        <v>44516</v>
      </c>
      <c r="H2416" s="13"/>
      <c r="I2416" s="22" t="str">
        <f>VLOOKUP(J2416, Dropdowns!N:O, 2, FALSE)</f>
        <v>NA</v>
      </c>
      <c r="J2416" t="s">
        <v>754</v>
      </c>
      <c r="L2416" s="17" t="s">
        <v>732</v>
      </c>
      <c r="M2416" s="17" t="s">
        <v>9</v>
      </c>
      <c r="N2416" s="17" t="s">
        <v>736</v>
      </c>
    </row>
    <row r="2417" spans="1:14" x14ac:dyDescent="0.25">
      <c r="A2417" s="10">
        <v>995155</v>
      </c>
      <c r="B2417" s="22" t="str">
        <f>IFERROR(VLOOKUP(A2417,VLOOKUPS!$A$2:B$12589,2,FALSE),"")</f>
        <v>Organic Sweet Apple Slices 12oz-standard</v>
      </c>
      <c r="E2417">
        <v>3.99</v>
      </c>
      <c r="F2417">
        <v>0.99</v>
      </c>
      <c r="G2417" s="13">
        <v>44516</v>
      </c>
      <c r="H2417" s="13">
        <v>44518</v>
      </c>
      <c r="I2417" s="22" t="str">
        <f>VLOOKUP(J2417, Dropdowns!N:O, 2, FALSE)</f>
        <v>Lower Price</v>
      </c>
      <c r="J2417" t="s">
        <v>759</v>
      </c>
      <c r="L2417" s="17" t="s">
        <v>732</v>
      </c>
      <c r="M2417" s="17" t="s">
        <v>735</v>
      </c>
      <c r="N2417" s="17" t="s">
        <v>736</v>
      </c>
    </row>
    <row r="2418" spans="1:14" x14ac:dyDescent="0.25">
      <c r="A2418" s="10">
        <v>995155</v>
      </c>
      <c r="B2418" s="22" t="str">
        <f>IFERROR(VLOOKUP(A2418,VLOOKUPS!$A$2:B$12589,2,FALSE),"")</f>
        <v>Organic Sweet Apple Slices 12oz-standard</v>
      </c>
      <c r="E2418">
        <v>0.99</v>
      </c>
      <c r="F2418">
        <v>3.99</v>
      </c>
      <c r="G2418" s="13">
        <v>44519</v>
      </c>
      <c r="H2418" s="13"/>
      <c r="I2418" s="22" t="str">
        <f>VLOOKUP(J2418, Dropdowns!N:O, 2, FALSE)</f>
        <v>Standard</v>
      </c>
      <c r="J2418" t="s">
        <v>760</v>
      </c>
      <c r="L2418" s="17" t="s">
        <v>732</v>
      </c>
      <c r="M2418" s="17" t="s">
        <v>735</v>
      </c>
      <c r="N2418" s="17" t="s">
        <v>736</v>
      </c>
    </row>
    <row r="2419" spans="1:14" x14ac:dyDescent="0.25">
      <c r="A2419" s="10">
        <v>995155</v>
      </c>
      <c r="B2419" s="22" t="str">
        <f>IFERROR(VLOOKUP(A2419,VLOOKUPS!$A$2:B$12589,2,FALSE),"")</f>
        <v>Organic Sweet Apple Slices 12oz-standard</v>
      </c>
      <c r="D2419">
        <v>6</v>
      </c>
      <c r="E2419">
        <v>3.99</v>
      </c>
      <c r="G2419" s="13">
        <v>44516</v>
      </c>
      <c r="H2419" s="13"/>
      <c r="I2419" s="22" t="str">
        <f>VLOOKUP(J2419, Dropdowns!N:O, 2, FALSE)</f>
        <v>NA</v>
      </c>
      <c r="J2419" t="s">
        <v>754</v>
      </c>
      <c r="L2419" s="17" t="s">
        <v>733</v>
      </c>
      <c r="M2419" s="17" t="s">
        <v>11</v>
      </c>
      <c r="N2419" s="17" t="s">
        <v>740</v>
      </c>
    </row>
    <row r="2420" spans="1:14" x14ac:dyDescent="0.25">
      <c r="A2420" s="10">
        <v>982740</v>
      </c>
      <c r="B2420" s="22" t="str">
        <f>IFERROR(VLOOKUP(A2420,VLOOKUPS!$A$2:B$12589,2,FALSE),"")</f>
        <v>Grapes* Red Seedless 1lb-LOOSE</v>
      </c>
      <c r="E2420">
        <v>1.56</v>
      </c>
      <c r="F2420">
        <v>0.99</v>
      </c>
      <c r="G2420" s="13">
        <v>44516</v>
      </c>
      <c r="H2420" s="13">
        <v>44517</v>
      </c>
      <c r="I2420" s="22" t="str">
        <f>VLOOKUP(J2420, Dropdowns!N:O, 2, FALSE)</f>
        <v>Lower Price</v>
      </c>
      <c r="J2420" t="s">
        <v>759</v>
      </c>
      <c r="L2420" s="17" t="s">
        <v>732</v>
      </c>
      <c r="M2420" s="17" t="s">
        <v>738</v>
      </c>
      <c r="N2420" s="17">
        <v>2</v>
      </c>
    </row>
    <row r="2421" spans="1:14" x14ac:dyDescent="0.25">
      <c r="A2421" s="10">
        <v>982740</v>
      </c>
      <c r="B2421" s="22" t="str">
        <f>IFERROR(VLOOKUP(A2421,VLOOKUPS!$A$2:B$12589,2,FALSE),"")</f>
        <v>Grapes* Red Seedless 1lb-LOOSE</v>
      </c>
      <c r="E2421">
        <v>0.99</v>
      </c>
      <c r="F2421">
        <v>1.56</v>
      </c>
      <c r="G2421" s="13">
        <v>44518</v>
      </c>
      <c r="H2421" s="13"/>
      <c r="I2421" s="22" t="str">
        <f>VLOOKUP(J2421, Dropdowns!N:O, 2, FALSE)</f>
        <v>Standard</v>
      </c>
      <c r="J2421" t="s">
        <v>760</v>
      </c>
      <c r="L2421" s="17" t="s">
        <v>732</v>
      </c>
      <c r="M2421" s="17" t="s">
        <v>738</v>
      </c>
      <c r="N2421" s="17">
        <v>2</v>
      </c>
    </row>
    <row r="2422" spans="1:14" x14ac:dyDescent="0.25">
      <c r="A2422" s="10">
        <v>995050</v>
      </c>
      <c r="B2422" s="22" t="str">
        <f>IFERROR(VLOOKUP(A2422,VLOOKUPS!$A$2:B$12589,2,FALSE),"")</f>
        <v>Organic Bagged Kale 10oz-standard</v>
      </c>
      <c r="D2422">
        <v>8</v>
      </c>
      <c r="E2422">
        <v>2.69</v>
      </c>
      <c r="G2422" s="13">
        <v>44517</v>
      </c>
      <c r="H2422" s="13"/>
      <c r="I2422" s="22" t="str">
        <f>VLOOKUP(J2422, Dropdowns!N:O, 2, FALSE)</f>
        <v>NA</v>
      </c>
      <c r="J2422" t="s">
        <v>754</v>
      </c>
      <c r="L2422" s="17" t="s">
        <v>732</v>
      </c>
      <c r="M2422" s="17" t="s">
        <v>736</v>
      </c>
      <c r="N2422" s="17" t="s">
        <v>736</v>
      </c>
    </row>
    <row r="2423" spans="1:14" x14ac:dyDescent="0.25">
      <c r="A2423" s="10">
        <v>995130</v>
      </c>
      <c r="B2423" s="22" t="str">
        <f>IFERROR(VLOOKUP(A2423,VLOOKUPS!$A$2:B$12589,2,FALSE),"")</f>
        <v>Organic Green Beans 10oz-standard</v>
      </c>
      <c r="D2423">
        <v>6</v>
      </c>
      <c r="E2423">
        <v>3.29</v>
      </c>
      <c r="G2423" s="13">
        <v>44517</v>
      </c>
      <c r="H2423" s="13"/>
      <c r="I2423" s="22" t="str">
        <f>VLOOKUP(J2423, Dropdowns!N:O, 2, FALSE)</f>
        <v>NA</v>
      </c>
      <c r="J2423" t="s">
        <v>754</v>
      </c>
      <c r="L2423" s="17" t="s">
        <v>732</v>
      </c>
      <c r="M2423" s="17" t="s">
        <v>736</v>
      </c>
      <c r="N2423" s="17" t="s">
        <v>736</v>
      </c>
    </row>
    <row r="2424" spans="1:14" x14ac:dyDescent="0.25">
      <c r="A2424" s="8">
        <v>984620</v>
      </c>
      <c r="B2424" s="22" t="str">
        <f>IFERROR(VLOOKUP(A2424,VLOOKUPS!$A$2:B$12589,2,FALSE),"")</f>
        <v>Raspberries 6oz-standard</v>
      </c>
      <c r="E2424">
        <v>2.44</v>
      </c>
      <c r="F2424">
        <v>1.54</v>
      </c>
      <c r="G2424" s="13">
        <v>44517</v>
      </c>
      <c r="H2424" s="13">
        <v>44518</v>
      </c>
      <c r="I2424" s="22" t="str">
        <f>VLOOKUP(J2424, Dropdowns!N:O, 2, FALSE)</f>
        <v>Lower Price</v>
      </c>
      <c r="J2424" t="s">
        <v>759</v>
      </c>
      <c r="L2424" s="17" t="s">
        <v>733</v>
      </c>
      <c r="M2424" s="17" t="s">
        <v>11</v>
      </c>
      <c r="N2424" s="17" t="s">
        <v>740</v>
      </c>
    </row>
    <row r="2425" spans="1:14" x14ac:dyDescent="0.25">
      <c r="A2425" s="8">
        <v>984620</v>
      </c>
      <c r="B2425" s="22" t="str">
        <f>IFERROR(VLOOKUP(A2425,VLOOKUPS!$A$2:B$12589,2,FALSE),"")</f>
        <v>Raspberries 6oz-standard</v>
      </c>
      <c r="E2425">
        <v>1.54</v>
      </c>
      <c r="F2425">
        <v>2.44</v>
      </c>
      <c r="G2425" s="13">
        <v>44519</v>
      </c>
      <c r="H2425" s="13"/>
      <c r="I2425" s="22" t="str">
        <f>VLOOKUP(J2425, Dropdowns!N:O, 2, FALSE)</f>
        <v>Standard</v>
      </c>
      <c r="J2425" t="s">
        <v>760</v>
      </c>
      <c r="L2425" s="17" t="s">
        <v>733</v>
      </c>
      <c r="M2425" s="17" t="s">
        <v>11</v>
      </c>
      <c r="N2425" s="17" t="s">
        <v>740</v>
      </c>
    </row>
    <row r="2426" spans="1:14" x14ac:dyDescent="0.25">
      <c r="A2426" s="8">
        <v>986250</v>
      </c>
      <c r="B2426" s="22" t="str">
        <f>IFERROR(VLOOKUP(A2426,VLOOKUPS!$A$2:B$12589,2,FALSE),"")</f>
        <v>French Beans 1lb-standard</v>
      </c>
      <c r="G2426" s="13">
        <v>44517</v>
      </c>
      <c r="H2426" s="13">
        <v>44524</v>
      </c>
      <c r="I2426" s="22" t="str">
        <f>VLOOKUP(J2426, Dropdowns!N:O, 2, FALSE)</f>
        <v>Lower Price</v>
      </c>
      <c r="J2426" t="s">
        <v>753</v>
      </c>
      <c r="L2426" s="17" t="s">
        <v>732</v>
      </c>
      <c r="M2426" s="17" t="s">
        <v>736</v>
      </c>
      <c r="N2426" s="17" t="s">
        <v>736</v>
      </c>
    </row>
    <row r="2427" spans="1:14" x14ac:dyDescent="0.25">
      <c r="A2427" s="8">
        <v>984542</v>
      </c>
      <c r="B2427" s="22" t="str">
        <f>IFERROR(VLOOKUP(A2427,VLOOKUPS!$A$2:B$12589,2,FALSE),"")</f>
        <v>Blueberries 18oz-standard</v>
      </c>
      <c r="G2427" s="13">
        <v>44517</v>
      </c>
      <c r="H2427" s="13">
        <v>44524</v>
      </c>
      <c r="I2427" s="22" t="str">
        <f>VLOOKUP(J2427, Dropdowns!N:O, 2, FALSE)</f>
        <v>Lower Price</v>
      </c>
      <c r="J2427" t="s">
        <v>753</v>
      </c>
      <c r="L2427" s="17" t="s">
        <v>732</v>
      </c>
      <c r="M2427" s="17" t="s">
        <v>736</v>
      </c>
      <c r="N2427" s="17" t="s">
        <v>736</v>
      </c>
    </row>
    <row r="2428" spans="1:14" x14ac:dyDescent="0.25">
      <c r="A2428" s="8">
        <v>995041</v>
      </c>
      <c r="B2428" s="22" t="str">
        <f>IFERROR(VLOOKUP(A2428,VLOOKUPS!$A$2:B$12589,2,FALSE),"")</f>
        <v>Pineapple Spears 16oz-standard</v>
      </c>
      <c r="E2428">
        <v>3.49</v>
      </c>
      <c r="F2428">
        <v>2.4900000000000002</v>
      </c>
      <c r="G2428" s="13">
        <v>44517</v>
      </c>
      <c r="H2428" s="13">
        <v>44518</v>
      </c>
      <c r="I2428" s="22" t="str">
        <f>VLOOKUP(J2428, Dropdowns!N:O, 2, FALSE)</f>
        <v>Lower Price</v>
      </c>
      <c r="J2428" t="s">
        <v>759</v>
      </c>
      <c r="L2428" s="17" t="s">
        <v>732</v>
      </c>
      <c r="M2428" s="17" t="s">
        <v>10</v>
      </c>
      <c r="N2428" s="17">
        <v>2</v>
      </c>
    </row>
    <row r="2429" spans="1:14" x14ac:dyDescent="0.25">
      <c r="A2429" s="8">
        <v>995041</v>
      </c>
      <c r="B2429" s="22" t="str">
        <f>IFERROR(VLOOKUP(A2429,VLOOKUPS!$A$2:B$12589,2,FALSE),"")</f>
        <v>Pineapple Spears 16oz-standard</v>
      </c>
      <c r="E2429">
        <v>2.4900000000000002</v>
      </c>
      <c r="F2429">
        <v>3.49</v>
      </c>
      <c r="G2429" s="13">
        <v>44519</v>
      </c>
      <c r="H2429" s="13"/>
      <c r="I2429" s="22" t="str">
        <f>VLOOKUP(J2429, Dropdowns!N:O, 2, FALSE)</f>
        <v>Standard</v>
      </c>
      <c r="J2429" t="s">
        <v>760</v>
      </c>
      <c r="L2429" s="17" t="s">
        <v>732</v>
      </c>
      <c r="M2429" s="17" t="s">
        <v>10</v>
      </c>
      <c r="N2429" s="17">
        <v>2</v>
      </c>
    </row>
    <row r="2430" spans="1:14" x14ac:dyDescent="0.25">
      <c r="A2430" s="8">
        <v>995051</v>
      </c>
      <c r="B2430" s="22" t="str">
        <f>IFERROR(VLOOKUP(A2430,VLOOKUPS!$A$2:B$12589,2,FALSE),"")</f>
        <v>Mild Fresh Chopped Salsa 16oz-standard</v>
      </c>
      <c r="D2430">
        <v>6</v>
      </c>
      <c r="G2430" s="13">
        <v>44517</v>
      </c>
      <c r="H2430" s="13"/>
      <c r="I2430" s="22" t="str">
        <f>VLOOKUP(J2430, Dropdowns!N:O, 2, FALSE)</f>
        <v>Standard</v>
      </c>
      <c r="J2430" t="s">
        <v>782</v>
      </c>
      <c r="L2430" s="17" t="s">
        <v>732</v>
      </c>
      <c r="M2430" s="17" t="s">
        <v>736</v>
      </c>
      <c r="N2430" s="17" t="s">
        <v>736</v>
      </c>
    </row>
    <row r="2431" spans="1:14" x14ac:dyDescent="0.25">
      <c r="A2431" s="8">
        <v>995052</v>
      </c>
      <c r="B2431" s="22" t="str">
        <f>IFERROR(VLOOKUP(A2431,VLOOKUPS!$A$2:B$12589,2,FALSE),"")</f>
        <v>Southwestern Salsa 16oz-standard</v>
      </c>
      <c r="D2431">
        <v>6</v>
      </c>
      <c r="G2431" s="13">
        <v>44517</v>
      </c>
      <c r="H2431" s="13"/>
      <c r="I2431" s="22" t="str">
        <f>VLOOKUP(J2431, Dropdowns!N:O, 2, FALSE)</f>
        <v>Standard</v>
      </c>
      <c r="J2431" t="s">
        <v>782</v>
      </c>
      <c r="L2431" s="17" t="s">
        <v>732</v>
      </c>
      <c r="M2431" s="17" t="s">
        <v>736</v>
      </c>
      <c r="N2431" s="17" t="s">
        <v>736</v>
      </c>
    </row>
    <row r="2432" spans="1:14" x14ac:dyDescent="0.25">
      <c r="A2432" s="8">
        <v>995053</v>
      </c>
      <c r="B2432" s="22" t="str">
        <f>IFERROR(VLOOKUP(A2432,VLOOKUPS!$A$2:B$12589,2,FALSE),"")</f>
        <v>Fresh Chopped Salsa Pico 16oz-standard</v>
      </c>
      <c r="D2432">
        <v>6</v>
      </c>
      <c r="G2432" s="13">
        <v>44517</v>
      </c>
      <c r="H2432" s="13"/>
      <c r="I2432" s="22" t="str">
        <f>VLOOKUP(J2432, Dropdowns!N:O, 2, FALSE)</f>
        <v>Standard</v>
      </c>
      <c r="J2432" t="s">
        <v>782</v>
      </c>
      <c r="L2432" s="17" t="s">
        <v>732</v>
      </c>
      <c r="M2432" s="17" t="s">
        <v>736</v>
      </c>
      <c r="N2432" s="17" t="s">
        <v>736</v>
      </c>
    </row>
    <row r="2433" spans="1:14" x14ac:dyDescent="0.25">
      <c r="A2433" s="8">
        <v>995070</v>
      </c>
      <c r="B2433" s="22" t="str">
        <f>IFERROR(VLOOKUP(A2433,VLOOKUPS!$A$2:B$12589,2,FALSE),"")</f>
        <v>Organic Baby Spring Mix 5oz-standard</v>
      </c>
      <c r="E2433">
        <v>2.98</v>
      </c>
      <c r="F2433">
        <v>1.98</v>
      </c>
      <c r="G2433" s="13">
        <v>44517</v>
      </c>
      <c r="H2433" s="13">
        <v>44518</v>
      </c>
      <c r="I2433" s="22" t="str">
        <f>VLOOKUP(J2433, Dropdowns!N:O, 2, FALSE)</f>
        <v>Lower Price</v>
      </c>
      <c r="J2433" t="s">
        <v>759</v>
      </c>
      <c r="L2433" s="17" t="s">
        <v>732</v>
      </c>
      <c r="M2433" s="17" t="s">
        <v>10</v>
      </c>
      <c r="N2433" s="17">
        <v>2</v>
      </c>
    </row>
    <row r="2434" spans="1:14" x14ac:dyDescent="0.25">
      <c r="A2434" s="8">
        <v>995070</v>
      </c>
      <c r="B2434" s="22" t="str">
        <f>IFERROR(VLOOKUP(A2434,VLOOKUPS!$A$2:B$12589,2,FALSE),"")</f>
        <v>Organic Baby Spring Mix 5oz-standard</v>
      </c>
      <c r="E2434">
        <v>1.98</v>
      </c>
      <c r="F2434">
        <v>2.98</v>
      </c>
      <c r="G2434" s="13">
        <v>44519</v>
      </c>
      <c r="H2434" s="13"/>
      <c r="I2434" s="22" t="str">
        <f>VLOOKUP(J2434, Dropdowns!N:O, 2, FALSE)</f>
        <v>Standard</v>
      </c>
      <c r="J2434" t="s">
        <v>760</v>
      </c>
      <c r="L2434" s="17" t="s">
        <v>732</v>
      </c>
      <c r="M2434" s="17" t="s">
        <v>10</v>
      </c>
      <c r="N2434" s="17">
        <v>2</v>
      </c>
    </row>
    <row r="2435" spans="1:14" x14ac:dyDescent="0.25">
      <c r="A2435" s="8">
        <v>995100</v>
      </c>
      <c r="B2435" s="22" t="str">
        <f>IFERROR(VLOOKUP(A2435,VLOOKUPS!$A$2:B$12589,2,FALSE),"")</f>
        <v>Asian Chopped Salad Kit 12oz-standard</v>
      </c>
      <c r="E2435">
        <v>3.49</v>
      </c>
      <c r="F2435">
        <v>2.4900000000000002</v>
      </c>
      <c r="G2435" s="13">
        <v>44517</v>
      </c>
      <c r="H2435" s="13">
        <v>44518</v>
      </c>
      <c r="I2435" s="22" t="str">
        <f>VLOOKUP(J2435, Dropdowns!N:O, 2, FALSE)</f>
        <v>Lower Price</v>
      </c>
      <c r="J2435" t="s">
        <v>759</v>
      </c>
      <c r="L2435" s="17" t="s">
        <v>733</v>
      </c>
      <c r="M2435" s="17" t="s">
        <v>11</v>
      </c>
      <c r="N2435" s="17" t="s">
        <v>740</v>
      </c>
    </row>
    <row r="2436" spans="1:14" x14ac:dyDescent="0.25">
      <c r="A2436" s="8">
        <v>995100</v>
      </c>
      <c r="B2436" s="22" t="str">
        <f>IFERROR(VLOOKUP(A2436,VLOOKUPS!$A$2:B$12589,2,FALSE),"")</f>
        <v>Asian Chopped Salad Kit 12oz-standard</v>
      </c>
      <c r="E2436">
        <v>2.4900000000000002</v>
      </c>
      <c r="F2436">
        <v>3.49</v>
      </c>
      <c r="G2436" s="13">
        <v>44519</v>
      </c>
      <c r="H2436" s="13"/>
      <c r="I2436" s="22" t="str">
        <f>VLOOKUP(J2436, Dropdowns!N:O, 2, FALSE)</f>
        <v>Standard</v>
      </c>
      <c r="J2436" t="s">
        <v>760</v>
      </c>
      <c r="L2436" s="17" t="s">
        <v>733</v>
      </c>
      <c r="M2436" s="17" t="s">
        <v>11</v>
      </c>
      <c r="N2436" s="17" t="s">
        <v>740</v>
      </c>
    </row>
    <row r="2437" spans="1:14" x14ac:dyDescent="0.25">
      <c r="A2437" s="8">
        <v>995101</v>
      </c>
      <c r="B2437" s="22" t="str">
        <f>IFERROR(VLOOKUP(A2437,VLOOKUPS!$A$2:B$12589,2,FALSE),"")</f>
        <v>Avocado Ranch Salad Kit 11.3oz-standard</v>
      </c>
      <c r="E2437">
        <v>3.49</v>
      </c>
      <c r="F2437">
        <v>2.4900000000000002</v>
      </c>
      <c r="G2437" s="13">
        <v>44517</v>
      </c>
      <c r="H2437" s="13">
        <v>44518</v>
      </c>
      <c r="I2437" s="22" t="str">
        <f>VLOOKUP(J2437, Dropdowns!N:O, 2, FALSE)</f>
        <v>Lower Price</v>
      </c>
      <c r="J2437" t="s">
        <v>759</v>
      </c>
      <c r="L2437" s="17" t="s">
        <v>732</v>
      </c>
      <c r="M2437" s="17" t="s">
        <v>736</v>
      </c>
      <c r="N2437" s="17" t="s">
        <v>736</v>
      </c>
    </row>
    <row r="2438" spans="1:14" x14ac:dyDescent="0.25">
      <c r="A2438" s="8">
        <v>995101</v>
      </c>
      <c r="B2438" s="22" t="str">
        <f>IFERROR(VLOOKUP(A2438,VLOOKUPS!$A$2:B$12589,2,FALSE),"")</f>
        <v>Avocado Ranch Salad Kit 11.3oz-standard</v>
      </c>
      <c r="E2438">
        <v>2.4900000000000002</v>
      </c>
      <c r="F2438">
        <v>3.49</v>
      </c>
      <c r="G2438" s="13">
        <v>44519</v>
      </c>
      <c r="H2438" s="13"/>
      <c r="I2438" s="22" t="str">
        <f>VLOOKUP(J2438, Dropdowns!N:O, 2, FALSE)</f>
        <v>Standard</v>
      </c>
      <c r="J2438" t="s">
        <v>760</v>
      </c>
      <c r="L2438" s="17" t="s">
        <v>732</v>
      </c>
      <c r="M2438" s="17" t="s">
        <v>736</v>
      </c>
      <c r="N2438" s="17" t="s">
        <v>736</v>
      </c>
    </row>
    <row r="2439" spans="1:14" x14ac:dyDescent="0.25">
      <c r="A2439" s="8">
        <v>995118</v>
      </c>
      <c r="B2439" s="22" t="str">
        <f>IFERROR(VLOOKUP(A2439,VLOOKUPS!$A$2:B$12589,2,FALSE),"")</f>
        <v>Thai Chili Mango Salad Kit 10oz-standard</v>
      </c>
      <c r="E2439">
        <v>3.49</v>
      </c>
      <c r="F2439">
        <v>1.99</v>
      </c>
      <c r="G2439" s="13">
        <v>44517</v>
      </c>
      <c r="H2439" s="13">
        <v>44518</v>
      </c>
      <c r="I2439" s="22" t="str">
        <f>VLOOKUP(J2439, Dropdowns!N:O, 2, FALSE)</f>
        <v>Lower Price</v>
      </c>
      <c r="J2439" t="s">
        <v>759</v>
      </c>
      <c r="L2439" s="17" t="s">
        <v>733</v>
      </c>
      <c r="M2439" s="17" t="s">
        <v>11</v>
      </c>
      <c r="N2439" s="17" t="s">
        <v>740</v>
      </c>
    </row>
    <row r="2440" spans="1:14" x14ac:dyDescent="0.25">
      <c r="A2440" s="8">
        <v>995118</v>
      </c>
      <c r="B2440" s="22" t="str">
        <f>IFERROR(VLOOKUP(A2440,VLOOKUPS!$A$2:B$12589,2,FALSE),"")</f>
        <v>Thai Chili Mango Salad Kit 10oz-standard</v>
      </c>
      <c r="E2440">
        <v>1.99</v>
      </c>
      <c r="F2440">
        <v>3.49</v>
      </c>
      <c r="G2440" s="13">
        <v>44519</v>
      </c>
      <c r="H2440" s="13"/>
      <c r="I2440" s="22" t="str">
        <f>VLOOKUP(J2440, Dropdowns!N:O, 2, FALSE)</f>
        <v>Standard</v>
      </c>
      <c r="J2440" t="s">
        <v>760</v>
      </c>
      <c r="L2440" s="17" t="s">
        <v>733</v>
      </c>
      <c r="M2440" s="17" t="s">
        <v>11</v>
      </c>
      <c r="N2440" s="17" t="s">
        <v>740</v>
      </c>
    </row>
    <row r="2441" spans="1:14" x14ac:dyDescent="0.25">
      <c r="A2441" s="8">
        <v>995123</v>
      </c>
      <c r="B2441" s="22" t="str">
        <f>IFERROR(VLOOKUP(A2441,VLOOKUPS!$A$2:B$12589,2,FALSE),"")</f>
        <v>Vegetable Medley 12oz-standard</v>
      </c>
      <c r="E2441">
        <v>2.78</v>
      </c>
      <c r="F2441">
        <v>1.48</v>
      </c>
      <c r="G2441" s="13">
        <v>44517</v>
      </c>
      <c r="H2441" s="13">
        <v>44519</v>
      </c>
      <c r="I2441" s="22" t="str">
        <f>VLOOKUP(J2441, Dropdowns!N:O, 2, FALSE)</f>
        <v>Lower Price</v>
      </c>
      <c r="J2441" t="s">
        <v>759</v>
      </c>
      <c r="L2441" s="17" t="s">
        <v>733</v>
      </c>
      <c r="M2441" s="17" t="s">
        <v>11</v>
      </c>
      <c r="N2441" s="17" t="s">
        <v>740</v>
      </c>
    </row>
    <row r="2442" spans="1:14" x14ac:dyDescent="0.25">
      <c r="A2442" s="8">
        <v>995123</v>
      </c>
      <c r="B2442" s="22" t="str">
        <f>IFERROR(VLOOKUP(A2442,VLOOKUPS!$A$2:B$12589,2,FALSE),"")</f>
        <v>Vegetable Medley 12oz-standard</v>
      </c>
      <c r="E2442">
        <v>1.48</v>
      </c>
      <c r="F2442">
        <v>2.78</v>
      </c>
      <c r="G2442" s="13">
        <v>44520</v>
      </c>
      <c r="H2442" s="13"/>
      <c r="I2442" s="22" t="str">
        <f>VLOOKUP(J2442, Dropdowns!N:O, 2, FALSE)</f>
        <v>Standard</v>
      </c>
      <c r="J2442" t="s">
        <v>760</v>
      </c>
      <c r="L2442" s="17" t="s">
        <v>733</v>
      </c>
      <c r="M2442" s="17" t="s">
        <v>11</v>
      </c>
      <c r="N2442" s="17" t="s">
        <v>740</v>
      </c>
    </row>
    <row r="2443" spans="1:14" x14ac:dyDescent="0.25">
      <c r="A2443" s="8">
        <v>995126</v>
      </c>
      <c r="B2443" s="22" t="str">
        <f>IFERROR(VLOOKUP(A2443,VLOOKUPS!$A$2:B$12589,2,FALSE),"")</f>
        <v>Broccoli &amp; Cauliflower 12oz-standard</v>
      </c>
      <c r="E2443">
        <v>2.4900000000000002</v>
      </c>
      <c r="F2443">
        <v>1.19</v>
      </c>
      <c r="G2443" s="13">
        <v>44517</v>
      </c>
      <c r="H2443" s="13">
        <v>44519</v>
      </c>
      <c r="I2443" s="22" t="str">
        <f>VLOOKUP(J2443, Dropdowns!N:O, 2, FALSE)</f>
        <v>Lower Price</v>
      </c>
      <c r="J2443" t="s">
        <v>759</v>
      </c>
      <c r="L2443" s="17" t="s">
        <v>733</v>
      </c>
      <c r="M2443" s="17" t="s">
        <v>11</v>
      </c>
      <c r="N2443" s="17" t="s">
        <v>740</v>
      </c>
    </row>
    <row r="2444" spans="1:14" x14ac:dyDescent="0.25">
      <c r="A2444" s="8">
        <v>995126</v>
      </c>
      <c r="B2444" s="22" t="str">
        <f>IFERROR(VLOOKUP(A2444,VLOOKUPS!$A$2:B$12589,2,FALSE),"")</f>
        <v>Broccoli &amp; Cauliflower 12oz-standard</v>
      </c>
      <c r="E2444">
        <v>1.19</v>
      </c>
      <c r="F2444">
        <v>2.4900000000000002</v>
      </c>
      <c r="G2444" s="13">
        <v>44520</v>
      </c>
      <c r="H2444" s="13"/>
      <c r="I2444" s="22" t="str">
        <f>VLOOKUP(J2444, Dropdowns!N:O, 2, FALSE)</f>
        <v>Standard</v>
      </c>
      <c r="J2444" t="s">
        <v>760</v>
      </c>
      <c r="L2444" s="17" t="s">
        <v>733</v>
      </c>
      <c r="M2444" s="17" t="s">
        <v>11</v>
      </c>
      <c r="N2444" s="17" t="s">
        <v>740</v>
      </c>
    </row>
    <row r="2445" spans="1:14" x14ac:dyDescent="0.25">
      <c r="A2445" s="8">
        <v>995156</v>
      </c>
      <c r="B2445" s="22" t="str">
        <f>IFERROR(VLOOKUP(A2445,VLOOKUPS!$A$2:B$12589,2,FALSE),"")</f>
        <v>Mild Guacamole 12oz-standard</v>
      </c>
      <c r="D2445">
        <v>2</v>
      </c>
      <c r="G2445" s="13">
        <v>44517</v>
      </c>
      <c r="H2445" s="13"/>
      <c r="I2445" s="22" t="str">
        <f>VLOOKUP(J2445, Dropdowns!N:O, 2, FALSE)</f>
        <v>Standard</v>
      </c>
      <c r="J2445" t="s">
        <v>782</v>
      </c>
      <c r="L2445" s="17" t="s">
        <v>732</v>
      </c>
      <c r="M2445" s="17" t="s">
        <v>735</v>
      </c>
      <c r="N2445" s="17" t="s">
        <v>736</v>
      </c>
    </row>
    <row r="2446" spans="1:14" x14ac:dyDescent="0.25">
      <c r="A2446" s="8">
        <v>995158</v>
      </c>
      <c r="B2446" s="22" t="str">
        <f>IFERROR(VLOOKUP(A2446,VLOOKUPS!$A$2:B$12589,2,FALSE),"")</f>
        <v>Pico Guacamole 14oz-standard</v>
      </c>
      <c r="D2446">
        <v>6</v>
      </c>
      <c r="G2446" s="13">
        <v>44517</v>
      </c>
      <c r="H2446" s="13"/>
      <c r="I2446" s="22" t="str">
        <f>VLOOKUP(J2446, Dropdowns!N:O, 2, FALSE)</f>
        <v>Standard</v>
      </c>
      <c r="J2446" t="s">
        <v>782</v>
      </c>
      <c r="L2446" s="17" t="s">
        <v>732</v>
      </c>
      <c r="M2446" s="17" t="s">
        <v>736</v>
      </c>
      <c r="N2446" s="17" t="s">
        <v>736</v>
      </c>
    </row>
    <row r="2447" spans="1:14" x14ac:dyDescent="0.25">
      <c r="A2447" s="8">
        <v>995159</v>
      </c>
      <c r="B2447" s="22" t="str">
        <f>IFERROR(VLOOKUP(A2447,VLOOKUPS!$A$2:B$12589,2,FALSE),"")</f>
        <v>Aparagus &amp; Mushrooms 12oz-standard</v>
      </c>
      <c r="E2447">
        <v>4.99</v>
      </c>
      <c r="F2447">
        <v>3.99</v>
      </c>
      <c r="G2447" s="13">
        <v>44517</v>
      </c>
      <c r="H2447" s="13">
        <v>44518</v>
      </c>
      <c r="I2447" s="22" t="str">
        <f>VLOOKUP(J2447, Dropdowns!N:O, 2, FALSE)</f>
        <v>Lower Price</v>
      </c>
      <c r="J2447" t="s">
        <v>759</v>
      </c>
      <c r="L2447" s="17" t="s">
        <v>732</v>
      </c>
      <c r="M2447" s="17" t="s">
        <v>738</v>
      </c>
      <c r="N2447" s="17">
        <v>2</v>
      </c>
    </row>
    <row r="2448" spans="1:14" x14ac:dyDescent="0.25">
      <c r="A2448" s="8">
        <v>995159</v>
      </c>
      <c r="B2448" s="22" t="str">
        <f>IFERROR(VLOOKUP(A2448,VLOOKUPS!$A$2:B$12589,2,FALSE),"")</f>
        <v>Aparagus &amp; Mushrooms 12oz-standard</v>
      </c>
      <c r="E2448">
        <v>3.99</v>
      </c>
      <c r="F2448">
        <v>4.99</v>
      </c>
      <c r="G2448" s="13">
        <v>44519</v>
      </c>
      <c r="H2448" s="13"/>
      <c r="I2448" s="22" t="str">
        <f>VLOOKUP(J2448, Dropdowns!N:O, 2, FALSE)</f>
        <v>Standard</v>
      </c>
      <c r="J2448" t="s">
        <v>760</v>
      </c>
      <c r="L2448" s="17" t="s">
        <v>732</v>
      </c>
      <c r="M2448" s="17" t="s">
        <v>738</v>
      </c>
      <c r="N2448" s="17">
        <v>2</v>
      </c>
    </row>
    <row r="2449" spans="1:14" x14ac:dyDescent="0.25">
      <c r="A2449" s="8">
        <v>988620</v>
      </c>
      <c r="B2449" s="22" t="str">
        <f>IFERROR(VLOOKUP(A2449,VLOOKUPS!$A$2:B$12589,2,FALSE),"")</f>
        <v>Brussels Sprouts 1lb-standard</v>
      </c>
      <c r="E2449">
        <v>1.79</v>
      </c>
      <c r="F2449">
        <v>2.89</v>
      </c>
      <c r="G2449" s="13">
        <v>44517</v>
      </c>
      <c r="H2449" s="13"/>
      <c r="I2449" s="22" t="str">
        <f>VLOOKUP(J2449, Dropdowns!N:O, 2, FALSE)</f>
        <v>Standard</v>
      </c>
      <c r="J2449" t="s">
        <v>760</v>
      </c>
      <c r="L2449" s="17" t="s">
        <v>732</v>
      </c>
      <c r="M2449" s="17" t="s">
        <v>736</v>
      </c>
      <c r="N2449" s="17" t="s">
        <v>736</v>
      </c>
    </row>
    <row r="2450" spans="1:14" x14ac:dyDescent="0.25">
      <c r="A2450" s="8">
        <v>985760</v>
      </c>
      <c r="B2450" s="22" t="str">
        <f>IFERROR(VLOOKUP(A2450,VLOOKUPS!$A$2:B$12589,2,FALSE),"")</f>
        <v>Asparagus 1lb-standard</v>
      </c>
      <c r="G2450" s="13">
        <v>44517</v>
      </c>
      <c r="H2450" s="13">
        <v>44517</v>
      </c>
      <c r="I2450" s="22" t="str">
        <f>VLOOKUP(J2450, Dropdowns!N:O, 2, FALSE)</f>
        <v>Lower Price</v>
      </c>
      <c r="J2450" t="s">
        <v>762</v>
      </c>
      <c r="L2450" s="17" t="s">
        <v>732</v>
      </c>
      <c r="M2450" s="17" t="s">
        <v>736</v>
      </c>
      <c r="N2450" s="17" t="s">
        <v>736</v>
      </c>
    </row>
    <row r="2451" spans="1:14" x14ac:dyDescent="0.25">
      <c r="A2451" s="8">
        <v>982831</v>
      </c>
      <c r="B2451" s="22" t="str">
        <f>IFERROR(VLOOKUP(A2451,VLOOKUPS!$A$2:B$12589,2,FALSE),"")</f>
        <v>Grapes Multi-Color 3lb-PK</v>
      </c>
      <c r="D2451">
        <v>6</v>
      </c>
      <c r="E2451">
        <v>5.99</v>
      </c>
      <c r="G2451" s="13">
        <v>44517</v>
      </c>
      <c r="H2451" s="13"/>
      <c r="I2451" s="22" t="str">
        <f>VLOOKUP(J2451, Dropdowns!N:O, 2, FALSE)</f>
        <v>NA</v>
      </c>
      <c r="J2451" t="s">
        <v>754</v>
      </c>
      <c r="L2451" s="17" t="s">
        <v>732</v>
      </c>
      <c r="M2451" s="17" t="s">
        <v>736</v>
      </c>
      <c r="N2451" s="17" t="s">
        <v>736</v>
      </c>
    </row>
    <row r="2452" spans="1:14" x14ac:dyDescent="0.25">
      <c r="A2452" s="8">
        <v>982650</v>
      </c>
      <c r="B2452" s="22" t="str">
        <f>IFERROR(VLOOKUP(A2452,VLOOKUPS!$A$2:B$12589,2,FALSE),"")</f>
        <v>Grapes* Green Seedless 1lb-LOOSE</v>
      </c>
      <c r="G2452" s="13">
        <v>44517</v>
      </c>
      <c r="H2452" s="13">
        <v>44518</v>
      </c>
      <c r="I2452" s="22" t="str">
        <f>VLOOKUP(J2452, Dropdowns!N:O, 2, FALSE)</f>
        <v>Lower Price</v>
      </c>
      <c r="J2452" t="s">
        <v>762</v>
      </c>
      <c r="L2452" s="17" t="s">
        <v>733</v>
      </c>
      <c r="M2452" s="17" t="s">
        <v>11</v>
      </c>
      <c r="N2452" s="17" t="s">
        <v>740</v>
      </c>
    </row>
    <row r="2453" spans="1:14" x14ac:dyDescent="0.25">
      <c r="A2453" s="8">
        <v>982650</v>
      </c>
      <c r="B2453" s="22" t="str">
        <f>IFERROR(VLOOKUP(A2453,VLOOKUPS!$A$2:B$12589,2,FALSE),"")</f>
        <v>Grapes* Green Seedless 1lb-LOOSE</v>
      </c>
      <c r="E2453">
        <v>0.99</v>
      </c>
      <c r="F2453">
        <v>1.59</v>
      </c>
      <c r="G2453" s="13">
        <v>44517</v>
      </c>
      <c r="H2453" s="13"/>
      <c r="I2453" s="22" t="str">
        <f>VLOOKUP(J2453, Dropdowns!N:O, 2, FALSE)</f>
        <v>Standard</v>
      </c>
      <c r="J2453" t="s">
        <v>760</v>
      </c>
      <c r="L2453" s="17" t="s">
        <v>732</v>
      </c>
      <c r="M2453" s="17" t="s">
        <v>9</v>
      </c>
      <c r="N2453" s="17" t="s">
        <v>736</v>
      </c>
    </row>
    <row r="2454" spans="1:14" x14ac:dyDescent="0.25">
      <c r="A2454" s="8">
        <v>982650</v>
      </c>
      <c r="B2454" s="22" t="str">
        <f>IFERROR(VLOOKUP(A2454,VLOOKUPS!$A$2:B$12589,2,FALSE),"")</f>
        <v>Grapes* Green Seedless 1lb-LOOSE</v>
      </c>
      <c r="E2454">
        <v>0.85</v>
      </c>
      <c r="F2454">
        <v>1.59</v>
      </c>
      <c r="G2454" s="13">
        <v>44517</v>
      </c>
      <c r="H2454" s="13"/>
      <c r="I2454" s="22" t="str">
        <f>VLOOKUP(J2454, Dropdowns!N:O, 2, FALSE)</f>
        <v>Standard</v>
      </c>
      <c r="J2454" t="s">
        <v>760</v>
      </c>
      <c r="L2454" s="17" t="s">
        <v>732</v>
      </c>
      <c r="M2454" s="17" t="s">
        <v>10</v>
      </c>
      <c r="N2454" s="17">
        <v>2</v>
      </c>
    </row>
    <row r="2455" spans="1:14" x14ac:dyDescent="0.25">
      <c r="A2455" s="8">
        <v>995001</v>
      </c>
      <c r="B2455" s="22" t="str">
        <f>IFERROR(VLOOKUP(A2455,VLOOKUPS!$A$2:B$12589,2,FALSE),"")</f>
        <v>Spinach Baby 6oz-standard</v>
      </c>
      <c r="E2455">
        <v>2.3199999999999998</v>
      </c>
      <c r="F2455">
        <v>1.82</v>
      </c>
      <c r="G2455" s="13">
        <v>44518</v>
      </c>
      <c r="H2455" s="13">
        <v>44519</v>
      </c>
      <c r="I2455" s="22" t="str">
        <f>VLOOKUP(J2455, Dropdowns!N:O, 2, FALSE)</f>
        <v>Lower Price</v>
      </c>
      <c r="J2455" t="s">
        <v>759</v>
      </c>
      <c r="L2455" s="17" t="s">
        <v>733</v>
      </c>
      <c r="M2455" s="17" t="s">
        <v>11</v>
      </c>
      <c r="N2455" s="17" t="s">
        <v>740</v>
      </c>
    </row>
    <row r="2456" spans="1:14" x14ac:dyDescent="0.25">
      <c r="A2456" s="8">
        <v>995001</v>
      </c>
      <c r="B2456" s="22" t="str">
        <f>IFERROR(VLOOKUP(A2456,VLOOKUPS!$A$2:B$12589,2,FALSE),"")</f>
        <v>Spinach Baby 6oz-standard</v>
      </c>
      <c r="E2456">
        <v>1.82</v>
      </c>
      <c r="F2456">
        <v>2.3199999999999998</v>
      </c>
      <c r="G2456" s="13">
        <v>44520</v>
      </c>
      <c r="H2456" s="13"/>
      <c r="I2456" s="22" t="str">
        <f>VLOOKUP(J2456, Dropdowns!N:O, 2, FALSE)</f>
        <v>Standard</v>
      </c>
      <c r="J2456" t="s">
        <v>760</v>
      </c>
      <c r="L2456" s="17" t="s">
        <v>733</v>
      </c>
      <c r="M2456" s="17" t="s">
        <v>11</v>
      </c>
      <c r="N2456" s="17" t="s">
        <v>740</v>
      </c>
    </row>
    <row r="2457" spans="1:14" x14ac:dyDescent="0.25">
      <c r="A2457" s="8">
        <v>995004</v>
      </c>
      <c r="B2457" s="22" t="str">
        <f>IFERROR(VLOOKUP(A2457,VLOOKUPS!$A$2:B$12589,2,FALSE),"")</f>
        <v>Chicken Caesar Salad 6.25oz-standard</v>
      </c>
      <c r="D2457">
        <v>8</v>
      </c>
      <c r="G2457" s="13">
        <v>44518</v>
      </c>
      <c r="H2457" s="13"/>
      <c r="I2457" s="22" t="str">
        <f>VLOOKUP(J2457, Dropdowns!N:O, 2, FALSE)</f>
        <v>Standard</v>
      </c>
      <c r="J2457" t="s">
        <v>782</v>
      </c>
      <c r="L2457" s="17" t="s">
        <v>732</v>
      </c>
      <c r="M2457" s="17" t="s">
        <v>736</v>
      </c>
      <c r="N2457" s="17" t="s">
        <v>736</v>
      </c>
    </row>
    <row r="2458" spans="1:14" x14ac:dyDescent="0.25">
      <c r="A2458" s="8">
        <v>995010</v>
      </c>
      <c r="B2458" s="22" t="str">
        <f>IFERROR(VLOOKUP(A2458,VLOOKUPS!$A$2:B$12589,2,FALSE),"")</f>
        <v>RTE Turkey Bacon Cobb Salad 7.25oz-standard</v>
      </c>
      <c r="D2458">
        <v>8</v>
      </c>
      <c r="G2458" s="13">
        <v>44518</v>
      </c>
      <c r="H2458" s="13"/>
      <c r="I2458" s="22" t="str">
        <f>VLOOKUP(J2458, Dropdowns!N:O, 2, FALSE)</f>
        <v>Standard</v>
      </c>
      <c r="J2458" t="s">
        <v>782</v>
      </c>
      <c r="L2458" s="17" t="s">
        <v>732</v>
      </c>
      <c r="M2458" s="17" t="s">
        <v>736</v>
      </c>
      <c r="N2458" s="17" t="s">
        <v>736</v>
      </c>
    </row>
    <row r="2459" spans="1:14" x14ac:dyDescent="0.25">
      <c r="A2459" s="8">
        <v>995011</v>
      </c>
      <c r="B2459" s="22" t="str">
        <f>IFERROR(VLOOKUP(A2459,VLOOKUPS!$A$2:B$12589,2,FALSE),"")</f>
        <v>RTE Santa Fe Salad 6.25oz-standard</v>
      </c>
      <c r="D2459">
        <v>8</v>
      </c>
      <c r="G2459" s="13">
        <v>44518</v>
      </c>
      <c r="H2459" s="13"/>
      <c r="I2459" s="22" t="str">
        <f>VLOOKUP(J2459, Dropdowns!N:O, 2, FALSE)</f>
        <v>Standard</v>
      </c>
      <c r="J2459" t="s">
        <v>782</v>
      </c>
      <c r="L2459" s="17" t="s">
        <v>732</v>
      </c>
      <c r="M2459" s="17" t="s">
        <v>736</v>
      </c>
      <c r="N2459" s="17" t="s">
        <v>736</v>
      </c>
    </row>
    <row r="2460" spans="1:14" x14ac:dyDescent="0.25">
      <c r="A2460" s="8">
        <v>995012</v>
      </c>
      <c r="B2460" s="22" t="str">
        <f>IFERROR(VLOOKUP(A2460,VLOOKUPS!$A$2:B$12589,2,FALSE),"")</f>
        <v>RTE Cranberry Walnut Salad 4.5oz-standard</v>
      </c>
      <c r="D2460">
        <v>8</v>
      </c>
      <c r="G2460" s="13">
        <v>44518</v>
      </c>
      <c r="H2460" s="13"/>
      <c r="I2460" s="22" t="str">
        <f>VLOOKUP(J2460, Dropdowns!N:O, 2, FALSE)</f>
        <v>Standard</v>
      </c>
      <c r="J2460" t="s">
        <v>782</v>
      </c>
      <c r="L2460" s="17" t="s">
        <v>732</v>
      </c>
      <c r="M2460" s="17" t="s">
        <v>736</v>
      </c>
      <c r="N2460" s="17" t="s">
        <v>736</v>
      </c>
    </row>
    <row r="2461" spans="1:14" x14ac:dyDescent="0.25">
      <c r="A2461" s="8">
        <v>995014</v>
      </c>
      <c r="B2461" s="22" t="str">
        <f>IFERROR(VLOOKUP(A2461,VLOOKUPS!$A$2:B$12589,2,FALSE),"")</f>
        <v>RTE Café Style Chef Salad 7.65oz-standard</v>
      </c>
      <c r="D2461">
        <v>8</v>
      </c>
      <c r="G2461" s="13">
        <v>44518</v>
      </c>
      <c r="H2461" s="13"/>
      <c r="I2461" s="22" t="str">
        <f>VLOOKUP(J2461, Dropdowns!N:O, 2, FALSE)</f>
        <v>Standard</v>
      </c>
      <c r="J2461" t="s">
        <v>782</v>
      </c>
      <c r="L2461" s="17" t="s">
        <v>732</v>
      </c>
      <c r="M2461" s="17" t="s">
        <v>736</v>
      </c>
      <c r="N2461" s="17" t="s">
        <v>736</v>
      </c>
    </row>
    <row r="2462" spans="1:14" x14ac:dyDescent="0.25">
      <c r="A2462" s="8">
        <v>995015</v>
      </c>
      <c r="B2462" s="22" t="str">
        <f>IFERROR(VLOOKUP(A2462,VLOOKUPS!$A$2:B$12589,2,FALSE),"")</f>
        <v>Savory Spinach Dijon Salad 4.9oz-standard</v>
      </c>
      <c r="D2462">
        <v>8</v>
      </c>
      <c r="G2462" s="13">
        <v>44518</v>
      </c>
      <c r="H2462" s="13"/>
      <c r="I2462" s="22" t="str">
        <f>VLOOKUP(J2462, Dropdowns!N:O, 2, FALSE)</f>
        <v>Standard</v>
      </c>
      <c r="J2462" t="s">
        <v>782</v>
      </c>
      <c r="L2462" s="17" t="s">
        <v>732</v>
      </c>
      <c r="M2462" s="17" t="s">
        <v>736</v>
      </c>
      <c r="N2462" s="17" t="s">
        <v>736</v>
      </c>
    </row>
    <row r="2463" spans="1:14" x14ac:dyDescent="0.25">
      <c r="A2463" s="8">
        <v>995018</v>
      </c>
      <c r="B2463" s="22" t="str">
        <f>IFERROR(VLOOKUP(A2463,VLOOKUPS!$A$2:B$12589,2,FALSE),"")</f>
        <v>RTE Large Chicken Caesar Salad 13.1oz-standard</v>
      </c>
      <c r="D2463">
        <v>4</v>
      </c>
      <c r="G2463" s="13">
        <v>44518</v>
      </c>
      <c r="H2463" s="13"/>
      <c r="I2463" s="22" t="str">
        <f>VLOOKUP(J2463, Dropdowns!N:O, 2, FALSE)</f>
        <v>Standard</v>
      </c>
      <c r="J2463" t="s">
        <v>782</v>
      </c>
      <c r="L2463" s="17" t="s">
        <v>732</v>
      </c>
      <c r="M2463" s="17" t="s">
        <v>736</v>
      </c>
      <c r="N2463" s="17" t="s">
        <v>736</v>
      </c>
    </row>
    <row r="2464" spans="1:14" x14ac:dyDescent="0.25">
      <c r="A2464" s="8">
        <v>995019</v>
      </c>
      <c r="B2464" s="22" t="str">
        <f>IFERROR(VLOOKUP(A2464,VLOOKUPS!$A$2:B$12589,2,FALSE),"")</f>
        <v>RTE Large Santa Fe Salad 14oz-standard</v>
      </c>
      <c r="D2464">
        <v>4</v>
      </c>
      <c r="G2464" s="13">
        <v>44518</v>
      </c>
      <c r="H2464" s="13"/>
      <c r="I2464" s="22" t="str">
        <f>VLOOKUP(J2464, Dropdowns!N:O, 2, FALSE)</f>
        <v>Standard</v>
      </c>
      <c r="J2464" t="s">
        <v>782</v>
      </c>
      <c r="L2464" s="17" t="s">
        <v>732</v>
      </c>
      <c r="M2464" s="17" t="s">
        <v>736</v>
      </c>
      <c r="N2464" s="17" t="s">
        <v>736</v>
      </c>
    </row>
    <row r="2465" spans="1:17" x14ac:dyDescent="0.25">
      <c r="A2465" s="8">
        <v>995022</v>
      </c>
      <c r="B2465" s="22" t="str">
        <f>IFERROR(VLOOKUP(A2465,VLOOKUPS!$A$2:B$12589,2,FALSE),"")</f>
        <v>American Blend 12oz-standard</v>
      </c>
      <c r="E2465">
        <v>1.99</v>
      </c>
      <c r="F2465">
        <v>1.19</v>
      </c>
      <c r="G2465" s="13">
        <v>44518</v>
      </c>
      <c r="H2465" s="13">
        <v>44519</v>
      </c>
      <c r="I2465" s="22" t="str">
        <f>VLOOKUP(J2465, Dropdowns!N:O, 2, FALSE)</f>
        <v>Lower Price</v>
      </c>
      <c r="J2465" t="s">
        <v>759</v>
      </c>
      <c r="L2465" s="17" t="s">
        <v>733</v>
      </c>
      <c r="M2465" s="17" t="s">
        <v>10</v>
      </c>
      <c r="N2465" s="17" t="s">
        <v>740</v>
      </c>
    </row>
    <row r="2466" spans="1:17" x14ac:dyDescent="0.25">
      <c r="A2466" s="8">
        <v>995022</v>
      </c>
      <c r="B2466" s="22" t="str">
        <f>IFERROR(VLOOKUP(A2466,VLOOKUPS!$A$2:B$12589,2,FALSE),"")</f>
        <v>American Blend 12oz-standard</v>
      </c>
      <c r="E2466">
        <v>1.19</v>
      </c>
      <c r="F2466">
        <v>1.99</v>
      </c>
      <c r="G2466" s="13">
        <v>44520</v>
      </c>
      <c r="H2466" s="13"/>
      <c r="I2466" s="22" t="str">
        <f>VLOOKUP(J2466, Dropdowns!N:O, 2, FALSE)</f>
        <v>Standard</v>
      </c>
      <c r="J2466" t="s">
        <v>760</v>
      </c>
      <c r="L2466" s="17" t="s">
        <v>733</v>
      </c>
      <c r="M2466" s="17" t="s">
        <v>10</v>
      </c>
      <c r="N2466" s="17" t="s">
        <v>740</v>
      </c>
    </row>
    <row r="2467" spans="1:17" x14ac:dyDescent="0.25">
      <c r="A2467" s="8">
        <v>995123</v>
      </c>
      <c r="B2467" s="22" t="str">
        <f>IFERROR(VLOOKUP(A2467,VLOOKUPS!$A$2:B$12589,2,FALSE),"")</f>
        <v>Vegetable Medley 12oz-standard</v>
      </c>
      <c r="E2467">
        <v>2.78</v>
      </c>
      <c r="F2467">
        <v>1.48</v>
      </c>
      <c r="G2467" s="13">
        <v>44518</v>
      </c>
      <c r="H2467" s="13">
        <v>44519</v>
      </c>
      <c r="I2467" s="22" t="str">
        <f>VLOOKUP(J2467, Dropdowns!N:O, 2, FALSE)</f>
        <v>Lower Price</v>
      </c>
      <c r="J2467" t="s">
        <v>759</v>
      </c>
      <c r="L2467" s="17" t="s">
        <v>732</v>
      </c>
      <c r="M2467" s="17" t="s">
        <v>10</v>
      </c>
      <c r="N2467" s="17">
        <v>2</v>
      </c>
    </row>
    <row r="2468" spans="1:17" x14ac:dyDescent="0.25">
      <c r="A2468" s="8">
        <v>995123</v>
      </c>
      <c r="B2468" s="22" t="str">
        <f>IFERROR(VLOOKUP(A2468,VLOOKUPS!$A$2:B$12589,2,FALSE),"")</f>
        <v>Vegetable Medley 12oz-standard</v>
      </c>
      <c r="E2468">
        <v>1.48</v>
      </c>
      <c r="F2468">
        <v>2.78</v>
      </c>
      <c r="G2468" s="13">
        <v>44520</v>
      </c>
      <c r="H2468" s="13"/>
      <c r="I2468" s="22" t="str">
        <f>VLOOKUP(J2468, Dropdowns!N:O, 2, FALSE)</f>
        <v>Standard</v>
      </c>
      <c r="J2468" t="s">
        <v>760</v>
      </c>
      <c r="L2468" s="17" t="s">
        <v>732</v>
      </c>
      <c r="M2468" s="17" t="s">
        <v>10</v>
      </c>
      <c r="N2468" s="17">
        <v>2</v>
      </c>
    </row>
    <row r="2469" spans="1:17" x14ac:dyDescent="0.25">
      <c r="A2469" s="8">
        <v>995126</v>
      </c>
      <c r="B2469" s="22" t="str">
        <f>IFERROR(VLOOKUP(A2469,VLOOKUPS!$A$2:B$12589,2,FALSE),"")</f>
        <v>Broccoli &amp; Cauliflower 12oz-standard</v>
      </c>
      <c r="E2469">
        <v>2.4900000000000002</v>
      </c>
      <c r="F2469">
        <v>1.49</v>
      </c>
      <c r="G2469" s="13">
        <v>44518</v>
      </c>
      <c r="H2469" s="13">
        <v>44519</v>
      </c>
      <c r="I2469" s="22" t="str">
        <f>VLOOKUP(J2469, Dropdowns!N:O, 2, FALSE)</f>
        <v>Lower Price</v>
      </c>
      <c r="J2469" t="s">
        <v>759</v>
      </c>
      <c r="L2469" s="17" t="s">
        <v>732</v>
      </c>
      <c r="M2469" s="17" t="s">
        <v>10</v>
      </c>
      <c r="N2469" s="17">
        <v>2</v>
      </c>
    </row>
    <row r="2470" spans="1:17" x14ac:dyDescent="0.25">
      <c r="A2470" s="8">
        <v>995126</v>
      </c>
      <c r="B2470" s="22" t="str">
        <f>IFERROR(VLOOKUP(A2470,VLOOKUPS!$A$2:B$12589,2,FALSE),"")</f>
        <v>Broccoli &amp; Cauliflower 12oz-standard</v>
      </c>
      <c r="E2470">
        <v>1.49</v>
      </c>
      <c r="F2470">
        <v>2.4900000000000002</v>
      </c>
      <c r="G2470" s="13">
        <v>44520</v>
      </c>
      <c r="H2470" s="13"/>
      <c r="I2470" s="22" t="str">
        <f>VLOOKUP(J2470, Dropdowns!N:O, 2, FALSE)</f>
        <v>Standard</v>
      </c>
      <c r="J2470" t="s">
        <v>760</v>
      </c>
      <c r="L2470" s="17" t="s">
        <v>732</v>
      </c>
      <c r="M2470" s="17" t="s">
        <v>10</v>
      </c>
      <c r="N2470" s="17">
        <v>2</v>
      </c>
    </row>
    <row r="2471" spans="1:17" x14ac:dyDescent="0.25">
      <c r="A2471" s="8">
        <v>995162</v>
      </c>
      <c r="B2471" s="22" t="str">
        <f>IFERROR(VLOOKUP(A2471,VLOOKUPS!$A$2:B$12589,2,FALSE),"")</f>
        <v>Buffalo Ranch Salad Kit 12oz-standard</v>
      </c>
      <c r="E2471">
        <v>3.49</v>
      </c>
      <c r="F2471">
        <v>2.4900000000000002</v>
      </c>
      <c r="G2471" s="13">
        <v>44518</v>
      </c>
      <c r="H2471" s="13">
        <v>44519</v>
      </c>
      <c r="I2471" s="22" t="str">
        <f>VLOOKUP(J2471, Dropdowns!N:O, 2, FALSE)</f>
        <v>Lower Price</v>
      </c>
      <c r="J2471" t="s">
        <v>759</v>
      </c>
      <c r="L2471" s="17" t="s">
        <v>732</v>
      </c>
      <c r="M2471" s="17" t="s">
        <v>10</v>
      </c>
      <c r="N2471" s="17">
        <v>2</v>
      </c>
    </row>
    <row r="2472" spans="1:17" x14ac:dyDescent="0.25">
      <c r="A2472" s="8">
        <v>995162</v>
      </c>
      <c r="B2472" s="22" t="str">
        <f>IFERROR(VLOOKUP(A2472,VLOOKUPS!$A$2:B$12589,2,FALSE),"")</f>
        <v>Buffalo Ranch Salad Kit 12oz-standard</v>
      </c>
      <c r="E2472">
        <v>2.4900000000000002</v>
      </c>
      <c r="F2472">
        <v>3.49</v>
      </c>
      <c r="G2472" s="13">
        <v>44520</v>
      </c>
      <c r="H2472" s="13"/>
      <c r="I2472" s="22" t="str">
        <f>VLOOKUP(J2472, Dropdowns!N:O, 2, FALSE)</f>
        <v>Standard</v>
      </c>
      <c r="J2472" t="s">
        <v>760</v>
      </c>
      <c r="L2472" s="17" t="s">
        <v>732</v>
      </c>
      <c r="M2472" s="17" t="s">
        <v>10</v>
      </c>
      <c r="N2472" s="17">
        <v>2</v>
      </c>
    </row>
    <row r="2473" spans="1:17" x14ac:dyDescent="0.25">
      <c r="A2473" s="8">
        <v>995166</v>
      </c>
      <c r="B2473" s="22" t="str">
        <f>IFERROR(VLOOKUP(A2473,VLOOKUPS!$A$2:B$12589,2,FALSE),"")</f>
        <v>Snow Peas 8oz-standard</v>
      </c>
      <c r="D2473">
        <v>6</v>
      </c>
      <c r="F2473">
        <v>2.68</v>
      </c>
      <c r="G2473" s="13">
        <v>44518</v>
      </c>
      <c r="H2473" s="13"/>
      <c r="I2473" s="22" t="str">
        <f>VLOOKUP(J2473, Dropdowns!N:O, 2, FALSE)</f>
        <v>New</v>
      </c>
      <c r="J2473" t="s">
        <v>776</v>
      </c>
      <c r="L2473" s="17" t="s">
        <v>732</v>
      </c>
      <c r="M2473" s="17" t="s">
        <v>736</v>
      </c>
      <c r="N2473" s="17" t="s">
        <v>736</v>
      </c>
      <c r="O2473" s="17" t="s">
        <v>748</v>
      </c>
      <c r="P2473">
        <v>1</v>
      </c>
      <c r="Q2473" s="17" t="s">
        <v>1044</v>
      </c>
    </row>
    <row r="2474" spans="1:17" x14ac:dyDescent="0.25">
      <c r="A2474" s="8">
        <v>982830</v>
      </c>
      <c r="B2474" s="22" t="str">
        <f>IFERROR(VLOOKUP(A2474,VLOOKUPS!$A$2:B$12589,2,FALSE),"")</f>
        <v>Grapes* Black Seedless 1lb-LOOSE</v>
      </c>
      <c r="E2474">
        <v>1.88</v>
      </c>
      <c r="F2474">
        <v>1.29</v>
      </c>
      <c r="G2474" s="13">
        <v>44518</v>
      </c>
      <c r="H2474" s="13">
        <v>44519</v>
      </c>
      <c r="I2474" s="22" t="str">
        <f>VLOOKUP(J2474, Dropdowns!N:O, 2, FALSE)</f>
        <v>Lower Price</v>
      </c>
      <c r="J2474" t="s">
        <v>759</v>
      </c>
      <c r="L2474" s="17" t="s">
        <v>732</v>
      </c>
      <c r="M2474" s="17" t="s">
        <v>10</v>
      </c>
      <c r="N2474" s="17">
        <v>2</v>
      </c>
    </row>
    <row r="2475" spans="1:17" x14ac:dyDescent="0.25">
      <c r="A2475" s="8">
        <v>982830</v>
      </c>
      <c r="B2475" s="22" t="str">
        <f>IFERROR(VLOOKUP(A2475,VLOOKUPS!$A$2:B$12589,2,FALSE),"")</f>
        <v>Grapes* Black Seedless 1lb-LOOSE</v>
      </c>
      <c r="E2475">
        <v>1.29</v>
      </c>
      <c r="F2475">
        <v>1.88</v>
      </c>
      <c r="G2475" s="13">
        <v>44520</v>
      </c>
      <c r="H2475" s="13"/>
      <c r="I2475" s="22" t="str">
        <f>VLOOKUP(J2475, Dropdowns!N:O, 2, FALSE)</f>
        <v>Standard</v>
      </c>
      <c r="J2475" t="s">
        <v>760</v>
      </c>
      <c r="L2475" s="17" t="s">
        <v>732</v>
      </c>
      <c r="M2475" s="17" t="s">
        <v>10</v>
      </c>
      <c r="N2475" s="17">
        <v>2</v>
      </c>
    </row>
    <row r="2476" spans="1:17" x14ac:dyDescent="0.25">
      <c r="A2476" s="8">
        <v>985760</v>
      </c>
      <c r="B2476" s="22" t="str">
        <f>IFERROR(VLOOKUP(A2476,VLOOKUPS!$A$2:B$12589,2,FALSE),"")</f>
        <v>Asparagus 1lb-standard</v>
      </c>
      <c r="G2476" s="13">
        <v>44518</v>
      </c>
      <c r="H2476" s="13">
        <v>44518</v>
      </c>
      <c r="I2476" s="22" t="str">
        <f>VLOOKUP(J2476, Dropdowns!N:O, 2, FALSE)</f>
        <v>Lower Price</v>
      </c>
      <c r="J2476" t="s">
        <v>762</v>
      </c>
      <c r="L2476" s="17" t="s">
        <v>732</v>
      </c>
      <c r="M2476" s="17" t="s">
        <v>736</v>
      </c>
      <c r="N2476" s="17" t="s">
        <v>736</v>
      </c>
    </row>
    <row r="2477" spans="1:17" x14ac:dyDescent="0.25">
      <c r="A2477" s="8">
        <v>982650</v>
      </c>
      <c r="B2477" s="22" t="str">
        <f>IFERROR(VLOOKUP(A2477,VLOOKUPS!$A$2:B$12589,2,FALSE),"")</f>
        <v>Grapes* Green Seedless 1lb-LOOSE</v>
      </c>
      <c r="E2477">
        <v>0.85</v>
      </c>
      <c r="F2477">
        <v>1.59</v>
      </c>
      <c r="G2477" s="13">
        <v>44518</v>
      </c>
      <c r="H2477" s="13"/>
      <c r="I2477" s="22" t="str">
        <f>VLOOKUP(J2477, Dropdowns!N:O, 2, FALSE)</f>
        <v>Standard</v>
      </c>
      <c r="J2477" t="s">
        <v>760</v>
      </c>
      <c r="L2477" s="17" t="s">
        <v>733</v>
      </c>
      <c r="M2477" s="17" t="s">
        <v>11</v>
      </c>
      <c r="N2477" s="17" t="s">
        <v>740</v>
      </c>
    </row>
    <row r="2478" spans="1:17" x14ac:dyDescent="0.25">
      <c r="A2478" s="8">
        <v>983301</v>
      </c>
      <c r="B2478" s="22" t="str">
        <f>IFERROR(VLOOKUP(A2478,VLOOKUPS!$A$2:B$12589,2,FALSE),"")</f>
        <v>Watermelons* Mini Seedless 1ct-LOOSE</v>
      </c>
      <c r="D2478">
        <v>6</v>
      </c>
      <c r="F2478">
        <v>4.29</v>
      </c>
      <c r="G2478" s="13">
        <v>44519</v>
      </c>
      <c r="H2478" s="13"/>
      <c r="I2478" s="22" t="str">
        <f>VLOOKUP(J2478, Dropdowns!N:O, 2, FALSE)</f>
        <v>New</v>
      </c>
      <c r="J2478" t="s">
        <v>776</v>
      </c>
      <c r="L2478" s="17" t="s">
        <v>732</v>
      </c>
      <c r="M2478" s="17" t="s">
        <v>736</v>
      </c>
      <c r="N2478" s="17" t="s">
        <v>736</v>
      </c>
      <c r="O2478" t="s">
        <v>1019</v>
      </c>
    </row>
    <row r="2479" spans="1:17" x14ac:dyDescent="0.25">
      <c r="A2479" s="8">
        <v>984620</v>
      </c>
      <c r="B2479" s="22" t="str">
        <f>IFERROR(VLOOKUP(A2479,VLOOKUPS!$A$2:B$12589,2,FALSE),"")</f>
        <v>Raspberries 6oz-standard</v>
      </c>
      <c r="E2479">
        <v>2.84</v>
      </c>
      <c r="F2479">
        <v>2.44</v>
      </c>
      <c r="G2479" s="13">
        <v>44519</v>
      </c>
      <c r="H2479" s="13"/>
      <c r="I2479" s="22" t="str">
        <f>VLOOKUP(J2479, Dropdowns!N:O, 2, FALSE)</f>
        <v>Standard</v>
      </c>
      <c r="J2479" t="s">
        <v>761</v>
      </c>
      <c r="L2479" s="17" t="s">
        <v>732</v>
      </c>
      <c r="M2479" s="17" t="s">
        <v>9</v>
      </c>
      <c r="N2479" s="17" t="s">
        <v>736</v>
      </c>
    </row>
    <row r="2480" spans="1:17" x14ac:dyDescent="0.25">
      <c r="A2480" s="8">
        <v>984621</v>
      </c>
      <c r="B2480" s="22" t="str">
        <f>IFERROR(VLOOKUP(A2480,VLOOKUPS!$A$2:B$12589,2,FALSE),"")</f>
        <v>Raspberries 12oz-standard</v>
      </c>
      <c r="E2480">
        <v>4.74</v>
      </c>
      <c r="F2480">
        <v>3.44</v>
      </c>
      <c r="G2480" s="13">
        <v>44519</v>
      </c>
      <c r="H2480" s="13">
        <v>44520</v>
      </c>
      <c r="I2480" s="22" t="str">
        <f>VLOOKUP(J2480, Dropdowns!N:O, 2, FALSE)</f>
        <v>Lower Price</v>
      </c>
      <c r="J2480" t="s">
        <v>759</v>
      </c>
      <c r="L2480" s="17" t="s">
        <v>732</v>
      </c>
      <c r="M2480" s="17" t="s">
        <v>738</v>
      </c>
      <c r="N2480" s="17">
        <v>2</v>
      </c>
    </row>
    <row r="2481" spans="1:14" x14ac:dyDescent="0.25">
      <c r="A2481" s="8">
        <v>984621</v>
      </c>
      <c r="B2481" s="22" t="str">
        <f>IFERROR(VLOOKUP(A2481,VLOOKUPS!$A$2:B$12589,2,FALSE),"")</f>
        <v>Raspberries 12oz-standard</v>
      </c>
      <c r="E2481">
        <v>3.44</v>
      </c>
      <c r="F2481">
        <v>4.74</v>
      </c>
      <c r="G2481" s="13">
        <v>44521</v>
      </c>
      <c r="H2481" s="13"/>
      <c r="I2481" s="22" t="str">
        <f>VLOOKUP(J2481, Dropdowns!N:O, 2, FALSE)</f>
        <v>Standard</v>
      </c>
      <c r="J2481" t="s">
        <v>760</v>
      </c>
      <c r="L2481" s="17" t="s">
        <v>732</v>
      </c>
      <c r="M2481" s="17" t="s">
        <v>738</v>
      </c>
      <c r="N2481" s="17">
        <v>2</v>
      </c>
    </row>
    <row r="2482" spans="1:14" x14ac:dyDescent="0.25">
      <c r="A2482" s="8">
        <v>985760</v>
      </c>
      <c r="B2482" s="22" t="str">
        <f>IFERROR(VLOOKUP(A2482,VLOOKUPS!$A$2:B$12589,2,FALSE),"")</f>
        <v>Asparagus 1lb-standard</v>
      </c>
      <c r="E2482">
        <v>1.99</v>
      </c>
      <c r="F2482">
        <v>2.99</v>
      </c>
      <c r="G2482" s="13">
        <v>44519</v>
      </c>
      <c r="H2482" s="13"/>
      <c r="I2482" s="22" t="str">
        <f>VLOOKUP(J2482, Dropdowns!N:O, 2, FALSE)</f>
        <v>Standard</v>
      </c>
      <c r="J2482" t="s">
        <v>760</v>
      </c>
      <c r="L2482" s="17" t="s">
        <v>732</v>
      </c>
      <c r="M2482" s="17" t="s">
        <v>736</v>
      </c>
      <c r="N2482" s="17" t="s">
        <v>736</v>
      </c>
    </row>
    <row r="2483" spans="1:14" x14ac:dyDescent="0.25">
      <c r="A2483" s="8">
        <v>995007</v>
      </c>
      <c r="B2483" s="22" t="str">
        <f>IFERROR(VLOOKUP(A2483,VLOOKUPS!$A$2:B$12589,2,FALSE),"")</f>
        <v>Caesar Salad Kit 10.5oz-standard</v>
      </c>
      <c r="D2483">
        <v>7</v>
      </c>
      <c r="E2483">
        <v>2.59</v>
      </c>
      <c r="G2483" s="13">
        <v>44519</v>
      </c>
      <c r="H2483" s="13"/>
      <c r="I2483" s="22" t="str">
        <f>VLOOKUP(J2483, Dropdowns!N:O, 2, FALSE)</f>
        <v>Standard</v>
      </c>
      <c r="J2483" t="s">
        <v>782</v>
      </c>
      <c r="L2483" s="17" t="s">
        <v>732</v>
      </c>
      <c r="M2483" s="17" t="s">
        <v>736</v>
      </c>
      <c r="N2483" s="17" t="s">
        <v>736</v>
      </c>
    </row>
    <row r="2484" spans="1:14" x14ac:dyDescent="0.25">
      <c r="A2484" s="8">
        <v>995008</v>
      </c>
      <c r="B2484" s="22" t="str">
        <f>IFERROR(VLOOKUP(A2484,VLOOKUPS!$A$2:B$12589,2,FALSE),"")</f>
        <v>Shredded Lettuce 8oz-standard</v>
      </c>
      <c r="E2484">
        <v>1.69</v>
      </c>
      <c r="F2484">
        <v>1.29</v>
      </c>
      <c r="G2484" s="13">
        <v>44519</v>
      </c>
      <c r="H2484" s="13"/>
      <c r="I2484" s="22" t="str">
        <f>VLOOKUP(J2484, Dropdowns!N:O, 2, FALSE)</f>
        <v>Standard</v>
      </c>
      <c r="J2484" t="s">
        <v>761</v>
      </c>
      <c r="L2484" s="17" t="s">
        <v>732</v>
      </c>
      <c r="M2484" s="17" t="s">
        <v>736</v>
      </c>
      <c r="N2484" s="17" t="s">
        <v>736</v>
      </c>
    </row>
    <row r="2485" spans="1:14" x14ac:dyDescent="0.25">
      <c r="A2485" s="8">
        <v>995032</v>
      </c>
      <c r="B2485" s="22" t="str">
        <f>IFERROR(VLOOKUP(A2485,VLOOKUPS!$A$2:B$12589,2,FALSE),"")</f>
        <v>Chopped Sunflower Crunch Kit 12.2oz-standard</v>
      </c>
      <c r="D2485">
        <v>9</v>
      </c>
      <c r="E2485">
        <v>3.49</v>
      </c>
      <c r="G2485" s="13">
        <v>44519</v>
      </c>
      <c r="H2485" s="13"/>
      <c r="I2485" s="22" t="str">
        <f>VLOOKUP(J2485, Dropdowns!N:O, 2, FALSE)</f>
        <v>Standard</v>
      </c>
      <c r="J2485" t="s">
        <v>782</v>
      </c>
      <c r="L2485" s="17" t="s">
        <v>732</v>
      </c>
      <c r="M2485" s="17" t="s">
        <v>736</v>
      </c>
      <c r="N2485" s="17" t="s">
        <v>736</v>
      </c>
    </row>
    <row r="2486" spans="1:14" x14ac:dyDescent="0.25">
      <c r="A2486" s="8">
        <v>995100</v>
      </c>
      <c r="B2486" s="22" t="str">
        <f>IFERROR(VLOOKUP(A2486,VLOOKUPS!$A$2:B$12589,2,FALSE),"")</f>
        <v>Asian Chopped Salad Kit 12oz-standard</v>
      </c>
      <c r="D2486">
        <v>9</v>
      </c>
      <c r="E2486">
        <v>3.49</v>
      </c>
      <c r="G2486" s="13">
        <v>44519</v>
      </c>
      <c r="H2486" s="13"/>
      <c r="I2486" s="22" t="str">
        <f>VLOOKUP(J2486, Dropdowns!N:O, 2, FALSE)</f>
        <v>Standard</v>
      </c>
      <c r="J2486" t="s">
        <v>782</v>
      </c>
      <c r="L2486" s="17" t="s">
        <v>732</v>
      </c>
      <c r="M2486" s="17" t="s">
        <v>735</v>
      </c>
      <c r="N2486" s="17" t="s">
        <v>736</v>
      </c>
    </row>
    <row r="2487" spans="1:14" x14ac:dyDescent="0.25">
      <c r="A2487" s="8">
        <v>995115</v>
      </c>
      <c r="B2487" s="22" t="str">
        <f>IFERROR(VLOOKUP(A2487,VLOOKUPS!$A$2:B$12589,2,FALSE),"")</f>
        <v>Pineapple Chunks 10oz-standard</v>
      </c>
      <c r="E2487">
        <v>2.58</v>
      </c>
      <c r="F2487">
        <v>1.68</v>
      </c>
      <c r="G2487" s="13">
        <v>44519</v>
      </c>
      <c r="H2487" s="13">
        <v>44520</v>
      </c>
      <c r="I2487" s="22" t="str">
        <f>VLOOKUP(J2487, Dropdowns!N:O, 2, FALSE)</f>
        <v>Lower Price</v>
      </c>
      <c r="J2487" t="s">
        <v>759</v>
      </c>
      <c r="L2487" s="17" t="s">
        <v>732</v>
      </c>
      <c r="M2487" s="17" t="s">
        <v>10</v>
      </c>
      <c r="N2487" s="17">
        <v>2</v>
      </c>
    </row>
    <row r="2488" spans="1:14" x14ac:dyDescent="0.25">
      <c r="A2488" s="8">
        <v>995118</v>
      </c>
      <c r="B2488" s="22" t="str">
        <f>IFERROR(VLOOKUP(A2488,VLOOKUPS!$A$2:B$12589,2,FALSE),"")</f>
        <v>Thai Chili Mango Salad Kit 10oz-standard</v>
      </c>
      <c r="D2488">
        <v>6</v>
      </c>
      <c r="E2488">
        <v>3.49</v>
      </c>
      <c r="G2488" s="13">
        <v>44519</v>
      </c>
      <c r="H2488" s="13"/>
      <c r="I2488" s="22" t="str">
        <f>VLOOKUP(J2488, Dropdowns!N:O, 2, FALSE)</f>
        <v>Standard</v>
      </c>
      <c r="J2488" t="s">
        <v>782</v>
      </c>
      <c r="L2488" s="17" t="s">
        <v>732</v>
      </c>
      <c r="M2488" s="17" t="s">
        <v>735</v>
      </c>
      <c r="N2488" s="17" t="s">
        <v>736</v>
      </c>
    </row>
    <row r="2489" spans="1:14" x14ac:dyDescent="0.25">
      <c r="A2489" s="8">
        <v>995153</v>
      </c>
      <c r="B2489" s="22" t="str">
        <f>IFERROR(VLOOKUP(A2489,VLOOKUPS!$A$2:B$12589,2,FALSE),"")</f>
        <v>Sweet Apple Slices 14oz-standard</v>
      </c>
      <c r="D2489">
        <v>6</v>
      </c>
      <c r="E2489">
        <v>3.49</v>
      </c>
      <c r="G2489" s="13">
        <v>44519</v>
      </c>
      <c r="H2489" s="13"/>
      <c r="I2489" s="22" t="str">
        <f>VLOOKUP(J2489, Dropdowns!N:O, 2, FALSE)</f>
        <v>NA</v>
      </c>
      <c r="J2489" t="s">
        <v>754</v>
      </c>
      <c r="L2489" s="17" t="s">
        <v>732</v>
      </c>
      <c r="M2489" s="17" t="s">
        <v>10</v>
      </c>
      <c r="N2489" s="17">
        <v>2</v>
      </c>
    </row>
    <row r="2490" spans="1:14" x14ac:dyDescent="0.25">
      <c r="A2490" s="8">
        <v>995158</v>
      </c>
      <c r="B2490" s="22" t="str">
        <f>IFERROR(VLOOKUP(A2490,VLOOKUPS!$A$2:B$12589,2,FALSE),"")</f>
        <v>Pico Guacamole 14oz-standard</v>
      </c>
      <c r="E2490">
        <v>4.49</v>
      </c>
      <c r="F2490">
        <v>3.29</v>
      </c>
      <c r="G2490" s="13">
        <v>44519</v>
      </c>
      <c r="H2490" s="13">
        <v>44520</v>
      </c>
      <c r="I2490" s="22" t="str">
        <f>VLOOKUP(J2490, Dropdowns!N:O, 2, FALSE)</f>
        <v>Lower Price</v>
      </c>
      <c r="J2490" t="s">
        <v>759</v>
      </c>
      <c r="L2490" s="17" t="s">
        <v>732</v>
      </c>
      <c r="M2490" s="17" t="s">
        <v>9</v>
      </c>
      <c r="N2490" s="17" t="s">
        <v>736</v>
      </c>
    </row>
    <row r="2491" spans="1:14" x14ac:dyDescent="0.25">
      <c r="A2491" s="8">
        <v>995158</v>
      </c>
      <c r="B2491" s="22" t="str">
        <f>IFERROR(VLOOKUP(A2491,VLOOKUPS!$A$2:B$12589,2,FALSE),"")</f>
        <v>Pico Guacamole 14oz-standard</v>
      </c>
      <c r="E2491">
        <v>3.29</v>
      </c>
      <c r="F2491">
        <v>4.49</v>
      </c>
      <c r="G2491" s="13">
        <v>44521</v>
      </c>
      <c r="H2491" s="13"/>
      <c r="I2491" s="22" t="str">
        <f>VLOOKUP(J2491, Dropdowns!N:O, 2, FALSE)</f>
        <v>Standard</v>
      </c>
      <c r="J2491" t="s">
        <v>760</v>
      </c>
      <c r="L2491" s="17" t="s">
        <v>732</v>
      </c>
      <c r="M2491" s="17" t="s">
        <v>9</v>
      </c>
      <c r="N2491" s="17" t="s">
        <v>736</v>
      </c>
    </row>
    <row r="2492" spans="1:14" x14ac:dyDescent="0.25">
      <c r="A2492" s="8">
        <v>987261</v>
      </c>
      <c r="B2492" s="22" t="str">
        <f>IFERROR(VLOOKUP(A2492,VLOOKUPS!$A$2:B$12589,2,FALSE),"")</f>
        <v>Peppers Sweet Long 14oz-standard</v>
      </c>
      <c r="E2492">
        <v>2.4900000000000002</v>
      </c>
      <c r="F2492">
        <v>3.49</v>
      </c>
      <c r="G2492" s="13">
        <v>44519</v>
      </c>
      <c r="H2492" s="13"/>
      <c r="I2492" s="22" t="str">
        <f>VLOOKUP(J2492, Dropdowns!N:O, 2, FALSE)</f>
        <v>Standard</v>
      </c>
      <c r="J2492" t="s">
        <v>760</v>
      </c>
      <c r="L2492" s="17" t="s">
        <v>733</v>
      </c>
      <c r="M2492" s="17" t="s">
        <v>11</v>
      </c>
      <c r="N2492" s="17" t="s">
        <v>740</v>
      </c>
    </row>
    <row r="2493" spans="1:14" x14ac:dyDescent="0.25">
      <c r="A2493" s="8">
        <v>982650</v>
      </c>
      <c r="B2493" s="22" t="str">
        <f>IFERROR(VLOOKUP(A2493,VLOOKUPS!$A$2:B$12589,2,FALSE),"")</f>
        <v>Grapes* Green Seedless 1lb-LOOSE</v>
      </c>
      <c r="E2493">
        <v>1.59</v>
      </c>
      <c r="F2493">
        <v>1.54</v>
      </c>
      <c r="G2493" s="13">
        <v>44519</v>
      </c>
      <c r="H2493" s="13"/>
      <c r="I2493" s="22" t="str">
        <f>VLOOKUP(J2493, Dropdowns!N:O, 2, FALSE)</f>
        <v>Standard</v>
      </c>
      <c r="J2493" t="s">
        <v>761</v>
      </c>
      <c r="L2493" s="17" t="s">
        <v>732</v>
      </c>
      <c r="M2493" s="17" t="s">
        <v>736</v>
      </c>
      <c r="N2493" s="17" t="s">
        <v>736</v>
      </c>
    </row>
    <row r="2494" spans="1:14" x14ac:dyDescent="0.25">
      <c r="A2494" s="8">
        <v>984460</v>
      </c>
      <c r="B2494" s="22" t="str">
        <f>IFERROR(VLOOKUP(A2494,VLOOKUPS!$A$2:B$12589,2,FALSE),"")</f>
        <v>Strawberries 1lb-standard</v>
      </c>
      <c r="E2494">
        <v>3.19</v>
      </c>
      <c r="F2494">
        <v>3.59</v>
      </c>
      <c r="G2494" s="13">
        <v>44520</v>
      </c>
      <c r="H2494" s="13"/>
      <c r="I2494" s="22" t="str">
        <f>VLOOKUP(J2494, Dropdowns!N:O, 2, FALSE)</f>
        <v>Standard</v>
      </c>
      <c r="J2494" t="s">
        <v>761</v>
      </c>
      <c r="L2494" s="17" t="s">
        <v>732</v>
      </c>
      <c r="M2494" s="17" t="s">
        <v>736</v>
      </c>
      <c r="N2494" s="17" t="s">
        <v>736</v>
      </c>
    </row>
    <row r="2495" spans="1:14" x14ac:dyDescent="0.25">
      <c r="A2495" s="8">
        <v>995013</v>
      </c>
      <c r="B2495" s="22" t="str">
        <f>IFERROR(VLOOKUP(A2495,VLOOKUPS!$A$2:B$12589,2,FALSE),"")</f>
        <v>Spinach 8oz-standard</v>
      </c>
      <c r="E2495">
        <v>1.19</v>
      </c>
      <c r="F2495">
        <v>1.29</v>
      </c>
      <c r="G2495" s="13">
        <v>44520</v>
      </c>
      <c r="H2495" s="13"/>
      <c r="I2495" s="22" t="str">
        <f>VLOOKUP(J2495, Dropdowns!N:O, 2, FALSE)</f>
        <v>Standard</v>
      </c>
      <c r="J2495" t="s">
        <v>761</v>
      </c>
      <c r="L2495" s="17" t="s">
        <v>732</v>
      </c>
      <c r="M2495" s="17" t="s">
        <v>736</v>
      </c>
      <c r="N2495" s="17" t="s">
        <v>736</v>
      </c>
    </row>
    <row r="2496" spans="1:14" x14ac:dyDescent="0.25">
      <c r="A2496" s="8">
        <v>985760</v>
      </c>
      <c r="B2496" s="22" t="str">
        <f>IFERROR(VLOOKUP(A2496,VLOOKUPS!$A$2:B$12589,2,FALSE),"")</f>
        <v>Asparagus 1lb-standard</v>
      </c>
      <c r="E2496">
        <v>2.99</v>
      </c>
      <c r="F2496">
        <v>1.79</v>
      </c>
      <c r="G2496" s="13">
        <v>44520</v>
      </c>
      <c r="H2496" s="13">
        <v>44521</v>
      </c>
      <c r="I2496" s="22" t="str">
        <f>VLOOKUP(J2496, Dropdowns!N:O, 2, FALSE)</f>
        <v>Lower Price</v>
      </c>
      <c r="J2496" t="s">
        <v>759</v>
      </c>
      <c r="L2496" s="17" t="s">
        <v>732</v>
      </c>
      <c r="M2496" s="17" t="s">
        <v>737</v>
      </c>
      <c r="N2496" s="17" t="s">
        <v>736</v>
      </c>
    </row>
    <row r="2497" spans="1:14" x14ac:dyDescent="0.25">
      <c r="A2497" s="8">
        <v>985760</v>
      </c>
      <c r="B2497" s="22" t="str">
        <f>IFERROR(VLOOKUP(A2497,VLOOKUPS!$A$2:B$12589,2,FALSE),"")</f>
        <v>Asparagus 1lb-standard</v>
      </c>
      <c r="E2497">
        <v>1.79</v>
      </c>
      <c r="F2497">
        <v>2.99</v>
      </c>
      <c r="G2497" s="13">
        <v>44522</v>
      </c>
      <c r="H2497" s="13"/>
      <c r="I2497" s="22" t="str">
        <f>VLOOKUP(J2497, Dropdowns!N:O, 2, FALSE)</f>
        <v>Standard</v>
      </c>
      <c r="J2497" t="s">
        <v>760</v>
      </c>
      <c r="L2497" s="17" t="s">
        <v>732</v>
      </c>
      <c r="M2497" s="17" t="s">
        <v>737</v>
      </c>
      <c r="N2497" s="17" t="s">
        <v>736</v>
      </c>
    </row>
    <row r="2498" spans="1:14" x14ac:dyDescent="0.25">
      <c r="A2498" s="8">
        <v>995007</v>
      </c>
      <c r="B2498" s="22" t="str">
        <f>IFERROR(VLOOKUP(A2498,VLOOKUPS!$A$2:B$12589,2,FALSE),"")</f>
        <v>Caesar Salad Kit 10.5oz-standard</v>
      </c>
      <c r="E2498">
        <v>2.59</v>
      </c>
      <c r="F2498">
        <v>1.99</v>
      </c>
      <c r="G2498" s="13">
        <v>44520</v>
      </c>
      <c r="H2498" s="13">
        <v>44521</v>
      </c>
      <c r="I2498" s="22" t="str">
        <f>VLOOKUP(J2498, Dropdowns!N:O, 2, FALSE)</f>
        <v>Lower Price</v>
      </c>
      <c r="J2498" t="s">
        <v>759</v>
      </c>
      <c r="L2498" s="17" t="s">
        <v>732</v>
      </c>
      <c r="M2498" s="17" t="s">
        <v>9</v>
      </c>
      <c r="N2498" s="17" t="s">
        <v>736</v>
      </c>
    </row>
    <row r="2499" spans="1:14" x14ac:dyDescent="0.25">
      <c r="A2499" s="8">
        <v>995007</v>
      </c>
      <c r="B2499" s="22" t="str">
        <f>IFERROR(VLOOKUP(A2499,VLOOKUPS!$A$2:B$12589,2,FALSE),"")</f>
        <v>Caesar Salad Kit 10.5oz-standard</v>
      </c>
      <c r="E2499">
        <v>1.99</v>
      </c>
      <c r="F2499">
        <v>2.59</v>
      </c>
      <c r="G2499" s="13">
        <v>44522</v>
      </c>
      <c r="H2499" s="13"/>
      <c r="I2499" s="22" t="str">
        <f>VLOOKUP(J2499, Dropdowns!N:O, 2, FALSE)</f>
        <v>Standard</v>
      </c>
      <c r="J2499" t="s">
        <v>760</v>
      </c>
      <c r="L2499" s="17" t="s">
        <v>732</v>
      </c>
      <c r="M2499" s="17" t="s">
        <v>9</v>
      </c>
      <c r="N2499" s="17" t="s">
        <v>736</v>
      </c>
    </row>
    <row r="2500" spans="1:14" x14ac:dyDescent="0.25">
      <c r="A2500" s="8">
        <v>995153</v>
      </c>
      <c r="B2500" s="22" t="str">
        <f>IFERROR(VLOOKUP(A2500,VLOOKUPS!$A$2:B$12589,2,FALSE),"")</f>
        <v>Sweet Apple Slices 14oz-standard</v>
      </c>
      <c r="D2500">
        <v>6</v>
      </c>
      <c r="E2500">
        <v>3.49</v>
      </c>
      <c r="G2500" s="13">
        <v>44521</v>
      </c>
      <c r="H2500" s="13"/>
      <c r="I2500" s="22" t="str">
        <f>VLOOKUP(J2500, Dropdowns!N:O, 2, FALSE)</f>
        <v>NA</v>
      </c>
      <c r="J2500" t="s">
        <v>754</v>
      </c>
      <c r="L2500" s="17" t="s">
        <v>733</v>
      </c>
      <c r="M2500" s="17" t="s">
        <v>11</v>
      </c>
      <c r="N2500" s="17" t="s">
        <v>740</v>
      </c>
    </row>
    <row r="2501" spans="1:14" x14ac:dyDescent="0.25">
      <c r="A2501" s="8">
        <v>995155</v>
      </c>
      <c r="B2501" s="22" t="str">
        <f>IFERROR(VLOOKUP(A2501,VLOOKUPS!$A$2:B$12589,2,FALSE),"")</f>
        <v>Organic Sweet Apple Slices 12oz-standard</v>
      </c>
      <c r="D2501">
        <v>6</v>
      </c>
      <c r="E2501">
        <v>3.99</v>
      </c>
      <c r="G2501" s="13">
        <v>44520</v>
      </c>
      <c r="H2501" s="13"/>
      <c r="I2501" s="22" t="str">
        <f>VLOOKUP(J2501, Dropdowns!N:O, 2, FALSE)</f>
        <v>NA</v>
      </c>
      <c r="J2501" t="s">
        <v>754</v>
      </c>
      <c r="L2501" s="17" t="s">
        <v>732</v>
      </c>
      <c r="M2501" s="17" t="s">
        <v>735</v>
      </c>
      <c r="N2501" s="17" t="s">
        <v>736</v>
      </c>
    </row>
    <row r="2502" spans="1:14" x14ac:dyDescent="0.25">
      <c r="A2502" s="8">
        <v>982740</v>
      </c>
      <c r="B2502" s="22" t="str">
        <f>IFERROR(VLOOKUP(A2502,VLOOKUPS!$A$2:B$12589,2,FALSE),"")</f>
        <v>Grapes* Red Seedless 1lb-LOOSE</v>
      </c>
      <c r="E2502">
        <v>1.56</v>
      </c>
      <c r="F2502">
        <v>0.99</v>
      </c>
      <c r="G2502" s="13">
        <v>44520</v>
      </c>
      <c r="H2502" s="13">
        <v>44521</v>
      </c>
      <c r="I2502" s="22" t="str">
        <f>VLOOKUP(J2502, Dropdowns!N:O, 2, FALSE)</f>
        <v>Lower Price</v>
      </c>
      <c r="J2502" t="s">
        <v>759</v>
      </c>
      <c r="L2502" s="17" t="s">
        <v>732</v>
      </c>
      <c r="M2502" s="17" t="s">
        <v>738</v>
      </c>
      <c r="N2502" s="17">
        <v>2</v>
      </c>
    </row>
    <row r="2503" spans="1:14" x14ac:dyDescent="0.25">
      <c r="A2503" s="8">
        <v>982740</v>
      </c>
      <c r="B2503" s="22" t="str">
        <f>IFERROR(VLOOKUP(A2503,VLOOKUPS!$A$2:B$12589,2,FALSE),"")</f>
        <v>Grapes* Red Seedless 1lb-LOOSE</v>
      </c>
      <c r="E2503">
        <v>0.99</v>
      </c>
      <c r="F2503">
        <v>1.56</v>
      </c>
      <c r="G2503" s="13">
        <v>44520</v>
      </c>
      <c r="H2503" s="13"/>
      <c r="I2503" s="22" t="str">
        <f>VLOOKUP(J2503, Dropdowns!N:O, 2, FALSE)</f>
        <v>Standard</v>
      </c>
      <c r="J2503" t="s">
        <v>760</v>
      </c>
      <c r="L2503" s="17" t="s">
        <v>732</v>
      </c>
      <c r="M2503" s="17" t="s">
        <v>738</v>
      </c>
      <c r="N2503" s="17">
        <v>2</v>
      </c>
    </row>
    <row r="2504" spans="1:14" x14ac:dyDescent="0.25">
      <c r="A2504" s="8">
        <v>984621</v>
      </c>
      <c r="B2504" s="22" t="str">
        <f>IFERROR(VLOOKUP(A2504,VLOOKUPS!$A$2:B$12589,2,FALSE),"")</f>
        <v>Raspberries 12oz-standard</v>
      </c>
      <c r="E2504">
        <v>3.44</v>
      </c>
      <c r="F2504">
        <v>4.74</v>
      </c>
      <c r="G2504" s="13">
        <v>44522</v>
      </c>
      <c r="H2504" s="13"/>
      <c r="I2504" s="22" t="str">
        <f>VLOOKUP(J2504, Dropdowns!N:O, 2, FALSE)</f>
        <v>Standard</v>
      </c>
      <c r="J2504" t="s">
        <v>760</v>
      </c>
      <c r="L2504" s="17" t="s">
        <v>732</v>
      </c>
      <c r="M2504" s="17" t="s">
        <v>736</v>
      </c>
      <c r="N2504" s="17" t="s">
        <v>736</v>
      </c>
    </row>
    <row r="2505" spans="1:14" x14ac:dyDescent="0.25">
      <c r="A2505" s="8">
        <v>989301</v>
      </c>
      <c r="B2505" s="22" t="str">
        <f>IFERROR(VLOOKUP(A2505,VLOOKUPS!$A$2:B$12589,2,FALSE),"")</f>
        <v>Onions Yellow Sweet 3lb-standard</v>
      </c>
      <c r="E2505">
        <v>1.99</v>
      </c>
      <c r="F2505">
        <v>3.38</v>
      </c>
      <c r="G2505" s="13">
        <v>44523</v>
      </c>
      <c r="H2505" s="13"/>
      <c r="I2505" s="22" t="str">
        <f>VLOOKUP(J2505, Dropdowns!N:O, 2, FALSE)</f>
        <v>Standard</v>
      </c>
      <c r="J2505" t="s">
        <v>760</v>
      </c>
      <c r="L2505" s="17" t="s">
        <v>732</v>
      </c>
      <c r="M2505" s="17" t="s">
        <v>10</v>
      </c>
      <c r="N2505" s="17">
        <v>2</v>
      </c>
    </row>
    <row r="2506" spans="1:14" x14ac:dyDescent="0.25">
      <c r="A2506" s="8">
        <v>995123</v>
      </c>
      <c r="B2506" s="22" t="str">
        <f>IFERROR(VLOOKUP(A2506,VLOOKUPS!$A$2:B$12589,2,FALSE),"")</f>
        <v>Vegetable Medley 12oz-standard</v>
      </c>
      <c r="E2506">
        <v>1.48</v>
      </c>
      <c r="F2506">
        <v>2.78</v>
      </c>
      <c r="G2506" s="13">
        <v>44523</v>
      </c>
      <c r="H2506" s="13"/>
      <c r="I2506" s="22" t="str">
        <f>VLOOKUP(J2506, Dropdowns!N:O, 2, FALSE)</f>
        <v>Standard</v>
      </c>
      <c r="J2506" t="s">
        <v>760</v>
      </c>
      <c r="L2506" s="17" t="s">
        <v>732</v>
      </c>
      <c r="M2506" s="17" t="s">
        <v>11</v>
      </c>
      <c r="N2506" s="17" t="s">
        <v>740</v>
      </c>
    </row>
    <row r="2507" spans="1:14" x14ac:dyDescent="0.25">
      <c r="A2507" s="8">
        <v>989088</v>
      </c>
      <c r="B2507" s="22" t="str">
        <f>IFERROR(VLOOKUP(A2507,VLOOKUPS!$A$2:B$12589,2,FALSE),"")</f>
        <v>Parsley Italian 1ct-bunch</v>
      </c>
      <c r="E2507">
        <v>0.49</v>
      </c>
      <c r="F2507">
        <v>0.78</v>
      </c>
      <c r="G2507" s="13">
        <v>44523</v>
      </c>
      <c r="H2507" s="13"/>
      <c r="I2507" s="22" t="str">
        <f>VLOOKUP(J2507, Dropdowns!N:O, 2, FALSE)</f>
        <v>Standard</v>
      </c>
      <c r="J2507" t="s">
        <v>760</v>
      </c>
      <c r="L2507" s="17" t="s">
        <v>732</v>
      </c>
      <c r="M2507" s="17" t="s">
        <v>735</v>
      </c>
      <c r="N2507" s="17" t="s">
        <v>736</v>
      </c>
    </row>
    <row r="2508" spans="1:14" x14ac:dyDescent="0.25">
      <c r="A2508" s="8">
        <v>989089</v>
      </c>
      <c r="B2508" s="22" t="str">
        <f>IFERROR(VLOOKUP(A2508,VLOOKUPS!$A$2:B$12589,2,FALSE),"")</f>
        <v>Cilantro 1ct-bunch</v>
      </c>
      <c r="E2508">
        <v>0.49</v>
      </c>
      <c r="F2508">
        <v>0.78</v>
      </c>
      <c r="G2508" s="13">
        <v>44523</v>
      </c>
      <c r="H2508" s="13"/>
      <c r="I2508" s="22" t="str">
        <f>VLOOKUP(J2508, Dropdowns!N:O, 2, FALSE)</f>
        <v>Standard</v>
      </c>
      <c r="J2508" t="s">
        <v>760</v>
      </c>
      <c r="L2508" s="17" t="s">
        <v>732</v>
      </c>
      <c r="M2508" s="17" t="s">
        <v>735</v>
      </c>
      <c r="N2508" s="17" t="s">
        <v>736</v>
      </c>
    </row>
    <row r="2509" spans="1:14" x14ac:dyDescent="0.25">
      <c r="A2509" s="8">
        <v>985760</v>
      </c>
      <c r="B2509" s="22" t="str">
        <f>IFERROR(VLOOKUP(A2509,VLOOKUPS!$A$2:B$12589,2,FALSE),"")</f>
        <v>Asparagus 1lb-standard</v>
      </c>
      <c r="E2509">
        <v>2.99</v>
      </c>
      <c r="F2509">
        <v>1.49</v>
      </c>
      <c r="G2509" s="13">
        <v>44523</v>
      </c>
      <c r="H2509" s="13">
        <v>44525</v>
      </c>
      <c r="I2509" s="22" t="str">
        <f>VLOOKUP(J2509, Dropdowns!N:O, 2, FALSE)</f>
        <v>Lower Price</v>
      </c>
      <c r="J2509" t="s">
        <v>759</v>
      </c>
      <c r="L2509" s="17" t="s">
        <v>733</v>
      </c>
      <c r="M2509" s="17" t="s">
        <v>11</v>
      </c>
      <c r="N2509" s="17" t="s">
        <v>740</v>
      </c>
    </row>
    <row r="2510" spans="1:14" x14ac:dyDescent="0.25">
      <c r="A2510" s="8">
        <v>985760</v>
      </c>
      <c r="B2510" s="22" t="str">
        <f>IFERROR(VLOOKUP(A2510,VLOOKUPS!$A$2:B$12589,2,FALSE),"")</f>
        <v>Asparagus 1lb-standard</v>
      </c>
      <c r="E2510">
        <v>1.49</v>
      </c>
      <c r="F2510">
        <v>2.99</v>
      </c>
      <c r="G2510" s="13">
        <v>44526</v>
      </c>
      <c r="H2510" s="13"/>
      <c r="I2510" s="22" t="str">
        <f>VLOOKUP(J2510, Dropdowns!N:O, 2, FALSE)</f>
        <v>Standard</v>
      </c>
      <c r="J2510" t="s">
        <v>760</v>
      </c>
      <c r="L2510" s="17" t="s">
        <v>733</v>
      </c>
      <c r="M2510" s="17" t="s">
        <v>11</v>
      </c>
      <c r="N2510" s="17" t="s">
        <v>740</v>
      </c>
    </row>
    <row r="2511" spans="1:14" x14ac:dyDescent="0.25">
      <c r="A2511" s="8">
        <v>995013</v>
      </c>
      <c r="B2511" s="22" t="str">
        <f>IFERROR(VLOOKUP(A2511,VLOOKUPS!$A$2:B$12589,2,FALSE),"")</f>
        <v>Spinach 8oz-standard</v>
      </c>
      <c r="E2511">
        <v>1.29</v>
      </c>
      <c r="F2511">
        <v>0.89</v>
      </c>
      <c r="G2511" s="13">
        <v>44523</v>
      </c>
      <c r="H2511" s="13">
        <v>44523</v>
      </c>
      <c r="I2511" s="22" t="str">
        <f>VLOOKUP(J2511, Dropdowns!N:O, 2, FALSE)</f>
        <v>Lower Price</v>
      </c>
      <c r="J2511" t="s">
        <v>759</v>
      </c>
      <c r="L2511" s="17" t="s">
        <v>732</v>
      </c>
      <c r="M2511" s="17" t="s">
        <v>9</v>
      </c>
      <c r="N2511" s="17" t="s">
        <v>736</v>
      </c>
    </row>
    <row r="2512" spans="1:14" x14ac:dyDescent="0.25">
      <c r="A2512" s="8">
        <v>995013</v>
      </c>
      <c r="B2512" s="22" t="str">
        <f>IFERROR(VLOOKUP(A2512,VLOOKUPS!$A$2:B$12589,2,FALSE),"")</f>
        <v>Spinach 8oz-standard</v>
      </c>
      <c r="E2512">
        <v>0.89</v>
      </c>
      <c r="F2512">
        <v>1.29</v>
      </c>
      <c r="G2512" s="13">
        <v>44524</v>
      </c>
      <c r="H2512" s="13"/>
      <c r="I2512" s="22" t="str">
        <f>VLOOKUP(J2512, Dropdowns!N:O, 2, FALSE)</f>
        <v>Standard</v>
      </c>
      <c r="J2512" t="s">
        <v>760</v>
      </c>
      <c r="L2512" s="17" t="s">
        <v>732</v>
      </c>
      <c r="M2512" s="17" t="s">
        <v>9</v>
      </c>
      <c r="N2512" s="17" t="s">
        <v>736</v>
      </c>
    </row>
    <row r="2513" spans="1:14" x14ac:dyDescent="0.25">
      <c r="A2513" s="8">
        <v>995032</v>
      </c>
      <c r="B2513" s="22" t="str">
        <f>IFERROR(VLOOKUP(A2513,VLOOKUPS!$A$2:B$12589,2,FALSE),"")</f>
        <v>Chopped Sunflower Crunch Kit 12.2oz-standard</v>
      </c>
      <c r="E2513">
        <v>3.49</v>
      </c>
      <c r="F2513">
        <v>2.4900000000000002</v>
      </c>
      <c r="G2513" s="13">
        <v>44523</v>
      </c>
      <c r="H2513" s="13">
        <v>44523</v>
      </c>
      <c r="I2513" s="22" t="str">
        <f>VLOOKUP(J2513, Dropdowns!N:O, 2, FALSE)</f>
        <v>Lower Price</v>
      </c>
      <c r="J2513" t="s">
        <v>759</v>
      </c>
      <c r="L2513" s="17" t="s">
        <v>732</v>
      </c>
      <c r="M2513" s="17" t="s">
        <v>10</v>
      </c>
      <c r="N2513" s="17">
        <v>2</v>
      </c>
    </row>
    <row r="2514" spans="1:14" x14ac:dyDescent="0.25">
      <c r="A2514" s="8">
        <v>995032</v>
      </c>
      <c r="B2514" s="22" t="str">
        <f>IFERROR(VLOOKUP(A2514,VLOOKUPS!$A$2:B$12589,2,FALSE),"")</f>
        <v>Chopped Sunflower Crunch Kit 12.2oz-standard</v>
      </c>
      <c r="E2514">
        <v>2.4900000000000002</v>
      </c>
      <c r="F2514">
        <v>3.49</v>
      </c>
      <c r="G2514" s="13">
        <v>44524</v>
      </c>
      <c r="H2514" s="13"/>
      <c r="I2514" s="22" t="str">
        <f>VLOOKUP(J2514, Dropdowns!N:O, 2, FALSE)</f>
        <v>Standard</v>
      </c>
      <c r="J2514" t="s">
        <v>760</v>
      </c>
      <c r="L2514" s="17" t="s">
        <v>732</v>
      </c>
      <c r="M2514" s="17" t="s">
        <v>10</v>
      </c>
      <c r="N2514" s="17">
        <v>2</v>
      </c>
    </row>
    <row r="2515" spans="1:14" x14ac:dyDescent="0.25">
      <c r="A2515" s="8">
        <v>995115</v>
      </c>
      <c r="B2515" s="22" t="str">
        <f>IFERROR(VLOOKUP(A2515,VLOOKUPS!$A$2:B$12589,2,FALSE),"")</f>
        <v>Pineapple Chunks 10oz-standard</v>
      </c>
      <c r="E2515">
        <v>2.58</v>
      </c>
      <c r="F2515">
        <v>1.58</v>
      </c>
      <c r="G2515" s="13">
        <v>44523</v>
      </c>
      <c r="H2515" s="13">
        <v>44525</v>
      </c>
      <c r="I2515" s="22" t="str">
        <f>VLOOKUP(J2515, Dropdowns!N:O, 2, FALSE)</f>
        <v>Lower Price</v>
      </c>
      <c r="J2515" t="s">
        <v>759</v>
      </c>
      <c r="L2515" s="17" t="s">
        <v>732</v>
      </c>
      <c r="M2515" s="17" t="s">
        <v>9</v>
      </c>
      <c r="N2515" s="17" t="s">
        <v>736</v>
      </c>
    </row>
    <row r="2516" spans="1:14" x14ac:dyDescent="0.25">
      <c r="A2516" s="8">
        <v>995115</v>
      </c>
      <c r="B2516" s="22" t="str">
        <f>IFERROR(VLOOKUP(A2516,VLOOKUPS!$A$2:B$12589,2,FALSE),"")</f>
        <v>Pineapple Chunks 10oz-standard</v>
      </c>
      <c r="E2516">
        <v>1.58</v>
      </c>
      <c r="F2516">
        <v>2.58</v>
      </c>
      <c r="G2516" s="13">
        <v>44526</v>
      </c>
      <c r="H2516" s="13"/>
      <c r="I2516" s="22" t="str">
        <f>VLOOKUP(J2516, Dropdowns!N:O, 2, FALSE)</f>
        <v>Standard</v>
      </c>
      <c r="J2516" t="s">
        <v>760</v>
      </c>
      <c r="L2516" s="17" t="s">
        <v>732</v>
      </c>
      <c r="M2516" s="17" t="s">
        <v>9</v>
      </c>
      <c r="N2516" s="17" t="s">
        <v>736</v>
      </c>
    </row>
    <row r="2517" spans="1:14" x14ac:dyDescent="0.25">
      <c r="A2517" s="8">
        <v>995158</v>
      </c>
      <c r="B2517" s="22" t="str">
        <f>IFERROR(VLOOKUP(A2517,VLOOKUPS!$A$2:B$12589,2,FALSE),"")</f>
        <v>Pico Guacamole 14oz-standard</v>
      </c>
      <c r="D2517">
        <v>6</v>
      </c>
      <c r="F2517">
        <v>3.49</v>
      </c>
      <c r="G2517" s="13">
        <v>44523</v>
      </c>
      <c r="H2517" s="13"/>
      <c r="I2517" s="22" t="str">
        <f>VLOOKUP(J2517, Dropdowns!N:O, 2, FALSE)</f>
        <v>Standard</v>
      </c>
      <c r="J2517" t="s">
        <v>782</v>
      </c>
      <c r="L2517" s="17" t="s">
        <v>733</v>
      </c>
      <c r="M2517" s="17" t="s">
        <v>11</v>
      </c>
      <c r="N2517" s="17" t="s">
        <v>740</v>
      </c>
    </row>
    <row r="2518" spans="1:14" x14ac:dyDescent="0.25">
      <c r="A2518" s="8">
        <v>995123</v>
      </c>
      <c r="B2518" s="22" t="str">
        <f>IFERROR(VLOOKUP(A2518,VLOOKUPS!$A$2:B$12589,2,FALSE),"")</f>
        <v>Vegetable Medley 12oz-standard</v>
      </c>
      <c r="E2518">
        <v>2.78</v>
      </c>
      <c r="F2518">
        <v>1.88</v>
      </c>
      <c r="G2518" s="13">
        <v>44523</v>
      </c>
      <c r="H2518" s="13">
        <v>44525</v>
      </c>
      <c r="I2518" s="22" t="str">
        <f>VLOOKUP(J2518, Dropdowns!N:O, 2, FALSE)</f>
        <v>Lower Price</v>
      </c>
      <c r="J2518" t="s">
        <v>759</v>
      </c>
      <c r="L2518" s="17" t="s">
        <v>732</v>
      </c>
      <c r="M2518" s="17" t="s">
        <v>735</v>
      </c>
      <c r="N2518" s="17" t="s">
        <v>736</v>
      </c>
    </row>
    <row r="2519" spans="1:14" x14ac:dyDescent="0.25">
      <c r="A2519" s="8">
        <v>995123</v>
      </c>
      <c r="B2519" s="22" t="str">
        <f>IFERROR(VLOOKUP(A2519,VLOOKUPS!$A$2:B$12589,2,FALSE),"")</f>
        <v>Vegetable Medley 12oz-standard</v>
      </c>
      <c r="E2519">
        <v>1.88</v>
      </c>
      <c r="F2519">
        <v>2.78</v>
      </c>
      <c r="G2519" s="13">
        <v>44526</v>
      </c>
      <c r="H2519" s="13"/>
      <c r="I2519" s="22" t="str">
        <f>VLOOKUP(J2519, Dropdowns!N:O, 2, FALSE)</f>
        <v>Standard</v>
      </c>
      <c r="J2519" t="s">
        <v>760</v>
      </c>
      <c r="L2519" s="17" t="s">
        <v>732</v>
      </c>
      <c r="M2519" s="17" t="s">
        <v>735</v>
      </c>
      <c r="N2519" s="17" t="s">
        <v>736</v>
      </c>
    </row>
    <row r="2520" spans="1:14" x14ac:dyDescent="0.25">
      <c r="A2520" s="8">
        <v>995126</v>
      </c>
      <c r="B2520" s="22" t="str">
        <f>IFERROR(VLOOKUP(A2520,VLOOKUPS!$A$2:B$12589,2,FALSE),"")</f>
        <v>Broccoli &amp; Cauliflower 12oz-standard</v>
      </c>
      <c r="E2520">
        <v>2.4900000000000002</v>
      </c>
      <c r="F2520">
        <v>1.49</v>
      </c>
      <c r="G2520" s="13">
        <v>44523</v>
      </c>
      <c r="H2520" s="13">
        <v>44525</v>
      </c>
      <c r="I2520" s="22" t="str">
        <f>VLOOKUP(J2520, Dropdowns!N:O, 2, FALSE)</f>
        <v>Lower Price</v>
      </c>
      <c r="J2520" t="s">
        <v>759</v>
      </c>
      <c r="L2520" s="17" t="s">
        <v>733</v>
      </c>
      <c r="M2520" s="17" t="s">
        <v>11</v>
      </c>
      <c r="N2520" s="17" t="s">
        <v>740</v>
      </c>
    </row>
    <row r="2521" spans="1:14" x14ac:dyDescent="0.25">
      <c r="A2521" s="8">
        <v>995126</v>
      </c>
      <c r="B2521" s="22" t="str">
        <f>IFERROR(VLOOKUP(A2521,VLOOKUPS!$A$2:B$12589,2,FALSE),"")</f>
        <v>Broccoli &amp; Cauliflower 12oz-standard</v>
      </c>
      <c r="E2521">
        <v>1.49</v>
      </c>
      <c r="F2521">
        <v>2.4900000000000002</v>
      </c>
      <c r="G2521" s="13">
        <v>44526</v>
      </c>
      <c r="H2521" s="13"/>
      <c r="I2521" s="22" t="str">
        <f>VLOOKUP(J2521, Dropdowns!N:O, 2, FALSE)</f>
        <v>Standard</v>
      </c>
      <c r="J2521" t="s">
        <v>760</v>
      </c>
      <c r="L2521" s="17" t="s">
        <v>733</v>
      </c>
      <c r="M2521" s="17" t="s">
        <v>11</v>
      </c>
      <c r="N2521" s="17" t="s">
        <v>740</v>
      </c>
    </row>
    <row r="2522" spans="1:14" x14ac:dyDescent="0.25">
      <c r="A2522" s="8">
        <v>995156</v>
      </c>
      <c r="B2522" s="22" t="str">
        <f>IFERROR(VLOOKUP(A2522,VLOOKUPS!$A$2:B$12589,2,FALSE),"")</f>
        <v>Mild Guacamole 12oz-standard</v>
      </c>
      <c r="E2522">
        <v>4.99</v>
      </c>
      <c r="F2522">
        <v>2.99</v>
      </c>
      <c r="G2522" s="13">
        <v>44523</v>
      </c>
      <c r="H2522" s="13">
        <v>44525</v>
      </c>
      <c r="I2522" s="22" t="str">
        <f>VLOOKUP(J2522, Dropdowns!N:O, 2, FALSE)</f>
        <v>Lower Price</v>
      </c>
      <c r="J2522" t="s">
        <v>759</v>
      </c>
      <c r="L2522" s="17" t="s">
        <v>732</v>
      </c>
      <c r="M2522" s="17" t="s">
        <v>735</v>
      </c>
      <c r="N2522" s="17" t="s">
        <v>736</v>
      </c>
    </row>
    <row r="2523" spans="1:14" x14ac:dyDescent="0.25">
      <c r="A2523" s="8">
        <v>995156</v>
      </c>
      <c r="B2523" s="22" t="str">
        <f>IFERROR(VLOOKUP(A2523,VLOOKUPS!$A$2:B$12589,2,FALSE),"")</f>
        <v>Mild Guacamole 12oz-standard</v>
      </c>
      <c r="E2523">
        <v>2.99</v>
      </c>
      <c r="F2523">
        <v>4.99</v>
      </c>
      <c r="G2523" s="13">
        <v>44526</v>
      </c>
      <c r="H2523" s="13"/>
      <c r="I2523" s="22" t="str">
        <f>VLOOKUP(J2523, Dropdowns!N:O, 2, FALSE)</f>
        <v>Standard</v>
      </c>
      <c r="J2523" t="s">
        <v>760</v>
      </c>
      <c r="L2523" s="17" t="s">
        <v>732</v>
      </c>
      <c r="M2523" s="17" t="s">
        <v>735</v>
      </c>
      <c r="N2523" s="17" t="s">
        <v>736</v>
      </c>
    </row>
    <row r="2524" spans="1:14" x14ac:dyDescent="0.25">
      <c r="A2524" s="8">
        <v>995156</v>
      </c>
      <c r="B2524" s="22" t="str">
        <f>IFERROR(VLOOKUP(A2524,VLOOKUPS!$A$2:B$12589,2,FALSE),"")</f>
        <v>Mild Guacamole 12oz-standard</v>
      </c>
      <c r="D2524">
        <v>2</v>
      </c>
      <c r="F2524">
        <v>4.99</v>
      </c>
      <c r="G2524" s="13">
        <v>44527</v>
      </c>
      <c r="H2524" s="13"/>
      <c r="I2524" s="22" t="str">
        <f>VLOOKUP(J2524, Dropdowns!N:O, 2, FALSE)</f>
        <v>NA</v>
      </c>
      <c r="J2524" t="s">
        <v>754</v>
      </c>
      <c r="L2524" s="17" t="s">
        <v>732</v>
      </c>
      <c r="M2524" s="17" t="s">
        <v>735</v>
      </c>
      <c r="N2524" s="17" t="s">
        <v>736</v>
      </c>
    </row>
    <row r="2525" spans="1:14" x14ac:dyDescent="0.25">
      <c r="A2525" s="8">
        <v>995159</v>
      </c>
      <c r="B2525" s="22" t="str">
        <f>IFERROR(VLOOKUP(A2525,VLOOKUPS!$A$2:B$12589,2,FALSE),"")</f>
        <v>Aparagus &amp; Mushrooms 12oz-standard</v>
      </c>
      <c r="E2525">
        <v>4.99</v>
      </c>
      <c r="F2525">
        <v>3.49</v>
      </c>
      <c r="G2525" s="13">
        <v>44523</v>
      </c>
      <c r="H2525" s="13">
        <v>44525</v>
      </c>
      <c r="I2525" s="22" t="str">
        <f>VLOOKUP(J2525, Dropdowns!N:O, 2, FALSE)</f>
        <v>Lower Price</v>
      </c>
      <c r="J2525" t="s">
        <v>759</v>
      </c>
      <c r="L2525" s="17" t="s">
        <v>732</v>
      </c>
      <c r="M2525" s="17" t="s">
        <v>738</v>
      </c>
      <c r="N2525" s="17">
        <v>2</v>
      </c>
    </row>
    <row r="2526" spans="1:14" x14ac:dyDescent="0.25">
      <c r="A2526" s="8">
        <v>995159</v>
      </c>
      <c r="B2526" s="22" t="str">
        <f>IFERROR(VLOOKUP(A2526,VLOOKUPS!$A$2:B$12589,2,FALSE),"")</f>
        <v>Aparagus &amp; Mushrooms 12oz-standard</v>
      </c>
      <c r="E2526">
        <v>3.49</v>
      </c>
      <c r="F2526">
        <v>4.99</v>
      </c>
      <c r="G2526" s="13">
        <v>44526</v>
      </c>
      <c r="H2526" s="13"/>
      <c r="I2526" s="22" t="str">
        <f>VLOOKUP(J2526, Dropdowns!N:O, 2, FALSE)</f>
        <v>Standard</v>
      </c>
      <c r="J2526" t="s">
        <v>760</v>
      </c>
      <c r="L2526" s="17" t="s">
        <v>732</v>
      </c>
      <c r="M2526" s="17" t="s">
        <v>738</v>
      </c>
      <c r="N2526" s="17">
        <v>2</v>
      </c>
    </row>
    <row r="2527" spans="1:14" x14ac:dyDescent="0.25">
      <c r="A2527" s="8">
        <v>982710</v>
      </c>
      <c r="B2527" s="22" t="str">
        <f>IFERROR(VLOOKUP(A2527,VLOOKUPS!$A$2:B$12589,2,FALSE),"")</f>
        <v>Organic* Grapes Green Seedless 2lb-standard</v>
      </c>
      <c r="D2527">
        <v>10</v>
      </c>
      <c r="F2527">
        <v>5.98</v>
      </c>
      <c r="G2527" s="13">
        <v>44523</v>
      </c>
      <c r="H2527" s="13"/>
      <c r="I2527" s="22" t="str">
        <f>VLOOKUP(J2527, Dropdowns!N:O, 2, FALSE)</f>
        <v>NA</v>
      </c>
      <c r="J2527" t="s">
        <v>754</v>
      </c>
      <c r="L2527" s="17" t="s">
        <v>733</v>
      </c>
      <c r="M2527" s="17" t="s">
        <v>11</v>
      </c>
      <c r="N2527" s="17" t="s">
        <v>740</v>
      </c>
    </row>
    <row r="2528" spans="1:14" x14ac:dyDescent="0.25">
      <c r="A2528" s="8">
        <v>995032</v>
      </c>
      <c r="B2528" s="22" t="str">
        <f>IFERROR(VLOOKUP(A2528,VLOOKUPS!$A$2:B$12589,2,FALSE),"")</f>
        <v>Chopped Sunflower Crunch Kit 12.2oz-standard</v>
      </c>
      <c r="E2528">
        <v>3.49</v>
      </c>
      <c r="F2528">
        <v>2.4900000000000002</v>
      </c>
      <c r="G2528" s="13">
        <v>44524</v>
      </c>
      <c r="H2528" s="13">
        <v>44525</v>
      </c>
      <c r="I2528" s="22" t="str">
        <f>VLOOKUP(J2528, Dropdowns!N:O, 2, FALSE)</f>
        <v>Lower Price</v>
      </c>
      <c r="J2528" t="s">
        <v>759</v>
      </c>
      <c r="L2528" s="17" t="s">
        <v>733</v>
      </c>
      <c r="M2528" s="17" t="s">
        <v>11</v>
      </c>
      <c r="N2528" s="17" t="s">
        <v>740</v>
      </c>
    </row>
    <row r="2529" spans="1:14" x14ac:dyDescent="0.25">
      <c r="A2529" s="8">
        <v>995032</v>
      </c>
      <c r="B2529" s="22" t="str">
        <f>IFERROR(VLOOKUP(A2529,VLOOKUPS!$A$2:B$12589,2,FALSE),"")</f>
        <v>Chopped Sunflower Crunch Kit 12.2oz-standard</v>
      </c>
      <c r="E2529">
        <v>2.4900000000000002</v>
      </c>
      <c r="F2529">
        <v>3.49</v>
      </c>
      <c r="G2529" s="13">
        <v>44526</v>
      </c>
      <c r="H2529" s="13"/>
      <c r="I2529" s="22" t="str">
        <f>VLOOKUP(J2529, Dropdowns!N:O, 2, FALSE)</f>
        <v>Standard</v>
      </c>
      <c r="J2529" t="s">
        <v>760</v>
      </c>
      <c r="L2529" s="17" t="s">
        <v>733</v>
      </c>
      <c r="M2529" s="17" t="s">
        <v>11</v>
      </c>
      <c r="N2529" s="17" t="s">
        <v>740</v>
      </c>
    </row>
    <row r="2530" spans="1:14" x14ac:dyDescent="0.25">
      <c r="A2530" s="8">
        <v>995085</v>
      </c>
      <c r="B2530" s="22" t="str">
        <f>IFERROR(VLOOKUP(A2530,VLOOKUPS!$A$2:B$12589,2,FALSE),"")</f>
        <v>Sugar Snap Peas 8oz-standard</v>
      </c>
      <c r="E2530">
        <v>2.39</v>
      </c>
      <c r="F2530">
        <v>1.49</v>
      </c>
      <c r="G2530" s="13">
        <v>44524</v>
      </c>
      <c r="H2530" s="13">
        <v>44526</v>
      </c>
      <c r="I2530" s="22" t="str">
        <f>VLOOKUP(J2530, Dropdowns!N:O, 2, FALSE)</f>
        <v>Lower Price</v>
      </c>
      <c r="J2530" t="s">
        <v>759</v>
      </c>
      <c r="L2530" s="17" t="s">
        <v>732</v>
      </c>
      <c r="M2530" s="17" t="s">
        <v>737</v>
      </c>
      <c r="N2530" s="17" t="s">
        <v>740</v>
      </c>
    </row>
    <row r="2531" spans="1:14" x14ac:dyDescent="0.25">
      <c r="A2531" s="8">
        <v>995085</v>
      </c>
      <c r="B2531" s="22" t="str">
        <f>IFERROR(VLOOKUP(A2531,VLOOKUPS!$A$2:B$12589,2,FALSE),"")</f>
        <v>Sugar Snap Peas 8oz-standard</v>
      </c>
      <c r="E2531">
        <v>2.59</v>
      </c>
      <c r="F2531">
        <v>1.69</v>
      </c>
      <c r="G2531" s="13">
        <v>44524</v>
      </c>
      <c r="H2531" s="13">
        <v>44526</v>
      </c>
      <c r="I2531" s="22" t="str">
        <f>VLOOKUP(J2531, Dropdowns!N:O, 2, FALSE)</f>
        <v>Lower Price</v>
      </c>
      <c r="J2531" t="s">
        <v>759</v>
      </c>
      <c r="L2531" s="17" t="s">
        <v>734</v>
      </c>
      <c r="M2531" s="17" t="s">
        <v>9</v>
      </c>
      <c r="N2531" s="17" t="s">
        <v>736</v>
      </c>
    </row>
    <row r="2532" spans="1:14" x14ac:dyDescent="0.25">
      <c r="A2532" s="8">
        <v>995085</v>
      </c>
      <c r="B2532" s="22" t="str">
        <f>IFERROR(VLOOKUP(A2532,VLOOKUPS!$A$2:B$12589,2,FALSE),"")</f>
        <v>Sugar Snap Peas 8oz-standard</v>
      </c>
      <c r="E2532">
        <v>1.49</v>
      </c>
      <c r="F2532">
        <v>2.39</v>
      </c>
      <c r="G2532" s="13">
        <v>44527</v>
      </c>
      <c r="H2532" s="13"/>
      <c r="I2532" s="22" t="str">
        <f>VLOOKUP(J2532, Dropdowns!N:O, 2, FALSE)</f>
        <v>Standard</v>
      </c>
      <c r="J2532" t="s">
        <v>760</v>
      </c>
      <c r="L2532" s="17" t="s">
        <v>732</v>
      </c>
      <c r="M2532" s="17" t="s">
        <v>737</v>
      </c>
      <c r="N2532" s="17" t="s">
        <v>740</v>
      </c>
    </row>
    <row r="2533" spans="1:14" x14ac:dyDescent="0.25">
      <c r="A2533" s="8">
        <v>995085</v>
      </c>
      <c r="B2533" s="22" t="str">
        <f>IFERROR(VLOOKUP(A2533,VLOOKUPS!$A$2:B$12589,2,FALSE),"")</f>
        <v>Sugar Snap Peas 8oz-standard</v>
      </c>
      <c r="E2533">
        <v>1.69</v>
      </c>
      <c r="F2533">
        <v>2.59</v>
      </c>
      <c r="G2533" s="13">
        <v>44527</v>
      </c>
      <c r="H2533" s="13"/>
      <c r="I2533" s="22" t="str">
        <f>VLOOKUP(J2533, Dropdowns!N:O, 2, FALSE)</f>
        <v>Standard</v>
      </c>
      <c r="J2533" t="s">
        <v>760</v>
      </c>
      <c r="L2533" s="17" t="s">
        <v>734</v>
      </c>
      <c r="M2533" s="17" t="s">
        <v>9</v>
      </c>
      <c r="N2533" s="17" t="s">
        <v>736</v>
      </c>
    </row>
    <row r="2534" spans="1:14" x14ac:dyDescent="0.25">
      <c r="A2534" s="8">
        <v>995162</v>
      </c>
      <c r="B2534" s="22" t="str">
        <f>IFERROR(VLOOKUP(A2534,VLOOKUPS!$A$2:B$12589,2,FALSE),"")</f>
        <v>Buffalo Ranch Salad Kit 12oz-standard</v>
      </c>
      <c r="E2534">
        <v>3.49</v>
      </c>
      <c r="F2534">
        <v>1.99</v>
      </c>
      <c r="G2534" s="13">
        <v>44524</v>
      </c>
      <c r="H2534" s="13">
        <v>44525</v>
      </c>
      <c r="I2534" s="22" t="str">
        <f>VLOOKUP(J2534, Dropdowns!N:O, 2, FALSE)</f>
        <v>Lower Price</v>
      </c>
      <c r="J2534" t="s">
        <v>759</v>
      </c>
      <c r="L2534" s="17" t="s">
        <v>732</v>
      </c>
      <c r="M2534" s="17" t="s">
        <v>738</v>
      </c>
      <c r="N2534" s="17">
        <v>2</v>
      </c>
    </row>
    <row r="2535" spans="1:14" x14ac:dyDescent="0.25">
      <c r="A2535" s="8">
        <v>995162</v>
      </c>
      <c r="B2535" s="22" t="str">
        <f>IFERROR(VLOOKUP(A2535,VLOOKUPS!$A$2:B$12589,2,FALSE),"")</f>
        <v>Buffalo Ranch Salad Kit 12oz-standard</v>
      </c>
      <c r="E2535">
        <v>1.99</v>
      </c>
      <c r="F2535">
        <v>3.49</v>
      </c>
      <c r="G2535" s="13">
        <v>44526</v>
      </c>
      <c r="H2535" s="13"/>
      <c r="I2535" s="22" t="str">
        <f>VLOOKUP(J2535, Dropdowns!N:O, 2, FALSE)</f>
        <v>Standard</v>
      </c>
      <c r="J2535" t="s">
        <v>760</v>
      </c>
      <c r="L2535" s="17" t="s">
        <v>732</v>
      </c>
      <c r="M2535" s="17" t="s">
        <v>738</v>
      </c>
      <c r="N2535" s="17">
        <v>2</v>
      </c>
    </row>
    <row r="2536" spans="1:14" x14ac:dyDescent="0.25">
      <c r="A2536" s="8">
        <v>982650</v>
      </c>
      <c r="B2536" s="22" t="str">
        <f>IFERROR(VLOOKUP(A2536,VLOOKUPS!$A$2:B$12589,2,FALSE),"")</f>
        <v>Grapes* Green Seedless 1lb-LOOSE</v>
      </c>
      <c r="G2536" s="13">
        <v>44524</v>
      </c>
      <c r="H2536" s="13">
        <v>44531</v>
      </c>
      <c r="I2536" s="22" t="str">
        <f>VLOOKUP(J2536, Dropdowns!N:O, 2, FALSE)</f>
        <v>Lower Price</v>
      </c>
      <c r="J2536" t="s">
        <v>753</v>
      </c>
      <c r="L2536" s="17" t="s">
        <v>732</v>
      </c>
      <c r="M2536" s="17" t="s">
        <v>736</v>
      </c>
      <c r="N2536" s="17" t="s">
        <v>736</v>
      </c>
    </row>
    <row r="2537" spans="1:14" x14ac:dyDescent="0.25">
      <c r="A2537" s="8">
        <v>982710</v>
      </c>
      <c r="B2537" s="22" t="str">
        <f>IFERROR(VLOOKUP(A2537,VLOOKUPS!$A$2:B$12589,2,FALSE),"")</f>
        <v>Organic* Grapes Green Seedless 2lb-standard</v>
      </c>
      <c r="D2537">
        <v>10</v>
      </c>
      <c r="F2537">
        <v>5.98</v>
      </c>
      <c r="G2537" s="13">
        <v>44524</v>
      </c>
      <c r="H2537" s="13"/>
      <c r="I2537" s="22" t="str">
        <f>VLOOKUP(J2537, Dropdowns!N:O, 2, FALSE)</f>
        <v>NA</v>
      </c>
      <c r="J2537" t="s">
        <v>754</v>
      </c>
      <c r="L2537" s="17" t="s">
        <v>732</v>
      </c>
      <c r="M2537" s="17" t="s">
        <v>10</v>
      </c>
      <c r="N2537" s="17">
        <v>2</v>
      </c>
    </row>
    <row r="2538" spans="1:14" x14ac:dyDescent="0.25">
      <c r="A2538" s="8">
        <v>984620</v>
      </c>
      <c r="B2538" s="22" t="str">
        <f>IFERROR(VLOOKUP(A2538,VLOOKUPS!$A$2:B$12589,2,FALSE),"")</f>
        <v>Raspberries 6oz-standard</v>
      </c>
      <c r="E2538">
        <v>2.44</v>
      </c>
      <c r="F2538">
        <v>2.84</v>
      </c>
      <c r="G2538" s="13">
        <v>44526</v>
      </c>
      <c r="H2538" s="13"/>
      <c r="I2538" s="22" t="str">
        <f>VLOOKUP(J2538, Dropdowns!N:O, 2, FALSE)</f>
        <v>Standard</v>
      </c>
      <c r="J2538" t="s">
        <v>761</v>
      </c>
      <c r="L2538" s="17" t="s">
        <v>732</v>
      </c>
      <c r="M2538" s="17" t="s">
        <v>736</v>
      </c>
      <c r="N2538" s="17" t="s">
        <v>736</v>
      </c>
    </row>
    <row r="2539" spans="1:14" x14ac:dyDescent="0.25">
      <c r="A2539" s="8">
        <v>984620</v>
      </c>
      <c r="B2539" s="22" t="str">
        <f>IFERROR(VLOOKUP(A2539,VLOOKUPS!$A$2:B$12589,2,FALSE),"")</f>
        <v>Raspberries 6oz-standard</v>
      </c>
      <c r="G2539" s="13">
        <v>44527</v>
      </c>
      <c r="H2539" s="13">
        <v>44528</v>
      </c>
      <c r="I2539" s="22" t="str">
        <f>VLOOKUP(J2539, Dropdowns!N:O, 2, FALSE)</f>
        <v>Lower Price</v>
      </c>
      <c r="J2539" t="s">
        <v>753</v>
      </c>
      <c r="L2539" s="17" t="s">
        <v>732</v>
      </c>
      <c r="M2539" s="17" t="s">
        <v>736</v>
      </c>
      <c r="N2539" s="17" t="s">
        <v>736</v>
      </c>
    </row>
    <row r="2540" spans="1:14" x14ac:dyDescent="0.25">
      <c r="A2540" s="8">
        <v>984620</v>
      </c>
      <c r="B2540" s="22" t="str">
        <f>IFERROR(VLOOKUP(A2540,VLOOKUPS!$A$2:B$12589,2,FALSE),"")</f>
        <v>Raspberries 6oz-standard</v>
      </c>
      <c r="E2540">
        <v>1.99</v>
      </c>
      <c r="F2540">
        <v>2.84</v>
      </c>
      <c r="G2540" s="13">
        <v>44529</v>
      </c>
      <c r="H2540" s="13"/>
      <c r="I2540" s="22" t="str">
        <f>VLOOKUP(J2540, Dropdowns!N:O, 2, FALSE)</f>
        <v>Standard</v>
      </c>
      <c r="J2540" t="s">
        <v>760</v>
      </c>
      <c r="L2540" s="17" t="s">
        <v>732</v>
      </c>
      <c r="M2540" s="17" t="s">
        <v>736</v>
      </c>
      <c r="N2540" s="17" t="s">
        <v>736</v>
      </c>
    </row>
    <row r="2541" spans="1:14" x14ac:dyDescent="0.25">
      <c r="A2541" s="8">
        <v>984620</v>
      </c>
      <c r="B2541" s="22" t="str">
        <f>IFERROR(VLOOKUP(A2541,VLOOKUPS!$A$2:B$12589,2,FALSE),"")</f>
        <v>Raspberries 6oz-standard</v>
      </c>
      <c r="E2541">
        <v>2.84</v>
      </c>
      <c r="F2541">
        <v>1.44</v>
      </c>
      <c r="G2541" s="13">
        <v>44530</v>
      </c>
      <c r="H2541" s="13">
        <v>44531</v>
      </c>
      <c r="I2541" s="22" t="str">
        <f>VLOOKUP(J2541, Dropdowns!N:O, 2, FALSE)</f>
        <v>Lower Price</v>
      </c>
      <c r="J2541" t="s">
        <v>759</v>
      </c>
      <c r="L2541" s="17" t="s">
        <v>732</v>
      </c>
      <c r="M2541" s="17" t="s">
        <v>736</v>
      </c>
      <c r="N2541" s="17" t="s">
        <v>736</v>
      </c>
    </row>
    <row r="2542" spans="1:14" x14ac:dyDescent="0.25">
      <c r="A2542" s="8">
        <v>995163</v>
      </c>
      <c r="B2542" s="22" t="str">
        <f>IFERROR(VLOOKUP(A2542,VLOOKUPS!$A$2:B$12589,2,FALSE),"")</f>
        <v>XL Caesar Salad Kit 15oz-standard</v>
      </c>
      <c r="E2542">
        <v>4.4400000000000004</v>
      </c>
      <c r="F2542">
        <v>2.94</v>
      </c>
      <c r="G2542" s="13">
        <v>44526</v>
      </c>
      <c r="H2542" s="13">
        <v>44527</v>
      </c>
      <c r="I2542" s="22" t="str">
        <f>VLOOKUP(J2542, Dropdowns!N:O, 2, FALSE)</f>
        <v>Lower Price</v>
      </c>
      <c r="J2542" t="s">
        <v>759</v>
      </c>
      <c r="L2542" s="17" t="s">
        <v>732</v>
      </c>
      <c r="M2542" s="17" t="s">
        <v>736</v>
      </c>
      <c r="N2542" s="17" t="s">
        <v>736</v>
      </c>
    </row>
    <row r="2543" spans="1:14" x14ac:dyDescent="0.25">
      <c r="A2543" s="8">
        <v>995163</v>
      </c>
      <c r="B2543" s="22" t="str">
        <f>IFERROR(VLOOKUP(A2543,VLOOKUPS!$A$2:B$12589,2,FALSE),"")</f>
        <v>XL Caesar Salad Kit 15oz-standard</v>
      </c>
      <c r="E2543">
        <v>2.94</v>
      </c>
      <c r="F2543">
        <v>4.4400000000000004</v>
      </c>
      <c r="G2543" s="13">
        <v>44528</v>
      </c>
      <c r="H2543" s="13"/>
      <c r="I2543" s="22" t="str">
        <f>VLOOKUP(J2543, Dropdowns!N:O, 2, FALSE)</f>
        <v>Standard</v>
      </c>
      <c r="J2543" t="s">
        <v>760</v>
      </c>
      <c r="L2543" s="17" t="s">
        <v>732</v>
      </c>
      <c r="M2543" s="17" t="s">
        <v>736</v>
      </c>
      <c r="N2543" s="17" t="s">
        <v>736</v>
      </c>
    </row>
    <row r="2544" spans="1:14" x14ac:dyDescent="0.25">
      <c r="A2544" s="8">
        <v>986250</v>
      </c>
      <c r="B2544" s="22" t="str">
        <f>IFERROR(VLOOKUP(A2544,VLOOKUPS!$A$2:B$12589,2,FALSE),"")</f>
        <v>French Beans 1lb-standard</v>
      </c>
      <c r="G2544" s="13">
        <v>44525</v>
      </c>
      <c r="H2544" s="13">
        <v>44525</v>
      </c>
      <c r="I2544" s="22" t="str">
        <f>VLOOKUP(J2544, Dropdowns!N:O, 2, FALSE)</f>
        <v>Lower Price</v>
      </c>
      <c r="J2544" t="s">
        <v>762</v>
      </c>
      <c r="L2544" s="17" t="s">
        <v>732</v>
      </c>
      <c r="M2544" s="17" t="s">
        <v>735</v>
      </c>
      <c r="N2544" s="17" t="s">
        <v>736</v>
      </c>
    </row>
    <row r="2545" spans="1:14" x14ac:dyDescent="0.25">
      <c r="A2545" s="8">
        <v>986250</v>
      </c>
      <c r="B2545" s="22" t="str">
        <f>IFERROR(VLOOKUP(A2545,VLOOKUPS!$A$2:B$12589,2,FALSE),"")</f>
        <v>French Beans 1lb-standard</v>
      </c>
      <c r="G2545" s="13">
        <v>44525</v>
      </c>
      <c r="H2545" s="13">
        <v>44527</v>
      </c>
      <c r="I2545" s="22" t="str">
        <f>VLOOKUP(J2545, Dropdowns!N:O, 2, FALSE)</f>
        <v>Lower Price</v>
      </c>
      <c r="J2545" t="s">
        <v>762</v>
      </c>
      <c r="L2545" s="17" t="s">
        <v>733</v>
      </c>
      <c r="M2545" s="17" t="s">
        <v>11</v>
      </c>
      <c r="N2545" s="17" t="s">
        <v>740</v>
      </c>
    </row>
    <row r="2546" spans="1:14" x14ac:dyDescent="0.25">
      <c r="A2546" s="8">
        <v>984542</v>
      </c>
      <c r="B2546" s="22" t="str">
        <f>IFERROR(VLOOKUP(A2546,VLOOKUPS!$A$2:B$12589,2,FALSE),"")</f>
        <v>Blueberries 18oz-standard</v>
      </c>
      <c r="G2546" s="13">
        <v>44525</v>
      </c>
      <c r="H2546" s="13">
        <v>44527</v>
      </c>
      <c r="I2546" s="22" t="str">
        <f>VLOOKUP(J2546, Dropdowns!N:O, 2, FALSE)</f>
        <v>Lower Price</v>
      </c>
      <c r="J2546" t="s">
        <v>762</v>
      </c>
      <c r="L2546" s="17" t="s">
        <v>732</v>
      </c>
      <c r="M2546" s="17" t="s">
        <v>736</v>
      </c>
      <c r="N2546" t="s">
        <v>736</v>
      </c>
    </row>
    <row r="2547" spans="1:14" x14ac:dyDescent="0.25">
      <c r="A2547" s="8">
        <v>981670</v>
      </c>
      <c r="B2547" s="22" t="str">
        <f>IFERROR(VLOOKUP(A2547,VLOOKUPS!$A$2:B$12589,2,FALSE),"")</f>
        <v>Organic Apples Honeycrisp 2lb-standard</v>
      </c>
      <c r="E2547">
        <v>4.49</v>
      </c>
      <c r="F2547">
        <v>6.89</v>
      </c>
      <c r="G2547" s="13">
        <v>44526</v>
      </c>
      <c r="H2547" s="13"/>
      <c r="I2547" s="22" t="str">
        <f>VLOOKUP(J2547, Dropdowns!N:O, 2, FALSE)</f>
        <v>Standard</v>
      </c>
      <c r="J2547" t="s">
        <v>760</v>
      </c>
      <c r="L2547" s="17" t="s">
        <v>732</v>
      </c>
      <c r="M2547" s="17" t="s">
        <v>735</v>
      </c>
      <c r="N2547" s="17" t="s">
        <v>736</v>
      </c>
    </row>
    <row r="2548" spans="1:14" x14ac:dyDescent="0.25">
      <c r="A2548" s="8">
        <v>995123</v>
      </c>
      <c r="B2548" s="22" t="str">
        <f>IFERROR(VLOOKUP(A2548,VLOOKUPS!$A$2:B$12589,2,FALSE),"")</f>
        <v>Vegetable Medley 12oz-standard</v>
      </c>
      <c r="E2548">
        <v>1.49</v>
      </c>
      <c r="F2548">
        <v>2.78</v>
      </c>
      <c r="G2548" s="13">
        <v>44526</v>
      </c>
      <c r="H2548" s="13"/>
      <c r="I2548" s="22" t="str">
        <f>VLOOKUP(J2548, Dropdowns!N:O, 2, FALSE)</f>
        <v>Standard</v>
      </c>
      <c r="J2548" t="s">
        <v>760</v>
      </c>
      <c r="L2548" s="17" t="s">
        <v>732</v>
      </c>
      <c r="M2548" s="17" t="s">
        <v>736</v>
      </c>
      <c r="N2548" s="17" t="s">
        <v>736</v>
      </c>
    </row>
    <row r="2549" spans="1:14" x14ac:dyDescent="0.25">
      <c r="A2549" s="8">
        <v>983860</v>
      </c>
      <c r="B2549" s="22" t="str">
        <f>IFERROR(VLOOKUP(A2549,VLOOKUPS!$A$2:B$12589,2,FALSE),"")</f>
        <v>Pomegranates* 1ct-LOOSE</v>
      </c>
      <c r="E2549">
        <v>0.99</v>
      </c>
      <c r="F2549">
        <v>1.79</v>
      </c>
      <c r="G2549" s="13">
        <v>44526</v>
      </c>
      <c r="H2549" s="13"/>
      <c r="I2549" s="22" t="str">
        <f>VLOOKUP(J2549, Dropdowns!N:O, 2, FALSE)</f>
        <v>Standard</v>
      </c>
      <c r="J2549" t="s">
        <v>760</v>
      </c>
      <c r="L2549" s="17" t="s">
        <v>732</v>
      </c>
      <c r="M2549" s="17" t="s">
        <v>9</v>
      </c>
      <c r="N2549" s="17" t="s">
        <v>736</v>
      </c>
    </row>
    <row r="2550" spans="1:14" x14ac:dyDescent="0.25">
      <c r="A2550" s="8">
        <v>985760</v>
      </c>
      <c r="B2550" s="22" t="str">
        <f>IFERROR(VLOOKUP(A2550,VLOOKUPS!$A$2:B$12589,2,FALSE),"")</f>
        <v>Asparagus 1lb-standard</v>
      </c>
      <c r="E2550">
        <v>2.99</v>
      </c>
      <c r="F2550">
        <v>1.99</v>
      </c>
      <c r="G2550" s="13">
        <v>44527</v>
      </c>
      <c r="H2550" s="13">
        <v>44528</v>
      </c>
      <c r="I2550" s="22" t="str">
        <f>VLOOKUP(J2550, Dropdowns!N:O, 2, FALSE)</f>
        <v>Lower Price</v>
      </c>
      <c r="J2550" t="s">
        <v>759</v>
      </c>
      <c r="L2550" s="17" t="s">
        <v>733</v>
      </c>
      <c r="M2550" s="17" t="s">
        <v>11</v>
      </c>
      <c r="N2550" s="17" t="s">
        <v>740</v>
      </c>
    </row>
    <row r="2551" spans="1:14" x14ac:dyDescent="0.25">
      <c r="A2551" s="8">
        <v>985760</v>
      </c>
      <c r="B2551" s="22" t="str">
        <f>IFERROR(VLOOKUP(A2551,VLOOKUPS!$A$2:B$12589,2,FALSE),"")</f>
        <v>Asparagus 1lb-standard</v>
      </c>
      <c r="E2551">
        <v>1.99</v>
      </c>
      <c r="F2551">
        <v>2.99</v>
      </c>
      <c r="G2551" s="13">
        <v>44529</v>
      </c>
      <c r="H2551" s="13"/>
      <c r="I2551" s="22" t="str">
        <f>VLOOKUP(J2551, Dropdowns!N:O, 2, FALSE)</f>
        <v>Standard</v>
      </c>
      <c r="J2551" t="s">
        <v>760</v>
      </c>
      <c r="L2551" s="17" t="s">
        <v>733</v>
      </c>
      <c r="M2551" s="17" t="s">
        <v>11</v>
      </c>
      <c r="N2551" s="17" t="s">
        <v>740</v>
      </c>
    </row>
    <row r="2552" spans="1:14" x14ac:dyDescent="0.25">
      <c r="A2552" s="8">
        <v>995000</v>
      </c>
      <c r="B2552" s="22" t="str">
        <f>IFERROR(VLOOKUP(A2552,VLOOKUPS!$A$2:B$12589,2,FALSE),"")</f>
        <v>Spring Mix 5oz-standard</v>
      </c>
      <c r="E2552">
        <v>1.89</v>
      </c>
      <c r="F2552">
        <v>1.29</v>
      </c>
      <c r="G2552" s="13">
        <v>44527</v>
      </c>
      <c r="H2552" s="13">
        <v>44528</v>
      </c>
      <c r="I2552" s="22" t="str">
        <f>VLOOKUP(J2552, Dropdowns!N:O, 2, FALSE)</f>
        <v>Lower Price</v>
      </c>
      <c r="J2552" t="s">
        <v>759</v>
      </c>
      <c r="L2552" s="17" t="s">
        <v>733</v>
      </c>
      <c r="M2552" s="17" t="s">
        <v>9</v>
      </c>
      <c r="N2552" s="17" t="s">
        <v>740</v>
      </c>
    </row>
    <row r="2553" spans="1:14" x14ac:dyDescent="0.25">
      <c r="A2553" s="8">
        <v>995000</v>
      </c>
      <c r="B2553" s="22" t="str">
        <f>IFERROR(VLOOKUP(A2553,VLOOKUPS!$A$2:B$12589,2,FALSE),"")</f>
        <v>Spring Mix 5oz-standard</v>
      </c>
      <c r="E2553">
        <v>1.29</v>
      </c>
      <c r="F2553">
        <v>1.89</v>
      </c>
      <c r="G2553" s="13">
        <v>44529</v>
      </c>
      <c r="H2553" s="13"/>
      <c r="I2553" s="22" t="str">
        <f>VLOOKUP(J2553, Dropdowns!N:O, 2, FALSE)</f>
        <v>Standard</v>
      </c>
      <c r="J2553" t="s">
        <v>760</v>
      </c>
      <c r="L2553" s="17" t="s">
        <v>733</v>
      </c>
      <c r="M2553" s="17" t="s">
        <v>9</v>
      </c>
      <c r="N2553" s="17" t="s">
        <v>740</v>
      </c>
    </row>
    <row r="2554" spans="1:14" x14ac:dyDescent="0.25">
      <c r="A2554" s="8">
        <v>995123</v>
      </c>
      <c r="B2554" s="22" t="str">
        <f>IFERROR(VLOOKUP(A2554,VLOOKUPS!$A$2:B$12589,2,FALSE),"")</f>
        <v>Vegetable Medley 12oz-standard</v>
      </c>
      <c r="E2554">
        <v>2.78</v>
      </c>
      <c r="F2554">
        <v>1.49</v>
      </c>
      <c r="G2554" s="13">
        <v>44527</v>
      </c>
      <c r="H2554" s="13">
        <v>44528</v>
      </c>
      <c r="I2554" s="22" t="str">
        <f>VLOOKUP(J2554, Dropdowns!N:O, 2, FALSE)</f>
        <v>Lower Price</v>
      </c>
      <c r="J2554" t="s">
        <v>759</v>
      </c>
      <c r="L2554" s="17" t="s">
        <v>732</v>
      </c>
      <c r="M2554" s="17" t="s">
        <v>736</v>
      </c>
      <c r="N2554" s="17" t="s">
        <v>736</v>
      </c>
    </row>
    <row r="2555" spans="1:14" x14ac:dyDescent="0.25">
      <c r="A2555" s="8">
        <v>995123</v>
      </c>
      <c r="B2555" s="22" t="str">
        <f>IFERROR(VLOOKUP(A2555,VLOOKUPS!$A$2:B$12589,2,FALSE),"")</f>
        <v>Vegetable Medley 12oz-standard</v>
      </c>
      <c r="E2555">
        <v>1.49</v>
      </c>
      <c r="F2555">
        <v>2.78</v>
      </c>
      <c r="G2555" s="13">
        <v>44529</v>
      </c>
      <c r="H2555" s="13"/>
      <c r="I2555" s="22" t="str">
        <f>VLOOKUP(J2555, Dropdowns!N:O, 2, FALSE)</f>
        <v>Standard</v>
      </c>
      <c r="J2555" t="s">
        <v>760</v>
      </c>
      <c r="L2555" s="17" t="s">
        <v>732</v>
      </c>
      <c r="M2555" s="17" t="s">
        <v>736</v>
      </c>
      <c r="N2555" s="17" t="s">
        <v>736</v>
      </c>
    </row>
    <row r="2556" spans="1:14" x14ac:dyDescent="0.25">
      <c r="A2556" s="8">
        <v>995156</v>
      </c>
      <c r="B2556" s="22" t="str">
        <f>IFERROR(VLOOKUP(A2556,VLOOKUPS!$A$2:B$12589,2,FALSE),"")</f>
        <v>Mild Guacamole 12oz-standard</v>
      </c>
      <c r="D2556">
        <v>2</v>
      </c>
      <c r="F2556">
        <v>4.99</v>
      </c>
      <c r="G2556" s="13">
        <v>44527</v>
      </c>
      <c r="H2556" s="13"/>
      <c r="I2556" s="22" t="str">
        <f>VLOOKUP(J2556, Dropdowns!N:O, 2, FALSE)</f>
        <v>NA</v>
      </c>
      <c r="J2556" t="s">
        <v>754</v>
      </c>
      <c r="L2556" s="17" t="s">
        <v>732</v>
      </c>
      <c r="M2556" s="17" t="s">
        <v>735</v>
      </c>
      <c r="N2556" s="17" t="s">
        <v>736</v>
      </c>
    </row>
    <row r="2557" spans="1:14" x14ac:dyDescent="0.25">
      <c r="A2557" s="8">
        <v>995162</v>
      </c>
      <c r="B2557" s="22" t="str">
        <f>IFERROR(VLOOKUP(A2557,VLOOKUPS!$A$2:B$12589,2,FALSE),"")</f>
        <v>Buffalo Ranch Salad Kit 12oz-standard</v>
      </c>
      <c r="E2557">
        <v>3.49</v>
      </c>
      <c r="F2557">
        <v>2.4900000000000002</v>
      </c>
      <c r="G2557" s="13">
        <v>44527</v>
      </c>
      <c r="H2557" s="13">
        <v>44528</v>
      </c>
      <c r="I2557" s="22" t="str">
        <f>VLOOKUP(J2557, Dropdowns!N:O, 2, FALSE)</f>
        <v>Lower Price</v>
      </c>
      <c r="J2557" t="s">
        <v>759</v>
      </c>
      <c r="L2557" s="17" t="s">
        <v>732</v>
      </c>
      <c r="M2557" s="17" t="s">
        <v>9</v>
      </c>
      <c r="N2557" s="17" t="s">
        <v>736</v>
      </c>
    </row>
    <row r="2558" spans="1:14" x14ac:dyDescent="0.25">
      <c r="A2558" s="8">
        <v>995162</v>
      </c>
      <c r="B2558" s="22" t="str">
        <f>IFERROR(VLOOKUP(A2558,VLOOKUPS!$A$2:B$12589,2,FALSE),"")</f>
        <v>Buffalo Ranch Salad Kit 12oz-standard</v>
      </c>
      <c r="E2558">
        <v>2.4900000000000002</v>
      </c>
      <c r="F2558">
        <v>3.49</v>
      </c>
      <c r="G2558" s="13">
        <v>44529</v>
      </c>
      <c r="H2558" s="13"/>
      <c r="I2558" s="22" t="str">
        <f>VLOOKUP(J2558, Dropdowns!N:O, 2, FALSE)</f>
        <v>Standard</v>
      </c>
      <c r="J2558" t="s">
        <v>760</v>
      </c>
      <c r="L2558" s="17" t="s">
        <v>732</v>
      </c>
      <c r="M2558" s="17" t="s">
        <v>9</v>
      </c>
      <c r="N2558" s="17" t="s">
        <v>736</v>
      </c>
    </row>
    <row r="2559" spans="1:14" x14ac:dyDescent="0.25">
      <c r="A2559" s="8">
        <v>995166</v>
      </c>
      <c r="B2559" s="22" t="str">
        <f>IFERROR(VLOOKUP(A2559,VLOOKUPS!$A$2:B$12589,2,FALSE),"")</f>
        <v>Snow Peas 8oz-standard</v>
      </c>
      <c r="E2559">
        <v>2.68</v>
      </c>
      <c r="F2559">
        <v>1.68</v>
      </c>
      <c r="G2559" s="13">
        <v>44527</v>
      </c>
      <c r="H2559" s="13">
        <v>44528</v>
      </c>
      <c r="I2559" s="22" t="str">
        <f>VLOOKUP(J2559, Dropdowns!N:O, 2, FALSE)</f>
        <v>Lower Price</v>
      </c>
      <c r="J2559" t="s">
        <v>759</v>
      </c>
      <c r="L2559" s="17" t="s">
        <v>733</v>
      </c>
      <c r="M2559" s="17" t="s">
        <v>11</v>
      </c>
      <c r="N2559" s="17" t="s">
        <v>740</v>
      </c>
    </row>
    <row r="2560" spans="1:14" x14ac:dyDescent="0.25">
      <c r="A2560" s="8">
        <v>995166</v>
      </c>
      <c r="B2560" s="22" t="str">
        <f>IFERROR(VLOOKUP(A2560,VLOOKUPS!$A$2:B$12589,2,FALSE),"")</f>
        <v>Snow Peas 8oz-standard</v>
      </c>
      <c r="E2560">
        <v>1.68</v>
      </c>
      <c r="F2560">
        <v>2.68</v>
      </c>
      <c r="G2560" s="13">
        <v>44529</v>
      </c>
      <c r="H2560" s="13"/>
      <c r="I2560" s="22" t="str">
        <f>VLOOKUP(J2560, Dropdowns!N:O, 2, FALSE)</f>
        <v>Standard</v>
      </c>
      <c r="J2560" t="s">
        <v>760</v>
      </c>
      <c r="L2560" s="17" t="s">
        <v>733</v>
      </c>
      <c r="M2560" s="17" t="s">
        <v>11</v>
      </c>
      <c r="N2560" s="17" t="s">
        <v>740</v>
      </c>
    </row>
    <row r="2561" spans="1:14" x14ac:dyDescent="0.25">
      <c r="A2561" s="8">
        <v>981400</v>
      </c>
      <c r="B2561" s="22" t="str">
        <f>IFERROR(VLOOKUP(A2561,VLOOKUPS!$A$2:B$12589,2,FALSE),"")</f>
        <v>Apples Granny Smith 3lb-standard</v>
      </c>
      <c r="E2561">
        <v>2.4900000000000002</v>
      </c>
      <c r="F2561">
        <v>4.8899999999999997</v>
      </c>
      <c r="G2561" s="13">
        <v>44527</v>
      </c>
      <c r="H2561" s="13"/>
      <c r="I2561" s="22" t="str">
        <f>VLOOKUP(J2561, Dropdowns!N:O, 2, FALSE)</f>
        <v>Standard</v>
      </c>
      <c r="J2561" t="s">
        <v>760</v>
      </c>
      <c r="L2561" s="17" t="s">
        <v>732</v>
      </c>
      <c r="M2561" s="17" t="s">
        <v>9</v>
      </c>
      <c r="N2561" s="17" t="s">
        <v>736</v>
      </c>
    </row>
    <row r="2562" spans="1:14" x14ac:dyDescent="0.25">
      <c r="A2562" s="8">
        <v>981400</v>
      </c>
      <c r="B2562" s="22" t="str">
        <f>IFERROR(VLOOKUP(A2562,VLOOKUPS!$A$2:B$12589,2,FALSE),"")</f>
        <v>Apples Granny Smith 3lb-standard</v>
      </c>
      <c r="G2562" s="13">
        <v>44527</v>
      </c>
      <c r="H2562" s="13">
        <v>44527</v>
      </c>
      <c r="I2562" s="22" t="str">
        <f>VLOOKUP(J2562, Dropdowns!N:O, 2, FALSE)</f>
        <v>Lower Price</v>
      </c>
      <c r="J2562" t="s">
        <v>762</v>
      </c>
      <c r="L2562" s="17" t="s">
        <v>732</v>
      </c>
      <c r="M2562" s="17" t="s">
        <v>738</v>
      </c>
      <c r="N2562" s="17">
        <v>2</v>
      </c>
    </row>
    <row r="2563" spans="1:14" x14ac:dyDescent="0.25">
      <c r="A2563" s="8">
        <v>985605</v>
      </c>
      <c r="B2563" s="22" t="str">
        <f>IFERROR(VLOOKUP(A2563,VLOOKUPS!$A$2:B$12589,2,FALSE),"")</f>
        <v>Cucumbers* Long English 1ct-LOOSE</v>
      </c>
      <c r="G2563" s="13">
        <v>44527</v>
      </c>
      <c r="H2563" s="13">
        <v>44530</v>
      </c>
      <c r="I2563" s="22" t="str">
        <f>VLOOKUP(J2563, Dropdowns!N:O, 2, FALSE)</f>
        <v>Lower Price</v>
      </c>
      <c r="J2563" t="s">
        <v>779</v>
      </c>
      <c r="L2563" s="17" t="s">
        <v>733</v>
      </c>
      <c r="M2563" s="17" t="s">
        <v>11</v>
      </c>
      <c r="N2563" s="17" t="s">
        <v>740</v>
      </c>
    </row>
    <row r="2564" spans="1:14" x14ac:dyDescent="0.25">
      <c r="A2564" s="8">
        <v>995104</v>
      </c>
      <c r="B2564" s="22" t="str">
        <f>IFERROR(VLOOKUP(A2564,VLOOKUPS!$A$2:B$12589,2,FALSE),"")</f>
        <v>Ginger Garlic Stir Fry Kit 14oz-standard</v>
      </c>
      <c r="E2564">
        <v>2.98</v>
      </c>
      <c r="F2564">
        <v>1.98</v>
      </c>
      <c r="G2564" s="13">
        <v>44527</v>
      </c>
      <c r="H2564" s="13">
        <v>44528</v>
      </c>
      <c r="I2564" s="22" t="str">
        <f>VLOOKUP(J2564, Dropdowns!N:O, 2, FALSE)</f>
        <v>Lower Price</v>
      </c>
      <c r="J2564" t="s">
        <v>759</v>
      </c>
      <c r="L2564" s="17" t="s">
        <v>732</v>
      </c>
      <c r="M2564" s="17" t="s">
        <v>9</v>
      </c>
      <c r="N2564" s="17" t="s">
        <v>736</v>
      </c>
    </row>
    <row r="2565" spans="1:14" x14ac:dyDescent="0.25">
      <c r="A2565" s="8">
        <v>995104</v>
      </c>
      <c r="B2565" s="22" t="str">
        <f>IFERROR(VLOOKUP(A2565,VLOOKUPS!$A$2:B$12589,2,FALSE),"")</f>
        <v>Ginger Garlic Stir Fry Kit 14oz-standard</v>
      </c>
      <c r="E2565">
        <v>1.98</v>
      </c>
      <c r="F2565">
        <v>2.98</v>
      </c>
      <c r="G2565" s="13">
        <v>44529</v>
      </c>
      <c r="H2565" s="13"/>
      <c r="I2565" s="22" t="str">
        <f>VLOOKUP(J2565, Dropdowns!N:O, 2, FALSE)</f>
        <v>Standard</v>
      </c>
      <c r="J2565" t="s">
        <v>760</v>
      </c>
      <c r="L2565" s="17" t="s">
        <v>732</v>
      </c>
      <c r="M2565" s="17" t="s">
        <v>9</v>
      </c>
      <c r="N2565" s="17" t="s">
        <v>736</v>
      </c>
    </row>
    <row r="2566" spans="1:14" x14ac:dyDescent="0.25">
      <c r="A2566" s="8">
        <v>995103</v>
      </c>
      <c r="B2566" s="22" t="str">
        <f>IFERROR(VLOOKUP(A2566,VLOOKUPS!$A$2:B$12589,2,FALSE),"")</f>
        <v>Teriyaki Stir Fry Kit 12.5oz-standard</v>
      </c>
      <c r="E2566">
        <v>2.98</v>
      </c>
      <c r="F2566">
        <v>1.98</v>
      </c>
      <c r="G2566" s="13">
        <v>44527</v>
      </c>
      <c r="H2566" s="13">
        <v>44527</v>
      </c>
      <c r="I2566" s="22" t="str">
        <f>VLOOKUP(J2566, Dropdowns!N:O, 2, FALSE)</f>
        <v>Lower Price</v>
      </c>
      <c r="J2566" t="s">
        <v>759</v>
      </c>
      <c r="L2566" s="17" t="s">
        <v>732</v>
      </c>
      <c r="M2566" s="17" t="s">
        <v>736</v>
      </c>
      <c r="N2566" s="17" t="s">
        <v>736</v>
      </c>
    </row>
    <row r="2567" spans="1:14" x14ac:dyDescent="0.25">
      <c r="A2567" s="8">
        <v>995103</v>
      </c>
      <c r="B2567" s="22" t="str">
        <f>IFERROR(VLOOKUP(A2567,VLOOKUPS!$A$2:B$12589,2,FALSE),"")</f>
        <v>Teriyaki Stir Fry Kit 12.5oz-standard</v>
      </c>
      <c r="E2567">
        <v>1.98</v>
      </c>
      <c r="F2567">
        <v>2.98</v>
      </c>
      <c r="G2567" s="13">
        <v>44528</v>
      </c>
      <c r="H2567" s="13"/>
      <c r="I2567" s="22" t="str">
        <f>VLOOKUP(J2567, Dropdowns!N:O, 2, FALSE)</f>
        <v>Standard</v>
      </c>
      <c r="J2567" t="s">
        <v>760</v>
      </c>
      <c r="L2567" s="17" t="s">
        <v>732</v>
      </c>
      <c r="M2567" s="17" t="s">
        <v>736</v>
      </c>
      <c r="N2567" s="17" t="s">
        <v>736</v>
      </c>
    </row>
    <row r="2568" spans="1:14" x14ac:dyDescent="0.25">
      <c r="A2568" s="8">
        <v>981670</v>
      </c>
      <c r="B2568" s="22" t="str">
        <f>IFERROR(VLOOKUP(A2568,VLOOKUPS!$A$2:B$12589,2,FALSE),"")</f>
        <v>Organic Apples Honeycrisp 2lb-standard</v>
      </c>
      <c r="E2568">
        <v>6.89</v>
      </c>
      <c r="F2568">
        <v>4.49</v>
      </c>
      <c r="G2568" s="13">
        <v>44528</v>
      </c>
      <c r="H2568" s="13">
        <v>44529</v>
      </c>
      <c r="I2568" s="22" t="str">
        <f>VLOOKUP(J2568, Dropdowns!N:O, 2, FALSE)</f>
        <v>Lower Price</v>
      </c>
      <c r="J2568" t="s">
        <v>759</v>
      </c>
      <c r="L2568" s="17" t="s">
        <v>732</v>
      </c>
      <c r="M2568" s="17" t="s">
        <v>9</v>
      </c>
      <c r="N2568" s="17" t="s">
        <v>736</v>
      </c>
    </row>
    <row r="2569" spans="1:14" x14ac:dyDescent="0.25">
      <c r="A2569" s="8">
        <v>981670</v>
      </c>
      <c r="B2569" s="22" t="str">
        <f>IFERROR(VLOOKUP(A2569,VLOOKUPS!$A$2:B$12589,2,FALSE),"")</f>
        <v>Organic Apples Honeycrisp 2lb-standard</v>
      </c>
      <c r="E2569">
        <v>4.49</v>
      </c>
      <c r="F2569">
        <v>6.89</v>
      </c>
      <c r="G2569" s="13">
        <v>44530</v>
      </c>
      <c r="H2569" s="13"/>
      <c r="I2569" s="22" t="str">
        <f>VLOOKUP(J2569, Dropdowns!N:O, 2, FALSE)</f>
        <v>Standard</v>
      </c>
      <c r="J2569" t="s">
        <v>760</v>
      </c>
      <c r="L2569" s="17" t="s">
        <v>732</v>
      </c>
      <c r="M2569" s="17" t="s">
        <v>9</v>
      </c>
      <c r="N2569" s="17" t="s">
        <v>736</v>
      </c>
    </row>
    <row r="2570" spans="1:14" x14ac:dyDescent="0.25">
      <c r="A2570" s="8">
        <v>984460</v>
      </c>
      <c r="B2570" s="22" t="str">
        <f>IFERROR(VLOOKUP(A2570,VLOOKUPS!$A$2:B$12589,2,FALSE),"")</f>
        <v>Strawberries 1lb-standard</v>
      </c>
      <c r="E2570">
        <v>3.59</v>
      </c>
      <c r="F2570">
        <v>2.59</v>
      </c>
      <c r="G2570" s="13">
        <v>44530</v>
      </c>
      <c r="H2570" s="13">
        <v>44530</v>
      </c>
      <c r="I2570" s="22" t="str">
        <f>VLOOKUP(J2570, Dropdowns!N:O, 2, FALSE)</f>
        <v>Lower Price</v>
      </c>
      <c r="J2570" t="s">
        <v>759</v>
      </c>
      <c r="L2570" s="17" t="s">
        <v>732</v>
      </c>
      <c r="M2570" s="17" t="s">
        <v>9</v>
      </c>
      <c r="N2570" s="17" t="s">
        <v>736</v>
      </c>
    </row>
    <row r="2571" spans="1:14" x14ac:dyDescent="0.25">
      <c r="A2571" s="8">
        <v>984460</v>
      </c>
      <c r="B2571" s="22" t="str">
        <f>IFERROR(VLOOKUP(A2571,VLOOKUPS!$A$2:B$12589,2,FALSE),"")</f>
        <v>Strawberries 1lb-standard</v>
      </c>
      <c r="E2571">
        <v>2.59</v>
      </c>
      <c r="F2571">
        <v>3.59</v>
      </c>
      <c r="G2571" s="13">
        <v>44531</v>
      </c>
      <c r="H2571" s="13"/>
      <c r="I2571" s="22" t="str">
        <f>VLOOKUP(J2571, Dropdowns!N:O, 2, FALSE)</f>
        <v>Standard</v>
      </c>
      <c r="J2571" t="s">
        <v>760</v>
      </c>
      <c r="L2571" s="17" t="s">
        <v>732</v>
      </c>
      <c r="M2571" s="17" t="s">
        <v>9</v>
      </c>
      <c r="N2571" s="17" t="s">
        <v>736</v>
      </c>
    </row>
    <row r="2572" spans="1:14" x14ac:dyDescent="0.25">
      <c r="A2572" s="8">
        <v>984541</v>
      </c>
      <c r="B2572" s="22" t="str">
        <f>IFERROR(VLOOKUP(A2572,VLOOKUPS!$A$2:B$12589,2,FALSE),"")</f>
        <v>Blueberries 1pt-standard</v>
      </c>
      <c r="D2572">
        <v>12</v>
      </c>
      <c r="E2572">
        <v>2.7</v>
      </c>
      <c r="F2572">
        <v>2.89</v>
      </c>
      <c r="G2572" s="13">
        <v>44530</v>
      </c>
      <c r="H2572" s="13"/>
      <c r="I2572" s="22" t="str">
        <f>VLOOKUP(J2572, Dropdowns!N:O, 2, FALSE)</f>
        <v>Standard</v>
      </c>
      <c r="J2572" t="s">
        <v>761</v>
      </c>
      <c r="L2572" s="17" t="s">
        <v>732</v>
      </c>
      <c r="M2572" s="17" t="s">
        <v>736</v>
      </c>
      <c r="N2572" s="17" t="s">
        <v>736</v>
      </c>
    </row>
    <row r="2573" spans="1:14" x14ac:dyDescent="0.25">
      <c r="A2573" s="8">
        <v>984542</v>
      </c>
      <c r="B2573" s="22" t="str">
        <f>IFERROR(VLOOKUP(A2573,VLOOKUPS!$A$2:B$12589,2,FALSE),"")</f>
        <v>Blueberries 18oz-standard</v>
      </c>
      <c r="E2573">
        <v>4.29</v>
      </c>
      <c r="F2573">
        <v>2.89</v>
      </c>
      <c r="G2573" s="13">
        <v>44530</v>
      </c>
      <c r="H2573" s="13">
        <v>44530</v>
      </c>
      <c r="I2573" s="22" t="str">
        <f>VLOOKUP(J2573, Dropdowns!N:O, 2, FALSE)</f>
        <v>Lower Price</v>
      </c>
      <c r="J2573" t="s">
        <v>759</v>
      </c>
      <c r="L2573" s="17" t="s">
        <v>733</v>
      </c>
      <c r="M2573" s="17" t="s">
        <v>11</v>
      </c>
      <c r="N2573" s="17" t="s">
        <v>740</v>
      </c>
    </row>
    <row r="2574" spans="1:14" x14ac:dyDescent="0.25">
      <c r="A2574" s="8">
        <v>984542</v>
      </c>
      <c r="B2574" s="22" t="str">
        <f>IFERROR(VLOOKUP(A2574,VLOOKUPS!$A$2:B$12589,2,FALSE),"")</f>
        <v>Blueberries 18oz-standard</v>
      </c>
      <c r="E2574">
        <v>2.89</v>
      </c>
      <c r="F2574">
        <v>4.29</v>
      </c>
      <c r="G2574" s="13">
        <v>44531</v>
      </c>
      <c r="H2574" s="13"/>
      <c r="I2574" s="22" t="str">
        <f>VLOOKUP(J2574, Dropdowns!N:O, 2, FALSE)</f>
        <v>Standard</v>
      </c>
      <c r="J2574" t="s">
        <v>760</v>
      </c>
      <c r="L2574" s="17" t="s">
        <v>733</v>
      </c>
      <c r="M2574" s="17" t="s">
        <v>11</v>
      </c>
      <c r="N2574" s="17" t="s">
        <v>740</v>
      </c>
    </row>
    <row r="2575" spans="1:14" x14ac:dyDescent="0.25">
      <c r="A2575" s="8">
        <v>985190</v>
      </c>
      <c r="B2575" s="22" t="str">
        <f>IFERROR(VLOOKUP(A2575,VLOOKUPS!$A$2:B$12589,2,FALSE),"")</f>
        <v>Organic Romaine Hearts 3ct-standard</v>
      </c>
      <c r="E2575">
        <v>2.99</v>
      </c>
      <c r="F2575">
        <v>2.29</v>
      </c>
      <c r="G2575" s="13">
        <v>44530</v>
      </c>
      <c r="H2575" s="13">
        <v>44531</v>
      </c>
      <c r="I2575" s="22" t="str">
        <f>VLOOKUP(J2575, Dropdowns!N:O, 2, FALSE)</f>
        <v>Lower Price</v>
      </c>
      <c r="J2575" t="s">
        <v>759</v>
      </c>
      <c r="L2575" s="17" t="s">
        <v>732</v>
      </c>
      <c r="M2575" s="17" t="s">
        <v>737</v>
      </c>
      <c r="N2575" s="17" t="s">
        <v>736</v>
      </c>
    </row>
    <row r="2576" spans="1:14" x14ac:dyDescent="0.25">
      <c r="A2576" s="8">
        <v>985190</v>
      </c>
      <c r="B2576" s="22" t="str">
        <f>IFERROR(VLOOKUP(A2576,VLOOKUPS!$A$2:B$12589,2,FALSE),"")</f>
        <v>Organic Romaine Hearts 3ct-standard</v>
      </c>
      <c r="E2576">
        <v>2.29</v>
      </c>
      <c r="F2576">
        <v>2.99</v>
      </c>
      <c r="G2576" s="13">
        <v>44532</v>
      </c>
      <c r="H2576" s="13"/>
      <c r="I2576" s="22" t="str">
        <f>VLOOKUP(J2576, Dropdowns!N:O, 2, FALSE)</f>
        <v>Standard</v>
      </c>
      <c r="J2576" t="s">
        <v>760</v>
      </c>
      <c r="L2576" s="17" t="s">
        <v>732</v>
      </c>
      <c r="M2576" s="17" t="s">
        <v>737</v>
      </c>
      <c r="N2576" s="17" t="s">
        <v>736</v>
      </c>
    </row>
    <row r="2577" spans="1:14" x14ac:dyDescent="0.25">
      <c r="A2577" s="8">
        <v>985760</v>
      </c>
      <c r="B2577" s="22" t="str">
        <f>IFERROR(VLOOKUP(A2577,VLOOKUPS!$A$2:B$12589,2,FALSE),"")</f>
        <v>Asparagus 1lb-standard</v>
      </c>
      <c r="E2577">
        <v>2.99</v>
      </c>
      <c r="F2577">
        <v>1.99</v>
      </c>
      <c r="G2577" s="13">
        <v>44530</v>
      </c>
      <c r="H2577" s="13">
        <v>44531</v>
      </c>
      <c r="I2577" s="22" t="str">
        <f>VLOOKUP(J2577, Dropdowns!N:O, 2, FALSE)</f>
        <v>Lower Price</v>
      </c>
      <c r="J2577" t="s">
        <v>759</v>
      </c>
      <c r="L2577" s="17" t="s">
        <v>732</v>
      </c>
      <c r="M2577" s="17" t="s">
        <v>10</v>
      </c>
      <c r="N2577" s="17">
        <v>2</v>
      </c>
    </row>
    <row r="2578" spans="1:14" x14ac:dyDescent="0.25">
      <c r="A2578" s="8">
        <v>985760</v>
      </c>
      <c r="B2578" s="22" t="str">
        <f>IFERROR(VLOOKUP(A2578,VLOOKUPS!$A$2:B$12589,2,FALSE),"")</f>
        <v>Asparagus 1lb-standard</v>
      </c>
      <c r="E2578">
        <v>1.99</v>
      </c>
      <c r="F2578">
        <v>2.99</v>
      </c>
      <c r="G2578" s="13">
        <v>44532</v>
      </c>
      <c r="H2578" s="13"/>
      <c r="I2578" s="22" t="str">
        <f>VLOOKUP(J2578, Dropdowns!N:O, 2, FALSE)</f>
        <v>Standard</v>
      </c>
      <c r="J2578" t="s">
        <v>760</v>
      </c>
      <c r="L2578" s="17" t="s">
        <v>732</v>
      </c>
      <c r="M2578" s="17" t="s">
        <v>10</v>
      </c>
      <c r="N2578" s="17">
        <v>2</v>
      </c>
    </row>
    <row r="2579" spans="1:14" x14ac:dyDescent="0.25">
      <c r="A2579" s="8">
        <v>986250</v>
      </c>
      <c r="B2579" s="22" t="str">
        <f>IFERROR(VLOOKUP(A2579,VLOOKUPS!$A$2:B$12589,2,FALSE),"")</f>
        <v>French Beans 1lb-standard</v>
      </c>
      <c r="E2579">
        <v>2.99</v>
      </c>
      <c r="F2579">
        <v>1.99</v>
      </c>
      <c r="G2579" s="13">
        <v>44530</v>
      </c>
      <c r="H2579" s="13">
        <v>44531</v>
      </c>
      <c r="I2579" s="22" t="str">
        <f>VLOOKUP(J2579, Dropdowns!N:O, 2, FALSE)</f>
        <v>Lower Price</v>
      </c>
      <c r="J2579" t="s">
        <v>759</v>
      </c>
      <c r="L2579" s="17" t="s">
        <v>732</v>
      </c>
      <c r="M2579" s="17" t="s">
        <v>738</v>
      </c>
      <c r="N2579" s="17">
        <v>2</v>
      </c>
    </row>
    <row r="2580" spans="1:14" x14ac:dyDescent="0.25">
      <c r="A2580" s="8">
        <v>986250</v>
      </c>
      <c r="B2580" s="22" t="str">
        <f>IFERROR(VLOOKUP(A2580,VLOOKUPS!$A$2:B$12589,2,FALSE),"")</f>
        <v>French Beans 1lb-standard</v>
      </c>
      <c r="E2580">
        <v>1.99</v>
      </c>
      <c r="F2580">
        <v>2.99</v>
      </c>
      <c r="G2580" s="13">
        <v>44532</v>
      </c>
      <c r="H2580" s="13"/>
      <c r="I2580" s="22" t="str">
        <f>VLOOKUP(J2580, Dropdowns!N:O, 2, FALSE)</f>
        <v>Standard</v>
      </c>
      <c r="J2580" t="s">
        <v>760</v>
      </c>
      <c r="L2580" s="17" t="s">
        <v>732</v>
      </c>
      <c r="M2580" s="17" t="s">
        <v>738</v>
      </c>
      <c r="N2580" s="17">
        <v>2</v>
      </c>
    </row>
    <row r="2581" spans="1:14" x14ac:dyDescent="0.25">
      <c r="A2581" s="8">
        <v>995013</v>
      </c>
      <c r="B2581" s="22" t="str">
        <f>IFERROR(VLOOKUP(A2581,VLOOKUPS!$A$2:B$12589,2,FALSE),"")</f>
        <v>Spinach 8oz-standard</v>
      </c>
      <c r="E2581">
        <v>1.29</v>
      </c>
      <c r="F2581">
        <v>0.79</v>
      </c>
      <c r="G2581" s="13">
        <v>44530</v>
      </c>
      <c r="H2581" s="13">
        <v>44531</v>
      </c>
      <c r="I2581" s="22" t="str">
        <f>VLOOKUP(J2581, Dropdowns!N:O, 2, FALSE)</f>
        <v>Lower Price</v>
      </c>
      <c r="J2581" t="s">
        <v>759</v>
      </c>
      <c r="L2581" s="17" t="s">
        <v>732</v>
      </c>
      <c r="M2581" s="17" t="s">
        <v>736</v>
      </c>
      <c r="N2581" s="17" t="s">
        <v>736</v>
      </c>
    </row>
    <row r="2582" spans="1:14" x14ac:dyDescent="0.25">
      <c r="A2582" s="8">
        <v>995013</v>
      </c>
      <c r="B2582" s="22" t="str">
        <f>IFERROR(VLOOKUP(A2582,VLOOKUPS!$A$2:B$12589,2,FALSE),"")</f>
        <v>Spinach 8oz-standard</v>
      </c>
      <c r="E2582">
        <v>0.79</v>
      </c>
      <c r="F2582">
        <v>1.29</v>
      </c>
      <c r="G2582" s="13">
        <v>44532</v>
      </c>
      <c r="H2582" s="13"/>
      <c r="I2582" s="22" t="str">
        <f>VLOOKUP(J2582, Dropdowns!N:O, 2, FALSE)</f>
        <v>Standard</v>
      </c>
      <c r="J2582" t="s">
        <v>760</v>
      </c>
      <c r="L2582" s="17" t="s">
        <v>732</v>
      </c>
      <c r="M2582" s="17" t="s">
        <v>736</v>
      </c>
      <c r="N2582" s="17" t="s">
        <v>736</v>
      </c>
    </row>
    <row r="2583" spans="1:14" x14ac:dyDescent="0.25">
      <c r="A2583" s="8">
        <v>995082</v>
      </c>
      <c r="B2583" s="22" t="str">
        <f>IFERROR(VLOOKUP(A2583,VLOOKUPS!$A$2:B$12589,2,FALSE),"")</f>
        <v>Melon Trio 16oz-standard</v>
      </c>
      <c r="E2583">
        <v>3.99</v>
      </c>
      <c r="F2583">
        <v>2.4900000000000002</v>
      </c>
      <c r="G2583" s="13">
        <v>44530</v>
      </c>
      <c r="H2583" s="13">
        <v>44530</v>
      </c>
      <c r="I2583" s="22" t="str">
        <f>VLOOKUP(J2583, Dropdowns!N:O, 2, FALSE)</f>
        <v>Lower Price</v>
      </c>
      <c r="J2583" t="s">
        <v>759</v>
      </c>
      <c r="L2583" s="17" t="s">
        <v>732</v>
      </c>
      <c r="M2583" s="17" t="s">
        <v>10</v>
      </c>
      <c r="N2583" s="17">
        <v>2</v>
      </c>
    </row>
    <row r="2584" spans="1:14" x14ac:dyDescent="0.25">
      <c r="A2584" s="8">
        <v>995082</v>
      </c>
      <c r="B2584" s="22" t="str">
        <f>IFERROR(VLOOKUP(A2584,VLOOKUPS!$A$2:B$12589,2,FALSE),"")</f>
        <v>Melon Trio 16oz-standard</v>
      </c>
      <c r="E2584">
        <v>2.4900000000000002</v>
      </c>
      <c r="F2584">
        <v>3.99</v>
      </c>
      <c r="G2584" s="13">
        <v>44531</v>
      </c>
      <c r="H2584" s="13"/>
      <c r="I2584" s="22" t="str">
        <f>VLOOKUP(J2584, Dropdowns!N:O, 2, FALSE)</f>
        <v>Standard</v>
      </c>
      <c r="J2584" t="s">
        <v>760</v>
      </c>
      <c r="L2584" s="17" t="s">
        <v>732</v>
      </c>
      <c r="M2584" s="17" t="s">
        <v>10</v>
      </c>
      <c r="N2584" s="17">
        <v>2</v>
      </c>
    </row>
    <row r="2585" spans="1:14" x14ac:dyDescent="0.25">
      <c r="A2585" s="8">
        <v>995085</v>
      </c>
      <c r="B2585" s="22" t="str">
        <f>IFERROR(VLOOKUP(A2585,VLOOKUPS!$A$2:B$12589,2,FALSE),"")</f>
        <v>Sugar Snap Peas 8oz-standard</v>
      </c>
      <c r="E2585">
        <v>2.39</v>
      </c>
      <c r="F2585">
        <v>1.39</v>
      </c>
      <c r="G2585" s="13">
        <v>44530</v>
      </c>
      <c r="H2585" s="13">
        <v>44531</v>
      </c>
      <c r="I2585" s="22" t="str">
        <f>VLOOKUP(J2585, Dropdowns!N:O, 2, FALSE)</f>
        <v>Lower Price</v>
      </c>
      <c r="J2585" t="s">
        <v>759</v>
      </c>
      <c r="L2585" s="17" t="s">
        <v>733</v>
      </c>
      <c r="M2585" s="17" t="s">
        <v>736</v>
      </c>
      <c r="N2585" s="17" t="s">
        <v>740</v>
      </c>
    </row>
    <row r="2586" spans="1:14" x14ac:dyDescent="0.25">
      <c r="A2586" s="8">
        <v>995085</v>
      </c>
      <c r="B2586" s="22" t="str">
        <f>IFERROR(VLOOKUP(A2586,VLOOKUPS!$A$2:B$12589,2,FALSE),"")</f>
        <v>Sugar Snap Peas 8oz-standard</v>
      </c>
      <c r="E2586">
        <v>1.39</v>
      </c>
      <c r="F2586">
        <v>2.39</v>
      </c>
      <c r="G2586" s="13">
        <v>44532</v>
      </c>
      <c r="H2586" s="13"/>
      <c r="I2586" s="22" t="str">
        <f>VLOOKUP(J2586, Dropdowns!N:O, 2, FALSE)</f>
        <v>Standard</v>
      </c>
      <c r="J2586" t="s">
        <v>760</v>
      </c>
      <c r="L2586" s="17" t="s">
        <v>733</v>
      </c>
      <c r="M2586" s="17" t="s">
        <v>736</v>
      </c>
      <c r="N2586" s="17" t="s">
        <v>740</v>
      </c>
    </row>
    <row r="2587" spans="1:14" x14ac:dyDescent="0.25">
      <c r="A2587" s="8">
        <v>995123</v>
      </c>
      <c r="B2587" s="22" t="str">
        <f>IFERROR(VLOOKUP(A2587,VLOOKUPS!$A$2:B$12589,2,FALSE),"")</f>
        <v>Vegetable Medley 12oz-standard</v>
      </c>
      <c r="E2587">
        <v>2.78</v>
      </c>
      <c r="F2587">
        <v>1.08</v>
      </c>
      <c r="G2587" s="13">
        <v>44530</v>
      </c>
      <c r="H2587" s="13">
        <v>44531</v>
      </c>
      <c r="I2587" s="22" t="str">
        <f>VLOOKUP(J2587, Dropdowns!N:O, 2, FALSE)</f>
        <v>Lower Price</v>
      </c>
      <c r="J2587" t="s">
        <v>759</v>
      </c>
      <c r="L2587" s="17" t="s">
        <v>732</v>
      </c>
      <c r="M2587" s="17" t="s">
        <v>735</v>
      </c>
      <c r="N2587" s="17" t="s">
        <v>736</v>
      </c>
    </row>
    <row r="2588" spans="1:14" x14ac:dyDescent="0.25">
      <c r="A2588" s="8">
        <v>995123</v>
      </c>
      <c r="B2588" s="22" t="str">
        <f>IFERROR(VLOOKUP(A2588,VLOOKUPS!$A$2:B$12589,2,FALSE),"")</f>
        <v>Vegetable Medley 12oz-standard</v>
      </c>
      <c r="E2588">
        <v>1.08</v>
      </c>
      <c r="F2588">
        <v>2.78</v>
      </c>
      <c r="G2588" s="13">
        <v>44532</v>
      </c>
      <c r="H2588" s="13"/>
      <c r="I2588" s="22" t="str">
        <f>VLOOKUP(J2588, Dropdowns!N:O, 2, FALSE)</f>
        <v>Standard</v>
      </c>
      <c r="J2588" t="s">
        <v>760</v>
      </c>
      <c r="L2588" s="17" t="s">
        <v>732</v>
      </c>
      <c r="M2588" s="17" t="s">
        <v>735</v>
      </c>
      <c r="N2588" s="17" t="s">
        <v>736</v>
      </c>
    </row>
    <row r="2589" spans="1:14" x14ac:dyDescent="0.25">
      <c r="A2589" s="8">
        <v>995166</v>
      </c>
      <c r="B2589" s="22" t="str">
        <f>IFERROR(VLOOKUP(A2589,VLOOKUPS!$A$2:B$12589,2,FALSE),"")</f>
        <v>Snow Peas 8oz-standard</v>
      </c>
      <c r="E2589">
        <v>2.68</v>
      </c>
      <c r="F2589">
        <v>1.48</v>
      </c>
      <c r="G2589" s="13">
        <v>44530</v>
      </c>
      <c r="H2589" s="13">
        <v>44531</v>
      </c>
      <c r="I2589" s="22" t="str">
        <f>VLOOKUP(J2589, Dropdowns!N:O, 2, FALSE)</f>
        <v>Lower Price</v>
      </c>
      <c r="J2589" t="s">
        <v>759</v>
      </c>
      <c r="L2589" s="17" t="s">
        <v>732</v>
      </c>
      <c r="M2589" s="17" t="s">
        <v>735</v>
      </c>
      <c r="N2589" s="17" t="s">
        <v>736</v>
      </c>
    </row>
    <row r="2590" spans="1:14" x14ac:dyDescent="0.25">
      <c r="A2590" s="8">
        <v>995166</v>
      </c>
      <c r="B2590" s="22" t="str">
        <f>IFERROR(VLOOKUP(A2590,VLOOKUPS!$A$2:B$12589,2,FALSE),"")</f>
        <v>Snow Peas 8oz-standard</v>
      </c>
      <c r="E2590">
        <v>1.48</v>
      </c>
      <c r="F2590">
        <v>2.68</v>
      </c>
      <c r="G2590" s="13">
        <v>44532</v>
      </c>
      <c r="H2590" s="13"/>
      <c r="I2590" s="22" t="str">
        <f>VLOOKUP(J2590, Dropdowns!N:O, 2, FALSE)</f>
        <v>Standard</v>
      </c>
      <c r="J2590" t="s">
        <v>760</v>
      </c>
      <c r="L2590" s="17" t="s">
        <v>732</v>
      </c>
      <c r="M2590" s="17" t="s">
        <v>735</v>
      </c>
      <c r="N2590" s="17" t="s">
        <v>736</v>
      </c>
    </row>
    <row r="2591" spans="1:14" x14ac:dyDescent="0.25">
      <c r="A2591" s="8">
        <v>982710</v>
      </c>
      <c r="B2591" s="22" t="str">
        <f>IFERROR(VLOOKUP(A2591,VLOOKUPS!$A$2:B$12589,2,FALSE),"")</f>
        <v>Organic* Grapes Green Seedless 2lb-standard</v>
      </c>
      <c r="D2591">
        <v>10</v>
      </c>
      <c r="F2591">
        <v>5.98</v>
      </c>
      <c r="G2591" s="13">
        <v>44530</v>
      </c>
      <c r="H2591" s="13"/>
      <c r="I2591" s="22" t="str">
        <f>VLOOKUP(J2591, Dropdowns!N:O, 2, FALSE)</f>
        <v>NA</v>
      </c>
      <c r="J2591" t="s">
        <v>754</v>
      </c>
      <c r="L2591" s="17" t="s">
        <v>732</v>
      </c>
      <c r="M2591" s="17" t="s">
        <v>9</v>
      </c>
      <c r="N2591" s="17" t="s">
        <v>736</v>
      </c>
    </row>
    <row r="2592" spans="1:14" x14ac:dyDescent="0.25">
      <c r="A2592" s="8">
        <v>982800</v>
      </c>
      <c r="B2592" s="22" t="str">
        <f>IFERROR(VLOOKUP(A2592,VLOOKUPS!$A$2:B$12589,2,FALSE),"")</f>
        <v>Organic* Grapes Red Seedless 2lb-standard</v>
      </c>
      <c r="E2592">
        <v>5.29</v>
      </c>
      <c r="F2592">
        <v>3.99</v>
      </c>
      <c r="G2592" s="13">
        <v>44530</v>
      </c>
      <c r="H2592" s="13">
        <v>44531</v>
      </c>
      <c r="I2592" s="22" t="str">
        <f>VLOOKUP(J2592, Dropdowns!N:O, 2, FALSE)</f>
        <v>Lower Price</v>
      </c>
      <c r="J2592" t="s">
        <v>759</v>
      </c>
      <c r="L2592" s="17" t="s">
        <v>733</v>
      </c>
      <c r="M2592" s="17" t="s">
        <v>11</v>
      </c>
      <c r="N2592" s="17" t="s">
        <v>740</v>
      </c>
    </row>
    <row r="2593" spans="1:14" x14ac:dyDescent="0.25">
      <c r="A2593" s="8">
        <v>982800</v>
      </c>
      <c r="B2593" s="22" t="str">
        <f>IFERROR(VLOOKUP(A2593,VLOOKUPS!$A$2:B$12589,2,FALSE),"")</f>
        <v>Organic* Grapes Red Seedless 2lb-standard</v>
      </c>
      <c r="E2593">
        <v>3.99</v>
      </c>
      <c r="F2593">
        <v>5.29</v>
      </c>
      <c r="G2593" s="13">
        <v>44532</v>
      </c>
      <c r="H2593" s="13"/>
      <c r="I2593" s="22" t="str">
        <f>VLOOKUP(J2593, Dropdowns!N:O, 2, FALSE)</f>
        <v>Standard</v>
      </c>
      <c r="J2593" t="s">
        <v>760</v>
      </c>
      <c r="L2593" s="17" t="s">
        <v>733</v>
      </c>
      <c r="M2593" s="17" t="s">
        <v>11</v>
      </c>
      <c r="N2593" s="17" t="s">
        <v>740</v>
      </c>
    </row>
    <row r="2594" spans="1:14" x14ac:dyDescent="0.25">
      <c r="A2594" s="8">
        <v>984620</v>
      </c>
      <c r="B2594" s="22" t="str">
        <f>IFERROR(VLOOKUP(A2594,VLOOKUPS!$A$2:B$12589,2,FALSE),"")</f>
        <v>Raspberries 6oz-standard</v>
      </c>
      <c r="E2594">
        <v>1.44</v>
      </c>
      <c r="F2594">
        <v>2.84</v>
      </c>
      <c r="G2594" s="13">
        <v>44532</v>
      </c>
      <c r="H2594" s="13"/>
      <c r="I2594" s="22" t="str">
        <f>VLOOKUP(J2594, Dropdowns!N:O, 2, FALSE)</f>
        <v>Standard</v>
      </c>
      <c r="J2594" t="s">
        <v>760</v>
      </c>
      <c r="L2594" s="17" t="s">
        <v>732</v>
      </c>
      <c r="M2594" s="17" t="s">
        <v>736</v>
      </c>
      <c r="N2594" s="17" t="s">
        <v>736</v>
      </c>
    </row>
    <row r="2595" spans="1:14" x14ac:dyDescent="0.25">
      <c r="A2595" s="8">
        <v>984620</v>
      </c>
      <c r="B2595" s="22" t="str">
        <f>IFERROR(VLOOKUP(A2595,VLOOKUPS!$A$2:B$12589,2,FALSE),"")</f>
        <v>Raspberries 6oz-standard</v>
      </c>
      <c r="D2595">
        <v>12</v>
      </c>
      <c r="E2595">
        <v>2.84</v>
      </c>
      <c r="F2595">
        <v>2.44</v>
      </c>
      <c r="G2595" s="13">
        <v>44533</v>
      </c>
      <c r="H2595" s="13"/>
      <c r="I2595" s="22" t="str">
        <f>VLOOKUP(J2595, Dropdowns!N:O, 2, FALSE)</f>
        <v>Standard</v>
      </c>
      <c r="J2595" t="s">
        <v>761</v>
      </c>
      <c r="L2595" s="17" t="s">
        <v>732</v>
      </c>
      <c r="M2595" s="17" t="s">
        <v>736</v>
      </c>
      <c r="N2595" s="17" t="s">
        <v>736</v>
      </c>
    </row>
    <row r="2596" spans="1:14" x14ac:dyDescent="0.25">
      <c r="A2596" s="8">
        <v>984541</v>
      </c>
      <c r="B2596" s="22" t="str">
        <f>IFERROR(VLOOKUP(A2596,VLOOKUPS!$A$2:B$12589,2,FALSE),"")</f>
        <v>Blueberries 1pt-standard</v>
      </c>
      <c r="G2596" s="13">
        <v>44531</v>
      </c>
      <c r="H2596" s="13">
        <v>44537</v>
      </c>
      <c r="I2596" s="22" t="str">
        <f>VLOOKUP(J2596, Dropdowns!N:O, 2, FALSE)</f>
        <v>Lower Price</v>
      </c>
      <c r="J2596" t="s">
        <v>753</v>
      </c>
      <c r="L2596" s="17" t="s">
        <v>732</v>
      </c>
      <c r="M2596" s="17" t="s">
        <v>736</v>
      </c>
      <c r="N2596" s="17" t="s">
        <v>736</v>
      </c>
    </row>
    <row r="2597" spans="1:14" x14ac:dyDescent="0.25">
      <c r="A2597" s="8">
        <v>988620</v>
      </c>
      <c r="B2597" s="22" t="str">
        <f>IFERROR(VLOOKUP(A2597,VLOOKUPS!$A$2:B$12589,2,FALSE),"")</f>
        <v>Brussels Sprouts 1lb-standard</v>
      </c>
      <c r="G2597" s="13">
        <v>44531</v>
      </c>
      <c r="H2597" s="13">
        <v>44537</v>
      </c>
      <c r="I2597" s="22" t="str">
        <f>VLOOKUP(J2597, Dropdowns!N:O, 2, FALSE)</f>
        <v>Lower Price</v>
      </c>
      <c r="J2597" t="s">
        <v>753</v>
      </c>
      <c r="L2597" s="17" t="s">
        <v>732</v>
      </c>
      <c r="M2597" s="17" t="s">
        <v>736</v>
      </c>
      <c r="N2597" s="17" t="s">
        <v>736</v>
      </c>
    </row>
    <row r="2598" spans="1:14" x14ac:dyDescent="0.25">
      <c r="A2598" s="8">
        <v>995162</v>
      </c>
      <c r="B2598" s="22" t="str">
        <f>IFERROR(VLOOKUP(A2598,VLOOKUPS!$A$2:B$12589,2,FALSE),"")</f>
        <v>Buffalo Ranch Salad Kit 12oz-standard</v>
      </c>
      <c r="E2598">
        <v>3.49</v>
      </c>
      <c r="F2598">
        <v>2.4900000000000002</v>
      </c>
      <c r="G2598" s="13">
        <v>44531</v>
      </c>
      <c r="H2598" s="13">
        <v>44532</v>
      </c>
      <c r="I2598" s="22" t="str">
        <f>VLOOKUP(J2598, Dropdowns!N:O, 2, FALSE)</f>
        <v>Lower Price</v>
      </c>
      <c r="J2598" t="s">
        <v>759</v>
      </c>
      <c r="L2598" s="17" t="s">
        <v>732</v>
      </c>
      <c r="M2598" s="17" t="s">
        <v>9</v>
      </c>
      <c r="N2598" s="17" t="s">
        <v>736</v>
      </c>
    </row>
    <row r="2599" spans="1:14" x14ac:dyDescent="0.25">
      <c r="A2599" s="8">
        <v>995162</v>
      </c>
      <c r="B2599" s="22" t="str">
        <f>IFERROR(VLOOKUP(A2599,VLOOKUPS!$A$2:B$12589,2,FALSE),"")</f>
        <v>Buffalo Ranch Salad Kit 12oz-standard</v>
      </c>
      <c r="E2599">
        <v>2.4900000000000002</v>
      </c>
      <c r="F2599">
        <v>3.49</v>
      </c>
      <c r="G2599" s="13">
        <v>44533</v>
      </c>
      <c r="H2599" s="13"/>
      <c r="I2599" s="22" t="str">
        <f>VLOOKUP(J2599, Dropdowns!N:O, 2, FALSE)</f>
        <v>Standard</v>
      </c>
      <c r="J2599" t="s">
        <v>760</v>
      </c>
      <c r="L2599" s="17" t="s">
        <v>732</v>
      </c>
      <c r="M2599" s="17" t="s">
        <v>9</v>
      </c>
      <c r="N2599" s="17" t="s">
        <v>736</v>
      </c>
    </row>
    <row r="2600" spans="1:14" x14ac:dyDescent="0.25">
      <c r="A2600" s="8">
        <v>995166</v>
      </c>
      <c r="B2600" s="22" t="str">
        <f>IFERROR(VLOOKUP(A2600,VLOOKUPS!$A$2:B$12589,2,FALSE),"")</f>
        <v>Snow Peas 8oz-standard</v>
      </c>
      <c r="E2600">
        <v>2.68</v>
      </c>
      <c r="F2600">
        <v>1.68</v>
      </c>
      <c r="G2600" s="13">
        <v>44531</v>
      </c>
      <c r="H2600" s="13">
        <v>44532</v>
      </c>
      <c r="I2600" s="22" t="str">
        <f>VLOOKUP(J2600, Dropdowns!N:O, 2, FALSE)</f>
        <v>Lower Price</v>
      </c>
      <c r="J2600" t="s">
        <v>759</v>
      </c>
      <c r="L2600" s="17" t="s">
        <v>733</v>
      </c>
      <c r="M2600" s="17" t="s">
        <v>11</v>
      </c>
      <c r="N2600" s="17" t="s">
        <v>740</v>
      </c>
    </row>
    <row r="2601" spans="1:14" x14ac:dyDescent="0.25">
      <c r="A2601" s="8">
        <v>995166</v>
      </c>
      <c r="B2601" s="22" t="str">
        <f>IFERROR(VLOOKUP(A2601,VLOOKUPS!$A$2:B$12589,2,FALSE),"")</f>
        <v>Snow Peas 8oz-standard</v>
      </c>
      <c r="E2601">
        <v>1.68</v>
      </c>
      <c r="F2601">
        <v>2.68</v>
      </c>
      <c r="G2601" s="13">
        <v>44533</v>
      </c>
      <c r="H2601" s="13"/>
      <c r="I2601" s="22" t="str">
        <f>VLOOKUP(J2601, Dropdowns!N:O, 2, FALSE)</f>
        <v>Standard</v>
      </c>
      <c r="J2601" t="s">
        <v>760</v>
      </c>
      <c r="L2601" s="17" t="s">
        <v>733</v>
      </c>
      <c r="M2601" s="17" t="s">
        <v>11</v>
      </c>
      <c r="N2601" s="17" t="s">
        <v>740</v>
      </c>
    </row>
    <row r="2602" spans="1:14" x14ac:dyDescent="0.25">
      <c r="A2602" s="8">
        <v>982800</v>
      </c>
      <c r="B2602" s="22" t="str">
        <f>IFERROR(VLOOKUP(A2602,VLOOKUPS!$A$2:B$12589,2,FALSE),"")</f>
        <v>Organic* Grapes Red Seedless 2lb-standard</v>
      </c>
      <c r="D2602">
        <v>10</v>
      </c>
      <c r="F2602">
        <v>5.29</v>
      </c>
      <c r="G2602" s="13">
        <v>44531</v>
      </c>
      <c r="H2602" s="13"/>
      <c r="I2602" s="22" t="str">
        <f>VLOOKUP(J2602, Dropdowns!N:O, 2, FALSE)</f>
        <v>NA</v>
      </c>
      <c r="J2602" t="s">
        <v>754</v>
      </c>
      <c r="L2602" s="17" t="s">
        <v>732</v>
      </c>
      <c r="M2602" s="17" t="s">
        <v>735</v>
      </c>
      <c r="N2602" s="17" t="s">
        <v>736</v>
      </c>
    </row>
    <row r="2603" spans="1:14" x14ac:dyDescent="0.25">
      <c r="A2603" s="8">
        <v>982650</v>
      </c>
      <c r="B2603" s="22" t="str">
        <f>IFERROR(VLOOKUP(A2603,VLOOKUPS!$A$2:B$12589,2,FALSE),"")</f>
        <v>Grapes* Green Seedless 1lb-LOOSE</v>
      </c>
      <c r="G2603" s="13">
        <v>44531</v>
      </c>
      <c r="H2603" s="13">
        <v>44531</v>
      </c>
      <c r="I2603" s="22" t="str">
        <f>VLOOKUP(J2603, Dropdowns!N:O, 2, FALSE)</f>
        <v>Lower Price</v>
      </c>
      <c r="J2603" t="s">
        <v>762</v>
      </c>
      <c r="L2603" s="17" t="s">
        <v>732</v>
      </c>
      <c r="M2603" s="17" t="s">
        <v>738</v>
      </c>
      <c r="N2603" s="17">
        <v>2</v>
      </c>
    </row>
    <row r="2604" spans="1:14" x14ac:dyDescent="0.25">
      <c r="A2604" s="8">
        <v>982650</v>
      </c>
      <c r="B2604" s="22" t="str">
        <f>IFERROR(VLOOKUP(A2604,VLOOKUPS!$A$2:B$12589,2,FALSE),"")</f>
        <v>Grapes* Green Seedless 1lb-LOOSE</v>
      </c>
      <c r="E2604">
        <v>0.99</v>
      </c>
      <c r="F2604">
        <v>1.54</v>
      </c>
      <c r="G2604" s="13">
        <v>44531</v>
      </c>
      <c r="H2604" s="13"/>
      <c r="I2604" s="22" t="str">
        <f>VLOOKUP(J2604, Dropdowns!N:O, 2, FALSE)</f>
        <v>Standard</v>
      </c>
      <c r="J2604" t="s">
        <v>760</v>
      </c>
      <c r="L2604" s="17" t="s">
        <v>732</v>
      </c>
      <c r="M2604" s="17" t="s">
        <v>736</v>
      </c>
      <c r="N2604" s="17" t="s">
        <v>736</v>
      </c>
    </row>
    <row r="2605" spans="1:14" x14ac:dyDescent="0.25">
      <c r="A2605" s="8">
        <v>982830</v>
      </c>
      <c r="B2605" s="22" t="str">
        <f>IFERROR(VLOOKUP(A2605,VLOOKUPS!$A$2:B$12589,2,FALSE),"")</f>
        <v>Grapes* Black Seedless 1lb-LOOSE</v>
      </c>
      <c r="E2605">
        <v>1.88</v>
      </c>
      <c r="F2605">
        <v>1.29</v>
      </c>
      <c r="G2605" s="13">
        <v>44531</v>
      </c>
      <c r="H2605" s="13">
        <v>44532</v>
      </c>
      <c r="I2605" s="22" t="str">
        <f>VLOOKUP(J2605, Dropdowns!N:O, 2, FALSE)</f>
        <v>Lower Price</v>
      </c>
      <c r="J2605" t="s">
        <v>759</v>
      </c>
      <c r="L2605" s="17" t="s">
        <v>732</v>
      </c>
      <c r="M2605" s="17" t="s">
        <v>9</v>
      </c>
      <c r="N2605" s="17" t="s">
        <v>736</v>
      </c>
    </row>
    <row r="2606" spans="1:14" x14ac:dyDescent="0.25">
      <c r="A2606" s="8">
        <v>982830</v>
      </c>
      <c r="B2606" s="22" t="str">
        <f>IFERROR(VLOOKUP(A2606,VLOOKUPS!$A$2:B$12589,2,FALSE),"")</f>
        <v>Grapes* Black Seedless 1lb-LOOSE</v>
      </c>
      <c r="E2606">
        <v>1.29</v>
      </c>
      <c r="F2606">
        <v>1.88</v>
      </c>
      <c r="G2606" s="13">
        <v>44533</v>
      </c>
      <c r="H2606" s="13"/>
      <c r="I2606" s="22" t="str">
        <f>VLOOKUP(J2606, Dropdowns!N:O, 2, FALSE)</f>
        <v>Standard</v>
      </c>
      <c r="J2606" t="s">
        <v>760</v>
      </c>
      <c r="L2606" s="17" t="s">
        <v>732</v>
      </c>
      <c r="M2606" s="17" t="s">
        <v>9</v>
      </c>
      <c r="N2606" s="17" t="s">
        <v>736</v>
      </c>
    </row>
    <row r="2607" spans="1:14" x14ac:dyDescent="0.25">
      <c r="A2607" s="8">
        <v>984542</v>
      </c>
      <c r="B2607" s="22" t="str">
        <f>IFERROR(VLOOKUP(A2607,VLOOKUPS!$A$2:B$12589,2,FALSE),"")</f>
        <v>Blueberries 18oz-standard</v>
      </c>
      <c r="E2607">
        <v>4.29</v>
      </c>
      <c r="F2607">
        <v>4.1900000000000004</v>
      </c>
      <c r="G2607" s="13">
        <v>44532</v>
      </c>
      <c r="H2607" s="13"/>
      <c r="I2607" s="22" t="str">
        <f>VLOOKUP(J2607, Dropdowns!N:O, 2, FALSE)</f>
        <v>Standard</v>
      </c>
      <c r="J2607" t="s">
        <v>761</v>
      </c>
      <c r="L2607" s="17" t="s">
        <v>732</v>
      </c>
      <c r="M2607" s="17" t="s">
        <v>736</v>
      </c>
      <c r="N2607" s="17" t="s">
        <v>736</v>
      </c>
    </row>
    <row r="2608" spans="1:14" x14ac:dyDescent="0.25">
      <c r="A2608" s="8">
        <v>995021</v>
      </c>
      <c r="B2608" s="22" t="str">
        <f>IFERROR(VLOOKUP(A2608,VLOOKUPS!$A$2:B$12589,2,FALSE),"")</f>
        <v>Chopped Bacon Caesar Kit 10.2oz-standard</v>
      </c>
      <c r="E2608">
        <v>3.49</v>
      </c>
      <c r="F2608">
        <v>2.4900000000000002</v>
      </c>
      <c r="G2608" s="13">
        <v>44532</v>
      </c>
      <c r="H2608" s="13">
        <v>44533</v>
      </c>
      <c r="I2608" s="22" t="str">
        <f>VLOOKUP(J2608, Dropdowns!N:O, 2, FALSE)</f>
        <v>Lower Price</v>
      </c>
      <c r="J2608" t="s">
        <v>759</v>
      </c>
      <c r="L2608" s="17" t="s">
        <v>733</v>
      </c>
      <c r="M2608" s="17" t="s">
        <v>11</v>
      </c>
      <c r="N2608" s="17" t="s">
        <v>740</v>
      </c>
    </row>
    <row r="2609" spans="1:14" x14ac:dyDescent="0.25">
      <c r="A2609" s="8">
        <v>995021</v>
      </c>
      <c r="B2609" s="22" t="str">
        <f>IFERROR(VLOOKUP(A2609,VLOOKUPS!$A$2:B$12589,2,FALSE),"")</f>
        <v>Chopped Bacon Caesar Kit 10.2oz-standard</v>
      </c>
      <c r="E2609">
        <v>2.4900000000000002</v>
      </c>
      <c r="F2609">
        <v>3.49</v>
      </c>
      <c r="G2609" s="13">
        <v>44534</v>
      </c>
      <c r="H2609" s="13"/>
      <c r="I2609" s="22" t="str">
        <f>VLOOKUP(J2609, Dropdowns!N:O, 2, FALSE)</f>
        <v>Standard</v>
      </c>
      <c r="J2609" t="s">
        <v>760</v>
      </c>
      <c r="L2609" s="17" t="s">
        <v>733</v>
      </c>
      <c r="M2609" s="17" t="s">
        <v>11</v>
      </c>
      <c r="N2609" s="17" t="s">
        <v>740</v>
      </c>
    </row>
    <row r="2610" spans="1:14" x14ac:dyDescent="0.25">
      <c r="A2610" s="8">
        <v>995162</v>
      </c>
      <c r="B2610" s="22" t="str">
        <f>IFERROR(VLOOKUP(A2610,VLOOKUPS!$A$2:B$12589,2,FALSE),"")</f>
        <v>Buffalo Ranch Salad Kit 12oz-standard</v>
      </c>
      <c r="E2610">
        <v>3.49</v>
      </c>
      <c r="F2610">
        <v>2.4900000000000002</v>
      </c>
      <c r="G2610" s="13">
        <v>44532</v>
      </c>
      <c r="H2610" s="13">
        <v>44533</v>
      </c>
      <c r="I2610" s="22" t="str">
        <f>VLOOKUP(J2610, Dropdowns!N:O, 2, FALSE)</f>
        <v>Lower Price</v>
      </c>
      <c r="J2610" t="s">
        <v>759</v>
      </c>
      <c r="L2610" s="17" t="s">
        <v>732</v>
      </c>
      <c r="M2610" s="17" t="s">
        <v>10</v>
      </c>
      <c r="N2610" s="17">
        <v>2</v>
      </c>
    </row>
    <row r="2611" spans="1:14" x14ac:dyDescent="0.25">
      <c r="A2611" s="8">
        <v>995162</v>
      </c>
      <c r="B2611" s="22" t="str">
        <f>IFERROR(VLOOKUP(A2611,VLOOKUPS!$A$2:B$12589,2,FALSE),"")</f>
        <v>Buffalo Ranch Salad Kit 12oz-standard</v>
      </c>
      <c r="E2611">
        <v>2.4900000000000002</v>
      </c>
      <c r="F2611">
        <v>3.49</v>
      </c>
      <c r="G2611" s="13">
        <v>44534</v>
      </c>
      <c r="H2611" s="13"/>
      <c r="I2611" s="22" t="str">
        <f>VLOOKUP(J2611, Dropdowns!N:O, 2, FALSE)</f>
        <v>Standard</v>
      </c>
      <c r="J2611" t="s">
        <v>760</v>
      </c>
      <c r="L2611" s="17" t="s">
        <v>732</v>
      </c>
      <c r="M2611" s="17" t="s">
        <v>10</v>
      </c>
      <c r="N2611" s="17">
        <v>2</v>
      </c>
    </row>
    <row r="2612" spans="1:14" x14ac:dyDescent="0.25">
      <c r="A2612" s="8">
        <v>980500</v>
      </c>
      <c r="B2612" s="22" t="str">
        <f>IFERROR(VLOOKUP(A2612,VLOOKUPS!$A$2:B$12589,2,FALSE),"")</f>
        <v>Mandarins 3lb-standard</v>
      </c>
      <c r="E2612">
        <v>3.99</v>
      </c>
      <c r="F2612">
        <v>2.99</v>
      </c>
      <c r="G2612" s="13">
        <v>44532</v>
      </c>
      <c r="H2612" s="13">
        <v>44533</v>
      </c>
      <c r="I2612" s="22" t="str">
        <f>VLOOKUP(J2612, Dropdowns!N:O, 2, FALSE)</f>
        <v>Lower Price</v>
      </c>
      <c r="J2612" t="s">
        <v>759</v>
      </c>
      <c r="L2612" s="17" t="s">
        <v>732</v>
      </c>
      <c r="M2612" s="17" t="s">
        <v>738</v>
      </c>
      <c r="N2612" s="17">
        <v>2</v>
      </c>
    </row>
    <row r="2613" spans="1:14" x14ac:dyDescent="0.25">
      <c r="A2613" s="8">
        <v>980500</v>
      </c>
      <c r="B2613" s="22" t="str">
        <f>IFERROR(VLOOKUP(A2613,VLOOKUPS!$A$2:B$12589,2,FALSE),"")</f>
        <v>Mandarins 3lb-standard</v>
      </c>
      <c r="E2613">
        <v>2.99</v>
      </c>
      <c r="F2613">
        <v>3.99</v>
      </c>
      <c r="G2613" s="13">
        <v>44534</v>
      </c>
      <c r="H2613" s="13"/>
      <c r="I2613" s="22" t="str">
        <f>VLOOKUP(J2613, Dropdowns!N:O, 2, FALSE)</f>
        <v>Standard</v>
      </c>
      <c r="J2613" t="s">
        <v>760</v>
      </c>
      <c r="L2613" s="17" t="s">
        <v>732</v>
      </c>
      <c r="M2613" s="17" t="s">
        <v>738</v>
      </c>
      <c r="N2613" s="17">
        <v>2</v>
      </c>
    </row>
    <row r="2614" spans="1:14" x14ac:dyDescent="0.25">
      <c r="A2614" s="8">
        <v>981220</v>
      </c>
      <c r="B2614" s="22" t="str">
        <f>IFERROR(VLOOKUP(A2614,VLOOKUPS!$A$2:B$12589,2,FALSE),"")</f>
        <v>Apples Gala 3lb-standard</v>
      </c>
      <c r="E2614">
        <v>3.57</v>
      </c>
      <c r="F2614">
        <v>2.67</v>
      </c>
      <c r="G2614" s="13">
        <v>44532</v>
      </c>
      <c r="H2614" s="13">
        <v>44533</v>
      </c>
      <c r="I2614" s="22" t="str">
        <f>VLOOKUP(J2614, Dropdowns!N:O, 2, FALSE)</f>
        <v>Lower Price</v>
      </c>
      <c r="J2614" t="s">
        <v>759</v>
      </c>
      <c r="L2614" s="17" t="s">
        <v>732</v>
      </c>
      <c r="M2614" s="17" t="s">
        <v>738</v>
      </c>
      <c r="N2614" s="17">
        <v>2</v>
      </c>
    </row>
    <row r="2615" spans="1:14" x14ac:dyDescent="0.25">
      <c r="A2615" s="8">
        <v>981220</v>
      </c>
      <c r="B2615" s="22" t="str">
        <f>IFERROR(VLOOKUP(A2615,VLOOKUPS!$A$2:B$12589,2,FALSE),"")</f>
        <v>Apples Gala 3lb-standard</v>
      </c>
      <c r="E2615">
        <v>2.67</v>
      </c>
      <c r="F2615">
        <v>3.57</v>
      </c>
      <c r="G2615" s="13">
        <v>44534</v>
      </c>
      <c r="H2615" s="13"/>
      <c r="I2615" s="22" t="str">
        <f>VLOOKUP(J2615, Dropdowns!N:O, 2, FALSE)</f>
        <v>Standard</v>
      </c>
      <c r="J2615" t="s">
        <v>760</v>
      </c>
      <c r="L2615" s="17" t="s">
        <v>732</v>
      </c>
      <c r="M2615" s="17" t="s">
        <v>738</v>
      </c>
      <c r="N2615" s="17">
        <v>2</v>
      </c>
    </row>
    <row r="2616" spans="1:14" x14ac:dyDescent="0.25">
      <c r="A2616" s="8">
        <v>981670</v>
      </c>
      <c r="B2616" s="22" t="str">
        <f>IFERROR(VLOOKUP(A2616,VLOOKUPS!$A$2:B$12589,2,FALSE),"")</f>
        <v>Organic Apples Honeycrisp 2lb-standard</v>
      </c>
      <c r="E2616">
        <v>6.89</v>
      </c>
      <c r="F2616">
        <v>4.8899999999999997</v>
      </c>
      <c r="G2616" s="13">
        <v>44532</v>
      </c>
      <c r="H2616" s="13">
        <v>44533</v>
      </c>
      <c r="I2616" s="22" t="str">
        <f>VLOOKUP(J2616, Dropdowns!N:O, 2, FALSE)</f>
        <v>Lower Price</v>
      </c>
      <c r="J2616" t="s">
        <v>759</v>
      </c>
      <c r="L2616" s="17" t="s">
        <v>732</v>
      </c>
      <c r="M2616" s="17" t="s">
        <v>736</v>
      </c>
      <c r="N2616" s="17" t="s">
        <v>736</v>
      </c>
    </row>
    <row r="2617" spans="1:14" x14ac:dyDescent="0.25">
      <c r="A2617" s="8">
        <v>981670</v>
      </c>
      <c r="B2617" s="22" t="str">
        <f>IFERROR(VLOOKUP(A2617,VLOOKUPS!$A$2:B$12589,2,FALSE),"")</f>
        <v>Organic Apples Honeycrisp 2lb-standard</v>
      </c>
      <c r="E2617">
        <v>4.8899999999999997</v>
      </c>
      <c r="F2617">
        <v>6.89</v>
      </c>
      <c r="G2617" s="13">
        <v>44534</v>
      </c>
      <c r="H2617" s="13"/>
      <c r="I2617" s="22" t="str">
        <f>VLOOKUP(J2617, Dropdowns!N:O, 2, FALSE)</f>
        <v>Standard</v>
      </c>
      <c r="J2617" t="s">
        <v>760</v>
      </c>
      <c r="L2617" s="17" t="s">
        <v>732</v>
      </c>
      <c r="M2617" s="17" t="s">
        <v>736</v>
      </c>
      <c r="N2617" s="17" t="s">
        <v>736</v>
      </c>
    </row>
    <row r="2618" spans="1:14" x14ac:dyDescent="0.25">
      <c r="A2618" s="8">
        <v>985605</v>
      </c>
      <c r="B2618" s="22" t="str">
        <f>IFERROR(VLOOKUP(A2618,VLOOKUPS!$A$2:B$12589,2,FALSE),"")</f>
        <v>Cucumbers* Long English 1ct-LOOSE</v>
      </c>
      <c r="G2618" s="13">
        <v>44532</v>
      </c>
      <c r="H2618" s="13">
        <v>44532</v>
      </c>
      <c r="I2618" s="22" t="str">
        <f>VLOOKUP(J2618, Dropdowns!N:O, 2, FALSE)</f>
        <v>Lower Price</v>
      </c>
      <c r="J2618" t="s">
        <v>762</v>
      </c>
      <c r="L2618" s="17" t="s">
        <v>732</v>
      </c>
      <c r="M2618" s="17" t="s">
        <v>735</v>
      </c>
      <c r="N2618" s="17" t="s">
        <v>736</v>
      </c>
    </row>
    <row r="2619" spans="1:14" x14ac:dyDescent="0.25">
      <c r="A2619" s="8">
        <v>986400</v>
      </c>
      <c r="B2619" s="22" t="str">
        <f>IFERROR(VLOOKUP(A2619,VLOOKUPS!$A$2:B$12589,2,FALSE),"")</f>
        <v>Tomatoes* on the Vine 1lb-LOOSE</v>
      </c>
      <c r="G2619" s="13">
        <v>44532</v>
      </c>
      <c r="H2619" s="13">
        <v>44532</v>
      </c>
      <c r="I2619" s="22" t="str">
        <f>VLOOKUP(J2619, Dropdowns!N:O, 2, FALSE)</f>
        <v>Lower Price</v>
      </c>
      <c r="J2619" t="s">
        <v>762</v>
      </c>
      <c r="L2619" s="17" t="s">
        <v>733</v>
      </c>
      <c r="M2619" s="17" t="s">
        <v>11</v>
      </c>
      <c r="N2619" s="17" t="s">
        <v>740</v>
      </c>
    </row>
    <row r="2620" spans="1:14" x14ac:dyDescent="0.25">
      <c r="A2620" s="8">
        <v>980210</v>
      </c>
      <c r="B2620" s="22" t="str">
        <f>IFERROR(VLOOKUP(A2620,VLOOKUPS!$A$2:B$12589,2,FALSE),"")</f>
        <v>Oranges Navel 4lb-standard</v>
      </c>
      <c r="G2620" s="13">
        <v>44532</v>
      </c>
      <c r="H2620" s="13">
        <v>44532</v>
      </c>
      <c r="I2620" s="22" t="str">
        <f>VLOOKUP(J2620, Dropdowns!N:O, 2, FALSE)</f>
        <v>Lower Price</v>
      </c>
      <c r="J2620" t="s">
        <v>762</v>
      </c>
      <c r="L2620" s="17" t="s">
        <v>733</v>
      </c>
      <c r="M2620" s="17" t="s">
        <v>11</v>
      </c>
      <c r="N2620" s="17" t="s">
        <v>740</v>
      </c>
    </row>
    <row r="2621" spans="1:14" x14ac:dyDescent="0.25">
      <c r="A2621" s="8">
        <v>988490</v>
      </c>
      <c r="B2621" s="22" t="str">
        <f>IFERROR(VLOOKUP(A2621,VLOOKUPS!$A$2:B$12589,2,FALSE),"")</f>
        <v>Cabbage* 1lb-LOOSE</v>
      </c>
      <c r="G2621" s="13">
        <v>44532</v>
      </c>
      <c r="H2621" s="13">
        <v>44532</v>
      </c>
      <c r="I2621" s="22" t="str">
        <f>VLOOKUP(J2621, Dropdowns!N:O, 2, FALSE)</f>
        <v>Lower Price</v>
      </c>
      <c r="J2621" t="s">
        <v>762</v>
      </c>
      <c r="L2621" s="17" t="s">
        <v>732</v>
      </c>
      <c r="M2621" s="17" t="s">
        <v>738</v>
      </c>
      <c r="N2621" s="17">
        <v>2</v>
      </c>
    </row>
    <row r="2622" spans="1:14" x14ac:dyDescent="0.25">
      <c r="A2622" s="8">
        <v>982740</v>
      </c>
      <c r="B2622" s="22" t="str">
        <f>IFERROR(VLOOKUP(A2622,VLOOKUPS!$A$2:B$12589,2,FALSE),"")</f>
        <v>Grapes* Red Seedless 1lb-LOOSE</v>
      </c>
      <c r="E2622">
        <v>0.96</v>
      </c>
      <c r="F2622">
        <v>1.56</v>
      </c>
      <c r="G2622" s="13">
        <v>44534</v>
      </c>
      <c r="H2622" s="13"/>
      <c r="I2622" s="22" t="str">
        <f>VLOOKUP(J2622, Dropdowns!N:O, 2, FALSE)</f>
        <v>Standard</v>
      </c>
      <c r="J2622" t="s">
        <v>760</v>
      </c>
      <c r="L2622" s="17" t="s">
        <v>732</v>
      </c>
      <c r="M2622" s="17" t="s">
        <v>9</v>
      </c>
      <c r="N2622" s="17" t="s">
        <v>736</v>
      </c>
    </row>
    <row r="2623" spans="1:14" x14ac:dyDescent="0.25">
      <c r="A2623" s="8">
        <v>984460</v>
      </c>
      <c r="B2623" s="22" t="str">
        <f>IFERROR(VLOOKUP(A2623,VLOOKUPS!$A$2:B$12589,2,FALSE),"")</f>
        <v>Strawberries 1lb-standard</v>
      </c>
      <c r="E2623">
        <v>3.59</v>
      </c>
      <c r="F2623">
        <v>2.59</v>
      </c>
      <c r="G2623" s="13">
        <v>44533</v>
      </c>
      <c r="H2623" s="13">
        <v>44534</v>
      </c>
      <c r="I2623" s="22" t="str">
        <f>VLOOKUP(J2623, Dropdowns!N:O, 2, FALSE)</f>
        <v>Lower Price</v>
      </c>
      <c r="J2623" t="s">
        <v>759</v>
      </c>
      <c r="L2623" s="17" t="s">
        <v>732</v>
      </c>
      <c r="M2623" s="17" t="s">
        <v>9</v>
      </c>
      <c r="N2623" s="17" t="s">
        <v>736</v>
      </c>
    </row>
    <row r="2624" spans="1:14" x14ac:dyDescent="0.25">
      <c r="A2624" s="8">
        <v>984460</v>
      </c>
      <c r="B2624" s="22" t="str">
        <f>IFERROR(VLOOKUP(A2624,VLOOKUPS!$A$2:B$12589,2,FALSE),"")</f>
        <v>Strawberries 1lb-standard</v>
      </c>
      <c r="E2624">
        <v>2.59</v>
      </c>
      <c r="F2624">
        <v>3.59</v>
      </c>
      <c r="G2624" s="13">
        <v>44535</v>
      </c>
      <c r="H2624" s="13"/>
      <c r="I2624" s="22" t="str">
        <f>VLOOKUP(J2624, Dropdowns!N:O, 2, FALSE)</f>
        <v>Standard</v>
      </c>
      <c r="J2624" t="s">
        <v>760</v>
      </c>
      <c r="L2624" s="17" t="s">
        <v>732</v>
      </c>
      <c r="M2624" s="17" t="s">
        <v>9</v>
      </c>
      <c r="N2624" s="17" t="s">
        <v>736</v>
      </c>
    </row>
    <row r="2625" spans="1:14" x14ac:dyDescent="0.25">
      <c r="A2625" s="8">
        <v>984542</v>
      </c>
      <c r="B2625" s="22" t="str">
        <f>IFERROR(VLOOKUP(A2625,VLOOKUPS!$A$2:B$12589,2,FALSE),"")</f>
        <v>Blueberries 18oz-standard</v>
      </c>
      <c r="E2625">
        <v>4.1900000000000004</v>
      </c>
      <c r="F2625">
        <v>4.18</v>
      </c>
      <c r="G2625" s="13">
        <v>44533</v>
      </c>
      <c r="H2625" s="13"/>
      <c r="I2625" s="22" t="str">
        <f>VLOOKUP(J2625, Dropdowns!N:O, 2, FALSE)</f>
        <v>Standard</v>
      </c>
      <c r="J2625" t="s">
        <v>761</v>
      </c>
      <c r="L2625" s="17" t="s">
        <v>732</v>
      </c>
      <c r="M2625" s="17" t="s">
        <v>736</v>
      </c>
      <c r="N2625" s="17" t="s">
        <v>736</v>
      </c>
    </row>
    <row r="2626" spans="1:14" x14ac:dyDescent="0.25">
      <c r="A2626" s="8">
        <v>995053</v>
      </c>
      <c r="B2626" s="22" t="str">
        <f>IFERROR(VLOOKUP(A2626,VLOOKUPS!$A$2:B$12589,2,FALSE),"")</f>
        <v>Fresh Chopped Salsa Pico 16oz-standard</v>
      </c>
      <c r="E2626">
        <v>4.49</v>
      </c>
      <c r="F2626">
        <v>3.49</v>
      </c>
      <c r="G2626" s="13">
        <v>44533</v>
      </c>
      <c r="H2626" s="13">
        <v>44534</v>
      </c>
      <c r="I2626" s="22" t="str">
        <f>VLOOKUP(J2626, Dropdowns!N:O, 2, FALSE)</f>
        <v>Lower Price</v>
      </c>
      <c r="J2626" t="s">
        <v>759</v>
      </c>
      <c r="L2626" s="17" t="s">
        <v>732</v>
      </c>
      <c r="M2626" s="17" t="s">
        <v>9</v>
      </c>
      <c r="N2626" s="17" t="s">
        <v>736</v>
      </c>
    </row>
    <row r="2627" spans="1:14" x14ac:dyDescent="0.25">
      <c r="A2627" s="8">
        <v>995053</v>
      </c>
      <c r="B2627" s="22" t="str">
        <f>IFERROR(VLOOKUP(A2627,VLOOKUPS!$A$2:B$12589,2,FALSE),"")</f>
        <v>Fresh Chopped Salsa Pico 16oz-standard</v>
      </c>
      <c r="E2627">
        <v>3.49</v>
      </c>
      <c r="F2627">
        <v>4.49</v>
      </c>
      <c r="G2627" s="13">
        <v>44535</v>
      </c>
      <c r="H2627" s="13"/>
      <c r="I2627" s="22" t="str">
        <f>VLOOKUP(J2627, Dropdowns!N:O, 2, FALSE)</f>
        <v>Standard</v>
      </c>
      <c r="J2627" t="s">
        <v>760</v>
      </c>
      <c r="L2627" s="17" t="s">
        <v>732</v>
      </c>
      <c r="M2627" s="17" t="s">
        <v>9</v>
      </c>
      <c r="N2627" s="17" t="s">
        <v>736</v>
      </c>
    </row>
    <row r="2628" spans="1:14" x14ac:dyDescent="0.25">
      <c r="A2628" s="8">
        <v>995102</v>
      </c>
      <c r="B2628" s="22" t="str">
        <f>IFERROR(VLOOKUP(A2628,VLOOKUPS!$A$2:B$12589,2,FALSE),"")</f>
        <v>Cantaloupe Chunks 16oz-standard</v>
      </c>
      <c r="E2628">
        <v>3.49</v>
      </c>
      <c r="F2628">
        <v>2.4900000000000002</v>
      </c>
      <c r="G2628" s="13">
        <v>44533</v>
      </c>
      <c r="H2628" s="13">
        <v>44534</v>
      </c>
      <c r="I2628" s="22" t="str">
        <f>VLOOKUP(J2628, Dropdowns!N:O, 2, FALSE)</f>
        <v>Lower Price</v>
      </c>
      <c r="J2628" t="s">
        <v>759</v>
      </c>
      <c r="L2628" s="17" t="s">
        <v>732</v>
      </c>
      <c r="M2628" s="17" t="s">
        <v>9</v>
      </c>
      <c r="N2628" s="17" t="s">
        <v>736</v>
      </c>
    </row>
    <row r="2629" spans="1:14" x14ac:dyDescent="0.25">
      <c r="A2629" s="8">
        <v>995102</v>
      </c>
      <c r="B2629" s="22" t="str">
        <f>IFERROR(VLOOKUP(A2629,VLOOKUPS!$A$2:B$12589,2,FALSE),"")</f>
        <v>Cantaloupe Chunks 16oz-standard</v>
      </c>
      <c r="E2629">
        <v>2.4900000000000002</v>
      </c>
      <c r="F2629">
        <v>3.49</v>
      </c>
      <c r="G2629" s="13">
        <v>44535</v>
      </c>
      <c r="H2629" s="13"/>
      <c r="I2629" s="22" t="str">
        <f>VLOOKUP(J2629, Dropdowns!N:O, 2, FALSE)</f>
        <v>Standard</v>
      </c>
      <c r="J2629" t="s">
        <v>760</v>
      </c>
      <c r="L2629" s="17" t="s">
        <v>732</v>
      </c>
      <c r="M2629" s="17" t="s">
        <v>9</v>
      </c>
      <c r="N2629" s="17" t="s">
        <v>736</v>
      </c>
    </row>
    <row r="2630" spans="1:14" x14ac:dyDescent="0.25">
      <c r="A2630" s="8">
        <v>995115</v>
      </c>
      <c r="B2630" s="22" t="str">
        <f>IFERROR(VLOOKUP(A2630,VLOOKUPS!$A$2:B$12589,2,FALSE),"")</f>
        <v>Pineapple Chunks 10oz-standard</v>
      </c>
      <c r="E2630">
        <v>2.58</v>
      </c>
      <c r="F2630">
        <v>1.58</v>
      </c>
      <c r="G2630" s="13">
        <v>44533</v>
      </c>
      <c r="H2630" s="13">
        <v>44534</v>
      </c>
      <c r="I2630" s="22" t="str">
        <f>VLOOKUP(J2630, Dropdowns!N:O, 2, FALSE)</f>
        <v>Lower Price</v>
      </c>
      <c r="J2630" t="s">
        <v>759</v>
      </c>
      <c r="L2630" s="17" t="s">
        <v>732</v>
      </c>
      <c r="M2630" s="17" t="s">
        <v>9</v>
      </c>
      <c r="N2630" s="17" t="s">
        <v>736</v>
      </c>
    </row>
    <row r="2631" spans="1:14" x14ac:dyDescent="0.25">
      <c r="A2631" s="8">
        <v>995115</v>
      </c>
      <c r="B2631" s="22" t="str">
        <f>IFERROR(VLOOKUP(A2631,VLOOKUPS!$A$2:B$12589,2,FALSE),"")</f>
        <v>Pineapple Chunks 10oz-standard</v>
      </c>
      <c r="E2631">
        <v>1.58</v>
      </c>
      <c r="F2631">
        <v>2.58</v>
      </c>
      <c r="G2631" s="13">
        <v>44535</v>
      </c>
      <c r="H2631" s="13"/>
      <c r="I2631" s="22" t="str">
        <f>VLOOKUP(J2631, Dropdowns!N:O, 2, FALSE)</f>
        <v>Standard</v>
      </c>
      <c r="J2631" t="s">
        <v>760</v>
      </c>
      <c r="L2631" s="17" t="s">
        <v>732</v>
      </c>
      <c r="M2631" s="17" t="s">
        <v>9</v>
      </c>
      <c r="N2631" s="17" t="s">
        <v>736</v>
      </c>
    </row>
    <row r="2632" spans="1:14" x14ac:dyDescent="0.25">
      <c r="A2632" s="8">
        <v>995136</v>
      </c>
      <c r="B2632" s="22" t="str">
        <f>IFERROR(VLOOKUP(A2632,VLOOKUPS!$A$2:B$12589,2,FALSE),"")</f>
        <v>Baby Spinach 11oz-standard</v>
      </c>
      <c r="E2632">
        <v>3.28</v>
      </c>
      <c r="F2632">
        <v>2.2799999999999998</v>
      </c>
      <c r="G2632" s="13">
        <v>44533</v>
      </c>
      <c r="H2632" s="13">
        <v>44534</v>
      </c>
      <c r="I2632" s="22" t="str">
        <f>VLOOKUP(J2632, Dropdowns!N:O, 2, FALSE)</f>
        <v>Lower Price</v>
      </c>
      <c r="J2632" t="s">
        <v>759</v>
      </c>
      <c r="L2632" s="17" t="s">
        <v>732</v>
      </c>
      <c r="M2632" s="17" t="s">
        <v>736</v>
      </c>
      <c r="N2632" s="17" t="s">
        <v>736</v>
      </c>
    </row>
    <row r="2633" spans="1:14" x14ac:dyDescent="0.25">
      <c r="A2633" s="8">
        <v>995136</v>
      </c>
      <c r="B2633" s="22" t="str">
        <f>IFERROR(VLOOKUP(A2633,VLOOKUPS!$A$2:B$12589,2,FALSE),"")</f>
        <v>Baby Spinach 11oz-standard</v>
      </c>
      <c r="E2633">
        <v>2.2799999999999998</v>
      </c>
      <c r="F2633">
        <v>3.28</v>
      </c>
      <c r="G2633" s="13">
        <v>44535</v>
      </c>
      <c r="H2633" s="13"/>
      <c r="I2633" s="22" t="str">
        <f>VLOOKUP(J2633, Dropdowns!N:O, 2, FALSE)</f>
        <v>Standard</v>
      </c>
      <c r="J2633" t="s">
        <v>760</v>
      </c>
      <c r="L2633" s="17" t="s">
        <v>732</v>
      </c>
      <c r="M2633" s="17" t="s">
        <v>736</v>
      </c>
      <c r="N2633" s="17" t="s">
        <v>736</v>
      </c>
    </row>
    <row r="2634" spans="1:14" x14ac:dyDescent="0.25">
      <c r="A2634" s="8">
        <v>995144</v>
      </c>
      <c r="B2634" s="22" t="str">
        <f>IFERROR(VLOOKUP(A2634,VLOOKUPS!$A$2:B$12589,2,FALSE),"")</f>
        <v>Asparagus Spears 10oz-standard</v>
      </c>
      <c r="E2634">
        <v>3.98</v>
      </c>
      <c r="F2634">
        <v>2.98</v>
      </c>
      <c r="G2634" s="13">
        <v>44533</v>
      </c>
      <c r="H2634" s="13">
        <v>44534</v>
      </c>
      <c r="I2634" s="22" t="str">
        <f>VLOOKUP(J2634, Dropdowns!N:O, 2, FALSE)</f>
        <v>Lower Price</v>
      </c>
      <c r="J2634" t="s">
        <v>759</v>
      </c>
      <c r="L2634" s="17" t="s">
        <v>732</v>
      </c>
      <c r="M2634" s="17" t="s">
        <v>10</v>
      </c>
      <c r="N2634" s="17">
        <v>2</v>
      </c>
    </row>
    <row r="2635" spans="1:14" x14ac:dyDescent="0.25">
      <c r="A2635" s="8">
        <v>995144</v>
      </c>
      <c r="B2635" s="22" t="str">
        <f>IFERROR(VLOOKUP(A2635,VLOOKUPS!$A$2:B$12589,2,FALSE),"")</f>
        <v>Asparagus Spears 10oz-standard</v>
      </c>
      <c r="E2635">
        <v>2.98</v>
      </c>
      <c r="F2635">
        <v>3.98</v>
      </c>
      <c r="G2635" s="13">
        <v>44535</v>
      </c>
      <c r="H2635" s="13"/>
      <c r="I2635" s="22" t="str">
        <f>VLOOKUP(J2635, Dropdowns!N:O, 2, FALSE)</f>
        <v>Standard</v>
      </c>
      <c r="J2635" t="s">
        <v>760</v>
      </c>
      <c r="L2635" s="17" t="s">
        <v>732</v>
      </c>
      <c r="M2635" s="17" t="s">
        <v>10</v>
      </c>
      <c r="N2635" s="17">
        <v>2</v>
      </c>
    </row>
    <row r="2636" spans="1:14" x14ac:dyDescent="0.25">
      <c r="A2636" s="8">
        <v>995162</v>
      </c>
      <c r="B2636" s="22" t="str">
        <f>IFERROR(VLOOKUP(A2636,VLOOKUPS!$A$2:B$12589,2,FALSE),"")</f>
        <v>Buffalo Ranch Salad Kit 12oz-standard</v>
      </c>
      <c r="E2636">
        <v>3.49</v>
      </c>
      <c r="F2636">
        <v>2.4900000000000002</v>
      </c>
      <c r="G2636" s="13">
        <v>44533</v>
      </c>
      <c r="H2636" s="13">
        <v>44534</v>
      </c>
      <c r="I2636" s="22" t="str">
        <f>VLOOKUP(J2636, Dropdowns!N:O, 2, FALSE)</f>
        <v>Lower Price</v>
      </c>
      <c r="J2636" t="s">
        <v>759</v>
      </c>
      <c r="L2636" s="17" t="s">
        <v>733</v>
      </c>
      <c r="M2636" s="17" t="s">
        <v>11</v>
      </c>
      <c r="N2636" s="17" t="s">
        <v>740</v>
      </c>
    </row>
    <row r="2637" spans="1:14" x14ac:dyDescent="0.25">
      <c r="A2637" s="8">
        <v>995162</v>
      </c>
      <c r="B2637" s="22" t="str">
        <f>IFERROR(VLOOKUP(A2637,VLOOKUPS!$A$2:B$12589,2,FALSE),"")</f>
        <v>Buffalo Ranch Salad Kit 12oz-standard</v>
      </c>
      <c r="E2637">
        <v>2.4900000000000002</v>
      </c>
      <c r="F2637">
        <v>3.49</v>
      </c>
      <c r="G2637" s="13">
        <v>44535</v>
      </c>
      <c r="H2637" s="13"/>
      <c r="I2637" s="22" t="str">
        <f>VLOOKUP(J2637, Dropdowns!N:O, 2, FALSE)</f>
        <v>Standard</v>
      </c>
      <c r="J2637" t="s">
        <v>760</v>
      </c>
      <c r="L2637" s="17" t="s">
        <v>733</v>
      </c>
      <c r="M2637" s="17" t="s">
        <v>11</v>
      </c>
      <c r="N2637" s="17" t="s">
        <v>740</v>
      </c>
    </row>
    <row r="2638" spans="1:14" x14ac:dyDescent="0.25">
      <c r="A2638" s="8">
        <v>995163</v>
      </c>
      <c r="B2638" s="22" t="str">
        <f>IFERROR(VLOOKUP(A2638,VLOOKUPS!$A$2:B$12589,2,FALSE),"")</f>
        <v>XL Caesar Salad Kit 15oz-standard</v>
      </c>
      <c r="E2638">
        <v>4.4400000000000004</v>
      </c>
      <c r="F2638">
        <v>3.44</v>
      </c>
      <c r="G2638" s="13">
        <v>44533</v>
      </c>
      <c r="H2638" s="13">
        <v>44534</v>
      </c>
      <c r="I2638" s="22" t="str">
        <f>VLOOKUP(J2638, Dropdowns!N:O, 2, FALSE)</f>
        <v>Lower Price</v>
      </c>
      <c r="J2638" t="s">
        <v>759</v>
      </c>
      <c r="L2638" s="17" t="s">
        <v>732</v>
      </c>
      <c r="M2638" s="17" t="s">
        <v>9</v>
      </c>
      <c r="N2638" s="17" t="s">
        <v>736</v>
      </c>
    </row>
    <row r="2639" spans="1:14" x14ac:dyDescent="0.25">
      <c r="A2639" s="8">
        <v>995163</v>
      </c>
      <c r="B2639" s="22" t="str">
        <f>IFERROR(VLOOKUP(A2639,VLOOKUPS!$A$2:B$12589,2,FALSE),"")</f>
        <v>XL Caesar Salad Kit 15oz-standard</v>
      </c>
      <c r="E2639">
        <v>3.44</v>
      </c>
      <c r="F2639">
        <v>4.4400000000000004</v>
      </c>
      <c r="G2639" s="13">
        <v>44535</v>
      </c>
      <c r="H2639" s="13"/>
      <c r="I2639" s="22" t="str">
        <f>VLOOKUP(J2639, Dropdowns!N:O, 2, FALSE)</f>
        <v>Standard</v>
      </c>
      <c r="J2639" t="s">
        <v>760</v>
      </c>
      <c r="L2639" s="17" t="s">
        <v>732</v>
      </c>
      <c r="M2639" s="17" t="s">
        <v>9</v>
      </c>
      <c r="N2639" s="17" t="s">
        <v>736</v>
      </c>
    </row>
    <row r="2640" spans="1:14" x14ac:dyDescent="0.25">
      <c r="A2640" s="8">
        <v>995166</v>
      </c>
      <c r="B2640" s="22" t="str">
        <f>IFERROR(VLOOKUP(A2640,VLOOKUPS!$A$2:B$12589,2,FALSE),"")</f>
        <v>Snow Peas 8oz-standard</v>
      </c>
      <c r="E2640">
        <v>2.68</v>
      </c>
      <c r="F2640">
        <v>1.44</v>
      </c>
      <c r="G2640" s="13">
        <v>44533</v>
      </c>
      <c r="H2640" s="13">
        <v>44535</v>
      </c>
      <c r="I2640" s="22" t="str">
        <f>VLOOKUP(J2640, Dropdowns!N:O, 2, FALSE)</f>
        <v>Lower Price</v>
      </c>
      <c r="J2640" t="s">
        <v>759</v>
      </c>
      <c r="L2640" s="17" t="s">
        <v>732</v>
      </c>
      <c r="M2640" s="17" t="s">
        <v>736</v>
      </c>
      <c r="N2640" s="17" t="s">
        <v>736</v>
      </c>
    </row>
    <row r="2641" spans="1:14" x14ac:dyDescent="0.25">
      <c r="A2641" s="8">
        <v>995166</v>
      </c>
      <c r="B2641" s="22" t="str">
        <f>IFERROR(VLOOKUP(A2641,VLOOKUPS!$A$2:B$12589,2,FALSE),"")</f>
        <v>Snow Peas 8oz-standard</v>
      </c>
      <c r="E2641">
        <v>1.44</v>
      </c>
      <c r="F2641">
        <v>2.68</v>
      </c>
      <c r="G2641" s="13">
        <v>44536</v>
      </c>
      <c r="H2641" s="13"/>
      <c r="I2641" s="22" t="str">
        <f>VLOOKUP(J2641, Dropdowns!N:O, 2, FALSE)</f>
        <v>Standard</v>
      </c>
      <c r="J2641" t="s">
        <v>760</v>
      </c>
      <c r="L2641" s="17" t="s">
        <v>732</v>
      </c>
      <c r="M2641" s="17" t="s">
        <v>736</v>
      </c>
      <c r="N2641" s="17" t="s">
        <v>736</v>
      </c>
    </row>
    <row r="2642" spans="1:14" x14ac:dyDescent="0.25">
      <c r="A2642" s="8">
        <v>989260</v>
      </c>
      <c r="B2642" s="22" t="str">
        <f>IFERROR(VLOOKUP(A2642,VLOOKUPS!$A$2:B$12589,2,FALSE),"")</f>
        <v>Onions Yellow 3lb-standard</v>
      </c>
      <c r="G2642" s="13">
        <v>44533</v>
      </c>
      <c r="H2642" s="13">
        <v>44534</v>
      </c>
      <c r="I2642" s="22" t="str">
        <f>VLOOKUP(J2642, Dropdowns!N:O, 2, FALSE)</f>
        <v>Lower Price</v>
      </c>
      <c r="J2642" t="s">
        <v>762</v>
      </c>
      <c r="L2642" s="17" t="s">
        <v>732</v>
      </c>
      <c r="M2642" s="17" t="s">
        <v>736</v>
      </c>
      <c r="N2642" s="17" t="s">
        <v>736</v>
      </c>
    </row>
    <row r="2643" spans="1:14" x14ac:dyDescent="0.25">
      <c r="A2643" s="8">
        <v>980210</v>
      </c>
      <c r="B2643" s="22" t="str">
        <f>IFERROR(VLOOKUP(A2643,VLOOKUPS!$A$2:B$12589,2,FALSE),"")</f>
        <v>Oranges Navel 4lb-standard</v>
      </c>
      <c r="G2643" s="13">
        <v>44533</v>
      </c>
      <c r="H2643" s="13">
        <v>44533</v>
      </c>
      <c r="I2643" s="22" t="str">
        <f>VLOOKUP(J2643, Dropdowns!N:O, 2, FALSE)</f>
        <v>Lower Price</v>
      </c>
      <c r="J2643" t="s">
        <v>762</v>
      </c>
      <c r="L2643" s="17" t="s">
        <v>733</v>
      </c>
      <c r="M2643" s="17" t="s">
        <v>11</v>
      </c>
      <c r="N2643" s="17" t="s">
        <v>740</v>
      </c>
    </row>
    <row r="2644" spans="1:14" x14ac:dyDescent="0.25">
      <c r="A2644" s="8">
        <v>983103</v>
      </c>
      <c r="B2644" s="22" t="str">
        <f>IFERROR(VLOOKUP(A2644,VLOOKUPS!$A$2:B$12589,2,FALSE),"")</f>
        <v>MelonsGolden Canary 1ct.-LOOSE</v>
      </c>
      <c r="D2644">
        <v>6</v>
      </c>
      <c r="F2644">
        <v>3.98</v>
      </c>
      <c r="G2644" s="13">
        <v>44534</v>
      </c>
      <c r="H2644" s="13"/>
      <c r="I2644" s="22" t="str">
        <f>VLOOKUP(J2644, Dropdowns!N:O, 2, FALSE)</f>
        <v>New</v>
      </c>
      <c r="J2644" t="s">
        <v>776</v>
      </c>
      <c r="L2644" s="17" t="s">
        <v>732</v>
      </c>
      <c r="M2644" s="17" t="s">
        <v>735</v>
      </c>
      <c r="N2644" s="17" t="s">
        <v>736</v>
      </c>
    </row>
    <row r="2645" spans="1:14" x14ac:dyDescent="0.25">
      <c r="A2645" s="8">
        <v>983103</v>
      </c>
      <c r="B2645" s="22" t="str">
        <f>IFERROR(VLOOKUP(A2645,VLOOKUPS!$A$2:B$12589,2,FALSE),"")</f>
        <v>MelonsGolden Canary 1ct.-LOOSE</v>
      </c>
      <c r="D2645">
        <v>6</v>
      </c>
      <c r="F2645">
        <v>3.98</v>
      </c>
      <c r="G2645" s="13">
        <v>44535</v>
      </c>
      <c r="H2645" s="13"/>
      <c r="I2645" s="22" t="str">
        <f>VLOOKUP(J2645, Dropdowns!N:O, 2, FALSE)</f>
        <v>New</v>
      </c>
      <c r="J2645" t="s">
        <v>776</v>
      </c>
      <c r="L2645" s="17" t="s">
        <v>733</v>
      </c>
      <c r="M2645" s="17" t="s">
        <v>11</v>
      </c>
      <c r="N2645" s="17" t="s">
        <v>740</v>
      </c>
    </row>
    <row r="2646" spans="1:14" x14ac:dyDescent="0.25">
      <c r="A2646" s="8">
        <v>984701</v>
      </c>
      <c r="B2646" s="22" t="str">
        <f>IFERROR(VLOOKUP(A2646,VLOOKUPS!$A$2:B$12589,2,FALSE),"")</f>
        <v>Blackberries Super Sweet 6oz-standard</v>
      </c>
      <c r="D2646">
        <v>12</v>
      </c>
      <c r="F2646">
        <v>3.49</v>
      </c>
      <c r="G2646" s="13">
        <v>44535</v>
      </c>
      <c r="H2646" s="13"/>
      <c r="I2646" s="22" t="str">
        <f>VLOOKUP(J2646, Dropdowns!N:O, 2, FALSE)</f>
        <v>New</v>
      </c>
      <c r="J2646" t="s">
        <v>776</v>
      </c>
      <c r="L2646" s="17" t="s">
        <v>732</v>
      </c>
      <c r="M2646" s="17" t="s">
        <v>736</v>
      </c>
      <c r="N2646" s="17" t="s">
        <v>736</v>
      </c>
    </row>
    <row r="2647" spans="1:14" x14ac:dyDescent="0.25">
      <c r="A2647" s="8">
        <v>985060</v>
      </c>
      <c r="B2647" s="22" t="str">
        <f>IFERROR(VLOOKUP(A2647,VLOOKUPS!$A$2:B$12589,2,FALSE),"")</f>
        <v>Lettuce* Iceberg 1ct-standard</v>
      </c>
      <c r="E2647">
        <v>1.78</v>
      </c>
      <c r="F2647">
        <v>0.98</v>
      </c>
      <c r="G2647" s="13">
        <v>44534</v>
      </c>
      <c r="H2647" s="13">
        <v>44534</v>
      </c>
      <c r="I2647" s="22" t="str">
        <f>VLOOKUP(J2647, Dropdowns!N:O, 2, FALSE)</f>
        <v>Lower Price</v>
      </c>
      <c r="J2647" t="s">
        <v>759</v>
      </c>
      <c r="L2647" s="17" t="s">
        <v>733</v>
      </c>
      <c r="M2647" s="17" t="s">
        <v>11</v>
      </c>
      <c r="N2647" s="17" t="s">
        <v>740</v>
      </c>
    </row>
    <row r="2648" spans="1:14" x14ac:dyDescent="0.25">
      <c r="A2648" s="8">
        <v>985060</v>
      </c>
      <c r="B2648" s="22" t="str">
        <f>IFERROR(VLOOKUP(A2648,VLOOKUPS!$A$2:B$12589,2,FALSE),"")</f>
        <v>Lettuce* Iceberg 1ct-standard</v>
      </c>
      <c r="E2648">
        <v>0.98</v>
      </c>
      <c r="F2648">
        <v>1.78</v>
      </c>
      <c r="G2648" s="13">
        <v>44535</v>
      </c>
      <c r="H2648" s="13"/>
      <c r="I2648" s="22" t="str">
        <f>VLOOKUP(J2648, Dropdowns!N:O, 2, FALSE)</f>
        <v>Standard</v>
      </c>
      <c r="J2648" t="s">
        <v>760</v>
      </c>
      <c r="L2648" s="17" t="s">
        <v>733</v>
      </c>
      <c r="M2648" s="17" t="s">
        <v>11</v>
      </c>
      <c r="N2648" s="17" t="s">
        <v>740</v>
      </c>
    </row>
    <row r="2649" spans="1:14" x14ac:dyDescent="0.25">
      <c r="A2649" s="8">
        <v>995086</v>
      </c>
      <c r="B2649" s="22" t="str">
        <f>IFERROR(VLOOKUP(A2649,VLOOKUPS!$A$2:B$12589,2,FALSE),"")</f>
        <v>Eat Smart Broccoli Florets 2lbs-standard</v>
      </c>
      <c r="E2649">
        <v>5.98</v>
      </c>
      <c r="F2649">
        <v>4.4800000000000004</v>
      </c>
      <c r="G2649" s="13">
        <v>44534</v>
      </c>
      <c r="H2649" s="13">
        <v>44535</v>
      </c>
      <c r="I2649" s="22" t="str">
        <f>VLOOKUP(J2649, Dropdowns!N:O, 2, FALSE)</f>
        <v>Lower Price</v>
      </c>
      <c r="J2649" t="s">
        <v>759</v>
      </c>
      <c r="L2649" s="17" t="s">
        <v>732</v>
      </c>
      <c r="M2649" s="17" t="s">
        <v>10</v>
      </c>
      <c r="N2649" s="17">
        <v>2</v>
      </c>
    </row>
    <row r="2650" spans="1:14" x14ac:dyDescent="0.25">
      <c r="A2650" s="8">
        <v>995086</v>
      </c>
      <c r="B2650" s="22" t="str">
        <f>IFERROR(VLOOKUP(A2650,VLOOKUPS!$A$2:B$12589,2,FALSE),"")</f>
        <v>Eat Smart Broccoli Florets 2lbs-standard</v>
      </c>
      <c r="E2650">
        <v>4.4800000000000004</v>
      </c>
      <c r="F2650">
        <v>5.98</v>
      </c>
      <c r="G2650" s="13">
        <v>44536</v>
      </c>
      <c r="H2650" s="13"/>
      <c r="I2650" s="22" t="str">
        <f>VLOOKUP(J2650, Dropdowns!N:O, 2, FALSE)</f>
        <v>Standard</v>
      </c>
      <c r="J2650" t="s">
        <v>760</v>
      </c>
      <c r="L2650" s="17" t="s">
        <v>732</v>
      </c>
      <c r="M2650" s="17" t="s">
        <v>10</v>
      </c>
      <c r="N2650" s="17">
        <v>2</v>
      </c>
    </row>
    <row r="2651" spans="1:14" x14ac:dyDescent="0.25">
      <c r="A2651" s="8">
        <v>995123</v>
      </c>
      <c r="B2651" s="22" t="str">
        <f>IFERROR(VLOOKUP(A2651,VLOOKUPS!$A$2:B$12589,2,FALSE),"")</f>
        <v>Vegetable Medley 12oz-standard</v>
      </c>
      <c r="E2651">
        <v>2.78</v>
      </c>
      <c r="F2651">
        <v>1.78</v>
      </c>
      <c r="G2651" s="13">
        <v>44534</v>
      </c>
      <c r="H2651" s="13">
        <v>44535</v>
      </c>
      <c r="I2651" s="22" t="str">
        <f>VLOOKUP(J2651, Dropdowns!N:O, 2, FALSE)</f>
        <v>Lower Price</v>
      </c>
      <c r="J2651" t="s">
        <v>759</v>
      </c>
      <c r="L2651" s="17" t="s">
        <v>732</v>
      </c>
      <c r="M2651" s="17" t="s">
        <v>10</v>
      </c>
      <c r="N2651" s="17">
        <v>2</v>
      </c>
    </row>
    <row r="2652" spans="1:14" x14ac:dyDescent="0.25">
      <c r="A2652" s="8">
        <v>995123</v>
      </c>
      <c r="B2652" s="22" t="str">
        <f>IFERROR(VLOOKUP(A2652,VLOOKUPS!$A$2:B$12589,2,FALSE),"")</f>
        <v>Vegetable Medley 12oz-standard</v>
      </c>
      <c r="E2652">
        <v>1.78</v>
      </c>
      <c r="F2652">
        <v>2.78</v>
      </c>
      <c r="G2652" s="13">
        <v>44536</v>
      </c>
      <c r="H2652" s="13"/>
      <c r="I2652" s="22" t="str">
        <f>VLOOKUP(J2652, Dropdowns!N:O, 2, FALSE)</f>
        <v>Standard</v>
      </c>
      <c r="J2652" t="s">
        <v>760</v>
      </c>
      <c r="L2652" s="17" t="s">
        <v>732</v>
      </c>
      <c r="M2652" s="17" t="s">
        <v>10</v>
      </c>
      <c r="N2652" s="17">
        <v>2</v>
      </c>
    </row>
    <row r="2653" spans="1:14" x14ac:dyDescent="0.25">
      <c r="A2653" s="8">
        <v>980210</v>
      </c>
      <c r="B2653" s="22" t="str">
        <f>IFERROR(VLOOKUP(A2653,VLOOKUPS!$A$2:B$12589,2,FALSE),"")</f>
        <v>Oranges Navel 4lb-standard</v>
      </c>
      <c r="G2653" s="13">
        <v>44534</v>
      </c>
      <c r="H2653" s="13">
        <v>44534</v>
      </c>
      <c r="I2653" s="22" t="str">
        <f>VLOOKUP(J2653, Dropdowns!N:O, 2, FALSE)</f>
        <v>Lower Price</v>
      </c>
      <c r="J2653" t="s">
        <v>762</v>
      </c>
      <c r="L2653" s="17" t="s">
        <v>733</v>
      </c>
      <c r="M2653" s="17" t="s">
        <v>11</v>
      </c>
      <c r="N2653" s="17" t="s">
        <v>740</v>
      </c>
    </row>
    <row r="2654" spans="1:14" x14ac:dyDescent="0.25">
      <c r="A2654" s="8">
        <v>980210</v>
      </c>
      <c r="B2654" s="22" t="str">
        <f>IFERROR(VLOOKUP(A2654,VLOOKUPS!$A$2:B$12589,2,FALSE),"")</f>
        <v>Oranges Navel 4lb-standard</v>
      </c>
      <c r="E2654">
        <v>2.4900000000000002</v>
      </c>
      <c r="F2654">
        <v>4.4800000000000004</v>
      </c>
      <c r="G2654" s="13">
        <v>44535</v>
      </c>
      <c r="H2654" s="13"/>
      <c r="I2654" s="22" t="str">
        <f>VLOOKUP(J2654, Dropdowns!N:O, 2, FALSE)</f>
        <v>Standard</v>
      </c>
      <c r="J2654" t="s">
        <v>760</v>
      </c>
      <c r="L2654" s="17" t="s">
        <v>733</v>
      </c>
      <c r="M2654" s="17" t="s">
        <v>11</v>
      </c>
      <c r="N2654" s="17" t="s">
        <v>740</v>
      </c>
    </row>
    <row r="2655" spans="1:14" x14ac:dyDescent="0.25">
      <c r="A2655" s="8">
        <v>982650</v>
      </c>
      <c r="B2655" s="22" t="str">
        <f>IFERROR(VLOOKUP(A2655,VLOOKUPS!$A$2:B$12589,2,FALSE),"")</f>
        <v>Grapes* Green Seedless 1lb-LOOSE</v>
      </c>
      <c r="E2655">
        <v>0.85</v>
      </c>
      <c r="F2655">
        <v>1.54</v>
      </c>
      <c r="G2655" s="13">
        <v>44534</v>
      </c>
      <c r="H2655" s="13"/>
      <c r="I2655" s="22" t="str">
        <f>VLOOKUP(J2655, Dropdowns!N:O, 2, FALSE)</f>
        <v>Standard</v>
      </c>
      <c r="J2655" t="s">
        <v>760</v>
      </c>
      <c r="L2655" s="17" t="s">
        <v>732</v>
      </c>
      <c r="M2655" s="17" t="s">
        <v>738</v>
      </c>
      <c r="N2655" s="17">
        <v>2</v>
      </c>
    </row>
    <row r="2656" spans="1:14" x14ac:dyDescent="0.25">
      <c r="A2656" s="8">
        <v>984542</v>
      </c>
      <c r="B2656" s="22" t="str">
        <f>IFERROR(VLOOKUP(A2656,VLOOKUPS!$A$2:B$12589,2,FALSE),"")</f>
        <v>Blueberries 18oz-standard</v>
      </c>
      <c r="E2656">
        <v>4.18</v>
      </c>
      <c r="F2656">
        <v>2.98</v>
      </c>
      <c r="G2656" s="13">
        <v>44534</v>
      </c>
      <c r="H2656" s="13">
        <v>44535</v>
      </c>
      <c r="I2656" s="22" t="str">
        <f>VLOOKUP(J2656, Dropdowns!N:O, 2, FALSE)</f>
        <v>Lower Price</v>
      </c>
      <c r="J2656" t="s">
        <v>759</v>
      </c>
      <c r="L2656" s="17" t="s">
        <v>732</v>
      </c>
      <c r="M2656" s="17" t="s">
        <v>735</v>
      </c>
      <c r="N2656" s="17" t="s">
        <v>736</v>
      </c>
    </row>
    <row r="2657" spans="1:14" x14ac:dyDescent="0.25">
      <c r="A2657" s="8">
        <v>984542</v>
      </c>
      <c r="B2657" s="22" t="str">
        <f>IFERROR(VLOOKUP(A2657,VLOOKUPS!$A$2:B$12589,2,FALSE),"")</f>
        <v>Blueberries 18oz-standard</v>
      </c>
      <c r="E2657">
        <v>2.98</v>
      </c>
      <c r="F2657">
        <v>4.18</v>
      </c>
      <c r="G2657" s="13">
        <v>44536</v>
      </c>
      <c r="H2657" s="13"/>
      <c r="I2657" s="22" t="str">
        <f>VLOOKUP(J2657, Dropdowns!N:O, 2, FALSE)</f>
        <v>Standard</v>
      </c>
      <c r="J2657" t="s">
        <v>760</v>
      </c>
      <c r="L2657" s="17" t="s">
        <v>732</v>
      </c>
      <c r="M2657" s="17" t="s">
        <v>735</v>
      </c>
      <c r="N2657" s="17" t="s">
        <v>736</v>
      </c>
    </row>
    <row r="2658" spans="1:14" x14ac:dyDescent="0.25">
      <c r="A2658" s="8">
        <v>989260</v>
      </c>
      <c r="B2658" s="22" t="str">
        <f>IFERROR(VLOOKUP(A2658,VLOOKUPS!$A$2:B$12589,2,FALSE),"")</f>
        <v>Onions Yellow 3lb-standard</v>
      </c>
      <c r="E2658">
        <v>1.99</v>
      </c>
      <c r="F2658">
        <v>2.97</v>
      </c>
      <c r="G2658" s="13">
        <v>44535</v>
      </c>
      <c r="H2658" s="13"/>
      <c r="I2658" s="22" t="str">
        <f>VLOOKUP(J2658, Dropdowns!N:O, 2, FALSE)</f>
        <v>Standard</v>
      </c>
      <c r="J2658" t="s">
        <v>760</v>
      </c>
      <c r="L2658" s="17" t="s">
        <v>732</v>
      </c>
      <c r="M2658" s="17" t="s">
        <v>736</v>
      </c>
      <c r="N2658" s="17" t="s">
        <v>741</v>
      </c>
    </row>
    <row r="2659" spans="1:14" x14ac:dyDescent="0.25">
      <c r="A2659" s="8">
        <v>989260</v>
      </c>
      <c r="B2659" s="22" t="str">
        <f>IFERROR(VLOOKUP(A2659,VLOOKUPS!$A$2:B$12589,2,FALSE),"")</f>
        <v>Onions Yellow 3lb-standard</v>
      </c>
      <c r="E2659">
        <v>1.99</v>
      </c>
      <c r="F2659">
        <v>3.17</v>
      </c>
      <c r="G2659" s="13">
        <v>44535</v>
      </c>
      <c r="H2659" s="13"/>
      <c r="I2659" s="22" t="str">
        <f>VLOOKUP(J2659, Dropdowns!N:O, 2, FALSE)</f>
        <v>Standard</v>
      </c>
      <c r="J2659" t="s">
        <v>760</v>
      </c>
      <c r="L2659" s="17" t="s">
        <v>734</v>
      </c>
      <c r="M2659" s="17" t="s">
        <v>9</v>
      </c>
      <c r="N2659" s="17">
        <v>8</v>
      </c>
    </row>
    <row r="2660" spans="1:14" x14ac:dyDescent="0.25">
      <c r="A2660" s="8">
        <v>984460</v>
      </c>
      <c r="B2660" s="22" t="str">
        <f>IFERROR(VLOOKUP(A2660,VLOOKUPS!$A$2:B$12589,2,FALSE),"")</f>
        <v>Strawberries 1lb-standard</v>
      </c>
      <c r="E2660">
        <v>3.59</v>
      </c>
      <c r="F2660">
        <v>2.29</v>
      </c>
      <c r="G2660" s="13">
        <v>44537</v>
      </c>
      <c r="H2660" s="13">
        <v>44538</v>
      </c>
      <c r="I2660" s="22" t="str">
        <f>VLOOKUP(J2660, Dropdowns!N:O, 2, FALSE)</f>
        <v>Lower Price</v>
      </c>
      <c r="J2660" t="s">
        <v>759</v>
      </c>
      <c r="L2660" s="17" t="s">
        <v>732</v>
      </c>
      <c r="M2660" s="17" t="s">
        <v>9</v>
      </c>
      <c r="N2660" s="17" t="s">
        <v>736</v>
      </c>
    </row>
    <row r="2661" spans="1:14" x14ac:dyDescent="0.25">
      <c r="A2661" s="8">
        <v>984460</v>
      </c>
      <c r="B2661" s="22" t="str">
        <f>IFERROR(VLOOKUP(A2661,VLOOKUPS!$A$2:B$12589,2,FALSE),"")</f>
        <v>Strawberries 1lb-standard</v>
      </c>
      <c r="E2661">
        <v>3.59</v>
      </c>
      <c r="F2661">
        <v>3.99</v>
      </c>
      <c r="G2661" s="13">
        <v>44537</v>
      </c>
      <c r="H2661" s="13"/>
      <c r="I2661" s="22" t="str">
        <f>VLOOKUP(J2661, Dropdowns!N:O, 2, FALSE)</f>
        <v>Standard</v>
      </c>
      <c r="J2661" t="s">
        <v>761</v>
      </c>
      <c r="L2661" s="17" t="s">
        <v>732</v>
      </c>
      <c r="M2661" s="17" t="s">
        <v>738</v>
      </c>
      <c r="N2661" s="17">
        <v>2</v>
      </c>
    </row>
    <row r="2662" spans="1:14" x14ac:dyDescent="0.25">
      <c r="A2662" s="8">
        <v>984460</v>
      </c>
      <c r="B2662" s="22" t="str">
        <f>IFERROR(VLOOKUP(A2662,VLOOKUPS!$A$2:B$12589,2,FALSE),"")</f>
        <v>Strawberries 1lb-standard</v>
      </c>
      <c r="E2662">
        <v>2.29</v>
      </c>
      <c r="F2662">
        <v>3.59</v>
      </c>
      <c r="G2662" s="13">
        <v>44539</v>
      </c>
      <c r="H2662" s="13"/>
      <c r="I2662" s="22" t="str">
        <f>VLOOKUP(J2662, Dropdowns!N:O, 2, FALSE)</f>
        <v>Standard</v>
      </c>
      <c r="J2662" t="s">
        <v>760</v>
      </c>
      <c r="L2662" s="17" t="s">
        <v>732</v>
      </c>
      <c r="M2662" s="17" t="s">
        <v>9</v>
      </c>
      <c r="N2662" s="17" t="s">
        <v>736</v>
      </c>
    </row>
    <row r="2663" spans="1:14" x14ac:dyDescent="0.25">
      <c r="A2663" s="8">
        <v>984460</v>
      </c>
      <c r="B2663" s="22" t="str">
        <f>IFERROR(VLOOKUP(A2663,VLOOKUPS!$A$2:B$12589,2,FALSE),"")</f>
        <v>Strawberries 1lb-standard</v>
      </c>
      <c r="E2663">
        <v>3.59</v>
      </c>
      <c r="F2663">
        <v>3.99</v>
      </c>
      <c r="G2663" s="13">
        <v>44540</v>
      </c>
      <c r="H2663" s="13"/>
      <c r="I2663" s="22" t="str">
        <f>VLOOKUP(J2663, Dropdowns!N:O, 2, FALSE)</f>
        <v>Standard</v>
      </c>
      <c r="J2663" t="s">
        <v>761</v>
      </c>
      <c r="L2663" s="17" t="s">
        <v>732</v>
      </c>
      <c r="M2663" s="17" t="s">
        <v>9</v>
      </c>
      <c r="N2663" s="17" t="s">
        <v>736</v>
      </c>
    </row>
    <row r="2664" spans="1:14" x14ac:dyDescent="0.25">
      <c r="A2664" s="8">
        <v>985190</v>
      </c>
      <c r="B2664" s="22" t="str">
        <f>IFERROR(VLOOKUP(A2664,VLOOKUPS!$A$2:B$12589,2,FALSE),"")</f>
        <v>Organic Romaine Hearts 3ct-standard</v>
      </c>
      <c r="E2664">
        <v>2.99</v>
      </c>
      <c r="F2664">
        <v>3.29</v>
      </c>
      <c r="G2664" s="13">
        <v>44537</v>
      </c>
      <c r="H2664" s="13"/>
      <c r="I2664" s="22" t="str">
        <f>VLOOKUP(J2664, Dropdowns!N:O, 2, FALSE)</f>
        <v>Standard</v>
      </c>
      <c r="J2664" t="s">
        <v>761</v>
      </c>
      <c r="L2664" s="17" t="s">
        <v>732</v>
      </c>
      <c r="M2664" s="17" t="s">
        <v>736</v>
      </c>
      <c r="N2664" s="17" t="s">
        <v>736</v>
      </c>
    </row>
    <row r="2665" spans="1:14" x14ac:dyDescent="0.25">
      <c r="A2665" s="8">
        <v>987560</v>
      </c>
      <c r="B2665" s="22" t="str">
        <f>IFERROR(VLOOKUP(A2665,VLOOKUPS!$A$2:B$12589,2,FALSE),"")</f>
        <v>Celery 1ct-standard</v>
      </c>
      <c r="E2665">
        <v>1.35</v>
      </c>
      <c r="F2665">
        <v>1.38</v>
      </c>
      <c r="G2665" s="13">
        <v>44537</v>
      </c>
      <c r="H2665" s="13"/>
      <c r="I2665" s="22" t="str">
        <f>VLOOKUP(J2665, Dropdowns!N:O, 2, FALSE)</f>
        <v>Standard</v>
      </c>
      <c r="J2665" t="s">
        <v>761</v>
      </c>
      <c r="L2665" s="17" t="s">
        <v>732</v>
      </c>
      <c r="M2665" s="17" t="s">
        <v>736</v>
      </c>
      <c r="N2665" s="17" t="s">
        <v>736</v>
      </c>
    </row>
    <row r="2666" spans="1:14" x14ac:dyDescent="0.25">
      <c r="A2666" s="8">
        <v>988571</v>
      </c>
      <c r="B2666" s="22" t="str">
        <f>IFERROR(VLOOKUP(A2666,VLOOKUPS!$A$2:B$12589,2,FALSE),"")</f>
        <v>Cauliflower* 1ct-LOOSE</v>
      </c>
      <c r="E2666">
        <v>2.39</v>
      </c>
      <c r="F2666">
        <v>2.4900000000000002</v>
      </c>
      <c r="G2666" s="13">
        <v>44537</v>
      </c>
      <c r="H2666" s="13"/>
      <c r="I2666" s="22" t="str">
        <f>VLOOKUP(J2666, Dropdowns!N:O, 2, FALSE)</f>
        <v>Standard</v>
      </c>
      <c r="J2666" t="s">
        <v>761</v>
      </c>
      <c r="L2666" s="17" t="s">
        <v>732</v>
      </c>
      <c r="M2666" s="17" t="s">
        <v>736</v>
      </c>
      <c r="N2666" s="17" t="s">
        <v>736</v>
      </c>
    </row>
    <row r="2667" spans="1:14" x14ac:dyDescent="0.25">
      <c r="A2667" s="8">
        <v>995032</v>
      </c>
      <c r="B2667" s="22" t="str">
        <f>IFERROR(VLOOKUP(A2667,VLOOKUPS!$A$2:B$12589,2,FALSE),"")</f>
        <v>Chopped Sunflower Crunch Kit 12.2oz-standard</v>
      </c>
      <c r="E2667">
        <v>3.49</v>
      </c>
      <c r="F2667">
        <v>2.4900000000000002</v>
      </c>
      <c r="G2667" s="13">
        <v>44537</v>
      </c>
      <c r="H2667" s="13">
        <v>44538</v>
      </c>
      <c r="I2667" s="22" t="str">
        <f>VLOOKUP(J2667, Dropdowns!N:O, 2, FALSE)</f>
        <v>Lower Price</v>
      </c>
      <c r="J2667" t="s">
        <v>759</v>
      </c>
      <c r="L2667" s="17" t="s">
        <v>732</v>
      </c>
      <c r="M2667" s="17" t="s">
        <v>10</v>
      </c>
      <c r="N2667" s="17">
        <v>2</v>
      </c>
    </row>
    <row r="2668" spans="1:14" x14ac:dyDescent="0.25">
      <c r="A2668" s="8">
        <v>995032</v>
      </c>
      <c r="B2668" s="22" t="str">
        <f>IFERROR(VLOOKUP(A2668,VLOOKUPS!$A$2:B$12589,2,FALSE),"")</f>
        <v>Chopped Sunflower Crunch Kit 12.2oz-standard</v>
      </c>
      <c r="E2668">
        <v>2.4900000000000002</v>
      </c>
      <c r="F2668">
        <v>3.49</v>
      </c>
      <c r="G2668" s="13">
        <v>44539</v>
      </c>
      <c r="H2668" s="13"/>
      <c r="I2668" s="22" t="str">
        <f>VLOOKUP(J2668, Dropdowns!N:O, 2, FALSE)</f>
        <v>Standard</v>
      </c>
      <c r="J2668" t="s">
        <v>760</v>
      </c>
      <c r="L2668" s="17" t="s">
        <v>732</v>
      </c>
      <c r="M2668" s="17" t="s">
        <v>10</v>
      </c>
      <c r="N2668" s="17">
        <v>2</v>
      </c>
    </row>
    <row r="2669" spans="1:14" x14ac:dyDescent="0.25">
      <c r="A2669" s="8">
        <v>995126</v>
      </c>
      <c r="B2669" s="22" t="str">
        <f>IFERROR(VLOOKUP(A2669,VLOOKUPS!$A$2:B$12589,2,FALSE),"")</f>
        <v>Broccoli &amp; Cauliflower 12oz-standard</v>
      </c>
      <c r="E2669">
        <v>2.4900000000000002</v>
      </c>
      <c r="F2669">
        <v>1.49</v>
      </c>
      <c r="G2669" s="13">
        <v>44537</v>
      </c>
      <c r="H2669" s="13">
        <v>44538</v>
      </c>
      <c r="I2669" s="22" t="str">
        <f>VLOOKUP(J2669, Dropdowns!N:O, 2, FALSE)</f>
        <v>Lower Price</v>
      </c>
      <c r="J2669" t="s">
        <v>759</v>
      </c>
      <c r="L2669" s="17" t="s">
        <v>732</v>
      </c>
      <c r="M2669" s="17" t="s">
        <v>10</v>
      </c>
      <c r="N2669" s="17">
        <v>2</v>
      </c>
    </row>
    <row r="2670" spans="1:14" x14ac:dyDescent="0.25">
      <c r="A2670" s="8">
        <v>995126</v>
      </c>
      <c r="B2670" s="22" t="str">
        <f>IFERROR(VLOOKUP(A2670,VLOOKUPS!$A$2:B$12589,2,FALSE),"")</f>
        <v>Broccoli &amp; Cauliflower 12oz-standard</v>
      </c>
      <c r="E2670">
        <v>1.49</v>
      </c>
      <c r="F2670">
        <v>2.4900000000000002</v>
      </c>
      <c r="G2670" s="13">
        <v>44539</v>
      </c>
      <c r="H2670" s="13"/>
      <c r="I2670" s="22" t="str">
        <f>VLOOKUP(J2670, Dropdowns!N:O, 2, FALSE)</f>
        <v>Standard</v>
      </c>
      <c r="J2670" t="s">
        <v>760</v>
      </c>
      <c r="L2670" s="17" t="s">
        <v>732</v>
      </c>
      <c r="M2670" s="17" t="s">
        <v>10</v>
      </c>
      <c r="N2670" s="17">
        <v>2</v>
      </c>
    </row>
    <row r="2671" spans="1:14" x14ac:dyDescent="0.25">
      <c r="A2671" s="8">
        <v>995162</v>
      </c>
      <c r="B2671" s="22" t="str">
        <f>IFERROR(VLOOKUP(A2671,VLOOKUPS!$A$2:B$12589,2,FALSE),"")</f>
        <v>Buffalo Ranch Salad Kit 12oz-standard</v>
      </c>
      <c r="E2671">
        <v>3.49</v>
      </c>
      <c r="F2671">
        <v>1.99</v>
      </c>
      <c r="G2671" s="13">
        <v>44537</v>
      </c>
      <c r="H2671" s="13">
        <v>44538</v>
      </c>
      <c r="I2671" s="22" t="str">
        <f>VLOOKUP(J2671, Dropdowns!N:O, 2, FALSE)</f>
        <v>Lower Price</v>
      </c>
      <c r="J2671" t="s">
        <v>759</v>
      </c>
      <c r="L2671" s="17" t="s">
        <v>732</v>
      </c>
      <c r="M2671" s="17" t="s">
        <v>10</v>
      </c>
      <c r="N2671" s="17">
        <v>2</v>
      </c>
    </row>
    <row r="2672" spans="1:14" x14ac:dyDescent="0.25">
      <c r="A2672" s="8">
        <v>995162</v>
      </c>
      <c r="B2672" s="22" t="str">
        <f>IFERROR(VLOOKUP(A2672,VLOOKUPS!$A$2:B$12589,2,FALSE),"")</f>
        <v>Buffalo Ranch Salad Kit 12oz-standard</v>
      </c>
      <c r="E2672">
        <v>1.99</v>
      </c>
      <c r="F2672">
        <v>3.49</v>
      </c>
      <c r="G2672" s="13">
        <v>44539</v>
      </c>
      <c r="H2672" s="13"/>
      <c r="I2672" s="22" t="str">
        <f>VLOOKUP(J2672, Dropdowns!N:O, 2, FALSE)</f>
        <v>Standard</v>
      </c>
      <c r="J2672" t="s">
        <v>760</v>
      </c>
      <c r="L2672" s="17" t="s">
        <v>732</v>
      </c>
      <c r="M2672" s="17" t="s">
        <v>10</v>
      </c>
      <c r="N2672" s="17">
        <v>2</v>
      </c>
    </row>
    <row r="2673" spans="1:14" x14ac:dyDescent="0.25">
      <c r="A2673" s="8">
        <v>995163</v>
      </c>
      <c r="B2673" s="22" t="str">
        <f>IFERROR(VLOOKUP(A2673,VLOOKUPS!$A$2:B$12589,2,FALSE),"")</f>
        <v>XL Caesar Salad Kit 15oz-standard</v>
      </c>
      <c r="E2673">
        <v>4.4400000000000004</v>
      </c>
      <c r="F2673">
        <v>3.04</v>
      </c>
      <c r="G2673" s="13">
        <v>44537</v>
      </c>
      <c r="H2673" s="13">
        <v>44538</v>
      </c>
      <c r="I2673" s="22" t="str">
        <f>VLOOKUP(J2673, Dropdowns!N:O, 2, FALSE)</f>
        <v>Lower Price</v>
      </c>
      <c r="J2673" t="s">
        <v>759</v>
      </c>
      <c r="L2673" s="17" t="s">
        <v>733</v>
      </c>
      <c r="M2673" s="17" t="s">
        <v>11</v>
      </c>
      <c r="N2673" s="17" t="s">
        <v>740</v>
      </c>
    </row>
    <row r="2674" spans="1:14" x14ac:dyDescent="0.25">
      <c r="A2674" s="8">
        <v>995163</v>
      </c>
      <c r="B2674" s="22" t="str">
        <f>IFERROR(VLOOKUP(A2674,VLOOKUPS!$A$2:B$12589,2,FALSE),"")</f>
        <v>XL Caesar Salad Kit 15oz-standard</v>
      </c>
      <c r="E2674">
        <v>3.04</v>
      </c>
      <c r="F2674">
        <v>4.4400000000000004</v>
      </c>
      <c r="G2674" s="13">
        <v>44539</v>
      </c>
      <c r="H2674" s="13"/>
      <c r="I2674" s="22" t="str">
        <f>VLOOKUP(J2674, Dropdowns!N:O, 2, FALSE)</f>
        <v>Standard</v>
      </c>
      <c r="J2674" t="s">
        <v>760</v>
      </c>
      <c r="L2674" s="17" t="s">
        <v>733</v>
      </c>
      <c r="M2674" s="17" t="s">
        <v>11</v>
      </c>
      <c r="N2674" s="17" t="s">
        <v>740</v>
      </c>
    </row>
    <row r="2675" spans="1:14" x14ac:dyDescent="0.25">
      <c r="A2675" s="8">
        <v>995166</v>
      </c>
      <c r="B2675" s="22" t="str">
        <f>IFERROR(VLOOKUP(A2675,VLOOKUPS!$A$2:B$12589,2,FALSE),"")</f>
        <v>Snow Peas 8oz-standard</v>
      </c>
      <c r="E2675">
        <v>2.68</v>
      </c>
      <c r="F2675">
        <v>1.08</v>
      </c>
      <c r="G2675" s="13">
        <v>44537</v>
      </c>
      <c r="H2675" s="13">
        <v>44539</v>
      </c>
      <c r="I2675" s="22" t="str">
        <f>VLOOKUP(J2675, Dropdowns!N:O, 2, FALSE)</f>
        <v>Lower Price</v>
      </c>
      <c r="J2675" t="s">
        <v>759</v>
      </c>
      <c r="L2675" s="17" t="s">
        <v>732</v>
      </c>
      <c r="M2675" s="17" t="s">
        <v>10</v>
      </c>
      <c r="N2675" s="17">
        <v>2</v>
      </c>
    </row>
    <row r="2676" spans="1:14" x14ac:dyDescent="0.25">
      <c r="A2676" s="8">
        <v>995166</v>
      </c>
      <c r="B2676" s="22" t="str">
        <f>IFERROR(VLOOKUP(A2676,VLOOKUPS!$A$2:B$12589,2,FALSE),"")</f>
        <v>Snow Peas 8oz-standard</v>
      </c>
      <c r="E2676">
        <v>1.08</v>
      </c>
      <c r="F2676">
        <v>2.68</v>
      </c>
      <c r="G2676" s="13">
        <v>44540</v>
      </c>
      <c r="H2676" s="13"/>
      <c r="I2676" s="22" t="str">
        <f>VLOOKUP(J2676, Dropdowns!N:O, 2, FALSE)</f>
        <v>Standard</v>
      </c>
      <c r="J2676" t="s">
        <v>760</v>
      </c>
      <c r="L2676" s="17" t="s">
        <v>732</v>
      </c>
      <c r="M2676" s="17" t="s">
        <v>10</v>
      </c>
      <c r="N2676" s="17">
        <v>2</v>
      </c>
    </row>
    <row r="2677" spans="1:14" x14ac:dyDescent="0.25">
      <c r="A2677" s="8">
        <v>982800</v>
      </c>
      <c r="B2677" s="22" t="str">
        <f>IFERROR(VLOOKUP(A2677,VLOOKUPS!$A$2:B$12589,2,FALSE),"")</f>
        <v>Organic* Grapes Red Seedless 2lb-standard</v>
      </c>
      <c r="D2677">
        <v>10</v>
      </c>
      <c r="E2677">
        <v>5.29</v>
      </c>
      <c r="G2677" s="13">
        <v>44537</v>
      </c>
      <c r="H2677" s="13"/>
      <c r="I2677" s="22" t="str">
        <f>VLOOKUP(J2677, Dropdowns!N:O, 2, FALSE)</f>
        <v>NA</v>
      </c>
      <c r="J2677" t="s">
        <v>754</v>
      </c>
      <c r="L2677" s="17" t="s">
        <v>733</v>
      </c>
      <c r="M2677" s="17" t="s">
        <v>11</v>
      </c>
      <c r="N2677" s="17" t="s">
        <v>740</v>
      </c>
    </row>
    <row r="2678" spans="1:14" x14ac:dyDescent="0.25">
      <c r="A2678" s="8">
        <v>982740</v>
      </c>
      <c r="B2678" s="22" t="str">
        <f>IFERROR(VLOOKUP(A2678,VLOOKUPS!$A$2:B$12589,2,FALSE),"")</f>
        <v>Grapes* Red Seedless 1lb-LOOSE</v>
      </c>
      <c r="E2678">
        <v>1.56</v>
      </c>
      <c r="F2678">
        <v>0.99</v>
      </c>
      <c r="G2678" s="13">
        <v>44537</v>
      </c>
      <c r="H2678" s="13">
        <v>44539</v>
      </c>
      <c r="I2678" s="22" t="str">
        <f>VLOOKUP(J2678, Dropdowns!N:O, 2, FALSE)</f>
        <v>Lower Price</v>
      </c>
      <c r="J2678" t="s">
        <v>759</v>
      </c>
      <c r="L2678" s="17" t="s">
        <v>733</v>
      </c>
      <c r="M2678" s="17" t="s">
        <v>11</v>
      </c>
      <c r="N2678" s="17" t="s">
        <v>740</v>
      </c>
    </row>
    <row r="2679" spans="1:14" x14ac:dyDescent="0.25">
      <c r="A2679" s="8">
        <v>982740</v>
      </c>
      <c r="B2679" s="22" t="str">
        <f>IFERROR(VLOOKUP(A2679,VLOOKUPS!$A$2:B$12589,2,FALSE),"")</f>
        <v>Grapes* Red Seedless 1lb-LOOSE</v>
      </c>
      <c r="E2679">
        <v>0.99</v>
      </c>
      <c r="F2679">
        <v>1.56</v>
      </c>
      <c r="G2679" s="13">
        <v>44540</v>
      </c>
      <c r="H2679" s="13"/>
      <c r="I2679" s="22" t="str">
        <f>VLOOKUP(J2679, Dropdowns!N:O, 2, FALSE)</f>
        <v>Standard</v>
      </c>
      <c r="J2679" t="s">
        <v>760</v>
      </c>
      <c r="L2679" s="17" t="s">
        <v>733</v>
      </c>
      <c r="M2679" s="17" t="s">
        <v>11</v>
      </c>
      <c r="N2679" s="17" t="s">
        <v>740</v>
      </c>
    </row>
    <row r="2680" spans="1:14" x14ac:dyDescent="0.25">
      <c r="A2680" s="8">
        <v>982830</v>
      </c>
      <c r="B2680" s="22" t="str">
        <f>IFERROR(VLOOKUP(A2680,VLOOKUPS!$A$2:B$12589,2,FALSE),"")</f>
        <v>Grapes* Black Seedless 1lb-LOOSE</v>
      </c>
      <c r="E2680">
        <v>1.88</v>
      </c>
      <c r="F2680">
        <v>1.29</v>
      </c>
      <c r="G2680" s="13">
        <v>44537</v>
      </c>
      <c r="H2680" s="13">
        <v>44538</v>
      </c>
      <c r="I2680" s="22" t="str">
        <f>VLOOKUP(J2680, Dropdowns!N:O, 2, FALSE)</f>
        <v>Lower Price</v>
      </c>
      <c r="J2680" t="s">
        <v>759</v>
      </c>
      <c r="L2680" s="17" t="s">
        <v>732</v>
      </c>
      <c r="M2680" s="17" t="s">
        <v>9</v>
      </c>
      <c r="N2680" s="17" t="s">
        <v>736</v>
      </c>
    </row>
    <row r="2681" spans="1:14" x14ac:dyDescent="0.25">
      <c r="A2681" s="8">
        <v>982830</v>
      </c>
      <c r="B2681" s="22" t="str">
        <f>IFERROR(VLOOKUP(A2681,VLOOKUPS!$A$2:B$12589,2,FALSE),"")</f>
        <v>Grapes* Black Seedless 1lb-LOOSE</v>
      </c>
      <c r="E2681">
        <v>1.29</v>
      </c>
      <c r="F2681">
        <v>1.88</v>
      </c>
      <c r="G2681" s="13">
        <v>44539</v>
      </c>
      <c r="H2681" s="13"/>
      <c r="I2681" s="22" t="str">
        <f>VLOOKUP(J2681, Dropdowns!N:O, 2, FALSE)</f>
        <v>Standard</v>
      </c>
      <c r="J2681" t="s">
        <v>760</v>
      </c>
      <c r="L2681" s="17" t="s">
        <v>732</v>
      </c>
      <c r="M2681" s="17" t="s">
        <v>9</v>
      </c>
      <c r="N2681" s="17" t="s">
        <v>736</v>
      </c>
    </row>
    <row r="2682" spans="1:14" x14ac:dyDescent="0.25">
      <c r="A2682" s="8">
        <v>984460</v>
      </c>
      <c r="B2682" s="22" t="str">
        <f>IFERROR(VLOOKUP(A2682,VLOOKUPS!$A$2:B$12589,2,FALSE),"")</f>
        <v>Strawberries 1lb-standard</v>
      </c>
      <c r="E2682">
        <v>3.99</v>
      </c>
      <c r="F2682">
        <v>2.99</v>
      </c>
      <c r="G2682" s="13">
        <v>44538</v>
      </c>
      <c r="H2682" s="13">
        <v>44539</v>
      </c>
      <c r="I2682" s="22" t="str">
        <f>VLOOKUP(J2682, Dropdowns!N:O, 2, FALSE)</f>
        <v>Lower Price</v>
      </c>
      <c r="J2682" t="s">
        <v>759</v>
      </c>
      <c r="L2682" s="17" t="s">
        <v>732</v>
      </c>
      <c r="M2682" s="17" t="s">
        <v>10</v>
      </c>
      <c r="N2682" s="17">
        <v>2</v>
      </c>
    </row>
    <row r="2683" spans="1:14" x14ac:dyDescent="0.25">
      <c r="A2683" s="8">
        <v>984460</v>
      </c>
      <c r="B2683" s="22" t="str">
        <f>IFERROR(VLOOKUP(A2683,VLOOKUPS!$A$2:B$12589,2,FALSE),"")</f>
        <v>Strawberries 1lb-standard</v>
      </c>
      <c r="E2683">
        <v>2.99</v>
      </c>
      <c r="F2683">
        <v>3.99</v>
      </c>
      <c r="G2683" s="13">
        <v>44540</v>
      </c>
      <c r="H2683" s="13"/>
      <c r="I2683" s="22" t="str">
        <f>VLOOKUP(J2683, Dropdowns!N:O, 2, FALSE)</f>
        <v>Standard</v>
      </c>
      <c r="J2683" t="s">
        <v>760</v>
      </c>
      <c r="L2683" s="17" t="s">
        <v>732</v>
      </c>
      <c r="M2683" s="17" t="s">
        <v>10</v>
      </c>
      <c r="N2683" s="17">
        <v>2</v>
      </c>
    </row>
    <row r="2684" spans="1:14" x14ac:dyDescent="0.25">
      <c r="A2684" s="8">
        <v>984542</v>
      </c>
      <c r="B2684" s="22" t="str">
        <f>IFERROR(VLOOKUP(A2684,VLOOKUPS!$A$2:B$12589,2,FALSE),"")</f>
        <v>Blueberries 18oz-standard</v>
      </c>
      <c r="E2684">
        <v>4.18</v>
      </c>
      <c r="F2684">
        <v>2.98</v>
      </c>
      <c r="G2684" s="13">
        <v>44538</v>
      </c>
      <c r="H2684" s="13">
        <v>44539</v>
      </c>
      <c r="I2684" s="22" t="str">
        <f>VLOOKUP(J2684, Dropdowns!N:O, 2, FALSE)</f>
        <v>Lower Price</v>
      </c>
      <c r="J2684" t="s">
        <v>759</v>
      </c>
      <c r="L2684" s="17" t="s">
        <v>732</v>
      </c>
      <c r="M2684" s="17" t="s">
        <v>736</v>
      </c>
      <c r="N2684" s="17" t="s">
        <v>736</v>
      </c>
    </row>
    <row r="2685" spans="1:14" x14ac:dyDescent="0.25">
      <c r="A2685" s="8">
        <v>984542</v>
      </c>
      <c r="B2685" s="22" t="str">
        <f>IFERROR(VLOOKUP(A2685,VLOOKUPS!$A$2:B$12589,2,FALSE),"")</f>
        <v>Blueberries 18oz-standard</v>
      </c>
      <c r="E2685">
        <v>2.98</v>
      </c>
      <c r="F2685">
        <v>4.18</v>
      </c>
      <c r="G2685" s="13">
        <v>44540</v>
      </c>
      <c r="H2685" s="13"/>
      <c r="I2685" s="22" t="str">
        <f>VLOOKUP(J2685, Dropdowns!N:O, 2, FALSE)</f>
        <v>Standard</v>
      </c>
      <c r="J2685" t="s">
        <v>760</v>
      </c>
      <c r="L2685" s="17" t="s">
        <v>732</v>
      </c>
      <c r="M2685" s="17" t="s">
        <v>736</v>
      </c>
      <c r="N2685" s="17" t="s">
        <v>736</v>
      </c>
    </row>
    <row r="2686" spans="1:14" x14ac:dyDescent="0.25">
      <c r="A2686" s="8">
        <v>984555</v>
      </c>
      <c r="B2686" s="22" t="str">
        <f>IFERROR(VLOOKUP(A2686,VLOOKUPS!$A$2:B$12589,2,FALSE),"")</f>
        <v>Blueberries 2lb-standard</v>
      </c>
      <c r="G2686" s="13">
        <v>44538</v>
      </c>
      <c r="H2686" s="13">
        <v>44544</v>
      </c>
      <c r="I2686" s="22" t="str">
        <f>VLOOKUP(J2686, Dropdowns!N:O, 2, FALSE)</f>
        <v>Lower Price</v>
      </c>
      <c r="J2686" t="s">
        <v>753</v>
      </c>
      <c r="L2686" s="17" t="s">
        <v>732</v>
      </c>
      <c r="M2686" s="17" t="s">
        <v>736</v>
      </c>
      <c r="N2686" s="17" t="s">
        <v>736</v>
      </c>
    </row>
    <row r="2687" spans="1:14" x14ac:dyDescent="0.25">
      <c r="A2687" s="8">
        <v>985760</v>
      </c>
      <c r="B2687" s="22" t="str">
        <f>IFERROR(VLOOKUP(A2687,VLOOKUPS!$A$2:B$12589,2,FALSE),"")</f>
        <v>Asparagus 1lb-standard</v>
      </c>
      <c r="G2687" s="13">
        <v>44538</v>
      </c>
      <c r="H2687" s="13">
        <v>44544</v>
      </c>
      <c r="I2687" s="22" t="str">
        <f>VLOOKUP(J2687, Dropdowns!N:O, 2, FALSE)</f>
        <v>Lower Price</v>
      </c>
      <c r="J2687" t="s">
        <v>753</v>
      </c>
      <c r="L2687" s="17" t="s">
        <v>732</v>
      </c>
      <c r="M2687" s="17" t="s">
        <v>736</v>
      </c>
      <c r="N2687" s="17" t="s">
        <v>736</v>
      </c>
    </row>
    <row r="2688" spans="1:14" x14ac:dyDescent="0.25">
      <c r="A2688" s="8">
        <v>995086</v>
      </c>
      <c r="B2688" s="22" t="str">
        <f>IFERROR(VLOOKUP(A2688,VLOOKUPS!$A$2:B$12589,2,FALSE),"")</f>
        <v>Eat Smart Broccoli Florets 2lbs-standard</v>
      </c>
      <c r="E2688">
        <v>5.98</v>
      </c>
      <c r="F2688">
        <v>4.4800000000000004</v>
      </c>
      <c r="G2688" s="13">
        <v>44538</v>
      </c>
      <c r="H2688" s="13">
        <v>44539</v>
      </c>
      <c r="I2688" s="22" t="str">
        <f>VLOOKUP(J2688, Dropdowns!N:O, 2, FALSE)</f>
        <v>Lower Price</v>
      </c>
      <c r="J2688" t="s">
        <v>759</v>
      </c>
      <c r="L2688" s="17" t="s">
        <v>732</v>
      </c>
      <c r="M2688" s="17" t="s">
        <v>10</v>
      </c>
      <c r="N2688" s="17">
        <v>2</v>
      </c>
    </row>
    <row r="2689" spans="1:14" x14ac:dyDescent="0.25">
      <c r="A2689" s="8">
        <v>995086</v>
      </c>
      <c r="B2689" s="22" t="str">
        <f>IFERROR(VLOOKUP(A2689,VLOOKUPS!$A$2:B$12589,2,FALSE),"")</f>
        <v>Eat Smart Broccoli Florets 2lbs-standard</v>
      </c>
      <c r="E2689">
        <v>4.4800000000000004</v>
      </c>
      <c r="F2689">
        <v>5.98</v>
      </c>
      <c r="G2689" s="13">
        <v>44540</v>
      </c>
      <c r="H2689" s="13"/>
      <c r="I2689" s="22" t="str">
        <f>VLOOKUP(J2689, Dropdowns!N:O, 2, FALSE)</f>
        <v>Standard</v>
      </c>
      <c r="J2689" t="s">
        <v>760</v>
      </c>
      <c r="L2689" s="17" t="s">
        <v>732</v>
      </c>
      <c r="M2689" s="17" t="s">
        <v>10</v>
      </c>
      <c r="N2689" s="17">
        <v>2</v>
      </c>
    </row>
    <row r="2690" spans="1:14" x14ac:dyDescent="0.25">
      <c r="A2690" s="8">
        <v>995126</v>
      </c>
      <c r="B2690" s="22" t="str">
        <f>IFERROR(VLOOKUP(A2690,VLOOKUPS!$A$2:B$12589,2,FALSE),"")</f>
        <v>Broccoli &amp; Cauliflower 12oz-standard</v>
      </c>
      <c r="E2690">
        <v>2.4900000000000002</v>
      </c>
      <c r="F2690">
        <v>1.49</v>
      </c>
      <c r="G2690" s="13">
        <v>44538</v>
      </c>
      <c r="H2690" s="13">
        <v>44539</v>
      </c>
      <c r="I2690" s="22" t="str">
        <f>VLOOKUP(J2690, Dropdowns!N:O, 2, FALSE)</f>
        <v>Lower Price</v>
      </c>
      <c r="J2690" t="s">
        <v>759</v>
      </c>
      <c r="L2690" s="17" t="s">
        <v>733</v>
      </c>
      <c r="M2690" s="17" t="s">
        <v>11</v>
      </c>
      <c r="N2690" s="17" t="s">
        <v>740</v>
      </c>
    </row>
    <row r="2691" spans="1:14" x14ac:dyDescent="0.25">
      <c r="A2691" s="8">
        <v>995126</v>
      </c>
      <c r="B2691" s="22" t="str">
        <f>IFERROR(VLOOKUP(A2691,VLOOKUPS!$A$2:B$12589,2,FALSE),"")</f>
        <v>Broccoli &amp; Cauliflower 12oz-standard</v>
      </c>
      <c r="E2691">
        <v>1.49</v>
      </c>
      <c r="F2691">
        <v>2.4900000000000002</v>
      </c>
      <c r="G2691" s="13">
        <v>44540</v>
      </c>
      <c r="H2691" s="13"/>
      <c r="I2691" s="22" t="str">
        <f>VLOOKUP(J2691, Dropdowns!N:O, 2, FALSE)</f>
        <v>Standard</v>
      </c>
      <c r="J2691" t="s">
        <v>760</v>
      </c>
      <c r="L2691" s="17" t="s">
        <v>733</v>
      </c>
      <c r="M2691" s="17" t="s">
        <v>11</v>
      </c>
      <c r="N2691" s="17" t="s">
        <v>740</v>
      </c>
    </row>
    <row r="2692" spans="1:14" x14ac:dyDescent="0.25">
      <c r="A2692" s="8">
        <v>988620</v>
      </c>
      <c r="B2692" s="22" t="str">
        <f>IFERROR(VLOOKUP(A2692,VLOOKUPS!$A$2:B$12589,2,FALSE),"")</f>
        <v>Brussels Sprouts 1lb-standard</v>
      </c>
      <c r="E2692">
        <v>1.99</v>
      </c>
      <c r="F2692">
        <v>2.89</v>
      </c>
      <c r="G2692" s="13">
        <v>44538</v>
      </c>
      <c r="H2692" s="13"/>
      <c r="I2692" s="22" t="str">
        <f>VLOOKUP(J2692, Dropdowns!N:O, 2, FALSE)</f>
        <v>Standard</v>
      </c>
      <c r="J2692" t="s">
        <v>760</v>
      </c>
      <c r="L2692" s="17" t="s">
        <v>732</v>
      </c>
      <c r="M2692" s="17" t="s">
        <v>736</v>
      </c>
      <c r="N2692" s="17" t="s">
        <v>736</v>
      </c>
    </row>
    <row r="2693" spans="1:14" x14ac:dyDescent="0.25">
      <c r="A2693" s="8">
        <v>984541</v>
      </c>
      <c r="B2693" s="22" t="str">
        <f>IFERROR(VLOOKUP(A2693,VLOOKUPS!$A$2:B$12589,2,FALSE),"")</f>
        <v>Blueberries 1pt-standard</v>
      </c>
      <c r="E2693">
        <v>1.49</v>
      </c>
      <c r="F2693">
        <v>2.89</v>
      </c>
      <c r="G2693" s="13">
        <v>44538</v>
      </c>
      <c r="H2693" s="13"/>
      <c r="I2693" s="22" t="str">
        <f>VLOOKUP(J2693, Dropdowns!N:O, 2, FALSE)</f>
        <v>Standard</v>
      </c>
      <c r="J2693" t="s">
        <v>760</v>
      </c>
      <c r="L2693" s="17" t="s">
        <v>732</v>
      </c>
      <c r="M2693" s="17" t="s">
        <v>736</v>
      </c>
      <c r="N2693" s="17" t="s">
        <v>736</v>
      </c>
    </row>
    <row r="2694" spans="1:14" x14ac:dyDescent="0.25">
      <c r="A2694" s="8">
        <v>984541</v>
      </c>
      <c r="B2694" s="22" t="str">
        <f>IFERROR(VLOOKUP(A2694,VLOOKUPS!$A$2:B$12589,2,FALSE),"")</f>
        <v>Blueberries 1pt-standard</v>
      </c>
      <c r="E2694">
        <v>2.89</v>
      </c>
      <c r="F2694">
        <v>2.7</v>
      </c>
      <c r="G2694" s="13">
        <v>44539</v>
      </c>
      <c r="H2694" s="13"/>
      <c r="I2694" s="22" t="str">
        <f>VLOOKUP(J2694, Dropdowns!N:O, 2, FALSE)</f>
        <v>Standard</v>
      </c>
      <c r="J2694" t="s">
        <v>761</v>
      </c>
      <c r="L2694" s="17" t="s">
        <v>732</v>
      </c>
      <c r="M2694" s="17" t="s">
        <v>736</v>
      </c>
      <c r="N2694" s="17" t="s">
        <v>736</v>
      </c>
    </row>
    <row r="2695" spans="1:14" x14ac:dyDescent="0.25">
      <c r="A2695" s="8">
        <v>995032</v>
      </c>
      <c r="B2695" s="22" t="str">
        <f>IFERROR(VLOOKUP(A2695,VLOOKUPS!$A$2:B$12589,2,FALSE),"")</f>
        <v>Chopped Sunflower Crunch Kit 12.2oz-standard</v>
      </c>
      <c r="E2695">
        <v>3.49</v>
      </c>
      <c r="F2695">
        <v>2.4900000000000002</v>
      </c>
      <c r="G2695" s="13">
        <v>44539</v>
      </c>
      <c r="H2695" s="13">
        <v>44540</v>
      </c>
      <c r="I2695" s="22" t="str">
        <f>VLOOKUP(J2695, Dropdowns!N:O, 2, FALSE)</f>
        <v>Lower Price</v>
      </c>
      <c r="J2695" t="s">
        <v>759</v>
      </c>
      <c r="L2695" s="17" t="s">
        <v>732</v>
      </c>
      <c r="M2695" s="17" t="s">
        <v>9</v>
      </c>
      <c r="N2695" s="17" t="s">
        <v>736</v>
      </c>
    </row>
    <row r="2696" spans="1:14" x14ac:dyDescent="0.25">
      <c r="A2696" s="8">
        <v>995032</v>
      </c>
      <c r="B2696" s="22" t="str">
        <f>IFERROR(VLOOKUP(A2696,VLOOKUPS!$A$2:B$12589,2,FALSE),"")</f>
        <v>Chopped Sunflower Crunch Kit 12.2oz-standard</v>
      </c>
      <c r="E2696">
        <v>2.4900000000000002</v>
      </c>
      <c r="F2696">
        <v>3.49</v>
      </c>
      <c r="G2696" s="13">
        <v>44541</v>
      </c>
      <c r="H2696" s="13"/>
      <c r="I2696" s="22" t="str">
        <f>VLOOKUP(J2696, Dropdowns!N:O, 2, FALSE)</f>
        <v>Standard</v>
      </c>
      <c r="J2696" t="s">
        <v>760</v>
      </c>
      <c r="L2696" s="17" t="s">
        <v>732</v>
      </c>
      <c r="M2696" s="17" t="s">
        <v>9</v>
      </c>
      <c r="N2696" s="17" t="s">
        <v>736</v>
      </c>
    </row>
    <row r="2697" spans="1:14" x14ac:dyDescent="0.25">
      <c r="A2697" s="8">
        <v>995082</v>
      </c>
      <c r="B2697" s="22" t="str">
        <f>IFERROR(VLOOKUP(A2697,VLOOKUPS!$A$2:B$12589,2,FALSE),"")</f>
        <v>Melon Trio 16oz-standard</v>
      </c>
      <c r="E2697">
        <v>3.99</v>
      </c>
      <c r="F2697">
        <v>2.99</v>
      </c>
      <c r="G2697" s="13">
        <v>44539</v>
      </c>
      <c r="H2697" s="13">
        <v>44540</v>
      </c>
      <c r="I2697" s="22" t="str">
        <f>VLOOKUP(J2697, Dropdowns!N:O, 2, FALSE)</f>
        <v>Lower Price</v>
      </c>
      <c r="J2697" t="s">
        <v>759</v>
      </c>
      <c r="L2697" s="17" t="s">
        <v>732</v>
      </c>
      <c r="M2697" s="17" t="s">
        <v>9</v>
      </c>
      <c r="N2697" s="17" t="s">
        <v>736</v>
      </c>
    </row>
    <row r="2698" spans="1:14" x14ac:dyDescent="0.25">
      <c r="A2698" s="8">
        <v>995082</v>
      </c>
      <c r="B2698" s="22" t="str">
        <f>IFERROR(VLOOKUP(A2698,VLOOKUPS!$A$2:B$12589,2,FALSE),"")</f>
        <v>Melon Trio 16oz-standard</v>
      </c>
      <c r="E2698">
        <v>2.99</v>
      </c>
      <c r="F2698">
        <v>3.99</v>
      </c>
      <c r="G2698" s="13">
        <v>44541</v>
      </c>
      <c r="H2698" s="13"/>
      <c r="I2698" s="22" t="str">
        <f>VLOOKUP(J2698, Dropdowns!N:O, 2, FALSE)</f>
        <v>Standard</v>
      </c>
      <c r="J2698" t="s">
        <v>760</v>
      </c>
      <c r="L2698" s="17" t="s">
        <v>732</v>
      </c>
      <c r="M2698" s="17" t="s">
        <v>9</v>
      </c>
      <c r="N2698" s="17" t="s">
        <v>736</v>
      </c>
    </row>
    <row r="2699" spans="1:14" x14ac:dyDescent="0.25">
      <c r="A2699" s="8">
        <v>995166</v>
      </c>
      <c r="B2699" s="22" t="str">
        <f>IFERROR(VLOOKUP(A2699,VLOOKUPS!$A$2:B$12589,2,FALSE),"")</f>
        <v>Snow Peas 8oz-standard</v>
      </c>
      <c r="E2699">
        <v>2.68</v>
      </c>
      <c r="F2699">
        <v>1.48</v>
      </c>
      <c r="G2699" s="13">
        <v>44539</v>
      </c>
      <c r="H2699" s="13">
        <v>44540</v>
      </c>
      <c r="I2699" s="22" t="str">
        <f>VLOOKUP(J2699, Dropdowns!N:O, 2, FALSE)</f>
        <v>Lower Price</v>
      </c>
      <c r="J2699" t="s">
        <v>759</v>
      </c>
      <c r="L2699" s="17" t="s">
        <v>732</v>
      </c>
      <c r="M2699" s="17" t="s">
        <v>9</v>
      </c>
      <c r="N2699" s="17" t="s">
        <v>736</v>
      </c>
    </row>
    <row r="2700" spans="1:14" x14ac:dyDescent="0.25">
      <c r="A2700" s="8">
        <v>995166</v>
      </c>
      <c r="B2700" s="22" t="str">
        <f>IFERROR(VLOOKUP(A2700,VLOOKUPS!$A$2:B$12589,2,FALSE),"")</f>
        <v>Snow Peas 8oz-standard</v>
      </c>
      <c r="E2700">
        <v>1.48</v>
      </c>
      <c r="F2700">
        <v>2.68</v>
      </c>
      <c r="G2700" s="13">
        <v>44541</v>
      </c>
      <c r="H2700" s="13"/>
      <c r="I2700" s="22" t="str">
        <f>VLOOKUP(J2700, Dropdowns!N:O, 2, FALSE)</f>
        <v>Standard</v>
      </c>
      <c r="J2700" t="s">
        <v>760</v>
      </c>
      <c r="L2700" s="17" t="s">
        <v>732</v>
      </c>
      <c r="M2700" s="17" t="s">
        <v>9</v>
      </c>
      <c r="N2700" s="17" t="s">
        <v>736</v>
      </c>
    </row>
    <row r="2701" spans="1:14" x14ac:dyDescent="0.25">
      <c r="A2701" s="8">
        <v>984702</v>
      </c>
      <c r="B2701" s="22" t="str">
        <f>IFERROR(VLOOKUP(A2701,VLOOKUPS!$A$2:B$12589,2,FALSE),"")</f>
        <v>Blackberries 12oz-standard</v>
      </c>
      <c r="E2701">
        <v>4.38</v>
      </c>
      <c r="F2701">
        <v>3.98</v>
      </c>
      <c r="G2701" s="13">
        <v>44540</v>
      </c>
      <c r="H2701" s="13"/>
      <c r="I2701" s="22" t="str">
        <f>VLOOKUP(J2701, Dropdowns!N:O, 2, FALSE)</f>
        <v>Standard</v>
      </c>
      <c r="J2701" t="s">
        <v>761</v>
      </c>
      <c r="L2701" s="17" t="s">
        <v>732</v>
      </c>
      <c r="M2701" s="17" t="s">
        <v>736</v>
      </c>
      <c r="N2701" s="17" t="s">
        <v>736</v>
      </c>
    </row>
    <row r="2702" spans="1:14" x14ac:dyDescent="0.25">
      <c r="A2702" s="8">
        <v>984500</v>
      </c>
      <c r="B2702" s="22" t="str">
        <f>IFERROR(VLOOKUP(A2702,VLOOKUPS!$A$2:B$12589,2,FALSE),"")</f>
        <v>Organic Strawberries 1lb-standard</v>
      </c>
      <c r="E2702">
        <v>4.38</v>
      </c>
      <c r="F2702">
        <v>4.9800000000000004</v>
      </c>
      <c r="G2702" s="13">
        <v>44540</v>
      </c>
      <c r="H2702" s="13"/>
      <c r="I2702" s="22" t="str">
        <f>VLOOKUP(J2702, Dropdowns!N:O, 2, FALSE)</f>
        <v>Standard</v>
      </c>
      <c r="J2702" t="s">
        <v>761</v>
      </c>
      <c r="L2702" s="17" t="s">
        <v>732</v>
      </c>
      <c r="M2702" s="17" t="s">
        <v>736</v>
      </c>
      <c r="N2702" s="17" t="s">
        <v>736</v>
      </c>
    </row>
    <row r="2703" spans="1:14" x14ac:dyDescent="0.25">
      <c r="A2703" s="8">
        <v>984620</v>
      </c>
      <c r="B2703" s="22" t="str">
        <f>IFERROR(VLOOKUP(A2703,VLOOKUPS!$A$2:B$12589,2,FALSE),"")</f>
        <v>Raspberries 6oz-standard</v>
      </c>
      <c r="E2703">
        <v>2.44</v>
      </c>
      <c r="F2703">
        <v>2.7</v>
      </c>
      <c r="G2703" s="13">
        <v>44540</v>
      </c>
      <c r="H2703" s="13"/>
      <c r="I2703" s="22" t="str">
        <f>VLOOKUP(J2703, Dropdowns!N:O, 2, FALSE)</f>
        <v>Standard</v>
      </c>
      <c r="J2703" t="s">
        <v>761</v>
      </c>
      <c r="L2703" s="17" t="s">
        <v>732</v>
      </c>
      <c r="M2703" s="17" t="s">
        <v>736</v>
      </c>
      <c r="N2703" s="17" t="s">
        <v>736</v>
      </c>
    </row>
    <row r="2704" spans="1:14" x14ac:dyDescent="0.25">
      <c r="A2704" s="8">
        <v>985060</v>
      </c>
      <c r="B2704" s="22" t="str">
        <f>IFERROR(VLOOKUP(A2704,VLOOKUPS!$A$2:B$12589,2,FALSE),"")</f>
        <v>Lettuce* Iceberg 1ct-standard</v>
      </c>
      <c r="E2704">
        <v>1.78</v>
      </c>
      <c r="F2704">
        <v>1.08</v>
      </c>
      <c r="G2704" s="13">
        <v>44540</v>
      </c>
      <c r="H2704" s="13">
        <v>44541</v>
      </c>
      <c r="I2704" s="22" t="str">
        <f>VLOOKUP(J2704, Dropdowns!N:O, 2, FALSE)</f>
        <v>Lower Price</v>
      </c>
      <c r="J2704" t="s">
        <v>759</v>
      </c>
      <c r="L2704" s="17" t="s">
        <v>732</v>
      </c>
      <c r="M2704" s="17" t="s">
        <v>10</v>
      </c>
      <c r="N2704" s="17">
        <v>2</v>
      </c>
    </row>
    <row r="2705" spans="1:17" x14ac:dyDescent="0.25">
      <c r="A2705" s="8">
        <v>985060</v>
      </c>
      <c r="B2705" s="22" t="str">
        <f>IFERROR(VLOOKUP(A2705,VLOOKUPS!$A$2:B$12589,2,FALSE),"")</f>
        <v>Lettuce* Iceberg 1ct-standard</v>
      </c>
      <c r="E2705">
        <v>1.08</v>
      </c>
      <c r="F2705">
        <v>1.78</v>
      </c>
      <c r="G2705" s="13">
        <v>44542</v>
      </c>
      <c r="H2705" s="13"/>
      <c r="I2705" s="22" t="str">
        <f>VLOOKUP(J2705, Dropdowns!N:O, 2, FALSE)</f>
        <v>Standard</v>
      </c>
      <c r="J2705" t="s">
        <v>760</v>
      </c>
      <c r="L2705" s="17" t="s">
        <v>732</v>
      </c>
      <c r="M2705" s="17" t="s">
        <v>10</v>
      </c>
      <c r="N2705" s="17">
        <v>2</v>
      </c>
    </row>
    <row r="2706" spans="1:17" x14ac:dyDescent="0.25">
      <c r="A2706" s="8">
        <v>995126</v>
      </c>
      <c r="B2706" s="22" t="str">
        <f>IFERROR(VLOOKUP(A2706,VLOOKUPS!$A$2:B$12589,2,FALSE),"")</f>
        <v>Broccoli &amp; Cauliflower 12oz-standard</v>
      </c>
      <c r="E2706">
        <v>2.4900000000000002</v>
      </c>
      <c r="F2706">
        <v>1.49</v>
      </c>
      <c r="G2706" s="13">
        <v>44540</v>
      </c>
      <c r="H2706" s="13">
        <v>44541</v>
      </c>
      <c r="I2706" s="22" t="str">
        <f>VLOOKUP(J2706, Dropdowns!N:O, 2, FALSE)</f>
        <v>Lower Price</v>
      </c>
      <c r="J2706" t="s">
        <v>759</v>
      </c>
      <c r="L2706" s="17" t="s">
        <v>732</v>
      </c>
      <c r="M2706" s="17" t="s">
        <v>10</v>
      </c>
      <c r="N2706" s="17">
        <v>2</v>
      </c>
    </row>
    <row r="2707" spans="1:17" x14ac:dyDescent="0.25">
      <c r="A2707" s="8">
        <v>995126</v>
      </c>
      <c r="B2707" s="22" t="str">
        <f>IFERROR(VLOOKUP(A2707,VLOOKUPS!$A$2:B$12589,2,FALSE),"")</f>
        <v>Broccoli &amp; Cauliflower 12oz-standard</v>
      </c>
      <c r="E2707">
        <v>1.49</v>
      </c>
      <c r="F2707">
        <v>2.4900000000000002</v>
      </c>
      <c r="G2707" s="13">
        <v>44542</v>
      </c>
      <c r="H2707" s="13"/>
      <c r="I2707" s="22" t="str">
        <f>VLOOKUP(J2707, Dropdowns!N:O, 2, FALSE)</f>
        <v>Standard</v>
      </c>
      <c r="J2707" t="s">
        <v>760</v>
      </c>
      <c r="L2707" s="17" t="s">
        <v>732</v>
      </c>
      <c r="M2707" s="17" t="s">
        <v>10</v>
      </c>
      <c r="N2707" s="17">
        <v>2</v>
      </c>
    </row>
    <row r="2708" spans="1:17" x14ac:dyDescent="0.25">
      <c r="A2708" s="8">
        <v>995172</v>
      </c>
      <c r="B2708" s="22" t="str">
        <f>IFERROR(VLOOKUP(A2708,VLOOKUPS!$A$2:B$12589,2,FALSE),"")</f>
        <v>Pinkglow Pineapple Chunks 12oz-standard</v>
      </c>
      <c r="D2708">
        <v>6</v>
      </c>
      <c r="F2708">
        <v>4.99</v>
      </c>
      <c r="G2708" s="13">
        <v>44540</v>
      </c>
      <c r="H2708" s="13"/>
      <c r="I2708" s="22" t="str">
        <f>VLOOKUP(J2708, Dropdowns!N:O, 2, FALSE)</f>
        <v>New</v>
      </c>
      <c r="J2708" t="s">
        <v>776</v>
      </c>
      <c r="L2708" s="17" t="s">
        <v>732</v>
      </c>
      <c r="M2708" s="17" t="s">
        <v>736</v>
      </c>
      <c r="N2708" s="17" t="s">
        <v>736</v>
      </c>
      <c r="O2708" s="17" t="s">
        <v>748</v>
      </c>
      <c r="P2708">
        <v>1</v>
      </c>
      <c r="Q2708" s="17" t="s">
        <v>1044</v>
      </c>
    </row>
    <row r="2709" spans="1:17" x14ac:dyDescent="0.25">
      <c r="A2709" s="8">
        <v>982650</v>
      </c>
      <c r="B2709" s="22" t="str">
        <f>IFERROR(VLOOKUP(A2709,VLOOKUPS!$A$2:B$12589,2,FALSE),"")</f>
        <v>Grapes* Green Seedless 1lb-LOOSE</v>
      </c>
      <c r="E2709">
        <v>1.54</v>
      </c>
      <c r="F2709">
        <v>1.69</v>
      </c>
      <c r="G2709" s="13">
        <v>44540</v>
      </c>
      <c r="H2709" s="13"/>
      <c r="I2709" s="22" t="str">
        <f>VLOOKUP(J2709, Dropdowns!N:O, 2, FALSE)</f>
        <v>Standard</v>
      </c>
      <c r="J2709" t="s">
        <v>761</v>
      </c>
      <c r="L2709" s="17" t="s">
        <v>732</v>
      </c>
      <c r="M2709" s="17" t="s">
        <v>736</v>
      </c>
      <c r="N2709" s="17" t="s">
        <v>736</v>
      </c>
    </row>
    <row r="2710" spans="1:17" x14ac:dyDescent="0.25">
      <c r="A2710" s="8">
        <v>982740</v>
      </c>
      <c r="B2710" s="22" t="str">
        <f>IFERROR(VLOOKUP(A2710,VLOOKUPS!$A$2:B$12589,2,FALSE),"")</f>
        <v>Grapes* Red Seedless 1lb-LOOSE</v>
      </c>
      <c r="E2710">
        <v>1.56</v>
      </c>
      <c r="F2710">
        <v>1.69</v>
      </c>
      <c r="G2710" s="13">
        <v>44540</v>
      </c>
      <c r="H2710" s="13"/>
      <c r="I2710" s="22" t="str">
        <f>VLOOKUP(J2710, Dropdowns!N:O, 2, FALSE)</f>
        <v>Standard</v>
      </c>
      <c r="J2710" t="s">
        <v>761</v>
      </c>
      <c r="L2710" s="17" t="s">
        <v>732</v>
      </c>
      <c r="M2710" s="17" t="s">
        <v>736</v>
      </c>
      <c r="N2710" s="17" t="s">
        <v>736</v>
      </c>
    </row>
    <row r="2711" spans="1:17" x14ac:dyDescent="0.25">
      <c r="A2711" s="8">
        <v>983101</v>
      </c>
      <c r="B2711" s="22" t="str">
        <f>IFERROR(VLOOKUP(A2711,VLOOKUPS!$A$2:B$12589,2,FALSE),"")</f>
        <v>Melons Cantaloupes 1ct-LOOSE</v>
      </c>
      <c r="E2711">
        <v>2.98</v>
      </c>
      <c r="F2711">
        <v>1.98</v>
      </c>
      <c r="G2711" s="13">
        <v>44541</v>
      </c>
      <c r="H2711" s="13">
        <v>44541</v>
      </c>
      <c r="I2711" s="22" t="str">
        <f>VLOOKUP(J2711, Dropdowns!N:O, 2, FALSE)</f>
        <v>Lower Price</v>
      </c>
      <c r="J2711" t="s">
        <v>759</v>
      </c>
      <c r="L2711" s="17" t="s">
        <v>732</v>
      </c>
      <c r="M2711" s="17" t="s">
        <v>9</v>
      </c>
      <c r="N2711" s="17" t="s">
        <v>736</v>
      </c>
    </row>
    <row r="2712" spans="1:17" x14ac:dyDescent="0.25">
      <c r="A2712" s="8">
        <v>983101</v>
      </c>
      <c r="B2712" s="22" t="str">
        <f>IFERROR(VLOOKUP(A2712,VLOOKUPS!$A$2:B$12589,2,FALSE),"")</f>
        <v>Melons Cantaloupes 1ct-LOOSE</v>
      </c>
      <c r="E2712">
        <v>1.98</v>
      </c>
      <c r="F2712">
        <v>2.98</v>
      </c>
      <c r="G2712" s="13">
        <v>44542</v>
      </c>
      <c r="H2712" s="13"/>
      <c r="I2712" s="22" t="str">
        <f>VLOOKUP(J2712, Dropdowns!N:O, 2, FALSE)</f>
        <v>Standard</v>
      </c>
      <c r="J2712" t="s">
        <v>760</v>
      </c>
      <c r="L2712" s="17" t="s">
        <v>732</v>
      </c>
      <c r="M2712" s="17" t="s">
        <v>9</v>
      </c>
      <c r="N2712" s="17" t="s">
        <v>736</v>
      </c>
    </row>
    <row r="2713" spans="1:17" x14ac:dyDescent="0.25">
      <c r="A2713" s="8">
        <v>984700</v>
      </c>
      <c r="B2713" s="22" t="str">
        <f>IFERROR(VLOOKUP(A2713,VLOOKUPS!$A$2:B$12589,2,FALSE),"")</f>
        <v>Blackberries 6oz-standard</v>
      </c>
      <c r="G2713" s="13">
        <v>44541</v>
      </c>
      <c r="H2713" s="13">
        <v>44543</v>
      </c>
      <c r="I2713" s="22" t="str">
        <f>VLOOKUP(J2713, Dropdowns!N:O, 2, FALSE)</f>
        <v>Lower Price</v>
      </c>
      <c r="J2713" t="s">
        <v>753</v>
      </c>
      <c r="L2713" s="17" t="s">
        <v>732</v>
      </c>
      <c r="M2713" s="17" t="s">
        <v>736</v>
      </c>
      <c r="N2713" s="17" t="s">
        <v>736</v>
      </c>
    </row>
    <row r="2714" spans="1:17" x14ac:dyDescent="0.25">
      <c r="A2714" s="8">
        <v>984700</v>
      </c>
      <c r="B2714" s="22" t="str">
        <f>IFERROR(VLOOKUP(A2714,VLOOKUPS!$A$2:B$12589,2,FALSE),"")</f>
        <v>Blackberries 6oz-standard</v>
      </c>
      <c r="G2714" s="13">
        <v>44544</v>
      </c>
      <c r="H2714" s="13"/>
      <c r="I2714" s="22" t="str">
        <f>VLOOKUP(J2714, Dropdowns!N:O, 2, FALSE)</f>
        <v>Standard</v>
      </c>
      <c r="J2714" t="s">
        <v>760</v>
      </c>
      <c r="L2714" s="17" t="s">
        <v>732</v>
      </c>
      <c r="M2714" s="17" t="s">
        <v>736</v>
      </c>
      <c r="N2714" s="17" t="s">
        <v>736</v>
      </c>
    </row>
    <row r="2715" spans="1:17" x14ac:dyDescent="0.25">
      <c r="A2715" s="8">
        <v>995159</v>
      </c>
      <c r="B2715" s="22" t="str">
        <f>IFERROR(VLOOKUP(A2715,VLOOKUPS!$A$2:B$12589,2,FALSE),"")</f>
        <v>Aparagus &amp; Mushrooms 12oz-standard</v>
      </c>
      <c r="D2715">
        <v>6</v>
      </c>
      <c r="F2715">
        <v>4.99</v>
      </c>
      <c r="G2715" s="13">
        <v>44541</v>
      </c>
      <c r="H2715" s="13"/>
      <c r="I2715" s="22" t="str">
        <f>VLOOKUP(J2715, Dropdowns!N:O, 2, FALSE)</f>
        <v>NA</v>
      </c>
      <c r="J2715" t="s">
        <v>754</v>
      </c>
      <c r="L2715" s="17" t="s">
        <v>732</v>
      </c>
      <c r="M2715" s="17" t="s">
        <v>737</v>
      </c>
      <c r="N2715" s="17" t="s">
        <v>736</v>
      </c>
    </row>
    <row r="2716" spans="1:17" x14ac:dyDescent="0.25">
      <c r="A2716" s="8">
        <v>995159</v>
      </c>
      <c r="B2716" s="22" t="str">
        <f>IFERROR(VLOOKUP(A2716,VLOOKUPS!$A$2:B$12589,2,FALSE),"")</f>
        <v>Aparagus &amp; Mushrooms 12oz-standard</v>
      </c>
      <c r="D2716">
        <v>6</v>
      </c>
      <c r="F2716">
        <v>4.99</v>
      </c>
      <c r="G2716" s="13">
        <v>44543</v>
      </c>
      <c r="H2716" s="13"/>
      <c r="I2716" s="22" t="str">
        <f>VLOOKUP(J2716, Dropdowns!N:O, 2, FALSE)</f>
        <v>NA</v>
      </c>
      <c r="J2716" t="s">
        <v>754</v>
      </c>
      <c r="L2716" s="17" t="s">
        <v>732</v>
      </c>
      <c r="M2716" s="17" t="s">
        <v>737</v>
      </c>
      <c r="N2716" s="17" t="s">
        <v>736</v>
      </c>
    </row>
    <row r="2717" spans="1:17" x14ac:dyDescent="0.25">
      <c r="A2717" s="8">
        <v>995166</v>
      </c>
      <c r="B2717" s="22" t="str">
        <f>IFERROR(VLOOKUP(A2717,VLOOKUPS!$A$2:B$12589,2,FALSE),"")</f>
        <v>Snow Peas 8oz-standard</v>
      </c>
      <c r="E2717">
        <v>2.68</v>
      </c>
      <c r="F2717">
        <v>0.98</v>
      </c>
      <c r="G2717" s="13">
        <v>44541</v>
      </c>
      <c r="H2717" s="13">
        <v>44542</v>
      </c>
      <c r="I2717" s="22" t="str">
        <f>VLOOKUP(J2717, Dropdowns!N:O, 2, FALSE)</f>
        <v>Lower Price</v>
      </c>
      <c r="J2717" t="s">
        <v>759</v>
      </c>
      <c r="L2717" s="17" t="s">
        <v>732</v>
      </c>
      <c r="M2717" s="17" t="s">
        <v>10</v>
      </c>
      <c r="N2717" s="17">
        <v>2</v>
      </c>
    </row>
    <row r="2718" spans="1:17" x14ac:dyDescent="0.25">
      <c r="A2718" s="8">
        <v>995166</v>
      </c>
      <c r="B2718" s="22" t="str">
        <f>IFERROR(VLOOKUP(A2718,VLOOKUPS!$A$2:B$12589,2,FALSE),"")</f>
        <v>Snow Peas 8oz-standard</v>
      </c>
      <c r="E2718">
        <v>0.98</v>
      </c>
      <c r="F2718">
        <v>2.68</v>
      </c>
      <c r="G2718" s="13">
        <v>44543</v>
      </c>
      <c r="H2718" s="13"/>
      <c r="I2718" s="22" t="str">
        <f>VLOOKUP(J2718, Dropdowns!N:O, 2, FALSE)</f>
        <v>Standard</v>
      </c>
      <c r="J2718" t="s">
        <v>760</v>
      </c>
      <c r="L2718" s="17" t="s">
        <v>732</v>
      </c>
      <c r="M2718" s="17" t="s">
        <v>10</v>
      </c>
      <c r="N2718" s="17">
        <v>2</v>
      </c>
    </row>
    <row r="2719" spans="1:17" x14ac:dyDescent="0.25">
      <c r="A2719" s="8">
        <v>984555</v>
      </c>
      <c r="B2719" s="22" t="str">
        <f>IFERROR(VLOOKUP(A2719,VLOOKUPS!$A$2:B$12589,2,FALSE),"")</f>
        <v>Blueberries 2lb-standard</v>
      </c>
      <c r="G2719" s="13">
        <v>44541</v>
      </c>
      <c r="H2719" s="13">
        <v>44544</v>
      </c>
      <c r="I2719" s="22" t="str">
        <f>VLOOKUP(J2719, Dropdowns!N:O, 2, FALSE)</f>
        <v>Lower Price</v>
      </c>
      <c r="J2719" t="s">
        <v>779</v>
      </c>
      <c r="L2719" s="17" t="s">
        <v>732</v>
      </c>
      <c r="M2719" s="17" t="s">
        <v>738</v>
      </c>
      <c r="N2719" s="17">
        <v>2</v>
      </c>
    </row>
    <row r="2720" spans="1:17" x14ac:dyDescent="0.25">
      <c r="A2720" s="8">
        <v>982832</v>
      </c>
      <c r="B2720" s="22" t="str">
        <f>IFERROR(VLOOKUP(A2720,VLOOKUPS!$A$2:B$12589,2,FALSE),"")</f>
        <v>Grapes 3lb-standard</v>
      </c>
      <c r="D2720">
        <v>6</v>
      </c>
      <c r="F2720">
        <v>9.99</v>
      </c>
      <c r="G2720" s="13">
        <v>44541</v>
      </c>
      <c r="H2720" s="13"/>
      <c r="I2720" s="22" t="str">
        <f>VLOOKUP(J2720, Dropdowns!N:O, 2, FALSE)</f>
        <v>New</v>
      </c>
      <c r="J2720" t="s">
        <v>776</v>
      </c>
      <c r="L2720" s="17" t="s">
        <v>732</v>
      </c>
      <c r="M2720" s="17" t="s">
        <v>9</v>
      </c>
      <c r="N2720" s="17" t="s">
        <v>736</v>
      </c>
      <c r="O2720" s="17" t="s">
        <v>748</v>
      </c>
      <c r="P2720">
        <v>1</v>
      </c>
    </row>
    <row r="2721" spans="1:14" x14ac:dyDescent="0.25">
      <c r="A2721" s="8">
        <v>982740</v>
      </c>
      <c r="B2721" s="22" t="str">
        <f>IFERROR(VLOOKUP(A2721,VLOOKUPS!$A$2:B$12589,2,FALSE),"")</f>
        <v>Grapes* Red Seedless 1lb-LOOSE</v>
      </c>
      <c r="E2721">
        <v>1.69</v>
      </c>
      <c r="F2721">
        <v>0.99</v>
      </c>
      <c r="G2721" s="13">
        <v>44541</v>
      </c>
      <c r="H2721" s="13">
        <v>44542</v>
      </c>
      <c r="I2721" s="22" t="str">
        <f>VLOOKUP(J2721, Dropdowns!N:O, 2, FALSE)</f>
        <v>Lower Price</v>
      </c>
      <c r="J2721" t="s">
        <v>759</v>
      </c>
      <c r="L2721" s="17" t="s">
        <v>733</v>
      </c>
      <c r="M2721" s="17" t="s">
        <v>11</v>
      </c>
      <c r="N2721" s="17" t="s">
        <v>740</v>
      </c>
    </row>
    <row r="2722" spans="1:14" x14ac:dyDescent="0.25">
      <c r="A2722" s="8">
        <v>982740</v>
      </c>
      <c r="B2722" s="22" t="str">
        <f>IFERROR(VLOOKUP(A2722,VLOOKUPS!$A$2:B$12589,2,FALSE),"")</f>
        <v>Grapes* Red Seedless 1lb-LOOSE</v>
      </c>
      <c r="E2722">
        <v>0.99</v>
      </c>
      <c r="F2722">
        <v>1.69</v>
      </c>
      <c r="G2722" s="13">
        <v>44543</v>
      </c>
      <c r="H2722" s="13"/>
      <c r="I2722" s="22" t="str">
        <f>VLOOKUP(J2722, Dropdowns!N:O, 2, FALSE)</f>
        <v>Standard</v>
      </c>
      <c r="J2722" t="s">
        <v>760</v>
      </c>
      <c r="L2722" s="17" t="s">
        <v>733</v>
      </c>
      <c r="M2722" s="17" t="s">
        <v>11</v>
      </c>
      <c r="N2722" s="17" t="s">
        <v>740</v>
      </c>
    </row>
    <row r="2723" spans="1:14" x14ac:dyDescent="0.25">
      <c r="A2723" s="8">
        <v>984500</v>
      </c>
      <c r="B2723" s="22" t="str">
        <f>IFERROR(VLOOKUP(A2723,VLOOKUPS!$A$2:B$12589,2,FALSE),"")</f>
        <v>Organic Strawberries 1lb-standard</v>
      </c>
      <c r="E2723">
        <v>4.9800000000000004</v>
      </c>
      <c r="F2723">
        <v>3.98</v>
      </c>
      <c r="G2723" s="13">
        <v>44544</v>
      </c>
      <c r="H2723" s="13">
        <v>44545</v>
      </c>
      <c r="I2723" s="22" t="str">
        <f>VLOOKUP(J2723, Dropdowns!N:O, 2, FALSE)</f>
        <v>Lower Price</v>
      </c>
      <c r="J2723" t="s">
        <v>759</v>
      </c>
      <c r="L2723" s="17" t="s">
        <v>732</v>
      </c>
      <c r="M2723" s="17" t="s">
        <v>10</v>
      </c>
      <c r="N2723" s="17">
        <v>2</v>
      </c>
    </row>
    <row r="2724" spans="1:14" x14ac:dyDescent="0.25">
      <c r="A2724" s="8">
        <v>984500</v>
      </c>
      <c r="B2724" s="22" t="str">
        <f>IFERROR(VLOOKUP(A2724,VLOOKUPS!$A$2:B$12589,2,FALSE),"")</f>
        <v>Organic Strawberries 1lb-standard</v>
      </c>
      <c r="E2724">
        <v>3.98</v>
      </c>
      <c r="F2724">
        <v>4.9800000000000004</v>
      </c>
      <c r="G2724" s="13">
        <v>44546</v>
      </c>
      <c r="H2724" s="13"/>
      <c r="I2724" s="22" t="str">
        <f>VLOOKUP(J2724, Dropdowns!N:O, 2, FALSE)</f>
        <v>Standard</v>
      </c>
      <c r="J2724" t="s">
        <v>760</v>
      </c>
      <c r="L2724" s="17" t="s">
        <v>732</v>
      </c>
      <c r="M2724" s="17" t="s">
        <v>10</v>
      </c>
      <c r="N2724" s="17">
        <v>2</v>
      </c>
    </row>
    <row r="2725" spans="1:14" x14ac:dyDescent="0.25">
      <c r="A2725" s="8">
        <v>984542</v>
      </c>
      <c r="B2725" s="22" t="str">
        <f>IFERROR(VLOOKUP(A2725,VLOOKUPS!$A$2:B$12589,2,FALSE),"")</f>
        <v>Blueberries 18oz-standard</v>
      </c>
      <c r="E2725">
        <v>4.18</v>
      </c>
      <c r="F2725">
        <v>2.98</v>
      </c>
      <c r="G2725" s="13">
        <v>44544</v>
      </c>
      <c r="H2725" s="13">
        <v>44545</v>
      </c>
      <c r="I2725" s="22" t="str">
        <f>VLOOKUP(J2725, Dropdowns!N:O, 2, FALSE)</f>
        <v>Lower Price</v>
      </c>
      <c r="J2725" t="s">
        <v>759</v>
      </c>
      <c r="L2725" s="17" t="s">
        <v>732</v>
      </c>
      <c r="M2725" s="17" t="s">
        <v>735</v>
      </c>
      <c r="N2725" s="17" t="s">
        <v>736</v>
      </c>
    </row>
    <row r="2726" spans="1:14" x14ac:dyDescent="0.25">
      <c r="A2726" s="8">
        <v>984542</v>
      </c>
      <c r="B2726" s="22" t="str">
        <f>IFERROR(VLOOKUP(A2726,VLOOKUPS!$A$2:B$12589,2,FALSE),"")</f>
        <v>Blueberries 18oz-standard</v>
      </c>
      <c r="E2726">
        <v>2.98</v>
      </c>
      <c r="F2726">
        <v>4.18</v>
      </c>
      <c r="G2726" s="13">
        <v>44546</v>
      </c>
      <c r="H2726" s="13"/>
      <c r="I2726" s="22" t="str">
        <f>VLOOKUP(J2726, Dropdowns!N:O, 2, FALSE)</f>
        <v>Standard</v>
      </c>
      <c r="J2726" t="s">
        <v>760</v>
      </c>
      <c r="L2726" s="17" t="s">
        <v>732</v>
      </c>
      <c r="M2726" s="17" t="s">
        <v>735</v>
      </c>
      <c r="N2726" s="17" t="s">
        <v>736</v>
      </c>
    </row>
    <row r="2727" spans="1:14" x14ac:dyDescent="0.25">
      <c r="A2727" s="8">
        <v>984620</v>
      </c>
      <c r="B2727" s="22" t="str">
        <f>IFERROR(VLOOKUP(A2727,VLOOKUPS!$A$2:B$12589,2,FALSE),"")</f>
        <v>Raspberries 6oz-standard</v>
      </c>
      <c r="E2727">
        <v>2.7</v>
      </c>
      <c r="F2727">
        <v>2.44</v>
      </c>
      <c r="G2727" s="13">
        <v>44544</v>
      </c>
      <c r="H2727" s="13"/>
      <c r="I2727" s="22" t="str">
        <f>VLOOKUP(J2727, Dropdowns!N:O, 2, FALSE)</f>
        <v>Standard</v>
      </c>
      <c r="J2727" t="s">
        <v>761</v>
      </c>
      <c r="L2727" s="17" t="s">
        <v>732</v>
      </c>
      <c r="M2727" s="17" t="s">
        <v>736</v>
      </c>
      <c r="N2727" s="17" t="s">
        <v>736</v>
      </c>
    </row>
    <row r="2728" spans="1:14" x14ac:dyDescent="0.25">
      <c r="A2728" s="8">
        <v>995082</v>
      </c>
      <c r="B2728" s="22" t="str">
        <f>IFERROR(VLOOKUP(A2728,VLOOKUPS!$A$2:B$12589,2,FALSE),"")</f>
        <v>Melon Trio 16oz-standard</v>
      </c>
      <c r="E2728">
        <v>3.99</v>
      </c>
      <c r="F2728">
        <v>2.99</v>
      </c>
      <c r="G2728" s="13">
        <v>44544</v>
      </c>
      <c r="H2728" s="13">
        <v>44545</v>
      </c>
      <c r="I2728" s="22" t="str">
        <f>VLOOKUP(J2728, Dropdowns!N:O, 2, FALSE)</f>
        <v>Lower Price</v>
      </c>
      <c r="J2728" t="s">
        <v>759</v>
      </c>
      <c r="L2728" s="17" t="s">
        <v>732</v>
      </c>
      <c r="M2728" s="17" t="s">
        <v>10</v>
      </c>
      <c r="N2728" s="17">
        <v>2</v>
      </c>
    </row>
    <row r="2729" spans="1:14" x14ac:dyDescent="0.25">
      <c r="A2729" s="8">
        <v>995082</v>
      </c>
      <c r="B2729" s="22" t="str">
        <f>IFERROR(VLOOKUP(A2729,VLOOKUPS!$A$2:B$12589,2,FALSE),"")</f>
        <v>Melon Trio 16oz-standard</v>
      </c>
      <c r="E2729">
        <v>2.99</v>
      </c>
      <c r="F2729">
        <v>3.99</v>
      </c>
      <c r="G2729" s="13">
        <v>44546</v>
      </c>
      <c r="H2729" s="13"/>
      <c r="I2729" s="22" t="str">
        <f>VLOOKUP(J2729, Dropdowns!N:O, 2, FALSE)</f>
        <v>Standard</v>
      </c>
      <c r="J2729" t="s">
        <v>760</v>
      </c>
      <c r="L2729" s="17" t="s">
        <v>732</v>
      </c>
      <c r="M2729" s="17" t="s">
        <v>10</v>
      </c>
      <c r="N2729" s="17">
        <v>2</v>
      </c>
    </row>
    <row r="2730" spans="1:14" x14ac:dyDescent="0.25">
      <c r="A2730" s="8">
        <v>995115</v>
      </c>
      <c r="B2730" s="22" t="str">
        <f>IFERROR(VLOOKUP(A2730,VLOOKUPS!$A$2:B$12589,2,FALSE),"")</f>
        <v>Pineapple Chunks 10oz-standard</v>
      </c>
      <c r="E2730">
        <v>2.58</v>
      </c>
      <c r="F2730">
        <v>1.58</v>
      </c>
      <c r="G2730" s="13">
        <v>44544</v>
      </c>
      <c r="H2730" s="13">
        <v>44545</v>
      </c>
      <c r="I2730" s="22" t="str">
        <f>VLOOKUP(J2730, Dropdowns!N:O, 2, FALSE)</f>
        <v>Lower Price</v>
      </c>
      <c r="J2730" t="s">
        <v>759</v>
      </c>
      <c r="L2730" s="17" t="s">
        <v>732</v>
      </c>
      <c r="M2730" s="17" t="s">
        <v>9</v>
      </c>
      <c r="N2730" s="17" t="s">
        <v>736</v>
      </c>
    </row>
    <row r="2731" spans="1:14" x14ac:dyDescent="0.25">
      <c r="A2731" s="8">
        <v>995115</v>
      </c>
      <c r="B2731" s="22" t="str">
        <f>IFERROR(VLOOKUP(A2731,VLOOKUPS!$A$2:B$12589,2,FALSE),"")</f>
        <v>Pineapple Chunks 10oz-standard</v>
      </c>
      <c r="E2731">
        <v>1.58</v>
      </c>
      <c r="F2731">
        <v>2.58</v>
      </c>
      <c r="G2731" s="13">
        <v>44546</v>
      </c>
      <c r="H2731" s="13"/>
      <c r="I2731" s="22" t="str">
        <f>VLOOKUP(J2731, Dropdowns!N:O, 2, FALSE)</f>
        <v>Standard</v>
      </c>
      <c r="J2731" t="s">
        <v>760</v>
      </c>
      <c r="L2731" s="17" t="s">
        <v>732</v>
      </c>
      <c r="M2731" s="17" t="s">
        <v>9</v>
      </c>
      <c r="N2731" s="17" t="s">
        <v>736</v>
      </c>
    </row>
    <row r="2732" spans="1:14" x14ac:dyDescent="0.25">
      <c r="A2732" s="8">
        <v>983201</v>
      </c>
      <c r="B2732" s="22" t="str">
        <f>IFERROR(VLOOKUP(A2732,VLOOKUPS!$A$2:B$12589,2,FALSE),"")</f>
        <v>Melons* Honeydew 1ct-LOOSE</v>
      </c>
      <c r="E2732">
        <v>3.98</v>
      </c>
      <c r="F2732">
        <v>2.98</v>
      </c>
      <c r="G2732" s="13">
        <v>44544</v>
      </c>
      <c r="H2732" s="13">
        <v>44545</v>
      </c>
      <c r="I2732" s="22" t="str">
        <f>VLOOKUP(J2732, Dropdowns!N:O, 2, FALSE)</f>
        <v>Lower Price</v>
      </c>
      <c r="J2732" t="s">
        <v>759</v>
      </c>
      <c r="L2732" s="17" t="s">
        <v>733</v>
      </c>
      <c r="M2732" s="17" t="s">
        <v>11</v>
      </c>
      <c r="N2732" s="17" t="s">
        <v>740</v>
      </c>
    </row>
    <row r="2733" spans="1:14" x14ac:dyDescent="0.25">
      <c r="A2733" s="8">
        <v>983201</v>
      </c>
      <c r="B2733" s="22" t="str">
        <f>IFERROR(VLOOKUP(A2733,VLOOKUPS!$A$2:B$12589,2,FALSE),"")</f>
        <v>Melons* Honeydew 1ct-LOOSE</v>
      </c>
      <c r="E2733">
        <v>2.98</v>
      </c>
      <c r="F2733">
        <v>3.98</v>
      </c>
      <c r="G2733" s="13">
        <v>44546</v>
      </c>
      <c r="H2733" s="13"/>
      <c r="I2733" s="22" t="str">
        <f>VLOOKUP(J2733, Dropdowns!N:O, 2, FALSE)</f>
        <v>Standard</v>
      </c>
      <c r="J2733" t="s">
        <v>760</v>
      </c>
      <c r="L2733" s="17" t="s">
        <v>733</v>
      </c>
      <c r="M2733" s="17" t="s">
        <v>11</v>
      </c>
      <c r="N2733" s="17" t="s">
        <v>740</v>
      </c>
    </row>
    <row r="2734" spans="1:14" x14ac:dyDescent="0.25">
      <c r="A2734" s="8">
        <v>995086</v>
      </c>
      <c r="B2734" s="22" t="str">
        <f>IFERROR(VLOOKUP(A2734,VLOOKUPS!$A$2:B$12589,2,FALSE),"")</f>
        <v>Eat Smart Broccoli Florets 2lbs-standard</v>
      </c>
      <c r="E2734">
        <v>5.98</v>
      </c>
      <c r="F2734">
        <v>4.9800000000000004</v>
      </c>
      <c r="G2734" s="13">
        <v>44545</v>
      </c>
      <c r="H2734" s="13">
        <v>44546</v>
      </c>
      <c r="I2734" s="22" t="str">
        <f>VLOOKUP(J2734, Dropdowns!N:O, 2, FALSE)</f>
        <v>Lower Price</v>
      </c>
      <c r="J2734" t="s">
        <v>759</v>
      </c>
      <c r="L2734" s="17" t="s">
        <v>732</v>
      </c>
      <c r="M2734" s="17" t="s">
        <v>10</v>
      </c>
      <c r="N2734" s="17">
        <v>2</v>
      </c>
    </row>
    <row r="2735" spans="1:14" x14ac:dyDescent="0.25">
      <c r="A2735" s="8">
        <v>995086</v>
      </c>
      <c r="B2735" s="22" t="str">
        <f>IFERROR(VLOOKUP(A2735,VLOOKUPS!$A$2:B$12589,2,FALSE),"")</f>
        <v>Eat Smart Broccoli Florets 2lbs-standard</v>
      </c>
      <c r="E2735">
        <v>4.9800000000000004</v>
      </c>
      <c r="F2735">
        <v>5.98</v>
      </c>
      <c r="G2735" s="13">
        <v>44547</v>
      </c>
      <c r="H2735" s="13"/>
      <c r="I2735" s="22" t="str">
        <f>VLOOKUP(J2735, Dropdowns!N:O, 2, FALSE)</f>
        <v>Standard</v>
      </c>
      <c r="J2735" t="s">
        <v>760</v>
      </c>
      <c r="L2735" s="17" t="s">
        <v>732</v>
      </c>
      <c r="M2735" s="17" t="s">
        <v>10</v>
      </c>
      <c r="N2735" s="17">
        <v>2</v>
      </c>
    </row>
    <row r="2736" spans="1:14" x14ac:dyDescent="0.25">
      <c r="A2736" s="8">
        <v>988620</v>
      </c>
      <c r="B2736" s="22" t="str">
        <f>IFERROR(VLOOKUP(A2736,VLOOKUPS!$A$2:B$12589,2,FALSE),"")</f>
        <v>Brussels Sprouts 1lb-standard</v>
      </c>
      <c r="G2736" s="13">
        <v>44545</v>
      </c>
      <c r="H2736" s="13">
        <v>44551</v>
      </c>
      <c r="I2736" s="22" t="str">
        <f>VLOOKUP(J2736, Dropdowns!N:O, 2, FALSE)</f>
        <v>Lower Price</v>
      </c>
      <c r="J2736" t="s">
        <v>753</v>
      </c>
      <c r="L2736" s="17" t="s">
        <v>732</v>
      </c>
      <c r="M2736" s="17" t="s">
        <v>736</v>
      </c>
      <c r="N2736" s="17" t="s">
        <v>736</v>
      </c>
    </row>
    <row r="2737" spans="1:17" x14ac:dyDescent="0.25">
      <c r="A2737" s="8">
        <v>984620</v>
      </c>
      <c r="B2737" s="22" t="str">
        <f>IFERROR(VLOOKUP(A2737,VLOOKUPS!$A$2:B$12589,2,FALSE),"")</f>
        <v>Raspberries 6oz-standard</v>
      </c>
      <c r="G2737" s="13">
        <v>44545</v>
      </c>
      <c r="H2737" s="13">
        <v>44551</v>
      </c>
      <c r="I2737" s="22" t="str">
        <f>VLOOKUP(J2737, Dropdowns!N:O, 2, FALSE)</f>
        <v>Lower Price</v>
      </c>
      <c r="J2737" t="s">
        <v>753</v>
      </c>
      <c r="L2737" s="17" t="s">
        <v>732</v>
      </c>
      <c r="M2737" s="17" t="s">
        <v>736</v>
      </c>
      <c r="N2737" s="17" t="s">
        <v>736</v>
      </c>
    </row>
    <row r="2738" spans="1:17" x14ac:dyDescent="0.25">
      <c r="A2738" s="8">
        <v>985760</v>
      </c>
      <c r="B2738" s="22" t="str">
        <f>IFERROR(VLOOKUP(A2738,VLOOKUPS!$A$2:B$12589,2,FALSE),"")</f>
        <v>Asparagus 1lb-standard</v>
      </c>
      <c r="G2738" s="13">
        <v>44545</v>
      </c>
      <c r="H2738" s="13">
        <v>44546</v>
      </c>
      <c r="I2738" s="22" t="str">
        <f>VLOOKUP(J2738, Dropdowns!N:O, 2, FALSE)</f>
        <v>Lower Price</v>
      </c>
      <c r="J2738" t="s">
        <v>762</v>
      </c>
      <c r="L2738" s="17" t="s">
        <v>732</v>
      </c>
      <c r="M2738" s="17" t="s">
        <v>736</v>
      </c>
      <c r="N2738" s="17" t="s">
        <v>736</v>
      </c>
    </row>
    <row r="2739" spans="1:17" x14ac:dyDescent="0.25">
      <c r="A2739" s="8">
        <v>985760</v>
      </c>
      <c r="B2739" s="22" t="str">
        <f>IFERROR(VLOOKUP(A2739,VLOOKUPS!$A$2:B$12589,2,FALSE),"")</f>
        <v>Asparagus 1lb-standard</v>
      </c>
      <c r="E2739">
        <v>1.99</v>
      </c>
      <c r="F2739">
        <v>2.99</v>
      </c>
      <c r="G2739" s="13">
        <v>44547</v>
      </c>
      <c r="H2739" s="13"/>
      <c r="I2739" s="22" t="str">
        <f>VLOOKUP(J2739, Dropdowns!N:O, 2, FALSE)</f>
        <v>Standard</v>
      </c>
      <c r="J2739" t="s">
        <v>760</v>
      </c>
      <c r="L2739" s="17" t="s">
        <v>732</v>
      </c>
      <c r="M2739" s="17" t="s">
        <v>736</v>
      </c>
      <c r="N2739" s="17" t="s">
        <v>736</v>
      </c>
    </row>
    <row r="2740" spans="1:17" x14ac:dyDescent="0.25">
      <c r="A2740" s="8">
        <v>984555</v>
      </c>
      <c r="B2740" s="22" t="str">
        <f>IFERROR(VLOOKUP(A2740,VLOOKUPS!$A$2:B$12589,2,FALSE),"")</f>
        <v>Blueberries 2lb-standard</v>
      </c>
      <c r="E2740">
        <v>4.49</v>
      </c>
      <c r="F2740">
        <v>6.99</v>
      </c>
      <c r="G2740" s="13">
        <v>44545</v>
      </c>
      <c r="H2740" s="13"/>
      <c r="I2740" s="22" t="str">
        <f>VLOOKUP(J2740, Dropdowns!N:O, 2, FALSE)</f>
        <v>Standard</v>
      </c>
      <c r="J2740" t="s">
        <v>760</v>
      </c>
      <c r="L2740" s="17" t="s">
        <v>732</v>
      </c>
      <c r="M2740" s="17" t="s">
        <v>9</v>
      </c>
      <c r="N2740" s="17" t="s">
        <v>736</v>
      </c>
    </row>
    <row r="2741" spans="1:17" x14ac:dyDescent="0.25">
      <c r="A2741" s="8">
        <v>984555</v>
      </c>
      <c r="B2741" s="22" t="str">
        <f>IFERROR(VLOOKUP(A2741,VLOOKUPS!$A$2:B$12589,2,FALSE),"")</f>
        <v>Blueberries 2lb-standard</v>
      </c>
      <c r="E2741">
        <v>2.79</v>
      </c>
      <c r="F2741">
        <v>6.99</v>
      </c>
      <c r="G2741" s="13">
        <v>44545</v>
      </c>
      <c r="H2741" s="13"/>
      <c r="I2741" s="22" t="str">
        <f>VLOOKUP(J2741, Dropdowns!N:O, 2, FALSE)</f>
        <v>Standard</v>
      </c>
      <c r="J2741" t="s">
        <v>760</v>
      </c>
      <c r="L2741" s="17" t="s">
        <v>732</v>
      </c>
      <c r="M2741" s="17" t="s">
        <v>10</v>
      </c>
      <c r="N2741" s="17">
        <v>2</v>
      </c>
    </row>
    <row r="2742" spans="1:17" x14ac:dyDescent="0.25">
      <c r="A2742" s="8">
        <v>984555</v>
      </c>
      <c r="B2742" s="22" t="str">
        <f>IFERROR(VLOOKUP(A2742,VLOOKUPS!$A$2:B$12589,2,FALSE),"")</f>
        <v>Blueberries 2lb-standard</v>
      </c>
      <c r="E2742">
        <v>3.99</v>
      </c>
      <c r="F2742">
        <v>6.99</v>
      </c>
      <c r="G2742" s="13">
        <v>44545</v>
      </c>
      <c r="H2742" s="13"/>
      <c r="I2742" s="22" t="str">
        <f>VLOOKUP(J2742, Dropdowns!N:O, 2, FALSE)</f>
        <v>Standard</v>
      </c>
      <c r="J2742" t="s">
        <v>760</v>
      </c>
      <c r="L2742" s="17" t="s">
        <v>733</v>
      </c>
      <c r="M2742" s="17" t="s">
        <v>11</v>
      </c>
      <c r="N2742" s="17" t="s">
        <v>740</v>
      </c>
    </row>
    <row r="2743" spans="1:17" x14ac:dyDescent="0.25">
      <c r="A2743" s="8">
        <v>995168</v>
      </c>
      <c r="B2743" s="22" t="str">
        <f>IFERROR(VLOOKUP(A2743,VLOOKUPS!$A$2:B$12589,2,FALSE),"")</f>
        <v>Coconut Curry Stir Fry Kit 12.5oz-standard</v>
      </c>
      <c r="D2743">
        <v>6</v>
      </c>
      <c r="F2743">
        <v>2.98</v>
      </c>
      <c r="G2743" s="13">
        <v>44546</v>
      </c>
      <c r="H2743" s="13"/>
      <c r="I2743" s="22" t="str">
        <f>VLOOKUP(J2743, Dropdowns!N:O, 2, FALSE)</f>
        <v>New</v>
      </c>
      <c r="J2743" t="s">
        <v>776</v>
      </c>
      <c r="L2743" s="17" t="s">
        <v>732</v>
      </c>
      <c r="M2743" s="17" t="s">
        <v>736</v>
      </c>
      <c r="N2743" s="17" t="s">
        <v>736</v>
      </c>
      <c r="O2743" s="17" t="s">
        <v>748</v>
      </c>
      <c r="P2743">
        <v>1</v>
      </c>
      <c r="Q2743" s="17" t="s">
        <v>1044</v>
      </c>
    </row>
    <row r="2744" spans="1:17" x14ac:dyDescent="0.25">
      <c r="A2744" s="8">
        <v>985760</v>
      </c>
      <c r="B2744" s="22" t="str">
        <f>IFERROR(VLOOKUP(A2744,VLOOKUPS!$A$2:B$12589,2,FALSE),"")</f>
        <v>Asparagus 1lb-standard</v>
      </c>
      <c r="E2744">
        <v>1.99</v>
      </c>
      <c r="F2744">
        <v>2.99</v>
      </c>
      <c r="G2744" s="13">
        <v>44547</v>
      </c>
      <c r="H2744" s="13"/>
      <c r="I2744" s="22" t="str">
        <f>VLOOKUP(J2744, Dropdowns!N:O, 2, FALSE)</f>
        <v>Standard</v>
      </c>
      <c r="J2744" t="s">
        <v>760</v>
      </c>
      <c r="L2744" s="17" t="s">
        <v>732</v>
      </c>
      <c r="M2744" s="17" t="s">
        <v>736</v>
      </c>
      <c r="N2744" s="17" t="s">
        <v>736</v>
      </c>
    </row>
    <row r="2745" spans="1:17" x14ac:dyDescent="0.25">
      <c r="A2745" s="8">
        <v>983201</v>
      </c>
      <c r="B2745" s="22" t="str">
        <f>IFERROR(VLOOKUP(A2745,VLOOKUPS!$A$2:B$12589,2,FALSE),"")</f>
        <v>Melons* Honeydew 1ct-LOOSE</v>
      </c>
      <c r="E2745">
        <v>3.98</v>
      </c>
      <c r="F2745">
        <v>2.98</v>
      </c>
      <c r="G2745" s="13">
        <v>44548</v>
      </c>
      <c r="H2745" s="13">
        <v>44549</v>
      </c>
      <c r="I2745" s="22" t="str">
        <f>VLOOKUP(J2745, Dropdowns!N:O, 2, FALSE)</f>
        <v>Lower Price</v>
      </c>
      <c r="J2745" t="s">
        <v>759</v>
      </c>
      <c r="L2745" s="17" t="s">
        <v>732</v>
      </c>
      <c r="M2745" s="17" t="s">
        <v>735</v>
      </c>
      <c r="N2745" s="17" t="s">
        <v>736</v>
      </c>
    </row>
    <row r="2746" spans="1:17" x14ac:dyDescent="0.25">
      <c r="A2746" s="8">
        <v>983201</v>
      </c>
      <c r="B2746" s="22" t="str">
        <f>IFERROR(VLOOKUP(A2746,VLOOKUPS!$A$2:B$12589,2,FALSE),"")</f>
        <v>Melons* Honeydew 1ct-LOOSE</v>
      </c>
      <c r="E2746">
        <v>2.98</v>
      </c>
      <c r="F2746">
        <v>3.98</v>
      </c>
      <c r="G2746" s="13">
        <v>44550</v>
      </c>
      <c r="H2746" s="13"/>
      <c r="I2746" s="22" t="str">
        <f>VLOOKUP(J2746, Dropdowns!N:O, 2, FALSE)</f>
        <v>Standard</v>
      </c>
      <c r="J2746" t="s">
        <v>760</v>
      </c>
      <c r="L2746" s="17" t="s">
        <v>732</v>
      </c>
      <c r="M2746" s="17" t="s">
        <v>735</v>
      </c>
      <c r="N2746" s="17" t="s">
        <v>736</v>
      </c>
    </row>
    <row r="2747" spans="1:17" x14ac:dyDescent="0.25">
      <c r="A2747" s="8">
        <v>984460</v>
      </c>
      <c r="B2747" s="22" t="str">
        <f>IFERROR(VLOOKUP(A2747,VLOOKUPS!$A$2:B$12589,2,FALSE),"")</f>
        <v>Strawberries 1lb-standard</v>
      </c>
      <c r="E2747">
        <v>3.99</v>
      </c>
      <c r="F2747">
        <v>2.4900000000000002</v>
      </c>
      <c r="G2747" s="13">
        <v>44548</v>
      </c>
      <c r="H2747" s="13">
        <v>44550</v>
      </c>
      <c r="I2747" s="22" t="str">
        <f>VLOOKUP(J2747, Dropdowns!N:O, 2, FALSE)</f>
        <v>Lower Price</v>
      </c>
      <c r="J2747" t="s">
        <v>753</v>
      </c>
      <c r="L2747" s="17" t="s">
        <v>732</v>
      </c>
      <c r="M2747" s="17" t="s">
        <v>736</v>
      </c>
      <c r="N2747" s="17" t="s">
        <v>736</v>
      </c>
    </row>
    <row r="2748" spans="1:17" x14ac:dyDescent="0.25">
      <c r="A2748" s="8">
        <v>984460</v>
      </c>
      <c r="B2748" s="22" t="str">
        <f>IFERROR(VLOOKUP(A2748,VLOOKUPS!$A$2:B$12589,2,FALSE),"")</f>
        <v>Strawberries 1lb-standard</v>
      </c>
      <c r="E2748">
        <v>2.4900000000000002</v>
      </c>
      <c r="F2748">
        <v>3.99</v>
      </c>
      <c r="G2748" s="13">
        <v>44551</v>
      </c>
      <c r="H2748" s="13"/>
      <c r="I2748" s="22" t="str">
        <f>VLOOKUP(J2748, Dropdowns!N:O, 2, FALSE)</f>
        <v>Standard</v>
      </c>
      <c r="J2748" t="s">
        <v>760</v>
      </c>
      <c r="L2748" s="17" t="s">
        <v>732</v>
      </c>
      <c r="M2748" s="17" t="s">
        <v>736</v>
      </c>
      <c r="N2748" s="17" t="s">
        <v>736</v>
      </c>
    </row>
    <row r="2749" spans="1:17" x14ac:dyDescent="0.25">
      <c r="A2749" s="8">
        <v>984542</v>
      </c>
      <c r="B2749" s="22" t="str">
        <f>IFERROR(VLOOKUP(A2749,VLOOKUPS!$A$2:B$12589,2,FALSE),"")</f>
        <v>Blueberries 18oz-standard</v>
      </c>
      <c r="E2749">
        <v>4.18</v>
      </c>
      <c r="F2749">
        <v>3.18</v>
      </c>
      <c r="G2749" s="13">
        <v>44548</v>
      </c>
      <c r="H2749" s="13">
        <v>44549</v>
      </c>
      <c r="I2749" s="22" t="str">
        <f>VLOOKUP(J2749, Dropdowns!N:O, 2, FALSE)</f>
        <v>Lower Price</v>
      </c>
      <c r="J2749" t="s">
        <v>759</v>
      </c>
      <c r="L2749" s="17" t="s">
        <v>732</v>
      </c>
      <c r="M2749" s="17" t="s">
        <v>9</v>
      </c>
      <c r="N2749" s="17" t="s">
        <v>736</v>
      </c>
    </row>
    <row r="2750" spans="1:17" x14ac:dyDescent="0.25">
      <c r="A2750" s="8">
        <v>984542</v>
      </c>
      <c r="B2750" s="22" t="str">
        <f>IFERROR(VLOOKUP(A2750,VLOOKUPS!$A$2:B$12589,2,FALSE),"")</f>
        <v>Blueberries 18oz-standard</v>
      </c>
      <c r="E2750">
        <v>3.18</v>
      </c>
      <c r="F2750">
        <v>4.18</v>
      </c>
      <c r="G2750" s="13">
        <v>44550</v>
      </c>
      <c r="H2750" s="13"/>
      <c r="I2750" s="22" t="str">
        <f>VLOOKUP(J2750, Dropdowns!N:O, 2, FALSE)</f>
        <v>Standard</v>
      </c>
      <c r="J2750" t="s">
        <v>760</v>
      </c>
      <c r="L2750" s="17" t="s">
        <v>732</v>
      </c>
      <c r="M2750" s="17" t="s">
        <v>9</v>
      </c>
      <c r="N2750" s="17" t="s">
        <v>736</v>
      </c>
    </row>
    <row r="2751" spans="1:17" x14ac:dyDescent="0.25">
      <c r="A2751" s="8">
        <v>984700</v>
      </c>
      <c r="B2751" s="22" t="str">
        <f>IFERROR(VLOOKUP(A2751,VLOOKUPS!$A$2:B$12589,2,FALSE),"")</f>
        <v>Blackberries 6oz-standard</v>
      </c>
      <c r="E2751">
        <v>2.2799999999999998</v>
      </c>
      <c r="F2751">
        <v>1.48</v>
      </c>
      <c r="G2751" s="13">
        <v>44548</v>
      </c>
      <c r="H2751" s="13">
        <v>44549</v>
      </c>
      <c r="I2751" s="22" t="str">
        <f>VLOOKUP(J2751, Dropdowns!N:O, 2, FALSE)</f>
        <v>Lower Price</v>
      </c>
      <c r="J2751" t="s">
        <v>759</v>
      </c>
      <c r="L2751" s="17" t="s">
        <v>732</v>
      </c>
      <c r="M2751" s="17" t="s">
        <v>738</v>
      </c>
      <c r="N2751" s="17">
        <v>2</v>
      </c>
    </row>
    <row r="2752" spans="1:17" x14ac:dyDescent="0.25">
      <c r="A2752" s="8">
        <v>984700</v>
      </c>
      <c r="B2752" s="22" t="str">
        <f>IFERROR(VLOOKUP(A2752,VLOOKUPS!$A$2:B$12589,2,FALSE),"")</f>
        <v>Blackberries 6oz-standard</v>
      </c>
      <c r="E2752">
        <v>1.48</v>
      </c>
      <c r="F2752">
        <v>2.2799999999999998</v>
      </c>
      <c r="G2752" s="13">
        <v>44550</v>
      </c>
      <c r="H2752" s="13"/>
      <c r="I2752" s="22" t="str">
        <f>VLOOKUP(J2752, Dropdowns!N:O, 2, FALSE)</f>
        <v>Standard</v>
      </c>
      <c r="J2752" t="s">
        <v>760</v>
      </c>
      <c r="L2752" s="17" t="s">
        <v>732</v>
      </c>
      <c r="M2752" s="17" t="s">
        <v>738</v>
      </c>
      <c r="N2752" s="17">
        <v>2</v>
      </c>
    </row>
    <row r="2753" spans="1:14" x14ac:dyDescent="0.25">
      <c r="A2753" s="8">
        <v>995006</v>
      </c>
      <c r="B2753" s="22" t="str">
        <f>IFERROR(VLOOKUP(A2753,VLOOKUPS!$A$2:B$12589,2,FALSE),"")</f>
        <v>Italian Salad 9oz-standard</v>
      </c>
      <c r="E2753">
        <v>2.29</v>
      </c>
      <c r="F2753">
        <v>1.29</v>
      </c>
      <c r="G2753" s="13">
        <v>44548</v>
      </c>
      <c r="H2753" s="13">
        <v>44549</v>
      </c>
      <c r="I2753" s="22" t="str">
        <f>VLOOKUP(J2753, Dropdowns!N:O, 2, FALSE)</f>
        <v>Lower Price</v>
      </c>
      <c r="J2753" t="s">
        <v>759</v>
      </c>
      <c r="L2753" s="17" t="s">
        <v>732</v>
      </c>
      <c r="M2753" s="17" t="s">
        <v>738</v>
      </c>
      <c r="N2753" s="17">
        <v>2</v>
      </c>
    </row>
    <row r="2754" spans="1:14" x14ac:dyDescent="0.25">
      <c r="A2754" s="8">
        <v>995006</v>
      </c>
      <c r="B2754" s="22" t="str">
        <f>IFERROR(VLOOKUP(A2754,VLOOKUPS!$A$2:B$12589,2,FALSE),"")</f>
        <v>Italian Salad 9oz-standard</v>
      </c>
      <c r="E2754">
        <v>1.29</v>
      </c>
      <c r="F2754">
        <v>2.29</v>
      </c>
      <c r="G2754" s="13">
        <v>44550</v>
      </c>
      <c r="H2754" s="13"/>
      <c r="I2754" s="22" t="str">
        <f>VLOOKUP(J2754, Dropdowns!N:O, 2, FALSE)</f>
        <v>Standard</v>
      </c>
      <c r="J2754" t="s">
        <v>760</v>
      </c>
      <c r="L2754" s="17" t="s">
        <v>732</v>
      </c>
      <c r="M2754" s="17" t="s">
        <v>738</v>
      </c>
      <c r="N2754" s="17">
        <v>2</v>
      </c>
    </row>
    <row r="2755" spans="1:14" x14ac:dyDescent="0.25">
      <c r="A2755" s="8">
        <v>995100</v>
      </c>
      <c r="B2755" s="22" t="str">
        <f>IFERROR(VLOOKUP(A2755,VLOOKUPS!$A$2:B$12589,2,FALSE),"")</f>
        <v>Asian Chopped Salad Kit 12oz-standard</v>
      </c>
      <c r="E2755">
        <v>3.49</v>
      </c>
      <c r="F2755">
        <v>2.4900000000000002</v>
      </c>
      <c r="G2755" s="13">
        <v>44548</v>
      </c>
      <c r="H2755" s="13">
        <v>44549</v>
      </c>
      <c r="I2755" s="22" t="str">
        <f>VLOOKUP(J2755, Dropdowns!N:O, 2, FALSE)</f>
        <v>Lower Price</v>
      </c>
      <c r="J2755" t="s">
        <v>759</v>
      </c>
      <c r="L2755" s="17" t="s">
        <v>732</v>
      </c>
      <c r="M2755" s="17" t="s">
        <v>10</v>
      </c>
      <c r="N2755" s="17">
        <v>2</v>
      </c>
    </row>
    <row r="2756" spans="1:14" x14ac:dyDescent="0.25">
      <c r="A2756" s="8">
        <v>995100</v>
      </c>
      <c r="B2756" s="22" t="str">
        <f>IFERROR(VLOOKUP(A2756,VLOOKUPS!$A$2:B$12589,2,FALSE),"")</f>
        <v>Asian Chopped Salad Kit 12oz-standard</v>
      </c>
      <c r="E2756">
        <v>2.4900000000000002</v>
      </c>
      <c r="F2756">
        <v>3.49</v>
      </c>
      <c r="G2756" s="13">
        <v>44550</v>
      </c>
      <c r="H2756" s="13"/>
      <c r="I2756" s="22" t="str">
        <f>VLOOKUP(J2756, Dropdowns!N:O, 2, FALSE)</f>
        <v>Standard</v>
      </c>
      <c r="J2756" t="s">
        <v>760</v>
      </c>
      <c r="L2756" s="17" t="s">
        <v>732</v>
      </c>
      <c r="M2756" s="17" t="s">
        <v>10</v>
      </c>
      <c r="N2756" s="17">
        <v>2</v>
      </c>
    </row>
    <row r="2757" spans="1:14" x14ac:dyDescent="0.25">
      <c r="A2757" s="8">
        <v>995137</v>
      </c>
      <c r="B2757" s="22" t="str">
        <f>IFERROR(VLOOKUP(A2757,VLOOKUPS!$A$2:B$12589,2,FALSE),"")</f>
        <v>Half and Half 11oz-standard</v>
      </c>
      <c r="E2757">
        <v>3.28</v>
      </c>
      <c r="F2757">
        <v>2.48</v>
      </c>
      <c r="G2757" s="13">
        <v>44548</v>
      </c>
      <c r="H2757" s="13">
        <v>44549</v>
      </c>
      <c r="I2757" s="22" t="str">
        <f>VLOOKUP(J2757, Dropdowns!N:O, 2, FALSE)</f>
        <v>Lower Price</v>
      </c>
      <c r="J2757" t="s">
        <v>759</v>
      </c>
      <c r="L2757" s="17" t="s">
        <v>733</v>
      </c>
      <c r="M2757" s="17" t="s">
        <v>11</v>
      </c>
      <c r="N2757" s="17" t="s">
        <v>740</v>
      </c>
    </row>
    <row r="2758" spans="1:14" x14ac:dyDescent="0.25">
      <c r="A2758" s="8">
        <v>995137</v>
      </c>
      <c r="B2758" s="22" t="str">
        <f>IFERROR(VLOOKUP(A2758,VLOOKUPS!$A$2:B$12589,2,FALSE),"")</f>
        <v>Half and Half 11oz-standard</v>
      </c>
      <c r="E2758">
        <v>2.48</v>
      </c>
      <c r="F2758">
        <v>3.28</v>
      </c>
      <c r="G2758" s="13">
        <v>44550</v>
      </c>
      <c r="H2758" s="13"/>
      <c r="I2758" s="22" t="str">
        <f>VLOOKUP(J2758, Dropdowns!N:O, 2, FALSE)</f>
        <v>Standard</v>
      </c>
      <c r="J2758" t="s">
        <v>760</v>
      </c>
      <c r="L2758" s="17" t="s">
        <v>733</v>
      </c>
      <c r="M2758" s="17" t="s">
        <v>11</v>
      </c>
      <c r="N2758" s="17" t="s">
        <v>740</v>
      </c>
    </row>
    <row r="2759" spans="1:14" x14ac:dyDescent="0.25">
      <c r="A2759" s="8">
        <v>982740</v>
      </c>
      <c r="B2759" s="22" t="str">
        <f>IFERROR(VLOOKUP(A2759,VLOOKUPS!$A$2:B$12589,2,FALSE),"")</f>
        <v>Grapes* Red Seedless 1lb-LOOSE</v>
      </c>
      <c r="E2759">
        <v>1.69</v>
      </c>
      <c r="F2759">
        <v>0.99</v>
      </c>
      <c r="G2759" s="13">
        <v>44548</v>
      </c>
      <c r="H2759" s="13">
        <v>44549</v>
      </c>
      <c r="I2759" s="22" t="str">
        <f>VLOOKUP(J2759, Dropdowns!N:O, 2, FALSE)</f>
        <v>Lower Price</v>
      </c>
      <c r="J2759" t="s">
        <v>759</v>
      </c>
      <c r="L2759" s="17" t="s">
        <v>733</v>
      </c>
      <c r="M2759" s="17" t="s">
        <v>11</v>
      </c>
      <c r="N2759" s="17" t="s">
        <v>740</v>
      </c>
    </row>
    <row r="2760" spans="1:14" x14ac:dyDescent="0.25">
      <c r="A2760" s="8">
        <v>982740</v>
      </c>
      <c r="B2760" s="22" t="str">
        <f>IFERROR(VLOOKUP(A2760,VLOOKUPS!$A$2:B$12589,2,FALSE),"")</f>
        <v>Grapes* Red Seedless 1lb-LOOSE</v>
      </c>
      <c r="E2760">
        <v>0.99</v>
      </c>
      <c r="F2760">
        <v>1.69</v>
      </c>
      <c r="G2760" s="13">
        <v>44550</v>
      </c>
      <c r="H2760" s="13"/>
      <c r="I2760" s="22" t="str">
        <f>VLOOKUP(J2760, Dropdowns!N:O, 2, FALSE)</f>
        <v>Standard</v>
      </c>
      <c r="J2760" t="s">
        <v>760</v>
      </c>
      <c r="L2760" s="17" t="s">
        <v>733</v>
      </c>
      <c r="M2760" s="17" t="s">
        <v>11</v>
      </c>
      <c r="N2760" s="17" t="s">
        <v>740</v>
      </c>
    </row>
    <row r="2761" spans="1:14" x14ac:dyDescent="0.25">
      <c r="A2761" s="8">
        <v>988620</v>
      </c>
      <c r="B2761" s="22" t="str">
        <f>IFERROR(VLOOKUP(A2761,VLOOKUPS!$A$2:B$12589,2,FALSE),"")</f>
        <v>Brussels Sprouts 1lb-standard</v>
      </c>
      <c r="G2761" s="13">
        <v>44548</v>
      </c>
      <c r="H2761" s="13">
        <v>44551</v>
      </c>
      <c r="I2761" s="22" t="str">
        <f>VLOOKUP(J2761, Dropdowns!N:O, 2, FALSE)</f>
        <v>Lower Price</v>
      </c>
      <c r="J2761" t="s">
        <v>779</v>
      </c>
      <c r="L2761" s="17" t="s">
        <v>732</v>
      </c>
      <c r="M2761" s="17" t="s">
        <v>738</v>
      </c>
      <c r="N2761" s="17">
        <v>2</v>
      </c>
    </row>
    <row r="2762" spans="1:14" x14ac:dyDescent="0.25">
      <c r="A2762" s="8">
        <v>984620</v>
      </c>
      <c r="B2762" s="22" t="str">
        <f>IFERROR(VLOOKUP(A2762,VLOOKUPS!$A$2:B$12589,2,FALSE),"")</f>
        <v>Raspberries 6oz-standard</v>
      </c>
      <c r="G2762" s="13">
        <v>44548</v>
      </c>
      <c r="H2762" s="13">
        <v>44551</v>
      </c>
      <c r="I2762" s="22" t="str">
        <f>VLOOKUP(J2762, Dropdowns!N:O, 2, FALSE)</f>
        <v>Lower Price</v>
      </c>
      <c r="J2762" t="s">
        <v>779</v>
      </c>
      <c r="L2762" s="17" t="s">
        <v>732</v>
      </c>
      <c r="M2762" s="17" t="s">
        <v>10</v>
      </c>
      <c r="N2762" s="17">
        <v>2</v>
      </c>
    </row>
    <row r="2763" spans="1:14" x14ac:dyDescent="0.25">
      <c r="A2763" s="8">
        <v>984500</v>
      </c>
      <c r="B2763" s="22" t="str">
        <f>IFERROR(VLOOKUP(A2763,VLOOKUPS!$A$2:B$12589,2,FALSE),"")</f>
        <v>Organic Strawberries 1lb-standard</v>
      </c>
      <c r="E2763">
        <v>4.9800000000000004</v>
      </c>
      <c r="F2763">
        <v>3.98</v>
      </c>
      <c r="G2763" s="13">
        <v>44551</v>
      </c>
      <c r="H2763" s="13">
        <v>44552</v>
      </c>
      <c r="I2763" s="22" t="str">
        <f>VLOOKUP(J2763, Dropdowns!N:O, 2, FALSE)</f>
        <v>Lower Price</v>
      </c>
      <c r="J2763" t="s">
        <v>759</v>
      </c>
      <c r="L2763" s="17" t="s">
        <v>732</v>
      </c>
      <c r="M2763" s="17" t="s">
        <v>10</v>
      </c>
      <c r="N2763" s="17">
        <v>2</v>
      </c>
    </row>
    <row r="2764" spans="1:14" x14ac:dyDescent="0.25">
      <c r="A2764" s="8">
        <v>984500</v>
      </c>
      <c r="B2764" s="22" t="str">
        <f>IFERROR(VLOOKUP(A2764,VLOOKUPS!$A$2:B$12589,2,FALSE),"")</f>
        <v>Organic Strawberries 1lb-standard</v>
      </c>
      <c r="E2764">
        <v>3.98</v>
      </c>
      <c r="F2764">
        <v>4.9800000000000004</v>
      </c>
      <c r="G2764" s="13">
        <v>44553</v>
      </c>
      <c r="H2764" s="13"/>
      <c r="I2764" s="22" t="str">
        <f>VLOOKUP(J2764, Dropdowns!N:O, 2, FALSE)</f>
        <v>Standard</v>
      </c>
      <c r="J2764" t="s">
        <v>760</v>
      </c>
      <c r="L2764" s="17" t="s">
        <v>732</v>
      </c>
      <c r="M2764" s="17" t="s">
        <v>10</v>
      </c>
      <c r="N2764" s="17">
        <v>2</v>
      </c>
    </row>
    <row r="2765" spans="1:14" x14ac:dyDescent="0.25">
      <c r="A2765" s="8">
        <v>984541</v>
      </c>
      <c r="B2765" s="22" t="str">
        <f>IFERROR(VLOOKUP(A2765,VLOOKUPS!$A$2:B$12589,2,FALSE),"")</f>
        <v>Blueberries 1pt-standard</v>
      </c>
      <c r="E2765">
        <v>2.7</v>
      </c>
      <c r="F2765">
        <v>1.5</v>
      </c>
      <c r="G2765" s="13">
        <v>44551</v>
      </c>
      <c r="H2765" s="13">
        <v>44552</v>
      </c>
      <c r="I2765" s="22" t="str">
        <f>VLOOKUP(J2765, Dropdowns!N:O, 2, FALSE)</f>
        <v>Lower Price</v>
      </c>
      <c r="J2765" t="s">
        <v>759</v>
      </c>
      <c r="L2765" s="17" t="s">
        <v>732</v>
      </c>
      <c r="M2765" s="17" t="s">
        <v>736</v>
      </c>
      <c r="N2765" s="17" t="s">
        <v>736</v>
      </c>
    </row>
    <row r="2766" spans="1:14" x14ac:dyDescent="0.25">
      <c r="A2766" s="8">
        <v>984541</v>
      </c>
      <c r="B2766" s="22" t="str">
        <f>IFERROR(VLOOKUP(A2766,VLOOKUPS!$A$2:B$12589,2,FALSE),"")</f>
        <v>Blueberries 1pt-standard</v>
      </c>
      <c r="E2766">
        <v>1.5</v>
      </c>
      <c r="F2766">
        <v>2.7</v>
      </c>
      <c r="G2766" s="13">
        <v>44553</v>
      </c>
      <c r="H2766" s="13"/>
      <c r="I2766" s="22" t="str">
        <f>VLOOKUP(J2766, Dropdowns!N:O, 2, FALSE)</f>
        <v>Standard</v>
      </c>
      <c r="J2766" t="s">
        <v>760</v>
      </c>
      <c r="L2766" s="17" t="s">
        <v>732</v>
      </c>
      <c r="M2766" s="17" t="s">
        <v>736</v>
      </c>
      <c r="N2766" s="17" t="s">
        <v>736</v>
      </c>
    </row>
    <row r="2767" spans="1:14" x14ac:dyDescent="0.25">
      <c r="A2767" s="8">
        <v>984621</v>
      </c>
      <c r="B2767" s="22" t="str">
        <f>IFERROR(VLOOKUP(A2767,VLOOKUPS!$A$2:B$12589,2,FALSE),"")</f>
        <v>Raspberries 12oz-standard</v>
      </c>
      <c r="E2767">
        <v>4.74</v>
      </c>
      <c r="F2767">
        <v>3.74</v>
      </c>
      <c r="G2767" s="13">
        <v>44551</v>
      </c>
      <c r="H2767" s="13">
        <v>44552</v>
      </c>
      <c r="I2767" s="22" t="str">
        <f>VLOOKUP(J2767, Dropdowns!N:O, 2, FALSE)</f>
        <v>Lower Price</v>
      </c>
      <c r="J2767" t="s">
        <v>759</v>
      </c>
      <c r="L2767" s="17" t="s">
        <v>732</v>
      </c>
      <c r="M2767" s="17" t="s">
        <v>738</v>
      </c>
      <c r="N2767" s="17">
        <v>2</v>
      </c>
    </row>
    <row r="2768" spans="1:14" x14ac:dyDescent="0.25">
      <c r="A2768" s="8">
        <v>984621</v>
      </c>
      <c r="B2768" s="22" t="str">
        <f>IFERROR(VLOOKUP(A2768,VLOOKUPS!$A$2:B$12589,2,FALSE),"")</f>
        <v>Raspberries 12oz-standard</v>
      </c>
      <c r="E2768">
        <v>3.74</v>
      </c>
      <c r="F2768">
        <v>4.74</v>
      </c>
      <c r="G2768" s="13">
        <v>44553</v>
      </c>
      <c r="H2768" s="13"/>
      <c r="I2768" s="22" t="str">
        <f>VLOOKUP(J2768, Dropdowns!N:O, 2, FALSE)</f>
        <v>Standard</v>
      </c>
      <c r="J2768" t="s">
        <v>760</v>
      </c>
      <c r="L2768" s="17" t="s">
        <v>732</v>
      </c>
      <c r="M2768" s="17" t="s">
        <v>738</v>
      </c>
      <c r="N2768" s="17">
        <v>2</v>
      </c>
    </row>
    <row r="2769" spans="1:14" x14ac:dyDescent="0.25">
      <c r="A2769" s="8">
        <v>995006</v>
      </c>
      <c r="B2769" s="22" t="str">
        <f>IFERROR(VLOOKUP(A2769,VLOOKUPS!$A$2:B$12589,2,FALSE),"")</f>
        <v>Italian Salad 9oz-standard</v>
      </c>
      <c r="E2769">
        <v>2.29</v>
      </c>
      <c r="F2769">
        <v>0.99</v>
      </c>
      <c r="G2769" s="13">
        <v>44551</v>
      </c>
      <c r="H2769" s="13">
        <v>44552</v>
      </c>
      <c r="I2769" s="22" t="str">
        <f>VLOOKUP(J2769, Dropdowns!N:O, 2, FALSE)</f>
        <v>Lower Price</v>
      </c>
      <c r="J2769" t="s">
        <v>759</v>
      </c>
      <c r="L2769" s="17" t="s">
        <v>733</v>
      </c>
      <c r="M2769" s="17" t="s">
        <v>11</v>
      </c>
      <c r="N2769" s="17" t="s">
        <v>740</v>
      </c>
    </row>
    <row r="2770" spans="1:14" x14ac:dyDescent="0.25">
      <c r="A2770" s="8">
        <v>995006</v>
      </c>
      <c r="B2770" s="22" t="str">
        <f>IFERROR(VLOOKUP(A2770,VLOOKUPS!$A$2:B$12589,2,FALSE),"")</f>
        <v>Italian Salad 9oz-standard</v>
      </c>
      <c r="E2770">
        <v>0.99</v>
      </c>
      <c r="F2770">
        <v>2.29</v>
      </c>
      <c r="G2770" s="13">
        <v>44553</v>
      </c>
      <c r="H2770" s="13"/>
      <c r="I2770" s="22" t="str">
        <f>VLOOKUP(J2770, Dropdowns!N:O, 2, FALSE)</f>
        <v>Standard</v>
      </c>
      <c r="J2770" t="s">
        <v>760</v>
      </c>
      <c r="L2770" s="17" t="s">
        <v>733</v>
      </c>
      <c r="M2770" s="17" t="s">
        <v>11</v>
      </c>
      <c r="N2770" s="17" t="s">
        <v>740</v>
      </c>
    </row>
    <row r="2771" spans="1:14" x14ac:dyDescent="0.25">
      <c r="A2771" s="8">
        <v>995021</v>
      </c>
      <c r="B2771" s="22" t="str">
        <f>IFERROR(VLOOKUP(A2771,VLOOKUPS!$A$2:B$12589,2,FALSE),"")</f>
        <v>Chopped Bacon Caesar Kit 10.2oz-standard</v>
      </c>
      <c r="E2771">
        <v>3.49</v>
      </c>
      <c r="F2771">
        <v>2.4900000000000002</v>
      </c>
      <c r="G2771" s="13">
        <v>44551</v>
      </c>
      <c r="H2771" s="13">
        <v>44552</v>
      </c>
      <c r="I2771" s="22" t="str">
        <f>VLOOKUP(J2771, Dropdowns!N:O, 2, FALSE)</f>
        <v>Lower Price</v>
      </c>
      <c r="J2771" t="s">
        <v>759</v>
      </c>
      <c r="L2771" s="17" t="s">
        <v>732</v>
      </c>
      <c r="M2771" s="17" t="s">
        <v>738</v>
      </c>
      <c r="N2771" s="17">
        <v>2</v>
      </c>
    </row>
    <row r="2772" spans="1:14" x14ac:dyDescent="0.25">
      <c r="A2772" s="8">
        <v>995021</v>
      </c>
      <c r="B2772" s="22" t="str">
        <f>IFERROR(VLOOKUP(A2772,VLOOKUPS!$A$2:B$12589,2,FALSE),"")</f>
        <v>Chopped Bacon Caesar Kit 10.2oz-standard</v>
      </c>
      <c r="E2772">
        <v>2.4900000000000002</v>
      </c>
      <c r="F2772">
        <v>3.49</v>
      </c>
      <c r="G2772" s="13">
        <v>44553</v>
      </c>
      <c r="H2772" s="13"/>
      <c r="I2772" s="22" t="str">
        <f>VLOOKUP(J2772, Dropdowns!N:O, 2, FALSE)</f>
        <v>Standard</v>
      </c>
      <c r="J2772" t="s">
        <v>760</v>
      </c>
      <c r="L2772" s="17" t="s">
        <v>732</v>
      </c>
      <c r="M2772" s="17" t="s">
        <v>738</v>
      </c>
      <c r="N2772" s="17">
        <v>2</v>
      </c>
    </row>
    <row r="2773" spans="1:14" x14ac:dyDescent="0.25">
      <c r="A2773" s="8">
        <v>995026</v>
      </c>
      <c r="B2773" s="22" t="str">
        <f>IFERROR(VLOOKUP(A2773,VLOOKUPS!$A$2:B$12589,2,FALSE),"")</f>
        <v>Baby Arugula 5oz-standard</v>
      </c>
      <c r="E2773">
        <v>2.29</v>
      </c>
      <c r="F2773">
        <v>1.29</v>
      </c>
      <c r="G2773" s="13">
        <v>44551</v>
      </c>
      <c r="H2773" s="13">
        <v>44552</v>
      </c>
      <c r="I2773" s="22" t="str">
        <f>VLOOKUP(J2773, Dropdowns!N:O, 2, FALSE)</f>
        <v>Lower Price</v>
      </c>
      <c r="J2773" t="s">
        <v>759</v>
      </c>
      <c r="L2773" s="17" t="s">
        <v>733</v>
      </c>
      <c r="M2773" s="17" t="s">
        <v>738</v>
      </c>
      <c r="N2773" s="17" t="s">
        <v>740</v>
      </c>
    </row>
    <row r="2774" spans="1:14" x14ac:dyDescent="0.25">
      <c r="A2774" s="8">
        <v>995026</v>
      </c>
      <c r="B2774" s="22" t="str">
        <f>IFERROR(VLOOKUP(A2774,VLOOKUPS!$A$2:B$12589,2,FALSE),"")</f>
        <v>Baby Arugula 5oz-standard</v>
      </c>
      <c r="E2774">
        <v>1.29</v>
      </c>
      <c r="F2774">
        <v>2.29</v>
      </c>
      <c r="G2774" s="13">
        <v>44553</v>
      </c>
      <c r="H2774" s="13"/>
      <c r="I2774" s="22" t="str">
        <f>VLOOKUP(J2774, Dropdowns!N:O, 2, FALSE)</f>
        <v>Standard</v>
      </c>
      <c r="J2774" t="s">
        <v>760</v>
      </c>
      <c r="L2774" s="17" t="s">
        <v>733</v>
      </c>
      <c r="M2774" s="17" t="s">
        <v>738</v>
      </c>
      <c r="N2774" s="17" t="s">
        <v>740</v>
      </c>
    </row>
    <row r="2775" spans="1:14" x14ac:dyDescent="0.25">
      <c r="A2775" s="8">
        <v>995068</v>
      </c>
      <c r="B2775" s="22" t="str">
        <f>IFERROR(VLOOKUP(A2775,VLOOKUPS!$A$2:B$12589,2,FALSE),"")</f>
        <v>Organic Half and Half 5oz-standard</v>
      </c>
      <c r="E2775">
        <v>2.56</v>
      </c>
      <c r="F2775">
        <v>1.56</v>
      </c>
      <c r="G2775" s="13">
        <v>44551</v>
      </c>
      <c r="H2775" s="13">
        <v>44552</v>
      </c>
      <c r="I2775" s="22" t="str">
        <f>VLOOKUP(J2775, Dropdowns!N:O, 2, FALSE)</f>
        <v>Lower Price</v>
      </c>
      <c r="J2775" t="s">
        <v>759</v>
      </c>
      <c r="L2775" s="17" t="s">
        <v>733</v>
      </c>
      <c r="M2775" s="17" t="s">
        <v>11</v>
      </c>
      <c r="N2775" s="17" t="s">
        <v>740</v>
      </c>
    </row>
    <row r="2776" spans="1:14" x14ac:dyDescent="0.25">
      <c r="A2776" s="8">
        <v>995068</v>
      </c>
      <c r="B2776" s="22" t="str">
        <f>IFERROR(VLOOKUP(A2776,VLOOKUPS!$A$2:B$12589,2,FALSE),"")</f>
        <v>Organic Half and Half 5oz-standard</v>
      </c>
      <c r="E2776">
        <v>1.56</v>
      </c>
      <c r="F2776">
        <v>2.56</v>
      </c>
      <c r="G2776" s="13">
        <v>44553</v>
      </c>
      <c r="H2776" s="13"/>
      <c r="I2776" s="22" t="str">
        <f>VLOOKUP(J2776, Dropdowns!N:O, 2, FALSE)</f>
        <v>Standard</v>
      </c>
      <c r="J2776" t="s">
        <v>760</v>
      </c>
      <c r="L2776" s="17" t="s">
        <v>733</v>
      </c>
      <c r="M2776" s="17" t="s">
        <v>11</v>
      </c>
      <c r="N2776" s="17" t="s">
        <v>740</v>
      </c>
    </row>
    <row r="2777" spans="1:14" x14ac:dyDescent="0.25">
      <c r="A2777" s="8">
        <v>995158</v>
      </c>
      <c r="B2777" s="22" t="str">
        <f>IFERROR(VLOOKUP(A2777,VLOOKUPS!$A$2:B$12589,2,FALSE),"")</f>
        <v>Pico Guacamole 14oz-standard</v>
      </c>
      <c r="E2777">
        <v>4.49</v>
      </c>
      <c r="F2777">
        <v>2.99</v>
      </c>
      <c r="G2777" s="13">
        <v>44551</v>
      </c>
      <c r="H2777" s="13">
        <v>44552</v>
      </c>
      <c r="I2777" s="22" t="str">
        <f>VLOOKUP(J2777, Dropdowns!N:O, 2, FALSE)</f>
        <v>Lower Price</v>
      </c>
      <c r="J2777" t="s">
        <v>759</v>
      </c>
      <c r="L2777" s="17" t="s">
        <v>733</v>
      </c>
      <c r="M2777" s="17" t="s">
        <v>11</v>
      </c>
      <c r="N2777" s="17" t="s">
        <v>740</v>
      </c>
    </row>
    <row r="2778" spans="1:14" x14ac:dyDescent="0.25">
      <c r="A2778" s="8">
        <v>995158</v>
      </c>
      <c r="B2778" s="22" t="str">
        <f>IFERROR(VLOOKUP(A2778,VLOOKUPS!$A$2:B$12589,2,FALSE),"")</f>
        <v>Pico Guacamole 14oz-standard</v>
      </c>
      <c r="E2778">
        <v>2.99</v>
      </c>
      <c r="F2778">
        <v>4.49</v>
      </c>
      <c r="G2778" s="13">
        <v>44553</v>
      </c>
      <c r="H2778" s="13"/>
      <c r="I2778" s="22" t="str">
        <f>VLOOKUP(J2778, Dropdowns!N:O, 2, FALSE)</f>
        <v>Standard</v>
      </c>
      <c r="J2778" t="s">
        <v>760</v>
      </c>
      <c r="L2778" s="17" t="s">
        <v>733</v>
      </c>
      <c r="M2778" s="17" t="s">
        <v>11</v>
      </c>
      <c r="N2778" s="17" t="s">
        <v>740</v>
      </c>
    </row>
    <row r="2779" spans="1:14" x14ac:dyDescent="0.25">
      <c r="A2779" s="8">
        <v>995163</v>
      </c>
      <c r="B2779" s="22" t="str">
        <f>IFERROR(VLOOKUP(A2779,VLOOKUPS!$A$2:B$12589,2,FALSE),"")</f>
        <v>XL Caesar Salad Kit 15oz-standard</v>
      </c>
      <c r="E2779">
        <v>4.4400000000000004</v>
      </c>
      <c r="F2779">
        <v>2.98</v>
      </c>
      <c r="G2779" s="13">
        <v>44551</v>
      </c>
      <c r="H2779" s="13">
        <v>44552</v>
      </c>
      <c r="I2779" s="22" t="str">
        <f>VLOOKUP(J2779, Dropdowns!N:O, 2, FALSE)</f>
        <v>Lower Price</v>
      </c>
      <c r="J2779" t="s">
        <v>759</v>
      </c>
      <c r="L2779" s="17" t="s">
        <v>733</v>
      </c>
      <c r="M2779" s="17" t="s">
        <v>11</v>
      </c>
      <c r="N2779" s="17" t="s">
        <v>740</v>
      </c>
    </row>
    <row r="2780" spans="1:14" x14ac:dyDescent="0.25">
      <c r="A2780" s="8">
        <v>995163</v>
      </c>
      <c r="B2780" s="22" t="str">
        <f>IFERROR(VLOOKUP(A2780,VLOOKUPS!$A$2:B$12589,2,FALSE),"")</f>
        <v>XL Caesar Salad Kit 15oz-standard</v>
      </c>
      <c r="E2780">
        <v>2.98</v>
      </c>
      <c r="F2780">
        <v>4.4400000000000004</v>
      </c>
      <c r="G2780" s="13">
        <v>44553</v>
      </c>
      <c r="H2780" s="13"/>
      <c r="I2780" s="22" t="str">
        <f>VLOOKUP(J2780, Dropdowns!N:O, 2, FALSE)</f>
        <v>Standard</v>
      </c>
      <c r="J2780" t="s">
        <v>760</v>
      </c>
      <c r="L2780" s="17" t="s">
        <v>733</v>
      </c>
      <c r="M2780" s="17" t="s">
        <v>11</v>
      </c>
      <c r="N2780" s="17" t="s">
        <v>740</v>
      </c>
    </row>
    <row r="2781" spans="1:14" x14ac:dyDescent="0.25">
      <c r="A2781" s="8">
        <v>995144</v>
      </c>
      <c r="B2781" s="22" t="str">
        <f>IFERROR(VLOOKUP(A2781,VLOOKUPS!$A$2:B$12589,2,FALSE),"")</f>
        <v>Asparagus Spears 10oz-standard</v>
      </c>
      <c r="E2781">
        <v>3.98</v>
      </c>
      <c r="F2781">
        <v>2.48</v>
      </c>
      <c r="G2781" s="13">
        <v>44551</v>
      </c>
      <c r="H2781" s="13">
        <v>44551</v>
      </c>
      <c r="I2781" s="22" t="str">
        <f>VLOOKUP(J2781, Dropdowns!N:O, 2, FALSE)</f>
        <v>Lower Price</v>
      </c>
      <c r="J2781" t="s">
        <v>759</v>
      </c>
      <c r="L2781" s="17" t="s">
        <v>732</v>
      </c>
      <c r="M2781" s="17" t="s">
        <v>738</v>
      </c>
      <c r="N2781" s="17">
        <v>2</v>
      </c>
    </row>
    <row r="2782" spans="1:14" x14ac:dyDescent="0.25">
      <c r="A2782" s="8">
        <v>995144</v>
      </c>
      <c r="B2782" s="22" t="str">
        <f>IFERROR(VLOOKUP(A2782,VLOOKUPS!$A$2:B$12589,2,FALSE),"")</f>
        <v>Asparagus Spears 10oz-standard</v>
      </c>
      <c r="E2782">
        <v>2.48</v>
      </c>
      <c r="F2782">
        <v>3.98</v>
      </c>
      <c r="G2782" s="13">
        <v>44552</v>
      </c>
      <c r="H2782" s="13"/>
      <c r="I2782" s="22" t="str">
        <f>VLOOKUP(J2782, Dropdowns!N:O, 2, FALSE)</f>
        <v>Standard</v>
      </c>
      <c r="J2782" t="s">
        <v>760</v>
      </c>
      <c r="L2782" s="17" t="s">
        <v>732</v>
      </c>
      <c r="M2782" s="17" t="s">
        <v>738</v>
      </c>
      <c r="N2782" s="17">
        <v>2</v>
      </c>
    </row>
    <row r="2783" spans="1:14" x14ac:dyDescent="0.25">
      <c r="A2783" s="8">
        <v>984460</v>
      </c>
      <c r="B2783" s="22" t="str">
        <f>IFERROR(VLOOKUP(A2783,VLOOKUPS!$A$2:B$12589,2,FALSE),"")</f>
        <v>Strawberries 1lb-standard</v>
      </c>
      <c r="E2783">
        <v>3.99</v>
      </c>
      <c r="F2783">
        <v>2.4900000000000002</v>
      </c>
      <c r="G2783" s="13">
        <v>44551</v>
      </c>
      <c r="H2783" s="13">
        <v>44552</v>
      </c>
      <c r="I2783" s="22" t="str">
        <f>VLOOKUP(J2783, Dropdowns!N:O, 2, FALSE)</f>
        <v>Lower Price</v>
      </c>
      <c r="J2783" t="s">
        <v>762</v>
      </c>
      <c r="L2783" s="17" t="s">
        <v>732</v>
      </c>
      <c r="M2783" s="17" t="s">
        <v>736</v>
      </c>
      <c r="N2783" s="17" t="s">
        <v>736</v>
      </c>
    </row>
    <row r="2784" spans="1:14" x14ac:dyDescent="0.25">
      <c r="A2784" s="8">
        <v>984500</v>
      </c>
      <c r="B2784" s="22" t="str">
        <f>IFERROR(VLOOKUP(A2784,VLOOKUPS!$A$2:B$12589,2,FALSE),"")</f>
        <v>Organic Strawberries 1lb-standard</v>
      </c>
      <c r="E2784">
        <v>4.9800000000000004</v>
      </c>
      <c r="F2784">
        <v>3.98</v>
      </c>
      <c r="G2784" s="13">
        <v>44552</v>
      </c>
      <c r="H2784" s="13">
        <v>44553</v>
      </c>
      <c r="I2784" s="22" t="str">
        <f>VLOOKUP(J2784, Dropdowns!N:O, 2, FALSE)</f>
        <v>Lower Price</v>
      </c>
      <c r="J2784" t="s">
        <v>759</v>
      </c>
      <c r="L2784" s="17" t="s">
        <v>732</v>
      </c>
      <c r="M2784" s="17" t="s">
        <v>9</v>
      </c>
      <c r="N2784" s="17" t="s">
        <v>736</v>
      </c>
    </row>
    <row r="2785" spans="1:14" x14ac:dyDescent="0.25">
      <c r="A2785" s="8">
        <v>984500</v>
      </c>
      <c r="B2785" s="22" t="str">
        <f>IFERROR(VLOOKUP(A2785,VLOOKUPS!$A$2:B$12589,2,FALSE),"")</f>
        <v>Organic Strawberries 1lb-standard</v>
      </c>
      <c r="E2785">
        <v>3.98</v>
      </c>
      <c r="F2785">
        <v>4.9800000000000004</v>
      </c>
      <c r="G2785" s="13">
        <v>44554</v>
      </c>
      <c r="H2785" s="13"/>
      <c r="I2785" s="22" t="str">
        <f>VLOOKUP(J2785, Dropdowns!N:O, 2, FALSE)</f>
        <v>Standard</v>
      </c>
      <c r="J2785" t="s">
        <v>760</v>
      </c>
      <c r="L2785" s="17" t="s">
        <v>732</v>
      </c>
      <c r="M2785" s="17" t="s">
        <v>9</v>
      </c>
      <c r="N2785" s="17" t="s">
        <v>736</v>
      </c>
    </row>
    <row r="2786" spans="1:14" x14ac:dyDescent="0.25">
      <c r="A2786" s="8">
        <v>984620</v>
      </c>
      <c r="B2786" s="22" t="str">
        <f>IFERROR(VLOOKUP(A2786,VLOOKUPS!$A$2:B$12589,2,FALSE),"")</f>
        <v>Raspberries 6oz-standard</v>
      </c>
      <c r="G2786" s="13">
        <v>44552</v>
      </c>
      <c r="H2786" s="13">
        <v>44553</v>
      </c>
      <c r="I2786" s="22" t="str">
        <f>VLOOKUP(J2786, Dropdowns!N:O, 2, FALSE)</f>
        <v>Lower Price</v>
      </c>
      <c r="J2786" t="s">
        <v>762</v>
      </c>
      <c r="L2786" s="17" t="s">
        <v>732</v>
      </c>
      <c r="M2786" s="17" t="s">
        <v>738</v>
      </c>
      <c r="N2786" s="17">
        <v>2</v>
      </c>
    </row>
    <row r="2787" spans="1:14" x14ac:dyDescent="0.25">
      <c r="A2787" s="8">
        <v>984700</v>
      </c>
      <c r="B2787" s="22" t="str">
        <f>IFERROR(VLOOKUP(A2787,VLOOKUPS!$A$2:B$12589,2,FALSE),"")</f>
        <v>Blackberries 6oz-standard</v>
      </c>
      <c r="G2787" s="13">
        <v>44552</v>
      </c>
      <c r="H2787" s="13">
        <v>44558</v>
      </c>
      <c r="I2787" s="22" t="str">
        <f>VLOOKUP(J2787, Dropdowns!N:O, 2, FALSE)</f>
        <v>Lower Price</v>
      </c>
      <c r="J2787" t="s">
        <v>753</v>
      </c>
      <c r="L2787" s="17" t="s">
        <v>732</v>
      </c>
      <c r="M2787" s="17" t="s">
        <v>736</v>
      </c>
      <c r="N2787" s="17" t="s">
        <v>736</v>
      </c>
    </row>
    <row r="2788" spans="1:14" x14ac:dyDescent="0.25">
      <c r="A2788" s="8">
        <v>985760</v>
      </c>
      <c r="B2788" s="22" t="str">
        <f>IFERROR(VLOOKUP(A2788,VLOOKUPS!$A$2:B$12589,2,FALSE),"")</f>
        <v>Asparagus 1lb-standard</v>
      </c>
      <c r="G2788" s="13">
        <v>44552</v>
      </c>
      <c r="H2788" s="13">
        <v>44558</v>
      </c>
      <c r="I2788" s="22" t="str">
        <f>VLOOKUP(J2788, Dropdowns!N:O, 2, FALSE)</f>
        <v>Lower Price</v>
      </c>
      <c r="J2788" t="s">
        <v>753</v>
      </c>
      <c r="L2788" s="17" t="s">
        <v>732</v>
      </c>
      <c r="M2788" s="17" t="s">
        <v>736</v>
      </c>
      <c r="N2788" s="17" t="s">
        <v>736</v>
      </c>
    </row>
    <row r="2789" spans="1:14" x14ac:dyDescent="0.25">
      <c r="A2789" s="8">
        <v>988620</v>
      </c>
      <c r="B2789" s="22" t="str">
        <f>IFERROR(VLOOKUP(A2789,VLOOKUPS!$A$2:B$12589,2,FALSE),"")</f>
        <v>Brussels Sprouts 1lb-standard</v>
      </c>
      <c r="E2789">
        <v>1.69</v>
      </c>
      <c r="F2789">
        <v>2.89</v>
      </c>
      <c r="G2789" s="13">
        <v>44552</v>
      </c>
      <c r="H2789" s="13"/>
      <c r="I2789" s="22" t="str">
        <f>VLOOKUP(J2789, Dropdowns!N:O, 2, FALSE)</f>
        <v>Standard</v>
      </c>
      <c r="J2789" t="s">
        <v>760</v>
      </c>
      <c r="L2789" s="17" t="s">
        <v>732</v>
      </c>
      <c r="M2789" s="17" t="s">
        <v>9</v>
      </c>
      <c r="N2789" s="17" t="s">
        <v>736</v>
      </c>
    </row>
    <row r="2790" spans="1:14" x14ac:dyDescent="0.25">
      <c r="A2790" s="8">
        <v>988620</v>
      </c>
      <c r="B2790" s="22" t="str">
        <f>IFERROR(VLOOKUP(A2790,VLOOKUPS!$A$2:B$12589,2,FALSE),"")</f>
        <v>Brussels Sprouts 1lb-standard</v>
      </c>
      <c r="G2790" s="13">
        <v>44552</v>
      </c>
      <c r="H2790" s="13">
        <v>44552</v>
      </c>
      <c r="I2790" s="22" t="str">
        <f>VLOOKUP(J2790, Dropdowns!N:O, 2, FALSE)</f>
        <v>Lower Price</v>
      </c>
      <c r="J2790" t="s">
        <v>762</v>
      </c>
      <c r="L2790" s="17" t="s">
        <v>732</v>
      </c>
      <c r="M2790" s="17" t="s">
        <v>738</v>
      </c>
      <c r="N2790" s="17">
        <v>2</v>
      </c>
    </row>
    <row r="2791" spans="1:14" x14ac:dyDescent="0.25">
      <c r="A2791" s="8">
        <v>984620</v>
      </c>
      <c r="B2791" s="22" t="str">
        <f>IFERROR(VLOOKUP(A2791,VLOOKUPS!$A$2:B$12589,2,FALSE),"")</f>
        <v>Raspberries 6oz-standard</v>
      </c>
      <c r="E2791">
        <v>1.89</v>
      </c>
      <c r="F2791">
        <v>2.44</v>
      </c>
      <c r="G2791" s="13">
        <v>44552</v>
      </c>
      <c r="H2791" s="13"/>
      <c r="I2791" s="22" t="str">
        <f>VLOOKUP(J2791, Dropdowns!N:O, 2, FALSE)</f>
        <v>Standard</v>
      </c>
      <c r="J2791" t="s">
        <v>760</v>
      </c>
      <c r="L2791" s="17" t="s">
        <v>732</v>
      </c>
      <c r="M2791" s="17" t="s">
        <v>9</v>
      </c>
      <c r="N2791" s="17" t="s">
        <v>736</v>
      </c>
    </row>
    <row r="2792" spans="1:14" x14ac:dyDescent="0.25">
      <c r="A2792" s="8">
        <v>984620</v>
      </c>
      <c r="B2792" s="22" t="str">
        <f>IFERROR(VLOOKUP(A2792,VLOOKUPS!$A$2:B$12589,2,FALSE),"")</f>
        <v>Raspberries 6oz-standard</v>
      </c>
      <c r="E2792">
        <v>2.44</v>
      </c>
      <c r="F2792">
        <v>2.7</v>
      </c>
      <c r="G2792" s="13">
        <v>44553</v>
      </c>
      <c r="H2792" s="13"/>
      <c r="I2792" s="22" t="str">
        <f>VLOOKUP(J2792, Dropdowns!N:O, 2, FALSE)</f>
        <v>Standard</v>
      </c>
      <c r="J2792" t="s">
        <v>761</v>
      </c>
      <c r="L2792" s="17" t="s">
        <v>732</v>
      </c>
      <c r="M2792" s="17" t="s">
        <v>9</v>
      </c>
      <c r="N2792" s="17" t="s">
        <v>736</v>
      </c>
    </row>
    <row r="2793" spans="1:14" x14ac:dyDescent="0.25">
      <c r="A2793" s="8">
        <v>995069</v>
      </c>
      <c r="B2793" s="22" t="str">
        <f>IFERROR(VLOOKUP(A2793,VLOOKUPS!$A$2:B$12589,2,FALSE),"")</f>
        <v>Organic Baby Spinach 5oz-standard</v>
      </c>
      <c r="E2793">
        <v>2.4900000000000002</v>
      </c>
      <c r="F2793">
        <v>1.49</v>
      </c>
      <c r="G2793" s="13">
        <v>44552</v>
      </c>
      <c r="H2793" s="13">
        <v>44553</v>
      </c>
      <c r="I2793" s="22" t="str">
        <f>VLOOKUP(J2793, Dropdowns!N:O, 2, FALSE)</f>
        <v>Lower Price</v>
      </c>
      <c r="J2793" t="s">
        <v>759</v>
      </c>
      <c r="L2793" s="17" t="s">
        <v>733</v>
      </c>
      <c r="M2793" s="17" t="s">
        <v>10</v>
      </c>
      <c r="N2793" s="17" t="s">
        <v>740</v>
      </c>
    </row>
    <row r="2794" spans="1:14" x14ac:dyDescent="0.25">
      <c r="A2794" s="8">
        <v>995069</v>
      </c>
      <c r="B2794" s="22" t="str">
        <f>IFERROR(VLOOKUP(A2794,VLOOKUPS!$A$2:B$12589,2,FALSE),"")</f>
        <v>Organic Baby Spinach 5oz-standard</v>
      </c>
      <c r="E2794">
        <v>1.49</v>
      </c>
      <c r="F2794">
        <v>2.4900000000000002</v>
      </c>
      <c r="G2794" s="13">
        <v>44554</v>
      </c>
      <c r="H2794" s="13"/>
      <c r="I2794" s="22" t="str">
        <f>VLOOKUP(J2794, Dropdowns!N:O, 2, FALSE)</f>
        <v>Standard</v>
      </c>
      <c r="J2794" t="s">
        <v>760</v>
      </c>
      <c r="L2794" s="17" t="s">
        <v>733</v>
      </c>
      <c r="M2794" s="17" t="s">
        <v>10</v>
      </c>
      <c r="N2794" s="17" t="s">
        <v>740</v>
      </c>
    </row>
    <row r="2795" spans="1:14" x14ac:dyDescent="0.25">
      <c r="A2795" s="8">
        <v>995070</v>
      </c>
      <c r="B2795" s="22" t="str">
        <f>IFERROR(VLOOKUP(A2795,VLOOKUPS!$A$2:B$12589,2,FALSE),"")</f>
        <v>Organic Baby Spring Mix 5oz-standard</v>
      </c>
      <c r="E2795">
        <v>2.98</v>
      </c>
      <c r="F2795">
        <v>1.98</v>
      </c>
      <c r="G2795" s="13">
        <v>44552</v>
      </c>
      <c r="H2795" s="13">
        <v>44553</v>
      </c>
      <c r="I2795" s="22" t="str">
        <f>VLOOKUP(J2795, Dropdowns!N:O, 2, FALSE)</f>
        <v>Lower Price</v>
      </c>
      <c r="J2795" t="s">
        <v>759</v>
      </c>
      <c r="L2795" s="17" t="s">
        <v>733</v>
      </c>
      <c r="M2795" s="17" t="s">
        <v>11</v>
      </c>
      <c r="N2795" s="17" t="s">
        <v>740</v>
      </c>
    </row>
    <row r="2796" spans="1:14" x14ac:dyDescent="0.25">
      <c r="A2796" s="8">
        <v>995070</v>
      </c>
      <c r="B2796" s="22" t="str">
        <f>IFERROR(VLOOKUP(A2796,VLOOKUPS!$A$2:B$12589,2,FALSE),"")</f>
        <v>Organic Baby Spring Mix 5oz-standard</v>
      </c>
      <c r="E2796">
        <v>1.98</v>
      </c>
      <c r="F2796">
        <v>2.98</v>
      </c>
      <c r="G2796" s="13">
        <v>44554</v>
      </c>
      <c r="H2796" s="13"/>
      <c r="I2796" s="22" t="str">
        <f>VLOOKUP(J2796, Dropdowns!N:O, 2, FALSE)</f>
        <v>Standard</v>
      </c>
      <c r="J2796" t="s">
        <v>760</v>
      </c>
      <c r="L2796" s="17" t="s">
        <v>733</v>
      </c>
      <c r="M2796" s="17" t="s">
        <v>11</v>
      </c>
      <c r="N2796" s="17" t="s">
        <v>740</v>
      </c>
    </row>
    <row r="2797" spans="1:14" x14ac:dyDescent="0.25">
      <c r="A2797" s="8">
        <v>995082</v>
      </c>
      <c r="B2797" s="22" t="str">
        <f>IFERROR(VLOOKUP(A2797,VLOOKUPS!$A$2:B$12589,2,FALSE),"")</f>
        <v>Melon Trio 16oz-standard</v>
      </c>
      <c r="E2797">
        <v>3.99</v>
      </c>
      <c r="F2797">
        <v>2.99</v>
      </c>
      <c r="G2797" s="13">
        <v>44552</v>
      </c>
      <c r="H2797" s="13">
        <v>44553</v>
      </c>
      <c r="I2797" s="22" t="str">
        <f>VLOOKUP(J2797, Dropdowns!N:O, 2, FALSE)</f>
        <v>Lower Price</v>
      </c>
      <c r="J2797" t="s">
        <v>759</v>
      </c>
      <c r="L2797" s="17" t="s">
        <v>732</v>
      </c>
      <c r="M2797" s="17" t="s">
        <v>10</v>
      </c>
      <c r="N2797" s="17">
        <v>2</v>
      </c>
    </row>
    <row r="2798" spans="1:14" x14ac:dyDescent="0.25">
      <c r="A2798" s="8">
        <v>995082</v>
      </c>
      <c r="B2798" s="22" t="str">
        <f>IFERROR(VLOOKUP(A2798,VLOOKUPS!$A$2:B$12589,2,FALSE),"")</f>
        <v>Melon Trio 16oz-standard</v>
      </c>
      <c r="E2798">
        <v>2.99</v>
      </c>
      <c r="F2798">
        <v>3.99</v>
      </c>
      <c r="G2798" s="13">
        <v>44554</v>
      </c>
      <c r="H2798" s="13"/>
      <c r="I2798" s="22" t="str">
        <f>VLOOKUP(J2798, Dropdowns!N:O, 2, FALSE)</f>
        <v>Standard</v>
      </c>
      <c r="J2798" t="s">
        <v>760</v>
      </c>
      <c r="L2798" s="17" t="s">
        <v>732</v>
      </c>
      <c r="M2798" s="17" t="s">
        <v>10</v>
      </c>
      <c r="N2798" s="17">
        <v>2</v>
      </c>
    </row>
    <row r="2799" spans="1:14" x14ac:dyDescent="0.25">
      <c r="A2799" s="8">
        <v>995100</v>
      </c>
      <c r="B2799" s="22" t="str">
        <f>IFERROR(VLOOKUP(A2799,VLOOKUPS!$A$2:B$12589,2,FALSE),"")</f>
        <v>Asian Chopped Salad Kit 12oz-standard</v>
      </c>
      <c r="E2799">
        <v>3.49</v>
      </c>
      <c r="F2799">
        <v>2.29</v>
      </c>
      <c r="G2799" s="13">
        <v>44552</v>
      </c>
      <c r="H2799" s="13">
        <v>44553</v>
      </c>
      <c r="I2799" s="22" t="str">
        <f>VLOOKUP(J2799, Dropdowns!N:O, 2, FALSE)</f>
        <v>Lower Price</v>
      </c>
      <c r="J2799" t="s">
        <v>759</v>
      </c>
      <c r="L2799" s="17" t="s">
        <v>733</v>
      </c>
      <c r="M2799" s="17" t="s">
        <v>11</v>
      </c>
      <c r="N2799" s="17" t="s">
        <v>740</v>
      </c>
    </row>
    <row r="2800" spans="1:14" x14ac:dyDescent="0.25">
      <c r="A2800" s="8">
        <v>995100</v>
      </c>
      <c r="B2800" s="22" t="str">
        <f>IFERROR(VLOOKUP(A2800,VLOOKUPS!$A$2:B$12589,2,FALSE),"")</f>
        <v>Asian Chopped Salad Kit 12oz-standard</v>
      </c>
      <c r="E2800">
        <v>2.29</v>
      </c>
      <c r="F2800">
        <v>3.49</v>
      </c>
      <c r="G2800" s="13">
        <v>44554</v>
      </c>
      <c r="H2800" s="13"/>
      <c r="I2800" s="22" t="str">
        <f>VLOOKUP(J2800, Dropdowns!N:O, 2, FALSE)</f>
        <v>Standard</v>
      </c>
      <c r="J2800" t="s">
        <v>760</v>
      </c>
      <c r="L2800" s="17" t="s">
        <v>733</v>
      </c>
      <c r="M2800" s="17" t="s">
        <v>11</v>
      </c>
      <c r="N2800" s="17" t="s">
        <v>740</v>
      </c>
    </row>
    <row r="2801" spans="1:14" x14ac:dyDescent="0.25">
      <c r="A2801" s="8">
        <v>995172</v>
      </c>
      <c r="B2801" s="22" t="str">
        <f>IFERROR(VLOOKUP(A2801,VLOOKUPS!$A$2:B$12589,2,FALSE),"")</f>
        <v>Pinkglow Pineapple Chunks 12oz-standard</v>
      </c>
      <c r="E2801">
        <v>4.99</v>
      </c>
      <c r="F2801">
        <v>2.99</v>
      </c>
      <c r="G2801" s="13">
        <v>44552</v>
      </c>
      <c r="H2801" s="13">
        <v>44553</v>
      </c>
      <c r="I2801" s="22" t="str">
        <f>VLOOKUP(J2801, Dropdowns!N:O, 2, FALSE)</f>
        <v>Lower Price</v>
      </c>
      <c r="J2801" t="s">
        <v>759</v>
      </c>
      <c r="L2801" s="17" t="s">
        <v>733</v>
      </c>
      <c r="M2801" s="17" t="s">
        <v>11</v>
      </c>
      <c r="N2801" s="17" t="s">
        <v>740</v>
      </c>
    </row>
    <row r="2802" spans="1:14" x14ac:dyDescent="0.25">
      <c r="A2802" s="8">
        <v>995172</v>
      </c>
      <c r="B2802" s="22" t="str">
        <f>IFERROR(VLOOKUP(A2802,VLOOKUPS!$A$2:B$12589,2,FALSE),"")</f>
        <v>Pinkglow Pineapple Chunks 12oz-standard</v>
      </c>
      <c r="E2802">
        <v>2.99</v>
      </c>
      <c r="F2802">
        <v>4.99</v>
      </c>
      <c r="G2802" s="13">
        <v>44554</v>
      </c>
      <c r="H2802" s="13"/>
      <c r="I2802" s="22" t="str">
        <f>VLOOKUP(J2802, Dropdowns!N:O, 2, FALSE)</f>
        <v>Standard</v>
      </c>
      <c r="J2802" t="s">
        <v>760</v>
      </c>
      <c r="L2802" s="17" t="s">
        <v>733</v>
      </c>
      <c r="M2802" s="17" t="s">
        <v>11</v>
      </c>
      <c r="N2802" s="17" t="s">
        <v>740</v>
      </c>
    </row>
    <row r="2803" spans="1:14" x14ac:dyDescent="0.25">
      <c r="A2803" s="8">
        <v>988620</v>
      </c>
      <c r="B2803" s="22" t="str">
        <f>IFERROR(VLOOKUP(A2803,VLOOKUPS!$A$2:B$12589,2,FALSE),"")</f>
        <v>Brussels Sprouts 1lb-standard</v>
      </c>
      <c r="E2803">
        <v>1.29</v>
      </c>
      <c r="F2803">
        <v>2.89</v>
      </c>
      <c r="G2803" s="13">
        <v>44553</v>
      </c>
      <c r="H2803" s="13"/>
      <c r="I2803" s="22" t="str">
        <f>VLOOKUP(J2803, Dropdowns!N:O, 2, FALSE)</f>
        <v>Standard</v>
      </c>
      <c r="J2803" t="s">
        <v>760</v>
      </c>
      <c r="L2803" s="17" t="s">
        <v>732</v>
      </c>
      <c r="M2803" s="17" t="s">
        <v>738</v>
      </c>
      <c r="N2803" s="17">
        <v>2</v>
      </c>
    </row>
    <row r="2804" spans="1:14" x14ac:dyDescent="0.25">
      <c r="A2804" s="8">
        <v>984460</v>
      </c>
      <c r="B2804" s="22" t="str">
        <f>IFERROR(VLOOKUP(A2804,VLOOKUPS!$A$2:B$12589,2,FALSE),"")</f>
        <v>Strawberries 1lb-standard</v>
      </c>
      <c r="E2804">
        <v>2.4900000000000002</v>
      </c>
      <c r="F2804">
        <v>3.99</v>
      </c>
      <c r="G2804" s="13">
        <v>44553</v>
      </c>
      <c r="H2804" s="13"/>
      <c r="I2804" s="22" t="str">
        <f>VLOOKUP(J2804, Dropdowns!N:O, 2, FALSE)</f>
        <v>Standard</v>
      </c>
      <c r="J2804" t="s">
        <v>760</v>
      </c>
      <c r="L2804" s="17" t="s">
        <v>732</v>
      </c>
      <c r="M2804" s="17" t="s">
        <v>736</v>
      </c>
      <c r="N2804" s="17" t="s">
        <v>736</v>
      </c>
    </row>
    <row r="2805" spans="1:14" x14ac:dyDescent="0.25">
      <c r="A2805" s="8">
        <v>995067</v>
      </c>
      <c r="B2805" s="22" t="str">
        <f>IFERROR(VLOOKUP(A2805,VLOOKUPS!$A$2:B$12589,2,FALSE),"")</f>
        <v>Organic Baby Arugula 5oz-standard</v>
      </c>
      <c r="E2805">
        <v>2.98</v>
      </c>
      <c r="F2805">
        <v>1.98</v>
      </c>
      <c r="G2805" s="13">
        <v>44553</v>
      </c>
      <c r="H2805" s="13">
        <v>44555</v>
      </c>
      <c r="I2805" s="22" t="str">
        <f>VLOOKUP(J2805, Dropdowns!N:O, 2, FALSE)</f>
        <v>Lower Price</v>
      </c>
      <c r="J2805" t="s">
        <v>759</v>
      </c>
      <c r="L2805" s="17" t="s">
        <v>733</v>
      </c>
      <c r="M2805" s="17" t="s">
        <v>11</v>
      </c>
      <c r="N2805" s="17" t="s">
        <v>740</v>
      </c>
    </row>
    <row r="2806" spans="1:14" x14ac:dyDescent="0.25">
      <c r="A2806" s="8">
        <v>995067</v>
      </c>
      <c r="B2806" s="22" t="str">
        <f>IFERROR(VLOOKUP(A2806,VLOOKUPS!$A$2:B$12589,2,FALSE),"")</f>
        <v>Organic Baby Arugula 5oz-standard</v>
      </c>
      <c r="E2806">
        <v>1.98</v>
      </c>
      <c r="F2806">
        <v>2.98</v>
      </c>
      <c r="G2806" s="13">
        <v>44556</v>
      </c>
      <c r="H2806" s="13"/>
      <c r="I2806" s="22" t="str">
        <f>VLOOKUP(J2806, Dropdowns!N:O, 2, FALSE)</f>
        <v>Standard</v>
      </c>
      <c r="J2806" t="s">
        <v>760</v>
      </c>
      <c r="L2806" s="17" t="s">
        <v>733</v>
      </c>
      <c r="M2806" s="17" t="s">
        <v>11</v>
      </c>
      <c r="N2806" s="17" t="s">
        <v>740</v>
      </c>
    </row>
    <row r="2807" spans="1:14" x14ac:dyDescent="0.25">
      <c r="A2807" s="8">
        <v>995068</v>
      </c>
      <c r="B2807" s="22" t="str">
        <f>IFERROR(VLOOKUP(A2807,VLOOKUPS!$A$2:B$12589,2,FALSE),"")</f>
        <v>Organic Half and Half 5oz-standard</v>
      </c>
      <c r="E2807">
        <v>2.56</v>
      </c>
      <c r="F2807">
        <v>1.56</v>
      </c>
      <c r="G2807" s="13">
        <v>44553</v>
      </c>
      <c r="H2807" s="13">
        <v>44555</v>
      </c>
      <c r="I2807" s="22" t="str">
        <f>VLOOKUP(J2807, Dropdowns!N:O, 2, FALSE)</f>
        <v>Lower Price</v>
      </c>
      <c r="J2807" t="s">
        <v>759</v>
      </c>
      <c r="L2807" s="17" t="s">
        <v>732</v>
      </c>
      <c r="M2807" s="17" t="s">
        <v>10</v>
      </c>
      <c r="N2807" s="17">
        <v>2</v>
      </c>
    </row>
    <row r="2808" spans="1:14" x14ac:dyDescent="0.25">
      <c r="A2808" s="8">
        <v>995068</v>
      </c>
      <c r="B2808" s="22" t="str">
        <f>IFERROR(VLOOKUP(A2808,VLOOKUPS!$A$2:B$12589,2,FALSE),"")</f>
        <v>Organic Half and Half 5oz-standard</v>
      </c>
      <c r="E2808">
        <v>1.56</v>
      </c>
      <c r="F2808">
        <v>2.56</v>
      </c>
      <c r="G2808" s="13">
        <v>44556</v>
      </c>
      <c r="H2808" s="13"/>
      <c r="I2808" s="22" t="str">
        <f>VLOOKUP(J2808, Dropdowns!N:O, 2, FALSE)</f>
        <v>Standard</v>
      </c>
      <c r="J2808" t="s">
        <v>760</v>
      </c>
      <c r="L2808" s="17" t="s">
        <v>732</v>
      </c>
      <c r="M2808" s="17" t="s">
        <v>10</v>
      </c>
      <c r="N2808" s="17">
        <v>2</v>
      </c>
    </row>
    <row r="2809" spans="1:14" x14ac:dyDescent="0.25">
      <c r="A2809" s="8">
        <v>995069</v>
      </c>
      <c r="B2809" s="22" t="str">
        <f>IFERROR(VLOOKUP(A2809,VLOOKUPS!$A$2:B$12589,2,FALSE),"")</f>
        <v>Organic Baby Spinach 5oz-standard</v>
      </c>
      <c r="E2809">
        <v>2.4900000000000002</v>
      </c>
      <c r="F2809">
        <v>1.49</v>
      </c>
      <c r="G2809" s="13">
        <v>44553</v>
      </c>
      <c r="H2809" s="13">
        <v>44555</v>
      </c>
      <c r="I2809" s="22" t="str">
        <f>VLOOKUP(J2809, Dropdowns!N:O, 2, FALSE)</f>
        <v>Lower Price</v>
      </c>
      <c r="J2809" t="s">
        <v>759</v>
      </c>
      <c r="L2809" s="17" t="s">
        <v>732</v>
      </c>
      <c r="M2809" s="17" t="s">
        <v>737</v>
      </c>
      <c r="N2809" s="17" t="s">
        <v>736</v>
      </c>
    </row>
    <row r="2810" spans="1:14" x14ac:dyDescent="0.25">
      <c r="A2810" s="8">
        <v>995069</v>
      </c>
      <c r="B2810" s="22" t="str">
        <f>IFERROR(VLOOKUP(A2810,VLOOKUPS!$A$2:B$12589,2,FALSE),"")</f>
        <v>Organic Baby Spinach 5oz-standard</v>
      </c>
      <c r="E2810">
        <v>1.49</v>
      </c>
      <c r="F2810">
        <v>2.4900000000000002</v>
      </c>
      <c r="G2810" s="13">
        <v>44556</v>
      </c>
      <c r="H2810" s="13"/>
      <c r="I2810" s="22" t="str">
        <f>VLOOKUP(J2810, Dropdowns!N:O, 2, FALSE)</f>
        <v>Standard</v>
      </c>
      <c r="J2810" t="s">
        <v>760</v>
      </c>
      <c r="L2810" s="17" t="s">
        <v>732</v>
      </c>
      <c r="M2810" s="17" t="s">
        <v>737</v>
      </c>
      <c r="N2810" s="17" t="s">
        <v>736</v>
      </c>
    </row>
    <row r="2811" spans="1:14" x14ac:dyDescent="0.25">
      <c r="A2811" s="8">
        <v>995070</v>
      </c>
      <c r="B2811" s="22" t="str">
        <f>IFERROR(VLOOKUP(A2811,VLOOKUPS!$A$2:B$12589,2,FALSE),"")</f>
        <v>Organic Baby Spring Mix 5oz-standard</v>
      </c>
      <c r="E2811">
        <v>2.98</v>
      </c>
      <c r="F2811">
        <v>1.98</v>
      </c>
      <c r="G2811" s="13">
        <v>44553</v>
      </c>
      <c r="H2811" s="13">
        <v>44555</v>
      </c>
      <c r="I2811" s="22" t="str">
        <f>VLOOKUP(J2811, Dropdowns!N:O, 2, FALSE)</f>
        <v>Lower Price</v>
      </c>
      <c r="J2811" t="s">
        <v>759</v>
      </c>
      <c r="L2811" s="17" t="s">
        <v>732</v>
      </c>
      <c r="M2811" s="17" t="s">
        <v>10</v>
      </c>
      <c r="N2811" s="17">
        <v>2</v>
      </c>
    </row>
    <row r="2812" spans="1:14" x14ac:dyDescent="0.25">
      <c r="A2812" s="8">
        <v>995070</v>
      </c>
      <c r="B2812" s="22" t="str">
        <f>IFERROR(VLOOKUP(A2812,VLOOKUPS!$A$2:B$12589,2,FALSE),"")</f>
        <v>Organic Baby Spring Mix 5oz-standard</v>
      </c>
      <c r="E2812">
        <v>1.98</v>
      </c>
      <c r="F2812">
        <v>2.98</v>
      </c>
      <c r="G2812" s="13">
        <v>44556</v>
      </c>
      <c r="H2812" s="13"/>
      <c r="I2812" s="22" t="str">
        <f>VLOOKUP(J2812, Dropdowns!N:O, 2, FALSE)</f>
        <v>Standard</v>
      </c>
      <c r="J2812" t="s">
        <v>760</v>
      </c>
      <c r="L2812" s="17" t="s">
        <v>732</v>
      </c>
      <c r="M2812" s="17" t="s">
        <v>10</v>
      </c>
      <c r="N2812" s="17">
        <v>2</v>
      </c>
    </row>
    <row r="2813" spans="1:14" x14ac:dyDescent="0.25">
      <c r="A2813" s="8">
        <v>995071</v>
      </c>
      <c r="B2813" s="22" t="str">
        <f>IFERROR(VLOOKUP(A2813,VLOOKUPS!$A$2:B$12589,2,FALSE),"")</f>
        <v>Broccoli Florets 12oz-standard</v>
      </c>
      <c r="E2813">
        <v>2.69</v>
      </c>
      <c r="F2813">
        <v>1.69</v>
      </c>
      <c r="G2813" s="13">
        <v>44553</v>
      </c>
      <c r="H2813" s="13">
        <v>44555</v>
      </c>
      <c r="I2813" s="22" t="str">
        <f>VLOOKUP(J2813, Dropdowns!N:O, 2, FALSE)</f>
        <v>Lower Price</v>
      </c>
      <c r="J2813" t="s">
        <v>759</v>
      </c>
      <c r="L2813" s="17" t="s">
        <v>733</v>
      </c>
      <c r="M2813" s="17" t="s">
        <v>11</v>
      </c>
      <c r="N2813" s="17" t="s">
        <v>740</v>
      </c>
    </row>
    <row r="2814" spans="1:14" x14ac:dyDescent="0.25">
      <c r="A2814" s="8">
        <v>995071</v>
      </c>
      <c r="B2814" s="22" t="str">
        <f>IFERROR(VLOOKUP(A2814,VLOOKUPS!$A$2:B$12589,2,FALSE),"")</f>
        <v>Broccoli Florets 12oz-standard</v>
      </c>
      <c r="E2814">
        <v>1.69</v>
      </c>
      <c r="F2814">
        <v>2.69</v>
      </c>
      <c r="G2814" s="13">
        <v>44556</v>
      </c>
      <c r="H2814" s="13"/>
      <c r="I2814" s="22" t="str">
        <f>VLOOKUP(J2814, Dropdowns!N:O, 2, FALSE)</f>
        <v>Standard</v>
      </c>
      <c r="J2814" t="s">
        <v>760</v>
      </c>
      <c r="L2814" s="17" t="s">
        <v>733</v>
      </c>
      <c r="M2814" s="17" t="s">
        <v>11</v>
      </c>
      <c r="N2814" s="17" t="s">
        <v>740</v>
      </c>
    </row>
    <row r="2815" spans="1:14" x14ac:dyDescent="0.25">
      <c r="A2815" s="8">
        <v>995072</v>
      </c>
      <c r="B2815" s="22" t="str">
        <f>IFERROR(VLOOKUP(A2815,VLOOKUPS!$A$2:B$12589,2,FALSE),"")</f>
        <v>Broccoli Coleslaw 12oz-standard</v>
      </c>
      <c r="E2815">
        <v>1.99</v>
      </c>
      <c r="F2815">
        <v>1.29</v>
      </c>
      <c r="G2815" s="13">
        <v>44553</v>
      </c>
      <c r="H2815" s="13">
        <v>44556</v>
      </c>
      <c r="I2815" s="22" t="str">
        <f>VLOOKUP(J2815, Dropdowns!N:O, 2, FALSE)</f>
        <v>Lower Price</v>
      </c>
      <c r="J2815" t="s">
        <v>759</v>
      </c>
      <c r="L2815" s="17" t="s">
        <v>733</v>
      </c>
      <c r="M2815" s="17" t="s">
        <v>735</v>
      </c>
      <c r="N2815" s="17" t="s">
        <v>740</v>
      </c>
    </row>
    <row r="2816" spans="1:14" x14ac:dyDescent="0.25">
      <c r="A2816" s="8">
        <v>995072</v>
      </c>
      <c r="B2816" s="22" t="str">
        <f>IFERROR(VLOOKUP(A2816,VLOOKUPS!$A$2:B$12589,2,FALSE),"")</f>
        <v>Broccoli Coleslaw 12oz-standard</v>
      </c>
      <c r="E2816">
        <v>1.29</v>
      </c>
      <c r="F2816">
        <v>1.99</v>
      </c>
      <c r="G2816" s="13">
        <v>44557</v>
      </c>
      <c r="H2816" s="13"/>
      <c r="I2816" s="22" t="str">
        <f>VLOOKUP(J2816, Dropdowns!N:O, 2, FALSE)</f>
        <v>Standard</v>
      </c>
      <c r="J2816" t="s">
        <v>760</v>
      </c>
      <c r="L2816" s="17" t="s">
        <v>733</v>
      </c>
      <c r="M2816" s="17" t="s">
        <v>735</v>
      </c>
      <c r="N2816" s="17" t="s">
        <v>740</v>
      </c>
    </row>
    <row r="2817" spans="1:17" x14ac:dyDescent="0.25">
      <c r="A2817" s="8">
        <v>995077</v>
      </c>
      <c r="B2817" s="22" t="str">
        <f>IFERROR(VLOOKUP(A2817,VLOOKUPS!$A$2:B$12589,2,FALSE),"")</f>
        <v>Organic Baby Spring Mix 16oz-standard</v>
      </c>
      <c r="E2817">
        <v>4.9800000000000004</v>
      </c>
      <c r="F2817">
        <v>3.48</v>
      </c>
      <c r="G2817" s="13">
        <v>44553</v>
      </c>
      <c r="H2817" s="13">
        <v>44555</v>
      </c>
      <c r="I2817" s="22" t="str">
        <f>VLOOKUP(J2817, Dropdowns!N:O, 2, FALSE)</f>
        <v>Lower Price</v>
      </c>
      <c r="J2817" t="s">
        <v>759</v>
      </c>
      <c r="L2817" s="17" t="s">
        <v>732</v>
      </c>
      <c r="M2817" s="17" t="s">
        <v>738</v>
      </c>
      <c r="N2817" s="17">
        <v>2</v>
      </c>
    </row>
    <row r="2818" spans="1:17" x14ac:dyDescent="0.25">
      <c r="A2818" s="8">
        <v>995077</v>
      </c>
      <c r="B2818" s="22" t="str">
        <f>IFERROR(VLOOKUP(A2818,VLOOKUPS!$A$2:B$12589,2,FALSE),"")</f>
        <v>Organic Baby Spring Mix 16oz-standard</v>
      </c>
      <c r="E2818">
        <v>3.48</v>
      </c>
      <c r="F2818">
        <v>4.9800000000000004</v>
      </c>
      <c r="G2818" s="13">
        <v>44556</v>
      </c>
      <c r="H2818" s="13"/>
      <c r="I2818" s="22" t="str">
        <f>VLOOKUP(J2818, Dropdowns!N:O, 2, FALSE)</f>
        <v>Standard</v>
      </c>
      <c r="J2818" t="s">
        <v>760</v>
      </c>
      <c r="L2818" s="17" t="s">
        <v>732</v>
      </c>
      <c r="M2818" s="17" t="s">
        <v>738</v>
      </c>
      <c r="N2818" s="17">
        <v>2</v>
      </c>
    </row>
    <row r="2819" spans="1:17" x14ac:dyDescent="0.25">
      <c r="A2819" s="8">
        <v>995078</v>
      </c>
      <c r="B2819" s="22" t="str">
        <f>IFERROR(VLOOKUP(A2819,VLOOKUPS!$A$2:B$12589,2,FALSE),"")</f>
        <v>Organic Baby Spinach 16oz-standard</v>
      </c>
      <c r="E2819">
        <v>4.9800000000000004</v>
      </c>
      <c r="F2819">
        <v>3.98</v>
      </c>
      <c r="G2819" s="13">
        <v>44553</v>
      </c>
      <c r="H2819" s="13">
        <v>44555</v>
      </c>
      <c r="I2819" s="22" t="str">
        <f>VLOOKUP(J2819, Dropdowns!N:O, 2, FALSE)</f>
        <v>Lower Price</v>
      </c>
      <c r="J2819" t="s">
        <v>759</v>
      </c>
      <c r="L2819" s="17" t="s">
        <v>732</v>
      </c>
      <c r="M2819" s="17" t="s">
        <v>735</v>
      </c>
      <c r="N2819" s="17" t="s">
        <v>736</v>
      </c>
    </row>
    <row r="2820" spans="1:17" x14ac:dyDescent="0.25">
      <c r="A2820" s="8">
        <v>995078</v>
      </c>
      <c r="B2820" s="22" t="str">
        <f>IFERROR(VLOOKUP(A2820,VLOOKUPS!$A$2:B$12589,2,FALSE),"")</f>
        <v>Organic Baby Spinach 16oz-standard</v>
      </c>
      <c r="E2820">
        <v>3.98</v>
      </c>
      <c r="F2820">
        <v>4.9800000000000004</v>
      </c>
      <c r="G2820" s="13">
        <v>44556</v>
      </c>
      <c r="H2820" s="13"/>
      <c r="I2820" s="22" t="str">
        <f>VLOOKUP(J2820, Dropdowns!N:O, 2, FALSE)</f>
        <v>Standard</v>
      </c>
      <c r="J2820" t="s">
        <v>760</v>
      </c>
      <c r="L2820" s="17" t="s">
        <v>732</v>
      </c>
      <c r="M2820" s="17" t="s">
        <v>735</v>
      </c>
      <c r="N2820" s="17" t="s">
        <v>736</v>
      </c>
    </row>
    <row r="2821" spans="1:17" x14ac:dyDescent="0.25">
      <c r="A2821" s="8">
        <v>995103</v>
      </c>
      <c r="B2821" s="22" t="str">
        <f>IFERROR(VLOOKUP(A2821,VLOOKUPS!$A$2:B$12589,2,FALSE),"")</f>
        <v>Teriyaki Stir Fry Kit 12.5oz-standard</v>
      </c>
      <c r="E2821">
        <v>2.98</v>
      </c>
      <c r="F2821">
        <v>1.98</v>
      </c>
      <c r="G2821" s="13">
        <v>44553</v>
      </c>
      <c r="H2821" s="13">
        <v>44556</v>
      </c>
      <c r="I2821" s="22" t="str">
        <f>VLOOKUP(J2821, Dropdowns!N:O, 2, FALSE)</f>
        <v>Lower Price</v>
      </c>
      <c r="J2821" t="s">
        <v>759</v>
      </c>
      <c r="L2821" s="17" t="s">
        <v>732</v>
      </c>
      <c r="M2821" s="17" t="s">
        <v>735</v>
      </c>
      <c r="N2821" s="17" t="s">
        <v>736</v>
      </c>
    </row>
    <row r="2822" spans="1:17" x14ac:dyDescent="0.25">
      <c r="A2822" s="8">
        <v>995103</v>
      </c>
      <c r="B2822" s="22" t="str">
        <f>IFERROR(VLOOKUP(A2822,VLOOKUPS!$A$2:B$12589,2,FALSE),"")</f>
        <v>Teriyaki Stir Fry Kit 12.5oz-standard</v>
      </c>
      <c r="E2822">
        <v>1.98</v>
      </c>
      <c r="F2822">
        <v>2.98</v>
      </c>
      <c r="G2822" s="13">
        <v>44557</v>
      </c>
      <c r="H2822" s="13"/>
      <c r="I2822" s="22" t="str">
        <f>VLOOKUP(J2822, Dropdowns!N:O, 2, FALSE)</f>
        <v>Standard</v>
      </c>
      <c r="J2822" t="s">
        <v>760</v>
      </c>
      <c r="L2822" s="17" t="s">
        <v>732</v>
      </c>
      <c r="M2822" s="17" t="s">
        <v>735</v>
      </c>
      <c r="N2822" s="17" t="s">
        <v>736</v>
      </c>
    </row>
    <row r="2823" spans="1:17" x14ac:dyDescent="0.25">
      <c r="A2823" s="8">
        <v>995104</v>
      </c>
      <c r="B2823" s="22" t="str">
        <f>IFERROR(VLOOKUP(A2823,VLOOKUPS!$A$2:B$12589,2,FALSE),"")</f>
        <v>Ginger Garlic Stir Fry Kit 14oz-standard</v>
      </c>
      <c r="E2823">
        <v>2.98</v>
      </c>
      <c r="F2823">
        <v>1.98</v>
      </c>
      <c r="G2823" s="13">
        <v>44553</v>
      </c>
      <c r="H2823" s="13">
        <v>44556</v>
      </c>
      <c r="I2823" s="22" t="str">
        <f>VLOOKUP(J2823, Dropdowns!N:O, 2, FALSE)</f>
        <v>Lower Price</v>
      </c>
      <c r="J2823" t="s">
        <v>759</v>
      </c>
      <c r="L2823" s="17" t="s">
        <v>732</v>
      </c>
      <c r="M2823" s="17" t="s">
        <v>736</v>
      </c>
      <c r="N2823" s="17" t="s">
        <v>736</v>
      </c>
    </row>
    <row r="2824" spans="1:17" x14ac:dyDescent="0.25">
      <c r="A2824" s="8">
        <v>995104</v>
      </c>
      <c r="B2824" s="22" t="str">
        <f>IFERROR(VLOOKUP(A2824,VLOOKUPS!$A$2:B$12589,2,FALSE),"")</f>
        <v>Ginger Garlic Stir Fry Kit 14oz-standard</v>
      </c>
      <c r="E2824">
        <v>1.98</v>
      </c>
      <c r="F2824">
        <v>2.98</v>
      </c>
      <c r="G2824" s="13">
        <v>44557</v>
      </c>
      <c r="H2824" s="13"/>
      <c r="I2824" s="22" t="str">
        <f>VLOOKUP(J2824, Dropdowns!N:O, 2, FALSE)</f>
        <v>Standard</v>
      </c>
      <c r="J2824" t="s">
        <v>760</v>
      </c>
      <c r="L2824" s="17" t="s">
        <v>732</v>
      </c>
      <c r="M2824" s="17" t="s">
        <v>736</v>
      </c>
      <c r="N2824" s="17" t="s">
        <v>736</v>
      </c>
    </row>
    <row r="2825" spans="1:17" x14ac:dyDescent="0.25">
      <c r="A2825" s="8">
        <v>995133</v>
      </c>
      <c r="B2825" s="22" t="str">
        <f>IFERROR(VLOOKUP(A2825,VLOOKUPS!$A$2:B$12589,2,FALSE),"")</f>
        <v>Organic Baby Spinach &amp; Arugula 5oz-standard</v>
      </c>
      <c r="E2825">
        <v>2.4900000000000002</v>
      </c>
      <c r="F2825">
        <v>1.49</v>
      </c>
      <c r="G2825" s="13">
        <v>44553</v>
      </c>
      <c r="H2825" s="13">
        <v>44556</v>
      </c>
      <c r="I2825" s="22" t="str">
        <f>VLOOKUP(J2825, Dropdowns!N:O, 2, FALSE)</f>
        <v>Lower Price</v>
      </c>
      <c r="J2825" t="s">
        <v>759</v>
      </c>
      <c r="L2825" s="17" t="s">
        <v>732</v>
      </c>
      <c r="M2825" s="17" t="s">
        <v>735</v>
      </c>
      <c r="N2825" s="17" t="s">
        <v>736</v>
      </c>
    </row>
    <row r="2826" spans="1:17" x14ac:dyDescent="0.25">
      <c r="A2826" s="8">
        <v>995133</v>
      </c>
      <c r="B2826" s="22" t="str">
        <f>IFERROR(VLOOKUP(A2826,VLOOKUPS!$A$2:B$12589,2,FALSE),"")</f>
        <v>Organic Baby Spinach &amp; Arugula 5oz-standard</v>
      </c>
      <c r="E2826">
        <v>1.49</v>
      </c>
      <c r="F2826">
        <v>2.4900000000000002</v>
      </c>
      <c r="G2826" s="13">
        <v>44557</v>
      </c>
      <c r="H2826" s="13"/>
      <c r="I2826" s="22" t="str">
        <f>VLOOKUP(J2826, Dropdowns!N:O, 2, FALSE)</f>
        <v>Standard</v>
      </c>
      <c r="J2826" t="s">
        <v>760</v>
      </c>
      <c r="L2826" s="17" t="s">
        <v>732</v>
      </c>
      <c r="M2826" s="17" t="s">
        <v>735</v>
      </c>
      <c r="N2826" s="17" t="s">
        <v>736</v>
      </c>
    </row>
    <row r="2827" spans="1:17" x14ac:dyDescent="0.25">
      <c r="A2827" s="8">
        <v>995168</v>
      </c>
      <c r="B2827" s="22" t="str">
        <f>IFERROR(VLOOKUP(A2827,VLOOKUPS!$A$2:B$12589,2,FALSE),"")</f>
        <v>Coconut Curry Stir Fry Kit 12.5oz-standard</v>
      </c>
      <c r="E2827">
        <v>2.98</v>
      </c>
      <c r="F2827">
        <v>1.98</v>
      </c>
      <c r="G2827" s="13">
        <v>44553</v>
      </c>
      <c r="H2827" s="13">
        <v>44556</v>
      </c>
      <c r="I2827" s="22" t="str">
        <f>VLOOKUP(J2827, Dropdowns!N:O, 2, FALSE)</f>
        <v>Lower Price</v>
      </c>
      <c r="J2827" t="s">
        <v>759</v>
      </c>
      <c r="L2827" s="17" t="s">
        <v>732</v>
      </c>
      <c r="M2827" s="17" t="s">
        <v>737</v>
      </c>
      <c r="N2827" s="17" t="s">
        <v>736</v>
      </c>
    </row>
    <row r="2828" spans="1:17" x14ac:dyDescent="0.25">
      <c r="A2828" s="8">
        <v>995168</v>
      </c>
      <c r="B2828" s="22" t="str">
        <f>IFERROR(VLOOKUP(A2828,VLOOKUPS!$A$2:B$12589,2,FALSE),"")</f>
        <v>Coconut Curry Stir Fry Kit 12.5oz-standard</v>
      </c>
      <c r="E2828">
        <v>1.98</v>
      </c>
      <c r="F2828">
        <v>2.98</v>
      </c>
      <c r="G2828" s="13">
        <v>44557</v>
      </c>
      <c r="H2828" s="13"/>
      <c r="I2828" s="22" t="str">
        <f>VLOOKUP(J2828, Dropdowns!N:O, 2, FALSE)</f>
        <v>Standard</v>
      </c>
      <c r="J2828" t="s">
        <v>760</v>
      </c>
      <c r="L2828" s="17" t="s">
        <v>732</v>
      </c>
      <c r="M2828" s="17" t="s">
        <v>737</v>
      </c>
      <c r="N2828" s="17" t="s">
        <v>736</v>
      </c>
    </row>
    <row r="2829" spans="1:17" x14ac:dyDescent="0.25">
      <c r="A2829" s="8">
        <v>995172</v>
      </c>
      <c r="B2829" s="22" t="str">
        <f>IFERROR(VLOOKUP(A2829,VLOOKUPS!$A$2:B$12589,2,FALSE),"")</f>
        <v>Pinkglow Pineapple Chunks 12oz-standard</v>
      </c>
      <c r="E2829">
        <v>4.99</v>
      </c>
      <c r="F2829">
        <v>3.49</v>
      </c>
      <c r="G2829" s="13">
        <v>44553</v>
      </c>
      <c r="H2829" s="13">
        <v>44556</v>
      </c>
      <c r="I2829" s="22" t="str">
        <f>VLOOKUP(J2829, Dropdowns!N:O, 2, FALSE)</f>
        <v>Lower Price</v>
      </c>
      <c r="J2829" t="s">
        <v>759</v>
      </c>
      <c r="L2829" s="17" t="s">
        <v>732</v>
      </c>
      <c r="M2829" s="17" t="s">
        <v>9</v>
      </c>
      <c r="N2829" s="17" t="s">
        <v>736</v>
      </c>
    </row>
    <row r="2830" spans="1:17" x14ac:dyDescent="0.25">
      <c r="A2830" s="8">
        <v>995172</v>
      </c>
      <c r="B2830" s="22" t="str">
        <f>IFERROR(VLOOKUP(A2830,VLOOKUPS!$A$2:B$12589,2,FALSE),"")</f>
        <v>Pinkglow Pineapple Chunks 12oz-standard</v>
      </c>
      <c r="E2830">
        <v>3.49</v>
      </c>
      <c r="F2830">
        <v>4.99</v>
      </c>
      <c r="G2830" s="13">
        <v>44557</v>
      </c>
      <c r="H2830" s="13"/>
      <c r="I2830" s="22" t="str">
        <f>VLOOKUP(J2830, Dropdowns!N:O, 2, FALSE)</f>
        <v>Standard</v>
      </c>
      <c r="J2830" t="s">
        <v>760</v>
      </c>
      <c r="L2830" s="17" t="s">
        <v>732</v>
      </c>
      <c r="M2830" s="17" t="s">
        <v>9</v>
      </c>
      <c r="N2830" s="17" t="s">
        <v>736</v>
      </c>
    </row>
    <row r="2831" spans="1:17" x14ac:dyDescent="0.25">
      <c r="A2831" s="8">
        <v>995173</v>
      </c>
      <c r="B2831" s="22" t="str">
        <f>IFERROR(VLOOKUP(A2831,VLOOKUPS!$A$2:B$12589,2,FALSE),"")</f>
        <v>Fruit Tray 40oz-standard</v>
      </c>
      <c r="D2831">
        <v>2</v>
      </c>
      <c r="F2831">
        <v>12.99</v>
      </c>
      <c r="G2831" s="13">
        <v>44553</v>
      </c>
      <c r="H2831" s="13"/>
      <c r="I2831" s="22" t="str">
        <f>VLOOKUP(J2831, Dropdowns!N:O, 2, FALSE)</f>
        <v>New</v>
      </c>
      <c r="J2831" t="s">
        <v>776</v>
      </c>
      <c r="L2831" s="17" t="s">
        <v>732</v>
      </c>
      <c r="M2831" s="17" t="s">
        <v>10</v>
      </c>
      <c r="N2831" s="17">
        <v>2</v>
      </c>
      <c r="O2831" s="17" t="s">
        <v>748</v>
      </c>
      <c r="P2831">
        <v>1</v>
      </c>
      <c r="Q2831" s="17" t="s">
        <v>1044</v>
      </c>
    </row>
    <row r="2832" spans="1:17" x14ac:dyDescent="0.25">
      <c r="A2832" s="8">
        <v>995174</v>
      </c>
      <c r="B2832" s="22" t="str">
        <f>IFERROR(VLOOKUP(A2832,VLOOKUPS!$A$2:B$12589,2,FALSE),"")</f>
        <v>Vegetable Tray 24oz-standard</v>
      </c>
      <c r="D2832">
        <v>3</v>
      </c>
      <c r="F2832">
        <v>8.99</v>
      </c>
      <c r="G2832" s="13">
        <v>44553</v>
      </c>
      <c r="H2832" s="13"/>
      <c r="I2832" s="22" t="str">
        <f>VLOOKUP(J2832, Dropdowns!N:O, 2, FALSE)</f>
        <v>New</v>
      </c>
      <c r="J2832" t="s">
        <v>776</v>
      </c>
      <c r="L2832" s="17" t="s">
        <v>732</v>
      </c>
      <c r="M2832" s="17" t="s">
        <v>10</v>
      </c>
      <c r="N2832" s="17">
        <v>2</v>
      </c>
      <c r="O2832" s="17" t="s">
        <v>748</v>
      </c>
      <c r="P2832">
        <v>1</v>
      </c>
      <c r="Q2832" s="17" t="s">
        <v>1044</v>
      </c>
    </row>
    <row r="2833" spans="1:17" x14ac:dyDescent="0.25">
      <c r="A2833" s="8">
        <v>995173</v>
      </c>
      <c r="B2833" s="22" t="str">
        <f>IFERROR(VLOOKUP(A2833,VLOOKUPS!$A$2:B$12589,2,FALSE),"")</f>
        <v>Fruit Tray 40oz-standard</v>
      </c>
      <c r="D2833">
        <v>2</v>
      </c>
      <c r="F2833">
        <v>12.99</v>
      </c>
      <c r="G2833" s="13">
        <v>44554</v>
      </c>
      <c r="H2833" s="13"/>
      <c r="I2833" s="22" t="str">
        <f>VLOOKUP(J2833, Dropdowns!N:O, 2, FALSE)</f>
        <v>New</v>
      </c>
      <c r="J2833" t="s">
        <v>776</v>
      </c>
      <c r="L2833" s="17" t="s">
        <v>732</v>
      </c>
      <c r="M2833" s="17" t="s">
        <v>9</v>
      </c>
      <c r="N2833" s="17" t="s">
        <v>736</v>
      </c>
      <c r="O2833" s="17" t="s">
        <v>748</v>
      </c>
      <c r="P2833">
        <v>1</v>
      </c>
      <c r="Q2833" s="17" t="s">
        <v>1044</v>
      </c>
    </row>
    <row r="2834" spans="1:17" x14ac:dyDescent="0.25">
      <c r="A2834" s="8">
        <v>995174</v>
      </c>
      <c r="B2834" s="22" t="str">
        <f>IFERROR(VLOOKUP(A2834,VLOOKUPS!$A$2:B$12589,2,FALSE),"")</f>
        <v>Vegetable Tray 24oz-standard</v>
      </c>
      <c r="D2834">
        <v>3</v>
      </c>
      <c r="F2834">
        <v>8.99</v>
      </c>
      <c r="G2834" s="13">
        <v>44554</v>
      </c>
      <c r="H2834" s="13"/>
      <c r="I2834" s="22" t="str">
        <f>VLOOKUP(J2834, Dropdowns!N:O, 2, FALSE)</f>
        <v>New</v>
      </c>
      <c r="J2834" t="s">
        <v>776</v>
      </c>
      <c r="L2834" s="17" t="s">
        <v>732</v>
      </c>
      <c r="M2834" s="17" t="s">
        <v>9</v>
      </c>
      <c r="N2834" s="17" t="s">
        <v>736</v>
      </c>
      <c r="O2834" s="17" t="s">
        <v>748</v>
      </c>
      <c r="P2834">
        <v>1</v>
      </c>
      <c r="Q2834" s="17" t="s">
        <v>1044</v>
      </c>
    </row>
    <row r="2835" spans="1:17" x14ac:dyDescent="0.25">
      <c r="A2835" s="8">
        <v>982832</v>
      </c>
      <c r="B2835" s="22" t="str">
        <f>IFERROR(VLOOKUP(A2835,VLOOKUPS!$A$2:B$12589,2,FALSE),"")</f>
        <v>Grapes 3lb-standard</v>
      </c>
      <c r="D2835">
        <v>6</v>
      </c>
      <c r="F2835">
        <v>9.99</v>
      </c>
      <c r="G2835" s="13">
        <v>44556</v>
      </c>
      <c r="H2835" s="13"/>
      <c r="I2835" s="22" t="str">
        <f>VLOOKUP(J2835, Dropdowns!N:O, 2, FALSE)</f>
        <v>New</v>
      </c>
      <c r="J2835" t="s">
        <v>776</v>
      </c>
      <c r="L2835" s="17" t="s">
        <v>732</v>
      </c>
      <c r="M2835" s="17" t="s">
        <v>10</v>
      </c>
      <c r="N2835" s="17">
        <v>2</v>
      </c>
      <c r="O2835" t="s">
        <v>748</v>
      </c>
      <c r="P2835">
        <v>1</v>
      </c>
    </row>
    <row r="2836" spans="1:17" x14ac:dyDescent="0.25">
      <c r="A2836" s="8">
        <v>995129</v>
      </c>
      <c r="B2836" s="22" t="str">
        <f>IFERROR(VLOOKUP(A2836,VLOOKUPS!$A$2:B$12589,2,FALSE),"")</f>
        <v>Organic Broccoli Florets 10oz-standard</v>
      </c>
      <c r="D2836">
        <v>6</v>
      </c>
      <c r="F2836">
        <v>3.29</v>
      </c>
      <c r="G2836" s="13">
        <v>44560</v>
      </c>
      <c r="H2836" s="13"/>
      <c r="I2836" s="22" t="str">
        <f>VLOOKUP(J2836, Dropdowns!N:O, 2, FALSE)</f>
        <v>NA</v>
      </c>
      <c r="J2836" t="s">
        <v>754</v>
      </c>
      <c r="L2836" s="17" t="s">
        <v>732</v>
      </c>
      <c r="M2836" s="17" t="s">
        <v>736</v>
      </c>
      <c r="N2836" s="17" t="s">
        <v>736</v>
      </c>
    </row>
    <row r="2837" spans="1:17" x14ac:dyDescent="0.25">
      <c r="A2837" s="8">
        <v>995159</v>
      </c>
      <c r="B2837" s="22" t="str">
        <f>IFERROR(VLOOKUP(A2837,VLOOKUPS!$A$2:B$12589,2,FALSE),"")</f>
        <v>Aparagus &amp; Mushrooms 12oz-standard</v>
      </c>
      <c r="D2837">
        <v>6</v>
      </c>
      <c r="F2837">
        <v>4.99</v>
      </c>
      <c r="G2837" s="13">
        <v>44560</v>
      </c>
      <c r="H2837" s="13"/>
      <c r="I2837" s="22" t="str">
        <f>VLOOKUP(J2837, Dropdowns!N:O, 2, FALSE)</f>
        <v>NA</v>
      </c>
      <c r="J2837" t="s">
        <v>754</v>
      </c>
      <c r="L2837" s="17" t="s">
        <v>732</v>
      </c>
      <c r="M2837" s="17" t="s">
        <v>736</v>
      </c>
      <c r="N2837" s="17" t="s">
        <v>736</v>
      </c>
    </row>
    <row r="2838" spans="1:17" x14ac:dyDescent="0.25">
      <c r="A2838" s="8">
        <v>995174</v>
      </c>
      <c r="B2838" s="22" t="str">
        <f>IFERROR(VLOOKUP(A2838,VLOOKUPS!$A$2:B$12589,2,FALSE),"")</f>
        <v>Vegetable Tray 24oz-standard</v>
      </c>
      <c r="G2838" s="13">
        <v>44560</v>
      </c>
      <c r="H2838" s="13"/>
      <c r="I2838" s="22" t="str">
        <f>VLOOKUP(J2838, Dropdowns!N:O, 2, FALSE)</f>
        <v>NA</v>
      </c>
      <c r="J2838" t="s">
        <v>1057</v>
      </c>
      <c r="L2838" s="17" t="s">
        <v>732</v>
      </c>
      <c r="M2838" s="17" t="s">
        <v>11</v>
      </c>
      <c r="N2838" s="17" t="s">
        <v>740</v>
      </c>
    </row>
    <row r="2839" spans="1:17" x14ac:dyDescent="0.25">
      <c r="A2839" s="8">
        <v>995173</v>
      </c>
      <c r="B2839" s="22" t="str">
        <f>IFERROR(VLOOKUP(A2839,VLOOKUPS!$A$2:B$12589,2,FALSE),"")</f>
        <v>Fruit Tray 40oz-standard</v>
      </c>
      <c r="G2839" s="13">
        <v>44560</v>
      </c>
      <c r="H2839" s="13"/>
      <c r="I2839" s="22" t="str">
        <f>VLOOKUP(J2839, Dropdowns!N:O, 2, FALSE)</f>
        <v>NA</v>
      </c>
      <c r="J2839" t="s">
        <v>1057</v>
      </c>
      <c r="L2839" s="17" t="s">
        <v>732</v>
      </c>
      <c r="M2839" s="17" t="s">
        <v>11</v>
      </c>
      <c r="N2839" s="17" t="s">
        <v>740</v>
      </c>
    </row>
    <row r="2840" spans="1:17" x14ac:dyDescent="0.25">
      <c r="A2840" s="8">
        <v>982832</v>
      </c>
      <c r="B2840" s="22" t="str">
        <f>IFERROR(VLOOKUP(A2840,VLOOKUPS!$A$2:B$12589,2,FALSE),"")</f>
        <v>Grapes 3lb-standard</v>
      </c>
      <c r="G2840" s="13">
        <v>44560</v>
      </c>
      <c r="H2840" s="13"/>
      <c r="I2840" s="22" t="str">
        <f>VLOOKUP(J2840, Dropdowns!N:O, 2, FALSE)</f>
        <v>NA</v>
      </c>
      <c r="J2840" t="s">
        <v>1057</v>
      </c>
      <c r="L2840" s="17" t="s">
        <v>732</v>
      </c>
      <c r="M2840" s="17" t="s">
        <v>11</v>
      </c>
      <c r="N2840" s="17" t="s">
        <v>740</v>
      </c>
    </row>
    <row r="2841" spans="1:17" x14ac:dyDescent="0.25">
      <c r="A2841" s="8">
        <v>995000</v>
      </c>
      <c r="B2841" s="22" t="str">
        <f>IFERROR(VLOOKUP(A2841,VLOOKUPS!$A$2:B$12589,2,FALSE),"")</f>
        <v>Spring Mix 5oz-standard</v>
      </c>
      <c r="D2841">
        <v>6</v>
      </c>
      <c r="F2841">
        <v>1.89</v>
      </c>
      <c r="G2841" s="13">
        <v>44562</v>
      </c>
      <c r="H2841" s="13"/>
      <c r="I2841" s="22" t="str">
        <f>VLOOKUP(J2841, Dropdowns!N:O, 2, FALSE)</f>
        <v>NA</v>
      </c>
      <c r="J2841" t="s">
        <v>780</v>
      </c>
      <c r="L2841" s="17" t="s">
        <v>732</v>
      </c>
      <c r="M2841" s="17" t="s">
        <v>736</v>
      </c>
      <c r="N2841" s="17" t="s">
        <v>736</v>
      </c>
    </row>
    <row r="2842" spans="1:17" x14ac:dyDescent="0.25">
      <c r="A2842" s="8">
        <v>995001</v>
      </c>
      <c r="B2842" s="22" t="str">
        <f>IFERROR(VLOOKUP(A2842,VLOOKUPS!$A$2:B$12589,2,FALSE),"")</f>
        <v>Spinach Baby 6oz-standard</v>
      </c>
      <c r="D2842">
        <v>6</v>
      </c>
      <c r="F2842">
        <v>2.3199999999999998</v>
      </c>
      <c r="G2842" s="13">
        <v>44562</v>
      </c>
      <c r="H2842" s="13"/>
      <c r="I2842" s="22" t="str">
        <f>VLOOKUP(J2842, Dropdowns!N:O, 2, FALSE)</f>
        <v>NA</v>
      </c>
      <c r="J2842" t="s">
        <v>780</v>
      </c>
      <c r="L2842" t="s">
        <v>739</v>
      </c>
      <c r="M2842" s="17" t="s">
        <v>736</v>
      </c>
      <c r="N2842" s="17" t="s">
        <v>736</v>
      </c>
    </row>
    <row r="2843" spans="1:17" x14ac:dyDescent="0.25">
      <c r="A2843" s="8">
        <v>995005</v>
      </c>
      <c r="B2843" s="22" t="str">
        <f>IFERROR(VLOOKUP(A2843,VLOOKUPS!$A$2:B$12589,2,FALSE),"")</f>
        <v>Garden Salad 12oz-standard</v>
      </c>
      <c r="D2843">
        <v>12</v>
      </c>
      <c r="F2843">
        <v>0.89</v>
      </c>
      <c r="G2843" s="13">
        <v>44562</v>
      </c>
      <c r="H2843" s="13"/>
      <c r="I2843" s="22" t="str">
        <f>VLOOKUP(J2843, Dropdowns!N:O, 2, FALSE)</f>
        <v>NA</v>
      </c>
      <c r="J2843" t="s">
        <v>780</v>
      </c>
      <c r="L2843" t="s">
        <v>739</v>
      </c>
      <c r="M2843" s="17" t="s">
        <v>736</v>
      </c>
      <c r="N2843" s="17" t="s">
        <v>736</v>
      </c>
    </row>
    <row r="2844" spans="1:17" x14ac:dyDescent="0.25">
      <c r="A2844" s="8">
        <v>995006</v>
      </c>
      <c r="B2844" s="22" t="str">
        <f>IFERROR(VLOOKUP(A2844,VLOOKUPS!$A$2:B$12589,2,FALSE),"")</f>
        <v>Italian Salad 9oz-standard</v>
      </c>
      <c r="D2844">
        <v>6</v>
      </c>
      <c r="F2844">
        <v>2.29</v>
      </c>
      <c r="G2844" s="13">
        <v>44562</v>
      </c>
      <c r="H2844" s="13"/>
      <c r="I2844" s="22" t="str">
        <f>VLOOKUP(J2844, Dropdowns!N:O, 2, FALSE)</f>
        <v>NA</v>
      </c>
      <c r="J2844" t="s">
        <v>780</v>
      </c>
      <c r="L2844" t="s">
        <v>739</v>
      </c>
      <c r="M2844" s="17" t="s">
        <v>736</v>
      </c>
      <c r="N2844" s="17" t="s">
        <v>736</v>
      </c>
    </row>
    <row r="2845" spans="1:17" x14ac:dyDescent="0.25">
      <c r="A2845" s="8">
        <v>995007</v>
      </c>
      <c r="B2845" s="22" t="str">
        <f>IFERROR(VLOOKUP(A2845,VLOOKUPS!$A$2:B$12589,2,FALSE),"")</f>
        <v>Caesar Salad Kit 10.5oz-standard</v>
      </c>
      <c r="D2845">
        <v>12</v>
      </c>
      <c r="F2845">
        <v>2.59</v>
      </c>
      <c r="G2845" s="13">
        <v>44562</v>
      </c>
      <c r="H2845" s="13"/>
      <c r="I2845" s="22" t="str">
        <f>VLOOKUP(J2845, Dropdowns!N:O, 2, FALSE)</f>
        <v>NA</v>
      </c>
      <c r="J2845" t="s">
        <v>780</v>
      </c>
      <c r="L2845" t="s">
        <v>739</v>
      </c>
      <c r="M2845" s="17" t="s">
        <v>736</v>
      </c>
      <c r="N2845" s="17" t="s">
        <v>736</v>
      </c>
    </row>
    <row r="2846" spans="1:17" x14ac:dyDescent="0.25">
      <c r="A2846" s="8">
        <v>995008</v>
      </c>
      <c r="B2846" s="22" t="str">
        <f>IFERROR(VLOOKUP(A2846,VLOOKUPS!$A$2:B$12589,2,FALSE),"")</f>
        <v>Shredded Lettuce 8oz-standard</v>
      </c>
      <c r="D2846">
        <v>12</v>
      </c>
      <c r="F2846">
        <v>1.29</v>
      </c>
      <c r="G2846" s="13">
        <v>44562</v>
      </c>
      <c r="H2846" s="13"/>
      <c r="I2846" s="22" t="str">
        <f>VLOOKUP(J2846, Dropdowns!N:O, 2, FALSE)</f>
        <v>NA</v>
      </c>
      <c r="J2846" t="s">
        <v>780</v>
      </c>
      <c r="L2846" t="s">
        <v>739</v>
      </c>
      <c r="M2846" s="17" t="s">
        <v>736</v>
      </c>
      <c r="N2846" s="17" t="s">
        <v>736</v>
      </c>
    </row>
    <row r="2847" spans="1:17" x14ac:dyDescent="0.25">
      <c r="A2847" s="8">
        <v>995009</v>
      </c>
      <c r="B2847" s="22" t="str">
        <f>IFERROR(VLOOKUP(A2847,VLOOKUPS!$A$2:B$12589,2,FALSE),"")</f>
        <v>Classic Coleslaw 14oz-standard</v>
      </c>
      <c r="D2847">
        <v>12</v>
      </c>
      <c r="F2847">
        <v>1.59</v>
      </c>
      <c r="G2847" s="13">
        <v>44562</v>
      </c>
      <c r="H2847" s="13"/>
      <c r="I2847" s="22" t="str">
        <f>VLOOKUP(J2847, Dropdowns!N:O, 2, FALSE)</f>
        <v>NA</v>
      </c>
      <c r="J2847" t="s">
        <v>780</v>
      </c>
      <c r="L2847" t="s">
        <v>739</v>
      </c>
      <c r="M2847" s="17" t="s">
        <v>9</v>
      </c>
      <c r="N2847" s="17" t="s">
        <v>736</v>
      </c>
    </row>
    <row r="2848" spans="1:17" x14ac:dyDescent="0.25">
      <c r="A2848" s="8">
        <v>995009</v>
      </c>
      <c r="B2848" s="22" t="str">
        <f>IFERROR(VLOOKUP(A2848,VLOOKUPS!$A$2:B$12589,2,FALSE),"")</f>
        <v>Classic Coleslaw 14oz-standard</v>
      </c>
      <c r="D2848">
        <v>12</v>
      </c>
      <c r="F2848">
        <v>1.39</v>
      </c>
      <c r="G2848" s="13">
        <v>44562</v>
      </c>
      <c r="H2848" s="13"/>
      <c r="I2848" s="22" t="str">
        <f>VLOOKUP(J2848, Dropdowns!N:O, 2, FALSE)</f>
        <v>NA</v>
      </c>
      <c r="J2848" t="s">
        <v>780</v>
      </c>
      <c r="L2848" t="s">
        <v>739</v>
      </c>
      <c r="M2848" s="17" t="s">
        <v>11</v>
      </c>
      <c r="N2848" s="17" t="s">
        <v>740</v>
      </c>
    </row>
    <row r="2849" spans="1:14" x14ac:dyDescent="0.25">
      <c r="A2849" s="8">
        <v>995009</v>
      </c>
      <c r="B2849" s="22" t="str">
        <f>IFERROR(VLOOKUP(A2849,VLOOKUPS!$A$2:B$12589,2,FALSE),"")</f>
        <v>Classic Coleslaw 14oz-standard</v>
      </c>
      <c r="D2849">
        <v>12</v>
      </c>
      <c r="F2849">
        <v>1.39</v>
      </c>
      <c r="G2849" s="13">
        <v>44562</v>
      </c>
      <c r="H2849" s="13"/>
      <c r="I2849" s="22" t="str">
        <f>VLOOKUP(J2849, Dropdowns!N:O, 2, FALSE)</f>
        <v>NA</v>
      </c>
      <c r="J2849" t="s">
        <v>780</v>
      </c>
      <c r="L2849" t="s">
        <v>739</v>
      </c>
      <c r="M2849" s="17" t="s">
        <v>10</v>
      </c>
      <c r="N2849" s="17" t="s">
        <v>740</v>
      </c>
    </row>
    <row r="2850" spans="1:14" x14ac:dyDescent="0.25">
      <c r="A2850" s="8">
        <v>995009</v>
      </c>
      <c r="B2850" s="22" t="str">
        <f>IFERROR(VLOOKUP(A2850,VLOOKUPS!$A$2:B$12589,2,FALSE),"")</f>
        <v>Classic Coleslaw 14oz-standard</v>
      </c>
      <c r="D2850">
        <v>12</v>
      </c>
      <c r="F2850">
        <v>1.59</v>
      </c>
      <c r="G2850" s="13">
        <v>44562</v>
      </c>
      <c r="H2850" s="13"/>
      <c r="I2850" s="22" t="str">
        <f>VLOOKUP(J2850, Dropdowns!N:O, 2, FALSE)</f>
        <v>NA</v>
      </c>
      <c r="J2850" t="s">
        <v>780</v>
      </c>
      <c r="L2850" t="s">
        <v>739</v>
      </c>
      <c r="M2850" s="17" t="s">
        <v>10</v>
      </c>
      <c r="N2850" s="17">
        <v>2</v>
      </c>
    </row>
    <row r="2851" spans="1:14" x14ac:dyDescent="0.25">
      <c r="A2851" s="8">
        <v>995013</v>
      </c>
      <c r="B2851" s="22" t="str">
        <f>IFERROR(VLOOKUP(A2851,VLOOKUPS!$A$2:B$12589,2,FALSE),"")</f>
        <v>Spinach 8oz-standard</v>
      </c>
      <c r="D2851">
        <v>12</v>
      </c>
      <c r="F2851">
        <v>1.29</v>
      </c>
      <c r="G2851" s="13">
        <v>44562</v>
      </c>
      <c r="H2851" s="13"/>
      <c r="I2851" s="22" t="str">
        <f>VLOOKUP(J2851, Dropdowns!N:O, 2, FALSE)</f>
        <v>NA</v>
      </c>
      <c r="J2851" t="s">
        <v>780</v>
      </c>
      <c r="L2851" t="s">
        <v>739</v>
      </c>
      <c r="M2851" s="17" t="s">
        <v>736</v>
      </c>
      <c r="N2851" s="17" t="s">
        <v>736</v>
      </c>
    </row>
    <row r="2852" spans="1:14" x14ac:dyDescent="0.25">
      <c r="A2852" s="8">
        <v>995021</v>
      </c>
      <c r="B2852" s="22" t="str">
        <f>IFERROR(VLOOKUP(A2852,VLOOKUPS!$A$2:B$12589,2,FALSE),"")</f>
        <v>Chopped Bacon Caesar Kit 10.2oz-standard</v>
      </c>
      <c r="D2852">
        <v>6</v>
      </c>
      <c r="F2852">
        <v>3.49</v>
      </c>
      <c r="G2852" s="13">
        <v>44562</v>
      </c>
      <c r="H2852" s="13"/>
      <c r="I2852" s="22" t="str">
        <f>VLOOKUP(J2852, Dropdowns!N:O, 2, FALSE)</f>
        <v>NA</v>
      </c>
      <c r="J2852" t="s">
        <v>780</v>
      </c>
      <c r="L2852" t="s">
        <v>739</v>
      </c>
      <c r="M2852" s="17" t="s">
        <v>736</v>
      </c>
      <c r="N2852" s="17" t="s">
        <v>736</v>
      </c>
    </row>
    <row r="2853" spans="1:14" x14ac:dyDescent="0.25">
      <c r="A2853" s="8">
        <v>995022</v>
      </c>
      <c r="B2853" s="22" t="str">
        <f>IFERROR(VLOOKUP(A2853,VLOOKUPS!$A$2:B$12589,2,FALSE),"")</f>
        <v>American Blend 12oz-standard</v>
      </c>
      <c r="D2853">
        <v>6</v>
      </c>
      <c r="F2853">
        <v>1.99</v>
      </c>
      <c r="G2853" s="13">
        <v>44562</v>
      </c>
      <c r="H2853" s="13"/>
      <c r="I2853" s="22" t="str">
        <f>VLOOKUP(J2853, Dropdowns!N:O, 2, FALSE)</f>
        <v>NA</v>
      </c>
      <c r="J2853" t="s">
        <v>780</v>
      </c>
      <c r="L2853" t="s">
        <v>739</v>
      </c>
      <c r="M2853" s="17" t="s">
        <v>736</v>
      </c>
      <c r="N2853" s="17" t="s">
        <v>736</v>
      </c>
    </row>
    <row r="2854" spans="1:14" x14ac:dyDescent="0.25">
      <c r="A2854" s="8">
        <v>995032</v>
      </c>
      <c r="B2854" s="22" t="str">
        <f>IFERROR(VLOOKUP(A2854,VLOOKUPS!$A$2:B$12589,2,FALSE),"")</f>
        <v>Chopped Sunflower Crunch Kit 12.2oz-standard</v>
      </c>
      <c r="D2854">
        <v>6</v>
      </c>
      <c r="F2854">
        <v>3.49</v>
      </c>
      <c r="G2854" s="13">
        <v>44562</v>
      </c>
      <c r="H2854" s="13"/>
      <c r="I2854" s="22" t="str">
        <f>VLOOKUP(J2854, Dropdowns!N:O, 2, FALSE)</f>
        <v>NA</v>
      </c>
      <c r="J2854" t="s">
        <v>780</v>
      </c>
      <c r="L2854" t="s">
        <v>739</v>
      </c>
      <c r="M2854" s="17" t="s">
        <v>736</v>
      </c>
      <c r="N2854" s="17" t="s">
        <v>736</v>
      </c>
    </row>
    <row r="2855" spans="1:14" x14ac:dyDescent="0.25">
      <c r="A2855" s="8">
        <v>995100</v>
      </c>
      <c r="B2855" s="22" t="str">
        <f>IFERROR(VLOOKUP(A2855,VLOOKUPS!$A$2:B$12589,2,FALSE),"")</f>
        <v>Asian Chopped Salad Kit 12oz-standard</v>
      </c>
      <c r="D2855">
        <v>6</v>
      </c>
      <c r="F2855">
        <v>3.49</v>
      </c>
      <c r="G2855" s="13">
        <v>44562</v>
      </c>
      <c r="H2855" s="13"/>
      <c r="I2855" s="22" t="str">
        <f>VLOOKUP(J2855, Dropdowns!N:O, 2, FALSE)</f>
        <v>NA</v>
      </c>
      <c r="J2855" t="s">
        <v>780</v>
      </c>
      <c r="L2855" t="s">
        <v>739</v>
      </c>
      <c r="M2855" s="17" t="s">
        <v>736</v>
      </c>
      <c r="N2855" s="17" t="s">
        <v>736</v>
      </c>
    </row>
    <row r="2856" spans="1:14" x14ac:dyDescent="0.25">
      <c r="A2856" s="8">
        <v>995101</v>
      </c>
      <c r="B2856" s="22" t="str">
        <f>IFERROR(VLOOKUP(A2856,VLOOKUPS!$A$2:B$12589,2,FALSE),"")</f>
        <v>Avocado Ranch Salad Kit 11.3oz-standard</v>
      </c>
      <c r="D2856">
        <v>6</v>
      </c>
      <c r="F2856">
        <v>3.49</v>
      </c>
      <c r="G2856" s="13">
        <v>44562</v>
      </c>
      <c r="H2856" s="13"/>
      <c r="I2856" s="22" t="str">
        <f>VLOOKUP(J2856, Dropdowns!N:O, 2, FALSE)</f>
        <v>NA</v>
      </c>
      <c r="J2856" t="s">
        <v>780</v>
      </c>
      <c r="L2856" t="s">
        <v>739</v>
      </c>
      <c r="M2856" s="17" t="s">
        <v>736</v>
      </c>
      <c r="N2856" s="17" t="s">
        <v>736</v>
      </c>
    </row>
    <row r="2857" spans="1:14" x14ac:dyDescent="0.25">
      <c r="A2857" s="8">
        <v>983103</v>
      </c>
      <c r="B2857" s="22" t="str">
        <f>IFERROR(VLOOKUP(A2857,VLOOKUPS!$A$2:B$12589,2,FALSE),"")</f>
        <v>MelonsGolden Canary 1ct.-LOOSE</v>
      </c>
      <c r="E2857">
        <v>3.98</v>
      </c>
      <c r="F2857">
        <v>2.98</v>
      </c>
      <c r="G2857" s="13">
        <v>44565</v>
      </c>
      <c r="H2857" s="13">
        <v>44566</v>
      </c>
      <c r="I2857" s="22" t="str">
        <f>VLOOKUP(J2857, Dropdowns!N:O, 2, FALSE)</f>
        <v>Lower Price</v>
      </c>
      <c r="J2857" t="s">
        <v>759</v>
      </c>
      <c r="L2857" s="17" t="s">
        <v>732</v>
      </c>
      <c r="M2857" s="17" t="s">
        <v>738</v>
      </c>
      <c r="N2857" s="17">
        <v>2</v>
      </c>
    </row>
    <row r="2858" spans="1:14" x14ac:dyDescent="0.25">
      <c r="A2858" s="8">
        <v>983103</v>
      </c>
      <c r="B2858" s="22" t="str">
        <f>IFERROR(VLOOKUP(A2858,VLOOKUPS!$A$2:B$12589,2,FALSE),"")</f>
        <v>MelonsGolden Canary 1ct.-LOOSE</v>
      </c>
      <c r="E2858">
        <v>2.98</v>
      </c>
      <c r="F2858">
        <v>3.98</v>
      </c>
      <c r="G2858" s="13">
        <v>44567</v>
      </c>
      <c r="H2858" s="13"/>
      <c r="I2858" s="22" t="str">
        <f>VLOOKUP(J2858, Dropdowns!N:O, 2, FALSE)</f>
        <v>Standard</v>
      </c>
      <c r="J2858" t="s">
        <v>760</v>
      </c>
      <c r="L2858" s="17" t="s">
        <v>732</v>
      </c>
      <c r="M2858" s="17" t="s">
        <v>738</v>
      </c>
      <c r="N2858" s="17">
        <v>2</v>
      </c>
    </row>
    <row r="2859" spans="1:14" x14ac:dyDescent="0.25">
      <c r="A2859" s="8">
        <v>984500</v>
      </c>
      <c r="B2859" s="22" t="str">
        <f>IFERROR(VLOOKUP(A2859,VLOOKUPS!$A$2:B$12589,2,FALSE),"")</f>
        <v>Organic Strawberries 1lb-standard</v>
      </c>
      <c r="E2859">
        <v>4.9800000000000004</v>
      </c>
      <c r="F2859">
        <v>3.48</v>
      </c>
      <c r="G2859" s="13">
        <v>44565</v>
      </c>
      <c r="H2859" s="13">
        <v>44566</v>
      </c>
      <c r="I2859" s="22" t="str">
        <f>VLOOKUP(J2859, Dropdowns!N:O, 2, FALSE)</f>
        <v>Lower Price</v>
      </c>
      <c r="J2859" t="s">
        <v>759</v>
      </c>
      <c r="L2859" s="17" t="s">
        <v>732</v>
      </c>
      <c r="M2859" s="17" t="s">
        <v>10</v>
      </c>
      <c r="N2859" s="17">
        <v>2</v>
      </c>
    </row>
    <row r="2860" spans="1:14" x14ac:dyDescent="0.25">
      <c r="A2860" s="8">
        <v>984500</v>
      </c>
      <c r="B2860" s="22" t="str">
        <f>IFERROR(VLOOKUP(A2860,VLOOKUPS!$A$2:B$12589,2,FALSE),"")</f>
        <v>Organic Strawberries 1lb-standard</v>
      </c>
      <c r="E2860">
        <v>3.48</v>
      </c>
      <c r="F2860">
        <v>4.9800000000000004</v>
      </c>
      <c r="G2860" s="13">
        <v>44567</v>
      </c>
      <c r="H2860" s="13"/>
      <c r="I2860" s="22" t="str">
        <f>VLOOKUP(J2860, Dropdowns!N:O, 2, FALSE)</f>
        <v>Standard</v>
      </c>
      <c r="J2860" t="s">
        <v>760</v>
      </c>
      <c r="L2860" s="17" t="s">
        <v>732</v>
      </c>
      <c r="M2860" s="17" t="s">
        <v>10</v>
      </c>
      <c r="N2860" s="17">
        <v>2</v>
      </c>
    </row>
    <row r="2861" spans="1:14" x14ac:dyDescent="0.25">
      <c r="A2861" s="8">
        <v>984541</v>
      </c>
      <c r="B2861" s="22" t="str">
        <f>IFERROR(VLOOKUP(A2861,VLOOKUPS!$A$2:B$12589,2,FALSE),"")</f>
        <v>Blueberries 1pt-standard</v>
      </c>
      <c r="E2861">
        <v>2.7</v>
      </c>
      <c r="F2861">
        <v>1.7</v>
      </c>
      <c r="G2861" s="13">
        <v>44565</v>
      </c>
      <c r="H2861" s="13">
        <v>44566</v>
      </c>
      <c r="I2861" s="22" t="str">
        <f>VLOOKUP(J2861, Dropdowns!N:O, 2, FALSE)</f>
        <v>Lower Price</v>
      </c>
      <c r="J2861" t="s">
        <v>759</v>
      </c>
      <c r="L2861" s="17" t="s">
        <v>732</v>
      </c>
      <c r="M2861" s="17" t="s">
        <v>738</v>
      </c>
      <c r="N2861" s="17">
        <v>2</v>
      </c>
    </row>
    <row r="2862" spans="1:14" x14ac:dyDescent="0.25">
      <c r="A2862" s="8">
        <v>984541</v>
      </c>
      <c r="B2862" s="22" t="str">
        <f>IFERROR(VLOOKUP(A2862,VLOOKUPS!$A$2:B$12589,2,FALSE),"")</f>
        <v>Blueberries 1pt-standard</v>
      </c>
      <c r="E2862">
        <v>1.7</v>
      </c>
      <c r="F2862">
        <v>2.7</v>
      </c>
      <c r="G2862" s="13">
        <v>44567</v>
      </c>
      <c r="H2862" s="13"/>
      <c r="I2862" s="22" t="str">
        <f>VLOOKUP(J2862, Dropdowns!N:O, 2, FALSE)</f>
        <v>Standard</v>
      </c>
      <c r="J2862" t="s">
        <v>760</v>
      </c>
      <c r="L2862" s="17" t="s">
        <v>732</v>
      </c>
      <c r="M2862" s="17" t="s">
        <v>738</v>
      </c>
      <c r="N2862" s="17">
        <v>2</v>
      </c>
    </row>
    <row r="2863" spans="1:14" x14ac:dyDescent="0.25">
      <c r="A2863" s="8">
        <v>984542</v>
      </c>
      <c r="B2863" s="22" t="str">
        <f>IFERROR(VLOOKUP(A2863,VLOOKUPS!$A$2:B$12589,2,FALSE),"")</f>
        <v>Blueberries 18oz-standard</v>
      </c>
      <c r="E2863">
        <v>4.18</v>
      </c>
      <c r="F2863">
        <v>2.98</v>
      </c>
      <c r="G2863" s="13">
        <v>44565</v>
      </c>
      <c r="H2863" s="13">
        <v>44566</v>
      </c>
      <c r="I2863" s="22" t="str">
        <f>VLOOKUP(J2863, Dropdowns!N:O, 2, FALSE)</f>
        <v>Lower Price</v>
      </c>
      <c r="J2863" t="s">
        <v>759</v>
      </c>
      <c r="L2863" s="17" t="s">
        <v>733</v>
      </c>
      <c r="M2863" s="17" t="s">
        <v>11</v>
      </c>
      <c r="N2863" s="17" t="s">
        <v>740</v>
      </c>
    </row>
    <row r="2864" spans="1:14" x14ac:dyDescent="0.25">
      <c r="A2864" s="8">
        <v>984542</v>
      </c>
      <c r="B2864" s="22" t="str">
        <f>IFERROR(VLOOKUP(A2864,VLOOKUPS!$A$2:B$12589,2,FALSE),"")</f>
        <v>Blueberries 18oz-standard</v>
      </c>
      <c r="E2864">
        <v>2.98</v>
      </c>
      <c r="F2864">
        <v>4.18</v>
      </c>
      <c r="G2864" s="13">
        <v>44567</v>
      </c>
      <c r="H2864" s="13"/>
      <c r="I2864" s="22" t="str">
        <f>VLOOKUP(J2864, Dropdowns!N:O, 2, FALSE)</f>
        <v>Standard</v>
      </c>
      <c r="J2864" t="s">
        <v>760</v>
      </c>
      <c r="L2864" s="17" t="s">
        <v>733</v>
      </c>
      <c r="M2864" s="17" t="s">
        <v>11</v>
      </c>
      <c r="N2864" s="17" t="s">
        <v>740</v>
      </c>
    </row>
    <row r="2865" spans="1:14" x14ac:dyDescent="0.25">
      <c r="A2865" s="8">
        <v>985760</v>
      </c>
      <c r="B2865" s="22" t="str">
        <f>IFERROR(VLOOKUP(A2865,VLOOKUPS!$A$2:B$12589,2,FALSE),"")</f>
        <v>Asparagus 1lb-standard</v>
      </c>
      <c r="E2865">
        <v>2.99</v>
      </c>
      <c r="F2865">
        <v>1.99</v>
      </c>
      <c r="G2865" s="13">
        <v>44565</v>
      </c>
      <c r="H2865" s="13">
        <v>44566</v>
      </c>
      <c r="I2865" s="22" t="str">
        <f>VLOOKUP(J2865, Dropdowns!N:O, 2, FALSE)</f>
        <v>Lower Price</v>
      </c>
      <c r="J2865" t="s">
        <v>759</v>
      </c>
      <c r="L2865" s="17" t="s">
        <v>732</v>
      </c>
      <c r="M2865" s="17" t="s">
        <v>736</v>
      </c>
      <c r="N2865" s="17" t="s">
        <v>736</v>
      </c>
    </row>
    <row r="2866" spans="1:14" x14ac:dyDescent="0.25">
      <c r="A2866" s="8">
        <v>985760</v>
      </c>
      <c r="B2866" s="22" t="str">
        <f>IFERROR(VLOOKUP(A2866,VLOOKUPS!$A$2:B$12589,2,FALSE),"")</f>
        <v>Asparagus 1lb-standard</v>
      </c>
      <c r="E2866">
        <v>1.99</v>
      </c>
      <c r="F2866">
        <v>2.99</v>
      </c>
      <c r="G2866" s="13">
        <v>44567</v>
      </c>
      <c r="H2866" s="13"/>
      <c r="I2866" s="22" t="str">
        <f>VLOOKUP(J2866, Dropdowns!N:O, 2, FALSE)</f>
        <v>Standard</v>
      </c>
      <c r="J2866" t="s">
        <v>760</v>
      </c>
      <c r="L2866" s="17" t="s">
        <v>732</v>
      </c>
      <c r="M2866" s="17" t="s">
        <v>736</v>
      </c>
      <c r="N2866" s="17" t="s">
        <v>736</v>
      </c>
    </row>
    <row r="2867" spans="1:14" x14ac:dyDescent="0.25">
      <c r="A2867" s="8">
        <v>984460</v>
      </c>
      <c r="B2867" s="22" t="str">
        <f>IFERROR(VLOOKUP(A2867,VLOOKUPS!$A$2:B$12589,2,FALSE),"")</f>
        <v>Strawberries 1lb-standard</v>
      </c>
      <c r="G2867" s="13">
        <v>44566</v>
      </c>
      <c r="H2867" s="13">
        <v>44566</v>
      </c>
      <c r="I2867" s="22" t="str">
        <f>VLOOKUP(J2867, Dropdowns!N:O, 2, FALSE)</f>
        <v>Lower Price</v>
      </c>
      <c r="J2867" t="s">
        <v>762</v>
      </c>
      <c r="L2867" s="17" t="s">
        <v>732</v>
      </c>
      <c r="M2867" s="17" t="s">
        <v>10</v>
      </c>
      <c r="N2867" s="17">
        <v>2</v>
      </c>
    </row>
    <row r="2868" spans="1:14" x14ac:dyDescent="0.25">
      <c r="A2868" s="8">
        <v>986250</v>
      </c>
      <c r="B2868" s="22" t="str">
        <f>IFERROR(VLOOKUP(A2868,VLOOKUPS!$A$2:B$12589,2,FALSE),"")</f>
        <v>French Beans 1lb-standard</v>
      </c>
      <c r="G2868" s="13">
        <v>44566</v>
      </c>
      <c r="H2868" s="13">
        <v>44566</v>
      </c>
      <c r="I2868" s="22" t="str">
        <f>VLOOKUP(J2868, Dropdowns!N:O, 2, FALSE)</f>
        <v>Lower Price</v>
      </c>
      <c r="J2868" t="s">
        <v>762</v>
      </c>
      <c r="L2868" s="17" t="s">
        <v>732</v>
      </c>
      <c r="M2868" s="17" t="s">
        <v>735</v>
      </c>
      <c r="N2868" s="17" t="s">
        <v>736</v>
      </c>
    </row>
    <row r="2869" spans="1:14" x14ac:dyDescent="0.25">
      <c r="A2869" s="8">
        <v>984700</v>
      </c>
      <c r="B2869" s="22" t="str">
        <f>IFERROR(VLOOKUP(A2869,VLOOKUPS!$A$2:B$12589,2,FALSE),"")</f>
        <v>Blackberries 6oz-standard</v>
      </c>
      <c r="G2869" s="13">
        <v>44566</v>
      </c>
      <c r="H2869" s="13">
        <v>44572</v>
      </c>
      <c r="I2869" s="22" t="str">
        <f>VLOOKUP(J2869, Dropdowns!N:O, 2, FALSE)</f>
        <v>Lower Price</v>
      </c>
      <c r="J2869" t="s">
        <v>753</v>
      </c>
      <c r="L2869" s="17" t="s">
        <v>732</v>
      </c>
      <c r="M2869" s="17" t="s">
        <v>736</v>
      </c>
      <c r="N2869" s="17" t="s">
        <v>736</v>
      </c>
    </row>
    <row r="2870" spans="1:14" x14ac:dyDescent="0.25">
      <c r="A2870" s="8">
        <v>985011</v>
      </c>
      <c r="B2870" s="22" t="str">
        <f>IFERROR(VLOOKUP(A2870,VLOOKUPS!$A$2:B$12589,2,FALSE),"")</f>
        <v>Lettuce Butter 1ct-standard</v>
      </c>
      <c r="G2870" s="13">
        <v>44566</v>
      </c>
      <c r="H2870" s="13">
        <v>44572</v>
      </c>
      <c r="I2870" s="22" t="str">
        <f>VLOOKUP(J2870, Dropdowns!N:O, 2, FALSE)</f>
        <v>Lower Price</v>
      </c>
      <c r="J2870" t="s">
        <v>753</v>
      </c>
      <c r="L2870" s="17" t="s">
        <v>732</v>
      </c>
      <c r="M2870" s="17" t="s">
        <v>736</v>
      </c>
      <c r="N2870" s="17" t="s">
        <v>736</v>
      </c>
    </row>
    <row r="2871" spans="1:14" x14ac:dyDescent="0.25">
      <c r="A2871" s="8">
        <v>984460</v>
      </c>
      <c r="B2871" s="22" t="str">
        <f>IFERROR(VLOOKUP(A2871,VLOOKUPS!$A$2:B$12589,2,FALSE),"")</f>
        <v>Strawberries 1lb-standard</v>
      </c>
      <c r="E2871">
        <v>2.79</v>
      </c>
      <c r="F2871">
        <v>3.99</v>
      </c>
      <c r="G2871" s="13">
        <v>44566</v>
      </c>
      <c r="H2871" s="13"/>
      <c r="I2871" s="22" t="str">
        <f>VLOOKUP(J2871, Dropdowns!N:O, 2, FALSE)</f>
        <v>Standard</v>
      </c>
      <c r="J2871" t="s">
        <v>760</v>
      </c>
      <c r="L2871" s="17" t="s">
        <v>732</v>
      </c>
      <c r="M2871" s="17" t="s">
        <v>737</v>
      </c>
      <c r="N2871" s="17" t="s">
        <v>736</v>
      </c>
    </row>
    <row r="2872" spans="1:14" x14ac:dyDescent="0.25">
      <c r="A2872" s="8">
        <v>986250</v>
      </c>
      <c r="B2872" s="22" t="str">
        <f>IFERROR(VLOOKUP(A2872,VLOOKUPS!$A$2:B$12589,2,FALSE),"")</f>
        <v>French Beans 1lb-standard</v>
      </c>
      <c r="E2872">
        <v>1.89</v>
      </c>
      <c r="F2872">
        <v>2.99</v>
      </c>
      <c r="G2872" s="13">
        <v>44566</v>
      </c>
      <c r="H2872" s="13"/>
      <c r="I2872" s="22" t="str">
        <f>VLOOKUP(J2872, Dropdowns!N:O, 2, FALSE)</f>
        <v>Standard</v>
      </c>
      <c r="J2872" t="s">
        <v>760</v>
      </c>
      <c r="L2872" s="17" t="s">
        <v>733</v>
      </c>
      <c r="M2872" s="17" t="s">
        <v>11</v>
      </c>
      <c r="N2872" s="17" t="s">
        <v>740</v>
      </c>
    </row>
    <row r="2873" spans="1:14" x14ac:dyDescent="0.25">
      <c r="A2873" s="8">
        <v>984542</v>
      </c>
      <c r="B2873" s="22" t="str">
        <f>IFERROR(VLOOKUP(A2873,VLOOKUPS!$A$2:B$12589,2,FALSE),"")</f>
        <v>Blueberries 18oz-standard</v>
      </c>
      <c r="E2873">
        <v>4.18</v>
      </c>
      <c r="F2873">
        <v>3.18</v>
      </c>
      <c r="G2873" s="13">
        <v>44567</v>
      </c>
      <c r="H2873" s="13">
        <v>44568</v>
      </c>
      <c r="I2873" s="22" t="str">
        <f>VLOOKUP(J2873, Dropdowns!N:O, 2, FALSE)</f>
        <v>Lower Price</v>
      </c>
      <c r="J2873" t="s">
        <v>759</v>
      </c>
      <c r="L2873" s="17" t="s">
        <v>732</v>
      </c>
      <c r="M2873" s="17" t="s">
        <v>9</v>
      </c>
      <c r="N2873" s="17" t="s">
        <v>736</v>
      </c>
    </row>
    <row r="2874" spans="1:14" x14ac:dyDescent="0.25">
      <c r="A2874" s="8">
        <v>984542</v>
      </c>
      <c r="B2874" s="22" t="str">
        <f>IFERROR(VLOOKUP(A2874,VLOOKUPS!$A$2:B$12589,2,FALSE),"")</f>
        <v>Blueberries 18oz-standard</v>
      </c>
      <c r="E2874">
        <v>3.18</v>
      </c>
      <c r="F2874">
        <v>4.18</v>
      </c>
      <c r="G2874" s="13">
        <v>44569</v>
      </c>
      <c r="H2874" s="13"/>
      <c r="I2874" s="22" t="str">
        <f>VLOOKUP(J2874, Dropdowns!N:O, 2, FALSE)</f>
        <v>Standard</v>
      </c>
      <c r="J2874" t="s">
        <v>760</v>
      </c>
      <c r="L2874" s="17" t="s">
        <v>732</v>
      </c>
      <c r="M2874" s="17" t="s">
        <v>9</v>
      </c>
      <c r="N2874" s="17" t="s">
        <v>736</v>
      </c>
    </row>
    <row r="2875" spans="1:14" x14ac:dyDescent="0.25">
      <c r="A2875" s="8">
        <v>984621</v>
      </c>
      <c r="B2875" s="22" t="str">
        <f>IFERROR(VLOOKUP(A2875,VLOOKUPS!$A$2:B$12589,2,FALSE),"")</f>
        <v>Raspberries 12oz-standard</v>
      </c>
      <c r="E2875">
        <v>4.74</v>
      </c>
      <c r="F2875">
        <v>3.74</v>
      </c>
      <c r="G2875" s="13">
        <v>44567</v>
      </c>
      <c r="H2875" s="13">
        <v>44568</v>
      </c>
      <c r="I2875" s="22" t="str">
        <f>VLOOKUP(J2875, Dropdowns!N:O, 2, FALSE)</f>
        <v>Lower Price</v>
      </c>
      <c r="J2875" t="s">
        <v>759</v>
      </c>
      <c r="L2875" s="17" t="s">
        <v>732</v>
      </c>
      <c r="M2875" s="17" t="s">
        <v>9</v>
      </c>
      <c r="N2875" s="17" t="s">
        <v>736</v>
      </c>
    </row>
    <row r="2876" spans="1:14" x14ac:dyDescent="0.25">
      <c r="A2876" s="8">
        <v>984621</v>
      </c>
      <c r="B2876" s="22" t="str">
        <f>IFERROR(VLOOKUP(A2876,VLOOKUPS!$A$2:B$12589,2,FALSE),"")</f>
        <v>Raspberries 12oz-standard</v>
      </c>
      <c r="E2876">
        <v>3.74</v>
      </c>
      <c r="F2876">
        <v>4.74</v>
      </c>
      <c r="G2876" s="13">
        <v>44569</v>
      </c>
      <c r="H2876" s="13"/>
      <c r="I2876" s="22" t="str">
        <f>VLOOKUP(J2876, Dropdowns!N:O, 2, FALSE)</f>
        <v>Standard</v>
      </c>
      <c r="J2876" t="s">
        <v>760</v>
      </c>
      <c r="L2876" s="17" t="s">
        <v>732</v>
      </c>
      <c r="M2876" s="17" t="s">
        <v>9</v>
      </c>
      <c r="N2876" s="17" t="s">
        <v>736</v>
      </c>
    </row>
    <row r="2877" spans="1:14" x14ac:dyDescent="0.25">
      <c r="A2877" s="8">
        <v>984780</v>
      </c>
      <c r="B2877" s="22" t="str">
        <f>IFERROR(VLOOKUP(A2877,VLOOKUPS!$A$2:B$12589,2,FALSE),"")</f>
        <v>Cranberries 12oz-standard</v>
      </c>
      <c r="D2877">
        <v>24</v>
      </c>
      <c r="E2877">
        <v>1.49</v>
      </c>
      <c r="G2877" s="13">
        <v>44567</v>
      </c>
      <c r="H2877" s="13"/>
      <c r="I2877" s="22" t="str">
        <f>VLOOKUP(J2877, Dropdowns!N:O, 2, FALSE)</f>
        <v>NA</v>
      </c>
      <c r="J2877" t="s">
        <v>754</v>
      </c>
      <c r="L2877" s="17" t="s">
        <v>732</v>
      </c>
      <c r="M2877" s="17" t="s">
        <v>736</v>
      </c>
      <c r="N2877" s="17" t="s">
        <v>736</v>
      </c>
    </row>
    <row r="2878" spans="1:14" x14ac:dyDescent="0.25">
      <c r="A2878" s="8">
        <v>995084</v>
      </c>
      <c r="B2878" s="22" t="str">
        <f>IFERROR(VLOOKUP(A2878,VLOOKUPS!$A$2:B$12589,2,FALSE),"")</f>
        <v>Eat Smart Green Beans 12oz-standard</v>
      </c>
      <c r="E2878">
        <v>2.78</v>
      </c>
      <c r="F2878">
        <v>1.78</v>
      </c>
      <c r="G2878" s="13">
        <v>44567</v>
      </c>
      <c r="H2878" s="13">
        <v>44568</v>
      </c>
      <c r="I2878" s="22" t="str">
        <f>VLOOKUP(J2878, Dropdowns!N:O, 2, FALSE)</f>
        <v>Lower Price</v>
      </c>
      <c r="J2878" t="s">
        <v>759</v>
      </c>
      <c r="L2878" s="17" t="s">
        <v>733</v>
      </c>
      <c r="M2878" s="17" t="s">
        <v>9</v>
      </c>
      <c r="N2878" s="17" t="s">
        <v>740</v>
      </c>
    </row>
    <row r="2879" spans="1:14" x14ac:dyDescent="0.25">
      <c r="A2879" s="8">
        <v>995084</v>
      </c>
      <c r="B2879" s="22" t="str">
        <f>IFERROR(VLOOKUP(A2879,VLOOKUPS!$A$2:B$12589,2,FALSE),"")</f>
        <v>Eat Smart Green Beans 12oz-standard</v>
      </c>
      <c r="E2879">
        <v>1.78</v>
      </c>
      <c r="F2879">
        <v>2.78</v>
      </c>
      <c r="G2879" s="13">
        <v>44569</v>
      </c>
      <c r="H2879" s="13"/>
      <c r="I2879" s="22" t="str">
        <f>VLOOKUP(J2879, Dropdowns!N:O, 2, FALSE)</f>
        <v>Standard</v>
      </c>
      <c r="J2879" t="s">
        <v>760</v>
      </c>
      <c r="L2879" s="17" t="s">
        <v>733</v>
      </c>
      <c r="M2879" s="17" t="s">
        <v>9</v>
      </c>
      <c r="N2879" s="17" t="s">
        <v>740</v>
      </c>
    </row>
    <row r="2880" spans="1:14" x14ac:dyDescent="0.25">
      <c r="A2880" s="8">
        <v>986250</v>
      </c>
      <c r="B2880" s="22" t="str">
        <f>IFERROR(VLOOKUP(A2880,VLOOKUPS!$A$2:B$12589,2,FALSE),"")</f>
        <v>French Beans 1lb-standard</v>
      </c>
      <c r="G2880" s="13">
        <v>44567</v>
      </c>
      <c r="H2880" s="13">
        <v>44567</v>
      </c>
      <c r="I2880" s="22" t="str">
        <f>VLOOKUP(J2880, Dropdowns!N:O, 2, FALSE)</f>
        <v>Lower Price</v>
      </c>
      <c r="J2880" t="s">
        <v>762</v>
      </c>
      <c r="L2880" s="17" t="s">
        <v>732</v>
      </c>
      <c r="M2880" s="17" t="s">
        <v>735</v>
      </c>
      <c r="N2880" s="17" t="s">
        <v>736</v>
      </c>
    </row>
    <row r="2881" spans="1:14" x14ac:dyDescent="0.25">
      <c r="A2881" s="8">
        <v>984460</v>
      </c>
      <c r="B2881" s="22" t="str">
        <f>IFERROR(VLOOKUP(A2881,VLOOKUPS!$A$2:B$12589,2,FALSE),"")</f>
        <v>Strawberries 1lb-standard</v>
      </c>
      <c r="G2881" s="13">
        <v>44567</v>
      </c>
      <c r="H2881" s="13">
        <v>44567</v>
      </c>
      <c r="I2881" s="22" t="str">
        <f>VLOOKUP(J2881, Dropdowns!N:O, 2, FALSE)</f>
        <v>Lower Price</v>
      </c>
      <c r="J2881" t="s">
        <v>762</v>
      </c>
      <c r="L2881" s="17" t="s">
        <v>732</v>
      </c>
      <c r="M2881" s="17" t="s">
        <v>10</v>
      </c>
      <c r="N2881" s="17">
        <v>2</v>
      </c>
    </row>
    <row r="2882" spans="1:14" x14ac:dyDescent="0.25">
      <c r="A2882" s="8">
        <v>983101</v>
      </c>
      <c r="B2882" s="22" t="str">
        <f>IFERROR(VLOOKUP(A2882,VLOOKUPS!$A$2:B$12589,2,FALSE),"")</f>
        <v>Melons Cantaloupes 1ct-LOOSE</v>
      </c>
      <c r="E2882">
        <v>1.99</v>
      </c>
      <c r="F2882">
        <v>2.98</v>
      </c>
      <c r="G2882" s="13">
        <v>44568</v>
      </c>
      <c r="H2882" s="13"/>
      <c r="I2882" s="22" t="str">
        <f>VLOOKUP(J2882, Dropdowns!N:O, 2, FALSE)</f>
        <v>Standard</v>
      </c>
      <c r="J2882" t="s">
        <v>760</v>
      </c>
      <c r="L2882" s="17" t="s">
        <v>732</v>
      </c>
      <c r="M2882" s="17" t="s">
        <v>736</v>
      </c>
      <c r="N2882" s="17" t="s">
        <v>736</v>
      </c>
    </row>
    <row r="2883" spans="1:14" x14ac:dyDescent="0.25">
      <c r="A2883" s="8">
        <v>983104</v>
      </c>
      <c r="B2883" s="22" t="str">
        <f>IFERROR(VLOOKUP(A2883,VLOOKUPS!$A$2:B$12589,2,FALSE),"")</f>
        <v>Melons Dino 1ct.-LOOSE</v>
      </c>
      <c r="E2883">
        <v>3.98</v>
      </c>
      <c r="F2883">
        <v>2.48</v>
      </c>
      <c r="G2883" s="13">
        <v>44568</v>
      </c>
      <c r="H2883" s="13">
        <v>44569</v>
      </c>
      <c r="I2883" s="22" t="str">
        <f>VLOOKUP(J2883, Dropdowns!N:O, 2, FALSE)</f>
        <v>Lower Price</v>
      </c>
      <c r="J2883" t="s">
        <v>759</v>
      </c>
      <c r="L2883" s="17" t="s">
        <v>732</v>
      </c>
      <c r="M2883" s="17" t="s">
        <v>10</v>
      </c>
      <c r="N2883" s="17">
        <v>2</v>
      </c>
    </row>
    <row r="2884" spans="1:14" x14ac:dyDescent="0.25">
      <c r="A2884" s="8">
        <v>983104</v>
      </c>
      <c r="B2884" s="22" t="str">
        <f>IFERROR(VLOOKUP(A2884,VLOOKUPS!$A$2:B$12589,2,FALSE),"")</f>
        <v>Melons Dino 1ct.-LOOSE</v>
      </c>
      <c r="E2884">
        <v>2.48</v>
      </c>
      <c r="F2884">
        <v>3.98</v>
      </c>
      <c r="G2884" s="13">
        <v>44570</v>
      </c>
      <c r="H2884" s="13"/>
      <c r="I2884" s="22" t="str">
        <f>VLOOKUP(J2884, Dropdowns!N:O, 2, FALSE)</f>
        <v>Standard</v>
      </c>
      <c r="J2884" t="s">
        <v>760</v>
      </c>
      <c r="L2884" s="17" t="s">
        <v>732</v>
      </c>
      <c r="M2884" s="17" t="s">
        <v>10</v>
      </c>
      <c r="N2884" s="17">
        <v>2</v>
      </c>
    </row>
    <row r="2885" spans="1:14" x14ac:dyDescent="0.25">
      <c r="A2885" s="8">
        <v>984460</v>
      </c>
      <c r="B2885" s="22" t="str">
        <f>IFERROR(VLOOKUP(A2885,VLOOKUPS!$A$2:B$12589,2,FALSE),"")</f>
        <v>Strawberries 1lb-standard</v>
      </c>
      <c r="G2885" s="13">
        <v>44568</v>
      </c>
      <c r="H2885" s="13">
        <v>44568</v>
      </c>
      <c r="I2885" s="22" t="str">
        <f>VLOOKUP(J2885, Dropdowns!N:O, 2, FALSE)</f>
        <v>Lower Price</v>
      </c>
      <c r="J2885" t="s">
        <v>762</v>
      </c>
      <c r="L2885" s="17" t="s">
        <v>732</v>
      </c>
      <c r="M2885" s="17" t="s">
        <v>10</v>
      </c>
      <c r="N2885" s="17">
        <v>2</v>
      </c>
    </row>
    <row r="2886" spans="1:14" x14ac:dyDescent="0.25">
      <c r="A2886" s="8">
        <v>984461</v>
      </c>
      <c r="B2886" s="22" t="str">
        <f>IFERROR(VLOOKUP(A2886,VLOOKUPS!$A$2:B$12589,2,FALSE),"")</f>
        <v>Strawberries 2lb-standard</v>
      </c>
      <c r="E2886">
        <v>7.79</v>
      </c>
      <c r="F2886">
        <v>5.99</v>
      </c>
      <c r="G2886" s="13">
        <v>44568</v>
      </c>
      <c r="H2886" s="13">
        <v>44569</v>
      </c>
      <c r="I2886" s="22" t="str">
        <f>VLOOKUP(J2886, Dropdowns!N:O, 2, FALSE)</f>
        <v>Lower Price</v>
      </c>
      <c r="J2886" t="s">
        <v>759</v>
      </c>
      <c r="L2886" s="17" t="s">
        <v>732</v>
      </c>
      <c r="M2886" s="17" t="s">
        <v>10</v>
      </c>
      <c r="N2886" s="17">
        <v>2</v>
      </c>
    </row>
    <row r="2887" spans="1:14" x14ac:dyDescent="0.25">
      <c r="A2887" s="8">
        <v>984461</v>
      </c>
      <c r="B2887" s="22" t="str">
        <f>IFERROR(VLOOKUP(A2887,VLOOKUPS!$A$2:B$12589,2,FALSE),"")</f>
        <v>Strawberries 2lb-standard</v>
      </c>
      <c r="E2887">
        <v>5.99</v>
      </c>
      <c r="F2887">
        <v>7.79</v>
      </c>
      <c r="G2887" s="13">
        <v>44570</v>
      </c>
      <c r="H2887" s="13"/>
      <c r="I2887" s="22" t="str">
        <f>VLOOKUP(J2887, Dropdowns!N:O, 2, FALSE)</f>
        <v>Standard</v>
      </c>
      <c r="J2887" t="s">
        <v>760</v>
      </c>
      <c r="L2887" s="17" t="s">
        <v>732</v>
      </c>
      <c r="M2887" s="17" t="s">
        <v>10</v>
      </c>
      <c r="N2887" s="17">
        <v>2</v>
      </c>
    </row>
    <row r="2888" spans="1:14" x14ac:dyDescent="0.25">
      <c r="A2888" s="8">
        <v>984541</v>
      </c>
      <c r="B2888" s="22" t="str">
        <f>IFERROR(VLOOKUP(A2888,VLOOKUPS!$A$2:B$12589,2,FALSE),"")</f>
        <v>Blueberries 1pt-standard</v>
      </c>
      <c r="E2888">
        <v>2.7</v>
      </c>
      <c r="F2888">
        <v>1.5</v>
      </c>
      <c r="G2888" s="13">
        <v>44568</v>
      </c>
      <c r="H2888" s="13">
        <v>44569</v>
      </c>
      <c r="I2888" s="22" t="str">
        <f>VLOOKUP(J2888, Dropdowns!N:O, 2, FALSE)</f>
        <v>Lower Price</v>
      </c>
      <c r="J2888" t="s">
        <v>759</v>
      </c>
      <c r="L2888" s="17" t="s">
        <v>732</v>
      </c>
      <c r="M2888" s="17" t="s">
        <v>738</v>
      </c>
      <c r="N2888" s="17">
        <v>2</v>
      </c>
    </row>
    <row r="2889" spans="1:14" x14ac:dyDescent="0.25">
      <c r="A2889" s="8">
        <v>984541</v>
      </c>
      <c r="B2889" s="22" t="str">
        <f>IFERROR(VLOOKUP(A2889,VLOOKUPS!$A$2:B$12589,2,FALSE),"")</f>
        <v>Blueberries 1pt-standard</v>
      </c>
      <c r="E2889">
        <v>1.5</v>
      </c>
      <c r="F2889">
        <v>2.7</v>
      </c>
      <c r="G2889" s="13">
        <v>44570</v>
      </c>
      <c r="H2889" s="13"/>
      <c r="I2889" s="22" t="str">
        <f>VLOOKUP(J2889, Dropdowns!N:O, 2, FALSE)</f>
        <v>Standard</v>
      </c>
      <c r="J2889" t="s">
        <v>760</v>
      </c>
      <c r="L2889" s="17" t="s">
        <v>732</v>
      </c>
      <c r="M2889" s="17" t="s">
        <v>738</v>
      </c>
      <c r="N2889" s="17">
        <v>2</v>
      </c>
    </row>
    <row r="2890" spans="1:14" x14ac:dyDescent="0.25">
      <c r="A2890" s="8">
        <v>995072</v>
      </c>
      <c r="B2890" s="22" t="str">
        <f>IFERROR(VLOOKUP(A2890,VLOOKUPS!$A$2:B$12589,2,FALSE),"")</f>
        <v>Broccoli Coleslaw 12oz-standard</v>
      </c>
      <c r="E2890">
        <v>1.99</v>
      </c>
      <c r="F2890">
        <v>0.99</v>
      </c>
      <c r="G2890" s="13">
        <v>44568</v>
      </c>
      <c r="H2890" s="13">
        <v>44569</v>
      </c>
      <c r="I2890" s="22" t="str">
        <f>VLOOKUP(J2890, Dropdowns!N:O, 2, FALSE)</f>
        <v>Lower Price</v>
      </c>
      <c r="J2890" t="s">
        <v>759</v>
      </c>
      <c r="L2890" s="17" t="s">
        <v>733</v>
      </c>
      <c r="M2890" s="17" t="s">
        <v>10</v>
      </c>
      <c r="N2890" s="17" t="s">
        <v>740</v>
      </c>
    </row>
    <row r="2891" spans="1:14" x14ac:dyDescent="0.25">
      <c r="A2891" s="8">
        <v>995072</v>
      </c>
      <c r="B2891" s="22" t="str">
        <f>IFERROR(VLOOKUP(A2891,VLOOKUPS!$A$2:B$12589,2,FALSE),"")</f>
        <v>Broccoli Coleslaw 12oz-standard</v>
      </c>
      <c r="E2891">
        <v>0.99</v>
      </c>
      <c r="F2891">
        <v>1.99</v>
      </c>
      <c r="G2891" s="13">
        <v>44570</v>
      </c>
      <c r="H2891" s="13"/>
      <c r="I2891" s="22" t="str">
        <f>VLOOKUP(J2891, Dropdowns!N:O, 2, FALSE)</f>
        <v>Standard</v>
      </c>
      <c r="J2891" t="s">
        <v>760</v>
      </c>
      <c r="L2891" s="17" t="s">
        <v>733</v>
      </c>
      <c r="M2891" s="17" t="s">
        <v>10</v>
      </c>
      <c r="N2891" s="17" t="s">
        <v>740</v>
      </c>
    </row>
    <row r="2892" spans="1:14" x14ac:dyDescent="0.25">
      <c r="A2892" s="8">
        <v>986250</v>
      </c>
      <c r="B2892" s="22" t="str">
        <f>IFERROR(VLOOKUP(A2892,VLOOKUPS!$A$2:B$12589,2,FALSE),"")</f>
        <v>French Beans 1lb-standard</v>
      </c>
      <c r="G2892" s="13">
        <v>44568</v>
      </c>
      <c r="H2892" s="13">
        <v>44568</v>
      </c>
      <c r="I2892" s="22" t="str">
        <f>VLOOKUP(J2892, Dropdowns!N:O, 2, FALSE)</f>
        <v>Lower Price</v>
      </c>
      <c r="J2892" t="s">
        <v>762</v>
      </c>
      <c r="L2892" s="17" t="s">
        <v>732</v>
      </c>
      <c r="M2892" s="17" t="s">
        <v>9</v>
      </c>
      <c r="N2892" s="17" t="s">
        <v>736</v>
      </c>
    </row>
    <row r="2893" spans="1:14" x14ac:dyDescent="0.25">
      <c r="A2893" s="8">
        <v>986250</v>
      </c>
      <c r="B2893" s="22" t="str">
        <f>IFERROR(VLOOKUP(A2893,VLOOKUPS!$A$2:B$12589,2,FALSE),"")</f>
        <v>French Beans 1lb-standard</v>
      </c>
      <c r="E2893">
        <v>1.89</v>
      </c>
      <c r="F2893">
        <v>2.99</v>
      </c>
      <c r="G2893" s="13">
        <v>44568</v>
      </c>
      <c r="H2893" s="13"/>
      <c r="I2893" s="22" t="str">
        <f>VLOOKUP(J2893, Dropdowns!N:O, 2, FALSE)</f>
        <v>Standard</v>
      </c>
      <c r="J2893" t="s">
        <v>760</v>
      </c>
      <c r="L2893" s="17" t="s">
        <v>732</v>
      </c>
      <c r="M2893" s="17" t="s">
        <v>10</v>
      </c>
      <c r="N2893" s="17">
        <v>2</v>
      </c>
    </row>
    <row r="2894" spans="1:14" x14ac:dyDescent="0.25">
      <c r="A2894" s="8">
        <v>983301</v>
      </c>
      <c r="B2894" s="22" t="str">
        <f>IFERROR(VLOOKUP(A2894,VLOOKUPS!$A$2:B$12589,2,FALSE),"")</f>
        <v>Watermelons* Mini Seedless 1ct-LOOSE</v>
      </c>
      <c r="E2894">
        <v>4.29</v>
      </c>
      <c r="F2894">
        <v>4.9800000000000004</v>
      </c>
      <c r="G2894" s="13">
        <v>44568</v>
      </c>
      <c r="H2894" s="13"/>
      <c r="I2894" s="22" t="str">
        <f>VLOOKUP(J2894, Dropdowns!N:O, 2, FALSE)</f>
        <v>Standard</v>
      </c>
      <c r="J2894" t="s">
        <v>761</v>
      </c>
      <c r="L2894" s="17" t="s">
        <v>732</v>
      </c>
      <c r="M2894" s="17" t="s">
        <v>736</v>
      </c>
      <c r="N2894" s="17" t="s">
        <v>736</v>
      </c>
    </row>
    <row r="2895" spans="1:14" x14ac:dyDescent="0.25">
      <c r="A2895" s="8">
        <v>982740</v>
      </c>
      <c r="B2895" s="22" t="str">
        <f>IFERROR(VLOOKUP(A2895,VLOOKUPS!$A$2:B$12589,2,FALSE),"")</f>
        <v>Grapes* Red Seedless 1lb-LOOSE</v>
      </c>
      <c r="E2895">
        <v>1.69</v>
      </c>
      <c r="F2895">
        <v>1.99</v>
      </c>
      <c r="G2895" s="13">
        <v>44568</v>
      </c>
      <c r="H2895" s="13"/>
      <c r="I2895" s="22" t="str">
        <f>VLOOKUP(J2895, Dropdowns!N:O, 2, FALSE)</f>
        <v>Standard</v>
      </c>
      <c r="J2895" t="s">
        <v>761</v>
      </c>
      <c r="L2895" s="17" t="s">
        <v>732</v>
      </c>
      <c r="M2895" s="17" t="s">
        <v>736</v>
      </c>
      <c r="N2895" s="17" t="s">
        <v>736</v>
      </c>
    </row>
    <row r="2896" spans="1:14" x14ac:dyDescent="0.25">
      <c r="A2896" s="8">
        <v>984460</v>
      </c>
      <c r="B2896" s="22" t="str">
        <f>IFERROR(VLOOKUP(A2896,VLOOKUPS!$A$2:B$12589,2,FALSE),"")</f>
        <v>Strawberries 1lb-standard</v>
      </c>
      <c r="E2896">
        <v>2.79</v>
      </c>
      <c r="F2896">
        <v>3.99</v>
      </c>
      <c r="G2896" s="13">
        <v>44569</v>
      </c>
      <c r="H2896" s="13"/>
      <c r="I2896" s="22" t="str">
        <f>VLOOKUP(J2896, Dropdowns!N:O, 2, FALSE)</f>
        <v>Standard</v>
      </c>
      <c r="J2896" t="s">
        <v>760</v>
      </c>
      <c r="L2896" s="17" t="s">
        <v>732</v>
      </c>
      <c r="M2896" s="17" t="s">
        <v>10</v>
      </c>
      <c r="N2896" s="17">
        <v>2</v>
      </c>
    </row>
    <row r="2897" spans="1:14" x14ac:dyDescent="0.25">
      <c r="A2897" s="8">
        <v>982000</v>
      </c>
      <c r="B2897" s="22" t="str">
        <f>IFERROR(VLOOKUP(A2897,VLOOKUPS!$A$2:B$12589,2,FALSE),"")</f>
        <v>Cherries* Sweet 1lb-LOOSE</v>
      </c>
      <c r="E2897">
        <v>5.99</v>
      </c>
      <c r="F2897">
        <v>3.99</v>
      </c>
      <c r="G2897" s="13">
        <v>44572</v>
      </c>
      <c r="H2897" s="13"/>
      <c r="I2897" s="22" t="str">
        <f>VLOOKUP(J2897, Dropdowns!N:O, 2, FALSE)</f>
        <v>Standard</v>
      </c>
      <c r="J2897" t="s">
        <v>761</v>
      </c>
      <c r="L2897" s="17" t="s">
        <v>732</v>
      </c>
      <c r="M2897" s="17" t="s">
        <v>736</v>
      </c>
      <c r="N2897" s="17" t="s">
        <v>736</v>
      </c>
    </row>
    <row r="2898" spans="1:14" x14ac:dyDescent="0.25">
      <c r="A2898" s="8">
        <v>984460</v>
      </c>
      <c r="B2898" s="22" t="str">
        <f>IFERROR(VLOOKUP(A2898,VLOOKUPS!$A$2:B$12589,2,FALSE),"")</f>
        <v>Strawberries 1lb-standard</v>
      </c>
      <c r="E2898">
        <v>3.99</v>
      </c>
      <c r="F2898">
        <v>2.96</v>
      </c>
      <c r="G2898" s="13">
        <v>44572</v>
      </c>
      <c r="H2898" s="13"/>
      <c r="I2898" s="22" t="str">
        <f>VLOOKUP(J2898, Dropdowns!N:O, 2, FALSE)</f>
        <v>Standard</v>
      </c>
      <c r="J2898" t="s">
        <v>761</v>
      </c>
      <c r="L2898" s="17" t="s">
        <v>732</v>
      </c>
      <c r="M2898" s="17" t="s">
        <v>736</v>
      </c>
      <c r="N2898" s="17" t="s">
        <v>736</v>
      </c>
    </row>
    <row r="2899" spans="1:14" x14ac:dyDescent="0.25">
      <c r="A2899" s="8">
        <v>984461</v>
      </c>
      <c r="B2899" s="22" t="str">
        <f>IFERROR(VLOOKUP(A2899,VLOOKUPS!$A$2:B$12589,2,FALSE),"")</f>
        <v>Strawberries 2lb-standard</v>
      </c>
      <c r="E2899">
        <v>7.79</v>
      </c>
      <c r="F2899">
        <v>5.82</v>
      </c>
      <c r="G2899" s="13">
        <v>44572</v>
      </c>
      <c r="H2899" s="13"/>
      <c r="I2899" s="22" t="str">
        <f>VLOOKUP(J2899, Dropdowns!N:O, 2, FALSE)</f>
        <v>Standard</v>
      </c>
      <c r="J2899" t="s">
        <v>761</v>
      </c>
      <c r="L2899" s="17" t="s">
        <v>732</v>
      </c>
      <c r="M2899" s="17" t="s">
        <v>736</v>
      </c>
      <c r="N2899" s="17" t="s">
        <v>736</v>
      </c>
    </row>
    <row r="2900" spans="1:14" x14ac:dyDescent="0.25">
      <c r="A2900" s="8">
        <v>984541</v>
      </c>
      <c r="B2900" s="22" t="str">
        <f>IFERROR(VLOOKUP(A2900,VLOOKUPS!$A$2:B$12589,2,FALSE),"")</f>
        <v>Blueberries 1pt-standard</v>
      </c>
      <c r="E2900">
        <v>2.7</v>
      </c>
      <c r="F2900">
        <v>2.68</v>
      </c>
      <c r="G2900" s="13">
        <v>44572</v>
      </c>
      <c r="H2900" s="13"/>
      <c r="I2900" s="22" t="str">
        <f>VLOOKUP(J2900, Dropdowns!N:O, 2, FALSE)</f>
        <v>Standard</v>
      </c>
      <c r="J2900" t="s">
        <v>761</v>
      </c>
      <c r="L2900" s="17" t="s">
        <v>732</v>
      </c>
      <c r="M2900" s="17" t="s">
        <v>736</v>
      </c>
      <c r="N2900" s="17" t="s">
        <v>736</v>
      </c>
    </row>
    <row r="2901" spans="1:14" x14ac:dyDescent="0.25">
      <c r="A2901" s="8">
        <v>984620</v>
      </c>
      <c r="B2901" s="22" t="str">
        <f>IFERROR(VLOOKUP(A2901,VLOOKUPS!$A$2:B$12589,2,FALSE),"")</f>
        <v>Raspberries 6oz-standard</v>
      </c>
      <c r="E2901">
        <v>2.44</v>
      </c>
      <c r="F2901">
        <v>2.7</v>
      </c>
      <c r="G2901" s="13">
        <v>44569</v>
      </c>
      <c r="H2901" s="13"/>
      <c r="I2901" s="22" t="str">
        <f>VLOOKUP(J2901, Dropdowns!N:O, 2, FALSE)</f>
        <v>Standard</v>
      </c>
      <c r="J2901" t="s">
        <v>761</v>
      </c>
      <c r="L2901" s="17" t="s">
        <v>732</v>
      </c>
      <c r="M2901" s="17" t="s">
        <v>736</v>
      </c>
      <c r="N2901" s="17" t="s">
        <v>736</v>
      </c>
    </row>
    <row r="2902" spans="1:14" x14ac:dyDescent="0.25">
      <c r="A2902" s="8">
        <v>984702</v>
      </c>
      <c r="B2902" s="22" t="str">
        <f>IFERROR(VLOOKUP(A2902,VLOOKUPS!$A$2:B$12589,2,FALSE),"")</f>
        <v>Blackberries 12oz-standard</v>
      </c>
      <c r="E2902">
        <v>3.98</v>
      </c>
      <c r="F2902">
        <v>4.24</v>
      </c>
      <c r="G2902" s="13">
        <v>44572</v>
      </c>
      <c r="H2902" s="13"/>
      <c r="I2902" s="22" t="str">
        <f>VLOOKUP(J2902, Dropdowns!N:O, 2, FALSE)</f>
        <v>Standard</v>
      </c>
      <c r="J2902" t="s">
        <v>761</v>
      </c>
      <c r="L2902" s="17" t="s">
        <v>732</v>
      </c>
      <c r="M2902" s="17" t="s">
        <v>736</v>
      </c>
      <c r="N2902" s="17" t="s">
        <v>736</v>
      </c>
    </row>
    <row r="2903" spans="1:14" x14ac:dyDescent="0.25">
      <c r="A2903" s="8">
        <v>988571</v>
      </c>
      <c r="B2903" s="22" t="str">
        <f>IFERROR(VLOOKUP(A2903,VLOOKUPS!$A$2:B$12589,2,FALSE),"")</f>
        <v>Cauliflower* 1ct-LOOSE</v>
      </c>
      <c r="E2903">
        <v>2.4900000000000002</v>
      </c>
      <c r="F2903">
        <v>2.88</v>
      </c>
      <c r="G2903" s="13">
        <v>44572</v>
      </c>
      <c r="H2903" s="13"/>
      <c r="I2903" s="22" t="str">
        <f>VLOOKUP(J2903, Dropdowns!N:O, 2, FALSE)</f>
        <v>Standard</v>
      </c>
      <c r="J2903" t="s">
        <v>761</v>
      </c>
      <c r="L2903" s="17" t="s">
        <v>732</v>
      </c>
      <c r="M2903" s="17" t="s">
        <v>736</v>
      </c>
      <c r="N2903" s="17" t="s">
        <v>736</v>
      </c>
    </row>
    <row r="2904" spans="1:14" x14ac:dyDescent="0.25">
      <c r="A2904" s="8">
        <v>995173</v>
      </c>
      <c r="B2904" s="22" t="str">
        <f>IFERROR(VLOOKUP(A2904,VLOOKUPS!$A$2:B$12589,2,FALSE),"")</f>
        <v>Fruit Tray 40oz-standard</v>
      </c>
      <c r="E2904">
        <v>12.99</v>
      </c>
      <c r="F2904">
        <v>10.85</v>
      </c>
      <c r="G2904" s="13">
        <v>44572</v>
      </c>
      <c r="H2904" s="13"/>
      <c r="I2904" s="22" t="str">
        <f>VLOOKUP(J2904, Dropdowns!N:O, 2, FALSE)</f>
        <v>Standard</v>
      </c>
      <c r="J2904" t="s">
        <v>761</v>
      </c>
      <c r="L2904" s="17" t="s">
        <v>732</v>
      </c>
      <c r="M2904" s="17" t="s">
        <v>736</v>
      </c>
      <c r="N2904" s="17" t="s">
        <v>736</v>
      </c>
    </row>
    <row r="2905" spans="1:14" x14ac:dyDescent="0.25">
      <c r="A2905" s="8">
        <v>986250</v>
      </c>
      <c r="B2905" s="22" t="str">
        <f>IFERROR(VLOOKUP(A2905,VLOOKUPS!$A$2:B$12589,2,FALSE),"")</f>
        <v>French Beans 1lb-standard</v>
      </c>
      <c r="E2905">
        <v>1.89</v>
      </c>
      <c r="F2905">
        <v>2.99</v>
      </c>
      <c r="G2905" s="13">
        <v>44569</v>
      </c>
      <c r="H2905" s="13"/>
      <c r="I2905" s="22" t="str">
        <f>VLOOKUP(J2905, Dropdowns!N:O, 2, FALSE)</f>
        <v>Standard</v>
      </c>
      <c r="J2905" t="s">
        <v>760</v>
      </c>
      <c r="L2905" s="17" t="s">
        <v>732</v>
      </c>
      <c r="M2905" s="17" t="s">
        <v>9</v>
      </c>
      <c r="N2905" s="17" t="s">
        <v>736</v>
      </c>
    </row>
    <row r="2906" spans="1:14" x14ac:dyDescent="0.25">
      <c r="A2906" s="8">
        <v>982740</v>
      </c>
      <c r="B2906" s="22" t="str">
        <f>IFERROR(VLOOKUP(A2906,VLOOKUPS!$A$2:B$12589,2,FALSE),"")</f>
        <v>Grapes* Red Seedless 1lb-LOOSE</v>
      </c>
      <c r="G2906" s="13">
        <v>44569</v>
      </c>
      <c r="H2906" s="13">
        <v>44570</v>
      </c>
      <c r="I2906" s="22" t="str">
        <f>VLOOKUP(J2906, Dropdowns!N:O, 2, FALSE)</f>
        <v>Lower Price</v>
      </c>
      <c r="J2906" t="s">
        <v>753</v>
      </c>
      <c r="L2906" s="17" t="s">
        <v>732</v>
      </c>
      <c r="M2906" s="17" t="s">
        <v>736</v>
      </c>
      <c r="N2906" s="17" t="s">
        <v>736</v>
      </c>
    </row>
    <row r="2907" spans="1:14" x14ac:dyDescent="0.25">
      <c r="A2907" s="8">
        <v>982740</v>
      </c>
      <c r="B2907" s="22" t="str">
        <f>IFERROR(VLOOKUP(A2907,VLOOKUPS!$A$2:B$12589,2,FALSE),"")</f>
        <v>Grapes* Red Seedless 1lb-LOOSE</v>
      </c>
      <c r="E2907">
        <v>0.99</v>
      </c>
      <c r="F2907">
        <v>1.99</v>
      </c>
      <c r="G2907" s="13">
        <v>44571</v>
      </c>
      <c r="H2907" s="13"/>
      <c r="I2907" s="22" t="str">
        <f>VLOOKUP(J2907, Dropdowns!N:O, 2, FALSE)</f>
        <v>Standard</v>
      </c>
      <c r="J2907" t="s">
        <v>760</v>
      </c>
      <c r="L2907" s="17" t="s">
        <v>732</v>
      </c>
      <c r="M2907" s="17" t="s">
        <v>736</v>
      </c>
      <c r="N2907" s="17" t="s">
        <v>736</v>
      </c>
    </row>
    <row r="2908" spans="1:14" x14ac:dyDescent="0.25">
      <c r="A2908" s="8">
        <v>983103</v>
      </c>
      <c r="B2908" s="22" t="str">
        <f>IFERROR(VLOOKUP(A2908,VLOOKUPS!$A$2:B$12589,2,FALSE),"")</f>
        <v>MelonsGolden Canary 1ct.-LOOSE</v>
      </c>
      <c r="E2908">
        <v>3.98</v>
      </c>
      <c r="F2908">
        <v>2.98</v>
      </c>
      <c r="G2908" s="13">
        <v>44572</v>
      </c>
      <c r="H2908" s="13">
        <v>44573</v>
      </c>
      <c r="I2908" s="22" t="str">
        <f>VLOOKUP(J2908, Dropdowns!N:O, 2, FALSE)</f>
        <v>Lower Price</v>
      </c>
      <c r="J2908" t="s">
        <v>759</v>
      </c>
      <c r="L2908" s="17" t="s">
        <v>732</v>
      </c>
      <c r="M2908" s="17" t="s">
        <v>10</v>
      </c>
      <c r="N2908" s="17">
        <v>2</v>
      </c>
    </row>
    <row r="2909" spans="1:14" x14ac:dyDescent="0.25">
      <c r="A2909" s="8">
        <v>983103</v>
      </c>
      <c r="B2909" s="22" t="str">
        <f>IFERROR(VLOOKUP(A2909,VLOOKUPS!$A$2:B$12589,2,FALSE),"")</f>
        <v>MelonsGolden Canary 1ct.-LOOSE</v>
      </c>
      <c r="E2909">
        <v>2.98</v>
      </c>
      <c r="F2909">
        <v>3.98</v>
      </c>
      <c r="G2909" s="13">
        <v>44574</v>
      </c>
      <c r="H2909" s="13"/>
      <c r="I2909" s="22" t="str">
        <f>VLOOKUP(J2909, Dropdowns!N:O, 2, FALSE)</f>
        <v>Standard</v>
      </c>
      <c r="J2909" t="s">
        <v>760</v>
      </c>
      <c r="L2909" s="17" t="s">
        <v>732</v>
      </c>
      <c r="M2909" s="17" t="s">
        <v>10</v>
      </c>
      <c r="N2909" s="17">
        <v>2</v>
      </c>
    </row>
    <row r="2910" spans="1:14" x14ac:dyDescent="0.25">
      <c r="A2910" s="8">
        <v>983104</v>
      </c>
      <c r="B2910" s="22" t="str">
        <f>IFERROR(VLOOKUP(A2910,VLOOKUPS!$A$2:B$12589,2,FALSE),"")</f>
        <v>Melons Dino 1ct.-LOOSE</v>
      </c>
      <c r="E2910">
        <v>3.98</v>
      </c>
      <c r="F2910">
        <v>2.98</v>
      </c>
      <c r="G2910" s="13">
        <v>44572</v>
      </c>
      <c r="H2910" s="13">
        <v>44574</v>
      </c>
      <c r="I2910" s="22" t="str">
        <f>VLOOKUP(J2910, Dropdowns!N:O, 2, FALSE)</f>
        <v>Lower Price</v>
      </c>
      <c r="J2910" t="s">
        <v>759</v>
      </c>
      <c r="L2910" s="17" t="s">
        <v>732</v>
      </c>
      <c r="M2910" s="17" t="s">
        <v>10</v>
      </c>
      <c r="N2910" s="17">
        <v>2</v>
      </c>
    </row>
    <row r="2911" spans="1:14" x14ac:dyDescent="0.25">
      <c r="A2911" s="8">
        <v>983104</v>
      </c>
      <c r="B2911" s="22" t="str">
        <f>IFERROR(VLOOKUP(A2911,VLOOKUPS!$A$2:B$12589,2,FALSE),"")</f>
        <v>Melons Dino 1ct.-LOOSE</v>
      </c>
      <c r="E2911">
        <v>2.98</v>
      </c>
      <c r="F2911">
        <v>3.98</v>
      </c>
      <c r="G2911" s="13">
        <v>44575</v>
      </c>
      <c r="H2911" s="13"/>
      <c r="I2911" s="22" t="str">
        <f>VLOOKUP(J2911, Dropdowns!N:O, 2, FALSE)</f>
        <v>Standard</v>
      </c>
      <c r="J2911" t="s">
        <v>760</v>
      </c>
      <c r="L2911" s="17" t="s">
        <v>732</v>
      </c>
      <c r="M2911" s="17" t="s">
        <v>10</v>
      </c>
      <c r="N2911" s="17">
        <v>2</v>
      </c>
    </row>
    <row r="2912" spans="1:14" x14ac:dyDescent="0.25">
      <c r="A2912" s="8">
        <v>983201</v>
      </c>
      <c r="B2912" s="22" t="str">
        <f>IFERROR(VLOOKUP(A2912,VLOOKUPS!$A$2:B$12589,2,FALSE),"")</f>
        <v>Melons* Honeydew 1ct-LOOSE</v>
      </c>
      <c r="E2912">
        <v>2.99</v>
      </c>
      <c r="F2912">
        <v>3.98</v>
      </c>
      <c r="G2912" s="13">
        <v>44572</v>
      </c>
      <c r="H2912" s="13"/>
      <c r="I2912" s="22" t="str">
        <f>VLOOKUP(J2912, Dropdowns!N:O, 2, FALSE)</f>
        <v>Standard</v>
      </c>
      <c r="J2912" t="s">
        <v>761</v>
      </c>
      <c r="L2912" s="17" t="s">
        <v>732</v>
      </c>
      <c r="M2912" s="17" t="s">
        <v>10</v>
      </c>
      <c r="N2912" s="17">
        <v>2</v>
      </c>
    </row>
    <row r="2913" spans="1:14" x14ac:dyDescent="0.25">
      <c r="A2913" s="8">
        <v>984500</v>
      </c>
      <c r="B2913" s="22" t="str">
        <f>IFERROR(VLOOKUP(A2913,VLOOKUPS!$A$2:B$12589,2,FALSE),"")</f>
        <v>Organic Strawberries 1lb-standard</v>
      </c>
      <c r="E2913">
        <v>4.9800000000000004</v>
      </c>
      <c r="F2913">
        <v>3.48</v>
      </c>
      <c r="G2913" s="13">
        <v>44572</v>
      </c>
      <c r="H2913" s="13">
        <v>44573</v>
      </c>
      <c r="I2913" s="22" t="str">
        <f>VLOOKUP(J2913, Dropdowns!N:O, 2, FALSE)</f>
        <v>Lower Price</v>
      </c>
      <c r="J2913" t="s">
        <v>759</v>
      </c>
      <c r="L2913" s="17" t="s">
        <v>732</v>
      </c>
      <c r="M2913" s="17" t="s">
        <v>735</v>
      </c>
      <c r="N2913" s="17" t="s">
        <v>736</v>
      </c>
    </row>
    <row r="2914" spans="1:14" x14ac:dyDescent="0.25">
      <c r="A2914" s="8">
        <v>984500</v>
      </c>
      <c r="B2914" s="22" t="str">
        <f>IFERROR(VLOOKUP(A2914,VLOOKUPS!$A$2:B$12589,2,FALSE),"")</f>
        <v>Organic Strawberries 1lb-standard</v>
      </c>
      <c r="E2914">
        <v>3.48</v>
      </c>
      <c r="F2914">
        <v>4.9800000000000004</v>
      </c>
      <c r="G2914" s="13">
        <v>44574</v>
      </c>
      <c r="H2914" s="13"/>
      <c r="I2914" s="22" t="str">
        <f>VLOOKUP(J2914, Dropdowns!N:O, 2, FALSE)</f>
        <v>Standard</v>
      </c>
      <c r="J2914" t="s">
        <v>760</v>
      </c>
      <c r="L2914" s="17" t="s">
        <v>732</v>
      </c>
      <c r="M2914" s="17" t="s">
        <v>735</v>
      </c>
      <c r="N2914" s="17" t="s">
        <v>736</v>
      </c>
    </row>
    <row r="2915" spans="1:14" x14ac:dyDescent="0.25">
      <c r="A2915" s="8">
        <v>984555</v>
      </c>
      <c r="B2915" s="22" t="str">
        <f>IFERROR(VLOOKUP(A2915,VLOOKUPS!$A$2:B$12589,2,FALSE),"")</f>
        <v>Blueberries 2lb-standard</v>
      </c>
      <c r="D2915">
        <v>12</v>
      </c>
      <c r="E2915">
        <v>6.99</v>
      </c>
      <c r="G2915" s="13">
        <v>44572</v>
      </c>
      <c r="H2915" s="13"/>
      <c r="I2915" s="22" t="str">
        <f>VLOOKUP(J2915, Dropdowns!N:O, 2, FALSE)</f>
        <v>NA</v>
      </c>
      <c r="J2915" t="s">
        <v>754</v>
      </c>
      <c r="L2915" s="17" t="s">
        <v>732</v>
      </c>
      <c r="M2915" s="17" t="s">
        <v>736</v>
      </c>
      <c r="N2915" s="17" t="s">
        <v>736</v>
      </c>
    </row>
    <row r="2916" spans="1:14" x14ac:dyDescent="0.25">
      <c r="A2916" s="8">
        <v>984621</v>
      </c>
      <c r="B2916" s="22" t="str">
        <f>IFERROR(VLOOKUP(A2916,VLOOKUPS!$A$2:B$12589,2,FALSE),"")</f>
        <v>Raspberries 12oz-standard</v>
      </c>
      <c r="E2916">
        <v>4.74</v>
      </c>
      <c r="F2916">
        <v>3.44</v>
      </c>
      <c r="G2916" s="13">
        <v>44572</v>
      </c>
      <c r="H2916" s="13">
        <v>44572</v>
      </c>
      <c r="I2916" s="22" t="str">
        <f>VLOOKUP(J2916, Dropdowns!N:O, 2, FALSE)</f>
        <v>Lower Price</v>
      </c>
      <c r="J2916" t="s">
        <v>759</v>
      </c>
      <c r="L2916" s="17" t="s">
        <v>732</v>
      </c>
      <c r="M2916" s="17" t="s">
        <v>10</v>
      </c>
      <c r="N2916" s="17">
        <v>2</v>
      </c>
    </row>
    <row r="2917" spans="1:14" x14ac:dyDescent="0.25">
      <c r="A2917" s="8">
        <v>984621</v>
      </c>
      <c r="B2917" s="22" t="str">
        <f>IFERROR(VLOOKUP(A2917,VLOOKUPS!$A$2:B$12589,2,FALSE),"")</f>
        <v>Raspberries 12oz-standard</v>
      </c>
      <c r="E2917">
        <v>3.44</v>
      </c>
      <c r="F2917">
        <v>4.74</v>
      </c>
      <c r="G2917" s="13">
        <v>44573</v>
      </c>
      <c r="H2917" s="13"/>
      <c r="I2917" s="22" t="str">
        <f>VLOOKUP(J2917, Dropdowns!N:O, 2, FALSE)</f>
        <v>Standard</v>
      </c>
      <c r="J2917" t="s">
        <v>760</v>
      </c>
      <c r="L2917" s="17" t="s">
        <v>732</v>
      </c>
      <c r="M2917" s="17" t="s">
        <v>10</v>
      </c>
      <c r="N2917" s="17">
        <v>2</v>
      </c>
    </row>
    <row r="2918" spans="1:14" x14ac:dyDescent="0.25">
      <c r="A2918" s="8">
        <v>985160</v>
      </c>
      <c r="B2918" s="22" t="str">
        <f>IFERROR(VLOOKUP(A2918,VLOOKUPS!$A$2:B$12589,2,FALSE),"")</f>
        <v>Romaine Hearts 3ct-standard</v>
      </c>
      <c r="E2918">
        <v>2.59</v>
      </c>
      <c r="F2918">
        <v>2.39</v>
      </c>
      <c r="G2918" s="13">
        <v>44572</v>
      </c>
      <c r="H2918" s="13"/>
      <c r="I2918" s="22" t="str">
        <f>VLOOKUP(J2918, Dropdowns!N:O, 2, FALSE)</f>
        <v>Standard</v>
      </c>
      <c r="J2918" t="s">
        <v>761</v>
      </c>
      <c r="L2918" s="17" t="s">
        <v>732</v>
      </c>
      <c r="M2918" s="17" t="s">
        <v>736</v>
      </c>
      <c r="N2918" s="17" t="s">
        <v>736</v>
      </c>
    </row>
    <row r="2919" spans="1:14" x14ac:dyDescent="0.25">
      <c r="A2919" s="8">
        <v>985190</v>
      </c>
      <c r="B2919" s="22" t="str">
        <f>IFERROR(VLOOKUP(A2919,VLOOKUPS!$A$2:B$12589,2,FALSE),"")</f>
        <v>Organic Romaine Hearts 3ct-standard</v>
      </c>
      <c r="E2919">
        <v>3.29</v>
      </c>
      <c r="F2919">
        <v>3.19</v>
      </c>
      <c r="G2919" s="13">
        <v>44572</v>
      </c>
      <c r="H2919" s="13"/>
      <c r="I2919" s="22" t="str">
        <f>VLOOKUP(J2919, Dropdowns!N:O, 2, FALSE)</f>
        <v>Standard</v>
      </c>
      <c r="J2919" t="s">
        <v>761</v>
      </c>
      <c r="L2919" s="17" t="s">
        <v>732</v>
      </c>
      <c r="M2919" s="17" t="s">
        <v>736</v>
      </c>
      <c r="N2919" s="17" t="s">
        <v>736</v>
      </c>
    </row>
    <row r="2920" spans="1:14" x14ac:dyDescent="0.25">
      <c r="A2920" s="8">
        <v>985760</v>
      </c>
      <c r="B2920" s="22" t="str">
        <f>IFERROR(VLOOKUP(A2920,VLOOKUPS!$A$2:B$12589,2,FALSE),"")</f>
        <v>Asparagus 1lb-standard</v>
      </c>
      <c r="E2920">
        <v>2.99</v>
      </c>
      <c r="F2920">
        <v>1.89</v>
      </c>
      <c r="G2920" s="13">
        <v>44572</v>
      </c>
      <c r="H2920" s="13">
        <v>44573</v>
      </c>
      <c r="I2920" s="22" t="str">
        <f>VLOOKUP(J2920, Dropdowns!N:O, 2, FALSE)</f>
        <v>Lower Price</v>
      </c>
      <c r="J2920" t="s">
        <v>759</v>
      </c>
      <c r="L2920" s="17" t="s">
        <v>732</v>
      </c>
      <c r="M2920" s="17" t="s">
        <v>736</v>
      </c>
      <c r="N2920" s="17" t="s">
        <v>736</v>
      </c>
    </row>
    <row r="2921" spans="1:14" x14ac:dyDescent="0.25">
      <c r="A2921" s="8">
        <v>985760</v>
      </c>
      <c r="B2921" s="22" t="str">
        <f>IFERROR(VLOOKUP(A2921,VLOOKUPS!$A$2:B$12589,2,FALSE),"")</f>
        <v>Asparagus 1lb-standard</v>
      </c>
      <c r="E2921">
        <v>1.89</v>
      </c>
      <c r="F2921">
        <v>2.99</v>
      </c>
      <c r="G2921" s="13">
        <v>44574</v>
      </c>
      <c r="H2921" s="13"/>
      <c r="I2921" s="22" t="str">
        <f>VLOOKUP(J2921, Dropdowns!N:O, 2, FALSE)</f>
        <v>Standard</v>
      </c>
      <c r="J2921" t="s">
        <v>760</v>
      </c>
      <c r="L2921" s="17" t="s">
        <v>732</v>
      </c>
      <c r="M2921" s="17" t="s">
        <v>736</v>
      </c>
      <c r="N2921" s="17" t="s">
        <v>736</v>
      </c>
    </row>
    <row r="2922" spans="1:14" x14ac:dyDescent="0.25">
      <c r="A2922" s="8">
        <v>983201</v>
      </c>
      <c r="B2922" s="22" t="str">
        <f>IFERROR(VLOOKUP(A2922,VLOOKUPS!$A$2:B$12589,2,FALSE),"")</f>
        <v>Melons* Honeydew 1ct-LOOSE</v>
      </c>
      <c r="E2922">
        <v>3.98</v>
      </c>
      <c r="F2922">
        <v>2.48</v>
      </c>
      <c r="G2922" s="13">
        <v>44573</v>
      </c>
      <c r="H2922" s="13">
        <v>44574</v>
      </c>
      <c r="I2922" s="22" t="str">
        <f>VLOOKUP(J2922, Dropdowns!N:O, 2, FALSE)</f>
        <v>Lower Price</v>
      </c>
      <c r="J2922" t="s">
        <v>759</v>
      </c>
      <c r="L2922" s="17" t="s">
        <v>732</v>
      </c>
      <c r="M2922" s="17" t="s">
        <v>736</v>
      </c>
      <c r="N2922" s="17" t="s">
        <v>736</v>
      </c>
    </row>
    <row r="2923" spans="1:14" x14ac:dyDescent="0.25">
      <c r="A2923" s="8">
        <v>983201</v>
      </c>
      <c r="B2923" s="22" t="str">
        <f>IFERROR(VLOOKUP(A2923,VLOOKUPS!$A$2:B$12589,2,FALSE),"")</f>
        <v>Melons* Honeydew 1ct-LOOSE</v>
      </c>
      <c r="E2923">
        <v>2.48</v>
      </c>
      <c r="F2923">
        <v>3.98</v>
      </c>
      <c r="G2923" s="13">
        <v>44575</v>
      </c>
      <c r="H2923" s="13"/>
      <c r="I2923" s="22" t="str">
        <f>VLOOKUP(J2923, Dropdowns!N:O, 2, FALSE)</f>
        <v>Standard</v>
      </c>
      <c r="J2923" t="s">
        <v>760</v>
      </c>
      <c r="L2923" s="17" t="s">
        <v>732</v>
      </c>
      <c r="M2923" s="17" t="s">
        <v>736</v>
      </c>
      <c r="N2923" s="17" t="s">
        <v>736</v>
      </c>
    </row>
    <row r="2924" spans="1:14" x14ac:dyDescent="0.25">
      <c r="A2924" s="8">
        <v>984460</v>
      </c>
      <c r="B2924" s="22" t="str">
        <f>IFERROR(VLOOKUP(A2924,VLOOKUPS!$A$2:B$12589,2,FALSE),"")</f>
        <v>Strawberries 1lb-standard</v>
      </c>
      <c r="E2924">
        <v>2.96</v>
      </c>
      <c r="F2924">
        <v>2.2599999999999998</v>
      </c>
      <c r="G2924" s="13">
        <v>44573</v>
      </c>
      <c r="H2924" s="13">
        <v>44574</v>
      </c>
      <c r="I2924" s="22" t="str">
        <f>VLOOKUP(J2924, Dropdowns!N:O, 2, FALSE)</f>
        <v>Lower Price</v>
      </c>
      <c r="J2924" t="s">
        <v>759</v>
      </c>
      <c r="L2924" s="17" t="s">
        <v>732</v>
      </c>
      <c r="M2924" s="17" t="s">
        <v>738</v>
      </c>
      <c r="N2924" s="17">
        <v>2</v>
      </c>
    </row>
    <row r="2925" spans="1:14" x14ac:dyDescent="0.25">
      <c r="A2925" s="8">
        <v>984460</v>
      </c>
      <c r="B2925" s="22" t="str">
        <f>IFERROR(VLOOKUP(A2925,VLOOKUPS!$A$2:B$12589,2,FALSE),"")</f>
        <v>Strawberries 1lb-standard</v>
      </c>
      <c r="E2925">
        <v>2.2599999999999998</v>
      </c>
      <c r="F2925">
        <v>2.96</v>
      </c>
      <c r="G2925" s="13">
        <v>44575</v>
      </c>
      <c r="H2925" s="13"/>
      <c r="I2925" s="22" t="str">
        <f>VLOOKUP(J2925, Dropdowns!N:O, 2, FALSE)</f>
        <v>Standard</v>
      </c>
      <c r="J2925" t="s">
        <v>760</v>
      </c>
      <c r="L2925" s="17" t="s">
        <v>732</v>
      </c>
      <c r="M2925" s="17" t="s">
        <v>738</v>
      </c>
      <c r="N2925" s="17">
        <v>2</v>
      </c>
    </row>
    <row r="2926" spans="1:14" x14ac:dyDescent="0.25">
      <c r="A2926" s="8">
        <v>984461</v>
      </c>
      <c r="B2926" s="22" t="str">
        <f>IFERROR(VLOOKUP(A2926,VLOOKUPS!$A$2:B$12589,2,FALSE),"")</f>
        <v>Strawberries 2lb-standard</v>
      </c>
      <c r="E2926">
        <v>5.82</v>
      </c>
      <c r="F2926">
        <v>3.82</v>
      </c>
      <c r="G2926" s="13">
        <v>44573</v>
      </c>
      <c r="H2926" s="13">
        <v>44574</v>
      </c>
      <c r="I2926" s="22" t="str">
        <f>VLOOKUP(J2926, Dropdowns!N:O, 2, FALSE)</f>
        <v>Lower Price</v>
      </c>
      <c r="J2926" t="s">
        <v>759</v>
      </c>
      <c r="L2926" s="17" t="s">
        <v>732</v>
      </c>
      <c r="M2926" s="17" t="s">
        <v>738</v>
      </c>
      <c r="N2926" s="17">
        <v>2</v>
      </c>
    </row>
    <row r="2927" spans="1:14" x14ac:dyDescent="0.25">
      <c r="A2927" s="8">
        <v>984461</v>
      </c>
      <c r="B2927" s="22" t="str">
        <f>IFERROR(VLOOKUP(A2927,VLOOKUPS!$A$2:B$12589,2,FALSE),"")</f>
        <v>Strawberries 2lb-standard</v>
      </c>
      <c r="E2927">
        <v>3.82</v>
      </c>
      <c r="F2927">
        <v>5.82</v>
      </c>
      <c r="G2927" s="13">
        <v>44575</v>
      </c>
      <c r="H2927" s="13"/>
      <c r="I2927" s="22" t="str">
        <f>VLOOKUP(J2927, Dropdowns!N:O, 2, FALSE)</f>
        <v>Standard</v>
      </c>
      <c r="J2927" t="s">
        <v>760</v>
      </c>
      <c r="L2927" s="17" t="s">
        <v>732</v>
      </c>
      <c r="M2927" s="17" t="s">
        <v>738</v>
      </c>
      <c r="N2927" s="17">
        <v>2</v>
      </c>
    </row>
    <row r="2928" spans="1:14" x14ac:dyDescent="0.25">
      <c r="A2928" s="8">
        <v>984541</v>
      </c>
      <c r="B2928" s="22" t="str">
        <f>IFERROR(VLOOKUP(A2928,VLOOKUPS!$A$2:B$12589,2,FALSE),"")</f>
        <v>Blueberries 1pt-standard</v>
      </c>
      <c r="E2928">
        <v>2.68</v>
      </c>
      <c r="F2928">
        <v>1.68</v>
      </c>
      <c r="G2928" s="13">
        <v>44573</v>
      </c>
      <c r="H2928" s="13">
        <v>44574</v>
      </c>
      <c r="I2928" s="22" t="str">
        <f>VLOOKUP(J2928, Dropdowns!N:O, 2, FALSE)</f>
        <v>Lower Price</v>
      </c>
      <c r="J2928" t="s">
        <v>759</v>
      </c>
      <c r="L2928" s="17" t="s">
        <v>732</v>
      </c>
      <c r="M2928" s="17" t="s">
        <v>10</v>
      </c>
      <c r="N2928" s="17">
        <v>2</v>
      </c>
    </row>
    <row r="2929" spans="1:14" x14ac:dyDescent="0.25">
      <c r="A2929" s="8">
        <v>984541</v>
      </c>
      <c r="B2929" s="22" t="str">
        <f>IFERROR(VLOOKUP(A2929,VLOOKUPS!$A$2:B$12589,2,FALSE),"")</f>
        <v>Blueberries 1pt-standard</v>
      </c>
      <c r="E2929">
        <v>1.68</v>
      </c>
      <c r="F2929">
        <v>2.68</v>
      </c>
      <c r="G2929" s="13">
        <v>44575</v>
      </c>
      <c r="H2929" s="13"/>
      <c r="I2929" s="22" t="str">
        <f>VLOOKUP(J2929, Dropdowns!N:O, 2, FALSE)</f>
        <v>Standard</v>
      </c>
      <c r="J2929" t="s">
        <v>760</v>
      </c>
      <c r="L2929" s="17" t="s">
        <v>732</v>
      </c>
      <c r="M2929" s="17" t="s">
        <v>10</v>
      </c>
      <c r="N2929" s="17">
        <v>2</v>
      </c>
    </row>
    <row r="2930" spans="1:14" x14ac:dyDescent="0.25">
      <c r="A2930" s="8">
        <v>986250</v>
      </c>
      <c r="B2930" s="22" t="str">
        <f>IFERROR(VLOOKUP(A2930,VLOOKUPS!$A$2:B$12589,2,FALSE),"")</f>
        <v>French Beans 1lb-standard</v>
      </c>
      <c r="E2930">
        <v>2.99</v>
      </c>
      <c r="F2930">
        <v>1.99</v>
      </c>
      <c r="G2930" s="13">
        <v>44573</v>
      </c>
      <c r="H2930" s="13">
        <v>44574</v>
      </c>
      <c r="I2930" s="22" t="str">
        <f>VLOOKUP(J2930, Dropdowns!N:O, 2, FALSE)</f>
        <v>Lower Price</v>
      </c>
      <c r="J2930" t="s">
        <v>759</v>
      </c>
      <c r="L2930" s="17" t="s">
        <v>732</v>
      </c>
      <c r="M2930" s="17" t="s">
        <v>10</v>
      </c>
      <c r="N2930" s="17">
        <v>2</v>
      </c>
    </row>
    <row r="2931" spans="1:14" x14ac:dyDescent="0.25">
      <c r="A2931" s="8">
        <v>986250</v>
      </c>
      <c r="B2931" s="22" t="str">
        <f>IFERROR(VLOOKUP(A2931,VLOOKUPS!$A$2:B$12589,2,FALSE),"")</f>
        <v>French Beans 1lb-standard</v>
      </c>
      <c r="E2931">
        <v>1.99</v>
      </c>
      <c r="F2931">
        <v>2.99</v>
      </c>
      <c r="G2931" s="13">
        <v>44575</v>
      </c>
      <c r="H2931" s="13"/>
      <c r="I2931" s="22" t="str">
        <f>VLOOKUP(J2931, Dropdowns!N:O, 2, FALSE)</f>
        <v>Standard</v>
      </c>
      <c r="J2931" t="s">
        <v>760</v>
      </c>
      <c r="L2931" s="17" t="s">
        <v>732</v>
      </c>
      <c r="M2931" s="17" t="s">
        <v>10</v>
      </c>
      <c r="N2931" s="17">
        <v>2</v>
      </c>
    </row>
    <row r="2932" spans="1:14" x14ac:dyDescent="0.25">
      <c r="A2932" s="8">
        <v>995051</v>
      </c>
      <c r="B2932" s="22" t="str">
        <f>IFERROR(VLOOKUP(A2932,VLOOKUPS!$A$2:B$12589,2,FALSE),"")</f>
        <v>Mild Fresh Chopped Salsa 16oz-standard</v>
      </c>
      <c r="E2932">
        <v>4.49</v>
      </c>
      <c r="F2932">
        <v>3.49</v>
      </c>
      <c r="G2932" s="13">
        <v>44573</v>
      </c>
      <c r="H2932" s="13">
        <v>44574</v>
      </c>
      <c r="I2932" s="22" t="str">
        <f>VLOOKUP(J2932, Dropdowns!N:O, 2, FALSE)</f>
        <v>Lower Price</v>
      </c>
      <c r="J2932" t="s">
        <v>759</v>
      </c>
      <c r="L2932" s="17" t="s">
        <v>732</v>
      </c>
      <c r="M2932" s="17" t="s">
        <v>738</v>
      </c>
      <c r="N2932" s="17">
        <v>2</v>
      </c>
    </row>
    <row r="2933" spans="1:14" x14ac:dyDescent="0.25">
      <c r="A2933" s="8">
        <v>995051</v>
      </c>
      <c r="B2933" s="22" t="str">
        <f>IFERROR(VLOOKUP(A2933,VLOOKUPS!$A$2:B$12589,2,FALSE),"")</f>
        <v>Mild Fresh Chopped Salsa 16oz-standard</v>
      </c>
      <c r="E2933">
        <v>3.49</v>
      </c>
      <c r="F2933">
        <v>4.49</v>
      </c>
      <c r="G2933" s="13">
        <v>44575</v>
      </c>
      <c r="H2933" s="13"/>
      <c r="I2933" s="22" t="str">
        <f>VLOOKUP(J2933, Dropdowns!N:O, 2, FALSE)</f>
        <v>Standard</v>
      </c>
      <c r="J2933" t="s">
        <v>760</v>
      </c>
      <c r="L2933" s="17" t="s">
        <v>732</v>
      </c>
      <c r="M2933" s="17" t="s">
        <v>738</v>
      </c>
      <c r="N2933" s="17">
        <v>2</v>
      </c>
    </row>
    <row r="2934" spans="1:14" x14ac:dyDescent="0.25">
      <c r="A2934" s="8">
        <v>995103</v>
      </c>
      <c r="B2934" s="22" t="str">
        <f>IFERROR(VLOOKUP(A2934,VLOOKUPS!$A$2:B$12589,2,FALSE),"")</f>
        <v>Teriyaki Stir Fry Kit 12.5oz-standard</v>
      </c>
      <c r="E2934">
        <v>2.98</v>
      </c>
      <c r="F2934">
        <v>1.98</v>
      </c>
      <c r="G2934" s="13">
        <v>44573</v>
      </c>
      <c r="H2934" s="13">
        <v>44574</v>
      </c>
      <c r="I2934" s="22" t="str">
        <f>VLOOKUP(J2934, Dropdowns!N:O, 2, FALSE)</f>
        <v>Lower Price</v>
      </c>
      <c r="J2934" t="s">
        <v>759</v>
      </c>
      <c r="L2934" s="17" t="s">
        <v>732</v>
      </c>
      <c r="M2934" s="17" t="s">
        <v>735</v>
      </c>
      <c r="N2934" s="17" t="s">
        <v>736</v>
      </c>
    </row>
    <row r="2935" spans="1:14" x14ac:dyDescent="0.25">
      <c r="A2935" s="8">
        <v>995103</v>
      </c>
      <c r="B2935" s="22" t="str">
        <f>IFERROR(VLOOKUP(A2935,VLOOKUPS!$A$2:B$12589,2,FALSE),"")</f>
        <v>Teriyaki Stir Fry Kit 12.5oz-standard</v>
      </c>
      <c r="E2935">
        <v>1.98</v>
      </c>
      <c r="F2935">
        <v>2.98</v>
      </c>
      <c r="G2935" s="13">
        <v>44575</v>
      </c>
      <c r="H2935" s="13"/>
      <c r="I2935" s="22" t="str">
        <f>VLOOKUP(J2935, Dropdowns!N:O, 2, FALSE)</f>
        <v>Standard</v>
      </c>
      <c r="J2935" t="s">
        <v>760</v>
      </c>
      <c r="L2935" s="17" t="s">
        <v>732</v>
      </c>
      <c r="M2935" s="17" t="s">
        <v>735</v>
      </c>
      <c r="N2935" s="17" t="s">
        <v>736</v>
      </c>
    </row>
    <row r="2936" spans="1:14" x14ac:dyDescent="0.25">
      <c r="A2936" s="8">
        <v>995157</v>
      </c>
      <c r="B2936" s="22" t="str">
        <f>IFERROR(VLOOKUP(A2936,VLOOKUPS!$A$2:B$12589,2,FALSE),"")</f>
        <v/>
      </c>
      <c r="E2936">
        <v>4.49</v>
      </c>
      <c r="F2936">
        <v>2.99</v>
      </c>
      <c r="G2936" s="13">
        <v>44573</v>
      </c>
      <c r="H2936" s="13">
        <v>44574</v>
      </c>
      <c r="I2936" s="22" t="str">
        <f>VLOOKUP(J2936, Dropdowns!N:O, 2, FALSE)</f>
        <v>Lower Price</v>
      </c>
      <c r="J2936" t="s">
        <v>759</v>
      </c>
      <c r="L2936" s="17" t="s">
        <v>732</v>
      </c>
      <c r="M2936" s="17" t="s">
        <v>10</v>
      </c>
      <c r="N2936" s="17">
        <v>2</v>
      </c>
    </row>
    <row r="2937" spans="1:14" x14ac:dyDescent="0.25">
      <c r="A2937" s="8">
        <v>995157</v>
      </c>
      <c r="B2937" s="22" t="str">
        <f>IFERROR(VLOOKUP(A2937,VLOOKUPS!$A$2:B$12589,2,FALSE),"")</f>
        <v/>
      </c>
      <c r="E2937">
        <v>2.99</v>
      </c>
      <c r="F2937">
        <v>4.49</v>
      </c>
      <c r="G2937" s="13">
        <v>44575</v>
      </c>
      <c r="H2937" s="13"/>
      <c r="I2937" s="22" t="str">
        <f>VLOOKUP(J2937, Dropdowns!N:O, 2, FALSE)</f>
        <v>Standard</v>
      </c>
      <c r="J2937" t="s">
        <v>760</v>
      </c>
      <c r="L2937" s="17" t="s">
        <v>732</v>
      </c>
      <c r="M2937" s="17" t="s">
        <v>10</v>
      </c>
      <c r="N2937" s="17">
        <v>2</v>
      </c>
    </row>
    <row r="2938" spans="1:14" x14ac:dyDescent="0.25">
      <c r="A2938" s="8">
        <v>984620</v>
      </c>
      <c r="B2938" s="22" t="str">
        <f>IFERROR(VLOOKUP(A2938,VLOOKUPS!$A$2:B$12589,2,FALSE),"")</f>
        <v>Raspberries 6oz-standard</v>
      </c>
      <c r="G2938" s="13">
        <v>44573</v>
      </c>
      <c r="H2938" s="13">
        <v>44579</v>
      </c>
      <c r="I2938" s="22" t="str">
        <f>VLOOKUP(J2938, Dropdowns!N:O, 2, FALSE)</f>
        <v>Lower Price</v>
      </c>
      <c r="J2938" t="s">
        <v>753</v>
      </c>
      <c r="L2938" s="17" t="s">
        <v>732</v>
      </c>
      <c r="M2938" s="17" t="s">
        <v>736</v>
      </c>
      <c r="N2938" s="17" t="s">
        <v>736</v>
      </c>
    </row>
    <row r="2939" spans="1:14" x14ac:dyDescent="0.25">
      <c r="A2939" s="8">
        <v>988620</v>
      </c>
      <c r="B2939" s="22" t="str">
        <f>IFERROR(VLOOKUP(A2939,VLOOKUPS!$A$2:B$12589,2,FALSE),"")</f>
        <v>Brussels Sprouts 1lb-standard</v>
      </c>
      <c r="G2939" s="13">
        <v>44573</v>
      </c>
      <c r="H2939" s="13">
        <v>44579</v>
      </c>
      <c r="I2939" s="22" t="str">
        <f>VLOOKUP(J2939, Dropdowns!N:O, 2, FALSE)</f>
        <v>Lower Price</v>
      </c>
      <c r="J2939" t="s">
        <v>753</v>
      </c>
      <c r="L2939" s="17" t="s">
        <v>732</v>
      </c>
      <c r="M2939" s="17" t="s">
        <v>736</v>
      </c>
      <c r="N2939" s="17" t="s">
        <v>736</v>
      </c>
    </row>
    <row r="2940" spans="1:14" x14ac:dyDescent="0.25">
      <c r="A2940" s="8">
        <v>995001</v>
      </c>
      <c r="B2940" s="22" t="str">
        <f>IFERROR(VLOOKUP(A2940,VLOOKUPS!$A$2:B$12589,2,FALSE),"")</f>
        <v>Spinach Baby 6oz-standard</v>
      </c>
      <c r="E2940">
        <v>1.49</v>
      </c>
      <c r="F2940">
        <v>2.3199999999999998</v>
      </c>
      <c r="G2940" s="13">
        <v>44573</v>
      </c>
      <c r="H2940" s="13"/>
      <c r="I2940" s="22" t="str">
        <f>VLOOKUP(J2940, Dropdowns!N:O, 2, FALSE)</f>
        <v>Standard</v>
      </c>
      <c r="J2940" t="s">
        <v>760</v>
      </c>
      <c r="L2940" s="17" t="s">
        <v>732</v>
      </c>
      <c r="M2940" s="17" t="s">
        <v>736</v>
      </c>
      <c r="N2940" s="17" t="s">
        <v>736</v>
      </c>
    </row>
    <row r="2941" spans="1:14" x14ac:dyDescent="0.25">
      <c r="A2941" s="8">
        <v>984700</v>
      </c>
      <c r="B2941" s="22" t="str">
        <f>IFERROR(VLOOKUP(A2941,VLOOKUPS!$A$2:B$12589,2,FALSE),"")</f>
        <v>Blackberries 6oz-standard</v>
      </c>
      <c r="E2941">
        <v>1.19</v>
      </c>
      <c r="F2941">
        <v>2.2799999999999998</v>
      </c>
      <c r="G2941" s="13">
        <v>44573</v>
      </c>
      <c r="H2941" s="13"/>
      <c r="I2941" s="22" t="str">
        <f>VLOOKUP(J2941, Dropdowns!N:O, 2, FALSE)</f>
        <v>Standard</v>
      </c>
      <c r="J2941" t="s">
        <v>760</v>
      </c>
      <c r="L2941" s="17" t="s">
        <v>732</v>
      </c>
      <c r="M2941" s="17" t="s">
        <v>10</v>
      </c>
      <c r="N2941" s="17">
        <v>2</v>
      </c>
    </row>
    <row r="2942" spans="1:14" x14ac:dyDescent="0.25">
      <c r="A2942" s="8">
        <v>984700</v>
      </c>
      <c r="B2942" s="22" t="str">
        <f>IFERROR(VLOOKUP(A2942,VLOOKUPS!$A$2:B$12589,2,FALSE),"")</f>
        <v>Blackberries 6oz-standard</v>
      </c>
      <c r="G2942" s="13">
        <v>44573</v>
      </c>
      <c r="H2942" s="13">
        <v>44573</v>
      </c>
      <c r="I2942" s="22" t="str">
        <f>VLOOKUP(J2942, Dropdowns!N:O, 2, FALSE)</f>
        <v>Lower Price</v>
      </c>
      <c r="J2942" t="s">
        <v>762</v>
      </c>
      <c r="L2942" s="17" t="s">
        <v>732</v>
      </c>
      <c r="M2942" s="17" t="s">
        <v>737</v>
      </c>
      <c r="N2942" s="17" t="s">
        <v>736</v>
      </c>
    </row>
    <row r="2943" spans="1:14" x14ac:dyDescent="0.25">
      <c r="A2943" s="8">
        <v>985011</v>
      </c>
      <c r="B2943" s="22" t="str">
        <f>IFERROR(VLOOKUP(A2943,VLOOKUPS!$A$2:B$12589,2,FALSE),"")</f>
        <v>Lettuce Butter 1ct-standard</v>
      </c>
      <c r="G2943" s="13">
        <v>44573</v>
      </c>
      <c r="H2943" s="13"/>
      <c r="I2943" s="22" t="str">
        <f>VLOOKUP(J2943, Dropdowns!N:O, 2, FALSE)</f>
        <v>Standard</v>
      </c>
      <c r="J2943" t="s">
        <v>760</v>
      </c>
      <c r="L2943" s="17" t="s">
        <v>732</v>
      </c>
      <c r="M2943" s="17" t="s">
        <v>738</v>
      </c>
      <c r="N2943" s="17">
        <v>2</v>
      </c>
    </row>
    <row r="2944" spans="1:14" x14ac:dyDescent="0.25">
      <c r="A2944" s="8">
        <v>985011</v>
      </c>
      <c r="B2944" s="22" t="str">
        <f>IFERROR(VLOOKUP(A2944,VLOOKUPS!$A$2:B$12589,2,FALSE),"")</f>
        <v>Lettuce Butter 1ct-standard</v>
      </c>
      <c r="G2944" s="13">
        <v>44573</v>
      </c>
      <c r="H2944" s="13">
        <v>44573</v>
      </c>
      <c r="I2944" s="22" t="str">
        <f>VLOOKUP(J2944, Dropdowns!N:O, 2, FALSE)</f>
        <v>Lower Price</v>
      </c>
      <c r="J2944" t="s">
        <v>762</v>
      </c>
      <c r="L2944" s="17" t="s">
        <v>732</v>
      </c>
      <c r="M2944" s="17" t="s">
        <v>9</v>
      </c>
      <c r="N2944" s="17" t="s">
        <v>736</v>
      </c>
    </row>
    <row r="2945" spans="1:14" x14ac:dyDescent="0.25">
      <c r="A2945" s="8">
        <v>995113</v>
      </c>
      <c r="B2945" s="22" t="str">
        <f>IFERROR(VLOOKUP(A2945,VLOOKUPS!$A$2:B$12589,2,FALSE),"")</f>
        <v/>
      </c>
      <c r="E2945">
        <v>3.49</v>
      </c>
      <c r="F2945">
        <v>2.4900000000000002</v>
      </c>
      <c r="G2945" s="13">
        <v>44573</v>
      </c>
      <c r="H2945" s="13">
        <v>44573</v>
      </c>
      <c r="I2945" s="22" t="str">
        <f>VLOOKUP(J2945, Dropdowns!N:O, 2, FALSE)</f>
        <v>Lower Price</v>
      </c>
      <c r="J2945" t="s">
        <v>759</v>
      </c>
      <c r="L2945" s="17" t="s">
        <v>732</v>
      </c>
      <c r="M2945" s="17" t="s">
        <v>738</v>
      </c>
      <c r="N2945" s="17">
        <v>2</v>
      </c>
    </row>
    <row r="2946" spans="1:14" x14ac:dyDescent="0.25">
      <c r="A2946" s="8">
        <v>995113</v>
      </c>
      <c r="B2946" s="22" t="str">
        <f>IFERROR(VLOOKUP(A2946,VLOOKUPS!$A$2:B$12589,2,FALSE),"")</f>
        <v/>
      </c>
      <c r="E2946">
        <v>2.4900000000000002</v>
      </c>
      <c r="F2946">
        <v>3.49</v>
      </c>
      <c r="G2946" s="13">
        <v>44574</v>
      </c>
      <c r="H2946" s="13"/>
      <c r="I2946" s="22" t="str">
        <f>VLOOKUP(J2946, Dropdowns!N:O, 2, FALSE)</f>
        <v>Standard</v>
      </c>
      <c r="J2946" t="s">
        <v>760</v>
      </c>
      <c r="L2946" s="17" t="s">
        <v>732</v>
      </c>
      <c r="M2946" s="17" t="s">
        <v>738</v>
      </c>
      <c r="N2946" s="17">
        <v>2</v>
      </c>
    </row>
    <row r="2947" spans="1:14" x14ac:dyDescent="0.25">
      <c r="A2947" s="8">
        <v>995043</v>
      </c>
      <c r="B2947" s="22" t="str">
        <f>IFERROR(VLOOKUP(A2947,VLOOKUPS!$A$2:B$12589,2,FALSE),"")</f>
        <v>Watermelon Chunks 16oz-standard</v>
      </c>
      <c r="E2947">
        <v>3.49</v>
      </c>
      <c r="F2947">
        <v>1.89</v>
      </c>
      <c r="G2947" s="13">
        <v>44574</v>
      </c>
      <c r="H2947" s="13">
        <v>44575</v>
      </c>
      <c r="I2947" s="22" t="str">
        <f>VLOOKUP(J2947, Dropdowns!N:O, 2, FALSE)</f>
        <v>Lower Price</v>
      </c>
      <c r="J2947" t="s">
        <v>759</v>
      </c>
      <c r="L2947" s="17" t="s">
        <v>732</v>
      </c>
      <c r="M2947" s="17" t="s">
        <v>10</v>
      </c>
      <c r="N2947" s="17">
        <v>2</v>
      </c>
    </row>
    <row r="2948" spans="1:14" x14ac:dyDescent="0.25">
      <c r="A2948" s="8">
        <v>995043</v>
      </c>
      <c r="B2948" s="22" t="str">
        <f>IFERROR(VLOOKUP(A2948,VLOOKUPS!$A$2:B$12589,2,FALSE),"")</f>
        <v>Watermelon Chunks 16oz-standard</v>
      </c>
      <c r="E2948">
        <v>1.89</v>
      </c>
      <c r="F2948">
        <v>3.49</v>
      </c>
      <c r="G2948" s="13">
        <v>44576</v>
      </c>
      <c r="H2948" s="13"/>
      <c r="I2948" s="22" t="str">
        <f>VLOOKUP(J2948, Dropdowns!N:O, 2, FALSE)</f>
        <v>Standard</v>
      </c>
      <c r="J2948" t="s">
        <v>760</v>
      </c>
      <c r="L2948" s="17" t="s">
        <v>732</v>
      </c>
      <c r="M2948" s="17" t="s">
        <v>10</v>
      </c>
      <c r="N2948" s="17">
        <v>2</v>
      </c>
    </row>
    <row r="2949" spans="1:14" x14ac:dyDescent="0.25">
      <c r="A2949" s="8">
        <v>995046</v>
      </c>
      <c r="B2949" s="22" t="str">
        <f>IFERROR(VLOOKUP(A2949,VLOOKUPS!$A$2:B$12589,2,FALSE),"")</f>
        <v>Diced Onion 8oz-standard</v>
      </c>
      <c r="E2949">
        <v>1.99</v>
      </c>
      <c r="F2949">
        <v>0.99</v>
      </c>
      <c r="G2949" s="13">
        <v>44574</v>
      </c>
      <c r="H2949" s="13">
        <v>44575</v>
      </c>
      <c r="I2949" s="22" t="str">
        <f>VLOOKUP(J2949, Dropdowns!N:O, 2, FALSE)</f>
        <v>Lower Price</v>
      </c>
      <c r="J2949" t="s">
        <v>759</v>
      </c>
      <c r="L2949" s="17" t="s">
        <v>732</v>
      </c>
      <c r="M2949" s="17" t="s">
        <v>10</v>
      </c>
      <c r="N2949" s="8">
        <v>2</v>
      </c>
    </row>
    <row r="2950" spans="1:14" x14ac:dyDescent="0.25">
      <c r="A2950" s="8">
        <v>995046</v>
      </c>
      <c r="B2950" s="22" t="str">
        <f>IFERROR(VLOOKUP(A2950,VLOOKUPS!$A$2:B$12589,2,FALSE),"")</f>
        <v>Diced Onion 8oz-standard</v>
      </c>
      <c r="E2950">
        <v>0.99</v>
      </c>
      <c r="F2950">
        <v>1.99</v>
      </c>
      <c r="G2950" s="13">
        <v>44576</v>
      </c>
      <c r="H2950" s="13"/>
      <c r="I2950" s="22" t="str">
        <f>VLOOKUP(J2950, Dropdowns!N:O, 2, FALSE)</f>
        <v>Standard</v>
      </c>
      <c r="J2950" t="s">
        <v>760</v>
      </c>
      <c r="L2950" s="17" t="s">
        <v>732</v>
      </c>
      <c r="M2950" s="17" t="s">
        <v>10</v>
      </c>
      <c r="N2950" s="17">
        <v>2</v>
      </c>
    </row>
    <row r="2951" spans="1:14" x14ac:dyDescent="0.25">
      <c r="A2951" s="8">
        <v>982740</v>
      </c>
      <c r="B2951" s="22" t="str">
        <f>IFERROR(VLOOKUP(A2951,VLOOKUPS!$A$2:B$12589,2,FALSE),"")</f>
        <v>Grapes* Red Seedless 1lb-LOOSE</v>
      </c>
      <c r="E2951">
        <v>1.99</v>
      </c>
      <c r="F2951">
        <v>1.69</v>
      </c>
      <c r="G2951" s="13">
        <v>44574</v>
      </c>
      <c r="H2951" s="13"/>
      <c r="I2951" s="22" t="str">
        <f>VLOOKUP(J2951, Dropdowns!N:O, 2, FALSE)</f>
        <v>Standard</v>
      </c>
      <c r="J2951" t="s">
        <v>761</v>
      </c>
      <c r="L2951" s="17" t="s">
        <v>732</v>
      </c>
      <c r="M2951" s="17" t="s">
        <v>736</v>
      </c>
      <c r="N2951" s="17" t="s">
        <v>736</v>
      </c>
    </row>
    <row r="2952" spans="1:14" x14ac:dyDescent="0.25">
      <c r="A2952" s="8">
        <v>984700</v>
      </c>
      <c r="B2952" s="22" t="str">
        <f>IFERROR(VLOOKUP(A2952,VLOOKUPS!$A$2:B$12589,2,FALSE),"")</f>
        <v>Blackberries 6oz-standard</v>
      </c>
      <c r="E2952">
        <v>1.19</v>
      </c>
      <c r="F2952">
        <v>2.2799999999999998</v>
      </c>
      <c r="G2952" s="13">
        <v>44574</v>
      </c>
      <c r="H2952" s="13"/>
      <c r="I2952" s="22" t="str">
        <f>VLOOKUP(J2952, Dropdowns!N:O, 2, FALSE)</f>
        <v>Standard</v>
      </c>
      <c r="J2952" t="s">
        <v>760</v>
      </c>
      <c r="L2952" s="17" t="s">
        <v>733</v>
      </c>
      <c r="M2952" s="17" t="s">
        <v>11</v>
      </c>
      <c r="N2952" s="17" t="s">
        <v>740</v>
      </c>
    </row>
    <row r="2953" spans="1:14" x14ac:dyDescent="0.25">
      <c r="A2953" s="8">
        <v>984700</v>
      </c>
      <c r="B2953" s="22" t="str">
        <f>IFERROR(VLOOKUP(A2953,VLOOKUPS!$A$2:B$12589,2,FALSE),"")</f>
        <v>Blackberries 6oz-standard</v>
      </c>
      <c r="G2953" s="13">
        <v>44574</v>
      </c>
      <c r="H2953" s="13">
        <v>44574</v>
      </c>
      <c r="I2953" s="22" t="str">
        <f>VLOOKUP(J2953, Dropdowns!N:O, 2, FALSE)</f>
        <v>Lower Price</v>
      </c>
      <c r="J2953" t="s">
        <v>762</v>
      </c>
      <c r="L2953" s="17" t="s">
        <v>732</v>
      </c>
      <c r="M2953" s="17" t="s">
        <v>9</v>
      </c>
      <c r="N2953" s="17" t="s">
        <v>736</v>
      </c>
    </row>
    <row r="2954" spans="1:14" x14ac:dyDescent="0.25">
      <c r="A2954" s="8">
        <v>985011</v>
      </c>
      <c r="B2954" s="22" t="str">
        <f>IFERROR(VLOOKUP(A2954,VLOOKUPS!$A$2:B$12589,2,FALSE),"")</f>
        <v>Lettuce Butter 1ct-standard</v>
      </c>
      <c r="E2954">
        <v>1.99</v>
      </c>
      <c r="F2954">
        <v>2.79</v>
      </c>
      <c r="G2954" s="13">
        <v>44574</v>
      </c>
      <c r="H2954" s="13"/>
      <c r="I2954" s="22" t="str">
        <f>VLOOKUP(J2954, Dropdowns!N:O, 2, FALSE)</f>
        <v>Standard</v>
      </c>
      <c r="J2954" t="s">
        <v>760</v>
      </c>
      <c r="L2954" s="17" t="s">
        <v>732</v>
      </c>
      <c r="M2954" s="17" t="s">
        <v>9</v>
      </c>
      <c r="N2954" s="17" t="s">
        <v>736</v>
      </c>
    </row>
    <row r="2955" spans="1:14" x14ac:dyDescent="0.25">
      <c r="A2955" s="8">
        <v>984500</v>
      </c>
      <c r="B2955" s="22" t="str">
        <f>IFERROR(VLOOKUP(A2955,VLOOKUPS!$A$2:B$12589,2,FALSE),"")</f>
        <v>Organic Strawberries 1lb-standard</v>
      </c>
      <c r="E2955">
        <v>4.9800000000000004</v>
      </c>
      <c r="F2955">
        <v>3.48</v>
      </c>
      <c r="G2955" s="13">
        <v>44575</v>
      </c>
      <c r="H2955" s="13">
        <v>44576</v>
      </c>
      <c r="I2955" s="22" t="str">
        <f>VLOOKUP(J2955, Dropdowns!N:O, 2, FALSE)</f>
        <v>Lower Price</v>
      </c>
      <c r="J2955" t="s">
        <v>759</v>
      </c>
      <c r="L2955" s="17" t="s">
        <v>732</v>
      </c>
      <c r="M2955" s="17" t="s">
        <v>737</v>
      </c>
      <c r="N2955" s="17" t="s">
        <v>736</v>
      </c>
    </row>
    <row r="2956" spans="1:14" x14ac:dyDescent="0.25">
      <c r="A2956" s="8">
        <v>984500</v>
      </c>
      <c r="B2956" s="22" t="str">
        <f>IFERROR(VLOOKUP(A2956,VLOOKUPS!$A$2:B$12589,2,FALSE),"")</f>
        <v>Organic Strawberries 1lb-standard</v>
      </c>
      <c r="E2956">
        <v>3.48</v>
      </c>
      <c r="F2956">
        <v>4.9800000000000004</v>
      </c>
      <c r="G2956" s="13">
        <v>44577</v>
      </c>
      <c r="H2956" s="13"/>
      <c r="I2956" s="22" t="str">
        <f>VLOOKUP(J2956, Dropdowns!N:O, 2, FALSE)</f>
        <v>Standard</v>
      </c>
      <c r="J2956" t="s">
        <v>760</v>
      </c>
      <c r="L2956" s="17" t="s">
        <v>732</v>
      </c>
      <c r="M2956" s="17" t="s">
        <v>737</v>
      </c>
      <c r="N2956" s="17" t="s">
        <v>736</v>
      </c>
    </row>
    <row r="2957" spans="1:14" x14ac:dyDescent="0.25">
      <c r="A2957" s="8">
        <v>984700</v>
      </c>
      <c r="B2957" s="22" t="str">
        <f>IFERROR(VLOOKUP(A2957,VLOOKUPS!$A$2:B$12589,2,FALSE),"")</f>
        <v>Blackberries 6oz-standard</v>
      </c>
      <c r="E2957">
        <v>1.19</v>
      </c>
      <c r="F2957">
        <v>2.2799999999999998</v>
      </c>
      <c r="G2957" s="13">
        <v>44575</v>
      </c>
      <c r="H2957" s="13"/>
      <c r="I2957" s="22" t="str">
        <f>VLOOKUP(J2957, Dropdowns!N:O, 2, FALSE)</f>
        <v>Standard</v>
      </c>
      <c r="J2957" t="s">
        <v>760</v>
      </c>
      <c r="L2957" s="17" t="s">
        <v>732</v>
      </c>
      <c r="M2957" s="17" t="s">
        <v>9</v>
      </c>
      <c r="N2957" s="17" t="s">
        <v>736</v>
      </c>
    </row>
    <row r="2958" spans="1:14" x14ac:dyDescent="0.25">
      <c r="A2958" s="8">
        <v>984700</v>
      </c>
      <c r="B2958" s="22" t="str">
        <f>IFERROR(VLOOKUP(A2958,VLOOKUPS!$A$2:B$12589,2,FALSE),"")</f>
        <v>Blackberries 6oz-standard</v>
      </c>
      <c r="E2958">
        <v>2.2799999999999998</v>
      </c>
      <c r="F2958">
        <v>1.28</v>
      </c>
      <c r="G2958" s="13">
        <v>44575</v>
      </c>
      <c r="H2958" s="13">
        <v>44576</v>
      </c>
      <c r="I2958" s="22" t="str">
        <f>VLOOKUP(J2958, Dropdowns!N:O, 2, FALSE)</f>
        <v>Lower Price</v>
      </c>
      <c r="J2958" t="s">
        <v>759</v>
      </c>
      <c r="L2958" s="17" t="s">
        <v>732</v>
      </c>
      <c r="M2958" s="17" t="s">
        <v>10</v>
      </c>
      <c r="N2958" s="17">
        <v>2</v>
      </c>
    </row>
    <row r="2959" spans="1:14" x14ac:dyDescent="0.25">
      <c r="A2959" s="8">
        <v>984700</v>
      </c>
      <c r="B2959" s="22" t="str">
        <f>IFERROR(VLOOKUP(A2959,VLOOKUPS!$A$2:B$12589,2,FALSE),"")</f>
        <v>Blackberries 6oz-standard</v>
      </c>
      <c r="E2959">
        <v>1.28</v>
      </c>
      <c r="F2959">
        <v>2.2799999999999998</v>
      </c>
      <c r="G2959" s="13">
        <v>44577</v>
      </c>
      <c r="H2959" s="13"/>
      <c r="I2959" s="22" t="str">
        <f>VLOOKUP(J2959, Dropdowns!N:O, 2, FALSE)</f>
        <v>Standard</v>
      </c>
      <c r="J2959" t="s">
        <v>760</v>
      </c>
      <c r="L2959" s="17" t="s">
        <v>732</v>
      </c>
      <c r="M2959" s="17" t="s">
        <v>10</v>
      </c>
      <c r="N2959" s="17">
        <v>2</v>
      </c>
    </row>
    <row r="2960" spans="1:14" x14ac:dyDescent="0.25">
      <c r="A2960" s="8">
        <v>986340</v>
      </c>
      <c r="B2960" s="22" t="str">
        <f>IFERROR(VLOOKUP(A2960,VLOOKUPS!$A$2:B$12589,2,FALSE),"")</f>
        <v>Mirepoix 16oz-standard</v>
      </c>
      <c r="E2960">
        <v>2.99</v>
      </c>
      <c r="F2960">
        <v>1.99</v>
      </c>
      <c r="G2960" s="13">
        <v>44575</v>
      </c>
      <c r="H2960" s="13">
        <v>44576</v>
      </c>
      <c r="I2960" s="22" t="str">
        <f>VLOOKUP(J2960, Dropdowns!N:O, 2, FALSE)</f>
        <v>Lower Price</v>
      </c>
      <c r="J2960" t="s">
        <v>759</v>
      </c>
      <c r="L2960" s="17" t="s">
        <v>732</v>
      </c>
      <c r="M2960" s="17" t="s">
        <v>10</v>
      </c>
      <c r="N2960" s="17">
        <v>2</v>
      </c>
    </row>
    <row r="2961" spans="1:14" x14ac:dyDescent="0.25">
      <c r="A2961" s="8">
        <v>986340</v>
      </c>
      <c r="B2961" s="22" t="str">
        <f>IFERROR(VLOOKUP(A2961,VLOOKUPS!$A$2:B$12589,2,FALSE),"")</f>
        <v>Mirepoix 16oz-standard</v>
      </c>
      <c r="E2961">
        <v>1.99</v>
      </c>
      <c r="F2961">
        <v>2.99</v>
      </c>
      <c r="G2961" s="13">
        <v>44577</v>
      </c>
      <c r="H2961" s="13"/>
      <c r="I2961" s="22" t="str">
        <f>VLOOKUP(J2961, Dropdowns!N:O, 2, FALSE)</f>
        <v>Standard</v>
      </c>
      <c r="J2961" t="s">
        <v>760</v>
      </c>
      <c r="L2961" s="17" t="s">
        <v>732</v>
      </c>
      <c r="M2961" s="17" t="s">
        <v>10</v>
      </c>
      <c r="N2961" s="17">
        <v>2</v>
      </c>
    </row>
    <row r="2962" spans="1:14" x14ac:dyDescent="0.25">
      <c r="A2962" s="8">
        <v>995071</v>
      </c>
      <c r="B2962" s="22" t="str">
        <f>IFERROR(VLOOKUP(A2962,VLOOKUPS!$A$2:B$12589,2,FALSE),"")</f>
        <v>Broccoli Florets 12oz-standard</v>
      </c>
      <c r="E2962">
        <v>2.69</v>
      </c>
      <c r="F2962">
        <v>1.69</v>
      </c>
      <c r="G2962" s="13">
        <v>44575</v>
      </c>
      <c r="H2962" s="13">
        <v>44576</v>
      </c>
      <c r="I2962" s="22" t="str">
        <f>VLOOKUP(J2962, Dropdowns!N:O, 2, FALSE)</f>
        <v>Lower Price</v>
      </c>
      <c r="J2962" t="s">
        <v>759</v>
      </c>
      <c r="L2962" s="17" t="s">
        <v>733</v>
      </c>
      <c r="M2962" s="17" t="s">
        <v>10</v>
      </c>
      <c r="N2962" s="17" t="s">
        <v>740</v>
      </c>
    </row>
    <row r="2963" spans="1:14" x14ac:dyDescent="0.25">
      <c r="A2963" s="8">
        <v>995071</v>
      </c>
      <c r="B2963" s="22" t="str">
        <f>IFERROR(VLOOKUP(A2963,VLOOKUPS!$A$2:B$12589,2,FALSE),"")</f>
        <v>Broccoli Florets 12oz-standard</v>
      </c>
      <c r="E2963">
        <v>1.69</v>
      </c>
      <c r="F2963">
        <v>2.69</v>
      </c>
      <c r="G2963" s="13">
        <v>44577</v>
      </c>
      <c r="H2963" s="13"/>
      <c r="I2963" s="22" t="str">
        <f>VLOOKUP(J2963, Dropdowns!N:O, 2, FALSE)</f>
        <v>Standard</v>
      </c>
      <c r="J2963" t="s">
        <v>760</v>
      </c>
      <c r="L2963" s="17" t="s">
        <v>733</v>
      </c>
      <c r="M2963" s="17" t="s">
        <v>10</v>
      </c>
      <c r="N2963" s="17" t="s">
        <v>740</v>
      </c>
    </row>
    <row r="2964" spans="1:14" x14ac:dyDescent="0.25">
      <c r="A2964" s="8">
        <v>995104</v>
      </c>
      <c r="B2964" s="22" t="str">
        <f>IFERROR(VLOOKUP(A2964,VLOOKUPS!$A$2:B$12589,2,FALSE),"")</f>
        <v>Ginger Garlic Stir Fry Kit 14oz-standard</v>
      </c>
      <c r="E2964">
        <v>2.98</v>
      </c>
      <c r="F2964">
        <v>1.98</v>
      </c>
      <c r="G2964" s="13">
        <v>44575</v>
      </c>
      <c r="H2964" s="13">
        <v>44576</v>
      </c>
      <c r="I2964" s="22" t="str">
        <f>VLOOKUP(J2964, Dropdowns!N:O, 2, FALSE)</f>
        <v>Lower Price</v>
      </c>
      <c r="J2964" t="s">
        <v>759</v>
      </c>
      <c r="L2964" s="17" t="s">
        <v>732</v>
      </c>
      <c r="M2964" s="17" t="s">
        <v>10</v>
      </c>
      <c r="N2964" s="17">
        <v>2</v>
      </c>
    </row>
    <row r="2965" spans="1:14" x14ac:dyDescent="0.25">
      <c r="A2965" s="8">
        <v>995104</v>
      </c>
      <c r="B2965" s="22" t="str">
        <f>IFERROR(VLOOKUP(A2965,VLOOKUPS!$A$2:B$12589,2,FALSE),"")</f>
        <v>Ginger Garlic Stir Fry Kit 14oz-standard</v>
      </c>
      <c r="E2965">
        <v>1.98</v>
      </c>
      <c r="F2965">
        <v>2.98</v>
      </c>
      <c r="G2965" s="13">
        <v>44577</v>
      </c>
      <c r="H2965" s="13"/>
      <c r="I2965" s="22" t="str">
        <f>VLOOKUP(J2965, Dropdowns!N:O, 2, FALSE)</f>
        <v>Standard</v>
      </c>
      <c r="J2965" t="s">
        <v>760</v>
      </c>
      <c r="L2965" s="17" t="s">
        <v>732</v>
      </c>
      <c r="M2965" s="17" t="s">
        <v>10</v>
      </c>
      <c r="N2965" s="17">
        <v>2</v>
      </c>
    </row>
    <row r="2966" spans="1:14" x14ac:dyDescent="0.25">
      <c r="A2966" s="8">
        <v>995171</v>
      </c>
      <c r="B2966" s="22" t="str">
        <f>IFERROR(VLOOKUP(A2966,VLOOKUPS!$A$2:B$12589,2,FALSE),"")</f>
        <v>Kale Greens 2lb-standard</v>
      </c>
      <c r="E2966">
        <v>4.5599999999999996</v>
      </c>
      <c r="F2966">
        <v>3.46</v>
      </c>
      <c r="G2966" s="13">
        <v>44575</v>
      </c>
      <c r="H2966" s="13">
        <v>44576</v>
      </c>
      <c r="I2966" s="22" t="str">
        <f>VLOOKUP(J2966, Dropdowns!N:O, 2, FALSE)</f>
        <v>Lower Price</v>
      </c>
      <c r="J2966" t="s">
        <v>759</v>
      </c>
      <c r="L2966" s="17" t="s">
        <v>733</v>
      </c>
      <c r="M2966" s="17" t="s">
        <v>11</v>
      </c>
      <c r="N2966" s="17" t="s">
        <v>740</v>
      </c>
    </row>
    <row r="2967" spans="1:14" x14ac:dyDescent="0.25">
      <c r="A2967" s="8">
        <v>995171</v>
      </c>
      <c r="B2967" s="22" t="str">
        <f>IFERROR(VLOOKUP(A2967,VLOOKUPS!$A$2:B$12589,2,FALSE),"")</f>
        <v>Kale Greens 2lb-standard</v>
      </c>
      <c r="E2967">
        <v>3.46</v>
      </c>
      <c r="F2967">
        <v>4.5599999999999996</v>
      </c>
      <c r="G2967" s="13">
        <v>44577</v>
      </c>
      <c r="H2967" s="13"/>
      <c r="I2967" s="22" t="str">
        <f>VLOOKUP(J2967, Dropdowns!N:O, 2, FALSE)</f>
        <v>Standard</v>
      </c>
      <c r="J2967" t="s">
        <v>760</v>
      </c>
      <c r="L2967" s="17" t="s">
        <v>733</v>
      </c>
      <c r="M2967" s="17" t="s">
        <v>11</v>
      </c>
      <c r="N2967" s="17" t="s">
        <v>740</v>
      </c>
    </row>
    <row r="2968" spans="1:14" x14ac:dyDescent="0.25">
      <c r="A2968" s="8">
        <v>982740</v>
      </c>
      <c r="B2968" s="22" t="str">
        <f>IFERROR(VLOOKUP(A2968,VLOOKUPS!$A$2:B$12589,2,FALSE),"")</f>
        <v>Grapes* Red Seedless 1lb-LOOSE</v>
      </c>
      <c r="E2968">
        <v>1.69</v>
      </c>
      <c r="F2968">
        <v>1.88</v>
      </c>
      <c r="G2968" s="13">
        <v>44575</v>
      </c>
      <c r="H2968" s="13"/>
      <c r="I2968" s="22" t="str">
        <f>VLOOKUP(J2968, Dropdowns!N:O, 2, FALSE)</f>
        <v>Standard</v>
      </c>
      <c r="J2968" t="s">
        <v>761</v>
      </c>
      <c r="L2968" s="17" t="s">
        <v>732</v>
      </c>
      <c r="M2968" s="17" t="s">
        <v>736</v>
      </c>
      <c r="N2968" s="17" t="s">
        <v>736</v>
      </c>
    </row>
    <row r="2969" spans="1:14" x14ac:dyDescent="0.25">
      <c r="A2969" s="8">
        <v>982830</v>
      </c>
      <c r="B2969" s="22" t="str">
        <f>IFERROR(VLOOKUP(A2969,VLOOKUPS!$A$2:B$12589,2,FALSE),"")</f>
        <v>Grapes* Black Seedless 1lb-LOOSE</v>
      </c>
      <c r="E2969">
        <v>1.88</v>
      </c>
      <c r="F2969">
        <v>2.16</v>
      </c>
      <c r="G2969" s="13">
        <v>44575</v>
      </c>
      <c r="H2969" s="13"/>
      <c r="I2969" s="22" t="str">
        <f>VLOOKUP(J2969, Dropdowns!N:O, 2, FALSE)</f>
        <v>Standard</v>
      </c>
      <c r="J2969" t="s">
        <v>761</v>
      </c>
      <c r="L2969" s="17" t="s">
        <v>732</v>
      </c>
      <c r="M2969" s="17" t="s">
        <v>736</v>
      </c>
      <c r="N2969" s="17" t="s">
        <v>736</v>
      </c>
    </row>
    <row r="2970" spans="1:14" x14ac:dyDescent="0.25">
      <c r="A2970" s="8">
        <v>984500</v>
      </c>
      <c r="B2970" s="22" t="str">
        <f>IFERROR(VLOOKUP(A2970,VLOOKUPS!$A$2:B$12589,2,FALSE),"")</f>
        <v>Organic Strawberries 1lb-standard</v>
      </c>
      <c r="E2970">
        <v>4.9800000000000004</v>
      </c>
      <c r="F2970">
        <v>4.4800000000000004</v>
      </c>
      <c r="G2970" s="13">
        <v>44579</v>
      </c>
      <c r="H2970" s="13"/>
      <c r="I2970" s="22" t="str">
        <f>VLOOKUP(J2970, Dropdowns!N:O, 2, FALSE)</f>
        <v>Standard</v>
      </c>
      <c r="J2970" t="s">
        <v>761</v>
      </c>
      <c r="L2970" s="17" t="s">
        <v>732</v>
      </c>
      <c r="M2970" s="17" t="s">
        <v>736</v>
      </c>
      <c r="N2970" s="17" t="s">
        <v>736</v>
      </c>
    </row>
    <row r="2971" spans="1:14" x14ac:dyDescent="0.25">
      <c r="A2971" s="8">
        <v>984541</v>
      </c>
      <c r="B2971" s="22" t="str">
        <f>IFERROR(VLOOKUP(A2971,VLOOKUPS!$A$2:B$12589,2,FALSE),"")</f>
        <v>Blueberries 1pt-standard</v>
      </c>
      <c r="E2971">
        <v>2.68</v>
      </c>
      <c r="F2971">
        <v>2.58</v>
      </c>
      <c r="G2971" s="13">
        <v>44579</v>
      </c>
      <c r="H2971" s="13"/>
      <c r="I2971" s="22" t="str">
        <f>VLOOKUP(J2971, Dropdowns!N:O, 2, FALSE)</f>
        <v>Standard</v>
      </c>
      <c r="J2971" t="s">
        <v>761</v>
      </c>
      <c r="L2971" s="17" t="s">
        <v>732</v>
      </c>
      <c r="M2971" s="17" t="s">
        <v>736</v>
      </c>
      <c r="N2971" s="17" t="s">
        <v>736</v>
      </c>
    </row>
    <row r="2972" spans="1:14" x14ac:dyDescent="0.25">
      <c r="A2972" s="8">
        <v>984542</v>
      </c>
      <c r="B2972" s="22" t="str">
        <f>IFERROR(VLOOKUP(A2972,VLOOKUPS!$A$2:B$12589,2,FALSE),"")</f>
        <v>Blueberries 18oz-standard</v>
      </c>
      <c r="E2972">
        <v>4.18</v>
      </c>
      <c r="F2972">
        <v>4.12</v>
      </c>
      <c r="G2972" s="13">
        <v>44579</v>
      </c>
      <c r="H2972" s="13"/>
      <c r="I2972" s="22" t="str">
        <f>VLOOKUP(J2972, Dropdowns!N:O, 2, FALSE)</f>
        <v>Standard</v>
      </c>
      <c r="J2972" t="s">
        <v>761</v>
      </c>
      <c r="L2972" s="17" t="s">
        <v>732</v>
      </c>
      <c r="M2972" s="17" t="s">
        <v>736</v>
      </c>
      <c r="N2972" s="17" t="s">
        <v>736</v>
      </c>
    </row>
    <row r="2973" spans="1:14" x14ac:dyDescent="0.25">
      <c r="A2973" s="8">
        <v>984620</v>
      </c>
      <c r="B2973" s="22" t="str">
        <f>IFERROR(VLOOKUP(A2973,VLOOKUPS!$A$2:B$12589,2,FALSE),"")</f>
        <v>Raspberries 6oz-standard</v>
      </c>
      <c r="E2973">
        <v>2.7</v>
      </c>
      <c r="F2973">
        <v>2.68</v>
      </c>
      <c r="G2973" s="13">
        <v>44579</v>
      </c>
      <c r="H2973" s="13"/>
      <c r="I2973" s="22" t="str">
        <f>VLOOKUP(J2973, Dropdowns!N:O, 2, FALSE)</f>
        <v>Standard</v>
      </c>
      <c r="J2973" t="s">
        <v>761</v>
      </c>
      <c r="L2973" s="17" t="s">
        <v>732</v>
      </c>
      <c r="M2973" s="17" t="s">
        <v>736</v>
      </c>
      <c r="N2973" s="17" t="s">
        <v>736</v>
      </c>
    </row>
    <row r="2974" spans="1:14" x14ac:dyDescent="0.25">
      <c r="A2974" s="8">
        <v>984621</v>
      </c>
      <c r="B2974" s="22" t="str">
        <f>IFERROR(VLOOKUP(A2974,VLOOKUPS!$A$2:B$12589,2,FALSE),"")</f>
        <v>Raspberries 12oz-standard</v>
      </c>
      <c r="E2974">
        <v>4.74</v>
      </c>
      <c r="F2974">
        <v>4.88</v>
      </c>
      <c r="G2974" s="13">
        <v>44576</v>
      </c>
      <c r="H2974" s="13"/>
      <c r="I2974" s="22" t="str">
        <f>VLOOKUP(J2974, Dropdowns!N:O, 2, FALSE)</f>
        <v>Standard</v>
      </c>
      <c r="J2974" t="s">
        <v>761</v>
      </c>
      <c r="L2974" s="17" t="s">
        <v>732</v>
      </c>
      <c r="M2974" s="17" t="s">
        <v>736</v>
      </c>
      <c r="N2974" s="17" t="s">
        <v>736</v>
      </c>
    </row>
    <row r="2975" spans="1:14" x14ac:dyDescent="0.25">
      <c r="A2975" s="8">
        <v>983101</v>
      </c>
      <c r="B2975" s="22" t="str">
        <f>IFERROR(VLOOKUP(A2975,VLOOKUPS!$A$2:B$12589,2,FALSE),"")</f>
        <v>Melons Cantaloupes 1ct-LOOSE</v>
      </c>
      <c r="E2975">
        <v>2.98</v>
      </c>
      <c r="F2975">
        <v>1.68</v>
      </c>
      <c r="G2975" s="13">
        <v>44576</v>
      </c>
      <c r="H2975" s="13">
        <v>44577</v>
      </c>
      <c r="I2975" s="22" t="str">
        <f>VLOOKUP(J2975, Dropdowns!N:O, 2, FALSE)</f>
        <v>Lower Price</v>
      </c>
      <c r="J2975" t="s">
        <v>759</v>
      </c>
      <c r="L2975" s="17" t="s">
        <v>733</v>
      </c>
    </row>
    <row r="2976" spans="1:14" x14ac:dyDescent="0.25">
      <c r="A2976" s="8">
        <v>983101</v>
      </c>
      <c r="B2976" s="22" t="str">
        <f>IFERROR(VLOOKUP(A2976,VLOOKUPS!$A$2:B$12589,2,FALSE),"")</f>
        <v>Melons Cantaloupes 1ct-LOOSE</v>
      </c>
      <c r="E2976">
        <v>1.68</v>
      </c>
      <c r="F2976">
        <v>2.98</v>
      </c>
      <c r="G2976" s="13">
        <v>44578</v>
      </c>
      <c r="H2976" s="13"/>
      <c r="I2976" s="22" t="str">
        <f>VLOOKUP(J2976, Dropdowns!N:O, 2, FALSE)</f>
        <v>Standard</v>
      </c>
      <c r="J2976" t="s">
        <v>760</v>
      </c>
      <c r="L2976" s="17" t="s">
        <v>733</v>
      </c>
    </row>
    <row r="2977" spans="1:14" x14ac:dyDescent="0.25">
      <c r="A2977" s="8">
        <v>985760</v>
      </c>
      <c r="B2977" s="22" t="str">
        <f>IFERROR(VLOOKUP(A2977,VLOOKUPS!$A$2:B$12589,2,FALSE),"")</f>
        <v>Asparagus 1lb-standard</v>
      </c>
      <c r="E2977">
        <v>2.99</v>
      </c>
      <c r="F2977">
        <v>1.79</v>
      </c>
      <c r="G2977" s="13">
        <v>44576</v>
      </c>
      <c r="H2977" s="13">
        <v>44577</v>
      </c>
      <c r="I2977" s="22" t="str">
        <f>VLOOKUP(J2977, Dropdowns!N:O, 2, FALSE)</f>
        <v>Lower Price</v>
      </c>
      <c r="J2977" t="s">
        <v>759</v>
      </c>
      <c r="L2977" s="17" t="s">
        <v>733</v>
      </c>
    </row>
    <row r="2978" spans="1:14" x14ac:dyDescent="0.25">
      <c r="A2978" s="8">
        <v>985760</v>
      </c>
      <c r="B2978" s="22" t="str">
        <f>IFERROR(VLOOKUP(A2978,VLOOKUPS!$A$2:B$12589,2,FALSE),"")</f>
        <v>Asparagus 1lb-standard</v>
      </c>
      <c r="E2978">
        <v>1.79</v>
      </c>
      <c r="F2978">
        <v>2.99</v>
      </c>
      <c r="G2978" s="13">
        <v>44578</v>
      </c>
      <c r="H2978" s="13"/>
      <c r="I2978" s="22" t="str">
        <f>VLOOKUP(J2978, Dropdowns!N:O, 2, FALSE)</f>
        <v>Standard</v>
      </c>
      <c r="J2978" t="s">
        <v>760</v>
      </c>
      <c r="L2978" s="17" t="s">
        <v>733</v>
      </c>
    </row>
    <row r="2979" spans="1:14" x14ac:dyDescent="0.25">
      <c r="A2979" s="8">
        <v>987560</v>
      </c>
      <c r="B2979" s="22" t="str">
        <f>IFERROR(VLOOKUP(A2979,VLOOKUPS!$A$2:B$12589,2,FALSE),"")</f>
        <v>Celery 1ct-standard</v>
      </c>
      <c r="E2979">
        <v>1.38</v>
      </c>
      <c r="F2979">
        <v>0.88</v>
      </c>
      <c r="G2979" s="13">
        <v>44576</v>
      </c>
      <c r="H2979" s="13">
        <v>44577</v>
      </c>
      <c r="I2979" s="22" t="str">
        <f>VLOOKUP(J2979, Dropdowns!N:O, 2, FALSE)</f>
        <v>Lower Price</v>
      </c>
      <c r="J2979" t="s">
        <v>759</v>
      </c>
      <c r="L2979" s="17" t="s">
        <v>732</v>
      </c>
      <c r="M2979" s="17" t="s">
        <v>738</v>
      </c>
      <c r="N2979" s="17">
        <v>2</v>
      </c>
    </row>
    <row r="2980" spans="1:14" x14ac:dyDescent="0.25">
      <c r="A2980" s="8">
        <v>987560</v>
      </c>
      <c r="B2980" s="22" t="str">
        <f>IFERROR(VLOOKUP(A2980,VLOOKUPS!$A$2:B$12589,2,FALSE),"")</f>
        <v>Celery 1ct-standard</v>
      </c>
      <c r="E2980">
        <v>0.88</v>
      </c>
      <c r="F2980">
        <v>1.38</v>
      </c>
      <c r="G2980" s="13">
        <v>44578</v>
      </c>
      <c r="H2980" s="13"/>
      <c r="I2980" s="22" t="str">
        <f>VLOOKUP(J2980, Dropdowns!N:O, 2, FALSE)</f>
        <v>Standard</v>
      </c>
      <c r="J2980" t="s">
        <v>760</v>
      </c>
      <c r="L2980" s="17" t="s">
        <v>732</v>
      </c>
      <c r="M2980" s="17" t="s">
        <v>738</v>
      </c>
      <c r="N2980" s="17">
        <v>2</v>
      </c>
    </row>
    <row r="2981" spans="1:14" x14ac:dyDescent="0.25">
      <c r="A2981" s="8">
        <v>995118</v>
      </c>
      <c r="B2981" s="22" t="str">
        <f>IFERROR(VLOOKUP(A2981,VLOOKUPS!$A$2:B$12589,2,FALSE),"")</f>
        <v>Thai Chili Mango Salad Kit 10oz-standard</v>
      </c>
      <c r="D2981">
        <v>6</v>
      </c>
      <c r="E2981">
        <v>3.49</v>
      </c>
      <c r="G2981" s="13">
        <v>44576</v>
      </c>
      <c r="H2981" s="13"/>
      <c r="I2981" s="22" t="str">
        <f>VLOOKUP(J2981, Dropdowns!N:O, 2, FALSE)</f>
        <v>NA</v>
      </c>
      <c r="J2981" t="s">
        <v>754</v>
      </c>
      <c r="L2981" s="17" t="s">
        <v>732</v>
      </c>
      <c r="M2981" s="17" t="s">
        <v>736</v>
      </c>
      <c r="N2981" s="17" t="s">
        <v>736</v>
      </c>
    </row>
    <row r="2982" spans="1:14" x14ac:dyDescent="0.25">
      <c r="A2982" s="8">
        <v>995158</v>
      </c>
      <c r="B2982" s="22" t="str">
        <f>IFERROR(VLOOKUP(A2982,VLOOKUPS!$A$2:B$12589,2,FALSE),"")</f>
        <v>Pico Guacamole 14oz-standard</v>
      </c>
      <c r="E2982">
        <v>4.49</v>
      </c>
      <c r="F2982">
        <v>2.99</v>
      </c>
      <c r="G2982" s="13">
        <v>44576</v>
      </c>
      <c r="H2982" s="13">
        <v>44577</v>
      </c>
      <c r="I2982" s="22" t="str">
        <f>VLOOKUP(J2982, Dropdowns!N:O, 2, FALSE)</f>
        <v>Lower Price</v>
      </c>
      <c r="J2982" t="s">
        <v>759</v>
      </c>
      <c r="L2982" s="17" t="s">
        <v>733</v>
      </c>
      <c r="M2982" s="17" t="s">
        <v>11</v>
      </c>
      <c r="N2982" s="17" t="s">
        <v>740</v>
      </c>
    </row>
    <row r="2983" spans="1:14" x14ac:dyDescent="0.25">
      <c r="A2983" s="8">
        <v>995158</v>
      </c>
      <c r="B2983" s="22" t="str">
        <f>IFERROR(VLOOKUP(A2983,VLOOKUPS!$A$2:B$12589,2,FALSE),"")</f>
        <v>Pico Guacamole 14oz-standard</v>
      </c>
      <c r="E2983">
        <v>2.99</v>
      </c>
      <c r="F2983">
        <v>4.49</v>
      </c>
      <c r="G2983" s="13">
        <v>44578</v>
      </c>
      <c r="H2983" s="13"/>
      <c r="I2983" s="22" t="str">
        <f>VLOOKUP(J2983, Dropdowns!N:O, 2, FALSE)</f>
        <v>Standard</v>
      </c>
      <c r="J2983" t="s">
        <v>760</v>
      </c>
      <c r="L2983" s="17" t="s">
        <v>733</v>
      </c>
      <c r="M2983" s="17" t="s">
        <v>11</v>
      </c>
      <c r="N2983" s="17" t="s">
        <v>740</v>
      </c>
    </row>
    <row r="2984" spans="1:14" x14ac:dyDescent="0.25">
      <c r="A2984" s="8">
        <v>985990</v>
      </c>
      <c r="B2984" s="22" t="str">
        <f>IFERROR(VLOOKUP(A2984,VLOOKUPS!$A$2:B$12589,2,FALSE),"")</f>
        <v>Ginger* 1lb-LOOSE</v>
      </c>
      <c r="E2984">
        <v>2.98</v>
      </c>
      <c r="F2984">
        <v>1.88</v>
      </c>
      <c r="G2984" s="13">
        <v>44576</v>
      </c>
      <c r="H2984" s="13">
        <v>44577</v>
      </c>
      <c r="I2984" s="22" t="str">
        <f>VLOOKUP(J2984, Dropdowns!N:O, 2, FALSE)</f>
        <v>Lower Price</v>
      </c>
      <c r="J2984" t="s">
        <v>759</v>
      </c>
      <c r="L2984" s="17" t="s">
        <v>732</v>
      </c>
      <c r="M2984" s="17" t="s">
        <v>737</v>
      </c>
      <c r="N2984" s="17" t="s">
        <v>736</v>
      </c>
    </row>
    <row r="2985" spans="1:14" x14ac:dyDescent="0.25">
      <c r="A2985" s="8">
        <v>985990</v>
      </c>
      <c r="B2985" s="22" t="str">
        <f>IFERROR(VLOOKUP(A2985,VLOOKUPS!$A$2:B$12589,2,FALSE),"")</f>
        <v>Ginger* 1lb-LOOSE</v>
      </c>
      <c r="E2985">
        <v>1.88</v>
      </c>
      <c r="F2985">
        <v>2.98</v>
      </c>
      <c r="G2985" s="13">
        <v>44578</v>
      </c>
      <c r="H2985" s="13"/>
      <c r="I2985" s="22" t="str">
        <f>VLOOKUP(J2985, Dropdowns!N:O, 2, FALSE)</f>
        <v>Standard</v>
      </c>
      <c r="J2985" t="s">
        <v>760</v>
      </c>
      <c r="L2985" s="17" t="s">
        <v>732</v>
      </c>
      <c r="M2985" s="17" t="s">
        <v>737</v>
      </c>
      <c r="N2985" s="17" t="s">
        <v>736</v>
      </c>
    </row>
    <row r="2986" spans="1:14" x14ac:dyDescent="0.25">
      <c r="A2986" s="8">
        <v>985605</v>
      </c>
      <c r="B2986" s="22" t="str">
        <f>IFERROR(VLOOKUP(A2986,VLOOKUPS!$A$2:B$12589,2,FALSE),"")</f>
        <v>Cucumbers* Long English 1ct-LOOSE</v>
      </c>
      <c r="E2986">
        <v>1.49</v>
      </c>
      <c r="F2986">
        <v>0.89</v>
      </c>
      <c r="G2986" s="13">
        <v>44576</v>
      </c>
      <c r="H2986" s="13">
        <v>44577</v>
      </c>
      <c r="I2986" s="22" t="str">
        <f>VLOOKUP(J2986, Dropdowns!N:O, 2, FALSE)</f>
        <v>Lower Price</v>
      </c>
      <c r="J2986" t="s">
        <v>759</v>
      </c>
      <c r="L2986" s="17" t="s">
        <v>733</v>
      </c>
      <c r="M2986" s="17" t="s">
        <v>10</v>
      </c>
      <c r="N2986" s="17" t="s">
        <v>740</v>
      </c>
    </row>
    <row r="2987" spans="1:14" x14ac:dyDescent="0.25">
      <c r="A2987" s="8">
        <v>985605</v>
      </c>
      <c r="B2987" s="22" t="str">
        <f>IFERROR(VLOOKUP(A2987,VLOOKUPS!$A$2:B$12589,2,FALSE),"")</f>
        <v>Cucumbers* Long English 1ct-LOOSE</v>
      </c>
      <c r="E2987">
        <v>0.89</v>
      </c>
      <c r="F2987">
        <v>1.49</v>
      </c>
      <c r="G2987" s="13">
        <v>44578</v>
      </c>
      <c r="H2987" s="13"/>
      <c r="I2987" s="22" t="str">
        <f>VLOOKUP(J2987, Dropdowns!N:O, 2, FALSE)</f>
        <v>Standard</v>
      </c>
      <c r="J2987" t="s">
        <v>760</v>
      </c>
      <c r="L2987" s="17" t="s">
        <v>733</v>
      </c>
      <c r="M2987" s="17" t="s">
        <v>10</v>
      </c>
      <c r="N2987" s="17" t="s">
        <v>740</v>
      </c>
    </row>
    <row r="2988" spans="1:14" x14ac:dyDescent="0.25">
      <c r="A2988" s="8">
        <v>986974</v>
      </c>
      <c r="B2988" s="22" t="str">
        <f>IFERROR(VLOOKUP(A2988,VLOOKUPS!$A$2:B$12589,2,FALSE),"")</f>
        <v>Tomatoes Crimson 2ct-standard</v>
      </c>
      <c r="E2988">
        <v>3.29</v>
      </c>
      <c r="F2988">
        <v>2.29</v>
      </c>
      <c r="G2988" s="13">
        <v>44576</v>
      </c>
      <c r="H2988" s="13">
        <v>44577</v>
      </c>
      <c r="I2988" s="22" t="str">
        <f>VLOOKUP(J2988, Dropdowns!N:O, 2, FALSE)</f>
        <v>Lower Price</v>
      </c>
      <c r="J2988" t="s">
        <v>759</v>
      </c>
      <c r="L2988" s="17" t="s">
        <v>733</v>
      </c>
      <c r="M2988" s="17" t="s">
        <v>10</v>
      </c>
      <c r="N2988" s="17" t="s">
        <v>740</v>
      </c>
    </row>
    <row r="2989" spans="1:14" x14ac:dyDescent="0.25">
      <c r="A2989" s="8">
        <v>986974</v>
      </c>
      <c r="B2989" s="22" t="str">
        <f>IFERROR(VLOOKUP(A2989,VLOOKUPS!$A$2:B$12589,2,FALSE),"")</f>
        <v>Tomatoes Crimson 2ct-standard</v>
      </c>
      <c r="E2989">
        <v>2.29</v>
      </c>
      <c r="F2989">
        <v>3.29</v>
      </c>
      <c r="G2989" s="13">
        <v>44578</v>
      </c>
      <c r="H2989" s="13"/>
      <c r="I2989" s="22" t="str">
        <f>VLOOKUP(J2989, Dropdowns!N:O, 2, FALSE)</f>
        <v>Standard</v>
      </c>
      <c r="J2989" t="s">
        <v>760</v>
      </c>
      <c r="L2989" s="17" t="s">
        <v>733</v>
      </c>
      <c r="M2989" s="17" t="s">
        <v>10</v>
      </c>
      <c r="N2989" s="17" t="s">
        <v>740</v>
      </c>
    </row>
    <row r="2990" spans="1:14" x14ac:dyDescent="0.25">
      <c r="A2990" s="8">
        <v>982712</v>
      </c>
      <c r="B2990" s="22" t="str">
        <f>IFERROR(VLOOKUP(A2990,VLOOKUPS!$A$2:B$12589,2,FALSE),"")</f>
        <v>Organic Grapes Red 1lb-standard</v>
      </c>
      <c r="D2990">
        <v>10</v>
      </c>
      <c r="F2990">
        <v>3.99</v>
      </c>
      <c r="G2990" s="13">
        <v>44577</v>
      </c>
      <c r="H2990" s="13"/>
      <c r="I2990" s="22" t="str">
        <f>VLOOKUP(J2990, Dropdowns!N:O, 2, FALSE)</f>
        <v>New</v>
      </c>
      <c r="J2990" t="s">
        <v>776</v>
      </c>
      <c r="L2990" s="17" t="s">
        <v>732</v>
      </c>
      <c r="M2990" s="17" t="s">
        <v>735</v>
      </c>
      <c r="N2990" s="17" t="s">
        <v>736</v>
      </c>
    </row>
    <row r="2991" spans="1:14" x14ac:dyDescent="0.25">
      <c r="A2991" s="8">
        <v>982713</v>
      </c>
      <c r="B2991" s="22" t="str">
        <f>IFERROR(VLOOKUP(A2991,VLOOKUPS!$A$2:B$12589,2,FALSE),"")</f>
        <v>Organic Grapes Green 1lb-standard</v>
      </c>
      <c r="D2991">
        <v>10</v>
      </c>
      <c r="F2991">
        <v>3.99</v>
      </c>
      <c r="G2991" s="13">
        <v>44577</v>
      </c>
      <c r="H2991" s="13"/>
      <c r="I2991" s="22" t="str">
        <f>VLOOKUP(J2991, Dropdowns!N:O, 2, FALSE)</f>
        <v>New</v>
      </c>
      <c r="J2991" t="s">
        <v>776</v>
      </c>
      <c r="L2991" s="17" t="s">
        <v>732</v>
      </c>
      <c r="M2991" s="17" t="s">
        <v>735</v>
      </c>
      <c r="N2991" s="17" t="s">
        <v>736</v>
      </c>
    </row>
    <row r="2992" spans="1:14" x14ac:dyDescent="0.25">
      <c r="A2992" s="8">
        <v>981280</v>
      </c>
      <c r="B2992" s="22" t="str">
        <f>IFERROR(VLOOKUP(A2992,VLOOKUPS!$A$2:B$12589,2,FALSE),"")</f>
        <v>Apples Honeycrisp 2lb-standard</v>
      </c>
      <c r="E2992">
        <v>1.99</v>
      </c>
      <c r="F2992">
        <v>3.99</v>
      </c>
      <c r="G2992" s="13">
        <v>44577</v>
      </c>
      <c r="H2992" s="13"/>
      <c r="I2992" s="22" t="str">
        <f>VLOOKUP(J2992, Dropdowns!N:O, 2, FALSE)</f>
        <v>Standard</v>
      </c>
      <c r="J2992" t="s">
        <v>760</v>
      </c>
      <c r="L2992" s="17" t="s">
        <v>732</v>
      </c>
      <c r="M2992" s="17" t="s">
        <v>10</v>
      </c>
      <c r="N2992" s="17">
        <v>2</v>
      </c>
    </row>
    <row r="2993" spans="1:14" x14ac:dyDescent="0.25">
      <c r="A2993" s="8">
        <v>983101</v>
      </c>
      <c r="B2993" s="22" t="str">
        <f>IFERROR(VLOOKUP(A2993,VLOOKUPS!$A$2:B$12589,2,FALSE),"")</f>
        <v>Melons Cantaloupes 1ct-LOOSE</v>
      </c>
      <c r="E2993">
        <v>2.98</v>
      </c>
      <c r="F2993">
        <v>1.78</v>
      </c>
      <c r="G2993" s="13">
        <v>44579</v>
      </c>
      <c r="H2993" s="13">
        <v>44580</v>
      </c>
      <c r="I2993" s="22" t="str">
        <f>VLOOKUP(J2993, Dropdowns!N:O, 2, FALSE)</f>
        <v>Lower Price</v>
      </c>
      <c r="J2993" t="s">
        <v>759</v>
      </c>
      <c r="L2993" s="17" t="s">
        <v>732</v>
      </c>
      <c r="M2993" s="17" t="s">
        <v>737</v>
      </c>
      <c r="N2993" s="17" t="s">
        <v>736</v>
      </c>
    </row>
    <row r="2994" spans="1:14" x14ac:dyDescent="0.25">
      <c r="A2994" s="8">
        <v>983101</v>
      </c>
      <c r="B2994" s="22" t="str">
        <f>IFERROR(VLOOKUP(A2994,VLOOKUPS!$A$2:B$12589,2,FALSE),"")</f>
        <v>Melons Cantaloupes 1ct-LOOSE</v>
      </c>
      <c r="E2994">
        <v>1.78</v>
      </c>
      <c r="F2994">
        <v>2.98</v>
      </c>
      <c r="G2994" s="13">
        <v>44581</v>
      </c>
      <c r="H2994" s="13"/>
      <c r="I2994" s="22" t="str">
        <f>VLOOKUP(J2994, Dropdowns!N:O, 2, FALSE)</f>
        <v>Standard</v>
      </c>
      <c r="J2994" t="s">
        <v>760</v>
      </c>
      <c r="L2994" s="17" t="s">
        <v>732</v>
      </c>
      <c r="M2994" s="17" t="s">
        <v>737</v>
      </c>
      <c r="N2994" s="17" t="s">
        <v>736</v>
      </c>
    </row>
    <row r="2995" spans="1:14" x14ac:dyDescent="0.25">
      <c r="A2995" s="8">
        <v>983103</v>
      </c>
      <c r="B2995" s="22" t="str">
        <f>IFERROR(VLOOKUP(A2995,VLOOKUPS!$A$2:B$12589,2,FALSE),"")</f>
        <v>MelonsGolden Canary 1ct.-LOOSE</v>
      </c>
      <c r="E2995">
        <v>3.98</v>
      </c>
      <c r="F2995">
        <v>2.98</v>
      </c>
      <c r="G2995" s="13">
        <v>44579</v>
      </c>
      <c r="H2995" s="13">
        <v>44580</v>
      </c>
      <c r="I2995" s="22" t="str">
        <f>VLOOKUP(J2995, Dropdowns!N:O, 2, FALSE)</f>
        <v>Lower Price</v>
      </c>
      <c r="J2995" t="s">
        <v>759</v>
      </c>
      <c r="L2995" s="17" t="s">
        <v>733</v>
      </c>
      <c r="M2995" s="17" t="s">
        <v>11</v>
      </c>
      <c r="N2995" s="17" t="s">
        <v>740</v>
      </c>
    </row>
    <row r="2996" spans="1:14" x14ac:dyDescent="0.25">
      <c r="A2996" s="8">
        <v>983103</v>
      </c>
      <c r="B2996" s="22" t="str">
        <f>IFERROR(VLOOKUP(A2996,VLOOKUPS!$A$2:B$12589,2,FALSE),"")</f>
        <v>MelonsGolden Canary 1ct.-LOOSE</v>
      </c>
      <c r="E2996">
        <v>2.98</v>
      </c>
      <c r="F2996">
        <v>3.98</v>
      </c>
      <c r="G2996" s="13">
        <v>44581</v>
      </c>
      <c r="H2996" s="13"/>
      <c r="I2996" s="22" t="str">
        <f>VLOOKUP(J2996, Dropdowns!N:O, 2, FALSE)</f>
        <v>Standard</v>
      </c>
      <c r="J2996" t="s">
        <v>760</v>
      </c>
      <c r="L2996" s="17" t="s">
        <v>733</v>
      </c>
      <c r="M2996" s="17" t="s">
        <v>11</v>
      </c>
      <c r="N2996" s="17" t="s">
        <v>740</v>
      </c>
    </row>
    <row r="2997" spans="1:14" x14ac:dyDescent="0.25">
      <c r="A2997" s="8">
        <v>984460</v>
      </c>
      <c r="B2997" s="22" t="str">
        <f>IFERROR(VLOOKUP(A2997,VLOOKUPS!$A$2:B$12589,2,FALSE),"")</f>
        <v>Strawberries 1lb-standard</v>
      </c>
      <c r="E2997">
        <v>2.96</v>
      </c>
      <c r="F2997">
        <v>1.96</v>
      </c>
      <c r="G2997" s="13">
        <v>44579</v>
      </c>
      <c r="H2997" s="13">
        <v>44580</v>
      </c>
      <c r="I2997" s="22" t="str">
        <f>VLOOKUP(J2997, Dropdowns!N:O, 2, FALSE)</f>
        <v>Lower Price</v>
      </c>
      <c r="J2997" t="s">
        <v>759</v>
      </c>
      <c r="L2997" s="17" t="s">
        <v>733</v>
      </c>
      <c r="M2997" s="17" t="s">
        <v>11</v>
      </c>
      <c r="N2997" s="17" t="s">
        <v>740</v>
      </c>
    </row>
    <row r="2998" spans="1:14" x14ac:dyDescent="0.25">
      <c r="A2998" s="8">
        <v>984460</v>
      </c>
      <c r="B2998" s="22" t="str">
        <f>IFERROR(VLOOKUP(A2998,VLOOKUPS!$A$2:B$12589,2,FALSE),"")</f>
        <v>Strawberries 1lb-standard</v>
      </c>
      <c r="E2998">
        <v>1.96</v>
      </c>
      <c r="F2998">
        <v>2.96</v>
      </c>
      <c r="G2998" s="13">
        <v>44581</v>
      </c>
      <c r="H2998" s="13"/>
      <c r="I2998" s="22" t="str">
        <f>VLOOKUP(J2998, Dropdowns!N:O, 2, FALSE)</f>
        <v>Standard</v>
      </c>
      <c r="J2998" t="s">
        <v>760</v>
      </c>
      <c r="L2998" s="17" t="s">
        <v>733</v>
      </c>
      <c r="M2998" s="17" t="s">
        <v>11</v>
      </c>
      <c r="N2998" s="17" t="s">
        <v>740</v>
      </c>
    </row>
    <row r="2999" spans="1:14" x14ac:dyDescent="0.25">
      <c r="A2999" s="8">
        <v>984541</v>
      </c>
      <c r="B2999" s="22" t="str">
        <f>IFERROR(VLOOKUP(A2999,VLOOKUPS!$A$2:B$12589,2,FALSE),"")</f>
        <v>Blueberries 1pt-standard</v>
      </c>
      <c r="E2999">
        <v>2.68</v>
      </c>
      <c r="F2999">
        <v>1.68</v>
      </c>
      <c r="G2999" s="13">
        <v>44579</v>
      </c>
      <c r="H2999" s="13">
        <v>44580</v>
      </c>
      <c r="I2999" s="22" t="str">
        <f>VLOOKUP(J2999, Dropdowns!N:O, 2, FALSE)</f>
        <v>Lower Price</v>
      </c>
      <c r="J2999" t="s">
        <v>759</v>
      </c>
      <c r="L2999" s="17" t="s">
        <v>732</v>
      </c>
      <c r="M2999" s="17" t="s">
        <v>10</v>
      </c>
      <c r="N2999" s="17">
        <v>2</v>
      </c>
    </row>
    <row r="3000" spans="1:14" x14ac:dyDescent="0.25">
      <c r="A3000" s="8">
        <v>984541</v>
      </c>
      <c r="B3000" s="22" t="str">
        <f>IFERROR(VLOOKUP(A3000,VLOOKUPS!$A$2:B$12589,2,FALSE),"")</f>
        <v>Blueberries 1pt-standard</v>
      </c>
      <c r="E3000">
        <v>1.68</v>
      </c>
      <c r="F3000">
        <v>2.68</v>
      </c>
      <c r="G3000" s="13">
        <v>44581</v>
      </c>
      <c r="H3000" s="13"/>
      <c r="I3000" s="22" t="str">
        <f>VLOOKUP(J3000, Dropdowns!N:O, 2, FALSE)</f>
        <v>Standard</v>
      </c>
      <c r="J3000" t="s">
        <v>760</v>
      </c>
      <c r="L3000" s="17" t="s">
        <v>732</v>
      </c>
      <c r="M3000" s="17" t="s">
        <v>10</v>
      </c>
      <c r="N3000" s="17">
        <v>2</v>
      </c>
    </row>
    <row r="3001" spans="1:14" x14ac:dyDescent="0.25">
      <c r="A3001" s="8">
        <v>984621</v>
      </c>
      <c r="B3001" s="22" t="str">
        <f>IFERROR(VLOOKUP(A3001,VLOOKUPS!$A$2:B$12589,2,FALSE),"")</f>
        <v>Raspberries 12oz-standard</v>
      </c>
      <c r="E3001">
        <v>4.88</v>
      </c>
      <c r="F3001">
        <v>3.68</v>
      </c>
      <c r="G3001" s="13">
        <v>44579</v>
      </c>
      <c r="H3001" s="13">
        <v>44580</v>
      </c>
      <c r="I3001" s="22" t="str">
        <f>VLOOKUP(J3001, Dropdowns!N:O, 2, FALSE)</f>
        <v>Lower Price</v>
      </c>
      <c r="J3001" t="s">
        <v>759</v>
      </c>
      <c r="L3001" s="17" t="s">
        <v>732</v>
      </c>
      <c r="M3001" s="17" t="s">
        <v>738</v>
      </c>
      <c r="N3001" s="17">
        <v>2</v>
      </c>
    </row>
    <row r="3002" spans="1:14" x14ac:dyDescent="0.25">
      <c r="A3002" s="8">
        <v>984621</v>
      </c>
      <c r="B3002" s="22" t="str">
        <f>IFERROR(VLOOKUP(A3002,VLOOKUPS!$A$2:B$12589,2,FALSE),"")</f>
        <v>Raspberries 12oz-standard</v>
      </c>
      <c r="E3002">
        <v>3.68</v>
      </c>
      <c r="F3002">
        <v>4.88</v>
      </c>
      <c r="G3002" s="13">
        <v>44581</v>
      </c>
      <c r="H3002" s="13"/>
      <c r="I3002" s="22" t="str">
        <f>VLOOKUP(J3002, Dropdowns!N:O, 2, FALSE)</f>
        <v>Standard</v>
      </c>
      <c r="J3002" t="s">
        <v>760</v>
      </c>
      <c r="L3002" s="17" t="s">
        <v>732</v>
      </c>
      <c r="M3002" s="17" t="s">
        <v>738</v>
      </c>
      <c r="N3002" s="17">
        <v>2</v>
      </c>
    </row>
    <row r="3003" spans="1:14" x14ac:dyDescent="0.25">
      <c r="A3003" s="8">
        <v>995072</v>
      </c>
      <c r="B3003" s="22" t="str">
        <f>IFERROR(VLOOKUP(A3003,VLOOKUPS!$A$2:B$12589,2,FALSE),"")</f>
        <v>Broccoli Coleslaw 12oz-standard</v>
      </c>
      <c r="E3003">
        <v>1.99</v>
      </c>
      <c r="F3003">
        <v>0.99</v>
      </c>
      <c r="G3003" s="13">
        <v>44579</v>
      </c>
      <c r="H3003" s="13">
        <v>44580</v>
      </c>
      <c r="I3003" s="22" t="str">
        <f>VLOOKUP(J3003, Dropdowns!N:O, 2, FALSE)</f>
        <v>Lower Price</v>
      </c>
      <c r="J3003" t="s">
        <v>759</v>
      </c>
      <c r="L3003" s="17" t="s">
        <v>733</v>
      </c>
      <c r="M3003" s="17" t="s">
        <v>11</v>
      </c>
      <c r="N3003" s="17" t="s">
        <v>740</v>
      </c>
    </row>
    <row r="3004" spans="1:14" x14ac:dyDescent="0.25">
      <c r="A3004" s="8">
        <v>995072</v>
      </c>
      <c r="B3004" s="22" t="str">
        <f>IFERROR(VLOOKUP(A3004,VLOOKUPS!$A$2:B$12589,2,FALSE),"")</f>
        <v>Broccoli Coleslaw 12oz-standard</v>
      </c>
      <c r="E3004">
        <v>0.99</v>
      </c>
      <c r="F3004">
        <v>1.99</v>
      </c>
      <c r="G3004" s="13">
        <v>44581</v>
      </c>
      <c r="H3004" s="13"/>
      <c r="I3004" s="22" t="str">
        <f>VLOOKUP(J3004, Dropdowns!N:O, 2, FALSE)</f>
        <v>Standard</v>
      </c>
      <c r="J3004" t="s">
        <v>760</v>
      </c>
      <c r="L3004" s="17" t="s">
        <v>733</v>
      </c>
      <c r="M3004" s="17" t="s">
        <v>11</v>
      </c>
      <c r="N3004" s="17" t="s">
        <v>740</v>
      </c>
    </row>
    <row r="3005" spans="1:14" x14ac:dyDescent="0.25">
      <c r="A3005" s="8">
        <v>995171</v>
      </c>
      <c r="B3005" s="22" t="str">
        <f>IFERROR(VLOOKUP(A3005,VLOOKUPS!$A$2:B$12589,2,FALSE),"")</f>
        <v>Kale Greens 2lb-standard</v>
      </c>
      <c r="E3005">
        <v>4.5599999999999996</v>
      </c>
      <c r="F3005">
        <v>2.56</v>
      </c>
      <c r="G3005" s="13">
        <v>44579</v>
      </c>
      <c r="H3005" s="13">
        <v>44581</v>
      </c>
      <c r="I3005" s="22" t="str">
        <f>VLOOKUP(J3005, Dropdowns!N:O, 2, FALSE)</f>
        <v>Lower Price</v>
      </c>
      <c r="J3005" t="s">
        <v>759</v>
      </c>
      <c r="L3005" s="17" t="s">
        <v>733</v>
      </c>
      <c r="M3005" s="17" t="s">
        <v>11</v>
      </c>
      <c r="N3005" s="17" t="s">
        <v>740</v>
      </c>
    </row>
    <row r="3006" spans="1:14" x14ac:dyDescent="0.25">
      <c r="A3006" s="8">
        <v>995171</v>
      </c>
      <c r="B3006" s="22" t="str">
        <f>IFERROR(VLOOKUP(A3006,VLOOKUPS!$A$2:B$12589,2,FALSE),"")</f>
        <v>Kale Greens 2lb-standard</v>
      </c>
      <c r="E3006">
        <v>2.56</v>
      </c>
      <c r="F3006">
        <v>4.5599999999999996</v>
      </c>
      <c r="G3006" s="13">
        <v>44582</v>
      </c>
      <c r="H3006" s="13"/>
      <c r="I3006" s="22" t="str">
        <f>VLOOKUP(J3006, Dropdowns!N:O, 2, FALSE)</f>
        <v>Standard</v>
      </c>
      <c r="J3006" t="s">
        <v>760</v>
      </c>
      <c r="L3006" s="17" t="s">
        <v>733</v>
      </c>
      <c r="M3006" s="17" t="s">
        <v>11</v>
      </c>
      <c r="N3006" s="17" t="s">
        <v>740</v>
      </c>
    </row>
    <row r="3007" spans="1:14" x14ac:dyDescent="0.25">
      <c r="A3007" s="8">
        <v>982000</v>
      </c>
      <c r="B3007" s="22" t="str">
        <f>IFERROR(VLOOKUP(A3007,VLOOKUPS!$A$2:B$12589,2,FALSE),"")</f>
        <v>Cherries* Sweet 1lb-LOOSE</v>
      </c>
      <c r="E3007">
        <v>3.99</v>
      </c>
      <c r="F3007">
        <v>2.4900000000000002</v>
      </c>
      <c r="G3007" s="13">
        <v>44580</v>
      </c>
      <c r="H3007" s="13">
        <v>44580</v>
      </c>
      <c r="I3007" s="22" t="str">
        <f>VLOOKUP(J3007, Dropdowns!N:O, 2, FALSE)</f>
        <v>Lower Price</v>
      </c>
      <c r="J3007" t="s">
        <v>759</v>
      </c>
      <c r="L3007" s="17" t="s">
        <v>733</v>
      </c>
      <c r="M3007" s="17" t="s">
        <v>11</v>
      </c>
      <c r="N3007" s="17" t="s">
        <v>740</v>
      </c>
    </row>
    <row r="3008" spans="1:14" x14ac:dyDescent="0.25">
      <c r="A3008" s="8">
        <v>982000</v>
      </c>
      <c r="B3008" s="22" t="str">
        <f>IFERROR(VLOOKUP(A3008,VLOOKUPS!$A$2:B$12589,2,FALSE),"")</f>
        <v>Cherries* Sweet 1lb-LOOSE</v>
      </c>
      <c r="E3008">
        <v>2.4900000000000002</v>
      </c>
      <c r="F3008">
        <v>3.99</v>
      </c>
      <c r="G3008" s="13">
        <v>44581</v>
      </c>
      <c r="H3008" s="13"/>
      <c r="I3008" s="22" t="str">
        <f>VLOOKUP(J3008, Dropdowns!N:O, 2, FALSE)</f>
        <v>Standard</v>
      </c>
      <c r="J3008" t="s">
        <v>760</v>
      </c>
      <c r="L3008" s="17" t="s">
        <v>733</v>
      </c>
      <c r="M3008" s="17" t="s">
        <v>11</v>
      </c>
      <c r="N3008" s="17" t="s">
        <v>740</v>
      </c>
    </row>
    <row r="3009" spans="1:14" x14ac:dyDescent="0.25">
      <c r="A3009" s="8">
        <v>984500</v>
      </c>
      <c r="B3009" s="22" t="str">
        <f>IFERROR(VLOOKUP(A3009,VLOOKUPS!$A$2:B$12589,2,FALSE),"")</f>
        <v>Organic Strawberries 1lb-standard</v>
      </c>
      <c r="E3009">
        <v>4.4800000000000004</v>
      </c>
      <c r="F3009">
        <v>3.48</v>
      </c>
      <c r="G3009" s="13">
        <v>44580</v>
      </c>
      <c r="H3009" s="13">
        <v>44581</v>
      </c>
      <c r="I3009" s="22" t="str">
        <f>VLOOKUP(J3009, Dropdowns!N:O, 2, FALSE)</f>
        <v>Lower Price</v>
      </c>
      <c r="J3009" t="s">
        <v>759</v>
      </c>
      <c r="L3009" s="17" t="s">
        <v>733</v>
      </c>
      <c r="M3009" s="17" t="s">
        <v>11</v>
      </c>
      <c r="N3009" s="17" t="s">
        <v>740</v>
      </c>
    </row>
    <row r="3010" spans="1:14" x14ac:dyDescent="0.25">
      <c r="A3010" s="8">
        <v>984500</v>
      </c>
      <c r="B3010" s="22" t="str">
        <f>IFERROR(VLOOKUP(A3010,VLOOKUPS!$A$2:B$12589,2,FALSE),"")</f>
        <v>Organic Strawberries 1lb-standard</v>
      </c>
      <c r="E3010">
        <v>3.48</v>
      </c>
      <c r="F3010">
        <v>4.4800000000000004</v>
      </c>
      <c r="G3010" s="13">
        <v>44582</v>
      </c>
      <c r="H3010" s="13"/>
      <c r="I3010" s="22" t="str">
        <f>VLOOKUP(J3010, Dropdowns!N:O, 2, FALSE)</f>
        <v>Standard</v>
      </c>
      <c r="J3010" t="s">
        <v>760</v>
      </c>
      <c r="L3010" s="17" t="s">
        <v>733</v>
      </c>
      <c r="M3010" s="17" t="s">
        <v>11</v>
      </c>
      <c r="N3010" s="17" t="s">
        <v>740</v>
      </c>
    </row>
    <row r="3011" spans="1:14" x14ac:dyDescent="0.25">
      <c r="A3011" s="8">
        <v>995004</v>
      </c>
      <c r="B3011" s="22" t="str">
        <f>IFERROR(VLOOKUP(A3011,VLOOKUPS!$A$2:B$12589,2,FALSE),"")</f>
        <v>Chicken Caesar Salad 6.25oz-standard</v>
      </c>
      <c r="E3011">
        <v>3</v>
      </c>
      <c r="F3011">
        <v>2</v>
      </c>
      <c r="G3011" s="13">
        <v>44580</v>
      </c>
      <c r="H3011" s="13">
        <v>44581</v>
      </c>
      <c r="I3011" s="22" t="str">
        <f>VLOOKUP(J3011, Dropdowns!N:O, 2, FALSE)</f>
        <v>Lower Price</v>
      </c>
      <c r="J3011" t="s">
        <v>759</v>
      </c>
      <c r="L3011" s="17" t="s">
        <v>733</v>
      </c>
      <c r="M3011" s="17" t="s">
        <v>11</v>
      </c>
      <c r="N3011" s="17" t="s">
        <v>740</v>
      </c>
    </row>
    <row r="3012" spans="1:14" x14ac:dyDescent="0.25">
      <c r="A3012" s="8">
        <v>995004</v>
      </c>
      <c r="B3012" s="22" t="str">
        <f>IFERROR(VLOOKUP(A3012,VLOOKUPS!$A$2:B$12589,2,FALSE),"")</f>
        <v>Chicken Caesar Salad 6.25oz-standard</v>
      </c>
      <c r="E3012">
        <v>2</v>
      </c>
      <c r="F3012">
        <v>3</v>
      </c>
      <c r="G3012" s="13">
        <v>44582</v>
      </c>
      <c r="H3012" s="13"/>
      <c r="I3012" s="22" t="str">
        <f>VLOOKUP(J3012, Dropdowns!N:O, 2, FALSE)</f>
        <v>Standard</v>
      </c>
      <c r="J3012" t="s">
        <v>760</v>
      </c>
      <c r="L3012" s="17" t="s">
        <v>733</v>
      </c>
      <c r="M3012" s="17" t="s">
        <v>11</v>
      </c>
      <c r="N3012" s="17" t="s">
        <v>740</v>
      </c>
    </row>
    <row r="3013" spans="1:14" x14ac:dyDescent="0.25">
      <c r="A3013" s="8">
        <v>995004</v>
      </c>
      <c r="B3013" s="22" t="str">
        <f>IFERROR(VLOOKUP(A3013,VLOOKUPS!$A$2:B$12589,2,FALSE),"")</f>
        <v>Chicken Caesar Salad 6.25oz-standard</v>
      </c>
      <c r="E3013">
        <v>3</v>
      </c>
      <c r="F3013">
        <v>2.98</v>
      </c>
      <c r="G3013" s="13">
        <v>44583</v>
      </c>
      <c r="H3013" s="13"/>
      <c r="I3013" s="22" t="str">
        <f>VLOOKUP(J3013, Dropdowns!N:O, 2, FALSE)</f>
        <v>Standard</v>
      </c>
      <c r="J3013" t="s">
        <v>761</v>
      </c>
      <c r="L3013" s="17" t="s">
        <v>732</v>
      </c>
      <c r="M3013" s="17" t="s">
        <v>736</v>
      </c>
      <c r="N3013" s="17" t="s">
        <v>736</v>
      </c>
    </row>
    <row r="3014" spans="1:14" x14ac:dyDescent="0.25">
      <c r="A3014" s="8">
        <v>995011</v>
      </c>
      <c r="B3014" s="22" t="str">
        <f>IFERROR(VLOOKUP(A3014,VLOOKUPS!$A$2:B$12589,2,FALSE),"")</f>
        <v>RTE Santa Fe Salad 6.25oz-standard</v>
      </c>
      <c r="E3014">
        <v>3</v>
      </c>
      <c r="F3014">
        <v>2.98</v>
      </c>
      <c r="G3014" s="13">
        <v>44580</v>
      </c>
      <c r="H3014" s="13"/>
      <c r="I3014" s="22" t="str">
        <f>VLOOKUP(J3014, Dropdowns!N:O, 2, FALSE)</f>
        <v>Standard</v>
      </c>
      <c r="J3014" t="s">
        <v>761</v>
      </c>
      <c r="L3014" s="17" t="s">
        <v>732</v>
      </c>
      <c r="M3014" s="17" t="s">
        <v>736</v>
      </c>
      <c r="N3014" s="17" t="s">
        <v>736</v>
      </c>
    </row>
    <row r="3015" spans="1:14" x14ac:dyDescent="0.25">
      <c r="A3015" s="8">
        <v>995012</v>
      </c>
      <c r="B3015" s="22" t="str">
        <f>IFERROR(VLOOKUP(A3015,VLOOKUPS!$A$2:B$12589,2,FALSE),"")</f>
        <v>RTE Cranberry Walnut Salad 4.5oz-standard</v>
      </c>
      <c r="E3015">
        <v>3</v>
      </c>
      <c r="F3015">
        <v>2.98</v>
      </c>
      <c r="G3015" s="13">
        <v>44580</v>
      </c>
      <c r="H3015" s="13"/>
      <c r="I3015" s="22" t="str">
        <f>VLOOKUP(J3015, Dropdowns!N:O, 2, FALSE)</f>
        <v>Standard</v>
      </c>
      <c r="J3015" t="s">
        <v>761</v>
      </c>
      <c r="L3015" s="17" t="s">
        <v>732</v>
      </c>
      <c r="M3015" s="17" t="s">
        <v>736</v>
      </c>
      <c r="N3015" s="17" t="s">
        <v>736</v>
      </c>
    </row>
    <row r="3016" spans="1:14" x14ac:dyDescent="0.25">
      <c r="A3016" s="8">
        <v>995014</v>
      </c>
      <c r="B3016" s="22" t="str">
        <f>IFERROR(VLOOKUP(A3016,VLOOKUPS!$A$2:B$12589,2,FALSE),"")</f>
        <v>RTE Café Style Chef Salad 7.65oz-standard</v>
      </c>
      <c r="E3016">
        <v>3</v>
      </c>
      <c r="F3016">
        <v>2.98</v>
      </c>
      <c r="G3016" s="13">
        <v>44580</v>
      </c>
      <c r="H3016" s="13"/>
      <c r="I3016" s="22" t="str">
        <f>VLOOKUP(J3016, Dropdowns!N:O, 2, FALSE)</f>
        <v>Standard</v>
      </c>
      <c r="J3016" t="s">
        <v>761</v>
      </c>
      <c r="L3016" s="17" t="s">
        <v>732</v>
      </c>
      <c r="M3016" s="17" t="s">
        <v>736</v>
      </c>
      <c r="N3016" s="17" t="s">
        <v>736</v>
      </c>
    </row>
    <row r="3017" spans="1:14" x14ac:dyDescent="0.25">
      <c r="A3017" s="8">
        <v>995015</v>
      </c>
      <c r="B3017" s="22" t="str">
        <f>IFERROR(VLOOKUP(A3017,VLOOKUPS!$A$2:B$12589,2,FALSE),"")</f>
        <v>Savory Spinach Dijon Salad 4.9oz-standard</v>
      </c>
      <c r="E3017">
        <v>3</v>
      </c>
      <c r="F3017">
        <v>2.98</v>
      </c>
      <c r="G3017" s="13">
        <v>44580</v>
      </c>
      <c r="H3017" s="13"/>
      <c r="I3017" s="22" t="str">
        <f>VLOOKUP(J3017, Dropdowns!N:O, 2, FALSE)</f>
        <v>Standard</v>
      </c>
      <c r="J3017" t="s">
        <v>761</v>
      </c>
      <c r="L3017" s="17" t="s">
        <v>732</v>
      </c>
      <c r="M3017" s="17" t="s">
        <v>736</v>
      </c>
      <c r="N3017" s="17" t="s">
        <v>736</v>
      </c>
    </row>
    <row r="3018" spans="1:14" x14ac:dyDescent="0.25">
      <c r="A3018" s="8">
        <v>995082</v>
      </c>
      <c r="B3018" s="22" t="str">
        <f>IFERROR(VLOOKUP(A3018,VLOOKUPS!$A$2:B$12589,2,FALSE),"")</f>
        <v>Melon Trio 16oz-standard</v>
      </c>
      <c r="E3018">
        <v>3.49</v>
      </c>
      <c r="F3018">
        <v>1.99</v>
      </c>
      <c r="G3018" s="13">
        <v>44580</v>
      </c>
      <c r="H3018" s="13">
        <v>44581</v>
      </c>
      <c r="I3018" s="22" t="str">
        <f>VLOOKUP(J3018, Dropdowns!N:O, 2, FALSE)</f>
        <v>Lower Price</v>
      </c>
      <c r="J3018" t="s">
        <v>759</v>
      </c>
      <c r="L3018" s="17" t="s">
        <v>733</v>
      </c>
      <c r="M3018" s="17" t="s">
        <v>11</v>
      </c>
      <c r="N3018" s="17" t="s">
        <v>740</v>
      </c>
    </row>
    <row r="3019" spans="1:14" x14ac:dyDescent="0.25">
      <c r="A3019" s="8">
        <v>995082</v>
      </c>
      <c r="B3019" s="22" t="str">
        <f>IFERROR(VLOOKUP(A3019,VLOOKUPS!$A$2:B$12589,2,FALSE),"")</f>
        <v>Melon Trio 16oz-standard</v>
      </c>
      <c r="E3019">
        <v>1.99</v>
      </c>
      <c r="F3019">
        <v>3.49</v>
      </c>
      <c r="G3019" s="13">
        <v>44582</v>
      </c>
      <c r="H3019" s="13"/>
      <c r="I3019" s="22" t="str">
        <f>VLOOKUP(J3019, Dropdowns!N:O, 2, FALSE)</f>
        <v>Standard</v>
      </c>
      <c r="J3019" t="s">
        <v>760</v>
      </c>
      <c r="L3019" s="17" t="s">
        <v>733</v>
      </c>
      <c r="M3019" s="17" t="s">
        <v>11</v>
      </c>
      <c r="N3019" s="17" t="s">
        <v>740</v>
      </c>
    </row>
    <row r="3020" spans="1:14" x14ac:dyDescent="0.25">
      <c r="A3020" s="8">
        <v>983104</v>
      </c>
      <c r="B3020" s="22" t="str">
        <f>IFERROR(VLOOKUP(A3020,VLOOKUPS!$A$2:B$12589,2,FALSE),"")</f>
        <v>Melons Dino 1ct.-LOOSE</v>
      </c>
      <c r="E3020">
        <v>3.98</v>
      </c>
      <c r="F3020">
        <v>2.98</v>
      </c>
      <c r="G3020" s="13">
        <v>44215</v>
      </c>
      <c r="H3020" s="13">
        <v>44216</v>
      </c>
      <c r="I3020" s="22" t="str">
        <f>VLOOKUP(J3020, Dropdowns!N:O, 2, FALSE)</f>
        <v>Lower Price</v>
      </c>
      <c r="J3020" t="s">
        <v>759</v>
      </c>
      <c r="L3020" s="17" t="s">
        <v>732</v>
      </c>
      <c r="M3020" s="17" t="s">
        <v>737</v>
      </c>
      <c r="N3020" s="17" t="s">
        <v>736</v>
      </c>
    </row>
    <row r="3021" spans="1:14" x14ac:dyDescent="0.25">
      <c r="A3021" s="8">
        <v>983104</v>
      </c>
      <c r="B3021" s="22" t="str">
        <f>IFERROR(VLOOKUP(A3021,VLOOKUPS!$A$2:B$12589,2,FALSE),"")</f>
        <v>Melons Dino 1ct.-LOOSE</v>
      </c>
      <c r="E3021">
        <v>2.98</v>
      </c>
      <c r="F3021">
        <v>3.98</v>
      </c>
      <c r="G3021" s="13">
        <v>44217</v>
      </c>
      <c r="H3021" s="13"/>
      <c r="I3021" s="22" t="str">
        <f>VLOOKUP(J3021, Dropdowns!N:O, 2, FALSE)</f>
        <v>Standard</v>
      </c>
      <c r="J3021" t="s">
        <v>760</v>
      </c>
      <c r="L3021" s="17" t="s">
        <v>732</v>
      </c>
      <c r="M3021" s="17" t="s">
        <v>737</v>
      </c>
      <c r="N3021" s="17" t="s">
        <v>736</v>
      </c>
    </row>
    <row r="3022" spans="1:14" x14ac:dyDescent="0.25">
      <c r="A3022" s="8">
        <v>988620</v>
      </c>
      <c r="B3022" s="22" t="str">
        <f>IFERROR(VLOOKUP(A3022,VLOOKUPS!$A$2:B$12589,2,FALSE),"")</f>
        <v>Brussels Sprouts 1lb-standard</v>
      </c>
      <c r="G3022" s="13">
        <v>44580</v>
      </c>
      <c r="H3022" s="13">
        <v>44580</v>
      </c>
      <c r="I3022" s="22" t="str">
        <f>VLOOKUP(J3022, Dropdowns!N:O, 2, FALSE)</f>
        <v>Lower Price</v>
      </c>
      <c r="J3022" t="s">
        <v>762</v>
      </c>
      <c r="L3022" s="17" t="s">
        <v>732</v>
      </c>
      <c r="M3022" s="17" t="s">
        <v>9</v>
      </c>
      <c r="N3022" s="17" t="s">
        <v>736</v>
      </c>
    </row>
    <row r="3023" spans="1:14" x14ac:dyDescent="0.25">
      <c r="A3023" s="8">
        <v>988620</v>
      </c>
      <c r="B3023" s="22" t="str">
        <f>IFERROR(VLOOKUP(A3023,VLOOKUPS!$A$2:B$12589,2,FALSE),"")</f>
        <v>Brussels Sprouts 1lb-standard</v>
      </c>
      <c r="G3023" s="13">
        <v>44580</v>
      </c>
      <c r="H3023" s="13">
        <v>44581</v>
      </c>
      <c r="I3023" s="22" t="str">
        <f>VLOOKUP(J3023, Dropdowns!N:O, 2, FALSE)</f>
        <v>Lower Price</v>
      </c>
      <c r="J3023" t="s">
        <v>762</v>
      </c>
      <c r="L3023" s="17" t="s">
        <v>732</v>
      </c>
      <c r="M3023" s="17" t="s">
        <v>738</v>
      </c>
      <c r="N3023" s="17">
        <v>2</v>
      </c>
    </row>
    <row r="3024" spans="1:14" x14ac:dyDescent="0.25">
      <c r="A3024" s="8">
        <v>984620</v>
      </c>
      <c r="B3024" s="22" t="str">
        <f>IFERROR(VLOOKUP(A3024,VLOOKUPS!$A$2:B$12589,2,FALSE),"")</f>
        <v>Raspberries 6oz-standard</v>
      </c>
      <c r="E3024">
        <v>1.49</v>
      </c>
      <c r="F3024">
        <v>2.7</v>
      </c>
      <c r="G3024" s="13">
        <v>44580</v>
      </c>
      <c r="H3024" s="13"/>
      <c r="I3024" s="22" t="str">
        <f>VLOOKUP(J3024, Dropdowns!N:O, 2, FALSE)</f>
        <v>Standard</v>
      </c>
      <c r="J3024" t="s">
        <v>760</v>
      </c>
      <c r="L3024" s="17" t="s">
        <v>732</v>
      </c>
      <c r="M3024" s="17" t="s">
        <v>736</v>
      </c>
      <c r="N3024" s="17" t="s">
        <v>736</v>
      </c>
    </row>
    <row r="3025" spans="1:14" x14ac:dyDescent="0.25">
      <c r="A3025" s="8">
        <v>986810</v>
      </c>
      <c r="B3025" s="22" t="str">
        <f>IFERROR(VLOOKUP(A3025,VLOOKUPS!$A$2:B$12589,2,FALSE),"")</f>
        <v>Tomatoes Cherry on the Vine 9oz-standard</v>
      </c>
      <c r="E3025">
        <v>2.4900000000000002</v>
      </c>
      <c r="F3025">
        <v>3.79</v>
      </c>
      <c r="G3025" s="13">
        <v>44580</v>
      </c>
      <c r="H3025" s="13"/>
      <c r="I3025" s="22" t="str">
        <f>VLOOKUP(J3025, Dropdowns!N:O, 2, FALSE)</f>
        <v>Standard</v>
      </c>
      <c r="J3025" t="s">
        <v>760</v>
      </c>
      <c r="L3025" s="17" t="s">
        <v>732</v>
      </c>
      <c r="M3025" s="17" t="s">
        <v>9</v>
      </c>
      <c r="N3025" s="17" t="s">
        <v>736</v>
      </c>
    </row>
    <row r="3026" spans="1:14" x14ac:dyDescent="0.25">
      <c r="A3026" s="8">
        <v>986810</v>
      </c>
      <c r="B3026" s="22" t="str">
        <f>IFERROR(VLOOKUP(A3026,VLOOKUPS!$A$2:B$12589,2,FALSE),"")</f>
        <v>Tomatoes Cherry on the Vine 9oz-standard</v>
      </c>
      <c r="G3026" s="13">
        <v>44580</v>
      </c>
      <c r="H3026" s="13">
        <v>44580</v>
      </c>
      <c r="I3026" s="22" t="str">
        <f>VLOOKUP(J3026, Dropdowns!N:O, 2, FALSE)</f>
        <v>Lower Price</v>
      </c>
      <c r="J3026" t="s">
        <v>762</v>
      </c>
      <c r="L3026" s="17" t="s">
        <v>732</v>
      </c>
      <c r="M3026" s="17" t="s">
        <v>10</v>
      </c>
      <c r="N3026" s="17">
        <v>2</v>
      </c>
    </row>
    <row r="3027" spans="1:14" x14ac:dyDescent="0.25">
      <c r="A3027" s="8">
        <v>995172</v>
      </c>
      <c r="B3027" s="22" t="str">
        <f>IFERROR(VLOOKUP(A3027,VLOOKUPS!$A$2:B$12589,2,FALSE),"")</f>
        <v>Pinkglow Pineapple Chunks 12oz-standard</v>
      </c>
      <c r="D3027">
        <v>6</v>
      </c>
      <c r="E3027">
        <v>4.99</v>
      </c>
      <c r="G3027" s="13">
        <v>44581</v>
      </c>
      <c r="H3027" s="13"/>
      <c r="I3027" s="22" t="str">
        <f>VLOOKUP(J3027, Dropdowns!N:O, 2, FALSE)</f>
        <v>NA</v>
      </c>
      <c r="J3027" t="s">
        <v>754</v>
      </c>
      <c r="L3027" s="17" t="s">
        <v>732</v>
      </c>
      <c r="M3027" s="17" t="s">
        <v>736</v>
      </c>
      <c r="N3027" s="17" t="s">
        <v>736</v>
      </c>
    </row>
    <row r="3028" spans="1:14" x14ac:dyDescent="0.25">
      <c r="A3028" s="8">
        <v>983301</v>
      </c>
      <c r="B3028" s="22" t="str">
        <f>IFERROR(VLOOKUP(A3028,VLOOKUPS!$A$2:B$12589,2,FALSE),"")</f>
        <v>Watermelons* Mini Seedless 1ct-LOOSE</v>
      </c>
      <c r="E3028">
        <v>4.9800000000000004</v>
      </c>
      <c r="F3028">
        <v>4.29</v>
      </c>
      <c r="G3028" s="13">
        <v>44581</v>
      </c>
      <c r="H3028" s="13">
        <v>44582</v>
      </c>
      <c r="I3028" s="22" t="str">
        <f>VLOOKUP(J3028, Dropdowns!N:O, 2, FALSE)</f>
        <v>Lower Price</v>
      </c>
      <c r="J3028" t="s">
        <v>759</v>
      </c>
      <c r="L3028" s="17" t="s">
        <v>732</v>
      </c>
      <c r="M3028" s="17" t="s">
        <v>737</v>
      </c>
      <c r="N3028" s="17" t="s">
        <v>736</v>
      </c>
    </row>
    <row r="3029" spans="1:14" x14ac:dyDescent="0.25">
      <c r="A3029" s="8">
        <v>983301</v>
      </c>
      <c r="B3029" s="22" t="str">
        <f>IFERROR(VLOOKUP(A3029,VLOOKUPS!$A$2:B$12589,2,FALSE),"")</f>
        <v>Watermelons* Mini Seedless 1ct-LOOSE</v>
      </c>
      <c r="E3029">
        <v>4.29</v>
      </c>
      <c r="F3029">
        <v>4.9800000000000004</v>
      </c>
      <c r="G3029" s="13">
        <v>44583</v>
      </c>
      <c r="H3029" s="13"/>
      <c r="I3029" s="22" t="str">
        <f>VLOOKUP(J3029, Dropdowns!N:O, 2, FALSE)</f>
        <v>Standard</v>
      </c>
      <c r="J3029" t="s">
        <v>760</v>
      </c>
      <c r="L3029" s="17" t="s">
        <v>732</v>
      </c>
      <c r="M3029" s="17" t="s">
        <v>737</v>
      </c>
      <c r="N3029" s="17" t="s">
        <v>736</v>
      </c>
    </row>
    <row r="3030" spans="1:14" x14ac:dyDescent="0.25">
      <c r="A3030" s="8">
        <v>982000</v>
      </c>
      <c r="B3030" s="22" t="str">
        <f>IFERROR(VLOOKUP(A3030,VLOOKUPS!$A$2:B$12589,2,FALSE),"")</f>
        <v>Cherries* Sweet 1lb-LOOSE</v>
      </c>
      <c r="E3030">
        <v>3.99</v>
      </c>
      <c r="F3030">
        <v>5.99</v>
      </c>
      <c r="G3030" s="13">
        <v>44581</v>
      </c>
      <c r="H3030" s="13"/>
      <c r="I3030" s="22" t="str">
        <f>VLOOKUP(J3030, Dropdowns!N:O, 2, FALSE)</f>
        <v>Standard</v>
      </c>
      <c r="J3030" t="s">
        <v>761</v>
      </c>
      <c r="L3030" s="17" t="s">
        <v>732</v>
      </c>
      <c r="M3030" s="17" t="s">
        <v>735</v>
      </c>
      <c r="N3030" s="17" t="s">
        <v>736</v>
      </c>
    </row>
    <row r="3031" spans="1:14" x14ac:dyDescent="0.25">
      <c r="A3031" s="8">
        <v>982000</v>
      </c>
      <c r="B3031" s="22" t="str">
        <f>IFERROR(VLOOKUP(A3031,VLOOKUPS!$A$2:B$12589,2,FALSE),"")</f>
        <v>Cherries* Sweet 1lb-LOOSE</v>
      </c>
      <c r="E3031">
        <v>3.99</v>
      </c>
      <c r="F3031">
        <v>5.99</v>
      </c>
      <c r="G3031" s="13">
        <v>44582</v>
      </c>
      <c r="H3031" s="13"/>
      <c r="I3031" s="22" t="str">
        <f>VLOOKUP(J3031, Dropdowns!N:O, 2, FALSE)</f>
        <v>Standard</v>
      </c>
      <c r="J3031" t="s">
        <v>761</v>
      </c>
      <c r="L3031" s="17" t="s">
        <v>732</v>
      </c>
      <c r="M3031" s="17" t="s">
        <v>735</v>
      </c>
      <c r="N3031" s="17" t="s">
        <v>736</v>
      </c>
    </row>
    <row r="3032" spans="1:14" x14ac:dyDescent="0.25">
      <c r="A3032" s="8">
        <v>984620</v>
      </c>
      <c r="B3032" s="22" t="str">
        <f>IFERROR(VLOOKUP(A3032,VLOOKUPS!$A$2:B$12589,2,FALSE),"")</f>
        <v>Raspberries 6oz-standard</v>
      </c>
      <c r="E3032">
        <v>2.7</v>
      </c>
      <c r="F3032">
        <v>2.68</v>
      </c>
      <c r="G3032" s="13">
        <v>44581</v>
      </c>
      <c r="H3032" s="13"/>
      <c r="I3032" s="22" t="str">
        <f>VLOOKUP(J3032, Dropdowns!N:O, 2, FALSE)</f>
        <v>Standard</v>
      </c>
      <c r="J3032" t="s">
        <v>761</v>
      </c>
      <c r="L3032" s="17" t="s">
        <v>732</v>
      </c>
      <c r="M3032" s="17" t="s">
        <v>736</v>
      </c>
      <c r="N3032" s="17" t="s">
        <v>736</v>
      </c>
    </row>
    <row r="3033" spans="1:14" x14ac:dyDescent="0.25">
      <c r="A3033" s="8">
        <v>988620</v>
      </c>
      <c r="B3033" s="22" t="str">
        <f>IFERROR(VLOOKUP(A3033,VLOOKUPS!$A$2:B$12589,2,FALSE),"")</f>
        <v>Brussels Sprouts 1lb-standard</v>
      </c>
      <c r="G3033" s="13">
        <v>44581</v>
      </c>
      <c r="H3033" s="13">
        <v>44581</v>
      </c>
      <c r="I3033" s="22" t="str">
        <f>VLOOKUP(J3033, Dropdowns!N:O, 2, FALSE)</f>
        <v>Lower Price</v>
      </c>
      <c r="J3033" t="s">
        <v>762</v>
      </c>
      <c r="L3033" s="17" t="s">
        <v>732</v>
      </c>
      <c r="M3033" s="17" t="s">
        <v>9</v>
      </c>
      <c r="N3033" s="17" t="s">
        <v>736</v>
      </c>
    </row>
    <row r="3034" spans="1:14" x14ac:dyDescent="0.25">
      <c r="A3034" s="8">
        <v>995157</v>
      </c>
      <c r="B3034" s="22" t="str">
        <f>IFERROR(VLOOKUP(A3034,VLOOKUPS!$A$2:B$12589,2,FALSE),"")</f>
        <v/>
      </c>
      <c r="E3034">
        <v>4.49</v>
      </c>
      <c r="F3034">
        <v>2.99</v>
      </c>
      <c r="G3034" s="13">
        <v>44581</v>
      </c>
      <c r="H3034" s="13">
        <v>44582</v>
      </c>
      <c r="I3034" s="22" t="str">
        <f>VLOOKUP(J3034, Dropdowns!N:O, 2, FALSE)</f>
        <v>Lower Price</v>
      </c>
      <c r="J3034" t="s">
        <v>759</v>
      </c>
      <c r="L3034" s="17" t="s">
        <v>733</v>
      </c>
      <c r="M3034" s="17" t="s">
        <v>11</v>
      </c>
      <c r="N3034" s="17" t="s">
        <v>740</v>
      </c>
    </row>
    <row r="3035" spans="1:14" x14ac:dyDescent="0.25">
      <c r="A3035" s="8">
        <v>995157</v>
      </c>
      <c r="B3035" s="22" t="str">
        <f>IFERROR(VLOOKUP(A3035,VLOOKUPS!$A$2:B$12589,2,FALSE),"")</f>
        <v/>
      </c>
      <c r="E3035">
        <v>2.99</v>
      </c>
      <c r="F3035">
        <v>4.49</v>
      </c>
      <c r="G3035" s="13">
        <v>44583</v>
      </c>
      <c r="H3035" s="13"/>
      <c r="I3035" s="22" t="str">
        <f>VLOOKUP(J3035, Dropdowns!N:O, 2, FALSE)</f>
        <v>Standard</v>
      </c>
      <c r="J3035" t="s">
        <v>760</v>
      </c>
      <c r="L3035" s="17" t="s">
        <v>733</v>
      </c>
      <c r="M3035" s="17" t="s">
        <v>11</v>
      </c>
      <c r="N3035" s="17" t="s">
        <v>740</v>
      </c>
    </row>
    <row r="3036" spans="1:14" x14ac:dyDescent="0.25">
      <c r="A3036" s="8">
        <v>988620</v>
      </c>
      <c r="B3036" s="22" t="str">
        <f>IFERROR(VLOOKUP(A3036,VLOOKUPS!$A$2:B$12589,2,FALSE),"")</f>
        <v>Brussels Sprouts 1lb-standard</v>
      </c>
      <c r="E3036">
        <v>1.49</v>
      </c>
      <c r="F3036">
        <v>2.89</v>
      </c>
      <c r="G3036" s="13">
        <v>44582</v>
      </c>
      <c r="H3036" s="13"/>
      <c r="I3036" s="22" t="str">
        <f>VLOOKUP(J3036, Dropdowns!N:O, 2, FALSE)</f>
        <v>Standard</v>
      </c>
      <c r="J3036" t="s">
        <v>760</v>
      </c>
      <c r="L3036" s="17" t="s">
        <v>732</v>
      </c>
      <c r="M3036" s="17" t="s">
        <v>737</v>
      </c>
      <c r="N3036" s="17" t="s">
        <v>736</v>
      </c>
    </row>
    <row r="3037" spans="1:14" x14ac:dyDescent="0.25">
      <c r="A3037" s="8">
        <v>988620</v>
      </c>
      <c r="B3037" s="22" t="str">
        <f>IFERROR(VLOOKUP(A3037,VLOOKUPS!$A$2:B$12589,2,FALSE),"")</f>
        <v>Brussels Sprouts 1lb-standard</v>
      </c>
      <c r="G3037" s="13">
        <v>44582</v>
      </c>
      <c r="H3037" s="13">
        <v>44582</v>
      </c>
      <c r="I3037" s="22" t="str">
        <f>VLOOKUP(J3037, Dropdowns!N:O, 2, FALSE)</f>
        <v>Lower Price</v>
      </c>
      <c r="J3037" t="s">
        <v>762</v>
      </c>
      <c r="L3037" s="17" t="s">
        <v>732</v>
      </c>
      <c r="M3037" s="17" t="s">
        <v>10</v>
      </c>
      <c r="N3037" s="17">
        <v>2</v>
      </c>
    </row>
    <row r="3038" spans="1:14" x14ac:dyDescent="0.25">
      <c r="A3038" s="8">
        <v>982650</v>
      </c>
      <c r="B3038" s="22" t="str">
        <f>IFERROR(VLOOKUP(A3038,VLOOKUPS!$A$2:B$12589,2,FALSE),"")</f>
        <v>Grapes* Green Seedless 1lb-LOOSE</v>
      </c>
      <c r="E3038">
        <v>1.69</v>
      </c>
      <c r="F3038">
        <v>1.74</v>
      </c>
      <c r="G3038" s="13">
        <v>44582</v>
      </c>
      <c r="H3038" s="13"/>
      <c r="I3038" s="22" t="str">
        <f>VLOOKUP(J3038, Dropdowns!N:O, 2, FALSE)</f>
        <v>Standard</v>
      </c>
      <c r="J3038" t="s">
        <v>761</v>
      </c>
      <c r="L3038" s="17" t="s">
        <v>732</v>
      </c>
      <c r="M3038" s="17" t="s">
        <v>736</v>
      </c>
      <c r="N3038" s="17" t="s">
        <v>736</v>
      </c>
    </row>
    <row r="3039" spans="1:14" x14ac:dyDescent="0.25">
      <c r="A3039" s="8">
        <v>982832</v>
      </c>
      <c r="B3039" s="22" t="str">
        <f>IFERROR(VLOOKUP(A3039,VLOOKUPS!$A$2:B$12589,2,FALSE),"")</f>
        <v>Grapes 3lb-standard</v>
      </c>
      <c r="D3039">
        <v>6</v>
      </c>
      <c r="E3039">
        <v>9.99</v>
      </c>
      <c r="G3039" s="13">
        <v>44583</v>
      </c>
      <c r="H3039" s="13"/>
      <c r="I3039" s="22" t="str">
        <f>VLOOKUP(J3039, Dropdowns!N:O, 2, FALSE)</f>
        <v>NA</v>
      </c>
      <c r="J3039" t="s">
        <v>754</v>
      </c>
      <c r="L3039" s="17" t="s">
        <v>732</v>
      </c>
      <c r="M3039" s="17" t="s">
        <v>735</v>
      </c>
      <c r="N3039" s="17" t="s">
        <v>736</v>
      </c>
    </row>
    <row r="3040" spans="1:14" x14ac:dyDescent="0.25">
      <c r="A3040" s="8">
        <v>982712</v>
      </c>
      <c r="B3040" s="22" t="str">
        <f>IFERROR(VLOOKUP(A3040,VLOOKUPS!$A$2:B$12589,2,FALSE),"")</f>
        <v>Organic Grapes Red 1lb-standard</v>
      </c>
      <c r="D3040">
        <v>10</v>
      </c>
      <c r="F3040">
        <v>0</v>
      </c>
      <c r="G3040" s="13">
        <v>44583</v>
      </c>
      <c r="H3040" s="13"/>
      <c r="I3040" s="22" t="str">
        <f>VLOOKUP(J3040, Dropdowns!N:O, 2, FALSE)</f>
        <v>NA</v>
      </c>
      <c r="J3040" t="s">
        <v>1057</v>
      </c>
      <c r="L3040" s="17" t="s">
        <v>733</v>
      </c>
      <c r="M3040" s="17" t="s">
        <v>11</v>
      </c>
      <c r="N3040" s="17" t="s">
        <v>740</v>
      </c>
    </row>
    <row r="3041" spans="1:14" x14ac:dyDescent="0.25">
      <c r="A3041" s="8">
        <v>995173</v>
      </c>
      <c r="B3041" s="22" t="str">
        <f>IFERROR(VLOOKUP(A3041,VLOOKUPS!$A$2:B$12589,2,FALSE),"")</f>
        <v>Fruit Tray 40oz-standard</v>
      </c>
      <c r="D3041">
        <v>2</v>
      </c>
      <c r="F3041">
        <v>0</v>
      </c>
      <c r="G3041" s="13">
        <v>44583</v>
      </c>
      <c r="H3041" s="13"/>
      <c r="I3041" s="22" t="str">
        <f>VLOOKUP(J3041, Dropdowns!N:O, 2, FALSE)</f>
        <v>NA</v>
      </c>
      <c r="J3041" t="s">
        <v>1057</v>
      </c>
      <c r="L3041" s="17" t="s">
        <v>733</v>
      </c>
      <c r="M3041" s="17" t="s">
        <v>11</v>
      </c>
      <c r="N3041" s="17" t="s">
        <v>740</v>
      </c>
    </row>
    <row r="3042" spans="1:14" x14ac:dyDescent="0.25">
      <c r="A3042" s="8">
        <v>982000</v>
      </c>
      <c r="B3042" s="22" t="str">
        <f>IFERROR(VLOOKUP(A3042,VLOOKUPS!$A$2:B$12589,2,FALSE),"")</f>
        <v>Cherries* Sweet 1lb-LOOSE</v>
      </c>
      <c r="G3042" s="13">
        <v>44583</v>
      </c>
      <c r="H3042" s="13">
        <v>44584</v>
      </c>
      <c r="I3042" s="22" t="str">
        <f>VLOOKUP(J3042, Dropdowns!N:O, 2, FALSE)</f>
        <v>Lower Price</v>
      </c>
      <c r="J3042" t="s">
        <v>753</v>
      </c>
      <c r="L3042" s="17" t="s">
        <v>732</v>
      </c>
      <c r="M3042" s="17" t="s">
        <v>736</v>
      </c>
      <c r="N3042" s="17" t="s">
        <v>736</v>
      </c>
    </row>
    <row r="3043" spans="1:14" x14ac:dyDescent="0.25">
      <c r="A3043" s="8">
        <v>982000</v>
      </c>
      <c r="B3043" s="22" t="str">
        <f>IFERROR(VLOOKUP(A3043,VLOOKUPS!$A$2:B$12589,2,FALSE),"")</f>
        <v>Cherries* Sweet 1lb-LOOSE</v>
      </c>
      <c r="E3043">
        <v>3.49</v>
      </c>
      <c r="F3043">
        <v>5.99</v>
      </c>
      <c r="G3043" s="13">
        <v>44585</v>
      </c>
      <c r="H3043" s="13"/>
      <c r="I3043" s="22" t="str">
        <f>VLOOKUP(J3043, Dropdowns!N:O, 2, FALSE)</f>
        <v>Standard</v>
      </c>
      <c r="J3043" t="s">
        <v>760</v>
      </c>
      <c r="L3043" s="17" t="s">
        <v>732</v>
      </c>
      <c r="M3043" s="17" t="s">
        <v>736</v>
      </c>
      <c r="N3043" s="17" t="s">
        <v>736</v>
      </c>
    </row>
    <row r="3044" spans="1:14" x14ac:dyDescent="0.25">
      <c r="A3044" s="8">
        <v>982000</v>
      </c>
      <c r="B3044" s="22" t="str">
        <f>IFERROR(VLOOKUP(A3044,VLOOKUPS!$A$2:B$12589,2,FALSE),"")</f>
        <v>Cherries* Sweet 1lb-LOOSE</v>
      </c>
      <c r="E3044">
        <v>5.99</v>
      </c>
      <c r="F3044">
        <v>3.99</v>
      </c>
      <c r="G3044" s="13">
        <v>44586</v>
      </c>
      <c r="H3044" s="13"/>
      <c r="I3044" s="22" t="str">
        <f>VLOOKUP(J3044, Dropdowns!N:O, 2, FALSE)</f>
        <v>Standard</v>
      </c>
      <c r="J3044" t="s">
        <v>761</v>
      </c>
      <c r="L3044" s="17" t="s">
        <v>732</v>
      </c>
      <c r="M3044" s="17" t="s">
        <v>735</v>
      </c>
      <c r="N3044" s="17" t="s">
        <v>736</v>
      </c>
    </row>
    <row r="3045" spans="1:14" x14ac:dyDescent="0.25">
      <c r="A3045" s="8">
        <v>985760</v>
      </c>
      <c r="B3045" s="22" t="str">
        <f>IFERROR(VLOOKUP(A3045,VLOOKUPS!$A$2:B$12589,2,FALSE),"")</f>
        <v>Asparagus 1lb-standard</v>
      </c>
      <c r="E3045">
        <v>2.99</v>
      </c>
      <c r="F3045">
        <v>1.99</v>
      </c>
      <c r="G3045" s="13">
        <v>44583</v>
      </c>
      <c r="H3045" s="13">
        <v>44584</v>
      </c>
      <c r="I3045" s="22" t="str">
        <f>VLOOKUP(J3045, Dropdowns!N:O, 2, FALSE)</f>
        <v>Lower Price</v>
      </c>
      <c r="J3045" t="s">
        <v>759</v>
      </c>
      <c r="L3045" s="17" t="s">
        <v>733</v>
      </c>
      <c r="M3045" s="17" t="s">
        <v>11</v>
      </c>
      <c r="N3045" s="17" t="s">
        <v>740</v>
      </c>
    </row>
    <row r="3046" spans="1:14" x14ac:dyDescent="0.25">
      <c r="A3046" s="8">
        <v>985760</v>
      </c>
      <c r="B3046" s="22" t="str">
        <f>IFERROR(VLOOKUP(A3046,VLOOKUPS!$A$2:B$12589,2,FALSE),"")</f>
        <v>Asparagus 1lb-standard</v>
      </c>
      <c r="E3046">
        <v>1.99</v>
      </c>
      <c r="F3046">
        <v>2.99</v>
      </c>
      <c r="G3046" s="13">
        <v>44585</v>
      </c>
      <c r="H3046" s="13"/>
      <c r="I3046" s="22" t="str">
        <f>VLOOKUP(J3046, Dropdowns!N:O, 2, FALSE)</f>
        <v>Standard</v>
      </c>
      <c r="J3046" t="s">
        <v>760</v>
      </c>
      <c r="L3046" s="17" t="s">
        <v>733</v>
      </c>
      <c r="M3046" s="17" t="s">
        <v>11</v>
      </c>
      <c r="N3046" s="17" t="s">
        <v>740</v>
      </c>
    </row>
    <row r="3047" spans="1:14" x14ac:dyDescent="0.25">
      <c r="A3047" s="8">
        <v>995004</v>
      </c>
      <c r="B3047" s="22" t="str">
        <f>IFERROR(VLOOKUP(A3047,VLOOKUPS!$A$2:B$12589,2,FALSE),"")</f>
        <v>Chicken Caesar Salad 6.25oz-standard</v>
      </c>
      <c r="E3047">
        <v>3</v>
      </c>
      <c r="F3047">
        <v>2.98</v>
      </c>
      <c r="G3047" s="13">
        <v>44583</v>
      </c>
      <c r="H3047" s="13"/>
      <c r="I3047" s="22" t="str">
        <f>VLOOKUP(J3047, Dropdowns!N:O, 2, FALSE)</f>
        <v>Standard</v>
      </c>
      <c r="J3047" t="s">
        <v>761</v>
      </c>
      <c r="L3047" s="17" t="s">
        <v>732</v>
      </c>
      <c r="M3047" s="17" t="s">
        <v>736</v>
      </c>
      <c r="N3047" s="17" t="s">
        <v>736</v>
      </c>
    </row>
    <row r="3048" spans="1:14" x14ac:dyDescent="0.25">
      <c r="A3048" s="8">
        <v>988620</v>
      </c>
      <c r="B3048" s="22" t="str">
        <f>IFERROR(VLOOKUP(A3048,VLOOKUPS!$A$2:B$12589,2,FALSE),"")</f>
        <v>Brussels Sprouts 1lb-standard</v>
      </c>
      <c r="E3048">
        <v>1.49</v>
      </c>
      <c r="F3048">
        <v>2.89</v>
      </c>
      <c r="G3048" s="13">
        <v>44583</v>
      </c>
      <c r="H3048" s="13"/>
      <c r="I3048" s="22" t="str">
        <f>VLOOKUP(J3048, Dropdowns!N:O, 2, FALSE)</f>
        <v>Standard</v>
      </c>
      <c r="J3048" t="s">
        <v>760</v>
      </c>
      <c r="L3048" s="17" t="s">
        <v>732</v>
      </c>
      <c r="M3048" s="17" t="s">
        <v>10</v>
      </c>
      <c r="N3048" s="17">
        <v>2</v>
      </c>
    </row>
    <row r="3049" spans="1:14" x14ac:dyDescent="0.25">
      <c r="A3049" s="8">
        <v>983101</v>
      </c>
      <c r="B3049" s="22" t="str">
        <f>IFERROR(VLOOKUP(A3049,VLOOKUPS!$A$2:B$12589,2,FALSE),"")</f>
        <v>Melons Cantaloupes 1ct-LOOSE</v>
      </c>
      <c r="E3049">
        <v>2.98</v>
      </c>
      <c r="F3049">
        <v>1.78</v>
      </c>
      <c r="G3049" s="13">
        <v>44583</v>
      </c>
      <c r="H3049" s="13">
        <v>44584</v>
      </c>
      <c r="I3049" s="22" t="str">
        <f>VLOOKUP(J3049, Dropdowns!N:O, 2, FALSE)</f>
        <v>Lower Price</v>
      </c>
      <c r="J3049" t="s">
        <v>759</v>
      </c>
      <c r="L3049" s="17" t="s">
        <v>732</v>
      </c>
      <c r="M3049" s="17" t="s">
        <v>10</v>
      </c>
      <c r="N3049" s="17">
        <v>2</v>
      </c>
    </row>
    <row r="3050" spans="1:14" x14ac:dyDescent="0.25">
      <c r="A3050" s="8">
        <v>983101</v>
      </c>
      <c r="B3050" s="22" t="str">
        <f>IFERROR(VLOOKUP(A3050,VLOOKUPS!$A$2:B$12589,2,FALSE),"")</f>
        <v>Melons Cantaloupes 1ct-LOOSE</v>
      </c>
      <c r="E3050">
        <v>1.78</v>
      </c>
      <c r="F3050">
        <v>2.98</v>
      </c>
      <c r="G3050" s="13">
        <v>44585</v>
      </c>
      <c r="H3050" s="13"/>
      <c r="I3050" s="22" t="str">
        <f>VLOOKUP(J3050, Dropdowns!N:O, 2, FALSE)</f>
        <v>Standard</v>
      </c>
      <c r="J3050" t="s">
        <v>760</v>
      </c>
      <c r="L3050" s="17" t="s">
        <v>732</v>
      </c>
      <c r="M3050" s="17" t="s">
        <v>10</v>
      </c>
      <c r="N3050" s="17">
        <v>2</v>
      </c>
    </row>
    <row r="3051" spans="1:14" x14ac:dyDescent="0.25">
      <c r="A3051" s="8">
        <v>983104</v>
      </c>
      <c r="B3051" s="22" t="str">
        <f>IFERROR(VLOOKUP(A3051,VLOOKUPS!$A$2:B$12589,2,FALSE),"")</f>
        <v>Melons Dino 1ct.-LOOSE</v>
      </c>
      <c r="E3051">
        <v>3.98</v>
      </c>
      <c r="F3051">
        <v>2.98</v>
      </c>
      <c r="G3051" s="13">
        <v>44583</v>
      </c>
      <c r="H3051" s="13">
        <v>44584</v>
      </c>
      <c r="I3051" s="22" t="str">
        <f>VLOOKUP(J3051, Dropdowns!N:O, 2, FALSE)</f>
        <v>Lower Price</v>
      </c>
      <c r="J3051" t="s">
        <v>759</v>
      </c>
      <c r="L3051" s="17" t="s">
        <v>732</v>
      </c>
      <c r="M3051" s="17" t="s">
        <v>737</v>
      </c>
      <c r="N3051" s="17" t="s">
        <v>736</v>
      </c>
    </row>
    <row r="3052" spans="1:14" x14ac:dyDescent="0.25">
      <c r="A3052" s="8">
        <v>983104</v>
      </c>
      <c r="B3052" s="22" t="str">
        <f>IFERROR(VLOOKUP(A3052,VLOOKUPS!$A$2:B$12589,2,FALSE),"")</f>
        <v>Melons Dino 1ct.-LOOSE</v>
      </c>
      <c r="E3052">
        <v>2.98</v>
      </c>
      <c r="F3052">
        <v>3.98</v>
      </c>
      <c r="G3052" s="13">
        <v>44585</v>
      </c>
      <c r="H3052" s="13"/>
      <c r="I3052" s="22" t="str">
        <f>VLOOKUP(J3052, Dropdowns!N:O, 2, FALSE)</f>
        <v>Standard</v>
      </c>
      <c r="J3052" t="s">
        <v>760</v>
      </c>
      <c r="L3052" s="17" t="s">
        <v>732</v>
      </c>
      <c r="M3052" s="17" t="s">
        <v>737</v>
      </c>
      <c r="N3052" s="17" t="s">
        <v>736</v>
      </c>
    </row>
    <row r="3053" spans="1:14" x14ac:dyDescent="0.25">
      <c r="A3053" s="8">
        <v>985190</v>
      </c>
      <c r="B3053" s="22" t="str">
        <f>IFERROR(VLOOKUP(A3053,VLOOKUPS!$A$2:B$12589,2,FALSE),"")</f>
        <v>Organic Romaine Hearts 3ct-standard</v>
      </c>
      <c r="E3053">
        <v>3.19</v>
      </c>
      <c r="F3053">
        <v>2.4900000000000002</v>
      </c>
      <c r="G3053" s="13">
        <v>44586</v>
      </c>
      <c r="H3053" s="13">
        <v>44587</v>
      </c>
      <c r="I3053" s="22" t="str">
        <f>VLOOKUP(J3053, Dropdowns!N:O, 2, FALSE)</f>
        <v>Lower Price</v>
      </c>
      <c r="J3053" t="s">
        <v>759</v>
      </c>
      <c r="L3053" s="17" t="s">
        <v>733</v>
      </c>
      <c r="M3053" s="17" t="s">
        <v>11</v>
      </c>
      <c r="N3053" s="17" t="s">
        <v>740</v>
      </c>
    </row>
    <row r="3054" spans="1:14" x14ac:dyDescent="0.25">
      <c r="A3054" s="8">
        <v>985190</v>
      </c>
      <c r="B3054" s="22" t="str">
        <f>IFERROR(VLOOKUP(A3054,VLOOKUPS!$A$2:B$12589,2,FALSE),"")</f>
        <v>Organic Romaine Hearts 3ct-standard</v>
      </c>
      <c r="E3054">
        <v>2.4900000000000002</v>
      </c>
      <c r="F3054">
        <v>3.19</v>
      </c>
      <c r="G3054" s="13">
        <v>44588</v>
      </c>
      <c r="H3054" s="13"/>
      <c r="I3054" s="22" t="str">
        <f>VLOOKUP(J3054, Dropdowns!N:O, 2, FALSE)</f>
        <v>Standard</v>
      </c>
      <c r="J3054" t="s">
        <v>760</v>
      </c>
      <c r="L3054" s="17" t="s">
        <v>733</v>
      </c>
      <c r="M3054" s="17" t="s">
        <v>11</v>
      </c>
      <c r="N3054" s="17" t="s">
        <v>740</v>
      </c>
    </row>
    <row r="3055" spans="1:14" x14ac:dyDescent="0.25">
      <c r="A3055" s="8">
        <v>995004</v>
      </c>
      <c r="B3055" s="22" t="str">
        <f>IFERROR(VLOOKUP(A3055,VLOOKUPS!$A$2:B$12589,2,FALSE),"")</f>
        <v>Chicken Caesar Salad 6.25oz-standard</v>
      </c>
      <c r="E3055">
        <v>2.98</v>
      </c>
      <c r="F3055">
        <v>1.98</v>
      </c>
      <c r="G3055" s="13">
        <v>44586</v>
      </c>
      <c r="H3055" s="13">
        <v>44587</v>
      </c>
      <c r="I3055" s="22" t="str">
        <f>VLOOKUP(J3055, Dropdowns!N:O, 2, FALSE)</f>
        <v>Lower Price</v>
      </c>
      <c r="J3055" t="s">
        <v>759</v>
      </c>
      <c r="L3055" s="17" t="s">
        <v>733</v>
      </c>
      <c r="M3055" s="17" t="s">
        <v>11</v>
      </c>
      <c r="N3055" s="17" t="s">
        <v>740</v>
      </c>
    </row>
    <row r="3056" spans="1:14" x14ac:dyDescent="0.25">
      <c r="A3056" s="8">
        <v>995004</v>
      </c>
      <c r="B3056" s="22" t="str">
        <f>IFERROR(VLOOKUP(A3056,VLOOKUPS!$A$2:B$12589,2,FALSE),"")</f>
        <v>Chicken Caesar Salad 6.25oz-standard</v>
      </c>
      <c r="E3056">
        <v>1.98</v>
      </c>
      <c r="F3056">
        <v>2.98</v>
      </c>
      <c r="G3056" s="13">
        <v>44588</v>
      </c>
      <c r="H3056" s="13"/>
      <c r="I3056" s="22" t="str">
        <f>VLOOKUP(J3056, Dropdowns!N:O, 2, FALSE)</f>
        <v>Standard</v>
      </c>
      <c r="J3056" t="s">
        <v>760</v>
      </c>
      <c r="L3056" s="17" t="s">
        <v>733</v>
      </c>
      <c r="M3056" s="17" t="s">
        <v>11</v>
      </c>
      <c r="N3056" s="17" t="s">
        <v>740</v>
      </c>
    </row>
    <row r="3057" spans="1:14" x14ac:dyDescent="0.25">
      <c r="A3057" s="8">
        <v>995007</v>
      </c>
      <c r="B3057" s="22" t="str">
        <f>IFERROR(VLOOKUP(A3057,VLOOKUPS!$A$2:B$12589,2,FALSE),"")</f>
        <v>Caesar Salad Kit 10.5oz-standard</v>
      </c>
      <c r="E3057">
        <v>2.59</v>
      </c>
      <c r="F3057">
        <v>1.89</v>
      </c>
      <c r="G3057" s="13">
        <v>44586</v>
      </c>
      <c r="H3057" s="13">
        <v>44587</v>
      </c>
      <c r="I3057" s="22" t="str">
        <f>VLOOKUP(J3057, Dropdowns!N:O, 2, FALSE)</f>
        <v>Lower Price</v>
      </c>
      <c r="J3057" t="s">
        <v>759</v>
      </c>
      <c r="L3057" s="17" t="s">
        <v>733</v>
      </c>
      <c r="M3057" s="17" t="s">
        <v>11</v>
      </c>
      <c r="N3057" s="17" t="s">
        <v>740</v>
      </c>
    </row>
    <row r="3058" spans="1:14" x14ac:dyDescent="0.25">
      <c r="A3058" s="8">
        <v>995007</v>
      </c>
      <c r="B3058" s="22" t="str">
        <f>IFERROR(VLOOKUP(A3058,VLOOKUPS!$A$2:B$12589,2,FALSE),"")</f>
        <v>Caesar Salad Kit 10.5oz-standard</v>
      </c>
      <c r="E3058">
        <v>1.89</v>
      </c>
      <c r="F3058">
        <v>2.59</v>
      </c>
      <c r="G3058" s="13">
        <v>44588</v>
      </c>
      <c r="H3058" s="13"/>
      <c r="I3058" s="22" t="str">
        <f>VLOOKUP(J3058, Dropdowns!N:O, 2, FALSE)</f>
        <v>Standard</v>
      </c>
      <c r="J3058" t="s">
        <v>760</v>
      </c>
      <c r="L3058" s="17" t="s">
        <v>733</v>
      </c>
      <c r="M3058" s="17" t="s">
        <v>11</v>
      </c>
      <c r="N3058" s="17" t="s">
        <v>740</v>
      </c>
    </row>
    <row r="3059" spans="1:14" x14ac:dyDescent="0.25">
      <c r="A3059" s="8">
        <v>995008</v>
      </c>
      <c r="B3059" s="22" t="str">
        <f>IFERROR(VLOOKUP(A3059,VLOOKUPS!$A$2:B$12589,2,FALSE),"")</f>
        <v>Shredded Lettuce 8oz-standard</v>
      </c>
      <c r="E3059">
        <v>1.29</v>
      </c>
      <c r="F3059">
        <v>0.79</v>
      </c>
      <c r="G3059" s="13">
        <v>44586</v>
      </c>
      <c r="H3059" s="13">
        <v>44587</v>
      </c>
      <c r="I3059" s="22" t="str">
        <f>VLOOKUP(J3059, Dropdowns!N:O, 2, FALSE)</f>
        <v>Lower Price</v>
      </c>
      <c r="J3059" t="s">
        <v>759</v>
      </c>
      <c r="L3059" s="17" t="s">
        <v>733</v>
      </c>
      <c r="M3059" s="17" t="s">
        <v>735</v>
      </c>
      <c r="N3059" s="17" t="s">
        <v>740</v>
      </c>
    </row>
    <row r="3060" spans="1:14" x14ac:dyDescent="0.25">
      <c r="A3060" s="8">
        <v>995008</v>
      </c>
      <c r="B3060" s="22" t="str">
        <f>IFERROR(VLOOKUP(A3060,VLOOKUPS!$A$2:B$12589,2,FALSE),"")</f>
        <v>Shredded Lettuce 8oz-standard</v>
      </c>
      <c r="E3060">
        <v>0.79</v>
      </c>
      <c r="F3060">
        <v>1.29</v>
      </c>
      <c r="G3060" s="13">
        <v>44588</v>
      </c>
      <c r="H3060" s="13"/>
      <c r="I3060" s="22" t="str">
        <f>VLOOKUP(J3060, Dropdowns!N:O, 2, FALSE)</f>
        <v>Standard</v>
      </c>
      <c r="J3060" t="s">
        <v>760</v>
      </c>
      <c r="L3060" s="17" t="s">
        <v>733</v>
      </c>
      <c r="M3060" s="17" t="s">
        <v>735</v>
      </c>
      <c r="N3060" s="17" t="s">
        <v>740</v>
      </c>
    </row>
    <row r="3061" spans="1:14" x14ac:dyDescent="0.25">
      <c r="A3061" s="8">
        <v>995013</v>
      </c>
      <c r="B3061" s="22" t="str">
        <f>IFERROR(VLOOKUP(A3061,VLOOKUPS!$A$2:B$12589,2,FALSE),"")</f>
        <v>Spinach 8oz-standard</v>
      </c>
      <c r="E3061">
        <v>1.29</v>
      </c>
      <c r="F3061">
        <v>0.79</v>
      </c>
      <c r="G3061" s="13">
        <v>44586</v>
      </c>
      <c r="H3061" s="13">
        <v>44587</v>
      </c>
      <c r="I3061" s="22" t="str">
        <f>VLOOKUP(J3061, Dropdowns!N:O, 2, FALSE)</f>
        <v>Lower Price</v>
      </c>
      <c r="J3061" t="s">
        <v>759</v>
      </c>
      <c r="L3061" s="17" t="s">
        <v>733</v>
      </c>
      <c r="M3061" s="17" t="s">
        <v>11</v>
      </c>
      <c r="N3061" s="17" t="s">
        <v>740</v>
      </c>
    </row>
    <row r="3062" spans="1:14" x14ac:dyDescent="0.25">
      <c r="A3062" s="8">
        <v>995013</v>
      </c>
      <c r="B3062" s="22" t="str">
        <f>IFERROR(VLOOKUP(A3062,VLOOKUPS!$A$2:B$12589,2,FALSE),"")</f>
        <v>Spinach 8oz-standard</v>
      </c>
      <c r="E3062">
        <v>0.79</v>
      </c>
      <c r="F3062">
        <v>1.29</v>
      </c>
      <c r="G3062" s="13">
        <v>44588</v>
      </c>
      <c r="H3062" s="13"/>
      <c r="I3062" s="22" t="str">
        <f>VLOOKUP(J3062, Dropdowns!N:O, 2, FALSE)</f>
        <v>Standard</v>
      </c>
      <c r="J3062" t="s">
        <v>760</v>
      </c>
      <c r="L3062" s="17" t="s">
        <v>733</v>
      </c>
      <c r="M3062" s="17" t="s">
        <v>11</v>
      </c>
      <c r="N3062" s="17" t="s">
        <v>740</v>
      </c>
    </row>
    <row r="3063" spans="1:14" x14ac:dyDescent="0.25">
      <c r="A3063" s="8">
        <v>995082</v>
      </c>
      <c r="B3063" s="22" t="str">
        <f>IFERROR(VLOOKUP(A3063,VLOOKUPS!$A$2:B$12589,2,FALSE),"")</f>
        <v>Melon Trio 16oz-standard</v>
      </c>
      <c r="E3063">
        <v>3.99</v>
      </c>
      <c r="F3063">
        <v>2.99</v>
      </c>
      <c r="G3063" s="13">
        <v>44586</v>
      </c>
      <c r="H3063" s="13">
        <v>44587</v>
      </c>
      <c r="I3063" s="22" t="str">
        <f>VLOOKUP(J3063, Dropdowns!N:O, 2, FALSE)</f>
        <v>Lower Price</v>
      </c>
      <c r="J3063" t="s">
        <v>759</v>
      </c>
      <c r="L3063" s="17" t="s">
        <v>732</v>
      </c>
      <c r="M3063" s="17" t="s">
        <v>10</v>
      </c>
      <c r="N3063" s="17">
        <v>2</v>
      </c>
    </row>
    <row r="3064" spans="1:14" x14ac:dyDescent="0.25">
      <c r="A3064" s="8">
        <v>995082</v>
      </c>
      <c r="B3064" s="22" t="str">
        <f>IFERROR(VLOOKUP(A3064,VLOOKUPS!$A$2:B$12589,2,FALSE),"")</f>
        <v>Melon Trio 16oz-standard</v>
      </c>
      <c r="E3064">
        <v>2.99</v>
      </c>
      <c r="F3064">
        <v>3.99</v>
      </c>
      <c r="G3064" s="13">
        <v>44588</v>
      </c>
      <c r="H3064" s="13"/>
      <c r="I3064" s="22" t="str">
        <f>VLOOKUP(J3064, Dropdowns!N:O, 2, FALSE)</f>
        <v>Standard</v>
      </c>
      <c r="J3064" t="s">
        <v>760</v>
      </c>
      <c r="L3064" s="17" t="s">
        <v>732</v>
      </c>
      <c r="M3064" s="17" t="s">
        <v>10</v>
      </c>
      <c r="N3064" s="17">
        <v>2</v>
      </c>
    </row>
    <row r="3065" spans="1:14" x14ac:dyDescent="0.25">
      <c r="A3065" s="8">
        <v>995100</v>
      </c>
      <c r="B3065" s="22" t="str">
        <f>IFERROR(VLOOKUP(A3065,VLOOKUPS!$A$2:B$12589,2,FALSE),"")</f>
        <v>Asian Chopped Salad Kit 12oz-standard</v>
      </c>
      <c r="E3065">
        <v>3.49</v>
      </c>
      <c r="F3065">
        <v>2.4900000000000002</v>
      </c>
      <c r="G3065" s="13">
        <v>44586</v>
      </c>
      <c r="H3065" s="13">
        <v>44587</v>
      </c>
      <c r="I3065" s="22" t="str">
        <f>VLOOKUP(J3065, Dropdowns!N:O, 2, FALSE)</f>
        <v>Lower Price</v>
      </c>
      <c r="J3065" t="s">
        <v>759</v>
      </c>
      <c r="L3065" s="17" t="s">
        <v>733</v>
      </c>
      <c r="M3065" s="17" t="s">
        <v>11</v>
      </c>
      <c r="N3065" s="17" t="s">
        <v>740</v>
      </c>
    </row>
    <row r="3066" spans="1:14" x14ac:dyDescent="0.25">
      <c r="A3066" s="8">
        <v>995100</v>
      </c>
      <c r="B3066" s="22" t="str">
        <f>IFERROR(VLOOKUP(A3066,VLOOKUPS!$A$2:B$12589,2,FALSE),"")</f>
        <v>Asian Chopped Salad Kit 12oz-standard</v>
      </c>
      <c r="E3066">
        <v>2.4900000000000002</v>
      </c>
      <c r="F3066">
        <v>3.49</v>
      </c>
      <c r="G3066" s="13">
        <v>44588</v>
      </c>
      <c r="H3066" s="13"/>
      <c r="I3066" s="22" t="str">
        <f>VLOOKUP(J3066, Dropdowns!N:O, 2, FALSE)</f>
        <v>Standard</v>
      </c>
      <c r="J3066" t="s">
        <v>760</v>
      </c>
      <c r="L3066" s="17" t="s">
        <v>733</v>
      </c>
      <c r="M3066" s="17" t="s">
        <v>11</v>
      </c>
      <c r="N3066" s="17" t="s">
        <v>740</v>
      </c>
    </row>
    <row r="3067" spans="1:14" x14ac:dyDescent="0.25">
      <c r="A3067" s="8">
        <v>982000</v>
      </c>
      <c r="B3067" s="22" t="str">
        <f>IFERROR(VLOOKUP(A3067,VLOOKUPS!$A$2:B$12589,2,FALSE),"")</f>
        <v>Cherries* Sweet 1lb-LOOSE</v>
      </c>
      <c r="G3067" s="13">
        <v>44585</v>
      </c>
      <c r="H3067" s="13">
        <v>44586</v>
      </c>
      <c r="I3067" s="22" t="str">
        <f>VLOOKUP(J3067, Dropdowns!N:O, 2, FALSE)</f>
        <v>Lower Price</v>
      </c>
      <c r="J3067" t="s">
        <v>762</v>
      </c>
      <c r="L3067" s="17" t="s">
        <v>733</v>
      </c>
      <c r="M3067" s="17" t="s">
        <v>11</v>
      </c>
      <c r="N3067" s="17" t="s">
        <v>740</v>
      </c>
    </row>
    <row r="3068" spans="1:14" x14ac:dyDescent="0.25">
      <c r="A3068" s="8">
        <v>982000</v>
      </c>
      <c r="B3068" s="22" t="str">
        <f>IFERROR(VLOOKUP(A3068,VLOOKUPS!$A$2:B$12589,2,FALSE),"")</f>
        <v>Cherries* Sweet 1lb-LOOSE</v>
      </c>
      <c r="E3068">
        <v>3.49</v>
      </c>
      <c r="F3068">
        <v>5.99</v>
      </c>
      <c r="G3068" s="13">
        <v>44587</v>
      </c>
      <c r="H3068" s="13"/>
      <c r="I3068" s="22" t="str">
        <f>VLOOKUP(J3068, Dropdowns!N:O, 2, FALSE)</f>
        <v>Standard</v>
      </c>
      <c r="J3068" t="s">
        <v>760</v>
      </c>
      <c r="L3068" s="17" t="s">
        <v>733</v>
      </c>
      <c r="M3068" s="17" t="s">
        <v>11</v>
      </c>
      <c r="N3068" s="17" t="s">
        <v>740</v>
      </c>
    </row>
    <row r="3069" spans="1:14" x14ac:dyDescent="0.25">
      <c r="A3069" s="8">
        <v>982000</v>
      </c>
      <c r="B3069" s="22" t="str">
        <f>IFERROR(VLOOKUP(A3069,VLOOKUPS!$A$2:B$12589,2,FALSE),"")</f>
        <v>Cherries* Sweet 1lb-LOOSE</v>
      </c>
      <c r="E3069">
        <v>5.99</v>
      </c>
      <c r="F3069">
        <v>3.99</v>
      </c>
      <c r="G3069" s="13">
        <v>44588</v>
      </c>
      <c r="H3069" s="13"/>
      <c r="I3069" s="22" t="str">
        <f>VLOOKUP(J3069, Dropdowns!N:O, 2, FALSE)</f>
        <v>Standard</v>
      </c>
      <c r="J3069" t="s">
        <v>761</v>
      </c>
      <c r="L3069" s="17" t="s">
        <v>733</v>
      </c>
      <c r="M3069" s="17" t="s">
        <v>11</v>
      </c>
      <c r="N3069" s="17" t="s">
        <v>740</v>
      </c>
    </row>
    <row r="3070" spans="1:14" x14ac:dyDescent="0.25">
      <c r="A3070" s="8">
        <v>983101</v>
      </c>
      <c r="B3070" s="22" t="str">
        <f>IFERROR(VLOOKUP(A3070,VLOOKUPS!$A$2:B$12589,2,FALSE),"")</f>
        <v>Melons Cantaloupes 1ct-LOOSE</v>
      </c>
      <c r="E3070">
        <v>2.98</v>
      </c>
      <c r="F3070">
        <v>1.78</v>
      </c>
      <c r="G3070" s="13">
        <v>44586</v>
      </c>
      <c r="H3070" s="13">
        <v>44587</v>
      </c>
      <c r="I3070" s="22" t="str">
        <f>VLOOKUP(J3070, Dropdowns!N:O, 2, FALSE)</f>
        <v>Lower Price</v>
      </c>
      <c r="J3070" t="s">
        <v>759</v>
      </c>
      <c r="L3070" s="17" t="s">
        <v>732</v>
      </c>
      <c r="M3070" s="17" t="s">
        <v>737</v>
      </c>
      <c r="N3070" s="17" t="s">
        <v>736</v>
      </c>
    </row>
    <row r="3071" spans="1:14" x14ac:dyDescent="0.25">
      <c r="A3071" s="8">
        <v>983101</v>
      </c>
      <c r="B3071" s="22" t="str">
        <f>IFERROR(VLOOKUP(A3071,VLOOKUPS!$A$2:B$12589,2,FALSE),"")</f>
        <v>Melons Cantaloupes 1ct-LOOSE</v>
      </c>
      <c r="E3071">
        <v>1.78</v>
      </c>
      <c r="F3071">
        <v>2.98</v>
      </c>
      <c r="G3071" s="13">
        <v>44588</v>
      </c>
      <c r="H3071" s="13"/>
      <c r="I3071" s="22" t="str">
        <f>VLOOKUP(J3071, Dropdowns!N:O, 2, FALSE)</f>
        <v>Standard</v>
      </c>
      <c r="J3071" t="s">
        <v>760</v>
      </c>
      <c r="L3071" s="17" t="s">
        <v>732</v>
      </c>
      <c r="M3071" s="17" t="s">
        <v>737</v>
      </c>
      <c r="N3071" s="17" t="s">
        <v>736</v>
      </c>
    </row>
    <row r="3072" spans="1:14" x14ac:dyDescent="0.25">
      <c r="A3072" s="8">
        <v>983301</v>
      </c>
      <c r="B3072" s="22" t="str">
        <f>IFERROR(VLOOKUP(A3072,VLOOKUPS!$A$2:B$12589,2,FALSE),"")</f>
        <v>Watermelons* Mini Seedless 1ct-LOOSE</v>
      </c>
      <c r="E3072">
        <v>4.9800000000000004</v>
      </c>
      <c r="F3072">
        <v>3.98</v>
      </c>
      <c r="G3072" s="13">
        <v>44586</v>
      </c>
      <c r="H3072" s="13">
        <v>44587</v>
      </c>
      <c r="I3072" s="22" t="str">
        <f>VLOOKUP(J3072, Dropdowns!N:O, 2, FALSE)</f>
        <v>Lower Price</v>
      </c>
      <c r="J3072" t="s">
        <v>759</v>
      </c>
      <c r="L3072" s="17" t="s">
        <v>732</v>
      </c>
      <c r="M3072" s="17" t="s">
        <v>737</v>
      </c>
      <c r="N3072" s="17" t="s">
        <v>736</v>
      </c>
    </row>
    <row r="3073" spans="1:14" x14ac:dyDescent="0.25">
      <c r="A3073" s="8">
        <v>983301</v>
      </c>
      <c r="B3073" s="22" t="str">
        <f>IFERROR(VLOOKUP(A3073,VLOOKUPS!$A$2:B$12589,2,FALSE),"")</f>
        <v>Watermelons* Mini Seedless 1ct-LOOSE</v>
      </c>
      <c r="E3073">
        <v>3.98</v>
      </c>
      <c r="F3073">
        <v>4.9800000000000004</v>
      </c>
      <c r="G3073" s="13">
        <v>44588</v>
      </c>
      <c r="H3073" s="13"/>
      <c r="I3073" s="22" t="str">
        <f>VLOOKUP(J3073, Dropdowns!N:O, 2, FALSE)</f>
        <v>Standard</v>
      </c>
      <c r="J3073" t="s">
        <v>760</v>
      </c>
      <c r="L3073" s="17" t="s">
        <v>732</v>
      </c>
      <c r="M3073" s="17" t="s">
        <v>737</v>
      </c>
      <c r="N3073" s="17" t="s">
        <v>736</v>
      </c>
    </row>
    <row r="3074" spans="1:14" x14ac:dyDescent="0.25">
      <c r="A3074" s="8">
        <v>984500</v>
      </c>
      <c r="B3074" s="22" t="str">
        <f>IFERROR(VLOOKUP(A3074,VLOOKUPS!$A$2:B$12589,2,FALSE),"")</f>
        <v>Organic Strawberries 1lb-standard</v>
      </c>
      <c r="E3074">
        <v>4.4800000000000004</v>
      </c>
      <c r="F3074">
        <v>2.98</v>
      </c>
      <c r="G3074" s="13">
        <v>44587</v>
      </c>
      <c r="H3074" s="13">
        <v>44588</v>
      </c>
      <c r="I3074" s="22" t="str">
        <f>VLOOKUP(J3074, Dropdowns!N:O, 2, FALSE)</f>
        <v>Lower Price</v>
      </c>
      <c r="J3074" t="s">
        <v>759</v>
      </c>
      <c r="L3074" s="17" t="s">
        <v>732</v>
      </c>
      <c r="M3074" s="17" t="s">
        <v>10</v>
      </c>
      <c r="N3074" s="17">
        <v>2</v>
      </c>
    </row>
    <row r="3075" spans="1:14" x14ac:dyDescent="0.25">
      <c r="A3075" s="8">
        <v>984500</v>
      </c>
      <c r="B3075" s="22" t="str">
        <f>IFERROR(VLOOKUP(A3075,VLOOKUPS!$A$2:B$12589,2,FALSE),"")</f>
        <v>Organic Strawberries 1lb-standard</v>
      </c>
      <c r="E3075">
        <v>2.98</v>
      </c>
      <c r="F3075">
        <v>4.4800000000000004</v>
      </c>
      <c r="G3075" s="13">
        <v>44589</v>
      </c>
      <c r="H3075" s="13"/>
      <c r="I3075" s="22" t="str">
        <f>VLOOKUP(J3075, Dropdowns!N:O, 2, FALSE)</f>
        <v>Standard</v>
      </c>
      <c r="J3075" t="s">
        <v>760</v>
      </c>
      <c r="L3075" s="17" t="s">
        <v>732</v>
      </c>
      <c r="M3075" s="17" t="s">
        <v>10</v>
      </c>
      <c r="N3075" s="17">
        <v>2</v>
      </c>
    </row>
    <row r="3076" spans="1:14" x14ac:dyDescent="0.25">
      <c r="A3076" s="8">
        <v>995101</v>
      </c>
      <c r="B3076" s="22" t="str">
        <f>IFERROR(VLOOKUP(A3076,VLOOKUPS!$A$2:B$12589,2,FALSE),"")</f>
        <v>Avocado Ranch Salad Kit 11.3oz-standard</v>
      </c>
      <c r="E3076">
        <v>3.49</v>
      </c>
      <c r="F3076">
        <v>1.99</v>
      </c>
      <c r="G3076" s="13">
        <v>44587</v>
      </c>
      <c r="H3076" s="13">
        <v>44588</v>
      </c>
      <c r="I3076" s="22" t="str">
        <f>VLOOKUP(J3076, Dropdowns!N:O, 2, FALSE)</f>
        <v>Lower Price</v>
      </c>
      <c r="J3076" t="s">
        <v>759</v>
      </c>
      <c r="L3076" s="17" t="s">
        <v>733</v>
      </c>
      <c r="M3076" s="17" t="s">
        <v>11</v>
      </c>
      <c r="N3076" s="17" t="s">
        <v>740</v>
      </c>
    </row>
    <row r="3077" spans="1:14" x14ac:dyDescent="0.25">
      <c r="A3077" s="8">
        <v>995101</v>
      </c>
      <c r="B3077" s="22" t="str">
        <f>IFERROR(VLOOKUP(A3077,VLOOKUPS!$A$2:B$12589,2,FALSE),"")</f>
        <v>Avocado Ranch Salad Kit 11.3oz-standard</v>
      </c>
      <c r="E3077">
        <v>1.99</v>
      </c>
      <c r="F3077">
        <v>3.49</v>
      </c>
      <c r="G3077" s="13">
        <v>44589</v>
      </c>
      <c r="H3077" s="13"/>
      <c r="I3077" s="22" t="str">
        <f>VLOOKUP(J3077, Dropdowns!N:O, 2, FALSE)</f>
        <v>Standard</v>
      </c>
      <c r="J3077" t="s">
        <v>760</v>
      </c>
      <c r="L3077" s="17" t="s">
        <v>733</v>
      </c>
      <c r="M3077" s="17" t="s">
        <v>11</v>
      </c>
      <c r="N3077" s="17" t="s">
        <v>740</v>
      </c>
    </row>
    <row r="3078" spans="1:14" x14ac:dyDescent="0.25">
      <c r="A3078" s="8">
        <v>995103</v>
      </c>
      <c r="B3078" s="22" t="str">
        <f>IFERROR(VLOOKUP(A3078,VLOOKUPS!$A$2:B$12589,2,FALSE),"")</f>
        <v>Teriyaki Stir Fry Kit 12.5oz-standard</v>
      </c>
      <c r="E3078">
        <v>2.98</v>
      </c>
      <c r="F3078">
        <v>1.98</v>
      </c>
      <c r="G3078" s="13">
        <v>44587</v>
      </c>
      <c r="H3078" s="13">
        <v>44588</v>
      </c>
      <c r="I3078" s="22" t="str">
        <f>VLOOKUP(J3078, Dropdowns!N:O, 2, FALSE)</f>
        <v>Lower Price</v>
      </c>
      <c r="J3078" t="s">
        <v>759</v>
      </c>
      <c r="L3078" s="17" t="s">
        <v>732</v>
      </c>
      <c r="M3078" s="17" t="s">
        <v>10</v>
      </c>
      <c r="N3078" s="17">
        <v>2</v>
      </c>
    </row>
    <row r="3079" spans="1:14" x14ac:dyDescent="0.25">
      <c r="A3079" s="8">
        <v>995103</v>
      </c>
      <c r="B3079" s="22" t="str">
        <f>IFERROR(VLOOKUP(A3079,VLOOKUPS!$A$2:B$12589,2,FALSE),"")</f>
        <v>Teriyaki Stir Fry Kit 12.5oz-standard</v>
      </c>
      <c r="E3079">
        <v>1.98</v>
      </c>
      <c r="F3079">
        <v>2.98</v>
      </c>
      <c r="G3079" s="13">
        <v>44589</v>
      </c>
      <c r="H3079" s="13"/>
      <c r="I3079" s="22" t="str">
        <f>VLOOKUP(J3079, Dropdowns!N:O, 2, FALSE)</f>
        <v>Standard</v>
      </c>
      <c r="J3079" t="s">
        <v>760</v>
      </c>
      <c r="L3079" s="17" t="s">
        <v>732</v>
      </c>
      <c r="M3079" s="17" t="s">
        <v>10</v>
      </c>
      <c r="N3079" s="17">
        <v>2</v>
      </c>
    </row>
    <row r="3080" spans="1:14" x14ac:dyDescent="0.25">
      <c r="A3080" s="8">
        <v>995144</v>
      </c>
      <c r="B3080" s="22" t="str">
        <f>IFERROR(VLOOKUP(A3080,VLOOKUPS!$A$2:B$12589,2,FALSE),"")</f>
        <v>Asparagus Spears 10oz-standard</v>
      </c>
      <c r="E3080">
        <v>3.98</v>
      </c>
      <c r="F3080">
        <v>2.98</v>
      </c>
      <c r="G3080" s="13">
        <v>44587</v>
      </c>
      <c r="H3080" s="13">
        <v>44588</v>
      </c>
      <c r="I3080" s="22" t="str">
        <f>VLOOKUP(J3080, Dropdowns!N:O, 2, FALSE)</f>
        <v>Lower Price</v>
      </c>
      <c r="J3080" t="s">
        <v>759</v>
      </c>
      <c r="L3080" s="17" t="s">
        <v>732</v>
      </c>
      <c r="M3080" s="17" t="s">
        <v>9</v>
      </c>
      <c r="N3080" s="17" t="s">
        <v>736</v>
      </c>
    </row>
    <row r="3081" spans="1:14" x14ac:dyDescent="0.25">
      <c r="A3081" s="8">
        <v>995144</v>
      </c>
      <c r="B3081" s="22" t="str">
        <f>IFERROR(VLOOKUP(A3081,VLOOKUPS!$A$2:B$12589,2,FALSE),"")</f>
        <v>Asparagus Spears 10oz-standard</v>
      </c>
      <c r="E3081">
        <v>2.98</v>
      </c>
      <c r="F3081">
        <v>3.98</v>
      </c>
      <c r="G3081" s="13">
        <v>44589</v>
      </c>
      <c r="H3081" s="13"/>
      <c r="I3081" s="22" t="str">
        <f>VLOOKUP(J3081, Dropdowns!N:O, 2, FALSE)</f>
        <v>Standard</v>
      </c>
      <c r="J3081" t="s">
        <v>760</v>
      </c>
      <c r="L3081" s="17" t="s">
        <v>732</v>
      </c>
      <c r="M3081" s="17" t="s">
        <v>9</v>
      </c>
      <c r="N3081" s="17" t="s">
        <v>736</v>
      </c>
    </row>
    <row r="3082" spans="1:14" x14ac:dyDescent="0.25">
      <c r="A3082" s="8">
        <v>995174</v>
      </c>
      <c r="B3082" s="22" t="str">
        <f>IFERROR(VLOOKUP(A3082,VLOOKUPS!$A$2:B$12589,2,FALSE),"")</f>
        <v>Vegetable Tray 24oz-standard</v>
      </c>
      <c r="D3082">
        <v>3</v>
      </c>
      <c r="E3082">
        <v>8.99</v>
      </c>
      <c r="G3082" s="13">
        <v>44587</v>
      </c>
      <c r="H3082" s="13"/>
      <c r="I3082" s="22" t="str">
        <f>VLOOKUP(J3082, Dropdowns!N:O, 2, FALSE)</f>
        <v>NA</v>
      </c>
      <c r="J3082" t="s">
        <v>754</v>
      </c>
      <c r="L3082" s="17" t="s">
        <v>732</v>
      </c>
      <c r="M3082" s="17" t="s">
        <v>9</v>
      </c>
      <c r="N3082" s="17" t="s">
        <v>736</v>
      </c>
    </row>
    <row r="3083" spans="1:14" x14ac:dyDescent="0.25">
      <c r="A3083" s="8">
        <v>984460</v>
      </c>
      <c r="B3083" s="22" t="str">
        <f>IFERROR(VLOOKUP(A3083,VLOOKUPS!$A$2:B$12589,2,FALSE),"")</f>
        <v>Strawberries 1lb-standard</v>
      </c>
      <c r="G3083" s="13">
        <v>44587</v>
      </c>
      <c r="H3083" s="13">
        <v>44593</v>
      </c>
      <c r="I3083" s="22" t="str">
        <f>VLOOKUP(J3083, Dropdowns!N:O, 2, FALSE)</f>
        <v>Lower Price</v>
      </c>
      <c r="J3083" t="s">
        <v>753</v>
      </c>
      <c r="L3083" s="17" t="s">
        <v>732</v>
      </c>
      <c r="M3083" s="17" t="s">
        <v>736</v>
      </c>
      <c r="N3083" s="17" t="s">
        <v>736</v>
      </c>
    </row>
    <row r="3084" spans="1:14" x14ac:dyDescent="0.25">
      <c r="A3084" s="8">
        <v>984700</v>
      </c>
      <c r="B3084" s="22" t="str">
        <f>IFERROR(VLOOKUP(A3084,VLOOKUPS!$A$2:B$12589,2,FALSE),"")</f>
        <v>Blackberries 6oz-standard</v>
      </c>
      <c r="G3084" s="13">
        <v>44587</v>
      </c>
      <c r="H3084" s="13">
        <v>44593</v>
      </c>
      <c r="I3084" s="22" t="str">
        <f>VLOOKUP(J3084, Dropdowns!N:O, 2, FALSE)</f>
        <v>Lower Price</v>
      </c>
      <c r="J3084" t="s">
        <v>753</v>
      </c>
      <c r="L3084" s="17" t="s">
        <v>732</v>
      </c>
      <c r="M3084" s="17" t="s">
        <v>736</v>
      </c>
      <c r="N3084" s="17" t="s">
        <v>736</v>
      </c>
    </row>
    <row r="3085" spans="1:14" x14ac:dyDescent="0.25">
      <c r="A3085" s="8">
        <v>986250</v>
      </c>
      <c r="B3085" s="22" t="str">
        <f>IFERROR(VLOOKUP(A3085,VLOOKUPS!$A$2:B$12589,2,FALSE),"")</f>
        <v>French Beans 1lb-standard</v>
      </c>
      <c r="G3085" s="13">
        <v>44587</v>
      </c>
      <c r="H3085" s="13">
        <v>44593</v>
      </c>
      <c r="I3085" s="22" t="str">
        <f>VLOOKUP(J3085, Dropdowns!N:O, 2, FALSE)</f>
        <v>Lower Price</v>
      </c>
      <c r="J3085" t="s">
        <v>753</v>
      </c>
      <c r="L3085" s="17" t="s">
        <v>732</v>
      </c>
      <c r="M3085" s="17" t="s">
        <v>736</v>
      </c>
      <c r="N3085" s="17" t="s">
        <v>736</v>
      </c>
    </row>
    <row r="3086" spans="1:14" x14ac:dyDescent="0.25">
      <c r="A3086" s="8">
        <v>985111</v>
      </c>
      <c r="B3086" s="22" t="str">
        <f>IFERROR(VLOOKUP(A3086,VLOOKUPS!$A$2:B$12589,2,FALSE),"")</f>
        <v>Lettuce Mixed 1ct-standard</v>
      </c>
      <c r="G3086" s="13">
        <v>44587</v>
      </c>
      <c r="H3086" s="13">
        <v>44593</v>
      </c>
      <c r="I3086" s="22" t="str">
        <f>VLOOKUP(J3086, Dropdowns!N:O, 2, FALSE)</f>
        <v>Lower Price</v>
      </c>
      <c r="J3086" t="s">
        <v>753</v>
      </c>
      <c r="L3086" s="17" t="s">
        <v>733</v>
      </c>
      <c r="M3086" s="17" t="s">
        <v>11</v>
      </c>
      <c r="N3086" s="17" t="s">
        <v>740</v>
      </c>
    </row>
    <row r="3087" spans="1:14" x14ac:dyDescent="0.25">
      <c r="A3087" s="8">
        <v>982000</v>
      </c>
      <c r="B3087" s="22" t="str">
        <f>IFERROR(VLOOKUP(A3087,VLOOKUPS!$A$2:B$12589,2,FALSE),"")</f>
        <v>Cherries* Sweet 1lb-LOOSE</v>
      </c>
      <c r="G3087" s="13">
        <v>44587</v>
      </c>
      <c r="H3087" s="13">
        <v>44587</v>
      </c>
      <c r="I3087" s="22" t="str">
        <f>VLOOKUP(J3087, Dropdowns!N:O, 2, FALSE)</f>
        <v>Lower Price</v>
      </c>
      <c r="J3087" t="s">
        <v>762</v>
      </c>
      <c r="L3087" s="17" t="s">
        <v>733</v>
      </c>
      <c r="M3087" s="17" t="s">
        <v>11</v>
      </c>
      <c r="N3087" s="17" t="s">
        <v>740</v>
      </c>
    </row>
    <row r="3088" spans="1:14" x14ac:dyDescent="0.25">
      <c r="A3088" s="8">
        <v>983103</v>
      </c>
      <c r="B3088" s="22" t="str">
        <f>IFERROR(VLOOKUP(A3088,VLOOKUPS!$A$2:B$12589,2,FALSE),"")</f>
        <v>MelonsGolden Canary 1ct.-LOOSE</v>
      </c>
      <c r="E3088">
        <v>3.98</v>
      </c>
      <c r="F3088">
        <v>2.98</v>
      </c>
      <c r="G3088" s="13">
        <v>44587</v>
      </c>
      <c r="H3088" s="13">
        <v>44588</v>
      </c>
      <c r="I3088" s="22" t="str">
        <f>VLOOKUP(J3088, Dropdowns!N:O, 2, FALSE)</f>
        <v>Lower Price</v>
      </c>
      <c r="J3088" t="s">
        <v>759</v>
      </c>
      <c r="L3088" s="17" t="s">
        <v>732</v>
      </c>
      <c r="M3088" s="17" t="s">
        <v>10</v>
      </c>
      <c r="N3088" s="17">
        <v>2</v>
      </c>
    </row>
    <row r="3089" spans="1:14" x14ac:dyDescent="0.25">
      <c r="A3089" s="8">
        <v>983103</v>
      </c>
      <c r="B3089" s="22" t="str">
        <f>IFERROR(VLOOKUP(A3089,VLOOKUPS!$A$2:B$12589,2,FALSE),"")</f>
        <v>MelonsGolden Canary 1ct.-LOOSE</v>
      </c>
      <c r="E3089">
        <v>2.98</v>
      </c>
      <c r="F3089">
        <v>3.98</v>
      </c>
      <c r="G3089" s="13">
        <v>44589</v>
      </c>
      <c r="H3089" s="13"/>
      <c r="I3089" s="22" t="str">
        <f>VLOOKUP(J3089, Dropdowns!N:O, 2, FALSE)</f>
        <v>Standard</v>
      </c>
      <c r="J3089" t="s">
        <v>760</v>
      </c>
      <c r="L3089" s="17" t="s">
        <v>732</v>
      </c>
      <c r="M3089" s="17" t="s">
        <v>10</v>
      </c>
      <c r="N3089" s="17">
        <v>2</v>
      </c>
    </row>
    <row r="3090" spans="1:14" x14ac:dyDescent="0.25">
      <c r="A3090" s="8">
        <v>983201</v>
      </c>
      <c r="B3090" s="22" t="str">
        <f>IFERROR(VLOOKUP(A3090,VLOOKUPS!$A$2:B$12589,2,FALSE),"")</f>
        <v>Melons* Honeydew 1ct-LOOSE</v>
      </c>
      <c r="E3090">
        <v>3.98</v>
      </c>
      <c r="F3090">
        <v>2.98</v>
      </c>
      <c r="G3090" s="13">
        <v>44587</v>
      </c>
      <c r="H3090" s="13">
        <v>44588</v>
      </c>
      <c r="I3090" s="22" t="str">
        <f>VLOOKUP(J3090, Dropdowns!N:O, 2, FALSE)</f>
        <v>Lower Price</v>
      </c>
      <c r="J3090" t="s">
        <v>759</v>
      </c>
      <c r="L3090" s="17" t="s">
        <v>732</v>
      </c>
      <c r="M3090" s="17" t="s">
        <v>10</v>
      </c>
      <c r="N3090" s="17">
        <v>2</v>
      </c>
    </row>
    <row r="3091" spans="1:14" x14ac:dyDescent="0.25">
      <c r="A3091" s="8">
        <v>983201</v>
      </c>
      <c r="B3091" s="22" t="str">
        <f>IFERROR(VLOOKUP(A3091,VLOOKUPS!$A$2:B$12589,2,FALSE),"")</f>
        <v>Melons* Honeydew 1ct-LOOSE</v>
      </c>
      <c r="E3091">
        <v>2.98</v>
      </c>
      <c r="F3091">
        <v>3.98</v>
      </c>
      <c r="G3091" s="13">
        <v>44589</v>
      </c>
      <c r="H3091" s="13"/>
      <c r="I3091" s="22" t="str">
        <f>VLOOKUP(J3091, Dropdowns!N:O, 2, FALSE)</f>
        <v>Standard</v>
      </c>
      <c r="J3091" t="s">
        <v>760</v>
      </c>
      <c r="L3091" s="17" t="s">
        <v>732</v>
      </c>
      <c r="M3091" s="17" t="s">
        <v>10</v>
      </c>
      <c r="N3091" s="17">
        <v>2</v>
      </c>
    </row>
    <row r="3092" spans="1:14" x14ac:dyDescent="0.25">
      <c r="A3092" s="8">
        <v>982000</v>
      </c>
      <c r="B3092" s="22" t="str">
        <f>IFERROR(VLOOKUP(A3092,VLOOKUPS!$A$2:B$12589,2,FALSE),"")</f>
        <v>Cherries* Sweet 1lb-LOOSE</v>
      </c>
      <c r="E3092">
        <v>3.99</v>
      </c>
      <c r="F3092">
        <v>2.4900000000000002</v>
      </c>
      <c r="G3092" s="13">
        <v>44588</v>
      </c>
      <c r="H3092" s="13">
        <v>44589</v>
      </c>
      <c r="I3092" s="22" t="str">
        <f>VLOOKUP(J3092, Dropdowns!N:O, 2, FALSE)</f>
        <v>Lower Price</v>
      </c>
      <c r="J3092" t="s">
        <v>759</v>
      </c>
      <c r="L3092" s="17" t="s">
        <v>732</v>
      </c>
      <c r="M3092" s="17" t="s">
        <v>10</v>
      </c>
      <c r="N3092" s="17">
        <v>2</v>
      </c>
    </row>
    <row r="3093" spans="1:14" x14ac:dyDescent="0.25">
      <c r="A3093" s="8">
        <v>982000</v>
      </c>
      <c r="B3093" s="22" t="str">
        <f>IFERROR(VLOOKUP(A3093,VLOOKUPS!$A$2:B$12589,2,FALSE),"")</f>
        <v>Cherries* Sweet 1lb-LOOSE</v>
      </c>
      <c r="E3093">
        <v>2.4900000000000002</v>
      </c>
      <c r="F3093">
        <v>3.99</v>
      </c>
      <c r="G3093" s="13">
        <v>44590</v>
      </c>
      <c r="H3093" s="13"/>
      <c r="I3093" s="22" t="str">
        <f>VLOOKUP(J3093, Dropdowns!N:O, 2, FALSE)</f>
        <v>Standard</v>
      </c>
      <c r="J3093" t="s">
        <v>760</v>
      </c>
      <c r="L3093" s="17" t="s">
        <v>732</v>
      </c>
      <c r="M3093" s="17" t="s">
        <v>10</v>
      </c>
      <c r="N3093" s="17">
        <v>2</v>
      </c>
    </row>
    <row r="3094" spans="1:14" x14ac:dyDescent="0.25">
      <c r="A3094" s="8">
        <v>995053</v>
      </c>
      <c r="B3094" s="22" t="str">
        <f>IFERROR(VLOOKUP(A3094,VLOOKUPS!$A$2:B$12589,2,FALSE),"")</f>
        <v>Fresh Chopped Salsa Pico 16oz-standard</v>
      </c>
      <c r="E3094">
        <v>4.49</v>
      </c>
      <c r="F3094">
        <v>2.99</v>
      </c>
      <c r="G3094" s="13">
        <v>44588</v>
      </c>
      <c r="H3094" s="13">
        <v>44589</v>
      </c>
      <c r="I3094" s="22" t="str">
        <f>VLOOKUP(J3094, Dropdowns!N:O, 2, FALSE)</f>
        <v>Lower Price</v>
      </c>
      <c r="J3094" t="s">
        <v>759</v>
      </c>
      <c r="L3094" s="17" t="s">
        <v>732</v>
      </c>
      <c r="M3094" s="17" t="s">
        <v>9</v>
      </c>
      <c r="N3094" s="17" t="s">
        <v>736</v>
      </c>
    </row>
    <row r="3095" spans="1:14" x14ac:dyDescent="0.25">
      <c r="A3095" s="8">
        <v>995053</v>
      </c>
      <c r="B3095" s="22" t="str">
        <f>IFERROR(VLOOKUP(A3095,VLOOKUPS!$A$2:B$12589,2,FALSE),"")</f>
        <v>Fresh Chopped Salsa Pico 16oz-standard</v>
      </c>
      <c r="E3095">
        <v>2.99</v>
      </c>
      <c r="F3095">
        <v>4.49</v>
      </c>
      <c r="G3095" s="13">
        <v>44590</v>
      </c>
      <c r="H3095" s="13"/>
      <c r="I3095" s="22" t="str">
        <f>VLOOKUP(J3095, Dropdowns!N:O, 2, FALSE)</f>
        <v>Standard</v>
      </c>
      <c r="J3095" t="s">
        <v>760</v>
      </c>
      <c r="L3095" s="17" t="s">
        <v>732</v>
      </c>
      <c r="M3095" s="17" t="s">
        <v>9</v>
      </c>
      <c r="N3095" s="17" t="s">
        <v>736</v>
      </c>
    </row>
    <row r="3096" spans="1:14" x14ac:dyDescent="0.25">
      <c r="A3096" s="8">
        <v>995157</v>
      </c>
      <c r="B3096" s="22" t="str">
        <f>IFERROR(VLOOKUP(A3096,VLOOKUPS!$A$2:B$12589,2,FALSE),"")</f>
        <v/>
      </c>
      <c r="E3096">
        <v>4.49</v>
      </c>
      <c r="F3096">
        <v>3.49</v>
      </c>
      <c r="G3096" s="13">
        <v>44588</v>
      </c>
      <c r="H3096" s="13">
        <v>44589</v>
      </c>
      <c r="I3096" s="22" t="str">
        <f>VLOOKUP(J3096, Dropdowns!N:O, 2, FALSE)</f>
        <v>Lower Price</v>
      </c>
      <c r="J3096" t="s">
        <v>759</v>
      </c>
      <c r="L3096" s="17" t="s">
        <v>732</v>
      </c>
      <c r="M3096" s="17" t="s">
        <v>10</v>
      </c>
      <c r="N3096" s="17">
        <v>2</v>
      </c>
    </row>
    <row r="3097" spans="1:14" x14ac:dyDescent="0.25">
      <c r="A3097" s="8">
        <v>995157</v>
      </c>
      <c r="B3097" s="22" t="str">
        <f>IFERROR(VLOOKUP(A3097,VLOOKUPS!$A$2:B$12589,2,FALSE),"")</f>
        <v/>
      </c>
      <c r="E3097">
        <v>3.49</v>
      </c>
      <c r="F3097">
        <v>4.49</v>
      </c>
      <c r="G3097" s="13">
        <v>44590</v>
      </c>
      <c r="H3097" s="13"/>
      <c r="I3097" s="22" t="str">
        <f>VLOOKUP(J3097, Dropdowns!N:O, 2, FALSE)</f>
        <v>Standard</v>
      </c>
      <c r="J3097" t="s">
        <v>760</v>
      </c>
      <c r="L3097" s="17" t="s">
        <v>732</v>
      </c>
      <c r="M3097" s="17" t="s">
        <v>10</v>
      </c>
      <c r="N3097" s="17">
        <v>2</v>
      </c>
    </row>
    <row r="3098" spans="1:14" x14ac:dyDescent="0.25">
      <c r="A3098" s="8">
        <v>995171</v>
      </c>
      <c r="B3098" s="22" t="str">
        <f>IFERROR(VLOOKUP(A3098,VLOOKUPS!$A$2:B$12589,2,FALSE),"")</f>
        <v>Kale Greens 2lb-standard</v>
      </c>
      <c r="E3098">
        <v>4.5599999999999996</v>
      </c>
      <c r="F3098">
        <v>3.56</v>
      </c>
      <c r="G3098" s="13">
        <v>44588</v>
      </c>
      <c r="H3098" s="13">
        <v>44589</v>
      </c>
      <c r="I3098" s="22" t="str">
        <f>VLOOKUP(J3098, Dropdowns!N:O, 2, FALSE)</f>
        <v>Lower Price</v>
      </c>
      <c r="J3098" t="s">
        <v>759</v>
      </c>
      <c r="L3098" s="17" t="s">
        <v>732</v>
      </c>
      <c r="M3098" s="17" t="s">
        <v>10</v>
      </c>
      <c r="N3098" s="17">
        <v>2</v>
      </c>
    </row>
    <row r="3099" spans="1:14" x14ac:dyDescent="0.25">
      <c r="A3099" s="8">
        <v>995171</v>
      </c>
      <c r="B3099" s="22" t="str">
        <f>IFERROR(VLOOKUP(A3099,VLOOKUPS!$A$2:B$12589,2,FALSE),"")</f>
        <v>Kale Greens 2lb-standard</v>
      </c>
      <c r="E3099">
        <v>3.56</v>
      </c>
      <c r="F3099">
        <v>4.5599999999999996</v>
      </c>
      <c r="G3099" s="13">
        <v>44590</v>
      </c>
      <c r="H3099" s="13"/>
      <c r="I3099" s="22" t="str">
        <f>VLOOKUP(J3099, Dropdowns!N:O, 2, FALSE)</f>
        <v>Standard</v>
      </c>
      <c r="J3099" t="s">
        <v>760</v>
      </c>
      <c r="L3099" s="17" t="s">
        <v>732</v>
      </c>
      <c r="M3099" s="17" t="s">
        <v>10</v>
      </c>
      <c r="N3099" s="17">
        <v>2</v>
      </c>
    </row>
    <row r="3100" spans="1:14" x14ac:dyDescent="0.25">
      <c r="A3100" s="8">
        <v>995174</v>
      </c>
      <c r="B3100" s="22" t="str">
        <f>IFERROR(VLOOKUP(A3100,VLOOKUPS!$A$2:B$12589,2,FALSE),"")</f>
        <v>Vegetable Tray 24oz-standard</v>
      </c>
      <c r="D3100">
        <v>3</v>
      </c>
      <c r="F3100">
        <v>8.99</v>
      </c>
      <c r="G3100" s="13">
        <v>44588</v>
      </c>
      <c r="H3100" s="13"/>
      <c r="I3100" s="22" t="str">
        <f>VLOOKUP(J3100, Dropdowns!N:O, 2, FALSE)</f>
        <v>New</v>
      </c>
      <c r="J3100" t="s">
        <v>776</v>
      </c>
      <c r="L3100" s="17" t="s">
        <v>732</v>
      </c>
      <c r="M3100" s="17" t="s">
        <v>9</v>
      </c>
      <c r="N3100" s="17" t="s">
        <v>736</v>
      </c>
    </row>
    <row r="3101" spans="1:14" x14ac:dyDescent="0.25">
      <c r="A3101" s="8">
        <v>982000</v>
      </c>
      <c r="B3101" s="22" t="str">
        <f>IFERROR(VLOOKUP(A3101,VLOOKUPS!$A$2:B$12589,2,FALSE),"")</f>
        <v>Cherries* Sweet 1lb-LOOSE</v>
      </c>
      <c r="G3101" s="13">
        <v>44588</v>
      </c>
      <c r="H3101" s="13">
        <v>44589</v>
      </c>
      <c r="I3101" s="22" t="str">
        <f>VLOOKUP(J3101, Dropdowns!N:O, 2, FALSE)</f>
        <v>Lower Price</v>
      </c>
      <c r="J3101" t="s">
        <v>762</v>
      </c>
      <c r="L3101" s="17" t="s">
        <v>733</v>
      </c>
      <c r="M3101" s="17" t="s">
        <v>11</v>
      </c>
      <c r="N3101" s="17" t="s">
        <v>740</v>
      </c>
    </row>
    <row r="3102" spans="1:14" x14ac:dyDescent="0.25">
      <c r="A3102" s="8">
        <v>983104</v>
      </c>
      <c r="B3102" s="22" t="str">
        <f>IFERROR(VLOOKUP(A3102,VLOOKUPS!$A$2:B$12589,2,FALSE),"")</f>
        <v>Melons Dino 1ct.-LOOSE</v>
      </c>
      <c r="E3102">
        <v>3.98</v>
      </c>
      <c r="F3102">
        <v>2.98</v>
      </c>
      <c r="G3102" s="13">
        <v>44588</v>
      </c>
      <c r="H3102" s="13">
        <v>44589</v>
      </c>
      <c r="I3102" s="22" t="str">
        <f>VLOOKUP(J3102, Dropdowns!N:O, 2, FALSE)</f>
        <v>Lower Price</v>
      </c>
      <c r="J3102" t="s">
        <v>759</v>
      </c>
      <c r="L3102" s="17" t="s">
        <v>732</v>
      </c>
      <c r="M3102" s="17" t="s">
        <v>735</v>
      </c>
      <c r="N3102" s="17" t="s">
        <v>736</v>
      </c>
    </row>
    <row r="3103" spans="1:14" x14ac:dyDescent="0.25">
      <c r="A3103" s="8">
        <v>983104</v>
      </c>
      <c r="B3103" s="22" t="str">
        <f>IFERROR(VLOOKUP(A3103,VLOOKUPS!$A$2:B$12589,2,FALSE),"")</f>
        <v>Melons Dino 1ct.-LOOSE</v>
      </c>
      <c r="E3103">
        <v>2.98</v>
      </c>
      <c r="F3103">
        <v>3.98</v>
      </c>
      <c r="G3103" s="13">
        <v>44590</v>
      </c>
      <c r="H3103" s="13"/>
      <c r="I3103" s="22" t="str">
        <f>VLOOKUP(J3103, Dropdowns!N:O, 2, FALSE)</f>
        <v>Standard</v>
      </c>
      <c r="J3103" t="s">
        <v>760</v>
      </c>
      <c r="L3103" s="17" t="s">
        <v>732</v>
      </c>
      <c r="M3103" s="17" t="s">
        <v>735</v>
      </c>
      <c r="N3103" s="17" t="s">
        <v>736</v>
      </c>
    </row>
    <row r="3104" spans="1:14" x14ac:dyDescent="0.25">
      <c r="A3104" s="8">
        <v>985190</v>
      </c>
      <c r="B3104" s="22" t="str">
        <f>IFERROR(VLOOKUP(A3104,VLOOKUPS!$A$2:B$12589,2,FALSE),"")</f>
        <v>Organic Romaine Hearts 3ct-standard</v>
      </c>
      <c r="E3104">
        <v>3.19</v>
      </c>
      <c r="F3104">
        <v>2.19</v>
      </c>
      <c r="G3104" s="13">
        <v>44589</v>
      </c>
      <c r="H3104" s="13">
        <v>44590</v>
      </c>
      <c r="I3104" s="22" t="str">
        <f>VLOOKUP(J3104, Dropdowns!N:O, 2, FALSE)</f>
        <v>Lower Price</v>
      </c>
      <c r="J3104" t="s">
        <v>759</v>
      </c>
      <c r="L3104" s="17" t="s">
        <v>732</v>
      </c>
      <c r="M3104" s="17" t="s">
        <v>735</v>
      </c>
      <c r="N3104" s="17" t="s">
        <v>736</v>
      </c>
    </row>
    <row r="3105" spans="1:14" x14ac:dyDescent="0.25">
      <c r="A3105" s="8">
        <v>985190</v>
      </c>
      <c r="B3105" s="22" t="str">
        <f>IFERROR(VLOOKUP(A3105,VLOOKUPS!$A$2:B$12589,2,FALSE),"")</f>
        <v>Organic Romaine Hearts 3ct-standard</v>
      </c>
      <c r="E3105">
        <v>2.19</v>
      </c>
      <c r="F3105">
        <v>3.19</v>
      </c>
      <c r="G3105" s="13">
        <v>44591</v>
      </c>
      <c r="H3105" s="13"/>
      <c r="I3105" s="22" t="str">
        <f>VLOOKUP(J3105, Dropdowns!N:O, 2, FALSE)</f>
        <v>Standard</v>
      </c>
      <c r="J3105" t="s">
        <v>760</v>
      </c>
      <c r="L3105" s="17" t="s">
        <v>732</v>
      </c>
      <c r="M3105" s="17" t="s">
        <v>735</v>
      </c>
      <c r="N3105" s="17" t="s">
        <v>736</v>
      </c>
    </row>
    <row r="3106" spans="1:14" x14ac:dyDescent="0.25">
      <c r="A3106" s="8">
        <v>986270</v>
      </c>
      <c r="B3106" s="22" t="str">
        <f>IFERROR(VLOOKUP(A3106,VLOOKUPS!$A$2:B$12589,2,FALSE),"")</f>
        <v>Organic French Beans 1lb-standard</v>
      </c>
      <c r="E3106">
        <v>3.99</v>
      </c>
      <c r="F3106">
        <v>2.4900000000000002</v>
      </c>
      <c r="G3106" s="13">
        <v>44589</v>
      </c>
      <c r="H3106" s="13">
        <v>44590</v>
      </c>
      <c r="I3106" s="22" t="str">
        <f>VLOOKUP(J3106, Dropdowns!N:O, 2, FALSE)</f>
        <v>Lower Price</v>
      </c>
      <c r="J3106" t="s">
        <v>759</v>
      </c>
      <c r="L3106" s="17" t="s">
        <v>732</v>
      </c>
      <c r="M3106" s="17" t="s">
        <v>9</v>
      </c>
      <c r="N3106" s="17" t="s">
        <v>736</v>
      </c>
    </row>
    <row r="3107" spans="1:14" x14ac:dyDescent="0.25">
      <c r="A3107" s="8">
        <v>986270</v>
      </c>
      <c r="B3107" s="22" t="str">
        <f>IFERROR(VLOOKUP(A3107,VLOOKUPS!$A$2:B$12589,2,FALSE),"")</f>
        <v>Organic French Beans 1lb-standard</v>
      </c>
      <c r="E3107">
        <v>2.4900000000000002</v>
      </c>
      <c r="F3107">
        <v>3.99</v>
      </c>
      <c r="G3107" s="13">
        <v>44591</v>
      </c>
      <c r="H3107" s="13"/>
      <c r="I3107" s="22" t="str">
        <f>VLOOKUP(J3107, Dropdowns!N:O, 2, FALSE)</f>
        <v>Standard</v>
      </c>
      <c r="J3107" t="s">
        <v>760</v>
      </c>
      <c r="L3107" s="17" t="s">
        <v>732</v>
      </c>
      <c r="M3107" s="17" t="s">
        <v>9</v>
      </c>
      <c r="N3107" s="17" t="s">
        <v>736</v>
      </c>
    </row>
    <row r="3108" spans="1:14" x14ac:dyDescent="0.25">
      <c r="A3108" s="8">
        <v>995008</v>
      </c>
      <c r="B3108" s="22" t="str">
        <f>IFERROR(VLOOKUP(A3108,VLOOKUPS!$A$2:B$12589,2,FALSE),"")</f>
        <v>Shredded Lettuce 8oz-standard</v>
      </c>
      <c r="E3108">
        <v>1.29</v>
      </c>
      <c r="F3108">
        <v>0.69</v>
      </c>
      <c r="G3108" s="13">
        <v>44589</v>
      </c>
      <c r="H3108" s="13">
        <v>44590</v>
      </c>
      <c r="I3108" s="22" t="str">
        <f>VLOOKUP(J3108, Dropdowns!N:O, 2, FALSE)</f>
        <v>Lower Price</v>
      </c>
      <c r="J3108" t="s">
        <v>759</v>
      </c>
      <c r="L3108" s="17" t="s">
        <v>733</v>
      </c>
      <c r="M3108" s="17" t="s">
        <v>10</v>
      </c>
      <c r="N3108" s="17" t="s">
        <v>740</v>
      </c>
    </row>
    <row r="3109" spans="1:14" x14ac:dyDescent="0.25">
      <c r="A3109" s="8">
        <v>995008</v>
      </c>
      <c r="B3109" s="22" t="str">
        <f>IFERROR(VLOOKUP(A3109,VLOOKUPS!$A$2:B$12589,2,FALSE),"")</f>
        <v>Shredded Lettuce 8oz-standard</v>
      </c>
      <c r="E3109">
        <v>0.69</v>
      </c>
      <c r="F3109">
        <v>1.29</v>
      </c>
      <c r="G3109" s="13">
        <v>44591</v>
      </c>
      <c r="H3109" s="13"/>
      <c r="I3109" s="22" t="str">
        <f>VLOOKUP(J3109, Dropdowns!N:O, 2, FALSE)</f>
        <v>Standard</v>
      </c>
      <c r="J3109" t="s">
        <v>760</v>
      </c>
      <c r="L3109" s="17" t="s">
        <v>733</v>
      </c>
      <c r="M3109" s="17" t="s">
        <v>10</v>
      </c>
      <c r="N3109" s="17" t="s">
        <v>740</v>
      </c>
    </row>
    <row r="3110" spans="1:14" x14ac:dyDescent="0.25">
      <c r="A3110" s="8">
        <v>995046</v>
      </c>
      <c r="B3110" s="22" t="str">
        <f>IFERROR(VLOOKUP(A3110,VLOOKUPS!$A$2:B$12589,2,FALSE),"")</f>
        <v>Diced Onion 8oz-standard</v>
      </c>
      <c r="E3110">
        <v>1.99</v>
      </c>
      <c r="F3110">
        <v>0.99</v>
      </c>
      <c r="G3110" s="13">
        <v>44589</v>
      </c>
      <c r="H3110" s="13">
        <v>44590</v>
      </c>
      <c r="I3110" s="22" t="str">
        <f>VLOOKUP(J3110, Dropdowns!N:O, 2, FALSE)</f>
        <v>Lower Price</v>
      </c>
      <c r="J3110" t="s">
        <v>759</v>
      </c>
      <c r="L3110" s="17" t="s">
        <v>732</v>
      </c>
      <c r="M3110" s="17" t="s">
        <v>10</v>
      </c>
      <c r="N3110" s="17">
        <v>2</v>
      </c>
    </row>
    <row r="3111" spans="1:14" x14ac:dyDescent="0.25">
      <c r="A3111" s="8">
        <v>995046</v>
      </c>
      <c r="B3111" s="22" t="str">
        <f>IFERROR(VLOOKUP(A3111,VLOOKUPS!$A$2:B$12589,2,FALSE),"")</f>
        <v>Diced Onion 8oz-standard</v>
      </c>
      <c r="E3111">
        <v>0.99</v>
      </c>
      <c r="F3111">
        <v>1.99</v>
      </c>
      <c r="G3111" s="13">
        <v>44591</v>
      </c>
      <c r="H3111" s="13"/>
      <c r="I3111" s="22" t="str">
        <f>VLOOKUP(J3111, Dropdowns!N:O, 2, FALSE)</f>
        <v>Standard</v>
      </c>
      <c r="J3111" t="s">
        <v>760</v>
      </c>
      <c r="L3111" s="17" t="s">
        <v>732</v>
      </c>
      <c r="M3111" s="17" t="s">
        <v>10</v>
      </c>
      <c r="N3111" s="17">
        <v>2</v>
      </c>
    </row>
    <row r="3112" spans="1:14" x14ac:dyDescent="0.25">
      <c r="A3112" s="8">
        <v>995173</v>
      </c>
      <c r="B3112" s="22" t="str">
        <f>IFERROR(VLOOKUP(A3112,VLOOKUPS!$A$2:B$12589,2,FALSE),"")</f>
        <v>Fruit Tray 40oz-standard</v>
      </c>
      <c r="D3112">
        <v>2</v>
      </c>
      <c r="E3112">
        <v>10.85</v>
      </c>
      <c r="G3112" s="13">
        <v>44589</v>
      </c>
      <c r="H3112" s="13"/>
      <c r="I3112" s="22" t="str">
        <f>VLOOKUP(J3112, Dropdowns!N:O, 2, FALSE)</f>
        <v>NA</v>
      </c>
      <c r="J3112" t="s">
        <v>754</v>
      </c>
      <c r="L3112" s="17" t="s">
        <v>732</v>
      </c>
      <c r="M3112" s="17" t="s">
        <v>735</v>
      </c>
      <c r="N3112" s="17" t="s">
        <v>736</v>
      </c>
    </row>
    <row r="3113" spans="1:14" x14ac:dyDescent="0.25">
      <c r="A3113" s="8">
        <v>995097</v>
      </c>
      <c r="B3113" s="22" t="str">
        <f>IFERROR(VLOOKUP(A3113,VLOOKUPS!$A$2:B$12589,2,FALSE),"")</f>
        <v>Butternut Diced 12oz-standard</v>
      </c>
      <c r="E3113">
        <v>2.25</v>
      </c>
      <c r="F3113">
        <v>2.4900000000000002</v>
      </c>
      <c r="G3113" s="13">
        <v>44593</v>
      </c>
      <c r="H3113" s="13"/>
      <c r="I3113" s="22" t="str">
        <f>VLOOKUP(J3113, Dropdowns!N:O, 2, FALSE)</f>
        <v>Standard</v>
      </c>
      <c r="J3113" t="s">
        <v>761</v>
      </c>
      <c r="L3113" s="17" t="s">
        <v>732</v>
      </c>
      <c r="M3113" s="17" t="s">
        <v>736</v>
      </c>
      <c r="N3113" s="17" t="s">
        <v>736</v>
      </c>
    </row>
    <row r="3114" spans="1:14" x14ac:dyDescent="0.25">
      <c r="A3114" s="8">
        <v>995174</v>
      </c>
      <c r="B3114" s="22" t="str">
        <f>IFERROR(VLOOKUP(A3114,VLOOKUPS!$A$2:B$12589,2,FALSE),"")</f>
        <v>Vegetable Tray 24oz-standard</v>
      </c>
      <c r="E3114">
        <v>8.99</v>
      </c>
      <c r="F3114">
        <v>8.36</v>
      </c>
      <c r="G3114" s="13">
        <v>44593</v>
      </c>
      <c r="H3114" s="13"/>
      <c r="I3114" s="22" t="str">
        <f>VLOOKUP(J3114, Dropdowns!N:O, 2, FALSE)</f>
        <v>Standard</v>
      </c>
      <c r="J3114" t="s">
        <v>761</v>
      </c>
      <c r="L3114" s="17" t="s">
        <v>732</v>
      </c>
      <c r="M3114" s="17" t="s">
        <v>736</v>
      </c>
      <c r="N3114" s="17" t="s">
        <v>736</v>
      </c>
    </row>
    <row r="3115" spans="1:14" x14ac:dyDescent="0.25">
      <c r="A3115" s="8">
        <v>995045</v>
      </c>
      <c r="B3115" s="22" t="str">
        <f>IFERROR(VLOOKUP(A3115,VLOOKUPS!$A$2:B$12589,2,FALSE),"")</f>
        <v>Fajita Blend 12oz-standard</v>
      </c>
      <c r="E3115">
        <v>3.99</v>
      </c>
      <c r="F3115">
        <v>3.96</v>
      </c>
      <c r="G3115" s="13">
        <v>44593</v>
      </c>
      <c r="H3115" s="13"/>
      <c r="I3115" s="22" t="str">
        <f>VLOOKUP(J3115, Dropdowns!N:O, 2, FALSE)</f>
        <v>Standard</v>
      </c>
      <c r="J3115" t="s">
        <v>761</v>
      </c>
      <c r="L3115" s="17" t="s">
        <v>732</v>
      </c>
      <c r="M3115" s="17" t="s">
        <v>736</v>
      </c>
      <c r="N3115" s="17" t="s">
        <v>736</v>
      </c>
    </row>
    <row r="3116" spans="1:14" x14ac:dyDescent="0.25">
      <c r="A3116" s="8">
        <v>995046</v>
      </c>
      <c r="B3116" s="22" t="str">
        <f>IFERROR(VLOOKUP(A3116,VLOOKUPS!$A$2:B$12589,2,FALSE),"")</f>
        <v>Diced Onion 8oz-standard</v>
      </c>
      <c r="E3116">
        <v>1.99</v>
      </c>
      <c r="F3116">
        <v>2.62</v>
      </c>
      <c r="G3116" s="13">
        <v>44593</v>
      </c>
      <c r="H3116" s="13"/>
      <c r="I3116" s="22" t="str">
        <f>VLOOKUP(J3116, Dropdowns!N:O, 2, FALSE)</f>
        <v>Standard</v>
      </c>
      <c r="J3116" t="s">
        <v>761</v>
      </c>
      <c r="L3116" s="17" t="s">
        <v>732</v>
      </c>
      <c r="M3116" s="17" t="s">
        <v>736</v>
      </c>
      <c r="N3116" s="17" t="s">
        <v>736</v>
      </c>
    </row>
    <row r="3117" spans="1:14" x14ac:dyDescent="0.25">
      <c r="A3117" s="8">
        <v>982000</v>
      </c>
      <c r="B3117" s="22" t="str">
        <f>IFERROR(VLOOKUP(A3117,VLOOKUPS!$A$2:B$12589,2,FALSE),"")</f>
        <v>Cherries* Sweet 1lb-LOOSE</v>
      </c>
      <c r="E3117">
        <v>3.49</v>
      </c>
      <c r="F3117">
        <v>5.99</v>
      </c>
      <c r="G3117" s="13">
        <v>44590</v>
      </c>
      <c r="H3117" s="13"/>
      <c r="I3117" s="22" t="str">
        <f>VLOOKUP(J3117, Dropdowns!N:O, 2, FALSE)</f>
        <v>Standard</v>
      </c>
      <c r="J3117" t="s">
        <v>760</v>
      </c>
      <c r="L3117" s="17" t="s">
        <v>733</v>
      </c>
      <c r="M3117" s="17" t="s">
        <v>11</v>
      </c>
      <c r="N3117" s="17" t="s">
        <v>740</v>
      </c>
    </row>
    <row r="3118" spans="1:14" x14ac:dyDescent="0.25">
      <c r="A3118" s="8">
        <v>982000</v>
      </c>
      <c r="B3118" s="22" t="str">
        <f>IFERROR(VLOOKUP(A3118,VLOOKUPS!$A$2:B$12589,2,FALSE),"")</f>
        <v>Cherries* Sweet 1lb-LOOSE</v>
      </c>
      <c r="E3118">
        <v>5.99</v>
      </c>
      <c r="F3118">
        <v>3.99</v>
      </c>
      <c r="G3118" s="13">
        <v>44591</v>
      </c>
      <c r="H3118" s="13"/>
      <c r="I3118" s="22" t="str">
        <f>VLOOKUP(J3118, Dropdowns!N:O, 2, FALSE)</f>
        <v>Standard</v>
      </c>
      <c r="J3118" t="s">
        <v>761</v>
      </c>
      <c r="L3118" s="17" t="s">
        <v>733</v>
      </c>
      <c r="M3118" s="17" t="s">
        <v>11</v>
      </c>
      <c r="N3118" s="17" t="s">
        <v>740</v>
      </c>
    </row>
    <row r="3119" spans="1:14" x14ac:dyDescent="0.25">
      <c r="A3119" s="8">
        <v>985760</v>
      </c>
      <c r="B3119" s="22" t="str">
        <f>IFERROR(VLOOKUP(A3119,VLOOKUPS!$A$2:B$12589,2,FALSE),"")</f>
        <v>Asparagus 1lb-standard</v>
      </c>
      <c r="E3119">
        <v>2.99</v>
      </c>
      <c r="F3119">
        <v>1.99</v>
      </c>
      <c r="G3119" s="13">
        <v>44590</v>
      </c>
      <c r="H3119" s="13">
        <v>44591</v>
      </c>
      <c r="I3119" s="22" t="str">
        <f>VLOOKUP(J3119, Dropdowns!N:O, 2, FALSE)</f>
        <v>Lower Price</v>
      </c>
      <c r="J3119" t="s">
        <v>759</v>
      </c>
      <c r="L3119" s="17" t="s">
        <v>732</v>
      </c>
      <c r="M3119" s="17" t="s">
        <v>738</v>
      </c>
      <c r="N3119" s="17">
        <v>2</v>
      </c>
    </row>
    <row r="3120" spans="1:14" x14ac:dyDescent="0.25">
      <c r="A3120" s="8">
        <v>985760</v>
      </c>
      <c r="B3120" s="22" t="str">
        <f>IFERROR(VLOOKUP(A3120,VLOOKUPS!$A$2:B$12589,2,FALSE),"")</f>
        <v>Asparagus 1lb-standard</v>
      </c>
      <c r="E3120">
        <v>1.99</v>
      </c>
      <c r="F3120">
        <v>2.99</v>
      </c>
      <c r="G3120" s="13">
        <v>44592</v>
      </c>
      <c r="H3120" s="13"/>
      <c r="I3120" s="22" t="str">
        <f>VLOOKUP(J3120, Dropdowns!N:O, 2, FALSE)</f>
        <v>Standard</v>
      </c>
      <c r="J3120" t="s">
        <v>760</v>
      </c>
      <c r="L3120" s="17" t="s">
        <v>732</v>
      </c>
      <c r="M3120" s="17" t="s">
        <v>738</v>
      </c>
      <c r="N3120" s="17">
        <v>2</v>
      </c>
    </row>
    <row r="3121" spans="1:14" x14ac:dyDescent="0.25">
      <c r="A3121" s="8">
        <v>995032</v>
      </c>
      <c r="B3121" s="22" t="str">
        <f>IFERROR(VLOOKUP(A3121,VLOOKUPS!$A$2:B$12589,2,FALSE),"")</f>
        <v>Chopped Sunflower Crunch Kit 12.2oz-standard</v>
      </c>
      <c r="E3121">
        <v>3.49</v>
      </c>
      <c r="F3121">
        <v>1.99</v>
      </c>
      <c r="G3121" s="13">
        <v>44590</v>
      </c>
      <c r="H3121" s="13">
        <v>44591</v>
      </c>
      <c r="I3121" s="22" t="str">
        <f>VLOOKUP(J3121, Dropdowns!N:O, 2, FALSE)</f>
        <v>Lower Price</v>
      </c>
      <c r="J3121" t="s">
        <v>759</v>
      </c>
      <c r="L3121" s="17" t="s">
        <v>733</v>
      </c>
      <c r="M3121" s="17" t="s">
        <v>11</v>
      </c>
      <c r="N3121" s="17" t="s">
        <v>740</v>
      </c>
    </row>
    <row r="3122" spans="1:14" x14ac:dyDescent="0.25">
      <c r="A3122" s="8">
        <v>995032</v>
      </c>
      <c r="B3122" s="22" t="str">
        <f>IFERROR(VLOOKUP(A3122,VLOOKUPS!$A$2:B$12589,2,FALSE),"")</f>
        <v>Chopped Sunflower Crunch Kit 12.2oz-standard</v>
      </c>
      <c r="E3122">
        <v>1.99</v>
      </c>
      <c r="F3122">
        <v>3.49</v>
      </c>
      <c r="G3122" s="13">
        <v>44592</v>
      </c>
      <c r="H3122" s="13"/>
      <c r="I3122" s="22" t="str">
        <f>VLOOKUP(J3122, Dropdowns!N:O, 2, FALSE)</f>
        <v>Standard</v>
      </c>
      <c r="J3122" t="s">
        <v>760</v>
      </c>
      <c r="L3122" s="17" t="s">
        <v>733</v>
      </c>
      <c r="M3122" s="17" t="s">
        <v>11</v>
      </c>
      <c r="N3122" s="17" t="s">
        <v>740</v>
      </c>
    </row>
    <row r="3123" spans="1:14" x14ac:dyDescent="0.25">
      <c r="A3123" s="8">
        <v>995083</v>
      </c>
      <c r="B3123" s="22" t="str">
        <f>IFERROR(VLOOKUP(A3123,VLOOKUPS!$A$2:B$12589,2,FALSE),"")</f>
        <v>Butternut Squash Noodles 12oz-standard</v>
      </c>
      <c r="E3123">
        <v>2.4900000000000002</v>
      </c>
      <c r="F3123">
        <v>0.99</v>
      </c>
      <c r="G3123" s="13">
        <v>44590</v>
      </c>
      <c r="H3123" s="13">
        <v>44591</v>
      </c>
      <c r="I3123" s="22" t="str">
        <f>VLOOKUP(J3123, Dropdowns!N:O, 2, FALSE)</f>
        <v>Lower Price</v>
      </c>
      <c r="J3123" t="s">
        <v>759</v>
      </c>
      <c r="L3123" s="17" t="s">
        <v>732</v>
      </c>
      <c r="M3123" s="17" t="s">
        <v>736</v>
      </c>
      <c r="N3123" s="17" t="s">
        <v>736</v>
      </c>
    </row>
    <row r="3124" spans="1:14" x14ac:dyDescent="0.25">
      <c r="A3124" s="8">
        <v>995083</v>
      </c>
      <c r="B3124" s="22" t="str">
        <f>IFERROR(VLOOKUP(A3124,VLOOKUPS!$A$2:B$12589,2,FALSE),"")</f>
        <v>Butternut Squash Noodles 12oz-standard</v>
      </c>
      <c r="E3124">
        <v>0.99</v>
      </c>
      <c r="F3124">
        <v>2.4900000000000002</v>
      </c>
      <c r="G3124" s="13">
        <v>44592</v>
      </c>
      <c r="H3124" s="13"/>
      <c r="I3124" s="22" t="str">
        <f>VLOOKUP(J3124, Dropdowns!N:O, 2, FALSE)</f>
        <v>Standard</v>
      </c>
      <c r="J3124" t="s">
        <v>760</v>
      </c>
      <c r="L3124" s="17" t="s">
        <v>732</v>
      </c>
      <c r="M3124" s="17" t="s">
        <v>736</v>
      </c>
      <c r="N3124" s="17" t="s">
        <v>736</v>
      </c>
    </row>
    <row r="3125" spans="1:14" x14ac:dyDescent="0.25">
      <c r="A3125" s="8">
        <v>983301</v>
      </c>
      <c r="B3125" s="22" t="str">
        <f>IFERROR(VLOOKUP(A3125,VLOOKUPS!$A$2:B$12589,2,FALSE),"")</f>
        <v>Watermelons* Mini Seedless 1ct-LOOSE</v>
      </c>
      <c r="E3125">
        <v>4.9800000000000004</v>
      </c>
      <c r="F3125">
        <v>3.98</v>
      </c>
      <c r="G3125" s="13">
        <v>44225</v>
      </c>
      <c r="H3125" s="13">
        <v>44226</v>
      </c>
      <c r="I3125" s="22" t="str">
        <f>VLOOKUP(J3125, Dropdowns!N:O, 2, FALSE)</f>
        <v>Lower Price</v>
      </c>
      <c r="J3125" t="s">
        <v>759</v>
      </c>
      <c r="L3125" s="17" t="s">
        <v>732</v>
      </c>
      <c r="M3125" s="17" t="s">
        <v>10</v>
      </c>
      <c r="N3125" s="17">
        <v>2</v>
      </c>
    </row>
    <row r="3126" spans="1:14" x14ac:dyDescent="0.25">
      <c r="A3126" s="8">
        <v>983301</v>
      </c>
      <c r="B3126" s="22" t="str">
        <f>IFERROR(VLOOKUP(A3126,VLOOKUPS!$A$2:B$12589,2,FALSE),"")</f>
        <v>Watermelons* Mini Seedless 1ct-LOOSE</v>
      </c>
      <c r="E3126">
        <v>3.98</v>
      </c>
      <c r="F3126">
        <v>4.9800000000000004</v>
      </c>
      <c r="G3126" s="13">
        <v>44227</v>
      </c>
      <c r="H3126" s="13"/>
      <c r="I3126" s="22" t="str">
        <f>VLOOKUP(J3126, Dropdowns!N:O, 2, FALSE)</f>
        <v>Standard</v>
      </c>
      <c r="J3126" t="s">
        <v>760</v>
      </c>
      <c r="L3126" s="17" t="s">
        <v>732</v>
      </c>
      <c r="M3126" s="17" t="s">
        <v>10</v>
      </c>
      <c r="N3126" s="17">
        <v>2</v>
      </c>
    </row>
    <row r="3127" spans="1:14" x14ac:dyDescent="0.25">
      <c r="A3127" s="8">
        <v>983103</v>
      </c>
      <c r="B3127" s="22" t="str">
        <f>IFERROR(VLOOKUP(A3127,VLOOKUPS!$A$2:B$12589,2,FALSE),"")</f>
        <v>MelonsGolden Canary 1ct.-LOOSE</v>
      </c>
      <c r="E3127">
        <v>3.98</v>
      </c>
      <c r="F3127">
        <v>2.98</v>
      </c>
      <c r="G3127" s="13" t="s">
        <v>1080</v>
      </c>
      <c r="H3127" s="13">
        <v>44226</v>
      </c>
      <c r="I3127" s="22" t="str">
        <f>VLOOKUP(J3127, Dropdowns!N:O, 2, FALSE)</f>
        <v>Lower Price</v>
      </c>
      <c r="J3127" t="s">
        <v>759</v>
      </c>
      <c r="L3127" s="17" t="s">
        <v>732</v>
      </c>
      <c r="M3127" s="17" t="s">
        <v>9</v>
      </c>
      <c r="N3127" s="17" t="s">
        <v>736</v>
      </c>
    </row>
    <row r="3128" spans="1:14" x14ac:dyDescent="0.25">
      <c r="A3128" s="8">
        <v>983103</v>
      </c>
      <c r="B3128" s="22" t="str">
        <f>IFERROR(VLOOKUP(A3128,VLOOKUPS!$A$2:B$12589,2,FALSE),"")</f>
        <v>MelonsGolden Canary 1ct.-LOOSE</v>
      </c>
      <c r="E3128">
        <v>2.98</v>
      </c>
      <c r="F3128">
        <v>3.98</v>
      </c>
      <c r="G3128" s="13">
        <v>44227</v>
      </c>
      <c r="H3128" s="13"/>
      <c r="I3128" s="22" t="str">
        <f>VLOOKUP(J3128, Dropdowns!N:O, 2, FALSE)</f>
        <v>Standard</v>
      </c>
      <c r="J3128" t="s">
        <v>760</v>
      </c>
      <c r="L3128" s="17" t="s">
        <v>732</v>
      </c>
      <c r="M3128" s="17" t="s">
        <v>9</v>
      </c>
      <c r="N3128" s="17" t="s">
        <v>736</v>
      </c>
    </row>
    <row r="3129" spans="1:14" x14ac:dyDescent="0.25">
      <c r="A3129" s="8">
        <v>982000</v>
      </c>
      <c r="B3129" s="22" t="str">
        <f>IFERROR(VLOOKUP(A3129,VLOOKUPS!$A$2:B$12589,2,FALSE),"")</f>
        <v>Cherries* Sweet 1lb-LOOSE</v>
      </c>
      <c r="E3129">
        <v>3.99</v>
      </c>
      <c r="F3129">
        <v>2.4900000000000002</v>
      </c>
      <c r="G3129" s="13">
        <v>44593</v>
      </c>
      <c r="H3129" s="13">
        <v>44595</v>
      </c>
      <c r="I3129" s="22" t="str">
        <f>VLOOKUP(J3129, Dropdowns!N:O, 2, FALSE)</f>
        <v>Lower Price</v>
      </c>
      <c r="J3129" t="s">
        <v>759</v>
      </c>
      <c r="L3129" s="17" t="s">
        <v>733</v>
      </c>
      <c r="M3129" s="17" t="s">
        <v>11</v>
      </c>
      <c r="N3129" s="17" t="s">
        <v>740</v>
      </c>
    </row>
    <row r="3130" spans="1:14" x14ac:dyDescent="0.25">
      <c r="A3130" s="8">
        <v>982000</v>
      </c>
      <c r="B3130" s="22" t="str">
        <f>IFERROR(VLOOKUP(A3130,VLOOKUPS!$A$2:B$12589,2,FALSE),"")</f>
        <v>Cherries* Sweet 1lb-LOOSE</v>
      </c>
      <c r="E3130">
        <v>2.4900000000000002</v>
      </c>
      <c r="F3130">
        <v>3.99</v>
      </c>
      <c r="G3130" s="13">
        <v>44596</v>
      </c>
      <c r="H3130" s="13"/>
      <c r="I3130" s="22" t="str">
        <f>VLOOKUP(J3130, Dropdowns!N:O, 2, FALSE)</f>
        <v>Standard</v>
      </c>
      <c r="J3130" t="s">
        <v>760</v>
      </c>
      <c r="L3130" s="17" t="s">
        <v>733</v>
      </c>
      <c r="M3130" s="17" t="s">
        <v>11</v>
      </c>
      <c r="N3130" s="17" t="s">
        <v>740</v>
      </c>
    </row>
    <row r="3131" spans="1:14" x14ac:dyDescent="0.25">
      <c r="A3131" s="8">
        <v>984541</v>
      </c>
      <c r="B3131" s="22" t="str">
        <f>IFERROR(VLOOKUP(A3131,VLOOKUPS!$A$2:B$12589,2,FALSE),"")</f>
        <v>Blueberries 1pt-standard</v>
      </c>
      <c r="E3131">
        <v>2.58</v>
      </c>
      <c r="F3131">
        <v>2.68</v>
      </c>
      <c r="G3131" s="13">
        <v>44593</v>
      </c>
      <c r="H3131" s="13"/>
      <c r="I3131" s="22" t="str">
        <f>VLOOKUP(J3131, Dropdowns!N:O, 2, FALSE)</f>
        <v>Standard</v>
      </c>
      <c r="J3131" t="s">
        <v>761</v>
      </c>
      <c r="L3131" s="17" t="s">
        <v>732</v>
      </c>
      <c r="M3131" s="17" t="s">
        <v>736</v>
      </c>
      <c r="N3131" s="17" t="s">
        <v>736</v>
      </c>
    </row>
    <row r="3132" spans="1:14" x14ac:dyDescent="0.25">
      <c r="A3132" s="8">
        <v>985060</v>
      </c>
      <c r="B3132" s="22" t="str">
        <f>IFERROR(VLOOKUP(A3132,VLOOKUPS!$A$2:B$12589,2,FALSE),"")</f>
        <v>Lettuce* Iceberg 1ct-standard</v>
      </c>
      <c r="E3132">
        <v>1.78</v>
      </c>
      <c r="F3132">
        <v>1.08</v>
      </c>
      <c r="G3132" s="13">
        <v>44593</v>
      </c>
      <c r="H3132" s="13">
        <v>44594</v>
      </c>
      <c r="I3132" s="22" t="str">
        <f>VLOOKUP(J3132, Dropdowns!N:O, 2, FALSE)</f>
        <v>Lower Price</v>
      </c>
      <c r="J3132" t="s">
        <v>759</v>
      </c>
      <c r="L3132" s="17" t="s">
        <v>733</v>
      </c>
      <c r="M3132" s="17" t="s">
        <v>735</v>
      </c>
      <c r="N3132" s="17" t="s">
        <v>740</v>
      </c>
    </row>
    <row r="3133" spans="1:14" x14ac:dyDescent="0.25">
      <c r="A3133" s="8">
        <v>985060</v>
      </c>
      <c r="B3133" s="22" t="str">
        <f>IFERROR(VLOOKUP(A3133,VLOOKUPS!$A$2:B$12589,2,FALSE),"")</f>
        <v>Lettuce* Iceberg 1ct-standard</v>
      </c>
      <c r="E3133">
        <v>1.08</v>
      </c>
      <c r="F3133">
        <v>1.78</v>
      </c>
      <c r="G3133" s="13">
        <v>44595</v>
      </c>
      <c r="H3133" s="13"/>
      <c r="I3133" s="22" t="str">
        <f>VLOOKUP(J3133, Dropdowns!N:O, 2, FALSE)</f>
        <v>Standard</v>
      </c>
      <c r="J3133" t="s">
        <v>760</v>
      </c>
      <c r="L3133" s="17" t="s">
        <v>733</v>
      </c>
      <c r="M3133" s="17" t="s">
        <v>735</v>
      </c>
      <c r="N3133" s="17" t="s">
        <v>740</v>
      </c>
    </row>
    <row r="3134" spans="1:14" x14ac:dyDescent="0.25">
      <c r="A3134" s="8">
        <v>995008</v>
      </c>
      <c r="B3134" s="22" t="str">
        <f>IFERROR(VLOOKUP(A3134,VLOOKUPS!$A$2:B$12589,2,FALSE),"")</f>
        <v>Shredded Lettuce 8oz-standard</v>
      </c>
      <c r="E3134">
        <v>1.29</v>
      </c>
      <c r="F3134">
        <v>0.69</v>
      </c>
      <c r="G3134" s="13">
        <v>44593</v>
      </c>
      <c r="H3134" s="13">
        <v>44594</v>
      </c>
      <c r="I3134" s="22" t="str">
        <f>VLOOKUP(J3134, Dropdowns!N:O, 2, FALSE)</f>
        <v>Lower Price</v>
      </c>
      <c r="J3134" t="s">
        <v>759</v>
      </c>
      <c r="L3134" s="17" t="s">
        <v>733</v>
      </c>
      <c r="M3134" s="17" t="s">
        <v>11</v>
      </c>
      <c r="N3134" s="17" t="s">
        <v>740</v>
      </c>
    </row>
    <row r="3135" spans="1:14" x14ac:dyDescent="0.25">
      <c r="A3135" s="8">
        <v>995008</v>
      </c>
      <c r="B3135" s="22" t="str">
        <f>IFERROR(VLOOKUP(A3135,VLOOKUPS!$A$2:B$12589,2,FALSE),"")</f>
        <v>Shredded Lettuce 8oz-standard</v>
      </c>
      <c r="E3135">
        <v>0.69</v>
      </c>
      <c r="F3135">
        <v>1.29</v>
      </c>
      <c r="G3135" s="13">
        <v>44595</v>
      </c>
      <c r="H3135" s="13"/>
      <c r="I3135" s="22" t="str">
        <f>VLOOKUP(J3135, Dropdowns!N:O, 2, FALSE)</f>
        <v>Standard</v>
      </c>
      <c r="J3135" t="s">
        <v>760</v>
      </c>
      <c r="L3135" s="17" t="s">
        <v>733</v>
      </c>
      <c r="M3135" s="17" t="s">
        <v>11</v>
      </c>
      <c r="N3135" s="17" t="s">
        <v>740</v>
      </c>
    </row>
    <row r="3136" spans="1:14" x14ac:dyDescent="0.25">
      <c r="A3136" s="8">
        <v>995041</v>
      </c>
      <c r="B3136" s="22" t="str">
        <f>IFERROR(VLOOKUP(A3136,VLOOKUPS!$A$2:B$12589,2,FALSE),"")</f>
        <v>Pineapple Spears 16oz-standard</v>
      </c>
      <c r="E3136">
        <v>3.49</v>
      </c>
      <c r="F3136">
        <v>2.4900000000000002</v>
      </c>
      <c r="G3136" s="13">
        <v>44593</v>
      </c>
      <c r="H3136" s="13">
        <v>44594</v>
      </c>
      <c r="I3136" s="22" t="str">
        <f>VLOOKUP(J3136, Dropdowns!N:O, 2, FALSE)</f>
        <v>Lower Price</v>
      </c>
      <c r="J3136" t="s">
        <v>759</v>
      </c>
      <c r="L3136" s="17" t="s">
        <v>732</v>
      </c>
      <c r="M3136" s="17" t="s">
        <v>9</v>
      </c>
      <c r="N3136" s="17" t="s">
        <v>736</v>
      </c>
    </row>
    <row r="3137" spans="1:14" x14ac:dyDescent="0.25">
      <c r="A3137" s="8">
        <v>995041</v>
      </c>
      <c r="B3137" s="22" t="str">
        <f>IFERROR(VLOOKUP(A3137,VLOOKUPS!$A$2:B$12589,2,FALSE),"")</f>
        <v>Pineapple Spears 16oz-standard</v>
      </c>
      <c r="E3137">
        <v>2.4900000000000002</v>
      </c>
      <c r="F3137">
        <v>3.49</v>
      </c>
      <c r="G3137" s="13">
        <v>44595</v>
      </c>
      <c r="H3137" s="13"/>
      <c r="I3137" s="22" t="str">
        <f>VLOOKUP(J3137, Dropdowns!N:O, 2, FALSE)</f>
        <v>Standard</v>
      </c>
      <c r="J3137" t="s">
        <v>760</v>
      </c>
      <c r="L3137" s="17" t="s">
        <v>732</v>
      </c>
      <c r="M3137" s="17" t="s">
        <v>9</v>
      </c>
      <c r="N3137" s="17" t="s">
        <v>736</v>
      </c>
    </row>
    <row r="3138" spans="1:14" x14ac:dyDescent="0.25">
      <c r="A3138" s="8">
        <v>995051</v>
      </c>
      <c r="B3138" s="22" t="str">
        <f>IFERROR(VLOOKUP(A3138,VLOOKUPS!$A$2:B$12589,2,FALSE),"")</f>
        <v>Mild Fresh Chopped Salsa 16oz-standard</v>
      </c>
      <c r="E3138">
        <v>4.49</v>
      </c>
      <c r="F3138">
        <v>2.99</v>
      </c>
      <c r="G3138" s="13">
        <v>44593</v>
      </c>
      <c r="H3138" s="13">
        <v>44594</v>
      </c>
      <c r="I3138" s="22" t="str">
        <f>VLOOKUP(J3138, Dropdowns!N:O, 2, FALSE)</f>
        <v>Lower Price</v>
      </c>
      <c r="J3138" t="s">
        <v>759</v>
      </c>
      <c r="L3138" s="17" t="s">
        <v>732</v>
      </c>
      <c r="M3138" s="17" t="s">
        <v>10</v>
      </c>
      <c r="N3138" s="17">
        <v>2</v>
      </c>
    </row>
    <row r="3139" spans="1:14" x14ac:dyDescent="0.25">
      <c r="A3139" s="8">
        <v>995051</v>
      </c>
      <c r="B3139" s="22" t="str">
        <f>IFERROR(VLOOKUP(A3139,VLOOKUPS!$A$2:B$12589,2,FALSE),"")</f>
        <v>Mild Fresh Chopped Salsa 16oz-standard</v>
      </c>
      <c r="E3139">
        <v>2.99</v>
      </c>
      <c r="F3139">
        <v>4.49</v>
      </c>
      <c r="G3139" s="13">
        <v>44595</v>
      </c>
      <c r="H3139" s="13"/>
      <c r="I3139" s="22" t="str">
        <f>VLOOKUP(J3139, Dropdowns!N:O, 2, FALSE)</f>
        <v>Standard</v>
      </c>
      <c r="J3139" t="s">
        <v>760</v>
      </c>
      <c r="L3139" s="17" t="s">
        <v>732</v>
      </c>
      <c r="M3139" s="17" t="s">
        <v>10</v>
      </c>
      <c r="N3139" s="17">
        <v>2</v>
      </c>
    </row>
    <row r="3140" spans="1:14" x14ac:dyDescent="0.25">
      <c r="A3140" s="8">
        <v>995053</v>
      </c>
      <c r="B3140" s="22" t="str">
        <f>IFERROR(VLOOKUP(A3140,VLOOKUPS!$A$2:B$12589,2,FALSE),"")</f>
        <v>Fresh Chopped Salsa Pico 16oz-standard</v>
      </c>
      <c r="E3140">
        <v>4.49</v>
      </c>
      <c r="F3140">
        <v>2.99</v>
      </c>
      <c r="G3140" s="13">
        <v>44593</v>
      </c>
      <c r="H3140" s="13">
        <v>44594</v>
      </c>
      <c r="I3140" s="22" t="str">
        <f>VLOOKUP(J3140, Dropdowns!N:O, 2, FALSE)</f>
        <v>Lower Price</v>
      </c>
      <c r="J3140" t="s">
        <v>759</v>
      </c>
      <c r="L3140" s="17" t="s">
        <v>732</v>
      </c>
      <c r="M3140" s="17" t="s">
        <v>10</v>
      </c>
      <c r="N3140" s="17">
        <v>2</v>
      </c>
    </row>
    <row r="3141" spans="1:14" x14ac:dyDescent="0.25">
      <c r="A3141" s="8">
        <v>995053</v>
      </c>
      <c r="B3141" s="22" t="str">
        <f>IFERROR(VLOOKUP(A3141,VLOOKUPS!$A$2:B$12589,2,FALSE),"")</f>
        <v>Fresh Chopped Salsa Pico 16oz-standard</v>
      </c>
      <c r="E3141">
        <v>2.99</v>
      </c>
      <c r="F3141">
        <v>4.49</v>
      </c>
      <c r="G3141" s="13">
        <v>44595</v>
      </c>
      <c r="H3141" s="13"/>
      <c r="I3141" s="22" t="str">
        <f>VLOOKUP(J3141, Dropdowns!N:O, 2, FALSE)</f>
        <v>Standard</v>
      </c>
      <c r="J3141" t="s">
        <v>760</v>
      </c>
      <c r="L3141" s="17" t="s">
        <v>732</v>
      </c>
      <c r="M3141" s="17" t="s">
        <v>10</v>
      </c>
      <c r="N3141" s="17">
        <v>2</v>
      </c>
    </row>
    <row r="3142" spans="1:14" x14ac:dyDescent="0.25">
      <c r="A3142" s="8">
        <v>995131</v>
      </c>
      <c r="B3142" s="22" t="str">
        <f>IFERROR(VLOOKUP(A3142,VLOOKUPS!$A$2:B$12589,2,FALSE),"")</f>
        <v>Organic Baby Spinach &amp; Baby Kale 5oz-standard</v>
      </c>
      <c r="E3142">
        <v>2.98</v>
      </c>
      <c r="F3142">
        <v>2.2799999999999998</v>
      </c>
      <c r="G3142" s="13">
        <v>44593</v>
      </c>
      <c r="H3142" s="13">
        <v>44594</v>
      </c>
      <c r="I3142" s="22" t="str">
        <f>VLOOKUP(J3142, Dropdowns!N:O, 2, FALSE)</f>
        <v>Lower Price</v>
      </c>
      <c r="J3142" t="s">
        <v>759</v>
      </c>
      <c r="L3142" s="17" t="s">
        <v>732</v>
      </c>
      <c r="M3142" s="17" t="s">
        <v>9</v>
      </c>
      <c r="N3142" s="17" t="s">
        <v>736</v>
      </c>
    </row>
    <row r="3143" spans="1:14" x14ac:dyDescent="0.25">
      <c r="A3143" s="8">
        <v>995131</v>
      </c>
      <c r="B3143" s="22" t="str">
        <f>IFERROR(VLOOKUP(A3143,VLOOKUPS!$A$2:B$12589,2,FALSE),"")</f>
        <v>Organic Baby Spinach &amp; Baby Kale 5oz-standard</v>
      </c>
      <c r="E3143">
        <v>2.2799999999999998</v>
      </c>
      <c r="F3143">
        <v>2.98</v>
      </c>
      <c r="G3143" s="13">
        <v>44595</v>
      </c>
      <c r="H3143" s="13"/>
      <c r="I3143" s="22" t="str">
        <f>VLOOKUP(J3143, Dropdowns!N:O, 2, FALSE)</f>
        <v>Standard</v>
      </c>
      <c r="J3143" t="s">
        <v>760</v>
      </c>
      <c r="L3143" s="17" t="s">
        <v>732</v>
      </c>
      <c r="M3143" s="17" t="s">
        <v>9</v>
      </c>
      <c r="N3143" s="17" t="s">
        <v>736</v>
      </c>
    </row>
    <row r="3144" spans="1:14" x14ac:dyDescent="0.25">
      <c r="A3144" s="8">
        <v>995144</v>
      </c>
      <c r="B3144" s="22" t="str">
        <f>IFERROR(VLOOKUP(A3144,VLOOKUPS!$A$2:B$12589,2,FALSE),"")</f>
        <v>Asparagus Spears 10oz-standard</v>
      </c>
      <c r="E3144">
        <v>3.98</v>
      </c>
      <c r="F3144">
        <v>2.98</v>
      </c>
      <c r="G3144" s="13">
        <v>44593</v>
      </c>
      <c r="H3144" s="13">
        <v>44594</v>
      </c>
      <c r="I3144" s="22" t="str">
        <f>VLOOKUP(J3144, Dropdowns!N:O, 2, FALSE)</f>
        <v>Lower Price</v>
      </c>
      <c r="J3144" t="s">
        <v>759</v>
      </c>
      <c r="L3144" s="17" t="s">
        <v>732</v>
      </c>
      <c r="M3144" s="17" t="s">
        <v>10</v>
      </c>
      <c r="N3144" s="17">
        <v>2</v>
      </c>
    </row>
    <row r="3145" spans="1:14" x14ac:dyDescent="0.25">
      <c r="A3145" s="8">
        <v>995144</v>
      </c>
      <c r="B3145" s="22" t="str">
        <f>IFERROR(VLOOKUP(A3145,VLOOKUPS!$A$2:B$12589,2,FALSE),"")</f>
        <v>Asparagus Spears 10oz-standard</v>
      </c>
      <c r="E3145">
        <v>2.98</v>
      </c>
      <c r="F3145">
        <v>3.98</v>
      </c>
      <c r="G3145" s="13">
        <v>44595</v>
      </c>
      <c r="H3145" s="13"/>
      <c r="I3145" s="22" t="str">
        <f>VLOOKUP(J3145, Dropdowns!N:O, 2, FALSE)</f>
        <v>Standard</v>
      </c>
      <c r="J3145" t="s">
        <v>760</v>
      </c>
      <c r="L3145" s="17" t="s">
        <v>732</v>
      </c>
      <c r="M3145" s="17" t="s">
        <v>10</v>
      </c>
      <c r="N3145" s="17">
        <v>2</v>
      </c>
    </row>
    <row r="3146" spans="1:14" x14ac:dyDescent="0.25">
      <c r="A3146" s="8">
        <v>983104</v>
      </c>
      <c r="B3146" s="22" t="str">
        <f>IFERROR(VLOOKUP(A3146,VLOOKUPS!$A$2:B$12589,2,FALSE),"")</f>
        <v>Melons Dino 1ct.-LOOSE</v>
      </c>
      <c r="E3146">
        <v>3.98</v>
      </c>
      <c r="F3146">
        <v>2.98</v>
      </c>
      <c r="G3146" s="13">
        <v>44593</v>
      </c>
      <c r="H3146" s="13">
        <v>44594</v>
      </c>
      <c r="I3146" s="22" t="str">
        <f>VLOOKUP(J3146, Dropdowns!N:O, 2, FALSE)</f>
        <v>Lower Price</v>
      </c>
      <c r="J3146" t="s">
        <v>759</v>
      </c>
      <c r="L3146" s="17" t="s">
        <v>732</v>
      </c>
      <c r="M3146" s="17" t="s">
        <v>735</v>
      </c>
      <c r="N3146" s="17" t="s">
        <v>736</v>
      </c>
    </row>
    <row r="3147" spans="1:14" x14ac:dyDescent="0.25">
      <c r="A3147" s="8">
        <v>983104</v>
      </c>
      <c r="B3147" s="22" t="str">
        <f>IFERROR(VLOOKUP(A3147,VLOOKUPS!$A$2:B$12589,2,FALSE),"")</f>
        <v>Melons Dino 1ct.-LOOSE</v>
      </c>
      <c r="E3147">
        <v>2.98</v>
      </c>
      <c r="F3147">
        <v>3.98</v>
      </c>
      <c r="G3147" s="13">
        <v>44595</v>
      </c>
      <c r="H3147" s="13"/>
      <c r="I3147" s="22" t="str">
        <f>VLOOKUP(J3147, Dropdowns!N:O, 2, FALSE)</f>
        <v>Standard</v>
      </c>
      <c r="J3147" t="s">
        <v>760</v>
      </c>
      <c r="L3147" s="17" t="s">
        <v>732</v>
      </c>
      <c r="M3147" s="17" t="s">
        <v>735</v>
      </c>
      <c r="N3147" s="17" t="s">
        <v>736</v>
      </c>
    </row>
    <row r="3148" spans="1:14" x14ac:dyDescent="0.25">
      <c r="A3148" s="8">
        <v>983301</v>
      </c>
      <c r="B3148" s="22" t="str">
        <f>IFERROR(VLOOKUP(A3148,VLOOKUPS!$A$2:B$12589,2,FALSE),"")</f>
        <v>Watermelons* Mini Seedless 1ct-LOOSE</v>
      </c>
      <c r="E3148">
        <v>4.9800000000000004</v>
      </c>
      <c r="F3148">
        <v>3.98</v>
      </c>
      <c r="G3148" s="13">
        <v>44593</v>
      </c>
      <c r="H3148" s="13">
        <v>44594</v>
      </c>
      <c r="I3148" s="22" t="str">
        <f>VLOOKUP(J3148, Dropdowns!N:O, 2, FALSE)</f>
        <v>Lower Price</v>
      </c>
      <c r="J3148" t="s">
        <v>759</v>
      </c>
      <c r="L3148" s="17" t="s">
        <v>732</v>
      </c>
      <c r="M3148" s="17" t="s">
        <v>9</v>
      </c>
      <c r="N3148" s="17" t="s">
        <v>736</v>
      </c>
    </row>
    <row r="3149" spans="1:14" x14ac:dyDescent="0.25">
      <c r="A3149" s="8">
        <v>983301</v>
      </c>
      <c r="B3149" s="22" t="str">
        <f>IFERROR(VLOOKUP(A3149,VLOOKUPS!$A$2:B$12589,2,FALSE),"")</f>
        <v>Watermelons* Mini Seedless 1ct-LOOSE</v>
      </c>
      <c r="E3149">
        <v>3.98</v>
      </c>
      <c r="F3149">
        <v>4.9800000000000004</v>
      </c>
      <c r="G3149" s="13">
        <v>44595</v>
      </c>
      <c r="H3149" s="13"/>
      <c r="I3149" s="22" t="str">
        <f>VLOOKUP(J3149, Dropdowns!N:O, 2, FALSE)</f>
        <v>Standard</v>
      </c>
      <c r="J3149" t="s">
        <v>760</v>
      </c>
      <c r="L3149" s="17" t="s">
        <v>732</v>
      </c>
      <c r="M3149" s="17" t="s">
        <v>9</v>
      </c>
      <c r="N3149" s="17" t="s">
        <v>736</v>
      </c>
    </row>
    <row r="3150" spans="1:14" x14ac:dyDescent="0.25">
      <c r="A3150" s="8">
        <v>986340</v>
      </c>
      <c r="B3150" s="22" t="str">
        <f>IFERROR(VLOOKUP(A3150,VLOOKUPS!$A$2:B$12589,2,FALSE),"")</f>
        <v>Mirepoix 16oz-standard</v>
      </c>
      <c r="E3150">
        <v>2.99</v>
      </c>
      <c r="F3150">
        <v>1.99</v>
      </c>
      <c r="G3150" s="13">
        <v>44594</v>
      </c>
      <c r="H3150" s="13">
        <v>44595</v>
      </c>
      <c r="I3150" s="22" t="str">
        <f>VLOOKUP(J3150, Dropdowns!N:O, 2, FALSE)</f>
        <v>Lower Price</v>
      </c>
      <c r="J3150" t="s">
        <v>759</v>
      </c>
      <c r="L3150" s="17" t="s">
        <v>732</v>
      </c>
      <c r="M3150" s="17" t="s">
        <v>10</v>
      </c>
      <c r="N3150" s="17">
        <v>2</v>
      </c>
    </row>
    <row r="3151" spans="1:14" x14ac:dyDescent="0.25">
      <c r="A3151" s="8">
        <v>986340</v>
      </c>
      <c r="B3151" s="22" t="str">
        <f>IFERROR(VLOOKUP(A3151,VLOOKUPS!$A$2:B$12589,2,FALSE),"")</f>
        <v>Mirepoix 16oz-standard</v>
      </c>
      <c r="E3151">
        <v>1.99</v>
      </c>
      <c r="F3151">
        <v>2.99</v>
      </c>
      <c r="G3151" s="13">
        <v>44596</v>
      </c>
      <c r="H3151" s="13"/>
      <c r="I3151" s="22" t="str">
        <f>VLOOKUP(J3151, Dropdowns!N:O, 2, FALSE)</f>
        <v>Standard</v>
      </c>
      <c r="J3151" t="s">
        <v>760</v>
      </c>
      <c r="L3151" s="17" t="s">
        <v>732</v>
      </c>
      <c r="M3151" s="17" t="s">
        <v>10</v>
      </c>
      <c r="N3151" s="17">
        <v>2</v>
      </c>
    </row>
    <row r="3152" spans="1:14" x14ac:dyDescent="0.25">
      <c r="A3152" s="8">
        <v>987560</v>
      </c>
      <c r="B3152" s="22" t="str">
        <f>IFERROR(VLOOKUP(A3152,VLOOKUPS!$A$2:B$12589,2,FALSE),"")</f>
        <v>Celery 1ct-standard</v>
      </c>
      <c r="E3152">
        <v>1.38</v>
      </c>
      <c r="F3152">
        <v>0.88</v>
      </c>
      <c r="G3152" s="13">
        <v>44594</v>
      </c>
      <c r="H3152" s="13">
        <v>44595</v>
      </c>
      <c r="I3152" s="22" t="str">
        <f>VLOOKUP(J3152, Dropdowns!N:O, 2, FALSE)</f>
        <v>Lower Price</v>
      </c>
      <c r="J3152" t="s">
        <v>759</v>
      </c>
      <c r="L3152" s="17" t="s">
        <v>732</v>
      </c>
      <c r="M3152" s="17" t="s">
        <v>9</v>
      </c>
      <c r="N3152" s="17" t="s">
        <v>736</v>
      </c>
    </row>
    <row r="3153" spans="1:14" x14ac:dyDescent="0.25">
      <c r="A3153" s="8">
        <v>987560</v>
      </c>
      <c r="B3153" s="22" t="str">
        <f>IFERROR(VLOOKUP(A3153,VLOOKUPS!$A$2:B$12589,2,FALSE),"")</f>
        <v>Celery 1ct-standard</v>
      </c>
      <c r="E3153">
        <v>0.88</v>
      </c>
      <c r="F3153">
        <v>1.38</v>
      </c>
      <c r="G3153" s="13">
        <v>44596</v>
      </c>
      <c r="H3153" s="13"/>
      <c r="I3153" s="22" t="str">
        <f>VLOOKUP(J3153, Dropdowns!N:O, 2, FALSE)</f>
        <v>Standard</v>
      </c>
      <c r="J3153" t="s">
        <v>760</v>
      </c>
      <c r="L3153" s="17" t="s">
        <v>732</v>
      </c>
      <c r="M3153" s="17" t="s">
        <v>9</v>
      </c>
      <c r="N3153" s="17" t="s">
        <v>736</v>
      </c>
    </row>
    <row r="3154" spans="1:14" x14ac:dyDescent="0.25">
      <c r="A3154" s="8">
        <v>988571</v>
      </c>
      <c r="B3154" s="22" t="str">
        <f>IFERROR(VLOOKUP(A3154,VLOOKUPS!$A$2:B$12589,2,FALSE),"")</f>
        <v>Cauliflower* 1ct-LOOSE</v>
      </c>
      <c r="E3154">
        <v>2.88</v>
      </c>
      <c r="F3154">
        <v>1.88</v>
      </c>
      <c r="G3154" s="13">
        <v>44594</v>
      </c>
      <c r="H3154" s="13">
        <v>44595</v>
      </c>
      <c r="I3154" s="22" t="str">
        <f>VLOOKUP(J3154, Dropdowns!N:O, 2, FALSE)</f>
        <v>Lower Price</v>
      </c>
      <c r="J3154" t="s">
        <v>759</v>
      </c>
      <c r="L3154" s="17" t="s">
        <v>732</v>
      </c>
      <c r="M3154" s="17" t="s">
        <v>736</v>
      </c>
      <c r="N3154" s="17" t="s">
        <v>736</v>
      </c>
    </row>
    <row r="3155" spans="1:14" x14ac:dyDescent="0.25">
      <c r="A3155" s="8">
        <v>988571</v>
      </c>
      <c r="B3155" s="22" t="str">
        <f>IFERROR(VLOOKUP(A3155,VLOOKUPS!$A$2:B$12589,2,FALSE),"")</f>
        <v>Cauliflower* 1ct-LOOSE</v>
      </c>
      <c r="E3155">
        <v>1.88</v>
      </c>
      <c r="F3155">
        <v>2.88</v>
      </c>
      <c r="G3155" s="13">
        <v>44596</v>
      </c>
      <c r="H3155" s="13"/>
      <c r="I3155" s="22" t="str">
        <f>VLOOKUP(J3155, Dropdowns!N:O, 2, FALSE)</f>
        <v>Standard</v>
      </c>
      <c r="J3155" t="s">
        <v>760</v>
      </c>
      <c r="L3155" s="17" t="s">
        <v>732</v>
      </c>
      <c r="M3155" s="17" t="s">
        <v>736</v>
      </c>
      <c r="N3155" s="17" t="s">
        <v>736</v>
      </c>
    </row>
    <row r="3156" spans="1:14" x14ac:dyDescent="0.25">
      <c r="A3156" s="8">
        <v>995008</v>
      </c>
      <c r="B3156" s="22" t="str">
        <f>IFERROR(VLOOKUP(A3156,VLOOKUPS!$A$2:B$12589,2,FALSE),"")</f>
        <v>Shredded Lettuce 8oz-standard</v>
      </c>
      <c r="E3156">
        <v>1.29</v>
      </c>
      <c r="F3156">
        <v>0.79</v>
      </c>
      <c r="G3156" s="13">
        <v>44594</v>
      </c>
      <c r="H3156" s="13">
        <v>44595</v>
      </c>
      <c r="I3156" s="22" t="str">
        <f>VLOOKUP(J3156, Dropdowns!N:O, 2, FALSE)</f>
        <v>Lower Price</v>
      </c>
      <c r="J3156" t="s">
        <v>759</v>
      </c>
      <c r="L3156" s="17" t="s">
        <v>733</v>
      </c>
      <c r="M3156" s="17" t="s">
        <v>9</v>
      </c>
      <c r="N3156" s="17" t="s">
        <v>740</v>
      </c>
    </row>
    <row r="3157" spans="1:14" x14ac:dyDescent="0.25">
      <c r="A3157" s="8">
        <v>995008</v>
      </c>
      <c r="B3157" s="22" t="str">
        <f>IFERROR(VLOOKUP(A3157,VLOOKUPS!$A$2:B$12589,2,FALSE),"")</f>
        <v>Shredded Lettuce 8oz-standard</v>
      </c>
      <c r="E3157">
        <v>0.79</v>
      </c>
      <c r="F3157">
        <v>1.29</v>
      </c>
      <c r="G3157" s="13">
        <v>44596</v>
      </c>
      <c r="H3157" s="13"/>
      <c r="I3157" s="22" t="str">
        <f>VLOOKUP(J3157, Dropdowns!N:O, 2, FALSE)</f>
        <v>Standard</v>
      </c>
      <c r="J3157" t="s">
        <v>760</v>
      </c>
      <c r="L3157" s="17" t="s">
        <v>733</v>
      </c>
      <c r="M3157" s="17" t="s">
        <v>9</v>
      </c>
      <c r="N3157" s="17" t="s">
        <v>740</v>
      </c>
    </row>
    <row r="3158" spans="1:14" x14ac:dyDescent="0.25">
      <c r="A3158" s="8">
        <v>995021</v>
      </c>
      <c r="B3158" s="22" t="str">
        <f>IFERROR(VLOOKUP(A3158,VLOOKUPS!$A$2:B$12589,2,FALSE),"")</f>
        <v>Chopped Bacon Caesar Kit 10.2oz-standard</v>
      </c>
      <c r="E3158">
        <v>3.49</v>
      </c>
      <c r="F3158">
        <v>1.99</v>
      </c>
      <c r="G3158" s="13">
        <v>44594</v>
      </c>
      <c r="H3158" s="13">
        <v>44595</v>
      </c>
      <c r="I3158" s="22" t="str">
        <f>VLOOKUP(J3158, Dropdowns!N:O, 2, FALSE)</f>
        <v>Lower Price</v>
      </c>
      <c r="J3158" t="s">
        <v>759</v>
      </c>
      <c r="L3158" s="17" t="s">
        <v>732</v>
      </c>
      <c r="M3158" s="17" t="s">
        <v>9</v>
      </c>
      <c r="N3158" s="17" t="s">
        <v>736</v>
      </c>
    </row>
    <row r="3159" spans="1:14" x14ac:dyDescent="0.25">
      <c r="A3159" s="8">
        <v>995021</v>
      </c>
      <c r="B3159" s="22" t="str">
        <f>IFERROR(VLOOKUP(A3159,VLOOKUPS!$A$2:B$12589,2,FALSE),"")</f>
        <v>Chopped Bacon Caesar Kit 10.2oz-standard</v>
      </c>
      <c r="E3159">
        <v>1.99</v>
      </c>
      <c r="F3159">
        <v>3.49</v>
      </c>
      <c r="G3159" s="13">
        <v>44596</v>
      </c>
      <c r="H3159" s="13"/>
      <c r="I3159" s="22" t="str">
        <f>VLOOKUP(J3159, Dropdowns!N:O, 2, FALSE)</f>
        <v>Standard</v>
      </c>
      <c r="J3159" t="s">
        <v>760</v>
      </c>
      <c r="L3159" s="17" t="s">
        <v>732</v>
      </c>
      <c r="M3159" s="17" t="s">
        <v>9</v>
      </c>
      <c r="N3159" s="17" t="s">
        <v>736</v>
      </c>
    </row>
    <row r="3160" spans="1:14" x14ac:dyDescent="0.25">
      <c r="A3160" s="8">
        <v>995082</v>
      </c>
      <c r="B3160" s="22" t="str">
        <f>IFERROR(VLOOKUP(A3160,VLOOKUPS!$A$2:B$12589,2,FALSE),"")</f>
        <v>Melon Trio 16oz-standard</v>
      </c>
      <c r="E3160">
        <v>3.99</v>
      </c>
      <c r="F3160">
        <v>2.4900000000000002</v>
      </c>
      <c r="G3160" s="13">
        <v>44594</v>
      </c>
      <c r="H3160" s="13">
        <v>44595</v>
      </c>
      <c r="I3160" s="22" t="str">
        <f>VLOOKUP(J3160, Dropdowns!N:O, 2, FALSE)</f>
        <v>Lower Price</v>
      </c>
      <c r="J3160" t="s">
        <v>759</v>
      </c>
      <c r="L3160" s="17" t="s">
        <v>732</v>
      </c>
      <c r="M3160" s="17" t="s">
        <v>9</v>
      </c>
      <c r="N3160" s="17" t="s">
        <v>736</v>
      </c>
    </row>
    <row r="3161" spans="1:14" x14ac:dyDescent="0.25">
      <c r="A3161" s="8">
        <v>995082</v>
      </c>
      <c r="B3161" s="22" t="str">
        <f>IFERROR(VLOOKUP(A3161,VLOOKUPS!$A$2:B$12589,2,FALSE),"")</f>
        <v>Melon Trio 16oz-standard</v>
      </c>
      <c r="E3161">
        <v>2.4900000000000002</v>
      </c>
      <c r="F3161">
        <v>3.99</v>
      </c>
      <c r="G3161" s="13">
        <v>44596</v>
      </c>
      <c r="H3161" s="13"/>
      <c r="I3161" s="22" t="str">
        <f>VLOOKUP(J3161, Dropdowns!N:O, 2, FALSE)</f>
        <v>Standard</v>
      </c>
      <c r="J3161" t="s">
        <v>760</v>
      </c>
      <c r="L3161" s="17" t="s">
        <v>732</v>
      </c>
      <c r="M3161" s="17" t="s">
        <v>9</v>
      </c>
      <c r="N3161" s="17" t="s">
        <v>736</v>
      </c>
    </row>
    <row r="3162" spans="1:14" x14ac:dyDescent="0.25">
      <c r="A3162" s="8">
        <v>995083</v>
      </c>
      <c r="B3162" s="22" t="str">
        <f>IFERROR(VLOOKUP(A3162,VLOOKUPS!$A$2:B$12589,2,FALSE),"")</f>
        <v>Butternut Squash Noodles 12oz-standard</v>
      </c>
      <c r="D3162">
        <v>4</v>
      </c>
      <c r="E3162">
        <v>2.4900000000000002</v>
      </c>
      <c r="G3162" s="13">
        <v>44594</v>
      </c>
      <c r="H3162" s="13"/>
      <c r="I3162" s="22" t="str">
        <f>VLOOKUP(J3162, Dropdowns!N:O, 2, FALSE)</f>
        <v>NA</v>
      </c>
      <c r="J3162" t="s">
        <v>754</v>
      </c>
      <c r="L3162" s="17" t="s">
        <v>732</v>
      </c>
      <c r="M3162" s="17" t="s">
        <v>736</v>
      </c>
      <c r="N3162" s="17" t="s">
        <v>736</v>
      </c>
    </row>
    <row r="3163" spans="1:14" x14ac:dyDescent="0.25">
      <c r="A3163" s="8">
        <v>995084</v>
      </c>
      <c r="B3163" s="22" t="str">
        <f>IFERROR(VLOOKUP(A3163,VLOOKUPS!$A$2:B$12589,2,FALSE),"")</f>
        <v>Eat Smart Green Beans 12oz-standard</v>
      </c>
      <c r="E3163">
        <v>2.78</v>
      </c>
      <c r="F3163">
        <v>1.78</v>
      </c>
      <c r="G3163" s="13">
        <v>44594</v>
      </c>
      <c r="H3163" s="13">
        <v>44595</v>
      </c>
      <c r="I3163" s="22" t="str">
        <f>VLOOKUP(J3163, Dropdowns!N:O, 2, FALSE)</f>
        <v>Lower Price</v>
      </c>
      <c r="J3163" t="s">
        <v>759</v>
      </c>
      <c r="L3163" s="17" t="s">
        <v>733</v>
      </c>
      <c r="M3163" s="17" t="s">
        <v>9</v>
      </c>
      <c r="N3163" s="17" t="s">
        <v>740</v>
      </c>
    </row>
    <row r="3164" spans="1:14" x14ac:dyDescent="0.25">
      <c r="A3164" s="8">
        <v>995084</v>
      </c>
      <c r="B3164" s="22" t="str">
        <f>IFERROR(VLOOKUP(A3164,VLOOKUPS!$A$2:B$12589,2,FALSE),"")</f>
        <v>Eat Smart Green Beans 12oz-standard</v>
      </c>
      <c r="E3164">
        <v>1.78</v>
      </c>
      <c r="F3164">
        <v>2.78</v>
      </c>
      <c r="G3164" s="13">
        <v>44596</v>
      </c>
      <c r="H3164" s="13"/>
      <c r="I3164" s="22" t="str">
        <f>VLOOKUP(J3164, Dropdowns!N:O, 2, FALSE)</f>
        <v>Standard</v>
      </c>
      <c r="J3164" t="s">
        <v>760</v>
      </c>
      <c r="L3164" s="17" t="s">
        <v>733</v>
      </c>
      <c r="M3164" s="17" t="s">
        <v>9</v>
      </c>
      <c r="N3164" s="17" t="s">
        <v>740</v>
      </c>
    </row>
    <row r="3165" spans="1:14" x14ac:dyDescent="0.25">
      <c r="A3165" s="8">
        <v>995136</v>
      </c>
      <c r="B3165" s="22" t="str">
        <f>IFERROR(VLOOKUP(A3165,VLOOKUPS!$A$2:B$12589,2,FALSE),"")</f>
        <v>Baby Spinach 11oz-standard</v>
      </c>
      <c r="E3165">
        <v>3.28</v>
      </c>
      <c r="F3165">
        <v>2.2799999999999998</v>
      </c>
      <c r="G3165" s="13">
        <v>44594</v>
      </c>
      <c r="H3165" s="13">
        <v>44595</v>
      </c>
      <c r="I3165" s="22" t="str">
        <f>VLOOKUP(J3165, Dropdowns!N:O, 2, FALSE)</f>
        <v>Lower Price</v>
      </c>
      <c r="J3165" t="s">
        <v>759</v>
      </c>
      <c r="L3165" s="17" t="s">
        <v>733</v>
      </c>
      <c r="M3165" s="17" t="s">
        <v>11</v>
      </c>
      <c r="N3165" s="17" t="s">
        <v>740</v>
      </c>
    </row>
    <row r="3166" spans="1:14" x14ac:dyDescent="0.25">
      <c r="A3166" s="8">
        <v>995136</v>
      </c>
      <c r="B3166" s="22" t="str">
        <f>IFERROR(VLOOKUP(A3166,VLOOKUPS!$A$2:B$12589,2,FALSE),"")</f>
        <v>Baby Spinach 11oz-standard</v>
      </c>
      <c r="E3166">
        <v>2.2799999999999998</v>
      </c>
      <c r="F3166">
        <v>3.28</v>
      </c>
      <c r="G3166" s="13">
        <v>44596</v>
      </c>
      <c r="H3166" s="13"/>
      <c r="I3166" s="22" t="str">
        <f>VLOOKUP(J3166, Dropdowns!N:O, 2, FALSE)</f>
        <v>Standard</v>
      </c>
      <c r="J3166" t="s">
        <v>760</v>
      </c>
      <c r="L3166" s="17" t="s">
        <v>733</v>
      </c>
      <c r="M3166" s="17" t="s">
        <v>11</v>
      </c>
      <c r="N3166" s="17" t="s">
        <v>740</v>
      </c>
    </row>
    <row r="3167" spans="1:14" x14ac:dyDescent="0.25">
      <c r="A3167" s="8">
        <v>995168</v>
      </c>
      <c r="B3167" s="22" t="str">
        <f>IFERROR(VLOOKUP(A3167,VLOOKUPS!$A$2:B$12589,2,FALSE),"")</f>
        <v>Coconut Curry Stir Fry Kit 12.5oz-standard</v>
      </c>
      <c r="E3167">
        <v>2.98</v>
      </c>
      <c r="F3167">
        <v>1.98</v>
      </c>
      <c r="G3167" s="13">
        <v>44594</v>
      </c>
      <c r="H3167" s="13">
        <v>44595</v>
      </c>
      <c r="I3167" s="22" t="str">
        <f>VLOOKUP(J3167, Dropdowns!N:O, 2, FALSE)</f>
        <v>Lower Price</v>
      </c>
      <c r="J3167" t="s">
        <v>759</v>
      </c>
      <c r="L3167" s="17" t="s">
        <v>732</v>
      </c>
      <c r="M3167" s="17" t="s">
        <v>9</v>
      </c>
      <c r="N3167" s="17" t="s">
        <v>736</v>
      </c>
    </row>
    <row r="3168" spans="1:14" x14ac:dyDescent="0.25">
      <c r="A3168" s="8">
        <v>995168</v>
      </c>
      <c r="B3168" s="22" t="str">
        <f>IFERROR(VLOOKUP(A3168,VLOOKUPS!$A$2:B$12589,2,FALSE),"")</f>
        <v>Coconut Curry Stir Fry Kit 12.5oz-standard</v>
      </c>
      <c r="E3168">
        <v>1.98</v>
      </c>
      <c r="F3168">
        <v>2.98</v>
      </c>
      <c r="G3168" s="13">
        <v>44596</v>
      </c>
      <c r="H3168" s="13"/>
      <c r="I3168" s="22" t="str">
        <f>VLOOKUP(J3168, Dropdowns!N:O, 2, FALSE)</f>
        <v>Standard</v>
      </c>
      <c r="J3168" t="s">
        <v>760</v>
      </c>
      <c r="L3168" s="17" t="s">
        <v>732</v>
      </c>
      <c r="M3168" s="17" t="s">
        <v>9</v>
      </c>
      <c r="N3168" s="17" t="s">
        <v>736</v>
      </c>
    </row>
    <row r="3169" spans="1:14" x14ac:dyDescent="0.25">
      <c r="A3169" s="8">
        <v>984541</v>
      </c>
      <c r="B3169" s="22" t="str">
        <f>IFERROR(VLOOKUP(A3169,VLOOKUPS!$A$2:B$12589,2,FALSE),"")</f>
        <v>Blueberries 1pt-standard</v>
      </c>
      <c r="G3169" s="13">
        <v>44594</v>
      </c>
      <c r="H3169" s="13">
        <v>44600</v>
      </c>
      <c r="I3169" s="22" t="str">
        <f>VLOOKUP(J3169, Dropdowns!N:O, 2, FALSE)</f>
        <v>Lower Price</v>
      </c>
      <c r="J3169" t="s">
        <v>753</v>
      </c>
      <c r="L3169" s="17" t="s">
        <v>732</v>
      </c>
      <c r="M3169" s="17" t="s">
        <v>736</v>
      </c>
      <c r="N3169" s="17" t="s">
        <v>736</v>
      </c>
    </row>
    <row r="3170" spans="1:14" x14ac:dyDescent="0.25">
      <c r="A3170" s="8">
        <v>984460</v>
      </c>
      <c r="B3170" s="22" t="str">
        <f>IFERROR(VLOOKUP(A3170,VLOOKUPS!$A$2:B$12589,2,FALSE),"")</f>
        <v>Strawberries 1lb-standard</v>
      </c>
      <c r="E3170">
        <v>1.49</v>
      </c>
      <c r="F3170">
        <v>2.96</v>
      </c>
      <c r="G3170" s="13">
        <v>44594</v>
      </c>
      <c r="H3170" s="13"/>
      <c r="I3170" s="22" t="str">
        <f>VLOOKUP(J3170, Dropdowns!N:O, 2, FALSE)</f>
        <v>Standard</v>
      </c>
      <c r="J3170" t="s">
        <v>760</v>
      </c>
      <c r="L3170" s="17" t="s">
        <v>732</v>
      </c>
      <c r="M3170" s="17" t="s">
        <v>738</v>
      </c>
      <c r="N3170" s="17">
        <v>2</v>
      </c>
    </row>
    <row r="3171" spans="1:14" x14ac:dyDescent="0.25">
      <c r="A3171" s="8">
        <v>984460</v>
      </c>
      <c r="B3171" s="22" t="str">
        <f>IFERROR(VLOOKUP(A3171,VLOOKUPS!$A$2:B$12589,2,FALSE),"")</f>
        <v>Strawberries 1lb-standard</v>
      </c>
      <c r="G3171" s="13">
        <v>44594</v>
      </c>
      <c r="H3171" s="13">
        <v>44594</v>
      </c>
      <c r="I3171" s="22" t="str">
        <f>VLOOKUP(J3171, Dropdowns!N:O, 2, FALSE)</f>
        <v>Lower Price</v>
      </c>
      <c r="J3171" t="s">
        <v>762</v>
      </c>
      <c r="L3171" s="17" t="s">
        <v>732</v>
      </c>
      <c r="M3171" s="17" t="s">
        <v>9</v>
      </c>
      <c r="N3171" s="17" t="s">
        <v>736</v>
      </c>
    </row>
    <row r="3172" spans="1:14" x14ac:dyDescent="0.25">
      <c r="A3172" s="8">
        <v>984700</v>
      </c>
      <c r="B3172" s="22" t="str">
        <f>IFERROR(VLOOKUP(A3172,VLOOKUPS!$A$2:B$12589,2,FALSE),"")</f>
        <v>Blackberries 6oz-standard</v>
      </c>
      <c r="E3172">
        <v>1.39</v>
      </c>
      <c r="F3172">
        <v>2.2799999999999998</v>
      </c>
      <c r="G3172" s="13">
        <v>44594</v>
      </c>
      <c r="H3172" s="13"/>
      <c r="I3172" s="22" t="str">
        <f>VLOOKUP(J3172, Dropdowns!N:O, 2, FALSE)</f>
        <v>Standard</v>
      </c>
      <c r="J3172" t="s">
        <v>760</v>
      </c>
      <c r="L3172" s="17" t="s">
        <v>732</v>
      </c>
      <c r="M3172" s="17" t="s">
        <v>738</v>
      </c>
      <c r="N3172" s="17">
        <v>2</v>
      </c>
    </row>
    <row r="3173" spans="1:14" x14ac:dyDescent="0.25">
      <c r="A3173" s="8">
        <v>984700</v>
      </c>
      <c r="B3173" s="22" t="str">
        <f>IFERROR(VLOOKUP(A3173,VLOOKUPS!$A$2:B$12589,2,FALSE),"")</f>
        <v>Blackberries 6oz-standard</v>
      </c>
      <c r="G3173" s="13">
        <v>44594</v>
      </c>
      <c r="H3173" s="13">
        <v>44595</v>
      </c>
      <c r="I3173" s="22" t="str">
        <f>VLOOKUP(J3173, Dropdowns!N:O, 2, FALSE)</f>
        <v>Lower Price</v>
      </c>
      <c r="J3173" t="s">
        <v>762</v>
      </c>
      <c r="L3173" s="17" t="s">
        <v>732</v>
      </c>
      <c r="M3173" s="17" t="s">
        <v>9</v>
      </c>
      <c r="N3173" s="17" t="s">
        <v>736</v>
      </c>
    </row>
    <row r="3174" spans="1:14" x14ac:dyDescent="0.25">
      <c r="A3174" s="8">
        <v>985111</v>
      </c>
      <c r="B3174" s="22" t="str">
        <f>IFERROR(VLOOKUP(A3174,VLOOKUPS!$A$2:B$12589,2,FALSE),"")</f>
        <v>Lettuce Mixed 1ct-standard</v>
      </c>
      <c r="E3174">
        <v>1.49</v>
      </c>
      <c r="F3174">
        <v>2.79</v>
      </c>
      <c r="G3174" s="13">
        <v>44594</v>
      </c>
      <c r="H3174" s="13"/>
      <c r="I3174" s="22" t="str">
        <f>VLOOKUP(J3174, Dropdowns!N:O, 2, FALSE)</f>
        <v>Standard</v>
      </c>
      <c r="J3174" t="s">
        <v>760</v>
      </c>
      <c r="L3174" s="17" t="s">
        <v>733</v>
      </c>
      <c r="M3174" s="17" t="s">
        <v>11</v>
      </c>
      <c r="N3174" s="17" t="s">
        <v>740</v>
      </c>
    </row>
    <row r="3175" spans="1:14" x14ac:dyDescent="0.25">
      <c r="A3175" s="8">
        <v>986250</v>
      </c>
      <c r="B3175" s="22" t="str">
        <f>IFERROR(VLOOKUP(A3175,VLOOKUPS!$A$2:B$12589,2,FALSE),"")</f>
        <v>French Beans 1lb-standard</v>
      </c>
      <c r="E3175">
        <v>1.99</v>
      </c>
      <c r="F3175">
        <v>2.99</v>
      </c>
      <c r="G3175" s="13">
        <v>44594</v>
      </c>
      <c r="H3175" s="13"/>
      <c r="I3175" s="22" t="str">
        <f>VLOOKUP(J3175, Dropdowns!N:O, 2, FALSE)</f>
        <v>Standard</v>
      </c>
      <c r="J3175" t="s">
        <v>760</v>
      </c>
      <c r="L3175" s="17" t="s">
        <v>732</v>
      </c>
      <c r="M3175" s="17" t="s">
        <v>738</v>
      </c>
      <c r="N3175" s="17">
        <v>2</v>
      </c>
    </row>
    <row r="3176" spans="1:14" x14ac:dyDescent="0.25">
      <c r="A3176" s="8">
        <v>986250</v>
      </c>
      <c r="B3176" s="22" t="str">
        <f>IFERROR(VLOOKUP(A3176,VLOOKUPS!$A$2:B$12589,2,FALSE),"")</f>
        <v>French Beans 1lb-standard</v>
      </c>
      <c r="G3176" s="13">
        <v>44594</v>
      </c>
      <c r="H3176" s="13">
        <v>44595</v>
      </c>
      <c r="I3176" s="22" t="str">
        <f>VLOOKUP(J3176, Dropdowns!N:O, 2, FALSE)</f>
        <v>Lower Price</v>
      </c>
      <c r="J3176" t="s">
        <v>762</v>
      </c>
      <c r="L3176" s="17" t="s">
        <v>732</v>
      </c>
      <c r="M3176" s="17" t="s">
        <v>9</v>
      </c>
      <c r="N3176" s="17" t="s">
        <v>736</v>
      </c>
    </row>
    <row r="3177" spans="1:14" x14ac:dyDescent="0.25">
      <c r="A3177" s="8">
        <v>983101</v>
      </c>
      <c r="B3177" s="22" t="str">
        <f>IFERROR(VLOOKUP(A3177,VLOOKUPS!$A$2:B$12589,2,FALSE),"")</f>
        <v>Melons Cantaloupes 1ct-LOOSE</v>
      </c>
      <c r="E3177">
        <v>2.98</v>
      </c>
      <c r="F3177">
        <v>1.78</v>
      </c>
      <c r="G3177" s="13">
        <v>44594</v>
      </c>
      <c r="H3177" s="13">
        <v>44595</v>
      </c>
      <c r="I3177" s="22" t="str">
        <f>VLOOKUP(J3177, Dropdowns!N:O, 2, FALSE)</f>
        <v>Lower Price</v>
      </c>
      <c r="J3177" t="s">
        <v>759</v>
      </c>
      <c r="L3177" s="17" t="s">
        <v>732</v>
      </c>
      <c r="M3177" s="17" t="s">
        <v>9</v>
      </c>
      <c r="N3177" s="17" t="s">
        <v>736</v>
      </c>
    </row>
    <row r="3178" spans="1:14" x14ac:dyDescent="0.25">
      <c r="A3178" s="8">
        <v>983101</v>
      </c>
      <c r="B3178" s="22" t="str">
        <f>IFERROR(VLOOKUP(A3178,VLOOKUPS!$A$2:B$12589,2,FALSE),"")</f>
        <v>Melons Cantaloupes 1ct-LOOSE</v>
      </c>
      <c r="E3178">
        <v>1.78</v>
      </c>
      <c r="F3178">
        <v>2.98</v>
      </c>
      <c r="G3178" s="13">
        <v>44596</v>
      </c>
      <c r="H3178" s="13"/>
      <c r="I3178" s="22" t="str">
        <f>VLOOKUP(J3178, Dropdowns!N:O, 2, FALSE)</f>
        <v>Standard</v>
      </c>
      <c r="J3178" t="s">
        <v>760</v>
      </c>
      <c r="L3178" s="17" t="s">
        <v>732</v>
      </c>
      <c r="M3178" s="17" t="s">
        <v>9</v>
      </c>
      <c r="N3178" s="17" t="s">
        <v>736</v>
      </c>
    </row>
    <row r="3179" spans="1:14" x14ac:dyDescent="0.25">
      <c r="A3179" s="8">
        <v>982712</v>
      </c>
      <c r="B3179" s="22" t="str">
        <f>IFERROR(VLOOKUP(A3179,VLOOKUPS!$A$2:B$12589,2,FALSE),"")</f>
        <v>Organic Grapes Red 1lb-standard</v>
      </c>
      <c r="E3179">
        <v>3.99</v>
      </c>
      <c r="F3179">
        <v>4.29</v>
      </c>
      <c r="G3179" s="13">
        <v>44595</v>
      </c>
      <c r="H3179" s="13"/>
      <c r="I3179" s="22" t="str">
        <f>VLOOKUP(J3179, Dropdowns!N:O, 2, FALSE)</f>
        <v>Standard</v>
      </c>
      <c r="J3179" t="s">
        <v>761</v>
      </c>
      <c r="L3179" s="17" t="s">
        <v>732</v>
      </c>
      <c r="M3179" s="17" t="s">
        <v>735</v>
      </c>
      <c r="N3179" s="17" t="s">
        <v>736</v>
      </c>
    </row>
    <row r="3180" spans="1:14" x14ac:dyDescent="0.25">
      <c r="A3180" s="8">
        <v>982713</v>
      </c>
      <c r="B3180" s="22" t="str">
        <f>IFERROR(VLOOKUP(A3180,VLOOKUPS!$A$2:B$12589,2,FALSE),"")</f>
        <v>Organic Grapes Green 1lb-standard</v>
      </c>
      <c r="E3180">
        <v>3.99</v>
      </c>
      <c r="F3180">
        <v>4.29</v>
      </c>
      <c r="G3180" s="13">
        <v>44595</v>
      </c>
      <c r="H3180" s="13"/>
      <c r="I3180" s="22" t="str">
        <f>VLOOKUP(J3180, Dropdowns!N:O, 2, FALSE)</f>
        <v>Standard</v>
      </c>
      <c r="J3180" t="s">
        <v>761</v>
      </c>
      <c r="L3180" s="17" t="s">
        <v>732</v>
      </c>
      <c r="M3180" s="17" t="s">
        <v>735</v>
      </c>
      <c r="N3180" s="17" t="s">
        <v>736</v>
      </c>
    </row>
    <row r="3181" spans="1:14" x14ac:dyDescent="0.25">
      <c r="A3181" s="8">
        <v>985760</v>
      </c>
      <c r="B3181" s="22" t="str">
        <f>IFERROR(VLOOKUP(A3181,VLOOKUPS!$A$2:B$12589,2,FALSE),"")</f>
        <v>Asparagus 1lb-standard</v>
      </c>
      <c r="E3181">
        <v>2.99</v>
      </c>
      <c r="F3181">
        <v>2.29</v>
      </c>
      <c r="G3181" s="13">
        <v>44595</v>
      </c>
      <c r="H3181" s="13">
        <v>44596</v>
      </c>
      <c r="I3181" s="22" t="str">
        <f>VLOOKUP(J3181, Dropdowns!N:O, 2, FALSE)</f>
        <v>Lower Price</v>
      </c>
      <c r="J3181" t="s">
        <v>759</v>
      </c>
      <c r="L3181" s="17" t="s">
        <v>732</v>
      </c>
      <c r="M3181" s="17" t="s">
        <v>9</v>
      </c>
      <c r="N3181" s="17" t="s">
        <v>736</v>
      </c>
    </row>
    <row r="3182" spans="1:14" x14ac:dyDescent="0.25">
      <c r="A3182" s="8">
        <v>985760</v>
      </c>
      <c r="B3182" s="22" t="str">
        <f>IFERROR(VLOOKUP(A3182,VLOOKUPS!$A$2:B$12589,2,FALSE),"")</f>
        <v>Asparagus 1lb-standard</v>
      </c>
      <c r="E3182">
        <v>2.29</v>
      </c>
      <c r="F3182">
        <v>2.99</v>
      </c>
      <c r="G3182" s="13">
        <v>44597</v>
      </c>
      <c r="H3182" s="13"/>
      <c r="I3182" s="22" t="str">
        <f>VLOOKUP(J3182, Dropdowns!N:O, 2, FALSE)</f>
        <v>Standard</v>
      </c>
      <c r="J3182" t="s">
        <v>760</v>
      </c>
      <c r="L3182" s="17" t="s">
        <v>732</v>
      </c>
      <c r="M3182" s="17" t="s">
        <v>9</v>
      </c>
      <c r="N3182" s="17" t="s">
        <v>736</v>
      </c>
    </row>
    <row r="3183" spans="1:14" x14ac:dyDescent="0.25">
      <c r="A3183" s="8">
        <v>995158</v>
      </c>
      <c r="B3183" s="22" t="str">
        <f>IFERROR(VLOOKUP(A3183,VLOOKUPS!$A$2:B$12589,2,FALSE),"")</f>
        <v>Pico Guacamole 14oz-standard</v>
      </c>
      <c r="E3183">
        <v>4.49</v>
      </c>
      <c r="F3183">
        <v>2.99</v>
      </c>
      <c r="G3183" s="13">
        <v>44595</v>
      </c>
      <c r="H3183" s="13">
        <v>44597</v>
      </c>
      <c r="I3183" s="22" t="str">
        <f>VLOOKUP(J3183, Dropdowns!N:O, 2, FALSE)</f>
        <v>Lower Price</v>
      </c>
      <c r="J3183" t="s">
        <v>759</v>
      </c>
      <c r="L3183" s="17" t="s">
        <v>733</v>
      </c>
      <c r="M3183" s="17" t="s">
        <v>11</v>
      </c>
      <c r="N3183" s="17" t="s">
        <v>740</v>
      </c>
    </row>
    <row r="3184" spans="1:14" x14ac:dyDescent="0.25">
      <c r="A3184" s="8">
        <v>995158</v>
      </c>
      <c r="B3184" s="22" t="str">
        <f>IFERROR(VLOOKUP(A3184,VLOOKUPS!$A$2:B$12589,2,FALSE),"")</f>
        <v>Pico Guacamole 14oz-standard</v>
      </c>
      <c r="E3184">
        <v>2.99</v>
      </c>
      <c r="F3184">
        <v>4.49</v>
      </c>
      <c r="G3184" s="13">
        <v>44598</v>
      </c>
      <c r="H3184" s="13"/>
      <c r="I3184" s="22" t="str">
        <f>VLOOKUP(J3184, Dropdowns!N:O, 2, FALSE)</f>
        <v>Standard</v>
      </c>
      <c r="J3184" t="s">
        <v>760</v>
      </c>
      <c r="L3184" s="17" t="s">
        <v>733</v>
      </c>
      <c r="M3184" s="17" t="s">
        <v>11</v>
      </c>
      <c r="N3184" s="17" t="s">
        <v>740</v>
      </c>
    </row>
    <row r="3185" spans="1:17" x14ac:dyDescent="0.25">
      <c r="A3185" s="8">
        <v>984460</v>
      </c>
      <c r="B3185" s="22" t="str">
        <f>IFERROR(VLOOKUP(A3185,VLOOKUPS!$A$2:B$12589,2,FALSE),"")</f>
        <v>Strawberries 1lb-standard</v>
      </c>
      <c r="E3185">
        <v>1.49</v>
      </c>
      <c r="F3185">
        <v>2.96</v>
      </c>
      <c r="G3185" s="13">
        <v>44595</v>
      </c>
      <c r="H3185" s="13"/>
      <c r="I3185" s="22" t="str">
        <f>VLOOKUP(J3185, Dropdowns!N:O, 2, FALSE)</f>
        <v>Standard</v>
      </c>
      <c r="J3185" t="s">
        <v>760</v>
      </c>
      <c r="L3185" s="17" t="s">
        <v>732</v>
      </c>
      <c r="M3185" s="17" t="s">
        <v>9</v>
      </c>
      <c r="N3185" s="17" t="s">
        <v>736</v>
      </c>
    </row>
    <row r="3186" spans="1:17" x14ac:dyDescent="0.25">
      <c r="A3186" s="8">
        <v>983201</v>
      </c>
      <c r="B3186" s="22" t="str">
        <f>IFERROR(VLOOKUP(A3186,VLOOKUPS!$A$2:B$12589,2,FALSE),"")</f>
        <v>Melons* Honeydew 1ct-LOOSE</v>
      </c>
      <c r="E3186">
        <v>3.98</v>
      </c>
      <c r="F3186">
        <v>2.98</v>
      </c>
      <c r="G3186" s="13">
        <v>44595</v>
      </c>
      <c r="H3186" s="13">
        <v>44596</v>
      </c>
      <c r="I3186" s="22" t="str">
        <f>VLOOKUP(J3186, Dropdowns!N:O, 2, FALSE)</f>
        <v>Lower Price</v>
      </c>
      <c r="J3186" t="s">
        <v>759</v>
      </c>
      <c r="L3186" s="17" t="s">
        <v>732</v>
      </c>
      <c r="M3186" s="17" t="s">
        <v>735</v>
      </c>
      <c r="N3186" s="17" t="s">
        <v>736</v>
      </c>
    </row>
    <row r="3187" spans="1:17" x14ac:dyDescent="0.25">
      <c r="A3187" s="8">
        <v>983201</v>
      </c>
      <c r="B3187" s="22" t="str">
        <f>IFERROR(VLOOKUP(A3187,VLOOKUPS!$A$2:B$12589,2,FALSE),"")</f>
        <v>Melons* Honeydew 1ct-LOOSE</v>
      </c>
      <c r="E3187">
        <v>2.98</v>
      </c>
      <c r="F3187">
        <v>3.98</v>
      </c>
      <c r="G3187" s="13">
        <v>44597</v>
      </c>
      <c r="H3187" s="13"/>
      <c r="I3187" s="22" t="str">
        <f>VLOOKUP(J3187, Dropdowns!N:O, 2, FALSE)</f>
        <v>Standard</v>
      </c>
      <c r="J3187" t="s">
        <v>760</v>
      </c>
      <c r="L3187" s="17" t="s">
        <v>732</v>
      </c>
      <c r="M3187" s="17" t="s">
        <v>735</v>
      </c>
      <c r="N3187" s="17" t="s">
        <v>736</v>
      </c>
    </row>
    <row r="3188" spans="1:17" x14ac:dyDescent="0.25">
      <c r="A3188" s="8">
        <v>982740</v>
      </c>
      <c r="B3188" s="22" t="str">
        <f>IFERROR(VLOOKUP(A3188,VLOOKUPS!$A$2:B$12589,2,FALSE),"")</f>
        <v>Grapes* Red Seedless 1lb-LOOSE</v>
      </c>
      <c r="E3188">
        <v>1.88</v>
      </c>
      <c r="F3188">
        <v>1.77</v>
      </c>
      <c r="G3188" s="13">
        <v>44596</v>
      </c>
      <c r="H3188" s="13"/>
      <c r="I3188" s="22" t="str">
        <f>VLOOKUP(J3188, Dropdowns!N:O, 2, FALSE)</f>
        <v>Standard</v>
      </c>
      <c r="J3188" t="s">
        <v>761</v>
      </c>
      <c r="L3188" s="17" t="s">
        <v>732</v>
      </c>
      <c r="M3188" s="17" t="s">
        <v>736</v>
      </c>
      <c r="N3188" s="17" t="s">
        <v>736</v>
      </c>
    </row>
    <row r="3189" spans="1:17" x14ac:dyDescent="0.25">
      <c r="A3189" s="8">
        <v>982830</v>
      </c>
      <c r="B3189" s="22" t="str">
        <f>IFERROR(VLOOKUP(A3189,VLOOKUPS!$A$2:B$12589,2,FALSE),"")</f>
        <v>Grapes* Black Seedless 1lb-LOOSE</v>
      </c>
      <c r="E3189">
        <v>2.16</v>
      </c>
      <c r="F3189">
        <v>1.88</v>
      </c>
      <c r="G3189" s="13">
        <v>44596</v>
      </c>
      <c r="H3189" s="13"/>
      <c r="I3189" s="22" t="str">
        <f>VLOOKUP(J3189, Dropdowns!N:O, 2, FALSE)</f>
        <v>Standard</v>
      </c>
      <c r="J3189" t="s">
        <v>761</v>
      </c>
      <c r="L3189" s="17" t="s">
        <v>732</v>
      </c>
      <c r="M3189" s="17" t="s">
        <v>736</v>
      </c>
      <c r="N3189" s="17" t="s">
        <v>736</v>
      </c>
    </row>
    <row r="3190" spans="1:17" x14ac:dyDescent="0.25">
      <c r="A3190" s="8">
        <v>983104</v>
      </c>
      <c r="B3190" s="22" t="str">
        <f>IFERROR(VLOOKUP(A3190,VLOOKUPS!$A$2:B$12589,2,FALSE),"")</f>
        <v>Melons Dino 1ct.-LOOSE</v>
      </c>
      <c r="E3190">
        <v>3.98</v>
      </c>
      <c r="F3190">
        <v>2.98</v>
      </c>
      <c r="G3190" s="13">
        <v>44596</v>
      </c>
      <c r="H3190" s="13">
        <v>44596</v>
      </c>
      <c r="I3190" s="22" t="str">
        <f>VLOOKUP(J3190, Dropdowns!N:O, 2, FALSE)</f>
        <v>Lower Price</v>
      </c>
      <c r="J3190" t="s">
        <v>759</v>
      </c>
      <c r="L3190" s="17" t="s">
        <v>732</v>
      </c>
      <c r="M3190" s="17" t="s">
        <v>10</v>
      </c>
      <c r="N3190" s="17">
        <v>2</v>
      </c>
    </row>
    <row r="3191" spans="1:17" x14ac:dyDescent="0.25">
      <c r="A3191" s="8">
        <v>983104</v>
      </c>
      <c r="B3191" s="22" t="str">
        <f>IFERROR(VLOOKUP(A3191,VLOOKUPS!$A$2:B$12589,2,FALSE),"")</f>
        <v>Melons Dino 1ct.-LOOSE</v>
      </c>
      <c r="E3191">
        <v>2.98</v>
      </c>
      <c r="F3191">
        <v>3.98</v>
      </c>
      <c r="G3191" s="13">
        <v>44597</v>
      </c>
      <c r="H3191" s="13"/>
      <c r="I3191" s="22" t="str">
        <f>VLOOKUP(J3191, Dropdowns!N:O, 2, FALSE)</f>
        <v>Standard</v>
      </c>
      <c r="J3191" t="s">
        <v>760</v>
      </c>
      <c r="L3191" s="17" t="s">
        <v>732</v>
      </c>
      <c r="M3191" s="17" t="s">
        <v>10</v>
      </c>
      <c r="N3191" s="17">
        <v>2</v>
      </c>
    </row>
    <row r="3192" spans="1:17" x14ac:dyDescent="0.25">
      <c r="A3192" s="8">
        <v>984700</v>
      </c>
      <c r="B3192" s="22" t="str">
        <f>IFERROR(VLOOKUP(A3192,VLOOKUPS!$A$2:B$12589,2,FALSE),"")</f>
        <v>Blackberries 6oz-standard</v>
      </c>
      <c r="G3192" s="13">
        <v>44596</v>
      </c>
      <c r="H3192" s="13">
        <v>44596</v>
      </c>
      <c r="I3192" s="22" t="str">
        <f>VLOOKUP(J3192, Dropdowns!N:O, 2, FALSE)</f>
        <v>Lower Price</v>
      </c>
      <c r="J3192" t="s">
        <v>762</v>
      </c>
      <c r="L3192" s="17" t="s">
        <v>732</v>
      </c>
      <c r="M3192" s="17" t="s">
        <v>9</v>
      </c>
      <c r="N3192" s="17" t="s">
        <v>736</v>
      </c>
    </row>
    <row r="3193" spans="1:17" x14ac:dyDescent="0.25">
      <c r="A3193" s="8">
        <v>986250</v>
      </c>
      <c r="B3193" s="22" t="str">
        <f>IFERROR(VLOOKUP(A3193,VLOOKUPS!$A$2:B$12589,2,FALSE),"")</f>
        <v>French Beans 1lb-standard</v>
      </c>
      <c r="E3193">
        <v>1.99</v>
      </c>
      <c r="F3193">
        <v>2.99</v>
      </c>
      <c r="G3193" s="13">
        <v>44596</v>
      </c>
      <c r="H3193" s="13"/>
      <c r="I3193" s="22" t="str">
        <f>VLOOKUP(J3193, Dropdowns!N:O, 2, FALSE)</f>
        <v>Standard</v>
      </c>
      <c r="J3193" t="s">
        <v>760</v>
      </c>
      <c r="L3193" s="17" t="s">
        <v>732</v>
      </c>
      <c r="M3193" s="17" t="s">
        <v>9</v>
      </c>
      <c r="N3193" s="17" t="s">
        <v>736</v>
      </c>
    </row>
    <row r="3194" spans="1:17" x14ac:dyDescent="0.25">
      <c r="A3194" s="8">
        <v>983103</v>
      </c>
      <c r="B3194" s="22" t="str">
        <f>IFERROR(VLOOKUP(A3194,VLOOKUPS!$A$2:B$12589,2,FALSE),"")</f>
        <v>MelonsGolden Canary 1ct.-LOOSE</v>
      </c>
      <c r="E3194">
        <v>3.98</v>
      </c>
      <c r="F3194">
        <v>2.98</v>
      </c>
      <c r="G3194" s="13">
        <v>44596</v>
      </c>
      <c r="H3194" s="13">
        <v>44597</v>
      </c>
      <c r="I3194" s="22" t="str">
        <f>VLOOKUP(J3194, Dropdowns!N:O, 2, FALSE)</f>
        <v>Lower Price</v>
      </c>
      <c r="J3194" t="s">
        <v>759</v>
      </c>
      <c r="L3194" s="17" t="s">
        <v>732</v>
      </c>
      <c r="M3194" s="17" t="s">
        <v>9</v>
      </c>
      <c r="N3194" s="17" t="s">
        <v>736</v>
      </c>
    </row>
    <row r="3195" spans="1:17" x14ac:dyDescent="0.25">
      <c r="A3195" s="8">
        <v>983103</v>
      </c>
      <c r="B3195" s="22" t="str">
        <f>IFERROR(VLOOKUP(A3195,VLOOKUPS!$A$2:B$12589,2,FALSE),"")</f>
        <v>MelonsGolden Canary 1ct.-LOOSE</v>
      </c>
      <c r="E3195">
        <v>2.98</v>
      </c>
      <c r="F3195">
        <v>3.98</v>
      </c>
      <c r="G3195" s="13">
        <v>44598</v>
      </c>
      <c r="H3195" s="13"/>
      <c r="I3195" s="22" t="str">
        <f>VLOOKUP(J3195, Dropdowns!N:O, 2, FALSE)</f>
        <v>Standard</v>
      </c>
      <c r="J3195" t="s">
        <v>760</v>
      </c>
      <c r="L3195" s="17" t="s">
        <v>732</v>
      </c>
      <c r="M3195" s="17" t="s">
        <v>9</v>
      </c>
      <c r="N3195" s="17" t="s">
        <v>736</v>
      </c>
    </row>
    <row r="3196" spans="1:17" x14ac:dyDescent="0.25">
      <c r="A3196" s="8">
        <v>995084</v>
      </c>
      <c r="B3196" s="22" t="str">
        <f>IFERROR(VLOOKUP(A3196,VLOOKUPS!$A$2:B$12589,2,FALSE),"")</f>
        <v>Eat Smart Green Beans 12oz-standard</v>
      </c>
      <c r="E3196">
        <v>1.78</v>
      </c>
      <c r="F3196">
        <v>2.78</v>
      </c>
      <c r="G3196" s="13">
        <v>44597</v>
      </c>
      <c r="H3196" s="13"/>
      <c r="I3196" s="22" t="str">
        <f>VLOOKUP(J3196, Dropdowns!N:O, 2, FALSE)</f>
        <v>Standard</v>
      </c>
      <c r="J3196" t="s">
        <v>760</v>
      </c>
      <c r="L3196" s="17" t="s">
        <v>734</v>
      </c>
      <c r="M3196" s="17" t="s">
        <v>9</v>
      </c>
      <c r="N3196" s="17" t="s">
        <v>736</v>
      </c>
    </row>
    <row r="3197" spans="1:17" x14ac:dyDescent="0.25">
      <c r="A3197" s="8">
        <v>995008</v>
      </c>
      <c r="B3197" s="22" t="str">
        <f>IFERROR(VLOOKUP(A3197,VLOOKUPS!$A$2:B$12589,2,FALSE),"")</f>
        <v>Shredded Lettuce 8oz-standard</v>
      </c>
      <c r="E3197">
        <v>0.79</v>
      </c>
      <c r="F3197">
        <v>1.29</v>
      </c>
      <c r="G3197" s="13">
        <v>44597</v>
      </c>
      <c r="H3197" s="13"/>
      <c r="I3197" s="22" t="str">
        <f>VLOOKUP(J3197, Dropdowns!N:O, 2, FALSE)</f>
        <v>Standard</v>
      </c>
      <c r="J3197" t="s">
        <v>760</v>
      </c>
      <c r="L3197" s="17" t="s">
        <v>734</v>
      </c>
      <c r="M3197" s="17" t="s">
        <v>9</v>
      </c>
      <c r="N3197" s="17" t="s">
        <v>736</v>
      </c>
    </row>
    <row r="3198" spans="1:17" x14ac:dyDescent="0.25">
      <c r="A3198" s="8">
        <v>984462</v>
      </c>
      <c r="B3198" s="22" t="str">
        <f>IFERROR(VLOOKUP(A3198,VLOOKUPS!$A$2:B$12589,2,FALSE),"")</f>
        <v>Strawberries Long Stem 1lb-standard</v>
      </c>
      <c r="D3198">
        <v>4</v>
      </c>
      <c r="F3198">
        <v>6.99</v>
      </c>
      <c r="G3198" s="13">
        <v>44597</v>
      </c>
      <c r="H3198" s="13"/>
      <c r="I3198" s="22" t="str">
        <f>VLOOKUP(J3198, Dropdowns!N:O, 2, FALSE)</f>
        <v>New</v>
      </c>
      <c r="J3198" t="s">
        <v>776</v>
      </c>
      <c r="L3198" s="17" t="s">
        <v>732</v>
      </c>
      <c r="M3198" s="17" t="s">
        <v>738</v>
      </c>
      <c r="N3198" s="17">
        <v>2</v>
      </c>
      <c r="O3198" s="17" t="s">
        <v>748</v>
      </c>
      <c r="P3198">
        <v>1</v>
      </c>
      <c r="Q3198" s="17"/>
    </row>
    <row r="3199" spans="1:17" x14ac:dyDescent="0.25">
      <c r="A3199" s="8">
        <v>984620</v>
      </c>
      <c r="B3199" s="22" t="str">
        <f>IFERROR(VLOOKUP(A3199,VLOOKUPS!$A$2:B$12589,2,FALSE),"")</f>
        <v>Raspberries 6oz-standard</v>
      </c>
      <c r="E3199">
        <v>2.68</v>
      </c>
      <c r="F3199">
        <v>1.68</v>
      </c>
      <c r="G3199" s="13">
        <v>44597</v>
      </c>
      <c r="H3199" s="13">
        <v>44598</v>
      </c>
      <c r="I3199" s="22" t="str">
        <f>VLOOKUP(J3199, Dropdowns!N:O, 2, FALSE)</f>
        <v>Lower Price</v>
      </c>
      <c r="J3199" t="s">
        <v>759</v>
      </c>
      <c r="L3199" s="17" t="s">
        <v>732</v>
      </c>
      <c r="M3199" s="17" t="s">
        <v>9</v>
      </c>
      <c r="N3199" s="17" t="s">
        <v>736</v>
      </c>
    </row>
    <row r="3200" spans="1:17" x14ac:dyDescent="0.25">
      <c r="A3200" s="8">
        <v>984620</v>
      </c>
      <c r="B3200" s="22" t="str">
        <f>IFERROR(VLOOKUP(A3200,VLOOKUPS!$A$2:B$12589,2,FALSE),"")</f>
        <v>Raspberries 6oz-standard</v>
      </c>
      <c r="E3200">
        <v>1.68</v>
      </c>
      <c r="F3200">
        <v>2.68</v>
      </c>
      <c r="G3200" s="13">
        <v>44599</v>
      </c>
      <c r="H3200" s="13"/>
      <c r="I3200" s="22" t="str">
        <f>VLOOKUP(J3200, Dropdowns!N:O, 2, FALSE)</f>
        <v>Standard</v>
      </c>
      <c r="J3200" t="s">
        <v>760</v>
      </c>
      <c r="L3200" s="17" t="s">
        <v>732</v>
      </c>
      <c r="M3200" s="17" t="s">
        <v>9</v>
      </c>
      <c r="N3200" s="17" t="s">
        <v>736</v>
      </c>
    </row>
    <row r="3201" spans="1:14" x14ac:dyDescent="0.25">
      <c r="A3201" s="8">
        <v>984620</v>
      </c>
      <c r="B3201" s="22" t="str">
        <f>IFERROR(VLOOKUP(A3201,VLOOKUPS!$A$2:B$12589,2,FALSE),"")</f>
        <v>Raspberries 6oz-standard</v>
      </c>
      <c r="E3201">
        <v>2.68</v>
      </c>
      <c r="F3201">
        <v>3.2</v>
      </c>
      <c r="G3201" s="13">
        <v>44600</v>
      </c>
      <c r="H3201" s="13"/>
      <c r="I3201" s="22" t="str">
        <f>VLOOKUP(J3201, Dropdowns!N:O, 2, FALSE)</f>
        <v>Standard</v>
      </c>
      <c r="J3201" t="s">
        <v>761</v>
      </c>
      <c r="L3201" s="17" t="s">
        <v>732</v>
      </c>
      <c r="M3201" s="17" t="s">
        <v>736</v>
      </c>
      <c r="N3201" s="17" t="s">
        <v>736</v>
      </c>
    </row>
    <row r="3202" spans="1:14" x14ac:dyDescent="0.25">
      <c r="A3202" s="8">
        <v>984621</v>
      </c>
      <c r="B3202" s="22" t="str">
        <f>IFERROR(VLOOKUP(A3202,VLOOKUPS!$A$2:B$12589,2,FALSE),"")</f>
        <v>Raspberries 12oz-standard</v>
      </c>
      <c r="E3202">
        <v>4.88</v>
      </c>
      <c r="F3202">
        <v>5.88</v>
      </c>
      <c r="G3202" s="13">
        <v>44600</v>
      </c>
      <c r="H3202" s="13"/>
      <c r="I3202" s="22" t="str">
        <f>VLOOKUP(J3202, Dropdowns!N:O, 2, FALSE)</f>
        <v>Standard</v>
      </c>
      <c r="J3202" t="s">
        <v>761</v>
      </c>
      <c r="L3202" s="17" t="s">
        <v>732</v>
      </c>
      <c r="M3202" s="17" t="s">
        <v>736</v>
      </c>
      <c r="N3202" s="17" t="s">
        <v>736</v>
      </c>
    </row>
    <row r="3203" spans="1:14" x14ac:dyDescent="0.25">
      <c r="A3203" s="8">
        <v>984700</v>
      </c>
      <c r="B3203" s="22" t="str">
        <f>IFERROR(VLOOKUP(A3203,VLOOKUPS!$A$2:B$12589,2,FALSE),"")</f>
        <v>Blackberries 6oz-standard</v>
      </c>
      <c r="E3203">
        <v>1.39</v>
      </c>
      <c r="F3203">
        <v>2.2799999999999998</v>
      </c>
      <c r="G3203" s="13">
        <v>44597</v>
      </c>
      <c r="H3203" s="13"/>
      <c r="I3203" s="22" t="str">
        <f>VLOOKUP(J3203, Dropdowns!N:O, 2, FALSE)</f>
        <v>Standard</v>
      </c>
      <c r="J3203" t="s">
        <v>760</v>
      </c>
      <c r="L3203" s="17" t="s">
        <v>732</v>
      </c>
      <c r="M3203" s="17" t="s">
        <v>9</v>
      </c>
      <c r="N3203" s="17" t="s">
        <v>736</v>
      </c>
    </row>
    <row r="3204" spans="1:14" x14ac:dyDescent="0.25">
      <c r="A3204" s="8">
        <v>984700</v>
      </c>
      <c r="B3204" s="22" t="str">
        <f>IFERROR(VLOOKUP(A3204,VLOOKUPS!$A$2:B$12589,2,FALSE),"")</f>
        <v>Blackberries 6oz-standard</v>
      </c>
      <c r="E3204">
        <v>2.2799999999999998</v>
      </c>
      <c r="F3204">
        <v>1.99</v>
      </c>
      <c r="G3204" s="13">
        <v>44600</v>
      </c>
      <c r="H3204" s="13"/>
      <c r="I3204" s="22" t="str">
        <f>VLOOKUP(J3204, Dropdowns!N:O, 2, FALSE)</f>
        <v>Standard</v>
      </c>
      <c r="J3204" t="s">
        <v>761</v>
      </c>
      <c r="L3204" s="17" t="s">
        <v>732</v>
      </c>
      <c r="M3204" s="17" t="s">
        <v>736</v>
      </c>
      <c r="N3204" s="17" t="s">
        <v>736</v>
      </c>
    </row>
    <row r="3205" spans="1:14" x14ac:dyDescent="0.25">
      <c r="A3205" s="8">
        <v>984702</v>
      </c>
      <c r="B3205" s="22" t="str">
        <f>IFERROR(VLOOKUP(A3205,VLOOKUPS!$A$2:B$12589,2,FALSE),"")</f>
        <v>Blackberries 12oz-standard</v>
      </c>
      <c r="E3205">
        <v>4.24</v>
      </c>
      <c r="F3205">
        <v>3.72</v>
      </c>
      <c r="G3205" s="13">
        <v>44600</v>
      </c>
      <c r="H3205" s="13"/>
      <c r="I3205" s="22" t="str">
        <f>VLOOKUP(J3205, Dropdowns!N:O, 2, FALSE)</f>
        <v>Standard</v>
      </c>
      <c r="J3205" t="s">
        <v>761</v>
      </c>
      <c r="L3205" s="17" t="s">
        <v>732</v>
      </c>
      <c r="M3205" s="17" t="s">
        <v>736</v>
      </c>
      <c r="N3205" s="17" t="s">
        <v>736</v>
      </c>
    </row>
    <row r="3206" spans="1:14" x14ac:dyDescent="0.25">
      <c r="A3206" s="8">
        <v>985160</v>
      </c>
      <c r="B3206" s="22" t="str">
        <f>IFERROR(VLOOKUP(A3206,VLOOKUPS!$A$2:B$12589,2,FALSE),"")</f>
        <v>Romaine Hearts 3ct-standard</v>
      </c>
      <c r="E3206">
        <v>2.39</v>
      </c>
      <c r="F3206">
        <v>2.64</v>
      </c>
      <c r="G3206" s="13">
        <v>44600</v>
      </c>
      <c r="H3206" s="13"/>
      <c r="I3206" s="22" t="str">
        <f>VLOOKUP(J3206, Dropdowns!N:O, 2, FALSE)</f>
        <v>Standard</v>
      </c>
      <c r="J3206" t="s">
        <v>761</v>
      </c>
      <c r="L3206" s="17" t="s">
        <v>732</v>
      </c>
      <c r="M3206" s="17" t="s">
        <v>736</v>
      </c>
      <c r="N3206" s="17" t="s">
        <v>736</v>
      </c>
    </row>
    <row r="3207" spans="1:14" x14ac:dyDescent="0.25">
      <c r="A3207" s="8">
        <v>985190</v>
      </c>
      <c r="B3207" s="22" t="str">
        <f>IFERROR(VLOOKUP(A3207,VLOOKUPS!$A$2:B$12589,2,FALSE),"")</f>
        <v>Organic Romaine Hearts 3ct-standard</v>
      </c>
      <c r="E3207">
        <v>3.19</v>
      </c>
      <c r="F3207">
        <v>3.12</v>
      </c>
      <c r="G3207" s="13">
        <v>44600</v>
      </c>
      <c r="H3207" s="13"/>
      <c r="I3207" s="22" t="str">
        <f>VLOOKUP(J3207, Dropdowns!N:O, 2, FALSE)</f>
        <v>Standard</v>
      </c>
      <c r="J3207" t="s">
        <v>761</v>
      </c>
      <c r="L3207" s="17" t="s">
        <v>732</v>
      </c>
      <c r="M3207" s="17" t="s">
        <v>736</v>
      </c>
      <c r="N3207" s="17" t="s">
        <v>736</v>
      </c>
    </row>
    <row r="3208" spans="1:14" x14ac:dyDescent="0.25">
      <c r="A3208" s="8">
        <v>987560</v>
      </c>
      <c r="B3208" s="22" t="str">
        <f>IFERROR(VLOOKUP(A3208,VLOOKUPS!$A$2:B$12589,2,FALSE),"")</f>
        <v>Celery 1ct-standard</v>
      </c>
      <c r="E3208">
        <v>1.38</v>
      </c>
      <c r="F3208">
        <v>0.78</v>
      </c>
      <c r="G3208" s="13">
        <v>44597</v>
      </c>
      <c r="H3208" s="13">
        <v>44598</v>
      </c>
      <c r="I3208" s="22" t="str">
        <f>VLOOKUP(J3208, Dropdowns!N:O, 2, FALSE)</f>
        <v>Lower Price</v>
      </c>
      <c r="J3208" t="s">
        <v>759</v>
      </c>
      <c r="L3208" s="17" t="s">
        <v>732</v>
      </c>
      <c r="M3208" s="17" t="s">
        <v>736</v>
      </c>
      <c r="N3208" s="17" t="s">
        <v>736</v>
      </c>
    </row>
    <row r="3209" spans="1:14" x14ac:dyDescent="0.25">
      <c r="A3209" s="8">
        <v>987560</v>
      </c>
      <c r="B3209" s="22" t="str">
        <f>IFERROR(VLOOKUP(A3209,VLOOKUPS!$A$2:B$12589,2,FALSE),"")</f>
        <v>Celery 1ct-standard</v>
      </c>
      <c r="E3209">
        <v>0.78</v>
      </c>
      <c r="F3209">
        <v>1.38</v>
      </c>
      <c r="G3209" s="13">
        <v>44599</v>
      </c>
      <c r="H3209" s="13"/>
      <c r="I3209" s="22" t="str">
        <f>VLOOKUP(J3209, Dropdowns!N:O, 2, FALSE)</f>
        <v>Standard</v>
      </c>
      <c r="J3209" t="s">
        <v>760</v>
      </c>
      <c r="L3209" s="17" t="s">
        <v>732</v>
      </c>
      <c r="M3209" s="17" t="s">
        <v>736</v>
      </c>
      <c r="N3209" s="17" t="s">
        <v>736</v>
      </c>
    </row>
    <row r="3210" spans="1:14" x14ac:dyDescent="0.25">
      <c r="A3210" s="8">
        <v>995004</v>
      </c>
      <c r="B3210" s="22" t="str">
        <f>IFERROR(VLOOKUP(A3210,VLOOKUPS!$A$2:B$12589,2,FALSE),"")</f>
        <v>Chicken Caesar Salad 6.25oz-standard</v>
      </c>
      <c r="E3210">
        <v>2.98</v>
      </c>
      <c r="F3210">
        <v>3.12</v>
      </c>
      <c r="G3210" s="13">
        <v>44600</v>
      </c>
      <c r="H3210" s="13"/>
      <c r="I3210" s="22" t="str">
        <f>VLOOKUP(J3210, Dropdowns!N:O, 2, FALSE)</f>
        <v>Standard</v>
      </c>
      <c r="J3210" t="s">
        <v>761</v>
      </c>
      <c r="L3210" s="17" t="s">
        <v>732</v>
      </c>
      <c r="M3210" s="17" t="s">
        <v>736</v>
      </c>
      <c r="N3210" s="17" t="s">
        <v>736</v>
      </c>
    </row>
    <row r="3211" spans="1:14" x14ac:dyDescent="0.25">
      <c r="A3211" s="8">
        <v>995011</v>
      </c>
      <c r="B3211" s="22" t="str">
        <f>IFERROR(VLOOKUP(A3211,VLOOKUPS!$A$2:B$12589,2,FALSE),"")</f>
        <v>RTE Santa Fe Salad 6.25oz-standard</v>
      </c>
      <c r="E3211">
        <v>2.98</v>
      </c>
      <c r="F3211">
        <v>3.12</v>
      </c>
      <c r="G3211" s="13">
        <v>44600</v>
      </c>
      <c r="H3211" s="13"/>
      <c r="I3211" s="22" t="str">
        <f>VLOOKUP(J3211, Dropdowns!N:O, 2, FALSE)</f>
        <v>Standard</v>
      </c>
      <c r="J3211" t="s">
        <v>761</v>
      </c>
      <c r="L3211" s="17" t="s">
        <v>732</v>
      </c>
      <c r="M3211" s="17" t="s">
        <v>736</v>
      </c>
      <c r="N3211" s="17" t="s">
        <v>736</v>
      </c>
    </row>
    <row r="3212" spans="1:14" x14ac:dyDescent="0.25">
      <c r="A3212" s="8">
        <v>995012</v>
      </c>
      <c r="B3212" s="22" t="str">
        <f>IFERROR(VLOOKUP(A3212,VLOOKUPS!$A$2:B$12589,2,FALSE),"")</f>
        <v>RTE Cranberry Walnut Salad 4.5oz-standard</v>
      </c>
      <c r="E3212">
        <v>2.98</v>
      </c>
      <c r="F3212">
        <v>3.12</v>
      </c>
      <c r="G3212" s="13">
        <v>44600</v>
      </c>
      <c r="H3212" s="13"/>
      <c r="I3212" s="22" t="str">
        <f>VLOOKUP(J3212, Dropdowns!N:O, 2, FALSE)</f>
        <v>Standard</v>
      </c>
      <c r="J3212" t="s">
        <v>761</v>
      </c>
      <c r="L3212" s="17" t="s">
        <v>732</v>
      </c>
      <c r="M3212" s="17" t="s">
        <v>736</v>
      </c>
      <c r="N3212" s="17" t="s">
        <v>736</v>
      </c>
    </row>
    <row r="3213" spans="1:14" x14ac:dyDescent="0.25">
      <c r="A3213" s="8">
        <v>995014</v>
      </c>
      <c r="B3213" s="22" t="str">
        <f>IFERROR(VLOOKUP(A3213,VLOOKUPS!$A$2:B$12589,2,FALSE),"")</f>
        <v>RTE Café Style Chef Salad 7.65oz-standard</v>
      </c>
      <c r="E3213">
        <v>2.98</v>
      </c>
      <c r="F3213">
        <v>3.12</v>
      </c>
      <c r="G3213" s="13">
        <v>44600</v>
      </c>
      <c r="H3213" s="13"/>
      <c r="I3213" s="22" t="str">
        <f>VLOOKUP(J3213, Dropdowns!N:O, 2, FALSE)</f>
        <v>Standard</v>
      </c>
      <c r="J3213" t="s">
        <v>761</v>
      </c>
      <c r="L3213" s="17" t="s">
        <v>732</v>
      </c>
      <c r="M3213" s="17" t="s">
        <v>736</v>
      </c>
      <c r="N3213" s="17" t="s">
        <v>736</v>
      </c>
    </row>
    <row r="3214" spans="1:14" x14ac:dyDescent="0.25">
      <c r="A3214" s="8">
        <v>995015</v>
      </c>
      <c r="B3214" s="22" t="str">
        <f>IFERROR(VLOOKUP(A3214,VLOOKUPS!$A$2:B$12589,2,FALSE),"")</f>
        <v>Savory Spinach Dijon Salad 4.9oz-standard</v>
      </c>
      <c r="E3214">
        <v>2.98</v>
      </c>
      <c r="F3214">
        <v>3.12</v>
      </c>
      <c r="G3214" s="13">
        <v>44600</v>
      </c>
      <c r="H3214" s="13"/>
      <c r="I3214" s="22" t="str">
        <f>VLOOKUP(J3214, Dropdowns!N:O, 2, FALSE)</f>
        <v>Standard</v>
      </c>
      <c r="J3214" t="s">
        <v>761</v>
      </c>
      <c r="L3214" s="17" t="s">
        <v>732</v>
      </c>
      <c r="M3214" s="17" t="s">
        <v>736</v>
      </c>
      <c r="N3214" s="17" t="s">
        <v>736</v>
      </c>
    </row>
    <row r="3215" spans="1:14" x14ac:dyDescent="0.25">
      <c r="A3215" s="8">
        <v>995019</v>
      </c>
      <c r="B3215" s="22" t="str">
        <f>IFERROR(VLOOKUP(A3215,VLOOKUPS!$A$2:B$12589,2,FALSE),"")</f>
        <v>RTE Large Santa Fe Salad 14oz-standard</v>
      </c>
      <c r="E3215">
        <v>4.99</v>
      </c>
      <c r="F3215">
        <v>5.34</v>
      </c>
      <c r="G3215" s="13">
        <v>44600</v>
      </c>
      <c r="H3215" s="13"/>
      <c r="I3215" s="22" t="str">
        <f>VLOOKUP(J3215, Dropdowns!N:O, 2, FALSE)</f>
        <v>Standard</v>
      </c>
      <c r="J3215" t="s">
        <v>761</v>
      </c>
      <c r="L3215" s="17" t="s">
        <v>732</v>
      </c>
      <c r="M3215" s="17" t="s">
        <v>736</v>
      </c>
      <c r="N3215" s="17" t="s">
        <v>736</v>
      </c>
    </row>
    <row r="3216" spans="1:14" x14ac:dyDescent="0.25">
      <c r="A3216" s="8">
        <v>995042</v>
      </c>
      <c r="B3216" s="22" t="str">
        <f>IFERROR(VLOOKUP(A3216,VLOOKUPS!$A$2:B$12589,2,FALSE),"")</f>
        <v>Mango Chunks 16oz-standard</v>
      </c>
      <c r="E3216">
        <v>4.29</v>
      </c>
      <c r="F3216">
        <v>3.49</v>
      </c>
      <c r="G3216" s="13">
        <v>44597</v>
      </c>
      <c r="H3216" s="13">
        <v>44598</v>
      </c>
      <c r="I3216" s="22" t="str">
        <f>VLOOKUP(J3216, Dropdowns!N:O, 2, FALSE)</f>
        <v>Lower Price</v>
      </c>
      <c r="J3216" t="s">
        <v>759</v>
      </c>
      <c r="L3216" s="17" t="s">
        <v>733</v>
      </c>
      <c r="M3216" s="17" t="s">
        <v>11</v>
      </c>
      <c r="N3216" s="17" t="s">
        <v>740</v>
      </c>
    </row>
    <row r="3217" spans="1:14" x14ac:dyDescent="0.25">
      <c r="A3217" s="8">
        <v>995042</v>
      </c>
      <c r="B3217" s="22" t="str">
        <f>IFERROR(VLOOKUP(A3217,VLOOKUPS!$A$2:B$12589,2,FALSE),"")</f>
        <v>Mango Chunks 16oz-standard</v>
      </c>
      <c r="E3217">
        <v>3.49</v>
      </c>
      <c r="F3217">
        <v>4.29</v>
      </c>
      <c r="G3217" s="13">
        <v>44599</v>
      </c>
      <c r="H3217" s="13"/>
      <c r="I3217" s="22" t="str">
        <f>VLOOKUP(J3217, Dropdowns!N:O, 2, FALSE)</f>
        <v>Standard</v>
      </c>
      <c r="J3217" t="s">
        <v>760</v>
      </c>
      <c r="L3217" s="17" t="s">
        <v>733</v>
      </c>
      <c r="M3217" s="17" t="s">
        <v>11</v>
      </c>
      <c r="N3217" s="17" t="s">
        <v>740</v>
      </c>
    </row>
    <row r="3218" spans="1:14" x14ac:dyDescent="0.25">
      <c r="A3218" s="8">
        <v>995071</v>
      </c>
      <c r="B3218" s="22" t="str">
        <f>IFERROR(VLOOKUP(A3218,VLOOKUPS!$A$2:B$12589,2,FALSE),"")</f>
        <v>Broccoli Florets 12oz-standard</v>
      </c>
      <c r="E3218">
        <v>2.69</v>
      </c>
      <c r="F3218">
        <v>2.78</v>
      </c>
      <c r="G3218" s="13">
        <v>44600</v>
      </c>
      <c r="H3218" s="13"/>
      <c r="I3218" s="22" t="str">
        <f>VLOOKUP(J3218, Dropdowns!N:O, 2, FALSE)</f>
        <v>Standard</v>
      </c>
      <c r="J3218" t="s">
        <v>761</v>
      </c>
      <c r="L3218" s="17" t="s">
        <v>733</v>
      </c>
      <c r="M3218" s="17" t="s">
        <v>736</v>
      </c>
      <c r="N3218" s="17" t="s">
        <v>740</v>
      </c>
    </row>
    <row r="3219" spans="1:14" x14ac:dyDescent="0.25">
      <c r="A3219" s="8">
        <v>995071</v>
      </c>
      <c r="B3219" s="22" t="str">
        <f>IFERROR(VLOOKUP(A3219,VLOOKUPS!$A$2:B$12589,2,FALSE),"")</f>
        <v>Broccoli Florets 12oz-standard</v>
      </c>
      <c r="E3219">
        <v>2.79</v>
      </c>
      <c r="F3219">
        <v>2.78</v>
      </c>
      <c r="G3219" s="13">
        <v>44600</v>
      </c>
      <c r="H3219" s="13"/>
      <c r="I3219" s="22" t="str">
        <f>VLOOKUP(J3219, Dropdowns!N:O, 2, FALSE)</f>
        <v>Standard</v>
      </c>
      <c r="J3219" t="s">
        <v>761</v>
      </c>
      <c r="L3219" s="17" t="s">
        <v>734</v>
      </c>
      <c r="M3219" s="17" t="s">
        <v>735</v>
      </c>
      <c r="N3219" s="17" t="s">
        <v>736</v>
      </c>
    </row>
    <row r="3220" spans="1:14" x14ac:dyDescent="0.25">
      <c r="A3220" s="8">
        <v>995086</v>
      </c>
      <c r="B3220" s="22" t="str">
        <f>IFERROR(VLOOKUP(A3220,VLOOKUPS!$A$2:B$12589,2,FALSE),"")</f>
        <v>Eat Smart Broccoli Florets 2lbs-standard</v>
      </c>
      <c r="E3220">
        <v>5.98</v>
      </c>
      <c r="F3220">
        <v>4.4800000000000004</v>
      </c>
      <c r="G3220" s="13">
        <v>44597</v>
      </c>
      <c r="H3220" s="13">
        <v>44598</v>
      </c>
      <c r="I3220" s="22" t="str">
        <f>VLOOKUP(J3220, Dropdowns!N:O, 2, FALSE)</f>
        <v>Lower Price</v>
      </c>
      <c r="J3220" t="s">
        <v>759</v>
      </c>
      <c r="L3220" s="17" t="s">
        <v>732</v>
      </c>
      <c r="M3220" s="17" t="s">
        <v>9</v>
      </c>
      <c r="N3220" s="17" t="s">
        <v>736</v>
      </c>
    </row>
    <row r="3221" spans="1:14" x14ac:dyDescent="0.25">
      <c r="A3221" s="8">
        <v>995086</v>
      </c>
      <c r="B3221" s="22" t="str">
        <f>IFERROR(VLOOKUP(A3221,VLOOKUPS!$A$2:B$12589,2,FALSE),"")</f>
        <v>Eat Smart Broccoli Florets 2lbs-standard</v>
      </c>
      <c r="E3221">
        <v>4.4800000000000004</v>
      </c>
      <c r="F3221">
        <v>5.98</v>
      </c>
      <c r="G3221" s="13">
        <v>44599</v>
      </c>
      <c r="H3221" s="13"/>
      <c r="I3221" s="22" t="str">
        <f>VLOOKUP(J3221, Dropdowns!N:O, 2, FALSE)</f>
        <v>Standard</v>
      </c>
      <c r="J3221" t="s">
        <v>760</v>
      </c>
      <c r="L3221" s="17" t="s">
        <v>732</v>
      </c>
      <c r="M3221" s="17" t="s">
        <v>9</v>
      </c>
      <c r="N3221" s="17" t="s">
        <v>736</v>
      </c>
    </row>
    <row r="3222" spans="1:14" x14ac:dyDescent="0.25">
      <c r="A3222" s="8">
        <v>995097</v>
      </c>
      <c r="B3222" s="22" t="str">
        <f>IFERROR(VLOOKUP(A3222,VLOOKUPS!$A$2:B$12589,2,FALSE),"")</f>
        <v>Butternut Diced 12oz-standard</v>
      </c>
      <c r="E3222">
        <v>2.4900000000000002</v>
      </c>
      <c r="F3222">
        <v>2.25</v>
      </c>
      <c r="G3222" s="13">
        <v>44600</v>
      </c>
      <c r="H3222" s="13"/>
      <c r="I3222" s="22" t="str">
        <f>VLOOKUP(J3222, Dropdowns!N:O, 2, FALSE)</f>
        <v>Standard</v>
      </c>
      <c r="J3222" t="s">
        <v>761</v>
      </c>
      <c r="L3222" s="17" t="s">
        <v>732</v>
      </c>
      <c r="M3222" s="17" t="s">
        <v>736</v>
      </c>
      <c r="N3222" s="17" t="s">
        <v>736</v>
      </c>
    </row>
    <row r="3223" spans="1:14" x14ac:dyDescent="0.25">
      <c r="A3223" s="8">
        <v>995137</v>
      </c>
      <c r="B3223" s="22" t="str">
        <f>IFERROR(VLOOKUP(A3223,VLOOKUPS!$A$2:B$12589,2,FALSE),"")</f>
        <v>Half and Half 11oz-standard</v>
      </c>
      <c r="E3223">
        <v>3.28</v>
      </c>
      <c r="F3223">
        <v>2.2799999999999998</v>
      </c>
      <c r="G3223" s="13">
        <v>44597</v>
      </c>
      <c r="H3223" s="13">
        <v>44598</v>
      </c>
      <c r="I3223" s="22" t="str">
        <f>VLOOKUP(J3223, Dropdowns!N:O, 2, FALSE)</f>
        <v>Lower Price</v>
      </c>
      <c r="J3223" t="s">
        <v>759</v>
      </c>
      <c r="L3223" s="17" t="s">
        <v>733</v>
      </c>
      <c r="M3223" s="17" t="s">
        <v>11</v>
      </c>
      <c r="N3223" s="17" t="s">
        <v>740</v>
      </c>
    </row>
    <row r="3224" spans="1:14" x14ac:dyDescent="0.25">
      <c r="A3224" s="8">
        <v>995137</v>
      </c>
      <c r="B3224" s="22" t="str">
        <f>IFERROR(VLOOKUP(A3224,VLOOKUPS!$A$2:B$12589,2,FALSE),"")</f>
        <v>Half and Half 11oz-standard</v>
      </c>
      <c r="E3224">
        <v>2.2799999999999998</v>
      </c>
      <c r="F3224">
        <v>3.28</v>
      </c>
      <c r="G3224" s="13">
        <v>44599</v>
      </c>
      <c r="H3224" s="13"/>
      <c r="I3224" s="22" t="str">
        <f>VLOOKUP(J3224, Dropdowns!N:O, 2, FALSE)</f>
        <v>Standard</v>
      </c>
      <c r="J3224" t="s">
        <v>760</v>
      </c>
      <c r="L3224" s="17" t="s">
        <v>733</v>
      </c>
      <c r="M3224" s="17" t="s">
        <v>11</v>
      </c>
      <c r="N3224" s="17" t="s">
        <v>740</v>
      </c>
    </row>
    <row r="3225" spans="1:14" x14ac:dyDescent="0.25">
      <c r="A3225" s="8">
        <v>995144</v>
      </c>
      <c r="B3225" s="22" t="str">
        <f>IFERROR(VLOOKUP(A3225,VLOOKUPS!$A$2:B$12589,2,FALSE),"")</f>
        <v>Asparagus Spears 10oz-standard</v>
      </c>
      <c r="E3225">
        <v>3.98</v>
      </c>
      <c r="F3225">
        <v>2.48</v>
      </c>
      <c r="G3225" s="13">
        <v>44597</v>
      </c>
      <c r="H3225" s="13">
        <v>44598</v>
      </c>
      <c r="I3225" s="22" t="str">
        <f>VLOOKUP(J3225, Dropdowns!N:O, 2, FALSE)</f>
        <v>Lower Price</v>
      </c>
      <c r="J3225" t="s">
        <v>759</v>
      </c>
      <c r="L3225" s="17" t="s">
        <v>732</v>
      </c>
      <c r="M3225" s="17" t="s">
        <v>735</v>
      </c>
      <c r="N3225" s="17" t="s">
        <v>736</v>
      </c>
    </row>
    <row r="3226" spans="1:14" x14ac:dyDescent="0.25">
      <c r="A3226" s="8">
        <v>995144</v>
      </c>
      <c r="B3226" s="22" t="str">
        <f>IFERROR(VLOOKUP(A3226,VLOOKUPS!$A$2:B$12589,2,FALSE),"")</f>
        <v>Asparagus Spears 10oz-standard</v>
      </c>
      <c r="E3226">
        <v>2.48</v>
      </c>
      <c r="F3226">
        <v>3.98</v>
      </c>
      <c r="G3226" s="13">
        <v>44599</v>
      </c>
      <c r="H3226" s="13"/>
      <c r="I3226" s="22" t="str">
        <f>VLOOKUP(J3226, Dropdowns!N:O, 2, FALSE)</f>
        <v>Standard</v>
      </c>
      <c r="J3226" t="s">
        <v>760</v>
      </c>
      <c r="L3226" s="17" t="s">
        <v>732</v>
      </c>
      <c r="M3226" s="17" t="s">
        <v>735</v>
      </c>
      <c r="N3226" s="17" t="s">
        <v>736</v>
      </c>
    </row>
    <row r="3227" spans="1:14" x14ac:dyDescent="0.25">
      <c r="A3227" s="8">
        <v>995147</v>
      </c>
      <c r="B3227" s="22" t="str">
        <f>IFERROR(VLOOKUP(A3227,VLOOKUPS!$A$2:B$12589,2,FALSE),"")</f>
        <v>Celery Sticks 1.25lb-standard</v>
      </c>
      <c r="E3227">
        <v>2.74</v>
      </c>
      <c r="F3227">
        <v>2.64</v>
      </c>
      <c r="G3227" s="13">
        <v>44600</v>
      </c>
      <c r="H3227" s="13"/>
      <c r="I3227" s="22" t="str">
        <f>VLOOKUP(J3227, Dropdowns!N:O, 2, FALSE)</f>
        <v>Standard</v>
      </c>
      <c r="J3227" t="s">
        <v>761</v>
      </c>
      <c r="L3227" s="17" t="s">
        <v>732</v>
      </c>
      <c r="M3227" s="17" t="s">
        <v>736</v>
      </c>
      <c r="N3227" s="17" t="s">
        <v>736</v>
      </c>
    </row>
    <row r="3228" spans="1:14" x14ac:dyDescent="0.25">
      <c r="A3228" s="8">
        <v>982832</v>
      </c>
      <c r="B3228" s="22" t="str">
        <f>IFERROR(VLOOKUP(A3228,VLOOKUPS!$A$2:B$12589,2,FALSE),"")</f>
        <v>Grapes 3lb-standard</v>
      </c>
      <c r="D3228">
        <v>6</v>
      </c>
      <c r="F3228">
        <v>9.99</v>
      </c>
      <c r="G3228" s="13">
        <v>44597</v>
      </c>
      <c r="H3228" s="13"/>
      <c r="I3228" s="22" t="str">
        <f>VLOOKUP(J3228, Dropdowns!N:O, 2, FALSE)</f>
        <v>New</v>
      </c>
      <c r="J3228" t="s">
        <v>776</v>
      </c>
      <c r="L3228" s="17" t="s">
        <v>732</v>
      </c>
      <c r="M3228" s="17" t="s">
        <v>735</v>
      </c>
      <c r="N3228" s="17" t="s">
        <v>736</v>
      </c>
    </row>
    <row r="3229" spans="1:14" x14ac:dyDescent="0.25">
      <c r="A3229" s="8">
        <v>983105</v>
      </c>
      <c r="B3229" s="22" t="str">
        <f>IFERROR(VLOOKUP(A3229,VLOOKUPS!$A$2:B$12589,2,FALSE),"")</f>
        <v>Melons Galia 1ct-loose</v>
      </c>
      <c r="D3229">
        <v>10</v>
      </c>
      <c r="F3229">
        <v>3.98</v>
      </c>
      <c r="G3229" s="13">
        <v>44598</v>
      </c>
      <c r="H3229" s="13"/>
      <c r="I3229" s="22" t="str">
        <f>VLOOKUP(J3229, Dropdowns!N:O, 2, FALSE)</f>
        <v>New</v>
      </c>
      <c r="J3229" t="s">
        <v>776</v>
      </c>
      <c r="L3229" s="17" t="s">
        <v>732</v>
      </c>
      <c r="M3229" s="17" t="s">
        <v>736</v>
      </c>
      <c r="N3229" s="17" t="s">
        <v>736</v>
      </c>
    </row>
    <row r="3230" spans="1:14" x14ac:dyDescent="0.25">
      <c r="A3230" s="8">
        <v>983103</v>
      </c>
      <c r="B3230" s="22" t="str">
        <f>IFERROR(VLOOKUP(A3230,VLOOKUPS!$A$2:B$12589,2,FALSE),"")</f>
        <v>MelonsGolden Canary 1ct.-LOOSE</v>
      </c>
      <c r="E3230">
        <v>3.98</v>
      </c>
      <c r="F3230">
        <v>2.98</v>
      </c>
      <c r="G3230" s="13">
        <v>44597</v>
      </c>
      <c r="H3230" s="13">
        <v>44598</v>
      </c>
      <c r="I3230" s="22" t="str">
        <f>VLOOKUP(J3230, Dropdowns!N:O, 2, FALSE)</f>
        <v>Lower Price</v>
      </c>
      <c r="J3230" t="s">
        <v>759</v>
      </c>
      <c r="L3230" s="17" t="s">
        <v>733</v>
      </c>
      <c r="M3230" s="17" t="s">
        <v>11</v>
      </c>
      <c r="N3230" s="17" t="s">
        <v>740</v>
      </c>
    </row>
    <row r="3231" spans="1:14" x14ac:dyDescent="0.25">
      <c r="A3231" s="8">
        <v>983103</v>
      </c>
      <c r="B3231" s="22" t="str">
        <f>IFERROR(VLOOKUP(A3231,VLOOKUPS!$A$2:B$12589,2,FALSE),"")</f>
        <v>MelonsGolden Canary 1ct.-LOOSE</v>
      </c>
      <c r="E3231">
        <v>2.98</v>
      </c>
      <c r="F3231">
        <v>3.98</v>
      </c>
      <c r="G3231" s="13">
        <v>44599</v>
      </c>
      <c r="H3231" s="13"/>
      <c r="I3231" s="22" t="str">
        <f>VLOOKUP(J3231, Dropdowns!N:O, 2, FALSE)</f>
        <v>Standard</v>
      </c>
      <c r="J3231" t="s">
        <v>760</v>
      </c>
      <c r="L3231" s="17" t="s">
        <v>733</v>
      </c>
      <c r="M3231" s="17" t="s">
        <v>11</v>
      </c>
      <c r="N3231" s="17" t="s">
        <v>740</v>
      </c>
    </row>
    <row r="3232" spans="1:14" x14ac:dyDescent="0.25">
      <c r="A3232" s="8">
        <v>983104</v>
      </c>
      <c r="B3232" s="22" t="str">
        <f>IFERROR(VLOOKUP(A3232,VLOOKUPS!$A$2:B$12589,2,FALSE),"")</f>
        <v>Melons Dino 1ct.-LOOSE</v>
      </c>
      <c r="E3232">
        <v>3.98</v>
      </c>
      <c r="F3232">
        <v>2.98</v>
      </c>
      <c r="G3232" s="13">
        <v>44597</v>
      </c>
      <c r="H3232" s="13">
        <v>44598</v>
      </c>
      <c r="I3232" s="22" t="str">
        <f>VLOOKUP(J3232, Dropdowns!N:O, 2, FALSE)</f>
        <v>Lower Price</v>
      </c>
      <c r="J3232" t="s">
        <v>759</v>
      </c>
      <c r="L3232" s="17" t="s">
        <v>733</v>
      </c>
      <c r="M3232" s="17" t="s">
        <v>11</v>
      </c>
      <c r="N3232" s="17" t="s">
        <v>740</v>
      </c>
    </row>
    <row r="3233" spans="1:14" x14ac:dyDescent="0.25">
      <c r="A3233" s="8">
        <v>983104</v>
      </c>
      <c r="B3233" s="22" t="str">
        <f>IFERROR(VLOOKUP(A3233,VLOOKUPS!$A$2:B$12589,2,FALSE),"")</f>
        <v>Melons Dino 1ct.-LOOSE</v>
      </c>
      <c r="E3233">
        <v>2.98</v>
      </c>
      <c r="F3233">
        <v>3.98</v>
      </c>
      <c r="G3233" s="13">
        <v>44599</v>
      </c>
      <c r="H3233" s="13"/>
      <c r="I3233" s="22" t="str">
        <f>VLOOKUP(J3233, Dropdowns!N:O, 2, FALSE)</f>
        <v>Standard</v>
      </c>
      <c r="J3233" t="s">
        <v>760</v>
      </c>
      <c r="L3233" s="17" t="s">
        <v>733</v>
      </c>
      <c r="M3233" s="17" t="s">
        <v>11</v>
      </c>
      <c r="N3233" s="17" t="s">
        <v>740</v>
      </c>
    </row>
    <row r="3234" spans="1:14" x14ac:dyDescent="0.25">
      <c r="A3234" s="8">
        <v>983301</v>
      </c>
      <c r="B3234" s="22" t="str">
        <f>IFERROR(VLOOKUP(A3234,VLOOKUPS!$A$2:B$12589,2,FALSE),"")</f>
        <v>Watermelons* Mini Seedless 1ct-LOOSE</v>
      </c>
      <c r="E3234">
        <v>4.9800000000000004</v>
      </c>
      <c r="F3234">
        <v>3.98</v>
      </c>
      <c r="G3234" s="13">
        <v>44597</v>
      </c>
      <c r="H3234" s="13">
        <v>44598</v>
      </c>
      <c r="I3234" s="22" t="str">
        <f>VLOOKUP(J3234, Dropdowns!N:O, 2, FALSE)</f>
        <v>Lower Price</v>
      </c>
      <c r="J3234" t="s">
        <v>759</v>
      </c>
      <c r="L3234" s="17" t="s">
        <v>732</v>
      </c>
      <c r="M3234" s="17" t="s">
        <v>10</v>
      </c>
      <c r="N3234" s="17">
        <v>2</v>
      </c>
    </row>
    <row r="3235" spans="1:14" x14ac:dyDescent="0.25">
      <c r="A3235" s="8">
        <v>983301</v>
      </c>
      <c r="B3235" s="22" t="str">
        <f>IFERROR(VLOOKUP(A3235,VLOOKUPS!$A$2:B$12589,2,FALSE),"")</f>
        <v>Watermelons* Mini Seedless 1ct-LOOSE</v>
      </c>
      <c r="E3235">
        <v>3.98</v>
      </c>
      <c r="F3235">
        <v>4.9800000000000004</v>
      </c>
      <c r="G3235" s="13">
        <v>44599</v>
      </c>
      <c r="H3235" s="13"/>
      <c r="I3235" s="22" t="str">
        <f>VLOOKUP(J3235, Dropdowns!N:O, 2, FALSE)</f>
        <v>Standard</v>
      </c>
      <c r="J3235" t="s">
        <v>760</v>
      </c>
      <c r="L3235" s="17" t="s">
        <v>732</v>
      </c>
      <c r="M3235" s="17" t="s">
        <v>10</v>
      </c>
      <c r="N3235" s="17">
        <v>2</v>
      </c>
    </row>
    <row r="3236" spans="1:14" x14ac:dyDescent="0.25">
      <c r="A3236" s="8">
        <v>984542</v>
      </c>
      <c r="B3236" s="22" t="str">
        <f>IFERROR(VLOOKUP(A3236,VLOOKUPS!$A$2:B$12589,2,FALSE),"")</f>
        <v>Blueberries 18oz-standard</v>
      </c>
      <c r="E3236">
        <v>4.12</v>
      </c>
      <c r="F3236">
        <v>2.99</v>
      </c>
      <c r="G3236" s="13">
        <v>44600</v>
      </c>
      <c r="H3236" s="13">
        <v>44601</v>
      </c>
      <c r="I3236" s="22" t="str">
        <f>VLOOKUP(J3236, Dropdowns!N:O, 2, FALSE)</f>
        <v>Lower Price</v>
      </c>
      <c r="J3236" t="s">
        <v>759</v>
      </c>
      <c r="L3236" s="17" t="s">
        <v>732</v>
      </c>
      <c r="M3236" s="17" t="s">
        <v>10</v>
      </c>
      <c r="N3236" s="17">
        <v>2</v>
      </c>
    </row>
    <row r="3237" spans="1:14" x14ac:dyDescent="0.25">
      <c r="A3237" s="8">
        <v>984542</v>
      </c>
      <c r="B3237" s="22" t="str">
        <f>IFERROR(VLOOKUP(A3237,VLOOKUPS!$A$2:B$12589,2,FALSE),"")</f>
        <v>Blueberries 18oz-standard</v>
      </c>
      <c r="E3237">
        <v>2.99</v>
      </c>
      <c r="F3237">
        <v>4.12</v>
      </c>
      <c r="G3237" s="13">
        <v>44602</v>
      </c>
      <c r="H3237" s="13"/>
      <c r="I3237" s="22" t="str">
        <f>VLOOKUP(J3237, Dropdowns!N:O, 2, FALSE)</f>
        <v>Standard</v>
      </c>
      <c r="J3237" t="s">
        <v>760</v>
      </c>
      <c r="L3237" s="17" t="s">
        <v>732</v>
      </c>
      <c r="M3237" s="17" t="s">
        <v>10</v>
      </c>
      <c r="N3237" s="17">
        <v>2</v>
      </c>
    </row>
    <row r="3238" spans="1:14" x14ac:dyDescent="0.25">
      <c r="A3238" s="8">
        <v>984701</v>
      </c>
      <c r="B3238" s="22" t="str">
        <f>IFERROR(VLOOKUP(A3238,VLOOKUPS!$A$2:B$12589,2,FALSE),"")</f>
        <v>Blackberries Super Sweet 6oz-standard</v>
      </c>
      <c r="E3238">
        <v>3.49</v>
      </c>
      <c r="F3238">
        <v>2.4900000000000002</v>
      </c>
      <c r="G3238" s="13">
        <v>44600</v>
      </c>
      <c r="H3238" s="13">
        <v>44601</v>
      </c>
      <c r="I3238" s="22" t="str">
        <f>VLOOKUP(J3238, Dropdowns!N:O, 2, FALSE)</f>
        <v>Lower Price</v>
      </c>
      <c r="J3238" t="s">
        <v>759</v>
      </c>
      <c r="L3238" s="17" t="s">
        <v>732</v>
      </c>
      <c r="M3238" s="17" t="s">
        <v>9</v>
      </c>
      <c r="N3238" s="17" t="s">
        <v>736</v>
      </c>
    </row>
    <row r="3239" spans="1:14" x14ac:dyDescent="0.25">
      <c r="A3239" s="8">
        <v>984701</v>
      </c>
      <c r="B3239" s="22" t="str">
        <f>IFERROR(VLOOKUP(A3239,VLOOKUPS!$A$2:B$12589,2,FALSE),"")</f>
        <v>Blackberries Super Sweet 6oz-standard</v>
      </c>
      <c r="E3239">
        <v>2.4900000000000002</v>
      </c>
      <c r="F3239">
        <v>3.49</v>
      </c>
      <c r="G3239" s="13">
        <v>44602</v>
      </c>
      <c r="H3239" s="13"/>
      <c r="I3239" s="22" t="str">
        <f>VLOOKUP(J3239, Dropdowns!N:O, 2, FALSE)</f>
        <v>Standard</v>
      </c>
      <c r="J3239" t="s">
        <v>760</v>
      </c>
      <c r="L3239" s="17" t="s">
        <v>732</v>
      </c>
      <c r="M3239" s="17" t="s">
        <v>9</v>
      </c>
      <c r="N3239" s="17" t="s">
        <v>736</v>
      </c>
    </row>
    <row r="3240" spans="1:14" x14ac:dyDescent="0.25">
      <c r="A3240" s="8">
        <v>986250</v>
      </c>
      <c r="B3240" s="22" t="str">
        <f>IFERROR(VLOOKUP(A3240,VLOOKUPS!$A$2:B$12589,2,FALSE),"")</f>
        <v>French Beans 1lb-standard</v>
      </c>
      <c r="E3240">
        <v>2.99</v>
      </c>
      <c r="F3240">
        <v>2.4900000000000002</v>
      </c>
      <c r="G3240" s="13">
        <v>44600</v>
      </c>
      <c r="H3240" s="13">
        <v>44601</v>
      </c>
      <c r="I3240" s="22" t="str">
        <f>VLOOKUP(J3240, Dropdowns!N:O, 2, FALSE)</f>
        <v>Lower Price</v>
      </c>
      <c r="J3240" t="s">
        <v>759</v>
      </c>
      <c r="L3240" s="17" t="s">
        <v>732</v>
      </c>
      <c r="M3240" s="17" t="s">
        <v>736</v>
      </c>
      <c r="N3240" s="17" t="s">
        <v>736</v>
      </c>
    </row>
    <row r="3241" spans="1:14" x14ac:dyDescent="0.25">
      <c r="A3241" s="8">
        <v>986250</v>
      </c>
      <c r="B3241" s="22" t="str">
        <f>IFERROR(VLOOKUP(A3241,VLOOKUPS!$A$2:B$12589,2,FALSE),"")</f>
        <v>French Beans 1lb-standard</v>
      </c>
      <c r="E3241">
        <v>2.4900000000000002</v>
      </c>
      <c r="F3241">
        <v>2.99</v>
      </c>
      <c r="G3241" s="13">
        <v>44602</v>
      </c>
      <c r="H3241" s="13"/>
      <c r="I3241" s="22" t="str">
        <f>VLOOKUP(J3241, Dropdowns!N:O, 2, FALSE)</f>
        <v>Standard</v>
      </c>
      <c r="J3241" t="s">
        <v>760</v>
      </c>
      <c r="L3241" s="17" t="s">
        <v>732</v>
      </c>
      <c r="M3241" s="17" t="s">
        <v>736</v>
      </c>
      <c r="N3241" s="17" t="s">
        <v>736</v>
      </c>
    </row>
    <row r="3242" spans="1:14" x14ac:dyDescent="0.25">
      <c r="A3242" s="8">
        <v>986340</v>
      </c>
      <c r="B3242" s="22" t="str">
        <f>IFERROR(VLOOKUP(A3242,VLOOKUPS!$A$2:B$12589,2,FALSE),"")</f>
        <v>Mirepoix 16oz-standard</v>
      </c>
      <c r="E3242">
        <v>2.99</v>
      </c>
      <c r="F3242">
        <v>1.99</v>
      </c>
      <c r="G3242" s="13">
        <v>44600</v>
      </c>
      <c r="H3242" s="13">
        <v>44601</v>
      </c>
      <c r="I3242" s="22" t="str">
        <f>VLOOKUP(J3242, Dropdowns!N:O, 2, FALSE)</f>
        <v>Lower Price</v>
      </c>
      <c r="J3242" t="s">
        <v>759</v>
      </c>
      <c r="L3242" s="17" t="s">
        <v>732</v>
      </c>
      <c r="M3242" s="17" t="s">
        <v>10</v>
      </c>
      <c r="N3242" s="17">
        <v>2</v>
      </c>
    </row>
    <row r="3243" spans="1:14" x14ac:dyDescent="0.25">
      <c r="A3243" s="8">
        <v>986340</v>
      </c>
      <c r="B3243" s="22" t="str">
        <f>IFERROR(VLOOKUP(A3243,VLOOKUPS!$A$2:B$12589,2,FALSE),"")</f>
        <v>Mirepoix 16oz-standard</v>
      </c>
      <c r="E3243">
        <v>1.99</v>
      </c>
      <c r="F3243">
        <v>2.99</v>
      </c>
      <c r="G3243" s="13">
        <v>44602</v>
      </c>
      <c r="H3243" s="13"/>
      <c r="I3243" s="22" t="str">
        <f>VLOOKUP(J3243, Dropdowns!N:O, 2, FALSE)</f>
        <v>Standard</v>
      </c>
      <c r="J3243" t="s">
        <v>760</v>
      </c>
      <c r="L3243" s="17" t="s">
        <v>732</v>
      </c>
      <c r="M3243" s="17" t="s">
        <v>10</v>
      </c>
      <c r="N3243" s="17">
        <v>2</v>
      </c>
    </row>
    <row r="3244" spans="1:14" x14ac:dyDescent="0.25">
      <c r="A3244" s="8">
        <v>987560</v>
      </c>
      <c r="B3244" s="22" t="str">
        <f>IFERROR(VLOOKUP(A3244,VLOOKUPS!$A$2:B$12589,2,FALSE),"")</f>
        <v>Celery 1ct-standard</v>
      </c>
      <c r="E3244">
        <v>1.38</v>
      </c>
      <c r="F3244">
        <v>0.68</v>
      </c>
      <c r="G3244" s="13">
        <v>44600</v>
      </c>
      <c r="H3244" s="13">
        <v>44601</v>
      </c>
      <c r="I3244" s="22" t="str">
        <f>VLOOKUP(J3244, Dropdowns!N:O, 2, FALSE)</f>
        <v>Lower Price</v>
      </c>
      <c r="J3244" t="s">
        <v>759</v>
      </c>
      <c r="L3244" s="17" t="s">
        <v>732</v>
      </c>
      <c r="M3244" s="17" t="s">
        <v>9</v>
      </c>
      <c r="N3244" s="17" t="s">
        <v>736</v>
      </c>
    </row>
    <row r="3245" spans="1:14" x14ac:dyDescent="0.25">
      <c r="A3245" s="8">
        <v>987560</v>
      </c>
      <c r="B3245" s="22" t="str">
        <f>IFERROR(VLOOKUP(A3245,VLOOKUPS!$A$2:B$12589,2,FALSE),"")</f>
        <v>Celery 1ct-standard</v>
      </c>
      <c r="E3245">
        <v>0.68</v>
      </c>
      <c r="F3245">
        <v>1.38</v>
      </c>
      <c r="G3245" s="13">
        <v>44602</v>
      </c>
      <c r="H3245" s="13"/>
      <c r="I3245" s="22" t="str">
        <f>VLOOKUP(J3245, Dropdowns!N:O, 2, FALSE)</f>
        <v>Standard</v>
      </c>
      <c r="J3245" t="s">
        <v>760</v>
      </c>
      <c r="L3245" s="17" t="s">
        <v>732</v>
      </c>
      <c r="M3245" s="17" t="s">
        <v>9</v>
      </c>
      <c r="N3245" s="17" t="s">
        <v>736</v>
      </c>
    </row>
    <row r="3246" spans="1:14" x14ac:dyDescent="0.25">
      <c r="A3246" s="8">
        <v>988571</v>
      </c>
      <c r="B3246" s="22" t="str">
        <f>IFERROR(VLOOKUP(A3246,VLOOKUPS!$A$2:B$12589,2,FALSE),"")</f>
        <v>Cauliflower* 1ct-LOOSE</v>
      </c>
      <c r="E3246">
        <v>2.88</v>
      </c>
      <c r="F3246">
        <v>1.88</v>
      </c>
      <c r="G3246" s="13">
        <v>44600</v>
      </c>
      <c r="H3246" s="13">
        <v>44601</v>
      </c>
      <c r="I3246" s="22" t="str">
        <f>VLOOKUP(J3246, Dropdowns!N:O, 2, FALSE)</f>
        <v>Lower Price</v>
      </c>
      <c r="J3246" t="s">
        <v>759</v>
      </c>
      <c r="L3246" s="17" t="s">
        <v>732</v>
      </c>
      <c r="M3246" s="17" t="s">
        <v>737</v>
      </c>
      <c r="N3246" s="17" t="s">
        <v>736</v>
      </c>
    </row>
    <row r="3247" spans="1:14" x14ac:dyDescent="0.25">
      <c r="A3247" s="8">
        <v>988571</v>
      </c>
      <c r="B3247" s="22" t="str">
        <f>IFERROR(VLOOKUP(A3247,VLOOKUPS!$A$2:B$12589,2,FALSE),"")</f>
        <v>Cauliflower* 1ct-LOOSE</v>
      </c>
      <c r="E3247">
        <v>1.88</v>
      </c>
      <c r="F3247">
        <v>2.88</v>
      </c>
      <c r="G3247" s="13">
        <v>44602</v>
      </c>
      <c r="H3247" s="13"/>
      <c r="I3247" s="22" t="str">
        <f>VLOOKUP(J3247, Dropdowns!N:O, 2, FALSE)</f>
        <v>Standard</v>
      </c>
      <c r="J3247" t="s">
        <v>760</v>
      </c>
      <c r="L3247" s="17" t="s">
        <v>732</v>
      </c>
      <c r="M3247" s="17" t="s">
        <v>737</v>
      </c>
      <c r="N3247" s="17" t="s">
        <v>736</v>
      </c>
    </row>
    <row r="3248" spans="1:14" x14ac:dyDescent="0.25">
      <c r="A3248" s="8">
        <v>995032</v>
      </c>
      <c r="B3248" s="22" t="str">
        <f>IFERROR(VLOOKUP(A3248,VLOOKUPS!$A$2:B$12589,2,FALSE),"")</f>
        <v>Chopped Sunflower Crunch Kit 12.2oz-standard</v>
      </c>
      <c r="E3248">
        <v>3.49</v>
      </c>
      <c r="F3248">
        <v>2.4900000000000002</v>
      </c>
      <c r="G3248" s="13">
        <v>44600</v>
      </c>
      <c r="H3248" s="13">
        <v>44601</v>
      </c>
      <c r="I3248" s="22" t="str">
        <f>VLOOKUP(J3248, Dropdowns!N:O, 2, FALSE)</f>
        <v>Lower Price</v>
      </c>
      <c r="J3248" t="s">
        <v>759</v>
      </c>
      <c r="L3248" s="17" t="s">
        <v>732</v>
      </c>
      <c r="M3248" s="17" t="s">
        <v>10</v>
      </c>
      <c r="N3248" s="17">
        <v>2</v>
      </c>
    </row>
    <row r="3249" spans="1:17" x14ac:dyDescent="0.25">
      <c r="A3249" s="8">
        <v>995032</v>
      </c>
      <c r="B3249" s="22" t="str">
        <f>IFERROR(VLOOKUP(A3249,VLOOKUPS!$A$2:B$12589,2,FALSE),"")</f>
        <v>Chopped Sunflower Crunch Kit 12.2oz-standard</v>
      </c>
      <c r="E3249">
        <v>2.4900000000000002</v>
      </c>
      <c r="F3249">
        <v>3.49</v>
      </c>
      <c r="G3249" s="13">
        <v>44602</v>
      </c>
      <c r="H3249" s="13"/>
      <c r="I3249" s="22" t="str">
        <f>VLOOKUP(J3249, Dropdowns!N:O, 2, FALSE)</f>
        <v>Standard</v>
      </c>
      <c r="J3249" t="s">
        <v>760</v>
      </c>
      <c r="L3249" s="17" t="s">
        <v>732</v>
      </c>
      <c r="M3249" s="17" t="s">
        <v>10</v>
      </c>
      <c r="N3249" s="17">
        <v>2</v>
      </c>
    </row>
    <row r="3250" spans="1:17" x14ac:dyDescent="0.25">
      <c r="A3250" s="8">
        <v>995043</v>
      </c>
      <c r="B3250" s="22" t="str">
        <f>IFERROR(VLOOKUP(A3250,VLOOKUPS!$A$2:B$12589,2,FALSE),"")</f>
        <v>Watermelon Chunks 16oz-standard</v>
      </c>
      <c r="E3250">
        <v>3.49</v>
      </c>
      <c r="F3250">
        <v>1.99</v>
      </c>
      <c r="G3250" s="13">
        <v>44600</v>
      </c>
      <c r="H3250" s="13">
        <v>44601</v>
      </c>
      <c r="I3250" s="22" t="str">
        <f>VLOOKUP(J3250, Dropdowns!N:O, 2, FALSE)</f>
        <v>Lower Price</v>
      </c>
      <c r="J3250" t="s">
        <v>759</v>
      </c>
      <c r="L3250" s="17" t="s">
        <v>732</v>
      </c>
      <c r="M3250" s="17" t="s">
        <v>735</v>
      </c>
      <c r="N3250" s="17" t="s">
        <v>736</v>
      </c>
    </row>
    <row r="3251" spans="1:17" x14ac:dyDescent="0.25">
      <c r="A3251" s="8">
        <v>995043</v>
      </c>
      <c r="B3251" s="22" t="str">
        <f>IFERROR(VLOOKUP(A3251,VLOOKUPS!$A$2:B$12589,2,FALSE),"")</f>
        <v>Watermelon Chunks 16oz-standard</v>
      </c>
      <c r="E3251">
        <v>1.99</v>
      </c>
      <c r="F3251">
        <v>3.49</v>
      </c>
      <c r="G3251" s="13">
        <v>44602</v>
      </c>
      <c r="H3251" s="13"/>
      <c r="I3251" s="22" t="str">
        <f>VLOOKUP(J3251, Dropdowns!N:O, 2, FALSE)</f>
        <v>Standard</v>
      </c>
      <c r="J3251" t="s">
        <v>760</v>
      </c>
      <c r="L3251" s="17" t="s">
        <v>732</v>
      </c>
      <c r="M3251" s="17" t="s">
        <v>735</v>
      </c>
      <c r="N3251" s="17" t="s">
        <v>736</v>
      </c>
    </row>
    <row r="3252" spans="1:17" x14ac:dyDescent="0.25">
      <c r="A3252" s="8">
        <v>995046</v>
      </c>
      <c r="B3252" s="22" t="str">
        <f>IFERROR(VLOOKUP(A3252,VLOOKUPS!$A$2:B$12589,2,FALSE),"")</f>
        <v>Diced Onion 8oz-standard</v>
      </c>
      <c r="E3252">
        <v>2.62</v>
      </c>
      <c r="F3252">
        <v>1.62</v>
      </c>
      <c r="G3252" s="13">
        <v>44600</v>
      </c>
      <c r="H3252" s="13">
        <v>44601</v>
      </c>
      <c r="I3252" s="22" t="str">
        <f>VLOOKUP(J3252, Dropdowns!N:O, 2, FALSE)</f>
        <v>Lower Price</v>
      </c>
      <c r="J3252" t="s">
        <v>759</v>
      </c>
      <c r="L3252" s="17" t="s">
        <v>732</v>
      </c>
      <c r="M3252" s="17" t="s">
        <v>10</v>
      </c>
      <c r="N3252" s="17">
        <v>2</v>
      </c>
    </row>
    <row r="3253" spans="1:17" x14ac:dyDescent="0.25">
      <c r="A3253" s="8">
        <v>995046</v>
      </c>
      <c r="B3253" s="22" t="str">
        <f>IFERROR(VLOOKUP(A3253,VLOOKUPS!$A$2:B$12589,2,FALSE),"")</f>
        <v>Diced Onion 8oz-standard</v>
      </c>
      <c r="E3253">
        <v>1.62</v>
      </c>
      <c r="F3253">
        <v>2.62</v>
      </c>
      <c r="G3253" s="13">
        <v>44602</v>
      </c>
      <c r="H3253" s="13"/>
      <c r="I3253" s="22" t="str">
        <f>VLOOKUP(J3253, Dropdowns!N:O, 2, FALSE)</f>
        <v>Standard</v>
      </c>
      <c r="J3253" t="s">
        <v>760</v>
      </c>
      <c r="L3253" s="17" t="s">
        <v>732</v>
      </c>
      <c r="M3253" s="17" t="s">
        <v>10</v>
      </c>
      <c r="N3253" s="17">
        <v>2</v>
      </c>
    </row>
    <row r="3254" spans="1:17" x14ac:dyDescent="0.25">
      <c r="A3254" s="8">
        <v>995100</v>
      </c>
      <c r="B3254" s="22" t="str">
        <f>IFERROR(VLOOKUP(A3254,VLOOKUPS!$A$2:B$12589,2,FALSE),"")</f>
        <v>Asian Chopped Salad Kit 12oz-standard</v>
      </c>
      <c r="E3254">
        <v>3.49</v>
      </c>
      <c r="F3254">
        <v>2.4900000000000002</v>
      </c>
      <c r="G3254" s="13">
        <v>44600</v>
      </c>
      <c r="H3254" s="13">
        <v>44601</v>
      </c>
      <c r="I3254" s="22" t="str">
        <f>VLOOKUP(J3254, Dropdowns!N:O, 2, FALSE)</f>
        <v>Lower Price</v>
      </c>
      <c r="J3254" t="s">
        <v>759</v>
      </c>
      <c r="L3254" s="17" t="s">
        <v>732</v>
      </c>
      <c r="M3254" s="17" t="s">
        <v>10</v>
      </c>
      <c r="N3254" s="17">
        <v>2</v>
      </c>
    </row>
    <row r="3255" spans="1:17" x14ac:dyDescent="0.25">
      <c r="A3255" s="8">
        <v>995100</v>
      </c>
      <c r="B3255" s="22" t="str">
        <f>IFERROR(VLOOKUP(A3255,VLOOKUPS!$A$2:B$12589,2,FALSE),"")</f>
        <v>Asian Chopped Salad Kit 12oz-standard</v>
      </c>
      <c r="E3255">
        <v>2.4900000000000002</v>
      </c>
      <c r="F3255">
        <v>3.49</v>
      </c>
      <c r="G3255" s="13">
        <v>44602</v>
      </c>
      <c r="H3255" s="13"/>
      <c r="I3255" s="22" t="str">
        <f>VLOOKUP(J3255, Dropdowns!N:O, 2, FALSE)</f>
        <v>Standard</v>
      </c>
      <c r="J3255" t="s">
        <v>760</v>
      </c>
      <c r="L3255" s="17" t="s">
        <v>732</v>
      </c>
      <c r="M3255" s="17" t="s">
        <v>10</v>
      </c>
      <c r="N3255" s="17">
        <v>2</v>
      </c>
    </row>
    <row r="3256" spans="1:17" x14ac:dyDescent="0.25">
      <c r="A3256" s="8">
        <v>995102</v>
      </c>
      <c r="B3256" s="22" t="str">
        <f>IFERROR(VLOOKUP(A3256,VLOOKUPS!$A$2:B$12589,2,FALSE),"")</f>
        <v>Cantaloupe Chunks 16oz-standard</v>
      </c>
      <c r="E3256">
        <v>3.49</v>
      </c>
      <c r="F3256">
        <v>1.99</v>
      </c>
      <c r="G3256" s="13">
        <v>44600</v>
      </c>
      <c r="H3256" s="13">
        <v>44601</v>
      </c>
      <c r="I3256" s="22" t="str">
        <f>VLOOKUP(J3256, Dropdowns!N:O, 2, FALSE)</f>
        <v>Lower Price</v>
      </c>
      <c r="J3256" t="s">
        <v>759</v>
      </c>
      <c r="L3256" s="17" t="s">
        <v>732</v>
      </c>
      <c r="M3256" s="17" t="s">
        <v>738</v>
      </c>
      <c r="N3256" s="17">
        <v>2</v>
      </c>
    </row>
    <row r="3257" spans="1:17" x14ac:dyDescent="0.25">
      <c r="A3257" s="8">
        <v>995102</v>
      </c>
      <c r="B3257" s="22" t="str">
        <f>IFERROR(VLOOKUP(A3257,VLOOKUPS!$A$2:B$12589,2,FALSE),"")</f>
        <v>Cantaloupe Chunks 16oz-standard</v>
      </c>
      <c r="E3257">
        <v>1.99</v>
      </c>
      <c r="F3257">
        <v>3.49</v>
      </c>
      <c r="G3257" s="13">
        <v>44602</v>
      </c>
      <c r="H3257" s="13"/>
      <c r="I3257" s="22" t="str">
        <f>VLOOKUP(J3257, Dropdowns!N:O, 2, FALSE)</f>
        <v>Standard</v>
      </c>
      <c r="J3257" t="s">
        <v>760</v>
      </c>
      <c r="L3257" s="17" t="s">
        <v>732</v>
      </c>
      <c r="M3257" s="17" t="s">
        <v>738</v>
      </c>
      <c r="N3257" s="17">
        <v>2</v>
      </c>
    </row>
    <row r="3258" spans="1:17" x14ac:dyDescent="0.25">
      <c r="A3258" s="8">
        <v>995131</v>
      </c>
      <c r="B3258" s="22" t="str">
        <f>IFERROR(VLOOKUP(A3258,VLOOKUPS!$A$2:B$12589,2,FALSE),"")</f>
        <v>Organic Baby Spinach &amp; Baby Kale 5oz-standard</v>
      </c>
      <c r="E3258">
        <v>2.98</v>
      </c>
      <c r="F3258">
        <v>1.98</v>
      </c>
      <c r="G3258" s="13">
        <v>44600</v>
      </c>
      <c r="H3258" s="13">
        <v>44601</v>
      </c>
      <c r="I3258" s="22" t="str">
        <f>VLOOKUP(J3258, Dropdowns!N:O, 2, FALSE)</f>
        <v>Lower Price</v>
      </c>
      <c r="J3258" t="s">
        <v>759</v>
      </c>
      <c r="L3258" s="17" t="s">
        <v>732</v>
      </c>
      <c r="M3258" s="17" t="s">
        <v>738</v>
      </c>
      <c r="N3258" s="17">
        <v>2</v>
      </c>
    </row>
    <row r="3259" spans="1:17" x14ac:dyDescent="0.25">
      <c r="A3259" s="8">
        <v>995131</v>
      </c>
      <c r="B3259" s="22" t="str">
        <f>IFERROR(VLOOKUP(A3259,VLOOKUPS!$A$2:B$12589,2,FALSE),"")</f>
        <v>Organic Baby Spinach &amp; Baby Kale 5oz-standard</v>
      </c>
      <c r="E3259">
        <v>1.98</v>
      </c>
      <c r="F3259">
        <v>2.98</v>
      </c>
      <c r="G3259" s="13">
        <v>44602</v>
      </c>
      <c r="H3259" s="13"/>
      <c r="I3259" s="22" t="str">
        <f>VLOOKUP(J3259, Dropdowns!N:O, 2, FALSE)</f>
        <v>Standard</v>
      </c>
      <c r="J3259" t="s">
        <v>760</v>
      </c>
      <c r="L3259" s="17" t="s">
        <v>732</v>
      </c>
      <c r="M3259" s="17" t="s">
        <v>738</v>
      </c>
      <c r="N3259" s="17">
        <v>2</v>
      </c>
    </row>
    <row r="3260" spans="1:17" x14ac:dyDescent="0.25">
      <c r="A3260" s="8">
        <v>995135</v>
      </c>
      <c r="B3260" s="22" t="str">
        <f>IFERROR(VLOOKUP(A3260,VLOOKUPS!$A$2:B$12589,2,FALSE),"")</f>
        <v>XL Mild Fresh Salsa 30oz-standard</v>
      </c>
      <c r="D3260">
        <v>6</v>
      </c>
      <c r="F3260">
        <v>6.99</v>
      </c>
      <c r="G3260" s="13">
        <v>44600</v>
      </c>
      <c r="H3260" s="13"/>
      <c r="I3260" s="22" t="str">
        <f>VLOOKUP(J3260, Dropdowns!N:O, 2, FALSE)</f>
        <v>New</v>
      </c>
      <c r="J3260" t="s">
        <v>776</v>
      </c>
      <c r="L3260" s="17" t="s">
        <v>732</v>
      </c>
      <c r="M3260" s="17" t="s">
        <v>736</v>
      </c>
      <c r="N3260" s="17" t="s">
        <v>736</v>
      </c>
      <c r="O3260" s="17" t="s">
        <v>748</v>
      </c>
      <c r="P3260">
        <v>1</v>
      </c>
      <c r="Q3260" s="17" t="s">
        <v>1044</v>
      </c>
    </row>
    <row r="3261" spans="1:17" x14ac:dyDescent="0.25">
      <c r="A3261" s="8">
        <v>995013</v>
      </c>
      <c r="B3261" s="22" t="str">
        <f>IFERROR(VLOOKUP(A3261,VLOOKUPS!$A$2:B$12589,2,FALSE),"")</f>
        <v>Spinach 8oz-standard</v>
      </c>
      <c r="D3261">
        <v>12</v>
      </c>
      <c r="F3261">
        <v>1.29</v>
      </c>
      <c r="G3261" s="13">
        <v>44601</v>
      </c>
      <c r="H3261" s="13"/>
      <c r="I3261" s="22" t="str">
        <f>VLOOKUP(J3261, Dropdowns!N:O, 2, FALSE)</f>
        <v>Standard</v>
      </c>
      <c r="J3261" s="10" t="s">
        <v>782</v>
      </c>
      <c r="L3261" s="17" t="s">
        <v>732</v>
      </c>
      <c r="M3261" s="17" t="s">
        <v>736</v>
      </c>
      <c r="N3261" s="17" t="s">
        <v>736</v>
      </c>
    </row>
    <row r="3262" spans="1:17" x14ac:dyDescent="0.25">
      <c r="A3262" s="8">
        <v>984460</v>
      </c>
      <c r="B3262" s="22" t="str">
        <f>IFERROR(VLOOKUP(A3262,VLOOKUPS!$A$2:B$12589,2,FALSE),"")</f>
        <v>Strawberries 1lb-standard</v>
      </c>
      <c r="G3262" s="13">
        <v>44601</v>
      </c>
      <c r="H3262" s="13">
        <v>44607</v>
      </c>
      <c r="I3262" s="22" t="str">
        <f>VLOOKUP(J3262, Dropdowns!N:O, 2, FALSE)</f>
        <v>Lower Price</v>
      </c>
      <c r="J3262" t="s">
        <v>753</v>
      </c>
      <c r="L3262" s="17" t="s">
        <v>732</v>
      </c>
      <c r="M3262" s="17" t="s">
        <v>736</v>
      </c>
      <c r="N3262" s="17" t="s">
        <v>736</v>
      </c>
    </row>
    <row r="3263" spans="1:17" x14ac:dyDescent="0.25">
      <c r="A3263" s="8">
        <v>984620</v>
      </c>
      <c r="B3263" s="22" t="str">
        <f>IFERROR(VLOOKUP(A3263,VLOOKUPS!$A$2:B$12589,2,FALSE),"")</f>
        <v>Raspberries 6oz-standard</v>
      </c>
      <c r="E3263">
        <v>3.2</v>
      </c>
      <c r="F3263">
        <v>2</v>
      </c>
      <c r="G3263" s="13">
        <v>44601</v>
      </c>
      <c r="H3263" s="13">
        <v>44602</v>
      </c>
      <c r="I3263" s="22" t="str">
        <f>VLOOKUP(J3263, Dropdowns!N:O, 2, FALSE)</f>
        <v>Lower Price</v>
      </c>
      <c r="J3263" t="s">
        <v>759</v>
      </c>
      <c r="L3263" s="17" t="s">
        <v>732</v>
      </c>
      <c r="M3263" s="17" t="s">
        <v>738</v>
      </c>
      <c r="N3263" s="17">
        <v>2</v>
      </c>
    </row>
    <row r="3264" spans="1:17" x14ac:dyDescent="0.25">
      <c r="A3264" s="8">
        <v>984620</v>
      </c>
      <c r="B3264" s="22" t="str">
        <f>IFERROR(VLOOKUP(A3264,VLOOKUPS!$A$2:B$12589,2,FALSE),"")</f>
        <v>Raspberries 6oz-standard</v>
      </c>
      <c r="E3264">
        <v>2</v>
      </c>
      <c r="F3264">
        <v>3.2</v>
      </c>
      <c r="G3264" s="13">
        <v>44603</v>
      </c>
      <c r="H3264" s="13"/>
      <c r="I3264" s="22" t="str">
        <f>VLOOKUP(J3264, Dropdowns!N:O, 2, FALSE)</f>
        <v>Standard</v>
      </c>
      <c r="J3264" t="s">
        <v>760</v>
      </c>
      <c r="L3264" s="17" t="s">
        <v>732</v>
      </c>
      <c r="M3264" s="17" t="s">
        <v>738</v>
      </c>
      <c r="N3264" s="17">
        <v>2</v>
      </c>
    </row>
    <row r="3265" spans="1:14" x14ac:dyDescent="0.25">
      <c r="A3265" s="8">
        <v>984700</v>
      </c>
      <c r="B3265" s="22" t="str">
        <f>IFERROR(VLOOKUP(A3265,VLOOKUPS!$A$2:B$12589,2,FALSE),"")</f>
        <v>Blackberries 6oz-standard</v>
      </c>
      <c r="E3265">
        <v>1.99</v>
      </c>
      <c r="F3265">
        <v>1.19</v>
      </c>
      <c r="G3265" s="13">
        <v>44601</v>
      </c>
      <c r="H3265" s="13">
        <v>44602</v>
      </c>
      <c r="I3265" s="22" t="str">
        <f>VLOOKUP(J3265, Dropdowns!N:O, 2, FALSE)</f>
        <v>Lower Price</v>
      </c>
      <c r="J3265" t="s">
        <v>759</v>
      </c>
      <c r="L3265" s="17" t="s">
        <v>732</v>
      </c>
      <c r="M3265" s="17" t="s">
        <v>736</v>
      </c>
      <c r="N3265" s="17" t="s">
        <v>736</v>
      </c>
    </row>
    <row r="3266" spans="1:14" x14ac:dyDescent="0.25">
      <c r="A3266" s="8">
        <v>984700</v>
      </c>
      <c r="B3266" s="22" t="str">
        <f>IFERROR(VLOOKUP(A3266,VLOOKUPS!$A$2:B$12589,2,FALSE),"")</f>
        <v>Blackberries 6oz-standard</v>
      </c>
      <c r="E3266">
        <v>1.19</v>
      </c>
      <c r="F3266">
        <v>1.99</v>
      </c>
      <c r="G3266" s="13">
        <v>44603</v>
      </c>
      <c r="H3266" s="13"/>
      <c r="I3266" s="22" t="str">
        <f>VLOOKUP(J3266, Dropdowns!N:O, 2, FALSE)</f>
        <v>Standard</v>
      </c>
      <c r="J3266" t="s">
        <v>760</v>
      </c>
      <c r="L3266" s="17" t="s">
        <v>732</v>
      </c>
      <c r="M3266" s="17" t="s">
        <v>736</v>
      </c>
      <c r="N3266" s="17" t="s">
        <v>736</v>
      </c>
    </row>
    <row r="3267" spans="1:14" x14ac:dyDescent="0.25">
      <c r="A3267" s="8">
        <v>985060</v>
      </c>
      <c r="B3267" s="22" t="str">
        <f>IFERROR(VLOOKUP(A3267,VLOOKUPS!$A$2:B$12589,2,FALSE),"")</f>
        <v>Lettuce* Iceberg 1ct-standard</v>
      </c>
      <c r="E3267">
        <v>1.78</v>
      </c>
      <c r="F3267">
        <v>1.08</v>
      </c>
      <c r="G3267" s="13">
        <v>44601</v>
      </c>
      <c r="H3267" s="13">
        <v>44602</v>
      </c>
      <c r="I3267" s="22" t="str">
        <f>VLOOKUP(J3267, Dropdowns!N:O, 2, FALSE)</f>
        <v>Lower Price</v>
      </c>
      <c r="J3267" t="s">
        <v>759</v>
      </c>
      <c r="L3267" s="17" t="s">
        <v>733</v>
      </c>
      <c r="M3267" s="17" t="s">
        <v>11</v>
      </c>
      <c r="N3267" s="17" t="s">
        <v>740</v>
      </c>
    </row>
    <row r="3268" spans="1:14" x14ac:dyDescent="0.25">
      <c r="A3268" s="8">
        <v>985060</v>
      </c>
      <c r="B3268" s="22" t="str">
        <f>IFERROR(VLOOKUP(A3268,VLOOKUPS!$A$2:B$12589,2,FALSE),"")</f>
        <v>Lettuce* Iceberg 1ct-standard</v>
      </c>
      <c r="E3268">
        <v>1.08</v>
      </c>
      <c r="F3268">
        <v>1.78</v>
      </c>
      <c r="G3268" s="13">
        <v>44603</v>
      </c>
      <c r="H3268" s="13"/>
      <c r="I3268" s="22" t="str">
        <f>VLOOKUP(J3268, Dropdowns!N:O, 2, FALSE)</f>
        <v>Standard</v>
      </c>
      <c r="J3268" t="s">
        <v>760</v>
      </c>
      <c r="L3268" s="17" t="s">
        <v>733</v>
      </c>
      <c r="M3268" s="17" t="s">
        <v>11</v>
      </c>
      <c r="N3268" s="17" t="s">
        <v>740</v>
      </c>
    </row>
    <row r="3269" spans="1:14" x14ac:dyDescent="0.25">
      <c r="A3269" s="8">
        <v>985190</v>
      </c>
      <c r="B3269" s="22" t="str">
        <f>IFERROR(VLOOKUP(A3269,VLOOKUPS!$A$2:B$12589,2,FALSE),"")</f>
        <v>Organic Romaine Hearts 3ct-standard</v>
      </c>
      <c r="E3269">
        <v>3.12</v>
      </c>
      <c r="F3269">
        <v>2.12</v>
      </c>
      <c r="G3269" s="13">
        <v>44601</v>
      </c>
      <c r="H3269" s="13">
        <v>44602</v>
      </c>
      <c r="I3269" s="22" t="str">
        <f>VLOOKUP(J3269, Dropdowns!N:O, 2, FALSE)</f>
        <v>Lower Price</v>
      </c>
      <c r="J3269" t="s">
        <v>759</v>
      </c>
      <c r="L3269" s="17" t="s">
        <v>732</v>
      </c>
      <c r="M3269" s="17" t="s">
        <v>737</v>
      </c>
      <c r="N3269" s="17" t="s">
        <v>736</v>
      </c>
    </row>
    <row r="3270" spans="1:14" x14ac:dyDescent="0.25">
      <c r="A3270" s="8">
        <v>985190</v>
      </c>
      <c r="B3270" s="22" t="str">
        <f>IFERROR(VLOOKUP(A3270,VLOOKUPS!$A$2:B$12589,2,FALSE),"")</f>
        <v>Organic Romaine Hearts 3ct-standard</v>
      </c>
      <c r="E3270">
        <v>2.12</v>
      </c>
      <c r="F3270">
        <v>3.12</v>
      </c>
      <c r="G3270" s="13">
        <v>44603</v>
      </c>
      <c r="H3270" s="13"/>
      <c r="I3270" s="22" t="str">
        <f>VLOOKUP(J3270, Dropdowns!N:O, 2, FALSE)</f>
        <v>Standard</v>
      </c>
      <c r="J3270" t="s">
        <v>760</v>
      </c>
      <c r="L3270" s="17" t="s">
        <v>732</v>
      </c>
      <c r="M3270" s="17" t="s">
        <v>737</v>
      </c>
      <c r="N3270" s="17" t="s">
        <v>736</v>
      </c>
    </row>
    <row r="3271" spans="1:14" x14ac:dyDescent="0.25">
      <c r="A3271" s="8">
        <v>985760</v>
      </c>
      <c r="B3271" s="22" t="str">
        <f>IFERROR(VLOOKUP(A3271,VLOOKUPS!$A$2:B$12589,2,FALSE),"")</f>
        <v>Asparagus 1lb-standard</v>
      </c>
      <c r="G3271" s="13">
        <v>44601</v>
      </c>
      <c r="H3271" s="13">
        <v>44607</v>
      </c>
      <c r="I3271" s="22" t="str">
        <f>VLOOKUP(J3271, Dropdowns!N:O, 2, FALSE)</f>
        <v>Lower Price</v>
      </c>
      <c r="J3271" t="s">
        <v>753</v>
      </c>
      <c r="L3271" s="17" t="s">
        <v>732</v>
      </c>
      <c r="M3271" s="17" t="s">
        <v>736</v>
      </c>
      <c r="N3271" s="17" t="s">
        <v>736</v>
      </c>
    </row>
    <row r="3272" spans="1:14" x14ac:dyDescent="0.25">
      <c r="A3272" s="8">
        <v>988620</v>
      </c>
      <c r="B3272" s="22" t="str">
        <f>IFERROR(VLOOKUP(A3272,VLOOKUPS!$A$2:B$12589,2,FALSE),"")</f>
        <v>Brussels Sprouts 1lb-standard</v>
      </c>
      <c r="E3272">
        <v>2.89</v>
      </c>
      <c r="F3272">
        <v>1.89</v>
      </c>
      <c r="G3272" s="13">
        <v>44601</v>
      </c>
      <c r="H3272" s="13">
        <v>44602</v>
      </c>
      <c r="I3272" s="22" t="str">
        <f>VLOOKUP(J3272, Dropdowns!N:O, 2, FALSE)</f>
        <v>Lower Price</v>
      </c>
      <c r="J3272" t="s">
        <v>759</v>
      </c>
      <c r="L3272" s="17" t="s">
        <v>732</v>
      </c>
      <c r="M3272" s="17" t="s">
        <v>736</v>
      </c>
      <c r="N3272" s="17" t="s">
        <v>736</v>
      </c>
    </row>
    <row r="3273" spans="1:14" x14ac:dyDescent="0.25">
      <c r="A3273" s="8">
        <v>988620</v>
      </c>
      <c r="B3273" s="22" t="str">
        <f>IFERROR(VLOOKUP(A3273,VLOOKUPS!$A$2:B$12589,2,FALSE),"")</f>
        <v>Brussels Sprouts 1lb-standard</v>
      </c>
      <c r="E3273">
        <v>1.89</v>
      </c>
      <c r="F3273">
        <v>2.89</v>
      </c>
      <c r="G3273" s="13">
        <v>44603</v>
      </c>
      <c r="H3273" s="13"/>
      <c r="I3273" s="22" t="str">
        <f>VLOOKUP(J3273, Dropdowns!N:O, 2, FALSE)</f>
        <v>Standard</v>
      </c>
      <c r="J3273" t="s">
        <v>760</v>
      </c>
      <c r="L3273" s="17" t="s">
        <v>732</v>
      </c>
      <c r="M3273" s="17" t="s">
        <v>736</v>
      </c>
      <c r="N3273" s="17" t="s">
        <v>736</v>
      </c>
    </row>
    <row r="3274" spans="1:14" x14ac:dyDescent="0.25">
      <c r="A3274" s="8">
        <v>995019</v>
      </c>
      <c r="B3274" s="22" t="str">
        <f>IFERROR(VLOOKUP(A3274,VLOOKUPS!$A$2:B$12589,2,FALSE),"")</f>
        <v>RTE Large Santa Fe Salad 14oz-standard</v>
      </c>
      <c r="E3274">
        <v>5.34</v>
      </c>
      <c r="F3274">
        <v>3.94</v>
      </c>
      <c r="G3274" s="13">
        <v>44601</v>
      </c>
      <c r="H3274" s="13">
        <v>44602</v>
      </c>
      <c r="I3274" s="22" t="str">
        <f>VLOOKUP(J3274, Dropdowns!N:O, 2, FALSE)</f>
        <v>Lower Price</v>
      </c>
      <c r="J3274" t="s">
        <v>759</v>
      </c>
      <c r="L3274" s="17" t="s">
        <v>733</v>
      </c>
      <c r="M3274" s="17" t="s">
        <v>11</v>
      </c>
      <c r="N3274" s="17" t="s">
        <v>740</v>
      </c>
    </row>
    <row r="3275" spans="1:14" x14ac:dyDescent="0.25">
      <c r="A3275" s="8">
        <v>995019</v>
      </c>
      <c r="B3275" s="22" t="str">
        <f>IFERROR(VLOOKUP(A3275,VLOOKUPS!$A$2:B$12589,2,FALSE),"")</f>
        <v>RTE Large Santa Fe Salad 14oz-standard</v>
      </c>
      <c r="E3275">
        <v>3.94</v>
      </c>
      <c r="F3275">
        <v>5.34</v>
      </c>
      <c r="G3275" s="13">
        <v>44603</v>
      </c>
      <c r="H3275" s="13"/>
      <c r="I3275" s="22" t="str">
        <f>VLOOKUP(J3275, Dropdowns!N:O, 2, FALSE)</f>
        <v>Standard</v>
      </c>
      <c r="J3275" t="s">
        <v>760</v>
      </c>
      <c r="L3275" s="17" t="s">
        <v>733</v>
      </c>
      <c r="M3275" s="17" t="s">
        <v>11</v>
      </c>
      <c r="N3275" s="17" t="s">
        <v>740</v>
      </c>
    </row>
    <row r="3276" spans="1:14" x14ac:dyDescent="0.25">
      <c r="A3276" s="8">
        <v>995027</v>
      </c>
      <c r="B3276" s="22" t="str">
        <f>IFERROR(VLOOKUP(A3276,VLOOKUPS!$A$2:B$12589,2,FALSE),"")</f>
        <v>XL Baby Spinach 16oz-standard</v>
      </c>
      <c r="E3276">
        <v>4.49</v>
      </c>
      <c r="F3276">
        <v>3.49</v>
      </c>
      <c r="G3276" s="13">
        <v>44601</v>
      </c>
      <c r="H3276" s="13">
        <v>44602</v>
      </c>
      <c r="I3276" s="22" t="str">
        <f>VLOOKUP(J3276, Dropdowns!N:O, 2, FALSE)</f>
        <v>Lower Price</v>
      </c>
      <c r="J3276" t="s">
        <v>759</v>
      </c>
      <c r="L3276" s="17" t="s">
        <v>732</v>
      </c>
      <c r="M3276" s="17" t="s">
        <v>9</v>
      </c>
      <c r="N3276" s="17" t="s">
        <v>736</v>
      </c>
    </row>
    <row r="3277" spans="1:14" x14ac:dyDescent="0.25">
      <c r="A3277" s="8">
        <v>995027</v>
      </c>
      <c r="B3277" s="22" t="str">
        <f>IFERROR(VLOOKUP(A3277,VLOOKUPS!$A$2:B$12589,2,FALSE),"")</f>
        <v>XL Baby Spinach 16oz-standard</v>
      </c>
      <c r="E3277">
        <v>3.49</v>
      </c>
      <c r="F3277">
        <v>4.49</v>
      </c>
      <c r="G3277" s="13">
        <v>44603</v>
      </c>
      <c r="H3277" s="13"/>
      <c r="I3277" s="22" t="str">
        <f>VLOOKUP(J3277, Dropdowns!N:O, 2, FALSE)</f>
        <v>Standard</v>
      </c>
      <c r="J3277" t="s">
        <v>760</v>
      </c>
      <c r="L3277" s="17" t="s">
        <v>732</v>
      </c>
      <c r="M3277" s="17" t="s">
        <v>9</v>
      </c>
      <c r="N3277" s="17" t="s">
        <v>736</v>
      </c>
    </row>
    <row r="3278" spans="1:14" x14ac:dyDescent="0.25">
      <c r="A3278" s="8">
        <v>995086</v>
      </c>
      <c r="B3278" s="22" t="str">
        <f>IFERROR(VLOOKUP(A3278,VLOOKUPS!$A$2:B$12589,2,FALSE),"")</f>
        <v>Eat Smart Broccoli Florets 2lbs-standard</v>
      </c>
      <c r="E3278">
        <v>5.98</v>
      </c>
      <c r="F3278">
        <v>4.4800000000000004</v>
      </c>
      <c r="G3278" s="13">
        <v>44601</v>
      </c>
      <c r="H3278" s="13">
        <v>44603</v>
      </c>
      <c r="I3278" s="22" t="str">
        <f>VLOOKUP(J3278, Dropdowns!N:O, 2, FALSE)</f>
        <v>Lower Price</v>
      </c>
      <c r="J3278" t="s">
        <v>759</v>
      </c>
      <c r="L3278" s="17" t="s">
        <v>732</v>
      </c>
      <c r="M3278" s="17" t="s">
        <v>9</v>
      </c>
      <c r="N3278" s="17" t="s">
        <v>736</v>
      </c>
    </row>
    <row r="3279" spans="1:14" x14ac:dyDescent="0.25">
      <c r="A3279" s="8">
        <v>995086</v>
      </c>
      <c r="B3279" s="22" t="str">
        <f>IFERROR(VLOOKUP(A3279,VLOOKUPS!$A$2:B$12589,2,FALSE),"")</f>
        <v>Eat Smart Broccoli Florets 2lbs-standard</v>
      </c>
      <c r="E3279">
        <v>4.4800000000000004</v>
      </c>
      <c r="F3279">
        <v>5.98</v>
      </c>
      <c r="G3279" s="13">
        <v>44604</v>
      </c>
      <c r="H3279" s="13"/>
      <c r="I3279" s="22" t="str">
        <f>VLOOKUP(J3279, Dropdowns!N:O, 2, FALSE)</f>
        <v>Standard</v>
      </c>
      <c r="J3279" t="s">
        <v>760</v>
      </c>
      <c r="L3279" s="17" t="s">
        <v>732</v>
      </c>
      <c r="M3279" s="17" t="s">
        <v>9</v>
      </c>
      <c r="N3279" s="17" t="s">
        <v>736</v>
      </c>
    </row>
    <row r="3280" spans="1:14" x14ac:dyDescent="0.25">
      <c r="A3280" s="8">
        <v>995100</v>
      </c>
      <c r="B3280" s="22" t="str">
        <f>IFERROR(VLOOKUP(A3280,VLOOKUPS!$A$2:B$12589,2,FALSE),"")</f>
        <v>Asian Chopped Salad Kit 12oz-standard</v>
      </c>
      <c r="E3280">
        <v>3.49</v>
      </c>
      <c r="F3280">
        <v>2.4900000000000002</v>
      </c>
      <c r="G3280" s="13">
        <v>44601</v>
      </c>
      <c r="H3280" s="13">
        <v>44602</v>
      </c>
      <c r="I3280" s="22" t="str">
        <f>VLOOKUP(J3280, Dropdowns!N:O, 2, FALSE)</f>
        <v>Lower Price</v>
      </c>
      <c r="J3280" t="s">
        <v>759</v>
      </c>
      <c r="L3280" s="17" t="s">
        <v>733</v>
      </c>
      <c r="M3280" s="17" t="s">
        <v>11</v>
      </c>
      <c r="N3280" s="17" t="s">
        <v>740</v>
      </c>
    </row>
    <row r="3281" spans="1:14" x14ac:dyDescent="0.25">
      <c r="A3281" s="8">
        <v>995100</v>
      </c>
      <c r="B3281" s="22" t="str">
        <f>IFERROR(VLOOKUP(A3281,VLOOKUPS!$A$2:B$12589,2,FALSE),"")</f>
        <v>Asian Chopped Salad Kit 12oz-standard</v>
      </c>
      <c r="E3281">
        <v>2.4900000000000002</v>
      </c>
      <c r="F3281">
        <v>3.49</v>
      </c>
      <c r="G3281" s="13">
        <v>44603</v>
      </c>
      <c r="H3281" s="13"/>
      <c r="I3281" s="22" t="str">
        <f>VLOOKUP(J3281, Dropdowns!N:O, 2, FALSE)</f>
        <v>Standard</v>
      </c>
      <c r="J3281" t="s">
        <v>760</v>
      </c>
      <c r="L3281" s="17" t="s">
        <v>733</v>
      </c>
      <c r="M3281" s="17" t="s">
        <v>11</v>
      </c>
      <c r="N3281" s="17" t="s">
        <v>740</v>
      </c>
    </row>
    <row r="3282" spans="1:14" x14ac:dyDescent="0.25">
      <c r="A3282" s="8">
        <v>995165</v>
      </c>
      <c r="B3282" s="22" t="str">
        <f>IFERROR(VLOOKUP(A3282,VLOOKUPS!$A$2:B$12589,2,FALSE),"")</f>
        <v>Organic Kale Greens 12oz-PK</v>
      </c>
      <c r="E3282">
        <v>3.19</v>
      </c>
      <c r="F3282">
        <v>2.19</v>
      </c>
      <c r="G3282" s="13">
        <v>44601</v>
      </c>
      <c r="H3282" s="13">
        <v>44602</v>
      </c>
      <c r="I3282" s="22" t="str">
        <f>VLOOKUP(J3282, Dropdowns!N:O, 2, FALSE)</f>
        <v>Lower Price</v>
      </c>
      <c r="J3282" t="s">
        <v>759</v>
      </c>
      <c r="L3282" s="17" t="s">
        <v>732</v>
      </c>
      <c r="M3282" s="17" t="s">
        <v>736</v>
      </c>
      <c r="N3282" s="17" t="s">
        <v>736</v>
      </c>
    </row>
    <row r="3283" spans="1:14" x14ac:dyDescent="0.25">
      <c r="A3283" s="8">
        <v>995165</v>
      </c>
      <c r="B3283" s="22" t="str">
        <f>IFERROR(VLOOKUP(A3283,VLOOKUPS!$A$2:B$12589,2,FALSE),"")</f>
        <v>Organic Kale Greens 12oz-PK</v>
      </c>
      <c r="E3283">
        <v>2.19</v>
      </c>
      <c r="F3283">
        <v>3.19</v>
      </c>
      <c r="G3283" s="13">
        <v>44603</v>
      </c>
      <c r="H3283" s="13"/>
      <c r="I3283" s="22" t="str">
        <f>VLOOKUP(J3283, Dropdowns!N:O, 2, FALSE)</f>
        <v>Standard</v>
      </c>
      <c r="J3283" t="s">
        <v>760</v>
      </c>
      <c r="L3283" s="17" t="s">
        <v>732</v>
      </c>
      <c r="M3283" s="17" t="s">
        <v>736</v>
      </c>
      <c r="N3283" s="17" t="s">
        <v>736</v>
      </c>
    </row>
    <row r="3284" spans="1:14" x14ac:dyDescent="0.25">
      <c r="A3284" s="8">
        <v>995171</v>
      </c>
      <c r="B3284" s="22" t="str">
        <f>IFERROR(VLOOKUP(A3284,VLOOKUPS!$A$2:B$12589,2,FALSE),"")</f>
        <v>Kale Greens 2lb-standard</v>
      </c>
      <c r="E3284">
        <v>4.5599999999999996</v>
      </c>
      <c r="F3284">
        <v>3.46</v>
      </c>
      <c r="G3284" s="13">
        <v>44601</v>
      </c>
      <c r="H3284" s="13">
        <v>44602</v>
      </c>
      <c r="I3284" s="22" t="str">
        <f>VLOOKUP(J3284, Dropdowns!N:O, 2, FALSE)</f>
        <v>Lower Price</v>
      </c>
      <c r="J3284" t="s">
        <v>759</v>
      </c>
      <c r="L3284" s="17" t="s">
        <v>732</v>
      </c>
      <c r="M3284" s="17" t="s">
        <v>9</v>
      </c>
      <c r="N3284" s="17" t="s">
        <v>736</v>
      </c>
    </row>
    <row r="3285" spans="1:14" x14ac:dyDescent="0.25">
      <c r="A3285" s="8">
        <v>995171</v>
      </c>
      <c r="B3285" s="22" t="str">
        <f>IFERROR(VLOOKUP(A3285,VLOOKUPS!$A$2:B$12589,2,FALSE),"")</f>
        <v>Kale Greens 2lb-standard</v>
      </c>
      <c r="E3285">
        <v>3.46</v>
      </c>
      <c r="F3285">
        <v>4.5599999999999996</v>
      </c>
      <c r="G3285" s="13">
        <v>44603</v>
      </c>
      <c r="H3285" s="13"/>
      <c r="I3285" s="22" t="str">
        <f>VLOOKUP(J3285, Dropdowns!N:O, 2, FALSE)</f>
        <v>Standard</v>
      </c>
      <c r="J3285" t="s">
        <v>760</v>
      </c>
      <c r="L3285" s="17" t="s">
        <v>732</v>
      </c>
      <c r="M3285" s="17" t="s">
        <v>9</v>
      </c>
      <c r="N3285" s="17" t="s">
        <v>736</v>
      </c>
    </row>
    <row r="3286" spans="1:14" x14ac:dyDescent="0.25">
      <c r="A3286" s="8">
        <v>984541</v>
      </c>
      <c r="B3286" s="22" t="str">
        <f>IFERROR(VLOOKUP(A3286,VLOOKUPS!$A$2:B$12589,2,FALSE),"")</f>
        <v>Blueberries 1pt-standard</v>
      </c>
      <c r="E3286">
        <v>1.89</v>
      </c>
      <c r="F3286">
        <v>2.68</v>
      </c>
      <c r="G3286" s="13">
        <v>44601</v>
      </c>
      <c r="H3286" s="13"/>
      <c r="I3286" s="22" t="str">
        <f>VLOOKUP(J3286, Dropdowns!N:O, 2, FALSE)</f>
        <v>Standard</v>
      </c>
      <c r="J3286" t="s">
        <v>760</v>
      </c>
      <c r="L3286" s="17" t="s">
        <v>732</v>
      </c>
      <c r="M3286" s="17" t="s">
        <v>736</v>
      </c>
      <c r="N3286" s="17" t="s">
        <v>736</v>
      </c>
    </row>
    <row r="3287" spans="1:14" x14ac:dyDescent="0.25">
      <c r="A3287" s="8">
        <v>983103</v>
      </c>
      <c r="B3287" s="22" t="str">
        <f>IFERROR(VLOOKUP(A3287,VLOOKUPS!$A$2:B$12589,2,FALSE),"")</f>
        <v>MelonsGolden Canary 1ct.-LOOSE</v>
      </c>
      <c r="E3287">
        <v>3.98</v>
      </c>
      <c r="F3287">
        <v>2.98</v>
      </c>
      <c r="G3287" s="13">
        <v>44601</v>
      </c>
      <c r="H3287" s="13">
        <v>44602</v>
      </c>
      <c r="I3287" s="22" t="str">
        <f>VLOOKUP(J3287, Dropdowns!N:O, 2, FALSE)</f>
        <v>Lower Price</v>
      </c>
      <c r="J3287" t="s">
        <v>759</v>
      </c>
      <c r="L3287" s="17" t="s">
        <v>732</v>
      </c>
      <c r="M3287" s="17" t="s">
        <v>10</v>
      </c>
      <c r="N3287" s="17">
        <v>2</v>
      </c>
    </row>
    <row r="3288" spans="1:14" x14ac:dyDescent="0.25">
      <c r="A3288" s="8">
        <v>983103</v>
      </c>
      <c r="B3288" s="22" t="str">
        <f>IFERROR(VLOOKUP(A3288,VLOOKUPS!$A$2:B$12589,2,FALSE),"")</f>
        <v>MelonsGolden Canary 1ct.-LOOSE</v>
      </c>
      <c r="E3288">
        <v>2.98</v>
      </c>
      <c r="F3288">
        <v>3.98</v>
      </c>
      <c r="G3288" s="13">
        <v>44603</v>
      </c>
      <c r="H3288" s="13"/>
      <c r="I3288" s="22" t="str">
        <f>VLOOKUP(J3288, Dropdowns!N:O, 2, FALSE)</f>
        <v>Standard</v>
      </c>
      <c r="J3288" t="s">
        <v>760</v>
      </c>
      <c r="L3288" s="17" t="s">
        <v>732</v>
      </c>
      <c r="M3288" s="17" t="s">
        <v>10</v>
      </c>
      <c r="N3288" s="17">
        <v>2</v>
      </c>
    </row>
    <row r="3289" spans="1:14" x14ac:dyDescent="0.25">
      <c r="A3289" s="8">
        <v>983201</v>
      </c>
      <c r="B3289" s="22" t="str">
        <f>IFERROR(VLOOKUP(A3289,VLOOKUPS!$A$2:B$12589,2,FALSE),"")</f>
        <v>Melons* Honeydew 1ct-LOOSE</v>
      </c>
      <c r="E3289">
        <v>3.98</v>
      </c>
      <c r="F3289">
        <v>2.98</v>
      </c>
      <c r="G3289" s="13">
        <v>44601</v>
      </c>
      <c r="H3289" s="13">
        <v>44602</v>
      </c>
      <c r="I3289" s="22" t="str">
        <f>VLOOKUP(J3289, Dropdowns!N:O, 2, FALSE)</f>
        <v>Lower Price</v>
      </c>
      <c r="J3289" t="s">
        <v>759</v>
      </c>
      <c r="L3289" s="17" t="s">
        <v>732</v>
      </c>
      <c r="M3289" s="17" t="s">
        <v>737</v>
      </c>
      <c r="N3289" s="17" t="s">
        <v>736</v>
      </c>
    </row>
    <row r="3290" spans="1:14" x14ac:dyDescent="0.25">
      <c r="A3290" s="8">
        <v>983201</v>
      </c>
      <c r="B3290" s="22" t="str">
        <f>IFERROR(VLOOKUP(A3290,VLOOKUPS!$A$2:B$12589,2,FALSE),"")</f>
        <v>Melons* Honeydew 1ct-LOOSE</v>
      </c>
      <c r="E3290">
        <v>2.98</v>
      </c>
      <c r="F3290">
        <v>3.98</v>
      </c>
      <c r="G3290" s="13">
        <v>44603</v>
      </c>
      <c r="H3290" s="13"/>
      <c r="I3290" s="22" t="str">
        <f>VLOOKUP(J3290, Dropdowns!N:O, 2, FALSE)</f>
        <v>Standard</v>
      </c>
      <c r="J3290" t="s">
        <v>760</v>
      </c>
      <c r="L3290" s="17" t="s">
        <v>732</v>
      </c>
      <c r="M3290" s="17" t="s">
        <v>737</v>
      </c>
      <c r="N3290" s="17" t="s">
        <v>736</v>
      </c>
    </row>
    <row r="3291" spans="1:14" x14ac:dyDescent="0.25">
      <c r="A3291" s="8">
        <v>995001</v>
      </c>
      <c r="B3291" s="22" t="str">
        <f>IFERROR(VLOOKUP(A3291,VLOOKUPS!$A$2:B$12589,2,FALSE),"")</f>
        <v>Spinach Baby 6oz-standard</v>
      </c>
      <c r="E3291">
        <v>2.3199999999999998</v>
      </c>
      <c r="F3291">
        <v>2.63</v>
      </c>
      <c r="G3291" s="13">
        <v>44602</v>
      </c>
      <c r="H3291" s="13"/>
      <c r="I3291" s="22" t="str">
        <f>VLOOKUP(J3291, Dropdowns!N:O, 2, FALSE)</f>
        <v>Standard</v>
      </c>
      <c r="J3291" t="s">
        <v>761</v>
      </c>
      <c r="L3291" s="17" t="s">
        <v>732</v>
      </c>
      <c r="M3291" s="17" t="s">
        <v>736</v>
      </c>
      <c r="N3291" s="17" t="s">
        <v>736</v>
      </c>
    </row>
    <row r="3292" spans="1:14" x14ac:dyDescent="0.25">
      <c r="A3292" s="8">
        <v>995005</v>
      </c>
      <c r="B3292" s="22" t="str">
        <f>IFERROR(VLOOKUP(A3292,VLOOKUPS!$A$2:B$12589,2,FALSE),"")</f>
        <v>Garden Salad 12oz-standard</v>
      </c>
      <c r="E3292">
        <v>0.89</v>
      </c>
      <c r="F3292">
        <v>0.95</v>
      </c>
      <c r="G3292" s="13">
        <v>44602</v>
      </c>
      <c r="H3292" s="13"/>
      <c r="I3292" s="22" t="str">
        <f>VLOOKUP(J3292, Dropdowns!N:O, 2, FALSE)</f>
        <v>Standard</v>
      </c>
      <c r="J3292" t="s">
        <v>761</v>
      </c>
      <c r="L3292" s="17" t="s">
        <v>732</v>
      </c>
      <c r="M3292" s="17" t="s">
        <v>736</v>
      </c>
      <c r="N3292" s="17" t="s">
        <v>736</v>
      </c>
    </row>
    <row r="3293" spans="1:14" x14ac:dyDescent="0.25">
      <c r="A3293" s="8">
        <v>995137</v>
      </c>
      <c r="B3293" s="22" t="str">
        <f>IFERROR(VLOOKUP(A3293,VLOOKUPS!$A$2:B$12589,2,FALSE),"")</f>
        <v>Half and Half 11oz-standard</v>
      </c>
      <c r="E3293">
        <v>3.28</v>
      </c>
      <c r="F3293">
        <v>3.98</v>
      </c>
      <c r="G3293" s="13">
        <v>44602</v>
      </c>
      <c r="H3293" s="13"/>
      <c r="I3293" s="22" t="str">
        <f>VLOOKUP(J3293, Dropdowns!N:O, 2, FALSE)</f>
        <v>Standard</v>
      </c>
      <c r="J3293" t="s">
        <v>761</v>
      </c>
      <c r="L3293" s="17" t="s">
        <v>732</v>
      </c>
      <c r="M3293" s="17" t="s">
        <v>736</v>
      </c>
      <c r="N3293" s="17" t="s">
        <v>736</v>
      </c>
    </row>
    <row r="3294" spans="1:14" x14ac:dyDescent="0.25">
      <c r="A3294" s="8">
        <v>995138</v>
      </c>
      <c r="B3294" s="22" t="str">
        <f>IFERROR(VLOOKUP(A3294,VLOOKUPS!$A$2:B$12589,2,FALSE),"")</f>
        <v>Spring Mix 11oz-standard</v>
      </c>
      <c r="E3294">
        <v>3.28</v>
      </c>
      <c r="F3294">
        <v>3.98</v>
      </c>
      <c r="G3294" s="13">
        <v>44602</v>
      </c>
      <c r="H3294" s="13"/>
      <c r="I3294" s="22" t="str">
        <f>VLOOKUP(J3294, Dropdowns!N:O, 2, FALSE)</f>
        <v>Standard</v>
      </c>
      <c r="J3294" t="s">
        <v>761</v>
      </c>
      <c r="L3294" s="17" t="s">
        <v>732</v>
      </c>
      <c r="M3294" s="17" t="s">
        <v>736</v>
      </c>
      <c r="N3294" s="17" t="s">
        <v>736</v>
      </c>
    </row>
    <row r="3295" spans="1:14" x14ac:dyDescent="0.25">
      <c r="A3295" s="8">
        <v>995157</v>
      </c>
      <c r="B3295" s="22" t="str">
        <f>IFERROR(VLOOKUP(A3295,VLOOKUPS!$A$2:B$12589,2,FALSE),"")</f>
        <v/>
      </c>
      <c r="E3295">
        <v>4.49</v>
      </c>
      <c r="F3295">
        <v>2.99</v>
      </c>
      <c r="G3295" s="13">
        <v>44602</v>
      </c>
      <c r="H3295" s="13">
        <v>44603</v>
      </c>
      <c r="I3295" s="22" t="str">
        <f>VLOOKUP(J3295, Dropdowns!N:O, 2, FALSE)</f>
        <v>Lower Price</v>
      </c>
      <c r="J3295" t="s">
        <v>759</v>
      </c>
      <c r="L3295" s="17" t="s">
        <v>732</v>
      </c>
      <c r="M3295" s="17" t="s">
        <v>10</v>
      </c>
      <c r="N3295" s="17">
        <v>2</v>
      </c>
    </row>
    <row r="3296" spans="1:14" x14ac:dyDescent="0.25">
      <c r="A3296" s="8">
        <v>995157</v>
      </c>
      <c r="B3296" s="22" t="str">
        <f>IFERROR(VLOOKUP(A3296,VLOOKUPS!$A$2:B$12589,2,FALSE),"")</f>
        <v/>
      </c>
      <c r="E3296">
        <v>2.99</v>
      </c>
      <c r="F3296">
        <v>4.49</v>
      </c>
      <c r="G3296" s="13">
        <v>44604</v>
      </c>
      <c r="H3296" s="13"/>
      <c r="I3296" s="22" t="str">
        <f>VLOOKUP(J3296, Dropdowns!N:O, 2, FALSE)</f>
        <v>Standard</v>
      </c>
      <c r="J3296" t="s">
        <v>760</v>
      </c>
      <c r="L3296" s="17" t="s">
        <v>732</v>
      </c>
      <c r="M3296" s="17" t="s">
        <v>10</v>
      </c>
      <c r="N3296" s="17">
        <v>2</v>
      </c>
    </row>
    <row r="3297" spans="1:14" x14ac:dyDescent="0.25">
      <c r="A3297" s="8">
        <v>985011</v>
      </c>
      <c r="B3297" s="22" t="str">
        <f>IFERROR(VLOOKUP(A3297,VLOOKUPS!$A$2:B$12589,2,FALSE),"")</f>
        <v>Lettuce Butter 1ct-standard</v>
      </c>
      <c r="E3297">
        <v>2.79</v>
      </c>
      <c r="F3297">
        <v>2.98</v>
      </c>
      <c r="G3297" s="13">
        <v>44603</v>
      </c>
      <c r="H3297" s="13"/>
      <c r="I3297" s="22" t="str">
        <f>VLOOKUP(J3297, Dropdowns!N:O, 2, FALSE)</f>
        <v>Standard</v>
      </c>
      <c r="J3297" t="s">
        <v>761</v>
      </c>
      <c r="L3297" s="17" t="s">
        <v>732</v>
      </c>
      <c r="M3297" s="17" t="s">
        <v>736</v>
      </c>
      <c r="N3297" s="17" t="s">
        <v>736</v>
      </c>
    </row>
    <row r="3298" spans="1:14" x14ac:dyDescent="0.25">
      <c r="A3298" s="8">
        <v>985111</v>
      </c>
      <c r="B3298" s="22" t="str">
        <f>IFERROR(VLOOKUP(A3298,VLOOKUPS!$A$2:B$12589,2,FALSE),"")</f>
        <v>Lettuce Mixed 1ct-standard</v>
      </c>
      <c r="E3298">
        <v>2.79</v>
      </c>
      <c r="F3298">
        <v>2.98</v>
      </c>
      <c r="G3298" s="13">
        <v>44603</v>
      </c>
      <c r="H3298" s="13"/>
      <c r="I3298" s="22" t="str">
        <f>VLOOKUP(J3298, Dropdowns!N:O, 2, FALSE)</f>
        <v>Standard</v>
      </c>
      <c r="J3298" t="s">
        <v>761</v>
      </c>
      <c r="L3298" s="17" t="s">
        <v>732</v>
      </c>
      <c r="M3298" s="17" t="s">
        <v>736</v>
      </c>
      <c r="N3298" s="17" t="s">
        <v>736</v>
      </c>
    </row>
    <row r="3299" spans="1:14" x14ac:dyDescent="0.25">
      <c r="A3299" s="8">
        <v>984541</v>
      </c>
      <c r="B3299" s="22" t="str">
        <f>IFERROR(VLOOKUP(A3299,VLOOKUPS!$A$2:B$12589,2,FALSE),"")</f>
        <v>Blueberries 1pt-standard</v>
      </c>
      <c r="E3299">
        <v>2.68</v>
      </c>
      <c r="F3299">
        <v>2.58</v>
      </c>
      <c r="G3299" s="13">
        <v>44603</v>
      </c>
      <c r="H3299" s="13"/>
      <c r="I3299" s="22" t="str">
        <f>VLOOKUP(J3299, Dropdowns!N:O, 2, FALSE)</f>
        <v>Standard</v>
      </c>
      <c r="J3299" t="s">
        <v>761</v>
      </c>
      <c r="L3299" s="17" t="s">
        <v>732</v>
      </c>
      <c r="M3299" s="17" t="s">
        <v>736</v>
      </c>
      <c r="N3299" s="17" t="s">
        <v>736</v>
      </c>
    </row>
    <row r="3300" spans="1:14" x14ac:dyDescent="0.25">
      <c r="A3300" s="8">
        <v>984461</v>
      </c>
      <c r="B3300" s="22" t="str">
        <f>IFERROR(VLOOKUP(A3300,VLOOKUPS!$A$2:B$12589,2,FALSE),"")</f>
        <v>Strawberries 2lb-standard</v>
      </c>
      <c r="E3300">
        <v>5.82</v>
      </c>
      <c r="F3300">
        <v>4.74</v>
      </c>
      <c r="G3300" s="13">
        <v>44603</v>
      </c>
      <c r="H3300" s="13"/>
      <c r="I3300" s="22" t="str">
        <f>VLOOKUP(J3300, Dropdowns!N:O, 2, FALSE)</f>
        <v>Standard</v>
      </c>
      <c r="J3300" t="s">
        <v>761</v>
      </c>
      <c r="L3300" s="17" t="s">
        <v>732</v>
      </c>
      <c r="M3300" s="17" t="s">
        <v>736</v>
      </c>
      <c r="N3300" s="17" t="s">
        <v>736</v>
      </c>
    </row>
    <row r="3301" spans="1:14" x14ac:dyDescent="0.25">
      <c r="A3301" s="8">
        <v>984701</v>
      </c>
      <c r="B3301" s="22" t="str">
        <f>IFERROR(VLOOKUP(A3301,VLOOKUPS!$A$2:B$12589,2,FALSE),"")</f>
        <v>Blackberries Super Sweet 6oz-standard</v>
      </c>
      <c r="E3301">
        <v>3.49</v>
      </c>
      <c r="F3301">
        <v>2.4900000000000002</v>
      </c>
      <c r="G3301" s="13">
        <v>44603</v>
      </c>
      <c r="H3301" s="13">
        <v>44605</v>
      </c>
      <c r="I3301" s="22" t="str">
        <f>VLOOKUP(J3301, Dropdowns!N:O, 2, FALSE)</f>
        <v>Lower Price</v>
      </c>
      <c r="J3301" t="s">
        <v>759</v>
      </c>
      <c r="L3301" s="17" t="s">
        <v>732</v>
      </c>
      <c r="M3301" s="17" t="s">
        <v>10</v>
      </c>
      <c r="N3301" s="17">
        <v>2</v>
      </c>
    </row>
    <row r="3302" spans="1:14" x14ac:dyDescent="0.25">
      <c r="A3302" s="8">
        <v>984701</v>
      </c>
      <c r="B3302" s="22" t="str">
        <f>IFERROR(VLOOKUP(A3302,VLOOKUPS!$A$2:B$12589,2,FALSE),"")</f>
        <v>Blackberries Super Sweet 6oz-standard</v>
      </c>
      <c r="E3302">
        <v>2.4900000000000002</v>
      </c>
      <c r="F3302">
        <v>3.49</v>
      </c>
      <c r="G3302" s="13">
        <v>44606</v>
      </c>
      <c r="H3302" s="13"/>
      <c r="I3302" s="22" t="str">
        <f>VLOOKUP(J3302, Dropdowns!N:O, 2, FALSE)</f>
        <v>Standard</v>
      </c>
      <c r="J3302" t="s">
        <v>760</v>
      </c>
      <c r="L3302" s="17" t="s">
        <v>732</v>
      </c>
      <c r="M3302" s="17" t="s">
        <v>10</v>
      </c>
      <c r="N3302" s="17">
        <v>2</v>
      </c>
    </row>
    <row r="3303" spans="1:14" x14ac:dyDescent="0.25">
      <c r="A3303" s="8">
        <v>984702</v>
      </c>
      <c r="B3303" s="22" t="str">
        <f>IFERROR(VLOOKUP(A3303,VLOOKUPS!$A$2:B$12589,2,FALSE),"")</f>
        <v>Blackberries 12oz-standard</v>
      </c>
      <c r="E3303">
        <v>3.72</v>
      </c>
      <c r="F3303">
        <v>2.72</v>
      </c>
      <c r="G3303" s="13">
        <v>44603</v>
      </c>
      <c r="H3303" s="13">
        <v>44604</v>
      </c>
      <c r="I3303" s="22" t="str">
        <f>VLOOKUP(J3303, Dropdowns!N:O, 2, FALSE)</f>
        <v>Lower Price</v>
      </c>
      <c r="J3303" t="s">
        <v>759</v>
      </c>
      <c r="L3303" s="17" t="s">
        <v>733</v>
      </c>
      <c r="M3303" s="17" t="s">
        <v>11</v>
      </c>
      <c r="N3303" s="17" t="s">
        <v>740</v>
      </c>
    </row>
    <row r="3304" spans="1:14" x14ac:dyDescent="0.25">
      <c r="A3304" s="8">
        <v>984702</v>
      </c>
      <c r="B3304" s="22" t="str">
        <f>IFERROR(VLOOKUP(A3304,VLOOKUPS!$A$2:B$12589,2,FALSE),"")</f>
        <v>Blackberries 12oz-standard</v>
      </c>
      <c r="E3304">
        <v>2.72</v>
      </c>
      <c r="F3304">
        <v>3.72</v>
      </c>
      <c r="G3304" s="13">
        <v>44605</v>
      </c>
      <c r="H3304" s="13"/>
      <c r="I3304" s="22" t="str">
        <f>VLOOKUP(J3304, Dropdowns!N:O, 2, FALSE)</f>
        <v>Standard</v>
      </c>
      <c r="J3304" t="s">
        <v>760</v>
      </c>
      <c r="L3304" s="17" t="s">
        <v>733</v>
      </c>
      <c r="M3304" s="17" t="s">
        <v>11</v>
      </c>
      <c r="N3304" s="17" t="s">
        <v>740</v>
      </c>
    </row>
    <row r="3305" spans="1:14" x14ac:dyDescent="0.25">
      <c r="A3305" s="8">
        <v>985160</v>
      </c>
      <c r="B3305" s="22" t="str">
        <f>IFERROR(VLOOKUP(A3305,VLOOKUPS!$A$2:B$12589,2,FALSE),"")</f>
        <v>Romaine Hearts 3ct-standard</v>
      </c>
      <c r="E3305">
        <v>2.64</v>
      </c>
      <c r="F3305">
        <v>1.64</v>
      </c>
      <c r="G3305" s="13">
        <v>44603</v>
      </c>
      <c r="H3305" s="13">
        <v>44605</v>
      </c>
      <c r="I3305" s="22" t="str">
        <f>VLOOKUP(J3305, Dropdowns!N:O, 2, FALSE)</f>
        <v>Lower Price</v>
      </c>
      <c r="J3305" t="s">
        <v>759</v>
      </c>
      <c r="L3305" s="17" t="s">
        <v>732</v>
      </c>
      <c r="M3305" s="17" t="s">
        <v>9</v>
      </c>
      <c r="N3305" s="17" t="s">
        <v>736</v>
      </c>
    </row>
    <row r="3306" spans="1:14" x14ac:dyDescent="0.25">
      <c r="A3306" s="8">
        <v>985160</v>
      </c>
      <c r="B3306" s="22" t="str">
        <f>IFERROR(VLOOKUP(A3306,VLOOKUPS!$A$2:B$12589,2,FALSE),"")</f>
        <v>Romaine Hearts 3ct-standard</v>
      </c>
      <c r="E3306">
        <v>1.64</v>
      </c>
      <c r="F3306">
        <v>2.64</v>
      </c>
      <c r="G3306" s="13">
        <v>44606</v>
      </c>
      <c r="H3306" s="13"/>
      <c r="I3306" s="22" t="str">
        <f>VLOOKUP(J3306, Dropdowns!N:O, 2, FALSE)</f>
        <v>Standard</v>
      </c>
      <c r="J3306" t="s">
        <v>760</v>
      </c>
      <c r="L3306" s="17" t="s">
        <v>732</v>
      </c>
      <c r="M3306" s="17" t="s">
        <v>9</v>
      </c>
      <c r="N3306" s="17" t="s">
        <v>736</v>
      </c>
    </row>
    <row r="3307" spans="1:14" x14ac:dyDescent="0.25">
      <c r="A3307" s="8">
        <v>995046</v>
      </c>
      <c r="B3307" s="22" t="str">
        <f>IFERROR(VLOOKUP(A3307,VLOOKUPS!$A$2:B$12589,2,FALSE),"")</f>
        <v>Diced Onion 8oz-standard</v>
      </c>
      <c r="E3307">
        <v>2.62</v>
      </c>
      <c r="F3307">
        <v>1.49</v>
      </c>
      <c r="G3307" s="13">
        <v>44603</v>
      </c>
      <c r="H3307" s="13">
        <v>44605</v>
      </c>
      <c r="I3307" s="22" t="str">
        <f>VLOOKUP(J3307, Dropdowns!N:O, 2, FALSE)</f>
        <v>Lower Price</v>
      </c>
      <c r="J3307" t="s">
        <v>759</v>
      </c>
      <c r="L3307" s="17" t="s">
        <v>732</v>
      </c>
      <c r="M3307" s="17" t="s">
        <v>10</v>
      </c>
      <c r="N3307" s="17">
        <v>2</v>
      </c>
    </row>
    <row r="3308" spans="1:14" x14ac:dyDescent="0.25">
      <c r="A3308" s="8">
        <v>995046</v>
      </c>
      <c r="B3308" s="22" t="str">
        <f>IFERROR(VLOOKUP(A3308,VLOOKUPS!$A$2:B$12589,2,FALSE),"")</f>
        <v>Diced Onion 8oz-standard</v>
      </c>
      <c r="E3308">
        <v>1.49</v>
      </c>
      <c r="F3308">
        <v>2.62</v>
      </c>
      <c r="G3308" s="13">
        <v>44606</v>
      </c>
      <c r="H3308" s="13"/>
      <c r="I3308" s="22" t="str">
        <f>VLOOKUP(J3308, Dropdowns!N:O, 2, FALSE)</f>
        <v>Standard</v>
      </c>
      <c r="J3308" t="s">
        <v>760</v>
      </c>
      <c r="L3308" s="17" t="s">
        <v>732</v>
      </c>
      <c r="M3308" s="17" t="s">
        <v>10</v>
      </c>
      <c r="N3308" s="17">
        <v>2</v>
      </c>
    </row>
    <row r="3309" spans="1:14" x14ac:dyDescent="0.25">
      <c r="A3309" s="8">
        <v>995084</v>
      </c>
      <c r="B3309" s="22" t="str">
        <f>IFERROR(VLOOKUP(A3309,VLOOKUPS!$A$2:B$12589,2,FALSE),"")</f>
        <v>Eat Smart Green Beans 12oz-standard</v>
      </c>
      <c r="E3309">
        <v>2.78</v>
      </c>
      <c r="F3309">
        <v>1.78</v>
      </c>
      <c r="G3309" s="13">
        <v>44603</v>
      </c>
      <c r="H3309" s="13">
        <v>44605</v>
      </c>
      <c r="I3309" s="22" t="str">
        <f>VLOOKUP(J3309, Dropdowns!N:O, 2, FALSE)</f>
        <v>Lower Price</v>
      </c>
      <c r="J3309" t="s">
        <v>759</v>
      </c>
      <c r="L3309" s="17" t="s">
        <v>733</v>
      </c>
      <c r="M3309" s="17" t="s">
        <v>11</v>
      </c>
      <c r="N3309" s="17" t="s">
        <v>740</v>
      </c>
    </row>
    <row r="3310" spans="1:14" x14ac:dyDescent="0.25">
      <c r="A3310" s="8">
        <v>995084</v>
      </c>
      <c r="B3310" s="22" t="str">
        <f>IFERROR(VLOOKUP(A3310,VLOOKUPS!$A$2:B$12589,2,FALSE),"")</f>
        <v>Eat Smart Green Beans 12oz-standard</v>
      </c>
      <c r="E3310">
        <v>1.78</v>
      </c>
      <c r="F3310">
        <v>2.78</v>
      </c>
      <c r="G3310" s="13">
        <v>44606</v>
      </c>
      <c r="H3310" s="13"/>
      <c r="I3310" s="22" t="str">
        <f>VLOOKUP(J3310, Dropdowns!N:O, 2, FALSE)</f>
        <v>Standard</v>
      </c>
      <c r="J3310" t="s">
        <v>760</v>
      </c>
      <c r="L3310" s="17" t="s">
        <v>733</v>
      </c>
      <c r="M3310" s="17" t="s">
        <v>11</v>
      </c>
      <c r="N3310" s="17" t="s">
        <v>740</v>
      </c>
    </row>
    <row r="3311" spans="1:14" x14ac:dyDescent="0.25">
      <c r="A3311" s="8">
        <v>995126</v>
      </c>
      <c r="B3311" s="22" t="str">
        <f>IFERROR(VLOOKUP(A3311,VLOOKUPS!$A$2:B$12589,2,FALSE),"")</f>
        <v>Broccoli &amp; Cauliflower 12oz-standard</v>
      </c>
      <c r="E3311">
        <v>2.4900000000000002</v>
      </c>
      <c r="F3311">
        <v>1.49</v>
      </c>
      <c r="G3311" s="13">
        <v>44603</v>
      </c>
      <c r="H3311" s="13">
        <v>44605</v>
      </c>
      <c r="I3311" s="22" t="str">
        <f>VLOOKUP(J3311, Dropdowns!N:O, 2, FALSE)</f>
        <v>Lower Price</v>
      </c>
      <c r="J3311" t="s">
        <v>759</v>
      </c>
      <c r="L3311" s="17" t="s">
        <v>732</v>
      </c>
      <c r="M3311" s="17" t="s">
        <v>9</v>
      </c>
      <c r="N3311" s="17" t="s">
        <v>736</v>
      </c>
    </row>
    <row r="3312" spans="1:14" x14ac:dyDescent="0.25">
      <c r="A3312" s="8">
        <v>995126</v>
      </c>
      <c r="B3312" s="22" t="str">
        <f>IFERROR(VLOOKUP(A3312,VLOOKUPS!$A$2:B$12589,2,FALSE),"")</f>
        <v>Broccoli &amp; Cauliflower 12oz-standard</v>
      </c>
      <c r="E3312">
        <v>1.49</v>
      </c>
      <c r="F3312">
        <v>2.4900000000000002</v>
      </c>
      <c r="G3312" s="13">
        <v>44606</v>
      </c>
      <c r="H3312" s="13"/>
      <c r="I3312" s="22" t="str">
        <f>VLOOKUP(J3312, Dropdowns!N:O, 2, FALSE)</f>
        <v>Standard</v>
      </c>
      <c r="J3312" t="s">
        <v>760</v>
      </c>
      <c r="L3312" s="17" t="s">
        <v>732</v>
      </c>
      <c r="M3312" s="17" t="s">
        <v>9</v>
      </c>
      <c r="N3312" s="17" t="s">
        <v>736</v>
      </c>
    </row>
    <row r="3313" spans="1:14" x14ac:dyDescent="0.25">
      <c r="A3313" s="8">
        <v>983301</v>
      </c>
      <c r="B3313" s="22" t="str">
        <f>IFERROR(VLOOKUP(A3313,VLOOKUPS!$A$2:B$12589,2,FALSE),"")</f>
        <v>Watermelons* Mini Seedless 1ct-LOOSE</v>
      </c>
      <c r="E3313">
        <v>4.9800000000000004</v>
      </c>
      <c r="F3313">
        <v>3.98</v>
      </c>
      <c r="G3313" s="13">
        <v>44603</v>
      </c>
      <c r="H3313" s="13">
        <v>44604</v>
      </c>
      <c r="I3313" s="22" t="str">
        <f>VLOOKUP(J3313, Dropdowns!N:O, 2, FALSE)</f>
        <v>Lower Price</v>
      </c>
      <c r="J3313" t="s">
        <v>759</v>
      </c>
      <c r="L3313" s="17" t="s">
        <v>733</v>
      </c>
      <c r="M3313" s="17" t="s">
        <v>11</v>
      </c>
      <c r="N3313" s="17" t="s">
        <v>740</v>
      </c>
    </row>
    <row r="3314" spans="1:14" x14ac:dyDescent="0.25">
      <c r="A3314" s="8">
        <v>983301</v>
      </c>
      <c r="B3314" s="22" t="str">
        <f>IFERROR(VLOOKUP(A3314,VLOOKUPS!$A$2:B$12589,2,FALSE),"")</f>
        <v>Watermelons* Mini Seedless 1ct-LOOSE</v>
      </c>
      <c r="E3314">
        <v>3.98</v>
      </c>
      <c r="F3314">
        <v>4.9800000000000004</v>
      </c>
      <c r="G3314" s="13">
        <v>44605</v>
      </c>
      <c r="H3314" s="13"/>
      <c r="I3314" s="22" t="str">
        <f>VLOOKUP(J3314, Dropdowns!N:O, 2, FALSE)</f>
        <v>Standard</v>
      </c>
      <c r="J3314" t="s">
        <v>760</v>
      </c>
      <c r="L3314" s="17" t="s">
        <v>733</v>
      </c>
      <c r="M3314" s="17" t="s">
        <v>11</v>
      </c>
      <c r="N3314" s="17" t="s">
        <v>740</v>
      </c>
    </row>
    <row r="3315" spans="1:14" x14ac:dyDescent="0.25">
      <c r="A3315" s="8">
        <v>982650</v>
      </c>
      <c r="B3315" s="22" t="str">
        <f>IFERROR(VLOOKUP(A3315,VLOOKUPS!$A$2:B$12589,2,FALSE),"")</f>
        <v>Grapes* Green Seedless 1lb-LOOSE</v>
      </c>
      <c r="E3315">
        <v>1.74</v>
      </c>
      <c r="F3315">
        <v>2.1</v>
      </c>
      <c r="G3315" s="13">
        <v>44604</v>
      </c>
      <c r="H3315" s="13"/>
      <c r="I3315" s="22" t="str">
        <f>VLOOKUP(J3315, Dropdowns!N:O, 2, FALSE)</f>
        <v>Standard</v>
      </c>
      <c r="J3315" t="s">
        <v>761</v>
      </c>
      <c r="L3315" s="17" t="s">
        <v>732</v>
      </c>
      <c r="M3315" s="17" t="s">
        <v>736</v>
      </c>
      <c r="N3315" s="17" t="s">
        <v>736</v>
      </c>
    </row>
    <row r="3316" spans="1:14" x14ac:dyDescent="0.25">
      <c r="A3316" s="8">
        <v>982740</v>
      </c>
      <c r="B3316" s="22" t="str">
        <f>IFERROR(VLOOKUP(A3316,VLOOKUPS!$A$2:B$12589,2,FALSE),"")</f>
        <v>Grapes* Red Seedless 1lb-LOOSE</v>
      </c>
      <c r="E3316">
        <v>1.77</v>
      </c>
      <c r="F3316">
        <v>1.88</v>
      </c>
      <c r="G3316" s="13">
        <v>44604</v>
      </c>
      <c r="H3316" s="13"/>
      <c r="I3316" s="22" t="str">
        <f>VLOOKUP(J3316, Dropdowns!N:O, 2, FALSE)</f>
        <v>Standard</v>
      </c>
      <c r="J3316" t="s">
        <v>761</v>
      </c>
      <c r="L3316" s="17" t="s">
        <v>732</v>
      </c>
      <c r="M3316" s="17" t="s">
        <v>736</v>
      </c>
      <c r="N3316" s="17" t="s">
        <v>736</v>
      </c>
    </row>
    <row r="3317" spans="1:14" x14ac:dyDescent="0.25">
      <c r="A3317" s="8">
        <v>984462</v>
      </c>
      <c r="B3317" s="22" t="str">
        <f>IFERROR(VLOOKUP(A3317,VLOOKUPS!$A$2:B$12589,2,FALSE),"")</f>
        <v>Strawberries Long Stem 1lb-standard</v>
      </c>
      <c r="E3317">
        <v>6.99</v>
      </c>
      <c r="F3317">
        <v>3.99</v>
      </c>
      <c r="G3317" s="13">
        <v>44608</v>
      </c>
      <c r="H3317" s="13">
        <v>44610</v>
      </c>
      <c r="I3317" s="22" t="str">
        <f>VLOOKUP(J3317, Dropdowns!N:O, 2, FALSE)</f>
        <v>Lower Price</v>
      </c>
      <c r="J3317" t="s">
        <v>759</v>
      </c>
      <c r="L3317" s="17" t="s">
        <v>732</v>
      </c>
      <c r="M3317" s="17" t="s">
        <v>10</v>
      </c>
      <c r="N3317" s="17">
        <v>2</v>
      </c>
    </row>
    <row r="3318" spans="1:14" x14ac:dyDescent="0.25">
      <c r="A3318" s="8">
        <v>984462</v>
      </c>
      <c r="B3318" s="22" t="str">
        <f>IFERROR(VLOOKUP(A3318,VLOOKUPS!$A$2:B$12589,2,FALSE),"")</f>
        <v>Strawberries Long Stem 1lb-standard</v>
      </c>
      <c r="E3318">
        <v>3.99</v>
      </c>
      <c r="F3318">
        <v>6.99</v>
      </c>
      <c r="G3318" s="13">
        <v>44611</v>
      </c>
      <c r="H3318" s="13"/>
      <c r="I3318" s="22" t="str">
        <f>VLOOKUP(J3318, Dropdowns!N:O, 2, FALSE)</f>
        <v>Standard</v>
      </c>
      <c r="J3318" t="s">
        <v>760</v>
      </c>
      <c r="L3318" s="17" t="s">
        <v>732</v>
      </c>
      <c r="M3318" s="17" t="s">
        <v>10</v>
      </c>
      <c r="N3318" s="17">
        <v>2</v>
      </c>
    </row>
    <row r="3319" spans="1:14" x14ac:dyDescent="0.25">
      <c r="A3319" s="8">
        <v>984462</v>
      </c>
      <c r="B3319" s="22" t="str">
        <f>IFERROR(VLOOKUP(A3319,VLOOKUPS!$A$2:B$12589,2,FALSE),"")</f>
        <v>Strawberries Long Stem 1lb-standard</v>
      </c>
      <c r="D3319">
        <v>4</v>
      </c>
      <c r="E3319">
        <v>6.99</v>
      </c>
      <c r="G3319" s="13">
        <v>44608</v>
      </c>
      <c r="H3319" s="13"/>
      <c r="I3319" s="22" t="str">
        <f>VLOOKUP(J3319, Dropdowns!N:O, 2, FALSE)</f>
        <v>NA</v>
      </c>
      <c r="J3319" t="s">
        <v>754</v>
      </c>
      <c r="L3319" s="17" t="s">
        <v>732</v>
      </c>
      <c r="M3319" s="17" t="s">
        <v>737</v>
      </c>
      <c r="N3319" s="17" t="s">
        <v>736</v>
      </c>
    </row>
    <row r="3320" spans="1:14" x14ac:dyDescent="0.25">
      <c r="A3320" s="8">
        <v>984620</v>
      </c>
      <c r="B3320" s="22" t="str">
        <f>IFERROR(VLOOKUP(A3320,VLOOKUPS!$A$2:B$12589,2,FALSE),"")</f>
        <v>Raspberries 6oz-standard</v>
      </c>
      <c r="G3320" s="13">
        <v>44608</v>
      </c>
      <c r="H3320" s="13">
        <v>44614</v>
      </c>
      <c r="I3320" s="22" t="str">
        <f>VLOOKUP(J3320, Dropdowns!N:O, 2, FALSE)</f>
        <v>Lower Price</v>
      </c>
      <c r="J3320" t="s">
        <v>753</v>
      </c>
      <c r="L3320" s="17" t="s">
        <v>732</v>
      </c>
      <c r="M3320" s="17" t="s">
        <v>736</v>
      </c>
      <c r="N3320" s="17" t="s">
        <v>736</v>
      </c>
    </row>
    <row r="3321" spans="1:14" x14ac:dyDescent="0.25">
      <c r="A3321" s="8">
        <v>984700</v>
      </c>
      <c r="B3321" s="22" t="str">
        <f>IFERROR(VLOOKUP(A3321,VLOOKUPS!$A$2:B$12589,2,FALSE),"")</f>
        <v>Blackberries 6oz-standard</v>
      </c>
      <c r="E3321">
        <v>1.99</v>
      </c>
      <c r="F3321">
        <v>1.29</v>
      </c>
      <c r="G3321" s="13">
        <v>44608</v>
      </c>
      <c r="H3321" s="13">
        <v>44609</v>
      </c>
      <c r="I3321" s="22" t="str">
        <f>VLOOKUP(J3321, Dropdowns!N:O, 2, FALSE)</f>
        <v>Lower Price</v>
      </c>
      <c r="J3321" t="s">
        <v>759</v>
      </c>
      <c r="L3321" s="17" t="s">
        <v>732</v>
      </c>
      <c r="M3321" s="17" t="s">
        <v>738</v>
      </c>
      <c r="N3321" s="17">
        <v>2</v>
      </c>
    </row>
    <row r="3322" spans="1:14" x14ac:dyDescent="0.25">
      <c r="A3322" s="8">
        <v>984700</v>
      </c>
      <c r="B3322" s="22" t="str">
        <f>IFERROR(VLOOKUP(A3322,VLOOKUPS!$A$2:B$12589,2,FALSE),"")</f>
        <v>Blackberries 6oz-standard</v>
      </c>
      <c r="E3322">
        <v>1.29</v>
      </c>
      <c r="F3322">
        <v>1.99</v>
      </c>
      <c r="G3322" s="13">
        <v>44610</v>
      </c>
      <c r="H3322" s="13"/>
      <c r="I3322" s="22" t="str">
        <f>VLOOKUP(J3322, Dropdowns!N:O, 2, FALSE)</f>
        <v>Standard</v>
      </c>
      <c r="J3322" t="s">
        <v>760</v>
      </c>
      <c r="L3322" s="17" t="s">
        <v>732</v>
      </c>
      <c r="M3322" s="17" t="s">
        <v>738</v>
      </c>
      <c r="N3322" s="17">
        <v>2</v>
      </c>
    </row>
    <row r="3323" spans="1:14" x14ac:dyDescent="0.25">
      <c r="A3323" s="8">
        <v>985060</v>
      </c>
      <c r="B3323" s="22" t="str">
        <f>IFERROR(VLOOKUP(A3323,VLOOKUPS!$A$2:B$12589,2,FALSE),"")</f>
        <v>Lettuce* Iceberg 1ct-standard</v>
      </c>
      <c r="E3323">
        <v>1.78</v>
      </c>
      <c r="F3323">
        <v>1.08</v>
      </c>
      <c r="G3323" s="13">
        <v>44608</v>
      </c>
      <c r="H3323" s="13">
        <v>44609</v>
      </c>
      <c r="I3323" s="22" t="str">
        <f>VLOOKUP(J3323, Dropdowns!N:O, 2, FALSE)</f>
        <v>Lower Price</v>
      </c>
      <c r="J3323" t="s">
        <v>759</v>
      </c>
      <c r="L3323" s="17" t="s">
        <v>733</v>
      </c>
      <c r="M3323" s="17" t="s">
        <v>11</v>
      </c>
      <c r="N3323" s="17" t="s">
        <v>740</v>
      </c>
    </row>
    <row r="3324" spans="1:14" x14ac:dyDescent="0.25">
      <c r="A3324" s="8">
        <v>985060</v>
      </c>
      <c r="B3324" s="22" t="str">
        <f>IFERROR(VLOOKUP(A3324,VLOOKUPS!$A$2:B$12589,2,FALSE),"")</f>
        <v>Lettuce* Iceberg 1ct-standard</v>
      </c>
      <c r="E3324">
        <v>1.08</v>
      </c>
      <c r="F3324">
        <v>1.78</v>
      </c>
      <c r="G3324" s="13">
        <v>44610</v>
      </c>
      <c r="H3324" s="13"/>
      <c r="I3324" s="22" t="str">
        <f>VLOOKUP(J3324, Dropdowns!N:O, 2, FALSE)</f>
        <v>Standard</v>
      </c>
      <c r="J3324" t="s">
        <v>760</v>
      </c>
      <c r="L3324" s="17" t="s">
        <v>733</v>
      </c>
      <c r="M3324" s="17" t="s">
        <v>11</v>
      </c>
      <c r="N3324" s="17" t="s">
        <v>740</v>
      </c>
    </row>
    <row r="3325" spans="1:14" x14ac:dyDescent="0.25">
      <c r="A3325" s="8">
        <v>985160</v>
      </c>
      <c r="B3325" s="22" t="str">
        <f>IFERROR(VLOOKUP(A3325,VLOOKUPS!$A$2:B$12589,2,FALSE),"")</f>
        <v>Romaine Hearts 3ct-standard</v>
      </c>
      <c r="E3325">
        <v>2.64</v>
      </c>
      <c r="F3325">
        <v>1.74</v>
      </c>
      <c r="G3325" s="13">
        <v>44608</v>
      </c>
      <c r="H3325" s="13">
        <v>44610</v>
      </c>
      <c r="I3325" s="22" t="str">
        <f>VLOOKUP(J3325, Dropdowns!N:O, 2, FALSE)</f>
        <v>Lower Price</v>
      </c>
      <c r="J3325" t="s">
        <v>759</v>
      </c>
      <c r="L3325" s="17" t="s">
        <v>733</v>
      </c>
      <c r="M3325" s="17" t="s">
        <v>11</v>
      </c>
      <c r="N3325" s="17" t="s">
        <v>740</v>
      </c>
    </row>
    <row r="3326" spans="1:14" x14ac:dyDescent="0.25">
      <c r="A3326" s="8">
        <v>985160</v>
      </c>
      <c r="B3326" s="22" t="str">
        <f>IFERROR(VLOOKUP(A3326,VLOOKUPS!$A$2:B$12589,2,FALSE),"")</f>
        <v>Romaine Hearts 3ct-standard</v>
      </c>
      <c r="E3326">
        <v>1.74</v>
      </c>
      <c r="F3326">
        <v>2.64</v>
      </c>
      <c r="G3326" s="13">
        <v>44611</v>
      </c>
      <c r="H3326" s="13"/>
      <c r="I3326" s="22" t="str">
        <f>VLOOKUP(J3326, Dropdowns!N:O, 2, FALSE)</f>
        <v>Standard</v>
      </c>
      <c r="J3326" t="s">
        <v>760</v>
      </c>
      <c r="L3326" s="17" t="s">
        <v>733</v>
      </c>
      <c r="M3326" s="17" t="s">
        <v>11</v>
      </c>
      <c r="N3326" s="17" t="s">
        <v>740</v>
      </c>
    </row>
    <row r="3327" spans="1:14" x14ac:dyDescent="0.25">
      <c r="A3327" s="8">
        <v>988620</v>
      </c>
      <c r="B3327" s="22" t="str">
        <f>IFERROR(VLOOKUP(A3327,VLOOKUPS!$A$2:B$12589,2,FALSE),"")</f>
        <v>Brussels Sprouts 1lb-standard</v>
      </c>
      <c r="G3327" s="13">
        <v>44608</v>
      </c>
      <c r="H3327" s="13">
        <v>44614</v>
      </c>
      <c r="I3327" s="22" t="str">
        <f>VLOOKUP(J3327, Dropdowns!N:O, 2, FALSE)</f>
        <v>Lower Price</v>
      </c>
      <c r="J3327" t="s">
        <v>753</v>
      </c>
      <c r="L3327" s="17" t="s">
        <v>732</v>
      </c>
      <c r="M3327" s="17" t="s">
        <v>736</v>
      </c>
      <c r="N3327" s="17" t="s">
        <v>736</v>
      </c>
    </row>
    <row r="3328" spans="1:14" x14ac:dyDescent="0.25">
      <c r="A3328" s="8">
        <v>995000</v>
      </c>
      <c r="B3328" s="22" t="str">
        <f>IFERROR(VLOOKUP(A3328,VLOOKUPS!$A$2:B$12589,2,FALSE),"")</f>
        <v>Spring Mix 5oz-standard</v>
      </c>
      <c r="E3328">
        <v>1.89</v>
      </c>
      <c r="F3328">
        <v>1.0900000000000001</v>
      </c>
      <c r="G3328" s="13">
        <v>44608</v>
      </c>
      <c r="H3328" s="13">
        <v>44609</v>
      </c>
      <c r="I3328" s="22" t="str">
        <f>VLOOKUP(J3328, Dropdowns!N:O, 2, FALSE)</f>
        <v>Lower Price</v>
      </c>
      <c r="J3328" t="s">
        <v>759</v>
      </c>
      <c r="L3328" s="17" t="s">
        <v>732</v>
      </c>
      <c r="M3328" s="17" t="s">
        <v>10</v>
      </c>
      <c r="N3328" s="17">
        <v>2</v>
      </c>
    </row>
    <row r="3329" spans="1:14" x14ac:dyDescent="0.25">
      <c r="A3329" s="8">
        <v>995000</v>
      </c>
      <c r="B3329" s="22" t="str">
        <f>IFERROR(VLOOKUP(A3329,VLOOKUPS!$A$2:B$12589,2,FALSE),"")</f>
        <v>Spring Mix 5oz-standard</v>
      </c>
      <c r="E3329">
        <v>1.0900000000000001</v>
      </c>
      <c r="F3329">
        <v>1.89</v>
      </c>
      <c r="G3329" s="13">
        <v>44610</v>
      </c>
      <c r="H3329" s="13"/>
      <c r="I3329" s="22" t="str">
        <f>VLOOKUP(J3329, Dropdowns!N:O, 2, FALSE)</f>
        <v>Standard</v>
      </c>
      <c r="J3329" t="s">
        <v>760</v>
      </c>
      <c r="L3329" s="17" t="s">
        <v>732</v>
      </c>
      <c r="M3329" s="17" t="s">
        <v>10</v>
      </c>
      <c r="N3329" s="17">
        <v>2</v>
      </c>
    </row>
    <row r="3330" spans="1:14" x14ac:dyDescent="0.25">
      <c r="A3330" s="8">
        <v>995013</v>
      </c>
      <c r="B3330" s="22" t="str">
        <f>IFERROR(VLOOKUP(A3330,VLOOKUPS!$A$2:B$12589,2,FALSE),"")</f>
        <v>Spinach 8oz-standard</v>
      </c>
      <c r="E3330">
        <v>1.29</v>
      </c>
      <c r="F3330">
        <v>0.79</v>
      </c>
      <c r="G3330" s="13">
        <v>44608</v>
      </c>
      <c r="H3330" s="13">
        <v>44609</v>
      </c>
      <c r="I3330" s="22" t="str">
        <f>VLOOKUP(J3330, Dropdowns!N:O, 2, FALSE)</f>
        <v>Lower Price</v>
      </c>
      <c r="J3330" t="s">
        <v>759</v>
      </c>
      <c r="L3330" s="17" t="s">
        <v>732</v>
      </c>
      <c r="M3330" s="17" t="s">
        <v>9</v>
      </c>
      <c r="N3330" s="17" t="s">
        <v>736</v>
      </c>
    </row>
    <row r="3331" spans="1:14" x14ac:dyDescent="0.25">
      <c r="A3331" s="8">
        <v>995013</v>
      </c>
      <c r="B3331" s="22" t="str">
        <f>IFERROR(VLOOKUP(A3331,VLOOKUPS!$A$2:B$12589,2,FALSE),"")</f>
        <v>Spinach 8oz-standard</v>
      </c>
      <c r="E3331">
        <v>0.79</v>
      </c>
      <c r="F3331">
        <v>1.29</v>
      </c>
      <c r="G3331" s="13">
        <v>44610</v>
      </c>
      <c r="H3331" s="13"/>
      <c r="I3331" s="22" t="str">
        <f>VLOOKUP(J3331, Dropdowns!N:O, 2, FALSE)</f>
        <v>Standard</v>
      </c>
      <c r="J3331" t="s">
        <v>760</v>
      </c>
      <c r="L3331" s="17" t="s">
        <v>732</v>
      </c>
      <c r="M3331" s="17" t="s">
        <v>9</v>
      </c>
      <c r="N3331" s="17" t="s">
        <v>736</v>
      </c>
    </row>
    <row r="3332" spans="1:14" x14ac:dyDescent="0.25">
      <c r="A3332" s="8">
        <v>995019</v>
      </c>
      <c r="B3332" s="22" t="str">
        <f>IFERROR(VLOOKUP(A3332,VLOOKUPS!$A$2:B$12589,2,FALSE),"")</f>
        <v>RTE Large Santa Fe Salad 14oz-standard</v>
      </c>
      <c r="E3332">
        <v>5.34</v>
      </c>
      <c r="F3332">
        <v>4.24</v>
      </c>
      <c r="G3332" s="13">
        <v>44608</v>
      </c>
      <c r="H3332" s="13">
        <v>44609</v>
      </c>
      <c r="I3332" s="22" t="str">
        <f>VLOOKUP(J3332, Dropdowns!N:O, 2, FALSE)</f>
        <v>Lower Price</v>
      </c>
      <c r="J3332" t="s">
        <v>759</v>
      </c>
      <c r="L3332" s="17" t="s">
        <v>733</v>
      </c>
      <c r="M3332" s="17" t="s">
        <v>11</v>
      </c>
      <c r="N3332" s="17" t="s">
        <v>740</v>
      </c>
    </row>
    <row r="3333" spans="1:14" x14ac:dyDescent="0.25">
      <c r="A3333" s="8">
        <v>995019</v>
      </c>
      <c r="B3333" s="22" t="str">
        <f>IFERROR(VLOOKUP(A3333,VLOOKUPS!$A$2:B$12589,2,FALSE),"")</f>
        <v>RTE Large Santa Fe Salad 14oz-standard</v>
      </c>
      <c r="E3333">
        <v>4.24</v>
      </c>
      <c r="F3333">
        <v>5.34</v>
      </c>
      <c r="G3333" s="13">
        <v>44610</v>
      </c>
      <c r="H3333" s="13"/>
      <c r="I3333" s="22" t="str">
        <f>VLOOKUP(J3333, Dropdowns!N:O, 2, FALSE)</f>
        <v>Standard</v>
      </c>
      <c r="J3333" t="s">
        <v>760</v>
      </c>
      <c r="L3333" s="17" t="s">
        <v>733</v>
      </c>
      <c r="M3333" s="17" t="s">
        <v>11</v>
      </c>
      <c r="N3333" s="17" t="s">
        <v>740</v>
      </c>
    </row>
    <row r="3334" spans="1:14" x14ac:dyDescent="0.25">
      <c r="A3334" s="8">
        <v>995051</v>
      </c>
      <c r="B3334" s="22" t="str">
        <f>IFERROR(VLOOKUP(A3334,VLOOKUPS!$A$2:B$12589,2,FALSE),"")</f>
        <v>Mild Fresh Chopped Salsa 16oz-standard</v>
      </c>
      <c r="E3334">
        <v>4.49</v>
      </c>
      <c r="F3334">
        <v>4.79</v>
      </c>
      <c r="G3334" s="13">
        <v>44608</v>
      </c>
      <c r="H3334" s="13"/>
      <c r="I3334" s="22" t="str">
        <f>VLOOKUP(J3334, Dropdowns!N:O, 2, FALSE)</f>
        <v>Standard</v>
      </c>
      <c r="J3334" t="s">
        <v>761</v>
      </c>
      <c r="L3334" s="17" t="s">
        <v>732</v>
      </c>
      <c r="M3334" s="17" t="s">
        <v>736</v>
      </c>
      <c r="N3334" s="17" t="s">
        <v>736</v>
      </c>
    </row>
    <row r="3335" spans="1:14" x14ac:dyDescent="0.25">
      <c r="A3335" s="8">
        <v>995053</v>
      </c>
      <c r="B3335" s="22" t="str">
        <f>IFERROR(VLOOKUP(A3335,VLOOKUPS!$A$2:B$12589,2,FALSE),"")</f>
        <v>Fresh Chopped Salsa Pico 16oz-standard</v>
      </c>
      <c r="E3335">
        <v>4.49</v>
      </c>
      <c r="F3335">
        <v>4.79</v>
      </c>
      <c r="G3335" s="13">
        <v>44608</v>
      </c>
      <c r="H3335" s="13"/>
      <c r="I3335" s="22" t="str">
        <f>VLOOKUP(J3335, Dropdowns!N:O, 2, FALSE)</f>
        <v>Standard</v>
      </c>
      <c r="J3335" t="s">
        <v>761</v>
      </c>
      <c r="L3335" s="17" t="s">
        <v>732</v>
      </c>
      <c r="M3335" s="17" t="s">
        <v>736</v>
      </c>
      <c r="N3335" s="17" t="s">
        <v>736</v>
      </c>
    </row>
    <row r="3336" spans="1:14" x14ac:dyDescent="0.25">
      <c r="A3336" s="8">
        <v>995101</v>
      </c>
      <c r="B3336" s="22" t="str">
        <f>IFERROR(VLOOKUP(A3336,VLOOKUPS!$A$2:B$12589,2,FALSE),"")</f>
        <v>Avocado Ranch Salad Kit 11.3oz-standard</v>
      </c>
      <c r="E3336">
        <v>3.49</v>
      </c>
      <c r="F3336">
        <v>1.99</v>
      </c>
      <c r="G3336" s="13">
        <v>44608</v>
      </c>
      <c r="H3336" s="13">
        <v>44609</v>
      </c>
      <c r="I3336" s="22" t="str">
        <f>VLOOKUP(J3336, Dropdowns!N:O, 2, FALSE)</f>
        <v>Lower Price</v>
      </c>
      <c r="J3336" t="s">
        <v>759</v>
      </c>
      <c r="L3336" s="17" t="s">
        <v>732</v>
      </c>
      <c r="M3336" s="17" t="s">
        <v>738</v>
      </c>
      <c r="N3336" s="17">
        <v>2</v>
      </c>
    </row>
    <row r="3337" spans="1:14" x14ac:dyDescent="0.25">
      <c r="A3337" s="8">
        <v>995101</v>
      </c>
      <c r="B3337" s="22" t="str">
        <f>IFERROR(VLOOKUP(A3337,VLOOKUPS!$A$2:B$12589,2,FALSE),"")</f>
        <v>Avocado Ranch Salad Kit 11.3oz-standard</v>
      </c>
      <c r="E3337">
        <v>1.99</v>
      </c>
      <c r="F3337">
        <v>3.49</v>
      </c>
      <c r="G3337" s="13">
        <v>44610</v>
      </c>
      <c r="H3337" s="13"/>
      <c r="I3337" s="22" t="str">
        <f>VLOOKUP(J3337, Dropdowns!N:O, 2, FALSE)</f>
        <v>Standard</v>
      </c>
      <c r="J3337" t="s">
        <v>760</v>
      </c>
      <c r="L3337" s="17" t="s">
        <v>732</v>
      </c>
      <c r="M3337" s="17" t="s">
        <v>738</v>
      </c>
      <c r="N3337" s="17">
        <v>2</v>
      </c>
    </row>
    <row r="3338" spans="1:14" x14ac:dyDescent="0.25">
      <c r="A3338" s="8">
        <v>995135</v>
      </c>
      <c r="B3338" s="22" t="str">
        <f>IFERROR(VLOOKUP(A3338,VLOOKUPS!$A$2:B$12589,2,FALSE),"")</f>
        <v>XL Mild Fresh Salsa 30oz-standard</v>
      </c>
      <c r="D3338">
        <v>6</v>
      </c>
      <c r="E3338">
        <v>6.99</v>
      </c>
      <c r="G3338" s="13">
        <v>44608</v>
      </c>
      <c r="H3338" s="13"/>
      <c r="I3338" s="22" t="str">
        <f>VLOOKUP(J3338, Dropdowns!N:O, 2, FALSE)</f>
        <v>NA</v>
      </c>
      <c r="J3338" t="s">
        <v>754</v>
      </c>
      <c r="L3338" s="17" t="s">
        <v>732</v>
      </c>
      <c r="M3338" s="17" t="s">
        <v>737</v>
      </c>
      <c r="N3338" s="17" t="s">
        <v>736</v>
      </c>
    </row>
    <row r="3339" spans="1:14" x14ac:dyDescent="0.25">
      <c r="A3339" s="8">
        <v>995171</v>
      </c>
      <c r="B3339" s="22" t="str">
        <f>IFERROR(VLOOKUP(A3339,VLOOKUPS!$A$2:B$12589,2,FALSE),"")</f>
        <v>Kale Greens 2lb-standard</v>
      </c>
      <c r="E3339">
        <v>4.5599999999999996</v>
      </c>
      <c r="F3339">
        <v>2.86</v>
      </c>
      <c r="G3339" s="13">
        <v>44608</v>
      </c>
      <c r="H3339" s="13">
        <v>44609</v>
      </c>
      <c r="I3339" s="22" t="str">
        <f>VLOOKUP(J3339, Dropdowns!N:O, 2, FALSE)</f>
        <v>Lower Price</v>
      </c>
      <c r="J3339" t="s">
        <v>759</v>
      </c>
      <c r="L3339" s="17" t="s">
        <v>732</v>
      </c>
      <c r="M3339" s="17" t="s">
        <v>738</v>
      </c>
      <c r="N3339" s="17">
        <v>2</v>
      </c>
    </row>
    <row r="3340" spans="1:14" x14ac:dyDescent="0.25">
      <c r="A3340" s="8">
        <v>995171</v>
      </c>
      <c r="B3340" s="22" t="str">
        <f>IFERROR(VLOOKUP(A3340,VLOOKUPS!$A$2:B$12589,2,FALSE),"")</f>
        <v>Kale Greens 2lb-standard</v>
      </c>
      <c r="E3340">
        <v>2.86</v>
      </c>
      <c r="F3340">
        <v>4.5599999999999996</v>
      </c>
      <c r="G3340" s="13">
        <v>44610</v>
      </c>
      <c r="H3340" s="13"/>
      <c r="I3340" s="22" t="str">
        <f>VLOOKUP(J3340, Dropdowns!N:O, 2, FALSE)</f>
        <v>Standard</v>
      </c>
      <c r="J3340" t="s">
        <v>760</v>
      </c>
      <c r="L3340" s="17" t="s">
        <v>732</v>
      </c>
      <c r="M3340" s="17" t="s">
        <v>738</v>
      </c>
      <c r="N3340" s="17">
        <v>2</v>
      </c>
    </row>
    <row r="3341" spans="1:14" x14ac:dyDescent="0.25">
      <c r="A3341" s="8">
        <v>995174</v>
      </c>
      <c r="B3341" s="22" t="str">
        <f>IFERROR(VLOOKUP(A3341,VLOOKUPS!$A$2:B$12589,2,FALSE),"")</f>
        <v>Vegetable Tray 24oz-standard</v>
      </c>
      <c r="E3341">
        <v>8.36</v>
      </c>
      <c r="F3341">
        <v>6.36</v>
      </c>
      <c r="G3341" s="13">
        <v>44608</v>
      </c>
      <c r="H3341" s="13">
        <v>44610</v>
      </c>
      <c r="I3341" s="22" t="str">
        <f>VLOOKUP(J3341, Dropdowns!N:O, 2, FALSE)</f>
        <v>Lower Price</v>
      </c>
      <c r="J3341" t="s">
        <v>759</v>
      </c>
      <c r="L3341" s="17" t="s">
        <v>732</v>
      </c>
      <c r="M3341" s="17" t="s">
        <v>10</v>
      </c>
      <c r="N3341" s="17">
        <v>2</v>
      </c>
    </row>
    <row r="3342" spans="1:14" x14ac:dyDescent="0.25">
      <c r="A3342" s="8">
        <v>995174</v>
      </c>
      <c r="B3342" s="22" t="str">
        <f>IFERROR(VLOOKUP(A3342,VLOOKUPS!$A$2:B$12589,2,FALSE),"")</f>
        <v>Vegetable Tray 24oz-standard</v>
      </c>
      <c r="E3342">
        <v>6.36</v>
      </c>
      <c r="F3342">
        <v>8.36</v>
      </c>
      <c r="G3342" s="13">
        <v>44611</v>
      </c>
      <c r="H3342" s="13"/>
      <c r="I3342" s="22" t="str">
        <f>VLOOKUP(J3342, Dropdowns!N:O, 2, FALSE)</f>
        <v>Standard</v>
      </c>
      <c r="J3342" t="s">
        <v>760</v>
      </c>
      <c r="L3342" s="17" t="s">
        <v>732</v>
      </c>
      <c r="M3342" s="17" t="s">
        <v>10</v>
      </c>
      <c r="N3342" s="17">
        <v>2</v>
      </c>
    </row>
    <row r="3343" spans="1:14" x14ac:dyDescent="0.25">
      <c r="A3343" s="8">
        <v>985760</v>
      </c>
      <c r="B3343" s="22" t="str">
        <f>IFERROR(VLOOKUP(A3343,VLOOKUPS!$A$2:B$12589,2,FALSE),"")</f>
        <v>Asparagus 1lb-standard</v>
      </c>
      <c r="G3343" s="13">
        <v>44608</v>
      </c>
      <c r="H3343" s="13">
        <v>44609</v>
      </c>
      <c r="I3343" s="22" t="str">
        <f>VLOOKUP(J3343, Dropdowns!N:O, 2, FALSE)</f>
        <v>Lower Price</v>
      </c>
      <c r="J3343" t="s">
        <v>762</v>
      </c>
      <c r="L3343" s="17" t="s">
        <v>732</v>
      </c>
      <c r="M3343" s="17" t="s">
        <v>736</v>
      </c>
      <c r="N3343" s="17" t="s">
        <v>736</v>
      </c>
    </row>
    <row r="3344" spans="1:14" x14ac:dyDescent="0.25">
      <c r="A3344" s="8">
        <v>984460</v>
      </c>
      <c r="B3344" s="22" t="str">
        <f>IFERROR(VLOOKUP(A3344,VLOOKUPS!$A$2:B$12589,2,FALSE),"")</f>
        <v>Strawberries 1lb-standard</v>
      </c>
      <c r="E3344">
        <v>1.99</v>
      </c>
      <c r="F3344">
        <v>2.96</v>
      </c>
      <c r="G3344" s="13">
        <v>44608</v>
      </c>
      <c r="H3344" s="13"/>
      <c r="I3344" s="22" t="str">
        <f>VLOOKUP(J3344, Dropdowns!N:O, 2, FALSE)</f>
        <v>Standard</v>
      </c>
      <c r="J3344" t="s">
        <v>760</v>
      </c>
      <c r="L3344" s="17" t="s">
        <v>732</v>
      </c>
      <c r="M3344" s="17" t="s">
        <v>736</v>
      </c>
      <c r="N3344" s="17" t="s">
        <v>736</v>
      </c>
    </row>
    <row r="3345" spans="1:14" x14ac:dyDescent="0.25">
      <c r="A3345" s="8">
        <v>984460</v>
      </c>
      <c r="B3345" s="22" t="str">
        <f>IFERROR(VLOOKUP(A3345,VLOOKUPS!$A$2:B$12589,2,FALSE),"")</f>
        <v>Strawberries 1lb-standard</v>
      </c>
      <c r="E3345">
        <v>2.96</v>
      </c>
      <c r="F3345">
        <v>2.59</v>
      </c>
      <c r="G3345" s="13">
        <v>44609</v>
      </c>
      <c r="H3345" s="13"/>
      <c r="I3345" s="22" t="str">
        <f>VLOOKUP(J3345, Dropdowns!N:O, 2, FALSE)</f>
        <v>Standard</v>
      </c>
      <c r="J3345" t="s">
        <v>761</v>
      </c>
      <c r="L3345" s="17" t="s">
        <v>732</v>
      </c>
      <c r="M3345" s="17" t="s">
        <v>736</v>
      </c>
      <c r="N3345" s="17" t="s">
        <v>736</v>
      </c>
    </row>
    <row r="3346" spans="1:14" x14ac:dyDescent="0.25">
      <c r="A3346" s="8">
        <v>983101</v>
      </c>
      <c r="B3346" s="22" t="str">
        <f>IFERROR(VLOOKUP(A3346,VLOOKUPS!$A$2:B$12589,2,FALSE),"")</f>
        <v>Melons Cantaloupes 1ct-LOOSE</v>
      </c>
      <c r="E3346">
        <v>2.98</v>
      </c>
      <c r="F3346">
        <v>1.78</v>
      </c>
      <c r="G3346" s="13">
        <v>44608</v>
      </c>
      <c r="H3346" s="13">
        <v>44609</v>
      </c>
      <c r="I3346" s="22" t="str">
        <f>VLOOKUP(J3346, Dropdowns!N:O, 2, FALSE)</f>
        <v>Lower Price</v>
      </c>
      <c r="J3346" t="s">
        <v>759</v>
      </c>
      <c r="L3346" s="17" t="s">
        <v>732</v>
      </c>
      <c r="M3346" s="17" t="s">
        <v>9</v>
      </c>
      <c r="N3346" s="17" t="s">
        <v>736</v>
      </c>
    </row>
    <row r="3347" spans="1:14" x14ac:dyDescent="0.25">
      <c r="A3347" s="8">
        <v>983101</v>
      </c>
      <c r="B3347" s="22" t="str">
        <f>IFERROR(VLOOKUP(A3347,VLOOKUPS!$A$2:B$12589,2,FALSE),"")</f>
        <v>Melons Cantaloupes 1ct-LOOSE</v>
      </c>
      <c r="E3347">
        <v>1.78</v>
      </c>
      <c r="F3347">
        <v>2.98</v>
      </c>
      <c r="G3347" s="13">
        <v>44610</v>
      </c>
      <c r="H3347" s="13"/>
      <c r="I3347" s="22" t="str">
        <f>VLOOKUP(J3347, Dropdowns!N:O, 2, FALSE)</f>
        <v>Standard</v>
      </c>
      <c r="J3347" t="s">
        <v>760</v>
      </c>
      <c r="L3347" s="17" t="s">
        <v>732</v>
      </c>
      <c r="M3347" s="17" t="s">
        <v>9</v>
      </c>
      <c r="N3347" s="17" t="s">
        <v>736</v>
      </c>
    </row>
    <row r="3348" spans="1:14" x14ac:dyDescent="0.25">
      <c r="A3348" s="8">
        <v>983201</v>
      </c>
      <c r="B3348" s="22" t="str">
        <f>IFERROR(VLOOKUP(A3348,VLOOKUPS!$A$2:B$12589,2,FALSE),"")</f>
        <v>Melons* Honeydew 1ct-LOOSE</v>
      </c>
      <c r="E3348">
        <v>3.98</v>
      </c>
      <c r="F3348">
        <v>2.98</v>
      </c>
      <c r="G3348" s="13">
        <v>44608</v>
      </c>
      <c r="H3348" s="13">
        <v>44609</v>
      </c>
      <c r="I3348" s="22" t="str">
        <f>VLOOKUP(J3348, Dropdowns!N:O, 2, FALSE)</f>
        <v>Lower Price</v>
      </c>
      <c r="J3348" t="s">
        <v>759</v>
      </c>
      <c r="L3348" s="17" t="s">
        <v>732</v>
      </c>
      <c r="M3348" s="17" t="s">
        <v>735</v>
      </c>
      <c r="N3348" s="17" t="s">
        <v>736</v>
      </c>
    </row>
    <row r="3349" spans="1:14" x14ac:dyDescent="0.25">
      <c r="A3349" s="8">
        <v>983201</v>
      </c>
      <c r="B3349" s="22" t="str">
        <f>IFERROR(VLOOKUP(A3349,VLOOKUPS!$A$2:B$12589,2,FALSE),"")</f>
        <v>Melons* Honeydew 1ct-LOOSE</v>
      </c>
      <c r="E3349">
        <v>2.98</v>
      </c>
      <c r="F3349">
        <v>3.98</v>
      </c>
      <c r="G3349" s="13">
        <v>44610</v>
      </c>
      <c r="H3349" s="13"/>
      <c r="I3349" s="22" t="str">
        <f>VLOOKUP(J3349, Dropdowns!N:O, 2, FALSE)</f>
        <v>Standard</v>
      </c>
      <c r="J3349" t="s">
        <v>760</v>
      </c>
      <c r="L3349" s="17" t="s">
        <v>732</v>
      </c>
      <c r="M3349" s="17" t="s">
        <v>735</v>
      </c>
      <c r="N3349" s="17" t="s">
        <v>736</v>
      </c>
    </row>
    <row r="3350" spans="1:14" x14ac:dyDescent="0.25">
      <c r="A3350" s="8">
        <v>985111</v>
      </c>
      <c r="B3350" s="22" t="str">
        <f>IFERROR(VLOOKUP(A3350,VLOOKUPS!$A$2:B$12589,2,FALSE),"")</f>
        <v>Lettuce Mixed 1ct-standard</v>
      </c>
      <c r="E3350">
        <v>2.98</v>
      </c>
      <c r="F3350">
        <v>1.98</v>
      </c>
      <c r="G3350" s="13">
        <v>44609</v>
      </c>
      <c r="H3350" s="13">
        <v>44610</v>
      </c>
      <c r="I3350" s="22" t="str">
        <f>VLOOKUP(J3350, Dropdowns!N:O, 2, FALSE)</f>
        <v>Lower Price</v>
      </c>
      <c r="J3350" t="s">
        <v>759</v>
      </c>
      <c r="L3350" s="17" t="s">
        <v>732</v>
      </c>
      <c r="M3350" s="17" t="s">
        <v>735</v>
      </c>
      <c r="N3350" s="17" t="s">
        <v>736</v>
      </c>
    </row>
    <row r="3351" spans="1:14" x14ac:dyDescent="0.25">
      <c r="A3351" s="8">
        <v>985111</v>
      </c>
      <c r="B3351" s="22" t="str">
        <f>IFERROR(VLOOKUP(A3351,VLOOKUPS!$A$2:B$12589,2,FALSE),"")</f>
        <v>Lettuce Mixed 1ct-standard</v>
      </c>
      <c r="E3351">
        <v>1.98</v>
      </c>
      <c r="F3351">
        <v>2.98</v>
      </c>
      <c r="G3351" s="13">
        <v>44611</v>
      </c>
      <c r="H3351" s="13"/>
      <c r="I3351" s="22" t="str">
        <f>VLOOKUP(J3351, Dropdowns!N:O, 2, FALSE)</f>
        <v>Standard</v>
      </c>
      <c r="J3351" t="s">
        <v>760</v>
      </c>
      <c r="L3351" s="17" t="s">
        <v>732</v>
      </c>
      <c r="M3351" s="17" t="s">
        <v>735</v>
      </c>
      <c r="N3351" s="17" t="s">
        <v>736</v>
      </c>
    </row>
    <row r="3352" spans="1:14" x14ac:dyDescent="0.25">
      <c r="A3352" s="8">
        <v>995011</v>
      </c>
      <c r="B3352" s="22" t="str">
        <f>IFERROR(VLOOKUP(A3352,VLOOKUPS!$A$2:B$12589,2,FALSE),"")</f>
        <v>RTE Santa Fe Salad 6.25oz-standard</v>
      </c>
      <c r="E3352">
        <v>3.12</v>
      </c>
      <c r="F3352">
        <v>2.12</v>
      </c>
      <c r="G3352" s="13">
        <v>44609</v>
      </c>
      <c r="H3352" s="13">
        <v>44610</v>
      </c>
      <c r="I3352" s="22" t="str">
        <f>VLOOKUP(J3352, Dropdowns!N:O, 2, FALSE)</f>
        <v>Lower Price</v>
      </c>
      <c r="J3352" t="s">
        <v>759</v>
      </c>
      <c r="L3352" s="17" t="s">
        <v>732</v>
      </c>
      <c r="M3352" s="17" t="s">
        <v>10</v>
      </c>
      <c r="N3352" s="17">
        <v>2</v>
      </c>
    </row>
    <row r="3353" spans="1:14" x14ac:dyDescent="0.25">
      <c r="A3353" s="8">
        <v>995011</v>
      </c>
      <c r="B3353" s="22" t="str">
        <f>IFERROR(VLOOKUP(A3353,VLOOKUPS!$A$2:B$12589,2,FALSE),"")</f>
        <v>RTE Santa Fe Salad 6.25oz-standard</v>
      </c>
      <c r="E3353">
        <v>2.12</v>
      </c>
      <c r="F3353">
        <v>3.12</v>
      </c>
      <c r="G3353" s="13">
        <v>44611</v>
      </c>
      <c r="H3353" s="13"/>
      <c r="I3353" s="22" t="str">
        <f>VLOOKUP(J3353, Dropdowns!N:O, 2, FALSE)</f>
        <v>Standard</v>
      </c>
      <c r="J3353" t="s">
        <v>760</v>
      </c>
      <c r="L3353" s="17" t="s">
        <v>732</v>
      </c>
      <c r="M3353" s="17" t="s">
        <v>10</v>
      </c>
      <c r="N3353" s="17">
        <v>2</v>
      </c>
    </row>
    <row r="3354" spans="1:14" x14ac:dyDescent="0.25">
      <c r="A3354" s="8">
        <v>995021</v>
      </c>
      <c r="B3354" s="22" t="str">
        <f>IFERROR(VLOOKUP(A3354,VLOOKUPS!$A$2:B$12589,2,FALSE),"")</f>
        <v>Chopped Bacon Caesar Kit 10.2oz-standard</v>
      </c>
      <c r="E3354">
        <v>3.49</v>
      </c>
      <c r="F3354">
        <v>1.99</v>
      </c>
      <c r="G3354" s="13">
        <v>44609</v>
      </c>
      <c r="H3354" s="13">
        <v>44611</v>
      </c>
      <c r="I3354" s="22" t="str">
        <f>VLOOKUP(J3354, Dropdowns!N:O, 2, FALSE)</f>
        <v>Lower Price</v>
      </c>
      <c r="J3354" t="s">
        <v>759</v>
      </c>
      <c r="L3354" s="17" t="s">
        <v>732</v>
      </c>
      <c r="M3354" s="17" t="s">
        <v>738</v>
      </c>
      <c r="N3354" s="17">
        <v>2</v>
      </c>
    </row>
    <row r="3355" spans="1:14" x14ac:dyDescent="0.25">
      <c r="A3355" s="8">
        <v>995021</v>
      </c>
      <c r="B3355" s="22" t="str">
        <f>IFERROR(VLOOKUP(A3355,VLOOKUPS!$A$2:B$12589,2,FALSE),"")</f>
        <v>Chopped Bacon Caesar Kit 10.2oz-standard</v>
      </c>
      <c r="E3355">
        <v>1.99</v>
      </c>
      <c r="F3355">
        <v>3.49</v>
      </c>
      <c r="G3355" s="13">
        <v>44612</v>
      </c>
      <c r="H3355" s="13"/>
      <c r="I3355" s="22" t="str">
        <f>VLOOKUP(J3355, Dropdowns!N:O, 2, FALSE)</f>
        <v>Standard</v>
      </c>
      <c r="J3355" t="s">
        <v>760</v>
      </c>
      <c r="L3355" s="17" t="s">
        <v>732</v>
      </c>
      <c r="M3355" s="17" t="s">
        <v>738</v>
      </c>
      <c r="N3355" s="17">
        <v>2</v>
      </c>
    </row>
    <row r="3356" spans="1:14" x14ac:dyDescent="0.25">
      <c r="A3356" s="8">
        <v>995032</v>
      </c>
      <c r="B3356" s="22" t="str">
        <f>IFERROR(VLOOKUP(A3356,VLOOKUPS!$A$2:B$12589,2,FALSE),"")</f>
        <v>Chopped Sunflower Crunch Kit 12.2oz-standard</v>
      </c>
      <c r="E3356">
        <v>3.49</v>
      </c>
      <c r="F3356">
        <v>1.99</v>
      </c>
      <c r="G3356" s="13">
        <v>44609</v>
      </c>
      <c r="H3356" s="13">
        <v>44611</v>
      </c>
      <c r="I3356" s="22" t="str">
        <f>VLOOKUP(J3356, Dropdowns!N:O, 2, FALSE)</f>
        <v>Lower Price</v>
      </c>
      <c r="J3356" t="s">
        <v>759</v>
      </c>
      <c r="L3356" s="17" t="s">
        <v>732</v>
      </c>
      <c r="M3356" s="17" t="s">
        <v>736</v>
      </c>
      <c r="N3356" s="17" t="s">
        <v>736</v>
      </c>
    </row>
    <row r="3357" spans="1:14" x14ac:dyDescent="0.25">
      <c r="A3357" s="8">
        <v>995032</v>
      </c>
      <c r="B3357" s="22" t="str">
        <f>IFERROR(VLOOKUP(A3357,VLOOKUPS!$A$2:B$12589,2,FALSE),"")</f>
        <v>Chopped Sunflower Crunch Kit 12.2oz-standard</v>
      </c>
      <c r="E3357">
        <v>1.99</v>
      </c>
      <c r="F3357">
        <v>3.49</v>
      </c>
      <c r="G3357" s="13">
        <v>44612</v>
      </c>
      <c r="H3357" s="13"/>
      <c r="I3357" s="22" t="str">
        <f>VLOOKUP(J3357, Dropdowns!N:O, 2, FALSE)</f>
        <v>Standard</v>
      </c>
      <c r="J3357" t="s">
        <v>760</v>
      </c>
      <c r="L3357" s="17" t="s">
        <v>732</v>
      </c>
      <c r="M3357" s="17" t="s">
        <v>736</v>
      </c>
      <c r="N3357" s="17" t="s">
        <v>736</v>
      </c>
    </row>
    <row r="3358" spans="1:14" x14ac:dyDescent="0.25">
      <c r="A3358" s="8">
        <v>995041</v>
      </c>
      <c r="B3358" s="22" t="str">
        <f>IFERROR(VLOOKUP(A3358,VLOOKUPS!$A$2:B$12589,2,FALSE),"")</f>
        <v>Pineapple Spears 16oz-standard</v>
      </c>
      <c r="E3358">
        <v>3.49</v>
      </c>
      <c r="F3358">
        <v>2.4900000000000002</v>
      </c>
      <c r="G3358" s="13">
        <v>44609</v>
      </c>
      <c r="H3358" s="13">
        <v>44610</v>
      </c>
      <c r="I3358" s="22" t="str">
        <f>VLOOKUP(J3358, Dropdowns!N:O, 2, FALSE)</f>
        <v>Lower Price</v>
      </c>
      <c r="J3358" t="s">
        <v>759</v>
      </c>
      <c r="L3358" s="17" t="s">
        <v>732</v>
      </c>
      <c r="M3358" s="17" t="s">
        <v>9</v>
      </c>
      <c r="N3358" s="17" t="s">
        <v>736</v>
      </c>
    </row>
    <row r="3359" spans="1:14" x14ac:dyDescent="0.25">
      <c r="A3359" s="8">
        <v>995041</v>
      </c>
      <c r="B3359" s="22" t="str">
        <f>IFERROR(VLOOKUP(A3359,VLOOKUPS!$A$2:B$12589,2,FALSE),"")</f>
        <v>Pineapple Spears 16oz-standard</v>
      </c>
      <c r="E3359">
        <v>2.4900000000000002</v>
      </c>
      <c r="F3359">
        <v>3.49</v>
      </c>
      <c r="G3359" s="13">
        <v>44611</v>
      </c>
      <c r="H3359" s="13"/>
      <c r="I3359" s="22" t="str">
        <f>VLOOKUP(J3359, Dropdowns!N:O, 2, FALSE)</f>
        <v>Standard</v>
      </c>
      <c r="J3359" t="s">
        <v>760</v>
      </c>
      <c r="L3359" s="17" t="s">
        <v>732</v>
      </c>
      <c r="M3359" s="17" t="s">
        <v>9</v>
      </c>
      <c r="N3359" s="17" t="s">
        <v>736</v>
      </c>
    </row>
    <row r="3360" spans="1:14" x14ac:dyDescent="0.25">
      <c r="A3360" s="8">
        <v>995100</v>
      </c>
      <c r="B3360" s="22" t="str">
        <f>IFERROR(VLOOKUP(A3360,VLOOKUPS!$A$2:B$12589,2,FALSE),"")</f>
        <v>Asian Chopped Salad Kit 12oz-standard</v>
      </c>
      <c r="E3360">
        <v>3.49</v>
      </c>
      <c r="F3360">
        <v>1.99</v>
      </c>
      <c r="G3360" s="13">
        <v>44609</v>
      </c>
      <c r="H3360" s="13">
        <v>44610</v>
      </c>
      <c r="I3360" s="22" t="str">
        <f>VLOOKUP(J3360, Dropdowns!N:O, 2, FALSE)</f>
        <v>Lower Price</v>
      </c>
      <c r="J3360" t="s">
        <v>759</v>
      </c>
      <c r="L3360" s="17" t="s">
        <v>732</v>
      </c>
      <c r="M3360" s="17" t="s">
        <v>738</v>
      </c>
      <c r="N3360" s="17">
        <v>2</v>
      </c>
    </row>
    <row r="3361" spans="1:14" x14ac:dyDescent="0.25">
      <c r="A3361" s="8">
        <v>995100</v>
      </c>
      <c r="B3361" s="22" t="str">
        <f>IFERROR(VLOOKUP(A3361,VLOOKUPS!$A$2:B$12589,2,FALSE),"")</f>
        <v>Asian Chopped Salad Kit 12oz-standard</v>
      </c>
      <c r="E3361">
        <v>1.99</v>
      </c>
      <c r="F3361">
        <v>3.49</v>
      </c>
      <c r="G3361" s="13">
        <v>44611</v>
      </c>
      <c r="H3361" s="13"/>
      <c r="I3361" s="22" t="str">
        <f>VLOOKUP(J3361, Dropdowns!N:O, 2, FALSE)</f>
        <v>Standard</v>
      </c>
      <c r="J3361" t="s">
        <v>760</v>
      </c>
      <c r="L3361" s="17" t="s">
        <v>732</v>
      </c>
      <c r="M3361" s="17" t="s">
        <v>738</v>
      </c>
      <c r="N3361" s="17">
        <v>2</v>
      </c>
    </row>
    <row r="3362" spans="1:14" x14ac:dyDescent="0.25">
      <c r="A3362" s="8">
        <v>995102</v>
      </c>
      <c r="B3362" s="22" t="str">
        <f>IFERROR(VLOOKUP(A3362,VLOOKUPS!$A$2:B$12589,2,FALSE),"")</f>
        <v>Cantaloupe Chunks 16oz-standard</v>
      </c>
      <c r="E3362">
        <v>3.49</v>
      </c>
      <c r="F3362">
        <v>1.99</v>
      </c>
      <c r="G3362" s="13">
        <v>44609</v>
      </c>
      <c r="H3362" s="13">
        <v>44611</v>
      </c>
      <c r="I3362" s="22" t="str">
        <f>VLOOKUP(J3362, Dropdowns!N:O, 2, FALSE)</f>
        <v>Lower Price</v>
      </c>
      <c r="J3362" t="s">
        <v>759</v>
      </c>
      <c r="L3362" s="17" t="s">
        <v>732</v>
      </c>
      <c r="M3362" s="17" t="s">
        <v>9</v>
      </c>
      <c r="N3362" s="17" t="s">
        <v>736</v>
      </c>
    </row>
    <row r="3363" spans="1:14" x14ac:dyDescent="0.25">
      <c r="A3363" s="8">
        <v>995102</v>
      </c>
      <c r="B3363" s="22" t="str">
        <f>IFERROR(VLOOKUP(A3363,VLOOKUPS!$A$2:B$12589,2,FALSE),"")</f>
        <v>Cantaloupe Chunks 16oz-standard</v>
      </c>
      <c r="E3363">
        <v>1.99</v>
      </c>
      <c r="F3363">
        <v>3.49</v>
      </c>
      <c r="G3363" s="13">
        <v>44612</v>
      </c>
      <c r="H3363" s="13"/>
      <c r="I3363" s="22" t="str">
        <f>VLOOKUP(J3363, Dropdowns!N:O, 2, FALSE)</f>
        <v>Standard</v>
      </c>
      <c r="J3363" t="s">
        <v>760</v>
      </c>
      <c r="L3363" s="17" t="s">
        <v>732</v>
      </c>
      <c r="M3363" s="17" t="s">
        <v>9</v>
      </c>
      <c r="N3363" s="17" t="s">
        <v>736</v>
      </c>
    </row>
    <row r="3364" spans="1:14" x14ac:dyDescent="0.25">
      <c r="A3364" s="8">
        <v>995157</v>
      </c>
      <c r="B3364" s="22" t="str">
        <f>IFERROR(VLOOKUP(A3364,VLOOKUPS!$A$2:B$12589,2,FALSE),"")</f>
        <v/>
      </c>
      <c r="E3364">
        <v>4.49</v>
      </c>
      <c r="F3364">
        <v>2.99</v>
      </c>
      <c r="G3364" s="13">
        <v>44609</v>
      </c>
      <c r="H3364" s="13">
        <v>44610</v>
      </c>
      <c r="I3364" s="22" t="str">
        <f>VLOOKUP(J3364, Dropdowns!N:O, 2, FALSE)</f>
        <v>Lower Price</v>
      </c>
      <c r="J3364" t="s">
        <v>759</v>
      </c>
      <c r="L3364" s="17" t="s">
        <v>732</v>
      </c>
      <c r="M3364" s="17" t="s">
        <v>736</v>
      </c>
      <c r="N3364" s="17" t="s">
        <v>736</v>
      </c>
    </row>
    <row r="3365" spans="1:14" x14ac:dyDescent="0.25">
      <c r="A3365" s="8">
        <v>995157</v>
      </c>
      <c r="B3365" s="22" t="str">
        <f>IFERROR(VLOOKUP(A3365,VLOOKUPS!$A$2:B$12589,2,FALSE),"")</f>
        <v/>
      </c>
      <c r="E3365">
        <v>2.99</v>
      </c>
      <c r="F3365">
        <v>4.49</v>
      </c>
      <c r="G3365" s="13">
        <v>44611</v>
      </c>
      <c r="H3365" s="13"/>
      <c r="I3365" s="22" t="str">
        <f>VLOOKUP(J3365, Dropdowns!N:O, 2, FALSE)</f>
        <v>Standard</v>
      </c>
      <c r="J3365" t="s">
        <v>760</v>
      </c>
      <c r="L3365" s="17" t="s">
        <v>732</v>
      </c>
      <c r="M3365" s="17" t="s">
        <v>736</v>
      </c>
      <c r="N3365" s="17" t="s">
        <v>736</v>
      </c>
    </row>
    <row r="3366" spans="1:14" x14ac:dyDescent="0.25">
      <c r="A3366" s="8">
        <v>983104</v>
      </c>
      <c r="B3366" s="22" t="str">
        <f>IFERROR(VLOOKUP(A3366,VLOOKUPS!$A$2:B$12589,2,FALSE),"")</f>
        <v>Melons Dino 1ct.-LOOSE</v>
      </c>
      <c r="E3366">
        <v>3.98</v>
      </c>
      <c r="F3366">
        <v>2.98</v>
      </c>
      <c r="G3366" s="13">
        <v>44609</v>
      </c>
      <c r="H3366" s="13">
        <v>44610</v>
      </c>
      <c r="I3366" s="22" t="str">
        <f>VLOOKUP(J3366, Dropdowns!N:O, 2, FALSE)</f>
        <v>Lower Price</v>
      </c>
      <c r="J3366" t="s">
        <v>759</v>
      </c>
      <c r="L3366" s="17" t="s">
        <v>732</v>
      </c>
      <c r="M3366" s="17" t="s">
        <v>735</v>
      </c>
      <c r="N3366" s="17" t="s">
        <v>736</v>
      </c>
    </row>
    <row r="3367" spans="1:14" x14ac:dyDescent="0.25">
      <c r="A3367" s="8">
        <v>983104</v>
      </c>
      <c r="B3367" s="22" t="str">
        <f>IFERROR(VLOOKUP(A3367,VLOOKUPS!$A$2:B$12589,2,FALSE),"")</f>
        <v>Melons Dino 1ct.-LOOSE</v>
      </c>
      <c r="E3367">
        <v>2.98</v>
      </c>
      <c r="F3367">
        <v>3.98</v>
      </c>
      <c r="G3367" s="13">
        <v>44611</v>
      </c>
      <c r="H3367" s="13"/>
      <c r="I3367" s="22" t="str">
        <f>VLOOKUP(J3367, Dropdowns!N:O, 2, FALSE)</f>
        <v>Standard</v>
      </c>
      <c r="J3367" t="s">
        <v>760</v>
      </c>
      <c r="L3367" s="17" t="s">
        <v>732</v>
      </c>
      <c r="M3367" s="17" t="s">
        <v>735</v>
      </c>
      <c r="N3367" s="17" t="s">
        <v>736</v>
      </c>
    </row>
    <row r="3368" spans="1:14" x14ac:dyDescent="0.25">
      <c r="A3368" s="8">
        <v>983101</v>
      </c>
      <c r="B3368" s="22" t="str">
        <f>IFERROR(VLOOKUP(A3368,VLOOKUPS!$A$2:B$12589,2,FALSE),"")</f>
        <v>Melons Cantaloupes 1ct-LOOSE</v>
      </c>
      <c r="E3368">
        <v>2.98</v>
      </c>
      <c r="F3368">
        <v>1.78</v>
      </c>
      <c r="G3368" s="13">
        <v>44609</v>
      </c>
      <c r="H3368" s="13">
        <v>44610</v>
      </c>
      <c r="I3368" s="22" t="str">
        <f>VLOOKUP(J3368, Dropdowns!N:O, 2, FALSE)</f>
        <v>Lower Price</v>
      </c>
      <c r="J3368" t="s">
        <v>759</v>
      </c>
      <c r="L3368" s="17" t="s">
        <v>733</v>
      </c>
      <c r="M3368" s="17" t="s">
        <v>11</v>
      </c>
      <c r="N3368" s="17" t="s">
        <v>740</v>
      </c>
    </row>
    <row r="3369" spans="1:14" x14ac:dyDescent="0.25">
      <c r="A3369" s="8">
        <v>983101</v>
      </c>
      <c r="B3369" s="22" t="str">
        <f>IFERROR(VLOOKUP(A3369,VLOOKUPS!$A$2:B$12589,2,FALSE),"")</f>
        <v>Melons Cantaloupes 1ct-LOOSE</v>
      </c>
      <c r="E3369">
        <v>1.78</v>
      </c>
      <c r="F3369">
        <v>2.98</v>
      </c>
      <c r="G3369" s="13">
        <v>44611</v>
      </c>
      <c r="H3369" s="13"/>
      <c r="I3369" s="22" t="str">
        <f>VLOOKUP(J3369, Dropdowns!N:O, 2, FALSE)</f>
        <v>Standard</v>
      </c>
      <c r="J3369" t="s">
        <v>760</v>
      </c>
      <c r="L3369" s="17" t="s">
        <v>733</v>
      </c>
      <c r="M3369" s="17" t="s">
        <v>11</v>
      </c>
      <c r="N3369" s="17" t="s">
        <v>740</v>
      </c>
    </row>
    <row r="3370" spans="1:14" x14ac:dyDescent="0.25">
      <c r="A3370" s="8">
        <v>984541</v>
      </c>
      <c r="B3370" s="22" t="str">
        <f>IFERROR(VLOOKUP(A3370,VLOOKUPS!$A$2:B$12589,2,FALSE),"")</f>
        <v>Blueberries 1pt-standard</v>
      </c>
      <c r="E3370">
        <v>2.58</v>
      </c>
      <c r="F3370">
        <v>2.79</v>
      </c>
      <c r="G3370" s="13">
        <v>44610</v>
      </c>
      <c r="H3370" s="13"/>
      <c r="I3370" s="22" t="str">
        <f>VLOOKUP(J3370, Dropdowns!N:O, 2, FALSE)</f>
        <v>Standard</v>
      </c>
      <c r="J3370" t="s">
        <v>761</v>
      </c>
      <c r="L3370" s="17" t="s">
        <v>732</v>
      </c>
      <c r="M3370" s="17" t="s">
        <v>736</v>
      </c>
      <c r="N3370" s="17" t="s">
        <v>736</v>
      </c>
    </row>
    <row r="3371" spans="1:14" x14ac:dyDescent="0.25">
      <c r="A3371" s="8">
        <v>984582</v>
      </c>
      <c r="B3371" s="22" t="str">
        <f>IFERROR(VLOOKUP(A3371,VLOOKUPS!$A$2:B$12589,2,FALSE),"")</f>
        <v>Organic Blueberries 1pt-standard</v>
      </c>
      <c r="E3371">
        <v>3.96</v>
      </c>
      <c r="F3371">
        <v>4.26</v>
      </c>
      <c r="G3371" s="13">
        <v>44610</v>
      </c>
      <c r="H3371" s="13"/>
      <c r="I3371" s="22" t="str">
        <f>VLOOKUP(J3371, Dropdowns!N:O, 2, FALSE)</f>
        <v>Standard</v>
      </c>
      <c r="J3371" t="s">
        <v>761</v>
      </c>
      <c r="L3371" s="17" t="s">
        <v>732</v>
      </c>
      <c r="M3371" s="17" t="s">
        <v>736</v>
      </c>
      <c r="N3371" s="17" t="s">
        <v>736</v>
      </c>
    </row>
    <row r="3372" spans="1:14" x14ac:dyDescent="0.25">
      <c r="A3372" s="8">
        <v>995072</v>
      </c>
      <c r="B3372" s="22" t="str">
        <f>IFERROR(VLOOKUP(A3372,VLOOKUPS!$A$2:B$12589,2,FALSE),"")</f>
        <v>Broccoli Coleslaw 12oz-standard</v>
      </c>
      <c r="E3372">
        <v>1.99</v>
      </c>
      <c r="F3372">
        <v>2.09</v>
      </c>
      <c r="G3372" s="13">
        <v>44610</v>
      </c>
      <c r="H3372" s="13"/>
      <c r="I3372" s="22" t="str">
        <f>VLOOKUP(J3372, Dropdowns!N:O, 2, FALSE)</f>
        <v>Standard</v>
      </c>
      <c r="J3372" t="s">
        <v>761</v>
      </c>
      <c r="L3372" s="17" t="s">
        <v>732</v>
      </c>
      <c r="M3372" s="17" t="s">
        <v>736</v>
      </c>
      <c r="N3372" s="17" t="s">
        <v>736</v>
      </c>
    </row>
    <row r="3373" spans="1:14" x14ac:dyDescent="0.25">
      <c r="A3373" s="8">
        <v>995115</v>
      </c>
      <c r="B3373" s="22" t="str">
        <f>IFERROR(VLOOKUP(A3373,VLOOKUPS!$A$2:B$12589,2,FALSE),"")</f>
        <v>Pineapple Chunks 10oz-standard</v>
      </c>
      <c r="E3373">
        <v>2.58</v>
      </c>
      <c r="F3373">
        <v>3.24</v>
      </c>
      <c r="G3373" s="13">
        <v>44610</v>
      </c>
      <c r="H3373" s="13"/>
      <c r="I3373" s="22" t="str">
        <f>VLOOKUP(J3373, Dropdowns!N:O, 2, FALSE)</f>
        <v>Standard</v>
      </c>
      <c r="J3373" t="s">
        <v>761</v>
      </c>
      <c r="L3373" s="17" t="s">
        <v>732</v>
      </c>
      <c r="M3373" s="17" t="s">
        <v>736</v>
      </c>
      <c r="N3373" s="17" t="s">
        <v>736</v>
      </c>
    </row>
    <row r="3374" spans="1:14" x14ac:dyDescent="0.25">
      <c r="A3374" s="8">
        <v>995116</v>
      </c>
      <c r="B3374" s="22" t="str">
        <f>IFERROR(VLOOKUP(A3374,VLOOKUPS!$A$2:B$12589,2,FALSE),"")</f>
        <v>Mango Chunks 10oz-standard</v>
      </c>
      <c r="E3374">
        <v>2.99</v>
      </c>
      <c r="F3374">
        <v>3.97</v>
      </c>
      <c r="G3374" s="13">
        <v>44610</v>
      </c>
      <c r="H3374" s="13"/>
      <c r="I3374" s="22" t="str">
        <f>VLOOKUP(J3374, Dropdowns!N:O, 2, FALSE)</f>
        <v>Standard</v>
      </c>
      <c r="J3374" t="s">
        <v>761</v>
      </c>
      <c r="L3374" s="17" t="s">
        <v>732</v>
      </c>
      <c r="M3374" s="17" t="s">
        <v>735</v>
      </c>
      <c r="N3374" s="17" t="s">
        <v>736</v>
      </c>
    </row>
    <row r="3375" spans="1:14" x14ac:dyDescent="0.25">
      <c r="A3375" s="8">
        <v>995126</v>
      </c>
      <c r="B3375" s="22" t="str">
        <f>IFERROR(VLOOKUP(A3375,VLOOKUPS!$A$2:B$12589,2,FALSE),"")</f>
        <v>Broccoli &amp; Cauliflower 12oz-standard</v>
      </c>
      <c r="E3375">
        <v>2.4900000000000002</v>
      </c>
      <c r="F3375">
        <v>2.78</v>
      </c>
      <c r="G3375" s="13">
        <v>44610</v>
      </c>
      <c r="H3375" s="13"/>
      <c r="I3375" s="22" t="str">
        <f>VLOOKUP(J3375, Dropdowns!N:O, 2, FALSE)</f>
        <v>Standard</v>
      </c>
      <c r="J3375" t="s">
        <v>761</v>
      </c>
      <c r="L3375" s="17" t="s">
        <v>732</v>
      </c>
      <c r="M3375" s="17" t="s">
        <v>736</v>
      </c>
      <c r="N3375" s="17" t="s">
        <v>736</v>
      </c>
    </row>
    <row r="3376" spans="1:14" x14ac:dyDescent="0.25">
      <c r="A3376" s="8">
        <v>995068</v>
      </c>
      <c r="B3376" s="22" t="str">
        <f>IFERROR(VLOOKUP(A3376,VLOOKUPS!$A$2:B$12589,2,FALSE),"")</f>
        <v>Organic Half and Half 5oz-standard</v>
      </c>
      <c r="E3376">
        <v>2.56</v>
      </c>
      <c r="F3376">
        <v>1.97</v>
      </c>
      <c r="G3376" s="13">
        <v>44610</v>
      </c>
      <c r="H3376" s="13"/>
      <c r="I3376" s="22" t="str">
        <f>VLOOKUP(J3376, Dropdowns!N:O, 2, FALSE)</f>
        <v>Standard</v>
      </c>
      <c r="J3376" t="s">
        <v>761</v>
      </c>
      <c r="L3376" s="17" t="s">
        <v>732</v>
      </c>
      <c r="M3376" s="17" t="s">
        <v>736</v>
      </c>
      <c r="N3376" s="17" t="s">
        <v>736</v>
      </c>
    </row>
    <row r="3377" spans="1:14" x14ac:dyDescent="0.25">
      <c r="A3377" s="8">
        <v>995070</v>
      </c>
      <c r="B3377" s="22" t="str">
        <f>IFERROR(VLOOKUP(A3377,VLOOKUPS!$A$2:B$12589,2,FALSE),"")</f>
        <v>Organic Baby Spring Mix 5oz-standard</v>
      </c>
      <c r="E3377">
        <v>2.98</v>
      </c>
      <c r="F3377">
        <v>2.17</v>
      </c>
      <c r="G3377" s="13">
        <v>44610</v>
      </c>
      <c r="H3377" s="13"/>
      <c r="I3377" s="22" t="str">
        <f>VLOOKUP(J3377, Dropdowns!N:O, 2, FALSE)</f>
        <v>Standard</v>
      </c>
      <c r="J3377" t="s">
        <v>761</v>
      </c>
      <c r="L3377" s="17" t="s">
        <v>732</v>
      </c>
      <c r="M3377" s="17" t="s">
        <v>736</v>
      </c>
      <c r="N3377" s="17" t="s">
        <v>736</v>
      </c>
    </row>
    <row r="3378" spans="1:14" x14ac:dyDescent="0.25">
      <c r="A3378" s="8">
        <v>995006</v>
      </c>
      <c r="B3378" s="22" t="str">
        <f>IFERROR(VLOOKUP(A3378,VLOOKUPS!$A$2:B$12589,2,FALSE),"")</f>
        <v>Italian Salad 9oz-standard</v>
      </c>
      <c r="E3378">
        <v>2.29</v>
      </c>
      <c r="F3378">
        <v>1.29</v>
      </c>
      <c r="G3378" s="13">
        <v>44610</v>
      </c>
      <c r="H3378" s="13">
        <v>44612</v>
      </c>
      <c r="I3378" s="22" t="str">
        <f>VLOOKUP(J3378, Dropdowns!N:O, 2, FALSE)</f>
        <v>Lower Price</v>
      </c>
      <c r="J3378" t="s">
        <v>759</v>
      </c>
      <c r="L3378" s="17" t="s">
        <v>733</v>
      </c>
      <c r="M3378" s="17" t="s">
        <v>11</v>
      </c>
      <c r="N3378" s="17" t="s">
        <v>740</v>
      </c>
    </row>
    <row r="3379" spans="1:14" x14ac:dyDescent="0.25">
      <c r="A3379" s="8">
        <v>995006</v>
      </c>
      <c r="B3379" s="22" t="str">
        <f>IFERROR(VLOOKUP(A3379,VLOOKUPS!$A$2:B$12589,2,FALSE),"")</f>
        <v>Italian Salad 9oz-standard</v>
      </c>
      <c r="E3379">
        <v>1.29</v>
      </c>
      <c r="F3379">
        <v>2.29</v>
      </c>
      <c r="G3379" s="13">
        <v>44613</v>
      </c>
      <c r="H3379" s="13"/>
      <c r="I3379" s="22" t="str">
        <f>VLOOKUP(J3379, Dropdowns!N:O, 2, FALSE)</f>
        <v>Standard</v>
      </c>
      <c r="J3379" t="s">
        <v>760</v>
      </c>
      <c r="L3379" s="17" t="s">
        <v>733</v>
      </c>
      <c r="M3379" s="17" t="s">
        <v>11</v>
      </c>
      <c r="N3379" s="17" t="s">
        <v>740</v>
      </c>
    </row>
    <row r="3380" spans="1:14" x14ac:dyDescent="0.25">
      <c r="A3380" s="8">
        <v>995008</v>
      </c>
      <c r="B3380" s="22" t="str">
        <f>IFERROR(VLOOKUP(A3380,VLOOKUPS!$A$2:B$12589,2,FALSE),"")</f>
        <v>Shredded Lettuce 8oz-standard</v>
      </c>
      <c r="E3380">
        <v>1.29</v>
      </c>
      <c r="F3380">
        <v>0.69</v>
      </c>
      <c r="G3380" s="13">
        <v>44610</v>
      </c>
      <c r="H3380" s="13">
        <v>44611</v>
      </c>
      <c r="I3380" s="22" t="str">
        <f>VLOOKUP(J3380, Dropdowns!N:O, 2, FALSE)</f>
        <v>Lower Price</v>
      </c>
      <c r="J3380" t="s">
        <v>759</v>
      </c>
      <c r="L3380" s="17" t="s">
        <v>733</v>
      </c>
      <c r="M3380" s="17" t="s">
        <v>9</v>
      </c>
      <c r="N3380" s="17" t="s">
        <v>740</v>
      </c>
    </row>
    <row r="3381" spans="1:14" x14ac:dyDescent="0.25">
      <c r="A3381" s="8">
        <v>995008</v>
      </c>
      <c r="B3381" s="22" t="str">
        <f>IFERROR(VLOOKUP(A3381,VLOOKUPS!$A$2:B$12589,2,FALSE),"")</f>
        <v>Shredded Lettuce 8oz-standard</v>
      </c>
      <c r="E3381">
        <v>0.69</v>
      </c>
      <c r="F3381">
        <v>1.29</v>
      </c>
      <c r="G3381" s="13">
        <v>44612</v>
      </c>
      <c r="H3381" s="13"/>
      <c r="I3381" s="22" t="str">
        <f>VLOOKUP(J3381, Dropdowns!N:O, 2, FALSE)</f>
        <v>Standard</v>
      </c>
      <c r="J3381" t="s">
        <v>760</v>
      </c>
      <c r="L3381" s="17" t="s">
        <v>733</v>
      </c>
      <c r="M3381" s="17" t="s">
        <v>9</v>
      </c>
      <c r="N3381" s="17" t="s">
        <v>740</v>
      </c>
    </row>
    <row r="3382" spans="1:14" x14ac:dyDescent="0.25">
      <c r="A3382" s="8">
        <v>995136</v>
      </c>
      <c r="B3382" s="22" t="str">
        <f>IFERROR(VLOOKUP(A3382,VLOOKUPS!$A$2:B$12589,2,FALSE),"")</f>
        <v>Baby Spinach 11oz-standard</v>
      </c>
      <c r="E3382">
        <v>3.28</v>
      </c>
      <c r="F3382">
        <v>2.2799999999999998</v>
      </c>
      <c r="G3382" s="13">
        <v>44610</v>
      </c>
      <c r="H3382" s="13">
        <v>44611</v>
      </c>
      <c r="I3382" s="22" t="str">
        <f>VLOOKUP(J3382, Dropdowns!N:O, 2, FALSE)</f>
        <v>Lower Price</v>
      </c>
      <c r="J3382" t="s">
        <v>759</v>
      </c>
      <c r="L3382" s="17" t="s">
        <v>732</v>
      </c>
      <c r="M3382" s="17" t="s">
        <v>9</v>
      </c>
      <c r="N3382" s="17" t="s">
        <v>736</v>
      </c>
    </row>
    <row r="3383" spans="1:14" x14ac:dyDescent="0.25">
      <c r="A3383" s="8">
        <v>995136</v>
      </c>
      <c r="B3383" s="22" t="str">
        <f>IFERROR(VLOOKUP(A3383,VLOOKUPS!$A$2:B$12589,2,FALSE),"")</f>
        <v>Baby Spinach 11oz-standard</v>
      </c>
      <c r="E3383">
        <v>2.2799999999999998</v>
      </c>
      <c r="F3383">
        <v>3.28</v>
      </c>
      <c r="G3383" s="13">
        <v>44612</v>
      </c>
      <c r="H3383" s="13"/>
      <c r="I3383" s="22" t="str">
        <f>VLOOKUP(J3383, Dropdowns!N:O, 2, FALSE)</f>
        <v>Standard</v>
      </c>
      <c r="J3383" t="s">
        <v>760</v>
      </c>
      <c r="L3383" s="17" t="s">
        <v>732</v>
      </c>
      <c r="M3383" s="17" t="s">
        <v>9</v>
      </c>
      <c r="N3383" s="17" t="s">
        <v>736</v>
      </c>
    </row>
    <row r="3384" spans="1:14" x14ac:dyDescent="0.25">
      <c r="A3384" s="8">
        <v>995138</v>
      </c>
      <c r="B3384" s="22" t="str">
        <f>IFERROR(VLOOKUP(A3384,VLOOKUPS!$A$2:B$12589,2,FALSE),"")</f>
        <v>Spring Mix 11oz-standard</v>
      </c>
      <c r="E3384">
        <v>3.98</v>
      </c>
      <c r="F3384">
        <v>2.48</v>
      </c>
      <c r="G3384" s="13">
        <v>44610</v>
      </c>
      <c r="H3384" s="13">
        <v>44611</v>
      </c>
      <c r="I3384" s="22" t="str">
        <f>VLOOKUP(J3384, Dropdowns!N:O, 2, FALSE)</f>
        <v>Lower Price</v>
      </c>
      <c r="J3384" t="s">
        <v>759</v>
      </c>
      <c r="L3384" s="17" t="s">
        <v>732</v>
      </c>
      <c r="M3384" s="17" t="s">
        <v>10</v>
      </c>
      <c r="N3384" s="17">
        <v>2</v>
      </c>
    </row>
    <row r="3385" spans="1:14" x14ac:dyDescent="0.25">
      <c r="A3385" s="8">
        <v>995138</v>
      </c>
      <c r="B3385" s="22" t="str">
        <f>IFERROR(VLOOKUP(A3385,VLOOKUPS!$A$2:B$12589,2,FALSE),"")</f>
        <v>Spring Mix 11oz-standard</v>
      </c>
      <c r="E3385">
        <v>2.48</v>
      </c>
      <c r="F3385">
        <v>3.98</v>
      </c>
      <c r="G3385" s="13">
        <v>44612</v>
      </c>
      <c r="H3385" s="13"/>
      <c r="I3385" s="22" t="str">
        <f>VLOOKUP(J3385, Dropdowns!N:O, 2, FALSE)</f>
        <v>Standard</v>
      </c>
      <c r="J3385" t="s">
        <v>760</v>
      </c>
      <c r="L3385" s="17" t="s">
        <v>732</v>
      </c>
      <c r="M3385" s="17" t="s">
        <v>10</v>
      </c>
      <c r="N3385" s="17">
        <v>2</v>
      </c>
    </row>
    <row r="3386" spans="1:14" x14ac:dyDescent="0.25">
      <c r="A3386" s="8">
        <v>985760</v>
      </c>
      <c r="B3386" s="22" t="str">
        <f>IFERROR(VLOOKUP(A3386,VLOOKUPS!$A$2:B$12589,2,FALSE),"")</f>
        <v>Asparagus 1lb-standard</v>
      </c>
      <c r="E3386">
        <v>1.99</v>
      </c>
      <c r="F3386">
        <v>2.99</v>
      </c>
      <c r="G3386" s="13">
        <v>44610</v>
      </c>
      <c r="H3386" s="13"/>
      <c r="I3386" s="22" t="str">
        <f>VLOOKUP(J3386, Dropdowns!N:O, 2, FALSE)</f>
        <v>Standard</v>
      </c>
      <c r="J3386" t="s">
        <v>760</v>
      </c>
      <c r="L3386" s="17" t="s">
        <v>732</v>
      </c>
      <c r="M3386" s="17" t="s">
        <v>735</v>
      </c>
      <c r="N3386" s="17" t="s">
        <v>736</v>
      </c>
    </row>
    <row r="3387" spans="1:14" x14ac:dyDescent="0.25">
      <c r="A3387" s="8">
        <v>985760</v>
      </c>
      <c r="B3387" s="22" t="str">
        <f>IFERROR(VLOOKUP(A3387,VLOOKUPS!$A$2:B$12589,2,FALSE),"")</f>
        <v>Asparagus 1lb-standard</v>
      </c>
      <c r="G3387" s="13">
        <v>44610</v>
      </c>
      <c r="H3387" s="13">
        <v>44610</v>
      </c>
      <c r="I3387" s="22" t="str">
        <f>VLOOKUP(J3387, Dropdowns!N:O, 2, FALSE)</f>
        <v>Lower Price</v>
      </c>
      <c r="J3387" t="s">
        <v>762</v>
      </c>
      <c r="L3387" s="17" t="s">
        <v>733</v>
      </c>
      <c r="M3387" s="17" t="s">
        <v>11</v>
      </c>
      <c r="N3387" s="17" t="s">
        <v>740</v>
      </c>
    </row>
    <row r="3388" spans="1:14" x14ac:dyDescent="0.25">
      <c r="A3388" s="8">
        <v>982960</v>
      </c>
      <c r="B3388" s="22" t="str">
        <f>IFERROR(VLOOKUP(A3388,VLOOKUPS!$A$2:B$12589,2,FALSE),"")</f>
        <v>Grapes Specialty* 1lb-LOOSE</v>
      </c>
      <c r="E3388">
        <v>3.99</v>
      </c>
      <c r="F3388">
        <v>4.99</v>
      </c>
      <c r="G3388" s="13">
        <v>44610</v>
      </c>
      <c r="H3388" s="13"/>
      <c r="I3388" s="22" t="str">
        <f>VLOOKUP(J3388, Dropdowns!N:O, 2, FALSE)</f>
        <v>Standard</v>
      </c>
      <c r="J3388" t="s">
        <v>761</v>
      </c>
      <c r="L3388" s="17" t="s">
        <v>732</v>
      </c>
      <c r="M3388" s="17" t="s">
        <v>736</v>
      </c>
      <c r="N3388" s="17" t="s">
        <v>736</v>
      </c>
    </row>
    <row r="3389" spans="1:14" x14ac:dyDescent="0.25">
      <c r="A3389" s="8">
        <v>984700</v>
      </c>
      <c r="B3389" s="22" t="str">
        <f>IFERROR(VLOOKUP(A3389,VLOOKUPS!$A$2:B$12589,2,FALSE),"")</f>
        <v>Blackberries 6oz-standard</v>
      </c>
      <c r="E3389">
        <v>1.99</v>
      </c>
      <c r="F3389">
        <v>0.99</v>
      </c>
      <c r="G3389" s="13">
        <v>44611</v>
      </c>
      <c r="H3389" s="13">
        <v>44612</v>
      </c>
      <c r="I3389" s="22" t="str">
        <f>VLOOKUP(J3389, Dropdowns!N:O, 2, FALSE)</f>
        <v>Lower Price</v>
      </c>
      <c r="J3389" t="s">
        <v>759</v>
      </c>
      <c r="L3389" s="17" t="s">
        <v>733</v>
      </c>
      <c r="M3389" s="17" t="s">
        <v>11</v>
      </c>
      <c r="N3389" s="17" t="s">
        <v>740</v>
      </c>
    </row>
    <row r="3390" spans="1:14" x14ac:dyDescent="0.25">
      <c r="A3390" s="8">
        <v>984700</v>
      </c>
      <c r="B3390" s="22" t="str">
        <f>IFERROR(VLOOKUP(A3390,VLOOKUPS!$A$2:B$12589,2,FALSE),"")</f>
        <v>Blackberries 6oz-standard</v>
      </c>
      <c r="E3390">
        <v>0.99</v>
      </c>
      <c r="F3390">
        <v>1.99</v>
      </c>
      <c r="G3390" s="13">
        <v>44613</v>
      </c>
      <c r="H3390" s="13"/>
      <c r="I3390" s="22" t="str">
        <f>VLOOKUP(J3390, Dropdowns!N:O, 2, FALSE)</f>
        <v>Standard</v>
      </c>
      <c r="J3390" t="s">
        <v>760</v>
      </c>
      <c r="L3390" s="17" t="s">
        <v>733</v>
      </c>
      <c r="M3390" s="17" t="s">
        <v>11</v>
      </c>
      <c r="N3390" s="17" t="s">
        <v>740</v>
      </c>
    </row>
    <row r="3391" spans="1:14" x14ac:dyDescent="0.25">
      <c r="A3391" s="8">
        <v>985060</v>
      </c>
      <c r="B3391" s="22" t="str">
        <f>IFERROR(VLOOKUP(A3391,VLOOKUPS!$A$2:B$12589,2,FALSE),"")</f>
        <v>Lettuce* Iceberg 1ct-standard</v>
      </c>
      <c r="E3391">
        <v>1.78</v>
      </c>
      <c r="F3391">
        <v>0.98</v>
      </c>
      <c r="G3391" s="13">
        <v>44611</v>
      </c>
      <c r="H3391" s="13">
        <v>44612</v>
      </c>
      <c r="I3391" s="22" t="str">
        <f>VLOOKUP(J3391, Dropdowns!N:O, 2, FALSE)</f>
        <v>Lower Price</v>
      </c>
      <c r="J3391" t="s">
        <v>759</v>
      </c>
      <c r="L3391" s="17" t="s">
        <v>732</v>
      </c>
      <c r="M3391" s="17" t="s">
        <v>737</v>
      </c>
      <c r="N3391" s="17" t="s">
        <v>736</v>
      </c>
    </row>
    <row r="3392" spans="1:14" x14ac:dyDescent="0.25">
      <c r="A3392" s="8">
        <v>985060</v>
      </c>
      <c r="B3392" s="22" t="str">
        <f>IFERROR(VLOOKUP(A3392,VLOOKUPS!$A$2:B$12589,2,FALSE),"")</f>
        <v>Lettuce* Iceberg 1ct-standard</v>
      </c>
      <c r="E3392">
        <v>0.98</v>
      </c>
      <c r="F3392">
        <v>1.78</v>
      </c>
      <c r="G3392" s="13">
        <v>44613</v>
      </c>
      <c r="H3392" s="13"/>
      <c r="I3392" s="22" t="str">
        <f>VLOOKUP(J3392, Dropdowns!N:O, 2, FALSE)</f>
        <v>Standard</v>
      </c>
      <c r="J3392" t="s">
        <v>760</v>
      </c>
      <c r="L3392" s="17" t="s">
        <v>732</v>
      </c>
      <c r="M3392" s="17" t="s">
        <v>737</v>
      </c>
      <c r="N3392" s="17" t="s">
        <v>736</v>
      </c>
    </row>
    <row r="3393" spans="1:14" x14ac:dyDescent="0.25">
      <c r="A3393" s="8">
        <v>986340</v>
      </c>
      <c r="B3393" s="22" t="str">
        <f>IFERROR(VLOOKUP(A3393,VLOOKUPS!$A$2:B$12589,2,FALSE),"")</f>
        <v>Mirepoix 16oz-standard</v>
      </c>
      <c r="E3393">
        <v>2.99</v>
      </c>
      <c r="F3393">
        <v>1.79</v>
      </c>
      <c r="G3393" s="13">
        <v>44611</v>
      </c>
      <c r="H3393" s="13">
        <v>44612</v>
      </c>
      <c r="I3393" s="22" t="str">
        <f>VLOOKUP(J3393, Dropdowns!N:O, 2, FALSE)</f>
        <v>Lower Price</v>
      </c>
      <c r="J3393" t="s">
        <v>759</v>
      </c>
      <c r="L3393" s="17" t="s">
        <v>732</v>
      </c>
      <c r="M3393" s="17" t="s">
        <v>9</v>
      </c>
      <c r="N3393" s="17" t="s">
        <v>736</v>
      </c>
    </row>
    <row r="3394" spans="1:14" x14ac:dyDescent="0.25">
      <c r="A3394" s="8">
        <v>986340</v>
      </c>
      <c r="B3394" s="22" t="str">
        <f>IFERROR(VLOOKUP(A3394,VLOOKUPS!$A$2:B$12589,2,FALSE),"")</f>
        <v>Mirepoix 16oz-standard</v>
      </c>
      <c r="E3394">
        <v>1.79</v>
      </c>
      <c r="F3394">
        <v>2.99</v>
      </c>
      <c r="G3394" s="13">
        <v>44613</v>
      </c>
      <c r="H3394" s="13"/>
      <c r="I3394" s="22" t="str">
        <f>VLOOKUP(J3394, Dropdowns!N:O, 2, FALSE)</f>
        <v>Standard</v>
      </c>
      <c r="J3394" t="s">
        <v>760</v>
      </c>
      <c r="L3394" s="17" t="s">
        <v>732</v>
      </c>
      <c r="M3394" s="17" t="s">
        <v>9</v>
      </c>
      <c r="N3394" s="17" t="s">
        <v>736</v>
      </c>
    </row>
    <row r="3395" spans="1:14" x14ac:dyDescent="0.25">
      <c r="A3395" s="8">
        <v>986340</v>
      </c>
      <c r="B3395" s="22" t="str">
        <f>IFERROR(VLOOKUP(A3395,VLOOKUPS!$A$2:B$12589,2,FALSE),"")</f>
        <v>Mirepoix 16oz-standard</v>
      </c>
      <c r="D3395">
        <v>6</v>
      </c>
      <c r="E3395">
        <v>2.99</v>
      </c>
      <c r="G3395" s="13">
        <v>44614</v>
      </c>
      <c r="H3395" s="13"/>
      <c r="I3395" s="22" t="str">
        <f>VLOOKUP(J3395, Dropdowns!N:O, 2, FALSE)</f>
        <v>NA</v>
      </c>
      <c r="J3395" t="s">
        <v>754</v>
      </c>
      <c r="L3395" s="17" t="s">
        <v>732</v>
      </c>
      <c r="M3395" s="17" t="s">
        <v>738</v>
      </c>
      <c r="N3395" s="17">
        <v>2</v>
      </c>
    </row>
    <row r="3396" spans="1:14" x14ac:dyDescent="0.25">
      <c r="A3396" s="8">
        <v>986340</v>
      </c>
      <c r="B3396" s="22" t="str">
        <f>IFERROR(VLOOKUP(A3396,VLOOKUPS!$A$2:B$12589,2,FALSE),"")</f>
        <v>Mirepoix 16oz-standard</v>
      </c>
      <c r="D3396">
        <v>6</v>
      </c>
      <c r="E3396">
        <v>2.99</v>
      </c>
      <c r="G3396" s="13">
        <v>44615</v>
      </c>
      <c r="H3396" s="13"/>
      <c r="I3396" s="22" t="str">
        <f>VLOOKUP(J3396, Dropdowns!N:O, 2, FALSE)</f>
        <v>NA</v>
      </c>
      <c r="J3396" t="s">
        <v>754</v>
      </c>
      <c r="L3396" s="17" t="s">
        <v>732</v>
      </c>
      <c r="M3396" s="17" t="s">
        <v>9</v>
      </c>
      <c r="N3396" s="17" t="s">
        <v>736</v>
      </c>
    </row>
    <row r="3397" spans="1:14" x14ac:dyDescent="0.25">
      <c r="A3397" s="8">
        <v>988571</v>
      </c>
      <c r="B3397" s="22" t="str">
        <f>IFERROR(VLOOKUP(A3397,VLOOKUPS!$A$2:B$12589,2,FALSE),"")</f>
        <v>Cauliflower* 1ct-LOOSE</v>
      </c>
      <c r="E3397">
        <v>2.88</v>
      </c>
      <c r="F3397">
        <v>2.44</v>
      </c>
      <c r="G3397" s="13">
        <v>44614</v>
      </c>
      <c r="H3397" s="13"/>
      <c r="I3397" s="22" t="str">
        <f>VLOOKUP(J3397, Dropdowns!N:O, 2, FALSE)</f>
        <v>Standard</v>
      </c>
      <c r="J3397" t="s">
        <v>761</v>
      </c>
      <c r="L3397" s="17" t="s">
        <v>732</v>
      </c>
      <c r="M3397" s="17" t="s">
        <v>736</v>
      </c>
      <c r="N3397" s="17" t="s">
        <v>736</v>
      </c>
    </row>
    <row r="3398" spans="1:14" x14ac:dyDescent="0.25">
      <c r="A3398" s="8">
        <v>988703</v>
      </c>
      <c r="B3398" s="22" t="str">
        <f>IFERROR(VLOOKUP(A3398,VLOOKUPS!$A$2:B$12589,2,FALSE),"")</f>
        <v>Collard Greens 16oz-standard</v>
      </c>
      <c r="E3398">
        <v>2.2799999999999998</v>
      </c>
      <c r="F3398">
        <v>1.28</v>
      </c>
      <c r="G3398" s="13">
        <v>44611</v>
      </c>
      <c r="H3398" s="13">
        <v>44612</v>
      </c>
      <c r="I3398" s="22" t="str">
        <f>VLOOKUP(J3398, Dropdowns!N:O, 2, FALSE)</f>
        <v>Lower Price</v>
      </c>
      <c r="J3398" t="s">
        <v>759</v>
      </c>
      <c r="L3398" s="17" t="s">
        <v>732</v>
      </c>
      <c r="M3398" s="17" t="s">
        <v>9</v>
      </c>
      <c r="N3398" s="17" t="s">
        <v>736</v>
      </c>
    </row>
    <row r="3399" spans="1:14" x14ac:dyDescent="0.25">
      <c r="A3399" s="8">
        <v>988703</v>
      </c>
      <c r="B3399" s="22" t="str">
        <f>IFERROR(VLOOKUP(A3399,VLOOKUPS!$A$2:B$12589,2,FALSE),"")</f>
        <v>Collard Greens 16oz-standard</v>
      </c>
      <c r="E3399">
        <v>1.28</v>
      </c>
      <c r="F3399">
        <v>2.2799999999999998</v>
      </c>
      <c r="G3399" s="13">
        <v>44613</v>
      </c>
      <c r="H3399" s="13"/>
      <c r="I3399" s="22" t="str">
        <f>VLOOKUP(J3399, Dropdowns!N:O, 2, FALSE)</f>
        <v>Standard</v>
      </c>
      <c r="J3399" t="s">
        <v>760</v>
      </c>
      <c r="L3399" s="17" t="s">
        <v>732</v>
      </c>
      <c r="M3399" s="17" t="s">
        <v>9</v>
      </c>
      <c r="N3399" s="17" t="s">
        <v>736</v>
      </c>
    </row>
    <row r="3400" spans="1:14" x14ac:dyDescent="0.25">
      <c r="A3400" s="8">
        <v>995001</v>
      </c>
      <c r="B3400" s="22" t="str">
        <f>IFERROR(VLOOKUP(A3400,VLOOKUPS!$A$2:B$12589,2,FALSE),"")</f>
        <v>Spinach Baby 6oz-standard</v>
      </c>
      <c r="E3400">
        <v>2.63</v>
      </c>
      <c r="F3400">
        <v>1.63</v>
      </c>
      <c r="G3400" s="13">
        <v>44611</v>
      </c>
      <c r="H3400" s="13">
        <v>44612</v>
      </c>
      <c r="I3400" s="22" t="str">
        <f>VLOOKUP(J3400, Dropdowns!N:O, 2, FALSE)</f>
        <v>Lower Price</v>
      </c>
      <c r="J3400" t="s">
        <v>759</v>
      </c>
      <c r="L3400" s="17" t="s">
        <v>732</v>
      </c>
      <c r="M3400" s="17" t="s">
        <v>10</v>
      </c>
      <c r="N3400" s="17">
        <v>2</v>
      </c>
    </row>
    <row r="3401" spans="1:14" x14ac:dyDescent="0.25">
      <c r="A3401" s="8">
        <v>995001</v>
      </c>
      <c r="B3401" s="22" t="str">
        <f>IFERROR(VLOOKUP(A3401,VLOOKUPS!$A$2:B$12589,2,FALSE),"")</f>
        <v>Spinach Baby 6oz-standard</v>
      </c>
      <c r="E3401">
        <v>1.63</v>
      </c>
      <c r="F3401">
        <v>2.63</v>
      </c>
      <c r="G3401" s="13">
        <v>44613</v>
      </c>
      <c r="H3401" s="13"/>
      <c r="I3401" s="22" t="str">
        <f>VLOOKUP(J3401, Dropdowns!N:O, 2, FALSE)</f>
        <v>Standard</v>
      </c>
      <c r="J3401" t="s">
        <v>760</v>
      </c>
      <c r="L3401" s="17" t="s">
        <v>732</v>
      </c>
      <c r="M3401" s="17" t="s">
        <v>10</v>
      </c>
      <c r="N3401" s="17">
        <v>2</v>
      </c>
    </row>
    <row r="3402" spans="1:14" x14ac:dyDescent="0.25">
      <c r="A3402" s="8">
        <v>995006</v>
      </c>
      <c r="B3402" s="22" t="str">
        <f>IFERROR(VLOOKUP(A3402,VLOOKUPS!$A$2:B$12589,2,FALSE),"")</f>
        <v>Italian Salad 9oz-standard</v>
      </c>
      <c r="E3402">
        <v>2.29</v>
      </c>
      <c r="F3402">
        <v>0.99</v>
      </c>
      <c r="G3402" s="13">
        <v>44611</v>
      </c>
      <c r="H3402" s="13">
        <v>44612</v>
      </c>
      <c r="I3402" s="22" t="str">
        <f>VLOOKUP(J3402, Dropdowns!N:O, 2, FALSE)</f>
        <v>Lower Price</v>
      </c>
      <c r="J3402" t="s">
        <v>759</v>
      </c>
      <c r="L3402" s="17" t="s">
        <v>732</v>
      </c>
      <c r="M3402" s="17" t="s">
        <v>735</v>
      </c>
      <c r="N3402" s="17" t="s">
        <v>736</v>
      </c>
    </row>
    <row r="3403" spans="1:14" x14ac:dyDescent="0.25">
      <c r="A3403" s="8">
        <v>995006</v>
      </c>
      <c r="B3403" s="22" t="str">
        <f>IFERROR(VLOOKUP(A3403,VLOOKUPS!$A$2:B$12589,2,FALSE),"")</f>
        <v>Italian Salad 9oz-standard</v>
      </c>
      <c r="E3403">
        <v>0.99</v>
      </c>
      <c r="F3403">
        <v>2.29</v>
      </c>
      <c r="G3403" s="13">
        <v>44613</v>
      </c>
      <c r="H3403" s="13"/>
      <c r="I3403" s="22" t="str">
        <f>VLOOKUP(J3403, Dropdowns!N:O, 2, FALSE)</f>
        <v>Standard</v>
      </c>
      <c r="J3403" t="s">
        <v>760</v>
      </c>
      <c r="L3403" s="17" t="s">
        <v>732</v>
      </c>
      <c r="M3403" s="17" t="s">
        <v>735</v>
      </c>
      <c r="N3403" s="17" t="s">
        <v>736</v>
      </c>
    </row>
    <row r="3404" spans="1:14" x14ac:dyDescent="0.25">
      <c r="A3404" s="8">
        <v>995007</v>
      </c>
      <c r="B3404" s="22" t="str">
        <f>IFERROR(VLOOKUP(A3404,VLOOKUPS!$A$2:B$12589,2,FALSE),"")</f>
        <v>Caesar Salad Kit 10.5oz-standard</v>
      </c>
      <c r="E3404">
        <v>2.59</v>
      </c>
      <c r="F3404">
        <v>1.59</v>
      </c>
      <c r="G3404" s="13">
        <v>44611</v>
      </c>
      <c r="H3404" s="13">
        <v>44612</v>
      </c>
      <c r="I3404" s="22" t="str">
        <f>VLOOKUP(J3404, Dropdowns!N:O, 2, FALSE)</f>
        <v>Lower Price</v>
      </c>
      <c r="J3404" t="s">
        <v>759</v>
      </c>
      <c r="L3404" s="17" t="s">
        <v>732</v>
      </c>
      <c r="M3404" s="17" t="s">
        <v>10</v>
      </c>
      <c r="N3404" s="17">
        <v>2</v>
      </c>
    </row>
    <row r="3405" spans="1:14" x14ac:dyDescent="0.25">
      <c r="A3405" s="8">
        <v>995007</v>
      </c>
      <c r="B3405" s="22" t="str">
        <f>IFERROR(VLOOKUP(A3405,VLOOKUPS!$A$2:B$12589,2,FALSE),"")</f>
        <v>Caesar Salad Kit 10.5oz-standard</v>
      </c>
      <c r="E3405">
        <v>1.59</v>
      </c>
      <c r="F3405">
        <v>2.59</v>
      </c>
      <c r="G3405" s="13">
        <v>44613</v>
      </c>
      <c r="H3405" s="13"/>
      <c r="I3405" s="22" t="str">
        <f>VLOOKUP(J3405, Dropdowns!N:O, 2, FALSE)</f>
        <v>Standard</v>
      </c>
      <c r="J3405" t="s">
        <v>760</v>
      </c>
      <c r="L3405" s="17" t="s">
        <v>732</v>
      </c>
      <c r="M3405" s="17" t="s">
        <v>10</v>
      </c>
      <c r="N3405" s="17">
        <v>2</v>
      </c>
    </row>
    <row r="3406" spans="1:14" x14ac:dyDescent="0.25">
      <c r="A3406" s="8">
        <v>995013</v>
      </c>
      <c r="B3406" s="22" t="str">
        <f>IFERROR(VLOOKUP(A3406,VLOOKUPS!$A$2:B$12589,2,FALSE),"")</f>
        <v>Spinach 8oz-standard</v>
      </c>
      <c r="E3406">
        <v>1.29</v>
      </c>
      <c r="F3406">
        <v>0.79</v>
      </c>
      <c r="G3406" s="13">
        <v>44611</v>
      </c>
      <c r="H3406" s="13">
        <v>44612</v>
      </c>
      <c r="I3406" s="22" t="str">
        <f>VLOOKUP(J3406, Dropdowns!N:O, 2, FALSE)</f>
        <v>Lower Price</v>
      </c>
      <c r="J3406" t="s">
        <v>759</v>
      </c>
      <c r="L3406" s="17" t="s">
        <v>732</v>
      </c>
      <c r="M3406" s="17" t="s">
        <v>9</v>
      </c>
      <c r="N3406" s="17" t="s">
        <v>736</v>
      </c>
    </row>
    <row r="3407" spans="1:14" x14ac:dyDescent="0.25">
      <c r="A3407" s="8">
        <v>995013</v>
      </c>
      <c r="B3407" s="22" t="str">
        <f>IFERROR(VLOOKUP(A3407,VLOOKUPS!$A$2:B$12589,2,FALSE),"")</f>
        <v>Spinach 8oz-standard</v>
      </c>
      <c r="E3407">
        <v>0.79</v>
      </c>
      <c r="F3407">
        <v>1.29</v>
      </c>
      <c r="G3407" s="13">
        <v>44613</v>
      </c>
      <c r="H3407" s="13"/>
      <c r="I3407" s="22" t="str">
        <f>VLOOKUP(J3407, Dropdowns!N:O, 2, FALSE)</f>
        <v>Standard</v>
      </c>
      <c r="J3407" t="s">
        <v>760</v>
      </c>
      <c r="L3407" s="17" t="s">
        <v>732</v>
      </c>
      <c r="M3407" s="17" t="s">
        <v>9</v>
      </c>
      <c r="N3407" s="17" t="s">
        <v>736</v>
      </c>
    </row>
    <row r="3408" spans="1:14" x14ac:dyDescent="0.25">
      <c r="A3408" s="8">
        <v>995019</v>
      </c>
      <c r="B3408" s="22" t="str">
        <f>IFERROR(VLOOKUP(A3408,VLOOKUPS!$A$2:B$12589,2,FALSE),"")</f>
        <v>RTE Large Santa Fe Salad 14oz-standard</v>
      </c>
      <c r="E3408">
        <v>5.34</v>
      </c>
      <c r="F3408">
        <v>3.94</v>
      </c>
      <c r="G3408" s="13">
        <v>44611</v>
      </c>
      <c r="H3408" s="13">
        <v>44612</v>
      </c>
      <c r="I3408" s="22" t="str">
        <f>VLOOKUP(J3408, Dropdowns!N:O, 2, FALSE)</f>
        <v>Lower Price</v>
      </c>
      <c r="J3408" t="s">
        <v>759</v>
      </c>
      <c r="L3408" s="17" t="s">
        <v>732</v>
      </c>
      <c r="M3408" s="17" t="s">
        <v>738</v>
      </c>
      <c r="N3408" s="17">
        <v>2</v>
      </c>
    </row>
    <row r="3409" spans="1:14" x14ac:dyDescent="0.25">
      <c r="A3409" s="8">
        <v>995019</v>
      </c>
      <c r="B3409" s="22" t="str">
        <f>IFERROR(VLOOKUP(A3409,VLOOKUPS!$A$2:B$12589,2,FALSE),"")</f>
        <v>RTE Large Santa Fe Salad 14oz-standard</v>
      </c>
      <c r="E3409">
        <v>3.94</v>
      </c>
      <c r="F3409">
        <v>5.34</v>
      </c>
      <c r="G3409" s="13">
        <v>44613</v>
      </c>
      <c r="H3409" s="13"/>
      <c r="I3409" s="22" t="str">
        <f>VLOOKUP(J3409, Dropdowns!N:O, 2, FALSE)</f>
        <v>Standard</v>
      </c>
      <c r="J3409" t="s">
        <v>760</v>
      </c>
      <c r="L3409" s="17" t="s">
        <v>732</v>
      </c>
      <c r="M3409" s="17" t="s">
        <v>738</v>
      </c>
      <c r="N3409" s="17">
        <v>2</v>
      </c>
    </row>
    <row r="3410" spans="1:14" x14ac:dyDescent="0.25">
      <c r="A3410" s="8">
        <v>995021</v>
      </c>
      <c r="B3410" s="22" t="str">
        <f>IFERROR(VLOOKUP(A3410,VLOOKUPS!$A$2:B$12589,2,FALSE),"")</f>
        <v>Chopped Bacon Caesar Kit 10.2oz-standard</v>
      </c>
      <c r="E3410">
        <v>3.49</v>
      </c>
      <c r="F3410">
        <v>2.4900000000000002</v>
      </c>
      <c r="G3410" s="13">
        <v>44611</v>
      </c>
      <c r="H3410" s="13">
        <v>44612</v>
      </c>
      <c r="I3410" s="22" t="str">
        <f>VLOOKUP(J3410, Dropdowns!N:O, 2, FALSE)</f>
        <v>Lower Price</v>
      </c>
      <c r="J3410" t="s">
        <v>759</v>
      </c>
      <c r="L3410" s="17" t="s">
        <v>732</v>
      </c>
      <c r="M3410" s="17" t="s">
        <v>9</v>
      </c>
      <c r="N3410" s="17" t="s">
        <v>736</v>
      </c>
    </row>
    <row r="3411" spans="1:14" x14ac:dyDescent="0.25">
      <c r="A3411" s="8">
        <v>995021</v>
      </c>
      <c r="B3411" s="22" t="str">
        <f>IFERROR(VLOOKUP(A3411,VLOOKUPS!$A$2:B$12589,2,FALSE),"")</f>
        <v>Chopped Bacon Caesar Kit 10.2oz-standard</v>
      </c>
      <c r="E3411">
        <v>2.4900000000000002</v>
      </c>
      <c r="F3411">
        <v>3.49</v>
      </c>
      <c r="G3411" s="13">
        <v>44613</v>
      </c>
      <c r="H3411" s="13"/>
      <c r="I3411" s="22" t="str">
        <f>VLOOKUP(J3411, Dropdowns!N:O, 2, FALSE)</f>
        <v>Standard</v>
      </c>
      <c r="J3411" t="s">
        <v>760</v>
      </c>
      <c r="L3411" s="17" t="s">
        <v>732</v>
      </c>
      <c r="M3411" s="17" t="s">
        <v>9</v>
      </c>
      <c r="N3411" s="17" t="s">
        <v>736</v>
      </c>
    </row>
    <row r="3412" spans="1:14" x14ac:dyDescent="0.25">
      <c r="A3412" s="8">
        <v>995135</v>
      </c>
      <c r="B3412" s="22" t="str">
        <f>IFERROR(VLOOKUP(A3412,VLOOKUPS!$A$2:B$12589,2,FALSE),"")</f>
        <v>XL Mild Fresh Salsa 30oz-standard</v>
      </c>
      <c r="D3412">
        <v>6</v>
      </c>
      <c r="E3412">
        <v>6.99</v>
      </c>
      <c r="G3412" s="13">
        <v>44611</v>
      </c>
      <c r="H3412" s="13"/>
      <c r="I3412" s="22" t="str">
        <f>VLOOKUP(J3412, Dropdowns!N:O, 2, FALSE)</f>
        <v>NA</v>
      </c>
      <c r="J3412" t="s">
        <v>754</v>
      </c>
      <c r="L3412" s="17" t="s">
        <v>732</v>
      </c>
      <c r="M3412" s="17" t="s">
        <v>10</v>
      </c>
      <c r="N3412" s="17">
        <v>2</v>
      </c>
    </row>
    <row r="3413" spans="1:14" x14ac:dyDescent="0.25">
      <c r="A3413" s="8">
        <v>995174</v>
      </c>
      <c r="B3413" s="22" t="str">
        <f>IFERROR(VLOOKUP(A3413,VLOOKUPS!$A$2:B$12589,2,FALSE),"")</f>
        <v>Vegetable Tray 24oz-standard</v>
      </c>
      <c r="D3413">
        <v>3</v>
      </c>
      <c r="E3413">
        <v>8.36</v>
      </c>
      <c r="G3413" s="13">
        <v>44611</v>
      </c>
      <c r="H3413" s="13"/>
      <c r="I3413" s="22" t="str">
        <f>VLOOKUP(J3413, Dropdowns!N:O, 2, FALSE)</f>
        <v>NA</v>
      </c>
      <c r="J3413" t="s">
        <v>754</v>
      </c>
      <c r="L3413" s="17" t="s">
        <v>732</v>
      </c>
      <c r="M3413" s="17" t="s">
        <v>9</v>
      </c>
      <c r="N3413" s="17" t="s">
        <v>736</v>
      </c>
    </row>
    <row r="3414" spans="1:14" x14ac:dyDescent="0.25">
      <c r="A3414" s="8">
        <v>985760</v>
      </c>
      <c r="B3414" s="22" t="str">
        <f>IFERROR(VLOOKUP(A3414,VLOOKUPS!$A$2:B$12589,2,FALSE),"")</f>
        <v>Asparagus 1lb-standard</v>
      </c>
      <c r="E3414">
        <v>1.99</v>
      </c>
      <c r="F3414">
        <v>2.99</v>
      </c>
      <c r="G3414" s="13">
        <v>44611</v>
      </c>
      <c r="H3414" s="13"/>
      <c r="I3414" s="22" t="str">
        <f>VLOOKUP(J3414, Dropdowns!N:O, 2, FALSE)</f>
        <v>Standard</v>
      </c>
      <c r="J3414" t="s">
        <v>760</v>
      </c>
      <c r="L3414" s="17" t="s">
        <v>733</v>
      </c>
      <c r="M3414" s="17" t="s">
        <v>11</v>
      </c>
      <c r="N3414" s="17" t="s">
        <v>740</v>
      </c>
    </row>
    <row r="3415" spans="1:14" x14ac:dyDescent="0.25">
      <c r="A3415" s="8">
        <v>995000</v>
      </c>
      <c r="B3415" s="22" t="str">
        <f>IFERROR(VLOOKUP(A3415,VLOOKUPS!$A$2:B$12589,2,FALSE),"")</f>
        <v>Spring Mix 5oz-standard</v>
      </c>
      <c r="E3415">
        <v>1.89</v>
      </c>
      <c r="F3415">
        <v>1.98</v>
      </c>
      <c r="G3415" s="13">
        <v>44614</v>
      </c>
      <c r="H3415" s="13"/>
      <c r="I3415" s="22" t="str">
        <f>VLOOKUP(J3415, Dropdowns!N:O, 2, FALSE)</f>
        <v>Standard</v>
      </c>
      <c r="J3415" t="s">
        <v>761</v>
      </c>
      <c r="L3415" s="17" t="s">
        <v>732</v>
      </c>
      <c r="M3415" s="17" t="s">
        <v>736</v>
      </c>
      <c r="N3415" s="17" t="s">
        <v>736</v>
      </c>
    </row>
    <row r="3416" spans="1:14" x14ac:dyDescent="0.25">
      <c r="A3416" s="8">
        <v>995005</v>
      </c>
      <c r="B3416" s="22" t="str">
        <f>IFERROR(VLOOKUP(A3416,VLOOKUPS!$A$2:B$12589,2,FALSE),"")</f>
        <v>Garden Salad 12oz-standard</v>
      </c>
      <c r="E3416">
        <v>0.95</v>
      </c>
      <c r="F3416">
        <v>1.38</v>
      </c>
      <c r="G3416" s="13">
        <v>44614</v>
      </c>
      <c r="H3416" s="13"/>
      <c r="I3416" s="22" t="str">
        <f>VLOOKUP(J3416, Dropdowns!N:O, 2, FALSE)</f>
        <v>Standard</v>
      </c>
      <c r="J3416" t="s">
        <v>761</v>
      </c>
      <c r="L3416" s="17" t="s">
        <v>732</v>
      </c>
      <c r="M3416" s="17" t="s">
        <v>736</v>
      </c>
      <c r="N3416" s="17" t="s">
        <v>736</v>
      </c>
    </row>
    <row r="3417" spans="1:14" x14ac:dyDescent="0.25">
      <c r="A3417" s="8">
        <v>995008</v>
      </c>
      <c r="B3417" s="22" t="str">
        <f>IFERROR(VLOOKUP(A3417,VLOOKUPS!$A$2:B$12589,2,FALSE),"")</f>
        <v>Shredded Lettuce 8oz-standard</v>
      </c>
      <c r="E3417">
        <v>1.29</v>
      </c>
      <c r="F3417">
        <v>1.88</v>
      </c>
      <c r="G3417" s="13">
        <v>44614</v>
      </c>
      <c r="H3417" s="13"/>
      <c r="I3417" s="22" t="str">
        <f>VLOOKUP(J3417, Dropdowns!N:O, 2, FALSE)</f>
        <v>Standard</v>
      </c>
      <c r="J3417" t="s">
        <v>761</v>
      </c>
      <c r="L3417" s="17" t="s">
        <v>732</v>
      </c>
      <c r="M3417" s="17" t="s">
        <v>736</v>
      </c>
      <c r="N3417" s="17" t="s">
        <v>736</v>
      </c>
    </row>
    <row r="3418" spans="1:14" x14ac:dyDescent="0.25">
      <c r="A3418" s="8">
        <v>995069</v>
      </c>
      <c r="B3418" s="22" t="str">
        <f>IFERROR(VLOOKUP(A3418,VLOOKUPS!$A$2:B$12589,2,FALSE),"")</f>
        <v>Organic Baby Spinach 5oz-standard</v>
      </c>
      <c r="E3418">
        <v>2.4900000000000002</v>
      </c>
      <c r="F3418">
        <v>2.98</v>
      </c>
      <c r="G3418" s="13">
        <v>44614</v>
      </c>
      <c r="H3418" s="13"/>
      <c r="I3418" s="22" t="str">
        <f>VLOOKUP(J3418, Dropdowns!N:O, 2, FALSE)</f>
        <v>Standard</v>
      </c>
      <c r="J3418" t="s">
        <v>761</v>
      </c>
      <c r="L3418" s="17" t="s">
        <v>732</v>
      </c>
      <c r="M3418" s="17" t="s">
        <v>736</v>
      </c>
      <c r="N3418" s="17" t="s">
        <v>736</v>
      </c>
    </row>
    <row r="3419" spans="1:14" x14ac:dyDescent="0.25">
      <c r="A3419" s="8">
        <v>984462</v>
      </c>
      <c r="B3419" s="22" t="str">
        <f>IFERROR(VLOOKUP(A3419,VLOOKUPS!$A$2:B$12589,2,FALSE),"")</f>
        <v>Strawberries Long Stem 1lb-standard</v>
      </c>
      <c r="D3419">
        <v>4</v>
      </c>
      <c r="E3419">
        <v>6.99</v>
      </c>
      <c r="G3419" s="13">
        <v>44614</v>
      </c>
      <c r="H3419" s="13"/>
      <c r="I3419" s="22" t="str">
        <f>VLOOKUP(J3419, Dropdowns!N:O, 2, FALSE)</f>
        <v>NA</v>
      </c>
      <c r="J3419" t="s">
        <v>754</v>
      </c>
      <c r="L3419" s="17" t="s">
        <v>732</v>
      </c>
      <c r="M3419" s="17" t="s">
        <v>10</v>
      </c>
      <c r="N3419" s="17">
        <v>2</v>
      </c>
    </row>
    <row r="3420" spans="1:14" x14ac:dyDescent="0.25">
      <c r="A3420" s="8">
        <v>984461</v>
      </c>
      <c r="B3420" s="22" t="str">
        <f>IFERROR(VLOOKUP(A3420,VLOOKUPS!$A$2:B$12589,2,FALSE),"")</f>
        <v>Strawberries 2lb-standard</v>
      </c>
      <c r="E3420">
        <v>4.74</v>
      </c>
      <c r="F3420">
        <v>5.82</v>
      </c>
      <c r="G3420" s="13">
        <v>44614</v>
      </c>
      <c r="H3420" s="13"/>
      <c r="I3420" s="22" t="str">
        <f>VLOOKUP(J3420, Dropdowns!N:O, 2, FALSE)</f>
        <v>Standard</v>
      </c>
      <c r="J3420" t="s">
        <v>761</v>
      </c>
      <c r="L3420" s="17" t="s">
        <v>732</v>
      </c>
      <c r="M3420" s="17" t="s">
        <v>736</v>
      </c>
      <c r="N3420" s="17" t="s">
        <v>736</v>
      </c>
    </row>
    <row r="3421" spans="1:14" x14ac:dyDescent="0.25">
      <c r="A3421" s="8">
        <v>986270</v>
      </c>
      <c r="B3421" s="22" t="str">
        <f>IFERROR(VLOOKUP(A3421,VLOOKUPS!$A$2:B$12589,2,FALSE),"")</f>
        <v>Organic French Beans 1lb-standard</v>
      </c>
      <c r="E3421">
        <v>3.99</v>
      </c>
      <c r="F3421">
        <v>2.99</v>
      </c>
      <c r="G3421" s="13">
        <v>44614</v>
      </c>
      <c r="H3421" s="13">
        <v>44615</v>
      </c>
      <c r="I3421" s="22" t="str">
        <f>VLOOKUP(J3421, Dropdowns!N:O, 2, FALSE)</f>
        <v>Lower Price</v>
      </c>
      <c r="J3421" t="s">
        <v>759</v>
      </c>
      <c r="L3421" s="17" t="s">
        <v>732</v>
      </c>
      <c r="M3421" s="17" t="s">
        <v>10</v>
      </c>
      <c r="N3421" s="17">
        <v>2</v>
      </c>
    </row>
    <row r="3422" spans="1:14" x14ac:dyDescent="0.25">
      <c r="A3422" s="8">
        <v>986270</v>
      </c>
      <c r="B3422" s="22" t="str">
        <f>IFERROR(VLOOKUP(A3422,VLOOKUPS!$A$2:B$12589,2,FALSE),"")</f>
        <v>Organic French Beans 1lb-standard</v>
      </c>
      <c r="E3422">
        <v>2.99</v>
      </c>
      <c r="F3422">
        <v>3.99</v>
      </c>
      <c r="G3422" s="13">
        <v>44616</v>
      </c>
      <c r="H3422" s="13"/>
      <c r="I3422" s="22" t="str">
        <f>VLOOKUP(J3422, Dropdowns!N:O, 2, FALSE)</f>
        <v>Standard</v>
      </c>
      <c r="J3422" t="s">
        <v>760</v>
      </c>
      <c r="L3422" s="17" t="s">
        <v>732</v>
      </c>
      <c r="M3422" s="17" t="s">
        <v>10</v>
      </c>
      <c r="N3422" s="17">
        <v>2</v>
      </c>
    </row>
    <row r="3423" spans="1:14" x14ac:dyDescent="0.25">
      <c r="A3423" s="8">
        <v>986340</v>
      </c>
      <c r="B3423" s="22" t="str">
        <f>IFERROR(VLOOKUP(A3423,VLOOKUPS!$A$2:B$12589,2,FALSE),"")</f>
        <v>Mirepoix 16oz-standard</v>
      </c>
      <c r="D3423">
        <v>6</v>
      </c>
      <c r="E3423">
        <v>2.99</v>
      </c>
      <c r="G3423" s="13">
        <v>44614</v>
      </c>
      <c r="H3423" s="13"/>
      <c r="I3423" s="22" t="str">
        <f>VLOOKUP(J3423, Dropdowns!N:O, 2, FALSE)</f>
        <v>NA</v>
      </c>
      <c r="J3423" t="s">
        <v>754</v>
      </c>
      <c r="L3423" s="17" t="s">
        <v>732</v>
      </c>
      <c r="M3423" s="17" t="s">
        <v>736</v>
      </c>
      <c r="N3423" s="17" t="s">
        <v>736</v>
      </c>
    </row>
    <row r="3424" spans="1:14" x14ac:dyDescent="0.25">
      <c r="A3424" s="8">
        <v>995006</v>
      </c>
      <c r="B3424" s="22" t="str">
        <f>IFERROR(VLOOKUP(A3424,VLOOKUPS!$A$2:B$12589,2,FALSE),"")</f>
        <v>Italian Salad 9oz-standard</v>
      </c>
      <c r="E3424">
        <v>2.29</v>
      </c>
      <c r="F3424">
        <v>0.99</v>
      </c>
      <c r="G3424" s="13">
        <v>44614</v>
      </c>
      <c r="H3424" s="13">
        <v>44615</v>
      </c>
      <c r="I3424" s="22" t="str">
        <f>VLOOKUP(J3424, Dropdowns!N:O, 2, FALSE)</f>
        <v>Lower Price</v>
      </c>
      <c r="J3424" t="s">
        <v>759</v>
      </c>
      <c r="L3424" s="17" t="s">
        <v>732</v>
      </c>
      <c r="M3424" s="17" t="s">
        <v>735</v>
      </c>
      <c r="N3424" s="17" t="s">
        <v>736</v>
      </c>
    </row>
    <row r="3425" spans="1:14" x14ac:dyDescent="0.25">
      <c r="A3425" s="8">
        <v>995006</v>
      </c>
      <c r="B3425" s="22" t="str">
        <f>IFERROR(VLOOKUP(A3425,VLOOKUPS!$A$2:B$12589,2,FALSE),"")</f>
        <v>Italian Salad 9oz-standard</v>
      </c>
      <c r="E3425">
        <v>0.99</v>
      </c>
      <c r="F3425">
        <v>2.29</v>
      </c>
      <c r="G3425" s="13">
        <v>44616</v>
      </c>
      <c r="H3425" s="13"/>
      <c r="I3425" s="22" t="str">
        <f>VLOOKUP(J3425, Dropdowns!N:O, 2, FALSE)</f>
        <v>Standard</v>
      </c>
      <c r="J3425" t="s">
        <v>760</v>
      </c>
      <c r="L3425" s="17" t="s">
        <v>732</v>
      </c>
      <c r="M3425" s="17" t="s">
        <v>735</v>
      </c>
      <c r="N3425" s="17" t="s">
        <v>736</v>
      </c>
    </row>
    <row r="3426" spans="1:14" x14ac:dyDescent="0.25">
      <c r="A3426" s="8">
        <v>995007</v>
      </c>
      <c r="B3426" s="22" t="str">
        <f>IFERROR(VLOOKUP(A3426,VLOOKUPS!$A$2:B$12589,2,FALSE),"")</f>
        <v>Caesar Salad Kit 10.5oz-standard</v>
      </c>
      <c r="E3426">
        <v>2.59</v>
      </c>
      <c r="F3426">
        <v>1.59</v>
      </c>
      <c r="G3426" s="13">
        <v>44614</v>
      </c>
      <c r="H3426" s="13">
        <v>44615</v>
      </c>
      <c r="I3426" s="22" t="str">
        <f>VLOOKUP(J3426, Dropdowns!N:O, 2, FALSE)</f>
        <v>Lower Price</v>
      </c>
      <c r="J3426" t="s">
        <v>759</v>
      </c>
      <c r="L3426" s="17" t="s">
        <v>732</v>
      </c>
      <c r="M3426" s="17" t="s">
        <v>10</v>
      </c>
      <c r="N3426" s="17">
        <v>2</v>
      </c>
    </row>
    <row r="3427" spans="1:14" x14ac:dyDescent="0.25">
      <c r="A3427" s="8">
        <v>995007</v>
      </c>
      <c r="B3427" s="22" t="str">
        <f>IFERROR(VLOOKUP(A3427,VLOOKUPS!$A$2:B$12589,2,FALSE),"")</f>
        <v>Caesar Salad Kit 10.5oz-standard</v>
      </c>
      <c r="E3427">
        <v>1.59</v>
      </c>
      <c r="F3427">
        <v>2.59</v>
      </c>
      <c r="G3427" s="13">
        <v>44616</v>
      </c>
      <c r="H3427" s="13"/>
      <c r="I3427" s="22" t="str">
        <f>VLOOKUP(J3427, Dropdowns!N:O, 2, FALSE)</f>
        <v>Standard</v>
      </c>
      <c r="J3427" t="s">
        <v>760</v>
      </c>
      <c r="L3427" s="17" t="s">
        <v>732</v>
      </c>
      <c r="M3427" s="17" t="s">
        <v>10</v>
      </c>
      <c r="N3427" s="17">
        <v>2</v>
      </c>
    </row>
    <row r="3428" spans="1:14" x14ac:dyDescent="0.25">
      <c r="A3428" s="8">
        <v>995157</v>
      </c>
      <c r="B3428" s="22" t="str">
        <f>IFERROR(VLOOKUP(A3428,VLOOKUPS!$A$2:B$12589,2,FALSE),"")</f>
        <v/>
      </c>
      <c r="D3428">
        <v>6</v>
      </c>
      <c r="E3428">
        <v>4.49</v>
      </c>
      <c r="G3428" s="13">
        <v>44614</v>
      </c>
      <c r="H3428" s="13"/>
      <c r="I3428" s="22" t="str">
        <f>VLOOKUP(J3428, Dropdowns!N:O, 2, FALSE)</f>
        <v>NA</v>
      </c>
      <c r="J3428" t="s">
        <v>754</v>
      </c>
      <c r="L3428" s="17" t="s">
        <v>732</v>
      </c>
      <c r="M3428" s="17" t="s">
        <v>736</v>
      </c>
      <c r="N3428" s="17" t="s">
        <v>736</v>
      </c>
    </row>
    <row r="3429" spans="1:14" x14ac:dyDescent="0.25">
      <c r="A3429" s="8">
        <v>983201</v>
      </c>
      <c r="B3429" s="22" t="str">
        <f>IFERROR(VLOOKUP(A3429,VLOOKUPS!$A$2:B$12589,2,FALSE),"")</f>
        <v>Melons* Honeydew 1ct-LOOSE</v>
      </c>
      <c r="E3429">
        <v>3.98</v>
      </c>
      <c r="F3429">
        <v>2.98</v>
      </c>
      <c r="G3429" s="13">
        <v>44614</v>
      </c>
      <c r="H3429" s="13">
        <v>44615</v>
      </c>
      <c r="I3429" s="22" t="str">
        <f>VLOOKUP(J3429, Dropdowns!N:O, 2, FALSE)</f>
        <v>Lower Price</v>
      </c>
      <c r="J3429" t="s">
        <v>759</v>
      </c>
      <c r="L3429" s="17" t="s">
        <v>732</v>
      </c>
      <c r="M3429" s="17" t="s">
        <v>735</v>
      </c>
      <c r="N3429" s="17" t="s">
        <v>736</v>
      </c>
    </row>
    <row r="3430" spans="1:14" x14ac:dyDescent="0.25">
      <c r="A3430" s="8">
        <v>983201</v>
      </c>
      <c r="B3430" s="22" t="str">
        <f>IFERROR(VLOOKUP(A3430,VLOOKUPS!$A$2:B$12589,2,FALSE),"")</f>
        <v>Melons* Honeydew 1ct-LOOSE</v>
      </c>
      <c r="E3430">
        <v>2.98</v>
      </c>
      <c r="F3430">
        <v>2.98</v>
      </c>
      <c r="G3430" s="13">
        <v>44616</v>
      </c>
      <c r="H3430" s="13"/>
      <c r="I3430" s="22" t="str">
        <f>VLOOKUP(J3430, Dropdowns!N:O, 2, FALSE)</f>
        <v>Standard</v>
      </c>
      <c r="J3430" t="s">
        <v>760</v>
      </c>
      <c r="L3430" s="17" t="s">
        <v>732</v>
      </c>
      <c r="M3430" s="17" t="s">
        <v>735</v>
      </c>
      <c r="N3430" s="17" t="s">
        <v>736</v>
      </c>
    </row>
    <row r="3431" spans="1:14" x14ac:dyDescent="0.25">
      <c r="A3431" s="8">
        <v>984461</v>
      </c>
      <c r="B3431" s="22" t="str">
        <f>IFERROR(VLOOKUP(A3431,VLOOKUPS!$A$2:B$12589,2,FALSE),"")</f>
        <v>Strawberries 2lb-standard</v>
      </c>
      <c r="G3431" s="13">
        <v>44615</v>
      </c>
      <c r="H3431" s="13">
        <v>44621</v>
      </c>
      <c r="I3431" s="22" t="str">
        <f>VLOOKUP(J3431, Dropdowns!N:O, 2, FALSE)</f>
        <v>Lower Price</v>
      </c>
      <c r="J3431" t="s">
        <v>753</v>
      </c>
      <c r="L3431" s="17" t="s">
        <v>732</v>
      </c>
      <c r="M3431" s="17" t="s">
        <v>736</v>
      </c>
      <c r="N3431" s="17" t="s">
        <v>736</v>
      </c>
    </row>
    <row r="3432" spans="1:14" x14ac:dyDescent="0.25">
      <c r="A3432" s="8">
        <v>985760</v>
      </c>
      <c r="B3432" s="22" t="str">
        <f>IFERROR(VLOOKUP(A3432,VLOOKUPS!$A$2:B$12589,2,FALSE),"")</f>
        <v>Asparagus 1lb-standard</v>
      </c>
      <c r="G3432" s="13">
        <v>44615</v>
      </c>
      <c r="H3432" s="13">
        <v>44621</v>
      </c>
      <c r="I3432" s="22" t="str">
        <f>VLOOKUP(J3432, Dropdowns!N:O, 2, FALSE)</f>
        <v>Lower Price</v>
      </c>
      <c r="J3432" t="s">
        <v>753</v>
      </c>
      <c r="L3432" s="17" t="s">
        <v>732</v>
      </c>
      <c r="M3432" s="17" t="s">
        <v>736</v>
      </c>
      <c r="N3432" s="17" t="s">
        <v>736</v>
      </c>
    </row>
    <row r="3433" spans="1:14" x14ac:dyDescent="0.25">
      <c r="A3433" s="8">
        <v>984582</v>
      </c>
      <c r="B3433" s="22" t="str">
        <f>IFERROR(VLOOKUP(A3433,VLOOKUPS!$A$2:B$12589,2,FALSE),"")</f>
        <v>Organic Blueberries 1pt-standard</v>
      </c>
      <c r="E3433">
        <v>4.26</v>
      </c>
      <c r="F3433">
        <v>3.26</v>
      </c>
      <c r="G3433" s="13">
        <v>44615</v>
      </c>
      <c r="H3433" s="13">
        <v>44616</v>
      </c>
      <c r="I3433" s="22" t="str">
        <f>VLOOKUP(J3433, Dropdowns!N:O, 2, FALSE)</f>
        <v>Lower Price</v>
      </c>
      <c r="J3433" t="s">
        <v>759</v>
      </c>
      <c r="L3433" s="17" t="s">
        <v>732</v>
      </c>
      <c r="M3433" s="17" t="s">
        <v>10</v>
      </c>
      <c r="N3433" s="17">
        <v>2</v>
      </c>
    </row>
    <row r="3434" spans="1:14" x14ac:dyDescent="0.25">
      <c r="A3434" s="8">
        <v>984582</v>
      </c>
      <c r="B3434" s="22" t="str">
        <f>IFERROR(VLOOKUP(A3434,VLOOKUPS!$A$2:B$12589,2,FALSE),"")</f>
        <v>Organic Blueberries 1pt-standard</v>
      </c>
      <c r="E3434">
        <v>3.26</v>
      </c>
      <c r="F3434">
        <v>4.26</v>
      </c>
      <c r="G3434" s="13">
        <v>44617</v>
      </c>
      <c r="H3434" s="13"/>
      <c r="I3434" s="22" t="str">
        <f>VLOOKUP(J3434, Dropdowns!N:O, 2, FALSE)</f>
        <v>Standard</v>
      </c>
      <c r="J3434" t="s">
        <v>760</v>
      </c>
      <c r="L3434" s="17" t="s">
        <v>732</v>
      </c>
      <c r="M3434" s="17" t="s">
        <v>10</v>
      </c>
      <c r="N3434" s="17">
        <v>2</v>
      </c>
    </row>
    <row r="3435" spans="1:14" x14ac:dyDescent="0.25">
      <c r="A3435" s="8">
        <v>985111</v>
      </c>
      <c r="B3435" s="22" t="str">
        <f>IFERROR(VLOOKUP(A3435,VLOOKUPS!$A$2:B$12589,2,FALSE),"")</f>
        <v>Lettuce Mixed 1ct-standard</v>
      </c>
      <c r="E3435">
        <v>2.98</v>
      </c>
      <c r="F3435">
        <v>1.98</v>
      </c>
      <c r="G3435" s="13">
        <v>44615</v>
      </c>
      <c r="H3435" s="13">
        <v>44616</v>
      </c>
      <c r="I3435" s="22" t="str">
        <f>VLOOKUP(J3435, Dropdowns!N:O, 2, FALSE)</f>
        <v>Lower Price</v>
      </c>
      <c r="J3435" t="s">
        <v>759</v>
      </c>
      <c r="L3435" s="17" t="s">
        <v>732</v>
      </c>
      <c r="M3435" s="17" t="s">
        <v>738</v>
      </c>
      <c r="N3435" s="17">
        <v>2</v>
      </c>
    </row>
    <row r="3436" spans="1:14" x14ac:dyDescent="0.25">
      <c r="A3436" s="8">
        <v>985111</v>
      </c>
      <c r="B3436" s="22" t="str">
        <f>IFERROR(VLOOKUP(A3436,VLOOKUPS!$A$2:B$12589,2,FALSE),"")</f>
        <v>Lettuce Mixed 1ct-standard</v>
      </c>
      <c r="E3436">
        <v>1.98</v>
      </c>
      <c r="F3436">
        <v>2.98</v>
      </c>
      <c r="G3436" s="13">
        <v>44617</v>
      </c>
      <c r="H3436" s="13"/>
      <c r="I3436" s="22" t="str">
        <f>VLOOKUP(J3436, Dropdowns!N:O, 2, FALSE)</f>
        <v>Standard</v>
      </c>
      <c r="J3436" t="s">
        <v>760</v>
      </c>
      <c r="L3436" s="17" t="s">
        <v>732</v>
      </c>
      <c r="M3436" s="17" t="s">
        <v>738</v>
      </c>
      <c r="N3436" s="17">
        <v>2</v>
      </c>
    </row>
    <row r="3437" spans="1:14" x14ac:dyDescent="0.25">
      <c r="A3437" s="8">
        <v>985160</v>
      </c>
      <c r="B3437" s="22" t="str">
        <f>IFERROR(VLOOKUP(A3437,VLOOKUPS!$A$2:B$12589,2,FALSE),"")</f>
        <v>Romaine Hearts 3ct-standard</v>
      </c>
      <c r="E3437">
        <v>2.64</v>
      </c>
      <c r="F3437">
        <v>1.64</v>
      </c>
      <c r="G3437" s="13">
        <v>44615</v>
      </c>
      <c r="H3437" s="13">
        <v>44616</v>
      </c>
      <c r="I3437" s="22" t="str">
        <f>VLOOKUP(J3437, Dropdowns!N:O, 2, FALSE)</f>
        <v>Lower Price</v>
      </c>
      <c r="J3437" t="s">
        <v>759</v>
      </c>
      <c r="L3437" s="17" t="s">
        <v>732</v>
      </c>
      <c r="M3437" s="17" t="s">
        <v>736</v>
      </c>
      <c r="N3437" s="17" t="s">
        <v>736</v>
      </c>
    </row>
    <row r="3438" spans="1:14" x14ac:dyDescent="0.25">
      <c r="A3438" s="8">
        <v>985160</v>
      </c>
      <c r="B3438" s="22" t="str">
        <f>IFERROR(VLOOKUP(A3438,VLOOKUPS!$A$2:B$12589,2,FALSE),"")</f>
        <v>Romaine Hearts 3ct-standard</v>
      </c>
      <c r="E3438">
        <v>1.64</v>
      </c>
      <c r="F3438">
        <v>2.64</v>
      </c>
      <c r="G3438" s="13">
        <v>44617</v>
      </c>
      <c r="H3438" s="13"/>
      <c r="I3438" s="22" t="str">
        <f>VLOOKUP(J3438, Dropdowns!N:O, 2, FALSE)</f>
        <v>Standard</v>
      </c>
      <c r="J3438" t="s">
        <v>760</v>
      </c>
      <c r="L3438" s="17" t="s">
        <v>732</v>
      </c>
      <c r="M3438" s="17" t="s">
        <v>736</v>
      </c>
      <c r="N3438" s="17" t="s">
        <v>736</v>
      </c>
    </row>
    <row r="3439" spans="1:14" x14ac:dyDescent="0.25">
      <c r="A3439" s="8">
        <v>985190</v>
      </c>
      <c r="B3439" s="22" t="str">
        <f>IFERROR(VLOOKUP(A3439,VLOOKUPS!$A$2:B$12589,2,FALSE),"")</f>
        <v>Organic Romaine Hearts 3ct-standard</v>
      </c>
      <c r="E3439">
        <v>3.12</v>
      </c>
      <c r="F3439">
        <v>2.12</v>
      </c>
      <c r="G3439" s="13">
        <v>44615</v>
      </c>
      <c r="H3439" s="13">
        <v>44616</v>
      </c>
      <c r="I3439" s="22" t="str">
        <f>VLOOKUP(J3439, Dropdowns!N:O, 2, FALSE)</f>
        <v>Lower Price</v>
      </c>
      <c r="J3439" t="s">
        <v>759</v>
      </c>
      <c r="L3439" s="17" t="s">
        <v>733</v>
      </c>
      <c r="M3439" s="17" t="s">
        <v>11</v>
      </c>
      <c r="N3439" s="17" t="s">
        <v>740</v>
      </c>
    </row>
    <row r="3440" spans="1:14" x14ac:dyDescent="0.25">
      <c r="A3440" s="8">
        <v>985190</v>
      </c>
      <c r="B3440" s="22" t="str">
        <f>IFERROR(VLOOKUP(A3440,VLOOKUPS!$A$2:B$12589,2,FALSE),"")</f>
        <v>Organic Romaine Hearts 3ct-standard</v>
      </c>
      <c r="E3440">
        <v>2.12</v>
      </c>
      <c r="F3440">
        <v>3.12</v>
      </c>
      <c r="G3440" s="13">
        <v>44617</v>
      </c>
      <c r="H3440" s="13"/>
      <c r="I3440" s="22" t="str">
        <f>VLOOKUP(J3440, Dropdowns!N:O, 2, FALSE)</f>
        <v>Standard</v>
      </c>
      <c r="J3440" t="s">
        <v>760</v>
      </c>
      <c r="L3440" s="17" t="s">
        <v>733</v>
      </c>
      <c r="M3440" s="17" t="s">
        <v>11</v>
      </c>
      <c r="N3440" s="17" t="s">
        <v>740</v>
      </c>
    </row>
    <row r="3441" spans="1:14" x14ac:dyDescent="0.25">
      <c r="A3441" s="8">
        <v>986270</v>
      </c>
      <c r="B3441" s="22" t="str">
        <f>IFERROR(VLOOKUP(A3441,VLOOKUPS!$A$2:B$12589,2,FALSE),"")</f>
        <v>Organic French Beans 1lb-standard</v>
      </c>
      <c r="E3441">
        <v>3.99</v>
      </c>
      <c r="F3441">
        <v>3.29</v>
      </c>
      <c r="G3441" s="13">
        <v>44615</v>
      </c>
      <c r="H3441" s="13">
        <v>44616</v>
      </c>
      <c r="I3441" s="22" t="str">
        <f>VLOOKUP(J3441, Dropdowns!N:O, 2, FALSE)</f>
        <v>Lower Price</v>
      </c>
      <c r="J3441" t="s">
        <v>759</v>
      </c>
      <c r="L3441" s="17" t="s">
        <v>732</v>
      </c>
      <c r="M3441" s="17" t="s">
        <v>9</v>
      </c>
      <c r="N3441" s="17" t="s">
        <v>736</v>
      </c>
    </row>
    <row r="3442" spans="1:14" x14ac:dyDescent="0.25">
      <c r="A3442" s="8">
        <v>986270</v>
      </c>
      <c r="B3442" s="22" t="str">
        <f>IFERROR(VLOOKUP(A3442,VLOOKUPS!$A$2:B$12589,2,FALSE),"")</f>
        <v>Organic French Beans 1lb-standard</v>
      </c>
      <c r="E3442">
        <v>3.29</v>
      </c>
      <c r="F3442">
        <v>3.99</v>
      </c>
      <c r="G3442" s="13">
        <v>44617</v>
      </c>
      <c r="H3442" s="13"/>
      <c r="I3442" s="22" t="str">
        <f>VLOOKUP(J3442, Dropdowns!N:O, 2, FALSE)</f>
        <v>Standard</v>
      </c>
      <c r="J3442" t="s">
        <v>760</v>
      </c>
      <c r="L3442" s="17" t="s">
        <v>732</v>
      </c>
      <c r="M3442" s="17" t="s">
        <v>9</v>
      </c>
      <c r="N3442" s="17" t="s">
        <v>736</v>
      </c>
    </row>
    <row r="3443" spans="1:14" x14ac:dyDescent="0.25">
      <c r="A3443" s="8">
        <v>995019</v>
      </c>
      <c r="B3443" s="22" t="str">
        <f>IFERROR(VLOOKUP(A3443,VLOOKUPS!$A$2:B$12589,2,FALSE),"")</f>
        <v>RTE Large Santa Fe Salad 14oz-standard</v>
      </c>
      <c r="E3443">
        <v>5.34</v>
      </c>
      <c r="F3443">
        <v>3.49</v>
      </c>
      <c r="G3443" s="13">
        <v>44615</v>
      </c>
      <c r="H3443" s="13">
        <v>44616</v>
      </c>
      <c r="I3443" s="22" t="str">
        <f>VLOOKUP(J3443, Dropdowns!N:O, 2, FALSE)</f>
        <v>Lower Price</v>
      </c>
      <c r="J3443" t="s">
        <v>759</v>
      </c>
      <c r="L3443" s="17" t="s">
        <v>733</v>
      </c>
      <c r="M3443" s="17" t="s">
        <v>11</v>
      </c>
      <c r="N3443" s="17" t="s">
        <v>740</v>
      </c>
    </row>
    <row r="3444" spans="1:14" x14ac:dyDescent="0.25">
      <c r="A3444" s="8">
        <v>995019</v>
      </c>
      <c r="B3444" s="22" t="str">
        <f>IFERROR(VLOOKUP(A3444,VLOOKUPS!$A$2:B$12589,2,FALSE),"")</f>
        <v>RTE Large Santa Fe Salad 14oz-standard</v>
      </c>
      <c r="E3444">
        <v>3.49</v>
      </c>
      <c r="F3444">
        <v>5.34</v>
      </c>
      <c r="G3444" s="13">
        <v>44617</v>
      </c>
      <c r="H3444" s="13"/>
      <c r="I3444" s="22" t="str">
        <f>VLOOKUP(J3444, Dropdowns!N:O, 2, FALSE)</f>
        <v>Standard</v>
      </c>
      <c r="J3444" t="s">
        <v>760</v>
      </c>
      <c r="L3444" s="17" t="s">
        <v>733</v>
      </c>
      <c r="M3444" s="17" t="s">
        <v>11</v>
      </c>
      <c r="N3444" s="17" t="s">
        <v>740</v>
      </c>
    </row>
    <row r="3445" spans="1:14" x14ac:dyDescent="0.25">
      <c r="A3445" s="8">
        <v>995021</v>
      </c>
      <c r="B3445" s="22" t="str">
        <f>IFERROR(VLOOKUP(A3445,VLOOKUPS!$A$2:B$12589,2,FALSE),"")</f>
        <v>Chopped Bacon Caesar Kit 10.2oz-standard</v>
      </c>
      <c r="E3445">
        <v>3.49</v>
      </c>
      <c r="F3445">
        <v>1.99</v>
      </c>
      <c r="G3445" s="13">
        <v>44615</v>
      </c>
      <c r="H3445" s="13">
        <v>44616</v>
      </c>
      <c r="I3445" s="22" t="str">
        <f>VLOOKUP(J3445, Dropdowns!N:O, 2, FALSE)</f>
        <v>Lower Price</v>
      </c>
      <c r="J3445" t="s">
        <v>759</v>
      </c>
      <c r="L3445" s="17" t="s">
        <v>732</v>
      </c>
      <c r="M3445" s="17" t="s">
        <v>738</v>
      </c>
      <c r="N3445" s="17">
        <v>2</v>
      </c>
    </row>
    <row r="3446" spans="1:14" x14ac:dyDescent="0.25">
      <c r="A3446" s="8">
        <v>995021</v>
      </c>
      <c r="B3446" s="22" t="str">
        <f>IFERROR(VLOOKUP(A3446,VLOOKUPS!$A$2:B$12589,2,FALSE),"")</f>
        <v>Chopped Bacon Caesar Kit 10.2oz-standard</v>
      </c>
      <c r="E3446">
        <v>1.99</v>
      </c>
      <c r="F3446">
        <v>3.49</v>
      </c>
      <c r="G3446" s="13">
        <v>44617</v>
      </c>
      <c r="H3446" s="13"/>
      <c r="I3446" s="22" t="str">
        <f>VLOOKUP(J3446, Dropdowns!N:O, 2, FALSE)</f>
        <v>Standard</v>
      </c>
      <c r="J3446" t="s">
        <v>760</v>
      </c>
      <c r="L3446" s="17" t="s">
        <v>732</v>
      </c>
      <c r="M3446" s="17" t="s">
        <v>738</v>
      </c>
      <c r="N3446" s="17">
        <v>2</v>
      </c>
    </row>
    <row r="3447" spans="1:14" x14ac:dyDescent="0.25">
      <c r="A3447" s="8">
        <v>995032</v>
      </c>
      <c r="B3447" s="22" t="str">
        <f>IFERROR(VLOOKUP(A3447,VLOOKUPS!$A$2:B$12589,2,FALSE),"")</f>
        <v>Chopped Sunflower Crunch Kit 12.2oz-standard</v>
      </c>
      <c r="E3447">
        <v>3.49</v>
      </c>
      <c r="F3447">
        <v>2.4900000000000002</v>
      </c>
      <c r="G3447" s="13">
        <v>44615</v>
      </c>
      <c r="H3447" s="13">
        <v>44616</v>
      </c>
      <c r="I3447" s="22" t="str">
        <f>VLOOKUP(J3447, Dropdowns!N:O, 2, FALSE)</f>
        <v>Lower Price</v>
      </c>
      <c r="J3447" t="s">
        <v>759</v>
      </c>
      <c r="L3447" s="17" t="s">
        <v>732</v>
      </c>
      <c r="M3447" s="17" t="s">
        <v>738</v>
      </c>
      <c r="N3447" s="17">
        <v>2</v>
      </c>
    </row>
    <row r="3448" spans="1:14" x14ac:dyDescent="0.25">
      <c r="A3448" s="8">
        <v>995032</v>
      </c>
      <c r="B3448" s="22" t="str">
        <f>IFERROR(VLOOKUP(A3448,VLOOKUPS!$A$2:B$12589,2,FALSE),"")</f>
        <v>Chopped Sunflower Crunch Kit 12.2oz-standard</v>
      </c>
      <c r="E3448">
        <v>2.4900000000000002</v>
      </c>
      <c r="F3448">
        <v>3.49</v>
      </c>
      <c r="G3448" s="13">
        <v>44617</v>
      </c>
      <c r="H3448" s="13"/>
      <c r="I3448" s="22" t="str">
        <f>VLOOKUP(J3448, Dropdowns!N:O, 2, FALSE)</f>
        <v>Standard</v>
      </c>
      <c r="J3448" t="s">
        <v>760</v>
      </c>
      <c r="L3448" s="17" t="s">
        <v>732</v>
      </c>
      <c r="M3448" s="17" t="s">
        <v>738</v>
      </c>
      <c r="N3448" s="17">
        <v>2</v>
      </c>
    </row>
    <row r="3449" spans="1:14" x14ac:dyDescent="0.25">
      <c r="A3449" s="8">
        <v>995100</v>
      </c>
      <c r="B3449" s="22" t="str">
        <f>IFERROR(VLOOKUP(A3449,VLOOKUPS!$A$2:B$12589,2,FALSE),"")</f>
        <v>Asian Chopped Salad Kit 12oz-standard</v>
      </c>
      <c r="E3449">
        <v>3.49</v>
      </c>
      <c r="F3449">
        <v>1.99</v>
      </c>
      <c r="G3449" s="13">
        <v>44615</v>
      </c>
      <c r="H3449" s="13">
        <v>44616</v>
      </c>
      <c r="I3449" s="22" t="str">
        <f>VLOOKUP(J3449, Dropdowns!N:O, 2, FALSE)</f>
        <v>Lower Price</v>
      </c>
      <c r="J3449" t="s">
        <v>759</v>
      </c>
      <c r="L3449" s="17" t="s">
        <v>733</v>
      </c>
      <c r="M3449" s="17" t="s">
        <v>11</v>
      </c>
      <c r="N3449" s="17" t="s">
        <v>740</v>
      </c>
    </row>
    <row r="3450" spans="1:14" x14ac:dyDescent="0.25">
      <c r="A3450" s="8">
        <v>995100</v>
      </c>
      <c r="B3450" s="22" t="str">
        <f>IFERROR(VLOOKUP(A3450,VLOOKUPS!$A$2:B$12589,2,FALSE),"")</f>
        <v>Asian Chopped Salad Kit 12oz-standard</v>
      </c>
      <c r="E3450">
        <v>1.99</v>
      </c>
      <c r="F3450">
        <v>3.49</v>
      </c>
      <c r="G3450" s="13">
        <v>44617</v>
      </c>
      <c r="H3450" s="13"/>
      <c r="I3450" s="22" t="str">
        <f>VLOOKUP(J3450, Dropdowns!N:O, 2, FALSE)</f>
        <v>Standard</v>
      </c>
      <c r="J3450" t="s">
        <v>760</v>
      </c>
      <c r="L3450" s="17" t="s">
        <v>733</v>
      </c>
      <c r="M3450" s="17" t="s">
        <v>11</v>
      </c>
      <c r="N3450" s="17" t="s">
        <v>740</v>
      </c>
    </row>
    <row r="3451" spans="1:14" x14ac:dyDescent="0.25">
      <c r="A3451" s="8">
        <v>995171</v>
      </c>
      <c r="B3451" s="22" t="str">
        <f>IFERROR(VLOOKUP(A3451,VLOOKUPS!$A$2:B$12589,2,FALSE),"")</f>
        <v>Kale Greens 2lb-standard</v>
      </c>
      <c r="E3451">
        <v>4.5599999999999996</v>
      </c>
      <c r="F3451">
        <v>3.46</v>
      </c>
      <c r="G3451" s="13">
        <v>44615</v>
      </c>
      <c r="H3451" s="13">
        <v>44616</v>
      </c>
      <c r="I3451" s="22" t="str">
        <f>VLOOKUP(J3451, Dropdowns!N:O, 2, FALSE)</f>
        <v>Lower Price</v>
      </c>
      <c r="J3451" t="s">
        <v>759</v>
      </c>
      <c r="L3451" s="17" t="s">
        <v>732</v>
      </c>
      <c r="M3451" s="17" t="s">
        <v>9</v>
      </c>
      <c r="N3451" s="17" t="s">
        <v>736</v>
      </c>
    </row>
    <row r="3452" spans="1:14" x14ac:dyDescent="0.25">
      <c r="A3452" s="8">
        <v>995171</v>
      </c>
      <c r="B3452" s="22" t="str">
        <f>IFERROR(VLOOKUP(A3452,VLOOKUPS!$A$2:B$12589,2,FALSE),"")</f>
        <v>Kale Greens 2lb-standard</v>
      </c>
      <c r="E3452">
        <v>3.46</v>
      </c>
      <c r="F3452">
        <v>4.5599999999999996</v>
      </c>
      <c r="G3452" s="13">
        <v>44617</v>
      </c>
      <c r="H3452" s="13"/>
      <c r="I3452" s="22" t="str">
        <f>VLOOKUP(J3452, Dropdowns!N:O, 2, FALSE)</f>
        <v>Standard</v>
      </c>
      <c r="J3452" t="s">
        <v>760</v>
      </c>
      <c r="L3452" s="17" t="s">
        <v>732</v>
      </c>
      <c r="M3452" s="17" t="s">
        <v>9</v>
      </c>
      <c r="N3452" s="17" t="s">
        <v>736</v>
      </c>
    </row>
    <row r="3453" spans="1:14" x14ac:dyDescent="0.25">
      <c r="A3453" s="8">
        <v>983101</v>
      </c>
      <c r="B3453" s="22" t="str">
        <f>IFERROR(VLOOKUP(A3453,VLOOKUPS!$A$2:B$12589,2,FALSE),"")</f>
        <v>Melons Cantaloupes 1ct-LOOSE</v>
      </c>
      <c r="G3453" s="13">
        <v>44615</v>
      </c>
      <c r="H3453" s="13"/>
      <c r="I3453" s="22" t="str">
        <f>VLOOKUP(J3453, Dropdowns!N:O, 2, FALSE)</f>
        <v>Lower Price</v>
      </c>
      <c r="J3453" t="s">
        <v>753</v>
      </c>
      <c r="L3453" s="17" t="s">
        <v>732</v>
      </c>
      <c r="M3453" s="17" t="s">
        <v>736</v>
      </c>
      <c r="N3453" s="17" t="s">
        <v>736</v>
      </c>
    </row>
    <row r="3454" spans="1:14" x14ac:dyDescent="0.25">
      <c r="A3454" s="8">
        <v>984620</v>
      </c>
      <c r="B3454" s="22" t="str">
        <f>IFERROR(VLOOKUP(A3454,VLOOKUPS!$A$2:B$12589,2,FALSE),"")</f>
        <v>Raspberries 6oz-standard</v>
      </c>
      <c r="E3454">
        <v>1.39</v>
      </c>
      <c r="F3454">
        <v>3.2</v>
      </c>
      <c r="G3454" s="13">
        <v>44615</v>
      </c>
      <c r="H3454" s="13"/>
      <c r="I3454" s="22" t="str">
        <f>VLOOKUP(J3454, Dropdowns!N:O, 2, FALSE)</f>
        <v>Standard</v>
      </c>
      <c r="J3454" t="s">
        <v>760</v>
      </c>
      <c r="L3454" s="17" t="s">
        <v>732</v>
      </c>
      <c r="M3454" s="17" t="s">
        <v>736</v>
      </c>
      <c r="N3454" s="17" t="s">
        <v>736</v>
      </c>
    </row>
    <row r="3455" spans="1:14" x14ac:dyDescent="0.25">
      <c r="A3455" s="8">
        <v>988620</v>
      </c>
      <c r="B3455" s="22" t="str">
        <f>IFERROR(VLOOKUP(A3455,VLOOKUPS!$A$2:B$12589,2,FALSE),"")</f>
        <v>Brussels Sprouts 1lb-standard</v>
      </c>
      <c r="E3455">
        <v>1.49</v>
      </c>
      <c r="F3455">
        <v>2.89</v>
      </c>
      <c r="G3455" s="13">
        <v>44615</v>
      </c>
      <c r="H3455" s="13"/>
      <c r="I3455" s="22" t="str">
        <f>VLOOKUP(J3455, Dropdowns!N:O, 2, FALSE)</f>
        <v>Standard</v>
      </c>
      <c r="J3455" t="s">
        <v>760</v>
      </c>
      <c r="L3455" s="17" t="s">
        <v>732</v>
      </c>
      <c r="M3455" s="17" t="s">
        <v>736</v>
      </c>
      <c r="N3455" s="17" t="s">
        <v>736</v>
      </c>
    </row>
    <row r="3456" spans="1:14" x14ac:dyDescent="0.25">
      <c r="A3456" s="8">
        <v>984582</v>
      </c>
      <c r="B3456" s="22" t="str">
        <f>IFERROR(VLOOKUP(A3456,VLOOKUPS!$A$2:B$12589,2,FALSE),"")</f>
        <v>Organic Blueberries 1pt-standard</v>
      </c>
      <c r="E3456">
        <v>4.26</v>
      </c>
      <c r="F3456">
        <v>3.26</v>
      </c>
      <c r="G3456" s="13">
        <v>44616</v>
      </c>
      <c r="H3456" s="13">
        <v>44617</v>
      </c>
      <c r="I3456" s="22" t="str">
        <f>VLOOKUP(J3456, Dropdowns!N:O, 2, FALSE)</f>
        <v>Lower Price</v>
      </c>
      <c r="J3456" t="s">
        <v>759</v>
      </c>
      <c r="L3456" s="17" t="s">
        <v>733</v>
      </c>
      <c r="M3456" s="17" t="s">
        <v>11</v>
      </c>
      <c r="N3456" s="17" t="s">
        <v>740</v>
      </c>
    </row>
    <row r="3457" spans="1:14" x14ac:dyDescent="0.25">
      <c r="A3457" s="8">
        <v>984582</v>
      </c>
      <c r="B3457" s="22" t="str">
        <f>IFERROR(VLOOKUP(A3457,VLOOKUPS!$A$2:B$12589,2,FALSE),"")</f>
        <v>Organic Blueberries 1pt-standard</v>
      </c>
      <c r="E3457">
        <v>3.26</v>
      </c>
      <c r="F3457">
        <v>4.26</v>
      </c>
      <c r="G3457" s="13">
        <v>44618</v>
      </c>
      <c r="H3457" s="13"/>
      <c r="I3457" s="22" t="str">
        <f>VLOOKUP(J3457, Dropdowns!N:O, 2, FALSE)</f>
        <v>Standard</v>
      </c>
      <c r="J3457" t="s">
        <v>760</v>
      </c>
      <c r="L3457" s="17" t="s">
        <v>733</v>
      </c>
      <c r="M3457" s="17" t="s">
        <v>11</v>
      </c>
      <c r="N3457" s="17" t="s">
        <v>740</v>
      </c>
    </row>
    <row r="3458" spans="1:14" x14ac:dyDescent="0.25">
      <c r="A3458" s="8">
        <v>984621</v>
      </c>
      <c r="B3458" s="22" t="str">
        <f>IFERROR(VLOOKUP(A3458,VLOOKUPS!$A$2:B$12589,2,FALSE),"")</f>
        <v>Raspberries 12oz-standard</v>
      </c>
      <c r="E3458">
        <v>5.88</v>
      </c>
      <c r="F3458">
        <v>4.88</v>
      </c>
      <c r="G3458" s="13">
        <v>44616</v>
      </c>
      <c r="H3458" s="13"/>
      <c r="I3458" s="22" t="str">
        <f>VLOOKUP(J3458, Dropdowns!N:O, 2, FALSE)</f>
        <v>Standard</v>
      </c>
      <c r="J3458" t="s">
        <v>761</v>
      </c>
      <c r="L3458" s="17" t="s">
        <v>732</v>
      </c>
      <c r="M3458" s="17" t="s">
        <v>736</v>
      </c>
      <c r="N3458" s="17" t="s">
        <v>736</v>
      </c>
    </row>
    <row r="3459" spans="1:14" x14ac:dyDescent="0.25">
      <c r="A3459" s="8">
        <v>995008</v>
      </c>
      <c r="B3459" s="22" t="str">
        <f>IFERROR(VLOOKUP(A3459,VLOOKUPS!$A$2:B$12589,2,FALSE),"")</f>
        <v>Shredded Lettuce 8oz-standard</v>
      </c>
      <c r="E3459">
        <v>1.88</v>
      </c>
      <c r="F3459">
        <v>1.08</v>
      </c>
      <c r="G3459" s="13">
        <v>44616</v>
      </c>
      <c r="H3459" s="13">
        <v>44617</v>
      </c>
      <c r="I3459" s="22" t="str">
        <f>VLOOKUP(J3459, Dropdowns!N:O, 2, FALSE)</f>
        <v>Lower Price</v>
      </c>
      <c r="J3459" t="s">
        <v>759</v>
      </c>
      <c r="L3459" s="17" t="s">
        <v>732</v>
      </c>
      <c r="M3459" s="17" t="s">
        <v>10</v>
      </c>
      <c r="N3459" s="17">
        <v>2</v>
      </c>
    </row>
    <row r="3460" spans="1:14" x14ac:dyDescent="0.25">
      <c r="A3460" s="8">
        <v>995008</v>
      </c>
      <c r="B3460" s="22" t="str">
        <f>IFERROR(VLOOKUP(A3460,VLOOKUPS!$A$2:B$12589,2,FALSE),"")</f>
        <v>Shredded Lettuce 8oz-standard</v>
      </c>
      <c r="E3460">
        <v>1.08</v>
      </c>
      <c r="F3460">
        <v>1.88</v>
      </c>
      <c r="G3460" s="13">
        <v>44618</v>
      </c>
      <c r="H3460" s="13"/>
      <c r="I3460" s="22" t="str">
        <f>VLOOKUP(J3460, Dropdowns!N:O, 2, FALSE)</f>
        <v>Standard</v>
      </c>
      <c r="J3460" t="s">
        <v>760</v>
      </c>
      <c r="L3460" s="17" t="s">
        <v>732</v>
      </c>
      <c r="M3460" s="17" t="s">
        <v>10</v>
      </c>
      <c r="N3460" s="17">
        <v>2</v>
      </c>
    </row>
    <row r="3461" spans="1:14" x14ac:dyDescent="0.25">
      <c r="A3461" s="8">
        <v>995022</v>
      </c>
      <c r="B3461" s="22" t="str">
        <f>IFERROR(VLOOKUP(A3461,VLOOKUPS!$A$2:B$12589,2,FALSE),"")</f>
        <v>American Blend 12oz-standard</v>
      </c>
      <c r="E3461">
        <v>1.99</v>
      </c>
      <c r="F3461">
        <v>1.29</v>
      </c>
      <c r="G3461" s="13">
        <v>44616</v>
      </c>
      <c r="H3461" s="13">
        <v>44617</v>
      </c>
      <c r="I3461" s="22" t="str">
        <f>VLOOKUP(J3461, Dropdowns!N:O, 2, FALSE)</f>
        <v>Lower Price</v>
      </c>
      <c r="J3461" t="s">
        <v>759</v>
      </c>
      <c r="L3461" s="17" t="s">
        <v>733</v>
      </c>
      <c r="M3461" s="17" t="s">
        <v>11</v>
      </c>
      <c r="N3461" s="17" t="s">
        <v>740</v>
      </c>
    </row>
    <row r="3462" spans="1:14" x14ac:dyDescent="0.25">
      <c r="A3462" s="8">
        <v>995022</v>
      </c>
      <c r="B3462" s="22" t="str">
        <f>IFERROR(VLOOKUP(A3462,VLOOKUPS!$A$2:B$12589,2,FALSE),"")</f>
        <v>American Blend 12oz-standard</v>
      </c>
      <c r="E3462">
        <v>1.29</v>
      </c>
      <c r="F3462">
        <v>1.99</v>
      </c>
      <c r="G3462" s="13">
        <v>44618</v>
      </c>
      <c r="H3462" s="13"/>
      <c r="I3462" s="22" t="str">
        <f>VLOOKUP(J3462, Dropdowns!N:O, 2, FALSE)</f>
        <v>Standard</v>
      </c>
      <c r="J3462" t="s">
        <v>760</v>
      </c>
      <c r="L3462" s="17" t="s">
        <v>733</v>
      </c>
      <c r="M3462" s="17" t="s">
        <v>11</v>
      </c>
      <c r="N3462" s="17" t="s">
        <v>740</v>
      </c>
    </row>
    <row r="3463" spans="1:14" x14ac:dyDescent="0.25">
      <c r="A3463" s="8">
        <v>995032</v>
      </c>
      <c r="B3463" s="22" t="str">
        <f>IFERROR(VLOOKUP(A3463,VLOOKUPS!$A$2:B$12589,2,FALSE),"")</f>
        <v>Chopped Sunflower Crunch Kit 12.2oz-standard</v>
      </c>
      <c r="E3463">
        <v>3.49</v>
      </c>
      <c r="F3463">
        <v>1.99</v>
      </c>
      <c r="G3463" s="13">
        <v>44616</v>
      </c>
      <c r="H3463" s="13">
        <v>44617</v>
      </c>
      <c r="I3463" s="22" t="str">
        <f>VLOOKUP(J3463, Dropdowns!N:O, 2, FALSE)</f>
        <v>Lower Price</v>
      </c>
      <c r="J3463" t="s">
        <v>759</v>
      </c>
      <c r="L3463" s="17" t="s">
        <v>732</v>
      </c>
      <c r="M3463" s="17" t="s">
        <v>9</v>
      </c>
      <c r="N3463" s="17" t="s">
        <v>736</v>
      </c>
    </row>
    <row r="3464" spans="1:14" x14ac:dyDescent="0.25">
      <c r="A3464" s="8">
        <v>995032</v>
      </c>
      <c r="B3464" s="22" t="str">
        <f>IFERROR(VLOOKUP(A3464,VLOOKUPS!$A$2:B$12589,2,FALSE),"")</f>
        <v>Chopped Sunflower Crunch Kit 12.2oz-standard</v>
      </c>
      <c r="E3464">
        <v>1.99</v>
      </c>
      <c r="F3464">
        <v>3.49</v>
      </c>
      <c r="G3464" s="13">
        <v>44618</v>
      </c>
      <c r="H3464" s="13"/>
      <c r="I3464" s="22" t="str">
        <f>VLOOKUP(J3464, Dropdowns!N:O, 2, FALSE)</f>
        <v>Standard</v>
      </c>
      <c r="J3464" t="s">
        <v>760</v>
      </c>
      <c r="L3464" s="17" t="s">
        <v>732</v>
      </c>
      <c r="M3464" s="17" t="s">
        <v>9</v>
      </c>
      <c r="N3464" s="17" t="s">
        <v>736</v>
      </c>
    </row>
    <row r="3465" spans="1:14" x14ac:dyDescent="0.25">
      <c r="A3465" s="8">
        <v>995136</v>
      </c>
      <c r="B3465" s="22" t="str">
        <f>IFERROR(VLOOKUP(A3465,VLOOKUPS!$A$2:B$12589,2,FALSE),"")</f>
        <v>Baby Spinach 11oz-standard</v>
      </c>
      <c r="E3465">
        <v>3.28</v>
      </c>
      <c r="F3465">
        <v>3.98</v>
      </c>
      <c r="G3465" s="13">
        <v>44616</v>
      </c>
      <c r="H3465" s="13"/>
      <c r="I3465" s="22" t="str">
        <f>VLOOKUP(J3465, Dropdowns!N:O, 2, FALSE)</f>
        <v>Standard</v>
      </c>
      <c r="J3465" t="s">
        <v>761</v>
      </c>
      <c r="L3465" s="17" t="s">
        <v>732</v>
      </c>
      <c r="M3465" s="17" t="s">
        <v>736</v>
      </c>
      <c r="N3465" s="17" t="s">
        <v>736</v>
      </c>
    </row>
    <row r="3466" spans="1:14" x14ac:dyDescent="0.25">
      <c r="A3466" s="8">
        <v>995147</v>
      </c>
      <c r="B3466" s="22" t="str">
        <f>IFERROR(VLOOKUP(A3466,VLOOKUPS!$A$2:B$12589,2,FALSE),"")</f>
        <v>Celery Sticks 1.25lb-standard</v>
      </c>
      <c r="E3466">
        <v>2.64</v>
      </c>
      <c r="F3466">
        <v>2.74</v>
      </c>
      <c r="G3466" s="13">
        <v>44616</v>
      </c>
      <c r="H3466" s="13"/>
      <c r="I3466" s="22" t="str">
        <f>VLOOKUP(J3466, Dropdowns!N:O, 2, FALSE)</f>
        <v>Standard</v>
      </c>
      <c r="J3466" t="s">
        <v>761</v>
      </c>
      <c r="L3466" s="17" t="s">
        <v>732</v>
      </c>
      <c r="M3466" s="17" t="s">
        <v>736</v>
      </c>
      <c r="N3466" s="17" t="s">
        <v>736</v>
      </c>
    </row>
    <row r="3467" spans="1:14" x14ac:dyDescent="0.25">
      <c r="A3467" s="8">
        <v>995162</v>
      </c>
      <c r="B3467" s="22" t="str">
        <f>IFERROR(VLOOKUP(A3467,VLOOKUPS!$A$2:B$12589,2,FALSE),"")</f>
        <v>Buffalo Ranch Salad Kit 12oz-standard</v>
      </c>
      <c r="E3467">
        <v>3.49</v>
      </c>
      <c r="F3467">
        <v>1.99</v>
      </c>
      <c r="G3467" s="13">
        <v>44616</v>
      </c>
      <c r="H3467" s="13">
        <v>44617</v>
      </c>
      <c r="I3467" s="22" t="str">
        <f>VLOOKUP(J3467, Dropdowns!N:O, 2, FALSE)</f>
        <v>Lower Price</v>
      </c>
      <c r="J3467" t="s">
        <v>759</v>
      </c>
      <c r="L3467" s="17" t="s">
        <v>732</v>
      </c>
      <c r="M3467" s="17" t="s">
        <v>738</v>
      </c>
      <c r="N3467" s="17">
        <v>2</v>
      </c>
    </row>
    <row r="3468" spans="1:14" x14ac:dyDescent="0.25">
      <c r="A3468" s="8">
        <v>995162</v>
      </c>
      <c r="B3468" s="22" t="str">
        <f>IFERROR(VLOOKUP(A3468,VLOOKUPS!$A$2:B$12589,2,FALSE),"")</f>
        <v>Buffalo Ranch Salad Kit 12oz-standard</v>
      </c>
      <c r="E3468">
        <v>1.99</v>
      </c>
      <c r="F3468">
        <v>3.49</v>
      </c>
      <c r="G3468" s="13">
        <v>44618</v>
      </c>
      <c r="H3468" s="13"/>
      <c r="I3468" s="22" t="str">
        <f>VLOOKUP(J3468, Dropdowns!N:O, 2, FALSE)</f>
        <v>Standard</v>
      </c>
      <c r="J3468" t="s">
        <v>760</v>
      </c>
      <c r="L3468" s="17" t="s">
        <v>732</v>
      </c>
      <c r="M3468" s="17" t="s">
        <v>738</v>
      </c>
      <c r="N3468" s="17">
        <v>2</v>
      </c>
    </row>
    <row r="3469" spans="1:14" x14ac:dyDescent="0.25">
      <c r="A3469" s="8">
        <v>995163</v>
      </c>
      <c r="B3469" s="22" t="str">
        <f>IFERROR(VLOOKUP(A3469,VLOOKUPS!$A$2:B$12589,2,FALSE),"")</f>
        <v>XL Caesar Salad Kit 15oz-standard</v>
      </c>
      <c r="E3469">
        <v>4.4400000000000004</v>
      </c>
      <c r="F3469">
        <v>4.09</v>
      </c>
      <c r="G3469" s="13">
        <v>44616</v>
      </c>
      <c r="H3469" s="13"/>
      <c r="I3469" s="22" t="str">
        <f>VLOOKUP(J3469, Dropdowns!N:O, 2, FALSE)</f>
        <v>Standard</v>
      </c>
      <c r="J3469" t="s">
        <v>761</v>
      </c>
      <c r="L3469" s="17" t="s">
        <v>732</v>
      </c>
      <c r="M3469" s="17" t="s">
        <v>736</v>
      </c>
      <c r="N3469" s="17" t="s">
        <v>736</v>
      </c>
    </row>
    <row r="3470" spans="1:14" x14ac:dyDescent="0.25">
      <c r="A3470" s="8">
        <v>986340</v>
      </c>
      <c r="B3470" s="22" t="str">
        <f>IFERROR(VLOOKUP(A3470,VLOOKUPS!$A$2:B$12589,2,FALSE),"")</f>
        <v>Mirepoix 16oz-standard</v>
      </c>
      <c r="D3470">
        <v>6</v>
      </c>
      <c r="E3470">
        <v>2.99</v>
      </c>
      <c r="G3470" s="13">
        <v>44617</v>
      </c>
      <c r="H3470" s="13"/>
      <c r="I3470" s="22" t="str">
        <f>VLOOKUP(J3470, Dropdowns!N:O, 2, FALSE)</f>
        <v>NA</v>
      </c>
      <c r="J3470" t="s">
        <v>754</v>
      </c>
      <c r="L3470" s="17" t="s">
        <v>732</v>
      </c>
      <c r="M3470" s="17" t="s">
        <v>9</v>
      </c>
      <c r="N3470" s="17" t="s">
        <v>736</v>
      </c>
    </row>
    <row r="3471" spans="1:14" x14ac:dyDescent="0.25">
      <c r="A3471" s="8">
        <v>984541</v>
      </c>
      <c r="B3471" s="22" t="str">
        <f>IFERROR(VLOOKUP(A3471,VLOOKUPS!$A$2:B$12589,2,FALSE),"")</f>
        <v>Blueberries 1pt-standard</v>
      </c>
      <c r="E3471">
        <v>2.79</v>
      </c>
      <c r="F3471">
        <v>1.99</v>
      </c>
      <c r="G3471" s="13">
        <v>44617</v>
      </c>
      <c r="H3471" s="13">
        <v>44618</v>
      </c>
      <c r="I3471" s="22" t="str">
        <f>VLOOKUP(J3471, Dropdowns!N:O, 2, FALSE)</f>
        <v>Lower Price</v>
      </c>
      <c r="J3471" t="s">
        <v>759</v>
      </c>
      <c r="L3471" s="17" t="s">
        <v>732</v>
      </c>
      <c r="M3471" s="17" t="s">
        <v>738</v>
      </c>
      <c r="N3471" s="17">
        <v>2</v>
      </c>
    </row>
    <row r="3472" spans="1:14" x14ac:dyDescent="0.25">
      <c r="A3472" s="8">
        <v>984541</v>
      </c>
      <c r="B3472" s="22" t="str">
        <f>IFERROR(VLOOKUP(A3472,VLOOKUPS!$A$2:B$12589,2,FALSE),"")</f>
        <v>Blueberries 1pt-standard</v>
      </c>
      <c r="E3472">
        <v>1.99</v>
      </c>
      <c r="F3472">
        <v>2.79</v>
      </c>
      <c r="G3472" s="13">
        <v>44619</v>
      </c>
      <c r="H3472" s="13"/>
      <c r="I3472" s="22" t="str">
        <f>VLOOKUP(J3472, Dropdowns!N:O, 2, FALSE)</f>
        <v>Standard</v>
      </c>
      <c r="J3472" t="s">
        <v>760</v>
      </c>
      <c r="L3472" s="17" t="s">
        <v>732</v>
      </c>
      <c r="M3472" s="17" t="s">
        <v>738</v>
      </c>
      <c r="N3472" s="17">
        <v>2</v>
      </c>
    </row>
    <row r="3473" spans="1:17" x14ac:dyDescent="0.25">
      <c r="A3473" s="8">
        <v>984582</v>
      </c>
      <c r="B3473" s="22" t="str">
        <f>IFERROR(VLOOKUP(A3473,VLOOKUPS!$A$2:B$12589,2,FALSE),"")</f>
        <v>Organic Blueberries 1pt-standard</v>
      </c>
      <c r="E3473">
        <v>4.26</v>
      </c>
      <c r="F3473">
        <v>3.26</v>
      </c>
      <c r="G3473" s="13">
        <v>44617</v>
      </c>
      <c r="H3473" s="13">
        <v>44618</v>
      </c>
      <c r="I3473" s="22" t="str">
        <f>VLOOKUP(J3473, Dropdowns!N:O, 2, FALSE)</f>
        <v>Lower Price</v>
      </c>
      <c r="J3473" t="s">
        <v>759</v>
      </c>
      <c r="L3473" s="17" t="s">
        <v>732</v>
      </c>
      <c r="M3473" s="17" t="s">
        <v>9</v>
      </c>
      <c r="N3473" s="17" t="s">
        <v>736</v>
      </c>
    </row>
    <row r="3474" spans="1:17" x14ac:dyDescent="0.25">
      <c r="A3474" s="8">
        <v>984582</v>
      </c>
      <c r="B3474" s="22" t="str">
        <f>IFERROR(VLOOKUP(A3474,VLOOKUPS!$A$2:B$12589,2,FALSE),"")</f>
        <v>Organic Blueberries 1pt-standard</v>
      </c>
      <c r="E3474">
        <v>3.26</v>
      </c>
      <c r="F3474">
        <v>4.26</v>
      </c>
      <c r="G3474" s="13">
        <v>44619</v>
      </c>
      <c r="H3474" s="13"/>
      <c r="I3474" s="22" t="str">
        <f>VLOOKUP(J3474, Dropdowns!N:O, 2, FALSE)</f>
        <v>Standard</v>
      </c>
      <c r="J3474" t="s">
        <v>760</v>
      </c>
      <c r="L3474" s="17" t="s">
        <v>732</v>
      </c>
      <c r="M3474" s="17" t="s">
        <v>9</v>
      </c>
      <c r="N3474" s="17" t="s">
        <v>736</v>
      </c>
    </row>
    <row r="3475" spans="1:17" x14ac:dyDescent="0.25">
      <c r="A3475" s="8">
        <v>986270</v>
      </c>
      <c r="B3475" s="22" t="str">
        <f>IFERROR(VLOOKUP(A3475,VLOOKUPS!$A$2:B$12589,2,FALSE),"")</f>
        <v>Organic French Beans 1lb-standard</v>
      </c>
      <c r="E3475">
        <v>3.99</v>
      </c>
      <c r="F3475">
        <v>2.99</v>
      </c>
      <c r="G3475" s="13">
        <v>44617</v>
      </c>
      <c r="H3475" s="13">
        <v>44618</v>
      </c>
      <c r="I3475" s="22" t="str">
        <f>VLOOKUP(J3475, Dropdowns!N:O, 2, FALSE)</f>
        <v>Lower Price</v>
      </c>
      <c r="J3475" t="s">
        <v>759</v>
      </c>
      <c r="L3475" s="17" t="s">
        <v>732</v>
      </c>
      <c r="M3475" s="17" t="s">
        <v>738</v>
      </c>
      <c r="N3475" s="17">
        <v>2</v>
      </c>
    </row>
    <row r="3476" spans="1:17" x14ac:dyDescent="0.25">
      <c r="A3476" s="8">
        <v>986270</v>
      </c>
      <c r="B3476" s="22" t="str">
        <f>IFERROR(VLOOKUP(A3476,VLOOKUPS!$A$2:B$12589,2,FALSE),"")</f>
        <v>Organic French Beans 1lb-standard</v>
      </c>
      <c r="E3476">
        <v>2.99</v>
      </c>
      <c r="F3476">
        <v>3.99</v>
      </c>
      <c r="G3476" s="13">
        <v>44619</v>
      </c>
      <c r="H3476" s="13"/>
      <c r="I3476" s="22" t="str">
        <f>VLOOKUP(J3476, Dropdowns!N:O, 2, FALSE)</f>
        <v>Standard</v>
      </c>
      <c r="J3476" t="s">
        <v>760</v>
      </c>
      <c r="L3476" s="17" t="s">
        <v>732</v>
      </c>
      <c r="M3476" s="17" t="s">
        <v>738</v>
      </c>
      <c r="N3476" s="17">
        <v>2</v>
      </c>
    </row>
    <row r="3477" spans="1:17" x14ac:dyDescent="0.25">
      <c r="A3477" s="8">
        <v>987560</v>
      </c>
      <c r="B3477" s="22" t="str">
        <f>IFERROR(VLOOKUP(A3477,VLOOKUPS!$A$2:B$12589,2,FALSE),"")</f>
        <v>Celery 1ct-standard</v>
      </c>
      <c r="E3477">
        <v>1.38</v>
      </c>
      <c r="F3477">
        <v>0.88</v>
      </c>
      <c r="G3477" s="13">
        <v>44617</v>
      </c>
      <c r="H3477" s="13">
        <v>44618</v>
      </c>
      <c r="I3477" s="22" t="str">
        <f>VLOOKUP(J3477, Dropdowns!N:O, 2, FALSE)</f>
        <v>Lower Price</v>
      </c>
      <c r="J3477" t="s">
        <v>759</v>
      </c>
      <c r="L3477" s="17" t="s">
        <v>732</v>
      </c>
      <c r="M3477" s="17" t="s">
        <v>738</v>
      </c>
      <c r="N3477" s="17">
        <v>2</v>
      </c>
    </row>
    <row r="3478" spans="1:17" x14ac:dyDescent="0.25">
      <c r="A3478" s="8">
        <v>987560</v>
      </c>
      <c r="B3478" s="22" t="str">
        <f>IFERROR(VLOOKUP(A3478,VLOOKUPS!$A$2:B$12589,2,FALSE),"")</f>
        <v>Celery 1ct-standard</v>
      </c>
      <c r="E3478">
        <v>0.88</v>
      </c>
      <c r="F3478">
        <v>1.38</v>
      </c>
      <c r="G3478" s="13">
        <v>44619</v>
      </c>
      <c r="H3478" s="13"/>
      <c r="I3478" s="22" t="str">
        <f>VLOOKUP(J3478, Dropdowns!N:O, 2, FALSE)</f>
        <v>Standard</v>
      </c>
      <c r="J3478" t="s">
        <v>760</v>
      </c>
      <c r="L3478" s="17" t="s">
        <v>732</v>
      </c>
      <c r="M3478" s="17" t="s">
        <v>738</v>
      </c>
      <c r="N3478" s="17">
        <v>2</v>
      </c>
    </row>
    <row r="3479" spans="1:17" x14ac:dyDescent="0.25">
      <c r="A3479" s="8">
        <v>995010</v>
      </c>
      <c r="B3479" s="22" t="str">
        <f>IFERROR(VLOOKUP(A3479,VLOOKUPS!$A$2:B$12589,2,FALSE),"")</f>
        <v>RTE Turkey Bacon Cobb Salad 7.25oz-standard</v>
      </c>
      <c r="E3479">
        <v>3</v>
      </c>
      <c r="F3479">
        <v>3.12</v>
      </c>
      <c r="G3479" s="13">
        <v>44617</v>
      </c>
      <c r="H3479" s="13"/>
      <c r="I3479" s="22" t="str">
        <f>VLOOKUP(J3479, Dropdowns!N:O, 2, FALSE)</f>
        <v>Standard</v>
      </c>
      <c r="J3479" t="s">
        <v>761</v>
      </c>
      <c r="L3479" s="17" t="s">
        <v>732</v>
      </c>
      <c r="M3479" s="17" t="s">
        <v>736</v>
      </c>
      <c r="N3479" s="17" t="s">
        <v>736</v>
      </c>
    </row>
    <row r="3480" spans="1:17" x14ac:dyDescent="0.25">
      <c r="A3480" s="8">
        <v>995086</v>
      </c>
      <c r="B3480" s="22" t="str">
        <f>IFERROR(VLOOKUP(A3480,VLOOKUPS!$A$2:B$12589,2,FALSE),"")</f>
        <v>Eat Smart Broccoli Florets 2lbs-standard</v>
      </c>
      <c r="E3480">
        <v>5.98</v>
      </c>
      <c r="F3480">
        <v>4.4800000000000004</v>
      </c>
      <c r="G3480" s="13">
        <v>44617</v>
      </c>
      <c r="H3480" s="13">
        <v>44618</v>
      </c>
      <c r="I3480" s="22" t="str">
        <f>VLOOKUP(J3480, Dropdowns!N:O, 2, FALSE)</f>
        <v>Lower Price</v>
      </c>
      <c r="J3480" t="s">
        <v>759</v>
      </c>
      <c r="L3480" s="17" t="s">
        <v>732</v>
      </c>
      <c r="M3480" s="17" t="s">
        <v>738</v>
      </c>
      <c r="N3480" s="17">
        <v>2</v>
      </c>
    </row>
    <row r="3481" spans="1:17" x14ac:dyDescent="0.25">
      <c r="A3481" s="8">
        <v>995086</v>
      </c>
      <c r="B3481" s="22" t="str">
        <f>IFERROR(VLOOKUP(A3481,VLOOKUPS!$A$2:B$12589,2,FALSE),"")</f>
        <v>Eat Smart Broccoli Florets 2lbs-standard</v>
      </c>
      <c r="E3481">
        <v>4.4800000000000004</v>
      </c>
      <c r="F3481">
        <v>5.98</v>
      </c>
      <c r="G3481" s="13">
        <v>44619</v>
      </c>
      <c r="H3481" s="13"/>
      <c r="I3481" s="22" t="str">
        <f>VLOOKUP(J3481, Dropdowns!N:O, 2, FALSE)</f>
        <v>Standard</v>
      </c>
      <c r="J3481" t="s">
        <v>760</v>
      </c>
      <c r="L3481" s="17" t="s">
        <v>732</v>
      </c>
      <c r="M3481" s="17" t="s">
        <v>738</v>
      </c>
      <c r="N3481" s="17">
        <v>2</v>
      </c>
    </row>
    <row r="3482" spans="1:17" x14ac:dyDescent="0.25">
      <c r="A3482" s="8">
        <v>995101</v>
      </c>
      <c r="B3482" s="22" t="str">
        <f>IFERROR(VLOOKUP(A3482,VLOOKUPS!$A$2:B$12589,2,FALSE),"")</f>
        <v>Avocado Ranch Salad Kit 11.3oz-standard</v>
      </c>
      <c r="E3482">
        <v>3.49</v>
      </c>
      <c r="F3482">
        <v>1.99</v>
      </c>
      <c r="G3482" s="13">
        <v>44617</v>
      </c>
      <c r="H3482" s="13">
        <v>44618</v>
      </c>
      <c r="I3482" s="22" t="str">
        <f>VLOOKUP(J3482, Dropdowns!N:O, 2, FALSE)</f>
        <v>Lower Price</v>
      </c>
      <c r="J3482" t="s">
        <v>759</v>
      </c>
      <c r="L3482" s="17" t="s">
        <v>732</v>
      </c>
      <c r="M3482" s="17" t="s">
        <v>10</v>
      </c>
      <c r="N3482" s="17">
        <v>2</v>
      </c>
    </row>
    <row r="3483" spans="1:17" x14ac:dyDescent="0.25">
      <c r="A3483" s="8">
        <v>995101</v>
      </c>
      <c r="B3483" s="22" t="str">
        <f>IFERROR(VLOOKUP(A3483,VLOOKUPS!$A$2:B$12589,2,FALSE),"")</f>
        <v>Avocado Ranch Salad Kit 11.3oz-standard</v>
      </c>
      <c r="E3483">
        <v>1.99</v>
      </c>
      <c r="F3483">
        <v>3.49</v>
      </c>
      <c r="G3483" s="13">
        <v>44619</v>
      </c>
      <c r="H3483" s="13"/>
      <c r="I3483" s="22" t="str">
        <f>VLOOKUP(J3483, Dropdowns!N:O, 2, FALSE)</f>
        <v>Standard</v>
      </c>
      <c r="J3483" t="s">
        <v>760</v>
      </c>
      <c r="L3483" s="17" t="s">
        <v>732</v>
      </c>
      <c r="M3483" s="17" t="s">
        <v>10</v>
      </c>
      <c r="N3483" s="17">
        <v>2</v>
      </c>
    </row>
    <row r="3484" spans="1:17" x14ac:dyDescent="0.25">
      <c r="A3484" s="8">
        <v>995126</v>
      </c>
      <c r="B3484" s="22" t="str">
        <f>IFERROR(VLOOKUP(A3484,VLOOKUPS!$A$2:B$12589,2,FALSE),"")</f>
        <v>Broccoli &amp; Cauliflower 12oz-standard</v>
      </c>
      <c r="E3484">
        <v>2.78</v>
      </c>
      <c r="F3484">
        <v>1.78</v>
      </c>
      <c r="G3484" s="13">
        <v>44617</v>
      </c>
      <c r="H3484" s="13">
        <v>44618</v>
      </c>
      <c r="I3484" s="22" t="str">
        <f>VLOOKUP(J3484, Dropdowns!N:O, 2, FALSE)</f>
        <v>Lower Price</v>
      </c>
      <c r="J3484" t="s">
        <v>759</v>
      </c>
      <c r="L3484" s="17" t="s">
        <v>732</v>
      </c>
      <c r="M3484" s="17" t="s">
        <v>9</v>
      </c>
      <c r="N3484" s="17" t="s">
        <v>736</v>
      </c>
    </row>
    <row r="3485" spans="1:17" x14ac:dyDescent="0.25">
      <c r="A3485" s="8">
        <v>995126</v>
      </c>
      <c r="B3485" s="22" t="str">
        <f>IFERROR(VLOOKUP(A3485,VLOOKUPS!$A$2:B$12589,2,FALSE),"")</f>
        <v>Broccoli &amp; Cauliflower 12oz-standard</v>
      </c>
      <c r="E3485">
        <v>1.78</v>
      </c>
      <c r="F3485">
        <v>2.78</v>
      </c>
      <c r="G3485" s="13">
        <v>44619</v>
      </c>
      <c r="H3485" s="13"/>
      <c r="I3485" s="22" t="str">
        <f>VLOOKUP(J3485, Dropdowns!N:O, 2, FALSE)</f>
        <v>Standard</v>
      </c>
      <c r="J3485" t="s">
        <v>760</v>
      </c>
      <c r="L3485" s="17" t="s">
        <v>732</v>
      </c>
      <c r="M3485" s="17" t="s">
        <v>9</v>
      </c>
      <c r="N3485" s="17" t="s">
        <v>736</v>
      </c>
    </row>
    <row r="3486" spans="1:17" x14ac:dyDescent="0.25">
      <c r="A3486" s="8">
        <v>995134</v>
      </c>
      <c r="B3486" s="22" t="str">
        <f>IFERROR(VLOOKUP(A3486,VLOOKUPS!$A$2:B$12589,2,FALSE),"")</f>
        <v>Mirepoix 10oz-standard</v>
      </c>
      <c r="D3486">
        <v>6</v>
      </c>
      <c r="F3486">
        <v>2.62</v>
      </c>
      <c r="G3486" s="13">
        <v>44617</v>
      </c>
      <c r="H3486" s="13"/>
      <c r="I3486" s="22" t="str">
        <f>VLOOKUP(J3486, Dropdowns!N:O, 2, FALSE)</f>
        <v>New</v>
      </c>
      <c r="J3486" t="s">
        <v>776</v>
      </c>
      <c r="L3486" s="17" t="s">
        <v>732</v>
      </c>
      <c r="M3486" s="17" t="s">
        <v>736</v>
      </c>
      <c r="N3486" s="17" t="s">
        <v>736</v>
      </c>
      <c r="O3486" s="17" t="s">
        <v>748</v>
      </c>
      <c r="P3486">
        <v>1</v>
      </c>
      <c r="Q3486" s="17" t="s">
        <v>1044</v>
      </c>
    </row>
    <row r="3487" spans="1:17" x14ac:dyDescent="0.25">
      <c r="A3487" s="8">
        <v>995144</v>
      </c>
      <c r="B3487" s="22" t="str">
        <f>IFERROR(VLOOKUP(A3487,VLOOKUPS!$A$2:B$12589,2,FALSE),"")</f>
        <v>Asparagus Spears 10oz-standard</v>
      </c>
      <c r="E3487">
        <v>3.98</v>
      </c>
      <c r="F3487">
        <v>2.98</v>
      </c>
      <c r="G3487" s="13">
        <v>44617</v>
      </c>
      <c r="H3487" s="13">
        <v>44618</v>
      </c>
      <c r="I3487" s="22" t="str">
        <f>VLOOKUP(J3487, Dropdowns!N:O, 2, FALSE)</f>
        <v>Lower Price</v>
      </c>
      <c r="J3487" t="s">
        <v>759</v>
      </c>
      <c r="L3487" s="17" t="s">
        <v>732</v>
      </c>
      <c r="M3487" s="17" t="s">
        <v>10</v>
      </c>
      <c r="N3487" s="17">
        <v>2</v>
      </c>
    </row>
    <row r="3488" spans="1:17" x14ac:dyDescent="0.25">
      <c r="A3488" s="8">
        <v>995144</v>
      </c>
      <c r="B3488" s="22" t="str">
        <f>IFERROR(VLOOKUP(A3488,VLOOKUPS!$A$2:B$12589,2,FALSE),"")</f>
        <v>Asparagus Spears 10oz-standard</v>
      </c>
      <c r="E3488">
        <v>2.98</v>
      </c>
      <c r="F3488">
        <v>3.98</v>
      </c>
      <c r="G3488" s="13">
        <v>44619</v>
      </c>
      <c r="H3488" s="13"/>
      <c r="I3488" s="22" t="str">
        <f>VLOOKUP(J3488, Dropdowns!N:O, 2, FALSE)</f>
        <v>Standard</v>
      </c>
      <c r="J3488" t="s">
        <v>760</v>
      </c>
      <c r="L3488" s="17" t="s">
        <v>732</v>
      </c>
      <c r="M3488" s="17" t="s">
        <v>10</v>
      </c>
      <c r="N3488" s="17">
        <v>2</v>
      </c>
    </row>
    <row r="3489" spans="1:14" x14ac:dyDescent="0.25">
      <c r="A3489" s="8">
        <v>995158</v>
      </c>
      <c r="B3489" s="22" t="str">
        <f>IFERROR(VLOOKUP(A3489,VLOOKUPS!$A$2:B$12589,2,FALSE),"")</f>
        <v>Pico Guacamole 14oz-standard</v>
      </c>
      <c r="E3489">
        <v>4.49</v>
      </c>
      <c r="F3489">
        <v>2.99</v>
      </c>
      <c r="G3489" s="13">
        <v>44617</v>
      </c>
      <c r="H3489" s="13">
        <v>44618</v>
      </c>
      <c r="I3489" s="22" t="str">
        <f>VLOOKUP(J3489, Dropdowns!N:O, 2, FALSE)</f>
        <v>Lower Price</v>
      </c>
      <c r="J3489" t="s">
        <v>759</v>
      </c>
      <c r="L3489" s="17" t="s">
        <v>732</v>
      </c>
      <c r="M3489" s="17" t="s">
        <v>10</v>
      </c>
      <c r="N3489" s="17">
        <v>2</v>
      </c>
    </row>
    <row r="3490" spans="1:14" x14ac:dyDescent="0.25">
      <c r="A3490" s="8">
        <v>995158</v>
      </c>
      <c r="B3490" s="22" t="str">
        <f>IFERROR(VLOOKUP(A3490,VLOOKUPS!$A$2:B$12589,2,FALSE),"")</f>
        <v>Pico Guacamole 14oz-standard</v>
      </c>
      <c r="E3490">
        <v>2.99</v>
      </c>
      <c r="F3490">
        <v>4.49</v>
      </c>
      <c r="G3490" s="13">
        <v>44619</v>
      </c>
      <c r="H3490" s="13"/>
      <c r="I3490" s="22" t="str">
        <f>VLOOKUP(J3490, Dropdowns!N:O, 2, FALSE)</f>
        <v>Standard</v>
      </c>
      <c r="J3490" t="s">
        <v>760</v>
      </c>
      <c r="L3490" s="17" t="s">
        <v>732</v>
      </c>
      <c r="M3490" s="17" t="s">
        <v>10</v>
      </c>
      <c r="N3490" s="17">
        <v>2</v>
      </c>
    </row>
    <row r="3491" spans="1:14" x14ac:dyDescent="0.25">
      <c r="A3491" s="8">
        <v>983201</v>
      </c>
      <c r="B3491" s="22" t="str">
        <f>IFERROR(VLOOKUP(A3491,VLOOKUPS!$A$2:B$12589,2,FALSE),"")</f>
        <v>Melons* Honeydew 1ct-LOOSE</v>
      </c>
      <c r="E3491">
        <v>2.98</v>
      </c>
      <c r="F3491">
        <v>3.98</v>
      </c>
      <c r="G3491" s="13">
        <v>44617</v>
      </c>
      <c r="H3491" s="13"/>
      <c r="I3491" s="22" t="str">
        <f>VLOOKUP(J3491, Dropdowns!N:O, 2, FALSE)</f>
        <v>Standard</v>
      </c>
      <c r="J3491" t="s">
        <v>760</v>
      </c>
      <c r="L3491" s="17" t="s">
        <v>732</v>
      </c>
      <c r="M3491" s="17" t="s">
        <v>735</v>
      </c>
      <c r="N3491" s="17" t="s">
        <v>736</v>
      </c>
    </row>
    <row r="3492" spans="1:14" x14ac:dyDescent="0.25">
      <c r="A3492" s="8">
        <v>995174</v>
      </c>
      <c r="B3492" s="22" t="str">
        <f>IFERROR(VLOOKUP(A3492,VLOOKUPS!$A$2:B$12589,2,FALSE),"")</f>
        <v>Vegetable Tray 24oz-standard</v>
      </c>
      <c r="D3492">
        <v>3</v>
      </c>
      <c r="E3492">
        <v>8.36</v>
      </c>
      <c r="G3492" s="13">
        <v>44618</v>
      </c>
      <c r="H3492" s="13"/>
      <c r="I3492" s="22" t="str">
        <f>VLOOKUP(J3492, Dropdowns!N:O, 2, FALSE)</f>
        <v>NA</v>
      </c>
      <c r="J3492" t="s">
        <v>754</v>
      </c>
      <c r="L3492" s="17" t="s">
        <v>732</v>
      </c>
      <c r="M3492" s="17" t="s">
        <v>10</v>
      </c>
      <c r="N3492" s="17">
        <v>2</v>
      </c>
    </row>
    <row r="3493" spans="1:14" x14ac:dyDescent="0.25">
      <c r="A3493" s="8">
        <v>984621</v>
      </c>
      <c r="B3493" s="22" t="str">
        <f>IFERROR(VLOOKUP(A3493,VLOOKUPS!$A$2:B$12589,2,FALSE),"")</f>
        <v>Raspberries 12oz-standard</v>
      </c>
      <c r="G3493" s="13">
        <v>44618</v>
      </c>
      <c r="H3493" s="13">
        <v>44619</v>
      </c>
      <c r="I3493" s="22" t="str">
        <f>VLOOKUP(J3493, Dropdowns!N:O, 2, FALSE)</f>
        <v>Lower Price</v>
      </c>
      <c r="J3493" t="s">
        <v>753</v>
      </c>
      <c r="L3493" s="17" t="s">
        <v>732</v>
      </c>
      <c r="M3493" s="17" t="s">
        <v>736</v>
      </c>
      <c r="N3493" s="17" t="s">
        <v>736</v>
      </c>
    </row>
    <row r="3494" spans="1:14" x14ac:dyDescent="0.25">
      <c r="A3494" s="8">
        <v>984621</v>
      </c>
      <c r="B3494" s="22" t="str">
        <f>IFERROR(VLOOKUP(A3494,VLOOKUPS!$A$2:B$12589,2,FALSE),"")</f>
        <v>Raspberries 12oz-standard</v>
      </c>
      <c r="E3494">
        <v>2.99</v>
      </c>
      <c r="F3494">
        <v>4.88</v>
      </c>
      <c r="G3494" s="13">
        <v>44620</v>
      </c>
      <c r="H3494" s="13"/>
      <c r="I3494" s="22" t="str">
        <f>VLOOKUP(J3494, Dropdowns!N:O, 2, FALSE)</f>
        <v>Standard</v>
      </c>
      <c r="J3494" t="s">
        <v>760</v>
      </c>
      <c r="L3494" s="17" t="s">
        <v>732</v>
      </c>
      <c r="M3494" s="17" t="s">
        <v>736</v>
      </c>
      <c r="N3494" s="17" t="s">
        <v>736</v>
      </c>
    </row>
    <row r="3495" spans="1:14" x14ac:dyDescent="0.25">
      <c r="A3495" s="8">
        <v>985060</v>
      </c>
      <c r="B3495" s="22" t="str">
        <f>IFERROR(VLOOKUP(A3495,VLOOKUPS!$A$2:B$12589,2,FALSE),"")</f>
        <v>Lettuce* Iceberg 1ct-standard</v>
      </c>
      <c r="E3495">
        <v>1.78</v>
      </c>
      <c r="F3495">
        <v>1.08</v>
      </c>
      <c r="G3495" s="13">
        <v>44618</v>
      </c>
      <c r="H3495" s="13">
        <v>44619</v>
      </c>
      <c r="I3495" s="22" t="str">
        <f>VLOOKUP(J3495, Dropdowns!N:O, 2, FALSE)</f>
        <v>Lower Price</v>
      </c>
      <c r="J3495" t="s">
        <v>759</v>
      </c>
      <c r="L3495" s="17" t="s">
        <v>732</v>
      </c>
      <c r="M3495" s="17" t="s">
        <v>10</v>
      </c>
      <c r="N3495" s="17">
        <v>2</v>
      </c>
    </row>
    <row r="3496" spans="1:14" x14ac:dyDescent="0.25">
      <c r="A3496" s="8">
        <v>985060</v>
      </c>
      <c r="B3496" s="22" t="str">
        <f>IFERROR(VLOOKUP(A3496,VLOOKUPS!$A$2:B$12589,2,FALSE),"")</f>
        <v>Lettuce* Iceberg 1ct-standard</v>
      </c>
      <c r="E3496">
        <v>1.08</v>
      </c>
      <c r="F3496">
        <v>1.78</v>
      </c>
      <c r="G3496" s="13">
        <v>44620</v>
      </c>
      <c r="H3496" s="13"/>
      <c r="I3496" s="22" t="str">
        <f>VLOOKUP(J3496, Dropdowns!N:O, 2, FALSE)</f>
        <v>Standard</v>
      </c>
      <c r="J3496" t="s">
        <v>760</v>
      </c>
      <c r="L3496" s="17" t="s">
        <v>732</v>
      </c>
      <c r="M3496" s="17" t="s">
        <v>10</v>
      </c>
      <c r="N3496" s="17">
        <v>2</v>
      </c>
    </row>
    <row r="3497" spans="1:14" x14ac:dyDescent="0.25">
      <c r="A3497" s="8">
        <v>985190</v>
      </c>
      <c r="B3497" s="22" t="str">
        <f>IFERROR(VLOOKUP(A3497,VLOOKUPS!$A$2:B$12589,2,FALSE),"")</f>
        <v>Organic Romaine Hearts 3ct-standard</v>
      </c>
      <c r="E3497">
        <v>3.12</v>
      </c>
      <c r="F3497">
        <v>2.12</v>
      </c>
      <c r="G3497" s="13">
        <v>44618</v>
      </c>
      <c r="H3497" s="13">
        <v>44619</v>
      </c>
      <c r="I3497" s="22" t="str">
        <f>VLOOKUP(J3497, Dropdowns!N:O, 2, FALSE)</f>
        <v>Lower Price</v>
      </c>
      <c r="J3497" t="s">
        <v>759</v>
      </c>
      <c r="L3497" s="17" t="s">
        <v>732</v>
      </c>
      <c r="M3497" s="17" t="s">
        <v>738</v>
      </c>
      <c r="N3497" s="17">
        <v>2</v>
      </c>
    </row>
    <row r="3498" spans="1:14" x14ac:dyDescent="0.25">
      <c r="A3498" s="8">
        <v>985190</v>
      </c>
      <c r="B3498" s="22" t="str">
        <f>IFERROR(VLOOKUP(A3498,VLOOKUPS!$A$2:B$12589,2,FALSE),"")</f>
        <v>Organic Romaine Hearts 3ct-standard</v>
      </c>
      <c r="E3498">
        <v>2.12</v>
      </c>
      <c r="F3498">
        <v>3.12</v>
      </c>
      <c r="G3498" s="13">
        <v>44620</v>
      </c>
      <c r="H3498" s="13"/>
      <c r="I3498" s="22" t="str">
        <f>VLOOKUP(J3498, Dropdowns!N:O, 2, FALSE)</f>
        <v>Standard</v>
      </c>
      <c r="J3498" t="s">
        <v>760</v>
      </c>
      <c r="L3498" s="17" t="s">
        <v>732</v>
      </c>
      <c r="M3498" s="17" t="s">
        <v>738</v>
      </c>
      <c r="N3498" s="17">
        <v>2</v>
      </c>
    </row>
    <row r="3499" spans="1:14" x14ac:dyDescent="0.25">
      <c r="A3499" s="8">
        <v>987560</v>
      </c>
      <c r="B3499" s="22" t="str">
        <f>IFERROR(VLOOKUP(A3499,VLOOKUPS!$A$2:B$12589,2,FALSE),"")</f>
        <v>Celery 1ct-standard</v>
      </c>
      <c r="E3499">
        <v>1.38</v>
      </c>
      <c r="F3499">
        <v>0.88</v>
      </c>
      <c r="G3499" s="13">
        <v>44618</v>
      </c>
      <c r="H3499" s="13">
        <v>44619</v>
      </c>
      <c r="I3499" s="22" t="str">
        <f>VLOOKUP(J3499, Dropdowns!N:O, 2, FALSE)</f>
        <v>Lower Price</v>
      </c>
      <c r="J3499" t="s">
        <v>759</v>
      </c>
      <c r="L3499" s="17" t="s">
        <v>732</v>
      </c>
      <c r="M3499" s="17" t="s">
        <v>9</v>
      </c>
      <c r="N3499" s="17" t="s">
        <v>736</v>
      </c>
    </row>
    <row r="3500" spans="1:14" x14ac:dyDescent="0.25">
      <c r="A3500" s="8">
        <v>987560</v>
      </c>
      <c r="B3500" s="22" t="str">
        <f>IFERROR(VLOOKUP(A3500,VLOOKUPS!$A$2:B$12589,2,FALSE),"")</f>
        <v>Celery 1ct-standard</v>
      </c>
      <c r="E3500">
        <v>0.88</v>
      </c>
      <c r="F3500">
        <v>1.38</v>
      </c>
      <c r="G3500" s="13">
        <v>44620</v>
      </c>
      <c r="H3500" s="13"/>
      <c r="I3500" s="22" t="str">
        <f>VLOOKUP(J3500, Dropdowns!N:O, 2, FALSE)</f>
        <v>Standard</v>
      </c>
      <c r="J3500" t="s">
        <v>760</v>
      </c>
      <c r="L3500" s="17" t="s">
        <v>732</v>
      </c>
      <c r="M3500" s="17" t="s">
        <v>9</v>
      </c>
      <c r="N3500" s="17" t="s">
        <v>736</v>
      </c>
    </row>
    <row r="3501" spans="1:14" x14ac:dyDescent="0.25">
      <c r="A3501" s="8">
        <v>995008</v>
      </c>
      <c r="B3501" s="22" t="str">
        <f>IFERROR(VLOOKUP(A3501,VLOOKUPS!$A$2:B$12589,2,FALSE),"")</f>
        <v>Shredded Lettuce 8oz-standard</v>
      </c>
      <c r="E3501">
        <v>1.88</v>
      </c>
      <c r="F3501">
        <v>0.98</v>
      </c>
      <c r="G3501" s="13">
        <v>44618</v>
      </c>
      <c r="H3501" s="13">
        <v>44619</v>
      </c>
      <c r="I3501" s="22" t="str">
        <f>VLOOKUP(J3501, Dropdowns!N:O, 2, FALSE)</f>
        <v>Lower Price</v>
      </c>
      <c r="J3501" t="s">
        <v>759</v>
      </c>
      <c r="L3501" s="17" t="s">
        <v>733</v>
      </c>
      <c r="M3501" s="17" t="s">
        <v>11</v>
      </c>
      <c r="N3501" s="17" t="s">
        <v>740</v>
      </c>
    </row>
    <row r="3502" spans="1:14" x14ac:dyDescent="0.25">
      <c r="A3502" s="8">
        <v>995008</v>
      </c>
      <c r="B3502" s="22" t="str">
        <f>IFERROR(VLOOKUP(A3502,VLOOKUPS!$A$2:B$12589,2,FALSE),"")</f>
        <v>Shredded Lettuce 8oz-standard</v>
      </c>
      <c r="E3502">
        <v>0.98</v>
      </c>
      <c r="F3502">
        <v>1.88</v>
      </c>
      <c r="G3502" s="13">
        <v>44620</v>
      </c>
      <c r="H3502" s="13"/>
      <c r="I3502" s="22" t="str">
        <f>VLOOKUP(J3502, Dropdowns!N:O, 2, FALSE)</f>
        <v>Standard</v>
      </c>
      <c r="J3502" t="s">
        <v>760</v>
      </c>
      <c r="L3502" s="17" t="s">
        <v>733</v>
      </c>
      <c r="M3502" s="17" t="s">
        <v>11</v>
      </c>
      <c r="N3502" s="17" t="s">
        <v>740</v>
      </c>
    </row>
    <row r="3503" spans="1:14" x14ac:dyDescent="0.25">
      <c r="A3503" s="8">
        <v>995014</v>
      </c>
      <c r="B3503" s="22" t="str">
        <f>IFERROR(VLOOKUP(A3503,VLOOKUPS!$A$2:B$12589,2,FALSE),"")</f>
        <v>RTE Café Style Chef Salad 7.65oz-standard</v>
      </c>
      <c r="E3503">
        <v>3.12</v>
      </c>
      <c r="F3503">
        <v>2.12</v>
      </c>
      <c r="G3503" s="13">
        <v>44618</v>
      </c>
      <c r="H3503" s="13">
        <v>44619</v>
      </c>
      <c r="I3503" s="22" t="str">
        <f>VLOOKUP(J3503, Dropdowns!N:O, 2, FALSE)</f>
        <v>Lower Price</v>
      </c>
      <c r="J3503" t="s">
        <v>759</v>
      </c>
      <c r="L3503" s="17" t="s">
        <v>732</v>
      </c>
      <c r="M3503" s="17" t="s">
        <v>9</v>
      </c>
      <c r="N3503" s="17" t="s">
        <v>736</v>
      </c>
    </row>
    <row r="3504" spans="1:14" x14ac:dyDescent="0.25">
      <c r="A3504" s="8">
        <v>995014</v>
      </c>
      <c r="B3504" s="22" t="str">
        <f>IFERROR(VLOOKUP(A3504,VLOOKUPS!$A$2:B$12589,2,FALSE),"")</f>
        <v>RTE Café Style Chef Salad 7.65oz-standard</v>
      </c>
      <c r="E3504">
        <v>2.12</v>
      </c>
      <c r="F3504">
        <v>3.12</v>
      </c>
      <c r="G3504" s="13">
        <v>44620</v>
      </c>
      <c r="H3504" s="13"/>
      <c r="I3504" s="22" t="str">
        <f>VLOOKUP(J3504, Dropdowns!N:O, 2, FALSE)</f>
        <v>Standard</v>
      </c>
      <c r="J3504" t="s">
        <v>760</v>
      </c>
      <c r="L3504" s="17" t="s">
        <v>732</v>
      </c>
      <c r="M3504" s="17" t="s">
        <v>9</v>
      </c>
      <c r="N3504" s="17" t="s">
        <v>736</v>
      </c>
    </row>
    <row r="3505" spans="1:14" x14ac:dyDescent="0.25">
      <c r="A3505" s="8">
        <v>983101</v>
      </c>
      <c r="B3505" s="22" t="str">
        <f>IFERROR(VLOOKUP(A3505,VLOOKUPS!$A$2:B$12589,2,FALSE),"")</f>
        <v>Melons Cantaloupes 1ct-LOOSE</v>
      </c>
      <c r="G3505" s="13">
        <v>44618</v>
      </c>
      <c r="H3505" s="13">
        <v>44621</v>
      </c>
      <c r="I3505" s="22" t="str">
        <f>VLOOKUP(J3505, Dropdowns!N:O, 2, FALSE)</f>
        <v>Lower Price</v>
      </c>
      <c r="J3505" t="s">
        <v>779</v>
      </c>
      <c r="L3505" s="17" t="s">
        <v>732</v>
      </c>
      <c r="M3505" s="17" t="s">
        <v>736</v>
      </c>
      <c r="N3505" s="17" t="s">
        <v>736</v>
      </c>
    </row>
    <row r="3506" spans="1:14" x14ac:dyDescent="0.25">
      <c r="A3506" s="8">
        <v>984541</v>
      </c>
      <c r="B3506" s="22" t="str">
        <f>IFERROR(VLOOKUP(A3506,VLOOKUPS!$A$2:B$12589,2,FALSE),"")</f>
        <v>Blueberries 1pt-standard</v>
      </c>
      <c r="E3506">
        <v>2.79</v>
      </c>
      <c r="F3506">
        <v>1.49</v>
      </c>
      <c r="G3506" s="13">
        <v>44621</v>
      </c>
      <c r="H3506" s="13">
        <v>44621</v>
      </c>
      <c r="I3506" s="22" t="str">
        <f>VLOOKUP(J3506, Dropdowns!N:O, 2, FALSE)</f>
        <v>Lower Price</v>
      </c>
      <c r="J3506" t="s">
        <v>759</v>
      </c>
      <c r="L3506" s="17" t="s">
        <v>732</v>
      </c>
      <c r="M3506" s="17" t="s">
        <v>9</v>
      </c>
      <c r="N3506" s="17" t="s">
        <v>736</v>
      </c>
    </row>
    <row r="3507" spans="1:14" x14ac:dyDescent="0.25">
      <c r="A3507" s="8">
        <v>984541</v>
      </c>
      <c r="B3507" s="22" t="str">
        <f>IFERROR(VLOOKUP(A3507,VLOOKUPS!$A$2:B$12589,2,FALSE),"")</f>
        <v>Blueberries 1pt-standard</v>
      </c>
      <c r="E3507">
        <v>1.49</v>
      </c>
      <c r="F3507">
        <v>2.79</v>
      </c>
      <c r="G3507" s="13">
        <v>44622</v>
      </c>
      <c r="H3507" s="13"/>
      <c r="I3507" s="22" t="str">
        <f>VLOOKUP(J3507, Dropdowns!N:O, 2, FALSE)</f>
        <v>Standard</v>
      </c>
      <c r="J3507" t="s">
        <v>760</v>
      </c>
      <c r="L3507" s="17" t="s">
        <v>732</v>
      </c>
      <c r="M3507" s="17" t="s">
        <v>9</v>
      </c>
      <c r="N3507" s="17" t="s">
        <v>736</v>
      </c>
    </row>
    <row r="3508" spans="1:14" x14ac:dyDescent="0.25">
      <c r="A3508" s="8">
        <v>985111</v>
      </c>
      <c r="B3508" s="22" t="str">
        <f>IFERROR(VLOOKUP(A3508,VLOOKUPS!$A$2:B$12589,2,FALSE),"")</f>
        <v>Lettuce Mixed 1ct-standard</v>
      </c>
      <c r="E3508">
        <v>2.98</v>
      </c>
      <c r="F3508">
        <v>1.98</v>
      </c>
      <c r="G3508" s="13">
        <v>44621</v>
      </c>
      <c r="H3508" s="13">
        <v>44623</v>
      </c>
      <c r="I3508" s="22" t="str">
        <f>VLOOKUP(J3508, Dropdowns!N:O, 2, FALSE)</f>
        <v>Lower Price</v>
      </c>
      <c r="J3508" t="s">
        <v>759</v>
      </c>
      <c r="L3508" s="17" t="s">
        <v>733</v>
      </c>
      <c r="M3508" s="17" t="s">
        <v>11</v>
      </c>
      <c r="N3508" s="17" t="s">
        <v>740</v>
      </c>
    </row>
    <row r="3509" spans="1:14" x14ac:dyDescent="0.25">
      <c r="A3509" s="8">
        <v>985111</v>
      </c>
      <c r="B3509" s="22" t="str">
        <f>IFERROR(VLOOKUP(A3509,VLOOKUPS!$A$2:B$12589,2,FALSE),"")</f>
        <v>Lettuce Mixed 1ct-standard</v>
      </c>
      <c r="E3509">
        <v>1.98</v>
      </c>
      <c r="F3509">
        <v>2.98</v>
      </c>
      <c r="G3509" s="13">
        <v>44624</v>
      </c>
      <c r="H3509" s="13"/>
      <c r="I3509" s="22" t="str">
        <f>VLOOKUP(J3509, Dropdowns!N:O, 2, FALSE)</f>
        <v>Standard</v>
      </c>
      <c r="J3509" t="s">
        <v>760</v>
      </c>
      <c r="L3509" s="17" t="s">
        <v>733</v>
      </c>
      <c r="M3509" s="17" t="s">
        <v>11</v>
      </c>
      <c r="N3509" s="17" t="s">
        <v>740</v>
      </c>
    </row>
    <row r="3510" spans="1:14" x14ac:dyDescent="0.25">
      <c r="A3510" s="8">
        <v>984621</v>
      </c>
      <c r="B3510" s="22" t="str">
        <f>IFERROR(VLOOKUP(A3510,VLOOKUPS!$A$2:B$12589,2,FALSE),"")</f>
        <v>Raspberries 12oz-standard</v>
      </c>
      <c r="E3510">
        <v>4.88</v>
      </c>
      <c r="F3510">
        <v>2.88</v>
      </c>
      <c r="G3510" s="13">
        <v>44621</v>
      </c>
      <c r="H3510" s="13">
        <v>44624</v>
      </c>
      <c r="I3510" s="22" t="str">
        <f>VLOOKUP(J3510, Dropdowns!N:O, 2, FALSE)</f>
        <v>Lower Price</v>
      </c>
      <c r="J3510" t="s">
        <v>759</v>
      </c>
      <c r="L3510" s="17" t="s">
        <v>733</v>
      </c>
      <c r="M3510" s="17" t="s">
        <v>11</v>
      </c>
      <c r="N3510" s="17" t="s">
        <v>740</v>
      </c>
    </row>
    <row r="3511" spans="1:14" x14ac:dyDescent="0.25">
      <c r="A3511" s="8">
        <v>984621</v>
      </c>
      <c r="B3511" s="22" t="str">
        <f>IFERROR(VLOOKUP(A3511,VLOOKUPS!$A$2:B$12589,2,FALSE),"")</f>
        <v>Raspberries 12oz-standard</v>
      </c>
      <c r="E3511">
        <v>4.88</v>
      </c>
      <c r="F3511">
        <v>3.88</v>
      </c>
      <c r="G3511" s="13">
        <v>44621</v>
      </c>
      <c r="H3511" s="13">
        <v>44624</v>
      </c>
      <c r="I3511" s="22" t="str">
        <f>VLOOKUP(J3511, Dropdowns!N:O, 2, FALSE)</f>
        <v>Lower Price</v>
      </c>
      <c r="J3511" t="s">
        <v>759</v>
      </c>
      <c r="L3511" s="17" t="s">
        <v>732</v>
      </c>
      <c r="M3511" s="17" t="s">
        <v>10</v>
      </c>
      <c r="N3511" s="17">
        <v>2</v>
      </c>
    </row>
    <row r="3512" spans="1:14" x14ac:dyDescent="0.25">
      <c r="A3512" s="8">
        <v>984621</v>
      </c>
      <c r="B3512" s="22" t="str">
        <f>IFERROR(VLOOKUP(A3512,VLOOKUPS!$A$2:B$12589,2,FALSE),"")</f>
        <v>Raspberries 12oz-standard</v>
      </c>
      <c r="E3512">
        <v>4.88</v>
      </c>
      <c r="F3512">
        <v>3.88</v>
      </c>
      <c r="G3512" s="13">
        <v>44621</v>
      </c>
      <c r="H3512" s="13">
        <v>44622</v>
      </c>
      <c r="I3512" s="22" t="str">
        <f>VLOOKUP(J3512, Dropdowns!N:O, 2, FALSE)</f>
        <v>Lower Price</v>
      </c>
      <c r="J3512" t="s">
        <v>759</v>
      </c>
      <c r="L3512" s="17" t="s">
        <v>732</v>
      </c>
      <c r="M3512" s="17" t="s">
        <v>735</v>
      </c>
      <c r="N3512" s="17" t="s">
        <v>736</v>
      </c>
    </row>
    <row r="3513" spans="1:14" x14ac:dyDescent="0.25">
      <c r="A3513" s="8">
        <v>984621</v>
      </c>
      <c r="B3513" s="22" t="str">
        <f>IFERROR(VLOOKUP(A3513,VLOOKUPS!$A$2:B$12589,2,FALSE),"")</f>
        <v>Raspberries 12oz-standard</v>
      </c>
      <c r="E3513">
        <v>3.88</v>
      </c>
      <c r="F3513">
        <v>4.88</v>
      </c>
      <c r="G3513" s="13">
        <v>44623</v>
      </c>
      <c r="H3513" s="13"/>
      <c r="I3513" s="22" t="str">
        <f>VLOOKUP(J3513, Dropdowns!N:O, 2, FALSE)</f>
        <v>Standard</v>
      </c>
      <c r="J3513" t="s">
        <v>760</v>
      </c>
      <c r="L3513" s="17" t="s">
        <v>732</v>
      </c>
      <c r="M3513" s="17" t="s">
        <v>9</v>
      </c>
      <c r="N3513" s="17" t="s">
        <v>736</v>
      </c>
    </row>
    <row r="3514" spans="1:14" x14ac:dyDescent="0.25">
      <c r="A3514" s="8">
        <v>986270</v>
      </c>
      <c r="B3514" s="22" t="str">
        <f>IFERROR(VLOOKUP(A3514,VLOOKUPS!$A$2:B$12589,2,FALSE),"")</f>
        <v>Organic French Beans 1lb-standard</v>
      </c>
      <c r="E3514">
        <v>3.99</v>
      </c>
      <c r="F3514">
        <v>3.29</v>
      </c>
      <c r="G3514" s="13">
        <v>44621</v>
      </c>
      <c r="H3514" s="13">
        <v>44623</v>
      </c>
      <c r="I3514" s="22" t="str">
        <f>VLOOKUP(J3514, Dropdowns!N:O, 2, FALSE)</f>
        <v>Lower Price</v>
      </c>
      <c r="J3514" t="s">
        <v>759</v>
      </c>
      <c r="L3514" s="17" t="s">
        <v>732</v>
      </c>
      <c r="M3514" s="17" t="s">
        <v>9</v>
      </c>
      <c r="N3514" s="17" t="s">
        <v>736</v>
      </c>
    </row>
    <row r="3515" spans="1:14" x14ac:dyDescent="0.25">
      <c r="A3515" s="8">
        <v>986270</v>
      </c>
      <c r="B3515" s="22" t="str">
        <f>IFERROR(VLOOKUP(A3515,VLOOKUPS!$A$2:B$12589,2,FALSE),"")</f>
        <v>Organic French Beans 1lb-standard</v>
      </c>
      <c r="E3515">
        <v>3.29</v>
      </c>
      <c r="F3515">
        <v>3.39</v>
      </c>
      <c r="G3515" s="13">
        <v>44624</v>
      </c>
      <c r="H3515" s="13"/>
      <c r="I3515" s="22" t="str">
        <f>VLOOKUP(J3515, Dropdowns!N:O, 2, FALSE)</f>
        <v>Standard</v>
      </c>
      <c r="J3515" t="s">
        <v>760</v>
      </c>
      <c r="L3515" s="17" t="s">
        <v>732</v>
      </c>
      <c r="M3515" s="17" t="s">
        <v>9</v>
      </c>
      <c r="N3515" s="17" t="s">
        <v>736</v>
      </c>
    </row>
    <row r="3516" spans="1:14" x14ac:dyDescent="0.25">
      <c r="A3516" s="8">
        <v>995008</v>
      </c>
      <c r="B3516" s="22" t="str">
        <f>IFERROR(VLOOKUP(A3516,VLOOKUPS!$A$2:B$12589,2,FALSE),"")</f>
        <v>Shredded Lettuce 8oz-standard</v>
      </c>
      <c r="E3516">
        <v>1.88</v>
      </c>
      <c r="F3516">
        <v>1.08</v>
      </c>
      <c r="G3516" s="13">
        <v>44621</v>
      </c>
      <c r="H3516" s="13">
        <v>44622</v>
      </c>
      <c r="I3516" s="22" t="str">
        <f>VLOOKUP(J3516, Dropdowns!N:O, 2, FALSE)</f>
        <v>Lower Price</v>
      </c>
      <c r="J3516" t="s">
        <v>759</v>
      </c>
      <c r="L3516" s="17" t="s">
        <v>732</v>
      </c>
      <c r="M3516" s="17" t="s">
        <v>738</v>
      </c>
      <c r="N3516" s="17">
        <v>2</v>
      </c>
    </row>
    <row r="3517" spans="1:14" x14ac:dyDescent="0.25">
      <c r="A3517" s="8">
        <v>995008</v>
      </c>
      <c r="B3517" s="22" t="str">
        <f>IFERROR(VLOOKUP(A3517,VLOOKUPS!$A$2:B$12589,2,FALSE),"")</f>
        <v>Shredded Lettuce 8oz-standard</v>
      </c>
      <c r="E3517">
        <v>1.08</v>
      </c>
      <c r="F3517">
        <v>1.88</v>
      </c>
      <c r="G3517" s="13">
        <v>44623</v>
      </c>
      <c r="H3517" s="13"/>
      <c r="I3517" s="22" t="str">
        <f>VLOOKUP(J3517, Dropdowns!N:O, 2, FALSE)</f>
        <v>Standard</v>
      </c>
      <c r="J3517" t="s">
        <v>760</v>
      </c>
      <c r="L3517" s="17" t="s">
        <v>732</v>
      </c>
      <c r="M3517" s="17" t="s">
        <v>738</v>
      </c>
      <c r="N3517" s="17">
        <v>2</v>
      </c>
    </row>
    <row r="3518" spans="1:14" x14ac:dyDescent="0.25">
      <c r="A3518" s="8">
        <v>995041</v>
      </c>
      <c r="B3518" s="22" t="str">
        <f>IFERROR(VLOOKUP(A3518,VLOOKUPS!$A$2:B$12589,2,FALSE),"")</f>
        <v>Pineapple Spears 16oz-standard</v>
      </c>
      <c r="E3518">
        <v>3.49</v>
      </c>
      <c r="F3518">
        <v>4.4800000000000004</v>
      </c>
      <c r="G3518" s="13">
        <v>44621</v>
      </c>
      <c r="H3518" s="13"/>
      <c r="I3518" s="22" t="str">
        <f>VLOOKUP(J3518, Dropdowns!N:O, 2, FALSE)</f>
        <v>Standard</v>
      </c>
      <c r="J3518" t="s">
        <v>761</v>
      </c>
      <c r="L3518" s="17" t="s">
        <v>732</v>
      </c>
      <c r="M3518" s="17" t="s">
        <v>736</v>
      </c>
      <c r="N3518" s="17" t="s">
        <v>736</v>
      </c>
    </row>
    <row r="3519" spans="1:14" x14ac:dyDescent="0.25">
      <c r="A3519" s="8">
        <v>995042</v>
      </c>
      <c r="B3519" s="22" t="str">
        <f>IFERROR(VLOOKUP(A3519,VLOOKUPS!$A$2:B$12589,2,FALSE),"")</f>
        <v>Mango Chunks 16oz-standard</v>
      </c>
      <c r="E3519">
        <v>4.29</v>
      </c>
      <c r="F3519">
        <v>5.48</v>
      </c>
      <c r="G3519" s="13">
        <v>44621</v>
      </c>
      <c r="H3519" s="13"/>
      <c r="I3519" s="22" t="str">
        <f>VLOOKUP(J3519, Dropdowns!N:O, 2, FALSE)</f>
        <v>Standard</v>
      </c>
      <c r="J3519" t="s">
        <v>761</v>
      </c>
      <c r="L3519" s="17" t="s">
        <v>732</v>
      </c>
      <c r="M3519" s="17" t="s">
        <v>736</v>
      </c>
      <c r="N3519" s="17" t="s">
        <v>736</v>
      </c>
    </row>
    <row r="3520" spans="1:14" x14ac:dyDescent="0.25">
      <c r="A3520" s="8">
        <v>995043</v>
      </c>
      <c r="B3520" s="22" t="str">
        <f>IFERROR(VLOOKUP(A3520,VLOOKUPS!$A$2:B$12589,2,FALSE),"")</f>
        <v>Watermelon Chunks 16oz-standard</v>
      </c>
      <c r="E3520">
        <v>3.49</v>
      </c>
      <c r="F3520">
        <v>4.4800000000000004</v>
      </c>
      <c r="G3520" s="13">
        <v>44621</v>
      </c>
      <c r="H3520" s="13"/>
      <c r="I3520" s="22" t="str">
        <f>VLOOKUP(J3520, Dropdowns!N:O, 2, FALSE)</f>
        <v>Standard</v>
      </c>
      <c r="J3520" t="s">
        <v>761</v>
      </c>
      <c r="L3520" s="17" t="s">
        <v>732</v>
      </c>
      <c r="M3520" s="17" t="s">
        <v>736</v>
      </c>
      <c r="N3520" s="17" t="s">
        <v>736</v>
      </c>
    </row>
    <row r="3521" spans="1:14" x14ac:dyDescent="0.25">
      <c r="A3521" s="8">
        <v>995082</v>
      </c>
      <c r="B3521" s="22" t="str">
        <f>IFERROR(VLOOKUP(A3521,VLOOKUPS!$A$2:B$12589,2,FALSE),"")</f>
        <v>Melon Trio 16oz-standard</v>
      </c>
      <c r="D3521">
        <v>4</v>
      </c>
      <c r="E3521">
        <v>3.99</v>
      </c>
      <c r="G3521" s="13">
        <v>44621</v>
      </c>
      <c r="H3521" s="13"/>
      <c r="I3521" s="22" t="str">
        <f>VLOOKUP(J3521, Dropdowns!N:O, 2, FALSE)</f>
        <v>NA</v>
      </c>
      <c r="J3521" t="s">
        <v>754</v>
      </c>
      <c r="L3521" s="17" t="s">
        <v>732</v>
      </c>
      <c r="M3521" s="17" t="s">
        <v>735</v>
      </c>
      <c r="N3521" s="17" t="s">
        <v>736</v>
      </c>
    </row>
    <row r="3522" spans="1:14" x14ac:dyDescent="0.25">
      <c r="A3522" s="8">
        <v>995082</v>
      </c>
      <c r="B3522" s="22" t="str">
        <f>IFERROR(VLOOKUP(A3522,VLOOKUPS!$A$2:B$12589,2,FALSE),"")</f>
        <v>Melon Trio 16oz-standard</v>
      </c>
      <c r="D3522">
        <v>4</v>
      </c>
      <c r="E3522">
        <v>3.49</v>
      </c>
      <c r="G3522" s="13">
        <v>44621</v>
      </c>
      <c r="H3522" s="13"/>
      <c r="I3522" s="22" t="str">
        <f>VLOOKUP(J3522, Dropdowns!N:O, 2, FALSE)</f>
        <v>NA</v>
      </c>
      <c r="J3522" t="s">
        <v>754</v>
      </c>
      <c r="L3522" s="17" t="s">
        <v>733</v>
      </c>
      <c r="M3522" s="17" t="s">
        <v>11</v>
      </c>
      <c r="N3522" s="17" t="s">
        <v>740</v>
      </c>
    </row>
    <row r="3523" spans="1:14" x14ac:dyDescent="0.25">
      <c r="A3523" s="8">
        <v>995102</v>
      </c>
      <c r="B3523" s="22" t="str">
        <f>IFERROR(VLOOKUP(A3523,VLOOKUPS!$A$2:B$12589,2,FALSE),"")</f>
        <v>Cantaloupe Chunks 16oz-standard</v>
      </c>
      <c r="E3523">
        <v>3.49</v>
      </c>
      <c r="F3523">
        <v>3.97</v>
      </c>
      <c r="G3523" s="13">
        <v>44621</v>
      </c>
      <c r="H3523" s="13"/>
      <c r="I3523" s="22" t="str">
        <f>VLOOKUP(J3523, Dropdowns!N:O, 2, FALSE)</f>
        <v>Standard</v>
      </c>
      <c r="J3523" t="s">
        <v>761</v>
      </c>
      <c r="L3523" s="17" t="s">
        <v>732</v>
      </c>
      <c r="M3523" s="17" t="s">
        <v>736</v>
      </c>
      <c r="N3523" s="17" t="s">
        <v>736</v>
      </c>
    </row>
    <row r="3524" spans="1:14" x14ac:dyDescent="0.25">
      <c r="A3524" s="8">
        <v>995115</v>
      </c>
      <c r="B3524" s="22" t="str">
        <f>IFERROR(VLOOKUP(A3524,VLOOKUPS!$A$2:B$12589,2,FALSE),"")</f>
        <v>Pineapple Chunks 10oz-standard</v>
      </c>
      <c r="E3524">
        <v>3.24</v>
      </c>
      <c r="F3524">
        <v>2.2400000000000002</v>
      </c>
      <c r="G3524" s="13">
        <v>44621</v>
      </c>
      <c r="H3524" s="13">
        <v>44622</v>
      </c>
      <c r="I3524" s="22" t="str">
        <f>VLOOKUP(J3524, Dropdowns!N:O, 2, FALSE)</f>
        <v>Lower Price</v>
      </c>
      <c r="J3524" t="s">
        <v>759</v>
      </c>
      <c r="L3524" s="17" t="s">
        <v>732</v>
      </c>
      <c r="M3524" s="17" t="s">
        <v>735</v>
      </c>
      <c r="N3524" s="17" t="s">
        <v>736</v>
      </c>
    </row>
    <row r="3525" spans="1:14" x14ac:dyDescent="0.25">
      <c r="A3525" s="8">
        <v>995115</v>
      </c>
      <c r="B3525" s="22" t="str">
        <f>IFERROR(VLOOKUP(A3525,VLOOKUPS!$A$2:B$12589,2,FALSE),"")</f>
        <v>Pineapple Chunks 10oz-standard</v>
      </c>
      <c r="E3525">
        <v>2.2400000000000002</v>
      </c>
      <c r="F3525">
        <v>3.24</v>
      </c>
      <c r="G3525" s="13">
        <v>44623</v>
      </c>
      <c r="H3525" s="13"/>
      <c r="I3525" s="22" t="str">
        <f>VLOOKUP(J3525, Dropdowns!N:O, 2, FALSE)</f>
        <v>Standard</v>
      </c>
      <c r="J3525" t="s">
        <v>760</v>
      </c>
      <c r="L3525" s="17" t="s">
        <v>732</v>
      </c>
      <c r="M3525" s="17" t="s">
        <v>735</v>
      </c>
      <c r="N3525" s="17" t="s">
        <v>736</v>
      </c>
    </row>
    <row r="3526" spans="1:14" x14ac:dyDescent="0.25">
      <c r="A3526" s="8">
        <v>983105</v>
      </c>
      <c r="B3526" s="22" t="str">
        <f>IFERROR(VLOOKUP(A3526,VLOOKUPS!$A$2:B$12589,2,FALSE),"")</f>
        <v>Melons Galia 1ct-loose</v>
      </c>
      <c r="D3526">
        <v>10</v>
      </c>
      <c r="E3526">
        <v>3.98</v>
      </c>
      <c r="G3526" s="13">
        <v>44621</v>
      </c>
      <c r="H3526" s="13"/>
      <c r="I3526" s="22" t="str">
        <f>VLOOKUP(J3526, Dropdowns!N:O, 2, FALSE)</f>
        <v>NA</v>
      </c>
      <c r="J3526" t="s">
        <v>754</v>
      </c>
      <c r="L3526" s="17" t="s">
        <v>732</v>
      </c>
      <c r="M3526" s="17" t="s">
        <v>736</v>
      </c>
      <c r="N3526" s="17" t="s">
        <v>736</v>
      </c>
    </row>
    <row r="3527" spans="1:14" x14ac:dyDescent="0.25">
      <c r="A3527" s="8">
        <v>982712</v>
      </c>
      <c r="B3527" s="22" t="str">
        <f>IFERROR(VLOOKUP(A3527,VLOOKUPS!$A$2:B$12589,2,FALSE),"")</f>
        <v>Organic Grapes Red 1lb-standard</v>
      </c>
      <c r="E3527">
        <v>4.29</v>
      </c>
      <c r="F3527">
        <v>4.99</v>
      </c>
      <c r="G3527" s="13">
        <v>44621</v>
      </c>
      <c r="H3527" s="13"/>
      <c r="I3527" s="22" t="str">
        <f>VLOOKUP(J3527, Dropdowns!N:O, 2, FALSE)</f>
        <v>Standard</v>
      </c>
      <c r="J3527" t="s">
        <v>761</v>
      </c>
      <c r="L3527" s="17" t="s">
        <v>732</v>
      </c>
      <c r="M3527" s="17" t="s">
        <v>735</v>
      </c>
      <c r="N3527" s="17" t="s">
        <v>736</v>
      </c>
    </row>
    <row r="3528" spans="1:14" x14ac:dyDescent="0.25">
      <c r="A3528" s="8">
        <v>982713</v>
      </c>
      <c r="B3528" s="22" t="str">
        <f>IFERROR(VLOOKUP(A3528,VLOOKUPS!$A$2:B$12589,2,FALSE),"")</f>
        <v>Organic Grapes Green 1lb-standard</v>
      </c>
      <c r="E3528">
        <v>4.29</v>
      </c>
      <c r="F3528">
        <v>4.99</v>
      </c>
      <c r="G3528" s="13">
        <v>44621</v>
      </c>
      <c r="H3528" s="13"/>
      <c r="I3528" s="22" t="str">
        <f>VLOOKUP(J3528, Dropdowns!N:O, 2, FALSE)</f>
        <v>Standard</v>
      </c>
      <c r="J3528" t="s">
        <v>761</v>
      </c>
      <c r="L3528" s="17" t="s">
        <v>732</v>
      </c>
      <c r="M3528" s="17" t="s">
        <v>735</v>
      </c>
      <c r="N3528" s="17" t="s">
        <v>736</v>
      </c>
    </row>
    <row r="3529" spans="1:14" x14ac:dyDescent="0.25">
      <c r="A3529" s="8">
        <v>984461</v>
      </c>
      <c r="B3529" s="22" t="str">
        <f>IFERROR(VLOOKUP(A3529,VLOOKUPS!$A$2:B$12589,2,FALSE),"")</f>
        <v>Strawberries 2lb-standard</v>
      </c>
      <c r="G3529" s="13">
        <v>44621</v>
      </c>
      <c r="H3529" s="13">
        <v>44621</v>
      </c>
      <c r="I3529" s="22" t="str">
        <f>VLOOKUP(J3529, Dropdowns!N:O, 2, FALSE)</f>
        <v>Lower Price</v>
      </c>
      <c r="J3529" t="s">
        <v>779</v>
      </c>
      <c r="L3529" s="17" t="s">
        <v>732</v>
      </c>
      <c r="M3529" s="17" t="s">
        <v>9</v>
      </c>
      <c r="N3529" s="17" t="s">
        <v>736</v>
      </c>
    </row>
    <row r="3530" spans="1:14" x14ac:dyDescent="0.25">
      <c r="A3530" s="8">
        <v>984541</v>
      </c>
      <c r="B3530" s="22" t="str">
        <f>IFERROR(VLOOKUP(A3530,VLOOKUPS!$A$2:B$12589,2,FALSE),"")</f>
        <v>Blueberries 1pt-standard</v>
      </c>
      <c r="E3530">
        <v>2.79</v>
      </c>
      <c r="F3530">
        <v>1.99</v>
      </c>
      <c r="G3530" s="13">
        <v>44622</v>
      </c>
      <c r="H3530" s="13">
        <v>44623</v>
      </c>
      <c r="I3530" s="22" t="str">
        <f>VLOOKUP(J3530, Dropdowns!N:O, 2, FALSE)</f>
        <v>Lower Price</v>
      </c>
      <c r="J3530" t="s">
        <v>759</v>
      </c>
      <c r="L3530" s="17" t="s">
        <v>732</v>
      </c>
      <c r="M3530" s="17" t="s">
        <v>10</v>
      </c>
      <c r="N3530" s="17">
        <v>2</v>
      </c>
    </row>
    <row r="3531" spans="1:14" x14ac:dyDescent="0.25">
      <c r="A3531" s="8">
        <v>984541</v>
      </c>
      <c r="B3531" s="22" t="str">
        <f>IFERROR(VLOOKUP(A3531,VLOOKUPS!$A$2:B$12589,2,FALSE),"")</f>
        <v>Blueberries 1pt-standard</v>
      </c>
      <c r="E3531">
        <v>1.99</v>
      </c>
      <c r="F3531">
        <v>2.79</v>
      </c>
      <c r="G3531" s="13">
        <v>44624</v>
      </c>
      <c r="H3531" s="13"/>
      <c r="I3531" s="22" t="str">
        <f>VLOOKUP(J3531, Dropdowns!N:O, 2, FALSE)</f>
        <v>Standard</v>
      </c>
      <c r="J3531" t="s">
        <v>760</v>
      </c>
      <c r="L3531" s="17" t="s">
        <v>732</v>
      </c>
      <c r="M3531" s="17" t="s">
        <v>10</v>
      </c>
      <c r="N3531" s="17">
        <v>2</v>
      </c>
    </row>
    <row r="3532" spans="1:14" x14ac:dyDescent="0.25">
      <c r="A3532" s="8">
        <v>984542</v>
      </c>
      <c r="B3532" s="22" t="str">
        <f>IFERROR(VLOOKUP(A3532,VLOOKUPS!$A$2:B$12589,2,FALSE),"")</f>
        <v>Blueberries 18oz-standard</v>
      </c>
      <c r="G3532" s="13">
        <v>44622</v>
      </c>
      <c r="H3532" s="13">
        <v>44628</v>
      </c>
      <c r="I3532" s="22" t="str">
        <f>VLOOKUP(J3532, Dropdowns!N:O, 2, FALSE)</f>
        <v>Lower Price</v>
      </c>
      <c r="J3532" t="s">
        <v>753</v>
      </c>
      <c r="L3532" s="17" t="s">
        <v>732</v>
      </c>
      <c r="M3532" s="17" t="s">
        <v>736</v>
      </c>
      <c r="N3532" s="17" t="s">
        <v>736</v>
      </c>
    </row>
    <row r="3533" spans="1:14" x14ac:dyDescent="0.25">
      <c r="A3533" s="8">
        <v>984582</v>
      </c>
      <c r="B3533" s="22" t="str">
        <f>IFERROR(VLOOKUP(A3533,VLOOKUPS!$A$2:B$12589,2,FALSE),"")</f>
        <v>Organic Blueberries 1pt-standard</v>
      </c>
      <c r="E3533">
        <v>4.26</v>
      </c>
      <c r="F3533">
        <v>2.96</v>
      </c>
      <c r="G3533" s="13">
        <v>44622</v>
      </c>
      <c r="H3533" s="13">
        <v>44623</v>
      </c>
      <c r="I3533" s="22" t="str">
        <f>VLOOKUP(J3533, Dropdowns!N:O, 2, FALSE)</f>
        <v>Lower Price</v>
      </c>
      <c r="J3533" t="s">
        <v>759</v>
      </c>
      <c r="L3533" s="17" t="s">
        <v>732</v>
      </c>
      <c r="M3533" s="17" t="s">
        <v>9</v>
      </c>
      <c r="N3533" s="17" t="s">
        <v>736</v>
      </c>
    </row>
    <row r="3534" spans="1:14" x14ac:dyDescent="0.25">
      <c r="A3534" s="8">
        <v>984582</v>
      </c>
      <c r="B3534" s="22" t="str">
        <f>IFERROR(VLOOKUP(A3534,VLOOKUPS!$A$2:B$12589,2,FALSE),"")</f>
        <v>Organic Blueberries 1pt-standard</v>
      </c>
      <c r="E3534">
        <v>2.96</v>
      </c>
      <c r="F3534">
        <v>4.26</v>
      </c>
      <c r="G3534" s="13">
        <v>44624</v>
      </c>
      <c r="H3534" s="13"/>
      <c r="I3534" s="22" t="str">
        <f>VLOOKUP(J3534, Dropdowns!N:O, 2, FALSE)</f>
        <v>Standard</v>
      </c>
      <c r="J3534" t="s">
        <v>760</v>
      </c>
      <c r="L3534" s="17" t="s">
        <v>732</v>
      </c>
      <c r="M3534" s="17" t="s">
        <v>9</v>
      </c>
      <c r="N3534" s="17" t="s">
        <v>736</v>
      </c>
    </row>
    <row r="3535" spans="1:14" x14ac:dyDescent="0.25">
      <c r="A3535" s="8">
        <v>984620</v>
      </c>
      <c r="B3535" s="22" t="str">
        <f>IFERROR(VLOOKUP(A3535,VLOOKUPS!$A$2:B$12589,2,FALSE),"")</f>
        <v>Raspberries 6oz-standard</v>
      </c>
      <c r="E3535">
        <v>3.2</v>
      </c>
      <c r="F3535">
        <v>2.2000000000000002</v>
      </c>
      <c r="G3535" s="13">
        <v>44622</v>
      </c>
      <c r="H3535" s="13">
        <v>44623</v>
      </c>
      <c r="I3535" s="22" t="str">
        <f>VLOOKUP(J3535, Dropdowns!N:O, 2, FALSE)</f>
        <v>Lower Price</v>
      </c>
      <c r="J3535" t="s">
        <v>759</v>
      </c>
      <c r="L3535" s="17" t="s">
        <v>732</v>
      </c>
      <c r="M3535" s="17" t="s">
        <v>9</v>
      </c>
      <c r="N3535" s="17" t="s">
        <v>736</v>
      </c>
    </row>
    <row r="3536" spans="1:14" x14ac:dyDescent="0.25">
      <c r="A3536" s="8">
        <v>984620</v>
      </c>
      <c r="B3536" s="22" t="str">
        <f>IFERROR(VLOOKUP(A3536,VLOOKUPS!$A$2:B$12589,2,FALSE),"")</f>
        <v>Raspberries 6oz-standard</v>
      </c>
      <c r="E3536">
        <v>2.2000000000000002</v>
      </c>
      <c r="F3536">
        <v>3.2</v>
      </c>
      <c r="G3536" s="13">
        <v>44624</v>
      </c>
      <c r="H3536" s="13"/>
      <c r="I3536" s="22" t="str">
        <f>VLOOKUP(J3536, Dropdowns!N:O, 2, FALSE)</f>
        <v>Standard</v>
      </c>
      <c r="J3536" t="s">
        <v>760</v>
      </c>
      <c r="L3536" s="17" t="s">
        <v>732</v>
      </c>
      <c r="M3536" s="17" t="s">
        <v>9</v>
      </c>
      <c r="N3536" s="17" t="s">
        <v>736</v>
      </c>
    </row>
    <row r="3537" spans="1:14" x14ac:dyDescent="0.25">
      <c r="A3537" s="8">
        <v>984700</v>
      </c>
      <c r="B3537" s="22" t="str">
        <f>IFERROR(VLOOKUP(A3537,VLOOKUPS!$A$2:B$12589,2,FALSE),"")</f>
        <v>Blackberries 6oz-standard</v>
      </c>
      <c r="G3537" s="13">
        <v>44622</v>
      </c>
      <c r="H3537" s="13">
        <v>44628</v>
      </c>
      <c r="I3537" s="22" t="str">
        <f>VLOOKUP(J3537, Dropdowns!N:O, 2, FALSE)</f>
        <v>Lower Price</v>
      </c>
      <c r="J3537" t="s">
        <v>753</v>
      </c>
      <c r="L3537" s="17" t="s">
        <v>732</v>
      </c>
      <c r="M3537" s="17" t="s">
        <v>736</v>
      </c>
      <c r="N3537" s="17" t="s">
        <v>736</v>
      </c>
    </row>
    <row r="3538" spans="1:14" x14ac:dyDescent="0.25">
      <c r="A3538" s="8">
        <v>995032</v>
      </c>
      <c r="B3538" s="22" t="str">
        <f>IFERROR(VLOOKUP(A3538,VLOOKUPS!$A$2:B$12589,2,FALSE),"")</f>
        <v>Chopped Sunflower Crunch Kit 12.2oz-standard</v>
      </c>
      <c r="E3538">
        <v>3.49</v>
      </c>
      <c r="F3538">
        <v>1.99</v>
      </c>
      <c r="G3538" s="13">
        <v>44622</v>
      </c>
      <c r="H3538" s="13">
        <v>44623</v>
      </c>
      <c r="I3538" s="22" t="str">
        <f>VLOOKUP(J3538, Dropdowns!N:O, 2, FALSE)</f>
        <v>Lower Price</v>
      </c>
      <c r="J3538" t="s">
        <v>759</v>
      </c>
      <c r="L3538" s="17" t="s">
        <v>732</v>
      </c>
      <c r="M3538" s="17" t="s">
        <v>9</v>
      </c>
      <c r="N3538" s="17" t="s">
        <v>736</v>
      </c>
    </row>
    <row r="3539" spans="1:14" x14ac:dyDescent="0.25">
      <c r="A3539" s="8">
        <v>995032</v>
      </c>
      <c r="B3539" s="22" t="str">
        <f>IFERROR(VLOOKUP(A3539,VLOOKUPS!$A$2:B$12589,2,FALSE),"")</f>
        <v>Chopped Sunflower Crunch Kit 12.2oz-standard</v>
      </c>
      <c r="E3539">
        <v>1.99</v>
      </c>
      <c r="F3539">
        <v>3.49</v>
      </c>
      <c r="G3539" s="13">
        <v>44624</v>
      </c>
      <c r="H3539" s="13"/>
      <c r="I3539" s="22" t="str">
        <f>VLOOKUP(J3539, Dropdowns!N:O, 2, FALSE)</f>
        <v>Standard</v>
      </c>
      <c r="J3539" t="s">
        <v>760</v>
      </c>
      <c r="L3539" s="17" t="s">
        <v>732</v>
      </c>
      <c r="M3539" s="17" t="s">
        <v>9</v>
      </c>
      <c r="N3539" s="17" t="s">
        <v>736</v>
      </c>
    </row>
    <row r="3540" spans="1:14" x14ac:dyDescent="0.25">
      <c r="A3540" s="8">
        <v>995100</v>
      </c>
      <c r="B3540" s="22" t="str">
        <f>IFERROR(VLOOKUP(A3540,VLOOKUPS!$A$2:B$12589,2,FALSE),"")</f>
        <v>Asian Chopped Salad Kit 12oz-standard</v>
      </c>
      <c r="E3540">
        <v>3.49</v>
      </c>
      <c r="F3540">
        <v>1.99</v>
      </c>
      <c r="G3540" s="13">
        <v>44622</v>
      </c>
      <c r="H3540" s="13">
        <v>44623</v>
      </c>
      <c r="I3540" s="22" t="str">
        <f>VLOOKUP(J3540, Dropdowns!N:O, 2, FALSE)</f>
        <v>Lower Price</v>
      </c>
      <c r="J3540" t="s">
        <v>759</v>
      </c>
      <c r="L3540" s="17" t="s">
        <v>732</v>
      </c>
      <c r="M3540" s="17" t="s">
        <v>10</v>
      </c>
      <c r="N3540" s="17">
        <v>2</v>
      </c>
    </row>
    <row r="3541" spans="1:14" x14ac:dyDescent="0.25">
      <c r="A3541" s="8">
        <v>995100</v>
      </c>
      <c r="B3541" s="22" t="str">
        <f>IFERROR(VLOOKUP(A3541,VLOOKUPS!$A$2:B$12589,2,FALSE),"")</f>
        <v>Asian Chopped Salad Kit 12oz-standard</v>
      </c>
      <c r="E3541">
        <v>1.99</v>
      </c>
      <c r="F3541">
        <v>3.49</v>
      </c>
      <c r="G3541" s="13">
        <v>44624</v>
      </c>
      <c r="H3541" s="13"/>
      <c r="I3541" s="22" t="str">
        <f>VLOOKUP(J3541, Dropdowns!N:O, 2, FALSE)</f>
        <v>Standard</v>
      </c>
      <c r="J3541" t="s">
        <v>760</v>
      </c>
      <c r="L3541" s="17" t="s">
        <v>732</v>
      </c>
      <c r="M3541" s="17" t="s">
        <v>10</v>
      </c>
      <c r="N3541" s="17">
        <v>2</v>
      </c>
    </row>
    <row r="3542" spans="1:14" x14ac:dyDescent="0.25">
      <c r="A3542" s="8">
        <v>995113</v>
      </c>
      <c r="B3542" s="22" t="str">
        <f>IFERROR(VLOOKUP(A3542,VLOOKUPS!$A$2:B$12589,2,FALSE),"")</f>
        <v/>
      </c>
      <c r="D3542">
        <v>6</v>
      </c>
      <c r="E3542">
        <v>3.49</v>
      </c>
      <c r="G3542" s="13">
        <v>44622</v>
      </c>
      <c r="H3542" s="13"/>
      <c r="I3542" s="22" t="str">
        <f>VLOOKUP(J3542, Dropdowns!N:O, 2, FALSE)</f>
        <v>NA</v>
      </c>
      <c r="J3542" t="s">
        <v>754</v>
      </c>
      <c r="L3542" s="17" t="s">
        <v>732</v>
      </c>
      <c r="M3542" s="17" t="s">
        <v>736</v>
      </c>
      <c r="N3542" s="17" t="s">
        <v>736</v>
      </c>
    </row>
    <row r="3543" spans="1:14" x14ac:dyDescent="0.25">
      <c r="A3543" s="8">
        <v>995138</v>
      </c>
      <c r="B3543" s="22" t="str">
        <f>IFERROR(VLOOKUP(A3543,VLOOKUPS!$A$2:B$12589,2,FALSE),"")</f>
        <v>Spring Mix 11oz-standard</v>
      </c>
      <c r="E3543">
        <v>3.98</v>
      </c>
      <c r="F3543">
        <v>2.98</v>
      </c>
      <c r="G3543" s="13">
        <v>44622</v>
      </c>
      <c r="H3543" s="13">
        <v>44624</v>
      </c>
      <c r="I3543" s="22" t="str">
        <f>VLOOKUP(J3543, Dropdowns!N:O, 2, FALSE)</f>
        <v>Lower Price</v>
      </c>
      <c r="J3543" t="s">
        <v>759</v>
      </c>
      <c r="L3543" s="17" t="s">
        <v>733</v>
      </c>
      <c r="M3543" s="17" t="s">
        <v>11</v>
      </c>
      <c r="N3543" s="17" t="s">
        <v>740</v>
      </c>
    </row>
    <row r="3544" spans="1:14" x14ac:dyDescent="0.25">
      <c r="A3544" s="8">
        <v>995138</v>
      </c>
      <c r="B3544" s="22" t="str">
        <f>IFERROR(VLOOKUP(A3544,VLOOKUPS!$A$2:B$12589,2,FALSE),"")</f>
        <v>Spring Mix 11oz-standard</v>
      </c>
      <c r="E3544">
        <v>2.98</v>
      </c>
      <c r="F3544">
        <v>3.98</v>
      </c>
      <c r="G3544" s="13">
        <v>44625</v>
      </c>
      <c r="H3544" s="13"/>
      <c r="I3544" s="22" t="str">
        <f>VLOOKUP(J3544, Dropdowns!N:O, 2, FALSE)</f>
        <v>Standard</v>
      </c>
      <c r="J3544" t="s">
        <v>760</v>
      </c>
      <c r="L3544" s="17" t="s">
        <v>733</v>
      </c>
      <c r="M3544" s="17" t="s">
        <v>11</v>
      </c>
      <c r="N3544" s="17" t="s">
        <v>740</v>
      </c>
    </row>
    <row r="3545" spans="1:14" x14ac:dyDescent="0.25">
      <c r="A3545" s="8">
        <v>995162</v>
      </c>
      <c r="B3545" s="22" t="str">
        <f>IFERROR(VLOOKUP(A3545,VLOOKUPS!$A$2:B$12589,2,FALSE),"")</f>
        <v>Buffalo Ranch Salad Kit 12oz-standard</v>
      </c>
      <c r="E3545">
        <v>3.49</v>
      </c>
      <c r="F3545">
        <v>1.99</v>
      </c>
      <c r="G3545" s="13">
        <v>44622</v>
      </c>
      <c r="H3545" s="13">
        <v>44624</v>
      </c>
      <c r="I3545" s="22" t="str">
        <f>VLOOKUP(J3545, Dropdowns!N:O, 2, FALSE)</f>
        <v>Lower Price</v>
      </c>
      <c r="J3545" t="s">
        <v>759</v>
      </c>
      <c r="L3545" s="17" t="s">
        <v>732</v>
      </c>
      <c r="M3545" s="17" t="s">
        <v>738</v>
      </c>
      <c r="N3545" s="17">
        <v>2</v>
      </c>
    </row>
    <row r="3546" spans="1:14" x14ac:dyDescent="0.25">
      <c r="A3546" s="8">
        <v>995162</v>
      </c>
      <c r="B3546" s="22" t="str">
        <f>IFERROR(VLOOKUP(A3546,VLOOKUPS!$A$2:B$12589,2,FALSE),"")</f>
        <v>Buffalo Ranch Salad Kit 12oz-standard</v>
      </c>
      <c r="E3546">
        <v>1.99</v>
      </c>
      <c r="F3546">
        <v>3.49</v>
      </c>
      <c r="G3546" s="13">
        <v>44625</v>
      </c>
      <c r="H3546" s="13"/>
      <c r="I3546" s="22" t="str">
        <f>VLOOKUP(J3546, Dropdowns!N:O, 2, FALSE)</f>
        <v>Standard</v>
      </c>
      <c r="J3546" t="s">
        <v>760</v>
      </c>
      <c r="L3546" s="17" t="s">
        <v>732</v>
      </c>
      <c r="M3546" s="17" t="s">
        <v>738</v>
      </c>
      <c r="N3546" s="17">
        <v>2</v>
      </c>
    </row>
    <row r="3547" spans="1:14" x14ac:dyDescent="0.25">
      <c r="A3547" s="8">
        <v>983201</v>
      </c>
      <c r="B3547" s="22" t="str">
        <f>IFERROR(VLOOKUP(A3547,VLOOKUPS!$A$2:B$12589,2,FALSE),"")</f>
        <v>Melons* Honeydew 1ct-LOOSE</v>
      </c>
      <c r="E3547">
        <v>3.98</v>
      </c>
      <c r="F3547">
        <v>2.98</v>
      </c>
      <c r="G3547" s="13">
        <v>44622</v>
      </c>
      <c r="H3547" s="13">
        <v>44623</v>
      </c>
      <c r="I3547" s="22" t="str">
        <f>VLOOKUP(J3547, Dropdowns!N:O, 2, FALSE)</f>
        <v>Lower Price</v>
      </c>
      <c r="J3547" t="s">
        <v>759</v>
      </c>
      <c r="L3547" s="17" t="s">
        <v>732</v>
      </c>
      <c r="M3547" s="17" t="s">
        <v>9</v>
      </c>
      <c r="N3547" s="17" t="s">
        <v>736</v>
      </c>
    </row>
    <row r="3548" spans="1:14" x14ac:dyDescent="0.25">
      <c r="A3548" s="8">
        <v>983201</v>
      </c>
      <c r="B3548" s="22" t="str">
        <f>IFERROR(VLOOKUP(A3548,VLOOKUPS!$A$2:B$12589,2,FALSE),"")</f>
        <v>Melons* Honeydew 1ct-LOOSE</v>
      </c>
      <c r="E3548">
        <v>2.98</v>
      </c>
      <c r="F3548">
        <v>3.98</v>
      </c>
      <c r="G3548" s="13">
        <v>44624</v>
      </c>
      <c r="H3548" s="13"/>
      <c r="I3548" s="22" t="str">
        <f>VLOOKUP(J3548, Dropdowns!N:O, 2, FALSE)</f>
        <v>Standard</v>
      </c>
      <c r="J3548" t="s">
        <v>760</v>
      </c>
      <c r="L3548" s="17" t="s">
        <v>732</v>
      </c>
      <c r="M3548" s="17" t="s">
        <v>9</v>
      </c>
      <c r="N3548" s="17" t="s">
        <v>736</v>
      </c>
    </row>
    <row r="3549" spans="1:14" x14ac:dyDescent="0.25">
      <c r="A3549" s="8">
        <v>983101</v>
      </c>
      <c r="B3549" s="22" t="str">
        <f>IFERROR(VLOOKUP(A3549,VLOOKUPS!$A$2:B$12589,2,FALSE),"")</f>
        <v>Melons Cantaloupes 1ct-LOOSE</v>
      </c>
      <c r="G3549" s="13">
        <v>44622</v>
      </c>
      <c r="H3549" s="13">
        <v>44623</v>
      </c>
      <c r="I3549" s="22" t="str">
        <f>VLOOKUP(J3549, Dropdowns!N:O, 2, FALSE)</f>
        <v>Lower Price</v>
      </c>
      <c r="J3549" t="s">
        <v>762</v>
      </c>
      <c r="L3549" s="17" t="s">
        <v>732</v>
      </c>
      <c r="M3549" s="17" t="s">
        <v>9</v>
      </c>
      <c r="N3549" s="17" t="s">
        <v>736</v>
      </c>
    </row>
    <row r="3550" spans="1:14" x14ac:dyDescent="0.25">
      <c r="A3550" s="8">
        <v>983101</v>
      </c>
      <c r="B3550" s="22" t="str">
        <f>IFERROR(VLOOKUP(A3550,VLOOKUPS!$A$2:B$12589,2,FALSE),"")</f>
        <v>Melons Cantaloupes 1ct-LOOSE</v>
      </c>
      <c r="E3550">
        <v>1.79</v>
      </c>
      <c r="F3550">
        <v>2.98</v>
      </c>
      <c r="G3550" s="13">
        <v>44622</v>
      </c>
      <c r="H3550" s="13"/>
      <c r="I3550" s="22" t="str">
        <f>VLOOKUP(J3550, Dropdowns!N:O, 2, FALSE)</f>
        <v>Standard</v>
      </c>
      <c r="J3550" t="s">
        <v>760</v>
      </c>
      <c r="L3550" s="17" t="s">
        <v>732</v>
      </c>
      <c r="M3550" s="17" t="s">
        <v>738</v>
      </c>
      <c r="N3550" s="17">
        <v>2</v>
      </c>
    </row>
    <row r="3551" spans="1:14" x14ac:dyDescent="0.25">
      <c r="A3551" s="8">
        <v>984461</v>
      </c>
      <c r="B3551" s="22" t="str">
        <f>IFERROR(VLOOKUP(A3551,VLOOKUPS!$A$2:B$12589,2,FALSE),"")</f>
        <v>Strawberries 2lb-standard</v>
      </c>
      <c r="E3551">
        <v>3.79</v>
      </c>
      <c r="F3551">
        <v>5.82</v>
      </c>
      <c r="G3551" s="13">
        <v>44622</v>
      </c>
      <c r="H3551" s="13"/>
      <c r="I3551" s="22" t="str">
        <f>VLOOKUP(J3551, Dropdowns!N:O, 2, FALSE)</f>
        <v>Standard</v>
      </c>
      <c r="J3551" t="s">
        <v>760</v>
      </c>
      <c r="L3551" s="17" t="s">
        <v>732</v>
      </c>
      <c r="M3551" s="17" t="s">
        <v>738</v>
      </c>
      <c r="N3551" s="17">
        <v>2</v>
      </c>
    </row>
    <row r="3552" spans="1:14" x14ac:dyDescent="0.25">
      <c r="A3552" s="8">
        <v>984461</v>
      </c>
      <c r="B3552" s="22" t="str">
        <f>IFERROR(VLOOKUP(A3552,VLOOKUPS!$A$2:B$12589,2,FALSE),"")</f>
        <v>Strawberries 2lb-standard</v>
      </c>
      <c r="E3552">
        <v>5.82</v>
      </c>
      <c r="F3552">
        <v>4.74</v>
      </c>
      <c r="G3552" s="13">
        <v>44623</v>
      </c>
      <c r="H3552" s="13"/>
      <c r="I3552" s="22" t="str">
        <f>VLOOKUP(J3552, Dropdowns!N:O, 2, FALSE)</f>
        <v>Standard</v>
      </c>
      <c r="J3552" t="s">
        <v>761</v>
      </c>
      <c r="L3552" s="17" t="s">
        <v>732</v>
      </c>
      <c r="M3552" s="17" t="s">
        <v>738</v>
      </c>
      <c r="N3552" s="17">
        <v>2</v>
      </c>
    </row>
    <row r="3553" spans="1:17" x14ac:dyDescent="0.25">
      <c r="A3553" s="8">
        <v>984461</v>
      </c>
      <c r="B3553" s="22" t="str">
        <f>IFERROR(VLOOKUP(A3553,VLOOKUPS!$A$2:B$12589,2,FALSE),"")</f>
        <v>Strawberries 2lb-standard</v>
      </c>
      <c r="G3553" s="13">
        <v>44622</v>
      </c>
      <c r="H3553" s="13">
        <v>44622</v>
      </c>
      <c r="I3553" s="22" t="str">
        <f>VLOOKUP(J3553, Dropdowns!N:O, 2, FALSE)</f>
        <v>Lower Price</v>
      </c>
      <c r="J3553" t="s">
        <v>762</v>
      </c>
      <c r="L3553" s="17" t="s">
        <v>732</v>
      </c>
      <c r="M3553" s="17" t="s">
        <v>9</v>
      </c>
      <c r="N3553" s="17" t="s">
        <v>736</v>
      </c>
    </row>
    <row r="3554" spans="1:17" x14ac:dyDescent="0.25">
      <c r="A3554" s="8">
        <v>985760</v>
      </c>
      <c r="B3554" s="22" t="str">
        <f>IFERROR(VLOOKUP(A3554,VLOOKUPS!$A$2:B$12589,2,FALSE),"")</f>
        <v>Asparagus 1lb-standard</v>
      </c>
      <c r="E3554">
        <v>1.99</v>
      </c>
      <c r="F3554">
        <v>2.99</v>
      </c>
      <c r="G3554" s="13">
        <v>44622</v>
      </c>
      <c r="H3554" s="13"/>
      <c r="I3554" s="22" t="str">
        <f>VLOOKUP(J3554, Dropdowns!N:O, 2, FALSE)</f>
        <v>Standard</v>
      </c>
      <c r="J3554" t="s">
        <v>760</v>
      </c>
      <c r="L3554" s="17" t="s">
        <v>732</v>
      </c>
      <c r="M3554" s="17" t="s">
        <v>738</v>
      </c>
      <c r="N3554" s="17">
        <v>2</v>
      </c>
    </row>
    <row r="3555" spans="1:17" x14ac:dyDescent="0.25">
      <c r="A3555" s="8">
        <v>985760</v>
      </c>
      <c r="B3555" s="22" t="str">
        <f>IFERROR(VLOOKUP(A3555,VLOOKUPS!$A$2:B$12589,2,FALSE),"")</f>
        <v>Asparagus 1lb-standard</v>
      </c>
      <c r="G3555" s="13">
        <v>44622</v>
      </c>
      <c r="H3555" s="13">
        <v>44622</v>
      </c>
      <c r="I3555" s="22" t="str">
        <f>VLOOKUP(J3555, Dropdowns!N:O, 2, FALSE)</f>
        <v>Lower Price</v>
      </c>
      <c r="J3555" t="s">
        <v>762</v>
      </c>
      <c r="L3555" s="17" t="s">
        <v>732</v>
      </c>
      <c r="M3555" s="17" t="s">
        <v>9</v>
      </c>
      <c r="N3555" s="17" t="s">
        <v>736</v>
      </c>
    </row>
    <row r="3556" spans="1:17" x14ac:dyDescent="0.25">
      <c r="A3556" s="8">
        <v>995112</v>
      </c>
      <c r="B3556" s="22" t="str">
        <f>IFERROR(VLOOKUP(A3556,VLOOKUPS!$A$2:B$12589,2,FALSE),"")</f>
        <v>Dill Pickle Chopped Salad 11.75oz-standard</v>
      </c>
      <c r="D3556">
        <v>6</v>
      </c>
      <c r="F3556">
        <v>3.49</v>
      </c>
      <c r="G3556" s="13">
        <v>44623</v>
      </c>
      <c r="H3556" s="13"/>
      <c r="I3556" s="22" t="str">
        <f>VLOOKUP(J3556, Dropdowns!N:O, 2, FALSE)</f>
        <v>New</v>
      </c>
      <c r="J3556" t="s">
        <v>776</v>
      </c>
      <c r="L3556" s="17" t="s">
        <v>732</v>
      </c>
      <c r="M3556" s="17" t="s">
        <v>736</v>
      </c>
      <c r="N3556" s="17" t="s">
        <v>736</v>
      </c>
      <c r="O3556" s="17" t="s">
        <v>748</v>
      </c>
      <c r="P3556">
        <v>1</v>
      </c>
      <c r="Q3556" s="17" t="s">
        <v>1044</v>
      </c>
    </row>
    <row r="3557" spans="1:17" x14ac:dyDescent="0.25">
      <c r="A3557" s="8">
        <v>995161</v>
      </c>
      <c r="B3557" s="22" t="str">
        <f>IFERROR(VLOOKUP(A3557,VLOOKUPS!$A$2:B$12589,2,FALSE),"")</f>
        <v/>
      </c>
      <c r="D3557">
        <v>6</v>
      </c>
      <c r="E3557">
        <v>3.79</v>
      </c>
      <c r="G3557" s="13">
        <v>44623</v>
      </c>
      <c r="H3557" s="13"/>
      <c r="I3557" s="22" t="str">
        <f>VLOOKUP(J3557, Dropdowns!N:O, 2, FALSE)</f>
        <v>NA</v>
      </c>
      <c r="J3557" t="s">
        <v>754</v>
      </c>
      <c r="L3557" s="17" t="s">
        <v>732</v>
      </c>
      <c r="M3557" s="17" t="s">
        <v>736</v>
      </c>
      <c r="N3557" s="17" t="s">
        <v>736</v>
      </c>
    </row>
    <row r="3558" spans="1:17" x14ac:dyDescent="0.25">
      <c r="A3558" s="8">
        <v>984461</v>
      </c>
      <c r="B3558" s="22" t="str">
        <f>IFERROR(VLOOKUP(A3558,VLOOKUPS!$A$2:B$12589,2,FALSE),"")</f>
        <v>Strawberries 2lb-standard</v>
      </c>
      <c r="G3558" s="13">
        <v>44623</v>
      </c>
      <c r="H3558" s="13">
        <v>44623</v>
      </c>
      <c r="I3558" s="22" t="str">
        <f>VLOOKUP(J3558, Dropdowns!N:O, 2, FALSE)</f>
        <v>Lower Price</v>
      </c>
      <c r="J3558" t="s">
        <v>762</v>
      </c>
      <c r="L3558" s="17" t="s">
        <v>732</v>
      </c>
      <c r="M3558" s="17" t="s">
        <v>9</v>
      </c>
      <c r="N3558" s="17" t="s">
        <v>736</v>
      </c>
    </row>
    <row r="3559" spans="1:17" x14ac:dyDescent="0.25">
      <c r="A3559" s="8">
        <v>984621</v>
      </c>
      <c r="B3559" s="22" t="str">
        <f>IFERROR(VLOOKUP(A3559,VLOOKUPS!$A$2:B$12589,2,FALSE),"")</f>
        <v>Raspberries 12oz-standard</v>
      </c>
      <c r="E3559">
        <v>2.88</v>
      </c>
      <c r="F3559">
        <v>4.88</v>
      </c>
      <c r="G3559" s="13">
        <v>44625</v>
      </c>
      <c r="H3559" s="13"/>
      <c r="I3559" s="22" t="str">
        <f>VLOOKUP(J3559, Dropdowns!N:O, 2, FALSE)</f>
        <v>Standard</v>
      </c>
      <c r="J3559" t="s">
        <v>760</v>
      </c>
      <c r="L3559" s="17" t="s">
        <v>733</v>
      </c>
      <c r="M3559" s="17" t="s">
        <v>11</v>
      </c>
      <c r="N3559" s="17" t="s">
        <v>740</v>
      </c>
    </row>
    <row r="3560" spans="1:17" x14ac:dyDescent="0.25">
      <c r="A3560" s="8">
        <v>984621</v>
      </c>
      <c r="B3560" s="22" t="str">
        <f>IFERROR(VLOOKUP(A3560,VLOOKUPS!$A$2:B$12589,2,FALSE),"")</f>
        <v>Raspberries 12oz-standard</v>
      </c>
      <c r="E3560">
        <v>3.88</v>
      </c>
      <c r="F3560">
        <v>4.88</v>
      </c>
      <c r="G3560" s="13">
        <v>44625</v>
      </c>
      <c r="H3560" s="13"/>
      <c r="I3560" s="22" t="str">
        <f>VLOOKUP(J3560, Dropdowns!N:O, 2, FALSE)</f>
        <v>Standard</v>
      </c>
      <c r="J3560" t="s">
        <v>760</v>
      </c>
      <c r="L3560" s="17" t="s">
        <v>732</v>
      </c>
      <c r="M3560" s="17" t="s">
        <v>10</v>
      </c>
      <c r="N3560" s="17">
        <v>2</v>
      </c>
    </row>
    <row r="3561" spans="1:17" x14ac:dyDescent="0.25">
      <c r="A3561" s="8">
        <v>984621</v>
      </c>
      <c r="B3561" s="22" t="str">
        <f>IFERROR(VLOOKUP(A3561,VLOOKUPS!$A$2:B$12589,2,FALSE),"")</f>
        <v>Raspberries 12oz-standard</v>
      </c>
      <c r="E3561">
        <v>4.88</v>
      </c>
      <c r="F3561">
        <v>5.88</v>
      </c>
      <c r="G3561" s="13">
        <v>44624</v>
      </c>
      <c r="H3561" s="13"/>
      <c r="I3561" s="22" t="str">
        <f>VLOOKUP(J3561, Dropdowns!N:O, 2, FALSE)</f>
        <v>Standard</v>
      </c>
      <c r="J3561" t="s">
        <v>761</v>
      </c>
      <c r="L3561" s="17" t="s">
        <v>732</v>
      </c>
      <c r="M3561" s="17" t="s">
        <v>9</v>
      </c>
      <c r="N3561" s="17" t="s">
        <v>736</v>
      </c>
    </row>
    <row r="3562" spans="1:17" x14ac:dyDescent="0.25">
      <c r="A3562" s="8">
        <v>984621</v>
      </c>
      <c r="B3562" s="22" t="str">
        <f>IFERROR(VLOOKUP(A3562,VLOOKUPS!$A$2:B$12589,2,FALSE),"")</f>
        <v>Raspberries 12oz-standard</v>
      </c>
      <c r="E3562">
        <v>4.88</v>
      </c>
      <c r="F3562">
        <v>5.88</v>
      </c>
      <c r="G3562" s="13">
        <v>44628</v>
      </c>
      <c r="H3562" s="13"/>
      <c r="I3562" s="22" t="str">
        <f>VLOOKUP(J3562, Dropdowns!N:O, 2, FALSE)</f>
        <v>Standard</v>
      </c>
      <c r="J3562" t="s">
        <v>761</v>
      </c>
      <c r="L3562" s="17" t="s">
        <v>732</v>
      </c>
      <c r="M3562" s="17" t="s">
        <v>738</v>
      </c>
      <c r="N3562" s="17">
        <v>2</v>
      </c>
    </row>
    <row r="3563" spans="1:17" x14ac:dyDescent="0.25">
      <c r="A3563" s="8">
        <v>985760</v>
      </c>
      <c r="B3563" s="22" t="str">
        <f>IFERROR(VLOOKUP(A3563,VLOOKUPS!$A$2:B$12589,2,FALSE),"")</f>
        <v>Asparagus 1lb-standard</v>
      </c>
      <c r="E3563">
        <v>1.99</v>
      </c>
      <c r="F3563">
        <v>2.99</v>
      </c>
      <c r="G3563" s="13">
        <v>44623</v>
      </c>
      <c r="H3563" s="13"/>
      <c r="I3563" s="22" t="str">
        <f>VLOOKUP(J3563, Dropdowns!N:O, 2, FALSE)</f>
        <v>Standard</v>
      </c>
      <c r="J3563" t="s">
        <v>760</v>
      </c>
      <c r="L3563" s="17" t="s">
        <v>732</v>
      </c>
      <c r="M3563" s="17" t="s">
        <v>9</v>
      </c>
      <c r="N3563" s="17" t="s">
        <v>736</v>
      </c>
    </row>
    <row r="3564" spans="1:17" x14ac:dyDescent="0.25">
      <c r="A3564" s="8">
        <v>984461</v>
      </c>
      <c r="B3564" s="22" t="str">
        <f>IFERROR(VLOOKUP(A3564,VLOOKUPS!$A$2:B$12589,2,FALSE),"")</f>
        <v>Strawberries 2lb-standard</v>
      </c>
      <c r="E3564">
        <v>2.99</v>
      </c>
      <c r="F3564">
        <v>5.82</v>
      </c>
      <c r="G3564" s="13">
        <v>44624</v>
      </c>
      <c r="H3564" s="13"/>
      <c r="I3564" s="22" t="str">
        <f>VLOOKUP(J3564, Dropdowns!N:O, 2, FALSE)</f>
        <v>Standard</v>
      </c>
      <c r="J3564" t="s">
        <v>760</v>
      </c>
      <c r="L3564" s="17" t="s">
        <v>732</v>
      </c>
      <c r="M3564" s="17" t="s">
        <v>9</v>
      </c>
      <c r="N3564" s="17" t="s">
        <v>736</v>
      </c>
    </row>
    <row r="3565" spans="1:17" x14ac:dyDescent="0.25">
      <c r="A3565" s="8">
        <v>984461</v>
      </c>
      <c r="B3565" s="22" t="str">
        <f>IFERROR(VLOOKUP(A3565,VLOOKUPS!$A$2:B$12589,2,FALSE),"")</f>
        <v>Strawberries 2lb-standard</v>
      </c>
      <c r="E3565">
        <v>4.74</v>
      </c>
      <c r="F3565">
        <v>5.12</v>
      </c>
      <c r="G3565" s="13">
        <v>44624</v>
      </c>
      <c r="H3565" s="13"/>
      <c r="I3565" s="22" t="str">
        <f>VLOOKUP(J3565, Dropdowns!N:O, 2, FALSE)</f>
        <v>Standard</v>
      </c>
      <c r="J3565" t="s">
        <v>761</v>
      </c>
      <c r="L3565" s="17" t="s">
        <v>732</v>
      </c>
      <c r="M3565" s="17" t="s">
        <v>738</v>
      </c>
      <c r="N3565" s="17">
        <v>2</v>
      </c>
    </row>
    <row r="3566" spans="1:17" x14ac:dyDescent="0.25">
      <c r="A3566" s="8">
        <v>984461</v>
      </c>
      <c r="B3566" s="22" t="str">
        <f>IFERROR(VLOOKUP(A3566,VLOOKUPS!$A$2:B$12589,2,FALSE),"")</f>
        <v>Strawberries 2lb-standard</v>
      </c>
      <c r="E3566">
        <v>5.82</v>
      </c>
      <c r="F3566">
        <v>5.12</v>
      </c>
      <c r="G3566" s="13">
        <v>44628</v>
      </c>
      <c r="H3566" s="13"/>
      <c r="I3566" s="22" t="str">
        <f>VLOOKUP(J3566, Dropdowns!N:O, 2, FALSE)</f>
        <v>Standard</v>
      </c>
      <c r="J3566" t="s">
        <v>761</v>
      </c>
      <c r="L3566" s="17" t="s">
        <v>732</v>
      </c>
      <c r="M3566" s="17" t="s">
        <v>9</v>
      </c>
      <c r="N3566" s="17" t="s">
        <v>736</v>
      </c>
    </row>
    <row r="3567" spans="1:17" x14ac:dyDescent="0.25">
      <c r="A3567" s="8">
        <v>984621</v>
      </c>
      <c r="B3567" s="22" t="str">
        <f>IFERROR(VLOOKUP(A3567,VLOOKUPS!$A$2:B$12589,2,FALSE),"")</f>
        <v>Raspberries 12oz-standard</v>
      </c>
      <c r="E3567">
        <v>4.88</v>
      </c>
      <c r="F3567">
        <v>5.62</v>
      </c>
      <c r="G3567" s="13">
        <v>44624</v>
      </c>
      <c r="H3567" s="13"/>
      <c r="I3567" s="22" t="str">
        <f>VLOOKUP(J3567, Dropdowns!N:O, 2, FALSE)</f>
        <v>Standard</v>
      </c>
      <c r="J3567" t="s">
        <v>761</v>
      </c>
      <c r="L3567" s="17" t="s">
        <v>732</v>
      </c>
      <c r="M3567" s="17" t="s">
        <v>9</v>
      </c>
      <c r="N3567" s="17" t="s">
        <v>736</v>
      </c>
    </row>
    <row r="3568" spans="1:17" x14ac:dyDescent="0.25">
      <c r="A3568" s="8">
        <v>985060</v>
      </c>
      <c r="B3568" s="22" t="str">
        <f>IFERROR(VLOOKUP(A3568,VLOOKUPS!$A$2:B$12589,2,FALSE),"")</f>
        <v>Lettuce* Iceberg 1ct-standard</v>
      </c>
      <c r="E3568">
        <v>1.78</v>
      </c>
      <c r="F3568">
        <v>1.44</v>
      </c>
      <c r="G3568" s="13">
        <v>44624</v>
      </c>
      <c r="H3568" s="13"/>
      <c r="I3568" s="22" t="str">
        <f>VLOOKUP(J3568, Dropdowns!N:O, 2, FALSE)</f>
        <v>Standard</v>
      </c>
      <c r="J3568" t="s">
        <v>761</v>
      </c>
      <c r="L3568" s="17" t="s">
        <v>732</v>
      </c>
      <c r="M3568" s="17" t="s">
        <v>736</v>
      </c>
      <c r="N3568" s="17" t="s">
        <v>736</v>
      </c>
    </row>
    <row r="3569" spans="1:14" x14ac:dyDescent="0.25">
      <c r="A3569" s="8">
        <v>985160</v>
      </c>
      <c r="B3569" s="22" t="str">
        <f>IFERROR(VLOOKUP(A3569,VLOOKUPS!$A$2:B$12589,2,FALSE),"")</f>
        <v>Romaine Hearts 3ct-standard</v>
      </c>
      <c r="E3569">
        <v>2.64</v>
      </c>
      <c r="F3569">
        <v>2.62</v>
      </c>
      <c r="G3569" s="13">
        <v>44624</v>
      </c>
      <c r="H3569" s="13"/>
      <c r="I3569" s="22" t="str">
        <f>VLOOKUP(J3569, Dropdowns!N:O, 2, FALSE)</f>
        <v>Standard</v>
      </c>
      <c r="J3569" t="s">
        <v>761</v>
      </c>
      <c r="L3569" s="17" t="s">
        <v>732</v>
      </c>
      <c r="M3569" s="17" t="s">
        <v>736</v>
      </c>
      <c r="N3569" s="17" t="s">
        <v>736</v>
      </c>
    </row>
    <row r="3570" spans="1:14" x14ac:dyDescent="0.25">
      <c r="A3570" s="8">
        <v>985190</v>
      </c>
      <c r="B3570" s="22" t="str">
        <f>IFERROR(VLOOKUP(A3570,VLOOKUPS!$A$2:B$12589,2,FALSE),"")</f>
        <v>Organic Romaine Hearts 3ct-standard</v>
      </c>
      <c r="E3570">
        <v>3.12</v>
      </c>
      <c r="F3570">
        <v>2.96</v>
      </c>
      <c r="G3570" s="13">
        <v>44624</v>
      </c>
      <c r="H3570" s="13"/>
      <c r="I3570" s="22" t="str">
        <f>VLOOKUP(J3570, Dropdowns!N:O, 2, FALSE)</f>
        <v>Standard</v>
      </c>
      <c r="J3570" t="s">
        <v>761</v>
      </c>
      <c r="L3570" s="17" t="s">
        <v>732</v>
      </c>
      <c r="M3570" s="17" t="s">
        <v>736</v>
      </c>
      <c r="N3570" s="17" t="s">
        <v>736</v>
      </c>
    </row>
    <row r="3571" spans="1:14" x14ac:dyDescent="0.25">
      <c r="A3571" s="8">
        <v>987560</v>
      </c>
      <c r="B3571" s="22" t="str">
        <f>IFERROR(VLOOKUP(A3571,VLOOKUPS!$A$2:B$12589,2,FALSE),"")</f>
        <v>Celery 1ct-standard</v>
      </c>
      <c r="E3571">
        <v>1.38</v>
      </c>
      <c r="F3571">
        <v>1.92</v>
      </c>
      <c r="G3571" s="13">
        <v>44624</v>
      </c>
      <c r="H3571" s="13"/>
      <c r="I3571" s="22" t="str">
        <f>VLOOKUP(J3571, Dropdowns!N:O, 2, FALSE)</f>
        <v>Standard</v>
      </c>
      <c r="J3571" t="s">
        <v>761</v>
      </c>
      <c r="L3571" s="17" t="s">
        <v>732</v>
      </c>
      <c r="M3571" s="17" t="s">
        <v>736</v>
      </c>
      <c r="N3571" s="17" t="s">
        <v>736</v>
      </c>
    </row>
    <row r="3572" spans="1:14" x14ac:dyDescent="0.25">
      <c r="A3572" s="8">
        <v>988620</v>
      </c>
      <c r="B3572" s="22" t="str">
        <f>IFERROR(VLOOKUP(A3572,VLOOKUPS!$A$2:B$12589,2,FALSE),"")</f>
        <v>Brussels Sprouts 1lb-standard</v>
      </c>
      <c r="E3572">
        <v>2.89</v>
      </c>
      <c r="F3572">
        <v>2.98</v>
      </c>
      <c r="G3572" s="13">
        <v>44624</v>
      </c>
      <c r="H3572" s="13"/>
      <c r="I3572" s="22" t="str">
        <f>VLOOKUP(J3572, Dropdowns!N:O, 2, FALSE)</f>
        <v>Standard</v>
      </c>
      <c r="J3572" t="s">
        <v>761</v>
      </c>
      <c r="L3572" s="17" t="s">
        <v>732</v>
      </c>
      <c r="M3572" s="17" t="s">
        <v>736</v>
      </c>
      <c r="N3572" s="17" t="s">
        <v>736</v>
      </c>
    </row>
    <row r="3573" spans="1:14" x14ac:dyDescent="0.25">
      <c r="A3573" s="8">
        <v>995013</v>
      </c>
      <c r="B3573" s="22" t="str">
        <f>IFERROR(VLOOKUP(A3573,VLOOKUPS!$A$2:B$12589,2,FALSE),"")</f>
        <v>Spinach 8oz-standard</v>
      </c>
      <c r="D3573">
        <v>8</v>
      </c>
      <c r="E3573">
        <v>1.29</v>
      </c>
      <c r="G3573" s="13">
        <v>44624</v>
      </c>
      <c r="H3573" s="13"/>
      <c r="I3573" s="22" t="str">
        <f>VLOOKUP(J3573, Dropdowns!N:O, 2, FALSE)</f>
        <v>NA</v>
      </c>
      <c r="J3573" t="s">
        <v>754</v>
      </c>
      <c r="L3573" s="17" t="s">
        <v>732</v>
      </c>
      <c r="M3573" s="17" t="s">
        <v>10</v>
      </c>
      <c r="N3573" s="17">
        <v>2</v>
      </c>
    </row>
    <row r="3574" spans="1:14" x14ac:dyDescent="0.25">
      <c r="A3574" s="8">
        <v>995013</v>
      </c>
      <c r="B3574" s="22" t="str">
        <f>IFERROR(VLOOKUP(A3574,VLOOKUPS!$A$2:B$12589,2,FALSE),"")</f>
        <v>Spinach 8oz-standard</v>
      </c>
      <c r="D3574">
        <v>8</v>
      </c>
      <c r="E3574">
        <v>1.29</v>
      </c>
      <c r="G3574" s="13">
        <v>44625</v>
      </c>
      <c r="H3574" s="13"/>
      <c r="I3574" s="22" t="str">
        <f>VLOOKUP(J3574, Dropdowns!N:O, 2, FALSE)</f>
        <v>NA</v>
      </c>
      <c r="J3574" t="s">
        <v>754</v>
      </c>
      <c r="L3574" s="17" t="s">
        <v>732</v>
      </c>
      <c r="M3574" s="17" t="s">
        <v>737</v>
      </c>
      <c r="N3574" s="17" t="s">
        <v>736</v>
      </c>
    </row>
    <row r="3575" spans="1:14" x14ac:dyDescent="0.25">
      <c r="A3575" s="8">
        <v>995123</v>
      </c>
      <c r="B3575" s="22" t="str">
        <f>IFERROR(VLOOKUP(A3575,VLOOKUPS!$A$2:B$12589,2,FALSE),"")</f>
        <v>Vegetable Medley 12oz-standard</v>
      </c>
      <c r="E3575">
        <v>2.78</v>
      </c>
      <c r="F3575">
        <v>1.78</v>
      </c>
      <c r="G3575" s="13">
        <v>44624</v>
      </c>
      <c r="H3575" s="13">
        <v>44625</v>
      </c>
      <c r="I3575" s="22" t="str">
        <f>VLOOKUP(J3575, Dropdowns!N:O, 2, FALSE)</f>
        <v>Lower Price</v>
      </c>
      <c r="J3575" t="s">
        <v>759</v>
      </c>
      <c r="L3575" s="17" t="s">
        <v>732</v>
      </c>
      <c r="M3575" s="17" t="s">
        <v>735</v>
      </c>
      <c r="N3575" s="17" t="s">
        <v>736</v>
      </c>
    </row>
    <row r="3576" spans="1:14" x14ac:dyDescent="0.25">
      <c r="A3576" s="8">
        <v>995123</v>
      </c>
      <c r="B3576" s="22" t="str">
        <f>IFERROR(VLOOKUP(A3576,VLOOKUPS!$A$2:B$12589,2,FALSE),"")</f>
        <v>Vegetable Medley 12oz-standard</v>
      </c>
      <c r="E3576">
        <v>1.78</v>
      </c>
      <c r="F3576">
        <v>2.78</v>
      </c>
      <c r="G3576" s="13">
        <v>44626</v>
      </c>
      <c r="H3576" s="13"/>
      <c r="I3576" s="22" t="str">
        <f>VLOOKUP(J3576, Dropdowns!N:O, 2, FALSE)</f>
        <v>Standard</v>
      </c>
      <c r="J3576" t="s">
        <v>760</v>
      </c>
      <c r="L3576" s="17" t="s">
        <v>732</v>
      </c>
      <c r="M3576" s="17" t="s">
        <v>735</v>
      </c>
      <c r="N3576" s="17" t="s">
        <v>736</v>
      </c>
    </row>
    <row r="3577" spans="1:14" x14ac:dyDescent="0.25">
      <c r="A3577" s="8">
        <v>983101</v>
      </c>
      <c r="B3577" s="22" t="str">
        <f>IFERROR(VLOOKUP(A3577,VLOOKUPS!$A$2:B$12589,2,FALSE),"")</f>
        <v>Melons Cantaloupes 1ct-LOOSE</v>
      </c>
      <c r="G3577" s="13">
        <v>44624</v>
      </c>
      <c r="H3577" s="13">
        <v>44624</v>
      </c>
      <c r="I3577" s="22" t="str">
        <f>VLOOKUP(J3577, Dropdowns!N:O, 2, FALSE)</f>
        <v>Lower Price</v>
      </c>
      <c r="J3577" t="s">
        <v>762</v>
      </c>
      <c r="L3577" s="17" t="s">
        <v>732</v>
      </c>
      <c r="M3577" s="17" t="s">
        <v>736</v>
      </c>
      <c r="N3577" s="17" t="s">
        <v>736</v>
      </c>
    </row>
    <row r="3578" spans="1:14" x14ac:dyDescent="0.25">
      <c r="A3578" s="8">
        <v>984460</v>
      </c>
      <c r="B3578" s="22" t="str">
        <f>IFERROR(VLOOKUP(A3578,VLOOKUPS!$A$2:B$12589,2,FALSE),"")</f>
        <v>Strawberries 1lb-standard</v>
      </c>
      <c r="G3578" s="13">
        <v>44625</v>
      </c>
      <c r="H3578" s="13">
        <v>44626</v>
      </c>
      <c r="I3578" s="22" t="str">
        <f>VLOOKUP(J3578, Dropdowns!N:O, 2, FALSE)</f>
        <v>Lower Price</v>
      </c>
      <c r="J3578" t="s">
        <v>753</v>
      </c>
      <c r="L3578" s="17" t="s">
        <v>732</v>
      </c>
      <c r="M3578" s="17" t="s">
        <v>736</v>
      </c>
      <c r="N3578" s="17" t="s">
        <v>736</v>
      </c>
    </row>
    <row r="3579" spans="1:14" x14ac:dyDescent="0.25">
      <c r="A3579" s="8">
        <v>984460</v>
      </c>
      <c r="B3579" s="22" t="str">
        <f>IFERROR(VLOOKUP(A3579,VLOOKUPS!$A$2:B$12589,2,FALSE),"")</f>
        <v>Strawberries 1lb-standard</v>
      </c>
      <c r="E3579">
        <v>1.59</v>
      </c>
      <c r="F3579">
        <v>2.59</v>
      </c>
      <c r="G3579" s="13">
        <v>44627</v>
      </c>
      <c r="H3579" s="13"/>
      <c r="I3579" s="22" t="str">
        <f>VLOOKUP(J3579, Dropdowns!N:O, 2, FALSE)</f>
        <v>Standard</v>
      </c>
      <c r="J3579" t="s">
        <v>760</v>
      </c>
      <c r="L3579" s="17" t="s">
        <v>732</v>
      </c>
      <c r="M3579" s="17" t="s">
        <v>736</v>
      </c>
      <c r="N3579" s="17" t="s">
        <v>736</v>
      </c>
    </row>
    <row r="3580" spans="1:14" x14ac:dyDescent="0.25">
      <c r="A3580" s="8">
        <v>984620</v>
      </c>
      <c r="B3580" s="22" t="str">
        <f>IFERROR(VLOOKUP(A3580,VLOOKUPS!$A$2:B$12589,2,FALSE),"")</f>
        <v>Raspberries 6oz-standard</v>
      </c>
      <c r="E3580">
        <v>3.2</v>
      </c>
      <c r="F3580">
        <v>2.2000000000000002</v>
      </c>
      <c r="G3580" s="13">
        <v>44625</v>
      </c>
      <c r="H3580" s="13">
        <v>44626</v>
      </c>
      <c r="I3580" s="22" t="str">
        <f>VLOOKUP(J3580, Dropdowns!N:O, 2, FALSE)</f>
        <v>Lower Price</v>
      </c>
      <c r="J3580" t="s">
        <v>759</v>
      </c>
      <c r="L3580" s="17" t="s">
        <v>732</v>
      </c>
      <c r="M3580" s="17" t="s">
        <v>9</v>
      </c>
      <c r="N3580" s="17" t="s">
        <v>736</v>
      </c>
    </row>
    <row r="3581" spans="1:14" x14ac:dyDescent="0.25">
      <c r="A3581" s="8">
        <v>984620</v>
      </c>
      <c r="B3581" s="22" t="str">
        <f>IFERROR(VLOOKUP(A3581,VLOOKUPS!$A$2:B$12589,2,FALSE),"")</f>
        <v>Raspberries 6oz-standard</v>
      </c>
      <c r="E3581">
        <v>2.2000000000000002</v>
      </c>
      <c r="F3581">
        <v>3.2</v>
      </c>
      <c r="G3581" s="13">
        <v>44627</v>
      </c>
      <c r="H3581" s="13"/>
      <c r="I3581" s="22" t="str">
        <f>VLOOKUP(J3581, Dropdowns!N:O, 2, FALSE)</f>
        <v>Standard</v>
      </c>
      <c r="J3581" t="s">
        <v>760</v>
      </c>
      <c r="L3581" s="17" t="s">
        <v>732</v>
      </c>
      <c r="M3581" s="17" t="s">
        <v>9</v>
      </c>
      <c r="N3581" s="17" t="s">
        <v>736</v>
      </c>
    </row>
    <row r="3582" spans="1:14" x14ac:dyDescent="0.25">
      <c r="A3582" s="8">
        <v>986270</v>
      </c>
      <c r="B3582" s="22" t="str">
        <f>IFERROR(VLOOKUP(A3582,VLOOKUPS!$A$2:B$12589,2,FALSE),"")</f>
        <v>Organic French Beans 1lb-standard</v>
      </c>
      <c r="E3582">
        <v>3.39</v>
      </c>
      <c r="F3582">
        <v>3.99</v>
      </c>
      <c r="G3582" s="13">
        <v>44625</v>
      </c>
      <c r="H3582" s="13"/>
      <c r="I3582" s="22" t="str">
        <f>VLOOKUP(J3582, Dropdowns!N:O, 2, FALSE)</f>
        <v>Standard</v>
      </c>
      <c r="J3582" t="s">
        <v>761</v>
      </c>
      <c r="L3582" s="17" t="s">
        <v>732</v>
      </c>
      <c r="M3582" s="17" t="s">
        <v>9</v>
      </c>
      <c r="N3582" s="17" t="s">
        <v>736</v>
      </c>
    </row>
    <row r="3583" spans="1:14" x14ac:dyDescent="0.25">
      <c r="A3583" s="8">
        <v>995000</v>
      </c>
      <c r="B3583" s="22" t="str">
        <f>IFERROR(VLOOKUP(A3583,VLOOKUPS!$A$2:B$12589,2,FALSE),"")</f>
        <v>Spring Mix 5oz-standard</v>
      </c>
      <c r="E3583">
        <v>1.98</v>
      </c>
      <c r="F3583">
        <v>1.18</v>
      </c>
      <c r="G3583" s="13">
        <v>44625</v>
      </c>
      <c r="H3583" s="13">
        <v>44626</v>
      </c>
      <c r="I3583" s="22" t="str">
        <f>VLOOKUP(J3583, Dropdowns!N:O, 2, FALSE)</f>
        <v>Lower Price</v>
      </c>
      <c r="J3583" t="s">
        <v>759</v>
      </c>
      <c r="L3583" s="17" t="s">
        <v>733</v>
      </c>
      <c r="M3583" s="17" t="s">
        <v>10</v>
      </c>
      <c r="N3583" s="17" t="s">
        <v>740</v>
      </c>
    </row>
    <row r="3584" spans="1:14" x14ac:dyDescent="0.25">
      <c r="A3584" s="8">
        <v>995000</v>
      </c>
      <c r="B3584" s="22" t="str">
        <f>IFERROR(VLOOKUP(A3584,VLOOKUPS!$A$2:B$12589,2,FALSE),"")</f>
        <v>Spring Mix 5oz-standard</v>
      </c>
      <c r="E3584">
        <v>1.18</v>
      </c>
      <c r="F3584">
        <v>1.98</v>
      </c>
      <c r="G3584" s="13">
        <v>44627</v>
      </c>
      <c r="H3584" s="13"/>
      <c r="I3584" s="22" t="str">
        <f>VLOOKUP(J3584, Dropdowns!N:O, 2, FALSE)</f>
        <v>Standard</v>
      </c>
      <c r="J3584" t="s">
        <v>760</v>
      </c>
      <c r="L3584" s="17" t="s">
        <v>733</v>
      </c>
      <c r="M3584" s="17" t="s">
        <v>10</v>
      </c>
      <c r="N3584" s="17" t="s">
        <v>740</v>
      </c>
    </row>
    <row r="3585" spans="1:17" x14ac:dyDescent="0.25">
      <c r="A3585" s="8">
        <v>995164</v>
      </c>
      <c r="B3585" s="22" t="str">
        <f>IFERROR(VLOOKUP(A3585,VLOOKUPS!$A$2:B$12589,2,FALSE),"")</f>
        <v>Spinach 10oz-standard</v>
      </c>
      <c r="D3585">
        <v>12</v>
      </c>
      <c r="F3585">
        <v>1.98</v>
      </c>
      <c r="G3585" s="13">
        <v>44625</v>
      </c>
      <c r="H3585" s="13"/>
      <c r="I3585" s="22" t="str">
        <f>VLOOKUP(J3585, Dropdowns!N:O, 2, FALSE)</f>
        <v>New</v>
      </c>
      <c r="J3585" t="s">
        <v>776</v>
      </c>
      <c r="L3585" s="17" t="s">
        <v>732</v>
      </c>
      <c r="M3585" s="17" t="s">
        <v>736</v>
      </c>
      <c r="N3585" s="17" t="s">
        <v>736</v>
      </c>
      <c r="O3585" s="17" t="s">
        <v>748</v>
      </c>
      <c r="P3585">
        <v>1</v>
      </c>
      <c r="Q3585" s="17" t="s">
        <v>1044</v>
      </c>
    </row>
    <row r="3586" spans="1:17" x14ac:dyDescent="0.25">
      <c r="A3586" s="8">
        <v>983101</v>
      </c>
      <c r="B3586" s="22" t="str">
        <f>IFERROR(VLOOKUP(A3586,VLOOKUPS!$A$2:B$12589,2,FALSE),"")</f>
        <v>Melons Cantaloupes 1ct-LOOSE</v>
      </c>
      <c r="E3586">
        <v>2.29</v>
      </c>
      <c r="F3586">
        <v>2.98</v>
      </c>
      <c r="G3586" s="13">
        <v>44625</v>
      </c>
      <c r="H3586" s="13"/>
      <c r="I3586" s="22" t="str">
        <f>VLOOKUP(J3586, Dropdowns!N:O, 2, FALSE)</f>
        <v>Standard</v>
      </c>
      <c r="J3586" t="s">
        <v>760</v>
      </c>
      <c r="L3586" s="17" t="s">
        <v>732</v>
      </c>
      <c r="M3586" s="17" t="s">
        <v>9</v>
      </c>
      <c r="N3586" s="17" t="s">
        <v>736</v>
      </c>
    </row>
    <row r="3587" spans="1:17" x14ac:dyDescent="0.25">
      <c r="A3587" s="8">
        <v>984461</v>
      </c>
      <c r="B3587" s="22" t="str">
        <f>IFERROR(VLOOKUP(A3587,VLOOKUPS!$A$2:B$12589,2,FALSE),"")</f>
        <v>Strawberries 2lb-standard</v>
      </c>
      <c r="E3587">
        <v>5.82</v>
      </c>
      <c r="F3587">
        <v>5.12</v>
      </c>
      <c r="G3587" s="13">
        <v>44628</v>
      </c>
      <c r="H3587" s="13"/>
      <c r="I3587" s="22" t="str">
        <f>VLOOKUP(J3587, Dropdowns!N:O, 2, FALSE)</f>
        <v>Standard</v>
      </c>
      <c r="J3587" t="s">
        <v>761</v>
      </c>
      <c r="L3587" s="17" t="s">
        <v>732</v>
      </c>
      <c r="M3587" s="17" t="s">
        <v>9</v>
      </c>
      <c r="N3587" s="17" t="s">
        <v>736</v>
      </c>
    </row>
    <row r="3588" spans="1:17" x14ac:dyDescent="0.25">
      <c r="A3588" s="8">
        <v>984461</v>
      </c>
      <c r="B3588" s="22" t="str">
        <f>IFERROR(VLOOKUP(A3588,VLOOKUPS!$A$2:B$12589,2,FALSE),"")</f>
        <v>Strawberries 2lb-standard</v>
      </c>
      <c r="E3588">
        <v>5.12</v>
      </c>
      <c r="F3588">
        <v>4.12</v>
      </c>
      <c r="G3588" s="13">
        <v>44628</v>
      </c>
      <c r="H3588" s="13">
        <v>44629</v>
      </c>
      <c r="I3588" s="22" t="str">
        <f>VLOOKUP(J3588, Dropdowns!N:O, 2, FALSE)</f>
        <v>Lower Price</v>
      </c>
      <c r="J3588" t="s">
        <v>759</v>
      </c>
      <c r="L3588" s="17" t="s">
        <v>733</v>
      </c>
      <c r="M3588" s="17" t="s">
        <v>11</v>
      </c>
      <c r="N3588" s="17" t="s">
        <v>740</v>
      </c>
    </row>
    <row r="3589" spans="1:17" x14ac:dyDescent="0.25">
      <c r="A3589" s="8">
        <v>984461</v>
      </c>
      <c r="B3589" s="22" t="str">
        <f>IFERROR(VLOOKUP(A3589,VLOOKUPS!$A$2:B$12589,2,FALSE),"")</f>
        <v>Strawberries 2lb-standard</v>
      </c>
      <c r="E3589">
        <v>4.12</v>
      </c>
      <c r="F3589">
        <v>5.12</v>
      </c>
      <c r="G3589" s="13">
        <v>44630</v>
      </c>
      <c r="H3589" s="13"/>
      <c r="I3589" s="22" t="str">
        <f>VLOOKUP(J3589, Dropdowns!N:O, 2, FALSE)</f>
        <v>Standard</v>
      </c>
      <c r="J3589" t="s">
        <v>760</v>
      </c>
      <c r="L3589" s="17" t="s">
        <v>733</v>
      </c>
      <c r="M3589" s="17" t="s">
        <v>11</v>
      </c>
      <c r="N3589" s="17" t="s">
        <v>740</v>
      </c>
    </row>
    <row r="3590" spans="1:17" x14ac:dyDescent="0.25">
      <c r="A3590" s="8">
        <v>984500</v>
      </c>
      <c r="B3590" s="22" t="str">
        <f>IFERROR(VLOOKUP(A3590,VLOOKUPS!$A$2:B$12589,2,FALSE),"")</f>
        <v>Organic Strawberries 1lb-standard</v>
      </c>
      <c r="E3590">
        <v>4.4800000000000004</v>
      </c>
      <c r="F3590">
        <v>3.48</v>
      </c>
      <c r="G3590" s="13">
        <v>44628</v>
      </c>
      <c r="H3590" s="13">
        <v>44629</v>
      </c>
      <c r="I3590" s="22" t="str">
        <f>VLOOKUP(J3590, Dropdowns!N:O, 2, FALSE)</f>
        <v>Lower Price</v>
      </c>
      <c r="J3590" t="s">
        <v>759</v>
      </c>
      <c r="L3590" s="17" t="s">
        <v>732</v>
      </c>
      <c r="M3590" s="17" t="s">
        <v>9</v>
      </c>
      <c r="N3590" s="17" t="s">
        <v>736</v>
      </c>
    </row>
    <row r="3591" spans="1:17" x14ac:dyDescent="0.25">
      <c r="A3591" s="8">
        <v>984500</v>
      </c>
      <c r="B3591" s="22" t="str">
        <f>IFERROR(VLOOKUP(A3591,VLOOKUPS!$A$2:B$12589,2,FALSE),"")</f>
        <v>Organic Strawberries 1lb-standard</v>
      </c>
      <c r="E3591">
        <v>3.48</v>
      </c>
      <c r="F3591">
        <v>4.4800000000000004</v>
      </c>
      <c r="G3591" s="13">
        <v>44630</v>
      </c>
      <c r="H3591" s="13"/>
      <c r="I3591" s="22" t="str">
        <f>VLOOKUP(J3591, Dropdowns!N:O, 2, FALSE)</f>
        <v>Standard</v>
      </c>
      <c r="J3591" t="s">
        <v>760</v>
      </c>
      <c r="L3591" s="17" t="s">
        <v>732</v>
      </c>
      <c r="M3591" s="17" t="s">
        <v>9</v>
      </c>
      <c r="N3591" s="17" t="s">
        <v>736</v>
      </c>
    </row>
    <row r="3592" spans="1:17" x14ac:dyDescent="0.25">
      <c r="A3592" s="8">
        <v>984541</v>
      </c>
      <c r="B3592" s="22" t="str">
        <f>IFERROR(VLOOKUP(A3592,VLOOKUPS!$A$2:B$12589,2,FALSE),"")</f>
        <v>Blueberries 1pt-standard</v>
      </c>
      <c r="E3592">
        <v>2.79</v>
      </c>
      <c r="F3592">
        <v>2.99</v>
      </c>
      <c r="G3592" s="13">
        <v>44628</v>
      </c>
      <c r="H3592" s="13"/>
      <c r="I3592" s="22" t="str">
        <f>VLOOKUP(J3592, Dropdowns!N:O, 2, FALSE)</f>
        <v>Standard</v>
      </c>
      <c r="J3592" t="s">
        <v>761</v>
      </c>
      <c r="L3592" s="17" t="s">
        <v>732</v>
      </c>
      <c r="M3592" s="17" t="s">
        <v>736</v>
      </c>
      <c r="N3592" s="17" t="s">
        <v>736</v>
      </c>
    </row>
    <row r="3593" spans="1:17" x14ac:dyDescent="0.25">
      <c r="A3593" s="8">
        <v>984582</v>
      </c>
      <c r="B3593" s="22" t="str">
        <f>IFERROR(VLOOKUP(A3593,VLOOKUPS!$A$2:B$12589,2,FALSE),"")</f>
        <v>Organic Blueberries 1pt-standard</v>
      </c>
      <c r="E3593">
        <v>4.26</v>
      </c>
      <c r="F3593">
        <v>4.72</v>
      </c>
      <c r="G3593" s="13">
        <v>44628</v>
      </c>
      <c r="H3593" s="13"/>
      <c r="I3593" s="22" t="str">
        <f>VLOOKUP(J3593, Dropdowns!N:O, 2, FALSE)</f>
        <v>Standard</v>
      </c>
      <c r="J3593" t="s">
        <v>761</v>
      </c>
      <c r="L3593" s="17" t="s">
        <v>732</v>
      </c>
      <c r="M3593" s="17" t="s">
        <v>736</v>
      </c>
      <c r="N3593" s="17" t="s">
        <v>736</v>
      </c>
    </row>
    <row r="3594" spans="1:17" x14ac:dyDescent="0.25">
      <c r="A3594" s="8">
        <v>984620</v>
      </c>
      <c r="B3594" s="22" t="str">
        <f>IFERROR(VLOOKUP(A3594,VLOOKUPS!$A$2:B$12589,2,FALSE),"")</f>
        <v>Raspberries 6oz-standard</v>
      </c>
      <c r="E3594">
        <v>3.2</v>
      </c>
      <c r="F3594">
        <v>2.1</v>
      </c>
      <c r="G3594" s="13">
        <v>44628</v>
      </c>
      <c r="H3594" s="13">
        <v>44629</v>
      </c>
      <c r="I3594" s="22" t="str">
        <f>VLOOKUP(J3594, Dropdowns!N:O, 2, FALSE)</f>
        <v>Lower Price</v>
      </c>
      <c r="J3594" t="s">
        <v>759</v>
      </c>
      <c r="L3594" s="17" t="s">
        <v>732</v>
      </c>
      <c r="M3594" s="17" t="s">
        <v>10</v>
      </c>
      <c r="N3594" s="17">
        <v>2</v>
      </c>
    </row>
    <row r="3595" spans="1:17" x14ac:dyDescent="0.25">
      <c r="A3595" s="8">
        <v>984620</v>
      </c>
      <c r="B3595" s="22" t="str">
        <f>IFERROR(VLOOKUP(A3595,VLOOKUPS!$A$2:B$12589,2,FALSE),"")</f>
        <v>Raspberries 6oz-standard</v>
      </c>
      <c r="E3595">
        <v>2.1</v>
      </c>
      <c r="F3595">
        <v>3.2</v>
      </c>
      <c r="G3595" s="13">
        <v>44630</v>
      </c>
      <c r="H3595" s="13"/>
      <c r="I3595" s="22" t="str">
        <f>VLOOKUP(J3595, Dropdowns!N:O, 2, FALSE)</f>
        <v>Standard</v>
      </c>
      <c r="J3595" t="s">
        <v>760</v>
      </c>
      <c r="L3595" s="17" t="s">
        <v>732</v>
      </c>
      <c r="M3595" s="17" t="s">
        <v>10</v>
      </c>
      <c r="N3595" s="17">
        <v>2</v>
      </c>
    </row>
    <row r="3596" spans="1:17" x14ac:dyDescent="0.25">
      <c r="A3596" s="8">
        <v>984621</v>
      </c>
      <c r="B3596" s="22" t="str">
        <f>IFERROR(VLOOKUP(A3596,VLOOKUPS!$A$2:B$12589,2,FALSE),"")</f>
        <v>Raspberries 12oz-standard</v>
      </c>
      <c r="E3596">
        <v>4.88</v>
      </c>
      <c r="F3596">
        <v>1.88</v>
      </c>
      <c r="G3596" s="13">
        <v>44628</v>
      </c>
      <c r="H3596" s="13">
        <v>44630</v>
      </c>
      <c r="I3596" s="22" t="str">
        <f>VLOOKUP(J3596, Dropdowns!N:O, 2, FALSE)</f>
        <v>Lower Price</v>
      </c>
      <c r="J3596" t="s">
        <v>759</v>
      </c>
      <c r="L3596" s="17" t="s">
        <v>732</v>
      </c>
      <c r="M3596" s="17" t="s">
        <v>10</v>
      </c>
      <c r="N3596" s="17">
        <v>2</v>
      </c>
    </row>
    <row r="3597" spans="1:17" x14ac:dyDescent="0.25">
      <c r="A3597" s="8">
        <v>984621</v>
      </c>
      <c r="B3597" s="22" t="str">
        <f>IFERROR(VLOOKUP(A3597,VLOOKUPS!$A$2:B$12589,2,FALSE),"")</f>
        <v>Raspberries 12oz-standard</v>
      </c>
      <c r="E3597">
        <v>1.88</v>
      </c>
      <c r="F3597">
        <v>4.88</v>
      </c>
      <c r="G3597" s="13">
        <v>44631</v>
      </c>
      <c r="H3597" s="13"/>
      <c r="I3597" s="22" t="str">
        <f>VLOOKUP(J3597, Dropdowns!N:O, 2, FALSE)</f>
        <v>Standard</v>
      </c>
      <c r="J3597" t="s">
        <v>760</v>
      </c>
      <c r="L3597" s="17" t="s">
        <v>732</v>
      </c>
      <c r="M3597" s="17" t="s">
        <v>10</v>
      </c>
      <c r="N3597" s="17">
        <v>2</v>
      </c>
    </row>
    <row r="3598" spans="1:17" x14ac:dyDescent="0.25">
      <c r="A3598" s="8">
        <v>984621</v>
      </c>
      <c r="B3598" s="22" t="str">
        <f>IFERROR(VLOOKUP(A3598,VLOOKUPS!$A$2:B$12589,2,FALSE),"")</f>
        <v>Raspberries 12oz-standard</v>
      </c>
      <c r="E3598">
        <v>4.88</v>
      </c>
      <c r="F3598">
        <v>3.48</v>
      </c>
      <c r="G3598" s="13">
        <v>44628</v>
      </c>
      <c r="H3598" s="13">
        <v>44629</v>
      </c>
      <c r="I3598" s="22" t="str">
        <f>VLOOKUP(J3598, Dropdowns!N:O, 2, FALSE)</f>
        <v>Lower Price</v>
      </c>
      <c r="J3598" t="s">
        <v>759</v>
      </c>
      <c r="L3598" s="17" t="s">
        <v>733</v>
      </c>
      <c r="M3598" s="17" t="s">
        <v>11</v>
      </c>
      <c r="N3598" s="17" t="s">
        <v>740</v>
      </c>
    </row>
    <row r="3599" spans="1:17" x14ac:dyDescent="0.25">
      <c r="A3599" s="8">
        <v>984621</v>
      </c>
      <c r="B3599" s="22" t="str">
        <f>IFERROR(VLOOKUP(A3599,VLOOKUPS!$A$2:B$12589,2,FALSE),"")</f>
        <v>Raspberries 12oz-standard</v>
      </c>
      <c r="E3599">
        <v>3.48</v>
      </c>
      <c r="F3599">
        <v>4.88</v>
      </c>
      <c r="G3599" s="13">
        <v>44630</v>
      </c>
      <c r="H3599" s="13"/>
      <c r="I3599" s="22" t="str">
        <f>VLOOKUP(J3599, Dropdowns!N:O, 2, FALSE)</f>
        <v>Standard</v>
      </c>
      <c r="J3599" t="s">
        <v>760</v>
      </c>
      <c r="L3599" s="17" t="s">
        <v>733</v>
      </c>
      <c r="M3599" s="17" t="s">
        <v>11</v>
      </c>
      <c r="N3599" s="17" t="s">
        <v>740</v>
      </c>
    </row>
    <row r="3600" spans="1:17" x14ac:dyDescent="0.25">
      <c r="A3600" s="8">
        <v>985111</v>
      </c>
      <c r="B3600" s="22" t="str">
        <f>IFERROR(VLOOKUP(A3600,VLOOKUPS!$A$2:B$12589,2,FALSE),"")</f>
        <v>Lettuce Mixed 1ct-standard</v>
      </c>
      <c r="E3600">
        <v>2.98</v>
      </c>
      <c r="F3600">
        <v>2.48</v>
      </c>
      <c r="G3600" s="13">
        <v>44628</v>
      </c>
      <c r="H3600" s="13"/>
      <c r="I3600" s="22" t="str">
        <f>VLOOKUP(J3600, Dropdowns!N:O, 2, FALSE)</f>
        <v>Standard</v>
      </c>
      <c r="J3600" t="s">
        <v>761</v>
      </c>
      <c r="L3600" s="17" t="s">
        <v>732</v>
      </c>
      <c r="M3600" s="17" t="s">
        <v>736</v>
      </c>
      <c r="N3600" s="17" t="s">
        <v>736</v>
      </c>
    </row>
    <row r="3601" spans="1:14" x14ac:dyDescent="0.25">
      <c r="A3601" s="8">
        <v>995026</v>
      </c>
      <c r="B3601" s="22" t="str">
        <f>IFERROR(VLOOKUP(A3601,VLOOKUPS!$A$2:B$12589,2,FALSE),"")</f>
        <v>Baby Arugula 5oz-standard</v>
      </c>
      <c r="E3601">
        <v>2.29</v>
      </c>
      <c r="F3601">
        <v>1.49</v>
      </c>
      <c r="G3601" s="13">
        <v>44628</v>
      </c>
      <c r="H3601" s="13">
        <v>44629</v>
      </c>
      <c r="I3601" s="22" t="str">
        <f>VLOOKUP(J3601, Dropdowns!N:O, 2, FALSE)</f>
        <v>Lower Price</v>
      </c>
      <c r="J3601" t="s">
        <v>759</v>
      </c>
      <c r="L3601" s="17" t="s">
        <v>733</v>
      </c>
      <c r="M3601" s="17" t="s">
        <v>738</v>
      </c>
      <c r="N3601" s="17" t="s">
        <v>740</v>
      </c>
    </row>
    <row r="3602" spans="1:14" x14ac:dyDescent="0.25">
      <c r="A3602" s="8">
        <v>995026</v>
      </c>
      <c r="B3602" s="22" t="str">
        <f>IFERROR(VLOOKUP(A3602,VLOOKUPS!$A$2:B$12589,2,FALSE),"")</f>
        <v>Baby Arugula 5oz-standard</v>
      </c>
      <c r="E3602">
        <v>1.49</v>
      </c>
      <c r="F3602">
        <v>2.29</v>
      </c>
      <c r="G3602" s="13">
        <v>44630</v>
      </c>
      <c r="H3602" s="13"/>
      <c r="I3602" s="22" t="str">
        <f>VLOOKUP(J3602, Dropdowns!N:O, 2, FALSE)</f>
        <v>Standard</v>
      </c>
      <c r="J3602" t="s">
        <v>760</v>
      </c>
      <c r="L3602" s="17" t="s">
        <v>733</v>
      </c>
      <c r="M3602" s="17" t="s">
        <v>738</v>
      </c>
      <c r="N3602" s="17" t="s">
        <v>740</v>
      </c>
    </row>
    <row r="3603" spans="1:14" x14ac:dyDescent="0.25">
      <c r="A3603" s="8">
        <v>995078</v>
      </c>
      <c r="B3603" s="22" t="str">
        <f>IFERROR(VLOOKUP(A3603,VLOOKUPS!$A$2:B$12589,2,FALSE),"")</f>
        <v>Organic Baby Spinach 16oz-standard</v>
      </c>
      <c r="E3603">
        <v>4.9800000000000004</v>
      </c>
      <c r="F3603">
        <v>3.48</v>
      </c>
      <c r="G3603" s="13">
        <v>44628</v>
      </c>
      <c r="H3603" s="13">
        <v>44629</v>
      </c>
      <c r="I3603" s="22" t="str">
        <f>VLOOKUP(J3603, Dropdowns!N:O, 2, FALSE)</f>
        <v>Lower Price</v>
      </c>
      <c r="J3603" t="s">
        <v>759</v>
      </c>
      <c r="L3603" s="17" t="s">
        <v>733</v>
      </c>
      <c r="M3603" s="17" t="s">
        <v>11</v>
      </c>
      <c r="N3603" s="17" t="s">
        <v>740</v>
      </c>
    </row>
    <row r="3604" spans="1:14" x14ac:dyDescent="0.25">
      <c r="A3604" s="8">
        <v>995078</v>
      </c>
      <c r="B3604" s="22" t="str">
        <f>IFERROR(VLOOKUP(A3604,VLOOKUPS!$A$2:B$12589,2,FALSE),"")</f>
        <v>Organic Baby Spinach 16oz-standard</v>
      </c>
      <c r="E3604">
        <v>3.48</v>
      </c>
      <c r="F3604">
        <v>4.9800000000000004</v>
      </c>
      <c r="G3604" s="13">
        <v>44630</v>
      </c>
      <c r="H3604" s="13"/>
      <c r="I3604" s="22" t="str">
        <f>VLOOKUP(J3604, Dropdowns!N:O, 2, FALSE)</f>
        <v>Standard</v>
      </c>
      <c r="J3604" t="s">
        <v>760</v>
      </c>
      <c r="L3604" s="17" t="s">
        <v>733</v>
      </c>
      <c r="M3604" s="17" t="s">
        <v>11</v>
      </c>
      <c r="N3604" s="17" t="s">
        <v>740</v>
      </c>
    </row>
    <row r="3605" spans="1:14" x14ac:dyDescent="0.25">
      <c r="A3605" s="8">
        <v>995162</v>
      </c>
      <c r="B3605" s="22" t="str">
        <f>IFERROR(VLOOKUP(A3605,VLOOKUPS!$A$2:B$12589,2,FALSE),"")</f>
        <v>Buffalo Ranch Salad Kit 12oz-standard</v>
      </c>
      <c r="E3605">
        <v>3.49</v>
      </c>
      <c r="F3605">
        <v>2.4900000000000002</v>
      </c>
      <c r="G3605" s="13">
        <v>44628</v>
      </c>
      <c r="H3605" s="13">
        <v>44629</v>
      </c>
      <c r="I3605" s="22" t="str">
        <f>VLOOKUP(J3605, Dropdowns!N:O, 2, FALSE)</f>
        <v>Lower Price</v>
      </c>
      <c r="J3605" t="s">
        <v>759</v>
      </c>
      <c r="L3605" s="17" t="s">
        <v>732</v>
      </c>
      <c r="M3605" s="17" t="s">
        <v>9</v>
      </c>
      <c r="N3605" s="17" t="s">
        <v>736</v>
      </c>
    </row>
    <row r="3606" spans="1:14" x14ac:dyDescent="0.25">
      <c r="A3606" s="8">
        <v>995162</v>
      </c>
      <c r="B3606" s="22" t="str">
        <f>IFERROR(VLOOKUP(A3606,VLOOKUPS!$A$2:B$12589,2,FALSE),"")</f>
        <v>Buffalo Ranch Salad Kit 12oz-standard</v>
      </c>
      <c r="E3606">
        <v>2.4900000000000002</v>
      </c>
      <c r="F3606">
        <v>3.49</v>
      </c>
      <c r="G3606" s="13">
        <v>44630</v>
      </c>
      <c r="H3606" s="13"/>
      <c r="I3606" s="22" t="str">
        <f>VLOOKUP(J3606, Dropdowns!N:O, 2, FALSE)</f>
        <v>Standard</v>
      </c>
      <c r="J3606" t="s">
        <v>760</v>
      </c>
      <c r="L3606" s="17" t="s">
        <v>732</v>
      </c>
      <c r="M3606" s="17" t="s">
        <v>9</v>
      </c>
      <c r="N3606" s="17" t="s">
        <v>736</v>
      </c>
    </row>
    <row r="3607" spans="1:14" x14ac:dyDescent="0.25">
      <c r="A3607" s="8">
        <v>984542</v>
      </c>
      <c r="B3607" s="22" t="str">
        <f>IFERROR(VLOOKUP(A3607,VLOOKUPS!$A$2:B$12589,2,FALSE),"")</f>
        <v>Blueberries 18oz-standard</v>
      </c>
      <c r="G3607" s="13">
        <v>44628</v>
      </c>
      <c r="H3607" s="13"/>
      <c r="I3607" s="22" t="str">
        <f>VLOOKUP(J3607, Dropdowns!N:O, 2, FALSE)</f>
        <v>Lower Price</v>
      </c>
      <c r="J3607" t="s">
        <v>779</v>
      </c>
      <c r="L3607" s="17" t="s">
        <v>732</v>
      </c>
      <c r="M3607" s="17" t="s">
        <v>9</v>
      </c>
      <c r="N3607" s="17" t="s">
        <v>736</v>
      </c>
    </row>
    <row r="3608" spans="1:14" x14ac:dyDescent="0.25">
      <c r="A3608" s="8">
        <v>984582</v>
      </c>
      <c r="B3608" s="22" t="str">
        <f>IFERROR(VLOOKUP(A3608,VLOOKUPS!$A$2:B$12589,2,FALSE),"")</f>
        <v>Organic Blueberries 1pt-standard</v>
      </c>
      <c r="E3608">
        <v>4.72</v>
      </c>
      <c r="F3608">
        <v>3.62</v>
      </c>
      <c r="G3608" s="13">
        <v>44629</v>
      </c>
      <c r="H3608" s="13">
        <v>44630</v>
      </c>
      <c r="I3608" s="22" t="str">
        <f>VLOOKUP(J3608, Dropdowns!N:O, 2, FALSE)</f>
        <v>Lower Price</v>
      </c>
      <c r="J3608" t="s">
        <v>759</v>
      </c>
      <c r="L3608" s="17" t="s">
        <v>732</v>
      </c>
      <c r="M3608" s="17" t="s">
        <v>738</v>
      </c>
      <c r="N3608" s="17">
        <v>2</v>
      </c>
    </row>
    <row r="3609" spans="1:14" x14ac:dyDescent="0.25">
      <c r="A3609" s="8">
        <v>984582</v>
      </c>
      <c r="B3609" s="22" t="str">
        <f>IFERROR(VLOOKUP(A3609,VLOOKUPS!$A$2:B$12589,2,FALSE),"")</f>
        <v>Organic Blueberries 1pt-standard</v>
      </c>
      <c r="E3609">
        <v>3.62</v>
      </c>
      <c r="F3609">
        <v>4.72</v>
      </c>
      <c r="G3609" s="13">
        <v>44631</v>
      </c>
      <c r="H3609" s="13"/>
      <c r="I3609" s="22" t="str">
        <f>VLOOKUP(J3609, Dropdowns!N:O, 2, FALSE)</f>
        <v>Standard</v>
      </c>
      <c r="J3609" t="s">
        <v>760</v>
      </c>
      <c r="L3609" s="17" t="s">
        <v>732</v>
      </c>
      <c r="M3609" s="17" t="s">
        <v>738</v>
      </c>
      <c r="N3609" s="17">
        <v>2</v>
      </c>
    </row>
    <row r="3610" spans="1:14" x14ac:dyDescent="0.25">
      <c r="A3610" s="8">
        <v>988620</v>
      </c>
      <c r="B3610" s="22" t="str">
        <f>IFERROR(VLOOKUP(A3610,VLOOKUPS!$A$2:B$12589,2,FALSE),"")</f>
        <v>Brussels Sprouts 1lb-standard</v>
      </c>
      <c r="G3610" s="13">
        <v>44629</v>
      </c>
      <c r="H3610" s="13">
        <v>44635</v>
      </c>
      <c r="I3610" s="22" t="str">
        <f>VLOOKUP(J3610, Dropdowns!N:O, 2, FALSE)</f>
        <v>Lower Price</v>
      </c>
      <c r="J3610" t="s">
        <v>753</v>
      </c>
      <c r="L3610" s="17" t="s">
        <v>732</v>
      </c>
      <c r="M3610" s="17" t="s">
        <v>736</v>
      </c>
      <c r="N3610" s="17" t="s">
        <v>736</v>
      </c>
    </row>
    <row r="3611" spans="1:14" x14ac:dyDescent="0.25">
      <c r="A3611" s="8">
        <v>995164</v>
      </c>
      <c r="B3611" s="22" t="str">
        <f>IFERROR(VLOOKUP(A3611,VLOOKUPS!$A$2:B$12589,2,FALSE),"")</f>
        <v>Spinach 10oz-standard</v>
      </c>
      <c r="E3611">
        <v>1.98</v>
      </c>
      <c r="F3611">
        <v>1.18</v>
      </c>
      <c r="G3611" s="13">
        <v>44629</v>
      </c>
      <c r="H3611" s="13">
        <v>44630</v>
      </c>
      <c r="I3611" s="22" t="str">
        <f>VLOOKUP(J3611, Dropdowns!N:O, 2, FALSE)</f>
        <v>Lower Price</v>
      </c>
      <c r="J3611" t="s">
        <v>759</v>
      </c>
      <c r="L3611" s="17" t="s">
        <v>732</v>
      </c>
      <c r="M3611" s="17" t="s">
        <v>736</v>
      </c>
      <c r="N3611" s="17" t="s">
        <v>736</v>
      </c>
    </row>
    <row r="3612" spans="1:14" x14ac:dyDescent="0.25">
      <c r="A3612" s="8">
        <v>995164</v>
      </c>
      <c r="B3612" s="22" t="str">
        <f>IFERROR(VLOOKUP(A3612,VLOOKUPS!$A$2:B$12589,2,FALSE),"")</f>
        <v>Spinach 10oz-standard</v>
      </c>
      <c r="E3612">
        <v>1.18</v>
      </c>
      <c r="F3612">
        <v>1.98</v>
      </c>
      <c r="G3612" s="13">
        <v>44631</v>
      </c>
      <c r="H3612" s="13"/>
      <c r="I3612" s="22" t="str">
        <f>VLOOKUP(J3612, Dropdowns!N:O, 2, FALSE)</f>
        <v>Standard</v>
      </c>
      <c r="J3612" t="s">
        <v>760</v>
      </c>
      <c r="L3612" s="17" t="s">
        <v>732</v>
      </c>
      <c r="M3612" s="17" t="s">
        <v>736</v>
      </c>
      <c r="N3612" s="17" t="s">
        <v>736</v>
      </c>
    </row>
    <row r="3613" spans="1:14" x14ac:dyDescent="0.25">
      <c r="A3613" s="8">
        <v>984700</v>
      </c>
      <c r="B3613" s="22" t="str">
        <f>IFERROR(VLOOKUP(A3613,VLOOKUPS!$A$2:B$12589,2,FALSE),"")</f>
        <v>Blackberries 6oz-standard</v>
      </c>
      <c r="E3613">
        <v>0.99</v>
      </c>
      <c r="F3613">
        <v>1.99</v>
      </c>
      <c r="G3613" s="13">
        <v>44629</v>
      </c>
      <c r="H3613" s="13"/>
      <c r="I3613" s="22" t="str">
        <f>VLOOKUP(J3613, Dropdowns!N:O, 2, FALSE)</f>
        <v>Standard</v>
      </c>
      <c r="J3613" t="s">
        <v>760</v>
      </c>
      <c r="L3613" s="17" t="s">
        <v>732</v>
      </c>
      <c r="M3613" s="17" t="s">
        <v>738</v>
      </c>
      <c r="N3613" s="17">
        <v>2</v>
      </c>
    </row>
    <row r="3614" spans="1:14" x14ac:dyDescent="0.25">
      <c r="A3614" s="8">
        <v>984700</v>
      </c>
      <c r="B3614" s="22" t="str">
        <f>IFERROR(VLOOKUP(A3614,VLOOKUPS!$A$2:B$12589,2,FALSE),"")</f>
        <v>Blackberries 6oz-standard</v>
      </c>
      <c r="G3614" s="13">
        <v>44629</v>
      </c>
      <c r="H3614" s="13">
        <v>44629</v>
      </c>
      <c r="I3614" s="22" t="str">
        <f>VLOOKUP(J3614, Dropdowns!N:O, 2, FALSE)</f>
        <v>Lower Price</v>
      </c>
      <c r="J3614" t="s">
        <v>762</v>
      </c>
      <c r="L3614" s="17" t="s">
        <v>732</v>
      </c>
      <c r="M3614" s="17" t="s">
        <v>9</v>
      </c>
      <c r="N3614" s="17" t="s">
        <v>736</v>
      </c>
    </row>
    <row r="3615" spans="1:14" x14ac:dyDescent="0.25">
      <c r="A3615" s="8">
        <v>984542</v>
      </c>
      <c r="B3615" s="22" t="str">
        <f>IFERROR(VLOOKUP(A3615,VLOOKUPS!$A$2:B$12589,2,FALSE),"")</f>
        <v>Blueberries 18oz-standard</v>
      </c>
      <c r="E3615">
        <v>2.69</v>
      </c>
      <c r="F3615">
        <v>4.12</v>
      </c>
      <c r="G3615" s="13">
        <v>44629</v>
      </c>
      <c r="H3615" s="13"/>
      <c r="I3615" s="22" t="str">
        <f>VLOOKUP(J3615, Dropdowns!N:O, 2, FALSE)</f>
        <v>Standard</v>
      </c>
      <c r="J3615" t="s">
        <v>760</v>
      </c>
      <c r="L3615" s="17" t="s">
        <v>732</v>
      </c>
      <c r="M3615" s="17" t="s">
        <v>10</v>
      </c>
      <c r="N3615" s="17">
        <v>2</v>
      </c>
    </row>
    <row r="3616" spans="1:14" x14ac:dyDescent="0.25">
      <c r="A3616" s="8">
        <v>984542</v>
      </c>
      <c r="B3616" s="22" t="str">
        <f>IFERROR(VLOOKUP(A3616,VLOOKUPS!$A$2:B$12589,2,FALSE),"")</f>
        <v>Blueberries 18oz-standard</v>
      </c>
      <c r="G3616" s="13">
        <v>44629</v>
      </c>
      <c r="H3616" s="13">
        <v>44630</v>
      </c>
      <c r="I3616" s="22" t="str">
        <f>VLOOKUP(J3616, Dropdowns!N:O, 2, FALSE)</f>
        <v>Lower Price</v>
      </c>
      <c r="J3616" t="s">
        <v>762</v>
      </c>
      <c r="L3616" s="17" t="s">
        <v>732</v>
      </c>
      <c r="M3616" s="17" t="s">
        <v>9</v>
      </c>
      <c r="N3616" s="17" t="s">
        <v>736</v>
      </c>
    </row>
    <row r="3617" spans="1:14" x14ac:dyDescent="0.25">
      <c r="A3617" s="8">
        <v>984542</v>
      </c>
      <c r="B3617" s="22" t="str">
        <f>IFERROR(VLOOKUP(A3617,VLOOKUPS!$A$2:B$12589,2,FALSE),"")</f>
        <v>Blueberries 18oz-standard</v>
      </c>
      <c r="G3617" s="13">
        <v>44629</v>
      </c>
      <c r="H3617" s="13">
        <v>44629</v>
      </c>
      <c r="I3617" s="22" t="str">
        <f>VLOOKUP(J3617, Dropdowns!N:O, 2, FALSE)</f>
        <v>Lower Price</v>
      </c>
      <c r="J3617" t="s">
        <v>762</v>
      </c>
      <c r="L3617" s="17" t="s">
        <v>733</v>
      </c>
      <c r="M3617" s="17" t="s">
        <v>11</v>
      </c>
      <c r="N3617" s="17" t="s">
        <v>740</v>
      </c>
    </row>
    <row r="3618" spans="1:14" x14ac:dyDescent="0.25">
      <c r="A3618" s="8">
        <v>982832</v>
      </c>
      <c r="B3618" s="22" t="str">
        <f>IFERROR(VLOOKUP(A3618,VLOOKUPS!$A$2:B$12589,2,FALSE),"")</f>
        <v>Grapes 3lb-standard</v>
      </c>
      <c r="D3618">
        <v>6</v>
      </c>
      <c r="E3618">
        <v>9.99</v>
      </c>
      <c r="G3618" s="13">
        <v>44629</v>
      </c>
      <c r="H3618" s="13"/>
      <c r="I3618" s="22" t="str">
        <f>VLOOKUP(J3618, Dropdowns!N:O, 2, FALSE)</f>
        <v>NA</v>
      </c>
      <c r="J3618" t="s">
        <v>754</v>
      </c>
      <c r="L3618" s="17" t="s">
        <v>732</v>
      </c>
      <c r="M3618" s="17" t="s">
        <v>735</v>
      </c>
      <c r="N3618" s="17" t="s">
        <v>736</v>
      </c>
    </row>
    <row r="3619" spans="1:14" x14ac:dyDescent="0.25">
      <c r="A3619" s="8">
        <v>982740</v>
      </c>
      <c r="B3619" s="22" t="str">
        <f>IFERROR(VLOOKUP(A3619,VLOOKUPS!$A$2:B$12589,2,FALSE),"")</f>
        <v>Grapes* Red Seedless 1lb-LOOSE</v>
      </c>
      <c r="E3619">
        <v>1.88</v>
      </c>
      <c r="F3619">
        <v>0.99</v>
      </c>
      <c r="G3619" s="13">
        <v>44630</v>
      </c>
      <c r="H3619" s="13">
        <v>44631</v>
      </c>
      <c r="I3619" s="22" t="str">
        <f>VLOOKUP(J3619, Dropdowns!N:O, 2, FALSE)</f>
        <v>Lower Price</v>
      </c>
      <c r="J3619" t="s">
        <v>759</v>
      </c>
      <c r="L3619" s="17" t="s">
        <v>732</v>
      </c>
      <c r="M3619" s="17" t="s">
        <v>9</v>
      </c>
      <c r="N3619" s="17" t="s">
        <v>736</v>
      </c>
    </row>
    <row r="3620" spans="1:14" x14ac:dyDescent="0.25">
      <c r="A3620" s="8">
        <v>982740</v>
      </c>
      <c r="B3620" s="22" t="str">
        <f>IFERROR(VLOOKUP(A3620,VLOOKUPS!$A$2:B$12589,2,FALSE),"")</f>
        <v>Grapes* Red Seedless 1lb-LOOSE</v>
      </c>
      <c r="E3620">
        <v>0.99</v>
      </c>
      <c r="F3620">
        <v>1.88</v>
      </c>
      <c r="G3620" s="13">
        <v>44632</v>
      </c>
      <c r="H3620" s="13"/>
      <c r="I3620" s="22" t="str">
        <f>VLOOKUP(J3620, Dropdowns!N:O, 2, FALSE)</f>
        <v>Standard</v>
      </c>
      <c r="J3620" t="s">
        <v>760</v>
      </c>
      <c r="L3620" s="17" t="s">
        <v>732</v>
      </c>
      <c r="M3620" s="17" t="s">
        <v>9</v>
      </c>
      <c r="N3620" s="17" t="s">
        <v>736</v>
      </c>
    </row>
    <row r="3621" spans="1:14" x14ac:dyDescent="0.25">
      <c r="A3621" s="8">
        <v>982650</v>
      </c>
      <c r="B3621" s="22" t="str">
        <f>IFERROR(VLOOKUP(A3621,VLOOKUPS!$A$2:B$12589,2,FALSE),"")</f>
        <v>Grapes* Green Seedless 1lb-LOOSE</v>
      </c>
      <c r="E3621">
        <v>2.1</v>
      </c>
      <c r="F3621">
        <v>1.29</v>
      </c>
      <c r="G3621" s="13">
        <v>44630</v>
      </c>
      <c r="H3621" s="13">
        <v>44631</v>
      </c>
      <c r="I3621" s="22" t="str">
        <f>VLOOKUP(J3621, Dropdowns!N:O, 2, FALSE)</f>
        <v>Lower Price</v>
      </c>
      <c r="J3621" t="s">
        <v>759</v>
      </c>
      <c r="L3621" s="17" t="s">
        <v>732</v>
      </c>
      <c r="M3621" s="17" t="s">
        <v>9</v>
      </c>
      <c r="N3621" s="17" t="s">
        <v>736</v>
      </c>
    </row>
    <row r="3622" spans="1:14" x14ac:dyDescent="0.25">
      <c r="A3622" s="8">
        <v>982650</v>
      </c>
      <c r="B3622" s="22" t="str">
        <f>IFERROR(VLOOKUP(A3622,VLOOKUPS!$A$2:B$12589,2,FALSE),"")</f>
        <v>Grapes* Green Seedless 1lb-LOOSE</v>
      </c>
      <c r="E3622">
        <v>1.29</v>
      </c>
      <c r="F3622">
        <v>2.1</v>
      </c>
      <c r="G3622" s="13">
        <v>44632</v>
      </c>
      <c r="H3622" s="13"/>
      <c r="I3622" s="22" t="str">
        <f>VLOOKUP(J3622, Dropdowns!N:O, 2, FALSE)</f>
        <v>Standard</v>
      </c>
      <c r="J3622" t="s">
        <v>760</v>
      </c>
      <c r="L3622" s="17" t="s">
        <v>732</v>
      </c>
      <c r="M3622" s="17" t="s">
        <v>9</v>
      </c>
      <c r="N3622" s="17" t="s">
        <v>736</v>
      </c>
    </row>
    <row r="3623" spans="1:14" x14ac:dyDescent="0.25">
      <c r="A3623" s="8">
        <v>987560</v>
      </c>
      <c r="B3623" s="22" t="str">
        <f>IFERROR(VLOOKUP(A3623,VLOOKUPS!$A$2:B$12589,2,FALSE),"")</f>
        <v>Celery 1ct-standard</v>
      </c>
      <c r="E3623">
        <v>1.92</v>
      </c>
      <c r="F3623">
        <v>1.22</v>
      </c>
      <c r="G3623" s="13">
        <v>44630</v>
      </c>
      <c r="H3623" s="13">
        <v>44631</v>
      </c>
      <c r="I3623" s="22" t="str">
        <f>VLOOKUP(J3623, Dropdowns!N:O, 2, FALSE)</f>
        <v>Lower Price</v>
      </c>
      <c r="J3623" t="s">
        <v>759</v>
      </c>
      <c r="L3623" s="17" t="s">
        <v>733</v>
      </c>
      <c r="M3623" s="17" t="s">
        <v>11</v>
      </c>
      <c r="N3623" s="17" t="s">
        <v>740</v>
      </c>
    </row>
    <row r="3624" spans="1:14" x14ac:dyDescent="0.25">
      <c r="A3624" s="8">
        <v>987560</v>
      </c>
      <c r="B3624" s="22" t="str">
        <f>IFERROR(VLOOKUP(A3624,VLOOKUPS!$A$2:B$12589,2,FALSE),"")</f>
        <v>Celery 1ct-standard</v>
      </c>
      <c r="E3624">
        <v>1.22</v>
      </c>
      <c r="F3624">
        <v>1.92</v>
      </c>
      <c r="G3624" s="13">
        <v>44632</v>
      </c>
      <c r="H3624" s="13"/>
      <c r="I3624" s="22" t="str">
        <f>VLOOKUP(J3624, Dropdowns!N:O, 2, FALSE)</f>
        <v>Standard</v>
      </c>
      <c r="J3624" t="s">
        <v>760</v>
      </c>
      <c r="L3624" s="17" t="s">
        <v>733</v>
      </c>
      <c r="M3624" s="17" t="s">
        <v>11</v>
      </c>
      <c r="N3624" s="17" t="s">
        <v>740</v>
      </c>
    </row>
    <row r="3625" spans="1:14" x14ac:dyDescent="0.25">
      <c r="A3625" s="8">
        <v>988571</v>
      </c>
      <c r="B3625" s="22" t="str">
        <f>IFERROR(VLOOKUP(A3625,VLOOKUPS!$A$2:B$12589,2,FALSE),"")</f>
        <v>Cauliflower* 1ct-LOOSE</v>
      </c>
      <c r="E3625">
        <v>2.44</v>
      </c>
      <c r="F3625">
        <v>1.74</v>
      </c>
      <c r="G3625" s="13">
        <v>44630</v>
      </c>
      <c r="H3625" s="13">
        <v>44631</v>
      </c>
      <c r="I3625" s="22" t="str">
        <f>VLOOKUP(J3625, Dropdowns!N:O, 2, FALSE)</f>
        <v>Lower Price</v>
      </c>
      <c r="J3625" t="s">
        <v>759</v>
      </c>
      <c r="L3625" s="17" t="s">
        <v>732</v>
      </c>
      <c r="M3625" s="17" t="s">
        <v>735</v>
      </c>
      <c r="N3625" s="17" t="s">
        <v>736</v>
      </c>
    </row>
    <row r="3626" spans="1:14" x14ac:dyDescent="0.25">
      <c r="A3626" s="8">
        <v>988571</v>
      </c>
      <c r="B3626" s="22" t="str">
        <f>IFERROR(VLOOKUP(A3626,VLOOKUPS!$A$2:B$12589,2,FALSE),"")</f>
        <v>Cauliflower* 1ct-LOOSE</v>
      </c>
      <c r="E3626">
        <v>1.74</v>
      </c>
      <c r="F3626">
        <v>2.44</v>
      </c>
      <c r="G3626" s="13">
        <v>44632</v>
      </c>
      <c r="H3626" s="13"/>
      <c r="I3626" s="22" t="str">
        <f>VLOOKUP(J3626, Dropdowns!N:O, 2, FALSE)</f>
        <v>Standard</v>
      </c>
      <c r="J3626" t="s">
        <v>760</v>
      </c>
      <c r="L3626" s="17" t="s">
        <v>732</v>
      </c>
      <c r="M3626" s="17" t="s">
        <v>735</v>
      </c>
      <c r="N3626" s="17" t="s">
        <v>736</v>
      </c>
    </row>
    <row r="3627" spans="1:14" x14ac:dyDescent="0.25">
      <c r="A3627" s="8">
        <v>984700</v>
      </c>
      <c r="B3627" s="22" t="str">
        <f>IFERROR(VLOOKUP(A3627,VLOOKUPS!$A$2:B$12589,2,FALSE),"")</f>
        <v>Blackberries 6oz-standard</v>
      </c>
      <c r="E3627">
        <v>0.99</v>
      </c>
      <c r="F3627">
        <v>1.99</v>
      </c>
      <c r="G3627" s="13">
        <v>44630</v>
      </c>
      <c r="H3627" s="13"/>
      <c r="I3627" s="22" t="str">
        <f>VLOOKUP(J3627, Dropdowns!N:O, 2, FALSE)</f>
        <v>Standard</v>
      </c>
      <c r="J3627" t="s">
        <v>760</v>
      </c>
      <c r="L3627" s="17" t="s">
        <v>732</v>
      </c>
      <c r="M3627" s="17" t="s">
        <v>9</v>
      </c>
      <c r="N3627" s="17" t="s">
        <v>736</v>
      </c>
    </row>
    <row r="3628" spans="1:14" x14ac:dyDescent="0.25">
      <c r="A3628" s="8">
        <v>984542</v>
      </c>
      <c r="B3628" s="22" t="str">
        <f>IFERROR(VLOOKUP(A3628,VLOOKUPS!$A$2:B$12589,2,FALSE),"")</f>
        <v>Blueberries 18oz-standard</v>
      </c>
      <c r="E3628">
        <v>2.69</v>
      </c>
      <c r="F3628">
        <v>4.12</v>
      </c>
      <c r="G3628" s="13">
        <v>44630</v>
      </c>
      <c r="H3628" s="13"/>
      <c r="I3628" s="22" t="str">
        <f>VLOOKUP(J3628, Dropdowns!N:O, 2, FALSE)</f>
        <v>Standard</v>
      </c>
      <c r="J3628" t="s">
        <v>760</v>
      </c>
      <c r="L3628" s="17" t="s">
        <v>733</v>
      </c>
      <c r="M3628" s="17" t="s">
        <v>11</v>
      </c>
      <c r="N3628" s="17" t="s">
        <v>740</v>
      </c>
    </row>
    <row r="3629" spans="1:14" x14ac:dyDescent="0.25">
      <c r="A3629" s="8">
        <v>984460</v>
      </c>
      <c r="B3629" s="22" t="str">
        <f>IFERROR(VLOOKUP(A3629,VLOOKUPS!$A$2:B$12589,2,FALSE),"")</f>
        <v>Strawberries 1lb-standard</v>
      </c>
      <c r="E3629">
        <v>2.59</v>
      </c>
      <c r="F3629">
        <v>2.58</v>
      </c>
      <c r="G3629" s="13">
        <v>44631</v>
      </c>
      <c r="H3629" s="13"/>
      <c r="I3629" s="22" t="str">
        <f>VLOOKUP(J3629, Dropdowns!N:O, 2, FALSE)</f>
        <v>Standard</v>
      </c>
      <c r="J3629" t="s">
        <v>761</v>
      </c>
      <c r="L3629" s="17" t="s">
        <v>732</v>
      </c>
      <c r="M3629" s="17" t="s">
        <v>736</v>
      </c>
      <c r="N3629" s="17" t="s">
        <v>736</v>
      </c>
    </row>
    <row r="3630" spans="1:14" x14ac:dyDescent="0.25">
      <c r="A3630" s="8">
        <v>984541</v>
      </c>
      <c r="B3630" s="22" t="str">
        <f>IFERROR(VLOOKUP(A3630,VLOOKUPS!$A$2:B$12589,2,FALSE),"")</f>
        <v>Blueberries 1pt-standard</v>
      </c>
      <c r="E3630">
        <v>2.99</v>
      </c>
      <c r="F3630">
        <v>1.99</v>
      </c>
      <c r="G3630" s="13">
        <v>44631</v>
      </c>
      <c r="H3630" s="13">
        <v>44632</v>
      </c>
      <c r="I3630" s="22" t="str">
        <f>VLOOKUP(J3630, Dropdowns!N:O, 2, FALSE)</f>
        <v>Lower Price</v>
      </c>
      <c r="J3630" t="s">
        <v>759</v>
      </c>
      <c r="L3630" s="17" t="s">
        <v>732</v>
      </c>
      <c r="M3630" s="17" t="s">
        <v>736</v>
      </c>
      <c r="N3630" s="17" t="s">
        <v>736</v>
      </c>
    </row>
    <row r="3631" spans="1:14" x14ac:dyDescent="0.25">
      <c r="A3631" s="8">
        <v>984541</v>
      </c>
      <c r="B3631" s="22" t="str">
        <f>IFERROR(VLOOKUP(A3631,VLOOKUPS!$A$2:B$12589,2,FALSE),"")</f>
        <v>Blueberries 1pt-standard</v>
      </c>
      <c r="E3631">
        <v>1.99</v>
      </c>
      <c r="F3631">
        <v>2.99</v>
      </c>
      <c r="G3631" s="13">
        <v>44633</v>
      </c>
      <c r="H3631" s="13"/>
      <c r="I3631" s="22" t="str">
        <f>VLOOKUP(J3631, Dropdowns!N:O, 2, FALSE)</f>
        <v>Standard</v>
      </c>
      <c r="J3631" t="s">
        <v>760</v>
      </c>
      <c r="L3631" s="17" t="s">
        <v>732</v>
      </c>
      <c r="M3631" s="17" t="s">
        <v>736</v>
      </c>
      <c r="N3631" s="17" t="s">
        <v>736</v>
      </c>
    </row>
    <row r="3632" spans="1:14" x14ac:dyDescent="0.25">
      <c r="A3632" s="8">
        <v>995005</v>
      </c>
      <c r="B3632" s="22" t="str">
        <f>IFERROR(VLOOKUP(A3632,VLOOKUPS!$A$2:B$12589,2,FALSE),"")</f>
        <v>Garden Salad 12oz-standard</v>
      </c>
      <c r="E3632">
        <v>1.38</v>
      </c>
      <c r="F3632">
        <v>0.88</v>
      </c>
      <c r="G3632" s="13">
        <v>44631</v>
      </c>
      <c r="H3632" s="13">
        <v>44632</v>
      </c>
      <c r="I3632" s="22" t="str">
        <f>VLOOKUP(J3632, Dropdowns!N:O, 2, FALSE)</f>
        <v>Lower Price</v>
      </c>
      <c r="J3632" t="s">
        <v>759</v>
      </c>
      <c r="L3632" s="17" t="s">
        <v>733</v>
      </c>
      <c r="M3632" s="17" t="s">
        <v>11</v>
      </c>
      <c r="N3632" s="17" t="s">
        <v>740</v>
      </c>
    </row>
    <row r="3633" spans="1:14" x14ac:dyDescent="0.25">
      <c r="A3633" s="8">
        <v>995005</v>
      </c>
      <c r="B3633" s="22" t="str">
        <f>IFERROR(VLOOKUP(A3633,VLOOKUPS!$A$2:B$12589,2,FALSE),"")</f>
        <v>Garden Salad 12oz-standard</v>
      </c>
      <c r="E3633">
        <v>0.88</v>
      </c>
      <c r="F3633">
        <v>1.38</v>
      </c>
      <c r="G3633" s="13">
        <v>44633</v>
      </c>
      <c r="H3633" s="13"/>
      <c r="I3633" s="22" t="str">
        <f>VLOOKUP(J3633, Dropdowns!N:O, 2, FALSE)</f>
        <v>Standard</v>
      </c>
      <c r="J3633" t="s">
        <v>760</v>
      </c>
      <c r="L3633" s="17" t="s">
        <v>733</v>
      </c>
      <c r="M3633" s="17" t="s">
        <v>11</v>
      </c>
      <c r="N3633" s="17" t="s">
        <v>740</v>
      </c>
    </row>
    <row r="3634" spans="1:14" x14ac:dyDescent="0.25">
      <c r="A3634" s="8">
        <v>995010</v>
      </c>
      <c r="B3634" s="22" t="str">
        <f>IFERROR(VLOOKUP(A3634,VLOOKUPS!$A$2:B$12589,2,FALSE),"")</f>
        <v>RTE Turkey Bacon Cobb Salad 7.25oz-standard</v>
      </c>
      <c r="E3634">
        <v>3.12</v>
      </c>
      <c r="F3634">
        <v>2.12</v>
      </c>
      <c r="G3634" s="13">
        <v>44631</v>
      </c>
      <c r="H3634" s="13">
        <v>44632</v>
      </c>
      <c r="I3634" s="22" t="str">
        <f>VLOOKUP(J3634, Dropdowns!N:O, 2, FALSE)</f>
        <v>Lower Price</v>
      </c>
      <c r="J3634" t="s">
        <v>759</v>
      </c>
      <c r="L3634" s="17" t="s">
        <v>732</v>
      </c>
      <c r="M3634" s="17" t="s">
        <v>10</v>
      </c>
      <c r="N3634" s="17">
        <v>2</v>
      </c>
    </row>
    <row r="3635" spans="1:14" x14ac:dyDescent="0.25">
      <c r="A3635" s="8">
        <v>995010</v>
      </c>
      <c r="B3635" s="22" t="str">
        <f>IFERROR(VLOOKUP(A3635,VLOOKUPS!$A$2:B$12589,2,FALSE),"")</f>
        <v>RTE Turkey Bacon Cobb Salad 7.25oz-standard</v>
      </c>
      <c r="E3635">
        <v>3.12</v>
      </c>
      <c r="F3635">
        <v>3.12</v>
      </c>
      <c r="G3635" s="13">
        <v>44633</v>
      </c>
      <c r="H3635" s="13"/>
      <c r="I3635" s="22" t="str">
        <f>VLOOKUP(J3635, Dropdowns!N:O, 2, FALSE)</f>
        <v>Standard</v>
      </c>
      <c r="J3635" t="s">
        <v>760</v>
      </c>
      <c r="L3635" s="17" t="s">
        <v>732</v>
      </c>
      <c r="M3635" s="17" t="s">
        <v>10</v>
      </c>
      <c r="N3635" s="17">
        <v>2</v>
      </c>
    </row>
    <row r="3636" spans="1:14" x14ac:dyDescent="0.25">
      <c r="A3636" s="8">
        <v>995041</v>
      </c>
      <c r="B3636" s="22" t="str">
        <f>IFERROR(VLOOKUP(A3636,VLOOKUPS!$A$2:B$12589,2,FALSE),"")</f>
        <v>Pineapple Spears 16oz-standard</v>
      </c>
      <c r="E3636">
        <v>4.4800000000000004</v>
      </c>
      <c r="F3636">
        <v>3.48</v>
      </c>
      <c r="G3636" s="13">
        <v>44631</v>
      </c>
      <c r="H3636" s="13">
        <v>44632</v>
      </c>
      <c r="I3636" s="22" t="str">
        <f>VLOOKUP(J3636, Dropdowns!N:O, 2, FALSE)</f>
        <v>Lower Price</v>
      </c>
      <c r="J3636" t="s">
        <v>759</v>
      </c>
      <c r="L3636" s="17" t="s">
        <v>733</v>
      </c>
      <c r="M3636" s="17" t="s">
        <v>11</v>
      </c>
      <c r="N3636" s="17" t="s">
        <v>740</v>
      </c>
    </row>
    <row r="3637" spans="1:14" x14ac:dyDescent="0.25">
      <c r="A3637" s="8">
        <v>995041</v>
      </c>
      <c r="B3637" s="22" t="str">
        <f>IFERROR(VLOOKUP(A3637,VLOOKUPS!$A$2:B$12589,2,FALSE),"")</f>
        <v>Pineapple Spears 16oz-standard</v>
      </c>
      <c r="E3637">
        <v>3.48</v>
      </c>
      <c r="F3637">
        <v>4.4800000000000004</v>
      </c>
      <c r="G3637" s="13">
        <v>44633</v>
      </c>
      <c r="H3637" s="13"/>
      <c r="I3637" s="22" t="str">
        <f>VLOOKUP(J3637, Dropdowns!N:O, 2, FALSE)</f>
        <v>Standard</v>
      </c>
      <c r="J3637" t="s">
        <v>760</v>
      </c>
      <c r="L3637" s="17" t="s">
        <v>733</v>
      </c>
      <c r="M3637" s="17" t="s">
        <v>11</v>
      </c>
      <c r="N3637" s="17" t="s">
        <v>740</v>
      </c>
    </row>
    <row r="3638" spans="1:14" x14ac:dyDescent="0.25">
      <c r="A3638" s="8">
        <v>995046</v>
      </c>
      <c r="B3638" s="22" t="str">
        <f>IFERROR(VLOOKUP(A3638,VLOOKUPS!$A$2:B$12589,2,FALSE),"")</f>
        <v>Diced Onion 8oz-standard</v>
      </c>
      <c r="E3638">
        <v>2.62</v>
      </c>
      <c r="F3638">
        <v>1.62</v>
      </c>
      <c r="G3638" s="13">
        <v>44631</v>
      </c>
      <c r="H3638" s="13">
        <v>44632</v>
      </c>
      <c r="I3638" s="22" t="str">
        <f>VLOOKUP(J3638, Dropdowns!N:O, 2, FALSE)</f>
        <v>Lower Price</v>
      </c>
      <c r="J3638" t="s">
        <v>759</v>
      </c>
      <c r="L3638" s="17" t="s">
        <v>732</v>
      </c>
      <c r="M3638" s="17" t="s">
        <v>10</v>
      </c>
      <c r="N3638" s="17">
        <v>2</v>
      </c>
    </row>
    <row r="3639" spans="1:14" x14ac:dyDescent="0.25">
      <c r="A3639" s="8">
        <v>995046</v>
      </c>
      <c r="B3639" s="22" t="str">
        <f>IFERROR(VLOOKUP(A3639,VLOOKUPS!$A$2:B$12589,2,FALSE),"")</f>
        <v>Diced Onion 8oz-standard</v>
      </c>
      <c r="E3639">
        <v>1.62</v>
      </c>
      <c r="F3639">
        <v>2.62</v>
      </c>
      <c r="G3639" s="13">
        <v>44633</v>
      </c>
      <c r="H3639" s="13"/>
      <c r="I3639" s="22" t="str">
        <f>VLOOKUP(J3639, Dropdowns!N:O, 2, FALSE)</f>
        <v>Standard</v>
      </c>
      <c r="J3639" t="s">
        <v>760</v>
      </c>
      <c r="L3639" s="17" t="s">
        <v>732</v>
      </c>
      <c r="M3639" s="17" t="s">
        <v>10</v>
      </c>
      <c r="N3639" s="17">
        <v>2</v>
      </c>
    </row>
    <row r="3640" spans="1:14" x14ac:dyDescent="0.25">
      <c r="A3640" s="8">
        <v>995077</v>
      </c>
      <c r="B3640" s="22" t="str">
        <f>IFERROR(VLOOKUP(A3640,VLOOKUPS!$A$2:B$12589,2,FALSE),"")</f>
        <v>Organic Baby Spring Mix 16oz-standard</v>
      </c>
      <c r="E3640">
        <v>4.9800000000000004</v>
      </c>
      <c r="F3640">
        <v>3.98</v>
      </c>
      <c r="G3640" s="13">
        <v>44631</v>
      </c>
      <c r="H3640" s="13">
        <v>44632</v>
      </c>
      <c r="I3640" s="22" t="str">
        <f>VLOOKUP(J3640, Dropdowns!N:O, 2, FALSE)</f>
        <v>Lower Price</v>
      </c>
      <c r="J3640" t="s">
        <v>759</v>
      </c>
      <c r="L3640" s="17" t="s">
        <v>733</v>
      </c>
      <c r="M3640" s="17" t="s">
        <v>11</v>
      </c>
      <c r="N3640" s="17" t="s">
        <v>740</v>
      </c>
    </row>
    <row r="3641" spans="1:14" x14ac:dyDescent="0.25">
      <c r="A3641" s="8">
        <v>995077</v>
      </c>
      <c r="B3641" s="22" t="str">
        <f>IFERROR(VLOOKUP(A3641,VLOOKUPS!$A$2:B$12589,2,FALSE),"")</f>
        <v>Organic Baby Spring Mix 16oz-standard</v>
      </c>
      <c r="E3641">
        <v>3.98</v>
      </c>
      <c r="F3641">
        <v>4.9800000000000004</v>
      </c>
      <c r="G3641" s="13">
        <v>44633</v>
      </c>
      <c r="H3641" s="13"/>
      <c r="I3641" s="22" t="str">
        <f>VLOOKUP(J3641, Dropdowns!N:O, 2, FALSE)</f>
        <v>Standard</v>
      </c>
      <c r="J3641" t="s">
        <v>760</v>
      </c>
      <c r="L3641" s="17" t="s">
        <v>733</v>
      </c>
      <c r="M3641" s="17" t="s">
        <v>11</v>
      </c>
      <c r="N3641" s="17" t="s">
        <v>740</v>
      </c>
    </row>
    <row r="3642" spans="1:14" x14ac:dyDescent="0.25">
      <c r="A3642" s="8">
        <v>995078</v>
      </c>
      <c r="B3642" s="22" t="str">
        <f>IFERROR(VLOOKUP(A3642,VLOOKUPS!$A$2:B$12589,2,FALSE),"")</f>
        <v>Organic Baby Spinach 16oz-standard</v>
      </c>
      <c r="E3642">
        <v>4.9800000000000004</v>
      </c>
      <c r="F3642">
        <v>3.48</v>
      </c>
      <c r="G3642" s="13">
        <v>44631</v>
      </c>
      <c r="H3642" s="13">
        <v>44632</v>
      </c>
      <c r="I3642" s="22" t="str">
        <f>VLOOKUP(J3642, Dropdowns!N:O, 2, FALSE)</f>
        <v>Lower Price</v>
      </c>
      <c r="J3642" t="s">
        <v>759</v>
      </c>
      <c r="L3642" s="17" t="s">
        <v>733</v>
      </c>
      <c r="M3642" s="17" t="s">
        <v>11</v>
      </c>
      <c r="N3642" s="17" t="s">
        <v>740</v>
      </c>
    </row>
    <row r="3643" spans="1:14" x14ac:dyDescent="0.25">
      <c r="A3643" s="8">
        <v>995078</v>
      </c>
      <c r="B3643" s="22" t="str">
        <f>IFERROR(VLOOKUP(A3643,VLOOKUPS!$A$2:B$12589,2,FALSE),"")</f>
        <v>Organic Baby Spinach 16oz-standard</v>
      </c>
      <c r="E3643">
        <v>3.48</v>
      </c>
      <c r="F3643">
        <v>4.9800000000000004</v>
      </c>
      <c r="G3643" s="13">
        <v>44633</v>
      </c>
      <c r="H3643" s="13"/>
      <c r="I3643" s="22" t="str">
        <f>VLOOKUP(J3643, Dropdowns!N:O, 2, FALSE)</f>
        <v>Standard</v>
      </c>
      <c r="J3643" t="s">
        <v>760</v>
      </c>
      <c r="L3643" s="17" t="s">
        <v>733</v>
      </c>
      <c r="M3643" s="17" t="s">
        <v>11</v>
      </c>
      <c r="N3643" s="17" t="s">
        <v>740</v>
      </c>
    </row>
    <row r="3644" spans="1:14" x14ac:dyDescent="0.25">
      <c r="A3644" s="8">
        <v>995144</v>
      </c>
      <c r="B3644" s="22" t="str">
        <f>IFERROR(VLOOKUP(A3644,VLOOKUPS!$A$2:B$12589,2,FALSE),"")</f>
        <v>Asparagus Spears 10oz-standard</v>
      </c>
      <c r="E3644">
        <v>3.98</v>
      </c>
      <c r="F3644">
        <v>2.98</v>
      </c>
      <c r="G3644" s="13">
        <v>44631</v>
      </c>
      <c r="H3644" s="13">
        <v>44632</v>
      </c>
      <c r="I3644" s="22" t="str">
        <f>VLOOKUP(J3644, Dropdowns!N:O, 2, FALSE)</f>
        <v>Lower Price</v>
      </c>
      <c r="J3644" t="s">
        <v>759</v>
      </c>
      <c r="L3644" s="17" t="s">
        <v>732</v>
      </c>
      <c r="M3644" s="17" t="s">
        <v>10</v>
      </c>
      <c r="N3644" s="17">
        <v>2</v>
      </c>
    </row>
    <row r="3645" spans="1:14" x14ac:dyDescent="0.25">
      <c r="A3645" s="8">
        <v>995144</v>
      </c>
      <c r="B3645" s="22" t="str">
        <f>IFERROR(VLOOKUP(A3645,VLOOKUPS!$A$2:B$12589,2,FALSE),"")</f>
        <v>Asparagus Spears 10oz-standard</v>
      </c>
      <c r="E3645">
        <v>2.98</v>
      </c>
      <c r="F3645">
        <v>3.98</v>
      </c>
      <c r="G3645" s="13">
        <v>44633</v>
      </c>
      <c r="H3645" s="13"/>
      <c r="I3645" s="22" t="str">
        <f>VLOOKUP(J3645, Dropdowns!N:O, 2, FALSE)</f>
        <v>Standard</v>
      </c>
      <c r="J3645" t="s">
        <v>760</v>
      </c>
      <c r="L3645" s="17" t="s">
        <v>732</v>
      </c>
      <c r="M3645" s="17" t="s">
        <v>10</v>
      </c>
      <c r="N3645" s="17">
        <v>2</v>
      </c>
    </row>
    <row r="3646" spans="1:14" x14ac:dyDescent="0.25">
      <c r="A3646" s="8">
        <v>995163</v>
      </c>
      <c r="B3646" s="22" t="str">
        <f>IFERROR(VLOOKUP(A3646,VLOOKUPS!$A$2:B$12589,2,FALSE),"")</f>
        <v>XL Caesar Salad Kit 15oz-standard</v>
      </c>
      <c r="E3646">
        <v>4.09</v>
      </c>
      <c r="F3646">
        <v>3.29</v>
      </c>
      <c r="G3646" s="13">
        <v>44631</v>
      </c>
      <c r="H3646" s="13">
        <v>44632</v>
      </c>
      <c r="I3646" s="22" t="str">
        <f>VLOOKUP(J3646, Dropdowns!N:O, 2, FALSE)</f>
        <v>Lower Price</v>
      </c>
      <c r="J3646" t="s">
        <v>759</v>
      </c>
      <c r="L3646" s="17" t="s">
        <v>732</v>
      </c>
      <c r="M3646" s="17" t="s">
        <v>9</v>
      </c>
      <c r="N3646" s="17" t="s">
        <v>736</v>
      </c>
    </row>
    <row r="3647" spans="1:14" x14ac:dyDescent="0.25">
      <c r="A3647" s="8">
        <v>995163</v>
      </c>
      <c r="B3647" s="22" t="str">
        <f>IFERROR(VLOOKUP(A3647,VLOOKUPS!$A$2:B$12589,2,FALSE),"")</f>
        <v>XL Caesar Salad Kit 15oz-standard</v>
      </c>
      <c r="E3647">
        <v>3.29</v>
      </c>
      <c r="F3647">
        <v>4.09</v>
      </c>
      <c r="G3647" s="13">
        <v>44633</v>
      </c>
      <c r="H3647" s="13"/>
      <c r="I3647" s="22" t="str">
        <f>VLOOKUP(J3647, Dropdowns!N:O, 2, FALSE)</f>
        <v>Standard</v>
      </c>
      <c r="J3647" t="s">
        <v>760</v>
      </c>
      <c r="L3647" s="17" t="s">
        <v>732</v>
      </c>
      <c r="M3647" s="17" t="s">
        <v>9</v>
      </c>
      <c r="N3647" s="17" t="s">
        <v>736</v>
      </c>
    </row>
    <row r="3648" spans="1:14" x14ac:dyDescent="0.25">
      <c r="A3648" s="8">
        <v>984542</v>
      </c>
      <c r="B3648" s="22" t="str">
        <f>IFERROR(VLOOKUP(A3648,VLOOKUPS!$A$2:B$12589,2,FALSE),"")</f>
        <v>Blueberries 18oz-standard</v>
      </c>
      <c r="E3648">
        <v>1.99</v>
      </c>
      <c r="F3648">
        <v>4.12</v>
      </c>
      <c r="G3648" s="13">
        <v>44631</v>
      </c>
      <c r="H3648" s="13"/>
      <c r="I3648" s="22" t="str">
        <f>VLOOKUP(J3648, Dropdowns!N:O, 2, FALSE)</f>
        <v>Standard</v>
      </c>
      <c r="J3648" t="s">
        <v>760</v>
      </c>
      <c r="L3648" s="17" t="s">
        <v>732</v>
      </c>
      <c r="M3648" s="17" t="s">
        <v>9</v>
      </c>
      <c r="N3648" s="17" t="s">
        <v>736</v>
      </c>
    </row>
    <row r="3649" spans="1:14" x14ac:dyDescent="0.25">
      <c r="A3649" s="8">
        <v>984620</v>
      </c>
      <c r="B3649" s="22" t="str">
        <f>IFERROR(VLOOKUP(A3649,VLOOKUPS!$A$2:B$12589,2,FALSE),"")</f>
        <v>Raspberries 6oz-standard</v>
      </c>
      <c r="G3649" s="13">
        <v>44632</v>
      </c>
      <c r="H3649" s="13">
        <v>44633</v>
      </c>
      <c r="I3649" s="22" t="str">
        <f>VLOOKUP(J3649, Dropdowns!N:O, 2, FALSE)</f>
        <v>Lower Price</v>
      </c>
      <c r="J3649" t="s">
        <v>753</v>
      </c>
      <c r="L3649" s="17" t="s">
        <v>732</v>
      </c>
      <c r="M3649" s="17" t="s">
        <v>736</v>
      </c>
      <c r="N3649" s="17" t="s">
        <v>736</v>
      </c>
    </row>
    <row r="3650" spans="1:14" x14ac:dyDescent="0.25">
      <c r="A3650" s="8">
        <v>984620</v>
      </c>
      <c r="B3650" s="22" t="str">
        <f>IFERROR(VLOOKUP(A3650,VLOOKUPS!$A$2:B$12589,2,FALSE),"")</f>
        <v>Raspberries 6oz-standard</v>
      </c>
      <c r="E3650">
        <v>1.99</v>
      </c>
      <c r="F3650">
        <v>3.2</v>
      </c>
      <c r="G3650" s="13">
        <v>44634</v>
      </c>
      <c r="H3650" s="13"/>
      <c r="I3650" s="22" t="str">
        <f>VLOOKUP(J3650, Dropdowns!N:O, 2, FALSE)</f>
        <v>Standard</v>
      </c>
      <c r="J3650" t="s">
        <v>760</v>
      </c>
      <c r="L3650" s="17" t="s">
        <v>732</v>
      </c>
      <c r="M3650" s="17" t="s">
        <v>736</v>
      </c>
      <c r="N3650" s="17" t="s">
        <v>736</v>
      </c>
    </row>
    <row r="3651" spans="1:14" x14ac:dyDescent="0.25">
      <c r="A3651" s="8">
        <v>984542</v>
      </c>
      <c r="B3651" s="22" t="str">
        <f>IFERROR(VLOOKUP(A3651,VLOOKUPS!$A$2:B$12589,2,FALSE),"")</f>
        <v>Blueberries 18oz-standard</v>
      </c>
      <c r="E3651">
        <v>4.12</v>
      </c>
      <c r="F3651">
        <v>2.98</v>
      </c>
      <c r="G3651" s="13">
        <v>44632</v>
      </c>
      <c r="H3651" s="13">
        <v>44633</v>
      </c>
      <c r="I3651" s="22" t="str">
        <f>VLOOKUP(J3651, Dropdowns!N:O, 2, FALSE)</f>
        <v>Lower Price</v>
      </c>
      <c r="J3651" t="s">
        <v>759</v>
      </c>
      <c r="L3651" s="17" t="s">
        <v>732</v>
      </c>
      <c r="M3651" s="17" t="s">
        <v>736</v>
      </c>
      <c r="N3651" s="17" t="s">
        <v>736</v>
      </c>
    </row>
    <row r="3652" spans="1:14" x14ac:dyDescent="0.25">
      <c r="A3652" s="8">
        <v>984542</v>
      </c>
      <c r="B3652" s="22" t="str">
        <f>IFERROR(VLOOKUP(A3652,VLOOKUPS!$A$2:B$12589,2,FALSE),"")</f>
        <v>Blueberries 18oz-standard</v>
      </c>
      <c r="E3652">
        <v>2.98</v>
      </c>
      <c r="F3652">
        <v>4.12</v>
      </c>
      <c r="G3652" s="13">
        <v>44634</v>
      </c>
      <c r="H3652" s="13"/>
      <c r="I3652" s="22" t="str">
        <f>VLOOKUP(J3652, Dropdowns!N:O, 2, FALSE)</f>
        <v>Standard</v>
      </c>
      <c r="J3652" t="s">
        <v>760</v>
      </c>
      <c r="L3652" s="17" t="s">
        <v>732</v>
      </c>
      <c r="M3652" s="17" t="s">
        <v>736</v>
      </c>
      <c r="N3652" s="17" t="s">
        <v>736</v>
      </c>
    </row>
    <row r="3653" spans="1:14" x14ac:dyDescent="0.25">
      <c r="A3653" s="8">
        <v>984621</v>
      </c>
      <c r="B3653" s="22" t="str">
        <f>IFERROR(VLOOKUP(A3653,VLOOKUPS!$A$2:B$12589,2,FALSE),"")</f>
        <v>Raspberries 12oz-standard</v>
      </c>
      <c r="E3653">
        <v>4.4800000000000004</v>
      </c>
      <c r="F3653">
        <v>5.62</v>
      </c>
      <c r="G3653" s="13">
        <v>44632</v>
      </c>
      <c r="H3653" s="13"/>
      <c r="I3653" s="22" t="str">
        <f>VLOOKUP(J3653, Dropdowns!N:O, 2, FALSE)</f>
        <v>Standard</v>
      </c>
      <c r="J3653" t="s">
        <v>761</v>
      </c>
      <c r="L3653" s="17" t="s">
        <v>732</v>
      </c>
      <c r="M3653" s="17" t="s">
        <v>738</v>
      </c>
      <c r="N3653" s="17">
        <v>2</v>
      </c>
    </row>
    <row r="3654" spans="1:14" x14ac:dyDescent="0.25">
      <c r="A3654" s="8">
        <v>995008</v>
      </c>
      <c r="B3654" s="22" t="str">
        <f>IFERROR(VLOOKUP(A3654,VLOOKUPS!$A$2:B$12589,2,FALSE),"")</f>
        <v>Shredded Lettuce 8oz-standard</v>
      </c>
      <c r="E3654">
        <v>1.88</v>
      </c>
      <c r="F3654">
        <v>1.18</v>
      </c>
      <c r="G3654" s="13">
        <v>44632</v>
      </c>
      <c r="H3654" s="13">
        <v>44633</v>
      </c>
      <c r="I3654" s="22" t="str">
        <f>VLOOKUP(J3654, Dropdowns!N:O, 2, FALSE)</f>
        <v>Lower Price</v>
      </c>
      <c r="J3654" t="s">
        <v>759</v>
      </c>
      <c r="L3654" s="17" t="s">
        <v>733</v>
      </c>
      <c r="M3654" s="17" t="s">
        <v>11</v>
      </c>
      <c r="N3654" s="17" t="s">
        <v>740</v>
      </c>
    </row>
    <row r="3655" spans="1:14" x14ac:dyDescent="0.25">
      <c r="A3655" s="8">
        <v>995008</v>
      </c>
      <c r="B3655" s="22" t="str">
        <f>IFERROR(VLOOKUP(A3655,VLOOKUPS!$A$2:B$12589,2,FALSE),"")</f>
        <v>Shredded Lettuce 8oz-standard</v>
      </c>
      <c r="E3655">
        <v>1.18</v>
      </c>
      <c r="F3655">
        <v>1.88</v>
      </c>
      <c r="G3655" s="13">
        <v>44634</v>
      </c>
      <c r="H3655" s="13"/>
      <c r="I3655" s="22" t="str">
        <f>VLOOKUP(J3655, Dropdowns!N:O, 2, FALSE)</f>
        <v>Standard</v>
      </c>
      <c r="J3655" t="s">
        <v>760</v>
      </c>
      <c r="L3655" s="17" t="s">
        <v>733</v>
      </c>
      <c r="M3655" s="17" t="s">
        <v>11</v>
      </c>
      <c r="N3655" s="17" t="s">
        <v>740</v>
      </c>
    </row>
    <row r="3656" spans="1:14" x14ac:dyDescent="0.25">
      <c r="A3656" s="8">
        <v>995043</v>
      </c>
      <c r="B3656" s="22" t="str">
        <f>IFERROR(VLOOKUP(A3656,VLOOKUPS!$A$2:B$12589,2,FALSE),"")</f>
        <v>Watermelon Chunks 16oz-standard</v>
      </c>
      <c r="E3656">
        <v>4.4800000000000004</v>
      </c>
      <c r="F3656">
        <v>3.48</v>
      </c>
      <c r="G3656" s="13">
        <v>44632</v>
      </c>
      <c r="H3656" s="13">
        <v>44633</v>
      </c>
      <c r="I3656" s="22" t="str">
        <f>VLOOKUP(J3656, Dropdowns!N:O, 2, FALSE)</f>
        <v>Lower Price</v>
      </c>
      <c r="J3656" t="s">
        <v>759</v>
      </c>
      <c r="L3656" s="17" t="s">
        <v>732</v>
      </c>
      <c r="M3656" s="17" t="s">
        <v>9</v>
      </c>
      <c r="N3656" s="17" t="s">
        <v>736</v>
      </c>
    </row>
    <row r="3657" spans="1:14" x14ac:dyDescent="0.25">
      <c r="A3657" s="8">
        <v>995043</v>
      </c>
      <c r="B3657" s="22" t="str">
        <f>IFERROR(VLOOKUP(A3657,VLOOKUPS!$A$2:B$12589,2,FALSE),"")</f>
        <v>Watermelon Chunks 16oz-standard</v>
      </c>
      <c r="E3657">
        <v>3.48</v>
      </c>
      <c r="F3657">
        <v>4.4800000000000004</v>
      </c>
      <c r="G3657" s="13">
        <v>44634</v>
      </c>
      <c r="H3657" s="13"/>
      <c r="I3657" s="22" t="str">
        <f>VLOOKUP(J3657, Dropdowns!N:O, 2, FALSE)</f>
        <v>Standard</v>
      </c>
      <c r="J3657" t="s">
        <v>760</v>
      </c>
      <c r="L3657" s="17" t="s">
        <v>732</v>
      </c>
      <c r="M3657" s="17" t="s">
        <v>9</v>
      </c>
      <c r="N3657" s="17" t="s">
        <v>736</v>
      </c>
    </row>
    <row r="3658" spans="1:14" x14ac:dyDescent="0.25">
      <c r="A3658" s="8">
        <v>995115</v>
      </c>
      <c r="B3658" s="22" t="str">
        <f>IFERROR(VLOOKUP(A3658,VLOOKUPS!$A$2:B$12589,2,FALSE),"")</f>
        <v>Pineapple Chunks 10oz-standard</v>
      </c>
      <c r="E3658">
        <v>3.24</v>
      </c>
      <c r="F3658">
        <v>1.98</v>
      </c>
      <c r="G3658" s="13">
        <v>44632</v>
      </c>
      <c r="H3658" s="13">
        <v>44633</v>
      </c>
      <c r="I3658" s="22" t="str">
        <f>VLOOKUP(J3658, Dropdowns!N:O, 2, FALSE)</f>
        <v>Lower Price</v>
      </c>
      <c r="J3658" t="s">
        <v>759</v>
      </c>
      <c r="L3658" s="17" t="s">
        <v>732</v>
      </c>
      <c r="M3658" s="17" t="s">
        <v>9</v>
      </c>
      <c r="N3658" s="17" t="s">
        <v>736</v>
      </c>
    </row>
    <row r="3659" spans="1:14" x14ac:dyDescent="0.25">
      <c r="A3659" s="8">
        <v>995115</v>
      </c>
      <c r="B3659" s="22" t="str">
        <f>IFERROR(VLOOKUP(A3659,VLOOKUPS!$A$2:B$12589,2,FALSE),"")</f>
        <v>Pineapple Chunks 10oz-standard</v>
      </c>
      <c r="E3659">
        <v>1.98</v>
      </c>
      <c r="F3659">
        <v>3.24</v>
      </c>
      <c r="G3659" s="13">
        <v>44634</v>
      </c>
      <c r="H3659" s="13"/>
      <c r="I3659" s="22" t="str">
        <f>VLOOKUP(J3659, Dropdowns!N:O, 2, FALSE)</f>
        <v>Standard</v>
      </c>
      <c r="J3659" t="s">
        <v>760</v>
      </c>
      <c r="L3659" s="17" t="s">
        <v>732</v>
      </c>
      <c r="M3659" s="17" t="s">
        <v>9</v>
      </c>
      <c r="N3659" s="17" t="s">
        <v>736</v>
      </c>
    </row>
    <row r="3660" spans="1:14" x14ac:dyDescent="0.25">
      <c r="A3660" s="8">
        <v>995144</v>
      </c>
      <c r="B3660" s="22" t="str">
        <f>IFERROR(VLOOKUP(A3660,VLOOKUPS!$A$2:B$12589,2,FALSE),"")</f>
        <v>Asparagus Spears 10oz-standard</v>
      </c>
      <c r="E3660">
        <v>3.98</v>
      </c>
      <c r="F3660">
        <v>2.98</v>
      </c>
      <c r="G3660" s="13">
        <v>44632</v>
      </c>
      <c r="H3660" s="13">
        <v>44633</v>
      </c>
      <c r="I3660" s="22" t="str">
        <f>VLOOKUP(J3660, Dropdowns!N:O, 2, FALSE)</f>
        <v>Lower Price</v>
      </c>
      <c r="J3660" t="s">
        <v>759</v>
      </c>
      <c r="L3660" s="17" t="s">
        <v>732</v>
      </c>
      <c r="M3660" s="17" t="s">
        <v>737</v>
      </c>
      <c r="N3660" s="17" t="s">
        <v>736</v>
      </c>
    </row>
    <row r="3661" spans="1:14" x14ac:dyDescent="0.25">
      <c r="A3661" s="8">
        <v>995144</v>
      </c>
      <c r="B3661" s="22" t="str">
        <f>IFERROR(VLOOKUP(A3661,VLOOKUPS!$A$2:B$12589,2,FALSE),"")</f>
        <v>Asparagus Spears 10oz-standard</v>
      </c>
      <c r="E3661">
        <v>2.98</v>
      </c>
      <c r="F3661">
        <v>3.98</v>
      </c>
      <c r="G3661" s="13">
        <v>44634</v>
      </c>
      <c r="H3661" s="13"/>
      <c r="I3661" s="22" t="str">
        <f>VLOOKUP(J3661, Dropdowns!N:O, 2, FALSE)</f>
        <v>Standard</v>
      </c>
      <c r="J3661" t="s">
        <v>760</v>
      </c>
      <c r="L3661" s="17" t="s">
        <v>732</v>
      </c>
      <c r="M3661" s="17" t="s">
        <v>737</v>
      </c>
      <c r="N3661" s="17" t="s">
        <v>736</v>
      </c>
    </row>
    <row r="3662" spans="1:14" x14ac:dyDescent="0.25">
      <c r="A3662" s="8">
        <v>988620</v>
      </c>
      <c r="B3662" s="22" t="str">
        <f>IFERROR(VLOOKUP(A3662,VLOOKUPS!$A$2:B$12589,2,FALSE),"")</f>
        <v>Brussels Sprouts 1lb-standard</v>
      </c>
      <c r="G3662" s="13">
        <v>44632</v>
      </c>
      <c r="H3662" s="13">
        <v>44635</v>
      </c>
      <c r="I3662" s="22" t="str">
        <f>VLOOKUP(J3662, Dropdowns!N:O, 2, FALSE)</f>
        <v>Lower Price</v>
      </c>
      <c r="J3662" t="s">
        <v>779</v>
      </c>
      <c r="L3662" s="17" t="s">
        <v>733</v>
      </c>
      <c r="M3662" s="17" t="s">
        <v>11</v>
      </c>
      <c r="N3662" s="17" t="s">
        <v>740</v>
      </c>
    </row>
    <row r="3663" spans="1:14" x14ac:dyDescent="0.25">
      <c r="A3663" s="8">
        <v>984460</v>
      </c>
      <c r="B3663" s="22" t="str">
        <f>IFERROR(VLOOKUP(A3663,VLOOKUPS!$A$2:B$12589,2,FALSE),"")</f>
        <v>Strawberries 1lb-standard</v>
      </c>
      <c r="E3663">
        <v>2.58</v>
      </c>
      <c r="F3663">
        <v>2.59</v>
      </c>
      <c r="G3663" s="13">
        <v>44635</v>
      </c>
      <c r="H3663" s="13"/>
      <c r="I3663" s="22" t="str">
        <f>VLOOKUP(J3663, Dropdowns!N:O, 2, FALSE)</f>
        <v>Standard</v>
      </c>
      <c r="J3663" t="s">
        <v>761</v>
      </c>
      <c r="L3663" s="17" t="s">
        <v>732</v>
      </c>
      <c r="M3663" s="17" t="s">
        <v>736</v>
      </c>
      <c r="N3663" s="17" t="s">
        <v>736</v>
      </c>
    </row>
    <row r="3664" spans="1:14" x14ac:dyDescent="0.25">
      <c r="A3664" s="8">
        <v>984582</v>
      </c>
      <c r="B3664" s="22" t="str">
        <f>IFERROR(VLOOKUP(A3664,VLOOKUPS!$A$2:B$12589,2,FALSE),"")</f>
        <v>Organic Blueberries 1pt-standard</v>
      </c>
      <c r="E3664">
        <v>4.72</v>
      </c>
      <c r="F3664">
        <v>4.26</v>
      </c>
      <c r="G3664" s="13">
        <v>44635</v>
      </c>
      <c r="H3664" s="13"/>
      <c r="I3664" s="22" t="str">
        <f>VLOOKUP(J3664, Dropdowns!N:O, 2, FALSE)</f>
        <v>Standard</v>
      </c>
      <c r="J3664" t="s">
        <v>761</v>
      </c>
      <c r="L3664" s="17" t="s">
        <v>732</v>
      </c>
      <c r="M3664" s="17" t="s">
        <v>736</v>
      </c>
      <c r="N3664" s="17" t="s">
        <v>736</v>
      </c>
    </row>
    <row r="3665" spans="1:14" x14ac:dyDescent="0.25">
      <c r="A3665" s="8">
        <v>984620</v>
      </c>
      <c r="B3665" s="22" t="str">
        <f>IFERROR(VLOOKUP(A3665,VLOOKUPS!$A$2:B$12589,2,FALSE),"")</f>
        <v>Raspberries 6oz-standard</v>
      </c>
      <c r="E3665">
        <v>3.2</v>
      </c>
      <c r="F3665">
        <v>1.6</v>
      </c>
      <c r="G3665" s="13">
        <v>44635</v>
      </c>
      <c r="H3665" s="13">
        <v>44636</v>
      </c>
      <c r="I3665" s="22" t="str">
        <f>VLOOKUP(J3665, Dropdowns!N:O, 2, FALSE)</f>
        <v>Lower Price</v>
      </c>
      <c r="J3665" t="s">
        <v>759</v>
      </c>
      <c r="L3665" s="17" t="s">
        <v>732</v>
      </c>
      <c r="M3665" s="17" t="s">
        <v>736</v>
      </c>
      <c r="N3665" s="17" t="s">
        <v>736</v>
      </c>
    </row>
    <row r="3666" spans="1:14" x14ac:dyDescent="0.25">
      <c r="A3666" s="8">
        <v>984620</v>
      </c>
      <c r="B3666" s="22" t="str">
        <f>IFERROR(VLOOKUP(A3666,VLOOKUPS!$A$2:B$12589,2,FALSE),"")</f>
        <v>Raspberries 6oz-standard</v>
      </c>
      <c r="E3666">
        <v>1.6</v>
      </c>
      <c r="F3666">
        <v>3.2</v>
      </c>
      <c r="G3666" s="13">
        <v>44637</v>
      </c>
      <c r="H3666" s="13"/>
      <c r="I3666" s="22" t="str">
        <f>VLOOKUP(J3666, Dropdowns!N:O, 2, FALSE)</f>
        <v>Standard</v>
      </c>
      <c r="J3666" t="s">
        <v>760</v>
      </c>
      <c r="L3666" s="17" t="s">
        <v>732</v>
      </c>
      <c r="M3666" s="17" t="s">
        <v>736</v>
      </c>
      <c r="N3666" s="17" t="s">
        <v>736</v>
      </c>
    </row>
    <row r="3667" spans="1:14" x14ac:dyDescent="0.25">
      <c r="A3667" s="8">
        <v>987560</v>
      </c>
      <c r="B3667" s="22" t="str">
        <f>IFERROR(VLOOKUP(A3667,VLOOKUPS!$A$2:B$12589,2,FALSE),"")</f>
        <v>Celery 1ct-standard</v>
      </c>
      <c r="E3667">
        <v>1.92</v>
      </c>
      <c r="F3667">
        <v>1.64</v>
      </c>
      <c r="G3667" s="13">
        <v>44635</v>
      </c>
      <c r="H3667" s="13"/>
      <c r="I3667" s="22" t="str">
        <f>VLOOKUP(J3667, Dropdowns!N:O, 2, FALSE)</f>
        <v>Standard</v>
      </c>
      <c r="J3667" t="s">
        <v>761</v>
      </c>
      <c r="L3667" s="17" t="s">
        <v>732</v>
      </c>
      <c r="M3667" s="17" t="s">
        <v>736</v>
      </c>
      <c r="N3667" s="17" t="s">
        <v>736</v>
      </c>
    </row>
    <row r="3668" spans="1:14" x14ac:dyDescent="0.25">
      <c r="A3668" s="8">
        <v>995115</v>
      </c>
      <c r="B3668" s="22" t="str">
        <f>IFERROR(VLOOKUP(A3668,VLOOKUPS!$A$2:B$12589,2,FALSE),"")</f>
        <v>Pineapple Chunks 10oz-standard</v>
      </c>
      <c r="E3668">
        <v>3.24</v>
      </c>
      <c r="F3668">
        <v>1.68</v>
      </c>
      <c r="G3668" s="13">
        <v>44635</v>
      </c>
      <c r="H3668" s="13">
        <v>44635</v>
      </c>
      <c r="I3668" s="22" t="str">
        <f>VLOOKUP(J3668, Dropdowns!N:O, 2, FALSE)</f>
        <v>Lower Price</v>
      </c>
      <c r="J3668" t="s">
        <v>759</v>
      </c>
      <c r="L3668" s="17" t="s">
        <v>732</v>
      </c>
      <c r="M3668" s="17" t="s">
        <v>9</v>
      </c>
      <c r="N3668" s="17" t="s">
        <v>736</v>
      </c>
    </row>
    <row r="3669" spans="1:14" x14ac:dyDescent="0.25">
      <c r="A3669" s="8">
        <v>995115</v>
      </c>
      <c r="B3669" s="22" t="str">
        <f>IFERROR(VLOOKUP(A3669,VLOOKUPS!$A$2:B$12589,2,FALSE),"")</f>
        <v>Pineapple Chunks 10oz-standard</v>
      </c>
      <c r="E3669">
        <v>1.68</v>
      </c>
      <c r="F3669">
        <v>3.24</v>
      </c>
      <c r="G3669" s="13">
        <v>44636</v>
      </c>
      <c r="H3669" s="13"/>
      <c r="I3669" s="22" t="str">
        <f>VLOOKUP(J3669, Dropdowns!N:O, 2, FALSE)</f>
        <v>Standard</v>
      </c>
      <c r="J3669" t="s">
        <v>760</v>
      </c>
      <c r="L3669" s="17" t="s">
        <v>732</v>
      </c>
      <c r="M3669" s="17" t="s">
        <v>9</v>
      </c>
      <c r="N3669" s="17" t="s">
        <v>736</v>
      </c>
    </row>
    <row r="3670" spans="1:14" x14ac:dyDescent="0.25">
      <c r="A3670" s="8">
        <v>983201</v>
      </c>
      <c r="B3670" s="22" t="str">
        <f>IFERROR(VLOOKUP(A3670,VLOOKUPS!$A$2:B$12589,2,FALSE),"")</f>
        <v>Melons* Honeydew 1ct-LOOSE</v>
      </c>
      <c r="E3670">
        <v>3.98</v>
      </c>
      <c r="F3670">
        <v>2.98</v>
      </c>
      <c r="G3670" s="13">
        <v>44635</v>
      </c>
      <c r="H3670" s="13">
        <v>44636</v>
      </c>
      <c r="I3670" s="22" t="str">
        <f>VLOOKUP(J3670, Dropdowns!N:O, 2, FALSE)</f>
        <v>Lower Price</v>
      </c>
      <c r="J3670" t="s">
        <v>759</v>
      </c>
      <c r="L3670" s="17" t="s">
        <v>732</v>
      </c>
      <c r="M3670" s="17" t="s">
        <v>735</v>
      </c>
      <c r="N3670" s="17" t="s">
        <v>736</v>
      </c>
    </row>
    <row r="3671" spans="1:14" x14ac:dyDescent="0.25">
      <c r="A3671" s="8">
        <v>983201</v>
      </c>
      <c r="B3671" s="22" t="str">
        <f>IFERROR(VLOOKUP(A3671,VLOOKUPS!$A$2:B$12589,2,FALSE),"")</f>
        <v>Melons* Honeydew 1ct-LOOSE</v>
      </c>
      <c r="E3671">
        <v>2.98</v>
      </c>
      <c r="F3671">
        <v>3.98</v>
      </c>
      <c r="G3671" s="13">
        <v>44637</v>
      </c>
      <c r="H3671" s="13"/>
      <c r="I3671" s="22" t="str">
        <f>VLOOKUP(J3671, Dropdowns!N:O, 2, FALSE)</f>
        <v>Standard</v>
      </c>
      <c r="J3671" t="s">
        <v>760</v>
      </c>
      <c r="L3671" s="17" t="s">
        <v>732</v>
      </c>
      <c r="M3671" s="17" t="s">
        <v>735</v>
      </c>
      <c r="N3671" s="17" t="s">
        <v>736</v>
      </c>
    </row>
    <row r="3672" spans="1:14" x14ac:dyDescent="0.25">
      <c r="A3672" s="8">
        <v>982650</v>
      </c>
      <c r="B3672" s="22" t="str">
        <f>IFERROR(VLOOKUP(A3672,VLOOKUPS!$A$2:B$12589,2,FALSE),"")</f>
        <v>Grapes* Green Seedless 1lb-LOOSE</v>
      </c>
      <c r="E3672">
        <v>2.1</v>
      </c>
      <c r="F3672">
        <v>1.29</v>
      </c>
      <c r="G3672" s="13">
        <v>44635</v>
      </c>
      <c r="H3672" s="13">
        <v>44636</v>
      </c>
      <c r="I3672" s="22" t="str">
        <f>VLOOKUP(J3672, Dropdowns!N:O, 2, FALSE)</f>
        <v>Lower Price</v>
      </c>
      <c r="J3672" t="s">
        <v>759</v>
      </c>
      <c r="L3672" s="17" t="s">
        <v>732</v>
      </c>
      <c r="M3672" s="17" t="s">
        <v>9</v>
      </c>
      <c r="N3672" s="17" t="s">
        <v>736</v>
      </c>
    </row>
    <row r="3673" spans="1:14" x14ac:dyDescent="0.25">
      <c r="A3673" s="8">
        <v>982650</v>
      </c>
      <c r="B3673" s="22" t="str">
        <f>IFERROR(VLOOKUP(A3673,VLOOKUPS!$A$2:B$12589,2,FALSE),"")</f>
        <v>Grapes* Green Seedless 1lb-LOOSE</v>
      </c>
      <c r="E3673">
        <v>1.29</v>
      </c>
      <c r="F3673">
        <v>2.1</v>
      </c>
      <c r="G3673" s="13">
        <v>44637</v>
      </c>
      <c r="H3673" s="13"/>
      <c r="I3673" s="22" t="str">
        <f>VLOOKUP(J3673, Dropdowns!N:O, 2, FALSE)</f>
        <v>Standard</v>
      </c>
      <c r="J3673" t="s">
        <v>760</v>
      </c>
      <c r="L3673" s="17" t="s">
        <v>732</v>
      </c>
      <c r="M3673" s="17" t="s">
        <v>9</v>
      </c>
      <c r="N3673" s="17" t="s">
        <v>736</v>
      </c>
    </row>
    <row r="3674" spans="1:14" x14ac:dyDescent="0.25">
      <c r="A3674" s="8">
        <v>985760</v>
      </c>
      <c r="B3674" s="22" t="str">
        <f>IFERROR(VLOOKUP(A3674,VLOOKUPS!$A$2:B$12589,2,FALSE),"")</f>
        <v>Asparagus 1lb-standard</v>
      </c>
      <c r="E3674">
        <v>2.99</v>
      </c>
      <c r="F3674">
        <v>1.99</v>
      </c>
      <c r="G3674" s="13">
        <v>44636</v>
      </c>
      <c r="H3674" s="13">
        <v>44637</v>
      </c>
      <c r="I3674" s="22" t="str">
        <f>VLOOKUP(J3674, Dropdowns!N:O, 2, FALSE)</f>
        <v>Lower Price</v>
      </c>
      <c r="J3674" t="s">
        <v>759</v>
      </c>
      <c r="L3674" s="17" t="s">
        <v>732</v>
      </c>
      <c r="M3674" s="17" t="s">
        <v>738</v>
      </c>
      <c r="N3674" s="17">
        <v>2</v>
      </c>
    </row>
    <row r="3675" spans="1:14" x14ac:dyDescent="0.25">
      <c r="A3675" s="8">
        <v>985760</v>
      </c>
      <c r="B3675" s="22" t="str">
        <f>IFERROR(VLOOKUP(A3675,VLOOKUPS!$A$2:B$12589,2,FALSE),"")</f>
        <v>Asparagus 1lb-standard</v>
      </c>
      <c r="E3675">
        <v>1.99</v>
      </c>
      <c r="F3675">
        <v>2.99</v>
      </c>
      <c r="G3675" s="13">
        <v>44638</v>
      </c>
      <c r="H3675" s="13"/>
      <c r="I3675" s="22" t="str">
        <f>VLOOKUP(J3675, Dropdowns!N:O, 2, FALSE)</f>
        <v>Standard</v>
      </c>
      <c r="J3675" t="s">
        <v>760</v>
      </c>
      <c r="L3675" s="17" t="s">
        <v>732</v>
      </c>
      <c r="M3675" s="17" t="s">
        <v>738</v>
      </c>
      <c r="N3675" s="17">
        <v>2</v>
      </c>
    </row>
    <row r="3676" spans="1:14" x14ac:dyDescent="0.25">
      <c r="A3676" s="8">
        <v>995035</v>
      </c>
      <c r="B3676" s="22" t="str">
        <f>IFERROR(VLOOKUP(A3676,VLOOKUPS!$A$2:B$12589,2,FALSE),"")</f>
        <v>Kale Greens 16oz-standard</v>
      </c>
      <c r="E3676">
        <v>2.2799999999999998</v>
      </c>
      <c r="F3676">
        <v>2.99</v>
      </c>
      <c r="G3676" s="13">
        <v>44636</v>
      </c>
      <c r="H3676" s="13"/>
      <c r="I3676" s="22" t="str">
        <f>VLOOKUP(J3676, Dropdowns!N:O, 2, FALSE)</f>
        <v>Standard</v>
      </c>
      <c r="J3676" t="s">
        <v>761</v>
      </c>
      <c r="L3676" s="17" t="s">
        <v>732</v>
      </c>
      <c r="M3676" s="17" t="s">
        <v>736</v>
      </c>
      <c r="N3676" s="17" t="s">
        <v>736</v>
      </c>
    </row>
    <row r="3677" spans="1:14" x14ac:dyDescent="0.25">
      <c r="A3677" s="8">
        <v>995112</v>
      </c>
      <c r="B3677" s="22" t="str">
        <f>IFERROR(VLOOKUP(A3677,VLOOKUPS!$A$2:B$12589,2,FALSE),"")</f>
        <v>Dill Pickle Chopped Salad 11.75oz-standard</v>
      </c>
      <c r="E3677">
        <v>3.49</v>
      </c>
      <c r="F3677">
        <v>2.4900000000000002</v>
      </c>
      <c r="G3677" s="13">
        <v>44636</v>
      </c>
      <c r="H3677" s="13">
        <v>44637</v>
      </c>
      <c r="I3677" s="22" t="str">
        <f>VLOOKUP(J3677, Dropdowns!N:O, 2, FALSE)</f>
        <v>Lower Price</v>
      </c>
      <c r="J3677" t="s">
        <v>759</v>
      </c>
      <c r="L3677" s="17" t="s">
        <v>732</v>
      </c>
      <c r="M3677" s="17" t="s">
        <v>10</v>
      </c>
      <c r="N3677" s="17">
        <v>2</v>
      </c>
    </row>
    <row r="3678" spans="1:14" x14ac:dyDescent="0.25">
      <c r="A3678" s="8">
        <v>995112</v>
      </c>
      <c r="B3678" s="22" t="str">
        <f>IFERROR(VLOOKUP(A3678,VLOOKUPS!$A$2:B$12589,2,FALSE),"")</f>
        <v>Dill Pickle Chopped Salad 11.75oz-standard</v>
      </c>
      <c r="E3678">
        <v>2.4900000000000002</v>
      </c>
      <c r="F3678">
        <v>3.49</v>
      </c>
      <c r="G3678" s="13">
        <v>44638</v>
      </c>
      <c r="H3678" s="13"/>
      <c r="I3678" s="22" t="str">
        <f>VLOOKUP(J3678, Dropdowns!N:O, 2, FALSE)</f>
        <v>Standard</v>
      </c>
      <c r="J3678" t="s">
        <v>760</v>
      </c>
      <c r="L3678" s="17" t="s">
        <v>732</v>
      </c>
      <c r="M3678" s="17" t="s">
        <v>10</v>
      </c>
      <c r="N3678" s="17">
        <v>2</v>
      </c>
    </row>
    <row r="3679" spans="1:14" x14ac:dyDescent="0.25">
      <c r="A3679" s="8">
        <v>995131</v>
      </c>
      <c r="B3679" s="22" t="str">
        <f>IFERROR(VLOOKUP(A3679,VLOOKUPS!$A$2:B$12589,2,FALSE),"")</f>
        <v>Organic Baby Spinach &amp; Baby Kale 5oz-standard</v>
      </c>
      <c r="E3679">
        <v>2.98</v>
      </c>
      <c r="F3679">
        <v>1.98</v>
      </c>
      <c r="G3679" s="13">
        <v>44636</v>
      </c>
      <c r="H3679" s="13">
        <v>44637</v>
      </c>
      <c r="I3679" s="22" t="str">
        <f>VLOOKUP(J3679, Dropdowns!N:O, 2, FALSE)</f>
        <v>Lower Price</v>
      </c>
      <c r="J3679" t="s">
        <v>759</v>
      </c>
      <c r="L3679" s="17" t="s">
        <v>733</v>
      </c>
      <c r="M3679" s="17" t="s">
        <v>11</v>
      </c>
      <c r="N3679" s="17" t="s">
        <v>740</v>
      </c>
    </row>
    <row r="3680" spans="1:14" x14ac:dyDescent="0.25">
      <c r="A3680" s="8">
        <v>995131</v>
      </c>
      <c r="B3680" s="22" t="str">
        <f>IFERROR(VLOOKUP(A3680,VLOOKUPS!$A$2:B$12589,2,FALSE),"")</f>
        <v>Organic Baby Spinach &amp; Baby Kale 5oz-standard</v>
      </c>
      <c r="E3680">
        <v>1.98</v>
      </c>
      <c r="F3680">
        <v>2.98</v>
      </c>
      <c r="G3680" s="13">
        <v>44638</v>
      </c>
      <c r="H3680" s="13"/>
      <c r="I3680" s="22" t="str">
        <f>VLOOKUP(J3680, Dropdowns!N:O, 2, FALSE)</f>
        <v>Standard</v>
      </c>
      <c r="J3680" t="s">
        <v>760</v>
      </c>
      <c r="L3680" s="17" t="s">
        <v>733</v>
      </c>
      <c r="M3680" s="17" t="s">
        <v>11</v>
      </c>
      <c r="N3680" s="17" t="s">
        <v>740</v>
      </c>
    </row>
    <row r="3681" spans="1:14" x14ac:dyDescent="0.25">
      <c r="A3681" s="8">
        <v>995162</v>
      </c>
      <c r="B3681" s="22" t="str">
        <f>IFERROR(VLOOKUP(A3681,VLOOKUPS!$A$2:B$12589,2,FALSE),"")</f>
        <v>Buffalo Ranch Salad Kit 12oz-standard</v>
      </c>
      <c r="E3681">
        <v>3.49</v>
      </c>
      <c r="F3681">
        <v>2.4900000000000002</v>
      </c>
      <c r="G3681" s="13">
        <v>44636</v>
      </c>
      <c r="H3681" s="13">
        <v>44637</v>
      </c>
      <c r="I3681" s="22" t="str">
        <f>VLOOKUP(J3681, Dropdowns!N:O, 2, FALSE)</f>
        <v>Lower Price</v>
      </c>
      <c r="J3681" t="s">
        <v>759</v>
      </c>
      <c r="L3681" s="17" t="s">
        <v>732</v>
      </c>
      <c r="M3681" s="17" t="s">
        <v>10</v>
      </c>
      <c r="N3681" s="17">
        <v>2</v>
      </c>
    </row>
    <row r="3682" spans="1:14" x14ac:dyDescent="0.25">
      <c r="A3682" s="8">
        <v>995162</v>
      </c>
      <c r="B3682" s="22" t="str">
        <f>IFERROR(VLOOKUP(A3682,VLOOKUPS!$A$2:B$12589,2,FALSE),"")</f>
        <v>Buffalo Ranch Salad Kit 12oz-standard</v>
      </c>
      <c r="E3682">
        <v>2.4900000000000002</v>
      </c>
      <c r="F3682">
        <v>3.49</v>
      </c>
      <c r="G3682" s="13">
        <v>44638</v>
      </c>
      <c r="H3682" s="13"/>
      <c r="I3682" s="22" t="str">
        <f>VLOOKUP(J3682, Dropdowns!N:O, 2, FALSE)</f>
        <v>Standard</v>
      </c>
      <c r="J3682" t="s">
        <v>760</v>
      </c>
      <c r="L3682" s="17" t="s">
        <v>732</v>
      </c>
      <c r="M3682" s="17" t="s">
        <v>10</v>
      </c>
      <c r="N3682" s="17">
        <v>2</v>
      </c>
    </row>
    <row r="3683" spans="1:14" x14ac:dyDescent="0.25">
      <c r="A3683" s="8">
        <v>995164</v>
      </c>
      <c r="B3683" s="22" t="str">
        <f>IFERROR(VLOOKUP(A3683,VLOOKUPS!$A$2:B$12589,2,FALSE),"")</f>
        <v>Spinach 10oz-standard</v>
      </c>
      <c r="E3683">
        <v>1.98</v>
      </c>
      <c r="F3683">
        <v>1.08</v>
      </c>
      <c r="G3683" s="13">
        <v>44636</v>
      </c>
      <c r="H3683" s="13">
        <v>44637</v>
      </c>
      <c r="I3683" s="22" t="str">
        <f>VLOOKUP(J3683, Dropdowns!N:O, 2, FALSE)</f>
        <v>Lower Price</v>
      </c>
      <c r="J3683" t="s">
        <v>759</v>
      </c>
      <c r="L3683" s="17" t="s">
        <v>732</v>
      </c>
      <c r="M3683" s="17" t="s">
        <v>9</v>
      </c>
      <c r="N3683" s="17" t="s">
        <v>736</v>
      </c>
    </row>
    <row r="3684" spans="1:14" x14ac:dyDescent="0.25">
      <c r="A3684" s="8">
        <v>995164</v>
      </c>
      <c r="B3684" s="22" t="str">
        <f>IFERROR(VLOOKUP(A3684,VLOOKUPS!$A$2:B$12589,2,FALSE),"")</f>
        <v>Spinach 10oz-standard</v>
      </c>
      <c r="E3684">
        <v>1.08</v>
      </c>
      <c r="F3684">
        <v>1.98</v>
      </c>
      <c r="G3684" s="13">
        <v>44638</v>
      </c>
      <c r="H3684" s="13"/>
      <c r="I3684" s="22" t="str">
        <f>VLOOKUP(J3684, Dropdowns!N:O, 2, FALSE)</f>
        <v>Standard</v>
      </c>
      <c r="J3684" t="s">
        <v>760</v>
      </c>
      <c r="L3684" s="17" t="s">
        <v>732</v>
      </c>
      <c r="M3684" s="17" t="s">
        <v>9</v>
      </c>
      <c r="N3684" s="17" t="s">
        <v>736</v>
      </c>
    </row>
    <row r="3685" spans="1:14" x14ac:dyDescent="0.25">
      <c r="A3685" s="8">
        <v>984460</v>
      </c>
      <c r="B3685" s="22" t="str">
        <f>IFERROR(VLOOKUP(A3685,VLOOKUPS!$A$2:B$12589,2,FALSE),"")</f>
        <v>Strawberries 1lb-standard</v>
      </c>
      <c r="G3685" s="13">
        <v>44636</v>
      </c>
      <c r="H3685" s="13">
        <v>44642</v>
      </c>
      <c r="I3685" s="22" t="str">
        <f>VLOOKUP(J3685, Dropdowns!N:O, 2, FALSE)</f>
        <v>Lower Price</v>
      </c>
      <c r="J3685" t="s">
        <v>753</v>
      </c>
      <c r="L3685" s="17" t="s">
        <v>732</v>
      </c>
      <c r="M3685" s="17" t="s">
        <v>736</v>
      </c>
      <c r="N3685" s="17" t="s">
        <v>736</v>
      </c>
    </row>
    <row r="3686" spans="1:14" x14ac:dyDescent="0.25">
      <c r="A3686" s="8">
        <v>986270</v>
      </c>
      <c r="B3686" s="22" t="str">
        <f>IFERROR(VLOOKUP(A3686,VLOOKUPS!$A$2:B$12589,2,FALSE),"")</f>
        <v>Organic French Beans 1lb-standard</v>
      </c>
      <c r="G3686" s="13">
        <v>44636</v>
      </c>
      <c r="H3686" s="13">
        <v>44642</v>
      </c>
      <c r="I3686" s="22" t="str">
        <f>VLOOKUP(J3686, Dropdowns!N:O, 2, FALSE)</f>
        <v>Lower Price</v>
      </c>
      <c r="J3686" t="s">
        <v>753</v>
      </c>
      <c r="L3686" s="17" t="s">
        <v>732</v>
      </c>
      <c r="M3686" s="17" t="s">
        <v>736</v>
      </c>
      <c r="N3686" s="17" t="s">
        <v>736</v>
      </c>
    </row>
    <row r="3687" spans="1:14" x14ac:dyDescent="0.25">
      <c r="A3687" s="8">
        <v>984582</v>
      </c>
      <c r="B3687" s="22" t="str">
        <f>IFERROR(VLOOKUP(A3687,VLOOKUPS!$A$2:B$12589,2,FALSE),"")</f>
        <v>Organic Blueberries 1pt-standard</v>
      </c>
      <c r="G3687" s="13">
        <v>44636</v>
      </c>
      <c r="H3687" s="13">
        <v>44642</v>
      </c>
      <c r="I3687" s="22" t="str">
        <f>VLOOKUP(J3687, Dropdowns!N:O, 2, FALSE)</f>
        <v>Lower Price</v>
      </c>
      <c r="J3687" t="s">
        <v>753</v>
      </c>
      <c r="L3687" s="17" t="s">
        <v>732</v>
      </c>
      <c r="M3687" s="17" t="s">
        <v>736</v>
      </c>
      <c r="N3687" s="17" t="s">
        <v>736</v>
      </c>
    </row>
    <row r="3688" spans="1:14" x14ac:dyDescent="0.25">
      <c r="A3688" s="8">
        <v>995069</v>
      </c>
      <c r="B3688" s="22" t="str">
        <f>IFERROR(VLOOKUP(A3688,VLOOKUPS!$A$2:B$12589,2,FALSE),"")</f>
        <v>Organic Baby Spinach 5oz-standard</v>
      </c>
      <c r="G3688" s="13">
        <v>44636</v>
      </c>
      <c r="H3688" s="13">
        <v>44642</v>
      </c>
      <c r="I3688" s="22" t="str">
        <f>VLOOKUP(J3688, Dropdowns!N:O, 2, FALSE)</f>
        <v>Lower Price</v>
      </c>
      <c r="J3688" t="s">
        <v>753</v>
      </c>
      <c r="L3688" s="17" t="s">
        <v>732</v>
      </c>
      <c r="M3688" s="17" t="s">
        <v>736</v>
      </c>
      <c r="N3688" s="17" t="s">
        <v>736</v>
      </c>
    </row>
    <row r="3689" spans="1:14" x14ac:dyDescent="0.25">
      <c r="A3689" s="8">
        <v>985190</v>
      </c>
      <c r="B3689" s="22" t="str">
        <f>IFERROR(VLOOKUP(A3689,VLOOKUPS!$A$2:B$12589,2,FALSE),"")</f>
        <v>Organic Romaine Hearts 3ct-standard</v>
      </c>
      <c r="G3689" s="13">
        <v>44636</v>
      </c>
      <c r="H3689" s="13">
        <v>44642</v>
      </c>
      <c r="I3689" s="22" t="str">
        <f>VLOOKUP(J3689, Dropdowns!N:O, 2, FALSE)</f>
        <v>Lower Price</v>
      </c>
      <c r="J3689" t="s">
        <v>753</v>
      </c>
      <c r="L3689" s="17" t="s">
        <v>732</v>
      </c>
      <c r="M3689" s="17" t="s">
        <v>736</v>
      </c>
      <c r="N3689" s="17" t="s">
        <v>736</v>
      </c>
    </row>
    <row r="3690" spans="1:14" x14ac:dyDescent="0.25">
      <c r="A3690" s="8">
        <v>988620</v>
      </c>
      <c r="B3690" s="22" t="str">
        <f>IFERROR(VLOOKUP(A3690,VLOOKUPS!$A$2:B$12589,2,FALSE),"")</f>
        <v>Brussels Sprouts 1lb-standard</v>
      </c>
      <c r="E3690">
        <v>1.29</v>
      </c>
      <c r="F3690">
        <v>2.98</v>
      </c>
      <c r="G3690" s="13">
        <v>44636</v>
      </c>
      <c r="H3690" s="13"/>
      <c r="I3690" s="22" t="str">
        <f>VLOOKUP(J3690, Dropdowns!N:O, 2, FALSE)</f>
        <v>Standard</v>
      </c>
      <c r="J3690" t="s">
        <v>760</v>
      </c>
      <c r="L3690" s="17" t="s">
        <v>732</v>
      </c>
      <c r="M3690" s="17" t="s">
        <v>736</v>
      </c>
      <c r="N3690" s="17" t="s">
        <v>736</v>
      </c>
    </row>
    <row r="3691" spans="1:14" x14ac:dyDescent="0.25">
      <c r="A3691" s="8">
        <v>982712</v>
      </c>
      <c r="B3691" s="22" t="str">
        <f>IFERROR(VLOOKUP(A3691,VLOOKUPS!$A$2:B$12589,2,FALSE),"")</f>
        <v>Organic Grapes Red 1lb-standard</v>
      </c>
      <c r="E3691">
        <v>4.99</v>
      </c>
      <c r="F3691">
        <v>3.49</v>
      </c>
      <c r="G3691" s="13">
        <v>44636</v>
      </c>
      <c r="H3691" s="13">
        <v>44637</v>
      </c>
      <c r="I3691" s="22" t="str">
        <f>VLOOKUP(J3691, Dropdowns!N:O, 2, FALSE)</f>
        <v>Lower Price</v>
      </c>
      <c r="J3691" t="s">
        <v>759</v>
      </c>
      <c r="L3691" s="17" t="s">
        <v>732</v>
      </c>
      <c r="M3691" s="17" t="s">
        <v>735</v>
      </c>
      <c r="N3691" s="17" t="s">
        <v>736</v>
      </c>
    </row>
    <row r="3692" spans="1:14" x14ac:dyDescent="0.25">
      <c r="A3692" s="8">
        <v>982712</v>
      </c>
      <c r="B3692" s="22" t="str">
        <f>IFERROR(VLOOKUP(A3692,VLOOKUPS!$A$2:B$12589,2,FALSE),"")</f>
        <v>Organic Grapes Red 1lb-standard</v>
      </c>
      <c r="E3692">
        <v>3.49</v>
      </c>
      <c r="F3692">
        <v>4.99</v>
      </c>
      <c r="G3692" s="13">
        <v>44638</v>
      </c>
      <c r="H3692" s="13"/>
      <c r="I3692" s="22" t="str">
        <f>VLOOKUP(J3692, Dropdowns!N:O, 2, FALSE)</f>
        <v>Standard</v>
      </c>
      <c r="J3692" t="s">
        <v>760</v>
      </c>
      <c r="L3692" s="17" t="s">
        <v>732</v>
      </c>
      <c r="M3692" s="17" t="s">
        <v>735</v>
      </c>
      <c r="N3692" s="17" t="s">
        <v>736</v>
      </c>
    </row>
    <row r="3693" spans="1:14" x14ac:dyDescent="0.25">
      <c r="A3693" s="8">
        <v>983103</v>
      </c>
      <c r="B3693" s="22" t="str">
        <f>IFERROR(VLOOKUP(A3693,VLOOKUPS!$A$2:B$12589,2,FALSE),"")</f>
        <v>MelonsGolden Canary 1ct.-LOOSE</v>
      </c>
      <c r="E3693">
        <v>3.98</v>
      </c>
      <c r="F3693">
        <v>2.98</v>
      </c>
      <c r="G3693" s="13">
        <v>44636</v>
      </c>
      <c r="H3693" s="13">
        <v>44637</v>
      </c>
      <c r="I3693" s="22" t="str">
        <f>VLOOKUP(J3693, Dropdowns!N:O, 2, FALSE)</f>
        <v>Lower Price</v>
      </c>
      <c r="J3693" t="s">
        <v>759</v>
      </c>
      <c r="L3693" s="17" t="s">
        <v>732</v>
      </c>
      <c r="M3693" s="17" t="s">
        <v>10</v>
      </c>
      <c r="N3693" s="17">
        <v>2</v>
      </c>
    </row>
    <row r="3694" spans="1:14" x14ac:dyDescent="0.25">
      <c r="A3694" s="8">
        <v>983103</v>
      </c>
      <c r="B3694" s="22" t="str">
        <f>IFERROR(VLOOKUP(A3694,VLOOKUPS!$A$2:B$12589,2,FALSE),"")</f>
        <v>MelonsGolden Canary 1ct.-LOOSE</v>
      </c>
      <c r="E3694">
        <v>2.98</v>
      </c>
      <c r="F3694">
        <v>3.98</v>
      </c>
      <c r="G3694" s="13">
        <v>44638</v>
      </c>
      <c r="H3694" s="13"/>
      <c r="I3694" s="22" t="str">
        <f>VLOOKUP(J3694, Dropdowns!N:O, 2, FALSE)</f>
        <v>Standard</v>
      </c>
      <c r="J3694" t="s">
        <v>760</v>
      </c>
      <c r="L3694" s="17" t="s">
        <v>732</v>
      </c>
      <c r="M3694" s="17" t="s">
        <v>10</v>
      </c>
      <c r="N3694" s="17">
        <v>2</v>
      </c>
    </row>
    <row r="3695" spans="1:14" x14ac:dyDescent="0.25">
      <c r="A3695" s="8">
        <v>982830</v>
      </c>
      <c r="B3695" s="22" t="str">
        <f>IFERROR(VLOOKUP(A3695,VLOOKUPS!$A$2:B$12589,2,FALSE),"")</f>
        <v>Grapes* Black Seedless 1lb-LOOSE</v>
      </c>
      <c r="E3695">
        <v>1.88</v>
      </c>
      <c r="F3695">
        <v>1.29</v>
      </c>
      <c r="G3695" s="13">
        <v>44637</v>
      </c>
      <c r="H3695" s="13">
        <v>44638</v>
      </c>
      <c r="I3695" s="22" t="str">
        <f>VLOOKUP(J3695, Dropdowns!N:O, 2, FALSE)</f>
        <v>Lower Price</v>
      </c>
      <c r="J3695" t="s">
        <v>759</v>
      </c>
      <c r="L3695" s="17" t="s">
        <v>732</v>
      </c>
      <c r="M3695" s="17" t="s">
        <v>9</v>
      </c>
      <c r="N3695" s="17" t="s">
        <v>736</v>
      </c>
    </row>
    <row r="3696" spans="1:14" x14ac:dyDescent="0.25">
      <c r="A3696" s="8">
        <v>982830</v>
      </c>
      <c r="B3696" s="22" t="str">
        <f>IFERROR(VLOOKUP(A3696,VLOOKUPS!$A$2:B$12589,2,FALSE),"")</f>
        <v>Grapes* Black Seedless 1lb-LOOSE</v>
      </c>
      <c r="E3696">
        <v>1.29</v>
      </c>
      <c r="F3696">
        <v>1.88</v>
      </c>
      <c r="G3696" s="13">
        <v>44639</v>
      </c>
      <c r="H3696" s="13"/>
      <c r="I3696" s="22" t="str">
        <f>VLOOKUP(J3696, Dropdowns!N:O, 2, FALSE)</f>
        <v>Standard</v>
      </c>
      <c r="J3696" t="s">
        <v>760</v>
      </c>
      <c r="L3696" s="17" t="s">
        <v>732</v>
      </c>
      <c r="M3696" s="17" t="s">
        <v>9</v>
      </c>
      <c r="N3696" s="17" t="s">
        <v>736</v>
      </c>
    </row>
    <row r="3697" spans="1:17" x14ac:dyDescent="0.25">
      <c r="A3697" s="8">
        <v>984621</v>
      </c>
      <c r="B3697" s="22" t="str">
        <f>IFERROR(VLOOKUP(A3697,VLOOKUPS!$A$2:B$12589,2,FALSE),"")</f>
        <v>Raspberries 12oz-standard</v>
      </c>
      <c r="E3697">
        <v>5.62</v>
      </c>
      <c r="F3697">
        <v>3.98</v>
      </c>
      <c r="G3697" s="13">
        <v>44637</v>
      </c>
      <c r="H3697" s="13">
        <v>44638</v>
      </c>
      <c r="I3697" s="22" t="str">
        <f>VLOOKUP(J3697, Dropdowns!N:O, 2, FALSE)</f>
        <v>Lower Price</v>
      </c>
      <c r="J3697" t="s">
        <v>759</v>
      </c>
      <c r="L3697" s="17" t="s">
        <v>732</v>
      </c>
      <c r="M3697" s="17" t="s">
        <v>9</v>
      </c>
      <c r="N3697" s="17" t="s">
        <v>736</v>
      </c>
    </row>
    <row r="3698" spans="1:17" x14ac:dyDescent="0.25">
      <c r="A3698" s="8">
        <v>984701</v>
      </c>
      <c r="B3698" s="22" t="str">
        <f>IFERROR(VLOOKUP(A3698,VLOOKUPS!$A$2:B$12589,2,FALSE),"")</f>
        <v>Blackberries Super Sweet 6oz-standard</v>
      </c>
      <c r="E3698">
        <v>3.49</v>
      </c>
      <c r="F3698">
        <v>2.29</v>
      </c>
      <c r="G3698" s="13">
        <v>44637</v>
      </c>
      <c r="H3698" s="13">
        <v>44638</v>
      </c>
      <c r="I3698" s="22" t="str">
        <f>VLOOKUP(J3698, Dropdowns!N:O, 2, FALSE)</f>
        <v>Lower Price</v>
      </c>
      <c r="J3698" t="s">
        <v>759</v>
      </c>
      <c r="L3698" s="17" t="s">
        <v>732</v>
      </c>
      <c r="M3698" s="17" t="s">
        <v>735</v>
      </c>
      <c r="N3698" s="17" t="s">
        <v>736</v>
      </c>
    </row>
    <row r="3699" spans="1:17" x14ac:dyDescent="0.25">
      <c r="A3699" s="8">
        <v>984621</v>
      </c>
      <c r="B3699" s="22" t="str">
        <f>IFERROR(VLOOKUP(A3699,VLOOKUPS!$A$2:B$12589,2,FALSE),"")</f>
        <v>Raspberries 12oz-standard</v>
      </c>
      <c r="E3699">
        <v>3.98</v>
      </c>
      <c r="F3699">
        <v>5.62</v>
      </c>
      <c r="G3699" s="13">
        <v>44639</v>
      </c>
      <c r="H3699" s="13"/>
      <c r="I3699" s="22" t="str">
        <f>VLOOKUP(J3699, Dropdowns!N:O, 2, FALSE)</f>
        <v>Standard</v>
      </c>
      <c r="J3699" t="s">
        <v>760</v>
      </c>
      <c r="L3699" s="17" t="s">
        <v>732</v>
      </c>
      <c r="M3699" s="17" t="s">
        <v>9</v>
      </c>
      <c r="N3699" s="17" t="s">
        <v>736</v>
      </c>
    </row>
    <row r="3700" spans="1:17" x14ac:dyDescent="0.25">
      <c r="A3700" s="8">
        <v>984701</v>
      </c>
      <c r="B3700" s="22" t="str">
        <f>IFERROR(VLOOKUP(A3700,VLOOKUPS!$A$2:B$12589,2,FALSE),"")</f>
        <v>Blackberries Super Sweet 6oz-standard</v>
      </c>
      <c r="E3700">
        <v>2.29</v>
      </c>
      <c r="F3700">
        <v>3.49</v>
      </c>
      <c r="G3700" s="13">
        <v>44639</v>
      </c>
      <c r="H3700" s="13"/>
      <c r="I3700" s="22" t="str">
        <f>VLOOKUP(J3700, Dropdowns!N:O, 2, FALSE)</f>
        <v>Standard</v>
      </c>
      <c r="J3700" t="s">
        <v>760</v>
      </c>
      <c r="L3700" s="17" t="s">
        <v>732</v>
      </c>
      <c r="M3700" s="17" t="s">
        <v>735</v>
      </c>
      <c r="N3700" s="17" t="s">
        <v>736</v>
      </c>
    </row>
    <row r="3701" spans="1:17" x14ac:dyDescent="0.25">
      <c r="A3701" s="8">
        <v>988640</v>
      </c>
      <c r="B3701" s="22" t="str">
        <f>IFERROR(VLOOKUP(A3701,VLOOKUPS!$A$2:B$12589,2,FALSE),"")</f>
        <v>Organic Brussels Sprouts 1lb-standard</v>
      </c>
      <c r="D3701">
        <v>16</v>
      </c>
      <c r="F3701">
        <v>3.98</v>
      </c>
      <c r="G3701" s="13">
        <v>44637</v>
      </c>
      <c r="H3701" s="13"/>
      <c r="I3701" s="22" t="str">
        <f>VLOOKUP(J3701, Dropdowns!N:O, 2, FALSE)</f>
        <v>New</v>
      </c>
      <c r="J3701" t="s">
        <v>776</v>
      </c>
      <c r="L3701" s="17" t="s">
        <v>732</v>
      </c>
      <c r="M3701" s="17" t="s">
        <v>736</v>
      </c>
      <c r="N3701" s="17" t="s">
        <v>736</v>
      </c>
      <c r="O3701" s="17" t="s">
        <v>748</v>
      </c>
      <c r="P3701">
        <v>1</v>
      </c>
      <c r="Q3701" s="17" t="s">
        <v>1035</v>
      </c>
    </row>
    <row r="3702" spans="1:17" x14ac:dyDescent="0.25">
      <c r="A3702" s="8">
        <v>995006</v>
      </c>
      <c r="B3702" s="22" t="str">
        <f>IFERROR(VLOOKUP(A3702,VLOOKUPS!$A$2:B$12589,2,FALSE),"")</f>
        <v>Italian Salad 9oz-standard</v>
      </c>
      <c r="E3702">
        <v>2.29</v>
      </c>
      <c r="F3702">
        <v>1.49</v>
      </c>
      <c r="G3702" s="13">
        <v>44637</v>
      </c>
      <c r="H3702" s="13">
        <v>44638</v>
      </c>
      <c r="I3702" s="22" t="str">
        <f>VLOOKUP(J3702, Dropdowns!N:O, 2, FALSE)</f>
        <v>Lower Price</v>
      </c>
      <c r="J3702" t="s">
        <v>759</v>
      </c>
      <c r="L3702" s="17" t="s">
        <v>733</v>
      </c>
      <c r="M3702" s="17" t="s">
        <v>738</v>
      </c>
      <c r="N3702" s="17" t="s">
        <v>740</v>
      </c>
    </row>
    <row r="3703" spans="1:17" x14ac:dyDescent="0.25">
      <c r="A3703" s="8">
        <v>995006</v>
      </c>
      <c r="B3703" s="22" t="str">
        <f>IFERROR(VLOOKUP(A3703,VLOOKUPS!$A$2:B$12589,2,FALSE),"")</f>
        <v>Italian Salad 9oz-standard</v>
      </c>
      <c r="E3703">
        <v>1.49</v>
      </c>
      <c r="F3703">
        <v>2.29</v>
      </c>
      <c r="G3703" s="13">
        <v>44639</v>
      </c>
      <c r="H3703" s="13"/>
      <c r="I3703" s="22" t="str">
        <f>VLOOKUP(J3703, Dropdowns!N:O, 2, FALSE)</f>
        <v>Standard</v>
      </c>
      <c r="J3703" t="s">
        <v>760</v>
      </c>
      <c r="L3703" s="17" t="s">
        <v>733</v>
      </c>
      <c r="M3703" s="17" t="s">
        <v>738</v>
      </c>
      <c r="N3703" s="17" t="s">
        <v>740</v>
      </c>
    </row>
    <row r="3704" spans="1:17" x14ac:dyDescent="0.25">
      <c r="A3704" s="8">
        <v>995008</v>
      </c>
      <c r="B3704" s="22" t="str">
        <f>IFERROR(VLOOKUP(A3704,VLOOKUPS!$A$2:B$12589,2,FALSE),"")</f>
        <v>Shredded Lettuce 8oz-standard</v>
      </c>
      <c r="E3704">
        <v>1.88</v>
      </c>
      <c r="F3704">
        <v>1.28</v>
      </c>
      <c r="G3704" s="13">
        <v>44637</v>
      </c>
      <c r="H3704" s="13">
        <v>44638</v>
      </c>
      <c r="I3704" s="22" t="str">
        <f>VLOOKUP(J3704, Dropdowns!N:O, 2, FALSE)</f>
        <v>Lower Price</v>
      </c>
      <c r="J3704" t="s">
        <v>759</v>
      </c>
      <c r="L3704" s="17" t="s">
        <v>732</v>
      </c>
      <c r="M3704" s="17" t="s">
        <v>735</v>
      </c>
      <c r="N3704" s="17" t="s">
        <v>736</v>
      </c>
    </row>
    <row r="3705" spans="1:17" x14ac:dyDescent="0.25">
      <c r="A3705" s="8">
        <v>995008</v>
      </c>
      <c r="B3705" s="22" t="str">
        <f>IFERROR(VLOOKUP(A3705,VLOOKUPS!$A$2:B$12589,2,FALSE),"")</f>
        <v>Shredded Lettuce 8oz-standard</v>
      </c>
      <c r="E3705">
        <v>1.28</v>
      </c>
      <c r="F3705">
        <v>1.88</v>
      </c>
      <c r="G3705" s="13">
        <v>44639</v>
      </c>
      <c r="H3705" s="13"/>
      <c r="I3705" s="22" t="str">
        <f>VLOOKUP(J3705, Dropdowns!N:O, 2, FALSE)</f>
        <v>Standard</v>
      </c>
      <c r="J3705" t="s">
        <v>760</v>
      </c>
      <c r="L3705" s="17" t="s">
        <v>732</v>
      </c>
      <c r="M3705" s="17" t="s">
        <v>735</v>
      </c>
      <c r="N3705" s="17" t="s">
        <v>736</v>
      </c>
    </row>
    <row r="3706" spans="1:17" x14ac:dyDescent="0.25">
      <c r="A3706" s="8">
        <v>995043</v>
      </c>
      <c r="B3706" s="22" t="str">
        <f>IFERROR(VLOOKUP(A3706,VLOOKUPS!$A$2:B$12589,2,FALSE),"")</f>
        <v>Watermelon Chunks 16oz-standard</v>
      </c>
      <c r="E3706">
        <v>4.4800000000000004</v>
      </c>
      <c r="F3706">
        <v>3.28</v>
      </c>
      <c r="G3706" s="13">
        <v>44637</v>
      </c>
      <c r="H3706" s="13">
        <v>44638</v>
      </c>
      <c r="I3706" s="22" t="str">
        <f>VLOOKUP(J3706, Dropdowns!N:O, 2, FALSE)</f>
        <v>Lower Price</v>
      </c>
      <c r="J3706" t="s">
        <v>759</v>
      </c>
      <c r="L3706" s="17" t="s">
        <v>732</v>
      </c>
      <c r="M3706" s="17" t="s">
        <v>9</v>
      </c>
      <c r="N3706" s="17" t="s">
        <v>736</v>
      </c>
    </row>
    <row r="3707" spans="1:17" x14ac:dyDescent="0.25">
      <c r="A3707" s="8">
        <v>995043</v>
      </c>
      <c r="B3707" s="22" t="str">
        <f>IFERROR(VLOOKUP(A3707,VLOOKUPS!$A$2:B$12589,2,FALSE),"")</f>
        <v>Watermelon Chunks 16oz-standard</v>
      </c>
      <c r="E3707">
        <v>3.28</v>
      </c>
      <c r="F3707">
        <v>4.4800000000000004</v>
      </c>
      <c r="G3707" s="13">
        <v>44639</v>
      </c>
      <c r="H3707" s="13"/>
      <c r="I3707" s="22" t="str">
        <f>VLOOKUP(J3707, Dropdowns!N:O, 2, FALSE)</f>
        <v>Standard</v>
      </c>
      <c r="J3707" t="s">
        <v>760</v>
      </c>
      <c r="L3707" s="17" t="s">
        <v>732</v>
      </c>
      <c r="M3707" s="17" t="s">
        <v>9</v>
      </c>
      <c r="N3707" s="17" t="s">
        <v>736</v>
      </c>
    </row>
    <row r="3708" spans="1:17" x14ac:dyDescent="0.25">
      <c r="A3708" s="8">
        <v>995077</v>
      </c>
      <c r="B3708" s="22" t="str">
        <f>IFERROR(VLOOKUP(A3708,VLOOKUPS!$A$2:B$12589,2,FALSE),"")</f>
        <v>Organic Baby Spring Mix 16oz-standard</v>
      </c>
      <c r="E3708">
        <v>4.9800000000000004</v>
      </c>
      <c r="F3708">
        <v>3.48</v>
      </c>
      <c r="G3708" s="13">
        <v>44637</v>
      </c>
      <c r="H3708" s="13">
        <v>44638</v>
      </c>
      <c r="I3708" s="22" t="str">
        <f>VLOOKUP(J3708, Dropdowns!N:O, 2, FALSE)</f>
        <v>Lower Price</v>
      </c>
      <c r="J3708" t="s">
        <v>759</v>
      </c>
      <c r="L3708" s="17" t="s">
        <v>733</v>
      </c>
      <c r="M3708" s="17" t="s">
        <v>11</v>
      </c>
      <c r="N3708" s="17" t="s">
        <v>740</v>
      </c>
    </row>
    <row r="3709" spans="1:17" x14ac:dyDescent="0.25">
      <c r="A3709" s="8">
        <v>995077</v>
      </c>
      <c r="B3709" s="22" t="str">
        <f>IFERROR(VLOOKUP(A3709,VLOOKUPS!$A$2:B$12589,2,FALSE),"")</f>
        <v>Organic Baby Spring Mix 16oz-standard</v>
      </c>
      <c r="E3709">
        <v>3.48</v>
      </c>
      <c r="F3709">
        <v>4.9800000000000004</v>
      </c>
      <c r="G3709" s="13">
        <v>44639</v>
      </c>
      <c r="H3709" s="13"/>
      <c r="I3709" s="22" t="str">
        <f>VLOOKUP(J3709, Dropdowns!N:O, 2, FALSE)</f>
        <v>Standard</v>
      </c>
      <c r="J3709" t="s">
        <v>760</v>
      </c>
      <c r="L3709" s="17" t="s">
        <v>733</v>
      </c>
      <c r="M3709" s="17" t="s">
        <v>11</v>
      </c>
      <c r="N3709" s="17" t="s">
        <v>740</v>
      </c>
    </row>
    <row r="3710" spans="1:17" x14ac:dyDescent="0.25">
      <c r="A3710" s="8">
        <v>995078</v>
      </c>
      <c r="B3710" s="22" t="str">
        <f>IFERROR(VLOOKUP(A3710,VLOOKUPS!$A$2:B$12589,2,FALSE),"")</f>
        <v>Organic Baby Spinach 16oz-standard</v>
      </c>
      <c r="E3710">
        <v>4.9800000000000004</v>
      </c>
      <c r="F3710">
        <v>3.48</v>
      </c>
      <c r="G3710" s="13">
        <v>44637</v>
      </c>
      <c r="H3710" s="13">
        <v>44638</v>
      </c>
      <c r="I3710" s="22" t="str">
        <f>VLOOKUP(J3710, Dropdowns!N:O, 2, FALSE)</f>
        <v>Lower Price</v>
      </c>
      <c r="J3710" t="s">
        <v>759</v>
      </c>
      <c r="L3710" s="17" t="s">
        <v>732</v>
      </c>
      <c r="M3710" s="17" t="s">
        <v>10</v>
      </c>
      <c r="N3710" s="17">
        <v>2</v>
      </c>
    </row>
    <row r="3711" spans="1:17" x14ac:dyDescent="0.25">
      <c r="A3711" s="8">
        <v>995078</v>
      </c>
      <c r="B3711" s="22" t="str">
        <f>IFERROR(VLOOKUP(A3711,VLOOKUPS!$A$2:B$12589,2,FALSE),"")</f>
        <v>Organic Baby Spinach 16oz-standard</v>
      </c>
      <c r="E3711">
        <v>3.48</v>
      </c>
      <c r="F3711">
        <v>4.9800000000000004</v>
      </c>
      <c r="G3711" s="13">
        <v>44639</v>
      </c>
      <c r="H3711" s="13"/>
      <c r="I3711" s="22" t="str">
        <f>VLOOKUP(J3711, Dropdowns!N:O, 2, FALSE)</f>
        <v>Standard</v>
      </c>
      <c r="J3711" t="s">
        <v>760</v>
      </c>
      <c r="L3711" s="17" t="s">
        <v>732</v>
      </c>
      <c r="M3711" s="17" t="s">
        <v>10</v>
      </c>
      <c r="N3711" s="17">
        <v>2</v>
      </c>
    </row>
    <row r="3712" spans="1:17" x14ac:dyDescent="0.25">
      <c r="A3712" s="8">
        <v>995101</v>
      </c>
      <c r="B3712" s="22" t="str">
        <f>IFERROR(VLOOKUP(A3712,VLOOKUPS!$A$2:B$12589,2,FALSE),"")</f>
        <v>Avocado Ranch Salad Kit 11.3oz-standard</v>
      </c>
      <c r="E3712">
        <v>3.49</v>
      </c>
      <c r="F3712">
        <v>2.4900000000000002</v>
      </c>
      <c r="G3712" s="13">
        <v>44637</v>
      </c>
      <c r="H3712" s="13">
        <v>44638</v>
      </c>
      <c r="I3712" s="22" t="str">
        <f>VLOOKUP(J3712, Dropdowns!N:O, 2, FALSE)</f>
        <v>Lower Price</v>
      </c>
      <c r="J3712" t="s">
        <v>759</v>
      </c>
      <c r="L3712" s="17" t="s">
        <v>733</v>
      </c>
      <c r="M3712" s="17" t="s">
        <v>11</v>
      </c>
      <c r="N3712" s="17" t="s">
        <v>740</v>
      </c>
    </row>
    <row r="3713" spans="1:14" x14ac:dyDescent="0.25">
      <c r="A3713" s="8">
        <v>995101</v>
      </c>
      <c r="B3713" s="22" t="str">
        <f>IFERROR(VLOOKUP(A3713,VLOOKUPS!$A$2:B$12589,2,FALSE),"")</f>
        <v>Avocado Ranch Salad Kit 11.3oz-standard</v>
      </c>
      <c r="E3713">
        <v>2.4900000000000002</v>
      </c>
      <c r="F3713">
        <v>3.49</v>
      </c>
      <c r="G3713" s="13">
        <v>44639</v>
      </c>
      <c r="H3713" s="13"/>
      <c r="I3713" s="22" t="str">
        <f>VLOOKUP(J3713, Dropdowns!N:O, 2, FALSE)</f>
        <v>Standard</v>
      </c>
      <c r="J3713" t="s">
        <v>760</v>
      </c>
      <c r="L3713" s="17" t="s">
        <v>733</v>
      </c>
      <c r="M3713" s="17" t="s">
        <v>11</v>
      </c>
      <c r="N3713" s="17" t="s">
        <v>740</v>
      </c>
    </row>
    <row r="3714" spans="1:14" x14ac:dyDescent="0.25">
      <c r="A3714" s="8">
        <v>995102</v>
      </c>
      <c r="B3714" s="22" t="str">
        <f>IFERROR(VLOOKUP(A3714,VLOOKUPS!$A$2:B$12589,2,FALSE),"")</f>
        <v>Cantaloupe Chunks 16oz-standard</v>
      </c>
      <c r="E3714">
        <v>3.97</v>
      </c>
      <c r="F3714">
        <v>2.4700000000000002</v>
      </c>
      <c r="G3714" s="13">
        <v>44637</v>
      </c>
      <c r="H3714" s="13">
        <v>44638</v>
      </c>
      <c r="I3714" s="22" t="str">
        <f>VLOOKUP(J3714, Dropdowns!N:O, 2, FALSE)</f>
        <v>Lower Price</v>
      </c>
      <c r="J3714" t="s">
        <v>759</v>
      </c>
      <c r="L3714" s="17" t="s">
        <v>732</v>
      </c>
      <c r="M3714" s="17" t="s">
        <v>10</v>
      </c>
      <c r="N3714" s="17">
        <v>2</v>
      </c>
    </row>
    <row r="3715" spans="1:14" x14ac:dyDescent="0.25">
      <c r="A3715" s="8">
        <v>995102</v>
      </c>
      <c r="B3715" s="22" t="str">
        <f>IFERROR(VLOOKUP(A3715,VLOOKUPS!$A$2:B$12589,2,FALSE),"")</f>
        <v>Cantaloupe Chunks 16oz-standard</v>
      </c>
      <c r="E3715">
        <v>2.4700000000000002</v>
      </c>
      <c r="F3715">
        <v>3.97</v>
      </c>
      <c r="G3715" s="13">
        <v>44639</v>
      </c>
      <c r="H3715" s="13"/>
      <c r="I3715" s="22" t="str">
        <f>VLOOKUP(J3715, Dropdowns!N:O, 2, FALSE)</f>
        <v>Standard</v>
      </c>
      <c r="J3715" t="s">
        <v>760</v>
      </c>
      <c r="L3715" s="17" t="s">
        <v>732</v>
      </c>
      <c r="M3715" s="17" t="s">
        <v>10</v>
      </c>
      <c r="N3715" s="17">
        <v>2</v>
      </c>
    </row>
    <row r="3716" spans="1:14" x14ac:dyDescent="0.25">
      <c r="A3716" s="8">
        <v>995163</v>
      </c>
      <c r="B3716" s="22" t="str">
        <f>IFERROR(VLOOKUP(A3716,VLOOKUPS!$A$2:B$12589,2,FALSE),"")</f>
        <v>XL Caesar Salad Kit 15oz-standard</v>
      </c>
      <c r="E3716">
        <v>4.09</v>
      </c>
      <c r="F3716">
        <v>3.09</v>
      </c>
      <c r="G3716" s="13">
        <v>44637</v>
      </c>
      <c r="H3716" s="13">
        <v>44638</v>
      </c>
      <c r="I3716" s="22" t="str">
        <f>VLOOKUP(J3716, Dropdowns!N:O, 2, FALSE)</f>
        <v>Lower Price</v>
      </c>
      <c r="J3716" t="s">
        <v>759</v>
      </c>
      <c r="L3716" s="17" t="s">
        <v>732</v>
      </c>
      <c r="M3716" s="17" t="s">
        <v>9</v>
      </c>
      <c r="N3716" s="17" t="s">
        <v>736</v>
      </c>
    </row>
    <row r="3717" spans="1:14" x14ac:dyDescent="0.25">
      <c r="A3717" s="8">
        <v>995163</v>
      </c>
      <c r="B3717" s="22" t="str">
        <f>IFERROR(VLOOKUP(A3717,VLOOKUPS!$A$2:B$12589,2,FALSE),"")</f>
        <v>XL Caesar Salad Kit 15oz-standard</v>
      </c>
      <c r="E3717">
        <v>3.09</v>
      </c>
      <c r="F3717">
        <v>4.09</v>
      </c>
      <c r="G3717" s="13">
        <v>44639</v>
      </c>
      <c r="H3717" s="13"/>
      <c r="I3717" s="22" t="str">
        <f>VLOOKUP(J3717, Dropdowns!N:O, 2, FALSE)</f>
        <v>Standard</v>
      </c>
      <c r="J3717" t="s">
        <v>760</v>
      </c>
      <c r="L3717" s="17" t="s">
        <v>732</v>
      </c>
      <c r="M3717" s="17" t="s">
        <v>9</v>
      </c>
      <c r="N3717" s="17" t="s">
        <v>736</v>
      </c>
    </row>
    <row r="3718" spans="1:14" x14ac:dyDescent="0.25">
      <c r="A3718" s="8">
        <v>983105</v>
      </c>
      <c r="B3718" s="22" t="str">
        <f>IFERROR(VLOOKUP(A3718,VLOOKUPS!$A$2:B$12589,2,FALSE),"")</f>
        <v>Melons Galia 1ct-loose</v>
      </c>
      <c r="D3718">
        <v>8</v>
      </c>
      <c r="E3718">
        <v>3.18</v>
      </c>
      <c r="G3718" s="13">
        <v>44638</v>
      </c>
      <c r="H3718" s="13"/>
      <c r="I3718" s="22" t="str">
        <f>VLOOKUP(J3718, Dropdowns!N:O, 2, FALSE)</f>
        <v>New</v>
      </c>
      <c r="J3718" t="s">
        <v>776</v>
      </c>
      <c r="L3718" s="17" t="s">
        <v>732</v>
      </c>
      <c r="M3718" s="17" t="s">
        <v>735</v>
      </c>
      <c r="N3718" s="17" t="s">
        <v>736</v>
      </c>
    </row>
    <row r="3719" spans="1:14" x14ac:dyDescent="0.25">
      <c r="A3719" s="8">
        <v>983101</v>
      </c>
      <c r="B3719" s="22" t="str">
        <f>IFERROR(VLOOKUP(A3719,VLOOKUPS!$A$2:B$12589,2,FALSE),"")</f>
        <v>Melons Cantaloupes 1ct-LOOSE</v>
      </c>
      <c r="E3719">
        <v>2.98</v>
      </c>
      <c r="F3719">
        <v>2.48</v>
      </c>
      <c r="G3719" s="13">
        <v>44638</v>
      </c>
      <c r="H3719" s="13"/>
      <c r="I3719" s="22" t="str">
        <f>VLOOKUP(J3719, Dropdowns!N:O, 2, FALSE)</f>
        <v>Standard</v>
      </c>
      <c r="J3719" t="s">
        <v>761</v>
      </c>
      <c r="L3719" s="17" t="s">
        <v>732</v>
      </c>
      <c r="M3719" s="17" t="s">
        <v>736</v>
      </c>
      <c r="N3719" s="17" t="s">
        <v>736</v>
      </c>
    </row>
    <row r="3720" spans="1:14" x14ac:dyDescent="0.25">
      <c r="A3720" s="8">
        <v>982960</v>
      </c>
      <c r="B3720" s="22" t="str">
        <f>IFERROR(VLOOKUP(A3720,VLOOKUPS!$A$2:B$12589,2,FALSE),"")</f>
        <v>Grapes Specialty* 1lb-LOOSE</v>
      </c>
      <c r="E3720">
        <v>4.99</v>
      </c>
      <c r="F3720">
        <v>3.89</v>
      </c>
      <c r="G3720" s="13">
        <v>44638</v>
      </c>
      <c r="H3720" s="13"/>
      <c r="I3720" s="22" t="str">
        <f>VLOOKUP(J3720, Dropdowns!N:O, 2, FALSE)</f>
        <v>Standard</v>
      </c>
      <c r="J3720" t="s">
        <v>761</v>
      </c>
      <c r="L3720" s="17" t="s">
        <v>732</v>
      </c>
      <c r="M3720" s="17" t="s">
        <v>736</v>
      </c>
      <c r="N3720" s="17" t="s">
        <v>736</v>
      </c>
    </row>
    <row r="3721" spans="1:14" x14ac:dyDescent="0.25">
      <c r="A3721" s="8">
        <v>983105</v>
      </c>
      <c r="B3721" s="22" t="str">
        <f>IFERROR(VLOOKUP(A3721,VLOOKUPS!$A$2:B$12589,2,FALSE),"")</f>
        <v>Melons Galia 1ct-loose</v>
      </c>
      <c r="D3721">
        <v>8</v>
      </c>
      <c r="E3721">
        <v>3.18</v>
      </c>
      <c r="G3721" s="13">
        <v>44639</v>
      </c>
      <c r="H3721" s="13"/>
      <c r="I3721" s="22" t="str">
        <f>VLOOKUP(J3721, Dropdowns!N:O, 2, FALSE)</f>
        <v>New</v>
      </c>
      <c r="J3721" t="s">
        <v>776</v>
      </c>
      <c r="L3721" s="17" t="s">
        <v>732</v>
      </c>
      <c r="M3721" s="17" t="s">
        <v>11</v>
      </c>
      <c r="N3721" s="17" t="s">
        <v>740</v>
      </c>
    </row>
    <row r="3722" spans="1:14" x14ac:dyDescent="0.25">
      <c r="A3722" s="8">
        <v>984620</v>
      </c>
      <c r="B3722" s="22" t="str">
        <f>IFERROR(VLOOKUP(A3722,VLOOKUPS!$A$2:B$12589,2,FALSE),"")</f>
        <v>Raspberries 6oz-standard</v>
      </c>
      <c r="E3722">
        <v>3.2</v>
      </c>
      <c r="F3722">
        <v>2.98</v>
      </c>
      <c r="G3722" s="13">
        <v>44638</v>
      </c>
      <c r="H3722" s="13"/>
      <c r="I3722" s="22" t="str">
        <f>VLOOKUP(J3722, Dropdowns!N:O, 2, FALSE)</f>
        <v>Standard</v>
      </c>
      <c r="J3722" t="s">
        <v>761</v>
      </c>
      <c r="L3722" s="17" t="s">
        <v>732</v>
      </c>
      <c r="M3722" s="17" t="s">
        <v>736</v>
      </c>
      <c r="N3722" s="17" t="s">
        <v>736</v>
      </c>
    </row>
    <row r="3723" spans="1:14" x14ac:dyDescent="0.25">
      <c r="A3723" s="8">
        <v>984702</v>
      </c>
      <c r="B3723" s="22" t="str">
        <f>IFERROR(VLOOKUP(A3723,VLOOKUPS!$A$2:B$12589,2,FALSE),"")</f>
        <v>Blackberries 12oz-standard</v>
      </c>
      <c r="E3723">
        <v>3.72</v>
      </c>
      <c r="F3723">
        <v>3.78</v>
      </c>
      <c r="G3723" s="13">
        <v>44638</v>
      </c>
      <c r="H3723" s="13"/>
      <c r="I3723" s="22" t="str">
        <f>VLOOKUP(J3723, Dropdowns!N:O, 2, FALSE)</f>
        <v>Standard</v>
      </c>
      <c r="J3723" t="s">
        <v>761</v>
      </c>
      <c r="L3723" s="17" t="s">
        <v>732</v>
      </c>
      <c r="M3723" s="17" t="s">
        <v>736</v>
      </c>
      <c r="N3723" s="17" t="s">
        <v>736</v>
      </c>
    </row>
    <row r="3724" spans="1:14" x14ac:dyDescent="0.25">
      <c r="A3724" s="8">
        <v>985160</v>
      </c>
      <c r="B3724" s="22" t="str">
        <f>IFERROR(VLOOKUP(A3724,VLOOKUPS!$A$2:B$12589,2,FALSE),"")</f>
        <v>Romaine Hearts 3ct-standard</v>
      </c>
      <c r="E3724">
        <v>2.62</v>
      </c>
      <c r="F3724">
        <v>3.48</v>
      </c>
      <c r="G3724" s="13">
        <v>44638</v>
      </c>
      <c r="H3724" s="13"/>
      <c r="I3724" s="22" t="str">
        <f>VLOOKUP(J3724, Dropdowns!N:O, 2, FALSE)</f>
        <v>Standard</v>
      </c>
      <c r="J3724" t="s">
        <v>761</v>
      </c>
      <c r="L3724" s="17" t="s">
        <v>732</v>
      </c>
      <c r="M3724" s="17" t="s">
        <v>736</v>
      </c>
      <c r="N3724" s="17" t="s">
        <v>736</v>
      </c>
    </row>
    <row r="3725" spans="1:14" x14ac:dyDescent="0.25">
      <c r="A3725" s="8">
        <v>995021</v>
      </c>
      <c r="B3725" s="22" t="str">
        <f>IFERROR(VLOOKUP(A3725,VLOOKUPS!$A$2:B$12589,2,FALSE),"")</f>
        <v>Chopped Bacon Caesar Kit 10.2oz-standard</v>
      </c>
      <c r="E3725">
        <v>3.49</v>
      </c>
      <c r="F3725">
        <v>1.99</v>
      </c>
      <c r="G3725" s="13">
        <v>44638</v>
      </c>
      <c r="H3725" s="13">
        <v>44639</v>
      </c>
      <c r="I3725" s="22" t="str">
        <f>VLOOKUP(J3725, Dropdowns!N:O, 2, FALSE)</f>
        <v>Lower Price</v>
      </c>
      <c r="J3725" t="s">
        <v>759</v>
      </c>
      <c r="L3725" s="17" t="s">
        <v>732</v>
      </c>
      <c r="M3725" s="17" t="s">
        <v>735</v>
      </c>
      <c r="N3725" s="17" t="s">
        <v>736</v>
      </c>
    </row>
    <row r="3726" spans="1:14" x14ac:dyDescent="0.25">
      <c r="A3726" s="8">
        <v>995021</v>
      </c>
      <c r="B3726" s="22" t="str">
        <f>IFERROR(VLOOKUP(A3726,VLOOKUPS!$A$2:B$12589,2,FALSE),"")</f>
        <v>Chopped Bacon Caesar Kit 10.2oz-standard</v>
      </c>
      <c r="E3726">
        <v>1.99</v>
      </c>
      <c r="F3726">
        <v>3.49</v>
      </c>
      <c r="G3726" s="13">
        <v>44640</v>
      </c>
      <c r="H3726" s="13"/>
      <c r="I3726" s="22" t="str">
        <f>VLOOKUP(J3726, Dropdowns!N:O, 2, FALSE)</f>
        <v>Standard</v>
      </c>
      <c r="J3726" t="s">
        <v>760</v>
      </c>
      <c r="L3726" s="17" t="s">
        <v>732</v>
      </c>
      <c r="M3726" s="17" t="s">
        <v>735</v>
      </c>
      <c r="N3726" s="17" t="s">
        <v>736</v>
      </c>
    </row>
    <row r="3727" spans="1:14" x14ac:dyDescent="0.25">
      <c r="A3727" s="8">
        <v>995078</v>
      </c>
      <c r="B3727" s="22" t="str">
        <f>IFERROR(VLOOKUP(A3727,VLOOKUPS!$A$2:B$12589,2,FALSE),"")</f>
        <v>Organic Baby Spinach 16oz-standard</v>
      </c>
      <c r="E3727">
        <v>4.9800000000000004</v>
      </c>
      <c r="F3727">
        <v>3.98</v>
      </c>
      <c r="G3727" s="13">
        <v>44638</v>
      </c>
      <c r="H3727" s="13">
        <v>44640</v>
      </c>
      <c r="I3727" s="22" t="str">
        <f>VLOOKUP(J3727, Dropdowns!N:O, 2, FALSE)</f>
        <v>Lower Price</v>
      </c>
      <c r="J3727" t="s">
        <v>759</v>
      </c>
      <c r="L3727" s="17" t="s">
        <v>733</v>
      </c>
      <c r="M3727" s="17" t="s">
        <v>11</v>
      </c>
      <c r="N3727" s="17" t="s">
        <v>740</v>
      </c>
    </row>
    <row r="3728" spans="1:14" x14ac:dyDescent="0.25">
      <c r="A3728" s="8">
        <v>995078</v>
      </c>
      <c r="B3728" s="22" t="str">
        <f>IFERROR(VLOOKUP(A3728,VLOOKUPS!$A$2:B$12589,2,FALSE),"")</f>
        <v>Organic Baby Spinach 16oz-standard</v>
      </c>
      <c r="E3728">
        <v>3.98</v>
      </c>
      <c r="F3728">
        <v>4.9800000000000004</v>
      </c>
      <c r="G3728" s="13">
        <v>44641</v>
      </c>
      <c r="H3728" s="13"/>
      <c r="I3728" s="22" t="str">
        <f>VLOOKUP(J3728, Dropdowns!N:O, 2, FALSE)</f>
        <v>Standard</v>
      </c>
      <c r="J3728" t="s">
        <v>760</v>
      </c>
      <c r="L3728" s="17" t="s">
        <v>733</v>
      </c>
      <c r="M3728" s="17" t="s">
        <v>11</v>
      </c>
      <c r="N3728" s="17" t="s">
        <v>740</v>
      </c>
    </row>
    <row r="3729" spans="1:14" x14ac:dyDescent="0.25">
      <c r="A3729" s="8">
        <v>995086</v>
      </c>
      <c r="B3729" s="22" t="str">
        <f>IFERROR(VLOOKUP(A3729,VLOOKUPS!$A$2:B$12589,2,FALSE),"")</f>
        <v>Eat Smart Broccoli Florets 2lbs-standard</v>
      </c>
      <c r="E3729">
        <v>5.98</v>
      </c>
      <c r="F3729">
        <v>3.88</v>
      </c>
      <c r="G3729" s="13">
        <v>44638</v>
      </c>
      <c r="H3729" s="13">
        <v>44639</v>
      </c>
      <c r="I3729" s="22" t="str">
        <f>VLOOKUP(J3729, Dropdowns!N:O, 2, FALSE)</f>
        <v>Lower Price</v>
      </c>
      <c r="J3729" t="s">
        <v>759</v>
      </c>
      <c r="L3729" s="17" t="s">
        <v>732</v>
      </c>
      <c r="M3729" s="17" t="s">
        <v>735</v>
      </c>
      <c r="N3729" s="17" t="s">
        <v>736</v>
      </c>
    </row>
    <row r="3730" spans="1:14" x14ac:dyDescent="0.25">
      <c r="A3730" s="8">
        <v>995086</v>
      </c>
      <c r="B3730" s="22" t="str">
        <f>IFERROR(VLOOKUP(A3730,VLOOKUPS!$A$2:B$12589,2,FALSE),"")</f>
        <v>Eat Smart Broccoli Florets 2lbs-standard</v>
      </c>
      <c r="E3730">
        <v>3.88</v>
      </c>
      <c r="F3730">
        <v>5.98</v>
      </c>
      <c r="G3730" s="13">
        <v>44640</v>
      </c>
      <c r="H3730" s="13"/>
      <c r="I3730" s="22" t="str">
        <f>VLOOKUP(J3730, Dropdowns!N:O, 2, FALSE)</f>
        <v>Standard</v>
      </c>
      <c r="J3730" t="s">
        <v>760</v>
      </c>
      <c r="L3730" s="17" t="s">
        <v>732</v>
      </c>
      <c r="M3730" s="17" t="s">
        <v>735</v>
      </c>
      <c r="N3730" s="17" t="s">
        <v>736</v>
      </c>
    </row>
    <row r="3731" spans="1:14" x14ac:dyDescent="0.25">
      <c r="A3731" s="8">
        <v>995101</v>
      </c>
      <c r="B3731" s="22" t="str">
        <f>IFERROR(VLOOKUP(A3731,VLOOKUPS!$A$2:B$12589,2,FALSE),"")</f>
        <v>Avocado Ranch Salad Kit 11.3oz-standard</v>
      </c>
      <c r="E3731">
        <v>3.49</v>
      </c>
      <c r="F3731">
        <v>1.99</v>
      </c>
      <c r="G3731" s="13">
        <v>44638</v>
      </c>
      <c r="H3731" s="13">
        <v>44639</v>
      </c>
      <c r="I3731" s="22" t="str">
        <f>VLOOKUP(J3731, Dropdowns!N:O, 2, FALSE)</f>
        <v>Lower Price</v>
      </c>
      <c r="J3731" t="s">
        <v>759</v>
      </c>
      <c r="L3731" s="17" t="s">
        <v>732</v>
      </c>
      <c r="M3731" s="17" t="s">
        <v>10</v>
      </c>
      <c r="N3731" s="17">
        <v>2</v>
      </c>
    </row>
    <row r="3732" spans="1:14" x14ac:dyDescent="0.25">
      <c r="A3732" s="8">
        <v>995101</v>
      </c>
      <c r="B3732" s="22" t="str">
        <f>IFERROR(VLOOKUP(A3732,VLOOKUPS!$A$2:B$12589,2,FALSE),"")</f>
        <v>Avocado Ranch Salad Kit 11.3oz-standard</v>
      </c>
      <c r="E3732">
        <v>1.99</v>
      </c>
      <c r="F3732">
        <v>3.49</v>
      </c>
      <c r="G3732" s="13">
        <v>44640</v>
      </c>
      <c r="H3732" s="13"/>
      <c r="I3732" s="22" t="str">
        <f>VLOOKUP(J3732, Dropdowns!N:O, 2, FALSE)</f>
        <v>Standard</v>
      </c>
      <c r="J3732" t="s">
        <v>760</v>
      </c>
      <c r="L3732" s="17" t="s">
        <v>732</v>
      </c>
      <c r="M3732" s="17" t="s">
        <v>10</v>
      </c>
      <c r="N3732" s="17">
        <v>2</v>
      </c>
    </row>
    <row r="3733" spans="1:14" x14ac:dyDescent="0.25">
      <c r="A3733" s="8">
        <v>995144</v>
      </c>
      <c r="B3733" s="22" t="str">
        <f>IFERROR(VLOOKUP(A3733,VLOOKUPS!$A$2:B$12589,2,FALSE),"")</f>
        <v>Asparagus Spears 10oz-standard</v>
      </c>
      <c r="E3733">
        <v>3.98</v>
      </c>
      <c r="F3733">
        <v>2.98</v>
      </c>
      <c r="G3733" s="13">
        <v>44638</v>
      </c>
      <c r="H3733" s="13">
        <v>44639</v>
      </c>
      <c r="I3733" s="22" t="str">
        <f>VLOOKUP(J3733, Dropdowns!N:O, 2, FALSE)</f>
        <v>Lower Price</v>
      </c>
      <c r="J3733" t="s">
        <v>759</v>
      </c>
      <c r="L3733" s="17" t="s">
        <v>732</v>
      </c>
      <c r="M3733" s="17" t="s">
        <v>736</v>
      </c>
      <c r="N3733" s="17" t="s">
        <v>736</v>
      </c>
    </row>
    <row r="3734" spans="1:14" x14ac:dyDescent="0.25">
      <c r="A3734" s="8">
        <v>995144</v>
      </c>
      <c r="B3734" s="22" t="str">
        <f>IFERROR(VLOOKUP(A3734,VLOOKUPS!$A$2:B$12589,2,FALSE),"")</f>
        <v>Asparagus Spears 10oz-standard</v>
      </c>
      <c r="E3734">
        <v>2.98</v>
      </c>
      <c r="F3734">
        <v>3.98</v>
      </c>
      <c r="G3734" s="13">
        <v>44640</v>
      </c>
      <c r="H3734" s="13"/>
      <c r="I3734" s="22" t="str">
        <f>VLOOKUP(J3734, Dropdowns!N:O, 2, FALSE)</f>
        <v>Standard</v>
      </c>
      <c r="J3734" t="s">
        <v>760</v>
      </c>
      <c r="L3734" s="17" t="s">
        <v>732</v>
      </c>
      <c r="M3734" s="17" t="s">
        <v>736</v>
      </c>
      <c r="N3734" s="17" t="s">
        <v>736</v>
      </c>
    </row>
    <row r="3735" spans="1:14" x14ac:dyDescent="0.25">
      <c r="A3735" s="8">
        <v>983104</v>
      </c>
      <c r="B3735" s="22" t="str">
        <f>IFERROR(VLOOKUP(A3735,VLOOKUPS!$A$2:B$12589,2,FALSE),"")</f>
        <v>Melons Dino 1ct.-LOOSE</v>
      </c>
      <c r="E3735">
        <v>3.98</v>
      </c>
      <c r="F3735">
        <v>3.19</v>
      </c>
      <c r="G3735" s="13">
        <v>44638</v>
      </c>
      <c r="H3735" s="13">
        <v>44639</v>
      </c>
      <c r="I3735" s="22" t="str">
        <f>VLOOKUP(J3735, Dropdowns!N:O, 2, FALSE)</f>
        <v>Lower Price</v>
      </c>
      <c r="J3735" t="s">
        <v>759</v>
      </c>
      <c r="L3735" s="17" t="s">
        <v>732</v>
      </c>
      <c r="M3735" s="17" t="s">
        <v>738</v>
      </c>
      <c r="N3735" s="17">
        <v>2</v>
      </c>
    </row>
    <row r="3736" spans="1:14" x14ac:dyDescent="0.25">
      <c r="A3736" s="8">
        <v>983104</v>
      </c>
      <c r="B3736" s="22" t="str">
        <f>IFERROR(VLOOKUP(A3736,VLOOKUPS!$A$2:B$12589,2,FALSE),"")</f>
        <v>Melons Dino 1ct.-LOOSE</v>
      </c>
      <c r="E3736">
        <v>3.19</v>
      </c>
      <c r="F3736">
        <v>3.98</v>
      </c>
      <c r="G3736" s="13">
        <v>44640</v>
      </c>
      <c r="H3736" s="13"/>
      <c r="I3736" s="22" t="str">
        <f>VLOOKUP(J3736, Dropdowns!N:O, 2, FALSE)</f>
        <v>Standard</v>
      </c>
      <c r="J3736" t="s">
        <v>760</v>
      </c>
      <c r="L3736" s="17" t="s">
        <v>732</v>
      </c>
      <c r="M3736" s="17" t="s">
        <v>738</v>
      </c>
      <c r="N3736" s="17">
        <v>2</v>
      </c>
    </row>
    <row r="3737" spans="1:14" x14ac:dyDescent="0.25">
      <c r="A3737" s="8">
        <v>995069</v>
      </c>
      <c r="B3737" s="22" t="str">
        <f>IFERROR(VLOOKUP(A3737,VLOOKUPS!$A$2:B$12589,2,FALSE),"")</f>
        <v>Organic Baby Spinach 5oz-standard</v>
      </c>
      <c r="G3737" s="13">
        <v>44639</v>
      </c>
      <c r="H3737" s="13"/>
      <c r="I3737" s="22" t="str">
        <f>VLOOKUP(J3737, Dropdowns!N:O, 2, FALSE)</f>
        <v>Lower Price</v>
      </c>
      <c r="J3737" t="s">
        <v>779</v>
      </c>
      <c r="L3737" s="17" t="s">
        <v>732</v>
      </c>
      <c r="M3737" s="17" t="s">
        <v>736</v>
      </c>
      <c r="N3737" s="17" t="s">
        <v>736</v>
      </c>
    </row>
    <row r="3738" spans="1:14" x14ac:dyDescent="0.25">
      <c r="A3738" s="8">
        <v>984500</v>
      </c>
      <c r="B3738" s="22" t="str">
        <f>IFERROR(VLOOKUP(A3738,VLOOKUPS!$A$2:B$12589,2,FALSE),"")</f>
        <v>Organic Strawberries 1lb-standard</v>
      </c>
      <c r="E3738">
        <v>4.4800000000000004</v>
      </c>
      <c r="F3738">
        <v>3.28</v>
      </c>
      <c r="G3738" s="13">
        <v>44639</v>
      </c>
      <c r="H3738" s="13">
        <v>44640</v>
      </c>
      <c r="I3738" s="22" t="str">
        <f>VLOOKUP(J3738, Dropdowns!N:O, 2, FALSE)</f>
        <v>Lower Price</v>
      </c>
      <c r="J3738" t="s">
        <v>759</v>
      </c>
      <c r="L3738" s="17" t="s">
        <v>732</v>
      </c>
      <c r="M3738" s="17" t="s">
        <v>10</v>
      </c>
      <c r="N3738" s="17">
        <v>2</v>
      </c>
    </row>
    <row r="3739" spans="1:14" x14ac:dyDescent="0.25">
      <c r="A3739" s="8">
        <v>984500</v>
      </c>
      <c r="B3739" s="22" t="str">
        <f>IFERROR(VLOOKUP(A3739,VLOOKUPS!$A$2:B$12589,2,FALSE),"")</f>
        <v>Organic Strawberries 1lb-standard</v>
      </c>
      <c r="E3739">
        <v>3.28</v>
      </c>
      <c r="F3739">
        <v>4.4800000000000004</v>
      </c>
      <c r="G3739" s="13">
        <v>44641</v>
      </c>
      <c r="H3739" s="13"/>
      <c r="I3739" s="22" t="str">
        <f>VLOOKUP(J3739, Dropdowns!N:O, 2, FALSE)</f>
        <v>Standard</v>
      </c>
      <c r="J3739" t="s">
        <v>760</v>
      </c>
      <c r="L3739" s="17" t="s">
        <v>732</v>
      </c>
      <c r="M3739" s="17" t="s">
        <v>10</v>
      </c>
      <c r="N3739" s="17">
        <v>2</v>
      </c>
    </row>
    <row r="3740" spans="1:14" x14ac:dyDescent="0.25">
      <c r="A3740" s="8">
        <v>984620</v>
      </c>
      <c r="B3740" s="22" t="str">
        <f>IFERROR(VLOOKUP(A3740,VLOOKUPS!$A$2:B$12589,2,FALSE),"")</f>
        <v>Raspberries 6oz-standard</v>
      </c>
      <c r="E3740">
        <v>2.98</v>
      </c>
      <c r="F3740">
        <v>1.88</v>
      </c>
      <c r="G3740" s="13">
        <v>44639</v>
      </c>
      <c r="H3740" s="13">
        <v>44640</v>
      </c>
      <c r="I3740" s="22" t="str">
        <f>VLOOKUP(J3740, Dropdowns!N:O, 2, FALSE)</f>
        <v>Lower Price</v>
      </c>
      <c r="J3740" t="s">
        <v>759</v>
      </c>
      <c r="L3740" s="17" t="s">
        <v>732</v>
      </c>
      <c r="M3740" s="17" t="s">
        <v>737</v>
      </c>
      <c r="N3740" s="17" t="s">
        <v>736</v>
      </c>
    </row>
    <row r="3741" spans="1:14" x14ac:dyDescent="0.25">
      <c r="A3741" s="8">
        <v>984620</v>
      </c>
      <c r="B3741" s="22" t="str">
        <f>IFERROR(VLOOKUP(A3741,VLOOKUPS!$A$2:B$12589,2,FALSE),"")</f>
        <v>Raspberries 6oz-standard</v>
      </c>
      <c r="E3741">
        <v>1.88</v>
      </c>
      <c r="F3741">
        <v>2.98</v>
      </c>
      <c r="G3741" s="13">
        <v>44641</v>
      </c>
      <c r="H3741" s="13"/>
      <c r="I3741" s="22" t="str">
        <f>VLOOKUP(J3741, Dropdowns!N:O, 2, FALSE)</f>
        <v>Standard</v>
      </c>
      <c r="J3741" t="s">
        <v>760</v>
      </c>
      <c r="L3741" s="17" t="s">
        <v>732</v>
      </c>
      <c r="M3741" s="17" t="s">
        <v>737</v>
      </c>
      <c r="N3741" s="17" t="s">
        <v>736</v>
      </c>
    </row>
    <row r="3742" spans="1:14" x14ac:dyDescent="0.25">
      <c r="A3742" s="8">
        <v>995164</v>
      </c>
      <c r="B3742" s="22" t="str">
        <f>IFERROR(VLOOKUP(A3742,VLOOKUPS!$A$2:B$12589,2,FALSE),"")</f>
        <v>Spinach 10oz-standard</v>
      </c>
      <c r="E3742">
        <v>1.98</v>
      </c>
      <c r="F3742">
        <v>0.98</v>
      </c>
      <c r="G3742" s="13">
        <v>44639</v>
      </c>
      <c r="H3742" s="13">
        <v>44640</v>
      </c>
      <c r="I3742" s="22" t="str">
        <f>VLOOKUP(J3742, Dropdowns!N:O, 2, FALSE)</f>
        <v>Lower Price</v>
      </c>
      <c r="J3742" t="s">
        <v>759</v>
      </c>
      <c r="L3742" s="17" t="s">
        <v>732</v>
      </c>
      <c r="M3742" s="17" t="s">
        <v>9</v>
      </c>
      <c r="N3742" s="17" t="s">
        <v>736</v>
      </c>
    </row>
    <row r="3743" spans="1:14" x14ac:dyDescent="0.25">
      <c r="A3743" s="8">
        <v>995164</v>
      </c>
      <c r="B3743" s="22" t="str">
        <f>IFERROR(VLOOKUP(A3743,VLOOKUPS!$A$2:B$12589,2,FALSE),"")</f>
        <v>Spinach 10oz-standard</v>
      </c>
      <c r="E3743">
        <v>0.98</v>
      </c>
      <c r="F3743">
        <v>1.98</v>
      </c>
      <c r="G3743" s="13">
        <v>44641</v>
      </c>
      <c r="H3743" s="13"/>
      <c r="I3743" s="22" t="str">
        <f>VLOOKUP(J3743, Dropdowns!N:O, 2, FALSE)</f>
        <v>Standard</v>
      </c>
      <c r="J3743" t="s">
        <v>760</v>
      </c>
      <c r="L3743" s="17" t="s">
        <v>732</v>
      </c>
      <c r="M3743" s="17" t="s">
        <v>9</v>
      </c>
      <c r="N3743" s="17" t="s">
        <v>736</v>
      </c>
    </row>
    <row r="3744" spans="1:14" x14ac:dyDescent="0.25">
      <c r="A3744" s="8">
        <v>986400</v>
      </c>
      <c r="B3744" s="22" t="str">
        <f>IFERROR(VLOOKUP(A3744,VLOOKUPS!$A$2:B$12589,2,FALSE),"")</f>
        <v>Tomatoes* on the Vine 1lb-LOOSE</v>
      </c>
      <c r="E3744">
        <v>1.98</v>
      </c>
      <c r="F3744">
        <v>1.74</v>
      </c>
      <c r="G3744" s="13">
        <v>44639</v>
      </c>
      <c r="H3744" s="13">
        <v>44640</v>
      </c>
      <c r="I3744" s="22" t="str">
        <f>VLOOKUP(J3744, Dropdowns!N:O, 2, FALSE)</f>
        <v>Lower Price</v>
      </c>
      <c r="J3744" t="s">
        <v>759</v>
      </c>
      <c r="L3744" s="17" t="s">
        <v>732</v>
      </c>
      <c r="M3744" s="17" t="s">
        <v>9</v>
      </c>
      <c r="N3744" s="17" t="s">
        <v>736</v>
      </c>
    </row>
    <row r="3745" spans="1:14" x14ac:dyDescent="0.25">
      <c r="A3745" s="8">
        <v>986400</v>
      </c>
      <c r="B3745" s="22" t="str">
        <f>IFERROR(VLOOKUP(A3745,VLOOKUPS!$A$2:B$12589,2,FALSE),"")</f>
        <v>Tomatoes* on the Vine 1lb-LOOSE</v>
      </c>
      <c r="E3745">
        <v>1.74</v>
      </c>
      <c r="F3745">
        <v>1.98</v>
      </c>
      <c r="G3745" s="13">
        <v>44641</v>
      </c>
      <c r="H3745" s="13"/>
      <c r="I3745" s="22" t="str">
        <f>VLOOKUP(J3745, Dropdowns!N:O, 2, FALSE)</f>
        <v>Standard</v>
      </c>
      <c r="J3745" t="s">
        <v>760</v>
      </c>
      <c r="L3745" s="17" t="s">
        <v>732</v>
      </c>
      <c r="M3745" s="17" t="s">
        <v>9</v>
      </c>
      <c r="N3745" s="17" t="s">
        <v>736</v>
      </c>
    </row>
    <row r="3746" spans="1:14" x14ac:dyDescent="0.25">
      <c r="A3746" s="8">
        <v>986810</v>
      </c>
      <c r="B3746" s="22" t="str">
        <f>IFERROR(VLOOKUP(A3746,VLOOKUPS!$A$2:B$12589,2,FALSE),"")</f>
        <v>Tomatoes Cherry on the Vine 9oz-standard</v>
      </c>
      <c r="E3746">
        <v>3.98</v>
      </c>
      <c r="F3746">
        <v>3.19</v>
      </c>
      <c r="G3746" s="13">
        <v>44639</v>
      </c>
      <c r="H3746" s="13">
        <v>44640</v>
      </c>
      <c r="I3746" s="22" t="str">
        <f>VLOOKUP(J3746, Dropdowns!N:O, 2, FALSE)</f>
        <v>Lower Price</v>
      </c>
      <c r="J3746" t="s">
        <v>759</v>
      </c>
      <c r="L3746" s="17" t="s">
        <v>732</v>
      </c>
      <c r="M3746" s="17" t="s">
        <v>10</v>
      </c>
      <c r="N3746" s="17">
        <v>2</v>
      </c>
    </row>
    <row r="3747" spans="1:14" x14ac:dyDescent="0.25">
      <c r="A3747" s="8">
        <v>986810</v>
      </c>
      <c r="B3747" s="22" t="str">
        <f>IFERROR(VLOOKUP(A3747,VLOOKUPS!$A$2:B$12589,2,FALSE),"")</f>
        <v>Tomatoes Cherry on the Vine 9oz-standard</v>
      </c>
      <c r="E3747">
        <v>3.19</v>
      </c>
      <c r="F3747">
        <v>3.98</v>
      </c>
      <c r="G3747" s="13">
        <v>44641</v>
      </c>
      <c r="H3747" s="13"/>
      <c r="I3747" s="22" t="str">
        <f>VLOOKUP(J3747, Dropdowns!N:O, 2, FALSE)</f>
        <v>Standard</v>
      </c>
      <c r="J3747" t="s">
        <v>760</v>
      </c>
      <c r="L3747" s="17" t="s">
        <v>732</v>
      </c>
      <c r="M3747" s="17" t="s">
        <v>10</v>
      </c>
      <c r="N3747" s="17">
        <v>2</v>
      </c>
    </row>
    <row r="3748" spans="1:14" x14ac:dyDescent="0.25">
      <c r="A3748" s="8">
        <v>987261</v>
      </c>
      <c r="B3748" s="22" t="str">
        <f>IFERROR(VLOOKUP(A3748,VLOOKUPS!$A$2:B$12589,2,FALSE),"")</f>
        <v>Peppers Sweet Long 14oz-standard</v>
      </c>
      <c r="E3748">
        <v>3.49</v>
      </c>
      <c r="F3748">
        <v>2.4900000000000002</v>
      </c>
      <c r="G3748" s="13">
        <v>44639</v>
      </c>
      <c r="H3748" s="13">
        <v>44640</v>
      </c>
      <c r="I3748" s="22" t="str">
        <f>VLOOKUP(J3748, Dropdowns!N:O, 2, FALSE)</f>
        <v>Lower Price</v>
      </c>
      <c r="J3748" t="s">
        <v>759</v>
      </c>
      <c r="L3748" s="17" t="s">
        <v>732</v>
      </c>
      <c r="M3748" s="17" t="s">
        <v>10</v>
      </c>
      <c r="N3748" s="17">
        <v>2</v>
      </c>
    </row>
    <row r="3749" spans="1:14" x14ac:dyDescent="0.25">
      <c r="A3749" s="8">
        <v>987261</v>
      </c>
      <c r="B3749" s="22" t="str">
        <f>IFERROR(VLOOKUP(A3749,VLOOKUPS!$A$2:B$12589,2,FALSE),"")</f>
        <v>Peppers Sweet Long 14oz-standard</v>
      </c>
      <c r="E3749">
        <v>2.4900000000000002</v>
      </c>
      <c r="F3749">
        <v>3.49</v>
      </c>
      <c r="G3749" s="13">
        <v>44641</v>
      </c>
      <c r="H3749" s="13"/>
      <c r="I3749" s="22" t="str">
        <f>VLOOKUP(J3749, Dropdowns!N:O, 2, FALSE)</f>
        <v>Standard</v>
      </c>
      <c r="J3749" t="s">
        <v>760</v>
      </c>
      <c r="L3749" s="17" t="s">
        <v>732</v>
      </c>
      <c r="M3749" s="17" t="s">
        <v>10</v>
      </c>
      <c r="N3749" s="17">
        <v>2</v>
      </c>
    </row>
    <row r="3750" spans="1:14" x14ac:dyDescent="0.25">
      <c r="A3750" s="8">
        <v>984461</v>
      </c>
      <c r="B3750" s="22" t="str">
        <f>IFERROR(VLOOKUP(A3750,VLOOKUPS!$A$2:B$12589,2,FALSE),"")</f>
        <v>Strawberries 2lb-standard</v>
      </c>
      <c r="E3750">
        <v>5.12</v>
      </c>
      <c r="F3750">
        <v>3.33</v>
      </c>
      <c r="G3750" s="13">
        <v>44642</v>
      </c>
      <c r="H3750" s="13">
        <v>44643</v>
      </c>
      <c r="I3750" s="22" t="str">
        <f>VLOOKUP(J3750, Dropdowns!N:O, 2, FALSE)</f>
        <v>Lower Price</v>
      </c>
      <c r="J3750" t="s">
        <v>759</v>
      </c>
      <c r="L3750" s="17" t="s">
        <v>732</v>
      </c>
      <c r="M3750" s="17" t="s">
        <v>9</v>
      </c>
      <c r="N3750" s="17" t="s">
        <v>736</v>
      </c>
    </row>
    <row r="3751" spans="1:14" x14ac:dyDescent="0.25">
      <c r="A3751" s="8">
        <v>984461</v>
      </c>
      <c r="B3751" s="22" t="str">
        <f>IFERROR(VLOOKUP(A3751,VLOOKUPS!$A$2:B$12589,2,FALSE),"")</f>
        <v>Strawberries 2lb-standard</v>
      </c>
      <c r="E3751">
        <v>3.33</v>
      </c>
      <c r="F3751">
        <v>5.12</v>
      </c>
      <c r="G3751" s="13">
        <v>44644</v>
      </c>
      <c r="H3751" s="13"/>
      <c r="I3751" s="22" t="str">
        <f>VLOOKUP(J3751, Dropdowns!N:O, 2, FALSE)</f>
        <v>Standard</v>
      </c>
      <c r="J3751" t="s">
        <v>760</v>
      </c>
      <c r="L3751" s="17" t="s">
        <v>732</v>
      </c>
      <c r="M3751" s="17" t="s">
        <v>9</v>
      </c>
      <c r="N3751" s="17" t="s">
        <v>736</v>
      </c>
    </row>
    <row r="3752" spans="1:14" x14ac:dyDescent="0.25">
      <c r="A3752" s="8">
        <v>984500</v>
      </c>
      <c r="B3752" s="22" t="str">
        <f>IFERROR(VLOOKUP(A3752,VLOOKUPS!$A$2:B$12589,2,FALSE),"")</f>
        <v>Organic Strawberries 1lb-standard</v>
      </c>
      <c r="E3752">
        <v>4.4800000000000004</v>
      </c>
      <c r="F3752">
        <v>2.2400000000000002</v>
      </c>
      <c r="G3752" s="13">
        <v>44642</v>
      </c>
      <c r="H3752" s="13">
        <v>44643</v>
      </c>
      <c r="I3752" s="22" t="str">
        <f>VLOOKUP(J3752, Dropdowns!N:O, 2, FALSE)</f>
        <v>Lower Price</v>
      </c>
      <c r="J3752" t="s">
        <v>759</v>
      </c>
      <c r="L3752" s="17" t="s">
        <v>732</v>
      </c>
      <c r="M3752" s="17" t="s">
        <v>9</v>
      </c>
      <c r="N3752" s="17" t="s">
        <v>736</v>
      </c>
    </row>
    <row r="3753" spans="1:14" x14ac:dyDescent="0.25">
      <c r="A3753" s="8">
        <v>984500</v>
      </c>
      <c r="B3753" s="22" t="str">
        <f>IFERROR(VLOOKUP(A3753,VLOOKUPS!$A$2:B$12589,2,FALSE),"")</f>
        <v>Organic Strawberries 1lb-standard</v>
      </c>
      <c r="E3753">
        <v>2.2400000000000002</v>
      </c>
      <c r="F3753">
        <v>4.4800000000000004</v>
      </c>
      <c r="G3753" s="13">
        <v>44644</v>
      </c>
      <c r="H3753" s="13"/>
      <c r="I3753" s="22" t="str">
        <f>VLOOKUP(J3753, Dropdowns!N:O, 2, FALSE)</f>
        <v>Standard</v>
      </c>
      <c r="J3753" t="s">
        <v>760</v>
      </c>
      <c r="L3753" s="17" t="s">
        <v>732</v>
      </c>
      <c r="M3753" s="17" t="s">
        <v>9</v>
      </c>
      <c r="N3753" s="17" t="s">
        <v>736</v>
      </c>
    </row>
    <row r="3754" spans="1:14" x14ac:dyDescent="0.25">
      <c r="A3754" s="8">
        <v>984541</v>
      </c>
      <c r="B3754" s="22" t="str">
        <f>IFERROR(VLOOKUP(A3754,VLOOKUPS!$A$2:B$12589,2,FALSE),"")</f>
        <v>Blueberries 1pt-standard</v>
      </c>
      <c r="E3754">
        <v>2.99</v>
      </c>
      <c r="F3754">
        <v>1.94</v>
      </c>
      <c r="G3754" s="13">
        <v>44642</v>
      </c>
      <c r="H3754" s="13">
        <v>44643</v>
      </c>
      <c r="I3754" s="22" t="str">
        <f>VLOOKUP(J3754, Dropdowns!N:O, 2, FALSE)</f>
        <v>Lower Price</v>
      </c>
      <c r="J3754" t="s">
        <v>759</v>
      </c>
      <c r="L3754" s="17" t="s">
        <v>732</v>
      </c>
      <c r="M3754" s="17" t="s">
        <v>9</v>
      </c>
      <c r="N3754" s="17" t="s">
        <v>736</v>
      </c>
    </row>
    <row r="3755" spans="1:14" x14ac:dyDescent="0.25">
      <c r="A3755" s="8">
        <v>984541</v>
      </c>
      <c r="B3755" s="22" t="str">
        <f>IFERROR(VLOOKUP(A3755,VLOOKUPS!$A$2:B$12589,2,FALSE),"")</f>
        <v>Blueberries 1pt-standard</v>
      </c>
      <c r="E3755">
        <v>1.94</v>
      </c>
      <c r="F3755">
        <v>2.99</v>
      </c>
      <c r="G3755" s="13">
        <v>44644</v>
      </c>
      <c r="H3755" s="13"/>
      <c r="I3755" s="22" t="str">
        <f>VLOOKUP(J3755, Dropdowns!N:O, 2, FALSE)</f>
        <v>Standard</v>
      </c>
      <c r="J3755" t="s">
        <v>760</v>
      </c>
      <c r="L3755" s="17" t="s">
        <v>732</v>
      </c>
      <c r="M3755" s="17" t="s">
        <v>9</v>
      </c>
      <c r="N3755" s="17" t="s">
        <v>736</v>
      </c>
    </row>
    <row r="3756" spans="1:14" x14ac:dyDescent="0.25">
      <c r="A3756" s="8">
        <v>984620</v>
      </c>
      <c r="B3756" s="22" t="str">
        <f>IFERROR(VLOOKUP(A3756,VLOOKUPS!$A$2:B$12589,2,FALSE),"")</f>
        <v>Raspberries 6oz-standard</v>
      </c>
      <c r="E3756">
        <v>2.98</v>
      </c>
      <c r="F3756">
        <v>3.2</v>
      </c>
      <c r="G3756" s="13">
        <v>44642</v>
      </c>
      <c r="H3756" s="13"/>
      <c r="I3756" s="22" t="str">
        <f>VLOOKUP(J3756, Dropdowns!N:O, 2, FALSE)</f>
        <v>Standard</v>
      </c>
      <c r="J3756" t="s">
        <v>761</v>
      </c>
      <c r="L3756" s="17" t="s">
        <v>732</v>
      </c>
      <c r="M3756" s="17" t="s">
        <v>736</v>
      </c>
      <c r="N3756" s="17" t="s">
        <v>736</v>
      </c>
    </row>
    <row r="3757" spans="1:14" x14ac:dyDescent="0.25">
      <c r="A3757" s="8">
        <v>986250</v>
      </c>
      <c r="B3757" s="22" t="str">
        <f>IFERROR(VLOOKUP(A3757,VLOOKUPS!$A$2:B$12589,2,FALSE),"")</f>
        <v>French Beans 1lb-standard</v>
      </c>
      <c r="E3757">
        <v>2.99</v>
      </c>
      <c r="F3757">
        <v>1.94</v>
      </c>
      <c r="G3757" s="13">
        <v>44642</v>
      </c>
      <c r="H3757" s="13">
        <v>44644</v>
      </c>
      <c r="I3757" s="22" t="str">
        <f>VLOOKUP(J3757, Dropdowns!N:O, 2, FALSE)</f>
        <v>Lower Price</v>
      </c>
      <c r="J3757" t="s">
        <v>759</v>
      </c>
      <c r="L3757" s="17" t="s">
        <v>732</v>
      </c>
      <c r="M3757" s="17" t="s">
        <v>9</v>
      </c>
      <c r="N3757" s="17" t="s">
        <v>736</v>
      </c>
    </row>
    <row r="3758" spans="1:14" x14ac:dyDescent="0.25">
      <c r="A3758" s="8">
        <v>986250</v>
      </c>
      <c r="B3758" s="22" t="str">
        <f>IFERROR(VLOOKUP(A3758,VLOOKUPS!$A$2:B$12589,2,FALSE),"")</f>
        <v>French Beans 1lb-standard</v>
      </c>
      <c r="E3758">
        <v>1.94</v>
      </c>
      <c r="F3758">
        <v>2.99</v>
      </c>
      <c r="G3758" s="13">
        <v>44645</v>
      </c>
      <c r="H3758" s="13"/>
      <c r="I3758" s="22" t="str">
        <f>VLOOKUP(J3758, Dropdowns!N:O, 2, FALSE)</f>
        <v>Standard</v>
      </c>
      <c r="J3758" t="s">
        <v>760</v>
      </c>
      <c r="L3758" s="17" t="s">
        <v>732</v>
      </c>
      <c r="M3758" s="17" t="s">
        <v>9</v>
      </c>
      <c r="N3758" s="17" t="s">
        <v>736</v>
      </c>
    </row>
    <row r="3759" spans="1:14" x14ac:dyDescent="0.25">
      <c r="A3759" s="8">
        <v>995000</v>
      </c>
      <c r="B3759" s="22" t="str">
        <f>IFERROR(VLOOKUP(A3759,VLOOKUPS!$A$2:B$12589,2,FALSE),"")</f>
        <v>Spring Mix 5oz-standard</v>
      </c>
      <c r="E3759">
        <v>1.98</v>
      </c>
      <c r="F3759">
        <v>2.63</v>
      </c>
      <c r="G3759" s="13">
        <v>44642</v>
      </c>
      <c r="H3759" s="13"/>
      <c r="I3759" s="22" t="str">
        <f>VLOOKUP(J3759, Dropdowns!N:O, 2, FALSE)</f>
        <v>Standard</v>
      </c>
      <c r="J3759" t="s">
        <v>761</v>
      </c>
      <c r="L3759" s="17" t="s">
        <v>732</v>
      </c>
      <c r="M3759" s="17" t="s">
        <v>736</v>
      </c>
      <c r="N3759" s="17" t="s">
        <v>736</v>
      </c>
    </row>
    <row r="3760" spans="1:14" x14ac:dyDescent="0.25">
      <c r="A3760" s="8">
        <v>995137</v>
      </c>
      <c r="B3760" s="22" t="str">
        <f>IFERROR(VLOOKUP(A3760,VLOOKUPS!$A$2:B$12589,2,FALSE),"")</f>
        <v>Half and Half 11oz-standard</v>
      </c>
      <c r="E3760">
        <v>3.98</v>
      </c>
      <c r="F3760">
        <v>2.59</v>
      </c>
      <c r="G3760" s="13">
        <v>44642</v>
      </c>
      <c r="H3760" s="13">
        <v>44643</v>
      </c>
      <c r="I3760" s="22" t="str">
        <f>VLOOKUP(J3760, Dropdowns!N:O, 2, FALSE)</f>
        <v>Lower Price</v>
      </c>
      <c r="J3760" t="s">
        <v>759</v>
      </c>
      <c r="L3760" s="17" t="s">
        <v>732</v>
      </c>
      <c r="M3760" s="17" t="s">
        <v>9</v>
      </c>
      <c r="N3760" s="17" t="s">
        <v>736</v>
      </c>
    </row>
    <row r="3761" spans="1:14" x14ac:dyDescent="0.25">
      <c r="A3761" s="8">
        <v>995137</v>
      </c>
      <c r="B3761" s="22" t="str">
        <f>IFERROR(VLOOKUP(A3761,VLOOKUPS!$A$2:B$12589,2,FALSE),"")</f>
        <v>Half and Half 11oz-standard</v>
      </c>
      <c r="E3761">
        <v>2.59</v>
      </c>
      <c r="F3761">
        <v>3.98</v>
      </c>
      <c r="G3761" s="13">
        <v>44644</v>
      </c>
      <c r="H3761" s="13"/>
      <c r="I3761" s="22" t="str">
        <f>VLOOKUP(J3761, Dropdowns!N:O, 2, FALSE)</f>
        <v>Standard</v>
      </c>
      <c r="J3761" t="s">
        <v>760</v>
      </c>
      <c r="L3761" s="17" t="s">
        <v>732</v>
      </c>
      <c r="M3761" s="17" t="s">
        <v>9</v>
      </c>
      <c r="N3761" s="17" t="s">
        <v>736</v>
      </c>
    </row>
    <row r="3762" spans="1:14" x14ac:dyDescent="0.25">
      <c r="A3762" s="8">
        <v>995138</v>
      </c>
      <c r="B3762" s="22" t="str">
        <f>IFERROR(VLOOKUP(A3762,VLOOKUPS!$A$2:B$12589,2,FALSE),"")</f>
        <v>Spring Mix 11oz-standard</v>
      </c>
      <c r="E3762">
        <v>3.98</v>
      </c>
      <c r="F3762">
        <v>2.59</v>
      </c>
      <c r="G3762" s="13">
        <v>44642</v>
      </c>
      <c r="H3762" s="13">
        <v>44643</v>
      </c>
      <c r="I3762" s="22" t="str">
        <f>VLOOKUP(J3762, Dropdowns!N:O, 2, FALSE)</f>
        <v>Lower Price</v>
      </c>
      <c r="J3762" t="s">
        <v>759</v>
      </c>
      <c r="L3762" s="17" t="s">
        <v>732</v>
      </c>
      <c r="M3762" s="17" t="s">
        <v>9</v>
      </c>
      <c r="N3762" s="17" t="s">
        <v>736</v>
      </c>
    </row>
    <row r="3763" spans="1:14" x14ac:dyDescent="0.25">
      <c r="A3763" s="8">
        <v>995138</v>
      </c>
      <c r="B3763" s="22" t="str">
        <f>IFERROR(VLOOKUP(A3763,VLOOKUPS!$A$2:B$12589,2,FALSE),"")</f>
        <v>Spring Mix 11oz-standard</v>
      </c>
      <c r="E3763">
        <v>2.59</v>
      </c>
      <c r="F3763">
        <v>3.98</v>
      </c>
      <c r="G3763" s="13">
        <v>44644</v>
      </c>
      <c r="H3763" s="13"/>
      <c r="I3763" s="22" t="str">
        <f>VLOOKUP(J3763, Dropdowns!N:O, 2, FALSE)</f>
        <v>Standard</v>
      </c>
      <c r="J3763" t="s">
        <v>760</v>
      </c>
      <c r="L3763" s="17" t="s">
        <v>732</v>
      </c>
      <c r="M3763" s="17" t="s">
        <v>9</v>
      </c>
      <c r="N3763" s="17" t="s">
        <v>736</v>
      </c>
    </row>
    <row r="3764" spans="1:14" x14ac:dyDescent="0.25">
      <c r="A3764" s="8">
        <v>995158</v>
      </c>
      <c r="B3764" s="22" t="str">
        <f>IFERROR(VLOOKUP(A3764,VLOOKUPS!$A$2:B$12589,2,FALSE),"")</f>
        <v>Pico Guacamole 14oz-standard</v>
      </c>
      <c r="E3764">
        <v>4.49</v>
      </c>
      <c r="F3764">
        <v>2.99</v>
      </c>
      <c r="G3764" s="13">
        <v>44642</v>
      </c>
      <c r="H3764" s="13">
        <v>44643</v>
      </c>
      <c r="I3764" s="22" t="str">
        <f>VLOOKUP(J3764, Dropdowns!N:O, 2, FALSE)</f>
        <v>Lower Price</v>
      </c>
      <c r="J3764" t="s">
        <v>759</v>
      </c>
      <c r="L3764" s="17" t="s">
        <v>732</v>
      </c>
      <c r="M3764" s="17" t="s">
        <v>737</v>
      </c>
      <c r="N3764" s="17" t="s">
        <v>736</v>
      </c>
    </row>
    <row r="3765" spans="1:14" x14ac:dyDescent="0.25">
      <c r="A3765" s="8">
        <v>995158</v>
      </c>
      <c r="B3765" s="22" t="str">
        <f>IFERROR(VLOOKUP(A3765,VLOOKUPS!$A$2:B$12589,2,FALSE),"")</f>
        <v>Pico Guacamole 14oz-standard</v>
      </c>
      <c r="E3765">
        <v>2.99</v>
      </c>
      <c r="F3765">
        <v>4.49</v>
      </c>
      <c r="G3765" s="13">
        <v>44644</v>
      </c>
      <c r="H3765" s="13"/>
      <c r="I3765" s="22" t="str">
        <f>VLOOKUP(J3765, Dropdowns!N:O, 2, FALSE)</f>
        <v>Standard</v>
      </c>
      <c r="J3765" t="s">
        <v>760</v>
      </c>
      <c r="L3765" s="17" t="s">
        <v>732</v>
      </c>
      <c r="M3765" s="17" t="s">
        <v>737</v>
      </c>
      <c r="N3765" s="17" t="s">
        <v>736</v>
      </c>
    </row>
    <row r="3766" spans="1:14" x14ac:dyDescent="0.25">
      <c r="A3766" s="8">
        <v>995162</v>
      </c>
      <c r="B3766" s="22" t="str">
        <f>IFERROR(VLOOKUP(A3766,VLOOKUPS!$A$2:B$12589,2,FALSE),"")</f>
        <v>Buffalo Ranch Salad Kit 12oz-standard</v>
      </c>
      <c r="E3766">
        <v>3.49</v>
      </c>
      <c r="F3766">
        <v>1.75</v>
      </c>
      <c r="G3766" s="13">
        <v>44642</v>
      </c>
      <c r="H3766" s="13">
        <v>44643</v>
      </c>
      <c r="I3766" s="22" t="str">
        <f>VLOOKUP(J3766, Dropdowns!N:O, 2, FALSE)</f>
        <v>Lower Price</v>
      </c>
      <c r="J3766" t="s">
        <v>759</v>
      </c>
      <c r="L3766" s="17" t="s">
        <v>733</v>
      </c>
      <c r="M3766" s="17" t="s">
        <v>11</v>
      </c>
      <c r="N3766" s="17" t="s">
        <v>740</v>
      </c>
    </row>
    <row r="3767" spans="1:14" x14ac:dyDescent="0.25">
      <c r="A3767" s="8">
        <v>995162</v>
      </c>
      <c r="B3767" s="22" t="str">
        <f>IFERROR(VLOOKUP(A3767,VLOOKUPS!$A$2:B$12589,2,FALSE),"")</f>
        <v>Buffalo Ranch Salad Kit 12oz-standard</v>
      </c>
      <c r="E3767">
        <v>1.75</v>
      </c>
      <c r="F3767">
        <v>3.49</v>
      </c>
      <c r="G3767" s="13">
        <v>44644</v>
      </c>
      <c r="H3767" s="13"/>
      <c r="I3767" s="22" t="str">
        <f>VLOOKUP(J3767, Dropdowns!N:O, 2, FALSE)</f>
        <v>Standard</v>
      </c>
      <c r="J3767" t="s">
        <v>760</v>
      </c>
      <c r="L3767" s="17" t="s">
        <v>733</v>
      </c>
      <c r="M3767" s="17" t="s">
        <v>11</v>
      </c>
      <c r="N3767" s="17" t="s">
        <v>740</v>
      </c>
    </row>
    <row r="3768" spans="1:14" x14ac:dyDescent="0.25">
      <c r="A3768" s="8">
        <v>995165</v>
      </c>
      <c r="B3768" s="22" t="str">
        <f>IFERROR(VLOOKUP(A3768,VLOOKUPS!$A$2:B$12589,2,FALSE),"")</f>
        <v>Organic Kale Greens 12oz-PK</v>
      </c>
      <c r="E3768">
        <v>3.19</v>
      </c>
      <c r="F3768">
        <v>3.55</v>
      </c>
      <c r="G3768" s="13">
        <v>44642</v>
      </c>
      <c r="H3768" s="13"/>
      <c r="I3768" s="22" t="str">
        <f>VLOOKUP(J3768, Dropdowns!N:O, 2, FALSE)</f>
        <v>Standard</v>
      </c>
      <c r="J3768" t="s">
        <v>761</v>
      </c>
      <c r="L3768" s="17" t="s">
        <v>732</v>
      </c>
      <c r="M3768" s="17" t="s">
        <v>736</v>
      </c>
      <c r="N3768" s="17" t="s">
        <v>736</v>
      </c>
    </row>
    <row r="3769" spans="1:14" x14ac:dyDescent="0.25">
      <c r="A3769" s="8">
        <v>995045</v>
      </c>
      <c r="B3769" s="22" t="str">
        <f>IFERROR(VLOOKUP(A3769,VLOOKUPS!$A$2:B$12589,2,FALSE),"")</f>
        <v>Fajita Blend 12oz-standard</v>
      </c>
      <c r="E3769">
        <v>3.96</v>
      </c>
      <c r="F3769">
        <v>4.05</v>
      </c>
      <c r="G3769" s="13">
        <v>44642</v>
      </c>
      <c r="H3769" s="13"/>
      <c r="I3769" s="22" t="str">
        <f>VLOOKUP(J3769, Dropdowns!N:O, 2, FALSE)</f>
        <v>Standard</v>
      </c>
      <c r="J3769" t="s">
        <v>761</v>
      </c>
      <c r="L3769" s="17" t="s">
        <v>732</v>
      </c>
      <c r="M3769" s="17" t="s">
        <v>736</v>
      </c>
      <c r="N3769" s="17" t="s">
        <v>736</v>
      </c>
    </row>
    <row r="3770" spans="1:14" x14ac:dyDescent="0.25">
      <c r="A3770" s="8">
        <v>995068</v>
      </c>
      <c r="B3770" s="22" t="str">
        <f>IFERROR(VLOOKUP(A3770,VLOOKUPS!$A$2:B$12589,2,FALSE),"")</f>
        <v>Organic Half and Half 5oz-standard</v>
      </c>
      <c r="E3770">
        <v>1.97</v>
      </c>
      <c r="F3770">
        <v>2.75</v>
      </c>
      <c r="G3770" s="13">
        <v>44642</v>
      </c>
      <c r="H3770" s="13"/>
      <c r="I3770" s="22" t="str">
        <f>VLOOKUP(J3770, Dropdowns!N:O, 2, FALSE)</f>
        <v>Standard</v>
      </c>
      <c r="J3770" t="s">
        <v>761</v>
      </c>
      <c r="L3770" s="17" t="s">
        <v>732</v>
      </c>
      <c r="M3770" s="17" t="s">
        <v>736</v>
      </c>
      <c r="N3770" s="17" t="s">
        <v>736</v>
      </c>
    </row>
    <row r="3771" spans="1:14" x14ac:dyDescent="0.25">
      <c r="A3771" s="8">
        <v>995070</v>
      </c>
      <c r="B3771" s="22" t="str">
        <f>IFERROR(VLOOKUP(A3771,VLOOKUPS!$A$2:B$12589,2,FALSE),"")</f>
        <v>Organic Baby Spring Mix 5oz-standard</v>
      </c>
      <c r="E3771">
        <v>2.17</v>
      </c>
      <c r="F3771">
        <v>2.98</v>
      </c>
      <c r="G3771" s="13">
        <v>44642</v>
      </c>
      <c r="H3771" s="13"/>
      <c r="I3771" s="22" t="str">
        <f>VLOOKUP(J3771, Dropdowns!N:O, 2, FALSE)</f>
        <v>Standard</v>
      </c>
      <c r="J3771" t="s">
        <v>761</v>
      </c>
      <c r="L3771" s="17" t="s">
        <v>732</v>
      </c>
      <c r="M3771" s="17" t="s">
        <v>736</v>
      </c>
      <c r="N3771" s="17" t="s">
        <v>736</v>
      </c>
    </row>
    <row r="3772" spans="1:14" x14ac:dyDescent="0.25">
      <c r="A3772" s="8">
        <v>983104</v>
      </c>
      <c r="B3772" s="22" t="str">
        <f>IFERROR(VLOOKUP(A3772,VLOOKUPS!$A$2:B$12589,2,FALSE),"")</f>
        <v>Melons Dino 1ct.-LOOSE</v>
      </c>
      <c r="D3772">
        <v>6</v>
      </c>
      <c r="E3772">
        <v>3.98</v>
      </c>
      <c r="G3772" s="13">
        <v>44642</v>
      </c>
      <c r="H3772" s="13"/>
      <c r="I3772" s="22" t="str">
        <f>VLOOKUP(J3772, Dropdowns!N:O, 2, FALSE)</f>
        <v>NA</v>
      </c>
      <c r="J3772" t="s">
        <v>754</v>
      </c>
      <c r="L3772" s="17" t="s">
        <v>732</v>
      </c>
      <c r="M3772" s="17" t="s">
        <v>735</v>
      </c>
      <c r="N3772" s="17" t="s">
        <v>736</v>
      </c>
    </row>
    <row r="3773" spans="1:14" x14ac:dyDescent="0.25">
      <c r="A3773" s="8">
        <v>982712</v>
      </c>
      <c r="B3773" s="22" t="str">
        <f>IFERROR(VLOOKUP(A3773,VLOOKUPS!$A$2:B$12589,2,FALSE),"")</f>
        <v>Organic Grapes Red 1lb-standard</v>
      </c>
      <c r="E3773">
        <v>4.99</v>
      </c>
      <c r="F3773">
        <v>3.24</v>
      </c>
      <c r="G3773" s="13">
        <v>44642</v>
      </c>
      <c r="H3773" s="13">
        <v>44643</v>
      </c>
      <c r="I3773" s="22" t="str">
        <f>VLOOKUP(J3773, Dropdowns!N:O, 2, FALSE)</f>
        <v>Lower Price</v>
      </c>
      <c r="J3773" t="s">
        <v>759</v>
      </c>
      <c r="L3773" s="17" t="s">
        <v>732</v>
      </c>
      <c r="M3773" s="17" t="s">
        <v>735</v>
      </c>
      <c r="N3773" s="17" t="s">
        <v>736</v>
      </c>
    </row>
    <row r="3774" spans="1:14" x14ac:dyDescent="0.25">
      <c r="A3774" s="8">
        <v>982712</v>
      </c>
      <c r="B3774" s="22" t="str">
        <f>IFERROR(VLOOKUP(A3774,VLOOKUPS!$A$2:B$12589,2,FALSE),"")</f>
        <v>Organic Grapes Red 1lb-standard</v>
      </c>
      <c r="E3774">
        <v>3.24</v>
      </c>
      <c r="F3774">
        <v>4.99</v>
      </c>
      <c r="G3774" s="13">
        <v>44644</v>
      </c>
      <c r="H3774" s="13"/>
      <c r="I3774" s="22" t="str">
        <f>VLOOKUP(J3774, Dropdowns!N:O, 2, FALSE)</f>
        <v>Standard</v>
      </c>
      <c r="J3774" t="s">
        <v>760</v>
      </c>
      <c r="L3774" s="17" t="s">
        <v>732</v>
      </c>
      <c r="M3774" s="17" t="s">
        <v>735</v>
      </c>
      <c r="N3774" s="17" t="s">
        <v>736</v>
      </c>
    </row>
    <row r="3775" spans="1:14" x14ac:dyDescent="0.25">
      <c r="A3775" s="8">
        <v>984542</v>
      </c>
      <c r="B3775" s="22" t="str">
        <f>IFERROR(VLOOKUP(A3775,VLOOKUPS!$A$2:B$12589,2,FALSE),"")</f>
        <v>Blueberries 18oz-standard</v>
      </c>
      <c r="E3775">
        <v>4.12</v>
      </c>
      <c r="F3775">
        <v>2.06</v>
      </c>
      <c r="G3775" s="13">
        <v>44643</v>
      </c>
      <c r="H3775" s="13">
        <v>44645</v>
      </c>
      <c r="I3775" s="22" t="str">
        <f>VLOOKUP(J3775, Dropdowns!N:O, 2, FALSE)</f>
        <v>Lower Price</v>
      </c>
      <c r="J3775" t="s">
        <v>759</v>
      </c>
      <c r="L3775" s="17" t="s">
        <v>732</v>
      </c>
      <c r="M3775" s="17" t="s">
        <v>9</v>
      </c>
      <c r="N3775" s="17" t="s">
        <v>736</v>
      </c>
    </row>
    <row r="3776" spans="1:14" x14ac:dyDescent="0.25">
      <c r="A3776" s="8">
        <v>984542</v>
      </c>
      <c r="B3776" s="22" t="str">
        <f>IFERROR(VLOOKUP(A3776,VLOOKUPS!$A$2:B$12589,2,FALSE),"")</f>
        <v>Blueberries 18oz-standard</v>
      </c>
      <c r="E3776">
        <v>2.06</v>
      </c>
      <c r="F3776">
        <v>4.12</v>
      </c>
      <c r="G3776" s="13">
        <v>44646</v>
      </c>
      <c r="H3776" s="13"/>
      <c r="I3776" s="22" t="str">
        <f>VLOOKUP(J3776, Dropdowns!N:O, 2, FALSE)</f>
        <v>Standard</v>
      </c>
      <c r="J3776" t="s">
        <v>760</v>
      </c>
      <c r="L3776" s="17" t="s">
        <v>732</v>
      </c>
      <c r="M3776" s="17" t="s">
        <v>9</v>
      </c>
      <c r="N3776" s="17" t="s">
        <v>736</v>
      </c>
    </row>
    <row r="3777" spans="1:14" x14ac:dyDescent="0.25">
      <c r="A3777" s="8">
        <v>984620</v>
      </c>
      <c r="B3777" s="22" t="str">
        <f>IFERROR(VLOOKUP(A3777,VLOOKUPS!$A$2:B$12589,2,FALSE),"")</f>
        <v>Raspberries 6oz-standard</v>
      </c>
      <c r="G3777" s="13">
        <v>44643</v>
      </c>
      <c r="H3777" s="13">
        <v>44649</v>
      </c>
      <c r="I3777" s="22" t="str">
        <f>VLOOKUP(J3777, Dropdowns!N:O, 2, FALSE)</f>
        <v>Lower Price</v>
      </c>
      <c r="J3777" t="s">
        <v>753</v>
      </c>
      <c r="L3777" s="17" t="s">
        <v>732</v>
      </c>
      <c r="M3777" s="17" t="s">
        <v>736</v>
      </c>
      <c r="N3777" s="17" t="s">
        <v>736</v>
      </c>
    </row>
    <row r="3778" spans="1:14" x14ac:dyDescent="0.25">
      <c r="A3778" s="8">
        <v>984701</v>
      </c>
      <c r="B3778" s="22" t="str">
        <f>IFERROR(VLOOKUP(A3778,VLOOKUPS!$A$2:B$12589,2,FALSE),"")</f>
        <v>Blackberries Super Sweet 6oz-standard</v>
      </c>
      <c r="E3778">
        <v>3.49</v>
      </c>
      <c r="F3778">
        <v>2.27</v>
      </c>
      <c r="G3778" s="13">
        <v>44643</v>
      </c>
      <c r="H3778" s="13">
        <v>44644</v>
      </c>
      <c r="I3778" s="22" t="str">
        <f>VLOOKUP(J3778, Dropdowns!N:O, 2, FALSE)</f>
        <v>Lower Price</v>
      </c>
      <c r="J3778" t="s">
        <v>759</v>
      </c>
      <c r="L3778" s="17" t="s">
        <v>732</v>
      </c>
      <c r="M3778" s="17" t="s">
        <v>736</v>
      </c>
      <c r="N3778" s="17" t="s">
        <v>736</v>
      </c>
    </row>
    <row r="3779" spans="1:14" x14ac:dyDescent="0.25">
      <c r="A3779" s="8">
        <v>984701</v>
      </c>
      <c r="B3779" s="22" t="str">
        <f>IFERROR(VLOOKUP(A3779,VLOOKUPS!$A$2:B$12589,2,FALSE),"")</f>
        <v>Blackberries Super Sweet 6oz-standard</v>
      </c>
      <c r="E3779">
        <v>2.27</v>
      </c>
      <c r="F3779">
        <v>3.49</v>
      </c>
      <c r="G3779" s="13">
        <v>44645</v>
      </c>
      <c r="H3779" s="13"/>
      <c r="I3779" s="22" t="str">
        <f>VLOOKUP(J3779, Dropdowns!N:O, 2, FALSE)</f>
        <v>Standard</v>
      </c>
      <c r="J3779" t="s">
        <v>760</v>
      </c>
      <c r="L3779" s="17" t="s">
        <v>732</v>
      </c>
      <c r="M3779" s="17" t="s">
        <v>736</v>
      </c>
      <c r="N3779" s="17" t="s">
        <v>736</v>
      </c>
    </row>
    <row r="3780" spans="1:14" x14ac:dyDescent="0.25">
      <c r="A3780" s="8">
        <v>995078</v>
      </c>
      <c r="B3780" s="22" t="str">
        <f>IFERROR(VLOOKUP(A3780,VLOOKUPS!$A$2:B$12589,2,FALSE),"")</f>
        <v>Organic Baby Spinach 16oz-standard</v>
      </c>
      <c r="E3780">
        <v>4.9800000000000004</v>
      </c>
      <c r="F3780">
        <v>3.24</v>
      </c>
      <c r="G3780" s="13">
        <v>44643</v>
      </c>
      <c r="H3780" s="13">
        <v>44644</v>
      </c>
      <c r="I3780" s="22" t="str">
        <f>VLOOKUP(J3780, Dropdowns!N:O, 2, FALSE)</f>
        <v>Lower Price</v>
      </c>
      <c r="J3780" t="s">
        <v>759</v>
      </c>
      <c r="L3780" s="17" t="s">
        <v>732</v>
      </c>
      <c r="M3780" s="17" t="s">
        <v>9</v>
      </c>
      <c r="N3780" s="17" t="s">
        <v>736</v>
      </c>
    </row>
    <row r="3781" spans="1:14" x14ac:dyDescent="0.25">
      <c r="A3781" s="8">
        <v>995078</v>
      </c>
      <c r="B3781" s="22" t="str">
        <f>IFERROR(VLOOKUP(A3781,VLOOKUPS!$A$2:B$12589,2,FALSE),"")</f>
        <v>Organic Baby Spinach 16oz-standard</v>
      </c>
      <c r="E3781">
        <v>3.24</v>
      </c>
      <c r="F3781">
        <v>4.9800000000000004</v>
      </c>
      <c r="G3781" s="13">
        <v>44645</v>
      </c>
      <c r="H3781" s="13"/>
      <c r="I3781" s="22" t="str">
        <f>VLOOKUP(J3781, Dropdowns!N:O, 2, FALSE)</f>
        <v>Standard</v>
      </c>
      <c r="J3781" t="s">
        <v>760</v>
      </c>
      <c r="L3781" s="17" t="s">
        <v>732</v>
      </c>
      <c r="M3781" s="17" t="s">
        <v>9</v>
      </c>
      <c r="N3781" s="17" t="s">
        <v>736</v>
      </c>
    </row>
    <row r="3782" spans="1:14" x14ac:dyDescent="0.25">
      <c r="A3782" s="8">
        <v>995103</v>
      </c>
      <c r="B3782" s="22" t="str">
        <f>IFERROR(VLOOKUP(A3782,VLOOKUPS!$A$2:B$12589,2,FALSE),"")</f>
        <v>Teriyaki Stir Fry Kit 12.5oz-standard</v>
      </c>
      <c r="E3782">
        <v>2.98</v>
      </c>
      <c r="F3782">
        <v>1.94</v>
      </c>
      <c r="G3782" s="13">
        <v>44643</v>
      </c>
      <c r="H3782" s="13">
        <v>44644</v>
      </c>
      <c r="I3782" s="22" t="str">
        <f>VLOOKUP(J3782, Dropdowns!N:O, 2, FALSE)</f>
        <v>Lower Price</v>
      </c>
      <c r="J3782" t="s">
        <v>759</v>
      </c>
      <c r="L3782" s="17" t="s">
        <v>732</v>
      </c>
      <c r="M3782" s="17" t="s">
        <v>9</v>
      </c>
      <c r="N3782" s="17" t="s">
        <v>736</v>
      </c>
    </row>
    <row r="3783" spans="1:14" x14ac:dyDescent="0.25">
      <c r="A3783" s="8">
        <v>995103</v>
      </c>
      <c r="B3783" s="22" t="str">
        <f>IFERROR(VLOOKUP(A3783,VLOOKUPS!$A$2:B$12589,2,FALSE),"")</f>
        <v>Teriyaki Stir Fry Kit 12.5oz-standard</v>
      </c>
      <c r="E3783">
        <v>1.94</v>
      </c>
      <c r="F3783">
        <v>2.98</v>
      </c>
      <c r="G3783" s="13">
        <v>44645</v>
      </c>
      <c r="H3783" s="13"/>
      <c r="I3783" s="22" t="str">
        <f>VLOOKUP(J3783, Dropdowns!N:O, 2, FALSE)</f>
        <v>Standard</v>
      </c>
      <c r="J3783" t="s">
        <v>760</v>
      </c>
      <c r="L3783" s="17" t="s">
        <v>732</v>
      </c>
      <c r="M3783" s="17" t="s">
        <v>9</v>
      </c>
      <c r="N3783" s="17" t="s">
        <v>736</v>
      </c>
    </row>
    <row r="3784" spans="1:14" x14ac:dyDescent="0.25">
      <c r="A3784" s="8">
        <v>995164</v>
      </c>
      <c r="B3784" s="22" t="str">
        <f>IFERROR(VLOOKUP(A3784,VLOOKUPS!$A$2:B$12589,2,FALSE),"")</f>
        <v>Spinach 10oz-standard</v>
      </c>
      <c r="E3784">
        <v>1.98</v>
      </c>
      <c r="F3784">
        <v>0.99</v>
      </c>
      <c r="G3784" s="13">
        <v>44643</v>
      </c>
      <c r="H3784" s="13">
        <v>44644</v>
      </c>
      <c r="I3784" s="22" t="str">
        <f>VLOOKUP(J3784, Dropdowns!N:O, 2, FALSE)</f>
        <v>Lower Price</v>
      </c>
      <c r="J3784" t="s">
        <v>759</v>
      </c>
      <c r="L3784" s="17" t="s">
        <v>732</v>
      </c>
      <c r="M3784" s="17" t="s">
        <v>9</v>
      </c>
      <c r="N3784" s="17" t="s">
        <v>736</v>
      </c>
    </row>
    <row r="3785" spans="1:14" x14ac:dyDescent="0.25">
      <c r="A3785" s="8">
        <v>995164</v>
      </c>
      <c r="B3785" s="22" t="str">
        <f>IFERROR(VLOOKUP(A3785,VLOOKUPS!$A$2:B$12589,2,FALSE),"")</f>
        <v>Spinach 10oz-standard</v>
      </c>
      <c r="E3785">
        <v>0.99</v>
      </c>
      <c r="F3785">
        <v>1.98</v>
      </c>
      <c r="G3785" s="13">
        <v>44645</v>
      </c>
      <c r="H3785" s="13"/>
      <c r="I3785" s="22" t="str">
        <f>VLOOKUP(J3785, Dropdowns!N:O, 2, FALSE)</f>
        <v>Standard</v>
      </c>
      <c r="J3785" t="s">
        <v>760</v>
      </c>
      <c r="L3785" s="17" t="s">
        <v>732</v>
      </c>
      <c r="M3785" s="17" t="s">
        <v>9</v>
      </c>
      <c r="N3785" s="17" t="s">
        <v>736</v>
      </c>
    </row>
    <row r="3786" spans="1:14" x14ac:dyDescent="0.25">
      <c r="A3786" s="8">
        <v>995171</v>
      </c>
      <c r="B3786" s="22" t="str">
        <f>IFERROR(VLOOKUP(A3786,VLOOKUPS!$A$2:B$12589,2,FALSE),"")</f>
        <v>Kale Greens 2lb-standard</v>
      </c>
      <c r="E3786">
        <v>4.5599999999999996</v>
      </c>
      <c r="F3786">
        <v>2.96</v>
      </c>
      <c r="G3786" s="13">
        <v>44643</v>
      </c>
      <c r="H3786" s="13">
        <v>44644</v>
      </c>
      <c r="I3786" s="22" t="str">
        <f>VLOOKUP(J3786, Dropdowns!N:O, 2, FALSE)</f>
        <v>Lower Price</v>
      </c>
      <c r="J3786" t="s">
        <v>759</v>
      </c>
      <c r="L3786" s="17" t="s">
        <v>732</v>
      </c>
      <c r="M3786" s="17" t="s">
        <v>10</v>
      </c>
      <c r="N3786" s="17">
        <v>2</v>
      </c>
    </row>
    <row r="3787" spans="1:14" x14ac:dyDescent="0.25">
      <c r="A3787" s="8">
        <v>995171</v>
      </c>
      <c r="B3787" s="22" t="str">
        <f>IFERROR(VLOOKUP(A3787,VLOOKUPS!$A$2:B$12589,2,FALSE),"")</f>
        <v>Kale Greens 2lb-standard</v>
      </c>
      <c r="E3787">
        <v>2.96</v>
      </c>
      <c r="F3787">
        <v>4.5599999999999996</v>
      </c>
      <c r="G3787" s="13">
        <v>44645</v>
      </c>
      <c r="H3787" s="13"/>
      <c r="I3787" s="22" t="str">
        <f>VLOOKUP(J3787, Dropdowns!N:O, 2, FALSE)</f>
        <v>Standard</v>
      </c>
      <c r="J3787" t="s">
        <v>760</v>
      </c>
      <c r="L3787" s="17" t="s">
        <v>732</v>
      </c>
      <c r="M3787" s="17" t="s">
        <v>10</v>
      </c>
      <c r="N3787" s="17">
        <v>2</v>
      </c>
    </row>
    <row r="3788" spans="1:14" x14ac:dyDescent="0.25">
      <c r="A3788" s="8">
        <v>983104</v>
      </c>
      <c r="B3788" s="22" t="str">
        <f>IFERROR(VLOOKUP(A3788,VLOOKUPS!$A$2:B$12589,2,FALSE),"")</f>
        <v>Melons Dino 1ct.-LOOSE</v>
      </c>
      <c r="D3788">
        <v>6</v>
      </c>
      <c r="E3788">
        <v>3.98</v>
      </c>
      <c r="G3788" s="13">
        <v>44643</v>
      </c>
      <c r="H3788" s="13"/>
      <c r="I3788" s="22" t="str">
        <f>VLOOKUP(J3788, Dropdowns!N:O, 2, FALSE)</f>
        <v>NA</v>
      </c>
      <c r="J3788" t="s">
        <v>754</v>
      </c>
      <c r="L3788" s="17" t="s">
        <v>732</v>
      </c>
      <c r="M3788" s="17" t="s">
        <v>11</v>
      </c>
      <c r="N3788" s="17" t="s">
        <v>740</v>
      </c>
    </row>
    <row r="3789" spans="1:14" x14ac:dyDescent="0.25">
      <c r="A3789" s="8">
        <v>983103</v>
      </c>
      <c r="B3789" s="22" t="str">
        <f>IFERROR(VLOOKUP(A3789,VLOOKUPS!$A$2:B$12589,2,FALSE),"")</f>
        <v>MelonsGolden Canary 1ct.-LOOSE</v>
      </c>
      <c r="E3789">
        <v>3.98</v>
      </c>
      <c r="F3789">
        <v>2.59</v>
      </c>
      <c r="G3789" s="13">
        <v>44643</v>
      </c>
      <c r="H3789" s="13">
        <v>44644</v>
      </c>
      <c r="I3789" s="22" t="str">
        <f>VLOOKUP(J3789, Dropdowns!N:O, 2, FALSE)</f>
        <v>Lower Price</v>
      </c>
      <c r="J3789" t="s">
        <v>759</v>
      </c>
      <c r="L3789" s="17" t="s">
        <v>732</v>
      </c>
      <c r="M3789" s="17" t="s">
        <v>9</v>
      </c>
      <c r="N3789" s="17" t="s">
        <v>736</v>
      </c>
    </row>
    <row r="3790" spans="1:14" x14ac:dyDescent="0.25">
      <c r="A3790" s="8">
        <v>983103</v>
      </c>
      <c r="B3790" s="22" t="str">
        <f>IFERROR(VLOOKUP(A3790,VLOOKUPS!$A$2:B$12589,2,FALSE),"")</f>
        <v>MelonsGolden Canary 1ct.-LOOSE</v>
      </c>
      <c r="E3790">
        <v>2.59</v>
      </c>
      <c r="F3790">
        <v>3.98</v>
      </c>
      <c r="G3790" s="13">
        <v>44645</v>
      </c>
      <c r="H3790" s="13"/>
      <c r="I3790" s="22" t="str">
        <f>VLOOKUP(J3790, Dropdowns!N:O, 2, FALSE)</f>
        <v>Standard</v>
      </c>
      <c r="J3790" t="s">
        <v>760</v>
      </c>
      <c r="L3790" s="17" t="s">
        <v>732</v>
      </c>
      <c r="M3790" s="17" t="s">
        <v>9</v>
      </c>
      <c r="N3790" s="17" t="s">
        <v>736</v>
      </c>
    </row>
    <row r="3791" spans="1:14" x14ac:dyDescent="0.25">
      <c r="A3791" s="8">
        <v>983201</v>
      </c>
      <c r="B3791" s="22" t="str">
        <f>IFERROR(VLOOKUP(A3791,VLOOKUPS!$A$2:B$12589,2,FALSE),"")</f>
        <v>Melons* Honeydew 1ct-LOOSE</v>
      </c>
      <c r="E3791">
        <v>3.98</v>
      </c>
      <c r="F3791">
        <v>3.18</v>
      </c>
      <c r="G3791" s="13">
        <v>44643</v>
      </c>
      <c r="H3791" s="13">
        <v>44644</v>
      </c>
      <c r="I3791" s="22" t="str">
        <f>VLOOKUP(J3791, Dropdowns!N:O, 2, FALSE)</f>
        <v>Lower Price</v>
      </c>
      <c r="J3791" t="s">
        <v>759</v>
      </c>
      <c r="L3791" s="17" t="s">
        <v>732</v>
      </c>
      <c r="M3791" s="17" t="s">
        <v>10</v>
      </c>
      <c r="N3791" s="17">
        <v>2</v>
      </c>
    </row>
    <row r="3792" spans="1:14" x14ac:dyDescent="0.25">
      <c r="A3792" s="8">
        <v>983201</v>
      </c>
      <c r="B3792" s="22" t="str">
        <f>IFERROR(VLOOKUP(A3792,VLOOKUPS!$A$2:B$12589,2,FALSE),"")</f>
        <v>Melons* Honeydew 1ct-LOOSE</v>
      </c>
      <c r="E3792">
        <v>3.18</v>
      </c>
      <c r="F3792">
        <v>3.98</v>
      </c>
      <c r="G3792" s="13">
        <v>44645</v>
      </c>
      <c r="H3792" s="13"/>
      <c r="I3792" s="22" t="str">
        <f>VLOOKUP(J3792, Dropdowns!N:O, 2, FALSE)</f>
        <v>Standard</v>
      </c>
      <c r="J3792" t="s">
        <v>760</v>
      </c>
      <c r="L3792" s="17" t="s">
        <v>732</v>
      </c>
      <c r="M3792" s="17" t="s">
        <v>10</v>
      </c>
      <c r="N3792" s="17">
        <v>2</v>
      </c>
    </row>
    <row r="3793" spans="1:14" x14ac:dyDescent="0.25">
      <c r="A3793" s="8">
        <v>984460</v>
      </c>
      <c r="B3793" s="22" t="str">
        <f>IFERROR(VLOOKUP(A3793,VLOOKUPS!$A$2:B$12589,2,FALSE),"")</f>
        <v>Strawberries 1lb-standard</v>
      </c>
      <c r="G3793" s="13">
        <v>44643</v>
      </c>
      <c r="H3793" s="13">
        <v>44643</v>
      </c>
      <c r="I3793" s="22" t="str">
        <f>VLOOKUP(J3793, Dropdowns!N:O, 2, FALSE)</f>
        <v>Lower Price</v>
      </c>
      <c r="J3793" t="s">
        <v>762</v>
      </c>
      <c r="L3793" s="17" t="s">
        <v>732</v>
      </c>
      <c r="M3793" s="17" t="s">
        <v>737</v>
      </c>
      <c r="N3793" s="17" t="s">
        <v>736</v>
      </c>
    </row>
    <row r="3794" spans="1:14" x14ac:dyDescent="0.25">
      <c r="A3794" s="8">
        <v>984460</v>
      </c>
      <c r="B3794" s="22" t="str">
        <f>IFERROR(VLOOKUP(A3794,VLOOKUPS!$A$2:B$12589,2,FALSE),"")</f>
        <v>Strawberries 1lb-standard</v>
      </c>
      <c r="E3794">
        <v>1.49</v>
      </c>
      <c r="F3794">
        <v>2.59</v>
      </c>
      <c r="G3794" s="13">
        <v>44643</v>
      </c>
      <c r="H3794" s="13"/>
      <c r="I3794" s="22" t="str">
        <f>VLOOKUP(J3794, Dropdowns!N:O, 2, FALSE)</f>
        <v>Standard</v>
      </c>
      <c r="J3794" t="s">
        <v>760</v>
      </c>
      <c r="L3794" s="17" t="s">
        <v>732</v>
      </c>
      <c r="M3794" s="17" t="s">
        <v>10</v>
      </c>
      <c r="N3794" s="17">
        <v>2</v>
      </c>
    </row>
    <row r="3795" spans="1:14" x14ac:dyDescent="0.25">
      <c r="A3795" s="8">
        <v>986270</v>
      </c>
      <c r="B3795" s="22" t="str">
        <f>IFERROR(VLOOKUP(A3795,VLOOKUPS!$A$2:B$12589,2,FALSE),"")</f>
        <v>Organic French Beans 1lb-standard</v>
      </c>
      <c r="E3795">
        <v>2.99</v>
      </c>
      <c r="F3795">
        <v>3.99</v>
      </c>
      <c r="G3795" s="13">
        <v>44643</v>
      </c>
      <c r="H3795" s="13"/>
      <c r="I3795" s="22" t="str">
        <f>VLOOKUP(J3795, Dropdowns!N:O, 2, FALSE)</f>
        <v>Standard</v>
      </c>
      <c r="J3795" t="s">
        <v>760</v>
      </c>
      <c r="L3795" s="17" t="s">
        <v>732</v>
      </c>
      <c r="M3795" s="17" t="s">
        <v>9</v>
      </c>
      <c r="N3795" s="17" t="s">
        <v>736</v>
      </c>
    </row>
    <row r="3796" spans="1:14" x14ac:dyDescent="0.25">
      <c r="A3796" s="8">
        <v>986270</v>
      </c>
      <c r="B3796" s="22" t="str">
        <f>IFERROR(VLOOKUP(A3796,VLOOKUPS!$A$2:B$12589,2,FALSE),"")</f>
        <v>Organic French Beans 1lb-standard</v>
      </c>
      <c r="G3796" s="13">
        <v>44643</v>
      </c>
      <c r="H3796" s="13">
        <v>44644</v>
      </c>
      <c r="I3796" s="22" t="str">
        <f>VLOOKUP(J3796, Dropdowns!N:O, 2, FALSE)</f>
        <v>Lower Price</v>
      </c>
      <c r="J3796" t="s">
        <v>762</v>
      </c>
      <c r="L3796" s="17" t="s">
        <v>732</v>
      </c>
      <c r="M3796" s="17" t="s">
        <v>738</v>
      </c>
      <c r="N3796" s="17">
        <v>2</v>
      </c>
    </row>
    <row r="3797" spans="1:14" x14ac:dyDescent="0.25">
      <c r="A3797" s="8">
        <v>984582</v>
      </c>
      <c r="B3797" s="22" t="str">
        <f>IFERROR(VLOOKUP(A3797,VLOOKUPS!$A$2:B$12589,2,FALSE),"")</f>
        <v>Organic Blueberries 1pt-standard</v>
      </c>
      <c r="G3797" s="13">
        <v>44643</v>
      </c>
      <c r="H3797" s="13">
        <v>44644</v>
      </c>
      <c r="I3797" s="22" t="str">
        <f>VLOOKUP(J3797, Dropdowns!N:O, 2, FALSE)</f>
        <v>Lower Price</v>
      </c>
      <c r="J3797" t="s">
        <v>762</v>
      </c>
      <c r="L3797" s="17" t="s">
        <v>732</v>
      </c>
      <c r="M3797" s="17" t="s">
        <v>9</v>
      </c>
      <c r="N3797" s="17" t="s">
        <v>736</v>
      </c>
    </row>
    <row r="3798" spans="1:14" x14ac:dyDescent="0.25">
      <c r="A3798" s="8">
        <v>984582</v>
      </c>
      <c r="B3798" s="22" t="str">
        <f>IFERROR(VLOOKUP(A3798,VLOOKUPS!$A$2:B$12589,2,FALSE),"")</f>
        <v>Organic Blueberries 1pt-standard</v>
      </c>
      <c r="G3798" s="13">
        <v>44643</v>
      </c>
      <c r="H3798" s="13">
        <v>44643</v>
      </c>
      <c r="I3798" s="22" t="str">
        <f>VLOOKUP(J3798, Dropdowns!N:O, 2, FALSE)</f>
        <v>Lower Price</v>
      </c>
      <c r="J3798" t="s">
        <v>762</v>
      </c>
      <c r="L3798" s="17" t="s">
        <v>732</v>
      </c>
      <c r="M3798" s="17" t="s">
        <v>10</v>
      </c>
      <c r="N3798" s="17">
        <v>2</v>
      </c>
    </row>
    <row r="3799" spans="1:14" x14ac:dyDescent="0.25">
      <c r="A3799" s="8">
        <v>984582</v>
      </c>
      <c r="B3799" s="22" t="str">
        <f>IFERROR(VLOOKUP(A3799,VLOOKUPS!$A$2:B$12589,2,FALSE),"")</f>
        <v>Organic Blueberries 1pt-standard</v>
      </c>
      <c r="E3799">
        <v>3.2</v>
      </c>
      <c r="F3799">
        <v>4.26</v>
      </c>
      <c r="G3799" s="13">
        <v>44643</v>
      </c>
      <c r="H3799" s="13"/>
      <c r="I3799" s="22" t="str">
        <f>VLOOKUP(J3799, Dropdowns!N:O, 2, FALSE)</f>
        <v>Standard</v>
      </c>
      <c r="J3799" t="s">
        <v>760</v>
      </c>
      <c r="L3799" s="17" t="s">
        <v>733</v>
      </c>
      <c r="M3799" s="17" t="s">
        <v>11</v>
      </c>
      <c r="N3799" s="17" t="s">
        <v>740</v>
      </c>
    </row>
    <row r="3800" spans="1:14" x14ac:dyDescent="0.25">
      <c r="A3800" s="8">
        <v>985190</v>
      </c>
      <c r="B3800" s="22" t="str">
        <f>IFERROR(VLOOKUP(A3800,VLOOKUPS!$A$2:B$12589,2,FALSE),"")</f>
        <v>Organic Romaine Hearts 3ct-standard</v>
      </c>
      <c r="E3800">
        <v>2.34</v>
      </c>
      <c r="F3800">
        <v>3.12</v>
      </c>
      <c r="G3800" s="13">
        <v>44643</v>
      </c>
      <c r="H3800" s="13"/>
      <c r="I3800" s="22" t="str">
        <f>VLOOKUP(J3800, Dropdowns!N:O, 2, FALSE)</f>
        <v>Standard</v>
      </c>
      <c r="J3800" t="s">
        <v>760</v>
      </c>
      <c r="L3800" s="17" t="s">
        <v>732</v>
      </c>
      <c r="M3800" s="17" t="s">
        <v>736</v>
      </c>
      <c r="N3800" s="17" t="s">
        <v>736</v>
      </c>
    </row>
    <row r="3801" spans="1:14" x14ac:dyDescent="0.25">
      <c r="A3801" s="8">
        <v>995069</v>
      </c>
      <c r="B3801" s="22" t="str">
        <f>IFERROR(VLOOKUP(A3801,VLOOKUPS!$A$2:B$12589,2,FALSE),"")</f>
        <v>Organic Baby Spinach 5oz-standard</v>
      </c>
      <c r="E3801">
        <v>1.49</v>
      </c>
      <c r="F3801">
        <v>2.98</v>
      </c>
      <c r="G3801" s="13">
        <v>44643</v>
      </c>
      <c r="H3801" s="13"/>
      <c r="I3801" s="22" t="str">
        <f>VLOOKUP(J3801, Dropdowns!N:O, 2, FALSE)</f>
        <v>Standard</v>
      </c>
      <c r="J3801" t="s">
        <v>760</v>
      </c>
      <c r="L3801" s="17" t="s">
        <v>732</v>
      </c>
      <c r="M3801" s="17" t="s">
        <v>9</v>
      </c>
      <c r="N3801" s="17" t="s">
        <v>736</v>
      </c>
    </row>
    <row r="3802" spans="1:14" x14ac:dyDescent="0.25">
      <c r="A3802" s="8">
        <v>995069</v>
      </c>
      <c r="B3802" s="22" t="str">
        <f>IFERROR(VLOOKUP(A3802,VLOOKUPS!$A$2:B$12589,2,FALSE),"")</f>
        <v>Organic Baby Spinach 5oz-standard</v>
      </c>
      <c r="G3802" s="13">
        <v>44643</v>
      </c>
      <c r="H3802" s="13">
        <v>44645</v>
      </c>
      <c r="I3802" s="22" t="str">
        <f>VLOOKUP(J3802, Dropdowns!N:O, 2, FALSE)</f>
        <v>Lower Price</v>
      </c>
      <c r="J3802" t="s">
        <v>762</v>
      </c>
      <c r="L3802" s="17" t="s">
        <v>732</v>
      </c>
      <c r="M3802" s="17" t="s">
        <v>738</v>
      </c>
      <c r="N3802" s="17">
        <v>2</v>
      </c>
    </row>
    <row r="3803" spans="1:14" x14ac:dyDescent="0.25">
      <c r="A3803" s="8">
        <v>982650</v>
      </c>
      <c r="B3803" s="22" t="str">
        <f>IFERROR(VLOOKUP(A3803,VLOOKUPS!$A$2:B$12589,2,FALSE),"")</f>
        <v>Grapes* Green Seedless 1lb-LOOSE</v>
      </c>
      <c r="E3803">
        <v>2.1</v>
      </c>
      <c r="F3803">
        <v>1.68</v>
      </c>
      <c r="G3803" s="13">
        <v>44644</v>
      </c>
      <c r="H3803" s="13">
        <v>44645</v>
      </c>
      <c r="I3803" s="22" t="str">
        <f>VLOOKUP(J3803, Dropdowns!N:O, 2, FALSE)</f>
        <v>Lower Price</v>
      </c>
      <c r="J3803" t="s">
        <v>759</v>
      </c>
      <c r="L3803" s="17" t="s">
        <v>732</v>
      </c>
      <c r="M3803" s="17" t="s">
        <v>10</v>
      </c>
      <c r="N3803" s="17">
        <v>2</v>
      </c>
    </row>
    <row r="3804" spans="1:14" x14ac:dyDescent="0.25">
      <c r="A3804" s="8">
        <v>982650</v>
      </c>
      <c r="B3804" s="22" t="str">
        <f>IFERROR(VLOOKUP(A3804,VLOOKUPS!$A$2:B$12589,2,FALSE),"")</f>
        <v>Grapes* Green Seedless 1lb-LOOSE</v>
      </c>
      <c r="E3804">
        <v>1.68</v>
      </c>
      <c r="F3804">
        <v>2.1</v>
      </c>
      <c r="G3804" s="13">
        <v>44646</v>
      </c>
      <c r="H3804" s="13"/>
      <c r="I3804" s="22" t="str">
        <f>VLOOKUP(J3804, Dropdowns!N:O, 2, FALSE)</f>
        <v>Standard</v>
      </c>
      <c r="J3804" t="s">
        <v>760</v>
      </c>
      <c r="L3804" s="17" t="s">
        <v>732</v>
      </c>
      <c r="M3804" s="17" t="s">
        <v>10</v>
      </c>
      <c r="N3804" s="17">
        <v>2</v>
      </c>
    </row>
    <row r="3805" spans="1:14" x14ac:dyDescent="0.25">
      <c r="A3805" s="8">
        <v>982713</v>
      </c>
      <c r="B3805" s="22" t="str">
        <f>IFERROR(VLOOKUP(A3805,VLOOKUPS!$A$2:B$12589,2,FALSE),"")</f>
        <v>Organic Grapes Green 1lb-standard</v>
      </c>
      <c r="D3805">
        <v>10</v>
      </c>
      <c r="E3805">
        <v>4.99</v>
      </c>
      <c r="G3805" s="13">
        <v>44644</v>
      </c>
      <c r="H3805" s="13"/>
      <c r="I3805" s="22" t="str">
        <f>VLOOKUP(J3805, Dropdowns!N:O, 2, FALSE)</f>
        <v>NA</v>
      </c>
      <c r="J3805" t="s">
        <v>754</v>
      </c>
      <c r="L3805" s="17" t="s">
        <v>732</v>
      </c>
      <c r="M3805" s="17" t="s">
        <v>9</v>
      </c>
      <c r="N3805" s="17" t="s">
        <v>736</v>
      </c>
    </row>
    <row r="3806" spans="1:14" x14ac:dyDescent="0.25">
      <c r="A3806" s="8">
        <v>982713</v>
      </c>
      <c r="B3806" s="22" t="str">
        <f>IFERROR(VLOOKUP(A3806,VLOOKUPS!$A$2:B$12589,2,FALSE),"")</f>
        <v>Organic Grapes Green 1lb-standard</v>
      </c>
      <c r="E3806">
        <v>4.99</v>
      </c>
      <c r="F3806">
        <v>3.24</v>
      </c>
      <c r="G3806" s="13">
        <v>44644</v>
      </c>
      <c r="H3806" s="13">
        <v>44645</v>
      </c>
      <c r="I3806" s="22" t="str">
        <f>VLOOKUP(J3806, Dropdowns!N:O, 2, FALSE)</f>
        <v>Lower Price</v>
      </c>
      <c r="J3806" t="s">
        <v>759</v>
      </c>
      <c r="L3806" s="17" t="s">
        <v>732</v>
      </c>
      <c r="M3806" s="17" t="s">
        <v>10</v>
      </c>
      <c r="N3806" s="17">
        <v>2</v>
      </c>
    </row>
    <row r="3807" spans="1:14" x14ac:dyDescent="0.25">
      <c r="A3807" s="8">
        <v>982713</v>
      </c>
      <c r="B3807" s="22" t="str">
        <f>IFERROR(VLOOKUP(A3807,VLOOKUPS!$A$2:B$12589,2,FALSE),"")</f>
        <v>Organic Grapes Green 1lb-standard</v>
      </c>
      <c r="E3807">
        <v>3.24</v>
      </c>
      <c r="F3807">
        <v>4.99</v>
      </c>
      <c r="G3807" s="13">
        <v>44646</v>
      </c>
      <c r="H3807" s="13"/>
      <c r="I3807" s="22" t="str">
        <f>VLOOKUP(J3807, Dropdowns!N:O, 2, FALSE)</f>
        <v>Standard</v>
      </c>
      <c r="J3807" t="s">
        <v>760</v>
      </c>
      <c r="L3807" s="17" t="s">
        <v>732</v>
      </c>
      <c r="M3807" s="17" t="s">
        <v>10</v>
      </c>
      <c r="N3807" s="17">
        <v>2</v>
      </c>
    </row>
    <row r="3808" spans="1:14" x14ac:dyDescent="0.25">
      <c r="A3808" s="8">
        <v>984460</v>
      </c>
      <c r="B3808" s="22" t="str">
        <f>IFERROR(VLOOKUP(A3808,VLOOKUPS!$A$2:B$12589,2,FALSE),"")</f>
        <v>Strawberries 1lb-standard</v>
      </c>
      <c r="E3808">
        <v>1.49</v>
      </c>
      <c r="F3808">
        <v>2.59</v>
      </c>
      <c r="G3808" s="13">
        <v>44644</v>
      </c>
      <c r="H3808" s="13"/>
      <c r="I3808" s="22" t="str">
        <f>VLOOKUP(J3808, Dropdowns!N:O, 2, FALSE)</f>
        <v>Standard</v>
      </c>
      <c r="J3808" t="s">
        <v>760</v>
      </c>
      <c r="L3808" s="17" t="s">
        <v>732</v>
      </c>
      <c r="M3808" s="17" t="s">
        <v>9</v>
      </c>
      <c r="N3808" s="17" t="s">
        <v>736</v>
      </c>
    </row>
    <row r="3809" spans="1:14" x14ac:dyDescent="0.25">
      <c r="A3809" s="8">
        <v>984460</v>
      </c>
      <c r="B3809" s="22" t="str">
        <f>IFERROR(VLOOKUP(A3809,VLOOKUPS!$A$2:B$12589,2,FALSE),"")</f>
        <v>Strawberries 1lb-standard</v>
      </c>
      <c r="G3809" s="13">
        <v>44644</v>
      </c>
      <c r="H3809" s="13">
        <v>44644</v>
      </c>
      <c r="I3809" s="22" t="str">
        <f>VLOOKUP(J3809, Dropdowns!N:O, 2, FALSE)</f>
        <v>Lower Price</v>
      </c>
      <c r="J3809" t="s">
        <v>762</v>
      </c>
      <c r="L3809" s="17" t="s">
        <v>733</v>
      </c>
      <c r="M3809" s="17" t="s">
        <v>11</v>
      </c>
      <c r="N3809" s="17" t="s">
        <v>740</v>
      </c>
    </row>
    <row r="3810" spans="1:14" x14ac:dyDescent="0.25">
      <c r="A3810" s="8">
        <v>984460</v>
      </c>
      <c r="B3810" s="22" t="str">
        <f>IFERROR(VLOOKUP(A3810,VLOOKUPS!$A$2:B$12589,2,FALSE),"")</f>
        <v>Strawberries 1lb-standard</v>
      </c>
      <c r="E3810">
        <v>2.59</v>
      </c>
      <c r="F3810">
        <v>1.68</v>
      </c>
      <c r="G3810" s="13">
        <v>44644</v>
      </c>
      <c r="H3810" s="13">
        <v>44645</v>
      </c>
      <c r="I3810" s="22" t="str">
        <f>VLOOKUP(J3810, Dropdowns!N:O, 2, FALSE)</f>
        <v>Lower Price</v>
      </c>
      <c r="J3810" t="s">
        <v>759</v>
      </c>
      <c r="L3810" s="17" t="s">
        <v>732</v>
      </c>
      <c r="M3810" s="17" t="s">
        <v>10</v>
      </c>
      <c r="N3810" s="17">
        <v>2</v>
      </c>
    </row>
    <row r="3811" spans="1:14" x14ac:dyDescent="0.25">
      <c r="A3811" s="8">
        <v>984460</v>
      </c>
      <c r="B3811" s="22" t="str">
        <f>IFERROR(VLOOKUP(A3811,VLOOKUPS!$A$2:B$12589,2,FALSE),"")</f>
        <v>Strawberries 1lb-standard</v>
      </c>
      <c r="E3811">
        <v>1.68</v>
      </c>
      <c r="F3811">
        <v>2.59</v>
      </c>
      <c r="G3811" s="13">
        <v>44646</v>
      </c>
      <c r="H3811" s="13"/>
      <c r="I3811" s="22" t="str">
        <f>VLOOKUP(J3811, Dropdowns!N:O, 2, FALSE)</f>
        <v>Standard</v>
      </c>
      <c r="J3811" t="s">
        <v>760</v>
      </c>
      <c r="L3811" s="17" t="s">
        <v>732</v>
      </c>
      <c r="M3811" s="17" t="s">
        <v>10</v>
      </c>
      <c r="N3811" s="17">
        <v>2</v>
      </c>
    </row>
    <row r="3812" spans="1:14" x14ac:dyDescent="0.25">
      <c r="A3812" s="8">
        <v>984461</v>
      </c>
      <c r="B3812" s="22" t="str">
        <f>IFERROR(VLOOKUP(A3812,VLOOKUPS!$A$2:B$12589,2,FALSE),"")</f>
        <v>Strawberries 2lb-standard</v>
      </c>
      <c r="E3812">
        <v>5.12</v>
      </c>
      <c r="F3812">
        <v>3.33</v>
      </c>
      <c r="G3812" s="13">
        <v>44644</v>
      </c>
      <c r="H3812" s="13">
        <v>44645</v>
      </c>
      <c r="I3812" s="22" t="str">
        <f>VLOOKUP(J3812, Dropdowns!N:O, 2, FALSE)</f>
        <v>Lower Price</v>
      </c>
      <c r="J3812" t="s">
        <v>759</v>
      </c>
      <c r="L3812" s="17" t="s">
        <v>733</v>
      </c>
      <c r="M3812" s="17" t="s">
        <v>11</v>
      </c>
      <c r="N3812" s="17" t="s">
        <v>740</v>
      </c>
    </row>
    <row r="3813" spans="1:14" x14ac:dyDescent="0.25">
      <c r="A3813" s="8">
        <v>984461</v>
      </c>
      <c r="B3813" s="22" t="str">
        <f>IFERROR(VLOOKUP(A3813,VLOOKUPS!$A$2:B$12589,2,FALSE),"")</f>
        <v>Strawberries 2lb-standard</v>
      </c>
      <c r="E3813">
        <v>3.33</v>
      </c>
      <c r="F3813">
        <v>5.12</v>
      </c>
      <c r="G3813" s="13">
        <v>44646</v>
      </c>
      <c r="H3813" s="13"/>
      <c r="I3813" s="22" t="str">
        <f>VLOOKUP(J3813, Dropdowns!N:O, 2, FALSE)</f>
        <v>Standard</v>
      </c>
      <c r="J3813" t="s">
        <v>760</v>
      </c>
      <c r="L3813" s="17" t="s">
        <v>733</v>
      </c>
      <c r="M3813" s="17" t="s">
        <v>11</v>
      </c>
      <c r="N3813" s="17" t="s">
        <v>740</v>
      </c>
    </row>
    <row r="3814" spans="1:14" x14ac:dyDescent="0.25">
      <c r="A3814" s="8">
        <v>984582</v>
      </c>
      <c r="B3814" s="22" t="str">
        <f>IFERROR(VLOOKUP(A3814,VLOOKUPS!$A$2:B$12589,2,FALSE),"")</f>
        <v>Organic Blueberries 1pt-standard</v>
      </c>
      <c r="E3814">
        <v>3.2</v>
      </c>
      <c r="F3814">
        <v>4.26</v>
      </c>
      <c r="G3814" s="13">
        <v>44644</v>
      </c>
      <c r="H3814" s="13"/>
      <c r="I3814" s="22" t="str">
        <f>VLOOKUP(J3814, Dropdowns!N:O, 2, FALSE)</f>
        <v>Standard</v>
      </c>
      <c r="J3814" t="s">
        <v>760</v>
      </c>
      <c r="L3814" s="17" t="s">
        <v>732</v>
      </c>
      <c r="M3814" s="17" t="s">
        <v>10</v>
      </c>
      <c r="N3814" s="17">
        <v>2</v>
      </c>
    </row>
    <row r="3815" spans="1:14" x14ac:dyDescent="0.25">
      <c r="A3815" s="8">
        <v>984700</v>
      </c>
      <c r="B3815" s="22" t="str">
        <f>IFERROR(VLOOKUP(A3815,VLOOKUPS!$A$2:B$12589,2,FALSE),"")</f>
        <v>Blackberries 6oz-standard</v>
      </c>
      <c r="E3815">
        <v>1.99</v>
      </c>
      <c r="F3815">
        <v>1.96</v>
      </c>
      <c r="G3815" s="13">
        <v>44644</v>
      </c>
      <c r="H3815" s="13"/>
      <c r="I3815" s="22" t="str">
        <f>VLOOKUP(J3815, Dropdowns!N:O, 2, FALSE)</f>
        <v>Standard</v>
      </c>
      <c r="J3815" t="s">
        <v>761</v>
      </c>
      <c r="L3815" s="17" t="s">
        <v>732</v>
      </c>
      <c r="M3815" s="17" t="s">
        <v>736</v>
      </c>
      <c r="N3815" s="17" t="s">
        <v>736</v>
      </c>
    </row>
    <row r="3816" spans="1:14" x14ac:dyDescent="0.25">
      <c r="A3816" s="8">
        <v>995100</v>
      </c>
      <c r="B3816" s="22" t="str">
        <f>IFERROR(VLOOKUP(A3816,VLOOKUPS!$A$2:B$12589,2,FALSE),"")</f>
        <v>Asian Chopped Salad Kit 12oz-standard</v>
      </c>
      <c r="E3816">
        <v>3.49</v>
      </c>
      <c r="F3816">
        <v>1.75</v>
      </c>
      <c r="G3816" s="13">
        <v>44644</v>
      </c>
      <c r="H3816" s="13">
        <v>44645</v>
      </c>
      <c r="I3816" s="22" t="str">
        <f>VLOOKUP(J3816, Dropdowns!N:O, 2, FALSE)</f>
        <v>Lower Price</v>
      </c>
      <c r="J3816" t="s">
        <v>759</v>
      </c>
      <c r="L3816" s="17" t="s">
        <v>733</v>
      </c>
      <c r="M3816" s="17" t="s">
        <v>11</v>
      </c>
      <c r="N3816" s="17" t="s">
        <v>740</v>
      </c>
    </row>
    <row r="3817" spans="1:14" x14ac:dyDescent="0.25">
      <c r="A3817" s="8">
        <v>995100</v>
      </c>
      <c r="B3817" s="22" t="str">
        <f>IFERROR(VLOOKUP(A3817,VLOOKUPS!$A$2:B$12589,2,FALSE),"")</f>
        <v>Asian Chopped Salad Kit 12oz-standard</v>
      </c>
      <c r="E3817">
        <v>1.75</v>
      </c>
      <c r="F3817">
        <v>3.49</v>
      </c>
      <c r="G3817" s="13">
        <v>44646</v>
      </c>
      <c r="H3817" s="13"/>
      <c r="I3817" s="22" t="str">
        <f>VLOOKUP(J3817, Dropdowns!N:O, 2, FALSE)</f>
        <v>Standard</v>
      </c>
      <c r="J3817" t="s">
        <v>760</v>
      </c>
      <c r="L3817" s="17" t="s">
        <v>733</v>
      </c>
      <c r="M3817" s="17" t="s">
        <v>11</v>
      </c>
      <c r="N3817" s="17" t="s">
        <v>740</v>
      </c>
    </row>
    <row r="3818" spans="1:14" x14ac:dyDescent="0.25">
      <c r="A3818" s="8">
        <v>984460</v>
      </c>
      <c r="B3818" s="22" t="str">
        <f>IFERROR(VLOOKUP(A3818,VLOOKUPS!$A$2:B$12589,2,FALSE),"")</f>
        <v>Strawberries 1lb-standard</v>
      </c>
      <c r="G3818" s="13">
        <v>44645</v>
      </c>
      <c r="H3818" s="13">
        <v>44645</v>
      </c>
      <c r="I3818" s="22" t="str">
        <f>VLOOKUP(J3818, Dropdowns!N:O, 2, FALSE)</f>
        <v>Lower Price</v>
      </c>
      <c r="J3818" t="s">
        <v>762</v>
      </c>
      <c r="L3818" s="17" t="s">
        <v>733</v>
      </c>
      <c r="M3818" s="17" t="s">
        <v>11</v>
      </c>
      <c r="N3818" s="17" t="s">
        <v>740</v>
      </c>
    </row>
    <row r="3819" spans="1:14" x14ac:dyDescent="0.25">
      <c r="A3819" s="8">
        <v>984582</v>
      </c>
      <c r="B3819" s="22" t="str">
        <f>IFERROR(VLOOKUP(A3819,VLOOKUPS!$A$2:B$12589,2,FALSE),"")</f>
        <v>Organic Blueberries 1pt-standard</v>
      </c>
      <c r="E3819">
        <v>3.2</v>
      </c>
      <c r="F3819">
        <v>4.26</v>
      </c>
      <c r="G3819" s="13">
        <v>44645</v>
      </c>
      <c r="H3819" s="13"/>
      <c r="I3819" s="22" t="str">
        <f>VLOOKUP(J3819, Dropdowns!N:O, 2, FALSE)</f>
        <v>Standard</v>
      </c>
      <c r="J3819" t="s">
        <v>760</v>
      </c>
      <c r="L3819" s="17" t="s">
        <v>732</v>
      </c>
      <c r="M3819" s="17" t="s">
        <v>9</v>
      </c>
      <c r="N3819" s="17" t="s">
        <v>736</v>
      </c>
    </row>
    <row r="3820" spans="1:14" x14ac:dyDescent="0.25">
      <c r="A3820" s="8">
        <v>986270</v>
      </c>
      <c r="B3820" s="22" t="str">
        <f>IFERROR(VLOOKUP(A3820,VLOOKUPS!$A$2:B$12589,2,FALSE),"")</f>
        <v>Organic French Beans 1lb-standard</v>
      </c>
      <c r="E3820">
        <v>2.99</v>
      </c>
      <c r="F3820">
        <v>3.99</v>
      </c>
      <c r="G3820" s="13">
        <v>44645</v>
      </c>
      <c r="H3820" s="13"/>
      <c r="I3820" s="22" t="str">
        <f>VLOOKUP(J3820, Dropdowns!N:O, 2, FALSE)</f>
        <v>Standard</v>
      </c>
      <c r="J3820" t="s">
        <v>760</v>
      </c>
      <c r="L3820" s="17" t="s">
        <v>732</v>
      </c>
      <c r="M3820" s="17" t="s">
        <v>738</v>
      </c>
      <c r="N3820" s="17">
        <v>2</v>
      </c>
    </row>
    <row r="3821" spans="1:14" x14ac:dyDescent="0.25">
      <c r="A3821" s="8">
        <v>995163</v>
      </c>
      <c r="B3821" s="22" t="str">
        <f>IFERROR(VLOOKUP(A3821,VLOOKUPS!$A$2:B$12589,2,FALSE),"")</f>
        <v>XL Caesar Salad Kit 15oz-standard</v>
      </c>
      <c r="D3821">
        <v>6</v>
      </c>
      <c r="E3821">
        <v>4.09</v>
      </c>
      <c r="G3821" s="13">
        <v>44645</v>
      </c>
      <c r="H3821" s="13"/>
      <c r="I3821" s="22" t="str">
        <f>VLOOKUP(J3821, Dropdowns!N:O, 2, FALSE)</f>
        <v>NA</v>
      </c>
      <c r="J3821" t="s">
        <v>754</v>
      </c>
      <c r="L3821" s="17" t="s">
        <v>732</v>
      </c>
      <c r="M3821" s="17" t="s">
        <v>736</v>
      </c>
      <c r="N3821" s="17" t="s">
        <v>736</v>
      </c>
    </row>
    <row r="3822" spans="1:14" x14ac:dyDescent="0.25">
      <c r="A3822" s="8">
        <v>982712</v>
      </c>
      <c r="B3822" s="22" t="str">
        <f>IFERROR(VLOOKUP(A3822,VLOOKUPS!$A$2:B$12589,2,FALSE),"")</f>
        <v>Organic Grapes Red 1lb-standard</v>
      </c>
      <c r="E3822">
        <v>4.99</v>
      </c>
      <c r="F3822">
        <v>2.4900000000000002</v>
      </c>
      <c r="G3822" s="13">
        <v>44645</v>
      </c>
      <c r="H3822" s="13">
        <v>44647</v>
      </c>
      <c r="I3822" s="22" t="str">
        <f>VLOOKUP(J3822, Dropdowns!N:O, 2, FALSE)</f>
        <v>Lower Price</v>
      </c>
      <c r="J3822" t="s">
        <v>759</v>
      </c>
      <c r="L3822" s="17" t="s">
        <v>732</v>
      </c>
      <c r="M3822" s="17" t="s">
        <v>735</v>
      </c>
      <c r="N3822" s="17" t="s">
        <v>736</v>
      </c>
    </row>
    <row r="3823" spans="1:14" x14ac:dyDescent="0.25">
      <c r="A3823" s="8">
        <v>982712</v>
      </c>
      <c r="B3823" s="22" t="str">
        <f>IFERROR(VLOOKUP(A3823,VLOOKUPS!$A$2:B$12589,2,FALSE),"")</f>
        <v>Organic Grapes Red 1lb-standard</v>
      </c>
      <c r="E3823">
        <v>2.4900000000000002</v>
      </c>
      <c r="F3823">
        <v>4.99</v>
      </c>
      <c r="G3823" s="13">
        <v>44648</v>
      </c>
      <c r="H3823" s="13"/>
      <c r="I3823" s="22" t="str">
        <f>VLOOKUP(J3823, Dropdowns!N:O, 2, FALSE)</f>
        <v>Standard</v>
      </c>
      <c r="J3823" t="s">
        <v>760</v>
      </c>
      <c r="L3823" s="17" t="s">
        <v>732</v>
      </c>
      <c r="M3823" s="17" t="s">
        <v>735</v>
      </c>
      <c r="N3823" s="17" t="s">
        <v>736</v>
      </c>
    </row>
    <row r="3824" spans="1:14" x14ac:dyDescent="0.25">
      <c r="A3824" s="8">
        <v>983201</v>
      </c>
      <c r="B3824" s="22" t="str">
        <f>IFERROR(VLOOKUP(A3824,VLOOKUPS!$A$2:B$12589,2,FALSE),"")</f>
        <v>Melons* Honeydew 1ct-LOOSE</v>
      </c>
      <c r="E3824">
        <v>3.98</v>
      </c>
      <c r="F3824">
        <v>3.18</v>
      </c>
      <c r="G3824" s="13">
        <v>44643</v>
      </c>
      <c r="H3824" s="13">
        <v>44645</v>
      </c>
      <c r="I3824" s="22" t="str">
        <f>VLOOKUP(J3824, Dropdowns!N:O, 2, FALSE)</f>
        <v>Lower Price</v>
      </c>
      <c r="J3824" t="s">
        <v>759</v>
      </c>
      <c r="L3824" s="17" t="s">
        <v>733</v>
      </c>
      <c r="M3824" s="17" t="s">
        <v>11</v>
      </c>
      <c r="N3824" s="17" t="s">
        <v>740</v>
      </c>
    </row>
    <row r="3825" spans="1:17" x14ac:dyDescent="0.25">
      <c r="A3825" s="8">
        <v>983201</v>
      </c>
      <c r="B3825" s="22" t="str">
        <f>IFERROR(VLOOKUP(A3825,VLOOKUPS!$A$2:B$12589,2,FALSE),"")</f>
        <v>Melons* Honeydew 1ct-LOOSE</v>
      </c>
      <c r="E3825">
        <v>3.18</v>
      </c>
      <c r="F3825">
        <v>3.98</v>
      </c>
      <c r="G3825" s="13">
        <v>44646</v>
      </c>
      <c r="H3825" s="13"/>
      <c r="I3825" s="22" t="str">
        <f>VLOOKUP(J3825, Dropdowns!N:O, 2, FALSE)</f>
        <v>Standard</v>
      </c>
      <c r="J3825" t="s">
        <v>760</v>
      </c>
      <c r="L3825" s="17" t="s">
        <v>733</v>
      </c>
      <c r="M3825" s="17" t="s">
        <v>11</v>
      </c>
      <c r="N3825" s="17" t="s">
        <v>740</v>
      </c>
    </row>
    <row r="3826" spans="1:17" x14ac:dyDescent="0.25">
      <c r="A3826" s="8">
        <v>984460</v>
      </c>
      <c r="B3826" s="22" t="str">
        <f>IFERROR(VLOOKUP(A3826,VLOOKUPS!$A$2:B$12589,2,FALSE),"")</f>
        <v>Strawberries 1lb-standard</v>
      </c>
      <c r="E3826">
        <v>1.49</v>
      </c>
      <c r="F3826">
        <v>2.59</v>
      </c>
      <c r="G3826" s="13">
        <v>44646</v>
      </c>
      <c r="H3826" s="13"/>
      <c r="I3826" s="22" t="str">
        <f>VLOOKUP(J3826, Dropdowns!N:O, 2, FALSE)</f>
        <v>Standard</v>
      </c>
      <c r="J3826" t="s">
        <v>760</v>
      </c>
      <c r="L3826" s="17" t="s">
        <v>733</v>
      </c>
      <c r="M3826" s="17" t="s">
        <v>11</v>
      </c>
      <c r="N3826" s="17" t="s">
        <v>740</v>
      </c>
    </row>
    <row r="3827" spans="1:17" x14ac:dyDescent="0.25">
      <c r="A3827" s="8">
        <v>984700</v>
      </c>
      <c r="B3827" s="22" t="str">
        <f>IFERROR(VLOOKUP(A3827,VLOOKUPS!$A$2:B$12589,2,FALSE),"")</f>
        <v>Blackberries 6oz-standard</v>
      </c>
      <c r="G3827" s="13">
        <v>44646</v>
      </c>
      <c r="H3827" s="13">
        <v>44647</v>
      </c>
      <c r="I3827" s="22" t="str">
        <f>VLOOKUP(J3827, Dropdowns!N:O, 2, FALSE)</f>
        <v>Lower Price</v>
      </c>
      <c r="J3827" t="s">
        <v>753</v>
      </c>
      <c r="L3827" s="17" t="s">
        <v>732</v>
      </c>
      <c r="M3827" s="17" t="s">
        <v>736</v>
      </c>
      <c r="N3827" s="17" t="s">
        <v>736</v>
      </c>
    </row>
    <row r="3828" spans="1:17" x14ac:dyDescent="0.25">
      <c r="A3828" s="8">
        <v>984700</v>
      </c>
      <c r="B3828" s="22" t="str">
        <f>IFERROR(VLOOKUP(A3828,VLOOKUPS!$A$2:B$12589,2,FALSE),"")</f>
        <v>Blackberries 6oz-standard</v>
      </c>
      <c r="E3828">
        <v>1.19</v>
      </c>
      <c r="F3828">
        <v>1.96</v>
      </c>
      <c r="G3828" s="13">
        <v>44648</v>
      </c>
      <c r="H3828" s="13"/>
      <c r="I3828" s="22" t="str">
        <f>VLOOKUP(J3828, Dropdowns!N:O, 2, FALSE)</f>
        <v>Standard</v>
      </c>
      <c r="J3828" t="s">
        <v>760</v>
      </c>
      <c r="L3828" s="17" t="s">
        <v>732</v>
      </c>
      <c r="M3828" s="17" t="s">
        <v>736</v>
      </c>
      <c r="N3828" s="17" t="s">
        <v>736</v>
      </c>
    </row>
    <row r="3829" spans="1:17" x14ac:dyDescent="0.25">
      <c r="A3829" s="8">
        <v>988620</v>
      </c>
      <c r="B3829" s="22" t="str">
        <f>IFERROR(VLOOKUP(A3829,VLOOKUPS!$A$2:B$12589,2,FALSE),"")</f>
        <v>Brussels Sprouts 1lb-standard</v>
      </c>
      <c r="E3829">
        <v>2.98</v>
      </c>
      <c r="F3829">
        <v>1.94</v>
      </c>
      <c r="G3829" s="13">
        <v>44646</v>
      </c>
      <c r="H3829" s="13">
        <v>44647</v>
      </c>
      <c r="I3829" s="22" t="str">
        <f>VLOOKUP(J3829, Dropdowns!N:O, 2, FALSE)</f>
        <v>Lower Price</v>
      </c>
      <c r="J3829" t="s">
        <v>759</v>
      </c>
      <c r="L3829" s="17" t="s">
        <v>732</v>
      </c>
      <c r="M3829" s="17" t="s">
        <v>736</v>
      </c>
      <c r="N3829" s="17" t="s">
        <v>736</v>
      </c>
    </row>
    <row r="3830" spans="1:17" x14ac:dyDescent="0.25">
      <c r="A3830" s="8">
        <v>988620</v>
      </c>
      <c r="B3830" s="22" t="str">
        <f>IFERROR(VLOOKUP(A3830,VLOOKUPS!$A$2:B$12589,2,FALSE),"")</f>
        <v>Brussels Sprouts 1lb-standard</v>
      </c>
      <c r="E3830">
        <v>1.94</v>
      </c>
      <c r="F3830">
        <v>2.98</v>
      </c>
      <c r="G3830" s="13">
        <v>44648</v>
      </c>
      <c r="H3830" s="13"/>
      <c r="I3830" s="22" t="str">
        <f>VLOOKUP(J3830, Dropdowns!N:O, 2, FALSE)</f>
        <v>Standard</v>
      </c>
      <c r="J3830" t="s">
        <v>760</v>
      </c>
      <c r="L3830" s="17" t="s">
        <v>732</v>
      </c>
      <c r="M3830" s="17" t="s">
        <v>736</v>
      </c>
      <c r="N3830" s="17" t="s">
        <v>736</v>
      </c>
    </row>
    <row r="3831" spans="1:17" x14ac:dyDescent="0.25">
      <c r="A3831" s="8">
        <v>984620</v>
      </c>
      <c r="B3831" s="22" t="str">
        <f>IFERROR(VLOOKUP(A3831,VLOOKUPS!$A$2:B$12589,2,FALSE),"")</f>
        <v>Raspberries 6oz-standard</v>
      </c>
      <c r="G3831" s="13">
        <v>44646</v>
      </c>
      <c r="H3831" s="13">
        <v>44649</v>
      </c>
      <c r="I3831" s="22" t="str">
        <f>VLOOKUP(J3831, Dropdowns!N:O, 2, FALSE)</f>
        <v>Lower Price</v>
      </c>
      <c r="J3831" t="s">
        <v>779</v>
      </c>
      <c r="L3831" s="17" t="s">
        <v>732</v>
      </c>
      <c r="M3831" s="17" t="s">
        <v>736</v>
      </c>
      <c r="N3831" s="17" t="s">
        <v>736</v>
      </c>
    </row>
    <row r="3832" spans="1:17" x14ac:dyDescent="0.25">
      <c r="A3832" s="8">
        <v>995179</v>
      </c>
      <c r="B3832" s="22" t="str">
        <f>IFERROR(VLOOKUP(A3832,VLOOKUPS!$A$2:B$12589,2,FALSE),"")</f>
        <v>Avocado Ranch Salad Bowl 7.2oz-Standard</v>
      </c>
      <c r="D3832">
        <v>4</v>
      </c>
      <c r="F3832">
        <v>4.99</v>
      </c>
      <c r="G3832" s="13">
        <v>44646</v>
      </c>
      <c r="H3832" s="13"/>
      <c r="I3832" s="22" t="str">
        <f>VLOOKUP(J3832, Dropdowns!N:O, 2, FALSE)</f>
        <v>New</v>
      </c>
      <c r="J3832" t="s">
        <v>776</v>
      </c>
      <c r="L3832" s="17" t="s">
        <v>732</v>
      </c>
      <c r="M3832" s="17" t="s">
        <v>736</v>
      </c>
      <c r="N3832" s="17" t="s">
        <v>736</v>
      </c>
      <c r="O3832" t="s">
        <v>748</v>
      </c>
      <c r="P3832">
        <v>1</v>
      </c>
      <c r="Q3832" s="17" t="s">
        <v>1044</v>
      </c>
    </row>
    <row r="3833" spans="1:17" x14ac:dyDescent="0.25">
      <c r="A3833" s="8">
        <v>995180</v>
      </c>
      <c r="B3833" s="22" t="str">
        <f>IFERROR(VLOOKUP(A3833,VLOOKUPS!$A$2:B$12589,2,FALSE),"")</f>
        <v>Crunchy Sesame 6.1oz-Standard</v>
      </c>
      <c r="D3833">
        <v>4</v>
      </c>
      <c r="F3833">
        <v>4.99</v>
      </c>
      <c r="G3833" s="13">
        <v>44646</v>
      </c>
      <c r="H3833" s="13"/>
      <c r="I3833" s="22" t="str">
        <f>VLOOKUP(J3833, Dropdowns!N:O, 2, FALSE)</f>
        <v>New</v>
      </c>
      <c r="J3833" t="s">
        <v>776</v>
      </c>
      <c r="L3833" s="17" t="s">
        <v>732</v>
      </c>
      <c r="M3833" s="17" t="s">
        <v>736</v>
      </c>
      <c r="N3833" s="17" t="s">
        <v>736</v>
      </c>
      <c r="O3833" t="s">
        <v>748</v>
      </c>
      <c r="P3833">
        <v>1</v>
      </c>
      <c r="Q3833" s="17" t="s">
        <v>1044</v>
      </c>
    </row>
    <row r="3834" spans="1:17" x14ac:dyDescent="0.25">
      <c r="A3834" s="8">
        <v>995180</v>
      </c>
      <c r="B3834" s="22" t="str">
        <f>IFERROR(VLOOKUP(A3834,VLOOKUPS!$A$2:B$12589,2,FALSE),"")</f>
        <v>Crunchy Sesame 6.1oz-Standard</v>
      </c>
      <c r="D3834">
        <v>4</v>
      </c>
      <c r="F3834">
        <v>4.99</v>
      </c>
      <c r="G3834" s="13">
        <v>44646</v>
      </c>
      <c r="H3834" s="13"/>
      <c r="I3834" s="22" t="str">
        <f>VLOOKUP(J3834, Dropdowns!N:O, 2, FALSE)</f>
        <v>New</v>
      </c>
      <c r="J3834" t="s">
        <v>776</v>
      </c>
      <c r="L3834" s="17" t="s">
        <v>732</v>
      </c>
      <c r="M3834" s="17" t="s">
        <v>736</v>
      </c>
      <c r="N3834" s="17" t="s">
        <v>736</v>
      </c>
      <c r="O3834" t="s">
        <v>748</v>
      </c>
      <c r="P3834">
        <v>1</v>
      </c>
      <c r="Q3834" s="17" t="s">
        <v>1044</v>
      </c>
    </row>
    <row r="3835" spans="1:17" x14ac:dyDescent="0.25">
      <c r="A3835" s="8">
        <v>982830</v>
      </c>
      <c r="B3835" s="22" t="str">
        <f>IFERROR(VLOOKUP(A3835,VLOOKUPS!$A$2:B$12589,2,FALSE),"")</f>
        <v>Grapes* Black Seedless 1lb-LOOSE</v>
      </c>
      <c r="E3835">
        <v>1.88</v>
      </c>
      <c r="F3835">
        <v>1.5</v>
      </c>
      <c r="G3835" s="13">
        <v>44646</v>
      </c>
      <c r="H3835" s="13">
        <v>44647</v>
      </c>
      <c r="I3835" s="22" t="str">
        <f>VLOOKUP(J3835, Dropdowns!N:O, 2, FALSE)</f>
        <v>Lower Price</v>
      </c>
      <c r="J3835" t="s">
        <v>759</v>
      </c>
      <c r="L3835" s="17" t="s">
        <v>732</v>
      </c>
      <c r="M3835" s="17" t="s">
        <v>11</v>
      </c>
      <c r="N3835" s="17" t="s">
        <v>740</v>
      </c>
    </row>
    <row r="3836" spans="1:17" x14ac:dyDescent="0.25">
      <c r="A3836" s="8">
        <v>982830</v>
      </c>
      <c r="B3836" s="22" t="str">
        <f>IFERROR(VLOOKUP(A3836,VLOOKUPS!$A$2:B$12589,2,FALSE),"")</f>
        <v>Grapes* Black Seedless 1lb-LOOSE</v>
      </c>
      <c r="E3836">
        <v>1.5</v>
      </c>
      <c r="F3836">
        <v>1.88</v>
      </c>
      <c r="G3836" s="13">
        <v>44648</v>
      </c>
      <c r="H3836" s="13"/>
      <c r="I3836" s="22" t="str">
        <f>VLOOKUP(J3836, Dropdowns!N:O, 2, FALSE)</f>
        <v>Standard</v>
      </c>
      <c r="J3836" t="s">
        <v>760</v>
      </c>
      <c r="L3836" s="17" t="s">
        <v>732</v>
      </c>
      <c r="M3836" s="17" t="s">
        <v>11</v>
      </c>
      <c r="N3836" s="17" t="s">
        <v>740</v>
      </c>
    </row>
    <row r="3837" spans="1:17" x14ac:dyDescent="0.25">
      <c r="A3837" s="8">
        <v>995018</v>
      </c>
      <c r="B3837" s="22" t="str">
        <f>IFERROR(VLOOKUP(A3837,VLOOKUPS!$A$2:B$12589,2,FALSE),"")</f>
        <v>RTE Large Chicken Caesar Salad 13.1oz-standard</v>
      </c>
      <c r="E3837">
        <v>4.99</v>
      </c>
      <c r="F3837">
        <v>5.34</v>
      </c>
      <c r="G3837" s="13">
        <v>44649</v>
      </c>
      <c r="H3837" s="13"/>
      <c r="I3837" s="22" t="str">
        <f>VLOOKUP(J3837, Dropdowns!N:O, 2, FALSE)</f>
        <v>Standard</v>
      </c>
      <c r="J3837" t="s">
        <v>761</v>
      </c>
      <c r="L3837" s="17" t="s">
        <v>732</v>
      </c>
      <c r="M3837" s="17" t="s">
        <v>736</v>
      </c>
      <c r="N3837" s="17" t="s">
        <v>736</v>
      </c>
    </row>
    <row r="3838" spans="1:17" x14ac:dyDescent="0.25">
      <c r="A3838" s="8">
        <v>995041</v>
      </c>
      <c r="B3838" s="22" t="str">
        <f>IFERROR(VLOOKUP(A3838,VLOOKUPS!$A$2:B$12589,2,FALSE),"")</f>
        <v>Pineapple Spears 16oz-standard</v>
      </c>
      <c r="E3838">
        <v>4.4800000000000004</v>
      </c>
      <c r="F3838">
        <v>2.2400000000000002</v>
      </c>
      <c r="G3838" s="13">
        <v>44649</v>
      </c>
      <c r="H3838" s="13">
        <v>44650</v>
      </c>
      <c r="I3838" s="22" t="str">
        <f>VLOOKUP(J3838, Dropdowns!N:O, 2, FALSE)</f>
        <v>Lower Price</v>
      </c>
      <c r="J3838" t="s">
        <v>759</v>
      </c>
      <c r="L3838" s="17" t="s">
        <v>732</v>
      </c>
      <c r="M3838" s="17" t="s">
        <v>10</v>
      </c>
      <c r="N3838" s="17">
        <v>2</v>
      </c>
    </row>
    <row r="3839" spans="1:17" x14ac:dyDescent="0.25">
      <c r="A3839" s="8">
        <v>995041</v>
      </c>
      <c r="B3839" s="22" t="str">
        <f>IFERROR(VLOOKUP(A3839,VLOOKUPS!$A$2:B$12589,2,FALSE),"")</f>
        <v>Pineapple Spears 16oz-standard</v>
      </c>
      <c r="E3839">
        <v>2.2400000000000002</v>
      </c>
      <c r="F3839">
        <v>4.4800000000000004</v>
      </c>
      <c r="G3839" s="13">
        <v>44651</v>
      </c>
      <c r="H3839" s="13"/>
      <c r="I3839" s="22" t="str">
        <f>VLOOKUP(J3839, Dropdowns!N:O, 2, FALSE)</f>
        <v>Standard</v>
      </c>
      <c r="J3839" t="s">
        <v>760</v>
      </c>
      <c r="L3839" s="17" t="s">
        <v>732</v>
      </c>
      <c r="M3839" s="17" t="s">
        <v>10</v>
      </c>
      <c r="N3839" s="17">
        <v>2</v>
      </c>
    </row>
    <row r="3840" spans="1:17" x14ac:dyDescent="0.25">
      <c r="A3840" s="8">
        <v>995100</v>
      </c>
      <c r="B3840" s="22" t="str">
        <f>IFERROR(VLOOKUP(A3840,VLOOKUPS!$A$2:B$12589,2,FALSE),"")</f>
        <v>Asian Chopped Salad Kit 12oz-standard</v>
      </c>
      <c r="E3840">
        <v>3.49</v>
      </c>
      <c r="F3840">
        <v>1.75</v>
      </c>
      <c r="G3840" s="13">
        <v>44649</v>
      </c>
      <c r="H3840" s="13">
        <v>44650</v>
      </c>
      <c r="I3840" s="22" t="str">
        <f>VLOOKUP(J3840, Dropdowns!N:O, 2, FALSE)</f>
        <v>Lower Price</v>
      </c>
      <c r="J3840" t="s">
        <v>759</v>
      </c>
      <c r="L3840" s="17" t="s">
        <v>732</v>
      </c>
      <c r="M3840" s="17" t="s">
        <v>10</v>
      </c>
      <c r="N3840" s="17">
        <v>2</v>
      </c>
    </row>
    <row r="3841" spans="1:14" x14ac:dyDescent="0.25">
      <c r="A3841" s="8">
        <v>995100</v>
      </c>
      <c r="B3841" s="22" t="str">
        <f>IFERROR(VLOOKUP(A3841,VLOOKUPS!$A$2:B$12589,2,FALSE),"")</f>
        <v>Asian Chopped Salad Kit 12oz-standard</v>
      </c>
      <c r="E3841">
        <v>1.75</v>
      </c>
      <c r="F3841">
        <v>3.49</v>
      </c>
      <c r="G3841" s="13">
        <v>44651</v>
      </c>
      <c r="H3841" s="13"/>
      <c r="I3841" s="22" t="str">
        <f>VLOOKUP(J3841, Dropdowns!N:O, 2, FALSE)</f>
        <v>Standard</v>
      </c>
      <c r="J3841" t="s">
        <v>760</v>
      </c>
      <c r="L3841" s="17" t="s">
        <v>732</v>
      </c>
      <c r="M3841" s="17" t="s">
        <v>10</v>
      </c>
      <c r="N3841" s="17">
        <v>2</v>
      </c>
    </row>
    <row r="3842" spans="1:14" x14ac:dyDescent="0.25">
      <c r="A3842" s="8">
        <v>982713</v>
      </c>
      <c r="B3842" s="22" t="str">
        <f>IFERROR(VLOOKUP(A3842,VLOOKUPS!$A$2:B$12589,2,FALSE),"")</f>
        <v>Organic Grapes Green 1lb-standard</v>
      </c>
      <c r="D3842">
        <v>10</v>
      </c>
      <c r="E3842">
        <v>4.99</v>
      </c>
      <c r="G3842" s="13">
        <v>44649</v>
      </c>
      <c r="H3842" s="13"/>
      <c r="I3842" s="22" t="str">
        <f>VLOOKUP(J3842, Dropdowns!N:O, 2, FALSE)</f>
        <v>NA</v>
      </c>
      <c r="J3842" t="s">
        <v>754</v>
      </c>
      <c r="L3842" s="17" t="s">
        <v>732</v>
      </c>
      <c r="M3842" s="17" t="s">
        <v>10</v>
      </c>
      <c r="N3842" s="17">
        <v>2</v>
      </c>
    </row>
    <row r="3843" spans="1:14" x14ac:dyDescent="0.25">
      <c r="A3843" s="8">
        <v>983103</v>
      </c>
      <c r="B3843" s="22" t="str">
        <f>IFERROR(VLOOKUP(A3843,VLOOKUPS!$A$2:B$12589,2,FALSE),"")</f>
        <v>MelonsGolden Canary 1ct.-LOOSE</v>
      </c>
      <c r="D3843">
        <v>6</v>
      </c>
      <c r="E3843">
        <v>3.98</v>
      </c>
      <c r="G3843" s="13">
        <v>44649</v>
      </c>
      <c r="H3843" s="13"/>
      <c r="I3843" s="22" t="str">
        <f>VLOOKUP(J3843, Dropdowns!N:O, 2, FALSE)</f>
        <v>NA</v>
      </c>
      <c r="J3843" t="s">
        <v>754</v>
      </c>
      <c r="L3843" s="17" t="s">
        <v>732</v>
      </c>
      <c r="M3843" s="17" t="s">
        <v>738</v>
      </c>
      <c r="N3843" s="17">
        <v>2</v>
      </c>
    </row>
    <row r="3844" spans="1:14" x14ac:dyDescent="0.25">
      <c r="A3844" s="8">
        <v>983103</v>
      </c>
      <c r="B3844" s="22" t="str">
        <f>IFERROR(VLOOKUP(A3844,VLOOKUPS!$A$2:B$12589,2,FALSE),"")</f>
        <v>MelonsGolden Canary 1ct.-LOOSE</v>
      </c>
      <c r="E3844">
        <v>3.98</v>
      </c>
      <c r="F3844">
        <v>1.99</v>
      </c>
      <c r="G3844" s="13">
        <v>44649</v>
      </c>
      <c r="H3844" s="13">
        <v>44650</v>
      </c>
      <c r="I3844" s="22" t="str">
        <f>VLOOKUP(J3844, Dropdowns!N:O, 2, FALSE)</f>
        <v>Lower Price</v>
      </c>
      <c r="J3844" t="s">
        <v>759</v>
      </c>
      <c r="L3844" s="17" t="s">
        <v>732</v>
      </c>
      <c r="M3844" s="17" t="s">
        <v>9</v>
      </c>
      <c r="N3844" s="17" t="s">
        <v>736</v>
      </c>
    </row>
    <row r="3845" spans="1:14" x14ac:dyDescent="0.25">
      <c r="A3845" s="8">
        <v>983103</v>
      </c>
      <c r="B3845" s="22" t="str">
        <f>IFERROR(VLOOKUP(A3845,VLOOKUPS!$A$2:B$12589,2,FALSE),"")</f>
        <v>MelonsGolden Canary 1ct.-LOOSE</v>
      </c>
      <c r="E3845">
        <v>1.99</v>
      </c>
      <c r="F3845">
        <v>3.98</v>
      </c>
      <c r="G3845" s="13">
        <v>44651</v>
      </c>
      <c r="H3845" s="13"/>
      <c r="I3845" s="22" t="str">
        <f>VLOOKUP(J3845, Dropdowns!N:O, 2, FALSE)</f>
        <v>Standard</v>
      </c>
      <c r="J3845" t="s">
        <v>760</v>
      </c>
      <c r="L3845" s="17" t="s">
        <v>732</v>
      </c>
      <c r="M3845" s="17" t="s">
        <v>9</v>
      </c>
      <c r="N3845" s="17" t="s">
        <v>736</v>
      </c>
    </row>
    <row r="3846" spans="1:14" x14ac:dyDescent="0.25">
      <c r="A3846" s="8">
        <v>983201</v>
      </c>
      <c r="B3846" s="22" t="str">
        <f>IFERROR(VLOOKUP(A3846,VLOOKUPS!$A$2:B$12589,2,FALSE),"")</f>
        <v>Melons* Honeydew 1ct-LOOSE</v>
      </c>
      <c r="E3846">
        <v>3.98</v>
      </c>
      <c r="F3846">
        <v>3.18</v>
      </c>
      <c r="G3846" s="13">
        <v>44649</v>
      </c>
      <c r="H3846" s="13">
        <v>44651</v>
      </c>
      <c r="I3846" s="22" t="str">
        <f>VLOOKUP(J3846, Dropdowns!N:O, 2, FALSE)</f>
        <v>Lower Price</v>
      </c>
      <c r="J3846" t="s">
        <v>759</v>
      </c>
      <c r="L3846" s="17" t="s">
        <v>733</v>
      </c>
      <c r="M3846" s="17" t="s">
        <v>11</v>
      </c>
      <c r="N3846" s="17" t="s">
        <v>740</v>
      </c>
    </row>
    <row r="3847" spans="1:14" x14ac:dyDescent="0.25">
      <c r="A3847" s="8">
        <v>983201</v>
      </c>
      <c r="B3847" s="22" t="str">
        <f>IFERROR(VLOOKUP(A3847,VLOOKUPS!$A$2:B$12589,2,FALSE),"")</f>
        <v>Melons* Honeydew 1ct-LOOSE</v>
      </c>
      <c r="E3847">
        <v>3.18</v>
      </c>
      <c r="F3847">
        <v>3.98</v>
      </c>
      <c r="G3847" s="13">
        <v>44652</v>
      </c>
      <c r="H3847" s="13"/>
      <c r="I3847" s="22" t="str">
        <f>VLOOKUP(J3847, Dropdowns!N:O, 2, FALSE)</f>
        <v>Standard</v>
      </c>
      <c r="J3847" t="s">
        <v>760</v>
      </c>
      <c r="L3847" s="17" t="s">
        <v>733</v>
      </c>
      <c r="M3847" s="17" t="s">
        <v>11</v>
      </c>
      <c r="N3847" s="17" t="s">
        <v>740</v>
      </c>
    </row>
    <row r="3848" spans="1:14" x14ac:dyDescent="0.25">
      <c r="A3848" s="8">
        <v>984700</v>
      </c>
      <c r="B3848" s="22" t="str">
        <f>IFERROR(VLOOKUP(A3848,VLOOKUPS!$A$2:B$12589,2,FALSE),"")</f>
        <v>Blackberries 6oz-standard</v>
      </c>
      <c r="E3848">
        <v>1.96</v>
      </c>
      <c r="F3848">
        <v>0.98</v>
      </c>
      <c r="G3848" s="13">
        <v>44649</v>
      </c>
      <c r="H3848" s="13">
        <v>44650</v>
      </c>
      <c r="I3848" s="22" t="str">
        <f>VLOOKUP(J3848, Dropdowns!N:O, 2, FALSE)</f>
        <v>Lower Price</v>
      </c>
      <c r="J3848" t="s">
        <v>759</v>
      </c>
      <c r="L3848" s="17" t="s">
        <v>732</v>
      </c>
      <c r="M3848" s="17" t="s">
        <v>9</v>
      </c>
      <c r="N3848" s="17" t="s">
        <v>736</v>
      </c>
    </row>
    <row r="3849" spans="1:14" x14ac:dyDescent="0.25">
      <c r="A3849" s="8">
        <v>984700</v>
      </c>
      <c r="B3849" s="22" t="str">
        <f>IFERROR(VLOOKUP(A3849,VLOOKUPS!$A$2:B$12589,2,FALSE),"")</f>
        <v>Blackberries 6oz-standard</v>
      </c>
      <c r="E3849">
        <v>0.98</v>
      </c>
      <c r="F3849">
        <v>1.96</v>
      </c>
      <c r="G3849" s="13">
        <v>44651</v>
      </c>
      <c r="H3849" s="13"/>
      <c r="I3849" s="22" t="str">
        <f>VLOOKUP(J3849, Dropdowns!N:O, 2, FALSE)</f>
        <v>Standard</v>
      </c>
      <c r="J3849" t="s">
        <v>760</v>
      </c>
      <c r="L3849" s="17" t="s">
        <v>732</v>
      </c>
      <c r="M3849" s="17" t="s">
        <v>9</v>
      </c>
      <c r="N3849" s="17" t="s">
        <v>736</v>
      </c>
    </row>
    <row r="3850" spans="1:14" x14ac:dyDescent="0.25">
      <c r="A3850" s="8">
        <v>984700</v>
      </c>
      <c r="B3850" s="22" t="str">
        <f>IFERROR(VLOOKUP(A3850,VLOOKUPS!$A$2:B$12589,2,FALSE),"")</f>
        <v>Blackberries 6oz-standard</v>
      </c>
      <c r="E3850">
        <v>1.96</v>
      </c>
      <c r="F3850">
        <v>1.57</v>
      </c>
      <c r="G3850" s="13">
        <v>44649</v>
      </c>
      <c r="H3850" s="13">
        <v>44650</v>
      </c>
      <c r="I3850" s="22" t="str">
        <f>VLOOKUP(J3850, Dropdowns!N:O, 2, FALSE)</f>
        <v>Lower Price</v>
      </c>
      <c r="J3850" t="s">
        <v>759</v>
      </c>
      <c r="L3850" s="17" t="s">
        <v>733</v>
      </c>
      <c r="M3850" s="17" t="s">
        <v>11</v>
      </c>
      <c r="N3850" s="17" t="s">
        <v>740</v>
      </c>
    </row>
    <row r="3851" spans="1:14" x14ac:dyDescent="0.25">
      <c r="A3851" s="8">
        <v>984700</v>
      </c>
      <c r="B3851" s="22" t="str">
        <f>IFERROR(VLOOKUP(A3851,VLOOKUPS!$A$2:B$12589,2,FALSE),"")</f>
        <v>Blackberries 6oz-standard</v>
      </c>
      <c r="E3851">
        <v>1.57</v>
      </c>
      <c r="F3851">
        <v>1.96</v>
      </c>
      <c r="G3851" s="13">
        <v>44651</v>
      </c>
      <c r="H3851" s="13"/>
      <c r="I3851" s="22" t="str">
        <f>VLOOKUP(J3851, Dropdowns!N:O, 2, FALSE)</f>
        <v>Standard</v>
      </c>
      <c r="J3851" t="s">
        <v>760</v>
      </c>
      <c r="L3851" s="17" t="s">
        <v>733</v>
      </c>
      <c r="M3851" s="17" t="s">
        <v>11</v>
      </c>
      <c r="N3851" s="17" t="s">
        <v>740</v>
      </c>
    </row>
    <row r="3852" spans="1:14" x14ac:dyDescent="0.25">
      <c r="A3852" s="8">
        <v>984460</v>
      </c>
      <c r="B3852" s="22" t="str">
        <f>IFERROR(VLOOKUP(A3852,VLOOKUPS!$A$2:B$12589,2,FALSE),"")</f>
        <v>Strawberries 1lb-standard</v>
      </c>
      <c r="E3852">
        <v>2.59</v>
      </c>
      <c r="F3852">
        <v>2.0699999999999998</v>
      </c>
      <c r="G3852" s="13">
        <v>44650</v>
      </c>
      <c r="H3852" s="13">
        <v>44651</v>
      </c>
      <c r="I3852" s="22" t="str">
        <f>VLOOKUP(J3852, Dropdowns!N:O, 2, FALSE)</f>
        <v>Lower Price</v>
      </c>
      <c r="J3852" t="s">
        <v>759</v>
      </c>
      <c r="L3852" s="17" t="s">
        <v>733</v>
      </c>
      <c r="M3852" s="17" t="s">
        <v>11</v>
      </c>
      <c r="N3852" s="17" t="s">
        <v>740</v>
      </c>
    </row>
    <row r="3853" spans="1:14" x14ac:dyDescent="0.25">
      <c r="A3853" s="8">
        <v>984460</v>
      </c>
      <c r="B3853" s="22" t="str">
        <f>IFERROR(VLOOKUP(A3853,VLOOKUPS!$A$2:B$12589,2,FALSE),"")</f>
        <v>Strawberries 1lb-standard</v>
      </c>
      <c r="E3853">
        <v>2.0699999999999998</v>
      </c>
      <c r="F3853">
        <v>2.59</v>
      </c>
      <c r="G3853" s="13">
        <v>44652</v>
      </c>
      <c r="H3853" s="13"/>
      <c r="I3853" s="22" t="str">
        <f>VLOOKUP(J3853, Dropdowns!N:O, 2, FALSE)</f>
        <v>Standard</v>
      </c>
      <c r="J3853" t="s">
        <v>760</v>
      </c>
      <c r="L3853" s="17" t="s">
        <v>733</v>
      </c>
      <c r="M3853" s="17" t="s">
        <v>11</v>
      </c>
      <c r="N3853" s="17" t="s">
        <v>740</v>
      </c>
    </row>
    <row r="3854" spans="1:14" x14ac:dyDescent="0.25">
      <c r="A3854" s="8">
        <v>984620</v>
      </c>
      <c r="B3854" s="22" t="str">
        <f>IFERROR(VLOOKUP(A3854,VLOOKUPS!$A$2:B$12589,2,FALSE),"")</f>
        <v>Raspberries 6oz-standard</v>
      </c>
      <c r="E3854">
        <v>0.99</v>
      </c>
      <c r="F3854">
        <v>3.2</v>
      </c>
      <c r="G3854" s="13">
        <v>44650</v>
      </c>
      <c r="H3854" s="13"/>
      <c r="I3854" s="22" t="str">
        <f>VLOOKUP(J3854, Dropdowns!N:O, 2, FALSE)</f>
        <v>Standard</v>
      </c>
      <c r="J3854" t="s">
        <v>760</v>
      </c>
      <c r="L3854" s="17" t="s">
        <v>732</v>
      </c>
      <c r="M3854" s="17" t="s">
        <v>10</v>
      </c>
      <c r="N3854" s="17">
        <v>2</v>
      </c>
    </row>
    <row r="3855" spans="1:14" x14ac:dyDescent="0.25">
      <c r="A3855" s="8">
        <v>984620</v>
      </c>
      <c r="B3855" s="22" t="str">
        <f>IFERROR(VLOOKUP(A3855,VLOOKUPS!$A$2:B$12589,2,FALSE),"")</f>
        <v>Raspberries 6oz-standard</v>
      </c>
      <c r="E3855">
        <v>1.39</v>
      </c>
      <c r="F3855">
        <v>3.2</v>
      </c>
      <c r="G3855" s="13">
        <v>44650</v>
      </c>
      <c r="H3855" s="13"/>
      <c r="I3855" s="22" t="str">
        <f>VLOOKUP(J3855, Dropdowns!N:O, 2, FALSE)</f>
        <v>Standard</v>
      </c>
      <c r="J3855" t="s">
        <v>760</v>
      </c>
      <c r="L3855" s="17" t="s">
        <v>733</v>
      </c>
      <c r="M3855" s="17" t="s">
        <v>11</v>
      </c>
      <c r="N3855" s="17" t="s">
        <v>740</v>
      </c>
    </row>
    <row r="3856" spans="1:14" x14ac:dyDescent="0.25">
      <c r="A3856" s="8">
        <v>982740</v>
      </c>
      <c r="B3856" s="22" t="str">
        <f>IFERROR(VLOOKUP(A3856,VLOOKUPS!$A$2:B$12589,2,FALSE),"")</f>
        <v>Grapes* Red Seedless 1lb-LOOSE</v>
      </c>
      <c r="G3856" s="13">
        <v>44650</v>
      </c>
      <c r="H3856" s="13">
        <v>44656</v>
      </c>
      <c r="I3856" s="22" t="str">
        <f>VLOOKUP(J3856, Dropdowns!N:O, 2, FALSE)</f>
        <v>Lower Price</v>
      </c>
      <c r="J3856" t="s">
        <v>753</v>
      </c>
      <c r="L3856" s="17" t="s">
        <v>732</v>
      </c>
      <c r="M3856" s="17" t="s">
        <v>736</v>
      </c>
      <c r="N3856" s="17" t="s">
        <v>736</v>
      </c>
    </row>
    <row r="3857" spans="1:14" x14ac:dyDescent="0.25">
      <c r="A3857" s="8">
        <v>982712</v>
      </c>
      <c r="B3857" s="22" t="str">
        <f>IFERROR(VLOOKUP(A3857,VLOOKUPS!$A$2:B$12589,2,FALSE),"")</f>
        <v>Organic Grapes Red 1lb-standard</v>
      </c>
      <c r="D3857">
        <v>10</v>
      </c>
      <c r="E3857">
        <v>4.99</v>
      </c>
      <c r="G3857" s="13">
        <v>44650</v>
      </c>
      <c r="H3857" s="13"/>
      <c r="I3857" s="22" t="str">
        <f>VLOOKUP(J3857, Dropdowns!N:O, 2, FALSE)</f>
        <v>NA</v>
      </c>
      <c r="J3857" t="s">
        <v>754</v>
      </c>
      <c r="L3857" s="17" t="s">
        <v>732</v>
      </c>
      <c r="M3857" s="17" t="s">
        <v>10</v>
      </c>
      <c r="N3857" s="17">
        <v>2</v>
      </c>
    </row>
    <row r="3858" spans="1:14" x14ac:dyDescent="0.25">
      <c r="A3858" s="8">
        <v>984620</v>
      </c>
      <c r="B3858" s="22" t="str">
        <f>IFERROR(VLOOKUP(A3858,VLOOKUPS!$A$2:B$12589,2,FALSE),"")</f>
        <v>Raspberries 6oz-standard</v>
      </c>
      <c r="G3858" s="13">
        <v>44650</v>
      </c>
      <c r="H3858" s="13">
        <v>44652</v>
      </c>
      <c r="I3858" s="22" t="str">
        <f>VLOOKUP(J3858, Dropdowns!N:O, 2, FALSE)</f>
        <v>Lower Price</v>
      </c>
      <c r="J3858" t="s">
        <v>1081</v>
      </c>
      <c r="L3858" s="17" t="s">
        <v>732</v>
      </c>
      <c r="M3858" s="17" t="s">
        <v>9</v>
      </c>
      <c r="N3858" s="17" t="s">
        <v>736</v>
      </c>
    </row>
    <row r="3859" spans="1:14" x14ac:dyDescent="0.25">
      <c r="A3859" s="8">
        <v>984500</v>
      </c>
      <c r="B3859" s="22" t="str">
        <f>IFERROR(VLOOKUP(A3859,VLOOKUPS!$A$2:B$12589,2,FALSE),"")</f>
        <v>Organic Strawberries 1lb-standard</v>
      </c>
      <c r="E3859">
        <v>4.4800000000000004</v>
      </c>
      <c r="F3859">
        <v>3.98</v>
      </c>
      <c r="G3859" s="13">
        <v>44651</v>
      </c>
      <c r="H3859" s="13"/>
      <c r="I3859" s="22" t="str">
        <f>VLOOKUP(J3859, Dropdowns!N:O, 2, FALSE)</f>
        <v>Standard</v>
      </c>
      <c r="J3859" t="s">
        <v>761</v>
      </c>
      <c r="L3859" s="17" t="s">
        <v>732</v>
      </c>
      <c r="M3859" s="17" t="s">
        <v>736</v>
      </c>
      <c r="N3859" s="17" t="s">
        <v>736</v>
      </c>
    </row>
    <row r="3860" spans="1:14" x14ac:dyDescent="0.25">
      <c r="A3860" s="8">
        <v>984582</v>
      </c>
      <c r="B3860" s="22" t="str">
        <f>IFERROR(VLOOKUP(A3860,VLOOKUPS!$A$2:B$12589,2,FALSE),"")</f>
        <v>Organic Blueberries 1pt-standard</v>
      </c>
      <c r="E3860">
        <v>4.26</v>
      </c>
      <c r="F3860">
        <v>4.72</v>
      </c>
      <c r="G3860" s="13">
        <v>44651</v>
      </c>
      <c r="H3860" s="13"/>
      <c r="I3860" s="22" t="str">
        <f>VLOOKUP(J3860, Dropdowns!N:O, 2, FALSE)</f>
        <v>Standard</v>
      </c>
      <c r="J3860" t="s">
        <v>761</v>
      </c>
      <c r="L3860" s="17" t="s">
        <v>732</v>
      </c>
      <c r="M3860" s="17" t="s">
        <v>736</v>
      </c>
      <c r="N3860" s="17" t="s">
        <v>736</v>
      </c>
    </row>
    <row r="3861" spans="1:14" x14ac:dyDescent="0.25">
      <c r="A3861" s="8">
        <v>984620</v>
      </c>
      <c r="B3861" s="22" t="str">
        <f>IFERROR(VLOOKUP(A3861,VLOOKUPS!$A$2:B$12589,2,FALSE),"")</f>
        <v>Raspberries 6oz-standard</v>
      </c>
      <c r="E3861">
        <v>3.2</v>
      </c>
      <c r="F3861">
        <v>2.98</v>
      </c>
      <c r="G3861" s="13">
        <v>44651</v>
      </c>
      <c r="H3861" s="13"/>
      <c r="I3861" s="22" t="str">
        <f>VLOOKUP(J3861, Dropdowns!N:O, 2, FALSE)</f>
        <v>Standard</v>
      </c>
      <c r="J3861" t="s">
        <v>761</v>
      </c>
      <c r="L3861" s="17" t="s">
        <v>732</v>
      </c>
      <c r="M3861" s="17" t="s">
        <v>738</v>
      </c>
      <c r="N3861" s="17">
        <v>2</v>
      </c>
    </row>
    <row r="3862" spans="1:14" x14ac:dyDescent="0.25">
      <c r="A3862" s="8">
        <v>985011</v>
      </c>
      <c r="B3862" s="22" t="str">
        <f>IFERROR(VLOOKUP(A3862,VLOOKUPS!$A$2:B$12589,2,FALSE),"")</f>
        <v>Lettuce Butter 1ct-standard</v>
      </c>
      <c r="E3862">
        <v>2.98</v>
      </c>
      <c r="F3862">
        <v>2.97</v>
      </c>
      <c r="G3862" s="13">
        <v>44651</v>
      </c>
      <c r="H3862" s="13"/>
      <c r="I3862" s="22" t="str">
        <f>VLOOKUP(J3862, Dropdowns!N:O, 2, FALSE)</f>
        <v>Standard</v>
      </c>
      <c r="J3862" t="s">
        <v>761</v>
      </c>
      <c r="L3862" s="17" t="s">
        <v>732</v>
      </c>
      <c r="M3862" s="17" t="s">
        <v>736</v>
      </c>
      <c r="N3862" s="17" t="s">
        <v>736</v>
      </c>
    </row>
    <row r="3863" spans="1:14" x14ac:dyDescent="0.25">
      <c r="A3863" s="8">
        <v>995046</v>
      </c>
      <c r="B3863" s="22" t="str">
        <f>IFERROR(VLOOKUP(A3863,VLOOKUPS!$A$2:B$12589,2,FALSE),"")</f>
        <v>Diced Onion 8oz-standard</v>
      </c>
      <c r="E3863">
        <v>2.62</v>
      </c>
      <c r="F3863">
        <v>2.58</v>
      </c>
      <c r="G3863" s="13">
        <v>44651</v>
      </c>
      <c r="H3863" s="13"/>
      <c r="I3863" s="22" t="str">
        <f>VLOOKUP(J3863, Dropdowns!N:O, 2, FALSE)</f>
        <v>Standard</v>
      </c>
      <c r="J3863" t="s">
        <v>761</v>
      </c>
      <c r="L3863" s="17" t="s">
        <v>732</v>
      </c>
      <c r="M3863" s="17" t="s">
        <v>736</v>
      </c>
      <c r="N3863" s="17" t="s">
        <v>736</v>
      </c>
    </row>
    <row r="3864" spans="1:14" x14ac:dyDescent="0.25">
      <c r="A3864" s="8">
        <v>995144</v>
      </c>
      <c r="B3864" s="22" t="str">
        <f>IFERROR(VLOOKUP(A3864,VLOOKUPS!$A$2:B$12589,2,FALSE),"")</f>
        <v>Asparagus Spears 10oz-standard</v>
      </c>
      <c r="E3864">
        <v>3.98</v>
      </c>
      <c r="F3864">
        <v>4.18</v>
      </c>
      <c r="G3864" s="13">
        <v>44651</v>
      </c>
      <c r="H3864" s="13"/>
      <c r="I3864" s="22" t="str">
        <f>VLOOKUP(J3864, Dropdowns!N:O, 2, FALSE)</f>
        <v>Standard</v>
      </c>
      <c r="J3864" t="s">
        <v>761</v>
      </c>
      <c r="L3864" s="17" t="s">
        <v>732</v>
      </c>
      <c r="M3864" s="17" t="s">
        <v>736</v>
      </c>
      <c r="N3864" s="17" t="s">
        <v>736</v>
      </c>
    </row>
    <row r="3865" spans="1:14" x14ac:dyDescent="0.25">
      <c r="A3865" s="8">
        <v>982712</v>
      </c>
      <c r="B3865" s="22" t="str">
        <f>IFERROR(VLOOKUP(A3865,VLOOKUPS!$A$2:B$12589,2,FALSE),"")</f>
        <v>Organic Grapes Red 1lb-standard</v>
      </c>
      <c r="D3865">
        <v>10</v>
      </c>
      <c r="E3865">
        <v>4.99</v>
      </c>
      <c r="G3865" s="13">
        <v>44651</v>
      </c>
      <c r="H3865" s="13"/>
      <c r="I3865" s="22" t="str">
        <f>VLOOKUP(J3865, Dropdowns!N:O, 2, FALSE)</f>
        <v>NA</v>
      </c>
      <c r="J3865" t="s">
        <v>754</v>
      </c>
      <c r="L3865" s="17" t="s">
        <v>732</v>
      </c>
      <c r="M3865" s="17" t="s">
        <v>9</v>
      </c>
      <c r="N3865" s="17" t="s">
        <v>736</v>
      </c>
    </row>
    <row r="3866" spans="1:14" x14ac:dyDescent="0.25">
      <c r="A3866" s="8">
        <v>995043</v>
      </c>
      <c r="B3866" s="22" t="str">
        <f>IFERROR(VLOOKUP(A3866,VLOOKUPS!$A$2:B$12589,2,FALSE),"")</f>
        <v>Watermelon Chunks 16oz-standard</v>
      </c>
      <c r="E3866">
        <v>4.4800000000000004</v>
      </c>
      <c r="F3866">
        <v>2.91</v>
      </c>
      <c r="G3866" s="13">
        <v>44651</v>
      </c>
      <c r="H3866" s="13">
        <v>44652</v>
      </c>
      <c r="I3866" s="22" t="str">
        <f>VLOOKUP(J3866, Dropdowns!N:O, 2, FALSE)</f>
        <v>Lower Price</v>
      </c>
      <c r="J3866" t="s">
        <v>759</v>
      </c>
      <c r="L3866" s="17" t="s">
        <v>732</v>
      </c>
      <c r="M3866" s="17" t="s">
        <v>9</v>
      </c>
      <c r="N3866" s="17" t="s">
        <v>736</v>
      </c>
    </row>
    <row r="3867" spans="1:14" x14ac:dyDescent="0.25">
      <c r="A3867" s="8">
        <v>995043</v>
      </c>
      <c r="B3867" s="22" t="str">
        <f>IFERROR(VLOOKUP(A3867,VLOOKUPS!$A$2:B$12589,2,FALSE),"")</f>
        <v>Watermelon Chunks 16oz-standard</v>
      </c>
      <c r="E3867">
        <v>2.91</v>
      </c>
      <c r="F3867">
        <v>4.4800000000000004</v>
      </c>
      <c r="G3867" s="13">
        <v>44653</v>
      </c>
      <c r="H3867" s="13"/>
      <c r="I3867" s="22" t="str">
        <f>VLOOKUP(J3867, Dropdowns!N:O, 2, FALSE)</f>
        <v>Standard</v>
      </c>
      <c r="J3867" t="s">
        <v>760</v>
      </c>
      <c r="L3867" s="17" t="s">
        <v>732</v>
      </c>
      <c r="M3867" s="17" t="s">
        <v>9</v>
      </c>
      <c r="N3867" s="17" t="s">
        <v>736</v>
      </c>
    </row>
    <row r="3868" spans="1:14" x14ac:dyDescent="0.25">
      <c r="A3868" s="8">
        <v>984460</v>
      </c>
      <c r="B3868" s="22" t="str">
        <f>IFERROR(VLOOKUP(A3868,VLOOKUPS!$A$2:B$12589,2,FALSE),"")</f>
        <v>Strawberries 1lb-standard</v>
      </c>
      <c r="E3868">
        <v>2.59</v>
      </c>
      <c r="F3868">
        <v>2.58</v>
      </c>
      <c r="G3868" s="13">
        <v>44652</v>
      </c>
      <c r="H3868" s="13"/>
      <c r="I3868" s="22" t="str">
        <f>VLOOKUP(J3868, Dropdowns!N:O, 2, FALSE)</f>
        <v>Standard</v>
      </c>
      <c r="J3868" t="s">
        <v>761</v>
      </c>
      <c r="L3868" s="17" t="s">
        <v>732</v>
      </c>
      <c r="M3868" s="17" t="s">
        <v>735</v>
      </c>
      <c r="N3868" s="17" t="s">
        <v>736</v>
      </c>
    </row>
    <row r="3869" spans="1:14" x14ac:dyDescent="0.25">
      <c r="A3869" s="8">
        <v>984700</v>
      </c>
      <c r="B3869" s="22" t="str">
        <f>IFERROR(VLOOKUP(A3869,VLOOKUPS!$A$2:B$12589,2,FALSE),"")</f>
        <v>Blackberries 6oz-standard</v>
      </c>
      <c r="E3869">
        <v>1.96</v>
      </c>
      <c r="F3869">
        <f>E3869*0.5</f>
        <v>0.98</v>
      </c>
      <c r="G3869" s="13">
        <v>44652</v>
      </c>
      <c r="H3869" s="13">
        <v>44654</v>
      </c>
      <c r="I3869" s="22" t="str">
        <f>VLOOKUP(J3869, Dropdowns!N:O, 2, FALSE)</f>
        <v>Lower Price</v>
      </c>
      <c r="J3869" t="s">
        <v>759</v>
      </c>
      <c r="L3869" s="17" t="s">
        <v>732</v>
      </c>
      <c r="M3869" s="17" t="s">
        <v>9</v>
      </c>
      <c r="N3869" s="17" t="s">
        <v>736</v>
      </c>
    </row>
    <row r="3870" spans="1:14" x14ac:dyDescent="0.25">
      <c r="A3870" s="8">
        <v>984700</v>
      </c>
      <c r="B3870" s="22" t="str">
        <f>IFERROR(VLOOKUP(A3870,VLOOKUPS!$A$2:B$12589,2,FALSE),"")</f>
        <v>Blackberries 6oz-standard</v>
      </c>
      <c r="E3870">
        <v>0.98</v>
      </c>
      <c r="F3870">
        <v>1.96</v>
      </c>
      <c r="G3870" s="13">
        <v>44655</v>
      </c>
      <c r="H3870" s="13"/>
      <c r="I3870" s="22" t="str">
        <f>VLOOKUP(J3870, Dropdowns!N:O, 2, FALSE)</f>
        <v>Standard</v>
      </c>
      <c r="J3870" t="s">
        <v>760</v>
      </c>
      <c r="L3870" s="17" t="s">
        <v>732</v>
      </c>
      <c r="M3870" s="17" t="s">
        <v>9</v>
      </c>
      <c r="N3870" s="17" t="s">
        <v>736</v>
      </c>
    </row>
    <row r="3871" spans="1:14" x14ac:dyDescent="0.25">
      <c r="A3871" s="8">
        <v>995006</v>
      </c>
      <c r="B3871" s="22" t="str">
        <f>IFERROR(VLOOKUP(A3871,VLOOKUPS!$A$2:B$12589,2,FALSE),"")</f>
        <v>Italian Salad 9oz-standard</v>
      </c>
      <c r="E3871">
        <v>2.29</v>
      </c>
      <c r="F3871">
        <v>1.49</v>
      </c>
      <c r="G3871" s="13">
        <v>44652</v>
      </c>
      <c r="H3871" s="13">
        <v>44653</v>
      </c>
      <c r="I3871" s="22" t="str">
        <f>VLOOKUP(J3871, Dropdowns!N:O, 2, FALSE)</f>
        <v>Lower Price</v>
      </c>
      <c r="J3871" t="s">
        <v>759</v>
      </c>
      <c r="L3871" s="17" t="s">
        <v>733</v>
      </c>
      <c r="M3871" s="17" t="s">
        <v>11</v>
      </c>
      <c r="N3871" s="17" t="s">
        <v>740</v>
      </c>
    </row>
    <row r="3872" spans="1:14" x14ac:dyDescent="0.25">
      <c r="A3872" s="8">
        <v>995006</v>
      </c>
      <c r="B3872" s="22" t="str">
        <f>IFERROR(VLOOKUP(A3872,VLOOKUPS!$A$2:B$12589,2,FALSE),"")</f>
        <v>Italian Salad 9oz-standard</v>
      </c>
      <c r="E3872">
        <v>1.49</v>
      </c>
      <c r="F3872">
        <v>2.29</v>
      </c>
      <c r="G3872" s="13">
        <v>44654</v>
      </c>
      <c r="H3872" s="13"/>
      <c r="I3872" s="22" t="str">
        <f>VLOOKUP(J3872, Dropdowns!N:O, 2, FALSE)</f>
        <v>Standard</v>
      </c>
      <c r="J3872" t="s">
        <v>760</v>
      </c>
      <c r="L3872" s="17" t="s">
        <v>733</v>
      </c>
      <c r="M3872" s="17" t="s">
        <v>11</v>
      </c>
      <c r="N3872" s="17" t="s">
        <v>740</v>
      </c>
    </row>
    <row r="3873" spans="1:14" x14ac:dyDescent="0.25">
      <c r="A3873" s="8">
        <v>995008</v>
      </c>
      <c r="B3873" s="22" t="str">
        <f>IFERROR(VLOOKUP(A3873,VLOOKUPS!$A$2:B$12589,2,FALSE),"")</f>
        <v>Shredded Lettuce 8oz-standard</v>
      </c>
      <c r="E3873">
        <v>1.88</v>
      </c>
      <c r="F3873">
        <v>1.22</v>
      </c>
      <c r="G3873" s="13">
        <v>44652</v>
      </c>
      <c r="H3873" s="13">
        <v>44653</v>
      </c>
      <c r="I3873" s="22" t="str">
        <f>VLOOKUP(J3873, Dropdowns!N:O, 2, FALSE)</f>
        <v>Lower Price</v>
      </c>
      <c r="J3873" t="s">
        <v>759</v>
      </c>
      <c r="L3873" s="17" t="s">
        <v>732</v>
      </c>
      <c r="M3873" s="17" t="s">
        <v>738</v>
      </c>
      <c r="N3873" s="17">
        <v>2</v>
      </c>
    </row>
    <row r="3874" spans="1:14" x14ac:dyDescent="0.25">
      <c r="A3874" s="8">
        <v>995008</v>
      </c>
      <c r="B3874" s="22" t="str">
        <f>IFERROR(VLOOKUP(A3874,VLOOKUPS!$A$2:B$12589,2,FALSE),"")</f>
        <v>Shredded Lettuce 8oz-standard</v>
      </c>
      <c r="E3874">
        <v>1.22</v>
      </c>
      <c r="F3874">
        <v>1.88</v>
      </c>
      <c r="G3874" s="13">
        <v>44654</v>
      </c>
      <c r="H3874" s="13"/>
      <c r="I3874" s="22" t="str">
        <f>VLOOKUP(J3874, Dropdowns!N:O, 2, FALSE)</f>
        <v>Standard</v>
      </c>
      <c r="J3874" t="s">
        <v>760</v>
      </c>
      <c r="L3874" s="17" t="s">
        <v>732</v>
      </c>
      <c r="M3874" s="17" t="s">
        <v>738</v>
      </c>
      <c r="N3874" s="17">
        <v>2</v>
      </c>
    </row>
    <row r="3875" spans="1:14" x14ac:dyDescent="0.25">
      <c r="A3875" s="8">
        <v>995041</v>
      </c>
      <c r="B3875" s="22" t="str">
        <f>IFERROR(VLOOKUP(A3875,VLOOKUPS!$A$2:B$12589,2,FALSE),"")</f>
        <v>Pineapple Spears 16oz-standard</v>
      </c>
      <c r="E3875">
        <v>4.4800000000000004</v>
      </c>
      <c r="F3875">
        <v>2.2400000000000002</v>
      </c>
      <c r="G3875" s="13">
        <v>44652</v>
      </c>
      <c r="H3875" s="13">
        <v>44652</v>
      </c>
      <c r="I3875" s="22" t="str">
        <f>VLOOKUP(J3875, Dropdowns!N:O, 2, FALSE)</f>
        <v>Lower Price</v>
      </c>
      <c r="J3875" t="s">
        <v>759</v>
      </c>
      <c r="L3875" s="17" t="s">
        <v>732</v>
      </c>
      <c r="M3875" s="17" t="s">
        <v>737</v>
      </c>
      <c r="N3875" s="17" t="s">
        <v>736</v>
      </c>
    </row>
    <row r="3876" spans="1:14" x14ac:dyDescent="0.25">
      <c r="A3876" s="8">
        <v>995041</v>
      </c>
      <c r="B3876" s="22" t="str">
        <f>IFERROR(VLOOKUP(A3876,VLOOKUPS!$A$2:B$12589,2,FALSE),"")</f>
        <v>Pineapple Spears 16oz-standard</v>
      </c>
      <c r="E3876">
        <v>2.2400000000000002</v>
      </c>
      <c r="F3876">
        <v>4.4800000000000004</v>
      </c>
      <c r="G3876" s="13">
        <v>44653</v>
      </c>
      <c r="H3876" s="13"/>
      <c r="I3876" s="22" t="str">
        <f>VLOOKUP(J3876, Dropdowns!N:O, 2, FALSE)</f>
        <v>Standard</v>
      </c>
      <c r="J3876" t="s">
        <v>760</v>
      </c>
      <c r="L3876" s="17" t="s">
        <v>732</v>
      </c>
      <c r="M3876" s="17" t="s">
        <v>737</v>
      </c>
      <c r="N3876" s="17" t="s">
        <v>736</v>
      </c>
    </row>
    <row r="3877" spans="1:14" x14ac:dyDescent="0.25">
      <c r="A3877" s="8">
        <v>983103</v>
      </c>
      <c r="B3877" s="22" t="str">
        <f>IFERROR(VLOOKUP(A3877,VLOOKUPS!$A$2:B$12589,2,FALSE),"")</f>
        <v>MelonsGolden Canary 1ct.-LOOSE</v>
      </c>
      <c r="D3877">
        <v>6</v>
      </c>
      <c r="E3877">
        <v>3.98</v>
      </c>
      <c r="G3877" s="13">
        <v>44652</v>
      </c>
      <c r="H3877" s="13"/>
      <c r="I3877" s="22" t="str">
        <f>VLOOKUP(J3877, Dropdowns!N:O, 2, FALSE)</f>
        <v>NA</v>
      </c>
      <c r="J3877" t="s">
        <v>754</v>
      </c>
      <c r="L3877" s="17" t="s">
        <v>732</v>
      </c>
      <c r="M3877" s="17" t="s">
        <v>9</v>
      </c>
      <c r="N3877" s="17" t="s">
        <v>736</v>
      </c>
    </row>
    <row r="3878" spans="1:14" x14ac:dyDescent="0.25">
      <c r="A3878" s="8">
        <v>982960</v>
      </c>
      <c r="B3878" s="22" t="str">
        <f>IFERROR(VLOOKUP(A3878,VLOOKUPS!$A$2:B$12589,2,FALSE),"")</f>
        <v>Grapes Specialty* 1lb-LOOSE</v>
      </c>
      <c r="D3878">
        <v>16</v>
      </c>
      <c r="E3878">
        <v>3.89</v>
      </c>
      <c r="G3878" s="13">
        <v>44652</v>
      </c>
      <c r="H3878" s="13"/>
      <c r="I3878" s="22" t="str">
        <f>VLOOKUP(J3878, Dropdowns!N:O, 2, FALSE)</f>
        <v>NA</v>
      </c>
      <c r="J3878" t="s">
        <v>754</v>
      </c>
      <c r="L3878" s="17" t="s">
        <v>732</v>
      </c>
      <c r="M3878" s="17" t="s">
        <v>10</v>
      </c>
      <c r="N3878" s="17">
        <v>2</v>
      </c>
    </row>
    <row r="3879" spans="1:14" x14ac:dyDescent="0.25">
      <c r="A3879" s="8">
        <v>982650</v>
      </c>
      <c r="B3879" s="22" t="str">
        <f>IFERROR(VLOOKUP(A3879,VLOOKUPS!$A$2:B$12589,2,FALSE),"")</f>
        <v>Grapes* Green Seedless 1lb-LOOSE</v>
      </c>
      <c r="E3879">
        <v>2.1</v>
      </c>
      <c r="F3879">
        <v>1.98</v>
      </c>
      <c r="G3879" s="13">
        <v>44652</v>
      </c>
      <c r="H3879" s="13"/>
      <c r="I3879" s="22" t="str">
        <f>VLOOKUP(J3879, Dropdowns!N:O, 2, FALSE)</f>
        <v>Standard</v>
      </c>
      <c r="J3879" t="s">
        <v>761</v>
      </c>
      <c r="L3879" s="17" t="s">
        <v>732</v>
      </c>
      <c r="M3879" s="17" t="s">
        <v>736</v>
      </c>
      <c r="N3879" s="17" t="s">
        <v>736</v>
      </c>
    </row>
    <row r="3880" spans="1:14" x14ac:dyDescent="0.25">
      <c r="A3880" s="8">
        <v>982960</v>
      </c>
      <c r="B3880" s="22" t="str">
        <f>IFERROR(VLOOKUP(A3880,VLOOKUPS!$A$2:B$12589,2,FALSE),"")</f>
        <v>Grapes Specialty* 1lb-LOOSE</v>
      </c>
      <c r="D3880">
        <v>16</v>
      </c>
      <c r="F3880">
        <v>3.89</v>
      </c>
      <c r="G3880" s="13">
        <v>44653</v>
      </c>
      <c r="H3880" s="13"/>
      <c r="I3880" s="22" t="str">
        <f>VLOOKUP(J3880, Dropdowns!N:O, 2, FALSE)</f>
        <v>NA</v>
      </c>
      <c r="J3880" t="s">
        <v>754</v>
      </c>
      <c r="L3880" s="17" t="s">
        <v>733</v>
      </c>
      <c r="M3880" s="17" t="s">
        <v>11</v>
      </c>
      <c r="N3880" s="17" t="s">
        <v>740</v>
      </c>
    </row>
    <row r="3881" spans="1:14" x14ac:dyDescent="0.25">
      <c r="A3881" s="8">
        <v>984460</v>
      </c>
      <c r="B3881" s="22" t="str">
        <f>IFERROR(VLOOKUP(A3881,VLOOKUPS!$A$2:B$12589,2,FALSE),"")</f>
        <v>Strawberries 1lb-standard</v>
      </c>
      <c r="G3881" s="13">
        <v>44653</v>
      </c>
      <c r="H3881" s="13">
        <v>44654</v>
      </c>
      <c r="I3881" s="22" t="str">
        <f>VLOOKUP(J3881, Dropdowns!N:O, 2, FALSE)</f>
        <v>Lower Price</v>
      </c>
      <c r="J3881" t="s">
        <v>753</v>
      </c>
      <c r="L3881" s="17" t="s">
        <v>732</v>
      </c>
      <c r="M3881" s="17" t="s">
        <v>736</v>
      </c>
    </row>
    <row r="3882" spans="1:14" x14ac:dyDescent="0.25">
      <c r="A3882" s="8">
        <v>984620</v>
      </c>
      <c r="B3882" s="22" t="str">
        <f>IFERROR(VLOOKUP(A3882,VLOOKUPS!$A$2:B$12589,2,FALSE),"")</f>
        <v>Raspberries 6oz-standard</v>
      </c>
      <c r="G3882" s="13">
        <v>44653</v>
      </c>
      <c r="H3882" s="13">
        <v>44656</v>
      </c>
      <c r="I3882" s="22" t="str">
        <f>VLOOKUP(J3882, Dropdowns!N:O, 2, FALSE)</f>
        <v>Lower Price</v>
      </c>
      <c r="J3882" t="s">
        <v>762</v>
      </c>
      <c r="L3882" s="17" t="s">
        <v>732</v>
      </c>
      <c r="M3882" s="17" t="s">
        <v>9</v>
      </c>
      <c r="N3882" s="17" t="s">
        <v>736</v>
      </c>
    </row>
    <row r="3883" spans="1:14" x14ac:dyDescent="0.25">
      <c r="A3883" s="8">
        <v>984620</v>
      </c>
      <c r="B3883" s="22" t="str">
        <f>IFERROR(VLOOKUP(A3883,VLOOKUPS!$A$2:B$12589,2,FALSE),"")</f>
        <v>Raspberries 6oz-standard</v>
      </c>
      <c r="E3883">
        <v>0.99</v>
      </c>
      <c r="F3883">
        <v>3.2</v>
      </c>
      <c r="G3883" s="13">
        <v>44657</v>
      </c>
      <c r="H3883" s="13"/>
      <c r="I3883" s="22" t="str">
        <f>VLOOKUP(J3883, Dropdowns!N:O, 2, FALSE)</f>
        <v>Standard</v>
      </c>
      <c r="J3883" t="s">
        <v>760</v>
      </c>
      <c r="L3883" s="17" t="s">
        <v>732</v>
      </c>
      <c r="M3883" s="17" t="s">
        <v>9</v>
      </c>
      <c r="N3883" s="17" t="s">
        <v>736</v>
      </c>
    </row>
    <row r="3884" spans="1:14" x14ac:dyDescent="0.25">
      <c r="A3884" s="8">
        <v>986270</v>
      </c>
      <c r="B3884" s="22" t="str">
        <f>IFERROR(VLOOKUP(A3884,VLOOKUPS!$A$2:B$12589,2,FALSE),"")</f>
        <v>Organic French Beans 1lb-standard</v>
      </c>
      <c r="E3884">
        <v>3.99</v>
      </c>
      <c r="F3884">
        <v>2.59</v>
      </c>
      <c r="G3884" s="13">
        <v>44653</v>
      </c>
      <c r="H3884" s="13">
        <v>44654</v>
      </c>
      <c r="I3884" s="22" t="str">
        <f>VLOOKUP(J3884, Dropdowns!N:O, 2, FALSE)</f>
        <v>Lower Price</v>
      </c>
      <c r="J3884" t="s">
        <v>759</v>
      </c>
      <c r="L3884" s="17" t="s">
        <v>733</v>
      </c>
      <c r="M3884" s="17" t="s">
        <v>735</v>
      </c>
      <c r="N3884" s="17" t="s">
        <v>740</v>
      </c>
    </row>
    <row r="3885" spans="1:14" x14ac:dyDescent="0.25">
      <c r="A3885" s="8">
        <v>986270</v>
      </c>
      <c r="B3885" s="22" t="str">
        <f>IFERROR(VLOOKUP(A3885,VLOOKUPS!$A$2:B$12589,2,FALSE),"")</f>
        <v>Organic French Beans 1lb-standard</v>
      </c>
      <c r="E3885">
        <v>2.59</v>
      </c>
      <c r="F3885">
        <v>3.99</v>
      </c>
      <c r="G3885" s="13">
        <v>44655</v>
      </c>
      <c r="H3885" s="13"/>
      <c r="I3885" s="22" t="str">
        <f>VLOOKUP(J3885, Dropdowns!N:O, 2, FALSE)</f>
        <v>Standard</v>
      </c>
      <c r="J3885" t="s">
        <v>760</v>
      </c>
      <c r="L3885" s="17" t="s">
        <v>733</v>
      </c>
      <c r="M3885" s="17" t="s">
        <v>735</v>
      </c>
      <c r="N3885" s="17" t="s">
        <v>740</v>
      </c>
    </row>
    <row r="3886" spans="1:14" x14ac:dyDescent="0.25">
      <c r="A3886" s="8">
        <v>995000</v>
      </c>
      <c r="B3886" s="22" t="str">
        <f>IFERROR(VLOOKUP(A3886,VLOOKUPS!$A$2:B$12589,2,FALSE),"")</f>
        <v>Spring Mix 5oz-standard</v>
      </c>
      <c r="E3886">
        <v>2.63</v>
      </c>
      <c r="F3886">
        <v>1.71</v>
      </c>
      <c r="G3886" s="13">
        <v>44653</v>
      </c>
      <c r="H3886" s="13">
        <v>44654</v>
      </c>
      <c r="I3886" s="22" t="str">
        <f>VLOOKUP(J3886, Dropdowns!N:O, 2, FALSE)</f>
        <v>Lower Price</v>
      </c>
      <c r="J3886" t="s">
        <v>759</v>
      </c>
      <c r="L3886" s="17" t="s">
        <v>733</v>
      </c>
      <c r="M3886" s="17" t="s">
        <v>738</v>
      </c>
      <c r="N3886" s="17" t="s">
        <v>740</v>
      </c>
    </row>
    <row r="3887" spans="1:14" x14ac:dyDescent="0.25">
      <c r="A3887" s="8">
        <v>995000</v>
      </c>
      <c r="B3887" s="22" t="str">
        <f>IFERROR(VLOOKUP(A3887,VLOOKUPS!$A$2:B$12589,2,FALSE),"")</f>
        <v>Spring Mix 5oz-standard</v>
      </c>
      <c r="E3887">
        <v>1.71</v>
      </c>
      <c r="F3887">
        <v>2.63</v>
      </c>
      <c r="G3887" s="13">
        <v>44655</v>
      </c>
      <c r="H3887" s="13"/>
      <c r="I3887" s="22" t="str">
        <f>VLOOKUP(J3887, Dropdowns!N:O, 2, FALSE)</f>
        <v>Standard</v>
      </c>
      <c r="J3887" t="s">
        <v>760</v>
      </c>
      <c r="L3887" s="17" t="s">
        <v>733</v>
      </c>
      <c r="M3887" s="17" t="s">
        <v>738</v>
      </c>
      <c r="N3887" s="17" t="s">
        <v>740</v>
      </c>
    </row>
    <row r="3888" spans="1:14" x14ac:dyDescent="0.25">
      <c r="A3888" s="8">
        <v>995071</v>
      </c>
      <c r="B3888" s="22" t="str">
        <f>IFERROR(VLOOKUP(A3888,VLOOKUPS!$A$2:B$12589,2,FALSE),"")</f>
        <v>Broccoli Florets 12oz-standard</v>
      </c>
      <c r="E3888">
        <v>2.78</v>
      </c>
      <c r="F3888">
        <v>2.2200000000000002</v>
      </c>
      <c r="G3888" s="13">
        <v>44653</v>
      </c>
      <c r="H3888" s="13">
        <v>44654</v>
      </c>
      <c r="I3888" s="22" t="str">
        <f>VLOOKUP(J3888, Dropdowns!N:O, 2, FALSE)</f>
        <v>Lower Price</v>
      </c>
      <c r="J3888" t="s">
        <v>759</v>
      </c>
      <c r="L3888" s="17" t="s">
        <v>733</v>
      </c>
      <c r="M3888" s="17" t="s">
        <v>11</v>
      </c>
      <c r="N3888" s="17" t="s">
        <v>740</v>
      </c>
    </row>
    <row r="3889" spans="1:14" x14ac:dyDescent="0.25">
      <c r="A3889" s="8">
        <v>995071</v>
      </c>
      <c r="B3889" s="22" t="str">
        <f>IFERROR(VLOOKUP(A3889,VLOOKUPS!$A$2:B$12589,2,FALSE),"")</f>
        <v>Broccoli Florets 12oz-standard</v>
      </c>
      <c r="E3889">
        <v>2.2200000000000002</v>
      </c>
      <c r="F3889">
        <v>2.78</v>
      </c>
      <c r="G3889" s="13">
        <v>44655</v>
      </c>
      <c r="H3889" s="13"/>
      <c r="I3889" s="22" t="str">
        <f>VLOOKUP(J3889, Dropdowns!N:O, 2, FALSE)</f>
        <v>Standard</v>
      </c>
      <c r="J3889" t="s">
        <v>760</v>
      </c>
      <c r="L3889" s="17" t="s">
        <v>733</v>
      </c>
      <c r="M3889" s="17" t="s">
        <v>11</v>
      </c>
      <c r="N3889" s="17" t="s">
        <v>740</v>
      </c>
    </row>
    <row r="3890" spans="1:14" x14ac:dyDescent="0.25">
      <c r="A3890" s="8">
        <v>995123</v>
      </c>
      <c r="B3890" s="22" t="str">
        <f>IFERROR(VLOOKUP(A3890,VLOOKUPS!$A$2:B$12589,2,FALSE),"")</f>
        <v>Vegetable Medley 12oz-standard</v>
      </c>
      <c r="E3890">
        <v>2.78</v>
      </c>
      <c r="F3890">
        <v>1.39</v>
      </c>
      <c r="G3890" s="13">
        <v>44653</v>
      </c>
      <c r="H3890" s="13">
        <v>44654</v>
      </c>
      <c r="I3890" s="22" t="str">
        <f>VLOOKUP(J3890, Dropdowns!N:O, 2, FALSE)</f>
        <v>Lower Price</v>
      </c>
      <c r="J3890" t="s">
        <v>759</v>
      </c>
      <c r="L3890" s="17" t="s">
        <v>733</v>
      </c>
      <c r="M3890" s="17" t="s">
        <v>10</v>
      </c>
      <c r="N3890" s="17" t="s">
        <v>740</v>
      </c>
    </row>
    <row r="3891" spans="1:14" x14ac:dyDescent="0.25">
      <c r="A3891" s="8">
        <v>995123</v>
      </c>
      <c r="B3891" s="22" t="str">
        <f>IFERROR(VLOOKUP(A3891,VLOOKUPS!$A$2:B$12589,2,FALSE),"")</f>
        <v>Vegetable Medley 12oz-standard</v>
      </c>
      <c r="E3891">
        <v>1.39</v>
      </c>
      <c r="F3891">
        <v>2.78</v>
      </c>
      <c r="G3891" s="13">
        <v>44655</v>
      </c>
      <c r="H3891" s="13"/>
      <c r="I3891" s="22" t="str">
        <f>VLOOKUP(J3891, Dropdowns!N:O, 2, FALSE)</f>
        <v>Standard</v>
      </c>
      <c r="J3891" t="s">
        <v>760</v>
      </c>
      <c r="L3891" s="17" t="s">
        <v>733</v>
      </c>
      <c r="M3891" s="17" t="s">
        <v>10</v>
      </c>
      <c r="N3891" s="17" t="s">
        <v>740</v>
      </c>
    </row>
    <row r="3892" spans="1:14" x14ac:dyDescent="0.25">
      <c r="A3892" s="8">
        <v>984460</v>
      </c>
      <c r="B3892" s="22" t="str">
        <f>IFERROR(VLOOKUP(A3892,VLOOKUPS!$A$2:B$12589,2,FALSE),"")</f>
        <v>Strawberries 1lb-standard</v>
      </c>
      <c r="E3892">
        <v>1.49</v>
      </c>
      <c r="F3892">
        <v>2.58</v>
      </c>
      <c r="G3892" s="13">
        <v>44655</v>
      </c>
      <c r="H3892" s="13"/>
      <c r="I3892" s="22" t="str">
        <f>VLOOKUP(J3892, Dropdowns!N:O, 2, FALSE)</f>
        <v>Standard</v>
      </c>
      <c r="J3892" t="s">
        <v>760</v>
      </c>
      <c r="L3892" s="17" t="s">
        <v>732</v>
      </c>
      <c r="M3892" s="17" t="s">
        <v>735</v>
      </c>
      <c r="N3892" s="17" t="s">
        <v>736</v>
      </c>
    </row>
    <row r="3893" spans="1:14" x14ac:dyDescent="0.25">
      <c r="A3893" s="8">
        <v>984460</v>
      </c>
      <c r="B3893" s="22" t="str">
        <f>IFERROR(VLOOKUP(A3893,VLOOKUPS!$A$2:B$12589,2,FALSE),"")</f>
        <v>Strawberries 1lb-standard</v>
      </c>
      <c r="E3893">
        <v>1.49</v>
      </c>
      <c r="F3893">
        <v>2.59</v>
      </c>
      <c r="G3893" s="13">
        <v>44655</v>
      </c>
      <c r="H3893" s="13"/>
      <c r="I3893" s="22" t="str">
        <f>VLOOKUP(J3893, Dropdowns!N:O, 2, FALSE)</f>
        <v>Standard</v>
      </c>
      <c r="J3893" t="s">
        <v>760</v>
      </c>
      <c r="L3893" s="17" t="s">
        <v>733</v>
      </c>
      <c r="M3893" s="17" t="s">
        <v>11</v>
      </c>
      <c r="N3893" s="17" t="s">
        <v>740</v>
      </c>
    </row>
    <row r="3894" spans="1:14" x14ac:dyDescent="0.25">
      <c r="A3894" s="8">
        <v>984460</v>
      </c>
      <c r="B3894" s="22" t="str">
        <f>IFERROR(VLOOKUP(A3894,VLOOKUPS!$A$2:B$12589,2,FALSE),"")</f>
        <v>Strawberries 1lb-standard</v>
      </c>
      <c r="E3894">
        <v>2.58</v>
      </c>
      <c r="F3894">
        <v>1.29</v>
      </c>
      <c r="G3894" s="13">
        <v>44656</v>
      </c>
      <c r="H3894" s="13">
        <v>44657</v>
      </c>
      <c r="I3894" s="22" t="str">
        <f>VLOOKUP(J3894, Dropdowns!N:O, 2, FALSE)</f>
        <v>Lower Price</v>
      </c>
      <c r="J3894" t="s">
        <v>759</v>
      </c>
      <c r="L3894" s="17" t="s">
        <v>732</v>
      </c>
      <c r="M3894" s="17" t="s">
        <v>9</v>
      </c>
      <c r="N3894" s="17" t="s">
        <v>736</v>
      </c>
    </row>
    <row r="3895" spans="1:14" x14ac:dyDescent="0.25">
      <c r="A3895" s="8">
        <v>984460</v>
      </c>
      <c r="B3895" s="22" t="str">
        <f>IFERROR(VLOOKUP(A3895,VLOOKUPS!$A$2:B$12589,2,FALSE),"")</f>
        <v>Strawberries 1lb-standard</v>
      </c>
      <c r="E3895">
        <v>1.29</v>
      </c>
      <c r="F3895">
        <v>2.58</v>
      </c>
      <c r="G3895" s="13">
        <v>44658</v>
      </c>
      <c r="H3895" s="13"/>
      <c r="I3895" s="22" t="str">
        <f>VLOOKUP(J3895, Dropdowns!N:O, 2, FALSE)</f>
        <v>Standard</v>
      </c>
      <c r="J3895" t="s">
        <v>760</v>
      </c>
      <c r="L3895" s="17" t="s">
        <v>732</v>
      </c>
      <c r="M3895" s="17" t="s">
        <v>9</v>
      </c>
    </row>
    <row r="3896" spans="1:14" x14ac:dyDescent="0.25">
      <c r="A3896" s="8">
        <v>984460</v>
      </c>
      <c r="B3896" s="22" t="str">
        <f>IFERROR(VLOOKUP(A3896,VLOOKUPS!$A$2:B$12589,2,FALSE),"")</f>
        <v>Strawberries 1lb-standard</v>
      </c>
      <c r="E3896">
        <v>2.59</v>
      </c>
      <c r="F3896">
        <v>1.3</v>
      </c>
      <c r="G3896" s="13">
        <v>44656</v>
      </c>
      <c r="H3896" s="13">
        <v>44657</v>
      </c>
      <c r="I3896" s="22" t="str">
        <f>VLOOKUP(J3896, Dropdowns!N:O, 2, FALSE)</f>
        <v>Lower Price</v>
      </c>
      <c r="J3896" t="s">
        <v>759</v>
      </c>
      <c r="L3896" s="17" t="s">
        <v>733</v>
      </c>
      <c r="M3896" s="17" t="s">
        <v>11</v>
      </c>
      <c r="N3896" s="17" t="s">
        <v>740</v>
      </c>
    </row>
    <row r="3897" spans="1:14" x14ac:dyDescent="0.25">
      <c r="A3897" s="8">
        <v>984621</v>
      </c>
      <c r="B3897" s="22" t="str">
        <f>IFERROR(VLOOKUP(A3897,VLOOKUPS!$A$2:B$12589,2,FALSE),"")</f>
        <v>Raspberries 12oz-standard</v>
      </c>
      <c r="E3897">
        <v>5.62</v>
      </c>
      <c r="F3897">
        <v>3.65</v>
      </c>
      <c r="G3897" s="13">
        <v>44656</v>
      </c>
      <c r="H3897" s="13">
        <v>44657</v>
      </c>
      <c r="I3897" s="22" t="str">
        <f>VLOOKUP(J3897, Dropdowns!N:O, 2, FALSE)</f>
        <v>Lower Price</v>
      </c>
      <c r="J3897" t="s">
        <v>759</v>
      </c>
      <c r="L3897" s="17" t="s">
        <v>733</v>
      </c>
      <c r="M3897" s="17" t="s">
        <v>738</v>
      </c>
      <c r="N3897" s="17" t="s">
        <v>740</v>
      </c>
    </row>
    <row r="3898" spans="1:14" x14ac:dyDescent="0.25">
      <c r="A3898" s="8">
        <v>984621</v>
      </c>
      <c r="B3898" s="22" t="str">
        <f>IFERROR(VLOOKUP(A3898,VLOOKUPS!$A$2:B$12589,2,FALSE),"")</f>
        <v>Raspberries 12oz-standard</v>
      </c>
      <c r="E3898">
        <v>3.65</v>
      </c>
      <c r="F3898">
        <v>5.62</v>
      </c>
      <c r="G3898" s="13">
        <v>44658</v>
      </c>
      <c r="H3898" s="13"/>
      <c r="I3898" s="22" t="str">
        <f>VLOOKUP(J3898, Dropdowns!N:O, 2, FALSE)</f>
        <v>Standard</v>
      </c>
      <c r="J3898" t="s">
        <v>760</v>
      </c>
      <c r="L3898" s="17" t="s">
        <v>733</v>
      </c>
      <c r="M3898" s="17" t="s">
        <v>738</v>
      </c>
      <c r="N3898" s="17" t="s">
        <v>740</v>
      </c>
    </row>
    <row r="3899" spans="1:14" x14ac:dyDescent="0.25">
      <c r="A3899" s="8">
        <v>984700</v>
      </c>
      <c r="B3899" s="22" t="str">
        <f>IFERROR(VLOOKUP(A3899,VLOOKUPS!$A$2:B$12589,2,FALSE),"")</f>
        <v>Blackberries 6oz-standard</v>
      </c>
      <c r="E3899">
        <v>1.96</v>
      </c>
      <c r="F3899">
        <v>1.27</v>
      </c>
      <c r="G3899" s="13">
        <v>44656</v>
      </c>
      <c r="H3899" s="13">
        <v>44657</v>
      </c>
      <c r="I3899" s="22" t="str">
        <f>VLOOKUP(J3899, Dropdowns!N:O, 2, FALSE)</f>
        <v>Lower Price</v>
      </c>
      <c r="J3899" t="s">
        <v>759</v>
      </c>
      <c r="L3899" s="17" t="s">
        <v>733</v>
      </c>
      <c r="M3899" s="17" t="s">
        <v>11</v>
      </c>
      <c r="N3899" s="17" t="s">
        <v>740</v>
      </c>
    </row>
    <row r="3900" spans="1:14" x14ac:dyDescent="0.25">
      <c r="A3900" s="8">
        <v>984700</v>
      </c>
      <c r="B3900" s="22" t="str">
        <f>IFERROR(VLOOKUP(A3900,VLOOKUPS!$A$2:B$12589,2,FALSE),"")</f>
        <v>Blackberries 6oz-standard</v>
      </c>
      <c r="E3900">
        <v>1.27</v>
      </c>
      <c r="F3900">
        <v>1.96</v>
      </c>
      <c r="G3900" s="13">
        <v>44658</v>
      </c>
      <c r="H3900" s="13"/>
      <c r="I3900" s="22" t="str">
        <f>VLOOKUP(J3900, Dropdowns!N:O, 2, FALSE)</f>
        <v>Standard</v>
      </c>
      <c r="J3900" t="s">
        <v>760</v>
      </c>
      <c r="L3900" s="17" t="s">
        <v>733</v>
      </c>
      <c r="M3900" s="17" t="s">
        <v>11</v>
      </c>
      <c r="N3900" s="17" t="s">
        <v>740</v>
      </c>
    </row>
    <row r="3901" spans="1:14" x14ac:dyDescent="0.25">
      <c r="A3901" s="8">
        <v>995004</v>
      </c>
      <c r="B3901" s="22" t="str">
        <f>IFERROR(VLOOKUP(A3901,VLOOKUPS!$A$2:B$12589,2,FALSE),"")</f>
        <v>Chicken Caesar Salad 6.25oz-standard</v>
      </c>
      <c r="E3901">
        <v>3.12</v>
      </c>
      <c r="F3901">
        <v>2.0299999999999998</v>
      </c>
      <c r="G3901" s="13">
        <v>44656</v>
      </c>
      <c r="H3901" s="13">
        <v>44657</v>
      </c>
      <c r="I3901" s="22" t="str">
        <f>VLOOKUP(J3901, Dropdowns!N:O, 2, FALSE)</f>
        <v>Lower Price</v>
      </c>
      <c r="J3901" t="s">
        <v>759</v>
      </c>
      <c r="L3901" s="17" t="s">
        <v>733</v>
      </c>
      <c r="M3901" s="17" t="s">
        <v>10</v>
      </c>
      <c r="N3901" s="17" t="s">
        <v>740</v>
      </c>
    </row>
    <row r="3902" spans="1:14" x14ac:dyDescent="0.25">
      <c r="A3902" s="8">
        <v>995004</v>
      </c>
      <c r="B3902" s="22" t="str">
        <f>IFERROR(VLOOKUP(A3902,VLOOKUPS!$A$2:B$12589,2,FALSE),"")</f>
        <v>Chicken Caesar Salad 6.25oz-standard</v>
      </c>
      <c r="E3902">
        <v>2.0299999999999998</v>
      </c>
      <c r="F3902">
        <v>3.12</v>
      </c>
      <c r="G3902" s="13">
        <v>44658</v>
      </c>
      <c r="H3902" s="13"/>
      <c r="I3902" s="22" t="str">
        <f>VLOOKUP(J3902, Dropdowns!N:O, 2, FALSE)</f>
        <v>Standard</v>
      </c>
      <c r="J3902" t="s">
        <v>760</v>
      </c>
      <c r="L3902" s="17" t="s">
        <v>733</v>
      </c>
      <c r="M3902" s="17" t="s">
        <v>10</v>
      </c>
      <c r="N3902" s="17" t="s">
        <v>740</v>
      </c>
    </row>
    <row r="3903" spans="1:14" x14ac:dyDescent="0.25">
      <c r="A3903" s="8">
        <v>995041</v>
      </c>
      <c r="B3903" s="22" t="str">
        <f>IFERROR(VLOOKUP(A3903,VLOOKUPS!$A$2:B$12589,2,FALSE),"")</f>
        <v>Pineapple Spears 16oz-standard</v>
      </c>
      <c r="E3903">
        <v>4.4800000000000004</v>
      </c>
      <c r="F3903">
        <v>2.2400000000000002</v>
      </c>
      <c r="G3903" s="13">
        <v>44656</v>
      </c>
      <c r="H3903" s="13">
        <v>44656</v>
      </c>
      <c r="I3903" s="22" t="str">
        <f>VLOOKUP(J3903, Dropdowns!N:O, 2, FALSE)</f>
        <v>Lower Price</v>
      </c>
      <c r="J3903" t="s">
        <v>759</v>
      </c>
      <c r="L3903" s="17" t="s">
        <v>733</v>
      </c>
      <c r="M3903" s="17" t="s">
        <v>11</v>
      </c>
      <c r="N3903" s="17" t="s">
        <v>740</v>
      </c>
    </row>
    <row r="3904" spans="1:14" x14ac:dyDescent="0.25">
      <c r="A3904" s="8">
        <v>995041</v>
      </c>
      <c r="B3904" s="22" t="str">
        <f>IFERROR(VLOOKUP(A3904,VLOOKUPS!$A$2:B$12589,2,FALSE),"")</f>
        <v>Pineapple Spears 16oz-standard</v>
      </c>
      <c r="E3904">
        <v>2.2400000000000002</v>
      </c>
      <c r="F3904">
        <v>4.4800000000000004</v>
      </c>
      <c r="G3904" s="13">
        <v>44657</v>
      </c>
      <c r="H3904" s="13"/>
      <c r="I3904" s="22" t="str">
        <f>VLOOKUP(J3904, Dropdowns!N:O, 2, FALSE)</f>
        <v>Standard</v>
      </c>
      <c r="J3904" t="s">
        <v>760</v>
      </c>
      <c r="L3904" s="17" t="s">
        <v>733</v>
      </c>
      <c r="M3904" s="17" t="s">
        <v>11</v>
      </c>
      <c r="N3904" s="17" t="s">
        <v>740</v>
      </c>
    </row>
    <row r="3905" spans="1:14" x14ac:dyDescent="0.25">
      <c r="A3905" s="8">
        <v>988571</v>
      </c>
      <c r="B3905" s="22" t="str">
        <f>IFERROR(VLOOKUP(A3905,VLOOKUPS!$A$2:B$12589,2,FALSE),"")</f>
        <v>Cauliflower* 1ct-LOOSE</v>
      </c>
      <c r="E3905">
        <v>2.44</v>
      </c>
      <c r="F3905">
        <v>2.74</v>
      </c>
      <c r="G3905" s="13">
        <v>44656</v>
      </c>
      <c r="H3905" s="13"/>
      <c r="I3905" s="22" t="str">
        <f>VLOOKUP(J3905, Dropdowns!N:O, 2, FALSE)</f>
        <v>Standard</v>
      </c>
      <c r="J3905" t="s">
        <v>761</v>
      </c>
      <c r="L3905" s="17" t="s">
        <v>733</v>
      </c>
      <c r="M3905" s="17" t="s">
        <v>736</v>
      </c>
      <c r="N3905" s="17" t="s">
        <v>740</v>
      </c>
    </row>
    <row r="3906" spans="1:14" x14ac:dyDescent="0.25">
      <c r="A3906" s="8">
        <v>995005</v>
      </c>
      <c r="B3906" s="22" t="str">
        <f>IFERROR(VLOOKUP(A3906,VLOOKUPS!$A$2:B$12589,2,FALSE),"")</f>
        <v>Garden Salad 12oz-standard</v>
      </c>
      <c r="E3906">
        <v>1.38</v>
      </c>
      <c r="F3906">
        <v>1.49</v>
      </c>
      <c r="G3906" s="13">
        <v>44656</v>
      </c>
      <c r="H3906" s="13"/>
      <c r="I3906" s="22" t="str">
        <f>VLOOKUP(J3906, Dropdowns!N:O, 2, FALSE)</f>
        <v>Standard</v>
      </c>
      <c r="J3906" t="s">
        <v>761</v>
      </c>
      <c r="L3906" s="17" t="s">
        <v>733</v>
      </c>
      <c r="M3906" s="17" t="s">
        <v>736</v>
      </c>
      <c r="N3906" s="17" t="s">
        <v>740</v>
      </c>
    </row>
    <row r="3907" spans="1:14" x14ac:dyDescent="0.25">
      <c r="A3907" s="8">
        <v>995009</v>
      </c>
      <c r="B3907" s="22" t="str">
        <f>IFERROR(VLOOKUP(A3907,VLOOKUPS!$A$2:B$12589,2,FALSE),"")</f>
        <v>Classic Coleslaw 14oz-standard</v>
      </c>
      <c r="E3907">
        <v>1.39</v>
      </c>
      <c r="F3907">
        <v>1.59</v>
      </c>
      <c r="G3907" s="13">
        <v>44656</v>
      </c>
      <c r="H3907" s="13"/>
      <c r="I3907" s="22" t="str">
        <f>VLOOKUP(J3907, Dropdowns!N:O, 2, FALSE)</f>
        <v>Standard</v>
      </c>
      <c r="J3907" t="s">
        <v>761</v>
      </c>
      <c r="L3907" s="17" t="s">
        <v>733</v>
      </c>
      <c r="M3907" s="17" t="s">
        <v>736</v>
      </c>
      <c r="N3907" s="17" t="s">
        <v>740</v>
      </c>
    </row>
    <row r="3908" spans="1:14" x14ac:dyDescent="0.25">
      <c r="A3908" s="8">
        <v>995076</v>
      </c>
      <c r="B3908" s="22" t="str">
        <f>IFERROR(VLOOKUP(A3908,VLOOKUPS!$A$2:B$12589,2,FALSE),"")</f>
        <v>Organic Power Greens 5oz-standard</v>
      </c>
      <c r="E3908">
        <v>2.4900000000000002</v>
      </c>
      <c r="F3908">
        <v>2.98</v>
      </c>
      <c r="G3908" s="13">
        <v>44656</v>
      </c>
      <c r="H3908" s="13"/>
      <c r="I3908" s="22" t="str">
        <f>VLOOKUP(J3908, Dropdowns!N:O, 2, FALSE)</f>
        <v>Standard</v>
      </c>
      <c r="J3908" t="s">
        <v>761</v>
      </c>
      <c r="L3908" s="17" t="s">
        <v>733</v>
      </c>
      <c r="M3908" s="17" t="s">
        <v>736</v>
      </c>
      <c r="N3908" s="17" t="s">
        <v>740</v>
      </c>
    </row>
    <row r="3909" spans="1:14" x14ac:dyDescent="0.25">
      <c r="A3909" s="8">
        <v>995133</v>
      </c>
      <c r="B3909" s="22" t="str">
        <f>IFERROR(VLOOKUP(A3909,VLOOKUPS!$A$2:B$12589,2,FALSE),"")</f>
        <v>Organic Baby Spinach &amp; Arugula 5oz-standard</v>
      </c>
      <c r="E3909">
        <v>2.4900000000000002</v>
      </c>
      <c r="F3909">
        <v>2.89</v>
      </c>
      <c r="G3909" s="13">
        <v>44656</v>
      </c>
      <c r="H3909" s="13"/>
      <c r="I3909" s="22" t="str">
        <f>VLOOKUP(J3909, Dropdowns!N:O, 2, FALSE)</f>
        <v>Standard</v>
      </c>
      <c r="J3909" t="s">
        <v>761</v>
      </c>
      <c r="L3909" s="17" t="s">
        <v>733</v>
      </c>
      <c r="M3909" s="17" t="s">
        <v>736</v>
      </c>
      <c r="N3909" s="17" t="s">
        <v>740</v>
      </c>
    </row>
    <row r="3910" spans="1:14" x14ac:dyDescent="0.25">
      <c r="A3910" s="8">
        <v>982960</v>
      </c>
      <c r="B3910" s="22" t="str">
        <f>IFERROR(VLOOKUP(A3910,VLOOKUPS!$A$2:B$12589,2,FALSE),"")</f>
        <v>Grapes Specialty* 1lb-LOOSE</v>
      </c>
      <c r="D3910">
        <v>16</v>
      </c>
      <c r="E3910">
        <v>3.89</v>
      </c>
      <c r="G3910" s="13"/>
      <c r="H3910" s="13"/>
      <c r="I3910" s="22" t="str">
        <f>VLOOKUP(J3910, Dropdowns!N:O, 2, FALSE)</f>
        <v>NA</v>
      </c>
      <c r="J3910" t="s">
        <v>754</v>
      </c>
      <c r="L3910" s="17" t="s">
        <v>732</v>
      </c>
      <c r="M3910" s="17" t="s">
        <v>9</v>
      </c>
      <c r="N3910" s="17" t="s">
        <v>736</v>
      </c>
    </row>
    <row r="3911" spans="1:14" x14ac:dyDescent="0.25">
      <c r="A3911" s="8">
        <v>995179</v>
      </c>
      <c r="B3911" s="22" t="str">
        <f>IFERROR(VLOOKUP(A3911,VLOOKUPS!$A$2:B$12589,2,FALSE),"")</f>
        <v>Avocado Ranch Salad Bowl 7.2oz-Standard</v>
      </c>
      <c r="E3911">
        <v>4.99</v>
      </c>
      <c r="F3911">
        <v>3.24</v>
      </c>
      <c r="G3911" s="13">
        <v>44656</v>
      </c>
      <c r="H3911" s="13">
        <v>44657</v>
      </c>
      <c r="I3911" s="22" t="str">
        <f>VLOOKUP(J3911, Dropdowns!N:O, 2, FALSE)</f>
        <v>Lower Price</v>
      </c>
      <c r="J3911" t="s">
        <v>759</v>
      </c>
      <c r="L3911" s="17" t="s">
        <v>732</v>
      </c>
      <c r="M3911" s="17" t="s">
        <v>735</v>
      </c>
      <c r="N3911" s="17" t="s">
        <v>736</v>
      </c>
    </row>
    <row r="3912" spans="1:14" x14ac:dyDescent="0.25">
      <c r="A3912" s="8">
        <v>995179</v>
      </c>
      <c r="B3912" s="22" t="str">
        <f>IFERROR(VLOOKUP(A3912,VLOOKUPS!$A$2:B$12589,2,FALSE),"")</f>
        <v>Avocado Ranch Salad Bowl 7.2oz-Standard</v>
      </c>
      <c r="E3912">
        <v>3.24</v>
      </c>
      <c r="F3912">
        <v>4.99</v>
      </c>
      <c r="G3912" s="13">
        <v>44658</v>
      </c>
      <c r="H3912" s="13"/>
      <c r="I3912" s="22" t="str">
        <f>VLOOKUP(J3912, Dropdowns!N:O, 2, FALSE)</f>
        <v>Standard</v>
      </c>
      <c r="J3912" t="s">
        <v>760</v>
      </c>
      <c r="L3912" s="17" t="s">
        <v>732</v>
      </c>
      <c r="M3912" s="17" t="s">
        <v>735</v>
      </c>
      <c r="N3912" s="17" t="s">
        <v>736</v>
      </c>
    </row>
    <row r="3913" spans="1:14" x14ac:dyDescent="0.25">
      <c r="A3913" s="8">
        <v>995180</v>
      </c>
      <c r="B3913" s="22" t="str">
        <f>IFERROR(VLOOKUP(A3913,VLOOKUPS!$A$2:B$12589,2,FALSE),"")</f>
        <v>Crunchy Sesame 6.1oz-Standard</v>
      </c>
      <c r="E3913">
        <v>4.99</v>
      </c>
      <c r="F3913">
        <v>3.24</v>
      </c>
      <c r="G3913" s="13">
        <v>44656</v>
      </c>
      <c r="H3913" s="13">
        <v>44657</v>
      </c>
      <c r="I3913" s="22" t="str">
        <f>VLOOKUP(J3913, Dropdowns!N:O, 2, FALSE)</f>
        <v>Lower Price</v>
      </c>
      <c r="J3913" t="s">
        <v>759</v>
      </c>
      <c r="L3913" s="17" t="s">
        <v>732</v>
      </c>
      <c r="M3913" s="17" t="s">
        <v>735</v>
      </c>
      <c r="N3913" s="17" t="s">
        <v>736</v>
      </c>
    </row>
    <row r="3914" spans="1:14" x14ac:dyDescent="0.25">
      <c r="A3914" s="8">
        <v>995180</v>
      </c>
      <c r="B3914" s="22" t="str">
        <f>IFERROR(VLOOKUP(A3914,VLOOKUPS!$A$2:B$12589,2,FALSE),"")</f>
        <v>Crunchy Sesame 6.1oz-Standard</v>
      </c>
      <c r="E3914">
        <v>3.24</v>
      </c>
      <c r="F3914">
        <v>4.99</v>
      </c>
      <c r="G3914" s="13">
        <v>44658</v>
      </c>
      <c r="H3914" s="13"/>
      <c r="I3914" s="22" t="str">
        <f>VLOOKUP(J3914, Dropdowns!N:O, 2, FALSE)</f>
        <v>Standard</v>
      </c>
      <c r="J3914" t="s">
        <v>760</v>
      </c>
      <c r="L3914" s="17" t="s">
        <v>732</v>
      </c>
      <c r="M3914" s="17" t="s">
        <v>735</v>
      </c>
      <c r="N3914" s="17" t="s">
        <v>736</v>
      </c>
    </row>
    <row r="3915" spans="1:14" x14ac:dyDescent="0.25">
      <c r="A3915" s="8">
        <v>984460</v>
      </c>
      <c r="B3915" s="22" t="str">
        <f>IFERROR(VLOOKUP(A3915,VLOOKUPS!$A$2:B$12589,2,FALSE),"")</f>
        <v>Strawberries 1lb-standard</v>
      </c>
      <c r="E3915">
        <v>1.3</v>
      </c>
      <c r="F3915">
        <v>2.59</v>
      </c>
      <c r="G3915" s="13">
        <v>44658</v>
      </c>
      <c r="H3915" s="13"/>
      <c r="I3915" s="22" t="str">
        <f>VLOOKUP(J3915, Dropdowns!N:O, 2, FALSE)</f>
        <v>Standard</v>
      </c>
      <c r="J3915" t="s">
        <v>760</v>
      </c>
      <c r="L3915" s="17" t="s">
        <v>733</v>
      </c>
      <c r="M3915" s="17" t="s">
        <v>11</v>
      </c>
      <c r="N3915" s="17" t="s">
        <v>740</v>
      </c>
    </row>
    <row r="3916" spans="1:14" x14ac:dyDescent="0.25">
      <c r="A3916" s="8">
        <v>984541</v>
      </c>
      <c r="B3916" s="22" t="str">
        <f>IFERROR(VLOOKUP(A3916,VLOOKUPS!$A$2:B$12589,2,FALSE),"")</f>
        <v>Blueberries 1pt-standard</v>
      </c>
      <c r="E3916">
        <v>2.99</v>
      </c>
      <c r="F3916">
        <v>1.94</v>
      </c>
      <c r="G3916" s="13">
        <v>44657</v>
      </c>
      <c r="H3916" s="13">
        <v>44658</v>
      </c>
      <c r="I3916" s="22" t="str">
        <f>VLOOKUP(J3916, Dropdowns!N:O, 2, FALSE)</f>
        <v>Lower Price</v>
      </c>
      <c r="J3916" t="s">
        <v>759</v>
      </c>
      <c r="L3916" s="17" t="s">
        <v>733</v>
      </c>
      <c r="M3916" s="17" t="s">
        <v>10</v>
      </c>
      <c r="N3916" s="17" t="s">
        <v>740</v>
      </c>
    </row>
    <row r="3917" spans="1:14" x14ac:dyDescent="0.25">
      <c r="A3917" s="8">
        <v>984541</v>
      </c>
      <c r="B3917" s="22" t="str">
        <f>IFERROR(VLOOKUP(A3917,VLOOKUPS!$A$2:B$12589,2,FALSE),"")</f>
        <v>Blueberries 1pt-standard</v>
      </c>
      <c r="E3917">
        <v>1.94</v>
      </c>
      <c r="F3917">
        <v>2.99</v>
      </c>
      <c r="G3917" s="13">
        <v>44659</v>
      </c>
      <c r="H3917" s="13"/>
      <c r="I3917" s="22" t="str">
        <f>VLOOKUP(J3917, Dropdowns!N:O, 2, FALSE)</f>
        <v>Standard</v>
      </c>
      <c r="J3917" t="s">
        <v>760</v>
      </c>
      <c r="L3917" s="17" t="s">
        <v>733</v>
      </c>
      <c r="M3917" s="17" t="s">
        <v>10</v>
      </c>
      <c r="N3917" s="17" t="s">
        <v>740</v>
      </c>
    </row>
    <row r="3918" spans="1:14" x14ac:dyDescent="0.25">
      <c r="A3918" s="8">
        <v>984582</v>
      </c>
      <c r="B3918" s="22" t="str">
        <f>IFERROR(VLOOKUP(A3918,VLOOKUPS!$A$2:B$12589,2,FALSE),"")</f>
        <v>Organic Blueberries 1pt-standard</v>
      </c>
      <c r="E3918">
        <v>4.72</v>
      </c>
      <c r="F3918">
        <v>3.07</v>
      </c>
      <c r="G3918" s="13">
        <v>44657</v>
      </c>
      <c r="H3918" s="13">
        <v>44658</v>
      </c>
      <c r="I3918" s="22" t="str">
        <f>VLOOKUP(J3918, Dropdowns!N:O, 2, FALSE)</f>
        <v>Lower Price</v>
      </c>
      <c r="J3918" t="s">
        <v>759</v>
      </c>
      <c r="L3918" s="17" t="s">
        <v>733</v>
      </c>
      <c r="M3918" s="17" t="s">
        <v>10</v>
      </c>
      <c r="N3918" s="17" t="s">
        <v>740</v>
      </c>
    </row>
    <row r="3919" spans="1:14" x14ac:dyDescent="0.25">
      <c r="A3919" s="8">
        <v>984582</v>
      </c>
      <c r="B3919" s="22" t="str">
        <f>IFERROR(VLOOKUP(A3919,VLOOKUPS!$A$2:B$12589,2,FALSE),"")</f>
        <v>Organic Blueberries 1pt-standard</v>
      </c>
      <c r="E3919">
        <v>3.07</v>
      </c>
      <c r="F3919">
        <v>4.72</v>
      </c>
      <c r="G3919" s="13">
        <v>44659</v>
      </c>
      <c r="H3919" s="13"/>
      <c r="I3919" s="22" t="str">
        <f>VLOOKUP(J3919, Dropdowns!N:O, 2, FALSE)</f>
        <v>Standard</v>
      </c>
      <c r="J3919" t="s">
        <v>760</v>
      </c>
      <c r="L3919" s="17" t="s">
        <v>733</v>
      </c>
      <c r="M3919" s="17" t="s">
        <v>10</v>
      </c>
      <c r="N3919" s="17" t="s">
        <v>740</v>
      </c>
    </row>
    <row r="3920" spans="1:14" x14ac:dyDescent="0.25">
      <c r="A3920" s="8">
        <v>984621</v>
      </c>
      <c r="B3920" s="22" t="str">
        <f>IFERROR(VLOOKUP(A3920,VLOOKUPS!$A$2:B$12589,2,FALSE),"")</f>
        <v>Raspberries 12oz-standard</v>
      </c>
      <c r="E3920">
        <v>5.62</v>
      </c>
      <c r="F3920">
        <v>3.65</v>
      </c>
      <c r="G3920" s="13">
        <v>44657</v>
      </c>
      <c r="H3920" s="13">
        <v>44658</v>
      </c>
      <c r="I3920" s="22" t="str">
        <f>VLOOKUP(J3920, Dropdowns!N:O, 2, FALSE)</f>
        <v>Lower Price</v>
      </c>
      <c r="J3920" t="s">
        <v>759</v>
      </c>
      <c r="L3920" s="17" t="s">
        <v>733</v>
      </c>
      <c r="M3920" s="17" t="s">
        <v>9</v>
      </c>
      <c r="N3920" s="17" t="s">
        <v>740</v>
      </c>
    </row>
    <row r="3921" spans="1:14" x14ac:dyDescent="0.25">
      <c r="A3921" s="8">
        <v>984621</v>
      </c>
      <c r="B3921" s="22" t="str">
        <f>IFERROR(VLOOKUP(A3921,VLOOKUPS!$A$2:B$12589,2,FALSE),"")</f>
        <v>Raspberries 12oz-standard</v>
      </c>
      <c r="E3921">
        <v>3.65</v>
      </c>
      <c r="F3921">
        <v>5.62</v>
      </c>
      <c r="G3921" s="13">
        <v>44659</v>
      </c>
      <c r="H3921" s="13"/>
      <c r="I3921" s="22" t="str">
        <f>VLOOKUP(J3921, Dropdowns!N:O, 2, FALSE)</f>
        <v>Standard</v>
      </c>
      <c r="J3921" t="s">
        <v>760</v>
      </c>
      <c r="L3921" s="17" t="s">
        <v>733</v>
      </c>
      <c r="M3921" s="17" t="s">
        <v>9</v>
      </c>
      <c r="N3921" s="17" t="s">
        <v>740</v>
      </c>
    </row>
    <row r="3922" spans="1:14" x14ac:dyDescent="0.25">
      <c r="A3922" s="8">
        <v>984620</v>
      </c>
      <c r="B3922" s="22" t="str">
        <f>IFERROR(VLOOKUP(A3922,VLOOKUPS!$A$2:B$12589,2,FALSE),"")</f>
        <v>Raspberries 6oz-standard</v>
      </c>
      <c r="E3922">
        <v>0.99</v>
      </c>
      <c r="F3922">
        <v>3.2</v>
      </c>
      <c r="G3922" s="13">
        <v>44657</v>
      </c>
      <c r="H3922" s="13"/>
      <c r="I3922" s="22" t="str">
        <f>VLOOKUP(J3922, Dropdowns!N:O, 2, FALSE)</f>
        <v>Standard</v>
      </c>
      <c r="J3922" t="s">
        <v>760</v>
      </c>
      <c r="L3922" s="17" t="s">
        <v>732</v>
      </c>
      <c r="M3922" s="17" t="s">
        <v>9</v>
      </c>
      <c r="N3922" s="17" t="s">
        <v>736</v>
      </c>
    </row>
    <row r="3923" spans="1:14" x14ac:dyDescent="0.25">
      <c r="A3923" s="8">
        <v>995067</v>
      </c>
      <c r="B3923" s="22" t="str">
        <f>IFERROR(VLOOKUP(A3923,VLOOKUPS!$A$2:B$12589,2,FALSE),"")</f>
        <v>Organic Baby Arugula 5oz-standard</v>
      </c>
      <c r="E3923">
        <v>2.98</v>
      </c>
      <c r="F3923">
        <v>1.94</v>
      </c>
      <c r="G3923" s="13">
        <v>44657</v>
      </c>
      <c r="H3923" s="13">
        <v>44658</v>
      </c>
      <c r="I3923" s="22" t="str">
        <f>VLOOKUP(J3923, Dropdowns!N:O, 2, FALSE)</f>
        <v>Lower Price</v>
      </c>
      <c r="J3923" t="s">
        <v>759</v>
      </c>
      <c r="L3923" s="17" t="s">
        <v>733</v>
      </c>
      <c r="M3923" s="17" t="s">
        <v>11</v>
      </c>
      <c r="N3923" s="17" t="s">
        <v>740</v>
      </c>
    </row>
    <row r="3924" spans="1:14" x14ac:dyDescent="0.25">
      <c r="A3924" s="8">
        <v>995067</v>
      </c>
      <c r="B3924" s="22" t="str">
        <f>IFERROR(VLOOKUP(A3924,VLOOKUPS!$A$2:B$12589,2,FALSE),"")</f>
        <v>Organic Baby Arugula 5oz-standard</v>
      </c>
      <c r="E3924">
        <v>1.94</v>
      </c>
      <c r="F3924">
        <v>2.98</v>
      </c>
      <c r="G3924" s="13">
        <v>44659</v>
      </c>
      <c r="H3924" s="13"/>
      <c r="I3924" s="22" t="str">
        <f>VLOOKUP(J3924, Dropdowns!N:O, 2, FALSE)</f>
        <v>Standard</v>
      </c>
      <c r="J3924" t="s">
        <v>760</v>
      </c>
      <c r="L3924" s="17" t="s">
        <v>733</v>
      </c>
      <c r="M3924" s="17" t="s">
        <v>11</v>
      </c>
      <c r="N3924" s="17" t="s">
        <v>740</v>
      </c>
    </row>
    <row r="3925" spans="1:14" x14ac:dyDescent="0.25">
      <c r="A3925" s="8">
        <v>995123</v>
      </c>
      <c r="B3925" s="22" t="str">
        <f>IFERROR(VLOOKUP(A3925,VLOOKUPS!$A$2:B$12589,2,FALSE),"")</f>
        <v>Vegetable Medley 12oz-standard</v>
      </c>
      <c r="E3925">
        <v>2.78</v>
      </c>
      <c r="F3925">
        <v>1.39</v>
      </c>
      <c r="G3925" s="13">
        <v>44657</v>
      </c>
      <c r="H3925" s="13">
        <v>44658</v>
      </c>
      <c r="I3925" s="22" t="str">
        <f>VLOOKUP(J3925, Dropdowns!N:O, 2, FALSE)</f>
        <v>Lower Price</v>
      </c>
      <c r="J3925" t="s">
        <v>759</v>
      </c>
      <c r="L3925" s="17" t="s">
        <v>733</v>
      </c>
      <c r="M3925" s="17" t="s">
        <v>10</v>
      </c>
      <c r="N3925" s="17" t="s">
        <v>740</v>
      </c>
    </row>
    <row r="3926" spans="1:14" x14ac:dyDescent="0.25">
      <c r="A3926" s="8">
        <v>995123</v>
      </c>
      <c r="B3926" s="22" t="str">
        <f>IFERROR(VLOOKUP(A3926,VLOOKUPS!$A$2:B$12589,2,FALSE),"")</f>
        <v>Vegetable Medley 12oz-standard</v>
      </c>
      <c r="E3926">
        <v>1.39</v>
      </c>
      <c r="F3926">
        <v>2.78</v>
      </c>
      <c r="G3926" s="13">
        <v>44659</v>
      </c>
      <c r="H3926" s="13"/>
      <c r="I3926" s="22" t="str">
        <f>VLOOKUP(J3926, Dropdowns!N:O, 2, FALSE)</f>
        <v>Standard</v>
      </c>
      <c r="J3926" t="s">
        <v>760</v>
      </c>
      <c r="L3926" s="17" t="s">
        <v>733</v>
      </c>
      <c r="M3926" s="17" t="s">
        <v>10</v>
      </c>
      <c r="N3926" s="17" t="s">
        <v>740</v>
      </c>
    </row>
    <row r="3927" spans="1:14" x14ac:dyDescent="0.25">
      <c r="A3927" s="8">
        <v>995144</v>
      </c>
      <c r="B3927" s="22" t="str">
        <f>IFERROR(VLOOKUP(A3927,VLOOKUPS!$A$2:B$12589,2,FALSE),"")</f>
        <v>Asparagus Spears 10oz-standard</v>
      </c>
      <c r="E3927">
        <v>4.18</v>
      </c>
      <c r="F3927">
        <v>2.72</v>
      </c>
      <c r="G3927" s="13">
        <v>44657</v>
      </c>
      <c r="H3927" s="13">
        <v>44658</v>
      </c>
      <c r="I3927" s="22" t="str">
        <f>VLOOKUP(J3927, Dropdowns!N:O, 2, FALSE)</f>
        <v>Lower Price</v>
      </c>
      <c r="J3927" t="s">
        <v>759</v>
      </c>
      <c r="L3927" s="17" t="s">
        <v>733</v>
      </c>
      <c r="M3927" s="17" t="s">
        <v>10</v>
      </c>
      <c r="N3927" s="17" t="s">
        <v>740</v>
      </c>
    </row>
    <row r="3928" spans="1:14" x14ac:dyDescent="0.25">
      <c r="A3928" s="8">
        <v>995144</v>
      </c>
      <c r="B3928" s="22" t="str">
        <f>IFERROR(VLOOKUP(A3928,VLOOKUPS!$A$2:B$12589,2,FALSE),"")</f>
        <v>Asparagus Spears 10oz-standard</v>
      </c>
      <c r="E3928">
        <v>2.72</v>
      </c>
      <c r="F3928">
        <v>4.18</v>
      </c>
      <c r="G3928" s="13">
        <v>44659</v>
      </c>
      <c r="H3928" s="13"/>
      <c r="I3928" s="22" t="str">
        <f>VLOOKUP(J3928, Dropdowns!N:O, 2, FALSE)</f>
        <v>Standard</v>
      </c>
      <c r="J3928" t="s">
        <v>760</v>
      </c>
      <c r="L3928" s="17" t="s">
        <v>733</v>
      </c>
      <c r="M3928" s="17" t="s">
        <v>10</v>
      </c>
      <c r="N3928" s="17" t="s">
        <v>740</v>
      </c>
    </row>
    <row r="3929" spans="1:14" x14ac:dyDescent="0.25">
      <c r="A3929" s="8">
        <v>982740</v>
      </c>
      <c r="B3929" s="22" t="str">
        <f>IFERROR(VLOOKUP(A3929,VLOOKUPS!$A$2:B$12589,2,FALSE),"")</f>
        <v>Grapes* Red Seedless 1lb-LOOSE</v>
      </c>
      <c r="G3929" s="13">
        <v>44657</v>
      </c>
      <c r="H3929" s="13">
        <v>44657</v>
      </c>
      <c r="I3929" s="22" t="str">
        <f>VLOOKUP(J3929, Dropdowns!N:O, 2, FALSE)</f>
        <v>Lower Price</v>
      </c>
      <c r="J3929" t="s">
        <v>1081</v>
      </c>
      <c r="L3929" s="17" t="s">
        <v>733</v>
      </c>
      <c r="M3929" s="17" t="s">
        <v>11</v>
      </c>
      <c r="N3929" s="17" t="s">
        <v>740</v>
      </c>
    </row>
    <row r="3930" spans="1:14" x14ac:dyDescent="0.25">
      <c r="A3930" s="8">
        <v>982740</v>
      </c>
      <c r="B3930" s="22" t="str">
        <f>IFERROR(VLOOKUP(A3930,VLOOKUPS!$A$2:B$12589,2,FALSE),"")</f>
        <v>Grapes* Red Seedless 1lb-LOOSE</v>
      </c>
      <c r="E3930">
        <v>1.29</v>
      </c>
      <c r="F3930">
        <v>1.88</v>
      </c>
      <c r="G3930" s="13">
        <v>44657</v>
      </c>
      <c r="H3930" s="13"/>
      <c r="I3930" s="22" t="str">
        <f>VLOOKUP(J3930, Dropdowns!N:O, 2, FALSE)</f>
        <v>Standard</v>
      </c>
      <c r="J3930" t="s">
        <v>760</v>
      </c>
      <c r="L3930" s="17" t="s">
        <v>732</v>
      </c>
      <c r="M3930" s="17" t="s">
        <v>735</v>
      </c>
      <c r="N3930" s="17" t="s">
        <v>736</v>
      </c>
    </row>
    <row r="3931" spans="1:14" x14ac:dyDescent="0.25">
      <c r="A3931" s="8">
        <v>982830</v>
      </c>
      <c r="B3931" s="22" t="str">
        <f>IFERROR(VLOOKUP(A3931,VLOOKUPS!$A$2:B$12589,2,FALSE),"")</f>
        <v>Grapes* Black Seedless 1lb-LOOSE</v>
      </c>
      <c r="E3931">
        <v>1.88</v>
      </c>
      <c r="F3931">
        <v>1.22</v>
      </c>
      <c r="G3931" s="13">
        <v>44657</v>
      </c>
      <c r="H3931" s="13">
        <v>44658</v>
      </c>
      <c r="I3931" s="22" t="str">
        <f>VLOOKUP(J3931, Dropdowns!N:O, 2, FALSE)</f>
        <v>Lower Price</v>
      </c>
      <c r="J3931" t="s">
        <v>759</v>
      </c>
      <c r="L3931" s="17" t="s">
        <v>733</v>
      </c>
      <c r="M3931" s="17" t="s">
        <v>735</v>
      </c>
      <c r="N3931" s="17" t="s">
        <v>740</v>
      </c>
    </row>
    <row r="3932" spans="1:14" x14ac:dyDescent="0.25">
      <c r="A3932" s="8">
        <v>982830</v>
      </c>
      <c r="B3932" s="22" t="str">
        <f>IFERROR(VLOOKUP(A3932,VLOOKUPS!$A$2:B$12589,2,FALSE),"")</f>
        <v>Grapes* Black Seedless 1lb-LOOSE</v>
      </c>
      <c r="E3932">
        <v>1.22</v>
      </c>
      <c r="F3932">
        <v>1.88</v>
      </c>
      <c r="G3932" s="13">
        <v>44659</v>
      </c>
      <c r="H3932" s="13"/>
      <c r="I3932" s="22" t="str">
        <f>VLOOKUP(J3932, Dropdowns!N:O, 2, FALSE)</f>
        <v>Standard</v>
      </c>
      <c r="J3932" t="s">
        <v>760</v>
      </c>
      <c r="L3932" s="17" t="s">
        <v>733</v>
      </c>
      <c r="M3932" s="17" t="s">
        <v>735</v>
      </c>
      <c r="N3932" s="17" t="s">
        <v>740</v>
      </c>
    </row>
    <row r="3933" spans="1:14" x14ac:dyDescent="0.25">
      <c r="A3933" s="8">
        <v>983105</v>
      </c>
      <c r="B3933" s="22" t="str">
        <f>IFERROR(VLOOKUP(A3933,VLOOKUPS!$A$2:B$12589,2,FALSE),"")</f>
        <v>Melons Galia 1ct-loose</v>
      </c>
      <c r="E3933">
        <v>3.18</v>
      </c>
      <c r="F3933">
        <v>2.0699999999999998</v>
      </c>
      <c r="G3933" s="13">
        <v>44657</v>
      </c>
      <c r="H3933" s="13">
        <v>44658</v>
      </c>
      <c r="I3933" s="22" t="str">
        <f>VLOOKUP(J3933, Dropdowns!N:O, 2, FALSE)</f>
        <v>Lower Price</v>
      </c>
      <c r="J3933" t="s">
        <v>759</v>
      </c>
      <c r="L3933" s="17" t="s">
        <v>733</v>
      </c>
      <c r="M3933" s="17" t="s">
        <v>735</v>
      </c>
      <c r="N3933" s="17" t="s">
        <v>740</v>
      </c>
    </row>
    <row r="3934" spans="1:14" x14ac:dyDescent="0.25">
      <c r="A3934" s="8">
        <v>983105</v>
      </c>
      <c r="B3934" s="22" t="str">
        <f>IFERROR(VLOOKUP(A3934,VLOOKUPS!$A$2:B$12589,2,FALSE),"")</f>
        <v>Melons Galia 1ct-loose</v>
      </c>
      <c r="E3934">
        <v>2.0699999999999998</v>
      </c>
      <c r="F3934">
        <v>3.18</v>
      </c>
      <c r="G3934" s="13">
        <v>44659</v>
      </c>
      <c r="H3934" s="13"/>
      <c r="I3934" s="22" t="str">
        <f>VLOOKUP(J3934, Dropdowns!N:O, 2, FALSE)</f>
        <v>Standard</v>
      </c>
      <c r="J3934" t="s">
        <v>760</v>
      </c>
      <c r="L3934" s="17" t="s">
        <v>733</v>
      </c>
      <c r="M3934" s="17" t="s">
        <v>735</v>
      </c>
      <c r="N3934" s="17" t="s">
        <v>740</v>
      </c>
    </row>
    <row r="3935" spans="1:14" x14ac:dyDescent="0.25">
      <c r="A3935" s="8">
        <v>995181</v>
      </c>
      <c r="B3935" s="22" t="str">
        <f>IFERROR(VLOOKUP(A3935,VLOOKUPS!$A$2:B$12589,2,FALSE),"")</f>
        <v>Spicy Southwest Salad Bowl 5.9oz-standard</v>
      </c>
      <c r="E3935">
        <v>4.99</v>
      </c>
      <c r="F3935">
        <v>3.24</v>
      </c>
      <c r="G3935" s="13">
        <v>44657</v>
      </c>
      <c r="H3935" s="13">
        <v>44658</v>
      </c>
      <c r="I3935" s="22" t="str">
        <f>VLOOKUP(J3935, Dropdowns!N:O, 2, FALSE)</f>
        <v>Lower Price</v>
      </c>
      <c r="J3935" t="s">
        <v>759</v>
      </c>
      <c r="L3935" s="17" t="s">
        <v>733</v>
      </c>
      <c r="M3935" s="17" t="s">
        <v>735</v>
      </c>
      <c r="N3935" s="17" t="s">
        <v>740</v>
      </c>
    </row>
    <row r="3936" spans="1:14" x14ac:dyDescent="0.25">
      <c r="A3936" s="8">
        <v>995181</v>
      </c>
      <c r="B3936" s="22" t="str">
        <f>IFERROR(VLOOKUP(A3936,VLOOKUPS!$A$2:B$12589,2,FALSE),"")</f>
        <v>Spicy Southwest Salad Bowl 5.9oz-standard</v>
      </c>
      <c r="E3936">
        <v>3.24</v>
      </c>
      <c r="F3936">
        <v>4.99</v>
      </c>
      <c r="G3936" s="13">
        <v>44659</v>
      </c>
      <c r="H3936" s="13"/>
      <c r="I3936" s="22" t="str">
        <f>VLOOKUP(J3936, Dropdowns!N:O, 2, FALSE)</f>
        <v>Standard</v>
      </c>
      <c r="J3936" t="s">
        <v>760</v>
      </c>
      <c r="L3936" s="17" t="s">
        <v>733</v>
      </c>
      <c r="M3936" s="17" t="s">
        <v>735</v>
      </c>
      <c r="N3936" s="17" t="s">
        <v>740</v>
      </c>
    </row>
    <row r="3937" spans="1:14" x14ac:dyDescent="0.25">
      <c r="A3937" s="8">
        <v>987560</v>
      </c>
      <c r="B3937" s="22" t="str">
        <f>IFERROR(VLOOKUP(A3937,VLOOKUPS!$A$2:B$12589,2,FALSE),"")</f>
        <v>Celery 1ct-standard</v>
      </c>
      <c r="E3937">
        <v>1.64</v>
      </c>
      <c r="F3937">
        <v>1.07</v>
      </c>
      <c r="G3937" s="13">
        <v>44658</v>
      </c>
      <c r="H3937" s="13">
        <v>44659</v>
      </c>
      <c r="I3937" s="22" t="str">
        <f>VLOOKUP(J3937, Dropdowns!N:O, 2, FALSE)</f>
        <v>Lower Price</v>
      </c>
      <c r="J3937" t="s">
        <v>759</v>
      </c>
      <c r="L3937" s="17" t="s">
        <v>733</v>
      </c>
      <c r="M3937" s="17" t="s">
        <v>738</v>
      </c>
      <c r="N3937" s="17" t="s">
        <v>740</v>
      </c>
    </row>
    <row r="3938" spans="1:14" x14ac:dyDescent="0.25">
      <c r="A3938" s="8">
        <v>987560</v>
      </c>
      <c r="B3938" s="22" t="str">
        <f>IFERROR(VLOOKUP(A3938,VLOOKUPS!$A$2:B$12589,2,FALSE),"")</f>
        <v>Celery 1ct-standard</v>
      </c>
      <c r="E3938">
        <v>1.07</v>
      </c>
      <c r="F3938">
        <v>1.64</v>
      </c>
      <c r="G3938" s="13">
        <v>44660</v>
      </c>
      <c r="H3938" s="13"/>
      <c r="I3938" s="22" t="str">
        <f>VLOOKUP(J3938, Dropdowns!N:O, 2, FALSE)</f>
        <v>Standard</v>
      </c>
      <c r="J3938" t="s">
        <v>760</v>
      </c>
      <c r="L3938" s="17" t="s">
        <v>733</v>
      </c>
      <c r="M3938" s="17" t="s">
        <v>738</v>
      </c>
      <c r="N3938" s="17" t="s">
        <v>740</v>
      </c>
    </row>
    <row r="3939" spans="1:14" x14ac:dyDescent="0.25">
      <c r="A3939" s="8">
        <v>995006</v>
      </c>
      <c r="B3939" s="22" t="str">
        <f>IFERROR(VLOOKUP(A3939,VLOOKUPS!$A$2:B$12589,2,FALSE),"")</f>
        <v>Italian Salad 9oz-standard</v>
      </c>
      <c r="E3939">
        <v>2.29</v>
      </c>
      <c r="F3939">
        <v>1.49</v>
      </c>
      <c r="G3939" s="13">
        <v>44658</v>
      </c>
      <c r="H3939" s="13">
        <v>44659</v>
      </c>
      <c r="I3939" s="22" t="str">
        <f>VLOOKUP(J3939, Dropdowns!N:O, 2, FALSE)</f>
        <v>Lower Price</v>
      </c>
      <c r="J3939" t="s">
        <v>759</v>
      </c>
      <c r="L3939" s="17" t="s">
        <v>733</v>
      </c>
      <c r="M3939" s="17" t="s">
        <v>10</v>
      </c>
      <c r="N3939" s="17" t="s">
        <v>740</v>
      </c>
    </row>
    <row r="3940" spans="1:14" x14ac:dyDescent="0.25">
      <c r="A3940" s="8">
        <v>995006</v>
      </c>
      <c r="B3940" s="22" t="str">
        <f>IFERROR(VLOOKUP(A3940,VLOOKUPS!$A$2:B$12589,2,FALSE),"")</f>
        <v>Italian Salad 9oz-standard</v>
      </c>
      <c r="E3940">
        <v>1.49</v>
      </c>
      <c r="F3940">
        <v>2.29</v>
      </c>
      <c r="G3940" s="13">
        <v>44660</v>
      </c>
      <c r="H3940" s="13"/>
      <c r="I3940" s="22" t="str">
        <f>VLOOKUP(J3940, Dropdowns!N:O, 2, FALSE)</f>
        <v>Standard</v>
      </c>
      <c r="J3940" t="s">
        <v>760</v>
      </c>
      <c r="L3940" s="17" t="s">
        <v>733</v>
      </c>
      <c r="M3940" s="17" t="s">
        <v>10</v>
      </c>
      <c r="N3940" s="17" t="s">
        <v>740</v>
      </c>
    </row>
    <row r="3941" spans="1:14" x14ac:dyDescent="0.25">
      <c r="A3941" s="8">
        <v>995035</v>
      </c>
      <c r="B3941" s="22" t="str">
        <f>IFERROR(VLOOKUP(A3941,VLOOKUPS!$A$2:B$12589,2,FALSE),"")</f>
        <v>Kale Greens 16oz-standard</v>
      </c>
      <c r="E3941">
        <v>2.99</v>
      </c>
      <c r="F3941">
        <v>1.94</v>
      </c>
      <c r="G3941" s="13">
        <v>44658</v>
      </c>
      <c r="H3941" s="13">
        <v>44659</v>
      </c>
      <c r="I3941" s="22" t="str">
        <f>VLOOKUP(J3941, Dropdowns!N:O, 2, FALSE)</f>
        <v>Lower Price</v>
      </c>
      <c r="J3941" t="s">
        <v>759</v>
      </c>
      <c r="L3941" s="17" t="s">
        <v>733</v>
      </c>
      <c r="M3941" s="17" t="s">
        <v>738</v>
      </c>
      <c r="N3941" s="17" t="s">
        <v>740</v>
      </c>
    </row>
    <row r="3942" spans="1:14" x14ac:dyDescent="0.25">
      <c r="A3942" s="8">
        <v>995035</v>
      </c>
      <c r="B3942" s="22" t="str">
        <f>IFERROR(VLOOKUP(A3942,VLOOKUPS!$A$2:B$12589,2,FALSE),"")</f>
        <v>Kale Greens 16oz-standard</v>
      </c>
      <c r="E3942">
        <v>1.94</v>
      </c>
      <c r="F3942">
        <v>2.99</v>
      </c>
      <c r="G3942" s="13">
        <v>44660</v>
      </c>
      <c r="H3942" s="13"/>
      <c r="I3942" s="22" t="str">
        <f>VLOOKUP(J3942, Dropdowns!N:O, 2, FALSE)</f>
        <v>Standard</v>
      </c>
      <c r="J3942" t="s">
        <v>760</v>
      </c>
      <c r="L3942" s="17" t="s">
        <v>733</v>
      </c>
      <c r="M3942" s="17" t="s">
        <v>738</v>
      </c>
      <c r="N3942" s="17" t="s">
        <v>740</v>
      </c>
    </row>
    <row r="3943" spans="1:14" x14ac:dyDescent="0.25">
      <c r="A3943" s="8">
        <v>995068</v>
      </c>
      <c r="B3943" s="22" t="str">
        <f>IFERROR(VLOOKUP(A3943,VLOOKUPS!$A$2:B$12589,2,FALSE),"")</f>
        <v>Organic Half and Half 5oz-standard</v>
      </c>
      <c r="E3943">
        <v>2.75</v>
      </c>
      <c r="F3943">
        <v>1.79</v>
      </c>
      <c r="G3943" s="13">
        <v>44658</v>
      </c>
      <c r="H3943" s="13">
        <v>44659</v>
      </c>
      <c r="I3943" s="22" t="str">
        <f>VLOOKUP(J3943, Dropdowns!N:O, 2, FALSE)</f>
        <v>Lower Price</v>
      </c>
      <c r="J3943" t="s">
        <v>759</v>
      </c>
      <c r="L3943" s="17" t="s">
        <v>733</v>
      </c>
      <c r="M3943" s="17" t="s">
        <v>11</v>
      </c>
      <c r="N3943" s="17" t="s">
        <v>740</v>
      </c>
    </row>
    <row r="3944" spans="1:14" x14ac:dyDescent="0.25">
      <c r="A3944" s="8">
        <v>995068</v>
      </c>
      <c r="B3944" s="22" t="str">
        <f>IFERROR(VLOOKUP(A3944,VLOOKUPS!$A$2:B$12589,2,FALSE),"")</f>
        <v>Organic Half and Half 5oz-standard</v>
      </c>
      <c r="E3944">
        <v>1.79</v>
      </c>
      <c r="F3944">
        <v>2.75</v>
      </c>
      <c r="G3944" s="13">
        <v>44660</v>
      </c>
      <c r="H3944" s="13"/>
      <c r="I3944" s="22" t="str">
        <f>VLOOKUP(J3944, Dropdowns!N:O, 2, FALSE)</f>
        <v>Standard</v>
      </c>
      <c r="J3944" t="s">
        <v>760</v>
      </c>
      <c r="L3944" s="17" t="s">
        <v>733</v>
      </c>
      <c r="M3944" s="17" t="s">
        <v>11</v>
      </c>
      <c r="N3944" s="17" t="s">
        <v>740</v>
      </c>
    </row>
    <row r="3945" spans="1:14" x14ac:dyDescent="0.25">
      <c r="A3945" s="8">
        <v>995104</v>
      </c>
      <c r="B3945" s="22" t="str">
        <f>IFERROR(VLOOKUP(A3945,VLOOKUPS!$A$2:B$12589,2,FALSE),"")</f>
        <v>Ginger Garlic Stir Fry Kit 14oz-standard</v>
      </c>
      <c r="E3945">
        <v>2.98</v>
      </c>
      <c r="F3945">
        <v>1.94</v>
      </c>
      <c r="G3945" s="13">
        <v>44658</v>
      </c>
      <c r="H3945" s="13">
        <v>44659</v>
      </c>
      <c r="I3945" s="22" t="str">
        <f>VLOOKUP(J3945, Dropdowns!N:O, 2, FALSE)</f>
        <v>Lower Price</v>
      </c>
      <c r="J3945" t="s">
        <v>759</v>
      </c>
      <c r="L3945" s="17" t="s">
        <v>733</v>
      </c>
      <c r="M3945" s="17" t="s">
        <v>9</v>
      </c>
      <c r="N3945" s="17" t="s">
        <v>740</v>
      </c>
    </row>
    <row r="3946" spans="1:14" x14ac:dyDescent="0.25">
      <c r="A3946" s="8">
        <v>995104</v>
      </c>
      <c r="B3946" s="22" t="str">
        <f>IFERROR(VLOOKUP(A3946,VLOOKUPS!$A$2:B$12589,2,FALSE),"")</f>
        <v>Ginger Garlic Stir Fry Kit 14oz-standard</v>
      </c>
      <c r="E3946">
        <v>1.94</v>
      </c>
      <c r="F3946">
        <v>2.98</v>
      </c>
      <c r="G3946" s="13">
        <v>44660</v>
      </c>
      <c r="H3946" s="13"/>
      <c r="I3946" s="22" t="str">
        <f>VLOOKUP(J3946, Dropdowns!N:O, 2, FALSE)</f>
        <v>Standard</v>
      </c>
      <c r="J3946" t="s">
        <v>760</v>
      </c>
      <c r="L3946" s="17" t="s">
        <v>733</v>
      </c>
      <c r="M3946" s="17" t="s">
        <v>9</v>
      </c>
      <c r="N3946" s="17" t="s">
        <v>740</v>
      </c>
    </row>
    <row r="3947" spans="1:14" x14ac:dyDescent="0.25">
      <c r="A3947" s="8">
        <v>983201</v>
      </c>
      <c r="B3947" s="22" t="str">
        <f>IFERROR(VLOOKUP(A3947,VLOOKUPS!$A$2:B$12589,2,FALSE),"")</f>
        <v>Melons* Honeydew 1ct-LOOSE</v>
      </c>
      <c r="E3947">
        <v>3.98</v>
      </c>
      <c r="F3947">
        <v>2.59</v>
      </c>
      <c r="G3947" s="13">
        <v>44658</v>
      </c>
      <c r="H3947" s="13">
        <v>44659</v>
      </c>
      <c r="I3947" s="22" t="str">
        <f>VLOOKUP(J3947, Dropdowns!N:O, 2, FALSE)</f>
        <v>Lower Price</v>
      </c>
      <c r="J3947" t="s">
        <v>759</v>
      </c>
      <c r="L3947" s="17" t="s">
        <v>733</v>
      </c>
      <c r="M3947" s="17" t="s">
        <v>10</v>
      </c>
      <c r="N3947" s="17" t="s">
        <v>740</v>
      </c>
    </row>
    <row r="3948" spans="1:14" x14ac:dyDescent="0.25">
      <c r="A3948" s="8">
        <v>983201</v>
      </c>
      <c r="B3948" s="22" t="str">
        <f>IFERROR(VLOOKUP(A3948,VLOOKUPS!$A$2:B$12589,2,FALSE),"")</f>
        <v>Melons* Honeydew 1ct-LOOSE</v>
      </c>
      <c r="E3948">
        <v>2.59</v>
      </c>
      <c r="F3948">
        <v>3.98</v>
      </c>
      <c r="G3948" s="13">
        <v>44660</v>
      </c>
      <c r="H3948" s="13"/>
      <c r="I3948" s="22" t="str">
        <f>VLOOKUP(J3948, Dropdowns!N:O, 2, FALSE)</f>
        <v>Standard</v>
      </c>
      <c r="J3948" t="s">
        <v>760</v>
      </c>
      <c r="L3948" s="17" t="s">
        <v>733</v>
      </c>
      <c r="M3948" s="17" t="s">
        <v>10</v>
      </c>
      <c r="N3948" s="17" t="s">
        <v>740</v>
      </c>
    </row>
    <row r="3949" spans="1:14" x14ac:dyDescent="0.25">
      <c r="A3949" s="8">
        <v>982650</v>
      </c>
      <c r="B3949" s="22" t="str">
        <f>IFERROR(VLOOKUP(A3949,VLOOKUPS!$A$2:B$12589,2,FALSE),"")</f>
        <v>Grapes* Green Seedless 1lb-LOOSE</v>
      </c>
      <c r="E3949">
        <v>1.98</v>
      </c>
      <c r="F3949">
        <v>1.59</v>
      </c>
      <c r="G3949" s="13">
        <v>44658</v>
      </c>
      <c r="H3949" s="13">
        <v>44659</v>
      </c>
      <c r="I3949" s="22" t="str">
        <f>VLOOKUP(J3949, Dropdowns!N:O, 2, FALSE)</f>
        <v>Lower Price</v>
      </c>
      <c r="J3949" t="s">
        <v>759</v>
      </c>
      <c r="L3949" s="17" t="s">
        <v>733</v>
      </c>
      <c r="M3949" s="17" t="s">
        <v>738</v>
      </c>
      <c r="N3949" s="17" t="s">
        <v>740</v>
      </c>
    </row>
    <row r="3950" spans="1:14" x14ac:dyDescent="0.25">
      <c r="A3950" s="8">
        <v>982650</v>
      </c>
      <c r="B3950" s="22" t="str">
        <f>IFERROR(VLOOKUP(A3950,VLOOKUPS!$A$2:B$12589,2,FALSE),"")</f>
        <v>Grapes* Green Seedless 1lb-LOOSE</v>
      </c>
      <c r="E3950">
        <v>1.59</v>
      </c>
      <c r="F3950">
        <v>1.98</v>
      </c>
      <c r="G3950" s="13">
        <v>44660</v>
      </c>
      <c r="H3950" s="13"/>
      <c r="I3950" s="22" t="str">
        <f>VLOOKUP(J3950, Dropdowns!N:O, 2, FALSE)</f>
        <v>Standard</v>
      </c>
      <c r="J3950" t="s">
        <v>760</v>
      </c>
      <c r="L3950" s="17" t="s">
        <v>733</v>
      </c>
      <c r="M3950" s="17" t="s">
        <v>737</v>
      </c>
      <c r="N3950" s="17" t="s">
        <v>740</v>
      </c>
    </row>
    <row r="3951" spans="1:14" x14ac:dyDescent="0.25">
      <c r="A3951" s="8">
        <v>982740</v>
      </c>
      <c r="B3951" s="22" t="str">
        <f>IFERROR(VLOOKUP(A3951,VLOOKUPS!$A$2:B$12589,2,FALSE),"")</f>
        <v>Grapes* Red Seedless 1lb-LOOSE</v>
      </c>
      <c r="G3951" s="13">
        <v>44658</v>
      </c>
      <c r="H3951" s="13">
        <v>44658</v>
      </c>
      <c r="I3951" s="22" t="str">
        <f>VLOOKUP(J3951, Dropdowns!N:O, 2, FALSE)</f>
        <v>Lower Price</v>
      </c>
      <c r="J3951" t="s">
        <v>762</v>
      </c>
      <c r="L3951" s="17" t="s">
        <v>733</v>
      </c>
      <c r="M3951" s="17" t="s">
        <v>11</v>
      </c>
      <c r="N3951" s="17" t="s">
        <v>740</v>
      </c>
    </row>
    <row r="3952" spans="1:14" x14ac:dyDescent="0.25">
      <c r="A3952" s="8">
        <v>984541</v>
      </c>
      <c r="B3952" s="22" t="str">
        <f>IFERROR(VLOOKUP(A3952,VLOOKUPS!$A$2:B$12589,2,FALSE),"")</f>
        <v>Blueberries 1pt-standard</v>
      </c>
      <c r="E3952">
        <v>2.99</v>
      </c>
      <c r="F3952">
        <v>4.37</v>
      </c>
      <c r="G3952" s="13">
        <v>44659</v>
      </c>
      <c r="H3952" s="13"/>
      <c r="I3952" s="22" t="str">
        <f>VLOOKUP(J3952, Dropdowns!N:O, 2, FALSE)</f>
        <v>Standard</v>
      </c>
      <c r="J3952" t="s">
        <v>761</v>
      </c>
      <c r="L3952" s="17" t="s">
        <v>733</v>
      </c>
      <c r="M3952" s="17" t="s">
        <v>737</v>
      </c>
      <c r="N3952" s="17" t="s">
        <v>740</v>
      </c>
    </row>
    <row r="3953" spans="1:14" x14ac:dyDescent="0.25">
      <c r="A3953" s="8">
        <v>984541</v>
      </c>
      <c r="B3953" s="22" t="str">
        <f>IFERROR(VLOOKUP(A3953,VLOOKUPS!$A$2:B$12589,2,FALSE),"")</f>
        <v>Blueberries 1pt-standard</v>
      </c>
      <c r="E3953">
        <v>2.99</v>
      </c>
      <c r="F3953">
        <v>4.37</v>
      </c>
      <c r="G3953" s="13">
        <v>44660</v>
      </c>
      <c r="H3953" s="13"/>
      <c r="I3953" s="22" t="str">
        <f>VLOOKUP(J3953, Dropdowns!N:O, 2, FALSE)</f>
        <v>Standard</v>
      </c>
      <c r="J3953" t="s">
        <v>761</v>
      </c>
      <c r="L3953" s="17" t="s">
        <v>733</v>
      </c>
      <c r="M3953" s="17" t="s">
        <v>10</v>
      </c>
      <c r="N3953" s="17" t="s">
        <v>740</v>
      </c>
    </row>
    <row r="3954" spans="1:14" x14ac:dyDescent="0.25">
      <c r="A3954" s="8">
        <v>984542</v>
      </c>
      <c r="B3954" s="22" t="str">
        <f>IFERROR(VLOOKUP(A3954,VLOOKUPS!$A$2:B$12589,2,FALSE),"")</f>
        <v>Blueberries 18oz-standard</v>
      </c>
      <c r="E3954">
        <v>4.12</v>
      </c>
      <c r="F3954">
        <v>6.74</v>
      </c>
      <c r="G3954" s="13">
        <v>44659</v>
      </c>
      <c r="H3954" s="13"/>
      <c r="I3954" s="22" t="str">
        <f>VLOOKUP(J3954, Dropdowns!N:O, 2, FALSE)</f>
        <v>Standard</v>
      </c>
      <c r="J3954" t="s">
        <v>761</v>
      </c>
      <c r="L3954" s="17" t="s">
        <v>733</v>
      </c>
      <c r="M3954" s="17" t="s">
        <v>736</v>
      </c>
      <c r="N3954" s="17" t="s">
        <v>740</v>
      </c>
    </row>
    <row r="3955" spans="1:14" x14ac:dyDescent="0.25">
      <c r="A3955" s="8">
        <v>984582</v>
      </c>
      <c r="B3955" s="22" t="str">
        <f>IFERROR(VLOOKUP(A3955,VLOOKUPS!$A$2:B$12589,2,FALSE),"")</f>
        <v>Organic Blueberries 1pt-standard</v>
      </c>
      <c r="E3955">
        <v>4.72</v>
      </c>
      <c r="F3955">
        <v>5.44</v>
      </c>
      <c r="G3955" s="13">
        <v>44659</v>
      </c>
      <c r="H3955" s="13"/>
      <c r="I3955" s="22" t="str">
        <f>VLOOKUP(J3955, Dropdowns!N:O, 2, FALSE)</f>
        <v>Standard</v>
      </c>
      <c r="J3955" t="s">
        <v>761</v>
      </c>
      <c r="L3955" s="17" t="s">
        <v>733</v>
      </c>
      <c r="M3955" s="17" t="s">
        <v>737</v>
      </c>
      <c r="N3955" s="17" t="s">
        <v>740</v>
      </c>
    </row>
    <row r="3956" spans="1:14" x14ac:dyDescent="0.25">
      <c r="A3956" s="8">
        <v>984582</v>
      </c>
      <c r="B3956" s="22" t="str">
        <f>IFERROR(VLOOKUP(A3956,VLOOKUPS!$A$2:B$12589,2,FALSE),"")</f>
        <v>Organic Blueberries 1pt-standard</v>
      </c>
      <c r="E3956">
        <v>4.72</v>
      </c>
      <c r="F3956">
        <v>5.44</v>
      </c>
      <c r="G3956" s="13">
        <v>44660</v>
      </c>
      <c r="H3956" s="13"/>
      <c r="I3956" s="22" t="str">
        <f>VLOOKUP(J3956, Dropdowns!N:O, 2, FALSE)</f>
        <v>Standard</v>
      </c>
      <c r="J3956" t="s">
        <v>761</v>
      </c>
      <c r="L3956" s="17" t="s">
        <v>733</v>
      </c>
      <c r="M3956" s="17" t="s">
        <v>10</v>
      </c>
      <c r="N3956" s="17" t="s">
        <v>740</v>
      </c>
    </row>
    <row r="3957" spans="1:14" x14ac:dyDescent="0.25">
      <c r="A3957" s="8">
        <v>984700</v>
      </c>
      <c r="B3957" s="22" t="str">
        <f>IFERROR(VLOOKUP(A3957,VLOOKUPS!$A$2:B$12589,2,FALSE),"")</f>
        <v>Blackberries 6oz-standard</v>
      </c>
      <c r="E3957">
        <v>1.96</v>
      </c>
      <c r="F3957">
        <v>2.2400000000000002</v>
      </c>
      <c r="G3957" s="13">
        <v>44659</v>
      </c>
      <c r="H3957" s="13"/>
      <c r="I3957" s="22" t="str">
        <f>VLOOKUP(J3957, Dropdowns!N:O, 2, FALSE)</f>
        <v>Standard</v>
      </c>
      <c r="J3957" t="s">
        <v>761</v>
      </c>
      <c r="L3957" s="17" t="s">
        <v>733</v>
      </c>
      <c r="M3957" s="17" t="s">
        <v>736</v>
      </c>
      <c r="N3957" s="17" t="s">
        <v>740</v>
      </c>
    </row>
    <row r="3958" spans="1:14" x14ac:dyDescent="0.25">
      <c r="A3958" s="8">
        <v>995006</v>
      </c>
      <c r="B3958" s="22" t="str">
        <f>IFERROR(VLOOKUP(A3958,VLOOKUPS!$A$2:B$12589,2,FALSE),"")</f>
        <v>Italian Salad 9oz-standard</v>
      </c>
      <c r="E3958">
        <v>2.29</v>
      </c>
      <c r="F3958">
        <v>2.69</v>
      </c>
      <c r="G3958" s="13">
        <v>44659</v>
      </c>
      <c r="H3958" s="13"/>
      <c r="I3958" s="22" t="str">
        <f>VLOOKUP(J3958, Dropdowns!N:O, 2, FALSE)</f>
        <v>Standard</v>
      </c>
      <c r="J3958" t="s">
        <v>761</v>
      </c>
      <c r="L3958" s="17" t="s">
        <v>733</v>
      </c>
      <c r="M3958" s="17" t="s">
        <v>737</v>
      </c>
      <c r="N3958" s="17" t="s">
        <v>740</v>
      </c>
    </row>
    <row r="3959" spans="1:14" x14ac:dyDescent="0.25">
      <c r="A3959" s="8">
        <v>995006</v>
      </c>
      <c r="B3959" s="22" t="str">
        <f>IFERROR(VLOOKUP(A3959,VLOOKUPS!$A$2:B$12589,2,FALSE),"")</f>
        <v>Italian Salad 9oz-standard</v>
      </c>
      <c r="E3959">
        <v>2.29</v>
      </c>
      <c r="F3959">
        <v>2.69</v>
      </c>
      <c r="G3959" s="13">
        <v>44663</v>
      </c>
      <c r="H3959" s="13"/>
      <c r="I3959" s="22" t="str">
        <f>VLOOKUP(J3959, Dropdowns!N:O, 2, FALSE)</f>
        <v>Standard</v>
      </c>
      <c r="J3959" t="s">
        <v>761</v>
      </c>
      <c r="L3959" s="17" t="s">
        <v>733</v>
      </c>
      <c r="M3959" s="17" t="s">
        <v>10</v>
      </c>
      <c r="N3959" s="17" t="s">
        <v>740</v>
      </c>
    </row>
    <row r="3960" spans="1:14" x14ac:dyDescent="0.25">
      <c r="A3960" s="8">
        <v>995007</v>
      </c>
      <c r="B3960" s="22" t="str">
        <f>IFERROR(VLOOKUP(A3960,VLOOKUPS!$A$2:B$12589,2,FALSE),"")</f>
        <v>Caesar Salad Kit 10.5oz-standard</v>
      </c>
      <c r="E3960">
        <v>2.59</v>
      </c>
      <c r="F3960">
        <v>2.99</v>
      </c>
      <c r="G3960" s="13">
        <v>44659</v>
      </c>
      <c r="H3960" s="13"/>
      <c r="I3960" s="22" t="str">
        <f>VLOOKUP(J3960, Dropdowns!N:O, 2, FALSE)</f>
        <v>Standard</v>
      </c>
      <c r="J3960" t="s">
        <v>761</v>
      </c>
      <c r="L3960" s="17" t="s">
        <v>733</v>
      </c>
      <c r="M3960" s="17" t="s">
        <v>736</v>
      </c>
      <c r="N3960" s="17" t="s">
        <v>740</v>
      </c>
    </row>
    <row r="3961" spans="1:14" x14ac:dyDescent="0.25">
      <c r="A3961" s="8">
        <v>995051</v>
      </c>
      <c r="B3961" s="22" t="str">
        <f>IFERROR(VLOOKUP(A3961,VLOOKUPS!$A$2:B$12589,2,FALSE),"")</f>
        <v>Mild Fresh Chopped Salsa 16oz-standard</v>
      </c>
      <c r="E3961">
        <v>4.79</v>
      </c>
      <c r="F3961">
        <v>5.59</v>
      </c>
      <c r="G3961" s="13">
        <v>44659</v>
      </c>
      <c r="H3961" s="13"/>
      <c r="I3961" s="22" t="str">
        <f>VLOOKUP(J3961, Dropdowns!N:O, 2, FALSE)</f>
        <v>Standard</v>
      </c>
      <c r="J3961" t="s">
        <v>761</v>
      </c>
      <c r="L3961" s="17" t="s">
        <v>733</v>
      </c>
      <c r="M3961" s="17" t="s">
        <v>736</v>
      </c>
      <c r="N3961" s="17" t="s">
        <v>740</v>
      </c>
    </row>
    <row r="3962" spans="1:14" x14ac:dyDescent="0.25">
      <c r="A3962" s="8">
        <v>995053</v>
      </c>
      <c r="B3962" s="22" t="str">
        <f>IFERROR(VLOOKUP(A3962,VLOOKUPS!$A$2:B$12589,2,FALSE),"")</f>
        <v>Fresh Chopped Salsa Pico 16oz-standard</v>
      </c>
      <c r="E3962">
        <v>4.79</v>
      </c>
      <c r="F3962">
        <v>5.59</v>
      </c>
      <c r="G3962" s="13">
        <v>44659</v>
      </c>
      <c r="H3962" s="13"/>
      <c r="I3962" s="22" t="str">
        <f>VLOOKUP(J3962, Dropdowns!N:O, 2, FALSE)</f>
        <v>Standard</v>
      </c>
      <c r="J3962" t="s">
        <v>761</v>
      </c>
      <c r="L3962" s="17" t="s">
        <v>733</v>
      </c>
      <c r="M3962" s="17" t="s">
        <v>736</v>
      </c>
      <c r="N3962" s="17" t="s">
        <v>740</v>
      </c>
    </row>
    <row r="3963" spans="1:14" x14ac:dyDescent="0.25">
      <c r="A3963" s="8">
        <v>984460</v>
      </c>
      <c r="B3963" s="22" t="str">
        <f>IFERROR(VLOOKUP(A3963,VLOOKUPS!$A$2:B$12589,2,FALSE),"")</f>
        <v>Strawberries 1lb-standard</v>
      </c>
      <c r="E3963">
        <v>1.29</v>
      </c>
      <c r="F3963">
        <v>2.58</v>
      </c>
      <c r="G3963" s="13">
        <v>44660</v>
      </c>
      <c r="H3963" s="13"/>
      <c r="I3963" s="22" t="str">
        <f>VLOOKUP(J3963, Dropdowns!N:O, 2, FALSE)</f>
        <v>Standard</v>
      </c>
      <c r="J3963" t="s">
        <v>760</v>
      </c>
      <c r="L3963" s="17" t="s">
        <v>732</v>
      </c>
      <c r="M3963" s="17" t="s">
        <v>10</v>
      </c>
      <c r="N3963" s="17">
        <v>2</v>
      </c>
    </row>
    <row r="3964" spans="1:14" x14ac:dyDescent="0.25">
      <c r="A3964" s="8">
        <v>984621</v>
      </c>
      <c r="B3964" s="22" t="str">
        <f>IFERROR(VLOOKUP(A3964,VLOOKUPS!$A$2:B$12589,2,FALSE),"")</f>
        <v>Raspberries 12oz-standard</v>
      </c>
      <c r="E3964">
        <v>5.62</v>
      </c>
      <c r="F3964">
        <v>2.81</v>
      </c>
      <c r="G3964" s="13">
        <v>44659</v>
      </c>
      <c r="H3964" s="13">
        <v>44660</v>
      </c>
      <c r="I3964" s="22" t="str">
        <f>VLOOKUP(J3964, Dropdowns!N:O, 2, FALSE)</f>
        <v>Lower Price</v>
      </c>
      <c r="J3964" t="s">
        <v>759</v>
      </c>
      <c r="L3964" s="17" t="s">
        <v>733</v>
      </c>
      <c r="M3964" s="17" t="s">
        <v>11</v>
      </c>
      <c r="N3964" s="17" t="s">
        <v>740</v>
      </c>
    </row>
    <row r="3965" spans="1:14" x14ac:dyDescent="0.25">
      <c r="A3965" s="8">
        <v>984621</v>
      </c>
      <c r="B3965" s="22" t="str">
        <f>IFERROR(VLOOKUP(A3965,VLOOKUPS!$A$2:B$12589,2,FALSE),"")</f>
        <v>Raspberries 12oz-standard</v>
      </c>
      <c r="E3965">
        <v>2.81</v>
      </c>
      <c r="F3965">
        <v>5.62</v>
      </c>
      <c r="G3965" s="13">
        <v>44661</v>
      </c>
      <c r="H3965" s="13"/>
      <c r="I3965" s="22" t="str">
        <f>VLOOKUP(J3965, Dropdowns!N:O, 2, FALSE)</f>
        <v>Standard</v>
      </c>
      <c r="J3965" t="s">
        <v>760</v>
      </c>
      <c r="L3965" s="17" t="s">
        <v>733</v>
      </c>
      <c r="M3965" s="17" t="s">
        <v>11</v>
      </c>
      <c r="N3965" s="17" t="s">
        <v>740</v>
      </c>
    </row>
    <row r="3966" spans="1:14" x14ac:dyDescent="0.25">
      <c r="A3966" s="8">
        <v>995010</v>
      </c>
      <c r="B3966" s="22" t="str">
        <f>IFERROR(VLOOKUP(A3966,VLOOKUPS!$A$2:B$12589,2,FALSE),"")</f>
        <v>RTE Turkey Bacon Cobb Salad 7.25oz-standard</v>
      </c>
      <c r="E3966">
        <v>3.12</v>
      </c>
      <c r="F3966">
        <v>2.0299999999999998</v>
      </c>
      <c r="G3966" s="13">
        <v>44659</v>
      </c>
      <c r="H3966" s="13">
        <v>44660</v>
      </c>
      <c r="I3966" s="22" t="str">
        <f>VLOOKUP(J3966, Dropdowns!N:O, 2, FALSE)</f>
        <v>Lower Price</v>
      </c>
      <c r="J3966" t="s">
        <v>759</v>
      </c>
      <c r="L3966" s="17" t="s">
        <v>733</v>
      </c>
      <c r="M3966" s="17" t="s">
        <v>10</v>
      </c>
      <c r="N3966" s="17" t="s">
        <v>740</v>
      </c>
    </row>
    <row r="3967" spans="1:14" x14ac:dyDescent="0.25">
      <c r="A3967" s="8">
        <v>995010</v>
      </c>
      <c r="B3967" s="22" t="str">
        <f>IFERROR(VLOOKUP(A3967,VLOOKUPS!$A$2:B$12589,2,FALSE),"")</f>
        <v>RTE Turkey Bacon Cobb Salad 7.25oz-standard</v>
      </c>
      <c r="E3967">
        <v>2.0299999999999998</v>
      </c>
      <c r="F3967">
        <v>3.12</v>
      </c>
      <c r="G3967" s="13">
        <v>44661</v>
      </c>
      <c r="H3967" s="13"/>
      <c r="I3967" s="22" t="str">
        <f>VLOOKUP(J3967, Dropdowns!N:O, 2, FALSE)</f>
        <v>Standard</v>
      </c>
      <c r="J3967" t="s">
        <v>760</v>
      </c>
      <c r="L3967" s="17" t="s">
        <v>733</v>
      </c>
      <c r="M3967" s="17" t="s">
        <v>10</v>
      </c>
      <c r="N3967" s="17" t="s">
        <v>740</v>
      </c>
    </row>
    <row r="3968" spans="1:14" x14ac:dyDescent="0.25">
      <c r="A3968" s="8">
        <v>995026</v>
      </c>
      <c r="B3968" s="22" t="str">
        <f>IFERROR(VLOOKUP(A3968,VLOOKUPS!$A$2:B$12589,2,FALSE),"")</f>
        <v>Baby Arugula 5oz-standard</v>
      </c>
      <c r="E3968">
        <v>2.29</v>
      </c>
      <c r="F3968">
        <v>1.49</v>
      </c>
      <c r="G3968" s="13">
        <v>44659</v>
      </c>
      <c r="H3968" s="13">
        <v>44660</v>
      </c>
      <c r="I3968" s="22" t="str">
        <f>VLOOKUP(J3968, Dropdowns!N:O, 2, FALSE)</f>
        <v>Lower Price</v>
      </c>
      <c r="J3968" t="s">
        <v>759</v>
      </c>
      <c r="L3968" s="17" t="s">
        <v>733</v>
      </c>
      <c r="M3968" s="17" t="s">
        <v>738</v>
      </c>
      <c r="N3968" s="17" t="s">
        <v>740</v>
      </c>
    </row>
    <row r="3969" spans="1:14" x14ac:dyDescent="0.25">
      <c r="A3969" s="8">
        <v>995026</v>
      </c>
      <c r="B3969" s="22" t="str">
        <f>IFERROR(VLOOKUP(A3969,VLOOKUPS!$A$2:B$12589,2,FALSE),"")</f>
        <v>Baby Arugula 5oz-standard</v>
      </c>
      <c r="E3969">
        <v>1.49</v>
      </c>
      <c r="F3969">
        <v>2.29</v>
      </c>
      <c r="G3969" s="13">
        <v>44661</v>
      </c>
      <c r="H3969" s="13"/>
      <c r="I3969" s="22" t="str">
        <f>VLOOKUP(J3969, Dropdowns!N:O, 2, FALSE)</f>
        <v>Standard</v>
      </c>
      <c r="J3969" t="s">
        <v>760</v>
      </c>
      <c r="L3969" s="17" t="s">
        <v>733</v>
      </c>
      <c r="M3969" s="17" t="s">
        <v>738</v>
      </c>
      <c r="N3969" s="17" t="s">
        <v>740</v>
      </c>
    </row>
    <row r="3970" spans="1:14" x14ac:dyDescent="0.25">
      <c r="A3970" s="8">
        <v>995070</v>
      </c>
      <c r="B3970" s="22" t="str">
        <f>IFERROR(VLOOKUP(A3970,VLOOKUPS!$A$2:B$12589,2,FALSE),"")</f>
        <v>Organic Baby Spring Mix 5oz-standard</v>
      </c>
      <c r="E3970">
        <v>2.98</v>
      </c>
      <c r="F3970">
        <v>1.94</v>
      </c>
      <c r="G3970" s="13">
        <v>44659</v>
      </c>
      <c r="H3970" s="13">
        <v>44660</v>
      </c>
      <c r="I3970" s="22" t="str">
        <f>VLOOKUP(J3970, Dropdowns!N:O, 2, FALSE)</f>
        <v>Lower Price</v>
      </c>
      <c r="J3970" t="s">
        <v>759</v>
      </c>
      <c r="L3970" s="17" t="s">
        <v>733</v>
      </c>
      <c r="M3970" s="17" t="s">
        <v>11</v>
      </c>
      <c r="N3970" s="17" t="s">
        <v>740</v>
      </c>
    </row>
    <row r="3971" spans="1:14" x14ac:dyDescent="0.25">
      <c r="A3971" s="8">
        <v>995070</v>
      </c>
      <c r="B3971" s="22" t="str">
        <f>IFERROR(VLOOKUP(A3971,VLOOKUPS!$A$2:B$12589,2,FALSE),"")</f>
        <v>Organic Baby Spring Mix 5oz-standard</v>
      </c>
      <c r="E3971">
        <v>1.94</v>
      </c>
      <c r="F3971">
        <v>2.98</v>
      </c>
      <c r="G3971" s="13">
        <v>44661</v>
      </c>
      <c r="H3971" s="13"/>
      <c r="I3971" s="22" t="str">
        <f>VLOOKUP(J3971, Dropdowns!N:O, 2, FALSE)</f>
        <v>Standard</v>
      </c>
      <c r="J3971" t="s">
        <v>760</v>
      </c>
      <c r="L3971" s="17" t="s">
        <v>733</v>
      </c>
      <c r="M3971" s="17" t="s">
        <v>11</v>
      </c>
      <c r="N3971" s="17" t="s">
        <v>740</v>
      </c>
    </row>
    <row r="3972" spans="1:14" x14ac:dyDescent="0.25">
      <c r="A3972" s="8">
        <v>995078</v>
      </c>
      <c r="B3972" s="22" t="str">
        <f>IFERROR(VLOOKUP(A3972,VLOOKUPS!$A$2:B$12589,2,FALSE),"")</f>
        <v>Organic Baby Spinach 16oz-standard</v>
      </c>
      <c r="E3972">
        <v>4.9800000000000004</v>
      </c>
      <c r="F3972">
        <v>3.24</v>
      </c>
      <c r="G3972" s="13">
        <v>44659</v>
      </c>
      <c r="H3972" s="13">
        <v>44660</v>
      </c>
      <c r="I3972" s="22" t="str">
        <f>VLOOKUP(J3972, Dropdowns!N:O, 2, FALSE)</f>
        <v>Lower Price</v>
      </c>
      <c r="J3972" t="s">
        <v>759</v>
      </c>
      <c r="L3972" s="17" t="s">
        <v>733</v>
      </c>
      <c r="M3972" s="17" t="s">
        <v>11</v>
      </c>
      <c r="N3972" s="17" t="s">
        <v>740</v>
      </c>
    </row>
    <row r="3973" spans="1:14" x14ac:dyDescent="0.25">
      <c r="A3973" s="8">
        <v>995078</v>
      </c>
      <c r="B3973" s="22" t="str">
        <f>IFERROR(VLOOKUP(A3973,VLOOKUPS!$A$2:B$12589,2,FALSE),"")</f>
        <v>Organic Baby Spinach 16oz-standard</v>
      </c>
      <c r="E3973">
        <v>3.24</v>
      </c>
      <c r="F3973">
        <v>4.9800000000000004</v>
      </c>
      <c r="G3973" s="13">
        <v>44661</v>
      </c>
      <c r="H3973" s="13"/>
      <c r="I3973" s="22" t="str">
        <f>VLOOKUP(J3973, Dropdowns!N:O, 2, FALSE)</f>
        <v>Standard</v>
      </c>
      <c r="J3973" t="s">
        <v>760</v>
      </c>
      <c r="L3973" s="17" t="s">
        <v>733</v>
      </c>
      <c r="M3973" s="17" t="s">
        <v>11</v>
      </c>
      <c r="N3973" s="17" t="s">
        <v>740</v>
      </c>
    </row>
    <row r="3974" spans="1:14" x14ac:dyDescent="0.25">
      <c r="A3974" s="8">
        <v>995086</v>
      </c>
      <c r="B3974" s="22" t="str">
        <f>IFERROR(VLOOKUP(A3974,VLOOKUPS!$A$2:B$12589,2,FALSE),"")</f>
        <v>Eat Smart Broccoli Florets 2lbs-standard</v>
      </c>
      <c r="E3974">
        <v>5.98</v>
      </c>
      <c r="F3974">
        <v>3.89</v>
      </c>
      <c r="G3974" s="13">
        <v>44659</v>
      </c>
      <c r="H3974" s="13">
        <v>44660</v>
      </c>
      <c r="I3974" s="22" t="str">
        <f>VLOOKUP(J3974, Dropdowns!N:O, 2, FALSE)</f>
        <v>Lower Price</v>
      </c>
      <c r="J3974" t="s">
        <v>759</v>
      </c>
      <c r="L3974" s="17" t="s">
        <v>733</v>
      </c>
      <c r="M3974" s="17" t="s">
        <v>10</v>
      </c>
      <c r="N3974" s="17" t="s">
        <v>740</v>
      </c>
    </row>
    <row r="3975" spans="1:14" x14ac:dyDescent="0.25">
      <c r="A3975" s="8">
        <v>995086</v>
      </c>
      <c r="B3975" s="22" t="str">
        <f>IFERROR(VLOOKUP(A3975,VLOOKUPS!$A$2:B$12589,2,FALSE),"")</f>
        <v>Eat Smart Broccoli Florets 2lbs-standard</v>
      </c>
      <c r="E3975">
        <v>3.89</v>
      </c>
      <c r="F3975">
        <v>5.98</v>
      </c>
      <c r="G3975" s="13">
        <v>44661</v>
      </c>
      <c r="H3975" s="13"/>
      <c r="I3975" s="22" t="str">
        <f>VLOOKUP(J3975, Dropdowns!N:O, 2, FALSE)</f>
        <v>Standard</v>
      </c>
      <c r="J3975" t="s">
        <v>760</v>
      </c>
      <c r="L3975" s="17" t="s">
        <v>733</v>
      </c>
      <c r="M3975" s="17" t="s">
        <v>10</v>
      </c>
      <c r="N3975" s="17" t="s">
        <v>740</v>
      </c>
    </row>
    <row r="3976" spans="1:14" x14ac:dyDescent="0.25">
      <c r="A3976" s="8">
        <v>982740</v>
      </c>
      <c r="B3976" s="22" t="str">
        <f>IFERROR(VLOOKUP(A3976,VLOOKUPS!$A$2:B$12589,2,FALSE),"")</f>
        <v>Grapes* Red Seedless 1lb-LOOSE</v>
      </c>
      <c r="E3976">
        <v>1.29</v>
      </c>
      <c r="F3976">
        <v>1.88</v>
      </c>
      <c r="G3976" s="13">
        <v>44659</v>
      </c>
      <c r="H3976" s="13"/>
      <c r="I3976" s="22" t="str">
        <f>VLOOKUP(J3976, Dropdowns!N:O, 2, FALSE)</f>
        <v>Standard</v>
      </c>
      <c r="J3976" t="s">
        <v>760</v>
      </c>
      <c r="L3976" s="17" t="s">
        <v>733</v>
      </c>
      <c r="M3976" s="17" t="s">
        <v>11</v>
      </c>
      <c r="N3976" s="17" t="s">
        <v>740</v>
      </c>
    </row>
    <row r="3977" spans="1:14" x14ac:dyDescent="0.25">
      <c r="A3977" s="8">
        <v>984620</v>
      </c>
      <c r="B3977" s="22" t="str">
        <f>IFERROR(VLOOKUP(A3977,VLOOKUPS!$A$2:B$12589,2,FALSE),"")</f>
        <v>Raspberries 6oz-standard</v>
      </c>
      <c r="E3977">
        <v>3.2</v>
      </c>
      <c r="F3977">
        <v>2.98</v>
      </c>
      <c r="G3977" s="13">
        <v>44660</v>
      </c>
      <c r="H3977" s="13"/>
      <c r="I3977" s="22" t="str">
        <f>VLOOKUP(J3977, Dropdowns!N:O, 2, FALSE)</f>
        <v>Standard</v>
      </c>
      <c r="J3977" t="s">
        <v>761</v>
      </c>
      <c r="L3977" s="17" t="s">
        <v>733</v>
      </c>
      <c r="M3977" s="17" t="s">
        <v>9</v>
      </c>
      <c r="N3977" s="17" t="s">
        <v>740</v>
      </c>
    </row>
    <row r="3978" spans="1:14" x14ac:dyDescent="0.25">
      <c r="A3978" s="8">
        <v>995001</v>
      </c>
      <c r="B3978" s="22" t="str">
        <f>IFERROR(VLOOKUP(A3978,VLOOKUPS!$A$2:B$12589,2,FALSE),"")</f>
        <v>Spinach Baby 6oz-standard</v>
      </c>
      <c r="E3978">
        <v>2.63</v>
      </c>
      <c r="F3978">
        <v>1.71</v>
      </c>
      <c r="G3978" s="13">
        <v>44660</v>
      </c>
      <c r="H3978" s="13">
        <v>44661</v>
      </c>
      <c r="I3978" s="22" t="str">
        <f>VLOOKUP(J3978, Dropdowns!N:O, 2, FALSE)</f>
        <v>Lower Price</v>
      </c>
      <c r="J3978" t="s">
        <v>759</v>
      </c>
      <c r="L3978" s="17" t="s">
        <v>733</v>
      </c>
      <c r="M3978" s="17" t="s">
        <v>737</v>
      </c>
      <c r="N3978" s="17" t="s">
        <v>740</v>
      </c>
    </row>
    <row r="3979" spans="1:14" x14ac:dyDescent="0.25">
      <c r="A3979" s="8">
        <v>995001</v>
      </c>
      <c r="B3979" s="22" t="str">
        <f>IFERROR(VLOOKUP(A3979,VLOOKUPS!$A$2:B$12589,2,FALSE),"")</f>
        <v>Spinach Baby 6oz-standard</v>
      </c>
      <c r="E3979">
        <v>1.71</v>
      </c>
      <c r="F3979">
        <v>2.63</v>
      </c>
      <c r="G3979" s="13">
        <v>44662</v>
      </c>
      <c r="H3979" s="13"/>
      <c r="I3979" s="22" t="str">
        <f>VLOOKUP(J3979, Dropdowns!N:O, 2, FALSE)</f>
        <v>Standard</v>
      </c>
      <c r="J3979" t="s">
        <v>760</v>
      </c>
      <c r="L3979" s="17" t="s">
        <v>733</v>
      </c>
      <c r="M3979" s="17" t="s">
        <v>737</v>
      </c>
      <c r="N3979" s="17" t="s">
        <v>740</v>
      </c>
    </row>
    <row r="3980" spans="1:14" x14ac:dyDescent="0.25">
      <c r="A3980" s="8">
        <v>995004</v>
      </c>
      <c r="B3980" s="22" t="str">
        <f>IFERROR(VLOOKUP(A3980,VLOOKUPS!$A$2:B$12589,2,FALSE),"")</f>
        <v>Chicken Caesar Salad 6.25oz-standard</v>
      </c>
      <c r="E3980">
        <v>3.12</v>
      </c>
      <c r="F3980">
        <v>1.56</v>
      </c>
      <c r="G3980" s="13">
        <v>44660</v>
      </c>
      <c r="H3980" s="13">
        <v>44661</v>
      </c>
      <c r="I3980" s="22" t="str">
        <f>VLOOKUP(J3980, Dropdowns!N:O, 2, FALSE)</f>
        <v>Lower Price</v>
      </c>
      <c r="J3980" t="s">
        <v>759</v>
      </c>
      <c r="L3980" s="17" t="s">
        <v>733</v>
      </c>
      <c r="M3980" s="17" t="s">
        <v>11</v>
      </c>
      <c r="N3980" s="17" t="s">
        <v>740</v>
      </c>
    </row>
    <row r="3981" spans="1:14" x14ac:dyDescent="0.25">
      <c r="A3981" s="8">
        <v>995004</v>
      </c>
      <c r="B3981" s="22" t="str">
        <f>IFERROR(VLOOKUP(A3981,VLOOKUPS!$A$2:B$12589,2,FALSE),"")</f>
        <v>Chicken Caesar Salad 6.25oz-standard</v>
      </c>
      <c r="E3981">
        <v>1.56</v>
      </c>
      <c r="F3981">
        <v>3.12</v>
      </c>
      <c r="G3981" s="13">
        <v>44662</v>
      </c>
      <c r="H3981" s="13"/>
      <c r="I3981" s="22" t="str">
        <f>VLOOKUP(J3981, Dropdowns!N:O, 2, FALSE)</f>
        <v>Standard</v>
      </c>
      <c r="J3981" t="s">
        <v>760</v>
      </c>
      <c r="L3981" s="17" t="s">
        <v>733</v>
      </c>
      <c r="M3981" s="17" t="s">
        <v>11</v>
      </c>
      <c r="N3981" s="17" t="s">
        <v>740</v>
      </c>
    </row>
    <row r="3982" spans="1:14" x14ac:dyDescent="0.25">
      <c r="A3982" s="8">
        <v>995179</v>
      </c>
      <c r="B3982" s="22" t="str">
        <f>IFERROR(VLOOKUP(A3982,VLOOKUPS!$A$2:B$12589,2,FALSE),"")</f>
        <v>Avocado Ranch Salad Bowl 7.2oz-Standard</v>
      </c>
      <c r="E3982">
        <v>4.99</v>
      </c>
      <c r="F3982">
        <v>2.4900000000000002</v>
      </c>
      <c r="G3982" s="13">
        <v>44660</v>
      </c>
      <c r="H3982" s="13">
        <v>44662</v>
      </c>
      <c r="I3982" s="22" t="str">
        <f>VLOOKUP(J3982, Dropdowns!N:O, 2, FALSE)</f>
        <v>Lower Price</v>
      </c>
      <c r="J3982" t="s">
        <v>759</v>
      </c>
      <c r="L3982" s="17" t="s">
        <v>733</v>
      </c>
      <c r="M3982" s="17" t="s">
        <v>736</v>
      </c>
      <c r="N3982" s="17" t="s">
        <v>740</v>
      </c>
    </row>
    <row r="3983" spans="1:14" x14ac:dyDescent="0.25">
      <c r="A3983" s="8">
        <v>995179</v>
      </c>
      <c r="B3983" s="22" t="str">
        <f>IFERROR(VLOOKUP(A3983,VLOOKUPS!$A$2:B$12589,2,FALSE),"")</f>
        <v>Avocado Ranch Salad Bowl 7.2oz-Standard</v>
      </c>
      <c r="E3983">
        <v>2.4900000000000002</v>
      </c>
      <c r="F3983">
        <v>4.99</v>
      </c>
      <c r="G3983" s="13">
        <v>44663</v>
      </c>
      <c r="H3983" s="13"/>
      <c r="I3983" s="22" t="str">
        <f>VLOOKUP(J3983, Dropdowns!N:O, 2, FALSE)</f>
        <v>Standard</v>
      </c>
      <c r="J3983" t="s">
        <v>760</v>
      </c>
      <c r="L3983" s="17" t="s">
        <v>733</v>
      </c>
      <c r="M3983" s="17" t="s">
        <v>736</v>
      </c>
      <c r="N3983" s="17" t="s">
        <v>740</v>
      </c>
    </row>
    <row r="3984" spans="1:14" x14ac:dyDescent="0.25">
      <c r="A3984" s="8">
        <v>995180</v>
      </c>
      <c r="B3984" s="22" t="str">
        <f>IFERROR(VLOOKUP(A3984,VLOOKUPS!$A$2:B$12589,2,FALSE),"")</f>
        <v>Crunchy Sesame 6.1oz-Standard</v>
      </c>
      <c r="E3984">
        <v>4.99</v>
      </c>
      <c r="F3984">
        <v>2.4900000000000002</v>
      </c>
      <c r="G3984" s="13">
        <v>44660</v>
      </c>
      <c r="H3984" s="13">
        <v>44662</v>
      </c>
      <c r="I3984" s="22" t="str">
        <f>VLOOKUP(J3984, Dropdowns!N:O, 2, FALSE)</f>
        <v>Lower Price</v>
      </c>
      <c r="J3984" t="s">
        <v>759</v>
      </c>
      <c r="L3984" s="17" t="s">
        <v>733</v>
      </c>
      <c r="M3984" s="17" t="s">
        <v>736</v>
      </c>
      <c r="N3984" s="17" t="s">
        <v>740</v>
      </c>
    </row>
    <row r="3985" spans="1:14" x14ac:dyDescent="0.25">
      <c r="A3985" s="8">
        <v>995180</v>
      </c>
      <c r="B3985" s="22" t="str">
        <f>IFERROR(VLOOKUP(A3985,VLOOKUPS!$A$2:B$12589,2,FALSE),"")</f>
        <v>Crunchy Sesame 6.1oz-Standard</v>
      </c>
      <c r="E3985">
        <v>2.4900000000000002</v>
      </c>
      <c r="F3985">
        <v>4.99</v>
      </c>
      <c r="G3985" s="13">
        <v>44663</v>
      </c>
      <c r="H3985" s="13"/>
      <c r="I3985" s="22" t="str">
        <f>VLOOKUP(J3985, Dropdowns!N:O, 2, FALSE)</f>
        <v>Standard</v>
      </c>
      <c r="J3985" t="s">
        <v>760</v>
      </c>
      <c r="L3985" s="17" t="s">
        <v>733</v>
      </c>
      <c r="M3985" s="17" t="s">
        <v>736</v>
      </c>
      <c r="N3985" s="17" t="s">
        <v>740</v>
      </c>
    </row>
    <row r="3986" spans="1:14" x14ac:dyDescent="0.25">
      <c r="A3986" s="8">
        <v>995181</v>
      </c>
      <c r="B3986" s="22" t="str">
        <f>IFERROR(VLOOKUP(A3986,VLOOKUPS!$A$2:B$12589,2,FALSE),"")</f>
        <v>Spicy Southwest Salad Bowl 5.9oz-standard</v>
      </c>
      <c r="E3986">
        <v>4.99</v>
      </c>
      <c r="F3986">
        <v>2.4900000000000002</v>
      </c>
      <c r="G3986" s="13">
        <v>44660</v>
      </c>
      <c r="H3986" s="13">
        <v>44662</v>
      </c>
      <c r="I3986" s="22" t="str">
        <f>VLOOKUP(J3986, Dropdowns!N:O, 2, FALSE)</f>
        <v>Lower Price</v>
      </c>
      <c r="J3986" t="s">
        <v>759</v>
      </c>
      <c r="L3986" s="17" t="s">
        <v>733</v>
      </c>
      <c r="M3986" s="17" t="s">
        <v>736</v>
      </c>
      <c r="N3986" s="17" t="s">
        <v>740</v>
      </c>
    </row>
    <row r="3987" spans="1:14" x14ac:dyDescent="0.25">
      <c r="A3987" s="8">
        <v>995181</v>
      </c>
      <c r="B3987" s="22" t="str">
        <f>IFERROR(VLOOKUP(A3987,VLOOKUPS!$A$2:B$12589,2,FALSE),"")</f>
        <v>Spicy Southwest Salad Bowl 5.9oz-standard</v>
      </c>
      <c r="E3987">
        <v>2.4900000000000002</v>
      </c>
      <c r="F3987">
        <v>4.99</v>
      </c>
      <c r="G3987" s="13">
        <v>44663</v>
      </c>
      <c r="H3987" s="13"/>
      <c r="I3987" s="22" t="str">
        <f>VLOOKUP(J3987, Dropdowns!N:O, 2, FALSE)</f>
        <v>Standard</v>
      </c>
      <c r="J3987" t="s">
        <v>760</v>
      </c>
      <c r="L3987" s="17" t="s">
        <v>733</v>
      </c>
      <c r="M3987" s="17" t="s">
        <v>736</v>
      </c>
      <c r="N3987" s="17" t="s">
        <v>740</v>
      </c>
    </row>
    <row r="3988" spans="1:14" x14ac:dyDescent="0.25">
      <c r="A3988" s="8">
        <v>983105</v>
      </c>
      <c r="B3988" s="22" t="str">
        <f>IFERROR(VLOOKUP(A3988,VLOOKUPS!$A$2:B$12589,2,FALSE),"")</f>
        <v>Melons Galia 1ct-loose</v>
      </c>
      <c r="E3988">
        <v>3.18</v>
      </c>
      <c r="F3988">
        <v>1.59</v>
      </c>
      <c r="G3988" s="13">
        <v>44660</v>
      </c>
      <c r="H3988" s="13">
        <v>44661</v>
      </c>
      <c r="I3988" s="22" t="str">
        <f>VLOOKUP(J3988, Dropdowns!N:O, 2, FALSE)</f>
        <v>Lower Price</v>
      </c>
      <c r="J3988" t="s">
        <v>759</v>
      </c>
      <c r="L3988" s="17" t="s">
        <v>733</v>
      </c>
      <c r="M3988" s="17" t="s">
        <v>10</v>
      </c>
      <c r="N3988" s="17" t="s">
        <v>740</v>
      </c>
    </row>
    <row r="3989" spans="1:14" x14ac:dyDescent="0.25">
      <c r="A3989" s="8">
        <v>983105</v>
      </c>
      <c r="B3989" s="22" t="str">
        <f>IFERROR(VLOOKUP(A3989,VLOOKUPS!$A$2:B$12589,2,FALSE),"")</f>
        <v>Melons Galia 1ct-loose</v>
      </c>
      <c r="E3989">
        <v>1.59</v>
      </c>
      <c r="F3989">
        <v>3.18</v>
      </c>
      <c r="G3989" s="13">
        <v>44662</v>
      </c>
      <c r="H3989" s="13"/>
      <c r="I3989" s="22" t="str">
        <f>VLOOKUP(J3989, Dropdowns!N:O, 2, FALSE)</f>
        <v>Standard</v>
      </c>
      <c r="J3989" t="s">
        <v>760</v>
      </c>
      <c r="L3989" s="17" t="s">
        <v>733</v>
      </c>
      <c r="M3989" s="17" t="s">
        <v>10</v>
      </c>
      <c r="N3989" s="17" t="s">
        <v>740</v>
      </c>
    </row>
    <row r="3990" spans="1:14" x14ac:dyDescent="0.25">
      <c r="A3990" s="8">
        <v>983101</v>
      </c>
      <c r="B3990" s="22" t="str">
        <f>IFERROR(VLOOKUP(A3990,VLOOKUPS!$A$2:B$12589,2,FALSE),"")</f>
        <v>Melons Cantaloupes 1ct-LOOSE</v>
      </c>
      <c r="E3990">
        <v>2.48</v>
      </c>
      <c r="F3990">
        <v>1.61</v>
      </c>
      <c r="G3990" s="13">
        <v>44660</v>
      </c>
      <c r="H3990" s="13">
        <v>44661</v>
      </c>
      <c r="I3990" s="22" t="str">
        <f>VLOOKUP(J3990, Dropdowns!N:O, 2, FALSE)</f>
        <v>Lower Price</v>
      </c>
      <c r="J3990" t="s">
        <v>759</v>
      </c>
      <c r="L3990" s="17" t="s">
        <v>733</v>
      </c>
      <c r="M3990" s="17" t="s">
        <v>10</v>
      </c>
      <c r="N3990" s="17" t="s">
        <v>740</v>
      </c>
    </row>
    <row r="3991" spans="1:14" x14ac:dyDescent="0.25">
      <c r="A3991" s="8">
        <v>983101</v>
      </c>
      <c r="B3991" s="22" t="str">
        <f>IFERROR(VLOOKUP(A3991,VLOOKUPS!$A$2:B$12589,2,FALSE),"")</f>
        <v>Melons Cantaloupes 1ct-LOOSE</v>
      </c>
      <c r="E3991">
        <v>1.61</v>
      </c>
      <c r="F3991">
        <v>2.48</v>
      </c>
      <c r="G3991" s="13">
        <v>44662</v>
      </c>
      <c r="H3991" s="13"/>
      <c r="I3991" s="22" t="str">
        <f>VLOOKUP(J3991, Dropdowns!N:O, 2, FALSE)</f>
        <v>Standard</v>
      </c>
      <c r="J3991" t="s">
        <v>760</v>
      </c>
      <c r="L3991" s="17" t="s">
        <v>733</v>
      </c>
      <c r="M3991" s="17" t="s">
        <v>10</v>
      </c>
      <c r="N3991" s="17" t="s">
        <v>740</v>
      </c>
    </row>
    <row r="3992" spans="1:14" x14ac:dyDescent="0.25">
      <c r="A3992" s="8">
        <v>984460</v>
      </c>
      <c r="B3992" s="22" t="str">
        <f>IFERROR(VLOOKUP(A3992,VLOOKUPS!$A$2:B$12589,2,FALSE),"")</f>
        <v>Strawberries 1lb-standard</v>
      </c>
      <c r="E3992">
        <v>2.59</v>
      </c>
      <c r="F3992">
        <v>2.58</v>
      </c>
      <c r="G3992" s="13">
        <v>44663</v>
      </c>
      <c r="H3992" s="13"/>
      <c r="I3992" s="22" t="str">
        <f>VLOOKUP(J3992, Dropdowns!N:O, 2, FALSE)</f>
        <v>Standard</v>
      </c>
      <c r="J3992" t="s">
        <v>761</v>
      </c>
      <c r="L3992" s="17" t="s">
        <v>733</v>
      </c>
      <c r="M3992" s="17" t="s">
        <v>11</v>
      </c>
      <c r="N3992" s="17" t="s">
        <v>740</v>
      </c>
    </row>
    <row r="3993" spans="1:14" x14ac:dyDescent="0.25">
      <c r="A3993" s="8">
        <v>984621</v>
      </c>
      <c r="B3993" s="22" t="str">
        <f>IFERROR(VLOOKUP(A3993,VLOOKUPS!$A$2:B$12589,2,FALSE),"")</f>
        <v>Raspberries 12oz-standard</v>
      </c>
      <c r="E3993">
        <v>5.62</v>
      </c>
      <c r="F3993">
        <v>3.65</v>
      </c>
      <c r="G3993" s="13">
        <v>44663</v>
      </c>
      <c r="H3993" s="13">
        <v>44664</v>
      </c>
      <c r="I3993" s="22" t="str">
        <f>VLOOKUP(J3993, Dropdowns!N:O, 2, FALSE)</f>
        <v>Lower Price</v>
      </c>
      <c r="J3993" t="s">
        <v>759</v>
      </c>
      <c r="L3993" s="17" t="s">
        <v>733</v>
      </c>
      <c r="M3993" s="17" t="s">
        <v>10</v>
      </c>
      <c r="N3993" s="17" t="s">
        <v>740</v>
      </c>
    </row>
    <row r="3994" spans="1:14" x14ac:dyDescent="0.25">
      <c r="A3994" s="8">
        <v>984621</v>
      </c>
      <c r="B3994" s="22" t="str">
        <f>IFERROR(VLOOKUP(A3994,VLOOKUPS!$A$2:B$12589,2,FALSE),"")</f>
        <v>Raspberries 12oz-standard</v>
      </c>
      <c r="E3994">
        <v>3.65</v>
      </c>
      <c r="F3994">
        <v>5.62</v>
      </c>
      <c r="G3994" s="13">
        <v>44665</v>
      </c>
      <c r="H3994" s="13"/>
      <c r="I3994" s="22" t="str">
        <f>VLOOKUP(J3994, Dropdowns!N:O, 2, FALSE)</f>
        <v>Standard</v>
      </c>
      <c r="J3994" t="s">
        <v>760</v>
      </c>
      <c r="L3994" s="17" t="s">
        <v>733</v>
      </c>
      <c r="M3994" s="17" t="s">
        <v>10</v>
      </c>
      <c r="N3994" s="17" t="s">
        <v>740</v>
      </c>
    </row>
    <row r="3995" spans="1:14" x14ac:dyDescent="0.25">
      <c r="A3995" s="8">
        <v>995041</v>
      </c>
      <c r="B3995" s="22" t="str">
        <f>IFERROR(VLOOKUP(A3995,VLOOKUPS!$A$2:B$12589,2,FALSE),"")</f>
        <v>Pineapple Spears 16oz-standard</v>
      </c>
      <c r="E3995">
        <v>4.4800000000000004</v>
      </c>
      <c r="F3995">
        <v>2.2400000000000002</v>
      </c>
      <c r="G3995" s="13">
        <v>44663</v>
      </c>
      <c r="H3995" s="13">
        <v>44663</v>
      </c>
      <c r="I3995" s="22" t="str">
        <f>VLOOKUP(J3995, Dropdowns!N:O, 2, FALSE)</f>
        <v>Lower Price</v>
      </c>
      <c r="J3995" t="s">
        <v>759</v>
      </c>
      <c r="L3995" s="17" t="s">
        <v>733</v>
      </c>
      <c r="M3995" s="17" t="s">
        <v>9</v>
      </c>
      <c r="N3995" s="17" t="s">
        <v>740</v>
      </c>
    </row>
    <row r="3996" spans="1:14" x14ac:dyDescent="0.25">
      <c r="A3996" s="8">
        <v>995041</v>
      </c>
      <c r="B3996" s="22" t="str">
        <f>IFERROR(VLOOKUP(A3996,VLOOKUPS!$A$2:B$12589,2,FALSE),"")</f>
        <v>Pineapple Spears 16oz-standard</v>
      </c>
      <c r="E3996">
        <v>2.2400000000000002</v>
      </c>
      <c r="F3996">
        <v>4.4800000000000004</v>
      </c>
      <c r="G3996" s="13">
        <v>44664</v>
      </c>
      <c r="H3996" s="13"/>
      <c r="I3996" s="22" t="str">
        <f>VLOOKUP(J3996, Dropdowns!N:O, 2, FALSE)</f>
        <v>Standard</v>
      </c>
      <c r="J3996" t="s">
        <v>760</v>
      </c>
      <c r="L3996" s="17" t="s">
        <v>733</v>
      </c>
      <c r="M3996" s="17" t="s">
        <v>9</v>
      </c>
      <c r="N3996" s="17" t="s">
        <v>740</v>
      </c>
    </row>
    <row r="3997" spans="1:14" x14ac:dyDescent="0.25">
      <c r="A3997" s="8">
        <v>995069</v>
      </c>
      <c r="B3997" s="22" t="str">
        <f>IFERROR(VLOOKUP(A3997,VLOOKUPS!$A$2:B$12589,2,FALSE),"")</f>
        <v>Organic Baby Spinach 5oz-standard</v>
      </c>
      <c r="E3997">
        <v>2.98</v>
      </c>
      <c r="F3997">
        <v>1.49</v>
      </c>
      <c r="G3997" s="13">
        <v>44663</v>
      </c>
      <c r="H3997" s="13">
        <v>44664</v>
      </c>
      <c r="I3997" s="22" t="str">
        <f>VLOOKUP(J3997, Dropdowns!N:O, 2, FALSE)</f>
        <v>Lower Price</v>
      </c>
      <c r="J3997" t="s">
        <v>759</v>
      </c>
      <c r="L3997" s="17" t="s">
        <v>733</v>
      </c>
      <c r="M3997" s="17" t="s">
        <v>11</v>
      </c>
      <c r="N3997" s="17" t="s">
        <v>740</v>
      </c>
    </row>
    <row r="3998" spans="1:14" x14ac:dyDescent="0.25">
      <c r="A3998" s="8">
        <v>995069</v>
      </c>
      <c r="B3998" s="22" t="str">
        <f>IFERROR(VLOOKUP(A3998,VLOOKUPS!$A$2:B$12589,2,FALSE),"")</f>
        <v>Organic Baby Spinach 5oz-standard</v>
      </c>
      <c r="E3998">
        <v>1.49</v>
      </c>
      <c r="F3998">
        <v>2.98</v>
      </c>
      <c r="G3998" s="13">
        <v>44665</v>
      </c>
      <c r="H3998" s="13"/>
      <c r="I3998" s="22" t="str">
        <f>VLOOKUP(J3998, Dropdowns!N:O, 2, FALSE)</f>
        <v>Standard</v>
      </c>
      <c r="J3998" t="s">
        <v>760</v>
      </c>
      <c r="L3998" s="17" t="s">
        <v>733</v>
      </c>
      <c r="M3998" s="17" t="s">
        <v>11</v>
      </c>
      <c r="N3998" s="17" t="s">
        <v>740</v>
      </c>
    </row>
    <row r="3999" spans="1:14" x14ac:dyDescent="0.25">
      <c r="A3999" s="8">
        <v>995144</v>
      </c>
      <c r="B3999" s="22" t="str">
        <f>IFERROR(VLOOKUP(A3999,VLOOKUPS!$A$2:B$12589,2,FALSE),"")</f>
        <v>Asparagus Spears 10oz-standard</v>
      </c>
      <c r="E3999">
        <v>4.18</v>
      </c>
      <c r="F3999">
        <v>2.72</v>
      </c>
      <c r="G3999" s="13">
        <v>44663</v>
      </c>
      <c r="H3999" s="13">
        <v>44664</v>
      </c>
      <c r="I3999" s="22" t="str">
        <f>VLOOKUP(J3999, Dropdowns!N:O, 2, FALSE)</f>
        <v>Lower Price</v>
      </c>
      <c r="J3999" t="s">
        <v>759</v>
      </c>
      <c r="L3999" s="17" t="s">
        <v>733</v>
      </c>
      <c r="M3999" s="17" t="s">
        <v>736</v>
      </c>
      <c r="N3999" s="17" t="s">
        <v>740</v>
      </c>
    </row>
    <row r="4000" spans="1:14" x14ac:dyDescent="0.25">
      <c r="A4000" s="8">
        <v>995144</v>
      </c>
      <c r="B4000" s="22" t="str">
        <f>IFERROR(VLOOKUP(A4000,VLOOKUPS!$A$2:B$12589,2,FALSE),"")</f>
        <v>Asparagus Spears 10oz-standard</v>
      </c>
      <c r="E4000">
        <v>2.72</v>
      </c>
      <c r="F4000">
        <v>4.18</v>
      </c>
      <c r="G4000" s="13">
        <v>44665</v>
      </c>
      <c r="H4000" s="13"/>
      <c r="I4000" s="22" t="str">
        <f>VLOOKUP(J4000, Dropdowns!N:O, 2, FALSE)</f>
        <v>Standard</v>
      </c>
      <c r="J4000" t="s">
        <v>760</v>
      </c>
      <c r="L4000" s="17" t="s">
        <v>733</v>
      </c>
      <c r="M4000" s="17" t="s">
        <v>736</v>
      </c>
      <c r="N4000" s="17" t="s">
        <v>740</v>
      </c>
    </row>
    <row r="4001" spans="1:14" x14ac:dyDescent="0.25">
      <c r="A4001" s="8">
        <v>983105</v>
      </c>
      <c r="B4001" s="22" t="str">
        <f>IFERROR(VLOOKUP(A4001,VLOOKUPS!$A$2:B$12589,2,FALSE),"")</f>
        <v>Melons Galia 1ct-loose</v>
      </c>
      <c r="E4001">
        <v>3.18</v>
      </c>
      <c r="F4001">
        <v>2.06</v>
      </c>
      <c r="G4001" s="13">
        <v>44663</v>
      </c>
      <c r="H4001" s="13">
        <v>44664</v>
      </c>
      <c r="I4001" s="22" t="str">
        <f>VLOOKUP(J4001, Dropdowns!N:O, 2, FALSE)</f>
        <v>Lower Price</v>
      </c>
      <c r="J4001" t="s">
        <v>759</v>
      </c>
      <c r="L4001" s="17" t="s">
        <v>733</v>
      </c>
      <c r="M4001" s="17" t="s">
        <v>737</v>
      </c>
      <c r="N4001" s="17" t="s">
        <v>740</v>
      </c>
    </row>
    <row r="4002" spans="1:14" x14ac:dyDescent="0.25">
      <c r="A4002" s="8">
        <v>983105</v>
      </c>
      <c r="B4002" s="22" t="str">
        <f>IFERROR(VLOOKUP(A4002,VLOOKUPS!$A$2:B$12589,2,FALSE),"")</f>
        <v>Melons Galia 1ct-loose</v>
      </c>
      <c r="E4002">
        <v>2.06</v>
      </c>
      <c r="F4002">
        <v>3.18</v>
      </c>
      <c r="G4002" s="13">
        <v>44665</v>
      </c>
      <c r="H4002" s="13"/>
      <c r="I4002" s="22" t="str">
        <f>VLOOKUP(J4002, Dropdowns!N:O, 2, FALSE)</f>
        <v>Standard</v>
      </c>
      <c r="J4002" t="s">
        <v>760</v>
      </c>
      <c r="L4002" s="17" t="s">
        <v>733</v>
      </c>
      <c r="M4002" s="17" t="s">
        <v>737</v>
      </c>
      <c r="N4002" s="17" t="s">
        <v>740</v>
      </c>
    </row>
    <row r="4003" spans="1:14" x14ac:dyDescent="0.25">
      <c r="A4003" s="8">
        <v>982740</v>
      </c>
      <c r="B4003" s="22" t="str">
        <f>IFERROR(VLOOKUP(A4003,VLOOKUPS!$A$2:B$12589,2,FALSE),"")</f>
        <v>Grapes* Red Seedless 1lb-LOOSE</v>
      </c>
      <c r="G4003" s="13">
        <v>44664</v>
      </c>
      <c r="H4003" s="13">
        <v>44670</v>
      </c>
      <c r="I4003" s="22" t="str">
        <f>VLOOKUP(J4003, Dropdowns!N:O, 2, FALSE)</f>
        <v>Lower Price</v>
      </c>
      <c r="J4003" t="s">
        <v>753</v>
      </c>
      <c r="L4003" s="17" t="s">
        <v>732</v>
      </c>
      <c r="M4003" s="17" t="s">
        <v>736</v>
      </c>
      <c r="N4003" s="17" t="s">
        <v>736</v>
      </c>
    </row>
    <row r="4004" spans="1:14" x14ac:dyDescent="0.25">
      <c r="A4004" s="8">
        <v>995179</v>
      </c>
      <c r="B4004" s="22" t="str">
        <f>IFERROR(VLOOKUP(A4004,VLOOKUPS!$A$2:B$12589,2,FALSE),"")</f>
        <v>Avocado Ranch Salad Bowl 7.2oz-Standard</v>
      </c>
      <c r="E4004">
        <v>4.99</v>
      </c>
      <c r="F4004">
        <v>3.24</v>
      </c>
      <c r="G4004" s="13">
        <v>44664</v>
      </c>
      <c r="H4004" s="13">
        <v>44665</v>
      </c>
      <c r="I4004" s="22" t="str">
        <f>VLOOKUP(J4004, Dropdowns!N:O, 2, FALSE)</f>
        <v>Lower Price</v>
      </c>
      <c r="J4004" t="s">
        <v>759</v>
      </c>
      <c r="L4004" s="17" t="s">
        <v>733</v>
      </c>
      <c r="M4004" s="17" t="s">
        <v>737</v>
      </c>
      <c r="N4004" s="17" t="s">
        <v>740</v>
      </c>
    </row>
    <row r="4005" spans="1:14" x14ac:dyDescent="0.25">
      <c r="A4005" s="8">
        <v>995179</v>
      </c>
      <c r="B4005" s="22" t="str">
        <f>IFERROR(VLOOKUP(A4005,VLOOKUPS!$A$2:B$12589,2,FALSE),"")</f>
        <v>Avocado Ranch Salad Bowl 7.2oz-Standard</v>
      </c>
      <c r="E4005">
        <v>3.24</v>
      </c>
      <c r="F4005">
        <v>4.99</v>
      </c>
      <c r="G4005" s="13">
        <v>44666</v>
      </c>
      <c r="H4005" s="13"/>
      <c r="I4005" s="22" t="str">
        <f>VLOOKUP(J4005, Dropdowns!N:O, 2, FALSE)</f>
        <v>Standard</v>
      </c>
      <c r="J4005" t="s">
        <v>760</v>
      </c>
      <c r="L4005" s="17" t="s">
        <v>733</v>
      </c>
      <c r="M4005" s="17" t="s">
        <v>737</v>
      </c>
      <c r="N4005" s="17" t="s">
        <v>740</v>
      </c>
    </row>
    <row r="4006" spans="1:14" x14ac:dyDescent="0.25">
      <c r="A4006" s="8">
        <v>995180</v>
      </c>
      <c r="B4006" s="22" t="str">
        <f>IFERROR(VLOOKUP(A4006,VLOOKUPS!$A$2:B$12589,2,FALSE),"")</f>
        <v>Crunchy Sesame 6.1oz-Standard</v>
      </c>
      <c r="E4006">
        <v>4.99</v>
      </c>
      <c r="F4006">
        <v>3.24</v>
      </c>
      <c r="G4006" s="13">
        <v>44664</v>
      </c>
      <c r="H4006" s="13">
        <v>44665</v>
      </c>
      <c r="I4006" s="22" t="str">
        <f>VLOOKUP(J4006, Dropdowns!N:O, 2, FALSE)</f>
        <v>Lower Price</v>
      </c>
      <c r="J4006" t="s">
        <v>759</v>
      </c>
      <c r="L4006" s="17" t="s">
        <v>733</v>
      </c>
      <c r="M4006" s="17" t="s">
        <v>737</v>
      </c>
      <c r="N4006" s="17" t="s">
        <v>740</v>
      </c>
    </row>
    <row r="4007" spans="1:14" x14ac:dyDescent="0.25">
      <c r="A4007" s="8">
        <v>995180</v>
      </c>
      <c r="B4007" s="22" t="str">
        <f>IFERROR(VLOOKUP(A4007,VLOOKUPS!$A$2:B$12589,2,FALSE),"")</f>
        <v>Crunchy Sesame 6.1oz-Standard</v>
      </c>
      <c r="E4007">
        <v>3.24</v>
      </c>
      <c r="F4007">
        <v>4.99</v>
      </c>
      <c r="G4007" s="13">
        <v>44666</v>
      </c>
      <c r="H4007" s="13"/>
      <c r="I4007" s="22" t="str">
        <f>VLOOKUP(J4007, Dropdowns!N:O, 2, FALSE)</f>
        <v>Standard</v>
      </c>
      <c r="J4007" t="s">
        <v>760</v>
      </c>
      <c r="L4007" s="17" t="s">
        <v>733</v>
      </c>
      <c r="M4007" s="17" t="s">
        <v>737</v>
      </c>
      <c r="N4007" s="17" t="s">
        <v>740</v>
      </c>
    </row>
    <row r="4008" spans="1:14" x14ac:dyDescent="0.25">
      <c r="A4008" s="8">
        <v>995181</v>
      </c>
      <c r="B4008" s="22" t="str">
        <f>IFERROR(VLOOKUP(A4008,VLOOKUPS!$A$2:B$12589,2,FALSE),"")</f>
        <v>Spicy Southwest Salad Bowl 5.9oz-standard</v>
      </c>
      <c r="E4008">
        <v>4.99</v>
      </c>
      <c r="F4008">
        <v>3.24</v>
      </c>
      <c r="G4008" s="13">
        <v>44664</v>
      </c>
      <c r="H4008" s="13">
        <v>44665</v>
      </c>
      <c r="I4008" s="22" t="str">
        <f>VLOOKUP(J4008, Dropdowns!N:O, 2, FALSE)</f>
        <v>Lower Price</v>
      </c>
      <c r="J4008" t="s">
        <v>759</v>
      </c>
      <c r="L4008" s="17" t="s">
        <v>733</v>
      </c>
      <c r="M4008" s="17" t="s">
        <v>736</v>
      </c>
      <c r="N4008" s="17" t="s">
        <v>740</v>
      </c>
    </row>
    <row r="4009" spans="1:14" x14ac:dyDescent="0.25">
      <c r="A4009" s="8">
        <v>995181</v>
      </c>
      <c r="B4009" s="22" t="str">
        <f>IFERROR(VLOOKUP(A4009,VLOOKUPS!$A$2:B$12589,2,FALSE),"")</f>
        <v>Spicy Southwest Salad Bowl 5.9oz-standard</v>
      </c>
      <c r="E4009">
        <v>3.24</v>
      </c>
      <c r="F4009">
        <v>4.99</v>
      </c>
      <c r="G4009" s="13">
        <v>44666</v>
      </c>
      <c r="H4009" s="13"/>
      <c r="I4009" s="22" t="str">
        <f>VLOOKUP(J4009, Dropdowns!N:O, 2, FALSE)</f>
        <v>Standard</v>
      </c>
      <c r="J4009" t="s">
        <v>760</v>
      </c>
      <c r="L4009" s="17" t="s">
        <v>733</v>
      </c>
      <c r="M4009" s="17" t="s">
        <v>736</v>
      </c>
      <c r="N4009" s="17" t="s">
        <v>740</v>
      </c>
    </row>
    <row r="4010" spans="1:14" x14ac:dyDescent="0.25">
      <c r="A4010" s="8">
        <v>982830</v>
      </c>
      <c r="B4010" s="22" t="str">
        <f>IFERROR(VLOOKUP(A4010,VLOOKUPS!$A$2:B$12589,2,FALSE),"")</f>
        <v>Grapes* Black Seedless 1lb-LOOSE</v>
      </c>
      <c r="E4010">
        <v>1.88</v>
      </c>
      <c r="F4010">
        <v>1.22</v>
      </c>
      <c r="G4010" s="13">
        <v>44664</v>
      </c>
      <c r="H4010" s="13">
        <v>44665</v>
      </c>
      <c r="I4010" s="22" t="str">
        <f>VLOOKUP(J4010, Dropdowns!N:O, 2, FALSE)</f>
        <v>Lower Price</v>
      </c>
      <c r="J4010" t="s">
        <v>759</v>
      </c>
      <c r="L4010" s="17" t="s">
        <v>733</v>
      </c>
      <c r="M4010" s="17" t="s">
        <v>10</v>
      </c>
      <c r="N4010" s="17" t="s">
        <v>740</v>
      </c>
    </row>
    <row r="4011" spans="1:14" x14ac:dyDescent="0.25">
      <c r="A4011" s="8">
        <v>982830</v>
      </c>
      <c r="B4011" s="22" t="str">
        <f>IFERROR(VLOOKUP(A4011,VLOOKUPS!$A$2:B$12589,2,FALSE),"")</f>
        <v>Grapes* Black Seedless 1lb-LOOSE</v>
      </c>
      <c r="E4011">
        <v>1.22</v>
      </c>
      <c r="F4011">
        <v>1.88</v>
      </c>
      <c r="G4011" s="13">
        <v>44666</v>
      </c>
      <c r="H4011" s="13"/>
      <c r="I4011" s="22" t="str">
        <f>VLOOKUP(J4011, Dropdowns!N:O, 2, FALSE)</f>
        <v>Standard</v>
      </c>
      <c r="J4011" t="s">
        <v>760</v>
      </c>
      <c r="L4011" s="17" t="s">
        <v>733</v>
      </c>
      <c r="M4011" s="17" t="s">
        <v>10</v>
      </c>
      <c r="N4011" s="17" t="s">
        <v>740</v>
      </c>
    </row>
    <row r="4012" spans="1:14" x14ac:dyDescent="0.25">
      <c r="A4012" s="8">
        <v>988620</v>
      </c>
      <c r="B4012" s="22" t="str">
        <f>IFERROR(VLOOKUP(A4012,VLOOKUPS!$A$2:B$12589,2,FALSE),"")</f>
        <v>Brussels Sprouts 1lb-standard</v>
      </c>
      <c r="E4012">
        <v>1.39</v>
      </c>
      <c r="F4012">
        <v>2.98</v>
      </c>
      <c r="G4012" s="13">
        <v>44664</v>
      </c>
      <c r="H4012" s="13"/>
      <c r="I4012" s="22" t="str">
        <f>VLOOKUP(J4012, Dropdowns!N:O, 2, FALSE)</f>
        <v>Standard</v>
      </c>
      <c r="J4012" t="s">
        <v>760</v>
      </c>
      <c r="L4012" s="17" t="s">
        <v>732</v>
      </c>
      <c r="M4012" s="17" t="s">
        <v>736</v>
      </c>
      <c r="N4012" s="17" t="s">
        <v>736</v>
      </c>
    </row>
    <row r="4013" spans="1:14" x14ac:dyDescent="0.25">
      <c r="A4013" s="8">
        <v>986250</v>
      </c>
      <c r="B4013" s="22" t="str">
        <f>IFERROR(VLOOKUP(A4013,VLOOKUPS!$A$2:B$12589,2,FALSE),"")</f>
        <v>French Beans 1lb-standard</v>
      </c>
      <c r="E4013">
        <v>1.79</v>
      </c>
      <c r="F4013">
        <v>2.99</v>
      </c>
      <c r="G4013" s="13">
        <v>44664</v>
      </c>
      <c r="H4013" s="13"/>
      <c r="I4013" s="22" t="str">
        <f>VLOOKUP(J4013, Dropdowns!N:O, 2, FALSE)</f>
        <v>Standard</v>
      </c>
      <c r="J4013" t="s">
        <v>760</v>
      </c>
      <c r="L4013" s="17" t="s">
        <v>732</v>
      </c>
      <c r="M4013" s="17" t="s">
        <v>736</v>
      </c>
      <c r="N4013" s="17" t="s">
        <v>736</v>
      </c>
    </row>
    <row r="4014" spans="1:14" x14ac:dyDescent="0.25">
      <c r="A4014" s="8">
        <v>984541</v>
      </c>
      <c r="B4014" s="22" t="str">
        <f>IFERROR(VLOOKUP(A4014,VLOOKUPS!$A$2:B$12589,2,FALSE),"")</f>
        <v>Blueberries 1pt-standard</v>
      </c>
      <c r="E4014">
        <v>4.37</v>
      </c>
      <c r="F4014">
        <v>2.19</v>
      </c>
      <c r="G4014" s="13">
        <v>44664</v>
      </c>
      <c r="H4014" s="13">
        <v>44665</v>
      </c>
      <c r="I4014" s="22" t="str">
        <f>VLOOKUP(J4014, Dropdowns!N:O, 2, FALSE)</f>
        <v>Lower Price</v>
      </c>
      <c r="J4014" t="s">
        <v>759</v>
      </c>
      <c r="L4014" s="17" t="s">
        <v>733</v>
      </c>
      <c r="M4014" s="17" t="s">
        <v>11</v>
      </c>
      <c r="N4014" s="17" t="s">
        <v>740</v>
      </c>
    </row>
    <row r="4015" spans="1:14" x14ac:dyDescent="0.25">
      <c r="A4015" s="8">
        <v>984541</v>
      </c>
      <c r="B4015" s="22" t="str">
        <f>IFERROR(VLOOKUP(A4015,VLOOKUPS!$A$2:B$12589,2,FALSE),"")</f>
        <v>Blueberries 1pt-standard</v>
      </c>
      <c r="E4015">
        <v>2.19</v>
      </c>
      <c r="F4015">
        <v>4.37</v>
      </c>
      <c r="G4015" s="13">
        <v>44666</v>
      </c>
      <c r="H4015" s="13"/>
      <c r="I4015" s="22" t="str">
        <f>VLOOKUP(J4015, Dropdowns!N:O, 2, FALSE)</f>
        <v>Standard</v>
      </c>
      <c r="J4015" t="s">
        <v>760</v>
      </c>
      <c r="L4015" s="17" t="s">
        <v>733</v>
      </c>
      <c r="M4015" s="17" t="s">
        <v>11</v>
      </c>
      <c r="N4015" s="17" t="s">
        <v>740</v>
      </c>
    </row>
    <row r="4016" spans="1:14" x14ac:dyDescent="0.25">
      <c r="A4016" s="8">
        <v>984621</v>
      </c>
      <c r="B4016" s="22" t="str">
        <f>IFERROR(VLOOKUP(A4016,VLOOKUPS!$A$2:B$12589,2,FALSE),"")</f>
        <v>Raspberries 12oz-standard</v>
      </c>
      <c r="E4016">
        <v>5.62</v>
      </c>
      <c r="F4016">
        <v>3.65</v>
      </c>
      <c r="G4016" s="13">
        <v>44664</v>
      </c>
      <c r="H4016" s="13">
        <v>44665</v>
      </c>
      <c r="I4016" s="22" t="str">
        <f>VLOOKUP(J4016, Dropdowns!N:O, 2, FALSE)</f>
        <v>Lower Price</v>
      </c>
      <c r="J4016" t="s">
        <v>759</v>
      </c>
      <c r="L4016" s="17" t="s">
        <v>733</v>
      </c>
      <c r="M4016" s="17" t="s">
        <v>737</v>
      </c>
      <c r="N4016" s="17" t="s">
        <v>740</v>
      </c>
    </row>
    <row r="4017" spans="1:14" x14ac:dyDescent="0.25">
      <c r="A4017" s="8">
        <v>984621</v>
      </c>
      <c r="B4017" s="22" t="str">
        <f>IFERROR(VLOOKUP(A4017,VLOOKUPS!$A$2:B$12589,2,FALSE),"")</f>
        <v>Raspberries 12oz-standard</v>
      </c>
      <c r="E4017">
        <v>3.65</v>
      </c>
      <c r="F4017">
        <v>5.62</v>
      </c>
      <c r="G4017" s="13">
        <v>44666</v>
      </c>
      <c r="H4017" s="13"/>
      <c r="I4017" s="22" t="str">
        <f>VLOOKUP(J4017, Dropdowns!N:O, 2, FALSE)</f>
        <v>Standard</v>
      </c>
      <c r="J4017" t="s">
        <v>760</v>
      </c>
      <c r="L4017" s="17" t="s">
        <v>733</v>
      </c>
      <c r="M4017" s="17" t="s">
        <v>737</v>
      </c>
      <c r="N4017" s="17" t="s">
        <v>740</v>
      </c>
    </row>
    <row r="4018" spans="1:14" x14ac:dyDescent="0.25">
      <c r="A4018" s="8">
        <v>985190</v>
      </c>
      <c r="B4018" s="22" t="str">
        <f>IFERROR(VLOOKUP(A4018,VLOOKUPS!$A$2:B$12589,2,FALSE),"")</f>
        <v>Organic Romaine Hearts 3ct-standard</v>
      </c>
      <c r="E4018">
        <v>3.12</v>
      </c>
      <c r="F4018">
        <v>3.86</v>
      </c>
      <c r="G4018" s="13">
        <v>44664</v>
      </c>
      <c r="H4018" s="13"/>
      <c r="I4018" s="22" t="str">
        <f>VLOOKUP(J4018, Dropdowns!N:O, 2, FALSE)</f>
        <v>Standard</v>
      </c>
      <c r="J4018" t="s">
        <v>761</v>
      </c>
      <c r="L4018" s="17" t="s">
        <v>732</v>
      </c>
      <c r="M4018" s="17" t="s">
        <v>9</v>
      </c>
      <c r="N4018" s="17" t="s">
        <v>736</v>
      </c>
    </row>
    <row r="4019" spans="1:14" x14ac:dyDescent="0.25">
      <c r="A4019" s="8">
        <v>985760</v>
      </c>
      <c r="B4019" s="22" t="str">
        <f>IFERROR(VLOOKUP(A4019,VLOOKUPS!$A$2:B$12589,2,FALSE),"")</f>
        <v>Asparagus 1lb-standard</v>
      </c>
      <c r="G4019" s="13">
        <v>44664</v>
      </c>
      <c r="H4019" s="13">
        <v>44670</v>
      </c>
      <c r="I4019" s="22" t="str">
        <f>VLOOKUP(J4019, Dropdowns!N:O, 2, FALSE)</f>
        <v>Lower Price</v>
      </c>
      <c r="J4019" t="s">
        <v>753</v>
      </c>
      <c r="L4019" s="17" t="s">
        <v>732</v>
      </c>
      <c r="M4019" s="17" t="s">
        <v>736</v>
      </c>
      <c r="N4019" s="17" t="s">
        <v>736</v>
      </c>
    </row>
    <row r="4020" spans="1:14" x14ac:dyDescent="0.25">
      <c r="A4020" s="8">
        <v>984541</v>
      </c>
      <c r="B4020" s="22" t="str">
        <f>IFERROR(VLOOKUP(A4020,VLOOKUPS!$A$2:B$12589,2,FALSE),"")</f>
        <v>Blueberries 1pt-standard</v>
      </c>
      <c r="E4020">
        <v>2.99</v>
      </c>
      <c r="F4020">
        <v>4.37</v>
      </c>
      <c r="G4020" s="13">
        <v>44665</v>
      </c>
      <c r="H4020" s="13"/>
      <c r="I4020" s="22" t="str">
        <f>VLOOKUP(J4020, Dropdowns!N:O, 2, FALSE)</f>
        <v>Standard</v>
      </c>
      <c r="J4020" t="s">
        <v>761</v>
      </c>
      <c r="L4020" s="17" t="s">
        <v>734</v>
      </c>
      <c r="M4020" s="17" t="s">
        <v>9</v>
      </c>
      <c r="N4020" s="17" t="s">
        <v>736</v>
      </c>
    </row>
    <row r="4021" spans="1:14" x14ac:dyDescent="0.25">
      <c r="A4021" s="8">
        <v>984542</v>
      </c>
      <c r="B4021" s="22" t="str">
        <f>IFERROR(VLOOKUP(A4021,VLOOKUPS!$A$2:B$12589,2,FALSE),"")</f>
        <v>Blueberries 18oz-standard</v>
      </c>
      <c r="E4021">
        <v>4.49</v>
      </c>
      <c r="F4021">
        <v>6.74</v>
      </c>
      <c r="G4021" s="13">
        <v>44665</v>
      </c>
      <c r="H4021" s="13"/>
      <c r="I4021" s="22" t="str">
        <f>VLOOKUP(J4021, Dropdowns!N:O, 2, FALSE)</f>
        <v>Standard</v>
      </c>
      <c r="J4021" t="s">
        <v>761</v>
      </c>
      <c r="L4021" s="17" t="s">
        <v>734</v>
      </c>
      <c r="M4021" s="17" t="s">
        <v>9</v>
      </c>
      <c r="N4021" s="17" t="s">
        <v>736</v>
      </c>
    </row>
    <row r="4022" spans="1:14" x14ac:dyDescent="0.25">
      <c r="A4022" s="8">
        <v>984582</v>
      </c>
      <c r="B4022" s="22" t="str">
        <f>IFERROR(VLOOKUP(A4022,VLOOKUPS!$A$2:B$12589,2,FALSE),"")</f>
        <v>Organic Blueberries 1pt-standard</v>
      </c>
      <c r="E4022">
        <v>5.19</v>
      </c>
      <c r="F4022">
        <v>5.44</v>
      </c>
      <c r="G4022" s="13">
        <v>44665</v>
      </c>
      <c r="H4022" s="13"/>
      <c r="I4022" s="22" t="str">
        <f>VLOOKUP(J4022, Dropdowns!N:O, 2, FALSE)</f>
        <v>Standard</v>
      </c>
      <c r="J4022" t="s">
        <v>761</v>
      </c>
      <c r="L4022" s="17" t="s">
        <v>734</v>
      </c>
      <c r="M4022" s="17" t="s">
        <v>9</v>
      </c>
      <c r="N4022" s="17" t="s">
        <v>736</v>
      </c>
    </row>
    <row r="4023" spans="1:14" x14ac:dyDescent="0.25">
      <c r="A4023" s="8">
        <v>985060</v>
      </c>
      <c r="B4023" s="22" t="str">
        <f>IFERROR(VLOOKUP(A4023,VLOOKUPS!$A$2:B$12589,2,FALSE),"")</f>
        <v>Lettuce* Iceberg 1ct-standard</v>
      </c>
      <c r="E4023">
        <v>1.44</v>
      </c>
      <c r="F4023">
        <v>1.69</v>
      </c>
      <c r="G4023" s="13">
        <v>44665</v>
      </c>
      <c r="H4023" s="13"/>
      <c r="I4023" s="22" t="str">
        <f>VLOOKUP(J4023, Dropdowns!N:O, 2, FALSE)</f>
        <v>Standard</v>
      </c>
      <c r="J4023" t="s">
        <v>761</v>
      </c>
      <c r="L4023" s="17" t="s">
        <v>732</v>
      </c>
      <c r="M4023" s="17" t="s">
        <v>736</v>
      </c>
      <c r="N4023" s="17" t="s">
        <v>736</v>
      </c>
    </row>
    <row r="4024" spans="1:14" x14ac:dyDescent="0.25">
      <c r="A4024" s="8">
        <v>987560</v>
      </c>
      <c r="B4024" s="22" t="str">
        <f>IFERROR(VLOOKUP(A4024,VLOOKUPS!$A$2:B$12589,2,FALSE),"")</f>
        <v>Celery 1ct-standard</v>
      </c>
      <c r="E4024">
        <v>1.64</v>
      </c>
      <c r="F4024">
        <v>1.69</v>
      </c>
      <c r="G4024" s="13">
        <v>44665</v>
      </c>
      <c r="H4024" s="13"/>
      <c r="I4024" s="22" t="str">
        <f>VLOOKUP(J4024, Dropdowns!N:O, 2, FALSE)</f>
        <v>Standard</v>
      </c>
      <c r="J4024" t="s">
        <v>761</v>
      </c>
      <c r="L4024" s="17" t="s">
        <v>732</v>
      </c>
      <c r="M4024" s="17" t="s">
        <v>736</v>
      </c>
      <c r="N4024" s="17" t="s">
        <v>736</v>
      </c>
    </row>
    <row r="4025" spans="1:14" x14ac:dyDescent="0.25">
      <c r="A4025" s="8">
        <v>983105</v>
      </c>
      <c r="B4025" s="22" t="str">
        <f>IFERROR(VLOOKUP(A4025,VLOOKUPS!$A$2:B$12589,2,FALSE),"")</f>
        <v>Melons Galia 1ct-loose</v>
      </c>
      <c r="D4025">
        <v>8</v>
      </c>
      <c r="E4025">
        <v>3.18</v>
      </c>
      <c r="G4025" s="13">
        <v>44665</v>
      </c>
      <c r="H4025" s="13"/>
      <c r="I4025" s="22" t="str">
        <f>VLOOKUP(J4025, Dropdowns!N:O, 2, FALSE)</f>
        <v>NA</v>
      </c>
      <c r="J4025" t="s">
        <v>754</v>
      </c>
      <c r="L4025" s="17" t="s">
        <v>732</v>
      </c>
      <c r="M4025" s="17" t="s">
        <v>10</v>
      </c>
      <c r="N4025" s="17">
        <v>2</v>
      </c>
    </row>
    <row r="4026" spans="1:14" x14ac:dyDescent="0.25">
      <c r="A4026" s="8">
        <v>986270</v>
      </c>
      <c r="B4026" s="22" t="str">
        <f>IFERROR(VLOOKUP(A4026,VLOOKUPS!$A$2:B$12589,2,FALSE),"")</f>
        <v>Organic French Beans 1lb-standard</v>
      </c>
      <c r="E4026">
        <v>3.99</v>
      </c>
      <c r="F4026">
        <v>2.59</v>
      </c>
      <c r="G4026" s="13">
        <v>44666</v>
      </c>
      <c r="H4026" s="13">
        <v>44667</v>
      </c>
      <c r="I4026" s="22" t="str">
        <f>VLOOKUP(J4026, Dropdowns!N:O, 2, FALSE)</f>
        <v>Lower Price</v>
      </c>
      <c r="J4026" t="s">
        <v>759</v>
      </c>
      <c r="L4026" s="17" t="s">
        <v>732</v>
      </c>
      <c r="M4026" s="17" t="s">
        <v>9</v>
      </c>
      <c r="N4026" s="17" t="s">
        <v>736</v>
      </c>
    </row>
    <row r="4027" spans="1:14" x14ac:dyDescent="0.25">
      <c r="A4027" s="8">
        <v>986270</v>
      </c>
      <c r="B4027" s="22" t="str">
        <f>IFERROR(VLOOKUP(A4027,VLOOKUPS!$A$2:B$12589,2,FALSE),"")</f>
        <v>Organic French Beans 1lb-standard</v>
      </c>
      <c r="E4027">
        <v>2.59</v>
      </c>
      <c r="F4027">
        <v>3.99</v>
      </c>
      <c r="G4027" s="13">
        <v>44668</v>
      </c>
      <c r="H4027" s="13"/>
      <c r="I4027" s="22" t="str">
        <f>VLOOKUP(J4027, Dropdowns!N:O, 2, FALSE)</f>
        <v>Standard</v>
      </c>
      <c r="J4027" t="s">
        <v>760</v>
      </c>
      <c r="L4027" s="17" t="s">
        <v>732</v>
      </c>
      <c r="M4027" s="17" t="s">
        <v>9</v>
      </c>
      <c r="N4027" s="17" t="s">
        <v>736</v>
      </c>
    </row>
    <row r="4028" spans="1:14" x14ac:dyDescent="0.25">
      <c r="A4028" s="8">
        <v>988640</v>
      </c>
      <c r="B4028" s="22" t="str">
        <f>IFERROR(VLOOKUP(A4028,VLOOKUPS!$A$2:B$12589,2,FALSE),"")</f>
        <v>Organic Brussels Sprouts 1lb-standard</v>
      </c>
      <c r="E4028">
        <v>3.98</v>
      </c>
      <c r="F4028">
        <v>1.99</v>
      </c>
      <c r="G4028" s="13">
        <v>44666</v>
      </c>
      <c r="H4028" s="13">
        <v>44667</v>
      </c>
      <c r="I4028" s="22" t="str">
        <f>VLOOKUP(J4028, Dropdowns!N:O, 2, FALSE)</f>
        <v>Lower Price</v>
      </c>
      <c r="J4028" t="s">
        <v>759</v>
      </c>
      <c r="L4028" s="17" t="s">
        <v>733</v>
      </c>
      <c r="M4028" s="17" t="s">
        <v>738</v>
      </c>
      <c r="N4028" s="17" t="s">
        <v>740</v>
      </c>
    </row>
    <row r="4029" spans="1:14" x14ac:dyDescent="0.25">
      <c r="A4029" s="8">
        <v>988640</v>
      </c>
      <c r="B4029" s="22" t="str">
        <f>IFERROR(VLOOKUP(A4029,VLOOKUPS!$A$2:B$12589,2,FALSE),"")</f>
        <v>Organic Brussels Sprouts 1lb-standard</v>
      </c>
      <c r="E4029">
        <v>1.99</v>
      </c>
      <c r="F4029">
        <v>3.98</v>
      </c>
      <c r="G4029" s="13">
        <v>44668</v>
      </c>
      <c r="H4029" s="13"/>
      <c r="I4029" s="22" t="str">
        <f>VLOOKUP(J4029, Dropdowns!N:O, 2, FALSE)</f>
        <v>Standard</v>
      </c>
      <c r="J4029" t="s">
        <v>760</v>
      </c>
      <c r="L4029" s="17" t="s">
        <v>733</v>
      </c>
      <c r="M4029" s="17" t="s">
        <v>738</v>
      </c>
      <c r="N4029" s="17" t="s">
        <v>740</v>
      </c>
    </row>
    <row r="4030" spans="1:14" x14ac:dyDescent="0.25">
      <c r="A4030" s="8">
        <v>995000</v>
      </c>
      <c r="B4030" s="22" t="str">
        <f>IFERROR(VLOOKUP(A4030,VLOOKUPS!$A$2:B$12589,2,FALSE),"")</f>
        <v>Spring Mix 5oz-standard</v>
      </c>
      <c r="E4030">
        <v>2.63</v>
      </c>
      <c r="F4030">
        <v>1.71</v>
      </c>
      <c r="G4030" s="13">
        <v>44666</v>
      </c>
      <c r="H4030" s="13">
        <v>44667</v>
      </c>
      <c r="I4030" s="22" t="str">
        <f>VLOOKUP(J4030, Dropdowns!N:O, 2, FALSE)</f>
        <v>Lower Price</v>
      </c>
      <c r="J4030" t="s">
        <v>759</v>
      </c>
      <c r="L4030" s="17" t="s">
        <v>733</v>
      </c>
      <c r="M4030" s="17" t="s">
        <v>737</v>
      </c>
      <c r="N4030" s="17" t="s">
        <v>740</v>
      </c>
    </row>
    <row r="4031" spans="1:14" x14ac:dyDescent="0.25">
      <c r="A4031" s="8">
        <v>995000</v>
      </c>
      <c r="B4031" s="22" t="str">
        <f>IFERROR(VLOOKUP(A4031,VLOOKUPS!$A$2:B$12589,2,FALSE),"")</f>
        <v>Spring Mix 5oz-standard</v>
      </c>
      <c r="E4031">
        <v>2.4900000000000002</v>
      </c>
      <c r="F4031">
        <v>1.62</v>
      </c>
      <c r="G4031" s="13">
        <v>44666</v>
      </c>
      <c r="H4031" s="13">
        <v>44667</v>
      </c>
      <c r="I4031" s="22" t="str">
        <f>VLOOKUP(J4031, Dropdowns!N:O, 2, FALSE)</f>
        <v>Lower Price</v>
      </c>
      <c r="J4031" t="s">
        <v>759</v>
      </c>
      <c r="L4031" s="17" t="s">
        <v>734</v>
      </c>
      <c r="M4031" s="17" t="s">
        <v>9</v>
      </c>
      <c r="N4031" s="17" t="s">
        <v>736</v>
      </c>
    </row>
    <row r="4032" spans="1:14" x14ac:dyDescent="0.25">
      <c r="A4032" s="8">
        <v>995000</v>
      </c>
      <c r="B4032" s="22" t="str">
        <f>IFERROR(VLOOKUP(A4032,VLOOKUPS!$A$2:B$12589,2,FALSE),"")</f>
        <v>Spring Mix 5oz-standard</v>
      </c>
      <c r="E4032">
        <v>1.71</v>
      </c>
      <c r="F4032">
        <v>2.63</v>
      </c>
      <c r="G4032" s="13">
        <v>44668</v>
      </c>
      <c r="H4032" s="13"/>
      <c r="I4032" s="22" t="str">
        <f>VLOOKUP(J4032, Dropdowns!N:O, 2, FALSE)</f>
        <v>Standard</v>
      </c>
      <c r="J4032" t="s">
        <v>760</v>
      </c>
      <c r="L4032" s="17" t="s">
        <v>732</v>
      </c>
      <c r="M4032" s="17" t="s">
        <v>737</v>
      </c>
      <c r="N4032" s="17" t="s">
        <v>740</v>
      </c>
    </row>
    <row r="4033" spans="1:14" x14ac:dyDescent="0.25">
      <c r="A4033" s="8">
        <v>995000</v>
      </c>
      <c r="B4033" s="22" t="str">
        <f>IFERROR(VLOOKUP(A4033,VLOOKUPS!$A$2:B$12589,2,FALSE),"")</f>
        <v>Spring Mix 5oz-standard</v>
      </c>
      <c r="E4033">
        <v>1.62</v>
      </c>
      <c r="F4033">
        <v>2.4900000000000002</v>
      </c>
      <c r="G4033" s="13">
        <v>44668</v>
      </c>
      <c r="H4033" s="13"/>
      <c r="I4033" s="22" t="str">
        <f>VLOOKUP(J4033, Dropdowns!N:O, 2, FALSE)</f>
        <v>Standard</v>
      </c>
      <c r="J4033" t="s">
        <v>760</v>
      </c>
      <c r="L4033" s="17" t="s">
        <v>734</v>
      </c>
      <c r="M4033" s="17" t="s">
        <v>9</v>
      </c>
      <c r="N4033" s="17" t="s">
        <v>736</v>
      </c>
    </row>
    <row r="4034" spans="1:14" x14ac:dyDescent="0.25">
      <c r="A4034" s="8">
        <v>995001</v>
      </c>
      <c r="B4034" s="22" t="str">
        <f>IFERROR(VLOOKUP(A4034,VLOOKUPS!$A$2:B$12589,2,FALSE),"")</f>
        <v>Spinach Baby 6oz-standard</v>
      </c>
      <c r="E4034">
        <v>2.63</v>
      </c>
      <c r="F4034">
        <v>1.71</v>
      </c>
      <c r="G4034" s="13">
        <v>44666</v>
      </c>
      <c r="H4034" s="13">
        <v>44667</v>
      </c>
      <c r="I4034" s="22" t="str">
        <f>VLOOKUP(J4034, Dropdowns!N:O, 2, FALSE)</f>
        <v>Lower Price</v>
      </c>
      <c r="J4034" t="s">
        <v>759</v>
      </c>
      <c r="L4034" s="17" t="s">
        <v>733</v>
      </c>
      <c r="M4034" s="17" t="s">
        <v>9</v>
      </c>
      <c r="N4034" s="17" t="s">
        <v>740</v>
      </c>
    </row>
    <row r="4035" spans="1:14" x14ac:dyDescent="0.25">
      <c r="A4035" s="8">
        <v>995001</v>
      </c>
      <c r="B4035" s="22" t="str">
        <f>IFERROR(VLOOKUP(A4035,VLOOKUPS!$A$2:B$12589,2,FALSE),"")</f>
        <v>Spinach Baby 6oz-standard</v>
      </c>
      <c r="E4035">
        <v>2.99</v>
      </c>
      <c r="F4035">
        <v>1.94</v>
      </c>
      <c r="G4035" s="13">
        <v>44666</v>
      </c>
      <c r="H4035" s="13">
        <v>44667</v>
      </c>
      <c r="I4035" s="22" t="str">
        <f>VLOOKUP(J4035, Dropdowns!N:O, 2, FALSE)</f>
        <v>Lower Price</v>
      </c>
      <c r="J4035" t="s">
        <v>759</v>
      </c>
      <c r="L4035" s="17" t="s">
        <v>734</v>
      </c>
      <c r="M4035" s="17" t="s">
        <v>9</v>
      </c>
      <c r="N4035" s="17" t="s">
        <v>736</v>
      </c>
    </row>
    <row r="4036" spans="1:14" x14ac:dyDescent="0.25">
      <c r="A4036" s="8">
        <v>995001</v>
      </c>
      <c r="B4036" s="22" t="str">
        <f>IFERROR(VLOOKUP(A4036,VLOOKUPS!$A$2:B$12589,2,FALSE),"")</f>
        <v>Spinach Baby 6oz-standard</v>
      </c>
      <c r="E4036">
        <v>1.71</v>
      </c>
      <c r="F4036">
        <v>2.63</v>
      </c>
      <c r="G4036" s="13">
        <v>44668</v>
      </c>
      <c r="H4036" s="13"/>
      <c r="I4036" s="22" t="str">
        <f>VLOOKUP(J4036, Dropdowns!N:O, 2, FALSE)</f>
        <v>Standard</v>
      </c>
      <c r="J4036" t="s">
        <v>760</v>
      </c>
      <c r="L4036" s="17" t="s">
        <v>733</v>
      </c>
      <c r="M4036" s="17" t="s">
        <v>9</v>
      </c>
      <c r="N4036" s="17" t="s">
        <v>740</v>
      </c>
    </row>
    <row r="4037" spans="1:14" x14ac:dyDescent="0.25">
      <c r="A4037" s="8">
        <v>995001</v>
      </c>
      <c r="B4037" s="22" t="str">
        <f>IFERROR(VLOOKUP(A4037,VLOOKUPS!$A$2:B$12589,2,FALSE),"")</f>
        <v>Spinach Baby 6oz-standard</v>
      </c>
      <c r="E4037">
        <v>1.94</v>
      </c>
      <c r="F4037">
        <v>2.99</v>
      </c>
      <c r="G4037" s="13">
        <v>44668</v>
      </c>
      <c r="H4037" s="13"/>
      <c r="I4037" s="22" t="str">
        <f>VLOOKUP(J4037, Dropdowns!N:O, 2, FALSE)</f>
        <v>Standard</v>
      </c>
      <c r="J4037" t="s">
        <v>760</v>
      </c>
      <c r="L4037" s="17" t="s">
        <v>734</v>
      </c>
      <c r="M4037" s="17" t="s">
        <v>9</v>
      </c>
      <c r="N4037" s="17" t="s">
        <v>736</v>
      </c>
    </row>
    <row r="4038" spans="1:14" x14ac:dyDescent="0.25">
      <c r="A4038" s="8">
        <v>995007</v>
      </c>
      <c r="B4038" s="22" t="str">
        <f>IFERROR(VLOOKUP(A4038,VLOOKUPS!$A$2:B$12589,2,FALSE),"")</f>
        <v>Caesar Salad Kit 10.5oz-standard</v>
      </c>
      <c r="E4038">
        <v>2.99</v>
      </c>
      <c r="F4038">
        <v>1.94</v>
      </c>
      <c r="G4038" s="13">
        <v>44666</v>
      </c>
      <c r="H4038" s="13">
        <v>44667</v>
      </c>
      <c r="I4038" s="22" t="str">
        <f>VLOOKUP(J4038, Dropdowns!N:O, 2, FALSE)</f>
        <v>Lower Price</v>
      </c>
      <c r="J4038" t="s">
        <v>759</v>
      </c>
      <c r="L4038" s="17" t="s">
        <v>733</v>
      </c>
      <c r="M4038" s="17" t="s">
        <v>11</v>
      </c>
      <c r="N4038" s="17" t="s">
        <v>740</v>
      </c>
    </row>
    <row r="4039" spans="1:14" x14ac:dyDescent="0.25">
      <c r="A4039" s="8">
        <v>995007</v>
      </c>
      <c r="B4039" s="22" t="str">
        <f>IFERROR(VLOOKUP(A4039,VLOOKUPS!$A$2:B$12589,2,FALSE),"")</f>
        <v>Caesar Salad Kit 10.5oz-standard</v>
      </c>
      <c r="E4039">
        <v>1.94</v>
      </c>
      <c r="F4039">
        <v>2.99</v>
      </c>
      <c r="G4039" s="13">
        <v>44668</v>
      </c>
      <c r="H4039" s="13"/>
      <c r="I4039" s="22" t="str">
        <f>VLOOKUP(J4039, Dropdowns!N:O, 2, FALSE)</f>
        <v>Standard</v>
      </c>
      <c r="J4039" t="s">
        <v>760</v>
      </c>
      <c r="L4039" s="17" t="s">
        <v>733</v>
      </c>
      <c r="M4039" s="17" t="s">
        <v>11</v>
      </c>
      <c r="N4039" s="17" t="s">
        <v>740</v>
      </c>
    </row>
    <row r="4040" spans="1:14" x14ac:dyDescent="0.25">
      <c r="A4040" s="8">
        <v>995045</v>
      </c>
      <c r="B4040" s="22" t="str">
        <f>IFERROR(VLOOKUP(A4040,VLOOKUPS!$A$2:B$12589,2,FALSE),"")</f>
        <v>Fajita Blend 12oz-standard</v>
      </c>
      <c r="E4040">
        <v>4.05</v>
      </c>
      <c r="F4040">
        <v>2.63</v>
      </c>
      <c r="G4040" s="13">
        <v>44666</v>
      </c>
      <c r="H4040" s="13">
        <v>44667</v>
      </c>
      <c r="I4040" s="22" t="str">
        <f>VLOOKUP(J4040, Dropdowns!N:O, 2, FALSE)</f>
        <v>Lower Price</v>
      </c>
      <c r="J4040" t="s">
        <v>759</v>
      </c>
      <c r="L4040" s="17" t="s">
        <v>733</v>
      </c>
      <c r="M4040" s="17" t="s">
        <v>11</v>
      </c>
      <c r="N4040" s="17" t="s">
        <v>740</v>
      </c>
    </row>
    <row r="4041" spans="1:14" x14ac:dyDescent="0.25">
      <c r="A4041" s="8">
        <v>995045</v>
      </c>
      <c r="B4041" s="22" t="str">
        <f>IFERROR(VLOOKUP(A4041,VLOOKUPS!$A$2:B$12589,2,FALSE),"")</f>
        <v>Fajita Blend 12oz-standard</v>
      </c>
      <c r="E4041">
        <v>2.63</v>
      </c>
      <c r="F4041">
        <v>4.05</v>
      </c>
      <c r="G4041" s="13">
        <v>44668</v>
      </c>
      <c r="H4041" s="13"/>
      <c r="I4041" s="22" t="str">
        <f>VLOOKUP(J4041, Dropdowns!N:O, 2, FALSE)</f>
        <v>Standard</v>
      </c>
      <c r="J4041" t="s">
        <v>760</v>
      </c>
      <c r="L4041" s="17" t="s">
        <v>733</v>
      </c>
      <c r="M4041" s="17" t="s">
        <v>11</v>
      </c>
      <c r="N4041" s="17" t="s">
        <v>740</v>
      </c>
    </row>
    <row r="4042" spans="1:14" x14ac:dyDescent="0.25">
      <c r="A4042" s="8">
        <v>995077</v>
      </c>
      <c r="B4042" s="22" t="str">
        <f>IFERROR(VLOOKUP(A4042,VLOOKUPS!$A$2:B$12589,2,FALSE),"")</f>
        <v>Organic Baby Spring Mix 16oz-standard</v>
      </c>
      <c r="E4042">
        <v>4.9800000000000004</v>
      </c>
      <c r="F4042">
        <v>3.24</v>
      </c>
      <c r="G4042" s="13">
        <v>44666</v>
      </c>
      <c r="H4042" s="13">
        <v>44667</v>
      </c>
      <c r="I4042" s="22" t="str">
        <f>VLOOKUP(J4042, Dropdowns!N:O, 2, FALSE)</f>
        <v>Lower Price</v>
      </c>
      <c r="J4042" t="s">
        <v>759</v>
      </c>
      <c r="L4042" s="17" t="s">
        <v>733</v>
      </c>
      <c r="M4042" s="17" t="s">
        <v>11</v>
      </c>
      <c r="N4042" s="17" t="s">
        <v>740</v>
      </c>
    </row>
    <row r="4043" spans="1:14" x14ac:dyDescent="0.25">
      <c r="A4043" s="8">
        <v>995077</v>
      </c>
      <c r="B4043" s="22" t="str">
        <f>IFERROR(VLOOKUP(A4043,VLOOKUPS!$A$2:B$12589,2,FALSE),"")</f>
        <v>Organic Baby Spring Mix 16oz-standard</v>
      </c>
      <c r="E4043">
        <v>3.24</v>
      </c>
      <c r="F4043">
        <v>4.9800000000000004</v>
      </c>
      <c r="G4043" s="13">
        <v>44668</v>
      </c>
      <c r="H4043" s="13"/>
      <c r="I4043" s="22" t="str">
        <f>VLOOKUP(J4043, Dropdowns!N:O, 2, FALSE)</f>
        <v>Standard</v>
      </c>
      <c r="J4043" t="s">
        <v>760</v>
      </c>
      <c r="L4043" s="17" t="s">
        <v>733</v>
      </c>
      <c r="M4043" s="17" t="s">
        <v>11</v>
      </c>
      <c r="N4043" s="17" t="s">
        <v>740</v>
      </c>
    </row>
    <row r="4044" spans="1:14" x14ac:dyDescent="0.25">
      <c r="A4044" s="8">
        <v>995084</v>
      </c>
      <c r="B4044" s="22" t="str">
        <f>IFERROR(VLOOKUP(A4044,VLOOKUPS!$A$2:B$12589,2,FALSE),"")</f>
        <v>Eat Smart Green Beans 12oz-standard</v>
      </c>
      <c r="E4044">
        <v>2.78</v>
      </c>
      <c r="F4044">
        <v>1.81</v>
      </c>
      <c r="G4044" s="13">
        <v>44666</v>
      </c>
      <c r="H4044" s="13">
        <v>44667</v>
      </c>
      <c r="I4044" s="22" t="str">
        <f>VLOOKUP(J4044, Dropdowns!N:O, 2, FALSE)</f>
        <v>Lower Price</v>
      </c>
      <c r="J4044" t="s">
        <v>759</v>
      </c>
      <c r="L4044" s="17" t="s">
        <v>733</v>
      </c>
      <c r="M4044" s="17" t="s">
        <v>11</v>
      </c>
      <c r="N4044" s="17" t="s">
        <v>740</v>
      </c>
    </row>
    <row r="4045" spans="1:14" x14ac:dyDescent="0.25">
      <c r="A4045" s="8">
        <v>995084</v>
      </c>
      <c r="B4045" s="22" t="str">
        <f>IFERROR(VLOOKUP(A4045,VLOOKUPS!$A$2:B$12589,2,FALSE),"")</f>
        <v>Eat Smart Green Beans 12oz-standard</v>
      </c>
      <c r="E4045">
        <v>1.81</v>
      </c>
      <c r="F4045">
        <v>2.78</v>
      </c>
      <c r="G4045" s="13">
        <v>44668</v>
      </c>
      <c r="H4045" s="13"/>
      <c r="I4045" s="22" t="str">
        <f>VLOOKUP(J4045, Dropdowns!N:O, 2, FALSE)</f>
        <v>Standard</v>
      </c>
      <c r="J4045" t="s">
        <v>760</v>
      </c>
      <c r="L4045" s="17" t="s">
        <v>733</v>
      </c>
      <c r="M4045" s="17" t="s">
        <v>11</v>
      </c>
      <c r="N4045" s="17" t="s">
        <v>740</v>
      </c>
    </row>
    <row r="4046" spans="1:14" x14ac:dyDescent="0.25">
      <c r="A4046" s="8">
        <v>983105</v>
      </c>
      <c r="B4046" s="22" t="str">
        <f>IFERROR(VLOOKUP(A4046,VLOOKUPS!$A$2:B$12589,2,FALSE),"")</f>
        <v>Melons Galia 1ct-loose</v>
      </c>
      <c r="E4046">
        <v>3.18</v>
      </c>
      <c r="F4046">
        <v>2.06</v>
      </c>
      <c r="G4046" s="13">
        <v>44666</v>
      </c>
      <c r="H4046" s="13">
        <v>44667</v>
      </c>
      <c r="I4046" s="22" t="str">
        <f>VLOOKUP(J4046, Dropdowns!N:O, 2, FALSE)</f>
        <v>Lower Price</v>
      </c>
      <c r="J4046" t="s">
        <v>759</v>
      </c>
      <c r="L4046" s="17" t="s">
        <v>733</v>
      </c>
      <c r="M4046" s="17" t="s">
        <v>737</v>
      </c>
      <c r="N4046" s="17" t="s">
        <v>740</v>
      </c>
    </row>
    <row r="4047" spans="1:14" x14ac:dyDescent="0.25">
      <c r="A4047" s="8">
        <v>983105</v>
      </c>
      <c r="B4047" s="22" t="str">
        <f>IFERROR(VLOOKUP(A4047,VLOOKUPS!$A$2:B$12589,2,FALSE),"")</f>
        <v>Melons Galia 1ct-loose</v>
      </c>
      <c r="E4047">
        <v>2.06</v>
      </c>
      <c r="F4047">
        <v>3.18</v>
      </c>
      <c r="G4047" s="13">
        <v>44668</v>
      </c>
      <c r="H4047" s="13"/>
      <c r="I4047" s="22" t="str">
        <f>VLOOKUP(J4047, Dropdowns!N:O, 2, FALSE)</f>
        <v>Standard</v>
      </c>
      <c r="J4047" t="s">
        <v>760</v>
      </c>
      <c r="L4047" s="17" t="s">
        <v>733</v>
      </c>
      <c r="M4047" s="17" t="s">
        <v>737</v>
      </c>
      <c r="N4047" s="17" t="s">
        <v>740</v>
      </c>
    </row>
    <row r="4048" spans="1:14" x14ac:dyDescent="0.25">
      <c r="A4048" s="8">
        <v>982650</v>
      </c>
      <c r="B4048" s="22" t="str">
        <f>IFERROR(VLOOKUP(A4048,VLOOKUPS!$A$2:B$12589,2,FALSE),"")</f>
        <v>Grapes* Green Seedless 1lb-LOOSE</v>
      </c>
      <c r="E4048">
        <v>1.59</v>
      </c>
      <c r="F4048">
        <v>1.98</v>
      </c>
      <c r="G4048" s="13">
        <v>44667</v>
      </c>
      <c r="H4048" s="13"/>
      <c r="I4048" s="22" t="str">
        <f>VLOOKUP(J4048, Dropdowns!N:O, 2, FALSE)</f>
        <v>Standard</v>
      </c>
      <c r="J4048" t="s">
        <v>760</v>
      </c>
      <c r="L4048" s="17" t="s">
        <v>733</v>
      </c>
      <c r="M4048" s="17" t="s">
        <v>10</v>
      </c>
      <c r="N4048" s="17" t="s">
        <v>740</v>
      </c>
    </row>
    <row r="4049" spans="1:14" x14ac:dyDescent="0.25">
      <c r="A4049" s="8">
        <v>984620</v>
      </c>
      <c r="B4049" s="22" t="str">
        <f>IFERROR(VLOOKUP(A4049,VLOOKUPS!$A$2:B$12589,2,FALSE),"")</f>
        <v>Raspberries 6oz-standard</v>
      </c>
      <c r="E4049" s="23"/>
      <c r="G4049" s="13">
        <v>44667</v>
      </c>
      <c r="H4049" s="13">
        <v>44668</v>
      </c>
      <c r="I4049" s="22" t="str">
        <f>VLOOKUP(J4049, Dropdowns!N:O, 2, FALSE)</f>
        <v>Lower Price</v>
      </c>
      <c r="J4049" t="s">
        <v>753</v>
      </c>
      <c r="L4049" s="17" t="s">
        <v>732</v>
      </c>
      <c r="M4049" s="17" t="s">
        <v>736</v>
      </c>
      <c r="N4049" s="17" t="s">
        <v>736</v>
      </c>
    </row>
    <row r="4050" spans="1:14" x14ac:dyDescent="0.25">
      <c r="A4050" s="8">
        <v>984620</v>
      </c>
      <c r="B4050" s="22" t="str">
        <f>IFERROR(VLOOKUP(A4050,VLOOKUPS!$A$2:B$12589,2,FALSE),"")</f>
        <v>Raspberries 6oz-standard</v>
      </c>
      <c r="G4050" s="13">
        <v>44669</v>
      </c>
      <c r="H4050" s="13">
        <v>44669</v>
      </c>
      <c r="I4050" s="22" t="str">
        <f>VLOOKUP(J4050, Dropdowns!N:O, 2, FALSE)</f>
        <v>Lower Price</v>
      </c>
      <c r="J4050" t="s">
        <v>762</v>
      </c>
      <c r="L4050" s="17" t="s">
        <v>732</v>
      </c>
      <c r="M4050" s="17" t="s">
        <v>736</v>
      </c>
      <c r="N4050" s="17" t="s">
        <v>736</v>
      </c>
    </row>
    <row r="4051" spans="1:14" x14ac:dyDescent="0.25">
      <c r="A4051" s="8">
        <v>987560</v>
      </c>
      <c r="B4051" s="22" t="str">
        <f>IFERROR(VLOOKUP(A4051,VLOOKUPS!$A$2:B$12589,2,FALSE),"")</f>
        <v>Celery 1ct-standard</v>
      </c>
      <c r="E4051">
        <v>1.69</v>
      </c>
      <c r="F4051">
        <v>1.1000000000000001</v>
      </c>
      <c r="G4051" s="13">
        <v>44667</v>
      </c>
      <c r="H4051" s="13">
        <v>44668</v>
      </c>
      <c r="I4051" s="22" t="str">
        <f>VLOOKUP(J4051, Dropdowns!N:O, 2, FALSE)</f>
        <v>Lower Price</v>
      </c>
      <c r="J4051" t="s">
        <v>759</v>
      </c>
      <c r="L4051" s="17" t="s">
        <v>732</v>
      </c>
      <c r="M4051" s="17" t="s">
        <v>737</v>
      </c>
      <c r="N4051" s="17" t="s">
        <v>736</v>
      </c>
    </row>
    <row r="4052" spans="1:14" x14ac:dyDescent="0.25">
      <c r="A4052" s="8">
        <v>987560</v>
      </c>
      <c r="B4052" s="22" t="str">
        <f>IFERROR(VLOOKUP(A4052,VLOOKUPS!$A$2:B$12589,2,FALSE),"")</f>
        <v>Celery 1ct-standard</v>
      </c>
      <c r="E4052">
        <v>1.1000000000000001</v>
      </c>
      <c r="F4052">
        <v>1.69</v>
      </c>
      <c r="G4052" s="13">
        <v>44669</v>
      </c>
      <c r="H4052" s="13"/>
      <c r="I4052" s="22" t="str">
        <f>VLOOKUP(J4052, Dropdowns!N:O, 2, FALSE)</f>
        <v>Standard</v>
      </c>
      <c r="J4052" t="s">
        <v>760</v>
      </c>
      <c r="L4052" s="17" t="s">
        <v>732</v>
      </c>
      <c r="M4052" s="17" t="s">
        <v>737</v>
      </c>
      <c r="N4052" s="17" t="s">
        <v>736</v>
      </c>
    </row>
    <row r="4053" spans="1:14" x14ac:dyDescent="0.25">
      <c r="A4053" s="8">
        <v>995012</v>
      </c>
      <c r="B4053" s="22" t="str">
        <f>IFERROR(VLOOKUP(A4053,VLOOKUPS!$A$2:B$12589,2,FALSE),"")</f>
        <v>RTE Cranberry Walnut Salad 4.5oz-standard</v>
      </c>
      <c r="D4053">
        <v>8</v>
      </c>
      <c r="E4053">
        <v>3.12</v>
      </c>
      <c r="G4053" s="13">
        <v>44667</v>
      </c>
      <c r="H4053" s="13"/>
      <c r="I4053" s="22" t="str">
        <f>VLOOKUP(J4053, Dropdowns!N:O, 2, FALSE)</f>
        <v>NA</v>
      </c>
      <c r="J4053" t="s">
        <v>754</v>
      </c>
      <c r="L4053" s="17" t="s">
        <v>732</v>
      </c>
      <c r="M4053" s="17" t="s">
        <v>736</v>
      </c>
      <c r="N4053" s="17" t="s">
        <v>736</v>
      </c>
    </row>
    <row r="4054" spans="1:14" x14ac:dyDescent="0.25">
      <c r="A4054" s="8">
        <v>995015</v>
      </c>
      <c r="B4054" s="22" t="str">
        <f>IFERROR(VLOOKUP(A4054,VLOOKUPS!$A$2:B$12589,2,FALSE),"")</f>
        <v>Savory Spinach Dijon Salad 4.9oz-standard</v>
      </c>
      <c r="D4054">
        <v>8</v>
      </c>
      <c r="E4054">
        <v>3.12</v>
      </c>
      <c r="G4054" s="13">
        <v>44667</v>
      </c>
      <c r="H4054" s="13"/>
      <c r="I4054" s="22" t="str">
        <f>VLOOKUP(J4054, Dropdowns!N:O, 2, FALSE)</f>
        <v>NA</v>
      </c>
      <c r="J4054" t="s">
        <v>754</v>
      </c>
      <c r="L4054" s="17" t="s">
        <v>732</v>
      </c>
      <c r="M4054" s="17" t="s">
        <v>736</v>
      </c>
      <c r="N4054" s="17" t="s">
        <v>736</v>
      </c>
    </row>
    <row r="4055" spans="1:14" x14ac:dyDescent="0.25">
      <c r="A4055" s="8">
        <v>995032</v>
      </c>
      <c r="B4055" s="22" t="str">
        <f>IFERROR(VLOOKUP(A4055,VLOOKUPS!$A$2:B$12589,2,FALSE),"")</f>
        <v>Chopped Sunflower Crunch Kit 12.2oz-standard</v>
      </c>
      <c r="E4055">
        <v>3.49</v>
      </c>
      <c r="F4055">
        <v>1.75</v>
      </c>
      <c r="G4055" s="13">
        <v>44667</v>
      </c>
      <c r="H4055" s="13">
        <v>44668</v>
      </c>
      <c r="I4055" s="22" t="str">
        <f>VLOOKUP(J4055, Dropdowns!N:O, 2, FALSE)</f>
        <v>Lower Price</v>
      </c>
      <c r="J4055" t="s">
        <v>759</v>
      </c>
      <c r="L4055" s="17" t="s">
        <v>733</v>
      </c>
      <c r="M4055" s="17" t="s">
        <v>738</v>
      </c>
      <c r="N4055" s="17" t="s">
        <v>740</v>
      </c>
    </row>
    <row r="4056" spans="1:14" x14ac:dyDescent="0.25">
      <c r="A4056" s="8">
        <v>995032</v>
      </c>
      <c r="B4056" s="22" t="str">
        <f>IFERROR(VLOOKUP(A4056,VLOOKUPS!$A$2:B$12589,2,FALSE),"")</f>
        <v>Chopped Sunflower Crunch Kit 12.2oz-standard</v>
      </c>
      <c r="E4056">
        <v>1.75</v>
      </c>
      <c r="F4056">
        <v>3.49</v>
      </c>
      <c r="G4056" s="13">
        <v>44669</v>
      </c>
      <c r="H4056" s="13"/>
      <c r="I4056" s="22" t="str">
        <f>VLOOKUP(J4056, Dropdowns!N:O, 2, FALSE)</f>
        <v>Standard</v>
      </c>
      <c r="J4056" t="s">
        <v>760</v>
      </c>
      <c r="L4056" s="17" t="s">
        <v>733</v>
      </c>
      <c r="M4056" s="17" t="s">
        <v>738</v>
      </c>
      <c r="N4056" s="17" t="s">
        <v>740</v>
      </c>
    </row>
    <row r="4057" spans="1:14" x14ac:dyDescent="0.25">
      <c r="A4057" s="8">
        <v>995084</v>
      </c>
      <c r="B4057" s="22" t="str">
        <f>IFERROR(VLOOKUP(A4057,VLOOKUPS!$A$2:B$12589,2,FALSE),"")</f>
        <v>Eat Smart Green Beans 12oz-standard</v>
      </c>
      <c r="E4057">
        <v>2.78</v>
      </c>
      <c r="F4057">
        <v>1.81</v>
      </c>
      <c r="G4057" s="13">
        <v>44667</v>
      </c>
      <c r="H4057" s="13">
        <v>44668</v>
      </c>
      <c r="I4057" s="22" t="str">
        <f>VLOOKUP(J4057, Dropdowns!N:O, 2, FALSE)</f>
        <v>Lower Price</v>
      </c>
      <c r="J4057" t="s">
        <v>759</v>
      </c>
      <c r="L4057" s="17" t="s">
        <v>733</v>
      </c>
      <c r="M4057" s="17" t="s">
        <v>735</v>
      </c>
      <c r="N4057" s="17" t="s">
        <v>740</v>
      </c>
    </row>
    <row r="4058" spans="1:14" x14ac:dyDescent="0.25">
      <c r="A4058" s="8">
        <v>995084</v>
      </c>
      <c r="B4058" s="22" t="str">
        <f>IFERROR(VLOOKUP(A4058,VLOOKUPS!$A$2:B$12589,2,FALSE),"")</f>
        <v>Eat Smart Green Beans 12oz-standard</v>
      </c>
      <c r="E4058">
        <v>3.19</v>
      </c>
      <c r="F4058">
        <v>2.0699999999999998</v>
      </c>
      <c r="G4058" s="13">
        <v>44667</v>
      </c>
      <c r="H4058" s="13">
        <v>44668</v>
      </c>
      <c r="I4058" s="22" t="str">
        <f>VLOOKUP(J4058, Dropdowns!N:O, 2, FALSE)</f>
        <v>Lower Price</v>
      </c>
      <c r="J4058" t="s">
        <v>759</v>
      </c>
      <c r="L4058" s="17" t="s">
        <v>734</v>
      </c>
      <c r="M4058" s="17" t="s">
        <v>9</v>
      </c>
      <c r="N4058" s="17" t="s">
        <v>736</v>
      </c>
    </row>
    <row r="4059" spans="1:14" x14ac:dyDescent="0.25">
      <c r="A4059" s="8">
        <v>995084</v>
      </c>
      <c r="B4059" s="22" t="str">
        <f>IFERROR(VLOOKUP(A4059,VLOOKUPS!$A$2:B$12589,2,FALSE),"")</f>
        <v>Eat Smart Green Beans 12oz-standard</v>
      </c>
      <c r="E4059">
        <v>1.81</v>
      </c>
      <c r="F4059">
        <v>2.78</v>
      </c>
      <c r="G4059" s="13">
        <v>44669</v>
      </c>
      <c r="H4059" s="13"/>
      <c r="I4059" s="22" t="str">
        <f>VLOOKUP(J4059, Dropdowns!N:O, 2, FALSE)</f>
        <v>Standard</v>
      </c>
      <c r="J4059" t="s">
        <v>760</v>
      </c>
      <c r="L4059" s="17" t="s">
        <v>733</v>
      </c>
      <c r="M4059" s="17" t="s">
        <v>735</v>
      </c>
      <c r="N4059" s="17" t="s">
        <v>740</v>
      </c>
    </row>
    <row r="4060" spans="1:14" x14ac:dyDescent="0.25">
      <c r="A4060" s="8">
        <v>995084</v>
      </c>
      <c r="B4060" s="22" t="str">
        <f>IFERROR(VLOOKUP(A4060,VLOOKUPS!$A$2:B$12589,2,FALSE),"")</f>
        <v>Eat Smart Green Beans 12oz-standard</v>
      </c>
      <c r="E4060">
        <v>2.0699999999999998</v>
      </c>
      <c r="F4060">
        <v>3.19</v>
      </c>
      <c r="G4060" s="13">
        <v>44669</v>
      </c>
      <c r="H4060" s="13"/>
      <c r="I4060" s="22" t="str">
        <f>VLOOKUP(J4060, Dropdowns!N:O, 2, FALSE)</f>
        <v>Standard</v>
      </c>
      <c r="J4060" t="s">
        <v>760</v>
      </c>
      <c r="L4060" s="17" t="s">
        <v>734</v>
      </c>
      <c r="M4060" s="17" t="s">
        <v>9</v>
      </c>
      <c r="N4060" s="17" t="s">
        <v>736</v>
      </c>
    </row>
    <row r="4061" spans="1:14" x14ac:dyDescent="0.25">
      <c r="A4061" s="8">
        <v>995086</v>
      </c>
      <c r="B4061" s="22" t="str">
        <f>IFERROR(VLOOKUP(A4061,VLOOKUPS!$A$2:B$12589,2,FALSE),"")</f>
        <v>Eat Smart Broccoli Florets 2lbs-standard</v>
      </c>
      <c r="E4061">
        <v>5.98</v>
      </c>
      <c r="F4061">
        <v>3.89</v>
      </c>
      <c r="G4061" s="13">
        <v>44667</v>
      </c>
      <c r="H4061" s="13">
        <v>44668</v>
      </c>
      <c r="I4061" s="22" t="str">
        <f>VLOOKUP(J4061, Dropdowns!N:O, 2, FALSE)</f>
        <v>Lower Price</v>
      </c>
      <c r="J4061" t="s">
        <v>759</v>
      </c>
      <c r="L4061" s="17" t="s">
        <v>733</v>
      </c>
      <c r="M4061" s="17" t="s">
        <v>9</v>
      </c>
      <c r="N4061" s="17" t="s">
        <v>740</v>
      </c>
    </row>
    <row r="4062" spans="1:14" x14ac:dyDescent="0.25">
      <c r="A4062" s="8">
        <v>995086</v>
      </c>
      <c r="B4062" s="22" t="str">
        <f>IFERROR(VLOOKUP(A4062,VLOOKUPS!$A$2:B$12589,2,FALSE),"")</f>
        <v>Eat Smart Broccoli Florets 2lbs-standard</v>
      </c>
      <c r="E4062">
        <v>5.99</v>
      </c>
      <c r="F4062">
        <v>3.89</v>
      </c>
      <c r="G4062" s="13">
        <v>44667</v>
      </c>
      <c r="H4062" s="13">
        <v>44668</v>
      </c>
      <c r="I4062" s="22" t="str">
        <f>VLOOKUP(J4062, Dropdowns!N:O, 2, FALSE)</f>
        <v>Lower Price</v>
      </c>
      <c r="J4062" t="s">
        <v>759</v>
      </c>
      <c r="L4062" s="17" t="s">
        <v>734</v>
      </c>
      <c r="M4062" s="17" t="s">
        <v>9</v>
      </c>
      <c r="N4062" s="17" t="s">
        <v>736</v>
      </c>
    </row>
    <row r="4063" spans="1:14" x14ac:dyDescent="0.25">
      <c r="A4063" s="8">
        <v>995086</v>
      </c>
      <c r="B4063" s="22" t="str">
        <f>IFERROR(VLOOKUP(A4063,VLOOKUPS!$A$2:B$12589,2,FALSE),"")</f>
        <v>Eat Smart Broccoli Florets 2lbs-standard</v>
      </c>
      <c r="E4063">
        <v>3.89</v>
      </c>
      <c r="F4063">
        <v>5.98</v>
      </c>
      <c r="G4063" s="13">
        <v>44669</v>
      </c>
      <c r="H4063" s="13"/>
      <c r="I4063" s="22" t="str">
        <f>VLOOKUP(J4063, Dropdowns!N:O, 2, FALSE)</f>
        <v>Standard</v>
      </c>
      <c r="J4063" t="s">
        <v>760</v>
      </c>
      <c r="L4063" s="17" t="s">
        <v>733</v>
      </c>
      <c r="M4063" s="17" t="s">
        <v>9</v>
      </c>
      <c r="N4063" s="17" t="s">
        <v>740</v>
      </c>
    </row>
    <row r="4064" spans="1:14" x14ac:dyDescent="0.25">
      <c r="A4064" s="8">
        <v>995086</v>
      </c>
      <c r="B4064" s="22" t="str">
        <f>IFERROR(VLOOKUP(A4064,VLOOKUPS!$A$2:B$12589,2,FALSE),"")</f>
        <v>Eat Smart Broccoli Florets 2lbs-standard</v>
      </c>
      <c r="E4064">
        <v>3.89</v>
      </c>
      <c r="F4064">
        <v>5.99</v>
      </c>
      <c r="G4064" s="13">
        <v>44669</v>
      </c>
      <c r="H4064" s="13"/>
      <c r="I4064" s="22" t="str">
        <f>VLOOKUP(J4064, Dropdowns!N:O, 2, FALSE)</f>
        <v>Standard</v>
      </c>
      <c r="J4064" t="s">
        <v>760</v>
      </c>
      <c r="L4064" s="17" t="s">
        <v>734</v>
      </c>
      <c r="M4064" s="17" t="s">
        <v>9</v>
      </c>
      <c r="N4064" s="17" t="s">
        <v>736</v>
      </c>
    </row>
    <row r="4065" spans="1:14" x14ac:dyDescent="0.25">
      <c r="A4065" s="8">
        <v>995115</v>
      </c>
      <c r="B4065" s="22" t="str">
        <f>IFERROR(VLOOKUP(A4065,VLOOKUPS!$A$2:B$12589,2,FALSE),"")</f>
        <v>Pineapple Chunks 10oz-standard</v>
      </c>
      <c r="E4065">
        <v>3.24</v>
      </c>
      <c r="F4065">
        <v>1.62</v>
      </c>
      <c r="G4065" s="13">
        <v>44667</v>
      </c>
      <c r="H4065" s="13">
        <v>44668</v>
      </c>
      <c r="I4065" s="22" t="str">
        <f>VLOOKUP(J4065, Dropdowns!N:O, 2, FALSE)</f>
        <v>Lower Price</v>
      </c>
      <c r="J4065" t="s">
        <v>759</v>
      </c>
      <c r="L4065" s="17" t="s">
        <v>733</v>
      </c>
      <c r="M4065" s="17" t="s">
        <v>10</v>
      </c>
      <c r="N4065" s="17" t="s">
        <v>740</v>
      </c>
    </row>
    <row r="4066" spans="1:14" x14ac:dyDescent="0.25">
      <c r="A4066" s="8">
        <v>995115</v>
      </c>
      <c r="B4066" s="22" t="str">
        <f>IFERROR(VLOOKUP(A4066,VLOOKUPS!$A$2:B$12589,2,FALSE),"")</f>
        <v>Pineapple Chunks 10oz-standard</v>
      </c>
      <c r="E4066">
        <v>1.62</v>
      </c>
      <c r="F4066">
        <v>3.24</v>
      </c>
      <c r="G4066" s="13">
        <v>44669</v>
      </c>
      <c r="H4066" s="13"/>
      <c r="I4066" s="22" t="str">
        <f>VLOOKUP(J4066, Dropdowns!N:O, 2, FALSE)</f>
        <v>Standard</v>
      </c>
      <c r="J4066" t="s">
        <v>760</v>
      </c>
      <c r="L4066" s="17" t="s">
        <v>733</v>
      </c>
      <c r="M4066" s="17" t="s">
        <v>10</v>
      </c>
      <c r="N4066" s="17" t="s">
        <v>740</v>
      </c>
    </row>
    <row r="4067" spans="1:14" x14ac:dyDescent="0.25">
      <c r="A4067" s="8">
        <v>982740</v>
      </c>
      <c r="B4067" s="22" t="str">
        <f>IFERROR(VLOOKUP(A4067,VLOOKUPS!$A$2:B$12589,2,FALSE),"")</f>
        <v>Grapes* Red Seedless 1lb-LOOSE</v>
      </c>
      <c r="G4067" s="13">
        <v>44668</v>
      </c>
      <c r="H4067" s="13">
        <v>44670</v>
      </c>
      <c r="I4067" s="22" t="str">
        <f>VLOOKUP(J4067, Dropdowns!N:O, 2, FALSE)</f>
        <v>Lower Price</v>
      </c>
      <c r="J4067" t="s">
        <v>779</v>
      </c>
      <c r="L4067" s="17" t="s">
        <v>732</v>
      </c>
      <c r="M4067" s="17" t="s">
        <v>736</v>
      </c>
      <c r="N4067" s="17" t="s">
        <v>736</v>
      </c>
    </row>
    <row r="4068" spans="1:14" x14ac:dyDescent="0.25">
      <c r="A4068" s="8">
        <v>982830</v>
      </c>
      <c r="B4068" s="22" t="str">
        <f>IFERROR(VLOOKUP(A4068,VLOOKUPS!$A$2:B$12589,2,FALSE),"")</f>
        <v>Grapes* Black Seedless 1lb-LOOSE</v>
      </c>
      <c r="E4068">
        <v>1.88</v>
      </c>
      <c r="F4068">
        <v>2.2799999999999998</v>
      </c>
      <c r="G4068" s="13">
        <v>44667</v>
      </c>
      <c r="H4068" s="13"/>
      <c r="I4068" s="22" t="str">
        <f>VLOOKUP(J4068, Dropdowns!N:O, 2, FALSE)</f>
        <v>Standard</v>
      </c>
      <c r="J4068" t="s">
        <v>761</v>
      </c>
      <c r="L4068" s="17" t="s">
        <v>733</v>
      </c>
      <c r="M4068" s="17" t="s">
        <v>736</v>
      </c>
      <c r="N4068" s="17" t="s">
        <v>740</v>
      </c>
    </row>
    <row r="4069" spans="1:14" x14ac:dyDescent="0.25">
      <c r="A4069" s="8">
        <v>984461</v>
      </c>
      <c r="B4069" s="22" t="str">
        <f>IFERROR(VLOOKUP(A4069,VLOOKUPS!$A$2:B$12589,2,FALSE),"")</f>
        <v>Strawberries 2lb-standard</v>
      </c>
      <c r="E4069">
        <v>5.12</v>
      </c>
      <c r="F4069">
        <v>4.8600000000000003</v>
      </c>
      <c r="G4069" s="13">
        <v>44670</v>
      </c>
      <c r="H4069" s="13"/>
      <c r="I4069" s="22" t="str">
        <f>VLOOKUP(J4069, Dropdowns!N:O, 2, FALSE)</f>
        <v>Standard</v>
      </c>
      <c r="J4069" t="s">
        <v>761</v>
      </c>
      <c r="L4069" s="17" t="s">
        <v>733</v>
      </c>
      <c r="M4069" s="17" t="s">
        <v>736</v>
      </c>
      <c r="N4069" s="17" t="s">
        <v>740</v>
      </c>
    </row>
    <row r="4070" spans="1:14" x14ac:dyDescent="0.25">
      <c r="A4070" s="8">
        <v>983105</v>
      </c>
      <c r="B4070" s="22" t="str">
        <f>IFERROR(VLOOKUP(A4070,VLOOKUPS!$A$2:B$12589,2,FALSE),"")</f>
        <v>Melons Galia 1ct-loose</v>
      </c>
      <c r="D4070">
        <v>8</v>
      </c>
      <c r="E4070">
        <v>3.18</v>
      </c>
      <c r="G4070" s="13">
        <v>44670</v>
      </c>
      <c r="H4070" s="13"/>
      <c r="I4070" s="22" t="str">
        <f>VLOOKUP(J4070, Dropdowns!N:O, 2, FALSE)</f>
        <v>NA</v>
      </c>
      <c r="J4070" t="s">
        <v>754</v>
      </c>
      <c r="L4070" s="17" t="s">
        <v>732</v>
      </c>
      <c r="M4070" s="17" t="s">
        <v>737</v>
      </c>
      <c r="N4070" s="17" t="s">
        <v>736</v>
      </c>
    </row>
    <row r="4071" spans="1:14" x14ac:dyDescent="0.25">
      <c r="A4071" s="8">
        <v>984620</v>
      </c>
      <c r="B4071" s="22" t="str">
        <f>IFERROR(VLOOKUP(A4071,VLOOKUPS!$A$2:B$12589,2,FALSE),"")</f>
        <v>Raspberries 6oz-standard</v>
      </c>
      <c r="E4071">
        <v>1.79</v>
      </c>
      <c r="F4071">
        <v>2.98</v>
      </c>
      <c r="G4071" s="13">
        <v>44670</v>
      </c>
      <c r="H4071" s="13"/>
      <c r="I4071" s="22" t="str">
        <f>VLOOKUP(J4071, Dropdowns!N:O, 2, FALSE)</f>
        <v>Standard</v>
      </c>
      <c r="J4071" t="s">
        <v>760</v>
      </c>
      <c r="L4071" s="17" t="s">
        <v>732</v>
      </c>
      <c r="M4071" s="17" t="s">
        <v>736</v>
      </c>
      <c r="N4071" s="17" t="s">
        <v>736</v>
      </c>
    </row>
    <row r="4072" spans="1:14" x14ac:dyDescent="0.25">
      <c r="A4072" s="8">
        <v>984460</v>
      </c>
      <c r="B4072" s="22" t="str">
        <f>IFERROR(VLOOKUP(A4072,VLOOKUPS!$A$2:B$12589,2,FALSE),"")</f>
        <v>Strawberries 1lb-standard</v>
      </c>
      <c r="G4072" s="13">
        <v>44671</v>
      </c>
      <c r="H4072" s="13">
        <v>44677</v>
      </c>
      <c r="I4072" s="22" t="str">
        <f>VLOOKUP(J4072, Dropdowns!N:O, 2, FALSE)</f>
        <v>Lower Price</v>
      </c>
      <c r="J4072" t="s">
        <v>753</v>
      </c>
      <c r="L4072" s="17" t="s">
        <v>732</v>
      </c>
      <c r="M4072" s="17" t="s">
        <v>736</v>
      </c>
      <c r="N4072" s="17" t="s">
        <v>736</v>
      </c>
    </row>
    <row r="4073" spans="1:14" x14ac:dyDescent="0.25">
      <c r="A4073" s="8">
        <v>982740</v>
      </c>
      <c r="B4073" s="22" t="str">
        <f>IFERROR(VLOOKUP(A4073,VLOOKUPS!$A$2:B$12589,2,FALSE),"")</f>
        <v>Grapes* Red Seedless 1lb-LOOSE</v>
      </c>
      <c r="G4073" s="13">
        <v>44671</v>
      </c>
      <c r="H4073" s="13">
        <v>44673</v>
      </c>
      <c r="I4073" s="22" t="str">
        <f>VLOOKUP(J4073, Dropdowns!N:O, 2, FALSE)</f>
        <v>Lower Price</v>
      </c>
      <c r="J4073" t="s">
        <v>1081</v>
      </c>
      <c r="L4073" s="17" t="s">
        <v>732</v>
      </c>
      <c r="M4073" s="17" t="s">
        <v>736</v>
      </c>
      <c r="N4073" s="17" t="s">
        <v>736</v>
      </c>
    </row>
    <row r="4074" spans="1:14" x14ac:dyDescent="0.25">
      <c r="A4074" s="8">
        <v>985760</v>
      </c>
      <c r="B4074" s="22" t="str">
        <f>IFERROR(VLOOKUP(A4074,VLOOKUPS!$A$2:B$12589,2,FALSE),"")</f>
        <v>Asparagus 1lb-standard</v>
      </c>
      <c r="G4074" s="13">
        <v>44671</v>
      </c>
      <c r="H4074" s="13">
        <v>44671</v>
      </c>
      <c r="I4074" s="22" t="str">
        <f>VLOOKUP(J4074, Dropdowns!N:O, 2, FALSE)</f>
        <v>Lower Price</v>
      </c>
      <c r="J4074" t="s">
        <v>1081</v>
      </c>
      <c r="L4074" s="17" t="s">
        <v>732</v>
      </c>
      <c r="M4074" s="17" t="s">
        <v>736</v>
      </c>
      <c r="N4074" s="17" t="s">
        <v>736</v>
      </c>
    </row>
    <row r="4075" spans="1:14" x14ac:dyDescent="0.25">
      <c r="A4075" s="8">
        <v>995126</v>
      </c>
      <c r="B4075" s="22" t="str">
        <f>IFERROR(VLOOKUP(A4075,VLOOKUPS!$A$2:B$12589,2,FALSE),"")</f>
        <v>Broccoli &amp; Cauliflower 12oz-standard</v>
      </c>
      <c r="E4075">
        <v>2.78</v>
      </c>
      <c r="F4075">
        <v>2.2200000000000002</v>
      </c>
      <c r="G4075" s="13">
        <v>44671</v>
      </c>
      <c r="H4075" s="13">
        <v>44672</v>
      </c>
      <c r="I4075" s="22" t="str">
        <f>VLOOKUP(J4075, Dropdowns!N:O, 2, FALSE)</f>
        <v>Lower Price</v>
      </c>
      <c r="J4075" t="s">
        <v>759</v>
      </c>
      <c r="L4075" s="17" t="s">
        <v>733</v>
      </c>
      <c r="M4075" s="17" t="s">
        <v>9</v>
      </c>
      <c r="N4075" s="17" t="s">
        <v>740</v>
      </c>
    </row>
    <row r="4076" spans="1:14" x14ac:dyDescent="0.25">
      <c r="A4076" s="8">
        <v>995126</v>
      </c>
      <c r="B4076" s="22" t="str">
        <f>IFERROR(VLOOKUP(A4076,VLOOKUPS!$A$2:B$12589,2,FALSE),"")</f>
        <v>Broccoli &amp; Cauliflower 12oz-standard</v>
      </c>
      <c r="E4076">
        <v>2.2200000000000002</v>
      </c>
      <c r="F4076">
        <v>2.78</v>
      </c>
      <c r="G4076" s="13">
        <v>44673</v>
      </c>
      <c r="H4076" s="13"/>
      <c r="I4076" s="22" t="str">
        <f>VLOOKUP(J4076, Dropdowns!N:O, 2, FALSE)</f>
        <v>Standard</v>
      </c>
      <c r="J4076" t="s">
        <v>760</v>
      </c>
      <c r="L4076" s="17" t="s">
        <v>733</v>
      </c>
      <c r="M4076" s="17" t="s">
        <v>9</v>
      </c>
      <c r="N4076" s="17" t="s">
        <v>740</v>
      </c>
    </row>
    <row r="4077" spans="1:14" x14ac:dyDescent="0.25">
      <c r="A4077" s="8">
        <v>985760</v>
      </c>
      <c r="B4077" s="22" t="str">
        <f>IFERROR(VLOOKUP(A4077,VLOOKUPS!$A$2:B$12589,2,FALSE),"")</f>
        <v>Asparagus 1lb-standard</v>
      </c>
      <c r="G4077" s="13">
        <v>44672</v>
      </c>
      <c r="H4077" s="13">
        <v>44673</v>
      </c>
      <c r="I4077" s="22" t="str">
        <f>VLOOKUP(J4077, Dropdowns!N:O, 2, FALSE)</f>
        <v>Lower Price</v>
      </c>
      <c r="J4077" t="s">
        <v>762</v>
      </c>
      <c r="L4077" s="17" t="s">
        <v>732</v>
      </c>
      <c r="M4077" s="17" t="s">
        <v>736</v>
      </c>
      <c r="N4077" s="17" t="s">
        <v>736</v>
      </c>
    </row>
    <row r="4078" spans="1:14" x14ac:dyDescent="0.25">
      <c r="A4078" s="8">
        <v>982830</v>
      </c>
      <c r="B4078" s="22" t="str">
        <f>IFERROR(VLOOKUP(A4078,VLOOKUPS!$A$2:B$12589,2,FALSE),"")</f>
        <v>Grapes* Black Seedless 1lb-LOOSE</v>
      </c>
      <c r="E4078">
        <v>2.2799999999999998</v>
      </c>
      <c r="F4078">
        <v>1.48</v>
      </c>
      <c r="G4078" s="13">
        <v>44673</v>
      </c>
      <c r="H4078" s="13">
        <v>44674</v>
      </c>
      <c r="I4078" s="22" t="str">
        <f>VLOOKUP(J4078, Dropdowns!N:O, 2, FALSE)</f>
        <v>Lower Price</v>
      </c>
      <c r="J4078" t="s">
        <v>759</v>
      </c>
      <c r="L4078" s="17" t="s">
        <v>733</v>
      </c>
      <c r="M4078" s="17" t="s">
        <v>9</v>
      </c>
      <c r="N4078" s="17" t="s">
        <v>740</v>
      </c>
    </row>
    <row r="4079" spans="1:14" x14ac:dyDescent="0.25">
      <c r="A4079" s="8">
        <v>982830</v>
      </c>
      <c r="B4079" s="22" t="str">
        <f>IFERROR(VLOOKUP(A4079,VLOOKUPS!$A$2:B$12589,2,FALSE),"")</f>
        <v>Grapes* Black Seedless 1lb-LOOSE</v>
      </c>
      <c r="E4079">
        <v>1.48</v>
      </c>
      <c r="F4079">
        <v>2.2799999999999998</v>
      </c>
      <c r="G4079" s="13">
        <v>44675</v>
      </c>
      <c r="H4079" s="13"/>
      <c r="I4079" s="22" t="str">
        <f>VLOOKUP(J4079, Dropdowns!N:O, 2, FALSE)</f>
        <v>Standard</v>
      </c>
      <c r="J4079" t="s">
        <v>760</v>
      </c>
      <c r="L4079" s="17" t="s">
        <v>733</v>
      </c>
      <c r="M4079" s="17" t="s">
        <v>9</v>
      </c>
      <c r="N4079" s="17" t="s">
        <v>740</v>
      </c>
    </row>
    <row r="4080" spans="1:14" x14ac:dyDescent="0.25">
      <c r="A4080" s="8">
        <v>995086</v>
      </c>
      <c r="B4080" s="22" t="str">
        <f>IFERROR(VLOOKUP(A4080,VLOOKUPS!$A$2:B$12589,2,FALSE),"")</f>
        <v>Eat Smart Broccoli Florets 2lbs-standard</v>
      </c>
      <c r="E4080">
        <v>5.98</v>
      </c>
      <c r="F4080">
        <v>4.78</v>
      </c>
      <c r="G4080" s="25">
        <v>44673</v>
      </c>
      <c r="H4080" s="25">
        <v>44674</v>
      </c>
      <c r="I4080" s="22" t="str">
        <f>VLOOKUP(J4080, Dropdowns!N:O, 2, FALSE)</f>
        <v>Lower Price</v>
      </c>
      <c r="J4080" t="s">
        <v>759</v>
      </c>
      <c r="L4080" s="17" t="s">
        <v>733</v>
      </c>
      <c r="M4080" s="17" t="s">
        <v>9</v>
      </c>
      <c r="N4080" s="17" t="s">
        <v>740</v>
      </c>
    </row>
    <row r="4081" spans="1:14" x14ac:dyDescent="0.25">
      <c r="A4081" s="8">
        <v>995086</v>
      </c>
      <c r="B4081" s="22" t="str">
        <f>IFERROR(VLOOKUP(A4081,VLOOKUPS!$A$2:B$12589,2,FALSE),"")</f>
        <v>Eat Smart Broccoli Florets 2lbs-standard</v>
      </c>
      <c r="E4081">
        <v>4.78</v>
      </c>
      <c r="F4081">
        <v>5.98</v>
      </c>
      <c r="G4081" s="25">
        <v>44675</v>
      </c>
      <c r="H4081" s="8"/>
      <c r="I4081" s="22" t="str">
        <f>VLOOKUP(J4081, Dropdowns!N:O, 2, FALSE)</f>
        <v>Standard</v>
      </c>
      <c r="J4081" t="s">
        <v>760</v>
      </c>
      <c r="L4081" s="17" t="s">
        <v>733</v>
      </c>
      <c r="M4081" s="17" t="s">
        <v>9</v>
      </c>
      <c r="N4081" s="17" t="s">
        <v>740</v>
      </c>
    </row>
    <row r="4082" spans="1:14" x14ac:dyDescent="0.25">
      <c r="A4082" s="8">
        <v>995123</v>
      </c>
      <c r="B4082" s="22" t="str">
        <f>IFERROR(VLOOKUP(A4082,VLOOKUPS!$A$2:B$12589,2,FALSE),"")</f>
        <v>Vegetable Medley 12oz-standard</v>
      </c>
      <c r="E4082">
        <v>2.78</v>
      </c>
      <c r="F4082">
        <v>1.8</v>
      </c>
      <c r="G4082" s="25">
        <v>44673</v>
      </c>
      <c r="H4082" s="25">
        <v>44674</v>
      </c>
      <c r="I4082" s="22" t="str">
        <f>VLOOKUP(J4082, Dropdowns!N:O, 2, FALSE)</f>
        <v>Lower Price</v>
      </c>
      <c r="J4082" t="s">
        <v>759</v>
      </c>
      <c r="L4082" s="17" t="s">
        <v>733</v>
      </c>
      <c r="M4082" s="17" t="s">
        <v>9</v>
      </c>
      <c r="N4082" s="17" t="s">
        <v>740</v>
      </c>
    </row>
    <row r="4083" spans="1:14" x14ac:dyDescent="0.25">
      <c r="A4083" s="8">
        <v>995123</v>
      </c>
      <c r="B4083" s="22" t="str">
        <f>IFERROR(VLOOKUP(A4083,VLOOKUPS!$A$2:B$12589,2,FALSE),"")</f>
        <v>Vegetable Medley 12oz-standard</v>
      </c>
      <c r="E4083">
        <v>1.8</v>
      </c>
      <c r="F4083">
        <v>2.78</v>
      </c>
      <c r="G4083" s="25">
        <v>44675</v>
      </c>
      <c r="H4083" s="8"/>
      <c r="I4083" s="22" t="str">
        <f>VLOOKUP(J4083, Dropdowns!N:O, 2, FALSE)</f>
        <v>Standard</v>
      </c>
      <c r="J4083" t="s">
        <v>760</v>
      </c>
      <c r="L4083" s="17" t="s">
        <v>733</v>
      </c>
      <c r="M4083" s="17" t="s">
        <v>9</v>
      </c>
      <c r="N4083" s="17" t="s">
        <v>740</v>
      </c>
    </row>
    <row r="4084" spans="1:14" x14ac:dyDescent="0.25">
      <c r="A4084" s="8">
        <v>984460</v>
      </c>
      <c r="B4084" s="22" t="str">
        <f>IFERROR(VLOOKUP(A4084,VLOOKUPS!$A$2:B$12589,2,FALSE),"")</f>
        <v>Strawberries 1lb-standard</v>
      </c>
      <c r="E4084">
        <v>2.58</v>
      </c>
      <c r="F4084">
        <v>1.29</v>
      </c>
      <c r="G4084" s="13">
        <v>44658</v>
      </c>
      <c r="H4084" s="13">
        <v>44658</v>
      </c>
      <c r="I4084" s="22" t="str">
        <f>VLOOKUP(J4084, Dropdowns!N:O, 2, FALSE)</f>
        <v>Lower Price</v>
      </c>
      <c r="J4084" t="s">
        <v>759</v>
      </c>
      <c r="L4084" s="17" t="s">
        <v>732</v>
      </c>
      <c r="M4084" s="17" t="s">
        <v>10</v>
      </c>
      <c r="N4084" s="17">
        <v>2</v>
      </c>
    </row>
    <row r="4085" spans="1:14" x14ac:dyDescent="0.25">
      <c r="A4085" s="8">
        <v>984460</v>
      </c>
      <c r="B4085" s="22" t="str">
        <f>IFERROR(VLOOKUP(A4085,VLOOKUPS!$A$2:B$12589,2,FALSE),"")</f>
        <v>Strawberries 1lb-standard</v>
      </c>
      <c r="E4085">
        <v>2.58</v>
      </c>
      <c r="F4085">
        <v>1.29</v>
      </c>
      <c r="G4085" s="13">
        <v>44659</v>
      </c>
      <c r="H4085" s="13">
        <v>44659</v>
      </c>
      <c r="I4085" s="22" t="str">
        <f>VLOOKUP(J4085, Dropdowns!N:O, 2, FALSE)</f>
        <v>Lower Price</v>
      </c>
      <c r="J4085" t="s">
        <v>759</v>
      </c>
      <c r="L4085" s="17" t="s">
        <v>732</v>
      </c>
      <c r="M4085" s="17" t="s">
        <v>10</v>
      </c>
      <c r="N4085" s="17">
        <v>2</v>
      </c>
    </row>
    <row r="4086" spans="1:14" x14ac:dyDescent="0.25">
      <c r="A4086" s="8">
        <v>988532</v>
      </c>
      <c r="B4086" s="22" t="str">
        <f>IFERROR(VLOOKUP(A4086,VLOOKUPS!$A$2:B$12589,2,FALSE),"")</f>
        <v>Broccoli* Crown 1lb-LOOSE</v>
      </c>
      <c r="E4086">
        <v>2.69</v>
      </c>
      <c r="F4086">
        <v>2.15</v>
      </c>
      <c r="G4086" s="13">
        <v>44673</v>
      </c>
      <c r="H4086" s="13">
        <v>44674</v>
      </c>
      <c r="I4086" s="22" t="str">
        <f>VLOOKUP(J4086, Dropdowns!N:O, 2, FALSE)</f>
        <v>Lower Price</v>
      </c>
      <c r="J4086" t="s">
        <v>759</v>
      </c>
      <c r="L4086" s="17" t="s">
        <v>733</v>
      </c>
      <c r="M4086" s="17" t="s">
        <v>11</v>
      </c>
      <c r="N4086" s="17" t="s">
        <v>740</v>
      </c>
    </row>
    <row r="4087" spans="1:14" x14ac:dyDescent="0.25">
      <c r="A4087" s="8">
        <v>988532</v>
      </c>
      <c r="B4087" s="22" t="str">
        <f>IFERROR(VLOOKUP(A4087,VLOOKUPS!$A$2:B$12589,2,FALSE),"")</f>
        <v>Broccoli* Crown 1lb-LOOSE</v>
      </c>
      <c r="E4087">
        <v>2.15</v>
      </c>
      <c r="F4087">
        <v>2.69</v>
      </c>
      <c r="G4087" s="13">
        <v>44675</v>
      </c>
      <c r="H4087" s="13"/>
      <c r="I4087" s="22" t="str">
        <f>VLOOKUP(J4087, Dropdowns!N:O, 2, FALSE)</f>
        <v>Standard</v>
      </c>
      <c r="J4087" t="s">
        <v>760</v>
      </c>
      <c r="L4087" s="17" t="s">
        <v>733</v>
      </c>
      <c r="M4087" s="17" t="s">
        <v>11</v>
      </c>
      <c r="N4087" s="17" t="s">
        <v>740</v>
      </c>
    </row>
    <row r="4088" spans="1:14" x14ac:dyDescent="0.25">
      <c r="A4088" s="8">
        <v>982650</v>
      </c>
      <c r="B4088" s="22" t="str">
        <f>IFERROR(VLOOKUP(A4088,VLOOKUPS!$A$2:B$12589,2,FALSE),"")</f>
        <v>Grapes* Green Seedless 1lb-LOOSE</v>
      </c>
      <c r="E4088">
        <v>1.98</v>
      </c>
      <c r="F4088">
        <v>2.59</v>
      </c>
      <c r="G4088" s="13">
        <v>44674</v>
      </c>
      <c r="H4088" s="13"/>
      <c r="I4088" s="22" t="str">
        <f>VLOOKUP(J4088, Dropdowns!N:O, 2, FALSE)</f>
        <v>Standard</v>
      </c>
      <c r="J4088" t="s">
        <v>761</v>
      </c>
      <c r="L4088" s="17" t="s">
        <v>733</v>
      </c>
      <c r="M4088" s="17" t="s">
        <v>736</v>
      </c>
      <c r="N4088" s="17" t="s">
        <v>740</v>
      </c>
    </row>
    <row r="4089" spans="1:14" x14ac:dyDescent="0.25">
      <c r="A4089" s="8">
        <v>982650</v>
      </c>
      <c r="B4089" s="22" t="str">
        <f>IFERROR(VLOOKUP(A4089,VLOOKUPS!$A$2:B$12589,2,FALSE),"")</f>
        <v>Grapes* Green Seedless 1lb-LOOSE</v>
      </c>
      <c r="E4089">
        <v>1.98</v>
      </c>
      <c r="F4089">
        <v>2.58</v>
      </c>
      <c r="G4089" s="13">
        <v>44674</v>
      </c>
      <c r="H4089" s="13"/>
      <c r="I4089" s="22" t="str">
        <f>VLOOKUP(J4089, Dropdowns!N:O, 2, FALSE)</f>
        <v>Standard</v>
      </c>
      <c r="J4089" t="s">
        <v>761</v>
      </c>
      <c r="L4089" s="17" t="s">
        <v>734</v>
      </c>
      <c r="M4089" s="17" t="s">
        <v>10</v>
      </c>
      <c r="N4089" s="17">
        <v>2</v>
      </c>
    </row>
    <row r="4090" spans="1:14" x14ac:dyDescent="0.25">
      <c r="A4090" s="8">
        <v>989211</v>
      </c>
      <c r="B4090" s="22" t="str">
        <f>IFERROR(VLOOKUP(A4090,VLOOKUPS!$A$2:B$12589,2,FALSE),"")</f>
        <v>Organic Potted Mint 1ct-POT</v>
      </c>
      <c r="E4090">
        <v>3.49</v>
      </c>
      <c r="F4090">
        <v>2.27</v>
      </c>
      <c r="G4090" s="13">
        <v>44674</v>
      </c>
      <c r="H4090" s="13">
        <v>44675</v>
      </c>
      <c r="I4090" s="22" t="str">
        <f>VLOOKUP(J4090, Dropdowns!N:O, 2, FALSE)</f>
        <v>Lower Price</v>
      </c>
      <c r="J4090" t="s">
        <v>759</v>
      </c>
      <c r="L4090" s="17" t="s">
        <v>733</v>
      </c>
      <c r="M4090" s="17" t="s">
        <v>9</v>
      </c>
      <c r="N4090" s="17" t="s">
        <v>740</v>
      </c>
    </row>
    <row r="4091" spans="1:14" x14ac:dyDescent="0.25">
      <c r="A4091" s="8">
        <v>989211</v>
      </c>
      <c r="B4091" s="22" t="str">
        <f>IFERROR(VLOOKUP(A4091,VLOOKUPS!$A$2:B$12589,2,FALSE),"")</f>
        <v>Organic Potted Mint 1ct-POT</v>
      </c>
      <c r="E4091">
        <v>2.27</v>
      </c>
      <c r="F4091">
        <v>3.49</v>
      </c>
      <c r="G4091" s="13">
        <v>44676</v>
      </c>
      <c r="H4091" s="13"/>
      <c r="I4091" s="22" t="str">
        <f>VLOOKUP(J4091, Dropdowns!N:O, 2, FALSE)</f>
        <v>Standard</v>
      </c>
      <c r="J4091" t="s">
        <v>760</v>
      </c>
      <c r="L4091" s="17" t="s">
        <v>733</v>
      </c>
      <c r="M4091" s="17" t="s">
        <v>9</v>
      </c>
      <c r="N4091" s="17" t="s">
        <v>740</v>
      </c>
    </row>
    <row r="4092" spans="1:14" x14ac:dyDescent="0.25">
      <c r="A4092" s="8">
        <v>982740</v>
      </c>
      <c r="B4092" s="22" t="str">
        <f>IFERROR(VLOOKUP(A4092,VLOOKUPS!$A$2:B$12589,2,FALSE),"")</f>
        <v>Grapes* Red Seedless 1lb-LOOSE</v>
      </c>
      <c r="G4092" s="13">
        <v>44674</v>
      </c>
      <c r="H4092" s="13">
        <v>44675</v>
      </c>
      <c r="I4092" s="22" t="str">
        <f>VLOOKUP(J4092, Dropdowns!N:O, 2, FALSE)</f>
        <v>Lower Price</v>
      </c>
      <c r="J4092" t="s">
        <v>762</v>
      </c>
      <c r="L4092" s="17" t="s">
        <v>732</v>
      </c>
      <c r="M4092" s="17" t="s">
        <v>736</v>
      </c>
      <c r="N4092" s="17" t="s">
        <v>736</v>
      </c>
    </row>
    <row r="4093" spans="1:14" x14ac:dyDescent="0.25">
      <c r="A4093" s="8">
        <v>985760</v>
      </c>
      <c r="B4093" s="22" t="str">
        <f>IFERROR(VLOOKUP(A4093,VLOOKUPS!$A$2:B$12589,2,FALSE),"")</f>
        <v>Asparagus 1lb-standard</v>
      </c>
      <c r="E4093">
        <v>1.79</v>
      </c>
      <c r="F4093">
        <v>2.99</v>
      </c>
      <c r="G4093" s="13">
        <v>44674</v>
      </c>
      <c r="H4093" s="13"/>
      <c r="I4093" s="22" t="str">
        <f>VLOOKUP(J4093, Dropdowns!N:O, 2, FALSE)</f>
        <v>Standard</v>
      </c>
      <c r="J4093" t="s">
        <v>760</v>
      </c>
      <c r="L4093" s="17" t="s">
        <v>732</v>
      </c>
      <c r="M4093" s="17" t="s">
        <v>10</v>
      </c>
      <c r="N4093" s="17">
        <v>2</v>
      </c>
    </row>
    <row r="4094" spans="1:14" x14ac:dyDescent="0.25">
      <c r="A4094" s="8">
        <v>985760</v>
      </c>
      <c r="B4094" s="22" t="str">
        <f>IFERROR(VLOOKUP(A4094,VLOOKUPS!$A$2:B$12589,2,FALSE),"")</f>
        <v>Asparagus 1lb-standard</v>
      </c>
      <c r="E4094">
        <v>1.29</v>
      </c>
      <c r="F4094">
        <v>2.99</v>
      </c>
      <c r="G4094" s="13">
        <v>44674</v>
      </c>
      <c r="H4094" s="13"/>
      <c r="I4094" s="22" t="str">
        <f>VLOOKUP(J4094, Dropdowns!N:O, 2, FALSE)</f>
        <v>Standard</v>
      </c>
      <c r="J4094" t="s">
        <v>760</v>
      </c>
      <c r="L4094" s="17" t="s">
        <v>732</v>
      </c>
      <c r="M4094" s="17" t="s">
        <v>9</v>
      </c>
      <c r="N4094" s="17" t="s">
        <v>736</v>
      </c>
    </row>
    <row r="4095" spans="1:14" x14ac:dyDescent="0.25">
      <c r="A4095" s="8">
        <v>985760</v>
      </c>
      <c r="B4095" s="22" t="str">
        <f>IFERROR(VLOOKUP(A4095,VLOOKUPS!$A$2:B$12589,2,FALSE),"")</f>
        <v>Asparagus 1lb-standard</v>
      </c>
      <c r="G4095" s="13">
        <v>44674</v>
      </c>
      <c r="H4095" s="13">
        <v>44674</v>
      </c>
      <c r="I4095" s="22" t="str">
        <f>VLOOKUP(J4095, Dropdowns!N:O, 2, FALSE)</f>
        <v>Lower Price</v>
      </c>
      <c r="J4095" t="s">
        <v>762</v>
      </c>
      <c r="L4095" s="17" t="s">
        <v>733</v>
      </c>
      <c r="M4095" s="17" t="s">
        <v>11</v>
      </c>
      <c r="N4095" s="17" t="s">
        <v>740</v>
      </c>
    </row>
    <row r="4096" spans="1:14" x14ac:dyDescent="0.25">
      <c r="A4096" s="8">
        <v>985760</v>
      </c>
      <c r="B4096" s="22" t="str">
        <f>IFERROR(VLOOKUP(A4096,VLOOKUPS!$A$2:B$12589,2,FALSE),"")</f>
        <v>Asparagus 1lb-standard</v>
      </c>
      <c r="E4096">
        <v>1.79</v>
      </c>
      <c r="F4096">
        <v>2.99</v>
      </c>
      <c r="G4096" s="13">
        <v>44675</v>
      </c>
      <c r="H4096" s="13"/>
      <c r="I4096" s="22" t="str">
        <f>VLOOKUP(J4096, Dropdowns!N:O, 2, FALSE)</f>
        <v>Standard</v>
      </c>
      <c r="J4096" t="s">
        <v>760</v>
      </c>
      <c r="L4096" s="17" t="s">
        <v>733</v>
      </c>
      <c r="M4096" s="17" t="s">
        <v>11</v>
      </c>
      <c r="N4096" s="17" t="s">
        <v>740</v>
      </c>
    </row>
    <row r="4097" spans="1:14" x14ac:dyDescent="0.25">
      <c r="A4097" s="8">
        <v>982740</v>
      </c>
      <c r="B4097" s="22" t="str">
        <f>IFERROR(VLOOKUP(A4097,VLOOKUPS!$A$2:B$12589,2,FALSE),"")</f>
        <v>Grapes* Red Seedless 1lb-LOOSE</v>
      </c>
      <c r="E4097">
        <v>0.99</v>
      </c>
      <c r="F4097">
        <v>1.88</v>
      </c>
      <c r="G4097" s="13">
        <v>44676</v>
      </c>
      <c r="H4097" s="13"/>
      <c r="I4097" s="22" t="str">
        <f>VLOOKUP(J4097, Dropdowns!N:O, 2, FALSE)</f>
        <v>Standard</v>
      </c>
      <c r="J4097" t="s">
        <v>760</v>
      </c>
      <c r="L4097" s="17" t="s">
        <v>732</v>
      </c>
      <c r="M4097" s="17" t="s">
        <v>736</v>
      </c>
      <c r="N4097" s="17" t="s">
        <v>736</v>
      </c>
    </row>
    <row r="4098" spans="1:14" x14ac:dyDescent="0.25">
      <c r="A4098" s="8">
        <v>995108</v>
      </c>
      <c r="B4098" s="22" t="str">
        <f>IFERROR(VLOOKUP(A4098,VLOOKUPS!$A$2:B$12589,2,FALSE),"")</f>
        <v>Everything Chopped Salad Kit 11.57oz-standard</v>
      </c>
      <c r="D4098">
        <v>6</v>
      </c>
      <c r="F4098">
        <v>3.49</v>
      </c>
      <c r="G4098" s="13">
        <v>44675</v>
      </c>
      <c r="H4098" s="13"/>
      <c r="I4098" s="22" t="str">
        <f>VLOOKUP(J4098, Dropdowns!N:O, 2, FALSE)</f>
        <v>New</v>
      </c>
      <c r="J4098" t="s">
        <v>776</v>
      </c>
      <c r="L4098" s="17" t="s">
        <v>732</v>
      </c>
      <c r="M4098" s="17" t="s">
        <v>736</v>
      </c>
      <c r="N4098" s="17" t="s">
        <v>736</v>
      </c>
    </row>
    <row r="4099" spans="1:14" x14ac:dyDescent="0.25">
      <c r="A4099" s="8">
        <v>984500</v>
      </c>
      <c r="B4099" s="22" t="str">
        <f>IFERROR(VLOOKUP(A4099,VLOOKUPS!$A$2:B$12589,2,FALSE),"")</f>
        <v>Organic Strawberries 1lb-standard</v>
      </c>
      <c r="D4099">
        <v>8</v>
      </c>
      <c r="E4099">
        <v>3.98</v>
      </c>
      <c r="G4099" s="13">
        <v>44677</v>
      </c>
      <c r="H4099" s="13"/>
      <c r="I4099" s="22" t="str">
        <f>VLOOKUP(J4099, Dropdowns!N:O, 2, FALSE)</f>
        <v>NA</v>
      </c>
      <c r="J4099" t="s">
        <v>754</v>
      </c>
      <c r="L4099" s="17" t="s">
        <v>733</v>
      </c>
      <c r="M4099" s="17" t="s">
        <v>736</v>
      </c>
      <c r="N4099" s="17" t="s">
        <v>740</v>
      </c>
    </row>
    <row r="4100" spans="1:14" x14ac:dyDescent="0.25">
      <c r="A4100" s="8">
        <v>984500</v>
      </c>
      <c r="B4100" s="22" t="str">
        <f>IFERROR(VLOOKUP(A4100,VLOOKUPS!$A$2:B$12589,2,FALSE),"")</f>
        <v>Organic Strawberries 1lb-standard</v>
      </c>
      <c r="D4100">
        <v>8</v>
      </c>
      <c r="E4100">
        <v>4.59</v>
      </c>
      <c r="G4100" s="13">
        <v>44677</v>
      </c>
      <c r="H4100" s="13"/>
      <c r="I4100" s="22" t="str">
        <f>VLOOKUP(J4100, Dropdowns!N:O, 2, FALSE)</f>
        <v>NA</v>
      </c>
      <c r="J4100" t="s">
        <v>754</v>
      </c>
      <c r="L4100" s="17" t="s">
        <v>734</v>
      </c>
      <c r="M4100" s="17" t="s">
        <v>9</v>
      </c>
      <c r="N4100" s="17" t="s">
        <v>736</v>
      </c>
    </row>
    <row r="4101" spans="1:14" x14ac:dyDescent="0.25">
      <c r="A4101" s="8">
        <v>984500</v>
      </c>
      <c r="B4101" s="22" t="str">
        <f>IFERROR(VLOOKUP(A4101,VLOOKUPS!$A$2:B$12589,2,FALSE),"")</f>
        <v>Organic Strawberries 1lb-standard</v>
      </c>
      <c r="D4101">
        <v>8</v>
      </c>
      <c r="E4101">
        <v>3.98</v>
      </c>
      <c r="G4101" s="13">
        <v>44677</v>
      </c>
      <c r="H4101" s="13"/>
      <c r="I4101" s="22" t="str">
        <f>VLOOKUP(J4101, Dropdowns!N:O, 2, FALSE)</f>
        <v>NA</v>
      </c>
      <c r="J4101" t="s">
        <v>754</v>
      </c>
      <c r="L4101" s="17" t="s">
        <v>734</v>
      </c>
      <c r="M4101" s="17" t="s">
        <v>10</v>
      </c>
      <c r="N4101" s="17">
        <v>2</v>
      </c>
    </row>
    <row r="4102" spans="1:14" x14ac:dyDescent="0.25">
      <c r="A4102" s="8">
        <v>984542</v>
      </c>
      <c r="B4102" s="22" t="str">
        <f>IFERROR(VLOOKUP(A4102,VLOOKUPS!$A$2:B$12589,2,FALSE),"")</f>
        <v>Blueberries 18oz-standard</v>
      </c>
      <c r="E4102">
        <v>6.74</v>
      </c>
      <c r="F4102">
        <v>4.38</v>
      </c>
      <c r="G4102" s="13">
        <v>44677</v>
      </c>
      <c r="H4102" s="13">
        <v>44678</v>
      </c>
      <c r="I4102" s="22" t="str">
        <f>VLOOKUP(J4102, Dropdowns!N:O, 2, FALSE)</f>
        <v>Lower Price</v>
      </c>
      <c r="J4102" t="s">
        <v>759</v>
      </c>
      <c r="L4102" s="17" t="s">
        <v>733</v>
      </c>
      <c r="M4102" s="17" t="s">
        <v>11</v>
      </c>
      <c r="N4102" s="17" t="s">
        <v>740</v>
      </c>
    </row>
    <row r="4103" spans="1:14" x14ac:dyDescent="0.25">
      <c r="A4103" s="8">
        <v>984542</v>
      </c>
      <c r="B4103" s="22" t="str">
        <f>IFERROR(VLOOKUP(A4103,VLOOKUPS!$A$2:B$12589,2,FALSE),"")</f>
        <v>Blueberries 18oz-standard</v>
      </c>
      <c r="E4103">
        <v>4.38</v>
      </c>
      <c r="F4103">
        <v>6.74</v>
      </c>
      <c r="G4103" s="13">
        <v>44679</v>
      </c>
      <c r="H4103" s="13"/>
      <c r="I4103" s="22" t="str">
        <f>VLOOKUP(J4103, Dropdowns!N:O, 2, FALSE)</f>
        <v>Standard</v>
      </c>
      <c r="J4103" t="s">
        <v>760</v>
      </c>
      <c r="L4103" s="17" t="s">
        <v>733</v>
      </c>
      <c r="M4103" s="17" t="s">
        <v>11</v>
      </c>
      <c r="N4103" s="17" t="s">
        <v>740</v>
      </c>
    </row>
    <row r="4104" spans="1:14" x14ac:dyDescent="0.25">
      <c r="A4104" s="8">
        <v>984700</v>
      </c>
      <c r="B4104" s="22" t="str">
        <f>IFERROR(VLOOKUP(A4104,VLOOKUPS!$A$2:B$12589,2,FALSE),"")</f>
        <v>Blackberries 6oz-standard</v>
      </c>
      <c r="E4104">
        <v>2.2400000000000002</v>
      </c>
      <c r="F4104">
        <v>1.46</v>
      </c>
      <c r="G4104" s="13">
        <v>44677</v>
      </c>
      <c r="H4104" s="13">
        <v>44678</v>
      </c>
      <c r="I4104" s="22" t="str">
        <f>VLOOKUP(J4104, Dropdowns!N:O, 2, FALSE)</f>
        <v>Lower Price</v>
      </c>
      <c r="J4104" t="s">
        <v>759</v>
      </c>
      <c r="L4104" s="17" t="s">
        <v>732</v>
      </c>
      <c r="M4104" s="17" t="s">
        <v>10</v>
      </c>
      <c r="N4104" s="17">
        <v>2</v>
      </c>
    </row>
    <row r="4105" spans="1:14" x14ac:dyDescent="0.25">
      <c r="A4105" s="8">
        <v>984700</v>
      </c>
      <c r="B4105" s="22" t="str">
        <f>IFERROR(VLOOKUP(A4105,VLOOKUPS!$A$2:B$12589,2,FALSE),"")</f>
        <v>Blackberries 6oz-standard</v>
      </c>
      <c r="E4105">
        <v>1.46</v>
      </c>
      <c r="F4105">
        <v>2.2400000000000002</v>
      </c>
      <c r="G4105" s="13">
        <v>44679</v>
      </c>
      <c r="H4105" s="13"/>
      <c r="I4105" s="22" t="str">
        <f>VLOOKUP(J4105, Dropdowns!N:O, 2, FALSE)</f>
        <v>Standard</v>
      </c>
      <c r="J4105" t="s">
        <v>760</v>
      </c>
      <c r="L4105" s="17" t="s">
        <v>732</v>
      </c>
      <c r="M4105" s="17" t="s">
        <v>10</v>
      </c>
      <c r="N4105" s="17">
        <v>2</v>
      </c>
    </row>
    <row r="4106" spans="1:14" x14ac:dyDescent="0.25">
      <c r="A4106" s="8">
        <v>984702</v>
      </c>
      <c r="B4106" s="22" t="str">
        <f>IFERROR(VLOOKUP(A4106,VLOOKUPS!$A$2:B$12589,2,FALSE),"")</f>
        <v>Blackberries 12oz-standard</v>
      </c>
      <c r="D4106">
        <v>8</v>
      </c>
      <c r="E4106">
        <v>3.78</v>
      </c>
      <c r="G4106" s="13">
        <v>44677</v>
      </c>
      <c r="H4106" s="13"/>
      <c r="I4106" s="22" t="str">
        <f>VLOOKUP(J4106, Dropdowns!N:O, 2, FALSE)</f>
        <v>NA</v>
      </c>
      <c r="J4106" t="s">
        <v>754</v>
      </c>
      <c r="L4106" s="17" t="s">
        <v>733</v>
      </c>
      <c r="M4106" s="17" t="s">
        <v>736</v>
      </c>
      <c r="N4106" s="17" t="s">
        <v>740</v>
      </c>
    </row>
    <row r="4107" spans="1:14" x14ac:dyDescent="0.25">
      <c r="A4107" s="8">
        <v>984702</v>
      </c>
      <c r="B4107" s="22" t="str">
        <f>IFERROR(VLOOKUP(A4107,VLOOKUPS!$A$2:B$12589,2,FALSE),"")</f>
        <v>Blackberries 12oz-standard</v>
      </c>
      <c r="D4107">
        <v>8</v>
      </c>
      <c r="E4107">
        <v>4.29</v>
      </c>
      <c r="G4107" s="13">
        <v>44677</v>
      </c>
      <c r="H4107" s="13"/>
      <c r="I4107" s="22" t="str">
        <f>VLOOKUP(J4107, Dropdowns!N:O, 2, FALSE)</f>
        <v>NA</v>
      </c>
      <c r="J4107" t="s">
        <v>754</v>
      </c>
      <c r="L4107" s="17" t="s">
        <v>734</v>
      </c>
      <c r="M4107" s="17" t="s">
        <v>9</v>
      </c>
      <c r="N4107" s="17" t="s">
        <v>736</v>
      </c>
    </row>
    <row r="4108" spans="1:14" x14ac:dyDescent="0.25">
      <c r="A4108" s="8">
        <v>984702</v>
      </c>
      <c r="B4108" s="22" t="str">
        <f>IFERROR(VLOOKUP(A4108,VLOOKUPS!$A$2:B$12589,2,FALSE),"")</f>
        <v>Blackberries 12oz-standard</v>
      </c>
      <c r="D4108">
        <v>8</v>
      </c>
      <c r="E4108">
        <v>3.78</v>
      </c>
      <c r="G4108" s="13">
        <v>44677</v>
      </c>
      <c r="H4108" s="13"/>
      <c r="I4108" s="22" t="str">
        <f>VLOOKUP(J4108, Dropdowns!N:O, 2, FALSE)</f>
        <v>NA</v>
      </c>
      <c r="J4108" t="s">
        <v>754</v>
      </c>
      <c r="L4108" s="17" t="s">
        <v>734</v>
      </c>
      <c r="M4108" s="17" t="s">
        <v>10</v>
      </c>
      <c r="N4108" s="17">
        <v>2</v>
      </c>
    </row>
    <row r="4109" spans="1:14" x14ac:dyDescent="0.25">
      <c r="A4109" s="8">
        <v>985190</v>
      </c>
      <c r="B4109" s="22" t="str">
        <f>IFERROR(VLOOKUP(A4109,VLOOKUPS!$A$2:B$12589,2,FALSE),"")</f>
        <v>Organic Romaine Hearts 3ct-standard</v>
      </c>
      <c r="E4109">
        <v>3.12</v>
      </c>
      <c r="F4109">
        <v>3.86</v>
      </c>
      <c r="G4109" s="13">
        <v>44677</v>
      </c>
      <c r="H4109" s="13"/>
      <c r="I4109" s="22" t="str">
        <f>VLOOKUP(J4109, Dropdowns!N:O, 2, FALSE)</f>
        <v>Standard</v>
      </c>
      <c r="J4109" t="s">
        <v>761</v>
      </c>
      <c r="L4109" s="17" t="s">
        <v>732</v>
      </c>
      <c r="M4109" s="17" t="s">
        <v>738</v>
      </c>
      <c r="N4109" s="17">
        <v>2</v>
      </c>
    </row>
    <row r="4110" spans="1:14" x14ac:dyDescent="0.25">
      <c r="A4110" s="8">
        <v>995018</v>
      </c>
      <c r="B4110" s="22" t="str">
        <f>IFERROR(VLOOKUP(A4110,VLOOKUPS!$A$2:B$12589,2,FALSE),"")</f>
        <v>RTE Large Chicken Caesar Salad 13.1oz-standard</v>
      </c>
      <c r="E4110">
        <v>5.34</v>
      </c>
      <c r="F4110">
        <v>2.67</v>
      </c>
      <c r="G4110" s="13">
        <v>44677</v>
      </c>
      <c r="H4110" s="13">
        <v>44679</v>
      </c>
      <c r="I4110" s="22" t="str">
        <f>VLOOKUP(J4110, Dropdowns!N:O, 2, FALSE)</f>
        <v>Lower Price</v>
      </c>
      <c r="J4110" t="s">
        <v>759</v>
      </c>
      <c r="L4110" s="17" t="s">
        <v>732</v>
      </c>
      <c r="M4110" s="17" t="s">
        <v>738</v>
      </c>
      <c r="N4110" s="17">
        <v>2</v>
      </c>
    </row>
    <row r="4111" spans="1:14" x14ac:dyDescent="0.25">
      <c r="A4111" s="8">
        <v>995018</v>
      </c>
      <c r="B4111" s="22" t="str">
        <f>IFERROR(VLOOKUP(A4111,VLOOKUPS!$A$2:B$12589,2,FALSE),"")</f>
        <v>RTE Large Chicken Caesar Salad 13.1oz-standard</v>
      </c>
      <c r="E4111">
        <v>2.67</v>
      </c>
      <c r="F4111">
        <v>5.34</v>
      </c>
      <c r="G4111" s="13">
        <v>44680</v>
      </c>
      <c r="H4111" s="13"/>
      <c r="I4111" s="22" t="str">
        <f>VLOOKUP(J4111, Dropdowns!N:O, 2, FALSE)</f>
        <v>Standard</v>
      </c>
      <c r="J4111" t="s">
        <v>760</v>
      </c>
      <c r="L4111" s="17" t="s">
        <v>732</v>
      </c>
      <c r="M4111" s="17" t="s">
        <v>738</v>
      </c>
      <c r="N4111" s="17">
        <v>2</v>
      </c>
    </row>
    <row r="4112" spans="1:14" x14ac:dyDescent="0.25">
      <c r="A4112" s="8">
        <v>995019</v>
      </c>
      <c r="B4112" s="22" t="str">
        <f>IFERROR(VLOOKUP(A4112,VLOOKUPS!$A$2:B$12589,2,FALSE),"")</f>
        <v>RTE Large Santa Fe Salad 14oz-standard</v>
      </c>
      <c r="E4112">
        <v>5.34</v>
      </c>
      <c r="F4112">
        <v>3.47</v>
      </c>
      <c r="G4112" s="13">
        <v>44677</v>
      </c>
      <c r="H4112" s="13">
        <v>44678</v>
      </c>
      <c r="I4112" s="22" t="str">
        <f>VLOOKUP(J4112, Dropdowns!N:O, 2, FALSE)</f>
        <v>Lower Price</v>
      </c>
      <c r="J4112" t="s">
        <v>759</v>
      </c>
      <c r="L4112" s="17" t="s">
        <v>733</v>
      </c>
      <c r="M4112" s="17" t="s">
        <v>735</v>
      </c>
      <c r="N4112" s="17" t="s">
        <v>740</v>
      </c>
    </row>
    <row r="4113" spans="1:14" x14ac:dyDescent="0.25">
      <c r="A4113" s="8">
        <v>995019</v>
      </c>
      <c r="B4113" s="22" t="str">
        <f>IFERROR(VLOOKUP(A4113,VLOOKUPS!$A$2:B$12589,2,FALSE),"")</f>
        <v>RTE Large Santa Fe Salad 14oz-standard</v>
      </c>
      <c r="E4113">
        <v>5.79</v>
      </c>
      <c r="F4113">
        <v>3.76</v>
      </c>
      <c r="G4113" s="13">
        <v>44677</v>
      </c>
      <c r="H4113" s="13">
        <v>44678</v>
      </c>
      <c r="I4113" s="22" t="str">
        <f>VLOOKUP(J4113, Dropdowns!N:O, 2, FALSE)</f>
        <v>Lower Price</v>
      </c>
      <c r="J4113" t="s">
        <v>759</v>
      </c>
      <c r="L4113" s="17" t="s">
        <v>734</v>
      </c>
      <c r="M4113" s="17" t="s">
        <v>9</v>
      </c>
      <c r="N4113" s="17" t="s">
        <v>736</v>
      </c>
    </row>
    <row r="4114" spans="1:14" x14ac:dyDescent="0.25">
      <c r="A4114" s="8">
        <v>995019</v>
      </c>
      <c r="B4114" s="22" t="str">
        <f>IFERROR(VLOOKUP(A4114,VLOOKUPS!$A$2:B$12589,2,FALSE),"")</f>
        <v>RTE Large Santa Fe Salad 14oz-standard</v>
      </c>
      <c r="E4114">
        <v>3.47</v>
      </c>
      <c r="F4114">
        <v>5.34</v>
      </c>
      <c r="G4114" s="13">
        <v>44679</v>
      </c>
      <c r="H4114" s="13"/>
      <c r="I4114" s="22" t="str">
        <f>VLOOKUP(J4114, Dropdowns!N:O, 2, FALSE)</f>
        <v>Standard</v>
      </c>
      <c r="J4114" t="s">
        <v>760</v>
      </c>
      <c r="L4114" s="17" t="s">
        <v>733</v>
      </c>
      <c r="M4114" s="17" t="s">
        <v>735</v>
      </c>
      <c r="N4114" s="17" t="s">
        <v>740</v>
      </c>
    </row>
    <row r="4115" spans="1:14" x14ac:dyDescent="0.25">
      <c r="A4115" s="8">
        <v>995019</v>
      </c>
      <c r="B4115" s="22" t="str">
        <f>IFERROR(VLOOKUP(A4115,VLOOKUPS!$A$2:B$12589,2,FALSE),"")</f>
        <v>RTE Large Santa Fe Salad 14oz-standard</v>
      </c>
      <c r="E4115">
        <v>3.76</v>
      </c>
      <c r="F4115">
        <v>5.79</v>
      </c>
      <c r="G4115" s="13">
        <v>44679</v>
      </c>
      <c r="H4115" s="13"/>
      <c r="I4115" s="22" t="str">
        <f>VLOOKUP(J4115, Dropdowns!N:O, 2, FALSE)</f>
        <v>Standard</v>
      </c>
      <c r="J4115" t="s">
        <v>760</v>
      </c>
      <c r="L4115" s="17" t="s">
        <v>734</v>
      </c>
      <c r="M4115" s="17" t="s">
        <v>9</v>
      </c>
      <c r="N4115" s="17" t="s">
        <v>736</v>
      </c>
    </row>
    <row r="4116" spans="1:14" x14ac:dyDescent="0.25">
      <c r="A4116" s="8">
        <v>995112</v>
      </c>
      <c r="B4116" s="22" t="str">
        <f>IFERROR(VLOOKUP(A4116,VLOOKUPS!$A$2:B$12589,2,FALSE),"")</f>
        <v>Dill Pickle Chopped Salad 11.75oz-standard</v>
      </c>
      <c r="D4116">
        <v>6</v>
      </c>
      <c r="E4116">
        <v>3.49</v>
      </c>
      <c r="G4116" s="13">
        <v>44677</v>
      </c>
      <c r="H4116" s="13"/>
      <c r="I4116" s="22" t="str">
        <f>VLOOKUP(J4116, Dropdowns!N:O, 2, FALSE)</f>
        <v>NA</v>
      </c>
      <c r="J4116" t="s">
        <v>754</v>
      </c>
      <c r="L4116" s="17" t="s">
        <v>733</v>
      </c>
      <c r="M4116" s="17" t="s">
        <v>736</v>
      </c>
      <c r="N4116" s="17" t="s">
        <v>740</v>
      </c>
    </row>
    <row r="4117" spans="1:14" x14ac:dyDescent="0.25">
      <c r="A4117" s="8">
        <v>995112</v>
      </c>
      <c r="B4117" s="22" t="str">
        <f>IFERROR(VLOOKUP(A4117,VLOOKUPS!$A$2:B$12589,2,FALSE),"")</f>
        <v>Dill Pickle Chopped Salad 11.75oz-standard</v>
      </c>
      <c r="D4117">
        <v>6</v>
      </c>
      <c r="E4117">
        <v>3.69</v>
      </c>
      <c r="G4117" s="13">
        <v>44677</v>
      </c>
      <c r="H4117" s="13"/>
      <c r="I4117" s="22" t="str">
        <f>VLOOKUP(J4117, Dropdowns!N:O, 2, FALSE)</f>
        <v>NA</v>
      </c>
      <c r="J4117" t="s">
        <v>754</v>
      </c>
      <c r="L4117" s="17" t="s">
        <v>734</v>
      </c>
      <c r="M4117" s="17" t="s">
        <v>9</v>
      </c>
      <c r="N4117" s="17" t="s">
        <v>736</v>
      </c>
    </row>
    <row r="4118" spans="1:14" x14ac:dyDescent="0.25">
      <c r="A4118" s="8">
        <v>995112</v>
      </c>
      <c r="B4118" s="22" t="str">
        <f>IFERROR(VLOOKUP(A4118,VLOOKUPS!$A$2:B$12589,2,FALSE),"")</f>
        <v>Dill Pickle Chopped Salad 11.75oz-standard</v>
      </c>
      <c r="D4118">
        <v>6</v>
      </c>
      <c r="E4118">
        <v>3.49</v>
      </c>
      <c r="G4118" s="13">
        <v>44677</v>
      </c>
      <c r="H4118" s="13"/>
      <c r="I4118" s="22" t="str">
        <f>VLOOKUP(J4118, Dropdowns!N:O, 2, FALSE)</f>
        <v>NA</v>
      </c>
      <c r="J4118" t="s">
        <v>754</v>
      </c>
      <c r="L4118" s="17" t="s">
        <v>734</v>
      </c>
      <c r="M4118" s="17" t="s">
        <v>10</v>
      </c>
      <c r="N4118" s="17">
        <v>2</v>
      </c>
    </row>
    <row r="4119" spans="1:14" x14ac:dyDescent="0.25">
      <c r="A4119" s="8">
        <v>995147</v>
      </c>
      <c r="B4119" s="22" t="str">
        <f>IFERROR(VLOOKUP(A4119,VLOOKUPS!$A$2:B$12589,2,FALSE),"")</f>
        <v>Celery Sticks 1.25lb-standard</v>
      </c>
      <c r="E4119">
        <v>2.74</v>
      </c>
      <c r="F4119">
        <v>1.78</v>
      </c>
      <c r="G4119" s="13">
        <v>44677</v>
      </c>
      <c r="H4119" s="13">
        <v>44678</v>
      </c>
      <c r="I4119" s="22" t="str">
        <f>VLOOKUP(J4119, Dropdowns!N:O, 2, FALSE)</f>
        <v>Lower Price</v>
      </c>
      <c r="J4119" t="s">
        <v>759</v>
      </c>
      <c r="L4119" s="17" t="s">
        <v>732</v>
      </c>
      <c r="M4119" s="17" t="s">
        <v>738</v>
      </c>
      <c r="N4119" s="17">
        <v>2</v>
      </c>
    </row>
    <row r="4120" spans="1:14" x14ac:dyDescent="0.25">
      <c r="A4120" s="8">
        <v>995147</v>
      </c>
      <c r="B4120" s="22" t="str">
        <f>IFERROR(VLOOKUP(A4120,VLOOKUPS!$A$2:B$12589,2,FALSE),"")</f>
        <v>Celery Sticks 1.25lb-standard</v>
      </c>
      <c r="E4120">
        <v>1.78</v>
      </c>
      <c r="F4120">
        <v>2.74</v>
      </c>
      <c r="G4120" s="13">
        <v>44679</v>
      </c>
      <c r="H4120" s="13"/>
      <c r="I4120" s="22" t="str">
        <f>VLOOKUP(J4120, Dropdowns!N:O, 2, FALSE)</f>
        <v>Standard</v>
      </c>
      <c r="J4120" t="s">
        <v>760</v>
      </c>
      <c r="L4120" s="17" t="s">
        <v>732</v>
      </c>
      <c r="M4120" s="17" t="s">
        <v>738</v>
      </c>
      <c r="N4120" s="17">
        <v>2</v>
      </c>
    </row>
    <row r="4121" spans="1:14" x14ac:dyDescent="0.25">
      <c r="A4121" s="8">
        <v>982830</v>
      </c>
      <c r="B4121" s="22" t="str">
        <f>IFERROR(VLOOKUP(A4121,VLOOKUPS!$A$2:B$12589,2,FALSE),"")</f>
        <v>Grapes* Black Seedless 1lb-LOOSE</v>
      </c>
      <c r="E4121">
        <v>2.2799999999999998</v>
      </c>
      <c r="F4121">
        <v>1.48</v>
      </c>
      <c r="G4121" s="13">
        <v>44677</v>
      </c>
      <c r="H4121" s="13">
        <v>44678</v>
      </c>
      <c r="I4121" s="22" t="str">
        <f>VLOOKUP(J4121, Dropdowns!N:O, 2, FALSE)</f>
        <v>Lower Price</v>
      </c>
      <c r="J4121" t="s">
        <v>759</v>
      </c>
      <c r="L4121" s="17" t="s">
        <v>733</v>
      </c>
      <c r="M4121" s="17" t="s">
        <v>10</v>
      </c>
      <c r="N4121" s="17" t="s">
        <v>740</v>
      </c>
    </row>
    <row r="4122" spans="1:14" x14ac:dyDescent="0.25">
      <c r="A4122" s="8">
        <v>982830</v>
      </c>
      <c r="B4122" s="22" t="str">
        <f>IFERROR(VLOOKUP(A4122,VLOOKUPS!$A$2:B$12589,2,FALSE),"")</f>
        <v>Grapes* Black Seedless 1lb-LOOSE</v>
      </c>
      <c r="E4122">
        <v>1.48</v>
      </c>
      <c r="F4122">
        <v>2.2799999999999998</v>
      </c>
      <c r="G4122" s="13">
        <v>44679</v>
      </c>
      <c r="H4122" s="13"/>
      <c r="I4122" s="22" t="str">
        <f>VLOOKUP(J4122, Dropdowns!N:O, 2, FALSE)</f>
        <v>Standard</v>
      </c>
      <c r="J4122" t="s">
        <v>760</v>
      </c>
      <c r="L4122" s="17" t="s">
        <v>733</v>
      </c>
      <c r="M4122" s="17" t="s">
        <v>10</v>
      </c>
      <c r="N4122" s="17" t="s">
        <v>740</v>
      </c>
    </row>
    <row r="4123" spans="1:14" x14ac:dyDescent="0.25">
      <c r="A4123" s="8">
        <v>983101</v>
      </c>
      <c r="B4123" s="22" t="str">
        <f>IFERROR(VLOOKUP(A4123,VLOOKUPS!$A$2:B$12589,2,FALSE),"")</f>
        <v>Melons Cantaloupes 1ct-LOOSE</v>
      </c>
      <c r="E4123">
        <v>2.48</v>
      </c>
      <c r="F4123">
        <v>1.98</v>
      </c>
      <c r="G4123" s="13">
        <v>44677</v>
      </c>
      <c r="H4123" s="13">
        <v>44678</v>
      </c>
      <c r="I4123" s="22" t="str">
        <f>VLOOKUP(J4123, Dropdowns!N:O, 2, FALSE)</f>
        <v>Lower Price</v>
      </c>
      <c r="J4123" t="s">
        <v>759</v>
      </c>
      <c r="L4123" s="17" t="s">
        <v>733</v>
      </c>
      <c r="M4123" s="17" t="s">
        <v>9</v>
      </c>
      <c r="N4123" s="17" t="s">
        <v>740</v>
      </c>
    </row>
    <row r="4124" spans="1:14" x14ac:dyDescent="0.25">
      <c r="A4124" s="8">
        <v>983101</v>
      </c>
      <c r="B4124" s="22" t="str">
        <f>IFERROR(VLOOKUP(A4124,VLOOKUPS!$A$2:B$12589,2,FALSE),"")</f>
        <v>Melons Cantaloupes 1ct-LOOSE</v>
      </c>
      <c r="E4124">
        <v>1.98</v>
      </c>
      <c r="F4124">
        <v>2.48</v>
      </c>
      <c r="G4124" s="13">
        <v>44679</v>
      </c>
      <c r="H4124" s="13"/>
      <c r="I4124" s="22" t="str">
        <f>VLOOKUP(J4124, Dropdowns!N:O, 2, FALSE)</f>
        <v>Standard</v>
      </c>
      <c r="J4124" t="s">
        <v>760</v>
      </c>
      <c r="L4124" s="17" t="s">
        <v>733</v>
      </c>
      <c r="M4124" s="17" t="s">
        <v>9</v>
      </c>
      <c r="N4124" s="17" t="s">
        <v>740</v>
      </c>
    </row>
    <row r="4125" spans="1:14" x14ac:dyDescent="0.25">
      <c r="A4125" s="8">
        <v>982650</v>
      </c>
      <c r="B4125" s="22" t="str">
        <f>IFERROR(VLOOKUP(A4125,VLOOKUPS!$A$2:B$12589,2,FALSE),"")</f>
        <v>Grapes* Green Seedless 1lb-LOOSE</v>
      </c>
      <c r="E4125">
        <v>2.58</v>
      </c>
      <c r="F4125">
        <v>2.59</v>
      </c>
      <c r="G4125" s="13">
        <v>44678</v>
      </c>
      <c r="H4125" s="13"/>
      <c r="I4125" s="22" t="str">
        <f>VLOOKUP(J4125, Dropdowns!N:O, 2, FALSE)</f>
        <v>Standard</v>
      </c>
      <c r="J4125" t="s">
        <v>761</v>
      </c>
      <c r="L4125" s="17" t="s">
        <v>734</v>
      </c>
      <c r="M4125" s="17" t="s">
        <v>10</v>
      </c>
      <c r="N4125" s="17">
        <v>2</v>
      </c>
    </row>
    <row r="4126" spans="1:14" x14ac:dyDescent="0.25">
      <c r="A4126" s="8">
        <v>984460</v>
      </c>
      <c r="B4126" s="22" t="str">
        <f>IFERROR(VLOOKUP(A4126,VLOOKUPS!$A$2:B$12589,2,FALSE),"")</f>
        <v>Strawberries 1lb-standard</v>
      </c>
      <c r="E4126">
        <v>1.89</v>
      </c>
      <c r="F4126">
        <v>2.58</v>
      </c>
      <c r="G4126" s="13">
        <v>44678</v>
      </c>
      <c r="H4126" s="13"/>
      <c r="I4126" s="22" t="str">
        <f>VLOOKUP(J4126, Dropdowns!N:O, 2, FALSE)</f>
        <v>Standard</v>
      </c>
      <c r="J4126" t="s">
        <v>760</v>
      </c>
      <c r="L4126" s="17" t="s">
        <v>733</v>
      </c>
      <c r="M4126" s="17" t="s">
        <v>11</v>
      </c>
      <c r="N4126" s="17" t="s">
        <v>740</v>
      </c>
    </row>
    <row r="4127" spans="1:14" x14ac:dyDescent="0.25">
      <c r="A4127" s="8">
        <v>984460</v>
      </c>
      <c r="B4127" s="22" t="str">
        <f>IFERROR(VLOOKUP(A4127,VLOOKUPS!$A$2:B$12589,2,FALSE),"")</f>
        <v>Strawberries 1lb-standard</v>
      </c>
      <c r="G4127" s="13">
        <v>44678</v>
      </c>
      <c r="H4127" s="13">
        <v>44678</v>
      </c>
      <c r="I4127" s="22" t="str">
        <f>VLOOKUP(J4127, Dropdowns!N:O, 2, FALSE)</f>
        <v>Lower Price</v>
      </c>
      <c r="J4127" t="s">
        <v>1081</v>
      </c>
      <c r="L4127" s="17" t="s">
        <v>732</v>
      </c>
      <c r="M4127" s="17" t="s">
        <v>10</v>
      </c>
      <c r="N4127" s="17">
        <v>2</v>
      </c>
    </row>
    <row r="4128" spans="1:14" x14ac:dyDescent="0.25">
      <c r="A4128" s="8">
        <v>984460</v>
      </c>
      <c r="B4128" s="22" t="str">
        <f>IFERROR(VLOOKUP(A4128,VLOOKUPS!$A$2:B$12589,2,FALSE),"")</f>
        <v>Strawberries 1lb-standard</v>
      </c>
      <c r="G4128" s="13">
        <v>44678</v>
      </c>
      <c r="H4128" s="13">
        <v>44679</v>
      </c>
      <c r="I4128" s="22" t="str">
        <f>VLOOKUP(J4128, Dropdowns!N:O, 2, FALSE)</f>
        <v>Lower Price</v>
      </c>
      <c r="J4128" t="s">
        <v>1081</v>
      </c>
      <c r="L4128" s="17" t="s">
        <v>732</v>
      </c>
      <c r="M4128" s="17" t="s">
        <v>9</v>
      </c>
      <c r="N4128" s="17" t="s">
        <v>736</v>
      </c>
    </row>
    <row r="4129" spans="1:17" x14ac:dyDescent="0.25">
      <c r="A4129" s="8">
        <v>984542</v>
      </c>
      <c r="B4129" s="22" t="str">
        <f>IFERROR(VLOOKUP(A4129,VLOOKUPS!$A$2:B$12589,2,FALSE),"")</f>
        <v>Blueberries 18oz-standard</v>
      </c>
      <c r="E4129">
        <v>6.74</v>
      </c>
      <c r="F4129">
        <v>4.38</v>
      </c>
      <c r="G4129" s="13">
        <v>44678</v>
      </c>
      <c r="H4129" s="13">
        <v>44679</v>
      </c>
      <c r="I4129" s="22" t="str">
        <f>VLOOKUP(J4129, Dropdowns!N:O, 2, FALSE)</f>
        <v>Lower Price</v>
      </c>
      <c r="J4129" t="s">
        <v>759</v>
      </c>
      <c r="L4129" s="17" t="s">
        <v>732</v>
      </c>
      <c r="M4129" s="17" t="s">
        <v>9</v>
      </c>
      <c r="N4129" s="17" t="s">
        <v>736</v>
      </c>
    </row>
    <row r="4130" spans="1:17" x14ac:dyDescent="0.25">
      <c r="A4130" s="8">
        <v>984542</v>
      </c>
      <c r="B4130" s="22" t="str">
        <f>IFERROR(VLOOKUP(A4130,VLOOKUPS!$A$2:B$12589,2,FALSE),"")</f>
        <v>Blueberries 18oz-standard</v>
      </c>
      <c r="E4130">
        <v>4.38</v>
      </c>
      <c r="F4130">
        <v>6.74</v>
      </c>
      <c r="G4130" s="13">
        <v>44680</v>
      </c>
      <c r="H4130" s="13"/>
      <c r="I4130" s="22" t="str">
        <f>VLOOKUP(J4130, Dropdowns!N:O, 2, FALSE)</f>
        <v>Standard</v>
      </c>
      <c r="J4130" t="s">
        <v>760</v>
      </c>
      <c r="L4130" s="17" t="s">
        <v>732</v>
      </c>
      <c r="M4130" s="17" t="s">
        <v>9</v>
      </c>
      <c r="N4130" s="17" t="s">
        <v>736</v>
      </c>
    </row>
    <row r="4131" spans="1:17" x14ac:dyDescent="0.25">
      <c r="A4131" s="8">
        <v>986250</v>
      </c>
      <c r="B4131" s="22" t="str">
        <f>IFERROR(VLOOKUP(A4131,VLOOKUPS!$A$2:B$12589,2,FALSE),"")</f>
        <v>French Beans 1lb-standard</v>
      </c>
      <c r="G4131" s="13">
        <v>44678</v>
      </c>
      <c r="H4131" s="13">
        <v>44684</v>
      </c>
      <c r="I4131" s="22" t="str">
        <f>VLOOKUP(J4131, Dropdowns!N:O, 2, FALSE)</f>
        <v>Lower Price</v>
      </c>
      <c r="J4131" t="s">
        <v>753</v>
      </c>
      <c r="L4131" s="17" t="s">
        <v>732</v>
      </c>
      <c r="M4131" s="17" t="s">
        <v>736</v>
      </c>
      <c r="N4131" s="17" t="s">
        <v>736</v>
      </c>
    </row>
    <row r="4132" spans="1:17" x14ac:dyDescent="0.25">
      <c r="A4132" s="8">
        <v>986293</v>
      </c>
      <c r="B4132" s="22" t="str">
        <f>IFERROR(VLOOKUP(A4132,VLOOKUPS!$A$2:B$12589,2,FALSE),"")</f>
        <v>Leeks* 3ct-BUNCH</v>
      </c>
      <c r="E4132">
        <v>3.27</v>
      </c>
      <c r="F4132">
        <v>2.13</v>
      </c>
      <c r="G4132" s="13">
        <v>44678</v>
      </c>
      <c r="H4132" s="13">
        <v>44679</v>
      </c>
      <c r="I4132" s="22" t="str">
        <f>VLOOKUP(J4132, Dropdowns!N:O, 2, FALSE)</f>
        <v>Lower Price</v>
      </c>
      <c r="J4132" t="s">
        <v>759</v>
      </c>
      <c r="L4132" s="17" t="s">
        <v>733</v>
      </c>
      <c r="M4132" s="17" t="s">
        <v>9</v>
      </c>
      <c r="N4132" s="17" t="s">
        <v>740</v>
      </c>
    </row>
    <row r="4133" spans="1:17" x14ac:dyDescent="0.25">
      <c r="A4133" s="8">
        <v>986293</v>
      </c>
      <c r="B4133" s="22" t="str">
        <f>IFERROR(VLOOKUP(A4133,VLOOKUPS!$A$2:B$12589,2,FALSE),"")</f>
        <v>Leeks* 3ct-BUNCH</v>
      </c>
      <c r="E4133">
        <v>2.13</v>
      </c>
      <c r="F4133">
        <v>3.27</v>
      </c>
      <c r="G4133" s="13">
        <v>44680</v>
      </c>
      <c r="H4133" s="13"/>
      <c r="I4133" s="22" t="str">
        <f>VLOOKUP(J4133, Dropdowns!N:O, 2, FALSE)</f>
        <v>Standard</v>
      </c>
      <c r="J4133" t="s">
        <v>760</v>
      </c>
      <c r="L4133" s="17" t="s">
        <v>733</v>
      </c>
      <c r="M4133" s="17" t="s">
        <v>9</v>
      </c>
      <c r="N4133" s="17" t="s">
        <v>740</v>
      </c>
    </row>
    <row r="4134" spans="1:17" x14ac:dyDescent="0.25">
      <c r="A4134" s="8">
        <v>989068</v>
      </c>
      <c r="B4134" s="22" t="str">
        <f>IFERROR(VLOOKUP(A4134,VLOOKUPS!$A$2:B$12589,2,FALSE),"")</f>
        <v>Kitchen Herbs Roasting Blend 0.5oz-standard</v>
      </c>
      <c r="E4134">
        <v>1.98</v>
      </c>
      <c r="F4134">
        <v>0.99</v>
      </c>
      <c r="G4134" s="13">
        <v>44678</v>
      </c>
      <c r="H4134" s="13">
        <v>44679</v>
      </c>
      <c r="I4134" s="22" t="str">
        <f>VLOOKUP(J4134, Dropdowns!N:O, 2, FALSE)</f>
        <v>Lower Price</v>
      </c>
      <c r="J4134" t="s">
        <v>759</v>
      </c>
      <c r="L4134" s="17" t="s">
        <v>732</v>
      </c>
      <c r="M4134" s="17" t="s">
        <v>738</v>
      </c>
      <c r="N4134" s="17">
        <v>2</v>
      </c>
    </row>
    <row r="4135" spans="1:17" x14ac:dyDescent="0.25">
      <c r="A4135" s="8">
        <v>989068</v>
      </c>
      <c r="B4135" s="22" t="str">
        <f>IFERROR(VLOOKUP(A4135,VLOOKUPS!$A$2:B$12589,2,FALSE),"")</f>
        <v>Kitchen Herbs Roasting Blend 0.5oz-standard</v>
      </c>
      <c r="E4135">
        <v>0.99</v>
      </c>
      <c r="F4135">
        <v>1.98</v>
      </c>
      <c r="G4135" s="13">
        <v>44680</v>
      </c>
      <c r="H4135" s="13"/>
      <c r="I4135" s="22" t="str">
        <f>VLOOKUP(J4135, Dropdowns!N:O, 2, FALSE)</f>
        <v>Standard</v>
      </c>
      <c r="J4135" t="s">
        <v>760</v>
      </c>
      <c r="L4135" s="17" t="s">
        <v>732</v>
      </c>
      <c r="M4135" s="17" t="s">
        <v>738</v>
      </c>
      <c r="N4135" s="17">
        <v>2</v>
      </c>
    </row>
    <row r="4136" spans="1:17" x14ac:dyDescent="0.25">
      <c r="A4136" s="8">
        <v>989068</v>
      </c>
      <c r="B4136" s="22" t="str">
        <f>IFERROR(VLOOKUP(A4136,VLOOKUPS!$A$2:B$12589,2,FALSE),"")</f>
        <v>Kitchen Herbs Roasting Blend 0.5oz-standard</v>
      </c>
      <c r="D4136">
        <v>12</v>
      </c>
      <c r="E4136">
        <v>1.98</v>
      </c>
      <c r="G4136" s="13">
        <v>44678</v>
      </c>
      <c r="H4136" s="13"/>
      <c r="I4136" s="22" t="str">
        <f>VLOOKUP(J4136, Dropdowns!N:O, 2, FALSE)</f>
        <v>NA</v>
      </c>
      <c r="J4136" t="s">
        <v>754</v>
      </c>
      <c r="L4136" s="17" t="s">
        <v>732</v>
      </c>
      <c r="M4136" s="17" t="s">
        <v>9</v>
      </c>
      <c r="N4136" s="17" t="s">
        <v>736</v>
      </c>
    </row>
    <row r="4137" spans="1:17" x14ac:dyDescent="0.25">
      <c r="A4137" s="8">
        <v>983251</v>
      </c>
      <c r="B4137" s="22" t="str">
        <f>IFERROR(VLOOKUP(A4137,VLOOKUPS!$A$2:B$12589,2,FALSE),"")</f>
        <v>Watermelons Large Seedless 1ct-LOOSE</v>
      </c>
      <c r="D4137">
        <v>45</v>
      </c>
      <c r="F4137">
        <v>6.99</v>
      </c>
      <c r="G4137" s="13">
        <v>44678</v>
      </c>
      <c r="H4137" s="13"/>
      <c r="I4137" s="22" t="str">
        <f>VLOOKUP(J4137, Dropdowns!N:O, 2, FALSE)</f>
        <v>New</v>
      </c>
      <c r="J4137" t="s">
        <v>776</v>
      </c>
      <c r="L4137" s="17" t="s">
        <v>732</v>
      </c>
      <c r="M4137" s="17" t="s">
        <v>738</v>
      </c>
      <c r="N4137" s="17">
        <v>2</v>
      </c>
    </row>
    <row r="4138" spans="1:17" x14ac:dyDescent="0.25">
      <c r="A4138" s="8">
        <v>983251</v>
      </c>
      <c r="B4138" s="22" t="str">
        <f>IFERROR(VLOOKUP(A4138,VLOOKUPS!$A$2:B$12589,2,FALSE),"")</f>
        <v>Watermelons Large Seedless 1ct-LOOSE</v>
      </c>
      <c r="D4138">
        <v>45</v>
      </c>
      <c r="F4138">
        <v>6.99</v>
      </c>
      <c r="G4138" s="13">
        <v>44678</v>
      </c>
      <c r="H4138" s="13"/>
      <c r="I4138" s="22" t="str">
        <f>VLOOKUP(J4138, Dropdowns!N:O, 2, FALSE)</f>
        <v>New</v>
      </c>
      <c r="J4138" t="s">
        <v>776</v>
      </c>
      <c r="L4138" s="17" t="s">
        <v>733</v>
      </c>
      <c r="M4138" s="17" t="s">
        <v>9</v>
      </c>
      <c r="N4138" s="17" t="s">
        <v>740</v>
      </c>
    </row>
    <row r="4139" spans="1:17" x14ac:dyDescent="0.25">
      <c r="A4139" s="8">
        <v>983251</v>
      </c>
      <c r="B4139" s="22" t="str">
        <f>IFERROR(VLOOKUP(A4139,VLOOKUPS!$A$2:B$12589,2,FALSE),"")</f>
        <v>Watermelons Large Seedless 1ct-LOOSE</v>
      </c>
      <c r="D4139">
        <v>45</v>
      </c>
      <c r="F4139">
        <v>7.99</v>
      </c>
      <c r="G4139" s="13">
        <v>44678</v>
      </c>
      <c r="H4139" s="13"/>
      <c r="I4139" s="22" t="str">
        <f>VLOOKUP(J4139, Dropdowns!N:O, 2, FALSE)</f>
        <v>New</v>
      </c>
      <c r="J4139" t="s">
        <v>776</v>
      </c>
      <c r="L4139" s="17" t="s">
        <v>734</v>
      </c>
      <c r="M4139" s="17" t="s">
        <v>9</v>
      </c>
      <c r="N4139" s="17" t="s">
        <v>736</v>
      </c>
    </row>
    <row r="4140" spans="1:17" x14ac:dyDescent="0.25">
      <c r="A4140" s="8">
        <v>985190</v>
      </c>
      <c r="B4140" s="22" t="str">
        <f>IFERROR(VLOOKUP(A4140,VLOOKUPS!$A$2:B$12589,2,FALSE),"")</f>
        <v>Organic Romaine Hearts 3ct-standard</v>
      </c>
      <c r="E4140">
        <v>3.86</v>
      </c>
      <c r="F4140">
        <v>2.5099999999999998</v>
      </c>
      <c r="G4140" s="13">
        <v>44679</v>
      </c>
      <c r="H4140" s="13">
        <v>44680</v>
      </c>
      <c r="I4140" s="22" t="str">
        <f>VLOOKUP(J4140, Dropdowns!N:O, 2, FALSE)</f>
        <v>Lower Price</v>
      </c>
      <c r="J4140" t="s">
        <v>759</v>
      </c>
      <c r="L4140" s="17" t="s">
        <v>732</v>
      </c>
      <c r="M4140" s="17" t="s">
        <v>9</v>
      </c>
      <c r="N4140" s="17" t="s">
        <v>736</v>
      </c>
    </row>
    <row r="4141" spans="1:17" x14ac:dyDescent="0.25">
      <c r="A4141" s="8">
        <v>995186</v>
      </c>
      <c r="B4141" s="22" t="str">
        <f>IFERROR(VLOOKUP(A4141,VLOOKUPS!$A$2:B$12589,2,FALSE),"")</f>
        <v>Organic Carrots and Ranch 5oz-standard</v>
      </c>
      <c r="D4141">
        <v>6</v>
      </c>
      <c r="F4141">
        <v>2.99</v>
      </c>
      <c r="G4141" s="13">
        <v>44679</v>
      </c>
      <c r="H4141" s="13"/>
      <c r="I4141" s="22" t="str">
        <f>VLOOKUP(J4141, Dropdowns!N:O, 2, FALSE)</f>
        <v>New</v>
      </c>
      <c r="J4141" t="s">
        <v>776</v>
      </c>
      <c r="L4141" s="17" t="s">
        <v>732</v>
      </c>
      <c r="M4141" s="17" t="s">
        <v>737</v>
      </c>
      <c r="N4141" s="17" t="s">
        <v>736</v>
      </c>
      <c r="O4141" t="s">
        <v>748</v>
      </c>
      <c r="P4141">
        <v>1</v>
      </c>
      <c r="Q4141" s="17" t="s">
        <v>1044</v>
      </c>
    </row>
    <row r="4142" spans="1:17" x14ac:dyDescent="0.25">
      <c r="A4142" s="8">
        <v>995187</v>
      </c>
      <c r="B4142" s="22" t="str">
        <f>IFERROR(VLOOKUP(A4142,VLOOKUPS!$A$2:B$12589,2,FALSE),"")</f>
        <v>Organic Carrots and Guacamole 5oz-standard</v>
      </c>
      <c r="D4142">
        <v>6</v>
      </c>
      <c r="F4142">
        <v>2.99</v>
      </c>
      <c r="G4142" s="13">
        <v>44679</v>
      </c>
      <c r="H4142" s="13"/>
      <c r="I4142" s="22" t="str">
        <f>VLOOKUP(J4142, Dropdowns!N:O, 2, FALSE)</f>
        <v>New</v>
      </c>
      <c r="J4142" t="s">
        <v>776</v>
      </c>
      <c r="L4142" s="17" t="s">
        <v>732</v>
      </c>
      <c r="M4142" s="17" t="s">
        <v>737</v>
      </c>
      <c r="N4142" s="17" t="s">
        <v>736</v>
      </c>
      <c r="O4142" s="17" t="s">
        <v>748</v>
      </c>
      <c r="P4142">
        <v>1</v>
      </c>
      <c r="Q4142" s="17" t="s">
        <v>1044</v>
      </c>
    </row>
    <row r="4143" spans="1:17" x14ac:dyDescent="0.25">
      <c r="A4143" s="8">
        <v>985190</v>
      </c>
      <c r="B4143" s="22" t="str">
        <f>IFERROR(VLOOKUP(A4143,VLOOKUPS!$A$2:B$12589,2,FALSE),"")</f>
        <v>Organic Romaine Hearts 3ct-standard</v>
      </c>
      <c r="E4143">
        <v>2.5099999999999998</v>
      </c>
      <c r="F4143">
        <v>3.86</v>
      </c>
      <c r="G4143" s="13">
        <v>44681</v>
      </c>
      <c r="H4143" s="13"/>
      <c r="I4143" s="22" t="str">
        <f>VLOOKUP(J4143, Dropdowns!N:O, 2, FALSE)</f>
        <v>Standard</v>
      </c>
      <c r="J4143" t="s">
        <v>760</v>
      </c>
      <c r="L4143" s="17" t="s">
        <v>732</v>
      </c>
      <c r="M4143" s="17" t="s">
        <v>9</v>
      </c>
      <c r="N4143" s="17" t="s">
        <v>736</v>
      </c>
    </row>
    <row r="4144" spans="1:17" x14ac:dyDescent="0.25">
      <c r="A4144" s="8">
        <v>984460</v>
      </c>
      <c r="B4144" s="22" t="str">
        <f>IFERROR(VLOOKUP(A4144,VLOOKUPS!$A$2:B$12589,2,FALSE),"")</f>
        <v>Strawberries 1lb-standard</v>
      </c>
      <c r="G4144" s="13">
        <v>44679</v>
      </c>
      <c r="H4144" s="13">
        <v>44679</v>
      </c>
      <c r="I4144" s="22" t="str">
        <f>VLOOKUP(J4144, Dropdowns!N:O, 2, FALSE)</f>
        <v>Lower Price</v>
      </c>
      <c r="J4144" t="s">
        <v>762</v>
      </c>
      <c r="L4144" s="17" t="s">
        <v>732</v>
      </c>
      <c r="M4144" s="17" t="s">
        <v>10</v>
      </c>
      <c r="N4144" s="17">
        <v>2</v>
      </c>
    </row>
    <row r="4145" spans="1:14" x14ac:dyDescent="0.25">
      <c r="A4145" s="8">
        <v>988532</v>
      </c>
      <c r="B4145" s="22" t="str">
        <f>IFERROR(VLOOKUP(A4145,VLOOKUPS!$A$2:B$12589,2,FALSE),"")</f>
        <v>Broccoli* Crown 1lb-LOOSE</v>
      </c>
      <c r="E4145">
        <v>2.69</v>
      </c>
      <c r="F4145">
        <v>1.75</v>
      </c>
      <c r="G4145" s="13">
        <v>44679</v>
      </c>
      <c r="H4145" s="13">
        <v>44680</v>
      </c>
      <c r="I4145" s="22" t="str">
        <f>VLOOKUP(J4145, Dropdowns!N:O, 2, FALSE)</f>
        <v>Lower Price</v>
      </c>
      <c r="J4145" t="s">
        <v>759</v>
      </c>
      <c r="L4145" s="17" t="s">
        <v>732</v>
      </c>
      <c r="M4145" s="17" t="s">
        <v>737</v>
      </c>
      <c r="N4145" s="17" t="s">
        <v>736</v>
      </c>
    </row>
    <row r="4146" spans="1:14" x14ac:dyDescent="0.25">
      <c r="A4146" s="8">
        <v>988532</v>
      </c>
      <c r="B4146" s="22" t="str">
        <f>IFERROR(VLOOKUP(A4146,VLOOKUPS!$A$2:B$12589,2,FALSE),"")</f>
        <v>Broccoli* Crown 1lb-LOOSE</v>
      </c>
      <c r="E4146">
        <v>1.75</v>
      </c>
      <c r="F4146">
        <v>2.69</v>
      </c>
      <c r="G4146" s="13">
        <v>44681</v>
      </c>
      <c r="H4146" s="13"/>
      <c r="I4146" s="22" t="str">
        <f>VLOOKUP(J4146, Dropdowns!N:O, 2, FALSE)</f>
        <v>Standard</v>
      </c>
      <c r="J4146" t="s">
        <v>760</v>
      </c>
      <c r="L4146" s="17" t="s">
        <v>732</v>
      </c>
      <c r="M4146" s="17" t="s">
        <v>737</v>
      </c>
      <c r="N4146" s="17" t="s">
        <v>736</v>
      </c>
    </row>
    <row r="4147" spans="1:14" x14ac:dyDescent="0.25">
      <c r="A4147" s="8">
        <v>989086</v>
      </c>
      <c r="B4147" s="22" t="str">
        <f>IFERROR(VLOOKUP(A4147,VLOOKUPS!$A$2:B$12589,2,FALSE),"")</f>
        <v>Basil 0.5oz-standard</v>
      </c>
      <c r="E4147">
        <v>1.98</v>
      </c>
      <c r="F4147">
        <v>1.58</v>
      </c>
      <c r="G4147" s="13">
        <v>44679</v>
      </c>
      <c r="H4147" s="13">
        <v>44680</v>
      </c>
      <c r="I4147" s="22" t="str">
        <f>VLOOKUP(J4147, Dropdowns!N:O, 2, FALSE)</f>
        <v>Lower Price</v>
      </c>
      <c r="J4147" t="s">
        <v>759</v>
      </c>
      <c r="L4147" s="17" t="s">
        <v>733</v>
      </c>
      <c r="M4147" s="17" t="s">
        <v>736</v>
      </c>
      <c r="N4147" s="17" t="s">
        <v>740</v>
      </c>
    </row>
    <row r="4148" spans="1:14" x14ac:dyDescent="0.25">
      <c r="A4148" s="8">
        <v>989086</v>
      </c>
      <c r="B4148" s="22" t="str">
        <f>IFERROR(VLOOKUP(A4148,VLOOKUPS!$A$2:B$12589,2,FALSE),"")</f>
        <v>Basil 0.5oz-standard</v>
      </c>
      <c r="E4148">
        <v>1.58</v>
      </c>
      <c r="F4148">
        <v>1.98</v>
      </c>
      <c r="G4148" s="13">
        <v>44681</v>
      </c>
      <c r="H4148" s="13"/>
      <c r="I4148" s="22" t="str">
        <f>VLOOKUP(J4148, Dropdowns!N:O, 2, FALSE)</f>
        <v>Standard</v>
      </c>
      <c r="J4148" t="s">
        <v>760</v>
      </c>
      <c r="L4148" s="17" t="s">
        <v>733</v>
      </c>
      <c r="M4148" s="17" t="s">
        <v>736</v>
      </c>
      <c r="N4148" s="17" t="s">
        <v>740</v>
      </c>
    </row>
    <row r="4149" spans="1:14" x14ac:dyDescent="0.25">
      <c r="A4149" s="8">
        <v>984620</v>
      </c>
      <c r="B4149" s="22" t="str">
        <f>IFERROR(VLOOKUP(A4149,VLOOKUPS!$A$2:B$12589,2,FALSE),"")</f>
        <v>Raspberries 6oz-standard</v>
      </c>
      <c r="E4149">
        <v>2.98</v>
      </c>
      <c r="F4149">
        <v>3.28</v>
      </c>
      <c r="G4149" s="13">
        <v>44680</v>
      </c>
      <c r="H4149" s="13"/>
      <c r="I4149" s="22" t="str">
        <f>VLOOKUP(J4149, Dropdowns!N:O, 2, FALSE)</f>
        <v>Standard</v>
      </c>
      <c r="J4149" t="s">
        <v>761</v>
      </c>
      <c r="L4149" s="17" t="s">
        <v>734</v>
      </c>
      <c r="M4149" s="17" t="s">
        <v>9</v>
      </c>
      <c r="N4149" s="17" t="s">
        <v>736</v>
      </c>
    </row>
    <row r="4150" spans="1:14" x14ac:dyDescent="0.25">
      <c r="A4150" s="8">
        <v>995154</v>
      </c>
      <c r="B4150" s="22" t="str">
        <f>IFERROR(VLOOKUP(A4150,VLOOKUPS!$A$2:B$12589,2,FALSE),"")</f>
        <v>Butter Blend 5oz-standard</v>
      </c>
      <c r="D4150">
        <v>8</v>
      </c>
      <c r="E4150">
        <v>2.98</v>
      </c>
      <c r="G4150" s="13">
        <v>44680</v>
      </c>
      <c r="H4150" s="13"/>
      <c r="I4150" s="22" t="str">
        <f>VLOOKUP(J4150, Dropdowns!N:O, 2, FALSE)</f>
        <v>Standard</v>
      </c>
      <c r="J4150" t="s">
        <v>782</v>
      </c>
      <c r="L4150" s="17" t="s">
        <v>732</v>
      </c>
      <c r="M4150" s="17" t="s">
        <v>736</v>
      </c>
      <c r="N4150" s="17" t="s">
        <v>736</v>
      </c>
    </row>
    <row r="4151" spans="1:14" x14ac:dyDescent="0.25">
      <c r="A4151" s="8">
        <v>995186</v>
      </c>
      <c r="B4151" s="22" t="str">
        <f>IFERROR(VLOOKUP(A4151,VLOOKUPS!$A$2:B$12589,2,FALSE),"")</f>
        <v>Organic Carrots and Ranch 5oz-standard</v>
      </c>
      <c r="D4151">
        <v>6</v>
      </c>
      <c r="F4151">
        <v>2.99</v>
      </c>
      <c r="G4151" s="13">
        <v>44680</v>
      </c>
      <c r="H4151" s="13"/>
      <c r="I4151" s="22" t="str">
        <f>VLOOKUP(J4151, Dropdowns!N:O, 2, FALSE)</f>
        <v>New</v>
      </c>
      <c r="J4151" t="s">
        <v>776</v>
      </c>
      <c r="L4151" s="17" t="s">
        <v>732</v>
      </c>
      <c r="M4151" s="17" t="s">
        <v>10</v>
      </c>
      <c r="N4151" s="17">
        <v>2</v>
      </c>
    </row>
    <row r="4152" spans="1:14" x14ac:dyDescent="0.25">
      <c r="A4152" s="8">
        <v>995187</v>
      </c>
      <c r="B4152" s="22" t="str">
        <f>IFERROR(VLOOKUP(A4152,VLOOKUPS!$A$2:B$12589,2,FALSE),"")</f>
        <v>Organic Carrots and Guacamole 5oz-standard</v>
      </c>
      <c r="D4152">
        <v>6</v>
      </c>
      <c r="F4152">
        <v>2.99</v>
      </c>
      <c r="G4152" s="13">
        <v>44680</v>
      </c>
      <c r="H4152" s="13"/>
      <c r="I4152" s="22" t="str">
        <f>VLOOKUP(J4152, Dropdowns!N:O, 2, FALSE)</f>
        <v>New</v>
      </c>
      <c r="J4152" t="s">
        <v>776</v>
      </c>
      <c r="L4152" s="17" t="s">
        <v>732</v>
      </c>
      <c r="M4152" s="17" t="s">
        <v>10</v>
      </c>
      <c r="N4152" s="17">
        <v>2</v>
      </c>
    </row>
    <row r="4153" spans="1:14" x14ac:dyDescent="0.25">
      <c r="A4153" s="8">
        <v>984460</v>
      </c>
      <c r="B4153" s="22" t="str">
        <f>IFERROR(VLOOKUP(A4153,VLOOKUPS!$A$2:B$12589,2,FALSE),"")</f>
        <v>Strawberries 1lb-standard</v>
      </c>
      <c r="G4153" s="13">
        <v>44680</v>
      </c>
      <c r="H4153" s="13">
        <v>44680</v>
      </c>
      <c r="I4153" s="22" t="str">
        <f>VLOOKUP(J4153, Dropdowns!N:O, 2, FALSE)</f>
        <v>Lower Price</v>
      </c>
      <c r="J4153" t="s">
        <v>762</v>
      </c>
      <c r="L4153" s="17" t="s">
        <v>732</v>
      </c>
      <c r="M4153" s="17" t="s">
        <v>735</v>
      </c>
      <c r="N4153" s="17" t="s">
        <v>736</v>
      </c>
    </row>
    <row r="4154" spans="1:14" x14ac:dyDescent="0.25">
      <c r="A4154" s="8">
        <v>980730</v>
      </c>
      <c r="B4154" s="22" t="str">
        <f>IFERROR(VLOOKUP(A4154,VLOOKUPS!$A$2:B$12589,2,FALSE),"")</f>
        <v>Grapefruit 3lb-standard</v>
      </c>
      <c r="G4154" s="13">
        <v>44680</v>
      </c>
      <c r="H4154" s="13">
        <v>44681</v>
      </c>
      <c r="I4154" s="22" t="str">
        <f>VLOOKUP(J4154, Dropdowns!N:O, 2, FALSE)</f>
        <v>Lower Price</v>
      </c>
      <c r="J4154" t="s">
        <v>762</v>
      </c>
      <c r="L4154" s="17" t="s">
        <v>732</v>
      </c>
      <c r="M4154" s="17" t="s">
        <v>736</v>
      </c>
      <c r="N4154" s="17" t="s">
        <v>736</v>
      </c>
    </row>
    <row r="4155" spans="1:14" x14ac:dyDescent="0.25">
      <c r="A4155" s="8">
        <v>989412</v>
      </c>
      <c r="B4155" s="22" t="str">
        <f>IFERROR(VLOOKUP(A4155,VLOOKUPS!$A$2:B$12589,2,FALSE),"")</f>
        <v>Onions Vidalia 3lb-standard</v>
      </c>
      <c r="G4155" s="13">
        <v>44680</v>
      </c>
      <c r="H4155" s="13">
        <v>44680</v>
      </c>
      <c r="I4155" s="22" t="str">
        <f>VLOOKUP(J4155, Dropdowns!N:O, 2, FALSE)</f>
        <v>Lower Price</v>
      </c>
      <c r="J4155" t="s">
        <v>762</v>
      </c>
      <c r="L4155" s="17" t="s">
        <v>732</v>
      </c>
      <c r="M4155" s="17" t="s">
        <v>9</v>
      </c>
      <c r="N4155" s="17" t="s">
        <v>736</v>
      </c>
    </row>
    <row r="4156" spans="1:14" x14ac:dyDescent="0.25">
      <c r="A4156" s="8">
        <v>983251</v>
      </c>
      <c r="B4156" s="22" t="str">
        <f>IFERROR(VLOOKUP(A4156,VLOOKUPS!$A$2:B$12589,2,FALSE),"")</f>
        <v>Watermelons Large Seedless 1ct-LOOSE</v>
      </c>
      <c r="E4156">
        <v>6.99</v>
      </c>
      <c r="F4156">
        <v>7.49</v>
      </c>
      <c r="G4156" s="13">
        <v>44680</v>
      </c>
      <c r="H4156" s="13"/>
      <c r="I4156" s="22" t="str">
        <f>VLOOKUP(J4156, Dropdowns!N:O, 2, FALSE)</f>
        <v>Standard</v>
      </c>
      <c r="J4156" t="s">
        <v>761</v>
      </c>
      <c r="L4156" s="17" t="s">
        <v>733</v>
      </c>
      <c r="M4156" s="17" t="s">
        <v>9</v>
      </c>
      <c r="N4156" s="17" t="s">
        <v>740</v>
      </c>
    </row>
    <row r="4157" spans="1:14" x14ac:dyDescent="0.25">
      <c r="A4157" s="8">
        <v>983251</v>
      </c>
      <c r="B4157" s="22" t="str">
        <f>IFERROR(VLOOKUP(A4157,VLOOKUPS!$A$2:B$12589,2,FALSE),"")</f>
        <v>Watermelons Large Seedless 1ct-LOOSE</v>
      </c>
      <c r="E4157">
        <v>6.99</v>
      </c>
      <c r="F4157">
        <v>7.49</v>
      </c>
      <c r="G4157" s="13">
        <v>44680</v>
      </c>
      <c r="H4157" s="13"/>
      <c r="I4157" s="22" t="str">
        <f>VLOOKUP(J4157, Dropdowns!N:O, 2, FALSE)</f>
        <v>Standard</v>
      </c>
      <c r="J4157" t="s">
        <v>761</v>
      </c>
      <c r="L4157" s="17" t="s">
        <v>732</v>
      </c>
      <c r="M4157" s="17" t="s">
        <v>738</v>
      </c>
      <c r="N4157" s="17">
        <v>2</v>
      </c>
    </row>
    <row r="4158" spans="1:14" x14ac:dyDescent="0.25">
      <c r="A4158" s="8">
        <v>983101</v>
      </c>
      <c r="B4158" s="22" t="str">
        <f>IFERROR(VLOOKUP(A4158,VLOOKUPS!$A$2:B$12589,2,FALSE),"")</f>
        <v>Melons Cantaloupes 1ct-LOOSE</v>
      </c>
      <c r="E4158">
        <v>2.48</v>
      </c>
      <c r="F4158">
        <v>1.61</v>
      </c>
      <c r="G4158" s="13">
        <v>44680</v>
      </c>
      <c r="H4158" s="13">
        <v>44681</v>
      </c>
      <c r="I4158" s="22" t="str">
        <f>VLOOKUP(J4158, Dropdowns!N:O, 2, FALSE)</f>
        <v>Lower Price</v>
      </c>
      <c r="J4158" t="s">
        <v>759</v>
      </c>
      <c r="L4158" s="17" t="s">
        <v>733</v>
      </c>
      <c r="M4158" s="17" t="s">
        <v>9</v>
      </c>
      <c r="N4158" s="17" t="s">
        <v>740</v>
      </c>
    </row>
    <row r="4159" spans="1:14" x14ac:dyDescent="0.25">
      <c r="A4159" s="8">
        <v>983101</v>
      </c>
      <c r="B4159" s="22" t="str">
        <f>IFERROR(VLOOKUP(A4159,VLOOKUPS!$A$2:B$12589,2,FALSE),"")</f>
        <v>Melons Cantaloupes 1ct-LOOSE</v>
      </c>
      <c r="E4159">
        <v>1.61</v>
      </c>
      <c r="F4159">
        <v>2.48</v>
      </c>
      <c r="G4159" s="13">
        <v>44682</v>
      </c>
      <c r="H4159" s="13"/>
      <c r="I4159" s="22" t="str">
        <f>VLOOKUP(J4159, Dropdowns!N:O, 2, FALSE)</f>
        <v>Standard</v>
      </c>
      <c r="J4159" t="s">
        <v>760</v>
      </c>
      <c r="L4159" s="17" t="s">
        <v>733</v>
      </c>
      <c r="M4159" s="17" t="s">
        <v>9</v>
      </c>
      <c r="N4159" s="17" t="s">
        <v>740</v>
      </c>
    </row>
    <row r="4160" spans="1:14" x14ac:dyDescent="0.25">
      <c r="A4160" s="8">
        <v>982740</v>
      </c>
      <c r="B4160" s="22" t="str">
        <f>IFERROR(VLOOKUP(A4160,VLOOKUPS!$A$2:B$12589,2,FALSE),"")</f>
        <v>Grapes* Red Seedless 1lb-LOOSE</v>
      </c>
      <c r="G4160" s="13">
        <v>44681</v>
      </c>
      <c r="H4160" s="13">
        <v>44682</v>
      </c>
      <c r="I4160" s="22" t="str">
        <f>VLOOKUP(J4160, Dropdowns!N:O, 2, FALSE)</f>
        <v>Lower Price</v>
      </c>
      <c r="J4160" t="s">
        <v>753</v>
      </c>
      <c r="L4160" s="17" t="s">
        <v>732</v>
      </c>
      <c r="M4160" s="17" t="s">
        <v>736</v>
      </c>
      <c r="N4160" s="17" t="s">
        <v>736</v>
      </c>
    </row>
    <row r="4161" spans="1:14" x14ac:dyDescent="0.25">
      <c r="A4161" s="8">
        <v>982740</v>
      </c>
      <c r="B4161" s="22" t="str">
        <f>IFERROR(VLOOKUP(A4161,VLOOKUPS!$A$2:B$12589,2,FALSE),"")</f>
        <v>Grapes* Red Seedless 1lb-LOOSE</v>
      </c>
      <c r="E4161">
        <v>0.99</v>
      </c>
      <c r="F4161">
        <v>1.88</v>
      </c>
      <c r="G4161" s="13">
        <v>44683</v>
      </c>
      <c r="H4161" s="13"/>
      <c r="I4161" s="22" t="str">
        <f>VLOOKUP(J4161, Dropdowns!N:O, 2, FALSE)</f>
        <v>Standard</v>
      </c>
      <c r="J4161" t="s">
        <v>760</v>
      </c>
      <c r="L4161" s="17" t="s">
        <v>732</v>
      </c>
      <c r="M4161" s="17" t="s">
        <v>736</v>
      </c>
      <c r="N4161" s="17" t="s">
        <v>736</v>
      </c>
    </row>
    <row r="4162" spans="1:14" x14ac:dyDescent="0.25">
      <c r="A4162" s="8">
        <v>989068</v>
      </c>
      <c r="B4162" s="22" t="str">
        <f>IFERROR(VLOOKUP(A4162,VLOOKUPS!$A$2:B$12589,2,FALSE),"")</f>
        <v>Kitchen Herbs Roasting Blend 0.5oz-standard</v>
      </c>
      <c r="D4162">
        <v>12</v>
      </c>
      <c r="E4162">
        <v>1.98</v>
      </c>
      <c r="G4162" s="13">
        <v>44681</v>
      </c>
      <c r="H4162" s="13"/>
      <c r="I4162" s="22" t="str">
        <f>VLOOKUP(J4162, Dropdowns!N:O, 2, FALSE)</f>
        <v>NA</v>
      </c>
      <c r="J4162" t="s">
        <v>754</v>
      </c>
      <c r="L4162" s="17" t="s">
        <v>732</v>
      </c>
      <c r="M4162" s="17" t="s">
        <v>738</v>
      </c>
      <c r="N4162" s="17">
        <v>2</v>
      </c>
    </row>
    <row r="4163" spans="1:14" x14ac:dyDescent="0.25">
      <c r="A4163" s="8">
        <v>984541</v>
      </c>
      <c r="B4163" s="22" t="str">
        <f>IFERROR(VLOOKUP(A4163,VLOOKUPS!$A$2:B$12589,2,FALSE),"")</f>
        <v>Blueberries 1pt-standard</v>
      </c>
      <c r="G4163" s="13">
        <v>44681</v>
      </c>
      <c r="H4163" s="13">
        <v>44682</v>
      </c>
      <c r="I4163" s="22" t="str">
        <f>VLOOKUP(J4163, Dropdowns!N:O, 2, FALSE)</f>
        <v>Lower Price</v>
      </c>
      <c r="J4163" t="s">
        <v>753</v>
      </c>
      <c r="L4163" s="17" t="s">
        <v>732</v>
      </c>
      <c r="M4163" s="17" t="s">
        <v>736</v>
      </c>
      <c r="N4163" s="17" t="s">
        <v>736</v>
      </c>
    </row>
    <row r="4164" spans="1:14" x14ac:dyDescent="0.25">
      <c r="A4164" s="8">
        <v>984541</v>
      </c>
      <c r="B4164" s="22" t="str">
        <f>IFERROR(VLOOKUP(A4164,VLOOKUPS!$A$2:B$12589,2,FALSE),"")</f>
        <v>Blueberries 1pt-standard</v>
      </c>
      <c r="E4164">
        <v>2.4900000000000002</v>
      </c>
      <c r="F4164">
        <v>4.37</v>
      </c>
      <c r="G4164" s="13">
        <v>44683</v>
      </c>
      <c r="H4164" s="13"/>
      <c r="I4164" s="22" t="str">
        <f>VLOOKUP(J4164, Dropdowns!N:O, 2, FALSE)</f>
        <v>Standard</v>
      </c>
      <c r="J4164" t="s">
        <v>760</v>
      </c>
      <c r="L4164" s="17" t="s">
        <v>732</v>
      </c>
      <c r="M4164" s="17" t="s">
        <v>736</v>
      </c>
      <c r="N4164" s="17" t="s">
        <v>736</v>
      </c>
    </row>
    <row r="4165" spans="1:14" x14ac:dyDescent="0.25">
      <c r="A4165" s="8">
        <v>995069</v>
      </c>
      <c r="B4165" s="22" t="str">
        <f>IFERROR(VLOOKUP(A4165,VLOOKUPS!$A$2:B$12589,2,FALSE),"")</f>
        <v>Organic Baby Spinach 5oz-standard</v>
      </c>
      <c r="E4165">
        <v>2.98</v>
      </c>
      <c r="F4165">
        <v>1.94</v>
      </c>
      <c r="G4165" s="13">
        <v>44681</v>
      </c>
      <c r="H4165" s="13">
        <v>44682</v>
      </c>
      <c r="I4165" s="22" t="str">
        <f>VLOOKUP(J4165, Dropdowns!N:O, 2, FALSE)</f>
        <v>Lower Price</v>
      </c>
      <c r="J4165" t="s">
        <v>759</v>
      </c>
      <c r="L4165" s="17" t="s">
        <v>733</v>
      </c>
      <c r="M4165" s="17" t="s">
        <v>11</v>
      </c>
      <c r="N4165" s="17" t="s">
        <v>740</v>
      </c>
    </row>
    <row r="4166" spans="1:14" x14ac:dyDescent="0.25">
      <c r="A4166" s="8">
        <v>995069</v>
      </c>
      <c r="B4166" s="22" t="str">
        <f>IFERROR(VLOOKUP(A4166,VLOOKUPS!$A$2:B$12589,2,FALSE),"")</f>
        <v>Organic Baby Spinach 5oz-standard</v>
      </c>
      <c r="E4166">
        <v>1.94</v>
      </c>
      <c r="F4166">
        <v>2.98</v>
      </c>
      <c r="G4166" s="13">
        <v>44683</v>
      </c>
      <c r="H4166" s="13"/>
      <c r="I4166" s="22" t="str">
        <f>VLOOKUP(J4166, Dropdowns!N:O, 2, FALSE)</f>
        <v>Standard</v>
      </c>
      <c r="J4166" t="s">
        <v>760</v>
      </c>
      <c r="L4166" s="17" t="s">
        <v>733</v>
      </c>
      <c r="M4166" s="17" t="s">
        <v>11</v>
      </c>
      <c r="N4166" s="17" t="s">
        <v>740</v>
      </c>
    </row>
    <row r="4167" spans="1:14" x14ac:dyDescent="0.25">
      <c r="A4167" s="8">
        <v>995086</v>
      </c>
      <c r="B4167" s="22" t="str">
        <f>IFERROR(VLOOKUP(A4167,VLOOKUPS!$A$2:B$12589,2,FALSE),"")</f>
        <v>Eat Smart Broccoli Florets 2lbs-standard</v>
      </c>
      <c r="E4167">
        <v>5.98</v>
      </c>
      <c r="F4167">
        <v>3.89</v>
      </c>
      <c r="G4167" s="13">
        <v>44681</v>
      </c>
      <c r="H4167" s="13">
        <v>44682</v>
      </c>
      <c r="I4167" s="22" t="str">
        <f>VLOOKUP(J4167, Dropdowns!N:O, 2, FALSE)</f>
        <v>Lower Price</v>
      </c>
      <c r="J4167" t="s">
        <v>759</v>
      </c>
      <c r="L4167" s="17" t="s">
        <v>733</v>
      </c>
      <c r="M4167" s="17" t="s">
        <v>11</v>
      </c>
      <c r="N4167" s="17" t="s">
        <v>740</v>
      </c>
    </row>
    <row r="4168" spans="1:14" x14ac:dyDescent="0.25">
      <c r="A4168" s="8">
        <v>995086</v>
      </c>
      <c r="B4168" s="22" t="str">
        <f>IFERROR(VLOOKUP(A4168,VLOOKUPS!$A$2:B$12589,2,FALSE),"")</f>
        <v>Eat Smart Broccoli Florets 2lbs-standard</v>
      </c>
      <c r="E4168">
        <v>3.89</v>
      </c>
      <c r="F4168">
        <v>5.98</v>
      </c>
      <c r="G4168" s="13">
        <v>44683</v>
      </c>
      <c r="H4168" s="13"/>
      <c r="I4168" s="22" t="str">
        <f>VLOOKUP(J4168, Dropdowns!N:O, 2, FALSE)</f>
        <v>Standard</v>
      </c>
      <c r="J4168" t="s">
        <v>760</v>
      </c>
      <c r="L4168" s="17" t="s">
        <v>733</v>
      </c>
      <c r="M4168" s="17" t="s">
        <v>11</v>
      </c>
      <c r="N4168" s="17" t="s">
        <v>740</v>
      </c>
    </row>
    <row r="4169" spans="1:14" x14ac:dyDescent="0.25">
      <c r="A4169" s="8">
        <v>984460</v>
      </c>
      <c r="B4169" s="22" t="str">
        <f>IFERROR(VLOOKUP(A4169,VLOOKUPS!$A$2:B$12589,2,FALSE),"")</f>
        <v>Strawberries 1lb-standard</v>
      </c>
      <c r="E4169">
        <v>1.89</v>
      </c>
      <c r="F4169">
        <v>2.58</v>
      </c>
      <c r="G4169" s="13">
        <v>44681</v>
      </c>
      <c r="H4169" s="13"/>
      <c r="I4169" s="22" t="str">
        <f>VLOOKUP(J4169, Dropdowns!N:O, 2, FALSE)</f>
        <v>Standard</v>
      </c>
      <c r="J4169" t="s">
        <v>760</v>
      </c>
      <c r="L4169" s="17" t="s">
        <v>732</v>
      </c>
      <c r="M4169" s="17" t="s">
        <v>735</v>
      </c>
      <c r="N4169" s="17" t="s">
        <v>736</v>
      </c>
    </row>
    <row r="4170" spans="1:14" x14ac:dyDescent="0.25">
      <c r="A4170" s="8">
        <v>980730</v>
      </c>
      <c r="B4170" s="22" t="str">
        <f>IFERROR(VLOOKUP(A4170,VLOOKUPS!$A$2:B$12589,2,FALSE),"")</f>
        <v>Grapefruit 3lb-standard</v>
      </c>
      <c r="E4170">
        <v>2.99</v>
      </c>
      <c r="F4170">
        <v>4.99</v>
      </c>
      <c r="G4170" s="13">
        <v>44682</v>
      </c>
      <c r="H4170" s="13"/>
      <c r="I4170" s="22" t="str">
        <f>VLOOKUP(J4170, Dropdowns!N:O, 2, FALSE)</f>
        <v>Standard</v>
      </c>
      <c r="J4170" t="s">
        <v>760</v>
      </c>
      <c r="L4170" s="17" t="s">
        <v>732</v>
      </c>
      <c r="M4170" s="17" t="s">
        <v>736</v>
      </c>
      <c r="N4170" s="17" t="s">
        <v>736</v>
      </c>
    </row>
    <row r="4171" spans="1:14" x14ac:dyDescent="0.25">
      <c r="A4171" s="8">
        <v>984621</v>
      </c>
      <c r="B4171" s="22" t="str">
        <f>IFERROR(VLOOKUP(A4171,VLOOKUPS!$A$2:B$12589,2,FALSE),"")</f>
        <v>Raspberries 12oz-standard</v>
      </c>
      <c r="E4171">
        <v>5.62</v>
      </c>
      <c r="F4171">
        <v>5.56</v>
      </c>
      <c r="G4171" s="13">
        <v>44684</v>
      </c>
      <c r="H4171" s="13"/>
      <c r="I4171" s="22" t="str">
        <f>VLOOKUP(J4171, Dropdowns!N:O, 2, FALSE)</f>
        <v>Standard</v>
      </c>
      <c r="J4171" t="s">
        <v>761</v>
      </c>
      <c r="L4171" s="17" t="s">
        <v>733</v>
      </c>
      <c r="M4171" s="17" t="s">
        <v>736</v>
      </c>
      <c r="N4171" s="17" t="s">
        <v>740</v>
      </c>
    </row>
    <row r="4172" spans="1:14" x14ac:dyDescent="0.25">
      <c r="A4172" s="8">
        <v>984621</v>
      </c>
      <c r="B4172" s="22" t="str">
        <f>IFERROR(VLOOKUP(A4172,VLOOKUPS!$A$2:B$12589,2,FALSE),"")</f>
        <v>Raspberries 12oz-standard</v>
      </c>
      <c r="E4172">
        <v>5.62</v>
      </c>
      <c r="F4172">
        <v>5.56</v>
      </c>
      <c r="G4172" s="13">
        <v>44684</v>
      </c>
      <c r="H4172" s="13"/>
      <c r="I4172" s="22" t="str">
        <f>VLOOKUP(J4172, Dropdowns!N:O, 2, FALSE)</f>
        <v>Standard</v>
      </c>
      <c r="J4172" t="s">
        <v>761</v>
      </c>
      <c r="L4172" s="17" t="s">
        <v>734</v>
      </c>
      <c r="M4172" s="17" t="s">
        <v>10</v>
      </c>
      <c r="N4172" s="17">
        <v>2</v>
      </c>
    </row>
    <row r="4173" spans="1:14" x14ac:dyDescent="0.25">
      <c r="A4173" s="8">
        <v>985160</v>
      </c>
      <c r="B4173" s="22" t="str">
        <f>IFERROR(VLOOKUP(A4173,VLOOKUPS!$A$2:B$12589,2,FALSE),"")</f>
        <v>Romaine Hearts 3ct-standard</v>
      </c>
      <c r="E4173">
        <v>3.48</v>
      </c>
      <c r="F4173">
        <v>2.99</v>
      </c>
      <c r="G4173" s="13">
        <v>44684</v>
      </c>
      <c r="H4173" s="13"/>
      <c r="I4173" s="22" t="str">
        <f>VLOOKUP(J4173, Dropdowns!N:O, 2, FALSE)</f>
        <v>Standard</v>
      </c>
      <c r="J4173" t="s">
        <v>761</v>
      </c>
      <c r="L4173" s="17" t="s">
        <v>733</v>
      </c>
      <c r="M4173" s="17" t="s">
        <v>736</v>
      </c>
      <c r="N4173" s="17" t="s">
        <v>736</v>
      </c>
    </row>
    <row r="4174" spans="1:14" x14ac:dyDescent="0.25">
      <c r="A4174" s="8">
        <v>985160</v>
      </c>
      <c r="B4174" s="22" t="str">
        <f>IFERROR(VLOOKUP(A4174,VLOOKUPS!$A$2:B$12589,2,FALSE),"")</f>
        <v>Romaine Hearts 3ct-standard</v>
      </c>
      <c r="E4174">
        <v>3.48</v>
      </c>
      <c r="F4174">
        <v>2.99</v>
      </c>
      <c r="G4174" s="13">
        <v>44684</v>
      </c>
      <c r="H4174" s="13"/>
      <c r="I4174" s="22" t="str">
        <f>VLOOKUP(J4174, Dropdowns!N:O, 2, FALSE)</f>
        <v>Standard</v>
      </c>
      <c r="J4174" t="s">
        <v>761</v>
      </c>
      <c r="L4174" s="17" t="s">
        <v>734</v>
      </c>
      <c r="M4174" s="17" t="s">
        <v>10</v>
      </c>
      <c r="N4174" s="17">
        <v>2</v>
      </c>
    </row>
    <row r="4175" spans="1:14" x14ac:dyDescent="0.25">
      <c r="A4175" s="8">
        <v>985190</v>
      </c>
      <c r="B4175" s="22" t="str">
        <f>IFERROR(VLOOKUP(A4175,VLOOKUPS!$A$2:B$12589,2,FALSE),"")</f>
        <v>Organic Romaine Hearts 3ct-standard</v>
      </c>
      <c r="E4175">
        <v>3.86</v>
      </c>
      <c r="F4175">
        <v>3.49</v>
      </c>
      <c r="G4175" s="13">
        <v>44684</v>
      </c>
      <c r="H4175" s="13"/>
      <c r="I4175" s="22" t="str">
        <f>VLOOKUP(J4175, Dropdowns!N:O, 2, FALSE)</f>
        <v>Standard</v>
      </c>
      <c r="J4175" t="s">
        <v>761</v>
      </c>
      <c r="L4175" s="17" t="s">
        <v>733</v>
      </c>
      <c r="M4175" s="17" t="s">
        <v>736</v>
      </c>
      <c r="N4175" s="17" t="s">
        <v>740</v>
      </c>
    </row>
    <row r="4176" spans="1:14" x14ac:dyDescent="0.25">
      <c r="A4176" s="8">
        <v>985190</v>
      </c>
      <c r="B4176" s="22" t="str">
        <f>IFERROR(VLOOKUP(A4176,VLOOKUPS!$A$2:B$12589,2,FALSE),"")</f>
        <v>Organic Romaine Hearts 3ct-standard</v>
      </c>
      <c r="E4176">
        <v>3.86</v>
      </c>
      <c r="F4176">
        <v>3.49</v>
      </c>
      <c r="G4176" s="13">
        <v>44684</v>
      </c>
      <c r="H4176" s="13"/>
      <c r="I4176" s="22" t="str">
        <f>VLOOKUP(J4176, Dropdowns!N:O, 2, FALSE)</f>
        <v>Standard</v>
      </c>
      <c r="J4176" t="s">
        <v>761</v>
      </c>
      <c r="L4176" s="17" t="s">
        <v>734</v>
      </c>
      <c r="M4176" s="17" t="s">
        <v>10</v>
      </c>
      <c r="N4176" s="17">
        <v>2</v>
      </c>
    </row>
    <row r="4177" spans="1:14" x14ac:dyDescent="0.25">
      <c r="A4177" s="8">
        <v>988571</v>
      </c>
      <c r="B4177" s="22" t="str">
        <f>IFERROR(VLOOKUP(A4177,VLOOKUPS!$A$2:B$12589,2,FALSE),"")</f>
        <v>Cauliflower* 1ct-LOOSE</v>
      </c>
      <c r="E4177">
        <v>2.44</v>
      </c>
      <c r="F4177">
        <v>2.79</v>
      </c>
      <c r="G4177" s="13">
        <v>44684</v>
      </c>
      <c r="H4177" s="13"/>
      <c r="I4177" s="22" t="str">
        <f>VLOOKUP(J4177, Dropdowns!N:O, 2, FALSE)</f>
        <v>Standard</v>
      </c>
      <c r="J4177" t="s">
        <v>761</v>
      </c>
      <c r="L4177" s="17" t="s">
        <v>734</v>
      </c>
      <c r="M4177" s="17" t="s">
        <v>10</v>
      </c>
      <c r="N4177" s="17">
        <v>2</v>
      </c>
    </row>
    <row r="4178" spans="1:14" x14ac:dyDescent="0.25">
      <c r="A4178" s="8">
        <v>988571</v>
      </c>
      <c r="B4178" s="22" t="str">
        <f>IFERROR(VLOOKUP(A4178,VLOOKUPS!$A$2:B$12589,2,FALSE),"")</f>
        <v>Cauliflower* 1ct-LOOSE</v>
      </c>
      <c r="E4178">
        <v>2.5</v>
      </c>
      <c r="F4178">
        <v>2.79</v>
      </c>
      <c r="G4178" s="13">
        <v>44684</v>
      </c>
      <c r="H4178" s="13"/>
      <c r="I4178" s="22" t="str">
        <f>VLOOKUP(J4178, Dropdowns!N:O, 2, FALSE)</f>
        <v>Standard</v>
      </c>
      <c r="J4178" t="s">
        <v>761</v>
      </c>
      <c r="L4178" s="17" t="s">
        <v>734</v>
      </c>
      <c r="M4178" s="17" t="s">
        <v>9</v>
      </c>
      <c r="N4178" s="17" t="s">
        <v>736</v>
      </c>
    </row>
    <row r="4179" spans="1:14" x14ac:dyDescent="0.25">
      <c r="A4179" s="8">
        <v>988571</v>
      </c>
      <c r="B4179" s="22" t="str">
        <f>IFERROR(VLOOKUP(A4179,VLOOKUPS!$A$2:B$12589,2,FALSE),"")</f>
        <v>Cauliflower* 1ct-LOOSE</v>
      </c>
      <c r="E4179">
        <v>2.74</v>
      </c>
      <c r="F4179">
        <v>2.79</v>
      </c>
      <c r="G4179" s="13">
        <v>44684</v>
      </c>
      <c r="H4179" s="13"/>
      <c r="I4179" s="22" t="str">
        <f>VLOOKUP(J4179, Dropdowns!N:O, 2, FALSE)</f>
        <v>Standard</v>
      </c>
      <c r="J4179" t="s">
        <v>761</v>
      </c>
      <c r="L4179" s="17" t="s">
        <v>733</v>
      </c>
      <c r="M4179" s="17" t="s">
        <v>736</v>
      </c>
      <c r="N4179" s="17" t="s">
        <v>740</v>
      </c>
    </row>
    <row r="4180" spans="1:14" x14ac:dyDescent="0.25">
      <c r="A4180" s="8">
        <v>995008</v>
      </c>
      <c r="B4180" s="22" t="str">
        <f>IFERROR(VLOOKUP(A4180,VLOOKUPS!$A$2:B$12589,2,FALSE),"")</f>
        <v>Shredded Lettuce 8oz-standard</v>
      </c>
      <c r="E4180">
        <v>1.88</v>
      </c>
      <c r="F4180">
        <v>1.95</v>
      </c>
      <c r="G4180" s="13">
        <v>44684</v>
      </c>
      <c r="H4180" s="13"/>
      <c r="I4180" s="22" t="str">
        <f>VLOOKUP(J4180, Dropdowns!N:O, 2, FALSE)</f>
        <v>Standard</v>
      </c>
      <c r="J4180" t="s">
        <v>761</v>
      </c>
      <c r="L4180" s="17" t="s">
        <v>733</v>
      </c>
      <c r="M4180" s="17" t="s">
        <v>736</v>
      </c>
      <c r="N4180" s="17" t="s">
        <v>740</v>
      </c>
    </row>
    <row r="4181" spans="1:14" x14ac:dyDescent="0.25">
      <c r="A4181" s="8">
        <v>995008</v>
      </c>
      <c r="B4181" s="22" t="str">
        <f>IFERROR(VLOOKUP(A4181,VLOOKUPS!$A$2:B$12589,2,FALSE),"")</f>
        <v>Shredded Lettuce 8oz-standard</v>
      </c>
      <c r="E4181">
        <v>1.88</v>
      </c>
      <c r="F4181">
        <v>1.95</v>
      </c>
      <c r="G4181" s="13">
        <v>44684</v>
      </c>
      <c r="H4181" s="13"/>
      <c r="I4181" s="22" t="str">
        <f>VLOOKUP(J4181, Dropdowns!N:O, 2, FALSE)</f>
        <v>Standard</v>
      </c>
      <c r="J4181" t="s">
        <v>761</v>
      </c>
      <c r="L4181" s="17" t="s">
        <v>734</v>
      </c>
      <c r="M4181" s="17" t="s">
        <v>10</v>
      </c>
      <c r="N4181" s="17">
        <v>2</v>
      </c>
    </row>
    <row r="4182" spans="1:14" x14ac:dyDescent="0.25">
      <c r="A4182" s="8">
        <v>995147</v>
      </c>
      <c r="B4182" s="22" t="str">
        <f>IFERROR(VLOOKUP(A4182,VLOOKUPS!$A$2:B$12589,2,FALSE),"")</f>
        <v>Celery Sticks 1.25lb-standard</v>
      </c>
      <c r="E4182">
        <v>2.74</v>
      </c>
      <c r="F4182">
        <v>2.84</v>
      </c>
      <c r="G4182" s="13">
        <v>44684</v>
      </c>
      <c r="H4182" s="13"/>
      <c r="I4182" s="22" t="str">
        <f>VLOOKUP(J4182, Dropdowns!N:O, 2, FALSE)</f>
        <v>Standard</v>
      </c>
      <c r="J4182" t="s">
        <v>761</v>
      </c>
      <c r="L4182" s="17" t="s">
        <v>733</v>
      </c>
      <c r="M4182" s="17" t="s">
        <v>736</v>
      </c>
      <c r="N4182" s="17" t="s">
        <v>740</v>
      </c>
    </row>
    <row r="4183" spans="1:14" x14ac:dyDescent="0.25">
      <c r="A4183" s="8">
        <v>995147</v>
      </c>
      <c r="B4183" s="22" t="str">
        <f>IFERROR(VLOOKUP(A4183,VLOOKUPS!$A$2:B$12589,2,FALSE),"")</f>
        <v>Celery Sticks 1.25lb-standard</v>
      </c>
      <c r="E4183">
        <v>2.74</v>
      </c>
      <c r="F4183">
        <v>2.84</v>
      </c>
      <c r="G4183" s="13">
        <v>44684</v>
      </c>
      <c r="H4183" s="13"/>
      <c r="I4183" s="22" t="str">
        <f>VLOOKUP(J4183, Dropdowns!N:O, 2, FALSE)</f>
        <v>Standard</v>
      </c>
      <c r="J4183" t="s">
        <v>761</v>
      </c>
      <c r="L4183" s="17" t="s">
        <v>734</v>
      </c>
      <c r="M4183" s="17" t="s">
        <v>10</v>
      </c>
      <c r="N4183" s="17">
        <v>2</v>
      </c>
    </row>
    <row r="4184" spans="1:14" x14ac:dyDescent="0.25">
      <c r="A4184" s="8">
        <v>995166</v>
      </c>
      <c r="B4184" s="22" t="str">
        <f>IFERROR(VLOOKUP(A4184,VLOOKUPS!$A$2:B$12589,2,FALSE),"")</f>
        <v>Snow Peas 8oz-standard</v>
      </c>
      <c r="E4184">
        <v>2.68</v>
      </c>
      <c r="F4184">
        <v>2.78</v>
      </c>
      <c r="G4184" s="13">
        <v>44684</v>
      </c>
      <c r="H4184" s="13"/>
      <c r="I4184" s="22" t="str">
        <f>VLOOKUP(J4184, Dropdowns!N:O, 2, FALSE)</f>
        <v>Standard</v>
      </c>
      <c r="J4184" t="s">
        <v>761</v>
      </c>
      <c r="L4184" s="17" t="s">
        <v>733</v>
      </c>
      <c r="M4184" s="17" t="s">
        <v>736</v>
      </c>
      <c r="N4184" s="17" t="s">
        <v>740</v>
      </c>
    </row>
    <row r="4185" spans="1:14" x14ac:dyDescent="0.25">
      <c r="A4185" s="8">
        <v>995166</v>
      </c>
      <c r="B4185" s="22" t="str">
        <f>IFERROR(VLOOKUP(A4185,VLOOKUPS!$A$2:B$12589,2,FALSE),"")</f>
        <v>Snow Peas 8oz-standard</v>
      </c>
      <c r="E4185">
        <v>2.68</v>
      </c>
      <c r="F4185">
        <v>2.78</v>
      </c>
      <c r="G4185" s="13">
        <v>44684</v>
      </c>
      <c r="H4185" s="13"/>
      <c r="I4185" s="22" t="str">
        <f>VLOOKUP(J4185, Dropdowns!N:O, 2, FALSE)</f>
        <v>Standard</v>
      </c>
      <c r="J4185" t="s">
        <v>761</v>
      </c>
      <c r="L4185" s="17" t="s">
        <v>734</v>
      </c>
      <c r="M4185" s="17" t="s">
        <v>10</v>
      </c>
      <c r="N4185" s="17">
        <v>2</v>
      </c>
    </row>
    <row r="4186" spans="1:14" x14ac:dyDescent="0.25">
      <c r="A4186" s="8">
        <v>995042</v>
      </c>
      <c r="B4186" s="22" t="str">
        <f>IFERROR(VLOOKUP(A4186,VLOOKUPS!$A$2:B$12589,2,FALSE),"")</f>
        <v>Mango Chunks 16oz-standard</v>
      </c>
      <c r="E4186">
        <v>5.48</v>
      </c>
      <c r="F4186">
        <v>2.74</v>
      </c>
      <c r="G4186" s="13">
        <v>44684</v>
      </c>
      <c r="H4186" s="13">
        <v>44685</v>
      </c>
      <c r="I4186" s="22" t="str">
        <f>VLOOKUP(J4186, Dropdowns!N:O, 2, FALSE)</f>
        <v>Lower Price</v>
      </c>
      <c r="J4186" t="s">
        <v>759</v>
      </c>
      <c r="L4186" s="17" t="s">
        <v>732</v>
      </c>
      <c r="M4186" s="17" t="s">
        <v>9</v>
      </c>
      <c r="N4186" s="17" t="s">
        <v>736</v>
      </c>
    </row>
    <row r="4187" spans="1:14" x14ac:dyDescent="0.25">
      <c r="A4187" s="8">
        <v>995042</v>
      </c>
      <c r="B4187" s="22" t="str">
        <f>IFERROR(VLOOKUP(A4187,VLOOKUPS!$A$2:B$12589,2,FALSE),"")</f>
        <v>Mango Chunks 16oz-standard</v>
      </c>
      <c r="E4187">
        <v>2.74</v>
      </c>
      <c r="F4187">
        <v>5.48</v>
      </c>
      <c r="G4187" s="13">
        <v>44686</v>
      </c>
      <c r="H4187" s="13"/>
      <c r="I4187" s="22" t="str">
        <f>VLOOKUP(J4187, Dropdowns!N:O, 2, FALSE)</f>
        <v>Standard</v>
      </c>
      <c r="J4187" t="s">
        <v>760</v>
      </c>
      <c r="L4187" s="17" t="s">
        <v>732</v>
      </c>
      <c r="M4187" s="17" t="s">
        <v>9</v>
      </c>
      <c r="N4187" s="17" t="s">
        <v>736</v>
      </c>
    </row>
    <row r="4188" spans="1:14" x14ac:dyDescent="0.25">
      <c r="A4188" s="8">
        <v>995182</v>
      </c>
      <c r="B4188" s="22" t="str">
        <f>IFERROR(VLOOKUP(A4188,VLOOKUPS!$A$2:B$12589,2,FALSE),"")</f>
        <v>Baby Zucchini 8oz-standard</v>
      </c>
      <c r="E4188">
        <v>2.99</v>
      </c>
      <c r="F4188">
        <v>1.94</v>
      </c>
      <c r="G4188" s="13">
        <v>44684</v>
      </c>
      <c r="H4188" s="13">
        <v>44685</v>
      </c>
      <c r="I4188" s="22" t="str">
        <f>VLOOKUP(J4188, Dropdowns!N:O, 2, FALSE)</f>
        <v>Lower Price</v>
      </c>
      <c r="J4188" t="s">
        <v>759</v>
      </c>
      <c r="L4188" s="17" t="s">
        <v>732</v>
      </c>
      <c r="M4188" s="17" t="s">
        <v>736</v>
      </c>
      <c r="N4188" s="17" t="s">
        <v>736</v>
      </c>
    </row>
    <row r="4189" spans="1:14" x14ac:dyDescent="0.25">
      <c r="A4189" s="8">
        <v>995182</v>
      </c>
      <c r="B4189" s="22" t="str">
        <f>IFERROR(VLOOKUP(A4189,VLOOKUPS!$A$2:B$12589,2,FALSE),"")</f>
        <v>Baby Zucchini 8oz-standard</v>
      </c>
      <c r="E4189">
        <v>1.94</v>
      </c>
      <c r="F4189">
        <v>2.99</v>
      </c>
      <c r="G4189" s="13">
        <v>44686</v>
      </c>
      <c r="H4189" s="13"/>
      <c r="I4189" s="22" t="str">
        <f>VLOOKUP(J4189, Dropdowns!N:O, 2, FALSE)</f>
        <v>Standard</v>
      </c>
      <c r="J4189" t="s">
        <v>760</v>
      </c>
      <c r="L4189" s="17" t="s">
        <v>732</v>
      </c>
      <c r="M4189" s="17" t="s">
        <v>736</v>
      </c>
      <c r="N4189" s="17" t="s">
        <v>736</v>
      </c>
    </row>
    <row r="4190" spans="1:14" x14ac:dyDescent="0.25">
      <c r="A4190" s="8">
        <v>995183</v>
      </c>
      <c r="B4190" s="22" t="str">
        <f>IFERROR(VLOOKUP(A4190,VLOOKUPS!$A$2:B$12589,2,FALSE),"")</f>
        <v>Petite Carrots 8oz-standard</v>
      </c>
      <c r="E4190">
        <v>2.5</v>
      </c>
      <c r="F4190">
        <v>1.63</v>
      </c>
      <c r="G4190" s="13">
        <v>44684</v>
      </c>
      <c r="H4190" s="13">
        <v>44685</v>
      </c>
      <c r="I4190" s="22" t="str">
        <f>VLOOKUP(J4190, Dropdowns!N:O, 2, FALSE)</f>
        <v>Lower Price</v>
      </c>
      <c r="J4190" t="s">
        <v>759</v>
      </c>
      <c r="L4190" s="17" t="s">
        <v>732</v>
      </c>
      <c r="M4190" s="17" t="s">
        <v>10</v>
      </c>
      <c r="N4190" s="17">
        <v>2</v>
      </c>
    </row>
    <row r="4191" spans="1:14" x14ac:dyDescent="0.25">
      <c r="A4191" s="8">
        <v>995183</v>
      </c>
      <c r="B4191" s="22" t="str">
        <f>IFERROR(VLOOKUP(A4191,VLOOKUPS!$A$2:B$12589,2,FALSE),"")</f>
        <v>Petite Carrots 8oz-standard</v>
      </c>
      <c r="E4191">
        <v>1.63</v>
      </c>
      <c r="F4191">
        <v>2.5</v>
      </c>
      <c r="G4191" s="13">
        <v>44686</v>
      </c>
      <c r="H4191" s="13"/>
      <c r="I4191" s="22" t="str">
        <f>VLOOKUP(J4191, Dropdowns!N:O, 2, FALSE)</f>
        <v>Standard</v>
      </c>
      <c r="J4191" t="s">
        <v>760</v>
      </c>
      <c r="L4191" s="17" t="s">
        <v>732</v>
      </c>
      <c r="M4191" s="17" t="s">
        <v>10</v>
      </c>
      <c r="N4191" s="17">
        <v>2</v>
      </c>
    </row>
    <row r="4192" spans="1:14" x14ac:dyDescent="0.25">
      <c r="A4192" s="8">
        <v>982650</v>
      </c>
      <c r="B4192" s="22" t="str">
        <f>IFERROR(VLOOKUP(A4192,VLOOKUPS!$A$2:B$12589,2,FALSE),"")</f>
        <v>Grapes* Green Seedless 1lb-LOOSE</v>
      </c>
      <c r="E4192">
        <v>2.59</v>
      </c>
      <c r="F4192">
        <v>1.68</v>
      </c>
      <c r="G4192" s="13">
        <v>44684</v>
      </c>
      <c r="H4192" s="13">
        <v>44685</v>
      </c>
      <c r="I4192" s="22" t="str">
        <f>VLOOKUP(J4192, Dropdowns!N:O, 2, FALSE)</f>
        <v>Lower Price</v>
      </c>
      <c r="J4192" t="s">
        <v>759</v>
      </c>
      <c r="L4192" s="17" t="s">
        <v>733</v>
      </c>
      <c r="M4192" s="17" t="s">
        <v>9</v>
      </c>
      <c r="N4192" s="17" t="s">
        <v>740</v>
      </c>
    </row>
    <row r="4193" spans="1:14" x14ac:dyDescent="0.25">
      <c r="A4193" s="8">
        <v>982650</v>
      </c>
      <c r="B4193" s="22" t="str">
        <f>IFERROR(VLOOKUP(A4193,VLOOKUPS!$A$2:B$12589,2,FALSE),"")</f>
        <v>Grapes* Green Seedless 1lb-LOOSE</v>
      </c>
      <c r="E4193">
        <v>1.68</v>
      </c>
      <c r="F4193">
        <v>2.59</v>
      </c>
      <c r="G4193" s="13">
        <v>44686</v>
      </c>
      <c r="H4193" s="13"/>
      <c r="I4193" s="22" t="str">
        <f>VLOOKUP(J4193, Dropdowns!N:O, 2, FALSE)</f>
        <v>Standard</v>
      </c>
      <c r="J4193" t="s">
        <v>760</v>
      </c>
      <c r="L4193" s="17" t="s">
        <v>733</v>
      </c>
      <c r="M4193" s="17" t="s">
        <v>9</v>
      </c>
      <c r="N4193" s="17" t="s">
        <v>740</v>
      </c>
    </row>
    <row r="4194" spans="1:14" x14ac:dyDescent="0.25">
      <c r="A4194" s="8">
        <v>988532</v>
      </c>
      <c r="B4194" s="22" t="str">
        <f>IFERROR(VLOOKUP(A4194,VLOOKUPS!$A$2:B$12589,2,FALSE),"")</f>
        <v>Broccoli* Crown 1lb-LOOSE</v>
      </c>
      <c r="E4194">
        <v>2.69</v>
      </c>
      <c r="F4194">
        <v>1.75</v>
      </c>
      <c r="G4194" s="13">
        <v>44684</v>
      </c>
      <c r="H4194" s="13">
        <v>44685</v>
      </c>
      <c r="I4194" s="22" t="str">
        <f>VLOOKUP(J4194, Dropdowns!N:O, 2, FALSE)</f>
        <v>Lower Price</v>
      </c>
      <c r="J4194" t="s">
        <v>759</v>
      </c>
      <c r="L4194" s="17" t="s">
        <v>732</v>
      </c>
      <c r="M4194" s="17" t="s">
        <v>10</v>
      </c>
      <c r="N4194" s="17">
        <v>2</v>
      </c>
    </row>
    <row r="4195" spans="1:14" x14ac:dyDescent="0.25">
      <c r="A4195" s="8">
        <v>988532</v>
      </c>
      <c r="B4195" s="22" t="str">
        <f>IFERROR(VLOOKUP(A4195,VLOOKUPS!$A$2:B$12589,2,FALSE),"")</f>
        <v>Broccoli* Crown 1lb-LOOSE</v>
      </c>
      <c r="E4195">
        <v>1.75</v>
      </c>
      <c r="F4195">
        <v>2.69</v>
      </c>
      <c r="G4195" s="13">
        <v>44686</v>
      </c>
      <c r="H4195" s="13"/>
      <c r="I4195" s="22" t="str">
        <f>VLOOKUP(J4195, Dropdowns!N:O, 2, FALSE)</f>
        <v>Standard</v>
      </c>
      <c r="J4195" t="s">
        <v>760</v>
      </c>
      <c r="L4195" s="17" t="s">
        <v>732</v>
      </c>
      <c r="M4195" s="17" t="s">
        <v>10</v>
      </c>
      <c r="N4195" s="17">
        <v>2</v>
      </c>
    </row>
    <row r="4196" spans="1:14" x14ac:dyDescent="0.25">
      <c r="A4196" s="8">
        <v>984541</v>
      </c>
      <c r="B4196" s="22" t="str">
        <f>IFERROR(VLOOKUP(A4196,VLOOKUPS!$A$2:B$12589,2,FALSE),"")</f>
        <v>Blueberries 1pt-standard</v>
      </c>
      <c r="E4196">
        <v>4.37</v>
      </c>
      <c r="F4196">
        <v>2.19</v>
      </c>
      <c r="G4196" s="13">
        <v>44684</v>
      </c>
      <c r="H4196" s="13">
        <v>44685</v>
      </c>
      <c r="I4196" s="22" t="str">
        <f>VLOOKUP(J4196, Dropdowns!N:O, 2, FALSE)</f>
        <v>Lower Price</v>
      </c>
      <c r="J4196" t="s">
        <v>759</v>
      </c>
      <c r="L4196" s="17" t="s">
        <v>732</v>
      </c>
      <c r="M4196" s="17" t="s">
        <v>9</v>
      </c>
      <c r="N4196" s="17" t="s">
        <v>736</v>
      </c>
    </row>
    <row r="4197" spans="1:14" x14ac:dyDescent="0.25">
      <c r="A4197" s="8">
        <v>984541</v>
      </c>
      <c r="B4197" s="22" t="str">
        <f>IFERROR(VLOOKUP(A4197,VLOOKUPS!$A$2:B$12589,2,FALSE),"")</f>
        <v>Blueberries 1pt-standard</v>
      </c>
      <c r="E4197">
        <v>4.37</v>
      </c>
      <c r="F4197">
        <v>2.19</v>
      </c>
      <c r="G4197" s="13">
        <v>44684</v>
      </c>
      <c r="H4197" s="13">
        <v>44686</v>
      </c>
      <c r="I4197" s="22" t="str">
        <f>VLOOKUP(J4197, Dropdowns!N:O, 2, FALSE)</f>
        <v>Lower Price</v>
      </c>
      <c r="J4197" t="s">
        <v>759</v>
      </c>
      <c r="L4197" s="17" t="s">
        <v>732</v>
      </c>
      <c r="M4197" s="17" t="s">
        <v>738</v>
      </c>
      <c r="N4197" s="17">
        <v>2</v>
      </c>
    </row>
    <row r="4198" spans="1:14" x14ac:dyDescent="0.25">
      <c r="A4198" s="8">
        <v>984541</v>
      </c>
      <c r="B4198" s="22" t="str">
        <f>IFERROR(VLOOKUP(A4198,VLOOKUPS!$A$2:B$12589,2,FALSE),"")</f>
        <v>Blueberries 1pt-standard</v>
      </c>
      <c r="E4198">
        <v>2.19</v>
      </c>
      <c r="F4198">
        <v>4.37</v>
      </c>
      <c r="G4198" s="13">
        <v>44686</v>
      </c>
      <c r="H4198" s="13"/>
      <c r="I4198" s="22" t="str">
        <f>VLOOKUP(J4198, Dropdowns!N:O, 2, FALSE)</f>
        <v>Standard</v>
      </c>
      <c r="J4198" t="s">
        <v>760</v>
      </c>
      <c r="L4198" s="17" t="s">
        <v>732</v>
      </c>
      <c r="M4198" s="17" t="s">
        <v>9</v>
      </c>
      <c r="N4198" s="17" t="s">
        <v>736</v>
      </c>
    </row>
    <row r="4199" spans="1:14" x14ac:dyDescent="0.25">
      <c r="A4199" s="8">
        <v>984541</v>
      </c>
      <c r="B4199" s="22" t="str">
        <f>IFERROR(VLOOKUP(A4199,VLOOKUPS!$A$2:B$12589,2,FALSE),"")</f>
        <v>Blueberries 1pt-standard</v>
      </c>
      <c r="E4199">
        <v>4.37</v>
      </c>
      <c r="F4199">
        <v>2.19</v>
      </c>
      <c r="G4199" s="13">
        <v>44687</v>
      </c>
      <c r="H4199" s="13">
        <v>44688</v>
      </c>
      <c r="I4199" s="22" t="str">
        <f>VLOOKUP(J4199, Dropdowns!N:O, 2, FALSE)</f>
        <v>Lower Price</v>
      </c>
      <c r="J4199" t="s">
        <v>759</v>
      </c>
      <c r="L4199" s="17" t="s">
        <v>732</v>
      </c>
      <c r="M4199" s="17" t="s">
        <v>738</v>
      </c>
      <c r="N4199" s="17">
        <v>2</v>
      </c>
    </row>
    <row r="4200" spans="1:14" x14ac:dyDescent="0.25">
      <c r="A4200" s="8">
        <v>986250</v>
      </c>
      <c r="B4200" s="22" t="str">
        <f>IFERROR(VLOOKUP(A4200,VLOOKUPS!$A$2:B$12589,2,FALSE),"")</f>
        <v>French Beans 1lb-standard</v>
      </c>
      <c r="G4200" s="13">
        <v>44685</v>
      </c>
      <c r="H4200" s="13">
        <v>44685</v>
      </c>
      <c r="I4200" s="22" t="str">
        <f>VLOOKUP(J4200, Dropdowns!N:O, 2, FALSE)</f>
        <v>Lower Price</v>
      </c>
      <c r="J4200" t="s">
        <v>1081</v>
      </c>
      <c r="L4200" s="17" t="s">
        <v>732</v>
      </c>
      <c r="M4200" s="17" t="s">
        <v>9</v>
      </c>
      <c r="N4200" s="17" t="s">
        <v>736</v>
      </c>
    </row>
    <row r="4201" spans="1:14" x14ac:dyDescent="0.25">
      <c r="A4201" s="8">
        <v>986250</v>
      </c>
      <c r="B4201" s="22" t="str">
        <f>IFERROR(VLOOKUP(A4201,VLOOKUPS!$A$2:B$12589,2,FALSE),"")</f>
        <v>French Beans 1lb-standard</v>
      </c>
      <c r="G4201" s="13">
        <v>44685</v>
      </c>
      <c r="H4201" s="13">
        <v>44686</v>
      </c>
      <c r="I4201" s="22" t="str">
        <f>VLOOKUP(J4201, Dropdowns!N:O, 2, FALSE)</f>
        <v>Lower Price</v>
      </c>
      <c r="J4201" t="s">
        <v>1081</v>
      </c>
      <c r="L4201" s="17" t="s">
        <v>732</v>
      </c>
      <c r="M4201" s="17" t="s">
        <v>10</v>
      </c>
      <c r="N4201" s="17">
        <v>2</v>
      </c>
    </row>
    <row r="4202" spans="1:14" x14ac:dyDescent="0.25">
      <c r="A4202" s="8">
        <v>988620</v>
      </c>
      <c r="B4202" s="22" t="str">
        <f>IFERROR(VLOOKUP(A4202,VLOOKUPS!$A$2:B$12589,2,FALSE),"")</f>
        <v>Brussels Sprouts 1lb-standard</v>
      </c>
      <c r="G4202" s="13">
        <v>44685</v>
      </c>
      <c r="H4202" s="13">
        <v>44691</v>
      </c>
      <c r="I4202" s="22" t="str">
        <f>VLOOKUP(J4202, Dropdowns!N:O, 2, FALSE)</f>
        <v>Lower Price</v>
      </c>
      <c r="J4202" t="s">
        <v>753</v>
      </c>
      <c r="L4202" s="17" t="s">
        <v>732</v>
      </c>
      <c r="M4202" s="17" t="s">
        <v>736</v>
      </c>
      <c r="N4202" s="17" t="s">
        <v>736</v>
      </c>
    </row>
    <row r="4203" spans="1:14" x14ac:dyDescent="0.25">
      <c r="A4203" s="8">
        <v>984460</v>
      </c>
      <c r="B4203" s="22" t="str">
        <f>IFERROR(VLOOKUP(A4203,VLOOKUPS!$A$2:B$12589,2,FALSE),"")</f>
        <v>Strawberries 1lb-standard</v>
      </c>
      <c r="G4203" s="13">
        <v>44685</v>
      </c>
      <c r="H4203" s="13">
        <v>44691</v>
      </c>
      <c r="I4203" s="22" t="str">
        <f>VLOOKUP(J4203, Dropdowns!N:O, 2, FALSE)</f>
        <v>Lower Price</v>
      </c>
      <c r="J4203" t="s">
        <v>753</v>
      </c>
      <c r="L4203" s="17" t="s">
        <v>732</v>
      </c>
      <c r="M4203" s="17" t="s">
        <v>736</v>
      </c>
      <c r="N4203" s="17" t="s">
        <v>736</v>
      </c>
    </row>
    <row r="4204" spans="1:14" x14ac:dyDescent="0.25">
      <c r="A4204" s="8">
        <v>995041</v>
      </c>
      <c r="B4204" s="22" t="str">
        <f>IFERROR(VLOOKUP(A4204,VLOOKUPS!$A$2:B$12589,2,FALSE),"")</f>
        <v>Pineapple Spears 16oz-standard</v>
      </c>
      <c r="E4204">
        <v>4.4800000000000004</v>
      </c>
      <c r="F4204">
        <v>2.2400000000000002</v>
      </c>
      <c r="G4204" s="13">
        <v>44685</v>
      </c>
      <c r="H4204" s="13">
        <v>44686</v>
      </c>
      <c r="I4204" s="22" t="str">
        <f>VLOOKUP(J4204, Dropdowns!N:O, 2, FALSE)</f>
        <v>Lower Price</v>
      </c>
      <c r="J4204" t="s">
        <v>759</v>
      </c>
      <c r="L4204" s="17" t="s">
        <v>733</v>
      </c>
      <c r="M4204" s="17" t="s">
        <v>9</v>
      </c>
      <c r="N4204" s="17" t="s">
        <v>740</v>
      </c>
    </row>
    <row r="4205" spans="1:14" x14ac:dyDescent="0.25">
      <c r="A4205" s="8">
        <v>995041</v>
      </c>
      <c r="B4205" s="22" t="str">
        <f>IFERROR(VLOOKUP(A4205,VLOOKUPS!$A$2:B$12589,2,FALSE),"")</f>
        <v>Pineapple Spears 16oz-standard</v>
      </c>
      <c r="E4205">
        <v>4.78</v>
      </c>
      <c r="F4205">
        <v>2.39</v>
      </c>
      <c r="G4205" s="13">
        <v>44685</v>
      </c>
      <c r="H4205" s="13">
        <v>44686</v>
      </c>
      <c r="I4205" s="22" t="str">
        <f>VLOOKUP(J4205, Dropdowns!N:O, 2, FALSE)</f>
        <v>Lower Price</v>
      </c>
      <c r="J4205" t="s">
        <v>759</v>
      </c>
      <c r="L4205" s="17" t="s">
        <v>734</v>
      </c>
      <c r="M4205" s="17" t="s">
        <v>9</v>
      </c>
      <c r="N4205" s="17" t="s">
        <v>736</v>
      </c>
    </row>
    <row r="4206" spans="1:14" x14ac:dyDescent="0.25">
      <c r="A4206" s="8">
        <v>995041</v>
      </c>
      <c r="B4206" s="22" t="str">
        <f>IFERROR(VLOOKUP(A4206,VLOOKUPS!$A$2:B$12589,2,FALSE),"")</f>
        <v>Pineapple Spears 16oz-standard</v>
      </c>
      <c r="E4206">
        <v>2.2400000000000002</v>
      </c>
      <c r="F4206">
        <v>4.4800000000000004</v>
      </c>
      <c r="G4206" s="13">
        <v>44687</v>
      </c>
      <c r="H4206" s="13"/>
      <c r="I4206" s="22" t="str">
        <f>VLOOKUP(J4206, Dropdowns!N:O, 2, FALSE)</f>
        <v>Standard</v>
      </c>
      <c r="J4206" t="s">
        <v>760</v>
      </c>
      <c r="L4206" s="17" t="s">
        <v>733</v>
      </c>
      <c r="M4206" s="17" t="s">
        <v>9</v>
      </c>
      <c r="N4206" s="17" t="s">
        <v>740</v>
      </c>
    </row>
    <row r="4207" spans="1:14" x14ac:dyDescent="0.25">
      <c r="A4207" s="8">
        <v>995041</v>
      </c>
      <c r="B4207" s="22" t="str">
        <f>IFERROR(VLOOKUP(A4207,VLOOKUPS!$A$2:B$12589,2,FALSE),"")</f>
        <v>Pineapple Spears 16oz-standard</v>
      </c>
      <c r="E4207">
        <v>2.39</v>
      </c>
      <c r="F4207">
        <v>4.78</v>
      </c>
      <c r="G4207" s="13">
        <v>44687</v>
      </c>
      <c r="H4207" s="13"/>
      <c r="I4207" s="22" t="str">
        <f>VLOOKUP(J4207, Dropdowns!N:O, 2, FALSE)</f>
        <v>Standard</v>
      </c>
      <c r="J4207" t="s">
        <v>760</v>
      </c>
      <c r="L4207" s="17" t="s">
        <v>734</v>
      </c>
      <c r="M4207" s="17" t="s">
        <v>9</v>
      </c>
      <c r="N4207" s="17" t="s">
        <v>736</v>
      </c>
    </row>
    <row r="4208" spans="1:14" x14ac:dyDescent="0.25">
      <c r="A4208" s="8">
        <v>995147</v>
      </c>
      <c r="B4208" s="22" t="str">
        <f>IFERROR(VLOOKUP(A4208,VLOOKUPS!$A$2:B$12589,2,FALSE),"")</f>
        <v>Celery Sticks 1.25lb-standard</v>
      </c>
      <c r="E4208">
        <v>2.84</v>
      </c>
      <c r="F4208">
        <v>1.42</v>
      </c>
      <c r="G4208" s="13">
        <v>44685</v>
      </c>
      <c r="H4208" s="13">
        <v>44686</v>
      </c>
      <c r="I4208" s="22" t="str">
        <f>VLOOKUP(J4208, Dropdowns!N:O, 2, FALSE)</f>
        <v>Lower Price</v>
      </c>
      <c r="J4208" t="s">
        <v>759</v>
      </c>
      <c r="L4208" s="17" t="s">
        <v>733</v>
      </c>
      <c r="M4208" s="17" t="s">
        <v>9</v>
      </c>
      <c r="N4208" s="17" t="s">
        <v>740</v>
      </c>
    </row>
    <row r="4209" spans="1:14" x14ac:dyDescent="0.25">
      <c r="A4209" s="8">
        <v>995147</v>
      </c>
      <c r="B4209" s="22" t="str">
        <f>IFERROR(VLOOKUP(A4209,VLOOKUPS!$A$2:B$12589,2,FALSE),"")</f>
        <v>Celery Sticks 1.25lb-standard</v>
      </c>
      <c r="E4209">
        <v>2.99</v>
      </c>
      <c r="F4209">
        <v>1.5</v>
      </c>
      <c r="G4209" s="13">
        <v>44685</v>
      </c>
      <c r="H4209" s="13">
        <v>44686</v>
      </c>
      <c r="I4209" s="22" t="str">
        <f>VLOOKUP(J4209, Dropdowns!N:O, 2, FALSE)</f>
        <v>Lower Price</v>
      </c>
      <c r="J4209" t="s">
        <v>759</v>
      </c>
      <c r="L4209" s="17" t="s">
        <v>734</v>
      </c>
      <c r="M4209" s="17" t="s">
        <v>9</v>
      </c>
      <c r="N4209" s="17" t="s">
        <v>736</v>
      </c>
    </row>
    <row r="4210" spans="1:14" x14ac:dyDescent="0.25">
      <c r="A4210" s="8">
        <v>995147</v>
      </c>
      <c r="B4210" s="22" t="str">
        <f>IFERROR(VLOOKUP(A4210,VLOOKUPS!$A$2:B$12589,2,FALSE),"")</f>
        <v>Celery Sticks 1.25lb-standard</v>
      </c>
      <c r="E4210">
        <v>1.42</v>
      </c>
      <c r="F4210">
        <v>2.84</v>
      </c>
      <c r="G4210" s="13">
        <v>44687</v>
      </c>
      <c r="H4210" s="13"/>
      <c r="I4210" s="22" t="str">
        <f>VLOOKUP(J4210, Dropdowns!N:O, 2, FALSE)</f>
        <v>Standard</v>
      </c>
      <c r="J4210" t="s">
        <v>760</v>
      </c>
      <c r="L4210" s="17" t="s">
        <v>733</v>
      </c>
      <c r="M4210" s="17" t="s">
        <v>9</v>
      </c>
      <c r="N4210" s="17" t="s">
        <v>740</v>
      </c>
    </row>
    <row r="4211" spans="1:14" x14ac:dyDescent="0.25">
      <c r="A4211" s="8">
        <v>995147</v>
      </c>
      <c r="B4211" s="22" t="str">
        <f>IFERROR(VLOOKUP(A4211,VLOOKUPS!$A$2:B$12589,2,FALSE),"")</f>
        <v>Celery Sticks 1.25lb-standard</v>
      </c>
      <c r="E4211">
        <v>1.5</v>
      </c>
      <c r="F4211">
        <v>2.99</v>
      </c>
      <c r="G4211" s="13">
        <v>44687</v>
      </c>
      <c r="H4211" s="13"/>
      <c r="I4211" s="22" t="str">
        <f>VLOOKUP(J4211, Dropdowns!N:O, 2, FALSE)</f>
        <v>Standard</v>
      </c>
      <c r="J4211" t="s">
        <v>760</v>
      </c>
      <c r="L4211" s="17" t="s">
        <v>734</v>
      </c>
      <c r="M4211" s="17" t="s">
        <v>9</v>
      </c>
      <c r="N4211" s="17" t="s">
        <v>736</v>
      </c>
    </row>
    <row r="4212" spans="1:14" x14ac:dyDescent="0.25">
      <c r="A4212" s="8">
        <v>995184</v>
      </c>
      <c r="B4212" s="22" t="str">
        <f>IFERROR(VLOOKUP(A4212,VLOOKUPS!$A$2:B$12589,2,FALSE),"")</f>
        <v>English Peas 8oz-standard</v>
      </c>
      <c r="E4212">
        <v>2.5</v>
      </c>
      <c r="F4212">
        <v>1.63</v>
      </c>
      <c r="G4212" s="13">
        <v>44685</v>
      </c>
      <c r="H4212" s="13">
        <v>44686</v>
      </c>
      <c r="I4212" s="22" t="str">
        <f>VLOOKUP(J4212, Dropdowns!N:O, 2, FALSE)</f>
        <v>Lower Price</v>
      </c>
      <c r="J4212" t="s">
        <v>759</v>
      </c>
      <c r="L4212" s="17" t="s">
        <v>732</v>
      </c>
      <c r="M4212" s="17" t="s">
        <v>735</v>
      </c>
      <c r="N4212" s="17" t="s">
        <v>736</v>
      </c>
    </row>
    <row r="4213" spans="1:14" x14ac:dyDescent="0.25">
      <c r="A4213" s="8">
        <v>995184</v>
      </c>
      <c r="B4213" s="22" t="str">
        <f>IFERROR(VLOOKUP(A4213,VLOOKUPS!$A$2:B$12589,2,FALSE),"")</f>
        <v>English Peas 8oz-standard</v>
      </c>
      <c r="E4213">
        <v>1.63</v>
      </c>
      <c r="F4213">
        <v>2.5</v>
      </c>
      <c r="G4213" s="13">
        <v>44687</v>
      </c>
      <c r="H4213" s="13"/>
      <c r="I4213" s="22" t="str">
        <f>VLOOKUP(J4213, Dropdowns!N:O, 2, FALSE)</f>
        <v>Standard</v>
      </c>
      <c r="J4213" t="s">
        <v>760</v>
      </c>
      <c r="L4213" s="17" t="s">
        <v>732</v>
      </c>
      <c r="M4213" s="17" t="s">
        <v>735</v>
      </c>
      <c r="N4213" s="17" t="s">
        <v>736</v>
      </c>
    </row>
    <row r="4214" spans="1:14" x14ac:dyDescent="0.25">
      <c r="A4214" s="8">
        <v>986250</v>
      </c>
      <c r="B4214" s="22" t="str">
        <f>IFERROR(VLOOKUP(A4214,VLOOKUPS!$A$2:B$12589,2,FALSE),"")</f>
        <v>French Beans 1lb-standard</v>
      </c>
      <c r="E4214">
        <v>2.99</v>
      </c>
      <c r="F4214">
        <v>1.94</v>
      </c>
      <c r="G4214" s="13">
        <v>44686</v>
      </c>
      <c r="H4214" s="13">
        <v>44687</v>
      </c>
      <c r="I4214" s="22" t="str">
        <f>VLOOKUP(J4214, Dropdowns!N:O, 2, FALSE)</f>
        <v>Lower Price</v>
      </c>
      <c r="J4214" t="s">
        <v>759</v>
      </c>
      <c r="L4214" s="17" t="s">
        <v>733</v>
      </c>
      <c r="M4214" s="17" t="s">
        <v>11</v>
      </c>
      <c r="N4214" s="17" t="s">
        <v>740</v>
      </c>
    </row>
    <row r="4215" spans="1:14" x14ac:dyDescent="0.25">
      <c r="A4215" s="8">
        <v>986250</v>
      </c>
      <c r="B4215" s="22" t="str">
        <f>IFERROR(VLOOKUP(A4215,VLOOKUPS!$A$2:B$12589,2,FALSE),"")</f>
        <v>French Beans 1lb-standard</v>
      </c>
      <c r="E4215">
        <v>1.94</v>
      </c>
      <c r="F4215">
        <v>2.99</v>
      </c>
      <c r="G4215" s="13">
        <v>44688</v>
      </c>
      <c r="H4215" s="13"/>
      <c r="I4215" s="22" t="str">
        <f>VLOOKUP(J4215, Dropdowns!N:O, 2, FALSE)</f>
        <v>Standard</v>
      </c>
      <c r="J4215" t="s">
        <v>760</v>
      </c>
      <c r="L4215" s="17" t="s">
        <v>733</v>
      </c>
      <c r="M4215" s="17" t="s">
        <v>11</v>
      </c>
      <c r="N4215" s="17" t="s">
        <v>740</v>
      </c>
    </row>
    <row r="4216" spans="1:14" x14ac:dyDescent="0.25">
      <c r="A4216" s="8">
        <v>985990</v>
      </c>
      <c r="B4216" s="22" t="str">
        <f>IFERROR(VLOOKUP(A4216,VLOOKUPS!$A$2:B$12589,2,FALSE),"")</f>
        <v>Ginger* 1lb-LOOSE</v>
      </c>
      <c r="E4216">
        <v>2.98</v>
      </c>
      <c r="F4216">
        <v>1.94</v>
      </c>
      <c r="G4216" s="13">
        <v>44686</v>
      </c>
      <c r="H4216" s="13">
        <v>44687</v>
      </c>
      <c r="I4216" s="22" t="str">
        <f>VLOOKUP(J4216, Dropdowns!N:O, 2, FALSE)</f>
        <v>Lower Price</v>
      </c>
      <c r="J4216" t="s">
        <v>759</v>
      </c>
      <c r="L4216" s="17" t="s">
        <v>733</v>
      </c>
      <c r="M4216" s="17" t="s">
        <v>9</v>
      </c>
      <c r="N4216" s="17" t="s">
        <v>740</v>
      </c>
    </row>
    <row r="4217" spans="1:14" x14ac:dyDescent="0.25">
      <c r="A4217" s="8">
        <v>985990</v>
      </c>
      <c r="B4217" s="22" t="str">
        <f>IFERROR(VLOOKUP(A4217,VLOOKUPS!$A$2:B$12589,2,FALSE),"")</f>
        <v>Ginger* 1lb-LOOSE</v>
      </c>
      <c r="E4217">
        <v>1.94</v>
      </c>
      <c r="F4217">
        <v>2.98</v>
      </c>
      <c r="G4217" s="13">
        <v>44688</v>
      </c>
      <c r="H4217" s="13"/>
      <c r="I4217" s="22" t="str">
        <f>VLOOKUP(J4217, Dropdowns!N:O, 2, FALSE)</f>
        <v>Standard</v>
      </c>
      <c r="J4217" t="s">
        <v>760</v>
      </c>
      <c r="L4217" s="17" t="s">
        <v>733</v>
      </c>
      <c r="M4217" s="17" t="s">
        <v>9</v>
      </c>
      <c r="N4217" s="17" t="s">
        <v>740</v>
      </c>
    </row>
    <row r="4218" spans="1:14" x14ac:dyDescent="0.25">
      <c r="A4218" s="8">
        <v>989089</v>
      </c>
      <c r="B4218" s="22" t="str">
        <f>IFERROR(VLOOKUP(A4218,VLOOKUPS!$A$2:B$12589,2,FALSE),"")</f>
        <v>Cilantro 1ct-bunch</v>
      </c>
      <c r="E4218">
        <v>0.75</v>
      </c>
      <c r="F4218">
        <v>0.85</v>
      </c>
      <c r="G4218" s="13">
        <v>44687</v>
      </c>
      <c r="H4218" s="13"/>
      <c r="I4218" s="22" t="str">
        <f>VLOOKUP(J4218, Dropdowns!N:O, 2, FALSE)</f>
        <v>Standard</v>
      </c>
      <c r="J4218" t="s">
        <v>761</v>
      </c>
      <c r="L4218" s="17" t="s">
        <v>733</v>
      </c>
      <c r="M4218" s="17" t="s">
        <v>9</v>
      </c>
      <c r="N4218" s="17" t="s">
        <v>740</v>
      </c>
    </row>
    <row r="4219" spans="1:14" x14ac:dyDescent="0.25">
      <c r="A4219" s="8">
        <v>989089</v>
      </c>
      <c r="B4219" s="22" t="str">
        <f>IFERROR(VLOOKUP(A4219,VLOOKUPS!$A$2:B$12589,2,FALSE),"")</f>
        <v>Cilantro 1ct-bunch</v>
      </c>
      <c r="E4219">
        <v>0.75</v>
      </c>
      <c r="F4219">
        <v>0.85</v>
      </c>
      <c r="G4219" s="13">
        <v>44687</v>
      </c>
      <c r="H4219" s="13"/>
      <c r="I4219" s="22" t="str">
        <f>VLOOKUP(J4219, Dropdowns!N:O, 2, FALSE)</f>
        <v>Standard</v>
      </c>
      <c r="J4219" t="s">
        <v>761</v>
      </c>
      <c r="L4219" s="17" t="s">
        <v>732</v>
      </c>
      <c r="M4219" s="17" t="s">
        <v>738</v>
      </c>
      <c r="N4219" s="17">
        <v>2</v>
      </c>
    </row>
    <row r="4220" spans="1:14" x14ac:dyDescent="0.25">
      <c r="A4220" s="8">
        <v>985861</v>
      </c>
      <c r="B4220" s="22" t="str">
        <f>IFERROR(VLOOKUP(A4220,VLOOKUPS!$A$2:B$12589,2,FALSE),"")</f>
        <v>Green Onions 1ct Bunch</v>
      </c>
      <c r="E4220">
        <v>0.69</v>
      </c>
      <c r="F4220">
        <v>0.85</v>
      </c>
      <c r="G4220" s="13">
        <v>44687</v>
      </c>
      <c r="H4220" s="13"/>
      <c r="I4220" s="22" t="str">
        <f>VLOOKUP(J4220, Dropdowns!N:O, 2, FALSE)</f>
        <v>Standard</v>
      </c>
      <c r="J4220" t="s">
        <v>761</v>
      </c>
      <c r="L4220" s="17" t="s">
        <v>733</v>
      </c>
      <c r="M4220" s="17" t="s">
        <v>9</v>
      </c>
      <c r="N4220" s="17" t="s">
        <v>740</v>
      </c>
    </row>
    <row r="4221" spans="1:14" x14ac:dyDescent="0.25">
      <c r="A4221" s="8">
        <v>985861</v>
      </c>
      <c r="B4221" s="22" t="str">
        <f>IFERROR(VLOOKUP(A4221,VLOOKUPS!$A$2:B$12589,2,FALSE),"")</f>
        <v>Green Onions 1ct Bunch</v>
      </c>
      <c r="E4221">
        <v>0.69</v>
      </c>
      <c r="F4221">
        <v>0.85</v>
      </c>
      <c r="G4221" s="13">
        <v>44687</v>
      </c>
      <c r="H4221" s="13"/>
      <c r="I4221" s="22" t="str">
        <f>VLOOKUP(J4221, Dropdowns!N:O, 2, FALSE)</f>
        <v>Standard</v>
      </c>
      <c r="J4221" t="s">
        <v>761</v>
      </c>
      <c r="L4221" s="17" t="s">
        <v>732</v>
      </c>
      <c r="M4221" s="17" t="s">
        <v>738</v>
      </c>
      <c r="N4221" s="17">
        <v>2</v>
      </c>
    </row>
    <row r="4222" spans="1:14" x14ac:dyDescent="0.25">
      <c r="A4222" s="8">
        <v>983251</v>
      </c>
      <c r="B4222" s="22" t="str">
        <f>IFERROR(VLOOKUP(A4222,VLOOKUPS!$A$2:B$12589,2,FALSE),"")</f>
        <v>Watermelons Large Seedless 1ct-LOOSE</v>
      </c>
      <c r="E4222">
        <v>7.49</v>
      </c>
      <c r="F4222">
        <v>7.48</v>
      </c>
      <c r="G4222" s="13">
        <v>44687</v>
      </c>
      <c r="H4222" s="13"/>
      <c r="I4222" s="22" t="str">
        <f>VLOOKUP(J4222, Dropdowns!N:O, 2, FALSE)</f>
        <v>Standard</v>
      </c>
      <c r="J4222" t="s">
        <v>761</v>
      </c>
      <c r="L4222" s="17" t="s">
        <v>733</v>
      </c>
      <c r="M4222" s="17" t="s">
        <v>9</v>
      </c>
      <c r="N4222" s="17" t="s">
        <v>740</v>
      </c>
    </row>
    <row r="4223" spans="1:14" x14ac:dyDescent="0.25">
      <c r="A4223" s="8">
        <v>983251</v>
      </c>
      <c r="B4223" s="22" t="str">
        <f>IFERROR(VLOOKUP(A4223,VLOOKUPS!$A$2:B$12589,2,FALSE),"")</f>
        <v>Watermelons Large Seedless 1ct-LOOSE</v>
      </c>
      <c r="E4223">
        <v>7.49</v>
      </c>
      <c r="F4223">
        <v>7.48</v>
      </c>
      <c r="G4223" s="13">
        <v>44687</v>
      </c>
      <c r="H4223" s="13"/>
      <c r="I4223" s="22" t="str">
        <f>VLOOKUP(J4223, Dropdowns!N:O, 2, FALSE)</f>
        <v>Standard</v>
      </c>
      <c r="J4223" t="s">
        <v>761</v>
      </c>
      <c r="L4223" s="17" t="s">
        <v>732</v>
      </c>
      <c r="M4223" s="17" t="s">
        <v>738</v>
      </c>
      <c r="N4223" s="17">
        <v>2</v>
      </c>
    </row>
    <row r="4224" spans="1:14" x14ac:dyDescent="0.25">
      <c r="A4224" s="8">
        <v>988532</v>
      </c>
      <c r="B4224" s="22" t="str">
        <f>IFERROR(VLOOKUP(A4224,VLOOKUPS!$A$2:B$12589,2,FALSE),"")</f>
        <v>Broccoli* Crown 1lb-LOOSE</v>
      </c>
      <c r="E4224">
        <v>2.69</v>
      </c>
      <c r="F4224">
        <v>2.79</v>
      </c>
      <c r="G4224" s="13">
        <v>44687</v>
      </c>
      <c r="H4224" s="13"/>
      <c r="I4224" s="22" t="str">
        <f>VLOOKUP(J4224, Dropdowns!N:O, 2, FALSE)</f>
        <v>Standard</v>
      </c>
      <c r="J4224" t="s">
        <v>761</v>
      </c>
      <c r="L4224" s="17" t="s">
        <v>732</v>
      </c>
      <c r="M4224" s="17" t="s">
        <v>736</v>
      </c>
      <c r="N4224" s="17" t="s">
        <v>736</v>
      </c>
    </row>
    <row r="4225" spans="1:17" x14ac:dyDescent="0.25">
      <c r="A4225" s="8">
        <v>985950</v>
      </c>
      <c r="B4225" s="22" t="str">
        <f>IFERROR(VLOOKUP(A4225,VLOOKUPS!$A$2:B$12589,2,FALSE),"")</f>
        <v>Garlic 3ct-standard</v>
      </c>
      <c r="E4225">
        <v>1.49</v>
      </c>
      <c r="F4225">
        <v>1.65</v>
      </c>
      <c r="G4225" s="13">
        <v>44687</v>
      </c>
      <c r="H4225" s="13"/>
      <c r="I4225" s="22" t="str">
        <f>VLOOKUP(J4225, Dropdowns!N:O, 2, FALSE)</f>
        <v>Standard</v>
      </c>
      <c r="J4225" t="s">
        <v>761</v>
      </c>
      <c r="L4225" s="17" t="s">
        <v>732</v>
      </c>
      <c r="M4225" s="17" t="s">
        <v>736</v>
      </c>
      <c r="N4225" s="17" t="s">
        <v>736</v>
      </c>
    </row>
    <row r="4226" spans="1:17" x14ac:dyDescent="0.25">
      <c r="A4226" s="8">
        <v>984541</v>
      </c>
      <c r="B4226" s="22" t="str">
        <f>IFERROR(VLOOKUP(A4226,VLOOKUPS!$A$2:B$12589,2,FALSE),"")</f>
        <v>Blueberries 1pt-standard</v>
      </c>
      <c r="E4226">
        <v>2.19</v>
      </c>
      <c r="F4226">
        <v>4.37</v>
      </c>
      <c r="G4226" s="13">
        <v>44689</v>
      </c>
      <c r="H4226" s="13"/>
      <c r="I4226" s="22" t="str">
        <f>VLOOKUP(J4226, Dropdowns!N:O, 2, FALSE)</f>
        <v>Standard</v>
      </c>
      <c r="J4226" t="s">
        <v>760</v>
      </c>
      <c r="L4226" s="17" t="s">
        <v>732</v>
      </c>
      <c r="M4226" s="17" t="s">
        <v>738</v>
      </c>
      <c r="N4226" s="17">
        <v>2</v>
      </c>
    </row>
    <row r="4227" spans="1:17" x14ac:dyDescent="0.25">
      <c r="A4227" s="8">
        <v>984620</v>
      </c>
      <c r="B4227" s="22" t="str">
        <f>IFERROR(VLOOKUP(A4227,VLOOKUPS!$A$2:B$12589,2,FALSE),"")</f>
        <v>Raspberries 6oz-standard</v>
      </c>
      <c r="E4227">
        <v>3.28</v>
      </c>
      <c r="F4227">
        <v>2.98</v>
      </c>
      <c r="G4227" s="13">
        <v>44687</v>
      </c>
      <c r="H4227" s="13"/>
      <c r="I4227" s="22" t="str">
        <f>VLOOKUP(J4227, Dropdowns!N:O, 2, FALSE)</f>
        <v>Standard</v>
      </c>
      <c r="J4227" t="s">
        <v>761</v>
      </c>
      <c r="L4227" s="17" t="s">
        <v>734</v>
      </c>
      <c r="M4227" s="17" t="s">
        <v>9</v>
      </c>
      <c r="N4227" s="17" t="s">
        <v>736</v>
      </c>
    </row>
    <row r="4228" spans="1:17" x14ac:dyDescent="0.25">
      <c r="A4228" s="8">
        <v>985160</v>
      </c>
      <c r="B4228" s="22" t="str">
        <f>IFERROR(VLOOKUP(A4228,VLOOKUPS!$A$2:B$12589,2,FALSE),"")</f>
        <v>Romaine Hearts 3ct-standard</v>
      </c>
      <c r="E4228">
        <v>2.99</v>
      </c>
      <c r="F4228">
        <v>3.48</v>
      </c>
      <c r="G4228" s="13">
        <v>44687</v>
      </c>
      <c r="H4228" s="13"/>
      <c r="I4228" s="22" t="str">
        <f>VLOOKUP(J4228, Dropdowns!N:O, 2, FALSE)</f>
        <v>Standard</v>
      </c>
      <c r="J4228" t="s">
        <v>761</v>
      </c>
      <c r="L4228" s="17" t="s">
        <v>733</v>
      </c>
      <c r="M4228" s="17" t="s">
        <v>736</v>
      </c>
      <c r="N4228" s="17" t="s">
        <v>740</v>
      </c>
    </row>
    <row r="4229" spans="1:17" x14ac:dyDescent="0.25">
      <c r="A4229" s="8">
        <v>985190</v>
      </c>
      <c r="B4229" s="22" t="str">
        <f>IFERROR(VLOOKUP(A4229,VLOOKUPS!$A$2:B$12589,2,FALSE),"")</f>
        <v>Organic Romaine Hearts 3ct-standard</v>
      </c>
      <c r="E4229">
        <v>3.49</v>
      </c>
      <c r="F4229">
        <v>3.96</v>
      </c>
      <c r="G4229" s="13">
        <v>44687</v>
      </c>
      <c r="H4229" s="13"/>
      <c r="I4229" s="22" t="str">
        <f>VLOOKUP(J4229, Dropdowns!N:O, 2, FALSE)</f>
        <v>Standard</v>
      </c>
      <c r="J4229" t="s">
        <v>761</v>
      </c>
      <c r="L4229" s="17" t="s">
        <v>733</v>
      </c>
      <c r="M4229" s="17" t="s">
        <v>736</v>
      </c>
      <c r="N4229" s="17" t="s">
        <v>740</v>
      </c>
    </row>
    <row r="4230" spans="1:17" x14ac:dyDescent="0.25">
      <c r="A4230" s="8">
        <v>985190</v>
      </c>
      <c r="B4230" s="22" t="str">
        <f>IFERROR(VLOOKUP(A4230,VLOOKUPS!$A$2:B$12589,2,FALSE),"")</f>
        <v>Organic Romaine Hearts 3ct-standard</v>
      </c>
      <c r="E4230">
        <v>3.86</v>
      </c>
      <c r="F4230">
        <v>3.96</v>
      </c>
      <c r="G4230" s="13">
        <v>44687</v>
      </c>
      <c r="H4230" s="13"/>
      <c r="I4230" s="22" t="str">
        <f>VLOOKUP(J4230, Dropdowns!N:O, 2, FALSE)</f>
        <v>Standard</v>
      </c>
      <c r="J4230" t="s">
        <v>761</v>
      </c>
      <c r="L4230" s="17" t="s">
        <v>734</v>
      </c>
      <c r="M4230" s="17" t="s">
        <v>9</v>
      </c>
      <c r="N4230" s="17" t="s">
        <v>736</v>
      </c>
    </row>
    <row r="4231" spans="1:17" x14ac:dyDescent="0.25">
      <c r="A4231" s="8">
        <v>985190</v>
      </c>
      <c r="B4231" s="22" t="str">
        <f>IFERROR(VLOOKUP(A4231,VLOOKUPS!$A$2:B$12589,2,FALSE),"")</f>
        <v>Organic Romaine Hearts 3ct-standard</v>
      </c>
      <c r="E4231">
        <v>3.49</v>
      </c>
      <c r="F4231">
        <v>3.96</v>
      </c>
      <c r="G4231" s="13">
        <v>44687</v>
      </c>
      <c r="H4231" s="13"/>
      <c r="I4231" s="22" t="str">
        <f>VLOOKUP(J4231, Dropdowns!N:O, 2, FALSE)</f>
        <v>Standard</v>
      </c>
      <c r="J4231" t="s">
        <v>761</v>
      </c>
      <c r="L4231" s="17" t="s">
        <v>734</v>
      </c>
      <c r="M4231" s="17" t="s">
        <v>10</v>
      </c>
      <c r="N4231" s="17">
        <v>2</v>
      </c>
    </row>
    <row r="4232" spans="1:17" x14ac:dyDescent="0.25">
      <c r="A4232" s="8">
        <v>995000</v>
      </c>
      <c r="B4232" s="22" t="str">
        <f>IFERROR(VLOOKUP(A4232,VLOOKUPS!$A$2:B$12589,2,FALSE),"")</f>
        <v>Spring Mix 5oz-standard</v>
      </c>
      <c r="E4232">
        <v>2.63</v>
      </c>
      <c r="F4232">
        <v>2.73</v>
      </c>
      <c r="G4232" s="13">
        <v>44687</v>
      </c>
      <c r="H4232" s="13"/>
      <c r="I4232" s="22" t="str">
        <f>VLOOKUP(J4232, Dropdowns!N:O, 2, FALSE)</f>
        <v>Standard</v>
      </c>
      <c r="J4232" t="s">
        <v>761</v>
      </c>
      <c r="L4232" s="17" t="s">
        <v>733</v>
      </c>
      <c r="M4232" s="17" t="s">
        <v>736</v>
      </c>
      <c r="N4232" s="17" t="s">
        <v>740</v>
      </c>
    </row>
    <row r="4233" spans="1:17" x14ac:dyDescent="0.25">
      <c r="A4233" s="8">
        <v>995000</v>
      </c>
      <c r="B4233" s="22" t="str">
        <f>IFERROR(VLOOKUP(A4233,VLOOKUPS!$A$2:B$12589,2,FALSE),"")</f>
        <v>Spring Mix 5oz-standard</v>
      </c>
      <c r="E4233">
        <v>2.63</v>
      </c>
      <c r="F4233">
        <v>2.73</v>
      </c>
      <c r="G4233" s="13">
        <v>44687</v>
      </c>
      <c r="H4233" s="13"/>
      <c r="I4233" s="22" t="str">
        <f>VLOOKUP(J4233, Dropdowns!N:O, 2, FALSE)</f>
        <v>Standard</v>
      </c>
      <c r="J4233" t="s">
        <v>761</v>
      </c>
      <c r="L4233" s="17" t="s">
        <v>734</v>
      </c>
      <c r="M4233" s="17" t="s">
        <v>10</v>
      </c>
      <c r="N4233" s="17">
        <v>2</v>
      </c>
    </row>
    <row r="4234" spans="1:17" x14ac:dyDescent="0.25">
      <c r="A4234" s="8">
        <v>995001</v>
      </c>
      <c r="B4234" s="22" t="str">
        <f>IFERROR(VLOOKUP(A4234,VLOOKUPS!$A$2:B$12589,2,FALSE),"")</f>
        <v>Spinach Baby 6oz-standard</v>
      </c>
      <c r="E4234">
        <v>2.63</v>
      </c>
      <c r="F4234">
        <v>2.73</v>
      </c>
      <c r="G4234" s="13">
        <v>44687</v>
      </c>
      <c r="H4234" s="13"/>
      <c r="I4234" s="22" t="str">
        <f>VLOOKUP(J4234, Dropdowns!N:O, 2, FALSE)</f>
        <v>Standard</v>
      </c>
      <c r="J4234" t="s">
        <v>761</v>
      </c>
      <c r="L4234" s="17" t="s">
        <v>733</v>
      </c>
      <c r="M4234" s="17" t="s">
        <v>736</v>
      </c>
      <c r="N4234" s="17" t="s">
        <v>740</v>
      </c>
    </row>
    <row r="4235" spans="1:17" x14ac:dyDescent="0.25">
      <c r="A4235" s="8">
        <v>995001</v>
      </c>
      <c r="B4235" s="22" t="str">
        <f>IFERROR(VLOOKUP(A4235,VLOOKUPS!$A$2:B$12589,2,FALSE),"")</f>
        <v>Spinach Baby 6oz-standard</v>
      </c>
      <c r="E4235">
        <v>2.63</v>
      </c>
      <c r="F4235">
        <v>2.73</v>
      </c>
      <c r="G4235" s="13">
        <v>44687</v>
      </c>
      <c r="H4235" s="13"/>
      <c r="I4235" s="22" t="str">
        <f>VLOOKUP(J4235, Dropdowns!N:O, 2, FALSE)</f>
        <v>Standard</v>
      </c>
      <c r="J4235" t="s">
        <v>761</v>
      </c>
      <c r="L4235" s="17" t="s">
        <v>734</v>
      </c>
      <c r="M4235" s="17" t="s">
        <v>10</v>
      </c>
      <c r="N4235" s="17">
        <v>2</v>
      </c>
    </row>
    <row r="4236" spans="1:17" x14ac:dyDescent="0.25">
      <c r="A4236" s="8">
        <v>995141</v>
      </c>
      <c r="B4236" s="22" t="str">
        <f>IFERROR(VLOOKUP(A4236,VLOOKUPS!$A$2:B$12589,2,FALSE),"")</f>
        <v>Watermelon Chunks 32oz-standard</v>
      </c>
      <c r="D4236">
        <v>4</v>
      </c>
      <c r="F4236">
        <v>7.97</v>
      </c>
      <c r="G4236" s="13">
        <v>44687</v>
      </c>
      <c r="H4236" s="13"/>
      <c r="I4236" s="22" t="str">
        <f>VLOOKUP(J4236, Dropdowns!N:O, 2, FALSE)</f>
        <v>New</v>
      </c>
      <c r="J4236" t="s">
        <v>776</v>
      </c>
      <c r="L4236" s="17" t="s">
        <v>732</v>
      </c>
      <c r="M4236" s="17" t="s">
        <v>736</v>
      </c>
      <c r="N4236" s="17" t="s">
        <v>736</v>
      </c>
      <c r="O4236" s="17" t="s">
        <v>748</v>
      </c>
      <c r="P4236">
        <v>1</v>
      </c>
      <c r="Q4236" s="17" t="s">
        <v>1044</v>
      </c>
    </row>
    <row r="4237" spans="1:17" x14ac:dyDescent="0.25">
      <c r="A4237" s="8">
        <v>995166</v>
      </c>
      <c r="B4237" s="22" t="str">
        <f>IFERROR(VLOOKUP(A4237,VLOOKUPS!$A$2:B$12589,2,FALSE),"")</f>
        <v>Snow Peas 8oz-standard</v>
      </c>
      <c r="E4237">
        <v>2.78</v>
      </c>
      <c r="F4237">
        <v>2.68</v>
      </c>
      <c r="G4237" s="13">
        <v>44687</v>
      </c>
      <c r="H4237" s="13"/>
      <c r="I4237" s="22" t="str">
        <f>VLOOKUP(J4237, Dropdowns!N:O, 2, FALSE)</f>
        <v>Standard</v>
      </c>
      <c r="J4237" t="s">
        <v>761</v>
      </c>
      <c r="L4237" s="17" t="s">
        <v>733</v>
      </c>
      <c r="M4237" s="17" t="s">
        <v>736</v>
      </c>
      <c r="N4237" s="17" t="s">
        <v>740</v>
      </c>
    </row>
    <row r="4238" spans="1:17" x14ac:dyDescent="0.25">
      <c r="A4238" s="8">
        <v>995166</v>
      </c>
      <c r="B4238" s="22" t="str">
        <f>IFERROR(VLOOKUP(A4238,VLOOKUPS!$A$2:B$12589,2,FALSE),"")</f>
        <v>Snow Peas 8oz-standard</v>
      </c>
      <c r="E4238">
        <v>2.78</v>
      </c>
      <c r="F4238">
        <v>2.68</v>
      </c>
      <c r="G4238" s="13">
        <v>44687</v>
      </c>
      <c r="H4238" s="13"/>
      <c r="I4238" s="22" t="str">
        <f>VLOOKUP(J4238, Dropdowns!N:O, 2, FALSE)</f>
        <v>Standard</v>
      </c>
      <c r="J4238" t="s">
        <v>761</v>
      </c>
      <c r="L4238" s="17" t="s">
        <v>734</v>
      </c>
      <c r="M4238" s="17" t="s">
        <v>10</v>
      </c>
      <c r="N4238" s="17">
        <v>2</v>
      </c>
    </row>
    <row r="4239" spans="1:17" x14ac:dyDescent="0.25">
      <c r="A4239" s="8">
        <v>995179</v>
      </c>
      <c r="B4239" s="22" t="str">
        <f>IFERROR(VLOOKUP(A4239,VLOOKUPS!$A$2:B$12589,2,FALSE),"")</f>
        <v>Avocado Ranch Salad Bowl 7.2oz-Standard</v>
      </c>
      <c r="E4239">
        <v>4.99</v>
      </c>
      <c r="F4239">
        <v>4.49</v>
      </c>
      <c r="G4239" s="13">
        <v>44687</v>
      </c>
      <c r="H4239" s="13"/>
      <c r="I4239" s="22" t="str">
        <f>VLOOKUP(J4239, Dropdowns!N:O, 2, FALSE)</f>
        <v>Standard</v>
      </c>
      <c r="J4239" t="s">
        <v>761</v>
      </c>
      <c r="L4239" s="17" t="s">
        <v>733</v>
      </c>
      <c r="M4239" s="17" t="s">
        <v>736</v>
      </c>
      <c r="N4239" s="17" t="s">
        <v>740</v>
      </c>
    </row>
    <row r="4240" spans="1:17" x14ac:dyDescent="0.25">
      <c r="A4240" s="8">
        <v>995180</v>
      </c>
      <c r="B4240" s="22" t="str">
        <f>IFERROR(VLOOKUP(A4240,VLOOKUPS!$A$2:B$12589,2,FALSE),"")</f>
        <v>Crunchy Sesame 6.1oz-Standard</v>
      </c>
      <c r="E4240">
        <v>4.99</v>
      </c>
      <c r="F4240">
        <v>4.49</v>
      </c>
      <c r="G4240" s="13">
        <v>44687</v>
      </c>
      <c r="H4240" s="13"/>
      <c r="I4240" s="22" t="str">
        <f>VLOOKUP(J4240, Dropdowns!N:O, 2, FALSE)</f>
        <v>Standard</v>
      </c>
      <c r="J4240" t="s">
        <v>761</v>
      </c>
      <c r="L4240" s="17" t="s">
        <v>733</v>
      </c>
      <c r="M4240" s="17" t="s">
        <v>736</v>
      </c>
      <c r="N4240" s="17" t="s">
        <v>740</v>
      </c>
    </row>
    <row r="4241" spans="1:14" x14ac:dyDescent="0.25">
      <c r="A4241" s="8">
        <v>995181</v>
      </c>
      <c r="B4241" s="22" t="str">
        <f>IFERROR(VLOOKUP(A4241,VLOOKUPS!$A$2:B$12589,2,FALSE),"")</f>
        <v>Spicy Southwest Salad Bowl 5.9oz-standard</v>
      </c>
      <c r="E4241">
        <v>4.99</v>
      </c>
      <c r="F4241">
        <v>4.49</v>
      </c>
      <c r="G4241" s="13">
        <v>44687</v>
      </c>
      <c r="H4241" s="13"/>
      <c r="I4241" s="22" t="str">
        <f>VLOOKUP(J4241, Dropdowns!N:O, 2, FALSE)</f>
        <v>Standard</v>
      </c>
      <c r="J4241" t="s">
        <v>761</v>
      </c>
      <c r="L4241" s="17" t="s">
        <v>733</v>
      </c>
      <c r="M4241" s="17" t="s">
        <v>736</v>
      </c>
      <c r="N4241" s="17" t="s">
        <v>740</v>
      </c>
    </row>
    <row r="4242" spans="1:14" x14ac:dyDescent="0.25">
      <c r="A4242" s="8">
        <v>995182</v>
      </c>
      <c r="B4242" s="22" t="str">
        <f>IFERROR(VLOOKUP(A4242,VLOOKUPS!$A$2:B$12589,2,FALSE),"")</f>
        <v>Baby Zucchini 8oz-standard</v>
      </c>
      <c r="E4242">
        <v>2.99</v>
      </c>
      <c r="F4242">
        <v>1.5</v>
      </c>
      <c r="G4242" s="13">
        <v>44687</v>
      </c>
      <c r="H4242" s="13">
        <v>44688</v>
      </c>
      <c r="I4242" s="22" t="str">
        <f>VLOOKUP(J4242, Dropdowns!N:O, 2, FALSE)</f>
        <v>Lower Price</v>
      </c>
      <c r="J4242" t="s">
        <v>759</v>
      </c>
      <c r="L4242" s="17" t="s">
        <v>732</v>
      </c>
      <c r="M4242" s="17" t="s">
        <v>9</v>
      </c>
      <c r="N4242" s="17" t="s">
        <v>736</v>
      </c>
    </row>
    <row r="4243" spans="1:14" x14ac:dyDescent="0.25">
      <c r="A4243" s="8">
        <v>995182</v>
      </c>
      <c r="B4243" s="22" t="str">
        <f>IFERROR(VLOOKUP(A4243,VLOOKUPS!$A$2:B$12589,2,FALSE),"")</f>
        <v>Baby Zucchini 8oz-standard</v>
      </c>
      <c r="E4243">
        <v>1.5</v>
      </c>
      <c r="F4243">
        <v>2.99</v>
      </c>
      <c r="G4243" s="13">
        <v>44689</v>
      </c>
      <c r="H4243" s="13"/>
      <c r="I4243" s="22" t="str">
        <f>VLOOKUP(J4243, Dropdowns!N:O, 2, FALSE)</f>
        <v>Standard</v>
      </c>
      <c r="J4243" t="s">
        <v>760</v>
      </c>
      <c r="L4243" s="17" t="s">
        <v>732</v>
      </c>
      <c r="M4243" s="17" t="s">
        <v>9</v>
      </c>
      <c r="N4243" s="17" t="s">
        <v>736</v>
      </c>
    </row>
    <row r="4244" spans="1:14" x14ac:dyDescent="0.25">
      <c r="A4244" s="8">
        <v>995183</v>
      </c>
      <c r="B4244" s="22" t="str">
        <f>IFERROR(VLOOKUP(A4244,VLOOKUPS!$A$2:B$12589,2,FALSE),"")</f>
        <v>Petite Carrots 8oz-standard</v>
      </c>
      <c r="E4244">
        <v>2.5</v>
      </c>
      <c r="F4244">
        <v>1.25</v>
      </c>
      <c r="G4244" s="13">
        <v>44687</v>
      </c>
      <c r="H4244" s="13">
        <v>44688</v>
      </c>
      <c r="I4244" s="22" t="str">
        <f>VLOOKUP(J4244, Dropdowns!N:O, 2, FALSE)</f>
        <v>Lower Price</v>
      </c>
      <c r="J4244" t="s">
        <v>759</v>
      </c>
      <c r="L4244" s="17" t="s">
        <v>732</v>
      </c>
      <c r="M4244" s="17" t="s">
        <v>9</v>
      </c>
      <c r="N4244" s="17" t="s">
        <v>736</v>
      </c>
    </row>
    <row r="4245" spans="1:14" x14ac:dyDescent="0.25">
      <c r="A4245" s="8">
        <v>995183</v>
      </c>
      <c r="B4245" s="22" t="str">
        <f>IFERROR(VLOOKUP(A4245,VLOOKUPS!$A$2:B$12589,2,FALSE),"")</f>
        <v>Petite Carrots 8oz-standard</v>
      </c>
      <c r="E4245">
        <v>1.25</v>
      </c>
      <c r="F4245">
        <v>2.5</v>
      </c>
      <c r="G4245" s="13">
        <v>44689</v>
      </c>
      <c r="H4245" s="13"/>
      <c r="I4245" s="22" t="str">
        <f>VLOOKUP(J4245, Dropdowns!N:O, 2, FALSE)</f>
        <v>Standard</v>
      </c>
      <c r="J4245" t="s">
        <v>760</v>
      </c>
      <c r="L4245" s="17" t="s">
        <v>732</v>
      </c>
      <c r="M4245" s="17" t="s">
        <v>9</v>
      </c>
      <c r="N4245" s="17" t="s">
        <v>736</v>
      </c>
    </row>
    <row r="4246" spans="1:14" x14ac:dyDescent="0.25">
      <c r="A4246" s="8">
        <v>986250</v>
      </c>
      <c r="B4246" s="22" t="str">
        <f>IFERROR(VLOOKUP(A4246,VLOOKUPS!$A$2:B$12589,2,FALSE),"")</f>
        <v>French Beans 1lb-standard</v>
      </c>
      <c r="E4246">
        <v>1.89</v>
      </c>
      <c r="F4246">
        <v>2.99</v>
      </c>
      <c r="G4246" s="13">
        <v>44687</v>
      </c>
      <c r="H4246" s="13"/>
      <c r="I4246" s="22" t="str">
        <f>VLOOKUP(J4246, Dropdowns!N:O, 2, FALSE)</f>
        <v>Standard</v>
      </c>
      <c r="J4246" t="s">
        <v>760</v>
      </c>
      <c r="L4246" s="17" t="s">
        <v>732</v>
      </c>
      <c r="M4246" s="17" t="s">
        <v>735</v>
      </c>
      <c r="N4246" s="17" t="s">
        <v>736</v>
      </c>
    </row>
    <row r="4247" spans="1:14" x14ac:dyDescent="0.25">
      <c r="A4247" s="8">
        <v>986293</v>
      </c>
      <c r="B4247" s="22" t="str">
        <f>IFERROR(VLOOKUP(A4247,VLOOKUPS!$A$2:B$12589,2,FALSE),"")</f>
        <v>Leeks* 3ct-BUNCH</v>
      </c>
      <c r="E4247">
        <v>3.27</v>
      </c>
      <c r="F4247">
        <v>2.13</v>
      </c>
      <c r="G4247" s="13">
        <v>44687</v>
      </c>
      <c r="H4247" s="13">
        <v>44688</v>
      </c>
      <c r="I4247" s="22" t="str">
        <f>VLOOKUP(J4247, Dropdowns!N:O, 2, FALSE)</f>
        <v>Lower Price</v>
      </c>
      <c r="J4247" t="s">
        <v>759</v>
      </c>
      <c r="L4247" s="17" t="s">
        <v>733</v>
      </c>
      <c r="M4247" s="17" t="s">
        <v>9</v>
      </c>
      <c r="N4247" s="17" t="s">
        <v>740</v>
      </c>
    </row>
    <row r="4248" spans="1:14" x14ac:dyDescent="0.25">
      <c r="A4248" s="8">
        <v>986293</v>
      </c>
      <c r="B4248" s="22" t="str">
        <f>IFERROR(VLOOKUP(A4248,VLOOKUPS!$A$2:B$12589,2,FALSE),"")</f>
        <v>Leeks* 3ct-BUNCH</v>
      </c>
      <c r="E4248">
        <v>3.59</v>
      </c>
      <c r="F4248">
        <v>2.33</v>
      </c>
      <c r="G4248" s="13">
        <v>44687</v>
      </c>
      <c r="H4248" s="13">
        <v>44688</v>
      </c>
      <c r="I4248" s="22" t="str">
        <f>VLOOKUP(J4248, Dropdowns!N:O, 2, FALSE)</f>
        <v>Lower Price</v>
      </c>
      <c r="J4248" t="s">
        <v>759</v>
      </c>
      <c r="L4248" s="17" t="s">
        <v>734</v>
      </c>
      <c r="M4248" s="17" t="s">
        <v>9</v>
      </c>
      <c r="N4248" s="17" t="s">
        <v>736</v>
      </c>
    </row>
    <row r="4249" spans="1:14" x14ac:dyDescent="0.25">
      <c r="A4249" s="8">
        <v>986293</v>
      </c>
      <c r="B4249" s="22" t="str">
        <f>IFERROR(VLOOKUP(A4249,VLOOKUPS!$A$2:B$12589,2,FALSE),"")</f>
        <v>Leeks* 3ct-BUNCH</v>
      </c>
      <c r="E4249">
        <v>2.13</v>
      </c>
      <c r="F4249">
        <v>3.27</v>
      </c>
      <c r="G4249" s="13">
        <v>44689</v>
      </c>
      <c r="H4249" s="13"/>
      <c r="I4249" s="22" t="str">
        <f>VLOOKUP(J4249, Dropdowns!N:O, 2, FALSE)</f>
        <v>Standard</v>
      </c>
      <c r="J4249" t="s">
        <v>760</v>
      </c>
      <c r="L4249" s="17" t="s">
        <v>733</v>
      </c>
      <c r="M4249" s="17" t="s">
        <v>9</v>
      </c>
      <c r="N4249" s="17" t="s">
        <v>740</v>
      </c>
    </row>
    <row r="4250" spans="1:14" x14ac:dyDescent="0.25">
      <c r="A4250" s="8">
        <v>986293</v>
      </c>
      <c r="B4250" s="22" t="str">
        <f>IFERROR(VLOOKUP(A4250,VLOOKUPS!$A$2:B$12589,2,FALSE),"")</f>
        <v>Leeks* 3ct-BUNCH</v>
      </c>
      <c r="E4250">
        <v>2.33</v>
      </c>
      <c r="F4250">
        <v>3.59</v>
      </c>
      <c r="G4250" s="13">
        <v>44689</v>
      </c>
      <c r="H4250" s="13"/>
      <c r="I4250" s="22" t="str">
        <f>VLOOKUP(J4250, Dropdowns!N:O, 2, FALSE)</f>
        <v>Standard</v>
      </c>
      <c r="J4250" t="s">
        <v>760</v>
      </c>
      <c r="L4250" s="17" t="s">
        <v>734</v>
      </c>
      <c r="M4250" s="17" t="s">
        <v>9</v>
      </c>
      <c r="N4250" s="17" t="s">
        <v>736</v>
      </c>
    </row>
    <row r="4251" spans="1:14" x14ac:dyDescent="0.25">
      <c r="A4251" s="8">
        <v>982650</v>
      </c>
      <c r="B4251" s="22" t="str">
        <f>IFERROR(VLOOKUP(A4251,VLOOKUPS!$A$2:B$12589,2,FALSE),"")</f>
        <v>Grapes* Green Seedless 1lb-LOOSE</v>
      </c>
      <c r="E4251">
        <v>2.59</v>
      </c>
      <c r="F4251">
        <v>1.29</v>
      </c>
      <c r="G4251" s="13">
        <v>44687</v>
      </c>
      <c r="H4251" s="13">
        <v>44688</v>
      </c>
      <c r="I4251" s="22" t="str">
        <f>VLOOKUP(J4251, Dropdowns!N:O, 2, FALSE)</f>
        <v>Lower Price</v>
      </c>
      <c r="J4251" t="s">
        <v>759</v>
      </c>
      <c r="L4251" s="17" t="s">
        <v>732</v>
      </c>
      <c r="M4251" s="17" t="s">
        <v>9</v>
      </c>
      <c r="N4251" s="17" t="s">
        <v>736</v>
      </c>
    </row>
    <row r="4252" spans="1:14" x14ac:dyDescent="0.25">
      <c r="A4252" s="8">
        <v>982650</v>
      </c>
      <c r="B4252" s="22" t="str">
        <f>IFERROR(VLOOKUP(A4252,VLOOKUPS!$A$2:B$12589,2,FALSE),"")</f>
        <v>Grapes* Green Seedless 1lb-LOOSE</v>
      </c>
      <c r="E4252">
        <v>1.29</v>
      </c>
      <c r="F4252">
        <v>2.59</v>
      </c>
      <c r="G4252" s="13">
        <v>44689</v>
      </c>
      <c r="H4252" s="13"/>
      <c r="I4252" s="22" t="str">
        <f>VLOOKUP(J4252, Dropdowns!N:O, 2, FALSE)</f>
        <v>Standard</v>
      </c>
      <c r="J4252" t="s">
        <v>760</v>
      </c>
      <c r="L4252" s="17" t="s">
        <v>732</v>
      </c>
      <c r="M4252" s="17" t="s">
        <v>9</v>
      </c>
      <c r="N4252" s="17" t="s">
        <v>736</v>
      </c>
    </row>
    <row r="4253" spans="1:14" x14ac:dyDescent="0.25">
      <c r="A4253" s="8">
        <v>982740</v>
      </c>
      <c r="B4253" s="22" t="str">
        <f>IFERROR(VLOOKUP(A4253,VLOOKUPS!$A$2:B$12589,2,FALSE),"")</f>
        <v>Grapes* Red Seedless 1lb-LOOSE</v>
      </c>
      <c r="E4253">
        <v>1.99</v>
      </c>
      <c r="F4253">
        <v>1.88</v>
      </c>
      <c r="G4253" s="13">
        <v>44690</v>
      </c>
      <c r="H4253" s="13"/>
      <c r="I4253" s="22" t="str">
        <f>VLOOKUP(J4253, Dropdowns!N:O, 2, FALSE)</f>
        <v>Standard</v>
      </c>
      <c r="J4253" t="s">
        <v>761</v>
      </c>
      <c r="L4253" s="17" t="s">
        <v>734</v>
      </c>
      <c r="M4253" s="17" t="s">
        <v>9</v>
      </c>
      <c r="N4253" s="17" t="s">
        <v>736</v>
      </c>
    </row>
    <row r="4254" spans="1:14" x14ac:dyDescent="0.25">
      <c r="A4254" s="8">
        <v>984542</v>
      </c>
      <c r="B4254" s="22" t="str">
        <f>IFERROR(VLOOKUP(A4254,VLOOKUPS!$A$2:B$12589,2,FALSE),"")</f>
        <v>Blueberries 18oz-standard</v>
      </c>
      <c r="G4254" s="13">
        <v>44688</v>
      </c>
      <c r="H4254" s="13">
        <v>44689</v>
      </c>
      <c r="I4254" s="22" t="str">
        <f>VLOOKUP(J4254, Dropdowns!N:O, 2, FALSE)</f>
        <v>Lower Price</v>
      </c>
      <c r="J4254" t="s">
        <v>753</v>
      </c>
      <c r="L4254" s="17" t="s">
        <v>732</v>
      </c>
      <c r="M4254" s="17" t="s">
        <v>736</v>
      </c>
      <c r="N4254" s="17" t="s">
        <v>736</v>
      </c>
    </row>
    <row r="4255" spans="1:14" x14ac:dyDescent="0.25">
      <c r="A4255" s="8">
        <v>984542</v>
      </c>
      <c r="B4255" s="22" t="str">
        <f>IFERROR(VLOOKUP(A4255,VLOOKUPS!$A$2:B$12589,2,FALSE),"")</f>
        <v>Blueberries 18oz-standard</v>
      </c>
      <c r="E4255">
        <v>3.74</v>
      </c>
      <c r="F4255">
        <v>6.74</v>
      </c>
      <c r="G4255" s="13">
        <v>44690</v>
      </c>
      <c r="H4255" s="13"/>
      <c r="I4255" s="22" t="str">
        <f>VLOOKUP(J4255, Dropdowns!N:O, 2, FALSE)</f>
        <v>Standard</v>
      </c>
      <c r="J4255" t="s">
        <v>760</v>
      </c>
      <c r="L4255" s="17" t="s">
        <v>732</v>
      </c>
      <c r="M4255" s="17" t="s">
        <v>736</v>
      </c>
      <c r="N4255" s="17" t="s">
        <v>736</v>
      </c>
    </row>
    <row r="4256" spans="1:14" x14ac:dyDescent="0.25">
      <c r="A4256" s="8">
        <v>984620</v>
      </c>
      <c r="B4256" s="22" t="str">
        <f>IFERROR(VLOOKUP(A4256,VLOOKUPS!$A$2:B$12589,2,FALSE),"")</f>
        <v>Raspberries 6oz-standard</v>
      </c>
      <c r="G4256" s="13">
        <v>44688</v>
      </c>
      <c r="H4256" s="13">
        <v>44689</v>
      </c>
      <c r="I4256" s="22" t="str">
        <f>VLOOKUP(J4256, Dropdowns!N:O, 2, FALSE)</f>
        <v>Lower Price</v>
      </c>
      <c r="J4256" t="s">
        <v>1095</v>
      </c>
      <c r="L4256" s="17" t="s">
        <v>732</v>
      </c>
      <c r="M4256" s="17" t="s">
        <v>736</v>
      </c>
      <c r="N4256" s="17" t="s">
        <v>736</v>
      </c>
    </row>
    <row r="4257" spans="1:17" x14ac:dyDescent="0.25">
      <c r="A4257" s="8">
        <v>984620</v>
      </c>
      <c r="B4257" s="22" t="str">
        <f>IFERROR(VLOOKUP(A4257,VLOOKUPS!$A$2:B$12589,2,FALSE),"")</f>
        <v>Raspberries 6oz-standard</v>
      </c>
      <c r="G4257" s="13">
        <v>44690</v>
      </c>
      <c r="H4257" s="13">
        <v>44690</v>
      </c>
      <c r="I4257" s="22" t="str">
        <f>VLOOKUP(J4257, Dropdowns!N:O, 2, FALSE)</f>
        <v>Lower Price</v>
      </c>
      <c r="J4257" t="s">
        <v>762</v>
      </c>
      <c r="L4257" s="17" t="s">
        <v>732</v>
      </c>
      <c r="M4257" s="17" t="s">
        <v>736</v>
      </c>
      <c r="N4257" s="17" t="s">
        <v>736</v>
      </c>
    </row>
    <row r="4258" spans="1:17" x14ac:dyDescent="0.25">
      <c r="A4258" s="8">
        <v>984620</v>
      </c>
      <c r="B4258" s="22" t="str">
        <f>IFERROR(VLOOKUP(A4258,VLOOKUPS!$A$2:B$12589,2,FALSE),"")</f>
        <v>Raspberries 6oz-standard</v>
      </c>
      <c r="E4258">
        <v>1.99</v>
      </c>
      <c r="F4258">
        <v>2.98</v>
      </c>
      <c r="G4258" s="13">
        <v>44691</v>
      </c>
      <c r="H4258" s="13"/>
      <c r="I4258" s="22" t="str">
        <f>VLOOKUP(J4258, Dropdowns!N:O, 2, FALSE)</f>
        <v>Standard</v>
      </c>
      <c r="J4258" t="s">
        <v>760</v>
      </c>
      <c r="L4258" s="17" t="s">
        <v>732</v>
      </c>
      <c r="M4258" s="17" t="s">
        <v>736</v>
      </c>
      <c r="N4258" s="17" t="s">
        <v>736</v>
      </c>
    </row>
    <row r="4259" spans="1:17" x14ac:dyDescent="0.25">
      <c r="A4259" s="8">
        <v>988545</v>
      </c>
      <c r="B4259" s="22" t="str">
        <f>IFERROR(VLOOKUP(A4259,VLOOKUPS!$A$2:B$12589,2,FALSE),"")</f>
        <v/>
      </c>
      <c r="E4259">
        <v>2.99</v>
      </c>
      <c r="F4259">
        <v>1.94</v>
      </c>
      <c r="G4259" s="13">
        <v>44688</v>
      </c>
      <c r="H4259" s="13">
        <v>44689</v>
      </c>
      <c r="I4259" s="22" t="str">
        <f>VLOOKUP(J4259, Dropdowns!N:O, 2, FALSE)</f>
        <v>Lower Price</v>
      </c>
      <c r="J4259" t="s">
        <v>759</v>
      </c>
      <c r="L4259" s="17" t="s">
        <v>732</v>
      </c>
      <c r="M4259" s="17" t="s">
        <v>10</v>
      </c>
      <c r="N4259" s="17">
        <v>2</v>
      </c>
    </row>
    <row r="4260" spans="1:17" x14ac:dyDescent="0.25">
      <c r="A4260" s="8">
        <v>988545</v>
      </c>
      <c r="B4260" s="22" t="str">
        <f>IFERROR(VLOOKUP(A4260,VLOOKUPS!$A$2:B$12589,2,FALSE),"")</f>
        <v/>
      </c>
      <c r="E4260">
        <v>1.94</v>
      </c>
      <c r="F4260">
        <v>2.99</v>
      </c>
      <c r="G4260" s="13">
        <v>44690</v>
      </c>
      <c r="H4260" s="13"/>
      <c r="I4260" s="22" t="str">
        <f>VLOOKUP(J4260, Dropdowns!N:O, 2, FALSE)</f>
        <v>Standard</v>
      </c>
      <c r="J4260" t="s">
        <v>760</v>
      </c>
      <c r="L4260" s="17" t="s">
        <v>732</v>
      </c>
      <c r="M4260" s="17" t="s">
        <v>10</v>
      </c>
      <c r="N4260" s="17">
        <v>2</v>
      </c>
    </row>
    <row r="4261" spans="1:17" x14ac:dyDescent="0.25">
      <c r="A4261" s="8">
        <v>988620</v>
      </c>
      <c r="B4261" s="22" t="str">
        <f>IFERROR(VLOOKUP(A4261,VLOOKUPS!$A$2:B$12589,2,FALSE),"")</f>
        <v>Brussels Sprouts 1lb-standard</v>
      </c>
      <c r="G4261" s="13">
        <v>44689</v>
      </c>
      <c r="H4261" s="13"/>
      <c r="I4261" s="22" t="str">
        <f>VLOOKUP(J4261, Dropdowns!N:O, 2, FALSE)</f>
        <v>Lower Price</v>
      </c>
      <c r="J4261" t="s">
        <v>779</v>
      </c>
      <c r="L4261" s="17" t="s">
        <v>733</v>
      </c>
      <c r="M4261" s="17" t="s">
        <v>11</v>
      </c>
      <c r="N4261" s="17" t="s">
        <v>740</v>
      </c>
    </row>
    <row r="4262" spans="1:17" x14ac:dyDescent="0.25">
      <c r="A4262" s="8">
        <v>984700</v>
      </c>
      <c r="B4262" s="22" t="str">
        <f>IFERROR(VLOOKUP(A4262,VLOOKUPS!$A$2:B$12589,2,FALSE),"")</f>
        <v>Blackberries 6oz-standard</v>
      </c>
      <c r="E4262">
        <v>2.39</v>
      </c>
      <c r="F4262">
        <v>1.96</v>
      </c>
      <c r="G4262" s="13">
        <v>44691</v>
      </c>
      <c r="H4262" s="13"/>
      <c r="I4262" s="22" t="str">
        <f>VLOOKUP(J4262, Dropdowns!N:O, 2, FALSE)</f>
        <v>Standard</v>
      </c>
      <c r="J4262" t="s">
        <v>761</v>
      </c>
      <c r="L4262" s="17" t="s">
        <v>734</v>
      </c>
      <c r="M4262" s="17" t="s">
        <v>9</v>
      </c>
      <c r="N4262" s="17" t="s">
        <v>736</v>
      </c>
    </row>
    <row r="4263" spans="1:17" x14ac:dyDescent="0.25">
      <c r="A4263" s="8">
        <v>984700</v>
      </c>
      <c r="B4263" s="22" t="str">
        <f>IFERROR(VLOOKUP(A4263,VLOOKUPS!$A$2:B$12589,2,FALSE),"")</f>
        <v>Blackberries 6oz-standard</v>
      </c>
      <c r="E4263">
        <v>2.2400000000000002</v>
      </c>
      <c r="F4263">
        <v>1.96</v>
      </c>
      <c r="G4263" s="13">
        <v>44691</v>
      </c>
      <c r="H4263" s="13"/>
      <c r="I4263" s="22" t="str">
        <f>VLOOKUP(J4263, Dropdowns!N:O, 2, FALSE)</f>
        <v>Standard</v>
      </c>
      <c r="J4263" t="s">
        <v>761</v>
      </c>
      <c r="L4263" s="17" t="s">
        <v>734</v>
      </c>
      <c r="M4263" s="17" t="s">
        <v>10</v>
      </c>
      <c r="N4263" s="17">
        <v>2</v>
      </c>
    </row>
    <row r="4264" spans="1:17" x14ac:dyDescent="0.25">
      <c r="A4264" s="8">
        <v>984500</v>
      </c>
      <c r="B4264" s="22" t="str">
        <f>IFERROR(VLOOKUP(A4264,VLOOKUPS!$A$2:B$12589,2,FALSE),"")</f>
        <v>Organic Strawberries 1lb-standard</v>
      </c>
      <c r="D4264">
        <v>8</v>
      </c>
      <c r="F4264">
        <v>3.98</v>
      </c>
      <c r="G4264" s="13">
        <v>44691</v>
      </c>
      <c r="H4264" s="13"/>
      <c r="I4264" s="22" t="str">
        <f>VLOOKUP(J4264, Dropdowns!N:O, 2, FALSE)</f>
        <v>New</v>
      </c>
      <c r="J4264" t="s">
        <v>776</v>
      </c>
      <c r="L4264" s="17" t="s">
        <v>732</v>
      </c>
      <c r="M4264" s="17" t="s">
        <v>736</v>
      </c>
      <c r="N4264" s="17" t="s">
        <v>736</v>
      </c>
      <c r="O4264" s="17" t="s">
        <v>748</v>
      </c>
      <c r="P4264">
        <v>1</v>
      </c>
      <c r="Q4264" s="17" t="s">
        <v>1035</v>
      </c>
    </row>
    <row r="4265" spans="1:17" x14ac:dyDescent="0.25">
      <c r="A4265" s="8">
        <v>984541</v>
      </c>
      <c r="B4265" s="22" t="str">
        <f>IFERROR(VLOOKUP(A4265,VLOOKUPS!$A$2:B$12589,2,FALSE),"")</f>
        <v>Blueberries 1pt-standard</v>
      </c>
      <c r="E4265">
        <v>4.37</v>
      </c>
      <c r="F4265">
        <v>3.69</v>
      </c>
      <c r="G4265" s="13">
        <v>44691</v>
      </c>
      <c r="H4265" s="13"/>
      <c r="I4265" s="22" t="str">
        <f>VLOOKUP(J4265, Dropdowns!N:O, 2, FALSE)</f>
        <v>Standard</v>
      </c>
      <c r="J4265" t="s">
        <v>761</v>
      </c>
      <c r="L4265" s="17" t="s">
        <v>732</v>
      </c>
      <c r="M4265" s="17" t="s">
        <v>736</v>
      </c>
      <c r="N4265" s="17" t="s">
        <v>736</v>
      </c>
    </row>
    <row r="4266" spans="1:17" x14ac:dyDescent="0.25">
      <c r="A4266" s="8">
        <v>984542</v>
      </c>
      <c r="B4266" s="22" t="str">
        <f>IFERROR(VLOOKUP(A4266,VLOOKUPS!$A$2:B$12589,2,FALSE),"")</f>
        <v>Blueberries 18oz-standard</v>
      </c>
      <c r="E4266">
        <v>6.74</v>
      </c>
      <c r="F4266">
        <v>5.28</v>
      </c>
      <c r="G4266" s="13">
        <v>44691</v>
      </c>
      <c r="H4266" s="13"/>
      <c r="I4266" s="22" t="str">
        <f>VLOOKUP(J4266, Dropdowns!N:O, 2, FALSE)</f>
        <v>Standard</v>
      </c>
      <c r="J4266" t="s">
        <v>761</v>
      </c>
      <c r="L4266" s="17" t="s">
        <v>732</v>
      </c>
      <c r="M4266" s="17" t="s">
        <v>736</v>
      </c>
      <c r="N4266" s="17" t="s">
        <v>736</v>
      </c>
    </row>
    <row r="4267" spans="1:17" x14ac:dyDescent="0.25">
      <c r="A4267" s="8">
        <v>984582</v>
      </c>
      <c r="B4267" s="22" t="str">
        <f>IFERROR(VLOOKUP(A4267,VLOOKUPS!$A$2:B$12589,2,FALSE),"")</f>
        <v>Organic Blueberries 1pt-standard</v>
      </c>
      <c r="E4267">
        <v>5.44</v>
      </c>
      <c r="F4267">
        <v>4.8600000000000003</v>
      </c>
      <c r="G4267" s="13">
        <v>44691</v>
      </c>
      <c r="H4267" s="12"/>
      <c r="I4267" s="22" t="str">
        <f>VLOOKUP(J4267, Dropdowns!N:O, 2, FALSE)</f>
        <v>Standard</v>
      </c>
      <c r="J4267" t="s">
        <v>761</v>
      </c>
      <c r="L4267" s="17" t="s">
        <v>733</v>
      </c>
      <c r="M4267" s="17" t="s">
        <v>736</v>
      </c>
      <c r="N4267" s="17" t="s">
        <v>740</v>
      </c>
    </row>
    <row r="4268" spans="1:17" x14ac:dyDescent="0.25">
      <c r="A4268" s="8">
        <v>984582</v>
      </c>
      <c r="B4268" s="22" t="str">
        <f>IFERROR(VLOOKUP(A4268,VLOOKUPS!$A$2:B$12589,2,FALSE),"")</f>
        <v>Organic Blueberries 1pt-standard</v>
      </c>
      <c r="E4268">
        <v>5.78</v>
      </c>
      <c r="F4268">
        <v>5.2</v>
      </c>
      <c r="G4268" s="13">
        <v>44691</v>
      </c>
      <c r="H4268" s="13"/>
      <c r="I4268" s="22" t="str">
        <f>VLOOKUP(J4268, Dropdowns!N:O, 2, FALSE)</f>
        <v>Standard</v>
      </c>
      <c r="J4268" t="s">
        <v>761</v>
      </c>
      <c r="L4268" s="17" t="s">
        <v>734</v>
      </c>
      <c r="M4268" s="17" t="s">
        <v>9</v>
      </c>
      <c r="N4268" s="17" t="s">
        <v>736</v>
      </c>
    </row>
    <row r="4269" spans="1:17" x14ac:dyDescent="0.25">
      <c r="A4269" s="8">
        <v>984582</v>
      </c>
      <c r="B4269" s="22" t="str">
        <f>IFERROR(VLOOKUP(A4269,VLOOKUPS!$A$2:B$12589,2,FALSE),"")</f>
        <v>Organic Blueberries 1pt-standard</v>
      </c>
      <c r="E4269">
        <v>5.44</v>
      </c>
      <c r="F4269">
        <v>4.8600000000000003</v>
      </c>
      <c r="G4269" s="13">
        <v>44691</v>
      </c>
      <c r="H4269" s="13"/>
      <c r="I4269" s="22" t="str">
        <f>VLOOKUP(J4269, Dropdowns!N:O, 2, FALSE)</f>
        <v>Standard</v>
      </c>
      <c r="J4269" t="s">
        <v>761</v>
      </c>
      <c r="L4269" s="17" t="s">
        <v>734</v>
      </c>
      <c r="M4269" s="17" t="s">
        <v>10</v>
      </c>
      <c r="N4269" s="17">
        <v>2</v>
      </c>
    </row>
    <row r="4270" spans="1:17" x14ac:dyDescent="0.25">
      <c r="A4270" s="8">
        <v>985190</v>
      </c>
      <c r="B4270" s="22" t="str">
        <f>IFERROR(VLOOKUP(A4270,VLOOKUPS!$A$2:B$12589,2,FALSE),"")</f>
        <v>Organic Romaine Hearts 3ct-standard</v>
      </c>
      <c r="E4270">
        <v>3.96</v>
      </c>
      <c r="F4270">
        <v>1.98</v>
      </c>
      <c r="G4270" s="13">
        <v>44691</v>
      </c>
      <c r="H4270" s="13">
        <v>44693</v>
      </c>
      <c r="I4270" s="22" t="str">
        <f>VLOOKUP(J4270, Dropdowns!N:O, 2, FALSE)</f>
        <v>Lower Price</v>
      </c>
      <c r="J4270" t="s">
        <v>759</v>
      </c>
      <c r="L4270" s="17" t="s">
        <v>732</v>
      </c>
      <c r="M4270" s="17" t="s">
        <v>736</v>
      </c>
      <c r="N4270" s="17" t="s">
        <v>736</v>
      </c>
    </row>
    <row r="4271" spans="1:17" x14ac:dyDescent="0.25">
      <c r="A4271" s="8">
        <v>985190</v>
      </c>
      <c r="B4271" s="22" t="str">
        <f>IFERROR(VLOOKUP(A4271,VLOOKUPS!$A$2:B$12589,2,FALSE),"")</f>
        <v>Organic Romaine Hearts 3ct-standard</v>
      </c>
      <c r="E4271">
        <v>1.98</v>
      </c>
      <c r="F4271">
        <v>3.96</v>
      </c>
      <c r="G4271" s="13">
        <v>44694</v>
      </c>
      <c r="H4271" s="13"/>
      <c r="I4271" s="22" t="str">
        <f>VLOOKUP(J4271, Dropdowns!N:O, 2, FALSE)</f>
        <v>Standard</v>
      </c>
      <c r="J4271" t="s">
        <v>760</v>
      </c>
      <c r="L4271" s="17" t="s">
        <v>732</v>
      </c>
      <c r="M4271" s="17" t="s">
        <v>736</v>
      </c>
      <c r="N4271" s="17" t="s">
        <v>736</v>
      </c>
    </row>
    <row r="4272" spans="1:17" x14ac:dyDescent="0.25">
      <c r="A4272" s="8">
        <v>986250</v>
      </c>
      <c r="B4272" s="22" t="str">
        <f>IFERROR(VLOOKUP(A4272,VLOOKUPS!$A$2:B$12589,2,FALSE),"")</f>
        <v>French Beans 1lb-standard</v>
      </c>
      <c r="E4272">
        <v>2.99</v>
      </c>
      <c r="F4272">
        <v>1.94</v>
      </c>
      <c r="G4272" s="13">
        <v>44691</v>
      </c>
      <c r="H4272" s="13">
        <v>44692</v>
      </c>
      <c r="I4272" s="22" t="str">
        <f>VLOOKUP(J4272, Dropdowns!N:O, 2, FALSE)</f>
        <v>Lower Price</v>
      </c>
      <c r="J4272" t="s">
        <v>759</v>
      </c>
      <c r="L4272" s="17" t="s">
        <v>732</v>
      </c>
      <c r="M4272" s="17" t="s">
        <v>737</v>
      </c>
      <c r="N4272" s="17" t="s">
        <v>736</v>
      </c>
    </row>
    <row r="4273" spans="1:14" x14ac:dyDescent="0.25">
      <c r="A4273" s="8">
        <v>986250</v>
      </c>
      <c r="B4273" s="22" t="str">
        <f>IFERROR(VLOOKUP(A4273,VLOOKUPS!$A$2:B$12589,2,FALSE),"")</f>
        <v>French Beans 1lb-standard</v>
      </c>
      <c r="E4273">
        <v>1.94</v>
      </c>
      <c r="F4273">
        <v>2.99</v>
      </c>
      <c r="G4273" s="13">
        <v>44693</v>
      </c>
      <c r="H4273" s="13"/>
      <c r="I4273" s="22" t="str">
        <f>VLOOKUP(J4273, Dropdowns!N:O, 2, FALSE)</f>
        <v>Standard</v>
      </c>
      <c r="J4273" t="s">
        <v>760</v>
      </c>
      <c r="L4273" s="17" t="s">
        <v>732</v>
      </c>
      <c r="M4273" s="17" t="s">
        <v>737</v>
      </c>
      <c r="N4273" s="17" t="s">
        <v>736</v>
      </c>
    </row>
    <row r="4274" spans="1:14" x14ac:dyDescent="0.25">
      <c r="A4274" s="8">
        <v>983201</v>
      </c>
      <c r="B4274" s="22" t="str">
        <f>IFERROR(VLOOKUP(A4274,VLOOKUPS!$A$2:B$12589,2,FALSE),"")</f>
        <v>Melons* Honeydew 1ct-LOOSE</v>
      </c>
      <c r="E4274">
        <v>3.98</v>
      </c>
      <c r="F4274">
        <v>3.18</v>
      </c>
      <c r="G4274" s="13">
        <v>44691</v>
      </c>
      <c r="H4274" s="13">
        <v>44692</v>
      </c>
      <c r="I4274" s="22" t="str">
        <f>VLOOKUP(J4274, Dropdowns!N:O, 2, FALSE)</f>
        <v>Lower Price</v>
      </c>
      <c r="J4274" t="s">
        <v>759</v>
      </c>
      <c r="L4274" s="17" t="s">
        <v>733</v>
      </c>
      <c r="M4274" s="17" t="s">
        <v>9</v>
      </c>
      <c r="N4274" s="17" t="s">
        <v>740</v>
      </c>
    </row>
    <row r="4275" spans="1:14" x14ac:dyDescent="0.25">
      <c r="A4275" s="8">
        <v>983201</v>
      </c>
      <c r="B4275" s="22" t="str">
        <f>IFERROR(VLOOKUP(A4275,VLOOKUPS!$A$2:B$12589,2,FALSE),"")</f>
        <v>Melons* Honeydew 1ct-LOOSE</v>
      </c>
      <c r="E4275">
        <v>3.18</v>
      </c>
      <c r="F4275">
        <v>3.98</v>
      </c>
      <c r="G4275" s="13">
        <v>44693</v>
      </c>
      <c r="H4275" s="13"/>
      <c r="I4275" s="22" t="str">
        <f>VLOOKUP(J4275, Dropdowns!N:O, 2, FALSE)</f>
        <v>Standard</v>
      </c>
      <c r="J4275" t="s">
        <v>760</v>
      </c>
      <c r="L4275" s="17" t="s">
        <v>733</v>
      </c>
      <c r="M4275" s="17" t="s">
        <v>9</v>
      </c>
      <c r="N4275" s="17" t="s">
        <v>740</v>
      </c>
    </row>
    <row r="4276" spans="1:14" x14ac:dyDescent="0.25">
      <c r="A4276" s="8">
        <v>983201</v>
      </c>
      <c r="B4276" s="22" t="str">
        <f>IFERROR(VLOOKUP(A4276,VLOOKUPS!$A$2:B$12589,2,FALSE),"")</f>
        <v>Melons* Honeydew 1ct-LOOSE</v>
      </c>
      <c r="E4276">
        <v>4.29</v>
      </c>
      <c r="F4276">
        <v>3.43</v>
      </c>
      <c r="G4276" s="13">
        <v>44691</v>
      </c>
      <c r="H4276" s="13">
        <v>44692</v>
      </c>
      <c r="I4276" s="22" t="str">
        <f>VLOOKUP(J4276, Dropdowns!N:O, 2, FALSE)</f>
        <v>Lower Price</v>
      </c>
      <c r="J4276" t="s">
        <v>759</v>
      </c>
      <c r="L4276" s="17" t="s">
        <v>734</v>
      </c>
      <c r="M4276" s="17" t="s">
        <v>9</v>
      </c>
      <c r="N4276" s="17" t="s">
        <v>736</v>
      </c>
    </row>
    <row r="4277" spans="1:14" x14ac:dyDescent="0.25">
      <c r="A4277" s="8">
        <v>983201</v>
      </c>
      <c r="B4277" s="22" t="str">
        <f>IFERROR(VLOOKUP(A4277,VLOOKUPS!$A$2:B$12589,2,FALSE),"")</f>
        <v>Melons* Honeydew 1ct-LOOSE</v>
      </c>
      <c r="E4277">
        <v>3.43</v>
      </c>
      <c r="F4277">
        <v>4.29</v>
      </c>
      <c r="G4277" s="13">
        <v>44693</v>
      </c>
      <c r="H4277" s="13"/>
      <c r="I4277" s="22" t="str">
        <f>VLOOKUP(J4277, Dropdowns!N:O, 2, FALSE)</f>
        <v>Standard</v>
      </c>
      <c r="J4277" t="s">
        <v>760</v>
      </c>
      <c r="L4277" s="17" t="s">
        <v>734</v>
      </c>
      <c r="M4277" s="17" t="s">
        <v>9</v>
      </c>
      <c r="N4277" s="17" t="s">
        <v>736</v>
      </c>
    </row>
    <row r="4278" spans="1:14" x14ac:dyDescent="0.25">
      <c r="A4278" s="8">
        <v>984620</v>
      </c>
      <c r="B4278" s="22" t="str">
        <f>IFERROR(VLOOKUP(A4278,VLOOKUPS!$A$2:B$12589,2,FALSE),"")</f>
        <v>Raspberries 6oz-standard</v>
      </c>
      <c r="E4278">
        <v>1.99</v>
      </c>
      <c r="F4278">
        <v>2.98</v>
      </c>
      <c r="G4278" s="13">
        <v>44691</v>
      </c>
      <c r="H4278" s="13"/>
      <c r="I4278" s="22" t="str">
        <f>VLOOKUP(J4278, Dropdowns!N:O, 2, FALSE)</f>
        <v>Standard</v>
      </c>
      <c r="J4278" t="s">
        <v>760</v>
      </c>
      <c r="L4278" s="17" t="s">
        <v>732</v>
      </c>
      <c r="M4278" s="17" t="s">
        <v>9</v>
      </c>
      <c r="N4278" s="17" t="s">
        <v>736</v>
      </c>
    </row>
    <row r="4279" spans="1:14" x14ac:dyDescent="0.25">
      <c r="A4279" s="8">
        <v>984620</v>
      </c>
      <c r="B4279" s="22" t="str">
        <f>IFERROR(VLOOKUP(A4279,VLOOKUPS!$A$2:B$12589,2,FALSE),"")</f>
        <v>Raspberries 6oz-standard</v>
      </c>
      <c r="G4279" s="13">
        <v>44691</v>
      </c>
      <c r="H4279" s="13">
        <v>44691</v>
      </c>
      <c r="I4279" s="22" t="str">
        <f>VLOOKUP(J4279, Dropdowns!N:O, 2, FALSE)</f>
        <v>Lower Price</v>
      </c>
      <c r="J4279" t="s">
        <v>762</v>
      </c>
      <c r="L4279" s="17" t="s">
        <v>732</v>
      </c>
      <c r="M4279" s="17" t="s">
        <v>738</v>
      </c>
      <c r="N4279" s="17">
        <v>2</v>
      </c>
    </row>
    <row r="4280" spans="1:14" x14ac:dyDescent="0.25">
      <c r="A4280" s="8">
        <v>984620</v>
      </c>
      <c r="B4280" s="22" t="str">
        <f>IFERROR(VLOOKUP(A4280,VLOOKUPS!$A$2:B$12589,2,FALSE),"")</f>
        <v>Raspberries 6oz-standard</v>
      </c>
      <c r="E4280">
        <v>2.98</v>
      </c>
      <c r="F4280">
        <v>3.28</v>
      </c>
      <c r="G4280" s="13">
        <v>44692</v>
      </c>
      <c r="H4280" s="13"/>
      <c r="I4280" s="22" t="str">
        <f>VLOOKUP(J4280, Dropdowns!N:O, 2, FALSE)</f>
        <v>Standard</v>
      </c>
      <c r="J4280" t="s">
        <v>761</v>
      </c>
      <c r="L4280" s="17" t="s">
        <v>734</v>
      </c>
      <c r="M4280" s="17" t="s">
        <v>9</v>
      </c>
      <c r="N4280" s="17" t="s">
        <v>736</v>
      </c>
    </row>
    <row r="4281" spans="1:14" x14ac:dyDescent="0.25">
      <c r="A4281" s="8">
        <v>982740</v>
      </c>
      <c r="B4281" s="22" t="str">
        <f>IFERROR(VLOOKUP(A4281,VLOOKUPS!$A$2:B$12589,2,FALSE),"")</f>
        <v>Grapes* Red Seedless 1lb-LOOSE</v>
      </c>
      <c r="G4281" s="13">
        <v>44692</v>
      </c>
      <c r="H4281" s="13">
        <v>44698</v>
      </c>
      <c r="I4281" s="22" t="str">
        <f>VLOOKUP(J4281, Dropdowns!N:O, 2, FALSE)</f>
        <v>Lower Price</v>
      </c>
      <c r="J4281" t="s">
        <v>753</v>
      </c>
      <c r="L4281" s="17" t="s">
        <v>732</v>
      </c>
      <c r="M4281" s="17" t="s">
        <v>736</v>
      </c>
      <c r="N4281" s="17" t="s">
        <v>736</v>
      </c>
    </row>
    <row r="4282" spans="1:14" x14ac:dyDescent="0.25">
      <c r="A4282" s="8">
        <v>983201</v>
      </c>
      <c r="B4282" s="22" t="str">
        <f>IFERROR(VLOOKUP(A4282,VLOOKUPS!$A$2:B$12589,2,FALSE),"")</f>
        <v>Melons* Honeydew 1ct-LOOSE</v>
      </c>
      <c r="E4282">
        <v>3.98</v>
      </c>
      <c r="F4282">
        <v>3.18</v>
      </c>
      <c r="G4282" s="13">
        <v>44692</v>
      </c>
      <c r="H4282" s="13">
        <v>44693</v>
      </c>
      <c r="I4282" s="22" t="str">
        <f>VLOOKUP(J4282, Dropdowns!N:O, 2, FALSE)</f>
        <v>Lower Price</v>
      </c>
      <c r="J4282" t="s">
        <v>759</v>
      </c>
      <c r="L4282" s="17" t="s">
        <v>732</v>
      </c>
      <c r="M4282" s="17" t="s">
        <v>10</v>
      </c>
      <c r="N4282" s="17">
        <v>2</v>
      </c>
    </row>
    <row r="4283" spans="1:14" x14ac:dyDescent="0.25">
      <c r="A4283" s="8">
        <v>983201</v>
      </c>
      <c r="B4283" s="22" t="str">
        <f>IFERROR(VLOOKUP(A4283,VLOOKUPS!$A$2:B$12589,2,FALSE),"")</f>
        <v>Melons* Honeydew 1ct-LOOSE</v>
      </c>
      <c r="E4283">
        <v>3.18</v>
      </c>
      <c r="F4283">
        <v>3.98</v>
      </c>
      <c r="G4283" s="13">
        <v>44694</v>
      </c>
      <c r="H4283" s="13"/>
      <c r="I4283" s="22" t="str">
        <f>VLOOKUP(J4283, Dropdowns!N:O, 2, FALSE)</f>
        <v>Standard</v>
      </c>
      <c r="J4283" t="s">
        <v>760</v>
      </c>
      <c r="L4283" s="17" t="s">
        <v>732</v>
      </c>
      <c r="M4283" s="17" t="s">
        <v>10</v>
      </c>
      <c r="N4283" s="17">
        <v>2</v>
      </c>
    </row>
    <row r="4284" spans="1:14" x14ac:dyDescent="0.25">
      <c r="A4284" s="8">
        <v>988532</v>
      </c>
      <c r="B4284" s="22" t="str">
        <f>IFERROR(VLOOKUP(A4284,VLOOKUPS!$A$2:B$12589,2,FALSE),"")</f>
        <v>Broccoli* Crown 1lb-LOOSE</v>
      </c>
      <c r="E4284">
        <v>2.79</v>
      </c>
      <c r="F4284">
        <v>1.81</v>
      </c>
      <c r="G4284" s="13">
        <v>44692</v>
      </c>
      <c r="H4284" s="13">
        <v>44693</v>
      </c>
      <c r="I4284" s="22" t="str">
        <f>VLOOKUP(J4284, Dropdowns!N:O, 2, FALSE)</f>
        <v>Lower Price</v>
      </c>
      <c r="J4284" t="s">
        <v>759</v>
      </c>
      <c r="L4284" s="17" t="s">
        <v>732</v>
      </c>
      <c r="M4284" s="17" t="s">
        <v>736</v>
      </c>
      <c r="N4284" s="17" t="s">
        <v>736</v>
      </c>
    </row>
    <row r="4285" spans="1:14" x14ac:dyDescent="0.25">
      <c r="A4285" s="8">
        <v>988532</v>
      </c>
      <c r="B4285" s="22" t="str">
        <f>IFERROR(VLOOKUP(A4285,VLOOKUPS!$A$2:B$12589,2,FALSE),"")</f>
        <v>Broccoli* Crown 1lb-LOOSE</v>
      </c>
      <c r="E4285">
        <v>1.81</v>
      </c>
      <c r="F4285">
        <v>2.79</v>
      </c>
      <c r="G4285" s="13">
        <v>44694</v>
      </c>
      <c r="H4285" s="13"/>
      <c r="I4285" s="22" t="str">
        <f>VLOOKUP(J4285, Dropdowns!N:O, 2, FALSE)</f>
        <v>Standard</v>
      </c>
      <c r="J4285" t="s">
        <v>760</v>
      </c>
      <c r="L4285" s="17" t="s">
        <v>732</v>
      </c>
      <c r="M4285" s="17" t="s">
        <v>736</v>
      </c>
      <c r="N4285" s="17" t="s">
        <v>736</v>
      </c>
    </row>
    <row r="4286" spans="1:14" x14ac:dyDescent="0.25">
      <c r="A4286" s="8">
        <v>984620</v>
      </c>
      <c r="B4286" s="22" t="str">
        <f>IFERROR(VLOOKUP(A4286,VLOOKUPS!$A$2:B$12589,2,FALSE),"")</f>
        <v>Raspberries 6oz-standard</v>
      </c>
      <c r="E4286">
        <v>1.99</v>
      </c>
      <c r="F4286">
        <v>2.98</v>
      </c>
      <c r="G4286" s="13">
        <v>44692</v>
      </c>
      <c r="H4286" s="13"/>
      <c r="I4286" s="22" t="str">
        <f>VLOOKUP(J4286, Dropdowns!N:O, 2, FALSE)</f>
        <v>Standard</v>
      </c>
      <c r="J4286" t="s">
        <v>760</v>
      </c>
      <c r="L4286" s="17" t="s">
        <v>732</v>
      </c>
      <c r="M4286" s="17" t="s">
        <v>738</v>
      </c>
      <c r="N4286" s="17">
        <v>2</v>
      </c>
    </row>
    <row r="4287" spans="1:14" x14ac:dyDescent="0.25">
      <c r="A4287" s="8">
        <v>988620</v>
      </c>
      <c r="B4287" s="22" t="str">
        <f>IFERROR(VLOOKUP(A4287,VLOOKUPS!$A$2:B$12589,2,FALSE),"")</f>
        <v>Brussels Sprouts 1lb-standard</v>
      </c>
      <c r="E4287">
        <v>1.39</v>
      </c>
      <c r="F4287">
        <v>2.98</v>
      </c>
      <c r="G4287" s="13">
        <v>44692</v>
      </c>
      <c r="H4287" s="13"/>
      <c r="I4287" s="22" t="str">
        <f>VLOOKUP(J4287, Dropdowns!N:O, 2, FALSE)</f>
        <v>Standard</v>
      </c>
      <c r="J4287" t="s">
        <v>760</v>
      </c>
      <c r="L4287" s="17" t="s">
        <v>732</v>
      </c>
      <c r="M4287" s="17" t="s">
        <v>10</v>
      </c>
      <c r="N4287" s="17">
        <v>2</v>
      </c>
    </row>
    <row r="4288" spans="1:14" x14ac:dyDescent="0.25">
      <c r="A4288" s="8">
        <v>988620</v>
      </c>
      <c r="B4288" s="22" t="str">
        <f>IFERROR(VLOOKUP(A4288,VLOOKUPS!$A$2:B$12589,2,FALSE),"")</f>
        <v>Brussels Sprouts 1lb-standard</v>
      </c>
      <c r="G4288" s="13">
        <v>44692</v>
      </c>
      <c r="H4288" s="13">
        <v>44692</v>
      </c>
      <c r="I4288" s="22" t="str">
        <f>VLOOKUP(J4288, Dropdowns!N:O, 2, FALSE)</f>
        <v>Lower Price</v>
      </c>
      <c r="J4288" t="s">
        <v>1081</v>
      </c>
      <c r="L4288" s="17" t="s">
        <v>732</v>
      </c>
      <c r="M4288" s="17" t="s">
        <v>9</v>
      </c>
      <c r="N4288" s="17" t="s">
        <v>736</v>
      </c>
    </row>
    <row r="4289" spans="1:17" x14ac:dyDescent="0.25">
      <c r="A4289" s="8">
        <v>988620</v>
      </c>
      <c r="B4289" s="22" t="str">
        <f>IFERROR(VLOOKUP(A4289,VLOOKUPS!$A$2:B$12589,2,FALSE),"")</f>
        <v>Brussels Sprouts 1lb-standard</v>
      </c>
      <c r="G4289" s="13">
        <v>44692</v>
      </c>
      <c r="H4289" s="13">
        <v>44694</v>
      </c>
      <c r="I4289" s="22" t="str">
        <f>VLOOKUP(J4289, Dropdowns!N:O, 2, FALSE)</f>
        <v>Lower Price</v>
      </c>
      <c r="J4289" t="s">
        <v>1081</v>
      </c>
      <c r="L4289" s="17" t="s">
        <v>733</v>
      </c>
      <c r="M4289" s="17" t="s">
        <v>11</v>
      </c>
      <c r="N4289" s="17" t="s">
        <v>740</v>
      </c>
    </row>
    <row r="4290" spans="1:17" x14ac:dyDescent="0.25">
      <c r="A4290" s="8">
        <v>984460</v>
      </c>
      <c r="B4290" s="22" t="str">
        <f>IFERROR(VLOOKUP(A4290,VLOOKUPS!$A$2:B$12589,2,FALSE),"")</f>
        <v>Strawberries 1lb-standard</v>
      </c>
      <c r="G4290" s="13">
        <v>44692</v>
      </c>
      <c r="H4290" s="13">
        <v>44693</v>
      </c>
      <c r="I4290" s="22" t="str">
        <f>VLOOKUP(J4290, Dropdowns!N:O, 2, FALSE)</f>
        <v>Lower Price</v>
      </c>
      <c r="J4290" t="s">
        <v>1081</v>
      </c>
      <c r="L4290" s="17" t="s">
        <v>732</v>
      </c>
      <c r="M4290" s="17" t="s">
        <v>737</v>
      </c>
      <c r="N4290" s="17" t="s">
        <v>736</v>
      </c>
    </row>
    <row r="4291" spans="1:17" x14ac:dyDescent="0.25">
      <c r="A4291" s="8">
        <v>984460</v>
      </c>
      <c r="B4291" s="22" t="str">
        <f>IFERROR(VLOOKUP(A4291,VLOOKUPS!$A$2:B$12589,2,FALSE),"")</f>
        <v>Strawberries 1lb-standard</v>
      </c>
      <c r="G4291" s="13">
        <v>44692</v>
      </c>
      <c r="H4291" s="13">
        <v>44692</v>
      </c>
      <c r="I4291" s="22" t="str">
        <f>VLOOKUP(J4291, Dropdowns!N:O, 2, FALSE)</f>
        <v>Lower Price</v>
      </c>
      <c r="J4291" t="s">
        <v>1081</v>
      </c>
      <c r="L4291" s="17" t="s">
        <v>732</v>
      </c>
      <c r="M4291" s="17" t="s">
        <v>10</v>
      </c>
      <c r="N4291" s="17">
        <v>2</v>
      </c>
    </row>
    <row r="4292" spans="1:17" x14ac:dyDescent="0.25">
      <c r="A4292" s="8">
        <v>984700</v>
      </c>
      <c r="B4292" s="22" t="str">
        <f>IFERROR(VLOOKUP(A4292,VLOOKUPS!$A$2:B$12589,2,FALSE),"")</f>
        <v>Blackberries 6oz-standard</v>
      </c>
      <c r="G4292" s="13">
        <v>44692</v>
      </c>
      <c r="H4292" s="13">
        <v>44698</v>
      </c>
      <c r="I4292" s="22" t="str">
        <f>VLOOKUP(J4292, Dropdowns!N:O, 2, FALSE)</f>
        <v>Lower Price</v>
      </c>
      <c r="J4292" t="s">
        <v>753</v>
      </c>
      <c r="L4292" s="17" t="s">
        <v>732</v>
      </c>
      <c r="M4292" s="17" t="s">
        <v>736</v>
      </c>
      <c r="N4292" s="17" t="s">
        <v>736</v>
      </c>
    </row>
    <row r="4293" spans="1:17" x14ac:dyDescent="0.25">
      <c r="A4293" s="8">
        <v>995186</v>
      </c>
      <c r="B4293" s="22" t="str">
        <f>IFERROR(VLOOKUP(A4293,VLOOKUPS!$A$2:B$12589,2,FALSE),"")</f>
        <v>Organic Carrots and Ranch 5oz-standard</v>
      </c>
      <c r="E4293">
        <v>2.99</v>
      </c>
      <c r="F4293">
        <v>1.94</v>
      </c>
      <c r="G4293" s="13">
        <v>44692</v>
      </c>
      <c r="H4293" s="13">
        <v>44694</v>
      </c>
      <c r="I4293" s="22" t="str">
        <f>VLOOKUP(J4293, Dropdowns!N:O, 2, FALSE)</f>
        <v>Lower Price</v>
      </c>
      <c r="J4293" t="s">
        <v>759</v>
      </c>
      <c r="L4293" s="17" t="s">
        <v>732</v>
      </c>
      <c r="M4293" s="17" t="s">
        <v>736</v>
      </c>
      <c r="N4293" s="17" t="s">
        <v>736</v>
      </c>
    </row>
    <row r="4294" spans="1:17" x14ac:dyDescent="0.25">
      <c r="A4294" s="8">
        <v>995186</v>
      </c>
      <c r="B4294" s="22" t="str">
        <f>IFERROR(VLOOKUP(A4294,VLOOKUPS!$A$2:B$12589,2,FALSE),"")</f>
        <v>Organic Carrots and Ranch 5oz-standard</v>
      </c>
      <c r="E4294">
        <v>1.94</v>
      </c>
      <c r="F4294">
        <v>2.99</v>
      </c>
      <c r="G4294" s="13">
        <v>44695</v>
      </c>
      <c r="H4294" s="13"/>
      <c r="I4294" s="22" t="str">
        <f>VLOOKUP(J4294, Dropdowns!N:O, 2, FALSE)</f>
        <v>Standard</v>
      </c>
      <c r="J4294" t="s">
        <v>760</v>
      </c>
      <c r="L4294" s="17" t="s">
        <v>732</v>
      </c>
      <c r="M4294" s="17" t="s">
        <v>736</v>
      </c>
      <c r="N4294" s="17" t="s">
        <v>736</v>
      </c>
    </row>
    <row r="4295" spans="1:17" x14ac:dyDescent="0.25">
      <c r="A4295" s="8">
        <v>995187</v>
      </c>
      <c r="B4295" s="22" t="str">
        <f>IFERROR(VLOOKUP(A4295,VLOOKUPS!$A$2:B$12589,2,FALSE),"")</f>
        <v>Organic Carrots and Guacamole 5oz-standard</v>
      </c>
      <c r="E4295">
        <v>2.99</v>
      </c>
      <c r="F4295">
        <v>1.94</v>
      </c>
      <c r="G4295" s="13">
        <v>44692</v>
      </c>
      <c r="H4295" s="13">
        <v>44694</v>
      </c>
      <c r="I4295" s="22" t="str">
        <f>VLOOKUP(J4295, Dropdowns!N:O, 2, FALSE)</f>
        <v>Lower Price</v>
      </c>
      <c r="J4295" t="s">
        <v>759</v>
      </c>
      <c r="L4295" s="17" t="s">
        <v>732</v>
      </c>
      <c r="M4295" s="17" t="s">
        <v>736</v>
      </c>
      <c r="N4295" s="17" t="s">
        <v>736</v>
      </c>
    </row>
    <row r="4296" spans="1:17" x14ac:dyDescent="0.25">
      <c r="A4296" s="8">
        <v>995187</v>
      </c>
      <c r="B4296" s="22" t="str">
        <f>IFERROR(VLOOKUP(A4296,VLOOKUPS!$A$2:B$12589,2,FALSE),"")</f>
        <v>Organic Carrots and Guacamole 5oz-standard</v>
      </c>
      <c r="E4296">
        <v>1.94</v>
      </c>
      <c r="F4296">
        <v>2.99</v>
      </c>
      <c r="G4296" s="13">
        <v>44695</v>
      </c>
      <c r="H4296" s="13"/>
      <c r="I4296" s="22" t="str">
        <f>VLOOKUP(J4296, Dropdowns!N:O, 2, FALSE)</f>
        <v>Standard</v>
      </c>
      <c r="J4296" t="s">
        <v>760</v>
      </c>
      <c r="L4296" s="17" t="s">
        <v>732</v>
      </c>
      <c r="M4296" s="17" t="s">
        <v>736</v>
      </c>
      <c r="N4296" s="17" t="s">
        <v>736</v>
      </c>
    </row>
    <row r="4297" spans="1:17" x14ac:dyDescent="0.25">
      <c r="A4297" s="8">
        <v>984702</v>
      </c>
      <c r="B4297" s="22" t="str">
        <f>IFERROR(VLOOKUP(A4297,VLOOKUPS!$A$2:B$12589,2,FALSE),"")</f>
        <v>Blackberries 12oz-standard</v>
      </c>
      <c r="D4297">
        <v>8</v>
      </c>
      <c r="F4297">
        <v>4.1399999999999997</v>
      </c>
      <c r="G4297" s="13">
        <v>44693</v>
      </c>
      <c r="H4297" s="13"/>
      <c r="I4297" s="22" t="str">
        <f>VLOOKUP(J4297, Dropdowns!N:O, 2, FALSE)</f>
        <v>New</v>
      </c>
      <c r="J4297" t="s">
        <v>776</v>
      </c>
      <c r="L4297" s="17" t="s">
        <v>732</v>
      </c>
      <c r="M4297" s="17" t="s">
        <v>736</v>
      </c>
      <c r="N4297" s="17" t="s">
        <v>736</v>
      </c>
      <c r="O4297" s="17" t="s">
        <v>748</v>
      </c>
      <c r="P4297">
        <v>1</v>
      </c>
      <c r="Q4297" s="17" t="s">
        <v>1035</v>
      </c>
    </row>
    <row r="4298" spans="1:17" x14ac:dyDescent="0.25">
      <c r="A4298" s="8">
        <v>995051</v>
      </c>
      <c r="B4298" s="22" t="str">
        <f>IFERROR(VLOOKUP(A4298,VLOOKUPS!$A$2:B$12589,2,FALSE),"")</f>
        <v>Mild Fresh Chopped Salsa 16oz-standard</v>
      </c>
      <c r="E4298">
        <v>5.59</v>
      </c>
      <c r="F4298">
        <v>3.64</v>
      </c>
      <c r="G4298" s="13">
        <v>44693</v>
      </c>
      <c r="H4298" s="13">
        <v>44694</v>
      </c>
      <c r="I4298" s="22" t="str">
        <f>VLOOKUP(J4298, Dropdowns!N:O, 2, FALSE)</f>
        <v>Lower Price</v>
      </c>
      <c r="J4298" t="s">
        <v>759</v>
      </c>
      <c r="L4298" s="17" t="s">
        <v>733</v>
      </c>
      <c r="M4298" s="17" t="s">
        <v>11</v>
      </c>
      <c r="N4298" s="17" t="s">
        <v>740</v>
      </c>
    </row>
    <row r="4299" spans="1:17" x14ac:dyDescent="0.25">
      <c r="A4299" s="8">
        <v>995051</v>
      </c>
      <c r="B4299" s="22" t="str">
        <f>IFERROR(VLOOKUP(A4299,VLOOKUPS!$A$2:B$12589,2,FALSE),"")</f>
        <v>Mild Fresh Chopped Salsa 16oz-standard</v>
      </c>
      <c r="E4299">
        <v>3.64</v>
      </c>
      <c r="F4299">
        <v>5.59</v>
      </c>
      <c r="G4299" s="13">
        <v>44695</v>
      </c>
      <c r="H4299" s="13"/>
      <c r="I4299" s="22" t="str">
        <f>VLOOKUP(J4299, Dropdowns!N:O, 2, FALSE)</f>
        <v>Standard</v>
      </c>
      <c r="J4299" t="s">
        <v>760</v>
      </c>
      <c r="L4299" s="17" t="s">
        <v>733</v>
      </c>
      <c r="M4299" s="17" t="s">
        <v>11</v>
      </c>
      <c r="N4299" s="17" t="s">
        <v>740</v>
      </c>
    </row>
    <row r="4300" spans="1:17" x14ac:dyDescent="0.25">
      <c r="A4300" s="8">
        <v>995141</v>
      </c>
      <c r="B4300" s="22" t="str">
        <f>IFERROR(VLOOKUP(A4300,VLOOKUPS!$A$2:B$12589,2,FALSE),"")</f>
        <v>Watermelon Chunks 32oz-standard</v>
      </c>
      <c r="E4300">
        <v>7.97</v>
      </c>
      <c r="F4300">
        <v>5.18</v>
      </c>
      <c r="G4300" s="13">
        <v>44693</v>
      </c>
      <c r="H4300" s="13">
        <v>44694</v>
      </c>
      <c r="I4300" s="22" t="str">
        <f>VLOOKUP(J4300, Dropdowns!N:O, 2, FALSE)</f>
        <v>Lower Price</v>
      </c>
      <c r="J4300" t="s">
        <v>759</v>
      </c>
      <c r="L4300" s="17" t="s">
        <v>733</v>
      </c>
      <c r="M4300" s="17" t="s">
        <v>11</v>
      </c>
      <c r="N4300" s="17" t="s">
        <v>740</v>
      </c>
    </row>
    <row r="4301" spans="1:17" x14ac:dyDescent="0.25">
      <c r="A4301" s="8">
        <v>995141</v>
      </c>
      <c r="B4301" s="22" t="str">
        <f>IFERROR(VLOOKUP(A4301,VLOOKUPS!$A$2:B$12589,2,FALSE),"")</f>
        <v>Watermelon Chunks 32oz-standard</v>
      </c>
      <c r="E4301">
        <v>5.18</v>
      </c>
      <c r="F4301">
        <v>7.97</v>
      </c>
      <c r="G4301" s="13">
        <v>44695</v>
      </c>
      <c r="H4301" s="13"/>
      <c r="I4301" s="22" t="str">
        <f>VLOOKUP(J4301, Dropdowns!N:O, 2, FALSE)</f>
        <v>Standard</v>
      </c>
      <c r="J4301" t="s">
        <v>760</v>
      </c>
      <c r="L4301" s="17" t="s">
        <v>733</v>
      </c>
      <c r="M4301" s="17" t="s">
        <v>11</v>
      </c>
      <c r="N4301" s="17" t="s">
        <v>740</v>
      </c>
    </row>
    <row r="4302" spans="1:17" x14ac:dyDescent="0.25">
      <c r="A4302" s="8">
        <v>995185</v>
      </c>
      <c r="B4302" s="22" t="str">
        <f>IFERROR(VLOOKUP(A4302,VLOOKUPS!$A$2:B$12589,2,FALSE),"")</f>
        <v>Organic Crisp Romaine 4oz-standard</v>
      </c>
      <c r="D4302">
        <v>6</v>
      </c>
      <c r="F4302">
        <v>2.98</v>
      </c>
      <c r="G4302" s="13">
        <v>44693</v>
      </c>
      <c r="H4302" s="13"/>
      <c r="I4302" s="22" t="str">
        <f>VLOOKUP(J4302, Dropdowns!N:O, 2, FALSE)</f>
        <v>New</v>
      </c>
      <c r="J4302" t="s">
        <v>776</v>
      </c>
      <c r="L4302" s="17" t="s">
        <v>732</v>
      </c>
      <c r="M4302" s="17" t="s">
        <v>738</v>
      </c>
      <c r="N4302" s="17">
        <v>2</v>
      </c>
      <c r="O4302" s="17" t="s">
        <v>748</v>
      </c>
      <c r="P4302">
        <v>1</v>
      </c>
      <c r="Q4302" s="17" t="s">
        <v>1044</v>
      </c>
    </row>
    <row r="4303" spans="1:17" x14ac:dyDescent="0.25">
      <c r="A4303" s="8">
        <v>995185</v>
      </c>
      <c r="B4303" s="22" t="str">
        <f>IFERROR(VLOOKUP(A4303,VLOOKUPS!$A$2:B$12589,2,FALSE),"")</f>
        <v>Organic Crisp Romaine 4oz-standard</v>
      </c>
      <c r="D4303">
        <v>6</v>
      </c>
      <c r="F4303">
        <v>2.98</v>
      </c>
      <c r="G4303" s="13">
        <v>44694</v>
      </c>
      <c r="H4303" s="13"/>
      <c r="I4303" s="22" t="str">
        <f>VLOOKUP(J4303, Dropdowns!N:O, 2, FALSE)</f>
        <v>New</v>
      </c>
      <c r="J4303" t="s">
        <v>776</v>
      </c>
      <c r="L4303" s="17" t="s">
        <v>732</v>
      </c>
      <c r="M4303" s="17" t="s">
        <v>9</v>
      </c>
      <c r="N4303" s="17" t="s">
        <v>736</v>
      </c>
      <c r="O4303" s="17" t="s">
        <v>748</v>
      </c>
      <c r="P4303">
        <v>1</v>
      </c>
      <c r="Q4303" s="17" t="s">
        <v>1044</v>
      </c>
    </row>
    <row r="4304" spans="1:17" x14ac:dyDescent="0.25">
      <c r="A4304" s="8">
        <v>988620</v>
      </c>
      <c r="B4304" s="22" t="str">
        <f>IFERROR(VLOOKUP(A4304,VLOOKUPS!$A$2:B$12589,2,FALSE),"")</f>
        <v>Brussels Sprouts 1lb-standard</v>
      </c>
      <c r="E4304">
        <v>1.39</v>
      </c>
      <c r="F4304">
        <v>2.98</v>
      </c>
      <c r="G4304" s="13">
        <v>44693</v>
      </c>
      <c r="H4304" s="13"/>
      <c r="I4304" s="22" t="str">
        <f>VLOOKUP(J4304, Dropdowns!N:O, 2, FALSE)</f>
        <v>Standard</v>
      </c>
      <c r="J4304" t="s">
        <v>760</v>
      </c>
      <c r="L4304" s="17" t="s">
        <v>732</v>
      </c>
      <c r="M4304" s="17" t="s">
        <v>9</v>
      </c>
      <c r="N4304" s="17" t="s">
        <v>736</v>
      </c>
    </row>
    <row r="4305" spans="1:14" x14ac:dyDescent="0.25">
      <c r="A4305" s="8">
        <v>984460</v>
      </c>
      <c r="B4305" s="22" t="str">
        <f>IFERROR(VLOOKUP(A4305,VLOOKUPS!$A$2:B$12589,2,FALSE),"")</f>
        <v>Strawberries 1lb-standard</v>
      </c>
      <c r="E4305">
        <v>1.89</v>
      </c>
      <c r="F4305">
        <v>2.58</v>
      </c>
      <c r="G4305" s="13">
        <v>44693</v>
      </c>
      <c r="H4305" s="13"/>
      <c r="I4305" s="22" t="str">
        <f>VLOOKUP(J4305, Dropdowns!N:O, 2, FALSE)</f>
        <v>Standard</v>
      </c>
      <c r="J4305" t="s">
        <v>760</v>
      </c>
      <c r="L4305" s="17" t="s">
        <v>732</v>
      </c>
      <c r="M4305" s="17" t="s">
        <v>10</v>
      </c>
      <c r="N4305" s="17">
        <v>2</v>
      </c>
    </row>
    <row r="4306" spans="1:14" x14ac:dyDescent="0.25">
      <c r="A4306" s="8">
        <v>982650</v>
      </c>
      <c r="B4306" s="22" t="str">
        <f>IFERROR(VLOOKUP(A4306,VLOOKUPS!$A$2:B$12589,2,FALSE),"")</f>
        <v>Grapes* Green Seedless 1lb-LOOSE</v>
      </c>
      <c r="E4306">
        <v>2.59</v>
      </c>
      <c r="F4306">
        <v>1.29</v>
      </c>
      <c r="G4306" s="13">
        <v>44693</v>
      </c>
      <c r="H4306" s="13">
        <v>44694</v>
      </c>
      <c r="I4306" s="22" t="str">
        <f>VLOOKUP(J4306, Dropdowns!N:O, 2, FALSE)</f>
        <v>Lower Price</v>
      </c>
      <c r="J4306" t="s">
        <v>759</v>
      </c>
      <c r="L4306" s="17" t="s">
        <v>732</v>
      </c>
      <c r="M4306" s="17" t="s">
        <v>9</v>
      </c>
      <c r="N4306" s="17" t="s">
        <v>736</v>
      </c>
    </row>
    <row r="4307" spans="1:14" x14ac:dyDescent="0.25">
      <c r="A4307" s="8">
        <v>982650</v>
      </c>
      <c r="B4307" s="22" t="str">
        <f>IFERROR(VLOOKUP(A4307,VLOOKUPS!$A$2:B$12589,2,FALSE),"")</f>
        <v>Grapes* Green Seedless 1lb-LOOSE</v>
      </c>
      <c r="E4307">
        <v>1.29</v>
      </c>
      <c r="F4307">
        <v>1.59</v>
      </c>
      <c r="G4307" s="13">
        <v>44695</v>
      </c>
      <c r="H4307" s="13"/>
      <c r="I4307" s="22" t="str">
        <f>VLOOKUP(J4307, Dropdowns!N:O, 2, FALSE)</f>
        <v>Standard</v>
      </c>
      <c r="J4307" t="s">
        <v>760</v>
      </c>
      <c r="L4307" s="17" t="s">
        <v>732</v>
      </c>
      <c r="M4307" s="17" t="s">
        <v>9</v>
      </c>
      <c r="N4307" s="17" t="s">
        <v>736</v>
      </c>
    </row>
    <row r="4308" spans="1:14" x14ac:dyDescent="0.25">
      <c r="A4308" s="8">
        <v>985990</v>
      </c>
      <c r="B4308" s="22" t="str">
        <f>IFERROR(VLOOKUP(A4308,VLOOKUPS!$A$2:B$12589,2,FALSE),"")</f>
        <v>Ginger* 1lb-LOOSE</v>
      </c>
      <c r="E4308">
        <v>2.98</v>
      </c>
      <c r="F4308">
        <v>1.94</v>
      </c>
      <c r="G4308" s="13">
        <v>44693</v>
      </c>
      <c r="H4308" s="13">
        <v>44694</v>
      </c>
      <c r="I4308" s="22" t="str">
        <f>VLOOKUP(J4308, Dropdowns!N:O, 2, FALSE)</f>
        <v>Lower Price</v>
      </c>
      <c r="J4308" t="s">
        <v>759</v>
      </c>
      <c r="L4308" s="17" t="s">
        <v>733</v>
      </c>
      <c r="M4308" s="17" t="s">
        <v>9</v>
      </c>
      <c r="N4308" s="17" t="s">
        <v>740</v>
      </c>
    </row>
    <row r="4309" spans="1:14" x14ac:dyDescent="0.25">
      <c r="A4309" s="8">
        <v>985990</v>
      </c>
      <c r="B4309" s="22" t="str">
        <f>IFERROR(VLOOKUP(A4309,VLOOKUPS!$A$2:B$12589,2,FALSE),"")</f>
        <v>Ginger* 1lb-LOOSE</v>
      </c>
      <c r="E4309">
        <v>1.94</v>
      </c>
      <c r="F4309">
        <v>2.98</v>
      </c>
      <c r="G4309" s="13">
        <v>44695</v>
      </c>
      <c r="H4309" s="13"/>
      <c r="I4309" s="22" t="str">
        <f>VLOOKUP(J4309, Dropdowns!N:O, 2, FALSE)</f>
        <v>Standard</v>
      </c>
      <c r="J4309" t="s">
        <v>760</v>
      </c>
      <c r="L4309" s="17" t="s">
        <v>733</v>
      </c>
      <c r="M4309" s="17" t="s">
        <v>9</v>
      </c>
      <c r="N4309" s="17" t="s">
        <v>740</v>
      </c>
    </row>
    <row r="4310" spans="1:14" x14ac:dyDescent="0.25">
      <c r="A4310" s="8">
        <v>985990</v>
      </c>
      <c r="B4310" s="22" t="str">
        <f>IFERROR(VLOOKUP(A4310,VLOOKUPS!$A$2:B$12589,2,FALSE),"")</f>
        <v>Ginger* 1lb-LOOSE</v>
      </c>
      <c r="E4310">
        <v>2.99</v>
      </c>
      <c r="F4310">
        <v>1.94</v>
      </c>
      <c r="G4310" s="13">
        <v>44693</v>
      </c>
      <c r="H4310" s="13">
        <v>44694</v>
      </c>
      <c r="I4310" s="22" t="str">
        <f>VLOOKUP(J4310, Dropdowns!N:O, 2, FALSE)</f>
        <v>Lower Price</v>
      </c>
      <c r="J4310" t="s">
        <v>759</v>
      </c>
      <c r="L4310" s="17" t="s">
        <v>734</v>
      </c>
      <c r="M4310" s="17" t="s">
        <v>9</v>
      </c>
      <c r="N4310" s="17" t="s">
        <v>736</v>
      </c>
    </row>
    <row r="4311" spans="1:14" x14ac:dyDescent="0.25">
      <c r="A4311" s="8">
        <v>985990</v>
      </c>
      <c r="B4311" s="22" t="str">
        <f>IFERROR(VLOOKUP(A4311,VLOOKUPS!$A$2:B$12589,2,FALSE),"")</f>
        <v>Ginger* 1lb-LOOSE</v>
      </c>
      <c r="E4311">
        <v>1.94</v>
      </c>
      <c r="F4311">
        <v>2.99</v>
      </c>
      <c r="G4311" s="13">
        <v>44695</v>
      </c>
      <c r="H4311" s="13"/>
      <c r="I4311" s="22" t="str">
        <f>VLOOKUP(J4311, Dropdowns!N:O, 2, FALSE)</f>
        <v>Standard</v>
      </c>
      <c r="J4311" t="s">
        <v>760</v>
      </c>
      <c r="L4311" s="17" t="s">
        <v>734</v>
      </c>
      <c r="M4311" s="17" t="s">
        <v>9</v>
      </c>
      <c r="N4311" s="17" t="s">
        <v>736</v>
      </c>
    </row>
    <row r="4312" spans="1:14" x14ac:dyDescent="0.25">
      <c r="A4312" s="8">
        <v>989084</v>
      </c>
      <c r="B4312" s="22" t="str">
        <f>IFERROR(VLOOKUP(A4312,VLOOKUPS!$A$2:B$12589,2,FALSE),"")</f>
        <v>Basil 2oz-standard</v>
      </c>
      <c r="D4312">
        <v>9</v>
      </c>
      <c r="F4312">
        <v>2.99</v>
      </c>
      <c r="G4312" s="13">
        <v>44693</v>
      </c>
      <c r="H4312" s="13"/>
      <c r="I4312" s="22" t="str">
        <f>VLOOKUP(J4312, Dropdowns!N:O, 2, FALSE)</f>
        <v>New</v>
      </c>
      <c r="J4312" t="s">
        <v>776</v>
      </c>
      <c r="L4312" s="17" t="s">
        <v>732</v>
      </c>
      <c r="M4312" s="17" t="s">
        <v>738</v>
      </c>
      <c r="N4312" s="17">
        <v>2</v>
      </c>
    </row>
    <row r="4313" spans="1:14" x14ac:dyDescent="0.25">
      <c r="A4313" s="8">
        <v>984542</v>
      </c>
      <c r="B4313" s="22" t="str">
        <f>IFERROR(VLOOKUP(A4313,VLOOKUPS!$A$2:B$12589,2,FALSE),"")</f>
        <v>Blueberries 18oz-standard</v>
      </c>
      <c r="E4313">
        <v>5.28</v>
      </c>
      <c r="F4313">
        <v>3.43</v>
      </c>
      <c r="G4313" s="13">
        <v>44694</v>
      </c>
      <c r="H4313" s="13">
        <v>44695</v>
      </c>
      <c r="I4313" s="22" t="str">
        <f>VLOOKUP(J4313, Dropdowns!N:O, 2, FALSE)</f>
        <v>Lower Price</v>
      </c>
      <c r="J4313" t="s">
        <v>759</v>
      </c>
      <c r="L4313" s="17" t="s">
        <v>732</v>
      </c>
      <c r="M4313" s="17" t="s">
        <v>9</v>
      </c>
      <c r="N4313" s="17" t="s">
        <v>736</v>
      </c>
    </row>
    <row r="4314" spans="1:14" x14ac:dyDescent="0.25">
      <c r="A4314" s="8">
        <v>984542</v>
      </c>
      <c r="B4314" s="22" t="str">
        <f>IFERROR(VLOOKUP(A4314,VLOOKUPS!$A$2:B$12589,2,FALSE),"")</f>
        <v>Blueberries 18oz-standard</v>
      </c>
      <c r="E4314">
        <v>3.43</v>
      </c>
      <c r="F4314">
        <v>5.28</v>
      </c>
      <c r="G4314" s="13">
        <v>44696</v>
      </c>
      <c r="H4314" s="13"/>
      <c r="I4314" s="22" t="str">
        <f>VLOOKUP(J4314, Dropdowns!N:O, 2, FALSE)</f>
        <v>Standard</v>
      </c>
      <c r="J4314" t="s">
        <v>760</v>
      </c>
      <c r="L4314" s="17" t="s">
        <v>732</v>
      </c>
      <c r="M4314" s="17" t="s">
        <v>9</v>
      </c>
      <c r="N4314" s="17" t="s">
        <v>736</v>
      </c>
    </row>
    <row r="4315" spans="1:14" x14ac:dyDescent="0.25">
      <c r="A4315" s="8">
        <v>984460</v>
      </c>
      <c r="B4315" s="22" t="str">
        <f>IFERROR(VLOOKUP(A4315,VLOOKUPS!$A$2:B$12589,2,FALSE),"")</f>
        <v>Strawberries 1lb-standard</v>
      </c>
      <c r="E4315">
        <v>1.89</v>
      </c>
      <c r="F4315">
        <v>2.58</v>
      </c>
      <c r="G4315" s="13">
        <v>44694</v>
      </c>
      <c r="H4315" s="13"/>
      <c r="I4315" s="22" t="str">
        <f>VLOOKUP(J4315, Dropdowns!N:O, 2, FALSE)</f>
        <v>Standard</v>
      </c>
      <c r="J4315" t="s">
        <v>760</v>
      </c>
      <c r="L4315" s="17" t="s">
        <v>732</v>
      </c>
      <c r="M4315" s="17" t="s">
        <v>9</v>
      </c>
      <c r="N4315" s="17" t="s">
        <v>736</v>
      </c>
    </row>
    <row r="4316" spans="1:14" x14ac:dyDescent="0.25">
      <c r="A4316" s="8">
        <v>984460</v>
      </c>
      <c r="B4316" s="22" t="str">
        <f>IFERROR(VLOOKUP(A4316,VLOOKUPS!$A$2:B$12589,2,FALSE),"")</f>
        <v>Strawberries 1lb-standard</v>
      </c>
      <c r="G4316" s="13">
        <v>44694</v>
      </c>
      <c r="H4316" s="13">
        <v>44695</v>
      </c>
      <c r="I4316" s="22" t="str">
        <f>VLOOKUP(J4316, Dropdowns!N:O, 2, FALSE)</f>
        <v>Lower Price</v>
      </c>
      <c r="J4316" t="s">
        <v>762</v>
      </c>
      <c r="L4316" s="17" t="s">
        <v>733</v>
      </c>
      <c r="M4316" s="17" t="s">
        <v>11</v>
      </c>
      <c r="N4316" s="17" t="s">
        <v>740</v>
      </c>
    </row>
    <row r="4317" spans="1:14" x14ac:dyDescent="0.25">
      <c r="A4317" s="8">
        <v>995134</v>
      </c>
      <c r="B4317" s="22" t="str">
        <f>IFERROR(VLOOKUP(A4317,VLOOKUPS!$A$2:B$12589,2,FALSE),"")</f>
        <v>Mirepoix 10oz-standard</v>
      </c>
      <c r="E4317">
        <v>2.62</v>
      </c>
      <c r="F4317">
        <v>2.58</v>
      </c>
      <c r="G4317" s="13">
        <v>44694</v>
      </c>
      <c r="H4317" s="13"/>
      <c r="I4317" s="22" t="str">
        <f>VLOOKUP(J4317, Dropdowns!N:O, 2, FALSE)</f>
        <v>Standard</v>
      </c>
      <c r="J4317" t="s">
        <v>761</v>
      </c>
      <c r="L4317" s="17" t="s">
        <v>732</v>
      </c>
      <c r="M4317" s="17" t="s">
        <v>736</v>
      </c>
      <c r="N4317" s="17" t="s">
        <v>736</v>
      </c>
    </row>
    <row r="4318" spans="1:14" x14ac:dyDescent="0.25">
      <c r="A4318" s="8">
        <v>995051</v>
      </c>
      <c r="B4318" s="22" t="str">
        <f>IFERROR(VLOOKUP(A4318,VLOOKUPS!$A$2:B$12589,2,FALSE),"")</f>
        <v>Mild Fresh Chopped Salsa 16oz-standard</v>
      </c>
      <c r="E4318">
        <v>4.99</v>
      </c>
      <c r="F4318">
        <v>5.59</v>
      </c>
      <c r="G4318" s="13">
        <v>44694</v>
      </c>
      <c r="H4318" s="13"/>
      <c r="I4318" s="22" t="str">
        <f>VLOOKUP(J4318, Dropdowns!N:O, 2, FALSE)</f>
        <v>Standard</v>
      </c>
      <c r="J4318" t="s">
        <v>761</v>
      </c>
      <c r="L4318" s="17" t="s">
        <v>734</v>
      </c>
      <c r="M4318" s="17" t="s">
        <v>9</v>
      </c>
      <c r="N4318" s="17" t="s">
        <v>736</v>
      </c>
    </row>
    <row r="4319" spans="1:14" x14ac:dyDescent="0.25">
      <c r="A4319" s="8">
        <v>995053</v>
      </c>
      <c r="B4319" s="22" t="str">
        <f>IFERROR(VLOOKUP(A4319,VLOOKUPS!$A$2:B$12589,2,FALSE),"")</f>
        <v>Fresh Chopped Salsa Pico 16oz-standard</v>
      </c>
      <c r="E4319">
        <v>4.99</v>
      </c>
      <c r="F4319">
        <v>5.59</v>
      </c>
      <c r="G4319" s="13">
        <v>44694</v>
      </c>
      <c r="H4319" s="13"/>
      <c r="I4319" s="22" t="str">
        <f>VLOOKUP(J4319, Dropdowns!N:O, 2, FALSE)</f>
        <v>Standard</v>
      </c>
      <c r="J4319" t="s">
        <v>761</v>
      </c>
      <c r="L4319" s="17" t="s">
        <v>734</v>
      </c>
      <c r="M4319" s="17" t="s">
        <v>9</v>
      </c>
      <c r="N4319" s="17" t="s">
        <v>736</v>
      </c>
    </row>
    <row r="4320" spans="1:14" x14ac:dyDescent="0.25">
      <c r="A4320" s="8">
        <v>989084</v>
      </c>
      <c r="B4320" s="22" t="str">
        <f>IFERROR(VLOOKUP(A4320,VLOOKUPS!$A$2:B$12589,2,FALSE),"")</f>
        <v>Basil 2oz-standard</v>
      </c>
      <c r="D4320">
        <v>9</v>
      </c>
      <c r="F4320">
        <v>2.99</v>
      </c>
      <c r="G4320" s="13">
        <v>44694</v>
      </c>
      <c r="H4320" s="13"/>
      <c r="I4320" s="22" t="str">
        <f>VLOOKUP(J4320, Dropdowns!N:O, 2, FALSE)</f>
        <v>New</v>
      </c>
      <c r="J4320" t="s">
        <v>776</v>
      </c>
      <c r="L4320" s="17" t="s">
        <v>732</v>
      </c>
      <c r="M4320" s="17" t="s">
        <v>9</v>
      </c>
      <c r="N4320" s="17" t="s">
        <v>736</v>
      </c>
    </row>
    <row r="4321" spans="1:14" x14ac:dyDescent="0.25">
      <c r="A4321" s="8">
        <v>995004</v>
      </c>
      <c r="B4321" s="22" t="str">
        <f>IFERROR(VLOOKUP(A4321,VLOOKUPS!$A$2:B$12589,2,FALSE),"")</f>
        <v>Chicken Caesar Salad 6.25oz-standard</v>
      </c>
      <c r="E4321">
        <v>3.12</v>
      </c>
      <c r="F4321">
        <v>3.27</v>
      </c>
      <c r="G4321" s="13">
        <v>44695</v>
      </c>
      <c r="H4321" s="13"/>
      <c r="I4321" s="22" t="str">
        <f>VLOOKUP(J4321, Dropdowns!N:O, 2, FALSE)</f>
        <v>Standard</v>
      </c>
      <c r="J4321" t="s">
        <v>761</v>
      </c>
      <c r="L4321" s="17" t="s">
        <v>733</v>
      </c>
      <c r="M4321" s="17" t="s">
        <v>736</v>
      </c>
      <c r="N4321" s="17" t="s">
        <v>740</v>
      </c>
    </row>
    <row r="4322" spans="1:14" x14ac:dyDescent="0.25">
      <c r="A4322" s="8">
        <v>995004</v>
      </c>
      <c r="B4322" s="22" t="str">
        <f>IFERROR(VLOOKUP(A4322,VLOOKUPS!$A$2:B$12589,2,FALSE),"")</f>
        <v>Chicken Caesar Salad 6.25oz-standard</v>
      </c>
      <c r="E4322">
        <v>3.12</v>
      </c>
      <c r="F4322">
        <v>3.27</v>
      </c>
      <c r="G4322" s="13">
        <v>44695</v>
      </c>
      <c r="H4322" s="13"/>
      <c r="I4322" s="22" t="str">
        <f>VLOOKUP(J4322, Dropdowns!N:O, 2, FALSE)</f>
        <v>Standard</v>
      </c>
      <c r="J4322" t="s">
        <v>761</v>
      </c>
      <c r="L4322" s="17" t="s">
        <v>734</v>
      </c>
      <c r="M4322" s="17" t="s">
        <v>10</v>
      </c>
      <c r="N4322" s="17">
        <v>2</v>
      </c>
    </row>
    <row r="4323" spans="1:14" x14ac:dyDescent="0.25">
      <c r="A4323" s="8">
        <v>995010</v>
      </c>
      <c r="B4323" s="22" t="str">
        <f>IFERROR(VLOOKUP(A4323,VLOOKUPS!$A$2:B$12589,2,FALSE),"")</f>
        <v>RTE Turkey Bacon Cobb Salad 7.25oz-standard</v>
      </c>
      <c r="E4323">
        <v>3.12</v>
      </c>
      <c r="F4323">
        <v>3.27</v>
      </c>
      <c r="G4323" s="13">
        <v>44695</v>
      </c>
      <c r="H4323" s="13"/>
      <c r="I4323" s="22" t="str">
        <f>VLOOKUP(J4323, Dropdowns!N:O, 2, FALSE)</f>
        <v>Standard</v>
      </c>
      <c r="J4323" t="s">
        <v>761</v>
      </c>
      <c r="L4323" s="17" t="s">
        <v>733</v>
      </c>
      <c r="M4323" s="17" t="s">
        <v>736</v>
      </c>
      <c r="N4323" s="17" t="s">
        <v>740</v>
      </c>
    </row>
    <row r="4324" spans="1:14" x14ac:dyDescent="0.25">
      <c r="A4324" s="8">
        <v>995010</v>
      </c>
      <c r="B4324" s="22" t="str">
        <f>IFERROR(VLOOKUP(A4324,VLOOKUPS!$A$2:B$12589,2,FALSE),"")</f>
        <v>RTE Turkey Bacon Cobb Salad 7.25oz-standard</v>
      </c>
      <c r="E4324">
        <v>3.12</v>
      </c>
      <c r="F4324">
        <v>3.27</v>
      </c>
      <c r="G4324" s="13">
        <v>44695</v>
      </c>
      <c r="H4324" s="13"/>
      <c r="I4324" s="22" t="str">
        <f>VLOOKUP(J4324, Dropdowns!N:O, 2, FALSE)</f>
        <v>Standard</v>
      </c>
      <c r="J4324" t="s">
        <v>761</v>
      </c>
      <c r="L4324" s="17" t="s">
        <v>734</v>
      </c>
      <c r="M4324" s="17" t="s">
        <v>10</v>
      </c>
      <c r="N4324" s="17">
        <v>2</v>
      </c>
    </row>
    <row r="4325" spans="1:14" x14ac:dyDescent="0.25">
      <c r="A4325" s="8">
        <v>995011</v>
      </c>
      <c r="B4325" s="22" t="str">
        <f>IFERROR(VLOOKUP(A4325,VLOOKUPS!$A$2:B$12589,2,FALSE),"")</f>
        <v>RTE Santa Fe Salad 6.25oz-standard</v>
      </c>
      <c r="E4325">
        <v>3.12</v>
      </c>
      <c r="F4325">
        <v>3.27</v>
      </c>
      <c r="G4325" s="13">
        <v>44695</v>
      </c>
      <c r="H4325" s="13"/>
      <c r="I4325" s="22" t="str">
        <f>VLOOKUP(J4325, Dropdowns!N:O, 2, FALSE)</f>
        <v>Standard</v>
      </c>
      <c r="J4325" t="s">
        <v>761</v>
      </c>
      <c r="L4325" s="17" t="s">
        <v>733</v>
      </c>
      <c r="M4325" s="17" t="s">
        <v>736</v>
      </c>
      <c r="N4325" s="17" t="s">
        <v>740</v>
      </c>
    </row>
    <row r="4326" spans="1:14" x14ac:dyDescent="0.25">
      <c r="A4326" s="8">
        <v>995011</v>
      </c>
      <c r="B4326" s="22" t="str">
        <f>IFERROR(VLOOKUP(A4326,VLOOKUPS!$A$2:B$12589,2,FALSE),"")</f>
        <v>RTE Santa Fe Salad 6.25oz-standard</v>
      </c>
      <c r="E4326">
        <v>3.12</v>
      </c>
      <c r="F4326">
        <v>3.27</v>
      </c>
      <c r="G4326" s="13">
        <v>44695</v>
      </c>
      <c r="H4326" s="13"/>
      <c r="I4326" s="22" t="str">
        <f>VLOOKUP(J4326, Dropdowns!N:O, 2, FALSE)</f>
        <v>Standard</v>
      </c>
      <c r="J4326" t="s">
        <v>761</v>
      </c>
      <c r="L4326" s="17" t="s">
        <v>734</v>
      </c>
      <c r="M4326" s="17" t="s">
        <v>10</v>
      </c>
      <c r="N4326" s="17">
        <v>2</v>
      </c>
    </row>
    <row r="4327" spans="1:14" x14ac:dyDescent="0.25">
      <c r="A4327" s="8">
        <v>995014</v>
      </c>
      <c r="B4327" s="22" t="str">
        <f>IFERROR(VLOOKUP(A4327,VLOOKUPS!$A$2:B$12589,2,FALSE),"")</f>
        <v>RTE Café Style Chef Salad 7.65oz-standard</v>
      </c>
      <c r="E4327">
        <v>3.12</v>
      </c>
      <c r="F4327">
        <v>3.27</v>
      </c>
      <c r="G4327" s="13">
        <v>44695</v>
      </c>
      <c r="H4327" s="13"/>
      <c r="I4327" s="22" t="str">
        <f>VLOOKUP(J4327, Dropdowns!N:O, 2, FALSE)</f>
        <v>Standard</v>
      </c>
      <c r="J4327" t="s">
        <v>761</v>
      </c>
      <c r="L4327" s="17" t="s">
        <v>733</v>
      </c>
      <c r="M4327" s="17" t="s">
        <v>736</v>
      </c>
      <c r="N4327" s="17" t="s">
        <v>740</v>
      </c>
    </row>
    <row r="4328" spans="1:14" x14ac:dyDescent="0.25">
      <c r="A4328" s="8">
        <v>995014</v>
      </c>
      <c r="B4328" s="22" t="str">
        <f>IFERROR(VLOOKUP(A4328,VLOOKUPS!$A$2:B$12589,2,FALSE),"")</f>
        <v>RTE Café Style Chef Salad 7.65oz-standard</v>
      </c>
      <c r="E4328">
        <v>3.12</v>
      </c>
      <c r="F4328">
        <v>3.27</v>
      </c>
      <c r="G4328" s="13">
        <v>44695</v>
      </c>
      <c r="H4328" s="13"/>
      <c r="I4328" s="22" t="str">
        <f>VLOOKUP(J4328, Dropdowns!N:O, 2, FALSE)</f>
        <v>Standard</v>
      </c>
      <c r="J4328" t="s">
        <v>761</v>
      </c>
      <c r="L4328" s="17" t="s">
        <v>734</v>
      </c>
      <c r="M4328" s="17" t="s">
        <v>10</v>
      </c>
      <c r="N4328" s="17">
        <v>2</v>
      </c>
    </row>
    <row r="4329" spans="1:14" x14ac:dyDescent="0.25">
      <c r="A4329" s="8">
        <v>984460</v>
      </c>
      <c r="B4329" s="22" t="str">
        <f>IFERROR(VLOOKUP(A4329,VLOOKUPS!$A$2:B$12589,2,FALSE),"")</f>
        <v>Strawberries 1lb-standard</v>
      </c>
      <c r="E4329">
        <v>2.58</v>
      </c>
      <c r="F4329">
        <v>2.48</v>
      </c>
      <c r="G4329" s="13">
        <v>44695</v>
      </c>
      <c r="H4329" s="13"/>
      <c r="I4329" s="22" t="str">
        <f>VLOOKUP(J4329, Dropdowns!N:O, 2, FALSE)</f>
        <v>Standard</v>
      </c>
      <c r="J4329" t="s">
        <v>761</v>
      </c>
      <c r="L4329" s="17" t="s">
        <v>732</v>
      </c>
      <c r="M4329" s="17" t="s">
        <v>10</v>
      </c>
      <c r="N4329" s="17">
        <v>2</v>
      </c>
    </row>
    <row r="4330" spans="1:14" x14ac:dyDescent="0.25">
      <c r="A4330" s="8">
        <v>983651</v>
      </c>
      <c r="B4330" s="22" t="str">
        <f>IFERROR(VLOOKUP(A4330,VLOOKUPS!$A$2:B$12589,2,FALSE),"")</f>
        <v>Kiwis Gold 1ct-LOOSE</v>
      </c>
      <c r="D4330">
        <v>25</v>
      </c>
      <c r="F4330">
        <v>0.99</v>
      </c>
      <c r="G4330" s="13">
        <v>44695</v>
      </c>
      <c r="H4330" s="13"/>
      <c r="I4330" s="22" t="str">
        <f>VLOOKUP(J4330, Dropdowns!N:O, 2, FALSE)</f>
        <v>New</v>
      </c>
      <c r="J4330" t="s">
        <v>776</v>
      </c>
      <c r="L4330" s="17" t="s">
        <v>732</v>
      </c>
      <c r="M4330" s="17" t="s">
        <v>736</v>
      </c>
      <c r="N4330" s="17" t="s">
        <v>736</v>
      </c>
    </row>
    <row r="4331" spans="1:14" x14ac:dyDescent="0.25">
      <c r="A4331" s="8">
        <v>983671</v>
      </c>
      <c r="B4331" s="22" t="str">
        <f>IFERROR(VLOOKUP(A4331,VLOOKUPS!$A$2:B$12589,2,FALSE),"")</f>
        <v>Kiwis Gold 1lb-standard</v>
      </c>
      <c r="D4331">
        <v>8</v>
      </c>
      <c r="F4331">
        <v>3.99</v>
      </c>
      <c r="G4331" s="13">
        <v>44695</v>
      </c>
      <c r="H4331" s="13"/>
      <c r="I4331" s="22" t="str">
        <f>VLOOKUP(J4331, Dropdowns!N:O, 2, FALSE)</f>
        <v>New</v>
      </c>
      <c r="J4331" t="s">
        <v>776</v>
      </c>
      <c r="L4331" s="17" t="s">
        <v>732</v>
      </c>
      <c r="M4331" s="17" t="s">
        <v>736</v>
      </c>
      <c r="N4331" s="17" t="s">
        <v>736</v>
      </c>
    </row>
    <row r="4332" spans="1:14" x14ac:dyDescent="0.25">
      <c r="A4332" s="8">
        <v>989084</v>
      </c>
      <c r="B4332" s="22" t="str">
        <f>IFERROR(VLOOKUP(A4332,VLOOKUPS!$A$2:B$12589,2,FALSE),"")</f>
        <v>Basil 2oz-standard</v>
      </c>
      <c r="E4332">
        <v>2.99</v>
      </c>
      <c r="F4332">
        <v>3.49</v>
      </c>
      <c r="G4332" s="13">
        <v>44695</v>
      </c>
      <c r="H4332" s="13"/>
      <c r="I4332" s="22" t="str">
        <f>VLOOKUP(J4332, Dropdowns!N:O, 2, FALSE)</f>
        <v>Standard</v>
      </c>
      <c r="J4332" t="s">
        <v>761</v>
      </c>
      <c r="L4332" s="17" t="s">
        <v>732</v>
      </c>
      <c r="M4332" s="17" t="s">
        <v>736</v>
      </c>
      <c r="N4332" s="17" t="s">
        <v>736</v>
      </c>
    </row>
    <row r="4333" spans="1:14" x14ac:dyDescent="0.25">
      <c r="A4333" s="8">
        <v>984460</v>
      </c>
      <c r="B4333" s="22" t="str">
        <f>IFERROR(VLOOKUP(A4333,VLOOKUPS!$A$2:B$12589,2,FALSE),"")</f>
        <v>Strawberries 1lb-standard</v>
      </c>
      <c r="E4333">
        <v>2.58</v>
      </c>
      <c r="F4333">
        <v>1.68</v>
      </c>
      <c r="G4333" s="13">
        <v>44695</v>
      </c>
      <c r="H4333" s="13">
        <v>44696</v>
      </c>
      <c r="I4333" s="22" t="str">
        <f>VLOOKUP(J4333, Dropdowns!N:O, 2, FALSE)</f>
        <v>Lower Price</v>
      </c>
      <c r="J4333" t="s">
        <v>759</v>
      </c>
      <c r="L4333" s="17" t="s">
        <v>732</v>
      </c>
      <c r="M4333" s="17" t="s">
        <v>9</v>
      </c>
      <c r="N4333" s="17" t="s">
        <v>736</v>
      </c>
    </row>
    <row r="4334" spans="1:14" x14ac:dyDescent="0.25">
      <c r="A4334" s="8">
        <v>984460</v>
      </c>
      <c r="B4334" s="22" t="str">
        <f>IFERROR(VLOOKUP(A4334,VLOOKUPS!$A$2:B$12589,2,FALSE),"")</f>
        <v>Strawberries 1lb-standard</v>
      </c>
      <c r="E4334">
        <v>1.68</v>
      </c>
      <c r="F4334">
        <v>2.58</v>
      </c>
      <c r="G4334" s="13">
        <v>44697</v>
      </c>
      <c r="H4334" s="13"/>
      <c r="I4334" s="22" t="str">
        <f>VLOOKUP(J4334, Dropdowns!N:O, 2, FALSE)</f>
        <v>Standard</v>
      </c>
      <c r="J4334" t="s">
        <v>760</v>
      </c>
      <c r="L4334" s="17" t="s">
        <v>732</v>
      </c>
      <c r="M4334" s="17" t="s">
        <v>9</v>
      </c>
      <c r="N4334" s="17" t="s">
        <v>736</v>
      </c>
    </row>
    <row r="4335" spans="1:14" x14ac:dyDescent="0.25">
      <c r="A4335" s="8">
        <v>984460</v>
      </c>
      <c r="B4335" s="22" t="str">
        <f>IFERROR(VLOOKUP(A4335,VLOOKUPS!$A$2:B$12589,2,FALSE),"")</f>
        <v>Strawberries 1lb-standard</v>
      </c>
      <c r="E4335">
        <v>1.89</v>
      </c>
      <c r="F4335">
        <v>2.58</v>
      </c>
      <c r="G4335" s="13">
        <v>44696</v>
      </c>
      <c r="H4335" s="13"/>
      <c r="I4335" s="22" t="str">
        <f>VLOOKUP(J4335, Dropdowns!N:O, 2, FALSE)</f>
        <v>Standard</v>
      </c>
      <c r="J4335" t="s">
        <v>760</v>
      </c>
      <c r="L4335" s="17" t="s">
        <v>733</v>
      </c>
      <c r="M4335" s="17" t="s">
        <v>11</v>
      </c>
      <c r="N4335" s="17" t="s">
        <v>740</v>
      </c>
    </row>
    <row r="4336" spans="1:14" x14ac:dyDescent="0.25">
      <c r="A4336" s="8">
        <v>984460</v>
      </c>
      <c r="B4336" s="22" t="str">
        <f>IFERROR(VLOOKUP(A4336,VLOOKUPS!$A$2:B$12589,2,FALSE),"")</f>
        <v>Strawberries 1lb-standard</v>
      </c>
      <c r="E4336">
        <v>2.58</v>
      </c>
      <c r="F4336">
        <v>2.48</v>
      </c>
      <c r="G4336" s="13">
        <v>44698</v>
      </c>
      <c r="H4336" s="13"/>
      <c r="I4336" s="22" t="str">
        <f>VLOOKUP(J4336, Dropdowns!N:O, 2, FALSE)</f>
        <v>Standard</v>
      </c>
      <c r="J4336" t="s">
        <v>761</v>
      </c>
      <c r="L4336" s="17" t="s">
        <v>733</v>
      </c>
      <c r="M4336" s="17" t="s">
        <v>737</v>
      </c>
      <c r="N4336" s="17" t="s">
        <v>740</v>
      </c>
    </row>
    <row r="4337" spans="1:14" x14ac:dyDescent="0.25">
      <c r="A4337" s="8">
        <v>984460</v>
      </c>
      <c r="B4337" s="22" t="str">
        <f>IFERROR(VLOOKUP(A4337,VLOOKUPS!$A$2:B$12589,2,FALSE),"")</f>
        <v>Strawberries 1lb-standard</v>
      </c>
      <c r="E4337">
        <v>2.58</v>
      </c>
      <c r="F4337">
        <v>2.99</v>
      </c>
      <c r="G4337" s="13">
        <v>44698</v>
      </c>
      <c r="H4337" s="13"/>
      <c r="I4337" s="22" t="str">
        <f>VLOOKUP(J4337, Dropdowns!N:O, 2, FALSE)</f>
        <v>Standard</v>
      </c>
      <c r="J4337" t="s">
        <v>761</v>
      </c>
      <c r="L4337" s="17" t="s">
        <v>734</v>
      </c>
      <c r="M4337" s="17" t="s">
        <v>9</v>
      </c>
      <c r="N4337" s="17" t="s">
        <v>736</v>
      </c>
    </row>
    <row r="4338" spans="1:14" x14ac:dyDescent="0.25">
      <c r="A4338" s="8">
        <v>984500</v>
      </c>
      <c r="B4338" s="22" t="str">
        <f>IFERROR(VLOOKUP(A4338,VLOOKUPS!$A$2:B$12589,2,FALSE),"")</f>
        <v>Organic Strawberries 1lb-standard</v>
      </c>
      <c r="E4338">
        <v>3.98</v>
      </c>
      <c r="F4338">
        <v>4.49</v>
      </c>
      <c r="G4338" s="13">
        <v>44698</v>
      </c>
      <c r="H4338" s="13"/>
      <c r="I4338" s="22" t="str">
        <f>VLOOKUP(J4338, Dropdowns!N:O, 2, FALSE)</f>
        <v>Standard</v>
      </c>
      <c r="J4338" t="s">
        <v>761</v>
      </c>
      <c r="L4338" s="17" t="s">
        <v>734</v>
      </c>
      <c r="M4338" s="17" t="s">
        <v>9</v>
      </c>
      <c r="N4338" s="17" t="s">
        <v>736</v>
      </c>
    </row>
    <row r="4339" spans="1:14" x14ac:dyDescent="0.25">
      <c r="A4339" s="8">
        <v>984621</v>
      </c>
      <c r="B4339" s="22" t="str">
        <f>IFERROR(VLOOKUP(A4339,VLOOKUPS!$A$2:B$12589,2,FALSE),"")</f>
        <v>Raspberries 12oz-standard</v>
      </c>
      <c r="E4339">
        <v>5.56</v>
      </c>
      <c r="F4339">
        <v>3.61</v>
      </c>
      <c r="G4339" s="13">
        <v>44695</v>
      </c>
      <c r="H4339" s="13">
        <v>44696</v>
      </c>
      <c r="I4339" s="22" t="str">
        <f>VLOOKUP(J4339, Dropdowns!N:O, 2, FALSE)</f>
        <v>Lower Price</v>
      </c>
      <c r="J4339" t="s">
        <v>759</v>
      </c>
      <c r="L4339" s="17" t="s">
        <v>732</v>
      </c>
      <c r="M4339" s="17" t="s">
        <v>10</v>
      </c>
      <c r="N4339" s="17">
        <v>2</v>
      </c>
    </row>
    <row r="4340" spans="1:14" x14ac:dyDescent="0.25">
      <c r="A4340" s="8">
        <v>984621</v>
      </c>
      <c r="B4340" s="22" t="str">
        <f>IFERROR(VLOOKUP(A4340,VLOOKUPS!$A$2:B$12589,2,FALSE),"")</f>
        <v>Raspberries 12oz-standard</v>
      </c>
      <c r="E4340">
        <v>3.61</v>
      </c>
      <c r="F4340">
        <v>5.56</v>
      </c>
      <c r="G4340" s="13">
        <v>44697</v>
      </c>
      <c r="H4340" s="13"/>
      <c r="I4340" s="22" t="str">
        <f>VLOOKUP(J4340, Dropdowns!N:O, 2, FALSE)</f>
        <v>Standard</v>
      </c>
      <c r="J4340" t="s">
        <v>760</v>
      </c>
      <c r="L4340" s="17" t="s">
        <v>732</v>
      </c>
      <c r="M4340" s="17" t="s">
        <v>10</v>
      </c>
      <c r="N4340" s="17">
        <v>2</v>
      </c>
    </row>
    <row r="4341" spans="1:14" x14ac:dyDescent="0.25">
      <c r="A4341" s="8">
        <v>985160</v>
      </c>
      <c r="B4341" s="22" t="str">
        <f>IFERROR(VLOOKUP(A4341,VLOOKUPS!$A$2:B$12589,2,FALSE),"")</f>
        <v>Romaine Hearts 3ct-standard</v>
      </c>
      <c r="E4341">
        <v>3.48</v>
      </c>
      <c r="F4341">
        <v>2.79</v>
      </c>
      <c r="G4341" s="13">
        <v>44698</v>
      </c>
      <c r="H4341" s="13"/>
      <c r="I4341" s="22" t="str">
        <f>VLOOKUP(J4341, Dropdowns!N:O, 2, FALSE)</f>
        <v>Standard</v>
      </c>
      <c r="J4341" t="s">
        <v>761</v>
      </c>
      <c r="L4341" s="17" t="s">
        <v>733</v>
      </c>
      <c r="M4341" s="17" t="s">
        <v>736</v>
      </c>
      <c r="N4341" s="17" t="s">
        <v>740</v>
      </c>
    </row>
    <row r="4342" spans="1:14" x14ac:dyDescent="0.25">
      <c r="A4342" s="8">
        <v>985190</v>
      </c>
      <c r="B4342" s="22" t="str">
        <f>IFERROR(VLOOKUP(A4342,VLOOKUPS!$A$2:B$12589,2,FALSE),"")</f>
        <v>Organic Romaine Hearts 3ct-standard</v>
      </c>
      <c r="E4342">
        <v>3.96</v>
      </c>
      <c r="F4342">
        <v>3.19</v>
      </c>
      <c r="G4342" s="13">
        <v>44698</v>
      </c>
      <c r="H4342" s="13"/>
      <c r="I4342" s="22" t="str">
        <f>VLOOKUP(J4342, Dropdowns!N:O, 2, FALSE)</f>
        <v>Standard</v>
      </c>
      <c r="J4342" t="s">
        <v>761</v>
      </c>
      <c r="L4342" s="17" t="s">
        <v>733</v>
      </c>
      <c r="M4342" s="17" t="s">
        <v>736</v>
      </c>
      <c r="N4342" s="17" t="s">
        <v>740</v>
      </c>
    </row>
    <row r="4343" spans="1:14" x14ac:dyDescent="0.25">
      <c r="A4343" s="8">
        <v>985160</v>
      </c>
      <c r="B4343" s="22" t="str">
        <f>IFERROR(VLOOKUP(A4343,VLOOKUPS!$A$2:B$12589,2,FALSE),"")</f>
        <v>Romaine Hearts 3ct-standard</v>
      </c>
      <c r="E4343">
        <v>3.79</v>
      </c>
      <c r="F4343">
        <v>3.56</v>
      </c>
      <c r="G4343" s="13">
        <v>44698</v>
      </c>
      <c r="H4343" s="13"/>
      <c r="I4343" s="22" t="str">
        <f>VLOOKUP(J4343, Dropdowns!N:O, 2, FALSE)</f>
        <v>Standard</v>
      </c>
      <c r="J4343" t="s">
        <v>761</v>
      </c>
      <c r="L4343" s="17" t="s">
        <v>734</v>
      </c>
      <c r="M4343" s="17" t="s">
        <v>9</v>
      </c>
      <c r="N4343" s="17" t="s">
        <v>736</v>
      </c>
    </row>
    <row r="4344" spans="1:14" x14ac:dyDescent="0.25">
      <c r="A4344" s="8">
        <v>987560</v>
      </c>
      <c r="B4344" s="22" t="str">
        <f>IFERROR(VLOOKUP(A4344,VLOOKUPS!$A$2:B$12589,2,FALSE),"")</f>
        <v>Celery 1ct-standard</v>
      </c>
      <c r="E4344">
        <v>1.69</v>
      </c>
      <c r="F4344">
        <v>1.64</v>
      </c>
      <c r="G4344" s="13">
        <v>44698</v>
      </c>
      <c r="H4344" s="13"/>
      <c r="I4344" s="22" t="str">
        <f>VLOOKUP(J4344, Dropdowns!N:O, 2, FALSE)</f>
        <v>Standard</v>
      </c>
      <c r="J4344" t="s">
        <v>761</v>
      </c>
      <c r="L4344" s="17" t="s">
        <v>733</v>
      </c>
      <c r="M4344" s="17" t="s">
        <v>736</v>
      </c>
      <c r="N4344" s="17" t="s">
        <v>740</v>
      </c>
    </row>
    <row r="4345" spans="1:14" x14ac:dyDescent="0.25">
      <c r="A4345" s="8">
        <v>988620</v>
      </c>
      <c r="B4345" s="22" t="str">
        <f>IFERROR(VLOOKUP(A4345,VLOOKUPS!$A$2:B$12589,2,FALSE),"")</f>
        <v>Brussels Sprouts 1lb-standard</v>
      </c>
      <c r="E4345">
        <v>1.29</v>
      </c>
      <c r="F4345">
        <v>2.98</v>
      </c>
      <c r="G4345" s="13">
        <v>44695</v>
      </c>
      <c r="H4345" s="13"/>
      <c r="I4345" s="22" t="str">
        <f>VLOOKUP(J4345, Dropdowns!N:O, 2, FALSE)</f>
        <v>Standard</v>
      </c>
      <c r="J4345" t="s">
        <v>760</v>
      </c>
      <c r="L4345" s="17" t="s">
        <v>733</v>
      </c>
      <c r="M4345" s="17" t="s">
        <v>11</v>
      </c>
      <c r="N4345" s="17" t="s">
        <v>740</v>
      </c>
    </row>
    <row r="4346" spans="1:14" x14ac:dyDescent="0.25">
      <c r="A4346" s="8">
        <v>995182</v>
      </c>
      <c r="B4346" s="22" t="str">
        <f>IFERROR(VLOOKUP(A4346,VLOOKUPS!$A$2:B$12589,2,FALSE),"")</f>
        <v>Baby Zucchini 8oz-standard</v>
      </c>
      <c r="D4346">
        <v>6</v>
      </c>
      <c r="F4346">
        <v>2.99</v>
      </c>
      <c r="G4346" s="13">
        <v>44695</v>
      </c>
      <c r="H4346" s="13"/>
      <c r="I4346" s="22" t="str">
        <f>VLOOKUP(J4346, Dropdowns!N:O, 2, FALSE)</f>
        <v>NA</v>
      </c>
      <c r="J4346" t="s">
        <v>754</v>
      </c>
      <c r="L4346" s="17" t="s">
        <v>732</v>
      </c>
      <c r="M4346" s="17" t="s">
        <v>737</v>
      </c>
      <c r="N4346" s="17" t="s">
        <v>736</v>
      </c>
    </row>
    <row r="4347" spans="1:14" x14ac:dyDescent="0.25">
      <c r="A4347" s="8">
        <v>984541</v>
      </c>
      <c r="B4347" s="22" t="str">
        <f>IFERROR(VLOOKUP(A4347,VLOOKUPS!$A$2:B$12589,2,FALSE),"")</f>
        <v>Blueberries 1pt-standard</v>
      </c>
      <c r="E4347">
        <v>3.69</v>
      </c>
      <c r="F4347">
        <v>4.37</v>
      </c>
      <c r="G4347" s="13">
        <v>44698</v>
      </c>
      <c r="H4347" s="13"/>
      <c r="I4347" s="22" t="str">
        <f>VLOOKUP(J4347, Dropdowns!N:O, 2, FALSE)</f>
        <v>Standard</v>
      </c>
      <c r="J4347" t="s">
        <v>761</v>
      </c>
      <c r="L4347" s="17" t="s">
        <v>732</v>
      </c>
      <c r="M4347" s="17" t="s">
        <v>736</v>
      </c>
      <c r="N4347" s="17" t="s">
        <v>736</v>
      </c>
    </row>
    <row r="4348" spans="1:14" x14ac:dyDescent="0.25">
      <c r="A4348" s="8">
        <v>984621</v>
      </c>
      <c r="B4348" s="22" t="str">
        <f>IFERROR(VLOOKUP(A4348,VLOOKUPS!$A$2:B$12589,2,FALSE),"")</f>
        <v>Raspberries 12oz-standard</v>
      </c>
      <c r="E4348">
        <v>5.56</v>
      </c>
      <c r="F4348">
        <v>3.61</v>
      </c>
      <c r="G4348" s="13">
        <v>44698</v>
      </c>
      <c r="H4348" s="13">
        <v>44699</v>
      </c>
      <c r="I4348" s="22" t="str">
        <f>VLOOKUP(J4348, Dropdowns!N:O, 2, FALSE)</f>
        <v>Lower Price</v>
      </c>
      <c r="J4348" t="s">
        <v>759</v>
      </c>
      <c r="L4348" s="17" t="s">
        <v>733</v>
      </c>
      <c r="M4348" s="17" t="s">
        <v>9</v>
      </c>
      <c r="N4348" s="17" t="s">
        <v>740</v>
      </c>
    </row>
    <row r="4349" spans="1:14" x14ac:dyDescent="0.25">
      <c r="A4349" s="8">
        <v>984621</v>
      </c>
      <c r="B4349" s="22" t="str">
        <f>IFERROR(VLOOKUP(A4349,VLOOKUPS!$A$2:B$12589,2,FALSE),"")</f>
        <v>Raspberries 12oz-standard</v>
      </c>
      <c r="E4349">
        <v>6.19</v>
      </c>
      <c r="F4349">
        <v>4.0199999999999996</v>
      </c>
      <c r="G4349" s="13">
        <v>44698</v>
      </c>
      <c r="H4349" s="13">
        <v>44699</v>
      </c>
      <c r="I4349" s="22" t="str">
        <f>VLOOKUP(J4349, Dropdowns!N:O, 2, FALSE)</f>
        <v>Lower Price</v>
      </c>
      <c r="J4349" t="s">
        <v>759</v>
      </c>
      <c r="L4349" s="17" t="s">
        <v>734</v>
      </c>
      <c r="M4349" s="17" t="s">
        <v>9</v>
      </c>
      <c r="N4349" s="17" t="s">
        <v>736</v>
      </c>
    </row>
    <row r="4350" spans="1:14" x14ac:dyDescent="0.25">
      <c r="A4350" s="8">
        <v>984621</v>
      </c>
      <c r="B4350" s="22" t="str">
        <f>IFERROR(VLOOKUP(A4350,VLOOKUPS!$A$2:B$12589,2,FALSE),"")</f>
        <v>Raspberries 12oz-standard</v>
      </c>
      <c r="E4350">
        <v>3.61</v>
      </c>
      <c r="F4350">
        <v>5.56</v>
      </c>
      <c r="G4350" s="13">
        <v>44700</v>
      </c>
      <c r="H4350" s="13"/>
      <c r="I4350" s="22" t="str">
        <f>VLOOKUP(J4350, Dropdowns!N:O, 2, FALSE)</f>
        <v>Standard</v>
      </c>
      <c r="J4350" t="s">
        <v>760</v>
      </c>
      <c r="L4350" s="17" t="s">
        <v>733</v>
      </c>
      <c r="M4350" s="17" t="s">
        <v>9</v>
      </c>
      <c r="N4350" s="17" t="s">
        <v>740</v>
      </c>
    </row>
    <row r="4351" spans="1:14" x14ac:dyDescent="0.25">
      <c r="A4351" s="8">
        <v>984621</v>
      </c>
      <c r="B4351" s="22" t="str">
        <f>IFERROR(VLOOKUP(A4351,VLOOKUPS!$A$2:B$12589,2,FALSE),"")</f>
        <v>Raspberries 12oz-standard</v>
      </c>
      <c r="E4351">
        <v>4.0199999999999996</v>
      </c>
      <c r="F4351">
        <v>6.19</v>
      </c>
      <c r="G4351" s="13">
        <v>44700</v>
      </c>
      <c r="H4351" s="13"/>
      <c r="I4351" s="22" t="str">
        <f>VLOOKUP(J4351, Dropdowns!N:O, 2, FALSE)</f>
        <v>Standard</v>
      </c>
      <c r="J4351" t="s">
        <v>760</v>
      </c>
      <c r="L4351" s="17" t="s">
        <v>734</v>
      </c>
      <c r="M4351" s="17" t="s">
        <v>9</v>
      </c>
      <c r="N4351" s="17" t="s">
        <v>736</v>
      </c>
    </row>
    <row r="4352" spans="1:14" x14ac:dyDescent="0.25">
      <c r="A4352" s="8">
        <v>995182</v>
      </c>
      <c r="B4352" s="22" t="str">
        <f>IFERROR(VLOOKUP(A4352,VLOOKUPS!$A$2:B$12589,2,FALSE),"")</f>
        <v>Baby Zucchini 8oz-standard</v>
      </c>
      <c r="D4352">
        <v>6</v>
      </c>
      <c r="F4352">
        <v>2.99</v>
      </c>
      <c r="G4352" s="13">
        <v>44698</v>
      </c>
      <c r="H4352" s="13"/>
      <c r="I4352" s="22" t="str">
        <f>VLOOKUP(J4352, Dropdowns!N:O, 2, FALSE)</f>
        <v>NA</v>
      </c>
      <c r="J4352" t="s">
        <v>754</v>
      </c>
      <c r="L4352" s="17" t="s">
        <v>732</v>
      </c>
      <c r="M4352" s="17" t="s">
        <v>10</v>
      </c>
      <c r="N4352" s="17">
        <v>2</v>
      </c>
    </row>
    <row r="4353" spans="1:14" x14ac:dyDescent="0.25">
      <c r="A4353" s="8">
        <v>982650</v>
      </c>
      <c r="B4353" s="22" t="str">
        <f>IFERROR(VLOOKUP(A4353,VLOOKUPS!$A$2:B$12589,2,FALSE),"")</f>
        <v>Grapes* Green Seedless 1lb-LOOSE</v>
      </c>
      <c r="E4353">
        <v>1.59</v>
      </c>
      <c r="F4353">
        <v>2.59</v>
      </c>
      <c r="G4353" s="13">
        <v>44698</v>
      </c>
      <c r="H4353" s="13"/>
      <c r="I4353" s="22" t="str">
        <f>VLOOKUP(J4353, Dropdowns!N:O, 2, FALSE)</f>
        <v>Standard</v>
      </c>
      <c r="J4353" t="s">
        <v>761</v>
      </c>
      <c r="L4353" s="17" t="s">
        <v>732</v>
      </c>
      <c r="M4353" s="17" t="s">
        <v>9</v>
      </c>
      <c r="N4353" s="17" t="s">
        <v>736</v>
      </c>
    </row>
    <row r="4354" spans="1:14" x14ac:dyDescent="0.25">
      <c r="A4354" s="8">
        <v>985990</v>
      </c>
      <c r="B4354" s="22" t="str">
        <f>IFERROR(VLOOKUP(A4354,VLOOKUPS!$A$2:B$12589,2,FALSE),"")</f>
        <v>Ginger* 1lb-LOOSE</v>
      </c>
      <c r="E4354">
        <v>2.98</v>
      </c>
      <c r="F4354">
        <v>1.49</v>
      </c>
      <c r="G4354" s="13">
        <v>44698</v>
      </c>
      <c r="H4354" s="13">
        <v>44699</v>
      </c>
      <c r="I4354" s="22" t="str">
        <f>VLOOKUP(J4354, Dropdowns!N:O, 2, FALSE)</f>
        <v>Lower Price</v>
      </c>
      <c r="J4354" t="s">
        <v>759</v>
      </c>
      <c r="L4354" s="17" t="s">
        <v>733</v>
      </c>
      <c r="M4354" s="17" t="s">
        <v>9</v>
      </c>
      <c r="N4354" s="17" t="s">
        <v>740</v>
      </c>
    </row>
    <row r="4355" spans="1:14" x14ac:dyDescent="0.25">
      <c r="A4355" s="8">
        <v>985990</v>
      </c>
      <c r="B4355" s="22" t="str">
        <f>IFERROR(VLOOKUP(A4355,VLOOKUPS!$A$2:B$12589,2,FALSE),"")</f>
        <v>Ginger* 1lb-LOOSE</v>
      </c>
      <c r="E4355">
        <v>1.49</v>
      </c>
      <c r="F4355">
        <v>2.98</v>
      </c>
      <c r="G4355" s="13">
        <v>44700</v>
      </c>
      <c r="H4355" s="13"/>
      <c r="I4355" s="22" t="str">
        <f>VLOOKUP(J4355, Dropdowns!N:O, 2, FALSE)</f>
        <v>Standard</v>
      </c>
      <c r="J4355" t="s">
        <v>760</v>
      </c>
      <c r="L4355" s="17" t="s">
        <v>733</v>
      </c>
      <c r="M4355" s="17" t="s">
        <v>9</v>
      </c>
      <c r="N4355" s="17" t="s">
        <v>740</v>
      </c>
    </row>
    <row r="4356" spans="1:14" x14ac:dyDescent="0.25">
      <c r="A4356" s="8">
        <v>985990</v>
      </c>
      <c r="B4356" s="22" t="str">
        <f>IFERROR(VLOOKUP(A4356,VLOOKUPS!$A$2:B$12589,2,FALSE),"")</f>
        <v>Ginger* 1lb-LOOSE</v>
      </c>
      <c r="E4356">
        <v>2.99</v>
      </c>
      <c r="F4356">
        <v>1.5</v>
      </c>
      <c r="G4356" s="13">
        <v>44698</v>
      </c>
      <c r="H4356" s="13">
        <v>44699</v>
      </c>
      <c r="I4356" s="22" t="str">
        <f>VLOOKUP(J4356, Dropdowns!N:O, 2, FALSE)</f>
        <v>Lower Price</v>
      </c>
      <c r="J4356" t="s">
        <v>759</v>
      </c>
      <c r="L4356" s="17" t="s">
        <v>734</v>
      </c>
      <c r="M4356" s="17" t="s">
        <v>9</v>
      </c>
      <c r="N4356" s="17" t="s">
        <v>736</v>
      </c>
    </row>
    <row r="4357" spans="1:14" x14ac:dyDescent="0.25">
      <c r="A4357" s="8">
        <v>985990</v>
      </c>
      <c r="B4357" s="22" t="str">
        <f>IFERROR(VLOOKUP(A4357,VLOOKUPS!$A$2:B$12589,2,FALSE),"")</f>
        <v>Ginger* 1lb-LOOSE</v>
      </c>
      <c r="E4357">
        <v>1.5</v>
      </c>
      <c r="F4357">
        <v>2.99</v>
      </c>
      <c r="G4357" s="13">
        <v>44700</v>
      </c>
      <c r="H4357" s="13"/>
      <c r="I4357" s="22" t="str">
        <f>VLOOKUP(J4357, Dropdowns!N:O, 2, FALSE)</f>
        <v>Standard</v>
      </c>
      <c r="J4357" t="s">
        <v>760</v>
      </c>
      <c r="L4357" s="17" t="s">
        <v>734</v>
      </c>
      <c r="M4357" s="17" t="s">
        <v>9</v>
      </c>
      <c r="N4357" s="17" t="s">
        <v>736</v>
      </c>
    </row>
    <row r="4358" spans="1:14" x14ac:dyDescent="0.25">
      <c r="A4358" s="8">
        <v>982740</v>
      </c>
      <c r="B4358" s="22" t="str">
        <f>IFERROR(VLOOKUP(A4358,VLOOKUPS!$A$2:B$12589,2,FALSE),"")</f>
        <v>Grapes* Red Seedless 1lb-LOOSE</v>
      </c>
      <c r="E4358">
        <v>1.19</v>
      </c>
      <c r="F4358">
        <v>1.88</v>
      </c>
      <c r="G4358" s="13">
        <v>44699</v>
      </c>
      <c r="H4358" s="13"/>
      <c r="I4358" s="22" t="str">
        <f>VLOOKUP(J4358, Dropdowns!N:O, 2, FALSE)</f>
        <v>Standard</v>
      </c>
      <c r="J4358" t="s">
        <v>760</v>
      </c>
      <c r="L4358" s="17" t="s">
        <v>732</v>
      </c>
      <c r="M4358" s="17" t="s">
        <v>736</v>
      </c>
      <c r="N4358" s="17" t="s">
        <v>736</v>
      </c>
    </row>
    <row r="4359" spans="1:14" x14ac:dyDescent="0.25">
      <c r="A4359" s="8">
        <v>988490</v>
      </c>
      <c r="B4359" s="22" t="str">
        <f>IFERROR(VLOOKUP(A4359,VLOOKUPS!$A$2:B$12589,2,FALSE),"")</f>
        <v>Cabbage* 1lb-LOOSE</v>
      </c>
      <c r="G4359" s="13">
        <v>44699</v>
      </c>
      <c r="H4359" s="13">
        <v>44705</v>
      </c>
      <c r="I4359" s="22" t="str">
        <f>VLOOKUP(J4359, Dropdowns!N:O, 2, FALSE)</f>
        <v>Lower Price</v>
      </c>
      <c r="J4359" t="s">
        <v>753</v>
      </c>
      <c r="L4359" s="17" t="s">
        <v>732</v>
      </c>
      <c r="M4359" s="17" t="s">
        <v>736</v>
      </c>
      <c r="N4359" s="17" t="s">
        <v>736</v>
      </c>
    </row>
    <row r="4360" spans="1:14" x14ac:dyDescent="0.25">
      <c r="A4360" s="8">
        <v>986293</v>
      </c>
      <c r="B4360" s="22" t="str">
        <f>IFERROR(VLOOKUP(A4360,VLOOKUPS!$A$2:B$12589,2,FALSE),"")</f>
        <v>Leeks* 3ct-BUNCH</v>
      </c>
      <c r="E4360">
        <v>3.27</v>
      </c>
      <c r="F4360">
        <v>2.13</v>
      </c>
      <c r="G4360" s="13">
        <v>44699</v>
      </c>
      <c r="H4360" s="13">
        <v>44700</v>
      </c>
      <c r="I4360" s="22" t="str">
        <f>VLOOKUP(J4360, Dropdowns!N:O, 2, FALSE)</f>
        <v>Lower Price</v>
      </c>
      <c r="J4360" t="s">
        <v>759</v>
      </c>
      <c r="L4360" s="17" t="s">
        <v>733</v>
      </c>
      <c r="M4360" s="17" t="s">
        <v>11</v>
      </c>
      <c r="N4360" s="17" t="s">
        <v>740</v>
      </c>
    </row>
    <row r="4361" spans="1:14" x14ac:dyDescent="0.25">
      <c r="A4361" s="8">
        <v>986293</v>
      </c>
      <c r="B4361" s="22" t="str">
        <f>IFERROR(VLOOKUP(A4361,VLOOKUPS!$A$2:B$12589,2,FALSE),"")</f>
        <v>Leeks* 3ct-BUNCH</v>
      </c>
      <c r="E4361">
        <v>2.13</v>
      </c>
      <c r="F4361">
        <v>3.27</v>
      </c>
      <c r="G4361" s="13">
        <v>44701</v>
      </c>
      <c r="H4361" s="13"/>
      <c r="I4361" s="22" t="str">
        <f>VLOOKUP(J4361, Dropdowns!N:O, 2, FALSE)</f>
        <v>Standard</v>
      </c>
      <c r="J4361" t="s">
        <v>760</v>
      </c>
      <c r="L4361" s="17" t="s">
        <v>733</v>
      </c>
      <c r="M4361" s="17" t="s">
        <v>11</v>
      </c>
      <c r="N4361" s="17" t="s">
        <v>740</v>
      </c>
    </row>
    <row r="4362" spans="1:14" x14ac:dyDescent="0.25">
      <c r="A4362" s="8">
        <v>983101</v>
      </c>
      <c r="B4362" s="22" t="str">
        <f>IFERROR(VLOOKUP(A4362,VLOOKUPS!$A$2:B$12589,2,FALSE),"")</f>
        <v>Melons Cantaloupes 1ct-LOOSE</v>
      </c>
      <c r="E4362">
        <v>2.48</v>
      </c>
      <c r="F4362">
        <v>1.61</v>
      </c>
      <c r="G4362" s="13">
        <v>44699</v>
      </c>
      <c r="H4362" s="13">
        <v>44700</v>
      </c>
      <c r="I4362" s="22" t="str">
        <f>VLOOKUP(J4362, Dropdowns!N:O, 2, FALSE)</f>
        <v>Lower Price</v>
      </c>
      <c r="J4362" t="s">
        <v>759</v>
      </c>
      <c r="L4362" s="17" t="s">
        <v>733</v>
      </c>
      <c r="M4362" s="17" t="s">
        <v>9</v>
      </c>
      <c r="N4362" s="17" t="s">
        <v>740</v>
      </c>
    </row>
    <row r="4363" spans="1:14" x14ac:dyDescent="0.25">
      <c r="A4363" s="8">
        <v>983101</v>
      </c>
      <c r="B4363" s="22" t="str">
        <f>IFERROR(VLOOKUP(A4363,VLOOKUPS!$A$2:B$12589,2,FALSE),"")</f>
        <v>Melons Cantaloupes 1ct-LOOSE</v>
      </c>
      <c r="E4363">
        <v>1.61</v>
      </c>
      <c r="F4363">
        <v>2.48</v>
      </c>
      <c r="G4363" s="13">
        <v>44701</v>
      </c>
      <c r="H4363" s="13"/>
      <c r="I4363" s="22" t="str">
        <f>VLOOKUP(J4363, Dropdowns!N:O, 2, FALSE)</f>
        <v>Standard</v>
      </c>
      <c r="J4363" t="s">
        <v>760</v>
      </c>
      <c r="L4363" s="17" t="s">
        <v>733</v>
      </c>
      <c r="M4363" s="17" t="s">
        <v>9</v>
      </c>
      <c r="N4363" s="17" t="s">
        <v>740</v>
      </c>
    </row>
    <row r="4364" spans="1:14" x14ac:dyDescent="0.25">
      <c r="A4364" s="8">
        <v>983101</v>
      </c>
      <c r="B4364" s="22" t="str">
        <f>IFERROR(VLOOKUP(A4364,VLOOKUPS!$A$2:B$12589,2,FALSE),"")</f>
        <v>Melons Cantaloupes 1ct-LOOSE</v>
      </c>
      <c r="E4364">
        <v>3.19</v>
      </c>
      <c r="F4364">
        <v>2.0699999999999998</v>
      </c>
      <c r="G4364" s="13">
        <v>44699</v>
      </c>
      <c r="H4364" s="13">
        <v>44700</v>
      </c>
      <c r="I4364" s="22" t="str">
        <f>VLOOKUP(J4364, Dropdowns!N:O, 2, FALSE)</f>
        <v>Lower Price</v>
      </c>
      <c r="J4364" t="s">
        <v>759</v>
      </c>
      <c r="L4364" s="17" t="s">
        <v>734</v>
      </c>
      <c r="M4364" s="17" t="s">
        <v>9</v>
      </c>
      <c r="N4364" s="17" t="s">
        <v>736</v>
      </c>
    </row>
    <row r="4365" spans="1:14" x14ac:dyDescent="0.25">
      <c r="A4365" s="8">
        <v>983101</v>
      </c>
      <c r="B4365" s="22" t="str">
        <f>IFERROR(VLOOKUP(A4365,VLOOKUPS!$A$2:B$12589,2,FALSE),"")</f>
        <v>Melons Cantaloupes 1ct-LOOSE</v>
      </c>
      <c r="E4365">
        <v>2.0699999999999998</v>
      </c>
      <c r="F4365">
        <v>3.19</v>
      </c>
      <c r="G4365" s="13">
        <v>44701</v>
      </c>
      <c r="H4365" s="13"/>
      <c r="I4365" s="22" t="str">
        <f>VLOOKUP(J4365, Dropdowns!N:O, 2, FALSE)</f>
        <v>Standard</v>
      </c>
      <c r="J4365" t="s">
        <v>760</v>
      </c>
      <c r="L4365" s="17" t="s">
        <v>734</v>
      </c>
      <c r="M4365" s="17" t="s">
        <v>9</v>
      </c>
      <c r="N4365" s="17" t="s">
        <v>736</v>
      </c>
    </row>
    <row r="4366" spans="1:14" x14ac:dyDescent="0.25">
      <c r="A4366" s="8">
        <v>984700</v>
      </c>
      <c r="B4366" s="22" t="str">
        <f>IFERROR(VLOOKUP(A4366,VLOOKUPS!$A$2:B$12589,2,FALSE),"")</f>
        <v>Blackberries 6oz-standard</v>
      </c>
      <c r="E4366">
        <v>1.49</v>
      </c>
      <c r="F4366">
        <v>2.2400000000000002</v>
      </c>
      <c r="G4366" s="13">
        <v>44699</v>
      </c>
      <c r="H4366" s="13"/>
      <c r="I4366" s="22" t="str">
        <f>VLOOKUP(J4366, Dropdowns!N:O, 2, FALSE)</f>
        <v>Standard</v>
      </c>
      <c r="J4366" t="s">
        <v>760</v>
      </c>
      <c r="L4366" s="17" t="s">
        <v>733</v>
      </c>
      <c r="M4366" s="17" t="s">
        <v>736</v>
      </c>
      <c r="N4366" s="17" t="s">
        <v>740</v>
      </c>
    </row>
    <row r="4367" spans="1:14" x14ac:dyDescent="0.25">
      <c r="A4367" s="8">
        <v>984700</v>
      </c>
      <c r="B4367" s="22" t="str">
        <f>IFERROR(VLOOKUP(A4367,VLOOKUPS!$A$2:B$12589,2,FALSE),"")</f>
        <v>Blackberries 6oz-standard</v>
      </c>
      <c r="E4367">
        <v>1.29</v>
      </c>
      <c r="F4367">
        <v>1.96</v>
      </c>
      <c r="G4367" s="13">
        <v>44699</v>
      </c>
      <c r="H4367" s="13"/>
      <c r="I4367" s="22" t="str">
        <f>VLOOKUP(J4367, Dropdowns!N:O, 2, FALSE)</f>
        <v>Standard</v>
      </c>
      <c r="J4367" t="s">
        <v>760</v>
      </c>
      <c r="L4367" s="17" t="s">
        <v>734</v>
      </c>
      <c r="M4367" s="17" t="s">
        <v>9</v>
      </c>
      <c r="N4367" s="17" t="s">
        <v>736</v>
      </c>
    </row>
    <row r="4368" spans="1:14" x14ac:dyDescent="0.25">
      <c r="A4368" s="8">
        <v>984700</v>
      </c>
      <c r="B4368" s="22" t="str">
        <f>IFERROR(VLOOKUP(A4368,VLOOKUPS!$A$2:B$12589,2,FALSE),"")</f>
        <v>Blackberries 6oz-standard</v>
      </c>
      <c r="E4368">
        <v>1.96</v>
      </c>
      <c r="F4368">
        <v>2.39</v>
      </c>
      <c r="G4368" s="13">
        <v>44700</v>
      </c>
      <c r="H4368" s="13"/>
      <c r="I4368" s="22" t="str">
        <f>VLOOKUP(J4368, Dropdowns!N:O, 2, FALSE)</f>
        <v>Standard</v>
      </c>
      <c r="J4368" t="s">
        <v>761</v>
      </c>
      <c r="L4368" s="17" t="s">
        <v>734</v>
      </c>
      <c r="M4368" s="17" t="s">
        <v>9</v>
      </c>
      <c r="N4368" s="17" t="s">
        <v>736</v>
      </c>
    </row>
    <row r="4369" spans="1:14" x14ac:dyDescent="0.25">
      <c r="A4369" s="8">
        <v>985760</v>
      </c>
      <c r="B4369" s="22" t="str">
        <f>IFERROR(VLOOKUP(A4369,VLOOKUPS!$A$2:B$12589,2,FALSE),"")</f>
        <v>Asparagus 1lb-standard</v>
      </c>
      <c r="G4369" s="13">
        <v>44699</v>
      </c>
      <c r="H4369" s="13">
        <v>44705</v>
      </c>
      <c r="I4369" s="22" t="str">
        <f>VLOOKUP(J4369, Dropdowns!N:O, 2, FALSE)</f>
        <v>Lower Price</v>
      </c>
      <c r="J4369" t="s">
        <v>753</v>
      </c>
      <c r="L4369" s="17" t="s">
        <v>732</v>
      </c>
      <c r="M4369" s="17" t="s">
        <v>736</v>
      </c>
      <c r="N4369" s="17" t="s">
        <v>736</v>
      </c>
    </row>
    <row r="4370" spans="1:14" x14ac:dyDescent="0.25">
      <c r="A4370" s="8">
        <v>984541</v>
      </c>
      <c r="B4370" s="22" t="str">
        <f>IFERROR(VLOOKUP(A4370,VLOOKUPS!$A$2:B$12589,2,FALSE),"")</f>
        <v>Blueberries 1pt-standard</v>
      </c>
      <c r="G4370" s="13">
        <v>44699</v>
      </c>
      <c r="H4370" s="13">
        <v>44705</v>
      </c>
      <c r="I4370" s="22" t="str">
        <f>VLOOKUP(J4370, Dropdowns!N:O, 2, FALSE)</f>
        <v>Lower Price</v>
      </c>
      <c r="J4370" t="s">
        <v>753</v>
      </c>
      <c r="L4370" s="17" t="s">
        <v>732</v>
      </c>
      <c r="M4370" s="17" t="s">
        <v>736</v>
      </c>
      <c r="N4370" s="17" t="s">
        <v>736</v>
      </c>
    </row>
    <row r="4371" spans="1:14" x14ac:dyDescent="0.25">
      <c r="A4371" s="8">
        <v>995186</v>
      </c>
      <c r="B4371" s="22" t="str">
        <f>IFERROR(VLOOKUP(A4371,VLOOKUPS!$A$2:B$12589,2,FALSE),"")</f>
        <v>Organic Carrots and Ranch 5oz-standard</v>
      </c>
      <c r="E4371">
        <v>2.99</v>
      </c>
      <c r="F4371">
        <v>1.49</v>
      </c>
      <c r="G4371" s="13">
        <v>44699</v>
      </c>
      <c r="H4371" s="13">
        <v>44701</v>
      </c>
      <c r="I4371" s="22" t="str">
        <f>VLOOKUP(J4371, Dropdowns!N:O, 2, FALSE)</f>
        <v>Lower Price</v>
      </c>
      <c r="J4371" t="s">
        <v>759</v>
      </c>
      <c r="L4371" s="17" t="s">
        <v>732</v>
      </c>
      <c r="M4371" s="17" t="s">
        <v>736</v>
      </c>
      <c r="N4371" s="17" t="s">
        <v>736</v>
      </c>
    </row>
    <row r="4372" spans="1:14" x14ac:dyDescent="0.25">
      <c r="A4372" s="8">
        <v>995186</v>
      </c>
      <c r="B4372" s="22" t="str">
        <f>IFERROR(VLOOKUP(A4372,VLOOKUPS!$A$2:B$12589,2,FALSE),"")</f>
        <v>Organic Carrots and Ranch 5oz-standard</v>
      </c>
      <c r="E4372">
        <v>1.49</v>
      </c>
      <c r="F4372">
        <v>2.99</v>
      </c>
      <c r="G4372" s="13">
        <v>44702</v>
      </c>
      <c r="H4372" s="13"/>
      <c r="I4372" s="22" t="str">
        <f>VLOOKUP(J4372, Dropdowns!N:O, 2, FALSE)</f>
        <v>Standard</v>
      </c>
      <c r="J4372" t="s">
        <v>760</v>
      </c>
      <c r="L4372" s="17" t="s">
        <v>732</v>
      </c>
      <c r="M4372" s="17" t="s">
        <v>736</v>
      </c>
      <c r="N4372" s="17" t="s">
        <v>736</v>
      </c>
    </row>
    <row r="4373" spans="1:14" x14ac:dyDescent="0.25">
      <c r="A4373" s="8">
        <v>995187</v>
      </c>
      <c r="B4373" s="22" t="str">
        <f>IFERROR(VLOOKUP(A4373,VLOOKUPS!$A$2:B$12589,2,FALSE),"")</f>
        <v>Organic Carrots and Guacamole 5oz-standard</v>
      </c>
      <c r="E4373">
        <v>2.99</v>
      </c>
      <c r="F4373">
        <v>1.49</v>
      </c>
      <c r="G4373" s="13">
        <v>44699</v>
      </c>
      <c r="H4373" s="13">
        <v>44701</v>
      </c>
      <c r="I4373" s="22" t="str">
        <f>VLOOKUP(J4373, Dropdowns!N:O, 2, FALSE)</f>
        <v>Lower Price</v>
      </c>
      <c r="J4373" t="s">
        <v>759</v>
      </c>
      <c r="L4373" s="17" t="s">
        <v>732</v>
      </c>
      <c r="M4373" s="17" t="s">
        <v>736</v>
      </c>
      <c r="N4373" s="17" t="s">
        <v>736</v>
      </c>
    </row>
    <row r="4374" spans="1:14" x14ac:dyDescent="0.25">
      <c r="A4374" s="8">
        <v>995187</v>
      </c>
      <c r="B4374" s="22" t="str">
        <f>IFERROR(VLOOKUP(A4374,VLOOKUPS!$A$2:B$12589,2,FALSE),"")</f>
        <v>Organic Carrots and Guacamole 5oz-standard</v>
      </c>
      <c r="E4374">
        <v>1.49</v>
      </c>
      <c r="F4374">
        <v>2.99</v>
      </c>
      <c r="G4374" s="13">
        <v>44702</v>
      </c>
      <c r="H4374" s="13"/>
      <c r="I4374" s="22" t="str">
        <f>VLOOKUP(J4374, Dropdowns!N:O, 2, FALSE)</f>
        <v>Standard</v>
      </c>
      <c r="J4374" t="s">
        <v>760</v>
      </c>
      <c r="L4374" s="17" t="s">
        <v>732</v>
      </c>
      <c r="M4374" s="17" t="s">
        <v>736</v>
      </c>
      <c r="N4374" s="17" t="s">
        <v>736</v>
      </c>
    </row>
    <row r="4375" spans="1:14" x14ac:dyDescent="0.25">
      <c r="A4375" s="8">
        <v>995041</v>
      </c>
      <c r="B4375" s="22" t="str">
        <f>IFERROR(VLOOKUP(A4375,VLOOKUPS!$A$2:B$12589,2,FALSE),"")</f>
        <v>Pineapple Spears 16oz-standard</v>
      </c>
      <c r="E4375">
        <v>4.78</v>
      </c>
      <c r="F4375">
        <v>4.99</v>
      </c>
      <c r="G4375" s="13">
        <v>44700</v>
      </c>
      <c r="H4375" s="13"/>
      <c r="I4375" s="22" t="str">
        <f>VLOOKUP(J4375, Dropdowns!N:O, 2, FALSE)</f>
        <v>Standard</v>
      </c>
      <c r="J4375" t="s">
        <v>761</v>
      </c>
      <c r="L4375" s="17" t="s">
        <v>734</v>
      </c>
      <c r="M4375" s="17" t="s">
        <v>9</v>
      </c>
      <c r="N4375" s="17" t="s">
        <v>736</v>
      </c>
    </row>
    <row r="4376" spans="1:14" x14ac:dyDescent="0.25">
      <c r="A4376" s="8">
        <v>995042</v>
      </c>
      <c r="B4376" s="22" t="str">
        <f>IFERROR(VLOOKUP(A4376,VLOOKUPS!$A$2:B$12589,2,FALSE),"")</f>
        <v>Mango Chunks 16oz-standard</v>
      </c>
      <c r="E4376">
        <v>5.48</v>
      </c>
      <c r="F4376">
        <v>5.99</v>
      </c>
      <c r="G4376" s="13">
        <v>44700</v>
      </c>
      <c r="H4376" s="13"/>
      <c r="I4376" s="22" t="str">
        <f>VLOOKUP(J4376, Dropdowns!N:O, 2, FALSE)</f>
        <v>Standard</v>
      </c>
      <c r="J4376" t="s">
        <v>761</v>
      </c>
      <c r="L4376" s="17" t="s">
        <v>734</v>
      </c>
      <c r="M4376" s="17" t="s">
        <v>9</v>
      </c>
      <c r="N4376" s="17" t="s">
        <v>736</v>
      </c>
    </row>
    <row r="4377" spans="1:14" x14ac:dyDescent="0.25">
      <c r="A4377" s="8">
        <v>995102</v>
      </c>
      <c r="B4377" s="22" t="str">
        <f>IFERROR(VLOOKUP(A4377,VLOOKUPS!$A$2:B$12589,2,FALSE),"")</f>
        <v>Cantaloupe Chunks 16oz-standard</v>
      </c>
      <c r="E4377">
        <v>4.78</v>
      </c>
      <c r="F4377">
        <v>4.99</v>
      </c>
      <c r="G4377" s="13">
        <v>44700</v>
      </c>
      <c r="H4377" s="13"/>
      <c r="I4377" s="22" t="str">
        <f>VLOOKUP(J4377, Dropdowns!N:O, 2, FALSE)</f>
        <v>Standard</v>
      </c>
      <c r="J4377" t="s">
        <v>761</v>
      </c>
      <c r="L4377" s="17" t="s">
        <v>734</v>
      </c>
      <c r="M4377" s="17" t="s">
        <v>9</v>
      </c>
      <c r="N4377" s="17" t="s">
        <v>736</v>
      </c>
    </row>
    <row r="4378" spans="1:14" x14ac:dyDescent="0.25">
      <c r="A4378" s="8">
        <v>995043</v>
      </c>
      <c r="B4378" s="22" t="str">
        <f>IFERROR(VLOOKUP(A4378,VLOOKUPS!$A$2:B$12589,2,FALSE),"")</f>
        <v>Watermelon Chunks 16oz-standard</v>
      </c>
      <c r="E4378">
        <v>4.78</v>
      </c>
      <c r="F4378">
        <v>4.99</v>
      </c>
      <c r="G4378" s="13">
        <v>44700</v>
      </c>
      <c r="H4378" s="13"/>
      <c r="I4378" s="22" t="str">
        <f>VLOOKUP(J4378, Dropdowns!N:O, 2, FALSE)</f>
        <v>Standard</v>
      </c>
      <c r="J4378" t="s">
        <v>761</v>
      </c>
      <c r="L4378" s="17" t="s">
        <v>734</v>
      </c>
      <c r="M4378" s="17" t="s">
        <v>9</v>
      </c>
      <c r="N4378" s="17" t="s">
        <v>736</v>
      </c>
    </row>
    <row r="4379" spans="1:14" x14ac:dyDescent="0.25">
      <c r="A4379" s="8">
        <v>995141</v>
      </c>
      <c r="B4379" s="22" t="str">
        <f>IFERROR(VLOOKUP(A4379,VLOOKUPS!$A$2:B$12589,2,FALSE),"")</f>
        <v>Watermelon Chunks 32oz-standard</v>
      </c>
      <c r="E4379">
        <v>7.97</v>
      </c>
      <c r="F4379">
        <v>8.2899999999999991</v>
      </c>
      <c r="G4379" s="13">
        <v>44700</v>
      </c>
      <c r="H4379" s="13"/>
      <c r="I4379" s="22" t="str">
        <f>VLOOKUP(J4379, Dropdowns!N:O, 2, FALSE)</f>
        <v>Standard</v>
      </c>
      <c r="J4379" t="s">
        <v>761</v>
      </c>
      <c r="L4379" s="17" t="s">
        <v>734</v>
      </c>
      <c r="M4379" s="17" t="s">
        <v>9</v>
      </c>
      <c r="N4379" s="17" t="s">
        <v>736</v>
      </c>
    </row>
    <row r="4380" spans="1:14" x14ac:dyDescent="0.25">
      <c r="A4380" s="8">
        <v>995097</v>
      </c>
      <c r="B4380" s="22" t="str">
        <f>IFERROR(VLOOKUP(A4380,VLOOKUPS!$A$2:B$12589,2,FALSE),"")</f>
        <v>Butternut Diced 12oz-standard</v>
      </c>
      <c r="E4380">
        <v>2.25</v>
      </c>
      <c r="F4380">
        <v>2.4900000000000002</v>
      </c>
      <c r="G4380" s="13">
        <v>44700</v>
      </c>
      <c r="H4380" s="13"/>
      <c r="I4380" s="22" t="str">
        <f>VLOOKUP(J4380, Dropdowns!N:O, 2, FALSE)</f>
        <v>Standard</v>
      </c>
      <c r="J4380" t="s">
        <v>761</v>
      </c>
      <c r="L4380" s="17" t="s">
        <v>734</v>
      </c>
      <c r="M4380" s="17" t="s">
        <v>9</v>
      </c>
      <c r="N4380" s="17" t="s">
        <v>736</v>
      </c>
    </row>
    <row r="4381" spans="1:14" x14ac:dyDescent="0.25">
      <c r="A4381" s="8">
        <v>995183</v>
      </c>
      <c r="B4381" s="22" t="str">
        <f>IFERROR(VLOOKUP(A4381,VLOOKUPS!$A$2:B$12589,2,FALSE),"")</f>
        <v>Petite Carrots 8oz-standard</v>
      </c>
      <c r="E4381">
        <v>2.5</v>
      </c>
      <c r="F4381">
        <v>2.79</v>
      </c>
      <c r="G4381" s="13">
        <v>44700</v>
      </c>
      <c r="H4381" s="13"/>
      <c r="I4381" s="22" t="str">
        <f>VLOOKUP(J4381, Dropdowns!N:O, 2, FALSE)</f>
        <v>Standard</v>
      </c>
      <c r="J4381" t="s">
        <v>761</v>
      </c>
      <c r="L4381" s="17" t="s">
        <v>734</v>
      </c>
      <c r="M4381" s="17" t="s">
        <v>9</v>
      </c>
      <c r="N4381" s="17" t="s">
        <v>736</v>
      </c>
    </row>
    <row r="4382" spans="1:14" x14ac:dyDescent="0.25">
      <c r="A4382" s="8">
        <v>995184</v>
      </c>
      <c r="B4382" s="22" t="str">
        <f>IFERROR(VLOOKUP(A4382,VLOOKUPS!$A$2:B$12589,2,FALSE),"")</f>
        <v>English Peas 8oz-standard</v>
      </c>
      <c r="E4382">
        <v>2.5</v>
      </c>
      <c r="F4382">
        <v>2.79</v>
      </c>
      <c r="G4382" s="13">
        <v>44700</v>
      </c>
      <c r="H4382" s="13"/>
      <c r="I4382" s="22" t="str">
        <f>VLOOKUP(J4382, Dropdowns!N:O, 2, FALSE)</f>
        <v>Standard</v>
      </c>
      <c r="J4382" t="s">
        <v>761</v>
      </c>
      <c r="L4382" s="17" t="s">
        <v>734</v>
      </c>
      <c r="M4382" s="17" t="s">
        <v>9</v>
      </c>
      <c r="N4382" s="17" t="s">
        <v>736</v>
      </c>
    </row>
    <row r="4383" spans="1:14" x14ac:dyDescent="0.25">
      <c r="A4383" s="8">
        <v>995046</v>
      </c>
      <c r="B4383" s="22" t="str">
        <f>IFERROR(VLOOKUP(A4383,VLOOKUPS!$A$2:B$12589,2,FALSE),"")</f>
        <v>Diced Onion 8oz-standard</v>
      </c>
      <c r="E4383">
        <v>2.58</v>
      </c>
      <c r="F4383">
        <v>2.78</v>
      </c>
      <c r="G4383" s="13">
        <v>44700</v>
      </c>
      <c r="H4383" s="13"/>
      <c r="I4383" s="22" t="str">
        <f>VLOOKUP(J4383, Dropdowns!N:O, 2, FALSE)</f>
        <v>Standard</v>
      </c>
      <c r="J4383" t="s">
        <v>761</v>
      </c>
      <c r="L4383" s="17" t="s">
        <v>734</v>
      </c>
      <c r="M4383" s="17" t="s">
        <v>9</v>
      </c>
      <c r="N4383" s="17" t="s">
        <v>736</v>
      </c>
    </row>
    <row r="4384" spans="1:14" x14ac:dyDescent="0.25">
      <c r="A4384" s="8">
        <v>982740</v>
      </c>
      <c r="B4384" s="22" t="str">
        <f>IFERROR(VLOOKUP(A4384,VLOOKUPS!$A$2:B$12589,2,FALSE),"")</f>
        <v>Grapes* Red Seedless 1lb-LOOSE</v>
      </c>
      <c r="E4384">
        <v>1.88</v>
      </c>
      <c r="F4384">
        <v>1.99</v>
      </c>
      <c r="G4384" s="13">
        <v>44700</v>
      </c>
      <c r="H4384" s="13"/>
      <c r="I4384" s="22" t="str">
        <f>VLOOKUP(J4384, Dropdowns!N:O, 2, FALSE)</f>
        <v>Standard</v>
      </c>
      <c r="J4384" t="s">
        <v>761</v>
      </c>
      <c r="L4384" s="17" t="s">
        <v>734</v>
      </c>
      <c r="M4384" s="17" t="s">
        <v>9</v>
      </c>
      <c r="N4384" s="17" t="s">
        <v>736</v>
      </c>
    </row>
    <row r="4385" spans="1:17" x14ac:dyDescent="0.25">
      <c r="A4385" s="8">
        <v>982650</v>
      </c>
      <c r="B4385" s="22" t="str">
        <f>IFERROR(VLOOKUP(A4385,VLOOKUPS!$A$2:B$12589,2,FALSE),"")</f>
        <v>Grapes* Green Seedless 1lb-LOOSE</v>
      </c>
      <c r="E4385">
        <v>2.59</v>
      </c>
      <c r="F4385">
        <v>1.29</v>
      </c>
      <c r="G4385" s="13">
        <v>44700</v>
      </c>
      <c r="H4385" s="13">
        <v>44702</v>
      </c>
      <c r="I4385" s="22" t="str">
        <f>VLOOKUP(J4385, Dropdowns!N:O, 2, FALSE)</f>
        <v>Lower Price</v>
      </c>
      <c r="J4385" t="s">
        <v>759</v>
      </c>
      <c r="L4385" s="17" t="s">
        <v>732</v>
      </c>
      <c r="M4385" s="17" t="s">
        <v>735</v>
      </c>
      <c r="N4385" s="17" t="s">
        <v>736</v>
      </c>
    </row>
    <row r="4386" spans="1:17" x14ac:dyDescent="0.25">
      <c r="A4386" s="8">
        <v>982650</v>
      </c>
      <c r="B4386" s="22" t="str">
        <f>IFERROR(VLOOKUP(A4386,VLOOKUPS!$A$2:B$12589,2,FALSE),"")</f>
        <v>Grapes* Green Seedless 1lb-LOOSE</v>
      </c>
      <c r="E4386">
        <v>1.29</v>
      </c>
      <c r="F4386">
        <v>2.59</v>
      </c>
      <c r="G4386" s="13">
        <v>44703</v>
      </c>
      <c r="H4386" s="13"/>
      <c r="I4386" s="22" t="str">
        <f>VLOOKUP(J4386, Dropdowns!N:O, 2, FALSE)</f>
        <v>Standard</v>
      </c>
      <c r="J4386" t="s">
        <v>760</v>
      </c>
      <c r="L4386" s="17" t="s">
        <v>732</v>
      </c>
      <c r="M4386" s="17" t="s">
        <v>735</v>
      </c>
      <c r="N4386" s="17" t="s">
        <v>736</v>
      </c>
    </row>
    <row r="4387" spans="1:17" x14ac:dyDescent="0.25">
      <c r="A4387" s="8">
        <v>984700</v>
      </c>
      <c r="B4387" s="22" t="str">
        <f>IFERROR(VLOOKUP(A4387,VLOOKUPS!$A$2:B$12589,2,FALSE),"")</f>
        <v>Blackberries 6oz-standard</v>
      </c>
      <c r="E4387">
        <v>2.2400000000000002</v>
      </c>
      <c r="F4387">
        <v>2.88</v>
      </c>
      <c r="G4387" s="13">
        <v>44701</v>
      </c>
      <c r="H4387" s="13"/>
      <c r="I4387" s="22" t="str">
        <f>VLOOKUP(J4387, Dropdowns!N:O, 2, FALSE)</f>
        <v>Standard</v>
      </c>
      <c r="J4387" t="s">
        <v>761</v>
      </c>
      <c r="L4387" s="17" t="s">
        <v>733</v>
      </c>
      <c r="M4387" s="17" t="s">
        <v>736</v>
      </c>
      <c r="N4387" s="17" t="s">
        <v>740</v>
      </c>
    </row>
    <row r="4388" spans="1:17" x14ac:dyDescent="0.25">
      <c r="A4388" s="8">
        <v>984700</v>
      </c>
      <c r="B4388" s="22" t="str">
        <f>IFERROR(VLOOKUP(A4388,VLOOKUPS!$A$2:B$12589,2,FALSE),"")</f>
        <v>Blackberries 6oz-standard</v>
      </c>
      <c r="E4388">
        <v>2.39</v>
      </c>
      <c r="F4388">
        <v>3.19</v>
      </c>
      <c r="G4388" s="13">
        <v>44701</v>
      </c>
      <c r="H4388" s="13"/>
      <c r="I4388" s="22" t="str">
        <f>VLOOKUP(J4388, Dropdowns!N:O, 2, FALSE)</f>
        <v>Standard</v>
      </c>
      <c r="J4388" t="s">
        <v>761</v>
      </c>
      <c r="L4388" s="17" t="s">
        <v>734</v>
      </c>
      <c r="M4388" s="17" t="s">
        <v>9</v>
      </c>
      <c r="N4388" s="17" t="s">
        <v>736</v>
      </c>
    </row>
    <row r="4389" spans="1:17" x14ac:dyDescent="0.25">
      <c r="A4389" s="8">
        <v>984700</v>
      </c>
      <c r="B4389" s="22" t="str">
        <f>IFERROR(VLOOKUP(A4389,VLOOKUPS!$A$2:B$12589,2,FALSE),"")</f>
        <v>Blackberries 6oz-standard</v>
      </c>
      <c r="E4389">
        <v>2.2400000000000002</v>
      </c>
      <c r="F4389">
        <v>2.88</v>
      </c>
      <c r="G4389" s="13">
        <v>44701</v>
      </c>
      <c r="H4389" s="13"/>
      <c r="I4389" s="22" t="str">
        <f>VLOOKUP(J4389, Dropdowns!N:O, 2, FALSE)</f>
        <v>Standard</v>
      </c>
      <c r="J4389" t="s">
        <v>761</v>
      </c>
      <c r="L4389" s="17" t="s">
        <v>734</v>
      </c>
      <c r="M4389" s="17" t="s">
        <v>10</v>
      </c>
      <c r="N4389" s="17">
        <v>2</v>
      </c>
    </row>
    <row r="4390" spans="1:17" x14ac:dyDescent="0.25">
      <c r="A4390" s="8">
        <v>984702</v>
      </c>
      <c r="B4390" s="22" t="str">
        <f>IFERROR(VLOOKUP(A4390,VLOOKUPS!$A$2:B$12589,2,FALSE),"")</f>
        <v>Blackberries 12oz-standard</v>
      </c>
      <c r="E4390">
        <v>4.1399999999999997</v>
      </c>
      <c r="F4390">
        <v>4.9800000000000004</v>
      </c>
      <c r="G4390" s="13">
        <v>44701</v>
      </c>
      <c r="H4390" s="13"/>
      <c r="I4390" s="22" t="str">
        <f>VLOOKUP(J4390, Dropdowns!N:O, 2, FALSE)</f>
        <v>Standard</v>
      </c>
      <c r="J4390" t="s">
        <v>761</v>
      </c>
      <c r="L4390" s="17" t="s">
        <v>732</v>
      </c>
      <c r="M4390" s="17" t="s">
        <v>736</v>
      </c>
      <c r="N4390" s="17" t="s">
        <v>736</v>
      </c>
    </row>
    <row r="4391" spans="1:17" x14ac:dyDescent="0.25">
      <c r="A4391" s="8">
        <v>984702</v>
      </c>
      <c r="B4391" s="22" t="str">
        <f>IFERROR(VLOOKUP(A4391,VLOOKUPS!$A$2:B$12589,2,FALSE),"")</f>
        <v>Blackberries 12oz-standard</v>
      </c>
      <c r="E4391">
        <v>4.1399999999999997</v>
      </c>
      <c r="F4391">
        <v>4.9800000000000004</v>
      </c>
      <c r="G4391" s="13">
        <v>44701</v>
      </c>
      <c r="H4391" s="13"/>
      <c r="I4391" s="22" t="str">
        <f>VLOOKUP(J4391, Dropdowns!N:O, 2, FALSE)</f>
        <v>Standard</v>
      </c>
      <c r="J4391" t="s">
        <v>761</v>
      </c>
      <c r="L4391" s="17" t="s">
        <v>734</v>
      </c>
      <c r="M4391" s="17" t="s">
        <v>10</v>
      </c>
      <c r="N4391" s="17">
        <v>2</v>
      </c>
    </row>
    <row r="4392" spans="1:17" x14ac:dyDescent="0.25">
      <c r="A4392" s="8">
        <v>995188</v>
      </c>
      <c r="B4392" s="22" t="str">
        <f>IFERROR(VLOOKUP(A4392,VLOOKUPS!$A$2:B$12589,2,FALSE),"")</f>
        <v>Carrots and Hummus 5.5oz-standard</v>
      </c>
      <c r="D4392">
        <v>6</v>
      </c>
      <c r="F4392">
        <v>2.99</v>
      </c>
      <c r="G4392" s="13">
        <v>44701</v>
      </c>
      <c r="H4392" s="13"/>
      <c r="I4392" s="22" t="str">
        <f>VLOOKUP(J4392, Dropdowns!N:O, 2, FALSE)</f>
        <v>New</v>
      </c>
      <c r="J4392" t="s">
        <v>776</v>
      </c>
      <c r="L4392" s="17" t="s">
        <v>732</v>
      </c>
      <c r="M4392" s="17" t="s">
        <v>736</v>
      </c>
      <c r="N4392" s="17" t="s">
        <v>736</v>
      </c>
      <c r="O4392" s="17" t="s">
        <v>748</v>
      </c>
      <c r="P4392">
        <v>1</v>
      </c>
      <c r="Q4392" s="17" t="s">
        <v>1044</v>
      </c>
    </row>
    <row r="4393" spans="1:17" x14ac:dyDescent="0.25">
      <c r="A4393" s="8">
        <v>995189</v>
      </c>
      <c r="B4393" s="22" t="str">
        <f>IFERROR(VLOOKUP(A4393,VLOOKUPS!$A$2:B$12589,2,FALSE),"")</f>
        <v>Celery and Hummus 5.5oz-standard</v>
      </c>
      <c r="D4393">
        <v>6</v>
      </c>
      <c r="F4393">
        <v>2.99</v>
      </c>
      <c r="G4393" s="13">
        <v>44701</v>
      </c>
      <c r="H4393" s="13"/>
      <c r="I4393" s="22" t="str">
        <f>VLOOKUP(J4393, Dropdowns!N:O, 2, FALSE)</f>
        <v>New</v>
      </c>
      <c r="J4393" t="s">
        <v>776</v>
      </c>
      <c r="L4393" s="17" t="s">
        <v>732</v>
      </c>
      <c r="M4393" s="17" t="s">
        <v>736</v>
      </c>
      <c r="N4393" s="17" t="s">
        <v>736</v>
      </c>
      <c r="O4393" s="17" t="s">
        <v>748</v>
      </c>
      <c r="P4393">
        <v>1</v>
      </c>
      <c r="Q4393" s="17" t="s">
        <v>1044</v>
      </c>
    </row>
    <row r="4394" spans="1:17" x14ac:dyDescent="0.25">
      <c r="A4394" s="8">
        <v>995185</v>
      </c>
      <c r="B4394" s="22" t="str">
        <f>IFERROR(VLOOKUP(A4394,VLOOKUPS!$A$2:B$12589,2,FALSE),"")</f>
        <v>Organic Crisp Romaine 4oz-standard</v>
      </c>
      <c r="E4394">
        <v>2.98</v>
      </c>
      <c r="F4394">
        <v>1.49</v>
      </c>
      <c r="G4394" s="13">
        <v>44701</v>
      </c>
      <c r="H4394" s="13">
        <v>44702</v>
      </c>
      <c r="I4394" s="22" t="str">
        <f>VLOOKUP(J4394, Dropdowns!N:O, 2, FALSE)</f>
        <v>Lower Price</v>
      </c>
      <c r="J4394" t="s">
        <v>759</v>
      </c>
      <c r="L4394" s="17" t="s">
        <v>733</v>
      </c>
      <c r="M4394" s="17" t="s">
        <v>10</v>
      </c>
      <c r="N4394" s="17" t="s">
        <v>740</v>
      </c>
    </row>
    <row r="4395" spans="1:17" x14ac:dyDescent="0.25">
      <c r="A4395" s="8">
        <v>995185</v>
      </c>
      <c r="B4395" s="22" t="str">
        <f>IFERROR(VLOOKUP(A4395,VLOOKUPS!$A$2:B$12589,2,FALSE),"")</f>
        <v>Organic Crisp Romaine 4oz-standard</v>
      </c>
      <c r="E4395">
        <v>1.49</v>
      </c>
      <c r="F4395">
        <v>2.98</v>
      </c>
      <c r="G4395" s="13">
        <v>44703</v>
      </c>
      <c r="H4395" s="13"/>
      <c r="I4395" s="22" t="str">
        <f>VLOOKUP(J4395, Dropdowns!N:O, 2, FALSE)</f>
        <v>Standard</v>
      </c>
      <c r="J4395" t="s">
        <v>760</v>
      </c>
      <c r="L4395" s="17" t="s">
        <v>733</v>
      </c>
      <c r="M4395" s="17" t="s">
        <v>10</v>
      </c>
      <c r="N4395" s="17" t="s">
        <v>740</v>
      </c>
    </row>
    <row r="4396" spans="1:17" x14ac:dyDescent="0.25">
      <c r="A4396" s="8">
        <v>995012</v>
      </c>
      <c r="B4396" s="22" t="str">
        <f>IFERROR(VLOOKUP(A4396,VLOOKUPS!$A$2:B$12589,2,FALSE),"")</f>
        <v>RTE Cranberry Walnut Salad 4.5oz-standard</v>
      </c>
      <c r="D4396">
        <v>8</v>
      </c>
      <c r="E4396">
        <v>3.12</v>
      </c>
      <c r="G4396" s="13">
        <v>44701</v>
      </c>
      <c r="H4396" s="13"/>
      <c r="I4396" s="22" t="str">
        <f>VLOOKUP(J4396, Dropdowns!N:O, 2, FALSE)</f>
        <v>New</v>
      </c>
      <c r="J4396" t="s">
        <v>776</v>
      </c>
      <c r="L4396" s="17" t="s">
        <v>732</v>
      </c>
      <c r="M4396" s="17" t="s">
        <v>736</v>
      </c>
      <c r="N4396" s="17" t="s">
        <v>736</v>
      </c>
      <c r="O4396" s="17" t="s">
        <v>748</v>
      </c>
      <c r="P4396">
        <v>1</v>
      </c>
      <c r="Q4396" s="17" t="s">
        <v>1044</v>
      </c>
    </row>
    <row r="4397" spans="1:17" x14ac:dyDescent="0.25">
      <c r="A4397" s="8">
        <v>995012</v>
      </c>
      <c r="B4397" s="22" t="str">
        <f>IFERROR(VLOOKUP(A4397,VLOOKUPS!$A$2:B$12589,2,FALSE),"")</f>
        <v>RTE Cranberry Walnut Salad 4.5oz-standard</v>
      </c>
      <c r="E4397">
        <v>3.12</v>
      </c>
      <c r="F4397">
        <v>3.27</v>
      </c>
      <c r="G4397" s="13">
        <v>44702</v>
      </c>
      <c r="H4397" s="13"/>
      <c r="I4397" s="22" t="str">
        <f>VLOOKUP(J4397, Dropdowns!N:O, 2, FALSE)</f>
        <v>Standard</v>
      </c>
      <c r="J4397" t="s">
        <v>761</v>
      </c>
      <c r="L4397" s="17" t="s">
        <v>733</v>
      </c>
      <c r="M4397" s="17" t="s">
        <v>736</v>
      </c>
      <c r="N4397" s="17" t="s">
        <v>740</v>
      </c>
    </row>
    <row r="4398" spans="1:17" x14ac:dyDescent="0.25">
      <c r="A4398" s="8">
        <v>995012</v>
      </c>
      <c r="B4398" s="22" t="str">
        <f>IFERROR(VLOOKUP(A4398,VLOOKUPS!$A$2:B$12589,2,FALSE),"")</f>
        <v>RTE Cranberry Walnut Salad 4.5oz-standard</v>
      </c>
      <c r="E4398">
        <v>3.12</v>
      </c>
      <c r="F4398">
        <v>3.49</v>
      </c>
      <c r="G4398" s="13">
        <v>44702</v>
      </c>
      <c r="H4398" s="13"/>
      <c r="I4398" s="22" t="str">
        <f>VLOOKUP(J4398, Dropdowns!N:O, 2, FALSE)</f>
        <v>Standard</v>
      </c>
      <c r="J4398" t="s">
        <v>761</v>
      </c>
      <c r="L4398" s="17" t="s">
        <v>734</v>
      </c>
      <c r="M4398" s="17" t="s">
        <v>9</v>
      </c>
      <c r="N4398" s="17" t="s">
        <v>736</v>
      </c>
    </row>
    <row r="4399" spans="1:17" x14ac:dyDescent="0.25">
      <c r="A4399" s="8">
        <v>984620</v>
      </c>
      <c r="B4399" s="22" t="str">
        <f>IFERROR(VLOOKUP(A4399,VLOOKUPS!$A$2:B$12589,2,FALSE),"")</f>
        <v>Raspberries 6oz-standard</v>
      </c>
      <c r="G4399" s="13">
        <v>44702</v>
      </c>
      <c r="H4399" s="13">
        <v>44703</v>
      </c>
      <c r="I4399" s="22" t="str">
        <f>VLOOKUP(J4399, Dropdowns!N:O, 2, FALSE)</f>
        <v>Lower Price</v>
      </c>
      <c r="J4399" t="s">
        <v>1095</v>
      </c>
      <c r="L4399" s="17" t="s">
        <v>732</v>
      </c>
      <c r="M4399" s="17" t="s">
        <v>736</v>
      </c>
      <c r="N4399" s="17" t="s">
        <v>736</v>
      </c>
    </row>
    <row r="4400" spans="1:17" x14ac:dyDescent="0.25">
      <c r="A4400" s="8">
        <v>984620</v>
      </c>
      <c r="B4400" s="22" t="str">
        <f>IFERROR(VLOOKUP(A4400,VLOOKUPS!$A$2:B$12589,2,FALSE),"")</f>
        <v>Raspberries 6oz-standard</v>
      </c>
      <c r="G4400" s="13">
        <v>44704</v>
      </c>
      <c r="H4400" s="13">
        <v>44704</v>
      </c>
      <c r="I4400" s="22" t="str">
        <f>VLOOKUP(J4400, Dropdowns!N:O, 2, FALSE)</f>
        <v>Lower Price</v>
      </c>
      <c r="J4400" t="s">
        <v>762</v>
      </c>
      <c r="L4400" s="17" t="s">
        <v>732</v>
      </c>
      <c r="M4400" s="17" t="s">
        <v>736</v>
      </c>
      <c r="N4400" s="17" t="s">
        <v>736</v>
      </c>
    </row>
    <row r="4401" spans="1:17" x14ac:dyDescent="0.25">
      <c r="A4401" s="8">
        <v>985990</v>
      </c>
      <c r="B4401" s="22" t="str">
        <f>IFERROR(VLOOKUP(A4401,VLOOKUPS!$A$2:B$12589,2,FALSE),"")</f>
        <v>Ginger* 1lb-LOOSE</v>
      </c>
      <c r="E4401">
        <v>2.98</v>
      </c>
      <c r="F4401">
        <v>1.49</v>
      </c>
      <c r="G4401" s="13">
        <v>44702</v>
      </c>
      <c r="H4401" s="13">
        <v>44703</v>
      </c>
      <c r="I4401" s="22" t="str">
        <f>VLOOKUP(J4401, Dropdowns!N:O, 2, FALSE)</f>
        <v>Lower Price</v>
      </c>
      <c r="J4401" t="s">
        <v>759</v>
      </c>
      <c r="L4401" s="17" t="s">
        <v>733</v>
      </c>
      <c r="M4401" s="17" t="s">
        <v>9</v>
      </c>
      <c r="N4401" s="17" t="s">
        <v>740</v>
      </c>
    </row>
    <row r="4402" spans="1:17" x14ac:dyDescent="0.25">
      <c r="A4402" s="8">
        <v>985990</v>
      </c>
      <c r="B4402" s="22" t="str">
        <f>IFERROR(VLOOKUP(A4402,VLOOKUPS!$A$2:B$12589,2,FALSE),"")</f>
        <v>Ginger* 1lb-LOOSE</v>
      </c>
      <c r="E4402">
        <v>2.99</v>
      </c>
      <c r="F4402">
        <v>1.49</v>
      </c>
      <c r="G4402" s="13">
        <v>44702</v>
      </c>
      <c r="H4402" s="13">
        <v>44703</v>
      </c>
      <c r="I4402" s="22" t="str">
        <f>VLOOKUP(J4402, Dropdowns!N:O, 2, FALSE)</f>
        <v>Lower Price</v>
      </c>
      <c r="J4402" t="s">
        <v>759</v>
      </c>
      <c r="L4402" s="17" t="s">
        <v>734</v>
      </c>
      <c r="M4402" s="17" t="s">
        <v>9</v>
      </c>
      <c r="N4402" s="17" t="s">
        <v>736</v>
      </c>
    </row>
    <row r="4403" spans="1:17" x14ac:dyDescent="0.25">
      <c r="A4403" s="8">
        <v>985990</v>
      </c>
      <c r="B4403" s="22" t="str">
        <f>IFERROR(VLOOKUP(A4403,VLOOKUPS!$A$2:B$12589,2,FALSE),"")</f>
        <v>Ginger* 1lb-LOOSE</v>
      </c>
      <c r="E4403">
        <v>1.49</v>
      </c>
      <c r="F4403">
        <v>2.98</v>
      </c>
      <c r="G4403" s="13">
        <v>44704</v>
      </c>
      <c r="H4403" s="13"/>
      <c r="I4403" s="22" t="str">
        <f>VLOOKUP(J4403, Dropdowns!N:O, 2, FALSE)</f>
        <v>Standard</v>
      </c>
      <c r="J4403" t="s">
        <v>760</v>
      </c>
      <c r="L4403" s="17" t="s">
        <v>733</v>
      </c>
      <c r="M4403" s="17" t="s">
        <v>9</v>
      </c>
      <c r="N4403" s="17" t="s">
        <v>740</v>
      </c>
    </row>
    <row r="4404" spans="1:17" x14ac:dyDescent="0.25">
      <c r="A4404" s="8">
        <v>985990</v>
      </c>
      <c r="B4404" s="22" t="str">
        <f>IFERROR(VLOOKUP(A4404,VLOOKUPS!$A$2:B$12589,2,FALSE),"")</f>
        <v>Ginger* 1lb-LOOSE</v>
      </c>
      <c r="E4404">
        <v>1.49</v>
      </c>
      <c r="F4404">
        <v>2.99</v>
      </c>
      <c r="G4404" s="13">
        <v>44704</v>
      </c>
      <c r="H4404" s="13"/>
      <c r="I4404" s="22" t="str">
        <f>VLOOKUP(J4404, Dropdowns!N:O, 2, FALSE)</f>
        <v>Standard</v>
      </c>
      <c r="J4404" t="s">
        <v>760</v>
      </c>
      <c r="L4404" s="17" t="s">
        <v>734</v>
      </c>
      <c r="M4404" s="17" t="s">
        <v>9</v>
      </c>
      <c r="N4404" s="17" t="s">
        <v>736</v>
      </c>
    </row>
    <row r="4405" spans="1:17" x14ac:dyDescent="0.25">
      <c r="A4405" s="8">
        <v>988532</v>
      </c>
      <c r="B4405" s="22" t="str">
        <f>IFERROR(VLOOKUP(A4405,VLOOKUPS!$A$2:B$12589,2,FALSE),"")</f>
        <v>Broccoli* Crown 1lb-LOOSE</v>
      </c>
      <c r="E4405">
        <v>2.79</v>
      </c>
      <c r="F4405">
        <v>1.81</v>
      </c>
      <c r="G4405" s="13">
        <v>44702</v>
      </c>
      <c r="H4405" s="13">
        <v>44704</v>
      </c>
      <c r="I4405" s="22" t="str">
        <f>VLOOKUP(J4405, Dropdowns!N:O, 2, FALSE)</f>
        <v>Lower Price</v>
      </c>
      <c r="J4405" t="s">
        <v>759</v>
      </c>
      <c r="L4405" s="17" t="s">
        <v>732</v>
      </c>
      <c r="M4405" s="17" t="s">
        <v>9</v>
      </c>
      <c r="N4405" s="17" t="s">
        <v>736</v>
      </c>
    </row>
    <row r="4406" spans="1:17" x14ac:dyDescent="0.25">
      <c r="A4406" s="8">
        <v>988532</v>
      </c>
      <c r="B4406" s="22" t="str">
        <f>IFERROR(VLOOKUP(A4406,VLOOKUPS!$A$2:B$12589,2,FALSE),"")</f>
        <v>Broccoli* Crown 1lb-LOOSE</v>
      </c>
      <c r="E4406">
        <v>1.81</v>
      </c>
      <c r="F4406">
        <v>2.79</v>
      </c>
      <c r="G4406" s="13">
        <v>44705</v>
      </c>
      <c r="H4406" s="13"/>
      <c r="I4406" s="22" t="str">
        <f>VLOOKUP(J4406, Dropdowns!N:O, 2, FALSE)</f>
        <v>Standard</v>
      </c>
      <c r="J4406" t="s">
        <v>760</v>
      </c>
      <c r="L4406" s="17" t="s">
        <v>732</v>
      </c>
      <c r="M4406" s="17" t="s">
        <v>9</v>
      </c>
      <c r="N4406" s="17" t="s">
        <v>736</v>
      </c>
    </row>
    <row r="4407" spans="1:17" x14ac:dyDescent="0.25">
      <c r="A4407" s="8">
        <v>989084</v>
      </c>
      <c r="B4407" s="22" t="str">
        <f>IFERROR(VLOOKUP(A4407,VLOOKUPS!$A$2:B$12589,2,FALSE),"")</f>
        <v>Basil 2oz-standard</v>
      </c>
      <c r="E4407">
        <v>3.49</v>
      </c>
      <c r="F4407">
        <v>2.27</v>
      </c>
      <c r="G4407" s="13">
        <v>44702</v>
      </c>
      <c r="H4407" s="13">
        <v>44703</v>
      </c>
      <c r="I4407" s="22" t="str">
        <f>VLOOKUP(J4407, Dropdowns!N:O, 2, FALSE)</f>
        <v>Lower Price</v>
      </c>
      <c r="J4407" t="s">
        <v>759</v>
      </c>
      <c r="L4407" s="17" t="s">
        <v>732</v>
      </c>
      <c r="M4407" s="17" t="s">
        <v>738</v>
      </c>
      <c r="N4407" s="17">
        <v>2</v>
      </c>
    </row>
    <row r="4408" spans="1:17" x14ac:dyDescent="0.25">
      <c r="A4408" s="8">
        <v>989084</v>
      </c>
      <c r="B4408" s="22" t="str">
        <f>IFERROR(VLOOKUP(A4408,VLOOKUPS!$A$2:B$12589,2,FALSE),"")</f>
        <v>Basil 2oz-standard</v>
      </c>
      <c r="E4408">
        <v>2.27</v>
      </c>
      <c r="F4408">
        <v>3.49</v>
      </c>
      <c r="G4408" s="13">
        <v>44704</v>
      </c>
      <c r="H4408" s="13"/>
      <c r="I4408" s="22" t="str">
        <f>VLOOKUP(J4408, Dropdowns!N:O, 2, FALSE)</f>
        <v>Standard</v>
      </c>
      <c r="J4408" t="s">
        <v>760</v>
      </c>
      <c r="L4408" s="17" t="s">
        <v>732</v>
      </c>
      <c r="M4408" s="17" t="s">
        <v>738</v>
      </c>
      <c r="N4408" s="17">
        <v>2</v>
      </c>
    </row>
    <row r="4409" spans="1:17" x14ac:dyDescent="0.25">
      <c r="A4409" s="8">
        <v>983251</v>
      </c>
      <c r="B4409" s="22" t="str">
        <f>IFERROR(VLOOKUP(A4409,VLOOKUPS!$A$2:B$12589,2,FALSE),"")</f>
        <v>Watermelons Large Seedless 1ct-LOOSE</v>
      </c>
      <c r="E4409">
        <v>7.99</v>
      </c>
      <c r="F4409">
        <v>6.49</v>
      </c>
      <c r="G4409" s="13">
        <v>44705</v>
      </c>
      <c r="H4409" s="13"/>
      <c r="I4409" s="22" t="str">
        <f>VLOOKUP(J4409, Dropdowns!N:O, 2, FALSE)</f>
        <v>Standard</v>
      </c>
      <c r="J4409" t="s">
        <v>761</v>
      </c>
      <c r="L4409" s="17" t="s">
        <v>734</v>
      </c>
      <c r="M4409" s="17" t="s">
        <v>9</v>
      </c>
      <c r="N4409" s="17" t="s">
        <v>736</v>
      </c>
    </row>
    <row r="4410" spans="1:17" x14ac:dyDescent="0.25">
      <c r="A4410" s="8">
        <v>983251</v>
      </c>
      <c r="B4410" s="22" t="str">
        <f>IFERROR(VLOOKUP(A4410,VLOOKUPS!$A$2:B$12589,2,FALSE),"")</f>
        <v>Watermelons Large Seedless 1ct-LOOSE</v>
      </c>
      <c r="E4410">
        <v>7.48</v>
      </c>
      <c r="F4410">
        <v>6.49</v>
      </c>
      <c r="G4410" s="13">
        <v>44705</v>
      </c>
      <c r="H4410" s="13"/>
      <c r="I4410" s="22" t="str">
        <f>VLOOKUP(J4410, Dropdowns!N:O, 2, FALSE)</f>
        <v>Standard</v>
      </c>
      <c r="J4410" t="s">
        <v>761</v>
      </c>
      <c r="L4410" s="17" t="s">
        <v>733</v>
      </c>
      <c r="M4410" s="17" t="s">
        <v>9</v>
      </c>
      <c r="N4410" s="17" t="s">
        <v>740</v>
      </c>
    </row>
    <row r="4411" spans="1:17" x14ac:dyDescent="0.25">
      <c r="A4411" s="8">
        <v>983251</v>
      </c>
      <c r="B4411" s="22" t="str">
        <f>IFERROR(VLOOKUP(A4411,VLOOKUPS!$A$2:B$12589,2,FALSE),"")</f>
        <v>Watermelons Large Seedless 1ct-LOOSE</v>
      </c>
      <c r="E4411">
        <v>7.48</v>
      </c>
      <c r="F4411">
        <v>6.49</v>
      </c>
      <c r="G4411" s="13">
        <v>44705</v>
      </c>
      <c r="H4411" s="13"/>
      <c r="I4411" s="22" t="str">
        <f>VLOOKUP(J4411, Dropdowns!N:O, 2, FALSE)</f>
        <v>Standard</v>
      </c>
      <c r="J4411" t="s">
        <v>761</v>
      </c>
      <c r="L4411" s="17" t="s">
        <v>732</v>
      </c>
      <c r="M4411" s="17" t="s">
        <v>738</v>
      </c>
      <c r="N4411" s="17">
        <v>2</v>
      </c>
    </row>
    <row r="4412" spans="1:17" x14ac:dyDescent="0.25">
      <c r="A4412" s="8">
        <v>984460</v>
      </c>
      <c r="B4412" s="22" t="str">
        <f>IFERROR(VLOOKUP(A4412,VLOOKUPS!$A$2:B$12589,2,FALSE),"")</f>
        <v>Strawberries 1lb-standard</v>
      </c>
      <c r="E4412">
        <v>2.99</v>
      </c>
      <c r="F4412">
        <v>2.48</v>
      </c>
      <c r="G4412" s="13">
        <v>44705</v>
      </c>
      <c r="H4412" s="13"/>
      <c r="I4412" s="22" t="str">
        <f>VLOOKUP(J4412, Dropdowns!N:O, 2, FALSE)</f>
        <v>Standard</v>
      </c>
      <c r="J4412" t="s">
        <v>761</v>
      </c>
      <c r="L4412" s="17" t="s">
        <v>734</v>
      </c>
      <c r="M4412" s="17" t="s">
        <v>9</v>
      </c>
      <c r="N4412" s="17" t="s">
        <v>736</v>
      </c>
    </row>
    <row r="4413" spans="1:17" x14ac:dyDescent="0.25">
      <c r="A4413" s="8">
        <v>995134</v>
      </c>
      <c r="B4413" s="22" t="str">
        <f>IFERROR(VLOOKUP(A4413,VLOOKUPS!$A$2:B$12589,2,FALSE),"")</f>
        <v>Mirepoix 10oz-standard</v>
      </c>
      <c r="D4413">
        <v>6</v>
      </c>
      <c r="F4413">
        <v>2.58</v>
      </c>
      <c r="G4413" s="13">
        <v>44705</v>
      </c>
      <c r="H4413" s="13"/>
      <c r="I4413" s="22" t="str">
        <f>VLOOKUP(J4413, Dropdowns!N:O, 2, FALSE)</f>
        <v>NA</v>
      </c>
      <c r="J4413" t="s">
        <v>754</v>
      </c>
      <c r="L4413" s="17" t="s">
        <v>732</v>
      </c>
      <c r="M4413" s="17" t="s">
        <v>9</v>
      </c>
      <c r="N4413" s="17" t="s">
        <v>736</v>
      </c>
    </row>
    <row r="4414" spans="1:17" x14ac:dyDescent="0.25">
      <c r="A4414" s="8">
        <v>995135</v>
      </c>
      <c r="B4414" s="22" t="str">
        <f>IFERROR(VLOOKUP(A4414,VLOOKUPS!$A$2:B$12589,2,FALSE),"")</f>
        <v>XL Mild Fresh Salsa 30oz-standard</v>
      </c>
      <c r="D4414">
        <v>6</v>
      </c>
      <c r="F4414">
        <v>6.99</v>
      </c>
      <c r="G4414" s="13">
        <v>44705</v>
      </c>
      <c r="H4414" s="13"/>
      <c r="I4414" s="22" t="str">
        <f>VLOOKUP(J4414, Dropdowns!N:O, 2, FALSE)</f>
        <v>New</v>
      </c>
      <c r="J4414" t="s">
        <v>776</v>
      </c>
      <c r="L4414" s="17" t="s">
        <v>732</v>
      </c>
      <c r="M4414" s="17" t="s">
        <v>736</v>
      </c>
      <c r="N4414" s="17" t="s">
        <v>736</v>
      </c>
      <c r="O4414" s="17" t="s">
        <v>748</v>
      </c>
      <c r="P4414">
        <v>1</v>
      </c>
      <c r="Q4414" s="17" t="s">
        <v>1044</v>
      </c>
    </row>
    <row r="4415" spans="1:17" x14ac:dyDescent="0.25">
      <c r="A4415" s="8">
        <v>982650</v>
      </c>
      <c r="B4415" s="22" t="str">
        <f>IFERROR(VLOOKUP(A4415,VLOOKUPS!$A$2:B$12589,2,FALSE),"")</f>
        <v>Grapes* Green Seedless 1lb-LOOSE</v>
      </c>
      <c r="E4415">
        <v>2.59</v>
      </c>
      <c r="F4415">
        <v>1.29</v>
      </c>
      <c r="G4415" s="13">
        <v>44705</v>
      </c>
      <c r="H4415" s="13">
        <v>44706</v>
      </c>
      <c r="I4415" s="22" t="str">
        <f>VLOOKUP(J4415, Dropdowns!N:O, 2, FALSE)</f>
        <v>Lower Price</v>
      </c>
      <c r="J4415" t="s">
        <v>759</v>
      </c>
      <c r="L4415" s="17" t="s">
        <v>732</v>
      </c>
      <c r="M4415" s="17" t="s">
        <v>10</v>
      </c>
      <c r="N4415" s="17">
        <v>2</v>
      </c>
    </row>
    <row r="4416" spans="1:17" x14ac:dyDescent="0.25">
      <c r="A4416" s="8">
        <v>982650</v>
      </c>
      <c r="B4416" s="22" t="str">
        <f>IFERROR(VLOOKUP(A4416,VLOOKUPS!$A$2:B$12589,2,FALSE),"")</f>
        <v>Grapes* Green Seedless 1lb-LOOSE</v>
      </c>
      <c r="E4416">
        <v>1.29</v>
      </c>
      <c r="F4416">
        <v>2.59</v>
      </c>
      <c r="G4416" s="13">
        <v>44707</v>
      </c>
      <c r="H4416" s="13"/>
      <c r="I4416" s="22" t="str">
        <f>VLOOKUP(J4416, Dropdowns!N:O, 2, FALSE)</f>
        <v>Standard</v>
      </c>
      <c r="J4416" t="s">
        <v>760</v>
      </c>
      <c r="L4416" s="17" t="s">
        <v>732</v>
      </c>
      <c r="M4416" s="17" t="s">
        <v>10</v>
      </c>
      <c r="N4416" s="17">
        <v>2</v>
      </c>
    </row>
    <row r="4417" spans="1:14" x14ac:dyDescent="0.25">
      <c r="A4417" s="8">
        <v>984620</v>
      </c>
      <c r="B4417" s="22" t="str">
        <f>IFERROR(VLOOKUP(A4417,VLOOKUPS!$A$2:B$12589,2,FALSE),"")</f>
        <v>Raspberries 6oz-standard</v>
      </c>
      <c r="G4417" s="13">
        <v>44705</v>
      </c>
      <c r="H4417" s="13">
        <v>44706</v>
      </c>
      <c r="I4417" s="22" t="str">
        <f>VLOOKUP(J4417, Dropdowns!N:O, 2, FALSE)</f>
        <v>Lower Price</v>
      </c>
      <c r="J4417" t="s">
        <v>762</v>
      </c>
      <c r="L4417" s="17" t="s">
        <v>732</v>
      </c>
      <c r="M4417" s="17" t="s">
        <v>736</v>
      </c>
      <c r="N4417" s="17" t="s">
        <v>736</v>
      </c>
    </row>
    <row r="4418" spans="1:14" x14ac:dyDescent="0.25">
      <c r="A4418" s="8">
        <v>985760</v>
      </c>
      <c r="B4418" s="22" t="str">
        <f>IFERROR(VLOOKUP(A4418,VLOOKUPS!$A$2:B$12589,2,FALSE),"")</f>
        <v>Asparagus 1lb-standard</v>
      </c>
      <c r="G4418" s="13">
        <v>44706</v>
      </c>
      <c r="H4418" s="13">
        <v>44707</v>
      </c>
      <c r="I4418" s="22" t="str">
        <f>VLOOKUP(J4418, Dropdowns!N:O, 2, FALSE)</f>
        <v>Lower Price</v>
      </c>
      <c r="J4418" t="s">
        <v>1081</v>
      </c>
      <c r="L4418" s="17" t="s">
        <v>732</v>
      </c>
      <c r="M4418" s="17" t="s">
        <v>736</v>
      </c>
      <c r="N4418" s="17" t="s">
        <v>736</v>
      </c>
    </row>
    <row r="4419" spans="1:14" x14ac:dyDescent="0.25">
      <c r="A4419" s="8">
        <v>984541</v>
      </c>
      <c r="B4419" s="22" t="str">
        <f>IFERROR(VLOOKUP(A4419,VLOOKUPS!$A$2:B$12589,2,FALSE),"")</f>
        <v>Blueberries 1pt-standard</v>
      </c>
      <c r="G4419" s="13">
        <v>44706</v>
      </c>
      <c r="H4419" s="13">
        <v>44706</v>
      </c>
      <c r="I4419" s="22" t="str">
        <f>VLOOKUP(J4419, Dropdowns!N:O, 2, FALSE)</f>
        <v>Lower Price</v>
      </c>
      <c r="J4419" t="s">
        <v>1081</v>
      </c>
      <c r="L4419" s="17" t="s">
        <v>732</v>
      </c>
      <c r="M4419" s="17" t="s">
        <v>10</v>
      </c>
      <c r="N4419" s="17">
        <v>2</v>
      </c>
    </row>
    <row r="4420" spans="1:14" x14ac:dyDescent="0.25">
      <c r="A4420" s="8">
        <v>984541</v>
      </c>
      <c r="B4420" s="22" t="str">
        <f>IFERROR(VLOOKUP(A4420,VLOOKUPS!$A$2:B$12589,2,FALSE),"")</f>
        <v>Blueberries 1pt-standard</v>
      </c>
      <c r="G4420" s="13">
        <v>44706</v>
      </c>
      <c r="H4420" s="13">
        <v>44707</v>
      </c>
      <c r="I4420" s="22" t="str">
        <f>VLOOKUP(J4420, Dropdowns!N:O, 2, FALSE)</f>
        <v>Lower Price</v>
      </c>
      <c r="J4420" t="s">
        <v>1081</v>
      </c>
      <c r="L4420" s="17" t="s">
        <v>732</v>
      </c>
      <c r="M4420" s="17" t="s">
        <v>737</v>
      </c>
      <c r="N4420" s="17" t="s">
        <v>736</v>
      </c>
    </row>
    <row r="4421" spans="1:14" x14ac:dyDescent="0.25">
      <c r="A4421" s="8">
        <v>984701</v>
      </c>
      <c r="B4421" s="22" t="str">
        <f>IFERROR(VLOOKUP(A4421,VLOOKUPS!$A$2:B$12589,2,FALSE),"")</f>
        <v>Blackberries Super Sweet 6oz-standard</v>
      </c>
      <c r="G4421" s="13">
        <v>44706</v>
      </c>
      <c r="H4421" s="13">
        <v>44712</v>
      </c>
      <c r="I4421" s="22" t="str">
        <f>VLOOKUP(J4421, Dropdowns!N:O, 2, FALSE)</f>
        <v>Lower Price</v>
      </c>
      <c r="J4421" t="s">
        <v>1081</v>
      </c>
      <c r="L4421" s="17" t="s">
        <v>732</v>
      </c>
      <c r="M4421" s="17" t="s">
        <v>736</v>
      </c>
      <c r="N4421" s="17" t="s">
        <v>736</v>
      </c>
    </row>
    <row r="4422" spans="1:14" x14ac:dyDescent="0.25">
      <c r="A4422" s="8">
        <v>995185</v>
      </c>
      <c r="B4422" s="22" t="str">
        <f>IFERROR(VLOOKUP(A4422,VLOOKUPS!$A$2:B$12589,2,FALSE),"")</f>
        <v>Organic Crisp Romaine 4oz-standard</v>
      </c>
      <c r="E4422">
        <v>2.98</v>
      </c>
      <c r="F4422">
        <v>1.49</v>
      </c>
      <c r="G4422" s="13">
        <v>44706</v>
      </c>
      <c r="H4422" s="13">
        <v>44707</v>
      </c>
      <c r="I4422" s="22" t="str">
        <f>VLOOKUP(J4422, Dropdowns!N:O, 2, FALSE)</f>
        <v>Lower Price</v>
      </c>
      <c r="J4422" t="s">
        <v>759</v>
      </c>
      <c r="L4422" s="17" t="s">
        <v>733</v>
      </c>
      <c r="M4422" s="17" t="s">
        <v>11</v>
      </c>
      <c r="N4422" s="17" t="s">
        <v>740</v>
      </c>
    </row>
    <row r="4423" spans="1:14" x14ac:dyDescent="0.25">
      <c r="A4423" s="8">
        <v>995185</v>
      </c>
      <c r="B4423" s="22" t="str">
        <f>IFERROR(VLOOKUP(A4423,VLOOKUPS!$A$2:B$12589,2,FALSE),"")</f>
        <v>Organic Crisp Romaine 4oz-standard</v>
      </c>
      <c r="E4423">
        <v>1.49</v>
      </c>
      <c r="F4423">
        <v>2.98</v>
      </c>
      <c r="G4423" s="13">
        <v>44708</v>
      </c>
      <c r="H4423" s="13"/>
      <c r="I4423" s="22" t="str">
        <f>VLOOKUP(J4423, Dropdowns!N:O, 2, FALSE)</f>
        <v>Standard</v>
      </c>
      <c r="J4423" t="s">
        <v>760</v>
      </c>
      <c r="L4423" s="17" t="s">
        <v>733</v>
      </c>
      <c r="M4423" s="17" t="s">
        <v>11</v>
      </c>
      <c r="N4423" s="17" t="s">
        <v>740</v>
      </c>
    </row>
    <row r="4424" spans="1:14" x14ac:dyDescent="0.25">
      <c r="A4424" s="8">
        <v>995070</v>
      </c>
      <c r="B4424" s="22" t="str">
        <f>IFERROR(VLOOKUP(A4424,VLOOKUPS!$A$2:B$12589,2,FALSE),"")</f>
        <v>Organic Baby Spring Mix 5oz-standard</v>
      </c>
      <c r="E4424">
        <v>2.98</v>
      </c>
      <c r="F4424">
        <v>1.49</v>
      </c>
      <c r="G4424" s="13">
        <v>44706</v>
      </c>
      <c r="H4424" s="13">
        <v>44708</v>
      </c>
      <c r="I4424" s="22" t="str">
        <f>VLOOKUP(J4424, Dropdowns!N:O, 2, FALSE)</f>
        <v>Lower Price</v>
      </c>
      <c r="J4424" t="s">
        <v>759</v>
      </c>
      <c r="L4424" s="17" t="s">
        <v>733</v>
      </c>
      <c r="M4424" s="17" t="s">
        <v>11</v>
      </c>
      <c r="N4424" s="17" t="s">
        <v>740</v>
      </c>
    </row>
    <row r="4425" spans="1:14" x14ac:dyDescent="0.25">
      <c r="A4425" s="8">
        <v>995070</v>
      </c>
      <c r="B4425" s="22" t="str">
        <f>IFERROR(VLOOKUP(A4425,VLOOKUPS!$A$2:B$12589,2,FALSE),"")</f>
        <v>Organic Baby Spring Mix 5oz-standard</v>
      </c>
      <c r="E4425">
        <v>1.49</v>
      </c>
      <c r="F4425">
        <v>2.98</v>
      </c>
      <c r="G4425" s="13">
        <v>44709</v>
      </c>
      <c r="H4425" s="13"/>
      <c r="I4425" s="22" t="str">
        <f>VLOOKUP(J4425, Dropdowns!N:O, 2, FALSE)</f>
        <v>Standard</v>
      </c>
      <c r="J4425" t="s">
        <v>760</v>
      </c>
      <c r="L4425" s="17" t="s">
        <v>733</v>
      </c>
      <c r="M4425" s="17" t="s">
        <v>11</v>
      </c>
      <c r="N4425" s="17" t="s">
        <v>740</v>
      </c>
    </row>
    <row r="4426" spans="1:14" x14ac:dyDescent="0.25">
      <c r="A4426" s="8">
        <v>983251</v>
      </c>
      <c r="B4426" s="22" t="str">
        <f>IFERROR(VLOOKUP(A4426,VLOOKUPS!$A$2:B$12589,2,FALSE),"")</f>
        <v>Watermelons Large Seedless 1ct-LOOSE</v>
      </c>
      <c r="G4426" s="13">
        <v>44706</v>
      </c>
      <c r="H4426" s="13">
        <v>44712</v>
      </c>
      <c r="I4426" s="22" t="str">
        <f>VLOOKUP(J4426, Dropdowns!N:O, 2, FALSE)</f>
        <v>Lower Price</v>
      </c>
      <c r="J4426" t="s">
        <v>1081</v>
      </c>
      <c r="L4426" s="17" t="s">
        <v>732</v>
      </c>
      <c r="M4426" s="17" t="s">
        <v>736</v>
      </c>
      <c r="N4426" s="17" t="s">
        <v>736</v>
      </c>
    </row>
    <row r="4427" spans="1:14" x14ac:dyDescent="0.25">
      <c r="A4427" s="8">
        <v>982740</v>
      </c>
      <c r="B4427" s="22" t="str">
        <f>IFERROR(VLOOKUP(A4427,VLOOKUPS!$A$2:B$12589,2,FALSE),"")</f>
        <v>Grapes* Red Seedless 1lb-LOOSE</v>
      </c>
      <c r="G4427" s="13">
        <v>44706</v>
      </c>
      <c r="H4427" s="13">
        <v>44712</v>
      </c>
      <c r="I4427" s="22" t="str">
        <f>VLOOKUP(J4427, Dropdowns!N:O, 2, FALSE)</f>
        <v>Lower Price</v>
      </c>
      <c r="J4427" t="s">
        <v>753</v>
      </c>
      <c r="L4427" s="17" t="s">
        <v>732</v>
      </c>
      <c r="M4427" s="17" t="s">
        <v>736</v>
      </c>
      <c r="N4427" s="17" t="s">
        <v>736</v>
      </c>
    </row>
    <row r="4428" spans="1:14" x14ac:dyDescent="0.25">
      <c r="A4428" s="8">
        <v>988490</v>
      </c>
      <c r="B4428" s="22" t="str">
        <f>IFERROR(VLOOKUP(A4428,VLOOKUPS!$A$2:B$12589,2,FALSE),"")</f>
        <v>Cabbage* 1lb-LOOSE</v>
      </c>
      <c r="G4428" s="13">
        <v>44706</v>
      </c>
      <c r="H4428" s="13">
        <v>44707</v>
      </c>
      <c r="I4428" s="22" t="str">
        <f>VLOOKUP(J4428, Dropdowns!N:O, 2, FALSE)</f>
        <v>Lower Price</v>
      </c>
      <c r="J4428" t="s">
        <v>1081</v>
      </c>
      <c r="L4428" s="17" t="s">
        <v>732</v>
      </c>
      <c r="M4428" s="17" t="s">
        <v>738</v>
      </c>
      <c r="N4428" s="17">
        <v>2</v>
      </c>
    </row>
    <row r="4429" spans="1:14" x14ac:dyDescent="0.25">
      <c r="A4429" s="8">
        <v>988490</v>
      </c>
      <c r="B4429" s="22" t="str">
        <f>IFERROR(VLOOKUP(A4429,VLOOKUPS!$A$2:B$12589,2,FALSE),"")</f>
        <v>Cabbage* 1lb-LOOSE</v>
      </c>
      <c r="G4429" s="13">
        <v>44706</v>
      </c>
      <c r="H4429" s="13">
        <v>44708</v>
      </c>
      <c r="I4429" s="22" t="str">
        <f>VLOOKUP(J4429, Dropdowns!N:O, 2, FALSE)</f>
        <v>Lower Price</v>
      </c>
      <c r="J4429" t="s">
        <v>1081</v>
      </c>
      <c r="L4429" s="17" t="s">
        <v>732</v>
      </c>
      <c r="M4429" s="17" t="s">
        <v>9</v>
      </c>
      <c r="N4429" s="17" t="s">
        <v>736</v>
      </c>
    </row>
    <row r="4430" spans="1:14" x14ac:dyDescent="0.25">
      <c r="A4430" s="8">
        <v>988532</v>
      </c>
      <c r="B4430" s="22" t="str">
        <f>IFERROR(VLOOKUP(A4430,VLOOKUPS!$A$2:B$12589,2,FALSE),"")</f>
        <v>Broccoli* Crown 1lb-LOOSE</v>
      </c>
      <c r="E4430">
        <v>2.79</v>
      </c>
      <c r="F4430">
        <v>1.81</v>
      </c>
      <c r="G4430" s="13">
        <v>44706</v>
      </c>
      <c r="H4430" s="13">
        <v>44707</v>
      </c>
      <c r="I4430" s="22" t="str">
        <f>VLOOKUP(J4430, Dropdowns!N:O, 2, FALSE)</f>
        <v>Lower Price</v>
      </c>
      <c r="J4430" t="s">
        <v>759</v>
      </c>
      <c r="L4430" s="17" t="s">
        <v>732</v>
      </c>
      <c r="M4430" s="17" t="s">
        <v>736</v>
      </c>
      <c r="N4430" s="17" t="s">
        <v>736</v>
      </c>
    </row>
    <row r="4431" spans="1:14" x14ac:dyDescent="0.25">
      <c r="A4431" s="8">
        <v>988532</v>
      </c>
      <c r="B4431" s="22" t="str">
        <f>IFERROR(VLOOKUP(A4431,VLOOKUPS!$A$2:B$12589,2,FALSE),"")</f>
        <v>Broccoli* Crown 1lb-LOOSE</v>
      </c>
      <c r="E4431">
        <v>1.81</v>
      </c>
      <c r="F4431">
        <v>2.79</v>
      </c>
      <c r="G4431" s="13">
        <v>44708</v>
      </c>
      <c r="H4431" s="13"/>
      <c r="I4431" s="22" t="str">
        <f>VLOOKUP(J4431, Dropdowns!N:O, 2, FALSE)</f>
        <v>Standard</v>
      </c>
      <c r="J4431" t="s">
        <v>760</v>
      </c>
      <c r="L4431" s="17" t="s">
        <v>732</v>
      </c>
      <c r="M4431" s="17" t="s">
        <v>736</v>
      </c>
      <c r="N4431" s="17" t="s">
        <v>736</v>
      </c>
    </row>
    <row r="4432" spans="1:14" x14ac:dyDescent="0.25">
      <c r="A4432" s="8">
        <v>984500</v>
      </c>
      <c r="B4432" s="22" t="str">
        <f>IFERROR(VLOOKUP(A4432,VLOOKUPS!$A$2:B$12589,2,FALSE),"")</f>
        <v>Organic Strawberries 1lb-standard</v>
      </c>
      <c r="E4432">
        <v>3.98</v>
      </c>
      <c r="F4432">
        <v>3.89</v>
      </c>
      <c r="G4432" s="13">
        <v>44707</v>
      </c>
      <c r="H4432" s="13"/>
      <c r="I4432" s="22" t="str">
        <f>VLOOKUP(J4432, Dropdowns!N:O, 2, FALSE)</f>
        <v>Standard</v>
      </c>
      <c r="J4432" t="s">
        <v>761</v>
      </c>
      <c r="L4432" s="17" t="s">
        <v>733</v>
      </c>
      <c r="M4432" s="17" t="s">
        <v>736</v>
      </c>
      <c r="N4432" s="17" t="s">
        <v>740</v>
      </c>
    </row>
    <row r="4433" spans="1:14" x14ac:dyDescent="0.25">
      <c r="A4433" s="8">
        <v>984621</v>
      </c>
      <c r="B4433" s="22" t="str">
        <f>IFERROR(VLOOKUP(A4433,VLOOKUPS!$A$2:B$12589,2,FALSE),"")</f>
        <v>Raspberries 12oz-standard</v>
      </c>
      <c r="E4433">
        <v>5.56</v>
      </c>
      <c r="F4433">
        <v>5.48</v>
      </c>
      <c r="G4433" s="13">
        <v>44707</v>
      </c>
      <c r="H4433" s="13"/>
      <c r="I4433" s="22" t="str">
        <f>VLOOKUP(J4433, Dropdowns!N:O, 2, FALSE)</f>
        <v>Standard</v>
      </c>
      <c r="J4433" t="s">
        <v>761</v>
      </c>
      <c r="L4433" s="17" t="s">
        <v>733</v>
      </c>
      <c r="M4433" s="17" t="s">
        <v>736</v>
      </c>
      <c r="N4433" s="17" t="s">
        <v>740</v>
      </c>
    </row>
    <row r="4434" spans="1:14" x14ac:dyDescent="0.25">
      <c r="A4434" s="8">
        <v>985060</v>
      </c>
      <c r="B4434" s="22" t="str">
        <f>IFERROR(VLOOKUP(A4434,VLOOKUPS!$A$2:B$12589,2,FALSE),"")</f>
        <v>Lettuce* Iceberg 1ct-standard</v>
      </c>
      <c r="E4434">
        <v>1.69</v>
      </c>
      <c r="F4434">
        <v>1.55</v>
      </c>
      <c r="G4434" s="13">
        <v>44707</v>
      </c>
      <c r="H4434" s="13"/>
      <c r="I4434" s="22" t="str">
        <f>VLOOKUP(J4434, Dropdowns!N:O, 2, FALSE)</f>
        <v>Standard</v>
      </c>
      <c r="J4434" t="s">
        <v>761</v>
      </c>
      <c r="L4434" s="17" t="s">
        <v>733</v>
      </c>
      <c r="M4434" s="17" t="s">
        <v>736</v>
      </c>
      <c r="N4434" s="17" t="s">
        <v>740</v>
      </c>
    </row>
    <row r="4435" spans="1:14" x14ac:dyDescent="0.25">
      <c r="A4435" s="8">
        <v>987560</v>
      </c>
      <c r="B4435" s="22" t="str">
        <f>IFERROR(VLOOKUP(A4435,VLOOKUPS!$A$2:B$12589,2,FALSE),"")</f>
        <v>Celery 1ct-standard</v>
      </c>
      <c r="E4435">
        <v>1.64</v>
      </c>
      <c r="F4435">
        <v>1.74</v>
      </c>
      <c r="G4435" s="13">
        <v>44707</v>
      </c>
      <c r="H4435" s="13"/>
      <c r="I4435" s="22" t="str">
        <f>VLOOKUP(J4435, Dropdowns!N:O, 2, FALSE)</f>
        <v>Standard</v>
      </c>
      <c r="J4435" t="s">
        <v>761</v>
      </c>
      <c r="L4435" s="17" t="s">
        <v>733</v>
      </c>
      <c r="M4435" s="17" t="s">
        <v>736</v>
      </c>
      <c r="N4435" s="17" t="s">
        <v>740</v>
      </c>
    </row>
    <row r="4436" spans="1:14" x14ac:dyDescent="0.25">
      <c r="A4436" s="8">
        <v>988571</v>
      </c>
      <c r="B4436" s="22" t="str">
        <f>IFERROR(VLOOKUP(A4436,VLOOKUPS!$A$2:B$12589,2,FALSE),"")</f>
        <v>Cauliflower* 1ct-LOOSE</v>
      </c>
      <c r="E4436">
        <v>2.79</v>
      </c>
      <c r="F4436">
        <v>2.69</v>
      </c>
      <c r="G4436" s="13">
        <v>44707</v>
      </c>
      <c r="H4436" s="13"/>
      <c r="I4436" s="22" t="str">
        <f>VLOOKUP(J4436, Dropdowns!N:O, 2, FALSE)</f>
        <v>Standard</v>
      </c>
      <c r="J4436" t="s">
        <v>761</v>
      </c>
      <c r="L4436" s="17" t="s">
        <v>732</v>
      </c>
      <c r="M4436" s="17" t="s">
        <v>736</v>
      </c>
      <c r="N4436" s="17" t="s">
        <v>736</v>
      </c>
    </row>
    <row r="4437" spans="1:14" x14ac:dyDescent="0.25">
      <c r="A4437" s="8">
        <v>988620</v>
      </c>
      <c r="B4437" s="22" t="str">
        <f>IFERROR(VLOOKUP(A4437,VLOOKUPS!$A$2:B$12589,2,FALSE),"")</f>
        <v>Brussels Sprouts 1lb-standard</v>
      </c>
      <c r="E4437">
        <v>2.98</v>
      </c>
      <c r="F4437">
        <v>2.89</v>
      </c>
      <c r="G4437" s="13">
        <v>44707</v>
      </c>
      <c r="H4437" s="13"/>
      <c r="I4437" s="22" t="str">
        <f>VLOOKUP(J4437, Dropdowns!N:O, 2, FALSE)</f>
        <v>Standard</v>
      </c>
      <c r="J4437" t="s">
        <v>761</v>
      </c>
      <c r="L4437" s="17" t="s">
        <v>732</v>
      </c>
      <c r="M4437" s="17" t="s">
        <v>736</v>
      </c>
      <c r="N4437" s="17" t="s">
        <v>736</v>
      </c>
    </row>
    <row r="4438" spans="1:14" x14ac:dyDescent="0.25">
      <c r="A4438" s="8">
        <v>995045</v>
      </c>
      <c r="B4438" s="22" t="str">
        <f>IFERROR(VLOOKUP(A4438,VLOOKUPS!$A$2:B$12589,2,FALSE),"")</f>
        <v>Fajita Blend 12oz-standard</v>
      </c>
      <c r="E4438">
        <v>4.05</v>
      </c>
      <c r="F4438">
        <v>4.17</v>
      </c>
      <c r="G4438" s="13">
        <v>44707</v>
      </c>
      <c r="H4438" s="13"/>
      <c r="I4438" s="22" t="str">
        <f>VLOOKUP(J4438, Dropdowns!N:O, 2, FALSE)</f>
        <v>Standard</v>
      </c>
      <c r="J4438" t="s">
        <v>761</v>
      </c>
      <c r="L4438" s="17" t="s">
        <v>733</v>
      </c>
      <c r="M4438" s="17" t="s">
        <v>736</v>
      </c>
      <c r="N4438" s="17" t="s">
        <v>740</v>
      </c>
    </row>
    <row r="4439" spans="1:14" x14ac:dyDescent="0.25">
      <c r="A4439" s="8">
        <v>995046</v>
      </c>
      <c r="B4439" s="22" t="str">
        <f>IFERROR(VLOOKUP(A4439,VLOOKUPS!$A$2:B$12589,2,FALSE),"")</f>
        <v>Diced Onion 8oz-standard</v>
      </c>
      <c r="E4439">
        <v>2.58</v>
      </c>
      <c r="F4439">
        <v>2.78</v>
      </c>
      <c r="G4439" s="13">
        <v>44707</v>
      </c>
      <c r="H4439" s="13"/>
      <c r="I4439" s="22" t="str">
        <f>VLOOKUP(J4439, Dropdowns!N:O, 2, FALSE)</f>
        <v>Standard</v>
      </c>
      <c r="J4439" t="s">
        <v>761</v>
      </c>
      <c r="L4439" s="17" t="s">
        <v>733</v>
      </c>
      <c r="M4439" s="17" t="s">
        <v>736</v>
      </c>
      <c r="N4439" s="17" t="s">
        <v>740</v>
      </c>
    </row>
    <row r="4440" spans="1:14" x14ac:dyDescent="0.25">
      <c r="A4440" s="8">
        <v>995085</v>
      </c>
      <c r="B4440" s="22" t="str">
        <f>IFERROR(VLOOKUP(A4440,VLOOKUPS!$A$2:B$12589,2,FALSE),"")</f>
        <v>Sugar Snap Peas 8oz-standard</v>
      </c>
      <c r="E4440">
        <v>2.68</v>
      </c>
      <c r="F4440">
        <v>2.78</v>
      </c>
      <c r="G4440" s="13">
        <v>44707</v>
      </c>
      <c r="H4440" s="13"/>
      <c r="I4440" s="22" t="str">
        <f>VLOOKUP(J4440, Dropdowns!N:O, 2, FALSE)</f>
        <v>Standard</v>
      </c>
      <c r="J4440" t="s">
        <v>761</v>
      </c>
      <c r="L4440" s="17" t="s">
        <v>733</v>
      </c>
      <c r="M4440" s="17" t="s">
        <v>736</v>
      </c>
      <c r="N4440" s="17" t="s">
        <v>740</v>
      </c>
    </row>
    <row r="4441" spans="1:14" x14ac:dyDescent="0.25">
      <c r="A4441" s="8">
        <v>995085</v>
      </c>
      <c r="B4441" s="22" t="str">
        <f>IFERROR(VLOOKUP(A4441,VLOOKUPS!$A$2:B$12589,2,FALSE),"")</f>
        <v>Sugar Snap Peas 8oz-standard</v>
      </c>
      <c r="F4441">
        <v>2.99</v>
      </c>
      <c r="G4441" s="13">
        <v>44707</v>
      </c>
      <c r="H4441" s="13"/>
      <c r="I4441" s="22" t="str">
        <f>VLOOKUP(J4441, Dropdowns!N:O, 2, FALSE)</f>
        <v>Standard</v>
      </c>
      <c r="J4441" t="s">
        <v>782</v>
      </c>
      <c r="L4441" s="17" t="s">
        <v>734</v>
      </c>
      <c r="M4441" s="17" t="s">
        <v>9</v>
      </c>
      <c r="N4441" s="17" t="s">
        <v>736</v>
      </c>
    </row>
    <row r="4442" spans="1:14" x14ac:dyDescent="0.25">
      <c r="A4442" s="8">
        <v>995085</v>
      </c>
      <c r="B4442" s="22" t="str">
        <f>IFERROR(VLOOKUP(A4442,VLOOKUPS!$A$2:B$12589,2,FALSE),"")</f>
        <v>Sugar Snap Peas 8oz-standard</v>
      </c>
      <c r="F4442">
        <v>2.68</v>
      </c>
      <c r="G4442" s="13">
        <v>44707</v>
      </c>
      <c r="H4442" s="13"/>
      <c r="I4442" s="22" t="str">
        <f>VLOOKUP(J4442, Dropdowns!N:O, 2, FALSE)</f>
        <v>Standard</v>
      </c>
      <c r="J4442" t="s">
        <v>782</v>
      </c>
      <c r="L4442" s="17" t="s">
        <v>734</v>
      </c>
      <c r="M4442" s="17" t="s">
        <v>10</v>
      </c>
      <c r="N4442" s="17">
        <v>2</v>
      </c>
    </row>
    <row r="4443" spans="1:14" x14ac:dyDescent="0.25">
      <c r="A4443" s="8">
        <v>995086</v>
      </c>
      <c r="B4443" s="22" t="str">
        <f>IFERROR(VLOOKUP(A4443,VLOOKUPS!$A$2:B$12589,2,FALSE),"")</f>
        <v>Eat Smart Broccoli Florets 2lbs-standard</v>
      </c>
      <c r="E4443">
        <v>5.98</v>
      </c>
      <c r="F4443">
        <v>6.18</v>
      </c>
      <c r="G4443" s="13">
        <v>44707</v>
      </c>
      <c r="H4443" s="13"/>
      <c r="I4443" s="22" t="str">
        <f>VLOOKUP(J4443, Dropdowns!N:O, 2, FALSE)</f>
        <v>Standard</v>
      </c>
      <c r="J4443" t="s">
        <v>761</v>
      </c>
      <c r="L4443" s="17" t="s">
        <v>733</v>
      </c>
      <c r="M4443" s="17" t="s">
        <v>736</v>
      </c>
      <c r="N4443" s="17" t="s">
        <v>740</v>
      </c>
    </row>
    <row r="4444" spans="1:14" x14ac:dyDescent="0.25">
      <c r="A4444" s="8">
        <v>995086</v>
      </c>
      <c r="B4444" s="22" t="str">
        <f>IFERROR(VLOOKUP(A4444,VLOOKUPS!$A$2:B$12589,2,FALSE),"")</f>
        <v>Eat Smart Broccoli Florets 2lbs-standard</v>
      </c>
      <c r="E4444">
        <v>5.99</v>
      </c>
      <c r="F4444">
        <v>6.19</v>
      </c>
      <c r="G4444" s="13">
        <v>44707</v>
      </c>
      <c r="H4444" s="13"/>
      <c r="I4444" s="22" t="str">
        <f>VLOOKUP(J4444, Dropdowns!N:O, 2, FALSE)</f>
        <v>Standard</v>
      </c>
      <c r="J4444" t="s">
        <v>761</v>
      </c>
      <c r="L4444" s="17" t="s">
        <v>734</v>
      </c>
      <c r="M4444" s="17" t="s">
        <v>9</v>
      </c>
      <c r="N4444" s="17" t="s">
        <v>736</v>
      </c>
    </row>
    <row r="4445" spans="1:14" x14ac:dyDescent="0.25">
      <c r="A4445" s="8">
        <v>995086</v>
      </c>
      <c r="B4445" s="22" t="str">
        <f>IFERROR(VLOOKUP(A4445,VLOOKUPS!$A$2:B$12589,2,FALSE),"")</f>
        <v>Eat Smart Broccoli Florets 2lbs-standard</v>
      </c>
      <c r="E4445">
        <v>5.98</v>
      </c>
      <c r="F4445">
        <v>6.18</v>
      </c>
      <c r="G4445" s="13">
        <v>44707</v>
      </c>
      <c r="H4445" s="13"/>
      <c r="I4445" s="22" t="str">
        <f>VLOOKUP(J4445, Dropdowns!N:O, 2, FALSE)</f>
        <v>Standard</v>
      </c>
      <c r="J4445" t="s">
        <v>761</v>
      </c>
      <c r="L4445" s="17" t="s">
        <v>734</v>
      </c>
      <c r="M4445" s="17" t="s">
        <v>10</v>
      </c>
      <c r="N4445" s="17">
        <v>2</v>
      </c>
    </row>
    <row r="4446" spans="1:14" x14ac:dyDescent="0.25">
      <c r="A4446" s="8">
        <v>995097</v>
      </c>
      <c r="B4446" s="22" t="str">
        <f>IFERROR(VLOOKUP(A4446,VLOOKUPS!$A$2:B$12589,2,FALSE),"")</f>
        <v>Butternut Diced 12oz-standard</v>
      </c>
      <c r="E4446">
        <v>2.25</v>
      </c>
      <c r="F4446">
        <v>2.39</v>
      </c>
      <c r="G4446" s="13">
        <v>44707</v>
      </c>
      <c r="H4446" s="13"/>
      <c r="I4446" s="22" t="str">
        <f>VLOOKUP(J4446, Dropdowns!N:O, 2, FALSE)</f>
        <v>Standard</v>
      </c>
      <c r="J4446" t="s">
        <v>761</v>
      </c>
      <c r="L4446" s="17" t="s">
        <v>733</v>
      </c>
      <c r="M4446" s="17" t="s">
        <v>9</v>
      </c>
      <c r="N4446" s="17" t="s">
        <v>740</v>
      </c>
    </row>
    <row r="4447" spans="1:14" x14ac:dyDescent="0.25">
      <c r="A4447" s="8">
        <v>995097</v>
      </c>
      <c r="B4447" s="22" t="str">
        <f>IFERROR(VLOOKUP(A4447,VLOOKUPS!$A$2:B$12589,2,FALSE),"")</f>
        <v>Butternut Diced 12oz-standard</v>
      </c>
      <c r="E4447">
        <v>2.25</v>
      </c>
      <c r="F4447">
        <v>2.39</v>
      </c>
      <c r="G4447" s="13">
        <v>44707</v>
      </c>
      <c r="H4447" s="13"/>
      <c r="I4447" s="22" t="str">
        <f>VLOOKUP(J4447, Dropdowns!N:O, 2, FALSE)</f>
        <v>Standard</v>
      </c>
      <c r="J4447" t="s">
        <v>761</v>
      </c>
      <c r="L4447" s="17" t="s">
        <v>734</v>
      </c>
      <c r="M4447" s="17" t="s">
        <v>10</v>
      </c>
      <c r="N4447" s="17">
        <v>2</v>
      </c>
    </row>
    <row r="4448" spans="1:14" x14ac:dyDescent="0.25">
      <c r="A4448" s="8">
        <v>995166</v>
      </c>
      <c r="B4448" s="22" t="str">
        <f>IFERROR(VLOOKUP(A4448,VLOOKUPS!$A$2:B$12589,2,FALSE),"")</f>
        <v>Snow Peas 8oz-standard</v>
      </c>
      <c r="E4448">
        <v>2.68</v>
      </c>
      <c r="F4448">
        <v>2.78</v>
      </c>
      <c r="G4448" s="13">
        <v>44707</v>
      </c>
      <c r="H4448" s="13"/>
      <c r="I4448" s="22" t="str">
        <f>VLOOKUP(J4448, Dropdowns!N:O, 2, FALSE)</f>
        <v>Standard</v>
      </c>
      <c r="J4448" t="s">
        <v>761</v>
      </c>
      <c r="L4448" s="17" t="s">
        <v>733</v>
      </c>
      <c r="M4448" s="17" t="s">
        <v>736</v>
      </c>
      <c r="N4448" s="17" t="s">
        <v>740</v>
      </c>
    </row>
    <row r="4449" spans="1:17" x14ac:dyDescent="0.25">
      <c r="A4449" s="8">
        <v>995166</v>
      </c>
      <c r="B4449" s="22" t="str">
        <f>IFERROR(VLOOKUP(A4449,VLOOKUPS!$A$2:B$12589,2,FALSE),"")</f>
        <v>Snow Peas 8oz-standard</v>
      </c>
      <c r="E4449">
        <v>2.68</v>
      </c>
      <c r="F4449">
        <v>2.78</v>
      </c>
      <c r="G4449" s="13">
        <v>44707</v>
      </c>
      <c r="H4449" s="13"/>
      <c r="I4449" s="22" t="str">
        <f>VLOOKUP(J4449, Dropdowns!N:O, 2, FALSE)</f>
        <v>Standard</v>
      </c>
      <c r="J4449" t="s">
        <v>761</v>
      </c>
      <c r="L4449" s="17" t="s">
        <v>734</v>
      </c>
      <c r="M4449" s="17" t="s">
        <v>10</v>
      </c>
      <c r="N4449" s="17">
        <v>2</v>
      </c>
    </row>
    <row r="4450" spans="1:17" x14ac:dyDescent="0.25">
      <c r="A4450" s="8">
        <v>984500</v>
      </c>
      <c r="B4450" s="22" t="str">
        <f>IFERROR(VLOOKUP(A4450,VLOOKUPS!$A$2:B$12589,2,FALSE),"")</f>
        <v>Organic Strawberries 1lb-standard</v>
      </c>
      <c r="E4450">
        <v>3.98</v>
      </c>
      <c r="F4450">
        <v>3.89</v>
      </c>
      <c r="G4450" s="13">
        <v>44707</v>
      </c>
      <c r="H4450" s="13"/>
      <c r="I4450" s="22" t="str">
        <f>VLOOKUP(J4450, Dropdowns!N:O, 2, FALSE)</f>
        <v>Standard</v>
      </c>
      <c r="J4450" t="s">
        <v>761</v>
      </c>
      <c r="L4450" s="17" t="s">
        <v>734</v>
      </c>
      <c r="M4450" s="17" t="s">
        <v>10</v>
      </c>
      <c r="N4450" s="17">
        <v>2</v>
      </c>
    </row>
    <row r="4451" spans="1:17" x14ac:dyDescent="0.25">
      <c r="A4451" s="8">
        <v>984621</v>
      </c>
      <c r="B4451" s="22" t="str">
        <f>IFERROR(VLOOKUP(A4451,VLOOKUPS!$A$2:B$12589,2,FALSE),"")</f>
        <v>Raspberries 12oz-standard</v>
      </c>
      <c r="E4451">
        <v>5.56</v>
      </c>
      <c r="F4451">
        <v>5.48</v>
      </c>
      <c r="G4451" s="13">
        <v>44707</v>
      </c>
      <c r="H4451" s="13"/>
      <c r="I4451" s="22" t="str">
        <f>VLOOKUP(J4451, Dropdowns!N:O, 2, FALSE)</f>
        <v>Standard</v>
      </c>
      <c r="J4451" t="s">
        <v>761</v>
      </c>
      <c r="L4451" s="17" t="s">
        <v>734</v>
      </c>
      <c r="M4451" s="17" t="s">
        <v>10</v>
      </c>
      <c r="N4451" s="17">
        <v>2</v>
      </c>
    </row>
    <row r="4452" spans="1:17" x14ac:dyDescent="0.25">
      <c r="A4452" s="8">
        <v>985060</v>
      </c>
      <c r="B4452" s="22" t="str">
        <f>IFERROR(VLOOKUP(A4452,VLOOKUPS!$A$2:B$12589,2,FALSE),"")</f>
        <v>Lettuce* Iceberg 1ct-standard</v>
      </c>
      <c r="E4452">
        <v>1.69</v>
      </c>
      <c r="F4452">
        <v>1.55</v>
      </c>
      <c r="G4452" s="13">
        <v>44707</v>
      </c>
      <c r="H4452" s="13"/>
      <c r="I4452" s="22" t="str">
        <f>VLOOKUP(J4452, Dropdowns!N:O, 2, FALSE)</f>
        <v>Standard</v>
      </c>
      <c r="J4452" t="s">
        <v>761</v>
      </c>
      <c r="L4452" s="17" t="s">
        <v>734</v>
      </c>
      <c r="M4452" s="17" t="s">
        <v>10</v>
      </c>
      <c r="N4452" s="17">
        <v>2</v>
      </c>
    </row>
    <row r="4453" spans="1:17" x14ac:dyDescent="0.25">
      <c r="A4453" s="8">
        <v>987560</v>
      </c>
      <c r="B4453" s="22" t="str">
        <f>IFERROR(VLOOKUP(A4453,VLOOKUPS!$A$2:B$12589,2,FALSE),"")</f>
        <v>Celery 1ct-standard</v>
      </c>
      <c r="E4453">
        <v>1.69</v>
      </c>
      <c r="F4453">
        <v>1.74</v>
      </c>
      <c r="G4453" s="13">
        <v>44707</v>
      </c>
      <c r="H4453" s="13"/>
      <c r="I4453" s="22" t="str">
        <f>VLOOKUP(J4453, Dropdowns!N:O, 2, FALSE)</f>
        <v>Standard</v>
      </c>
      <c r="J4453" t="s">
        <v>761</v>
      </c>
      <c r="L4453" s="17" t="s">
        <v>734</v>
      </c>
      <c r="M4453" s="17" t="s">
        <v>10</v>
      </c>
      <c r="N4453" s="17">
        <v>2</v>
      </c>
    </row>
    <row r="4454" spans="1:17" x14ac:dyDescent="0.25">
      <c r="A4454" s="8">
        <v>995045</v>
      </c>
      <c r="B4454" s="22" t="str">
        <f>IFERROR(VLOOKUP(A4454,VLOOKUPS!$A$2:B$12589,2,FALSE),"")</f>
        <v>Fajita Blend 12oz-standard</v>
      </c>
      <c r="E4454">
        <v>4.05</v>
      </c>
      <c r="F4454">
        <v>4.17</v>
      </c>
      <c r="G4454" s="13">
        <v>44707</v>
      </c>
      <c r="H4454" s="13"/>
      <c r="I4454" s="22" t="str">
        <f>VLOOKUP(J4454, Dropdowns!N:O, 2, FALSE)</f>
        <v>Standard</v>
      </c>
      <c r="J4454" t="s">
        <v>761</v>
      </c>
      <c r="L4454" s="17" t="s">
        <v>734</v>
      </c>
      <c r="M4454" s="17" t="s">
        <v>10</v>
      </c>
      <c r="N4454" s="17">
        <v>2</v>
      </c>
    </row>
    <row r="4455" spans="1:17" x14ac:dyDescent="0.25">
      <c r="A4455" s="8">
        <v>995046</v>
      </c>
      <c r="B4455" s="22" t="str">
        <f>IFERROR(VLOOKUP(A4455,VLOOKUPS!$A$2:B$12589,2,FALSE),"")</f>
        <v>Diced Onion 8oz-standard</v>
      </c>
      <c r="E4455">
        <v>2.58</v>
      </c>
      <c r="F4455">
        <v>2.78</v>
      </c>
      <c r="G4455" s="13">
        <v>44707</v>
      </c>
      <c r="H4455" s="13"/>
      <c r="I4455" s="22" t="str">
        <f>VLOOKUP(J4455, Dropdowns!N:O, 2, FALSE)</f>
        <v>Standard</v>
      </c>
      <c r="J4455" t="s">
        <v>761</v>
      </c>
      <c r="L4455" s="17" t="s">
        <v>734</v>
      </c>
      <c r="M4455" s="17" t="s">
        <v>10</v>
      </c>
      <c r="N4455" s="17">
        <v>2</v>
      </c>
    </row>
    <row r="4456" spans="1:17" x14ac:dyDescent="0.25">
      <c r="A4456" s="8">
        <v>984542</v>
      </c>
      <c r="B4456" s="22" t="str">
        <f>IFERROR(VLOOKUP(A4456,VLOOKUPS!$A$2:B$12589,2,FALSE),"")</f>
        <v>Blueberries 18oz-standard</v>
      </c>
      <c r="E4456">
        <v>5.28</v>
      </c>
      <c r="F4456">
        <v>5.49</v>
      </c>
      <c r="G4456" s="13">
        <v>44707</v>
      </c>
      <c r="H4456" s="13"/>
      <c r="I4456" s="22" t="str">
        <f>VLOOKUP(J4456, Dropdowns!N:O, 2, FALSE)</f>
        <v>Standard</v>
      </c>
      <c r="J4456" t="s">
        <v>761</v>
      </c>
      <c r="L4456" s="17" t="s">
        <v>734</v>
      </c>
      <c r="M4456" s="17" t="s">
        <v>9</v>
      </c>
      <c r="N4456" s="17" t="s">
        <v>736</v>
      </c>
    </row>
    <row r="4457" spans="1:17" x14ac:dyDescent="0.25">
      <c r="A4457" s="8">
        <v>984702</v>
      </c>
      <c r="B4457" s="22" t="str">
        <f>IFERROR(VLOOKUP(A4457,VLOOKUPS!$A$2:B$12589,2,FALSE),"")</f>
        <v>Blackberries 12oz-standard</v>
      </c>
      <c r="E4457">
        <v>4.9800000000000004</v>
      </c>
      <c r="F4457">
        <v>5.49</v>
      </c>
      <c r="G4457" s="13">
        <v>44707</v>
      </c>
      <c r="H4457" s="13"/>
      <c r="I4457" s="22" t="str">
        <f>VLOOKUP(J4457, Dropdowns!N:O, 2, FALSE)</f>
        <v>Standard</v>
      </c>
      <c r="J4457" t="s">
        <v>761</v>
      </c>
      <c r="L4457" s="17" t="s">
        <v>734</v>
      </c>
      <c r="M4457" s="17" t="s">
        <v>9</v>
      </c>
      <c r="N4457" s="17" t="s">
        <v>736</v>
      </c>
    </row>
    <row r="4458" spans="1:17" x14ac:dyDescent="0.25">
      <c r="A4458" s="8">
        <v>995134</v>
      </c>
      <c r="B4458" s="22" t="str">
        <f>IFERROR(VLOOKUP(A4458,VLOOKUPS!$A$2:B$12589,2,FALSE),"")</f>
        <v>Mirepoix 10oz-standard</v>
      </c>
      <c r="D4458">
        <v>6</v>
      </c>
      <c r="F4458">
        <v>2.58</v>
      </c>
      <c r="G4458" s="13">
        <v>44707</v>
      </c>
      <c r="H4458" s="13"/>
      <c r="I4458" s="22" t="str">
        <f>VLOOKUP(J4458, Dropdowns!N:O, 2, FALSE)</f>
        <v>NA</v>
      </c>
      <c r="J4458" t="s">
        <v>754</v>
      </c>
      <c r="L4458" s="17" t="s">
        <v>733</v>
      </c>
      <c r="M4458" s="17" t="s">
        <v>11</v>
      </c>
      <c r="N4458" s="17" t="s">
        <v>740</v>
      </c>
    </row>
    <row r="4459" spans="1:17" x14ac:dyDescent="0.25">
      <c r="A4459" s="8">
        <v>995141</v>
      </c>
      <c r="B4459" s="22" t="str">
        <f>IFERROR(VLOOKUP(A4459,VLOOKUPS!$A$2:B$12589,2,FALSE),"")</f>
        <v>Watermelon Chunks 32oz-standard</v>
      </c>
      <c r="E4459">
        <v>8.2899999999999991</v>
      </c>
      <c r="F4459">
        <v>8.49</v>
      </c>
      <c r="G4459" s="13">
        <v>44707</v>
      </c>
      <c r="H4459" s="13"/>
      <c r="I4459" s="22" t="str">
        <f>VLOOKUP(J4459, Dropdowns!N:O, 2, FALSE)</f>
        <v>Standard</v>
      </c>
      <c r="J4459" t="s">
        <v>761</v>
      </c>
      <c r="L4459" s="17" t="s">
        <v>734</v>
      </c>
      <c r="M4459" s="17" t="s">
        <v>9</v>
      </c>
      <c r="N4459" s="17" t="s">
        <v>736</v>
      </c>
    </row>
    <row r="4460" spans="1:17" x14ac:dyDescent="0.25">
      <c r="A4460" s="8">
        <v>995190</v>
      </c>
      <c r="B4460" s="22" t="str">
        <f>IFERROR(VLOOKUP(A4460,VLOOKUPS!$A$2:B$12589,2,FALSE),"")</f>
        <v>Organic Green Beans 12oz-standard</v>
      </c>
      <c r="D4460">
        <v>6</v>
      </c>
      <c r="F4460">
        <v>4.18</v>
      </c>
      <c r="G4460" s="13">
        <v>44707</v>
      </c>
      <c r="H4460" s="13"/>
      <c r="I4460" s="22" t="str">
        <f>VLOOKUP(J4460, Dropdowns!N:O, 2, FALSE)</f>
        <v>New</v>
      </c>
      <c r="J4460" t="s">
        <v>776</v>
      </c>
      <c r="L4460" s="17" t="s">
        <v>732</v>
      </c>
      <c r="M4460" s="17" t="s">
        <v>736</v>
      </c>
      <c r="N4460" s="17" t="s">
        <v>736</v>
      </c>
      <c r="O4460" s="17" t="s">
        <v>748</v>
      </c>
      <c r="P4460">
        <v>1</v>
      </c>
      <c r="Q4460" s="17" t="s">
        <v>1044</v>
      </c>
    </row>
    <row r="4461" spans="1:17" x14ac:dyDescent="0.25">
      <c r="A4461" s="8">
        <v>995191</v>
      </c>
      <c r="B4461" s="22" t="str">
        <f>IFERROR(VLOOKUP(A4461,VLOOKUPS!$A$2:B$12589,2,FALSE),"")</f>
        <v>Halved Brussels Sprouts 12oz-standard</v>
      </c>
      <c r="D4461">
        <v>6</v>
      </c>
      <c r="F4461">
        <v>3.28</v>
      </c>
      <c r="G4461" s="13">
        <v>44707</v>
      </c>
      <c r="H4461" s="13"/>
      <c r="I4461" s="22" t="str">
        <f>VLOOKUP(J4461, Dropdowns!N:O, 2, FALSE)</f>
        <v>New</v>
      </c>
      <c r="J4461" t="s">
        <v>776</v>
      </c>
      <c r="L4461" s="17" t="s">
        <v>733</v>
      </c>
      <c r="M4461" s="17" t="s">
        <v>736</v>
      </c>
      <c r="N4461" s="17" t="s">
        <v>740</v>
      </c>
      <c r="O4461" s="17" t="s">
        <v>748</v>
      </c>
      <c r="P4461">
        <v>1</v>
      </c>
      <c r="Q4461" s="17" t="s">
        <v>1044</v>
      </c>
    </row>
    <row r="4462" spans="1:17" x14ac:dyDescent="0.25">
      <c r="A4462" s="8">
        <v>995191</v>
      </c>
      <c r="B4462" s="22" t="str">
        <f>IFERROR(VLOOKUP(A4462,VLOOKUPS!$A$2:B$12589,2,FALSE),"")</f>
        <v>Halved Brussels Sprouts 12oz-standard</v>
      </c>
      <c r="D4462">
        <v>6</v>
      </c>
      <c r="F4462">
        <v>3.28</v>
      </c>
      <c r="G4462" s="13">
        <v>44707</v>
      </c>
      <c r="H4462" s="13"/>
      <c r="I4462" s="22" t="str">
        <f>VLOOKUP(J4462, Dropdowns!N:O, 2, FALSE)</f>
        <v>New</v>
      </c>
      <c r="J4462" t="s">
        <v>776</v>
      </c>
      <c r="L4462" s="17" t="s">
        <v>734</v>
      </c>
      <c r="M4462" s="17" t="s">
        <v>10</v>
      </c>
      <c r="N4462" s="17">
        <v>2</v>
      </c>
      <c r="O4462" s="17" t="s">
        <v>748</v>
      </c>
      <c r="P4462">
        <v>1</v>
      </c>
      <c r="Q4462" s="17" t="s">
        <v>1044</v>
      </c>
    </row>
    <row r="4463" spans="1:17" x14ac:dyDescent="0.25">
      <c r="A4463" s="8">
        <v>995191</v>
      </c>
      <c r="B4463" s="22" t="str">
        <f>IFERROR(VLOOKUP(A4463,VLOOKUPS!$A$2:B$12589,2,FALSE),"")</f>
        <v>Halved Brussels Sprouts 12oz-standard</v>
      </c>
      <c r="D4463">
        <v>6</v>
      </c>
      <c r="F4463">
        <v>3.99</v>
      </c>
      <c r="G4463" s="13">
        <v>44707</v>
      </c>
      <c r="H4463" s="13"/>
      <c r="I4463" s="22" t="str">
        <f>VLOOKUP(J4463, Dropdowns!N:O, 2, FALSE)</f>
        <v>New</v>
      </c>
      <c r="J4463" t="s">
        <v>776</v>
      </c>
      <c r="L4463" s="17" t="s">
        <v>734</v>
      </c>
      <c r="M4463" s="17" t="s">
        <v>9</v>
      </c>
      <c r="N4463" s="17" t="s">
        <v>736</v>
      </c>
      <c r="O4463" s="17" t="s">
        <v>748</v>
      </c>
      <c r="P4463">
        <v>1</v>
      </c>
      <c r="Q4463" s="17" t="s">
        <v>1044</v>
      </c>
    </row>
    <row r="4464" spans="1:17" x14ac:dyDescent="0.25">
      <c r="A4464" s="8">
        <v>995192</v>
      </c>
      <c r="B4464" s="22" t="str">
        <f>IFERROR(VLOOKUP(A4464,VLOOKUPS!$A$2:B$12589,2,FALSE),"")</f>
        <v>Green Beans 32oz-standard</v>
      </c>
      <c r="D4464">
        <v>5</v>
      </c>
      <c r="F4464">
        <v>6.18</v>
      </c>
      <c r="G4464" s="13">
        <v>44707</v>
      </c>
      <c r="H4464" s="13"/>
      <c r="I4464" s="22" t="str">
        <f>VLOOKUP(J4464, Dropdowns!N:O, 2, FALSE)</f>
        <v>New</v>
      </c>
      <c r="J4464" t="s">
        <v>776</v>
      </c>
      <c r="L4464" s="17" t="s">
        <v>733</v>
      </c>
      <c r="M4464" s="17" t="s">
        <v>736</v>
      </c>
      <c r="N4464" s="17" t="s">
        <v>740</v>
      </c>
      <c r="O4464" s="17" t="s">
        <v>748</v>
      </c>
      <c r="P4464">
        <v>1</v>
      </c>
      <c r="Q4464" s="17" t="s">
        <v>1044</v>
      </c>
    </row>
    <row r="4465" spans="1:17" x14ac:dyDescent="0.25">
      <c r="A4465" s="8">
        <v>995192</v>
      </c>
      <c r="B4465" s="22" t="str">
        <f>IFERROR(VLOOKUP(A4465,VLOOKUPS!$A$2:B$12589,2,FALSE),"")</f>
        <v>Green Beans 32oz-standard</v>
      </c>
      <c r="D4465">
        <v>5</v>
      </c>
      <c r="F4465">
        <v>6.18</v>
      </c>
      <c r="G4465" s="13">
        <v>44707</v>
      </c>
      <c r="H4465" s="13"/>
      <c r="I4465" s="22" t="str">
        <f>VLOOKUP(J4465, Dropdowns!N:O, 2, FALSE)</f>
        <v>New</v>
      </c>
      <c r="J4465" t="s">
        <v>776</v>
      </c>
      <c r="L4465" s="17" t="s">
        <v>734</v>
      </c>
      <c r="M4465" s="17" t="s">
        <v>10</v>
      </c>
      <c r="N4465" s="8">
        <v>2</v>
      </c>
      <c r="O4465" s="17" t="s">
        <v>748</v>
      </c>
      <c r="P4465">
        <v>1</v>
      </c>
      <c r="Q4465" s="17" t="s">
        <v>1044</v>
      </c>
    </row>
    <row r="4466" spans="1:17" x14ac:dyDescent="0.25">
      <c r="A4466" s="8">
        <v>995192</v>
      </c>
      <c r="B4466" s="22" t="str">
        <f>IFERROR(VLOOKUP(A4466,VLOOKUPS!$A$2:B$12589,2,FALSE),"")</f>
        <v>Green Beans 32oz-standard</v>
      </c>
      <c r="D4466">
        <v>5</v>
      </c>
      <c r="F4466">
        <v>6.49</v>
      </c>
      <c r="G4466" s="13">
        <v>44707</v>
      </c>
      <c r="H4466" s="13"/>
      <c r="I4466" s="22" t="str">
        <f>VLOOKUP(J4466, Dropdowns!N:O, 2, FALSE)</f>
        <v>New</v>
      </c>
      <c r="J4466" t="s">
        <v>776</v>
      </c>
      <c r="L4466" s="17" t="s">
        <v>734</v>
      </c>
      <c r="M4466" s="17" t="s">
        <v>9</v>
      </c>
      <c r="N4466" s="17" t="s">
        <v>736</v>
      </c>
      <c r="O4466" s="17" t="s">
        <v>748</v>
      </c>
      <c r="P4466">
        <v>1</v>
      </c>
      <c r="Q4466" s="17" t="s">
        <v>1044</v>
      </c>
    </row>
    <row r="4467" spans="1:17" x14ac:dyDescent="0.25">
      <c r="A4467" s="8">
        <v>995193</v>
      </c>
      <c r="B4467" s="22" t="str">
        <f>IFERROR(VLOOKUP(A4467,VLOOKUPS!$A$2:B$12589,2,FALSE),"")</f>
        <v>Organic Broccoli Florets 12oz-standard</v>
      </c>
      <c r="D4467">
        <v>6</v>
      </c>
      <c r="F4467">
        <v>4.18</v>
      </c>
      <c r="G4467" s="13">
        <v>44707</v>
      </c>
      <c r="H4467" s="13"/>
      <c r="I4467" s="22" t="str">
        <f>VLOOKUP(J4467, Dropdowns!N:O, 2, FALSE)</f>
        <v>New</v>
      </c>
      <c r="J4467" t="s">
        <v>776</v>
      </c>
      <c r="L4467" s="17" t="s">
        <v>733</v>
      </c>
      <c r="M4467" s="17" t="s">
        <v>736</v>
      </c>
      <c r="N4467" s="17" t="s">
        <v>740</v>
      </c>
      <c r="O4467" s="17" t="s">
        <v>748</v>
      </c>
      <c r="P4467">
        <v>1</v>
      </c>
      <c r="Q4467" s="17" t="s">
        <v>1044</v>
      </c>
    </row>
    <row r="4468" spans="1:17" x14ac:dyDescent="0.25">
      <c r="A4468" s="8">
        <v>995193</v>
      </c>
      <c r="B4468" s="22" t="str">
        <f>IFERROR(VLOOKUP(A4468,VLOOKUPS!$A$2:B$12589,2,FALSE),"")</f>
        <v>Organic Broccoli Florets 12oz-standard</v>
      </c>
      <c r="D4468">
        <v>6</v>
      </c>
      <c r="F4468">
        <v>4.18</v>
      </c>
      <c r="G4468" s="13">
        <v>44707</v>
      </c>
      <c r="H4468" s="13"/>
      <c r="I4468" s="22" t="str">
        <f>VLOOKUP(J4468, Dropdowns!N:O, 2, FALSE)</f>
        <v>New</v>
      </c>
      <c r="J4468" t="s">
        <v>776</v>
      </c>
      <c r="L4468" s="17" t="s">
        <v>734</v>
      </c>
      <c r="M4468" s="17" t="s">
        <v>10</v>
      </c>
      <c r="N4468" s="17">
        <v>2</v>
      </c>
      <c r="O4468" s="17" t="s">
        <v>748</v>
      </c>
      <c r="P4468">
        <v>1</v>
      </c>
      <c r="Q4468" s="17" t="s">
        <v>1044</v>
      </c>
    </row>
    <row r="4469" spans="1:17" x14ac:dyDescent="0.25">
      <c r="A4469" s="8">
        <v>995193</v>
      </c>
      <c r="B4469" s="22" t="str">
        <f>IFERROR(VLOOKUP(A4469,VLOOKUPS!$A$2:B$12589,2,FALSE),"")</f>
        <v>Organic Broccoli Florets 12oz-standard</v>
      </c>
      <c r="D4469">
        <v>6</v>
      </c>
      <c r="F4469">
        <v>4.49</v>
      </c>
      <c r="G4469" s="13">
        <v>44707</v>
      </c>
      <c r="H4469" s="13"/>
      <c r="I4469" s="22" t="str">
        <f>VLOOKUP(J4469, Dropdowns!N:O, 2, FALSE)</f>
        <v>New</v>
      </c>
      <c r="J4469" t="s">
        <v>776</v>
      </c>
      <c r="L4469" s="17" t="s">
        <v>734</v>
      </c>
      <c r="M4469" s="17" t="s">
        <v>9</v>
      </c>
      <c r="N4469" s="17" t="s">
        <v>736</v>
      </c>
      <c r="O4469" s="17" t="s">
        <v>748</v>
      </c>
      <c r="P4469">
        <v>1</v>
      </c>
      <c r="Q4469" s="17" t="s">
        <v>1044</v>
      </c>
    </row>
    <row r="4470" spans="1:17" x14ac:dyDescent="0.25">
      <c r="A4470" s="8">
        <v>984620</v>
      </c>
      <c r="B4470" s="22" t="str">
        <f>IFERROR(VLOOKUP(A4470,VLOOKUPS!$A$2:B$12589,2,FALSE),"")</f>
        <v>Raspberries 6oz-standard</v>
      </c>
      <c r="E4470">
        <v>1.64</v>
      </c>
      <c r="F4470">
        <v>3.28</v>
      </c>
      <c r="G4470" s="13">
        <v>44707</v>
      </c>
      <c r="H4470" s="13"/>
      <c r="I4470" s="22" t="str">
        <f>VLOOKUP(J4470, Dropdowns!N:O, 2, FALSE)</f>
        <v>Standard</v>
      </c>
      <c r="J4470" t="s">
        <v>760</v>
      </c>
      <c r="L4470" s="17" t="s">
        <v>734</v>
      </c>
      <c r="M4470" s="17" t="s">
        <v>9</v>
      </c>
      <c r="N4470" s="17" t="s">
        <v>736</v>
      </c>
    </row>
    <row r="4471" spans="1:17" x14ac:dyDescent="0.25">
      <c r="A4471" s="8">
        <v>984620</v>
      </c>
      <c r="B4471" s="22" t="str">
        <f>IFERROR(VLOOKUP(A4471,VLOOKUPS!$A$2:B$12589,2,FALSE),"")</f>
        <v>Raspberries 6oz-standard</v>
      </c>
      <c r="E4471">
        <v>1.39</v>
      </c>
      <c r="F4471">
        <v>2.98</v>
      </c>
      <c r="G4471" s="13">
        <v>44707</v>
      </c>
      <c r="H4471" s="13"/>
      <c r="I4471" s="22" t="str">
        <f>VLOOKUP(J4471, Dropdowns!N:O, 2, FALSE)</f>
        <v>Standard</v>
      </c>
      <c r="J4471" t="s">
        <v>760</v>
      </c>
      <c r="L4471" s="17" t="s">
        <v>733</v>
      </c>
      <c r="M4471" s="17" t="s">
        <v>9</v>
      </c>
      <c r="N4471" s="17" t="s">
        <v>740</v>
      </c>
    </row>
    <row r="4472" spans="1:17" x14ac:dyDescent="0.25">
      <c r="A4472" s="8">
        <v>984620</v>
      </c>
      <c r="B4472" s="22" t="str">
        <f>IFERROR(VLOOKUP(A4472,VLOOKUPS!$A$2:B$12589,2,FALSE),"")</f>
        <v>Raspberries 6oz-standard</v>
      </c>
      <c r="E4472">
        <v>1.29</v>
      </c>
      <c r="F4472">
        <v>2.98</v>
      </c>
      <c r="G4472" s="13">
        <v>44707</v>
      </c>
      <c r="H4472" s="13"/>
      <c r="I4472" s="22" t="str">
        <f>VLOOKUP(J4472, Dropdowns!N:O, 2, FALSE)</f>
        <v>Standard</v>
      </c>
      <c r="J4472" t="s">
        <v>760</v>
      </c>
      <c r="L4472" s="17" t="s">
        <v>732</v>
      </c>
      <c r="M4472" s="17" t="s">
        <v>738</v>
      </c>
      <c r="N4472" s="17">
        <v>2</v>
      </c>
    </row>
    <row r="4473" spans="1:17" x14ac:dyDescent="0.25">
      <c r="A4473" s="8">
        <v>984541</v>
      </c>
      <c r="B4473" s="22" t="str">
        <f>IFERROR(VLOOKUP(A4473,VLOOKUPS!$A$2:B$12589,2,FALSE),"")</f>
        <v>Blueberries 1pt-standard</v>
      </c>
      <c r="E4473">
        <v>2.4900000000000002</v>
      </c>
      <c r="F4473">
        <v>4.37</v>
      </c>
      <c r="G4473" s="13">
        <v>44707</v>
      </c>
      <c r="H4473" s="13"/>
      <c r="I4473" s="22" t="str">
        <f>VLOOKUP(J4473, Dropdowns!N:O, 2, FALSE)</f>
        <v>Standard</v>
      </c>
      <c r="J4473" t="s">
        <v>760</v>
      </c>
      <c r="L4473" s="17" t="s">
        <v>732</v>
      </c>
      <c r="M4473" s="17" t="s">
        <v>10</v>
      </c>
      <c r="N4473" s="17">
        <v>2</v>
      </c>
    </row>
    <row r="4474" spans="1:17" x14ac:dyDescent="0.25">
      <c r="A4474" s="8">
        <v>984541</v>
      </c>
      <c r="B4474" s="22" t="str">
        <f>IFERROR(VLOOKUP(A4474,VLOOKUPS!$A$2:B$12589,2,FALSE),"")</f>
        <v>Blueberries 1pt-standard</v>
      </c>
      <c r="E4474">
        <v>4.37</v>
      </c>
      <c r="F4474">
        <v>3.69</v>
      </c>
      <c r="G4474" s="13">
        <v>44708</v>
      </c>
      <c r="H4474" s="13"/>
      <c r="I4474" s="22" t="str">
        <f>VLOOKUP(J4474, Dropdowns!N:O, 2, FALSE)</f>
        <v>Standard</v>
      </c>
      <c r="J4474" t="s">
        <v>761</v>
      </c>
      <c r="L4474" s="17" t="s">
        <v>732</v>
      </c>
      <c r="M4474" s="17" t="s">
        <v>10</v>
      </c>
      <c r="N4474" s="17">
        <v>2</v>
      </c>
    </row>
    <row r="4475" spans="1:17" x14ac:dyDescent="0.25">
      <c r="A4475" s="8">
        <v>984460</v>
      </c>
      <c r="B4475" s="22" t="str">
        <f>IFERROR(VLOOKUP(A4475,VLOOKUPS!$A$2:B$12589,2,FALSE),"")</f>
        <v>Strawberries 1lb-standard</v>
      </c>
      <c r="G4475" s="13">
        <v>44708</v>
      </c>
      <c r="H4475" s="13">
        <v>44711</v>
      </c>
      <c r="I4475" s="22" t="str">
        <f>VLOOKUP(J4475, Dropdowns!N:O, 2, FALSE)</f>
        <v>Lower Price</v>
      </c>
      <c r="J4475" t="s">
        <v>753</v>
      </c>
      <c r="L4475" s="17" t="s">
        <v>732</v>
      </c>
      <c r="M4475" s="17" t="s">
        <v>736</v>
      </c>
      <c r="N4475" s="17" t="s">
        <v>736</v>
      </c>
    </row>
    <row r="4476" spans="1:17" x14ac:dyDescent="0.25">
      <c r="A4476" s="8">
        <v>984460</v>
      </c>
      <c r="B4476" s="22" t="str">
        <f>IFERROR(VLOOKUP(A4476,VLOOKUPS!$A$2:B$12589,2,FALSE),"")</f>
        <v>Strawberries 1lb-standard</v>
      </c>
      <c r="G4476" s="13">
        <v>44715</v>
      </c>
      <c r="H4476" s="13">
        <v>44715</v>
      </c>
      <c r="I4476" s="22" t="str">
        <f>VLOOKUP(J4476, Dropdowns!N:O, 2, FALSE)</f>
        <v>Lower Price</v>
      </c>
      <c r="J4476" t="s">
        <v>762</v>
      </c>
      <c r="L4476" s="17" t="s">
        <v>732</v>
      </c>
      <c r="M4476" s="17" t="s">
        <v>736</v>
      </c>
      <c r="N4476" s="17" t="s">
        <v>736</v>
      </c>
    </row>
    <row r="4477" spans="1:17" x14ac:dyDescent="0.25">
      <c r="A4477" s="8">
        <v>984460</v>
      </c>
      <c r="B4477" s="22" t="str">
        <f>IFERROR(VLOOKUP(A4477,VLOOKUPS!$A$2:B$12589,2,FALSE),"")</f>
        <v>Strawberries 1lb-standard</v>
      </c>
      <c r="E4477">
        <v>1.49</v>
      </c>
      <c r="F4477">
        <v>2.48</v>
      </c>
      <c r="G4477" s="13">
        <v>44716</v>
      </c>
      <c r="H4477" s="13"/>
      <c r="I4477" s="22" t="str">
        <f>VLOOKUP(J4477, Dropdowns!N:O, 2, FALSE)</f>
        <v>Standard</v>
      </c>
      <c r="J4477" t="s">
        <v>760</v>
      </c>
      <c r="L4477" s="17" t="s">
        <v>732</v>
      </c>
      <c r="M4477" s="17" t="s">
        <v>736</v>
      </c>
      <c r="N4477" s="17" t="s">
        <v>736</v>
      </c>
    </row>
    <row r="4478" spans="1:17" x14ac:dyDescent="0.25">
      <c r="A4478" s="8">
        <v>984460</v>
      </c>
      <c r="B4478" s="22" t="str">
        <f>IFERROR(VLOOKUP(A4478,VLOOKUPS!$A$2:B$12589,2,FALSE),"")</f>
        <v>Strawberries 1lb-standard</v>
      </c>
      <c r="E4478">
        <v>2.48</v>
      </c>
      <c r="F4478">
        <v>2.99</v>
      </c>
      <c r="G4478" s="13">
        <v>44717</v>
      </c>
      <c r="H4478" s="13"/>
      <c r="I4478" s="22" t="str">
        <f>VLOOKUP(J4478, Dropdowns!N:O, 2, FALSE)</f>
        <v>Standard</v>
      </c>
      <c r="J4478" t="s">
        <v>761</v>
      </c>
      <c r="L4478" s="17" t="s">
        <v>734</v>
      </c>
      <c r="M4478" s="17" t="s">
        <v>9</v>
      </c>
      <c r="N4478" s="17" t="s">
        <v>736</v>
      </c>
    </row>
    <row r="4479" spans="1:17" x14ac:dyDescent="0.25">
      <c r="A4479" s="8">
        <v>984582</v>
      </c>
      <c r="B4479" s="22" t="str">
        <f>IFERROR(VLOOKUP(A4479,VLOOKUPS!$A$2:B$12589,2,FALSE),"")</f>
        <v>Organic Blueberries 1pt-standard</v>
      </c>
      <c r="E4479">
        <v>4.8600000000000003</v>
      </c>
      <c r="F4479">
        <v>2.4300000000000002</v>
      </c>
      <c r="G4479" s="13">
        <v>44708</v>
      </c>
      <c r="H4479" s="13">
        <v>44709</v>
      </c>
      <c r="I4479" s="22" t="str">
        <f>VLOOKUP(J4479, Dropdowns!N:O, 2, FALSE)</f>
        <v>Lower Price</v>
      </c>
      <c r="J4479" t="s">
        <v>759</v>
      </c>
      <c r="L4479" s="17" t="s">
        <v>733</v>
      </c>
      <c r="M4479" s="17" t="s">
        <v>10</v>
      </c>
      <c r="N4479" s="17" t="s">
        <v>740</v>
      </c>
    </row>
    <row r="4480" spans="1:17" x14ac:dyDescent="0.25">
      <c r="A4480" s="8">
        <v>984582</v>
      </c>
      <c r="B4480" s="22" t="str">
        <f>IFERROR(VLOOKUP(A4480,VLOOKUPS!$A$2:B$12589,2,FALSE),"")</f>
        <v>Organic Blueberries 1pt-standard</v>
      </c>
      <c r="E4480">
        <v>2.4300000000000002</v>
      </c>
      <c r="F4480">
        <v>4.8600000000000003</v>
      </c>
      <c r="G4480" s="13">
        <v>44710</v>
      </c>
      <c r="H4480" s="13"/>
      <c r="I4480" s="22" t="str">
        <f>VLOOKUP(J4480, Dropdowns!N:O, 2, FALSE)</f>
        <v>Standard</v>
      </c>
      <c r="J4480" t="s">
        <v>760</v>
      </c>
      <c r="L4480" s="17" t="s">
        <v>733</v>
      </c>
      <c r="M4480" s="17" t="s">
        <v>10</v>
      </c>
      <c r="N4480" s="17" t="s">
        <v>740</v>
      </c>
    </row>
    <row r="4481" spans="1:14" x14ac:dyDescent="0.25">
      <c r="A4481" s="8">
        <v>984700</v>
      </c>
      <c r="B4481" s="22" t="str">
        <f>IFERROR(VLOOKUP(A4481,VLOOKUPS!$A$2:B$12589,2,FALSE),"")</f>
        <v>Blackberries 6oz-standard</v>
      </c>
      <c r="E4481">
        <v>2.88</v>
      </c>
      <c r="F4481">
        <v>1.87</v>
      </c>
      <c r="G4481" s="13">
        <v>44708</v>
      </c>
      <c r="H4481" s="13">
        <v>44709</v>
      </c>
      <c r="I4481" s="22" t="str">
        <f>VLOOKUP(J4481, Dropdowns!N:O, 2, FALSE)</f>
        <v>Lower Price</v>
      </c>
      <c r="J4481" t="s">
        <v>759</v>
      </c>
      <c r="L4481" s="17" t="s">
        <v>733</v>
      </c>
      <c r="M4481" s="17" t="s">
        <v>738</v>
      </c>
      <c r="N4481" s="17" t="s">
        <v>740</v>
      </c>
    </row>
    <row r="4482" spans="1:14" x14ac:dyDescent="0.25">
      <c r="A4482" s="8">
        <v>984700</v>
      </c>
      <c r="B4482" s="22" t="str">
        <f>IFERROR(VLOOKUP(A4482,VLOOKUPS!$A$2:B$12589,2,FALSE),"")</f>
        <v>Blackberries 6oz-standard</v>
      </c>
      <c r="E4482">
        <v>1.87</v>
      </c>
      <c r="F4482">
        <v>2.88</v>
      </c>
      <c r="G4482" s="13">
        <v>44710</v>
      </c>
      <c r="H4482" s="13"/>
      <c r="I4482" s="22" t="str">
        <f>VLOOKUP(J4482, Dropdowns!N:O, 2, FALSE)</f>
        <v>Standard</v>
      </c>
      <c r="J4482" t="s">
        <v>760</v>
      </c>
      <c r="L4482" s="17" t="s">
        <v>733</v>
      </c>
      <c r="M4482" s="17" t="s">
        <v>738</v>
      </c>
      <c r="N4482" s="17" t="s">
        <v>740</v>
      </c>
    </row>
    <row r="4483" spans="1:14" x14ac:dyDescent="0.25">
      <c r="A4483" s="8">
        <v>995134</v>
      </c>
      <c r="B4483" s="22" t="str">
        <f>IFERROR(VLOOKUP(A4483,VLOOKUPS!$A$2:B$12589,2,FALSE),"")</f>
        <v>Mirepoix 10oz-standard</v>
      </c>
      <c r="D4483">
        <v>6</v>
      </c>
      <c r="F4483">
        <v>2.58</v>
      </c>
      <c r="G4483" s="13">
        <v>44708</v>
      </c>
      <c r="H4483" s="13"/>
      <c r="I4483" s="22" t="str">
        <f>VLOOKUP(J4483, Dropdowns!N:O, 2, FALSE)</f>
        <v>NA</v>
      </c>
      <c r="J4483" t="s">
        <v>754</v>
      </c>
      <c r="L4483" s="17" t="s">
        <v>732</v>
      </c>
      <c r="M4483" s="17" t="s">
        <v>10</v>
      </c>
      <c r="N4483" s="17">
        <v>2</v>
      </c>
    </row>
    <row r="4484" spans="1:14" x14ac:dyDescent="0.25">
      <c r="A4484" s="8">
        <v>985760</v>
      </c>
      <c r="B4484" s="22" t="str">
        <f>IFERROR(VLOOKUP(A4484,VLOOKUPS!$A$2:B$12589,2,FALSE),"")</f>
        <v>Asparagus 1lb-standard</v>
      </c>
      <c r="E4484">
        <v>1.79</v>
      </c>
      <c r="F4484">
        <v>2.99</v>
      </c>
      <c r="G4484" s="13">
        <v>44708</v>
      </c>
      <c r="H4484" s="13"/>
      <c r="I4484" s="22" t="str">
        <f>VLOOKUP(J4484, Dropdowns!N:O, 2, FALSE)</f>
        <v>Standard</v>
      </c>
      <c r="J4484" t="s">
        <v>760</v>
      </c>
      <c r="L4484" s="17" t="s">
        <v>732</v>
      </c>
      <c r="M4484" s="17" t="s">
        <v>736</v>
      </c>
      <c r="N4484" s="17" t="s">
        <v>736</v>
      </c>
    </row>
    <row r="4485" spans="1:14" x14ac:dyDescent="0.25">
      <c r="A4485" s="8">
        <v>984541</v>
      </c>
      <c r="B4485" s="22" t="str">
        <f>IFERROR(VLOOKUP(A4485,VLOOKUPS!$A$2:B$12589,2,FALSE),"")</f>
        <v>Blueberries 1pt-standard</v>
      </c>
      <c r="E4485">
        <v>2.4900000000000002</v>
      </c>
      <c r="F4485">
        <v>4.37</v>
      </c>
      <c r="G4485" s="13">
        <v>44708</v>
      </c>
      <c r="H4485" s="13"/>
      <c r="I4485" s="22" t="str">
        <f>VLOOKUP(J4485, Dropdowns!N:O, 2, FALSE)</f>
        <v>Standard</v>
      </c>
      <c r="J4485" t="s">
        <v>760</v>
      </c>
      <c r="L4485" s="17" t="s">
        <v>732</v>
      </c>
      <c r="M4485" s="17" t="s">
        <v>737</v>
      </c>
      <c r="N4485" s="17" t="s">
        <v>736</v>
      </c>
    </row>
    <row r="4486" spans="1:14" x14ac:dyDescent="0.25">
      <c r="A4486" s="8">
        <v>984541</v>
      </c>
      <c r="B4486" s="22" t="str">
        <f>IFERROR(VLOOKUP(A4486,VLOOKUPS!$A$2:B$12589,2,FALSE),"")</f>
        <v>Blueberries 1pt-standard</v>
      </c>
      <c r="E4486">
        <v>4.37</v>
      </c>
      <c r="F4486">
        <v>3.69</v>
      </c>
      <c r="G4486" s="13">
        <v>44709</v>
      </c>
      <c r="H4486" s="13"/>
      <c r="I4486" s="22" t="str">
        <f>VLOOKUP(J4486, Dropdowns!N:O, 2, FALSE)</f>
        <v>Standard</v>
      </c>
      <c r="J4486" t="s">
        <v>761</v>
      </c>
      <c r="L4486" s="17" t="s">
        <v>733</v>
      </c>
      <c r="M4486" s="17" t="s">
        <v>737</v>
      </c>
      <c r="N4486" s="17" t="s">
        <v>740</v>
      </c>
    </row>
    <row r="4487" spans="1:14" x14ac:dyDescent="0.25">
      <c r="A4487" s="8">
        <v>984541</v>
      </c>
      <c r="B4487" s="22" t="str">
        <f>IFERROR(VLOOKUP(A4487,VLOOKUPS!$A$2:B$12589,2,FALSE),"")</f>
        <v>Blueberries 1pt-standard</v>
      </c>
      <c r="E4487">
        <v>4.37</v>
      </c>
      <c r="F4487">
        <v>3.99</v>
      </c>
      <c r="G4487" s="13">
        <v>44709</v>
      </c>
      <c r="H4487" s="13"/>
      <c r="I4487" s="22" t="str">
        <f>VLOOKUP(J4487, Dropdowns!N:O, 2, FALSE)</f>
        <v>Standard</v>
      </c>
      <c r="J4487" t="s">
        <v>761</v>
      </c>
      <c r="L4487" s="17" t="s">
        <v>734</v>
      </c>
      <c r="M4487" s="17" t="s">
        <v>9</v>
      </c>
      <c r="N4487" s="17" t="s">
        <v>736</v>
      </c>
    </row>
    <row r="4488" spans="1:14" x14ac:dyDescent="0.25">
      <c r="A4488" s="8">
        <v>988490</v>
      </c>
      <c r="B4488" s="22" t="str">
        <f>IFERROR(VLOOKUP(A4488,VLOOKUPS!$A$2:B$12589,2,FALSE),"")</f>
        <v>Cabbage* 1lb-LOOSE</v>
      </c>
      <c r="G4488" s="13">
        <v>44708</v>
      </c>
      <c r="H4488" s="13">
        <v>44708</v>
      </c>
      <c r="I4488" s="22" t="str">
        <f>VLOOKUP(J4488, Dropdowns!N:O, 2, FALSE)</f>
        <v>Lower Price</v>
      </c>
      <c r="J4488" t="s">
        <v>762</v>
      </c>
      <c r="L4488" s="17" t="s">
        <v>732</v>
      </c>
      <c r="M4488" s="17" t="s">
        <v>738</v>
      </c>
      <c r="N4488" s="17">
        <v>2</v>
      </c>
    </row>
    <row r="4489" spans="1:14" x14ac:dyDescent="0.25">
      <c r="A4489" s="8">
        <v>982650</v>
      </c>
      <c r="B4489" s="22" t="str">
        <f>IFERROR(VLOOKUP(A4489,VLOOKUPS!$A$2:B$12589,2,FALSE),"")</f>
        <v>Grapes* Green Seedless 1lb-LOOSE</v>
      </c>
      <c r="E4489">
        <v>2.59</v>
      </c>
      <c r="F4489">
        <v>1.29</v>
      </c>
      <c r="G4489" s="13">
        <v>44708</v>
      </c>
      <c r="H4489" s="13">
        <v>44712</v>
      </c>
      <c r="I4489" s="22" t="str">
        <f>VLOOKUP(J4489, Dropdowns!N:O, 2, FALSE)</f>
        <v>Lower Price</v>
      </c>
      <c r="J4489" t="s">
        <v>759</v>
      </c>
      <c r="L4489" s="17" t="s">
        <v>732</v>
      </c>
      <c r="M4489" s="17" t="s">
        <v>10</v>
      </c>
      <c r="N4489" s="17">
        <v>2</v>
      </c>
    </row>
    <row r="4490" spans="1:14" x14ac:dyDescent="0.25">
      <c r="A4490" s="8">
        <v>983101</v>
      </c>
      <c r="B4490" s="22" t="str">
        <f>IFERROR(VLOOKUP(A4490,VLOOKUPS!$A$2:B$12589,2,FALSE),"")</f>
        <v>Melons Cantaloupes 1ct-LOOSE</v>
      </c>
      <c r="E4490">
        <v>2.48</v>
      </c>
      <c r="F4490">
        <v>2.79</v>
      </c>
      <c r="G4490" s="13">
        <v>44708</v>
      </c>
      <c r="H4490" s="13"/>
      <c r="I4490" s="22" t="str">
        <f>VLOOKUP(J4490, Dropdowns!N:O, 2, FALSE)</f>
        <v>Standard</v>
      </c>
      <c r="J4490" t="s">
        <v>761</v>
      </c>
      <c r="L4490" s="17" t="s">
        <v>732</v>
      </c>
      <c r="M4490" s="17" t="s">
        <v>738</v>
      </c>
      <c r="N4490" s="17">
        <v>2</v>
      </c>
    </row>
    <row r="4491" spans="1:14" x14ac:dyDescent="0.25">
      <c r="A4491" s="8">
        <v>983101</v>
      </c>
      <c r="B4491" s="22" t="str">
        <f>IFERROR(VLOOKUP(A4491,VLOOKUPS!$A$2:B$12589,2,FALSE),"")</f>
        <v>Melons Cantaloupes 1ct-LOOSE</v>
      </c>
      <c r="E4491">
        <v>2.48</v>
      </c>
      <c r="F4491">
        <v>2.79</v>
      </c>
      <c r="G4491" s="13">
        <v>44708</v>
      </c>
      <c r="H4491" s="13"/>
      <c r="I4491" s="22" t="str">
        <f>VLOOKUP(J4491, Dropdowns!N:O, 2, FALSE)</f>
        <v>Standard</v>
      </c>
      <c r="J4491" t="s">
        <v>761</v>
      </c>
      <c r="L4491" s="17" t="s">
        <v>733</v>
      </c>
      <c r="M4491" s="17" t="s">
        <v>9</v>
      </c>
      <c r="N4491" s="17" t="s">
        <v>740</v>
      </c>
    </row>
    <row r="4492" spans="1:14" x14ac:dyDescent="0.25">
      <c r="A4492" s="8">
        <v>989086</v>
      </c>
      <c r="B4492" s="22" t="str">
        <f>IFERROR(VLOOKUP(A4492,VLOOKUPS!$A$2:B$12589,2,FALSE),"")</f>
        <v>Basil 0.5oz-standard</v>
      </c>
      <c r="E4492">
        <v>1.98</v>
      </c>
      <c r="F4492">
        <v>2.08</v>
      </c>
      <c r="G4492" s="13">
        <v>44708</v>
      </c>
      <c r="H4492" s="13"/>
      <c r="I4492" s="22" t="str">
        <f>VLOOKUP(J4492, Dropdowns!N:O, 2, FALSE)</f>
        <v>Standard</v>
      </c>
      <c r="J4492" t="s">
        <v>761</v>
      </c>
      <c r="L4492" s="17" t="s">
        <v>732</v>
      </c>
      <c r="M4492" s="17" t="s">
        <v>738</v>
      </c>
      <c r="N4492" s="17">
        <v>2</v>
      </c>
    </row>
    <row r="4493" spans="1:14" x14ac:dyDescent="0.25">
      <c r="A4493" s="8">
        <v>989086</v>
      </c>
      <c r="B4493" s="22" t="str">
        <f>IFERROR(VLOOKUP(A4493,VLOOKUPS!$A$2:B$12589,2,FALSE),"")</f>
        <v>Basil 0.5oz-standard</v>
      </c>
      <c r="E4493">
        <v>1.98</v>
      </c>
      <c r="F4493">
        <v>2.08</v>
      </c>
      <c r="G4493" s="13">
        <v>44708</v>
      </c>
      <c r="H4493" s="13"/>
      <c r="I4493" s="22" t="str">
        <f>VLOOKUP(J4493, Dropdowns!N:O, 2, FALSE)</f>
        <v>Standard</v>
      </c>
      <c r="J4493" t="s">
        <v>761</v>
      </c>
      <c r="L4493" s="17" t="s">
        <v>733</v>
      </c>
      <c r="M4493" s="17" t="s">
        <v>9</v>
      </c>
      <c r="N4493" s="17" t="s">
        <v>740</v>
      </c>
    </row>
    <row r="4494" spans="1:14" x14ac:dyDescent="0.25">
      <c r="A4494" s="8">
        <v>983301</v>
      </c>
      <c r="B4494" s="22" t="str">
        <f>IFERROR(VLOOKUP(A4494,VLOOKUPS!$A$2:B$12589,2,FALSE),"")</f>
        <v>Watermelons* Mini Seedless 1ct-LOOSE</v>
      </c>
      <c r="E4494">
        <v>4.9800000000000004</v>
      </c>
      <c r="F4494">
        <v>3.68</v>
      </c>
      <c r="G4494" s="13">
        <v>44708</v>
      </c>
      <c r="H4494" s="13"/>
      <c r="I4494" s="22" t="str">
        <f>VLOOKUP(J4494, Dropdowns!N:O, 2, FALSE)</f>
        <v>Standard</v>
      </c>
      <c r="J4494" t="s">
        <v>761</v>
      </c>
      <c r="L4494" s="17" t="s">
        <v>732</v>
      </c>
      <c r="M4494" s="17" t="s">
        <v>738</v>
      </c>
      <c r="N4494" s="17">
        <v>2</v>
      </c>
    </row>
    <row r="4495" spans="1:14" x14ac:dyDescent="0.25">
      <c r="A4495" s="8">
        <v>983301</v>
      </c>
      <c r="B4495" s="22" t="str">
        <f>IFERROR(VLOOKUP(A4495,VLOOKUPS!$A$2:B$12589,2,FALSE),"")</f>
        <v>Watermelons* Mini Seedless 1ct-LOOSE</v>
      </c>
      <c r="E4495">
        <v>4.9800000000000004</v>
      </c>
      <c r="F4495">
        <v>3.68</v>
      </c>
      <c r="G4495" s="13">
        <v>44708</v>
      </c>
      <c r="H4495" s="13"/>
      <c r="I4495" s="22" t="str">
        <f>VLOOKUP(J4495, Dropdowns!N:O, 2, FALSE)</f>
        <v>Standard</v>
      </c>
      <c r="J4495" t="s">
        <v>761</v>
      </c>
      <c r="L4495" s="17" t="s">
        <v>733</v>
      </c>
      <c r="M4495" s="17" t="s">
        <v>9</v>
      </c>
      <c r="N4495" s="17" t="s">
        <v>740</v>
      </c>
    </row>
    <row r="4496" spans="1:14" x14ac:dyDescent="0.25">
      <c r="A4496" s="8">
        <v>988490</v>
      </c>
      <c r="B4496" s="22" t="str">
        <f>IFERROR(VLOOKUP(A4496,VLOOKUPS!$A$2:B$12589,2,FALSE),"")</f>
        <v>Cabbage* 1lb-LOOSE</v>
      </c>
      <c r="E4496">
        <v>0.49</v>
      </c>
      <c r="F4496">
        <v>0.79</v>
      </c>
      <c r="G4496" s="13">
        <v>44709</v>
      </c>
      <c r="H4496" s="13"/>
      <c r="I4496" s="22" t="str">
        <f>VLOOKUP(J4496, Dropdowns!N:O, 2, FALSE)</f>
        <v>Standard</v>
      </c>
      <c r="J4496" t="s">
        <v>760</v>
      </c>
      <c r="L4496" s="17" t="s">
        <v>732</v>
      </c>
      <c r="M4496" s="17" t="s">
        <v>738</v>
      </c>
      <c r="N4496" s="17">
        <v>2</v>
      </c>
    </row>
    <row r="4497" spans="1:15" x14ac:dyDescent="0.25">
      <c r="A4497" s="8">
        <v>988490</v>
      </c>
      <c r="B4497" s="22" t="str">
        <f>IFERROR(VLOOKUP(A4497,VLOOKUPS!$A$2:B$12589,2,FALSE),"")</f>
        <v>Cabbage* 1lb-LOOSE</v>
      </c>
      <c r="G4497" s="13">
        <v>44709</v>
      </c>
      <c r="H4497" s="13">
        <v>44710</v>
      </c>
      <c r="I4497" s="22" t="str">
        <f>VLOOKUP(J4497, Dropdowns!N:O, 2, FALSE)</f>
        <v>Lower Price</v>
      </c>
      <c r="J4497" t="s">
        <v>762</v>
      </c>
      <c r="L4497" s="17" t="s">
        <v>732</v>
      </c>
      <c r="M4497" s="17" t="s">
        <v>9</v>
      </c>
      <c r="N4497" s="17" t="s">
        <v>736</v>
      </c>
    </row>
    <row r="4498" spans="1:15" x14ac:dyDescent="0.25">
      <c r="A4498" s="8">
        <v>988490</v>
      </c>
      <c r="B4498" s="22" t="str">
        <f>IFERROR(VLOOKUP(A4498,VLOOKUPS!$A$2:B$12589,2,FALSE),"")</f>
        <v>Cabbage* 1lb-LOOSE</v>
      </c>
      <c r="E4498">
        <v>0.49</v>
      </c>
      <c r="F4498">
        <v>0.79</v>
      </c>
      <c r="G4498" s="13">
        <v>44711</v>
      </c>
      <c r="H4498" s="13"/>
      <c r="I4498" s="22" t="str">
        <f>VLOOKUP(J4498, Dropdowns!N:O, 2, FALSE)</f>
        <v>Standard</v>
      </c>
      <c r="J4498" t="s">
        <v>760</v>
      </c>
      <c r="L4498" s="17" t="s">
        <v>733</v>
      </c>
      <c r="M4498" s="17" t="s">
        <v>9</v>
      </c>
      <c r="N4498" s="17" t="s">
        <v>740</v>
      </c>
    </row>
    <row r="4499" spans="1:15" x14ac:dyDescent="0.25">
      <c r="A4499" s="8">
        <v>988490</v>
      </c>
      <c r="B4499" s="22" t="str">
        <f>IFERROR(VLOOKUP(A4499,VLOOKUPS!$A$2:B$12589,2,FALSE),"")</f>
        <v>Cabbage* 1lb-LOOSE</v>
      </c>
      <c r="E4499">
        <v>0.59</v>
      </c>
      <c r="F4499">
        <v>0.89</v>
      </c>
      <c r="G4499" s="13">
        <v>44711</v>
      </c>
      <c r="H4499" s="13"/>
      <c r="I4499" s="22" t="str">
        <f>VLOOKUP(J4499, Dropdowns!N:O, 2, FALSE)</f>
        <v>Standard</v>
      </c>
      <c r="J4499" t="s">
        <v>760</v>
      </c>
      <c r="L4499" s="17" t="s">
        <v>734</v>
      </c>
      <c r="M4499" s="17" t="s">
        <v>9</v>
      </c>
      <c r="N4499" s="17" t="s">
        <v>736</v>
      </c>
    </row>
    <row r="4500" spans="1:15" x14ac:dyDescent="0.25">
      <c r="A4500" s="8">
        <v>983151</v>
      </c>
      <c r="B4500" s="22" t="str">
        <f>IFERROR(VLOOKUP(A4500,VLOOKUPS!$A$2:B$12589,2,FALSE),"")</f>
        <v>Melons* Golden Honeydew 1ct-LOOSE</v>
      </c>
      <c r="D4500">
        <v>6</v>
      </c>
      <c r="F4500">
        <v>3.98</v>
      </c>
      <c r="G4500" s="13">
        <v>44712</v>
      </c>
      <c r="H4500" s="13"/>
      <c r="I4500" s="22" t="s">
        <v>785</v>
      </c>
      <c r="J4500" t="s">
        <v>776</v>
      </c>
      <c r="L4500" s="17" t="s">
        <v>732</v>
      </c>
      <c r="M4500" s="17" t="s">
        <v>738</v>
      </c>
      <c r="N4500" s="17">
        <v>2</v>
      </c>
      <c r="O4500" t="s">
        <v>1019</v>
      </c>
    </row>
    <row r="4501" spans="1:15" x14ac:dyDescent="0.25">
      <c r="A4501" s="8">
        <v>995135</v>
      </c>
      <c r="B4501" s="22" t="str">
        <f>IFERROR(VLOOKUP(A4501,VLOOKUPS!$A$2:B$12589,2,FALSE),"")</f>
        <v>XL Mild Fresh Salsa 30oz-standard</v>
      </c>
      <c r="D4501">
        <v>6</v>
      </c>
      <c r="F4501">
        <v>6.99</v>
      </c>
      <c r="G4501" s="13">
        <v>44713</v>
      </c>
      <c r="H4501" s="13"/>
      <c r="I4501" s="22" t="str">
        <f>VLOOKUP(J4501, Dropdowns!N:O, 2, FALSE)</f>
        <v>NA</v>
      </c>
      <c r="J4501" t="s">
        <v>754</v>
      </c>
      <c r="L4501" s="17" t="s">
        <v>732</v>
      </c>
      <c r="M4501" s="17" t="s">
        <v>9</v>
      </c>
      <c r="N4501" s="17" t="s">
        <v>736</v>
      </c>
    </row>
    <row r="4502" spans="1:15" x14ac:dyDescent="0.25">
      <c r="A4502" s="8">
        <v>995015</v>
      </c>
      <c r="B4502" s="22" t="str">
        <f>IFERROR(VLOOKUP(A4502,VLOOKUPS!$A$2:B$12589,2,FALSE),"")</f>
        <v>Savory Spinach Dijon Salad 4.9oz-standard</v>
      </c>
      <c r="D4502">
        <v>8</v>
      </c>
      <c r="F4502">
        <v>3.12</v>
      </c>
      <c r="G4502" s="13">
        <v>44713</v>
      </c>
      <c r="H4502" s="13"/>
      <c r="I4502" s="22" t="str">
        <f>VLOOKUP(J4502, Dropdowns!N:O, 2, FALSE)</f>
        <v>New</v>
      </c>
      <c r="J4502" t="s">
        <v>776</v>
      </c>
      <c r="L4502" s="17" t="s">
        <v>732</v>
      </c>
      <c r="M4502" s="17" t="s">
        <v>736</v>
      </c>
      <c r="N4502" s="17" t="s">
        <v>736</v>
      </c>
    </row>
    <row r="4503" spans="1:15" x14ac:dyDescent="0.25">
      <c r="A4503" s="8">
        <v>995015</v>
      </c>
      <c r="B4503" s="22" t="str">
        <f>IFERROR(VLOOKUP(A4503,VLOOKUPS!$A$2:B$12589,2,FALSE),"")</f>
        <v>Savory Spinach Dijon Salad 4.9oz-standard</v>
      </c>
      <c r="E4503">
        <v>3.12</v>
      </c>
      <c r="F4503">
        <v>3.27</v>
      </c>
      <c r="G4503" s="13">
        <v>44714</v>
      </c>
      <c r="H4503" s="13"/>
      <c r="I4503" s="22" t="str">
        <f>VLOOKUP(J4503, Dropdowns!N:O, 2, FALSE)</f>
        <v>Standard</v>
      </c>
      <c r="J4503" t="s">
        <v>761</v>
      </c>
      <c r="L4503" s="17" t="s">
        <v>733</v>
      </c>
      <c r="M4503" s="17" t="s">
        <v>736</v>
      </c>
      <c r="N4503" s="17" t="s">
        <v>740</v>
      </c>
    </row>
    <row r="4504" spans="1:15" x14ac:dyDescent="0.25">
      <c r="A4504" s="8">
        <v>995015</v>
      </c>
      <c r="B4504" s="22" t="str">
        <f>IFERROR(VLOOKUP(A4504,VLOOKUPS!$A$2:B$12589,2,FALSE),"")</f>
        <v>Savory Spinach Dijon Salad 4.9oz-standard</v>
      </c>
      <c r="E4504">
        <v>3.12</v>
      </c>
      <c r="F4504">
        <v>3.49</v>
      </c>
      <c r="G4504" s="13">
        <v>44714</v>
      </c>
      <c r="H4504" s="13"/>
      <c r="I4504" s="22" t="str">
        <f>VLOOKUP(J4504, Dropdowns!N:O, 2, FALSE)</f>
        <v>Standard</v>
      </c>
      <c r="J4504" t="s">
        <v>761</v>
      </c>
      <c r="L4504" s="17" t="s">
        <v>734</v>
      </c>
      <c r="M4504" s="17" t="s">
        <v>9</v>
      </c>
      <c r="N4504" s="17" t="s">
        <v>736</v>
      </c>
    </row>
    <row r="4505" spans="1:15" x14ac:dyDescent="0.25">
      <c r="A4505" s="8">
        <v>988620</v>
      </c>
      <c r="B4505" s="22" t="str">
        <f>IFERROR(VLOOKUP(A4505,VLOOKUPS!$A$2:B$12589,2,FALSE),"")</f>
        <v>Brussels Sprouts 1lb-standard</v>
      </c>
      <c r="G4505" s="13">
        <v>44713</v>
      </c>
      <c r="H4505" s="13">
        <v>44719</v>
      </c>
      <c r="I4505" s="22" t="str">
        <f>VLOOKUP(J4505, Dropdowns!N:O, 2, FALSE)</f>
        <v>Lower Price</v>
      </c>
      <c r="J4505" t="s">
        <v>753</v>
      </c>
      <c r="L4505" s="17" t="s">
        <v>732</v>
      </c>
      <c r="M4505" s="17" t="s">
        <v>736</v>
      </c>
      <c r="N4505" s="17" t="s">
        <v>736</v>
      </c>
    </row>
    <row r="4506" spans="1:15" x14ac:dyDescent="0.25">
      <c r="A4506" s="8">
        <v>984620</v>
      </c>
      <c r="B4506" s="22" t="str">
        <f>IFERROR(VLOOKUP(A4506,VLOOKUPS!$A$2:B$12589,2,FALSE),"")</f>
        <v>Raspberries 6oz-standard</v>
      </c>
      <c r="G4506" s="13">
        <v>44713</v>
      </c>
      <c r="H4506" s="13">
        <v>44719</v>
      </c>
      <c r="I4506" s="22" t="str">
        <f>VLOOKUP(J4506, Dropdowns!N:O, 2, FALSE)</f>
        <v>Lower Price</v>
      </c>
      <c r="J4506" t="s">
        <v>753</v>
      </c>
      <c r="L4506" s="17" t="s">
        <v>732</v>
      </c>
      <c r="M4506" s="17" t="s">
        <v>10</v>
      </c>
      <c r="N4506" s="17">
        <v>2</v>
      </c>
    </row>
    <row r="4507" spans="1:15" x14ac:dyDescent="0.25">
      <c r="A4507" s="8">
        <v>984541</v>
      </c>
      <c r="B4507" s="22" t="str">
        <f>IFERROR(VLOOKUP(A4507,VLOOKUPS!$A$2:B$12589,2,FALSE),"")</f>
        <v>Blueberries 1pt-standard</v>
      </c>
      <c r="G4507" s="13">
        <v>44713</v>
      </c>
      <c r="H4507" s="13">
        <v>44719</v>
      </c>
      <c r="I4507" s="22" t="str">
        <f>VLOOKUP(J4507, Dropdowns!N:O, 2, FALSE)</f>
        <v>Lower Price</v>
      </c>
      <c r="J4507" t="s">
        <v>753</v>
      </c>
      <c r="L4507" s="17" t="s">
        <v>732</v>
      </c>
      <c r="M4507" s="17" t="s">
        <v>737</v>
      </c>
      <c r="N4507" s="17" t="s">
        <v>736</v>
      </c>
    </row>
    <row r="4508" spans="1:15" x14ac:dyDescent="0.25">
      <c r="A4508" s="8">
        <v>982650</v>
      </c>
      <c r="B4508" s="22" t="str">
        <f>IFERROR(VLOOKUP(A4508,VLOOKUPS!$A$2:B$12589,2,FALSE),"")</f>
        <v>Grapes* Green Seedless 1lb-LOOSE</v>
      </c>
      <c r="E4508">
        <v>1.29</v>
      </c>
      <c r="F4508">
        <v>2.59</v>
      </c>
      <c r="G4508" s="13">
        <v>44713</v>
      </c>
      <c r="H4508" s="13"/>
      <c r="I4508" s="22" t="str">
        <f>VLOOKUP(J4508, Dropdowns!N:O, 2, FALSE)</f>
        <v>Standard</v>
      </c>
      <c r="J4508" t="s">
        <v>760</v>
      </c>
      <c r="L4508" s="17" t="s">
        <v>732</v>
      </c>
      <c r="M4508" s="17" t="s">
        <v>10</v>
      </c>
      <c r="N4508" s="17">
        <v>2</v>
      </c>
    </row>
    <row r="4509" spans="1:15" x14ac:dyDescent="0.25">
      <c r="A4509" s="8">
        <v>983151</v>
      </c>
      <c r="B4509" s="22" t="str">
        <f>IFERROR(VLOOKUP(A4509,VLOOKUPS!$A$2:B$12589,2,FALSE),"")</f>
        <v>Melons* Golden Honeydew 1ct-LOOSE</v>
      </c>
      <c r="D4509">
        <v>6</v>
      </c>
      <c r="F4509">
        <v>3.98</v>
      </c>
      <c r="G4509" s="13">
        <v>44713</v>
      </c>
      <c r="H4509" s="13"/>
      <c r="I4509" s="22" t="str">
        <f>VLOOKUP(J4509, Dropdowns!N:O, 2, FALSE)</f>
        <v>New</v>
      </c>
      <c r="J4509" t="s">
        <v>776</v>
      </c>
      <c r="L4509" s="17" t="s">
        <v>733</v>
      </c>
      <c r="M4509" s="17" t="s">
        <v>9</v>
      </c>
      <c r="N4509" s="17" t="s">
        <v>740</v>
      </c>
    </row>
    <row r="4510" spans="1:15" x14ac:dyDescent="0.25">
      <c r="A4510" s="8">
        <v>983151</v>
      </c>
      <c r="B4510" s="22" t="str">
        <f>IFERROR(VLOOKUP(A4510,VLOOKUPS!$A$2:B$12589,2,FALSE),"")</f>
        <v>Melons* Golden Honeydew 1ct-LOOSE</v>
      </c>
      <c r="D4510">
        <v>6</v>
      </c>
      <c r="F4510">
        <v>4.4800000000000004</v>
      </c>
      <c r="G4510" s="13">
        <v>44713</v>
      </c>
      <c r="H4510" s="13"/>
      <c r="I4510" s="22" t="str">
        <f>VLOOKUP(J4510, Dropdowns!N:O, 2, FALSE)</f>
        <v>New</v>
      </c>
      <c r="J4510" t="s">
        <v>776</v>
      </c>
      <c r="L4510" s="17" t="s">
        <v>734</v>
      </c>
      <c r="M4510" s="17" t="s">
        <v>9</v>
      </c>
      <c r="N4510" s="17" t="s">
        <v>736</v>
      </c>
    </row>
    <row r="4511" spans="1:15" x14ac:dyDescent="0.25">
      <c r="A4511" s="8">
        <v>984701</v>
      </c>
      <c r="B4511" s="22" t="str">
        <f>IFERROR(VLOOKUP(A4511,VLOOKUPS!$A$2:B$12589,2,FALSE),"")</f>
        <v>Blackberries Super Sweet 6oz-standard</v>
      </c>
      <c r="G4511" s="13">
        <v>44713</v>
      </c>
      <c r="H4511" s="13">
        <v>44714</v>
      </c>
      <c r="I4511" s="22" t="str">
        <f>VLOOKUP(J4511, Dropdowns!N:O, 2, FALSE)</f>
        <v>Lower Price</v>
      </c>
      <c r="J4511" t="s">
        <v>1081</v>
      </c>
      <c r="L4511" s="17" t="s">
        <v>732</v>
      </c>
      <c r="M4511" s="17" t="s">
        <v>736</v>
      </c>
      <c r="N4511" s="17" t="s">
        <v>736</v>
      </c>
    </row>
    <row r="4512" spans="1:15" x14ac:dyDescent="0.25">
      <c r="A4512" s="8">
        <v>983671</v>
      </c>
      <c r="B4512" s="22" t="str">
        <f>IFERROR(VLOOKUP(A4512,VLOOKUPS!$A$2:B$12589,2,FALSE),"")</f>
        <v>Kiwis Gold 1lb-standard</v>
      </c>
      <c r="E4512">
        <v>3.99</v>
      </c>
      <c r="F4512">
        <v>4.49</v>
      </c>
      <c r="G4512" s="13">
        <v>44714</v>
      </c>
      <c r="H4512" s="13"/>
      <c r="I4512" s="22" t="str">
        <f>VLOOKUP(J4512, Dropdowns!N:O, 2, FALSE)</f>
        <v>Standard</v>
      </c>
      <c r="J4512" t="s">
        <v>761</v>
      </c>
      <c r="L4512" s="17" t="s">
        <v>732</v>
      </c>
      <c r="M4512" s="17" t="s">
        <v>736</v>
      </c>
      <c r="N4512" s="17" t="s">
        <v>736</v>
      </c>
    </row>
    <row r="4513" spans="1:17" x14ac:dyDescent="0.25">
      <c r="A4513" s="8">
        <v>995051</v>
      </c>
      <c r="B4513" s="22" t="str">
        <f>IFERROR(VLOOKUP(A4513,VLOOKUPS!$A$2:B$12589,2,FALSE),"")</f>
        <v>Mild Fresh Chopped Salsa 16oz-standard</v>
      </c>
      <c r="E4513">
        <v>5.59</v>
      </c>
      <c r="F4513">
        <v>5.19</v>
      </c>
      <c r="G4513" s="13">
        <v>44714</v>
      </c>
      <c r="H4513" s="13"/>
      <c r="I4513" s="22" t="str">
        <f>VLOOKUP(J4513, Dropdowns!N:O, 2, FALSE)</f>
        <v>Standard</v>
      </c>
      <c r="J4513" t="s">
        <v>761</v>
      </c>
      <c r="L4513" s="17" t="s">
        <v>732</v>
      </c>
      <c r="M4513" s="17" t="s">
        <v>736</v>
      </c>
      <c r="N4513" s="17" t="s">
        <v>736</v>
      </c>
    </row>
    <row r="4514" spans="1:17" x14ac:dyDescent="0.25">
      <c r="A4514" s="8">
        <v>995053</v>
      </c>
      <c r="B4514" s="22" t="str">
        <f>IFERROR(VLOOKUP(A4514,VLOOKUPS!$A$2:B$12589,2,FALSE),"")</f>
        <v>Fresh Chopped Salsa Pico 16oz-standard</v>
      </c>
      <c r="E4514">
        <v>5.59</v>
      </c>
      <c r="F4514">
        <v>5.19</v>
      </c>
      <c r="G4514" s="13">
        <v>44714</v>
      </c>
      <c r="H4514" s="13"/>
      <c r="I4514" s="22" t="str">
        <f>VLOOKUP(J4514, Dropdowns!N:O, 2, FALSE)</f>
        <v>Standard</v>
      </c>
      <c r="J4514" t="s">
        <v>761</v>
      </c>
      <c r="L4514" s="17" t="s">
        <v>732</v>
      </c>
      <c r="M4514" s="17" t="s">
        <v>736</v>
      </c>
      <c r="N4514" s="17" t="s">
        <v>736</v>
      </c>
    </row>
    <row r="4515" spans="1:17" x14ac:dyDescent="0.25">
      <c r="A4515" s="8">
        <v>995135</v>
      </c>
      <c r="B4515" s="22" t="str">
        <f>IFERROR(VLOOKUP(A4515,VLOOKUPS!$A$2:B$12589,2,FALSE),"")</f>
        <v>XL Mild Fresh Salsa 30oz-standard</v>
      </c>
      <c r="D4515">
        <v>6</v>
      </c>
      <c r="F4515">
        <v>6.99</v>
      </c>
      <c r="G4515" s="13">
        <v>44714</v>
      </c>
      <c r="H4515" s="13"/>
      <c r="I4515" s="22" t="str">
        <f>VLOOKUP(J4515, Dropdowns!N:O, 2, FALSE)</f>
        <v>NA</v>
      </c>
      <c r="J4515" t="s">
        <v>754</v>
      </c>
      <c r="L4515" s="17" t="s">
        <v>733</v>
      </c>
      <c r="M4515" s="17" t="s">
        <v>11</v>
      </c>
      <c r="N4515" s="17" t="s">
        <v>740</v>
      </c>
    </row>
    <row r="4516" spans="1:17" x14ac:dyDescent="0.25">
      <c r="A4516" s="8">
        <v>995168</v>
      </c>
      <c r="B4516" s="22" t="str">
        <f>IFERROR(VLOOKUP(A4516,VLOOKUPS!$A$2:B$12589,2,FALSE),"")</f>
        <v>Coconut Curry Stir Fry Kit 12.5oz-standard</v>
      </c>
      <c r="D4516">
        <v>6</v>
      </c>
      <c r="F4516">
        <v>2.98</v>
      </c>
      <c r="G4516" s="13">
        <v>44714</v>
      </c>
      <c r="H4516" s="13"/>
      <c r="I4516" s="22" t="str">
        <f>VLOOKUP(J4516, Dropdowns!N:O, 2, FALSE)</f>
        <v>NA</v>
      </c>
      <c r="J4516" t="s">
        <v>754</v>
      </c>
      <c r="L4516" s="17" t="s">
        <v>732</v>
      </c>
      <c r="M4516" s="17" t="s">
        <v>736</v>
      </c>
      <c r="N4516" s="17" t="s">
        <v>736</v>
      </c>
    </row>
    <row r="4517" spans="1:17" x14ac:dyDescent="0.25">
      <c r="A4517" s="8">
        <v>995196</v>
      </c>
      <c r="B4517" s="22" t="str">
        <f>IFERROR(VLOOKUP(A4517,VLOOKUPS!$A$2:B$12589,2,FALSE),"")</f>
        <v/>
      </c>
      <c r="D4517">
        <v>4</v>
      </c>
      <c r="F4517">
        <v>7.97</v>
      </c>
      <c r="G4517" s="13">
        <v>44714</v>
      </c>
      <c r="H4517" s="13"/>
      <c r="I4517" s="22" t="str">
        <f>VLOOKUP(J4517, Dropdowns!N:O, 2, FALSE)</f>
        <v>New</v>
      </c>
      <c r="J4517" t="s">
        <v>776</v>
      </c>
      <c r="L4517" s="17" t="s">
        <v>733</v>
      </c>
      <c r="M4517" s="17" t="s">
        <v>736</v>
      </c>
      <c r="N4517" s="17" t="s">
        <v>740</v>
      </c>
      <c r="O4517" s="17" t="s">
        <v>748</v>
      </c>
      <c r="P4517">
        <v>1</v>
      </c>
      <c r="Q4517" s="17" t="s">
        <v>1044</v>
      </c>
    </row>
    <row r="4518" spans="1:17" x14ac:dyDescent="0.25">
      <c r="A4518" s="8">
        <v>995196</v>
      </c>
      <c r="B4518" s="22" t="str">
        <f>IFERROR(VLOOKUP(A4518,VLOOKUPS!$A$2:B$12589,2,FALSE),"")</f>
        <v/>
      </c>
      <c r="D4518">
        <v>4</v>
      </c>
      <c r="F4518">
        <v>8.4700000000000006</v>
      </c>
      <c r="G4518" s="13">
        <v>44714</v>
      </c>
      <c r="H4518" s="13"/>
      <c r="I4518" s="22" t="str">
        <f>VLOOKUP(J4518, Dropdowns!N:O, 2, FALSE)</f>
        <v>New</v>
      </c>
      <c r="J4518" t="s">
        <v>776</v>
      </c>
      <c r="L4518" s="17" t="s">
        <v>734</v>
      </c>
      <c r="M4518" s="17" t="s">
        <v>9</v>
      </c>
      <c r="N4518" s="17" t="s">
        <v>736</v>
      </c>
      <c r="O4518" s="17" t="s">
        <v>748</v>
      </c>
      <c r="P4518">
        <v>1</v>
      </c>
      <c r="Q4518" s="17" t="s">
        <v>1044</v>
      </c>
    </row>
    <row r="4519" spans="1:17" x14ac:dyDescent="0.25">
      <c r="A4519" s="8">
        <v>995196</v>
      </c>
      <c r="B4519" s="22" t="str">
        <f>IFERROR(VLOOKUP(A4519,VLOOKUPS!$A$2:B$12589,2,FALSE),"")</f>
        <v/>
      </c>
      <c r="D4519">
        <v>4</v>
      </c>
      <c r="F4519">
        <v>7.97</v>
      </c>
      <c r="G4519" s="13">
        <v>44714</v>
      </c>
      <c r="H4519" s="13"/>
      <c r="I4519" s="22" t="str">
        <f>VLOOKUP(J4519, Dropdowns!N:O, 2, FALSE)</f>
        <v>New</v>
      </c>
      <c r="J4519" t="s">
        <v>776</v>
      </c>
      <c r="L4519" s="17" t="s">
        <v>734</v>
      </c>
      <c r="M4519" s="17" t="s">
        <v>10</v>
      </c>
      <c r="N4519" s="17">
        <v>2</v>
      </c>
      <c r="O4519" s="17" t="s">
        <v>748</v>
      </c>
      <c r="P4519">
        <v>1</v>
      </c>
      <c r="Q4519" s="17" t="s">
        <v>1044</v>
      </c>
    </row>
    <row r="4520" spans="1:17" x14ac:dyDescent="0.25">
      <c r="A4520" s="8">
        <v>982740</v>
      </c>
      <c r="B4520" s="22" t="str">
        <f>IFERROR(VLOOKUP(A4520,VLOOKUPS!$A$2:B$12589,2,FALSE),"")</f>
        <v>Grapes* Red Seedless 1lb-LOOSE</v>
      </c>
      <c r="G4520" s="13">
        <v>44714</v>
      </c>
      <c r="H4520" s="13">
        <v>44714</v>
      </c>
      <c r="I4520" s="22" t="str">
        <f>VLOOKUP(J4520, Dropdowns!N:O, 2, FALSE)</f>
        <v>Lower Price</v>
      </c>
      <c r="J4520" t="s">
        <v>762</v>
      </c>
      <c r="L4520" s="17" t="s">
        <v>732</v>
      </c>
      <c r="M4520" s="17" t="s">
        <v>9</v>
      </c>
      <c r="N4520" s="17" t="s">
        <v>736</v>
      </c>
    </row>
    <row r="4521" spans="1:17" x14ac:dyDescent="0.25">
      <c r="A4521" s="8">
        <v>982650</v>
      </c>
      <c r="B4521" s="22" t="str">
        <f>IFERROR(VLOOKUP(A4521,VLOOKUPS!$A$2:B$12589,2,FALSE),"")</f>
        <v>Grapes* Green Seedless 1lb-LOOSE</v>
      </c>
      <c r="E4521">
        <v>2.59</v>
      </c>
      <c r="F4521">
        <v>1.29</v>
      </c>
      <c r="G4521" s="13">
        <v>44714</v>
      </c>
      <c r="H4521" s="13">
        <v>44715</v>
      </c>
      <c r="I4521" s="22" t="str">
        <f>VLOOKUP(J4521, Dropdowns!N:O, 2, FALSE)</f>
        <v>Lower Price</v>
      </c>
      <c r="J4521" t="s">
        <v>759</v>
      </c>
      <c r="L4521" s="17" t="s">
        <v>732</v>
      </c>
      <c r="M4521" s="17" t="s">
        <v>10</v>
      </c>
      <c r="N4521" s="17">
        <v>2</v>
      </c>
    </row>
    <row r="4522" spans="1:17" x14ac:dyDescent="0.25">
      <c r="A4522" s="8">
        <v>982650</v>
      </c>
      <c r="B4522" s="22" t="str">
        <f>IFERROR(VLOOKUP(A4522,VLOOKUPS!$A$2:B$12589,2,FALSE),"")</f>
        <v>Grapes* Green Seedless 1lb-LOOSE</v>
      </c>
      <c r="E4522">
        <v>1.29</v>
      </c>
      <c r="F4522">
        <v>2.59</v>
      </c>
      <c r="G4522" s="13">
        <v>44716</v>
      </c>
      <c r="H4522" s="13"/>
      <c r="I4522" s="22" t="str">
        <f>VLOOKUP(J4522, Dropdowns!N:O, 2, FALSE)</f>
        <v>Standard</v>
      </c>
      <c r="J4522" t="s">
        <v>760</v>
      </c>
      <c r="L4522" s="17" t="s">
        <v>732</v>
      </c>
      <c r="M4522" s="17" t="s">
        <v>10</v>
      </c>
      <c r="N4522" s="17">
        <v>2</v>
      </c>
    </row>
    <row r="4523" spans="1:17" x14ac:dyDescent="0.25">
      <c r="A4523" s="8">
        <v>995004</v>
      </c>
      <c r="B4523" s="22" t="str">
        <f>IFERROR(VLOOKUP(A4523,VLOOKUPS!$A$2:B$12589,2,FALSE),"")</f>
        <v>Chicken Caesar Salad 6.25oz-standard</v>
      </c>
      <c r="E4523">
        <v>3.76</v>
      </c>
      <c r="F4523">
        <v>3.79</v>
      </c>
      <c r="G4523" s="13">
        <v>44715</v>
      </c>
      <c r="H4523" s="13"/>
      <c r="I4523" s="22" t="str">
        <f>VLOOKUP(J4523, Dropdowns!N:O, 2, FALSE)</f>
        <v>Standard</v>
      </c>
      <c r="J4523" t="s">
        <v>761</v>
      </c>
      <c r="L4523" s="17" t="s">
        <v>734</v>
      </c>
      <c r="M4523" s="17" t="s">
        <v>9</v>
      </c>
      <c r="N4523" s="17" t="s">
        <v>736</v>
      </c>
    </row>
    <row r="4524" spans="1:17" x14ac:dyDescent="0.25">
      <c r="A4524" s="8">
        <v>995010</v>
      </c>
      <c r="B4524" s="22" t="str">
        <f>IFERROR(VLOOKUP(A4524,VLOOKUPS!$A$2:B$12589,2,FALSE),"")</f>
        <v>RTE Turkey Bacon Cobb Salad 7.25oz-standard</v>
      </c>
      <c r="E4524">
        <v>3.69</v>
      </c>
      <c r="F4524">
        <v>3.79</v>
      </c>
      <c r="G4524" s="13">
        <v>44715</v>
      </c>
      <c r="H4524" s="13"/>
      <c r="I4524" s="22" t="str">
        <f>VLOOKUP(J4524, Dropdowns!N:O, 2, FALSE)</f>
        <v>Standard</v>
      </c>
      <c r="J4524" t="s">
        <v>761</v>
      </c>
      <c r="L4524" s="17" t="s">
        <v>734</v>
      </c>
      <c r="M4524" s="17" t="s">
        <v>9</v>
      </c>
      <c r="N4524" s="17" t="s">
        <v>736</v>
      </c>
    </row>
    <row r="4525" spans="1:17" x14ac:dyDescent="0.25">
      <c r="A4525" s="8">
        <v>995011</v>
      </c>
      <c r="B4525" s="22" t="str">
        <f>IFERROR(VLOOKUP(A4525,VLOOKUPS!$A$2:B$12589,2,FALSE),"")</f>
        <v>RTE Santa Fe Salad 6.25oz-standard</v>
      </c>
      <c r="E4525">
        <v>3.69</v>
      </c>
      <c r="F4525">
        <v>3.79</v>
      </c>
      <c r="G4525" s="13">
        <v>44715</v>
      </c>
      <c r="H4525" s="13"/>
      <c r="I4525" s="22" t="str">
        <f>VLOOKUP(J4525, Dropdowns!N:O, 2, FALSE)</f>
        <v>Standard</v>
      </c>
      <c r="J4525" t="s">
        <v>761</v>
      </c>
      <c r="L4525" s="17" t="s">
        <v>734</v>
      </c>
      <c r="M4525" s="17" t="s">
        <v>9</v>
      </c>
      <c r="N4525" s="17" t="s">
        <v>736</v>
      </c>
    </row>
    <row r="4526" spans="1:17" x14ac:dyDescent="0.25">
      <c r="A4526" s="8">
        <v>995012</v>
      </c>
      <c r="B4526" s="22" t="str">
        <f>IFERROR(VLOOKUP(A4526,VLOOKUPS!$A$2:B$12589,2,FALSE),"")</f>
        <v>RTE Cranberry Walnut Salad 4.5oz-standard</v>
      </c>
      <c r="E4526">
        <v>3.49</v>
      </c>
      <c r="F4526">
        <v>3.69</v>
      </c>
      <c r="G4526" s="13">
        <v>44715</v>
      </c>
      <c r="H4526" s="13"/>
      <c r="I4526" s="22" t="str">
        <f>VLOOKUP(J4526, Dropdowns!N:O, 2, FALSE)</f>
        <v>Standard</v>
      </c>
      <c r="J4526" t="s">
        <v>761</v>
      </c>
      <c r="L4526" s="17" t="s">
        <v>734</v>
      </c>
      <c r="M4526" s="17" t="s">
        <v>9</v>
      </c>
      <c r="N4526" s="17" t="s">
        <v>736</v>
      </c>
    </row>
    <row r="4527" spans="1:17" x14ac:dyDescent="0.25">
      <c r="A4527" s="8">
        <v>995014</v>
      </c>
      <c r="B4527" s="22" t="str">
        <f>IFERROR(VLOOKUP(A4527,VLOOKUPS!$A$2:B$12589,2,FALSE),"")</f>
        <v>RTE Café Style Chef Salad 7.65oz-standard</v>
      </c>
      <c r="E4527">
        <v>3.49</v>
      </c>
      <c r="F4527">
        <v>3.69</v>
      </c>
      <c r="G4527" s="13">
        <v>44715</v>
      </c>
      <c r="H4527" s="13"/>
      <c r="I4527" s="22" t="str">
        <f>VLOOKUP(J4527, Dropdowns!N:O, 2, FALSE)</f>
        <v>Standard</v>
      </c>
      <c r="J4527" t="s">
        <v>761</v>
      </c>
      <c r="L4527" s="17" t="s">
        <v>734</v>
      </c>
      <c r="M4527" s="17" t="s">
        <v>9</v>
      </c>
      <c r="N4527" s="17" t="s">
        <v>736</v>
      </c>
    </row>
    <row r="4528" spans="1:17" x14ac:dyDescent="0.25">
      <c r="A4528" s="8">
        <v>995108</v>
      </c>
      <c r="B4528" s="22" t="str">
        <f>IFERROR(VLOOKUP(A4528,VLOOKUPS!$A$2:B$12589,2,FALSE),"")</f>
        <v>Everything Chopped Salad Kit 11.57oz-standard</v>
      </c>
      <c r="E4528">
        <v>3.49</v>
      </c>
      <c r="F4528">
        <v>3.79</v>
      </c>
      <c r="G4528" s="13">
        <v>44715</v>
      </c>
      <c r="H4528" s="13"/>
      <c r="I4528" s="22" t="str">
        <f>VLOOKUP(J4528, Dropdowns!N:O, 2, FALSE)</f>
        <v>Standard</v>
      </c>
      <c r="J4528" t="s">
        <v>761</v>
      </c>
      <c r="L4528" s="17" t="s">
        <v>734</v>
      </c>
      <c r="M4528" s="17" t="s">
        <v>9</v>
      </c>
      <c r="N4528" s="17" t="s">
        <v>736</v>
      </c>
    </row>
    <row r="4529" spans="1:14" x14ac:dyDescent="0.25">
      <c r="A4529" s="8">
        <v>995162</v>
      </c>
      <c r="B4529" s="22" t="str">
        <f>IFERROR(VLOOKUP(A4529,VLOOKUPS!$A$2:B$12589,2,FALSE),"")</f>
        <v>Buffalo Ranch Salad Kit 12oz-standard</v>
      </c>
      <c r="E4529">
        <v>3.69</v>
      </c>
      <c r="F4529">
        <v>3.79</v>
      </c>
      <c r="G4529" s="13">
        <v>44715</v>
      </c>
      <c r="H4529" s="13"/>
      <c r="I4529" s="22" t="str">
        <f>VLOOKUP(J4529, Dropdowns!N:O, 2, FALSE)</f>
        <v>Standard</v>
      </c>
      <c r="J4529" t="s">
        <v>761</v>
      </c>
      <c r="L4529" s="17" t="s">
        <v>734</v>
      </c>
      <c r="M4529" s="17" t="s">
        <v>9</v>
      </c>
      <c r="N4529" s="17" t="s">
        <v>736</v>
      </c>
    </row>
    <row r="4530" spans="1:14" x14ac:dyDescent="0.25">
      <c r="A4530" s="8">
        <v>986250</v>
      </c>
      <c r="B4530" s="22" t="str">
        <f>IFERROR(VLOOKUP(A4530,VLOOKUPS!$A$2:B$12589,2,FALSE),"")</f>
        <v>French Beans 1lb-standard</v>
      </c>
      <c r="E4530">
        <v>2.99</v>
      </c>
      <c r="F4530">
        <v>3.29</v>
      </c>
      <c r="G4530" s="13">
        <v>44715</v>
      </c>
      <c r="H4530" s="13"/>
      <c r="I4530" s="22" t="str">
        <f>VLOOKUP(J4530, Dropdowns!N:O, 2, FALSE)</f>
        <v>Standard</v>
      </c>
      <c r="J4530" t="s">
        <v>761</v>
      </c>
      <c r="L4530" s="17" t="s">
        <v>734</v>
      </c>
      <c r="M4530" s="17" t="s">
        <v>9</v>
      </c>
      <c r="N4530" s="17" t="s">
        <v>736</v>
      </c>
    </row>
    <row r="4531" spans="1:14" x14ac:dyDescent="0.25">
      <c r="A4531" s="8">
        <v>988571</v>
      </c>
      <c r="B4531" s="22" t="str">
        <f>IFERROR(VLOOKUP(A4531,VLOOKUPS!$A$2:B$12589,2,FALSE),"")</f>
        <v>Cauliflower* 1ct-LOOSE</v>
      </c>
      <c r="E4531">
        <v>2.69</v>
      </c>
      <c r="F4531">
        <v>2.99</v>
      </c>
      <c r="G4531" s="13">
        <v>44715</v>
      </c>
      <c r="H4531" s="13"/>
      <c r="I4531" s="22" t="str">
        <f>VLOOKUP(J4531, Dropdowns!N:O, 2, FALSE)</f>
        <v>Standard</v>
      </c>
      <c r="J4531" t="s">
        <v>761</v>
      </c>
      <c r="L4531" s="17" t="s">
        <v>734</v>
      </c>
      <c r="M4531" s="17" t="s">
        <v>9</v>
      </c>
      <c r="N4531" s="17" t="s">
        <v>736</v>
      </c>
    </row>
    <row r="4532" spans="1:14" x14ac:dyDescent="0.25">
      <c r="A4532" s="8">
        <v>984461</v>
      </c>
      <c r="B4532" s="22" t="str">
        <f>IFERROR(VLOOKUP(A4532,VLOOKUPS!$A$2:B$12589,2,FALSE),"")</f>
        <v>Strawberries 2lb-standard</v>
      </c>
      <c r="E4532">
        <v>4.8600000000000003</v>
      </c>
      <c r="F4532">
        <v>4.1399999999999997</v>
      </c>
      <c r="G4532" s="13">
        <v>44715</v>
      </c>
      <c r="H4532" s="13"/>
      <c r="I4532" s="22" t="str">
        <f>VLOOKUP(J4532, Dropdowns!N:O, 2, FALSE)</f>
        <v>Standard</v>
      </c>
      <c r="J4532" t="s">
        <v>761</v>
      </c>
      <c r="L4532" s="17" t="s">
        <v>733</v>
      </c>
      <c r="M4532" s="17" t="s">
        <v>736</v>
      </c>
      <c r="N4532" s="17" t="s">
        <v>740</v>
      </c>
    </row>
    <row r="4533" spans="1:14" x14ac:dyDescent="0.25">
      <c r="A4533" s="8">
        <v>984461</v>
      </c>
      <c r="B4533" s="22" t="str">
        <f>IFERROR(VLOOKUP(A4533,VLOOKUPS!$A$2:B$12589,2,FALSE),"")</f>
        <v>Strawberries 2lb-standard</v>
      </c>
      <c r="E4533">
        <v>4.8600000000000003</v>
      </c>
      <c r="F4533">
        <v>4.1399999999999997</v>
      </c>
      <c r="G4533" s="13">
        <v>44715</v>
      </c>
      <c r="H4533" s="13"/>
      <c r="I4533" s="22" t="str">
        <f>VLOOKUP(J4533, Dropdowns!N:O, 2, FALSE)</f>
        <v>Standard</v>
      </c>
      <c r="J4533" t="s">
        <v>761</v>
      </c>
      <c r="L4533" s="17" t="s">
        <v>734</v>
      </c>
      <c r="M4533" s="17" t="s">
        <v>10</v>
      </c>
      <c r="N4533" s="17">
        <v>2</v>
      </c>
    </row>
    <row r="4534" spans="1:14" x14ac:dyDescent="0.25">
      <c r="A4534" s="8">
        <v>984702</v>
      </c>
      <c r="B4534" s="22" t="str">
        <f>IFERROR(VLOOKUP(A4534,VLOOKUPS!$A$2:B$12589,2,FALSE),"")</f>
        <v>Blackberries 12oz-standard</v>
      </c>
      <c r="E4534">
        <v>4.9800000000000004</v>
      </c>
      <c r="F4534">
        <v>2.4900000000000002</v>
      </c>
      <c r="G4534" s="13">
        <v>44715</v>
      </c>
      <c r="H4534" s="13">
        <v>44716</v>
      </c>
      <c r="I4534" s="22" t="str">
        <f>VLOOKUP(J4534, Dropdowns!N:O, 2, FALSE)</f>
        <v>Lower Price</v>
      </c>
      <c r="J4534" t="s">
        <v>759</v>
      </c>
      <c r="L4534" s="17" t="s">
        <v>733</v>
      </c>
      <c r="M4534" s="17" t="s">
        <v>738</v>
      </c>
      <c r="N4534" s="17" t="s">
        <v>740</v>
      </c>
    </row>
    <row r="4535" spans="1:14" x14ac:dyDescent="0.25">
      <c r="A4535" s="8">
        <v>984702</v>
      </c>
      <c r="B4535" s="22" t="str">
        <f>IFERROR(VLOOKUP(A4535,VLOOKUPS!$A$2:B$12589,2,FALSE),"")</f>
        <v>Blackberries 12oz-standard</v>
      </c>
      <c r="E4535">
        <v>2.4900000000000002</v>
      </c>
      <c r="F4535">
        <v>4.9800000000000004</v>
      </c>
      <c r="G4535" s="13">
        <v>44717</v>
      </c>
      <c r="H4535" s="13"/>
      <c r="I4535" s="22" t="str">
        <f>VLOOKUP(J4535, Dropdowns!N:O, 2, FALSE)</f>
        <v>Standard</v>
      </c>
      <c r="J4535" t="s">
        <v>760</v>
      </c>
      <c r="L4535" s="17" t="s">
        <v>733</v>
      </c>
      <c r="M4535" s="17" t="s">
        <v>738</v>
      </c>
      <c r="N4535" s="17" t="s">
        <v>740</v>
      </c>
    </row>
    <row r="4536" spans="1:14" x14ac:dyDescent="0.25">
      <c r="A4536" s="8">
        <v>985760</v>
      </c>
      <c r="B4536" s="22" t="str">
        <f>IFERROR(VLOOKUP(A4536,VLOOKUPS!$A$2:B$12589,2,FALSE),"")</f>
        <v>Asparagus 1lb-standard</v>
      </c>
      <c r="E4536">
        <v>2.99</v>
      </c>
      <c r="F4536">
        <v>1.5</v>
      </c>
      <c r="G4536" s="13">
        <v>44715</v>
      </c>
      <c r="H4536" s="13">
        <v>44716</v>
      </c>
      <c r="I4536" s="22" t="str">
        <f>VLOOKUP(J4536, Dropdowns!N:O, 2, FALSE)</f>
        <v>Lower Price</v>
      </c>
      <c r="J4536" t="s">
        <v>759</v>
      </c>
      <c r="L4536" s="17" t="s">
        <v>732</v>
      </c>
      <c r="M4536" s="17" t="s">
        <v>738</v>
      </c>
      <c r="N4536" s="17">
        <v>2</v>
      </c>
    </row>
    <row r="4537" spans="1:14" x14ac:dyDescent="0.25">
      <c r="A4537" s="8">
        <v>986250</v>
      </c>
      <c r="B4537" s="22" t="str">
        <f>IFERROR(VLOOKUP(A4537,VLOOKUPS!$A$2:B$12589,2,FALSE),"")</f>
        <v>French Beans 1lb-standard</v>
      </c>
      <c r="E4537">
        <v>2.99</v>
      </c>
      <c r="F4537">
        <v>1.5</v>
      </c>
      <c r="G4537" s="13">
        <v>44715</v>
      </c>
      <c r="H4537" s="13">
        <v>44716</v>
      </c>
      <c r="I4537" s="22" t="str">
        <f>VLOOKUP(J4537, Dropdowns!N:O, 2, FALSE)</f>
        <v>Lower Price</v>
      </c>
      <c r="J4537" t="s">
        <v>759</v>
      </c>
      <c r="L4537" s="17" t="s">
        <v>732</v>
      </c>
      <c r="M4537" s="17" t="s">
        <v>736</v>
      </c>
      <c r="N4537" s="17" t="s">
        <v>736</v>
      </c>
    </row>
    <row r="4538" spans="1:14" x14ac:dyDescent="0.25">
      <c r="A4538" s="8">
        <v>986250</v>
      </c>
      <c r="B4538" s="22" t="str">
        <f>IFERROR(VLOOKUP(A4538,VLOOKUPS!$A$2:B$12589,2,FALSE),"")</f>
        <v>French Beans 1lb-standard</v>
      </c>
      <c r="E4538">
        <v>1.5</v>
      </c>
      <c r="F4538">
        <v>2.99</v>
      </c>
      <c r="G4538" s="13">
        <v>44717</v>
      </c>
      <c r="H4538" s="13"/>
      <c r="I4538" s="22" t="str">
        <f>VLOOKUP(J4538, Dropdowns!N:O, 2, FALSE)</f>
        <v>Standard</v>
      </c>
      <c r="J4538" t="s">
        <v>760</v>
      </c>
      <c r="L4538" s="17" t="s">
        <v>732</v>
      </c>
      <c r="M4538" s="17" t="s">
        <v>736</v>
      </c>
      <c r="N4538" s="17" t="s">
        <v>736</v>
      </c>
    </row>
    <row r="4539" spans="1:14" x14ac:dyDescent="0.25">
      <c r="A4539" s="8">
        <v>995004</v>
      </c>
      <c r="B4539" s="22" t="str">
        <f>IFERROR(VLOOKUP(A4539,VLOOKUPS!$A$2:B$12589,2,FALSE),"")</f>
        <v>Chicken Caesar Salad 6.25oz-standard</v>
      </c>
      <c r="E4539">
        <v>3.27</v>
      </c>
      <c r="F4539">
        <v>1.64</v>
      </c>
      <c r="G4539" s="13">
        <v>44715</v>
      </c>
      <c r="H4539" s="13">
        <v>44717</v>
      </c>
      <c r="I4539" s="22" t="str">
        <f>VLOOKUP(J4539, Dropdowns!N:O, 2, FALSE)</f>
        <v>Lower Price</v>
      </c>
      <c r="J4539" t="s">
        <v>759</v>
      </c>
      <c r="L4539" s="17" t="s">
        <v>733</v>
      </c>
      <c r="M4539" s="17" t="s">
        <v>11</v>
      </c>
      <c r="N4539" s="17" t="s">
        <v>740</v>
      </c>
    </row>
    <row r="4540" spans="1:14" x14ac:dyDescent="0.25">
      <c r="A4540" s="8">
        <v>995004</v>
      </c>
      <c r="B4540" s="22" t="str">
        <f>IFERROR(VLOOKUP(A4540,VLOOKUPS!$A$2:B$12589,2,FALSE),"")</f>
        <v>Chicken Caesar Salad 6.25oz-standard</v>
      </c>
      <c r="E4540">
        <v>1.64</v>
      </c>
      <c r="F4540">
        <v>3.27</v>
      </c>
      <c r="G4540" s="13">
        <v>44718</v>
      </c>
      <c r="H4540" s="13"/>
      <c r="I4540" s="22" t="str">
        <f>VLOOKUP(J4540, Dropdowns!N:O, 2, FALSE)</f>
        <v>Standard</v>
      </c>
      <c r="J4540" t="s">
        <v>760</v>
      </c>
      <c r="L4540" s="17" t="s">
        <v>733</v>
      </c>
      <c r="M4540" s="17" t="s">
        <v>11</v>
      </c>
      <c r="N4540" s="17" t="s">
        <v>740</v>
      </c>
    </row>
    <row r="4541" spans="1:14" x14ac:dyDescent="0.25">
      <c r="A4541" s="8">
        <v>995010</v>
      </c>
      <c r="B4541" s="22" t="str">
        <f>IFERROR(VLOOKUP(A4541,VLOOKUPS!$A$2:B$12589,2,FALSE),"")</f>
        <v>RTE Turkey Bacon Cobb Salad 7.25oz-standard</v>
      </c>
      <c r="E4541">
        <v>3.27</v>
      </c>
      <c r="F4541">
        <v>2.12</v>
      </c>
      <c r="G4541" s="13">
        <v>44715</v>
      </c>
      <c r="H4541" s="13">
        <v>44716</v>
      </c>
      <c r="I4541" s="22" t="str">
        <f>VLOOKUP(J4541, Dropdowns!N:O, 2, FALSE)</f>
        <v>Lower Price</v>
      </c>
      <c r="J4541" t="s">
        <v>759</v>
      </c>
      <c r="L4541" s="17" t="s">
        <v>733</v>
      </c>
      <c r="M4541" s="17" t="s">
        <v>10</v>
      </c>
      <c r="N4541" s="17" t="s">
        <v>740</v>
      </c>
    </row>
    <row r="4542" spans="1:14" x14ac:dyDescent="0.25">
      <c r="A4542" s="8">
        <v>995010</v>
      </c>
      <c r="B4542" s="22" t="str">
        <f>IFERROR(VLOOKUP(A4542,VLOOKUPS!$A$2:B$12589,2,FALSE),"")</f>
        <v>RTE Turkey Bacon Cobb Salad 7.25oz-standard</v>
      </c>
      <c r="E4542">
        <v>2.12</v>
      </c>
      <c r="F4542">
        <v>3.27</v>
      </c>
      <c r="G4542" s="13">
        <v>44717</v>
      </c>
      <c r="H4542" s="13"/>
      <c r="I4542" s="22" t="str">
        <f>VLOOKUP(J4542, Dropdowns!N:O, 2, FALSE)</f>
        <v>Standard</v>
      </c>
      <c r="J4542" t="s">
        <v>760</v>
      </c>
      <c r="L4542" s="17" t="s">
        <v>733</v>
      </c>
      <c r="M4542" s="17" t="s">
        <v>10</v>
      </c>
      <c r="N4542" s="17" t="s">
        <v>740</v>
      </c>
    </row>
    <row r="4543" spans="1:14" x14ac:dyDescent="0.25">
      <c r="A4543" s="8">
        <v>995018</v>
      </c>
      <c r="B4543" s="22" t="str">
        <f>IFERROR(VLOOKUP(A4543,VLOOKUPS!$A$2:B$12589,2,FALSE),"")</f>
        <v>RTE Large Chicken Caesar Salad 13.1oz-standard</v>
      </c>
      <c r="E4543">
        <v>5.34</v>
      </c>
      <c r="F4543">
        <v>2.67</v>
      </c>
      <c r="G4543" s="13">
        <v>44715</v>
      </c>
      <c r="H4543" s="13">
        <v>44716</v>
      </c>
      <c r="I4543" s="22" t="str">
        <f>VLOOKUP(J4543, Dropdowns!N:O, 2, FALSE)</f>
        <v>Lower Price</v>
      </c>
      <c r="J4543" t="s">
        <v>759</v>
      </c>
      <c r="L4543" s="17" t="s">
        <v>733</v>
      </c>
      <c r="M4543" s="17" t="s">
        <v>11</v>
      </c>
      <c r="N4543" s="17" t="s">
        <v>740</v>
      </c>
    </row>
    <row r="4544" spans="1:14" x14ac:dyDescent="0.25">
      <c r="A4544" s="8">
        <v>995018</v>
      </c>
      <c r="B4544" s="22" t="str">
        <f>IFERROR(VLOOKUP(A4544,VLOOKUPS!$A$2:B$12589,2,FALSE),"")</f>
        <v>RTE Large Chicken Caesar Salad 13.1oz-standard</v>
      </c>
      <c r="E4544">
        <v>2.67</v>
      </c>
      <c r="F4544">
        <v>5.34</v>
      </c>
      <c r="G4544" s="13">
        <v>44717</v>
      </c>
      <c r="H4544" s="13"/>
      <c r="I4544" s="22" t="str">
        <f>VLOOKUP(J4544, Dropdowns!N:O, 2, FALSE)</f>
        <v>Standard</v>
      </c>
      <c r="J4544" t="s">
        <v>760</v>
      </c>
      <c r="L4544" s="17" t="s">
        <v>733</v>
      </c>
      <c r="M4544" s="17" t="s">
        <v>11</v>
      </c>
      <c r="N4544" s="17" t="s">
        <v>740</v>
      </c>
    </row>
    <row r="4545" spans="1:14" x14ac:dyDescent="0.25">
      <c r="A4545" s="8">
        <v>995071</v>
      </c>
      <c r="B4545" s="22" t="str">
        <f>IFERROR(VLOOKUP(A4545,VLOOKUPS!$A$2:B$12589,2,FALSE),"")</f>
        <v>Broccoli Florets 12oz-standard</v>
      </c>
      <c r="E4545">
        <v>2.78</v>
      </c>
      <c r="F4545">
        <v>1.81</v>
      </c>
      <c r="G4545" s="13">
        <v>44715</v>
      </c>
      <c r="H4545" s="13">
        <v>44716</v>
      </c>
      <c r="I4545" s="22" t="str">
        <f>VLOOKUP(J4545, Dropdowns!N:O, 2, FALSE)</f>
        <v>Lower Price</v>
      </c>
      <c r="J4545" t="s">
        <v>759</v>
      </c>
      <c r="L4545" s="17" t="s">
        <v>733</v>
      </c>
      <c r="M4545" s="17" t="s">
        <v>11</v>
      </c>
      <c r="N4545" s="17" t="s">
        <v>740</v>
      </c>
    </row>
    <row r="4546" spans="1:14" x14ac:dyDescent="0.25">
      <c r="A4546" s="8">
        <v>995071</v>
      </c>
      <c r="B4546" s="22" t="str">
        <f>IFERROR(VLOOKUP(A4546,VLOOKUPS!$A$2:B$12589,2,FALSE),"")</f>
        <v>Broccoli Florets 12oz-standard</v>
      </c>
      <c r="E4546">
        <v>1.81</v>
      </c>
      <c r="F4546">
        <v>2.78</v>
      </c>
      <c r="G4546" s="13">
        <v>44717</v>
      </c>
      <c r="H4546" s="13"/>
      <c r="I4546" s="22" t="str">
        <f>VLOOKUP(J4546, Dropdowns!N:O, 2, FALSE)</f>
        <v>Standard</v>
      </c>
      <c r="J4546" t="s">
        <v>760</v>
      </c>
      <c r="L4546" s="17" t="s">
        <v>733</v>
      </c>
      <c r="M4546" s="17" t="s">
        <v>11</v>
      </c>
      <c r="N4546" s="17" t="s">
        <v>740</v>
      </c>
    </row>
    <row r="4547" spans="1:14" x14ac:dyDescent="0.25">
      <c r="A4547" s="8">
        <v>995104</v>
      </c>
      <c r="B4547" s="22" t="str">
        <f>IFERROR(VLOOKUP(A4547,VLOOKUPS!$A$2:B$12589,2,FALSE),"")</f>
        <v>Ginger Garlic Stir Fry Kit 14oz-standard</v>
      </c>
      <c r="E4547">
        <v>2.98</v>
      </c>
      <c r="F4547">
        <v>1.49</v>
      </c>
      <c r="G4547" s="13">
        <v>44715</v>
      </c>
      <c r="H4547" s="13">
        <v>44717</v>
      </c>
      <c r="I4547" s="22" t="str">
        <f>VLOOKUP(J4547, Dropdowns!N:O, 2, FALSE)</f>
        <v>Lower Price</v>
      </c>
      <c r="J4547" t="s">
        <v>759</v>
      </c>
      <c r="L4547" s="17" t="s">
        <v>732</v>
      </c>
      <c r="M4547" s="17" t="s">
        <v>738</v>
      </c>
      <c r="N4547" s="17">
        <v>2</v>
      </c>
    </row>
    <row r="4548" spans="1:14" x14ac:dyDescent="0.25">
      <c r="A4548" s="8">
        <v>995104</v>
      </c>
      <c r="B4548" s="22" t="str">
        <f>IFERROR(VLOOKUP(A4548,VLOOKUPS!$A$2:B$12589,2,FALSE),"")</f>
        <v>Ginger Garlic Stir Fry Kit 14oz-standard</v>
      </c>
      <c r="E4548">
        <v>1.49</v>
      </c>
      <c r="F4548">
        <v>2.98</v>
      </c>
      <c r="G4548" s="13">
        <v>44718</v>
      </c>
      <c r="H4548" s="13"/>
      <c r="I4548" s="22" t="str">
        <f>VLOOKUP(J4548, Dropdowns!N:O, 2, FALSE)</f>
        <v>Standard</v>
      </c>
      <c r="J4548" t="s">
        <v>760</v>
      </c>
      <c r="L4548" s="17" t="s">
        <v>732</v>
      </c>
      <c r="M4548" s="17" t="s">
        <v>738</v>
      </c>
      <c r="N4548" s="17">
        <v>2</v>
      </c>
    </row>
    <row r="4549" spans="1:14" x14ac:dyDescent="0.25">
      <c r="A4549" s="8">
        <v>995185</v>
      </c>
      <c r="B4549" s="22" t="str">
        <f>IFERROR(VLOOKUP(A4549,VLOOKUPS!$A$2:B$12589,2,FALSE),"")</f>
        <v>Organic Crisp Romaine 4oz-standard</v>
      </c>
      <c r="E4549">
        <v>2.98</v>
      </c>
      <c r="F4549">
        <v>1.49</v>
      </c>
      <c r="G4549" s="13">
        <v>44715</v>
      </c>
      <c r="H4549" s="13">
        <v>44717</v>
      </c>
      <c r="I4549" s="22" t="str">
        <f>VLOOKUP(J4549, Dropdowns!N:O, 2, FALSE)</f>
        <v>Lower Price</v>
      </c>
      <c r="J4549" t="s">
        <v>759</v>
      </c>
      <c r="L4549" s="17" t="s">
        <v>732</v>
      </c>
      <c r="M4549" s="17" t="s">
        <v>738</v>
      </c>
      <c r="N4549" s="17">
        <v>2</v>
      </c>
    </row>
    <row r="4550" spans="1:14" x14ac:dyDescent="0.25">
      <c r="A4550" s="8">
        <v>995185</v>
      </c>
      <c r="B4550" s="22" t="str">
        <f>IFERROR(VLOOKUP(A4550,VLOOKUPS!$A$2:B$12589,2,FALSE),"")</f>
        <v>Organic Crisp Romaine 4oz-standard</v>
      </c>
      <c r="E4550">
        <v>1.49</v>
      </c>
      <c r="F4550">
        <v>2.98</v>
      </c>
      <c r="G4550" s="13">
        <v>44718</v>
      </c>
      <c r="H4550" s="13"/>
      <c r="I4550" s="22" t="str">
        <f>VLOOKUP(J4550, Dropdowns!N:O, 2, FALSE)</f>
        <v>Standard</v>
      </c>
      <c r="J4550" t="s">
        <v>760</v>
      </c>
      <c r="L4550" s="17" t="s">
        <v>732</v>
      </c>
      <c r="M4550" s="17" t="s">
        <v>738</v>
      </c>
      <c r="N4550" s="17">
        <v>2</v>
      </c>
    </row>
    <row r="4551" spans="1:14" x14ac:dyDescent="0.25">
      <c r="A4551" s="8">
        <v>984701</v>
      </c>
      <c r="B4551" s="22" t="str">
        <f>IFERROR(VLOOKUP(A4551,VLOOKUPS!$A$2:B$12589,2,FALSE),"")</f>
        <v>Blackberries Super Sweet 6oz-standard</v>
      </c>
      <c r="E4551">
        <v>2.4900000000000002</v>
      </c>
      <c r="F4551">
        <v>3.49</v>
      </c>
      <c r="G4551" s="13">
        <v>44715</v>
      </c>
      <c r="H4551" s="13"/>
      <c r="I4551" s="22" t="str">
        <f>VLOOKUP(J4551, Dropdowns!N:O, 2, FALSE)</f>
        <v>Standard</v>
      </c>
      <c r="J4551" t="s">
        <v>760</v>
      </c>
      <c r="L4551" s="17" t="s">
        <v>732</v>
      </c>
      <c r="M4551" s="17" t="s">
        <v>736</v>
      </c>
      <c r="N4551" s="17" t="s">
        <v>736</v>
      </c>
    </row>
    <row r="4552" spans="1:14" x14ac:dyDescent="0.25">
      <c r="A4552" s="8">
        <v>984500</v>
      </c>
      <c r="B4552" s="22" t="str">
        <f>IFERROR(VLOOKUP(A4552,VLOOKUPS!$A$2:B$12589,2,FALSE),"")</f>
        <v>Organic Strawberries 1lb-standard</v>
      </c>
      <c r="E4552">
        <v>3.89</v>
      </c>
      <c r="F4552">
        <v>3.48</v>
      </c>
      <c r="G4552" s="13">
        <v>44716</v>
      </c>
      <c r="H4552" s="13"/>
      <c r="I4552" s="22" t="str">
        <f>VLOOKUP(J4552, Dropdowns!N:O, 2, FALSE)</f>
        <v>Standard</v>
      </c>
      <c r="J4552" t="s">
        <v>761</v>
      </c>
      <c r="L4552" s="17" t="s">
        <v>733</v>
      </c>
      <c r="M4552" s="17" t="s">
        <v>736</v>
      </c>
      <c r="N4552" s="17" t="s">
        <v>740</v>
      </c>
    </row>
    <row r="4553" spans="1:14" x14ac:dyDescent="0.25">
      <c r="A4553" s="8">
        <v>984500</v>
      </c>
      <c r="B4553" s="22" t="str">
        <f>IFERROR(VLOOKUP(A4553,VLOOKUPS!$A$2:B$12589,2,FALSE),"")</f>
        <v>Organic Strawberries 1lb-standard</v>
      </c>
      <c r="E4553">
        <v>3.89</v>
      </c>
      <c r="F4553">
        <v>3.48</v>
      </c>
      <c r="G4553" s="13">
        <v>44716</v>
      </c>
      <c r="H4553" s="13"/>
      <c r="I4553" s="22" t="str">
        <f>VLOOKUP(J4553, Dropdowns!N:O, 2, FALSE)</f>
        <v>Standard</v>
      </c>
      <c r="J4553" t="s">
        <v>761</v>
      </c>
      <c r="L4553" s="17" t="s">
        <v>734</v>
      </c>
      <c r="M4553" s="17" t="s">
        <v>10</v>
      </c>
      <c r="N4553" s="17">
        <v>2</v>
      </c>
    </row>
    <row r="4554" spans="1:14" x14ac:dyDescent="0.25">
      <c r="A4554" s="8">
        <v>983251</v>
      </c>
      <c r="B4554" s="22" t="str">
        <f>IFERROR(VLOOKUP(A4554,VLOOKUPS!$A$2:B$12589,2,FALSE),"")</f>
        <v>Watermelons Large Seedless 1ct-LOOSE</v>
      </c>
      <c r="E4554">
        <v>6.49</v>
      </c>
      <c r="F4554">
        <v>5.99</v>
      </c>
      <c r="G4554" s="13">
        <v>44716</v>
      </c>
      <c r="H4554" s="13"/>
      <c r="I4554" s="22" t="str">
        <f>VLOOKUP(J4554, Dropdowns!N:O, 2, FALSE)</f>
        <v>Standard</v>
      </c>
      <c r="J4554" t="s">
        <v>761</v>
      </c>
      <c r="L4554" s="17" t="s">
        <v>732</v>
      </c>
      <c r="M4554" s="17" t="s">
        <v>738</v>
      </c>
      <c r="N4554" s="17">
        <v>2</v>
      </c>
    </row>
    <row r="4555" spans="1:14" x14ac:dyDescent="0.25">
      <c r="A4555" s="8">
        <v>983251</v>
      </c>
      <c r="B4555" s="22" t="str">
        <f>IFERROR(VLOOKUP(A4555,VLOOKUPS!$A$2:B$12589,2,FALSE),"")</f>
        <v>Watermelons Large Seedless 1ct-LOOSE</v>
      </c>
      <c r="E4555">
        <v>6.49</v>
      </c>
      <c r="F4555">
        <v>6.99</v>
      </c>
      <c r="G4555" s="13">
        <v>44716</v>
      </c>
      <c r="H4555" s="13"/>
      <c r="I4555" s="22" t="str">
        <f>VLOOKUP(J4555, Dropdowns!N:O, 2, FALSE)</f>
        <v>Standard</v>
      </c>
      <c r="J4555" t="s">
        <v>761</v>
      </c>
      <c r="L4555" s="17" t="s">
        <v>734</v>
      </c>
      <c r="M4555" s="17" t="s">
        <v>9</v>
      </c>
      <c r="N4555" s="17" t="s">
        <v>736</v>
      </c>
    </row>
    <row r="4556" spans="1:14" x14ac:dyDescent="0.25">
      <c r="A4556" s="8">
        <v>985861</v>
      </c>
      <c r="B4556" s="22" t="str">
        <f>IFERROR(VLOOKUP(A4556,VLOOKUPS!$A$2:B$12589,2,FALSE),"")</f>
        <v>Green Onions 1ct Bunch</v>
      </c>
      <c r="E4556">
        <v>0.99</v>
      </c>
      <c r="F4556">
        <v>0.79</v>
      </c>
      <c r="G4556" s="13">
        <v>44716</v>
      </c>
      <c r="H4556" s="13">
        <v>44717</v>
      </c>
      <c r="I4556" s="22" t="str">
        <f>VLOOKUP(J4556, Dropdowns!N:O, 2, FALSE)</f>
        <v>Lower Price</v>
      </c>
      <c r="J4556" t="s">
        <v>759</v>
      </c>
      <c r="L4556" s="17" t="s">
        <v>734</v>
      </c>
      <c r="M4556" s="17" t="s">
        <v>9</v>
      </c>
      <c r="N4556" s="17" t="s">
        <v>736</v>
      </c>
    </row>
    <row r="4557" spans="1:14" x14ac:dyDescent="0.25">
      <c r="A4557" s="8">
        <v>985861</v>
      </c>
      <c r="B4557" s="22" t="str">
        <f>IFERROR(VLOOKUP(A4557,VLOOKUPS!$A$2:B$12589,2,FALSE),"")</f>
        <v>Green Onions 1ct Bunch</v>
      </c>
      <c r="E4557">
        <v>0.79</v>
      </c>
      <c r="F4557">
        <v>0.99</v>
      </c>
      <c r="G4557" s="13">
        <v>44718</v>
      </c>
      <c r="H4557" s="13"/>
      <c r="I4557" s="22" t="str">
        <f>VLOOKUP(J4557, Dropdowns!N:O, 2, FALSE)</f>
        <v>Standard</v>
      </c>
      <c r="J4557" t="s">
        <v>760</v>
      </c>
      <c r="L4557" s="17" t="s">
        <v>734</v>
      </c>
      <c r="M4557" s="17" t="s">
        <v>9</v>
      </c>
      <c r="N4557" s="17" t="s">
        <v>736</v>
      </c>
    </row>
    <row r="4558" spans="1:14" x14ac:dyDescent="0.25">
      <c r="A4558" s="8">
        <v>985861</v>
      </c>
      <c r="B4558" s="22" t="str">
        <f>IFERROR(VLOOKUP(A4558,VLOOKUPS!$A$2:B$12589,2,FALSE),"")</f>
        <v>Green Onions 1ct Bunch</v>
      </c>
      <c r="E4558">
        <v>0.85</v>
      </c>
      <c r="F4558">
        <v>0.68</v>
      </c>
      <c r="G4558" s="13">
        <v>44716</v>
      </c>
      <c r="H4558" s="13">
        <v>44717</v>
      </c>
      <c r="I4558" s="22" t="str">
        <f>VLOOKUP(J4558, Dropdowns!N:O, 2, FALSE)</f>
        <v>Lower Price</v>
      </c>
      <c r="J4558" t="s">
        <v>759</v>
      </c>
      <c r="L4558" s="17" t="s">
        <v>732</v>
      </c>
      <c r="M4558" s="17" t="s">
        <v>10</v>
      </c>
      <c r="N4558" s="17">
        <v>2</v>
      </c>
    </row>
    <row r="4559" spans="1:14" x14ac:dyDescent="0.25">
      <c r="A4559" s="8">
        <v>985861</v>
      </c>
      <c r="B4559" s="22" t="str">
        <f>IFERROR(VLOOKUP(A4559,VLOOKUPS!$A$2:B$12589,2,FALSE),"")</f>
        <v>Green Onions 1ct Bunch</v>
      </c>
      <c r="E4559">
        <v>0.68</v>
      </c>
      <c r="F4559">
        <v>0.85</v>
      </c>
      <c r="G4559" s="13">
        <v>44718</v>
      </c>
      <c r="H4559" s="13"/>
      <c r="I4559" s="22" t="str">
        <f>VLOOKUP(J4559, Dropdowns!N:O, 2, FALSE)</f>
        <v>Standard</v>
      </c>
      <c r="J4559" t="s">
        <v>760</v>
      </c>
      <c r="L4559" s="17" t="s">
        <v>732</v>
      </c>
      <c r="M4559" s="17" t="s">
        <v>10</v>
      </c>
      <c r="N4559" s="17">
        <v>2</v>
      </c>
    </row>
    <row r="4560" spans="1:14" x14ac:dyDescent="0.25">
      <c r="A4560" s="8">
        <v>985861</v>
      </c>
      <c r="B4560" s="22" t="str">
        <f>IFERROR(VLOOKUP(A4560,VLOOKUPS!$A$2:B$12589,2,FALSE),"")</f>
        <v>Green Onions 1ct Bunch</v>
      </c>
      <c r="E4560">
        <v>0.85</v>
      </c>
      <c r="F4560">
        <v>0.68</v>
      </c>
      <c r="G4560" s="13">
        <v>44716</v>
      </c>
      <c r="H4560" s="13">
        <v>44717</v>
      </c>
      <c r="I4560" s="22" t="str">
        <f>VLOOKUP(J4560, Dropdowns!N:O, 2, FALSE)</f>
        <v>Lower Price</v>
      </c>
      <c r="J4560" t="s">
        <v>759</v>
      </c>
      <c r="L4560" s="17" t="s">
        <v>733</v>
      </c>
      <c r="M4560" s="17" t="s">
        <v>9</v>
      </c>
      <c r="N4560" s="17" t="s">
        <v>740</v>
      </c>
    </row>
    <row r="4561" spans="1:14" x14ac:dyDescent="0.25">
      <c r="A4561" s="8">
        <v>985861</v>
      </c>
      <c r="B4561" s="22" t="str">
        <f>IFERROR(VLOOKUP(A4561,VLOOKUPS!$A$2:B$12589,2,FALSE),"")</f>
        <v>Green Onions 1ct Bunch</v>
      </c>
      <c r="E4561">
        <v>0.68</v>
      </c>
      <c r="F4561">
        <v>0.85</v>
      </c>
      <c r="G4561" s="13" t="s">
        <v>1106</v>
      </c>
      <c r="H4561" s="13"/>
      <c r="I4561" s="22" t="str">
        <f>VLOOKUP(J4561, Dropdowns!N:O, 2, FALSE)</f>
        <v>Standard</v>
      </c>
      <c r="J4561" t="s">
        <v>760</v>
      </c>
      <c r="L4561" s="17" t="s">
        <v>733</v>
      </c>
      <c r="M4561" s="17" t="s">
        <v>9</v>
      </c>
      <c r="N4561" s="17" t="s">
        <v>740</v>
      </c>
    </row>
    <row r="4562" spans="1:14" x14ac:dyDescent="0.25">
      <c r="A4562" s="8">
        <v>984460</v>
      </c>
      <c r="B4562" s="22" t="str">
        <f>IFERROR(VLOOKUP(A4562,VLOOKUPS!$A$2:B$12589,2,FALSE),"")</f>
        <v>Strawberries 1lb-standard</v>
      </c>
      <c r="E4562">
        <v>2.48</v>
      </c>
      <c r="F4562">
        <v>2.29</v>
      </c>
      <c r="G4562" s="13">
        <v>44717</v>
      </c>
      <c r="H4562" s="13"/>
      <c r="I4562" s="22" t="str">
        <f>VLOOKUP(J4562, Dropdowns!N:O, 2, FALSE)</f>
        <v>Standard</v>
      </c>
      <c r="J4562" t="s">
        <v>761</v>
      </c>
      <c r="L4562" s="17" t="s">
        <v>733</v>
      </c>
      <c r="M4562" s="17" t="s">
        <v>736</v>
      </c>
      <c r="N4562" s="17" t="s">
        <v>740</v>
      </c>
    </row>
    <row r="4563" spans="1:14" x14ac:dyDescent="0.25">
      <c r="A4563" s="8">
        <v>984620</v>
      </c>
      <c r="B4563" s="22" t="str">
        <f>IFERROR(VLOOKUP(A4563,VLOOKUPS!$A$2:B$12589,2,FALSE),"")</f>
        <v>Raspberries 6oz-standard</v>
      </c>
      <c r="G4563" s="13">
        <v>44716</v>
      </c>
      <c r="H4563" s="13"/>
      <c r="I4563" s="22" t="str">
        <f>VLOOKUP(J4563, Dropdowns!N:O, 2, FALSE)</f>
        <v>Lower Price</v>
      </c>
      <c r="J4563" t="s">
        <v>779</v>
      </c>
      <c r="L4563" s="17" t="s">
        <v>732</v>
      </c>
      <c r="M4563" s="17" t="s">
        <v>10</v>
      </c>
      <c r="N4563" s="17">
        <v>2</v>
      </c>
    </row>
    <row r="4564" spans="1:14" x14ac:dyDescent="0.25">
      <c r="A4564" s="8">
        <v>981400</v>
      </c>
      <c r="B4564" s="22" t="str">
        <f>IFERROR(VLOOKUP(A4564,VLOOKUPS!$A$2:B$12589,2,FALSE),"")</f>
        <v>Apples Granny Smith 3lb-standard</v>
      </c>
      <c r="E4564">
        <v>4.3899999999999997</v>
      </c>
      <c r="F4564">
        <v>2.86</v>
      </c>
      <c r="G4564" s="13">
        <v>44717</v>
      </c>
      <c r="H4564" s="13">
        <v>44718</v>
      </c>
      <c r="I4564" s="22" t="str">
        <f>VLOOKUP(J4564, Dropdowns!N:O, 2, FALSE)</f>
        <v>Lower Price</v>
      </c>
      <c r="J4564" t="s">
        <v>759</v>
      </c>
      <c r="L4564" s="17" t="s">
        <v>733</v>
      </c>
      <c r="M4564" s="17" t="s">
        <v>9</v>
      </c>
      <c r="N4564" s="17" t="s">
        <v>740</v>
      </c>
    </row>
    <row r="4565" spans="1:14" x14ac:dyDescent="0.25">
      <c r="A4565" s="8">
        <v>981400</v>
      </c>
      <c r="B4565" s="22" t="str">
        <f>IFERROR(VLOOKUP(A4565,VLOOKUPS!$A$2:B$12589,2,FALSE),"")</f>
        <v>Apples Granny Smith 3lb-standard</v>
      </c>
      <c r="E4565">
        <v>4.6900000000000004</v>
      </c>
      <c r="F4565">
        <v>3.05</v>
      </c>
      <c r="G4565" s="13">
        <v>44717</v>
      </c>
      <c r="H4565" s="13">
        <v>44718</v>
      </c>
      <c r="I4565" s="22" t="str">
        <f>VLOOKUP(J4565, Dropdowns!N:O, 2, FALSE)</f>
        <v>Lower Price</v>
      </c>
      <c r="J4565" t="s">
        <v>759</v>
      </c>
      <c r="L4565" s="17" t="s">
        <v>734</v>
      </c>
      <c r="M4565" s="17" t="s">
        <v>9</v>
      </c>
      <c r="N4565" s="17" t="s">
        <v>736</v>
      </c>
    </row>
    <row r="4566" spans="1:14" x14ac:dyDescent="0.25">
      <c r="A4566" s="8">
        <v>981400</v>
      </c>
      <c r="B4566" s="22" t="str">
        <f>IFERROR(VLOOKUP(A4566,VLOOKUPS!$A$2:B$12589,2,FALSE),"")</f>
        <v>Apples Granny Smith 3lb-standard</v>
      </c>
      <c r="E4566">
        <v>2.86</v>
      </c>
      <c r="F4566">
        <v>4.3899999999999997</v>
      </c>
      <c r="G4566" s="13">
        <v>44719</v>
      </c>
      <c r="H4566" s="13"/>
      <c r="I4566" s="22" t="str">
        <f>VLOOKUP(J4566, Dropdowns!N:O, 2, FALSE)</f>
        <v>Standard</v>
      </c>
      <c r="J4566" t="s">
        <v>760</v>
      </c>
      <c r="L4566" s="17" t="s">
        <v>733</v>
      </c>
      <c r="M4566" s="17" t="s">
        <v>9</v>
      </c>
      <c r="N4566" s="17" t="s">
        <v>740</v>
      </c>
    </row>
    <row r="4567" spans="1:14" x14ac:dyDescent="0.25">
      <c r="A4567" s="8">
        <v>981400</v>
      </c>
      <c r="B4567" s="22" t="str">
        <f>IFERROR(VLOOKUP(A4567,VLOOKUPS!$A$2:B$12589,2,FALSE),"")</f>
        <v>Apples Granny Smith 3lb-standard</v>
      </c>
      <c r="E4567">
        <v>3.05</v>
      </c>
      <c r="F4567">
        <v>4.6900000000000004</v>
      </c>
      <c r="G4567" s="13">
        <v>44719</v>
      </c>
      <c r="H4567" s="13"/>
      <c r="I4567" s="22" t="str">
        <f>VLOOKUP(J4567, Dropdowns!N:O, 2, FALSE)</f>
        <v>Standard</v>
      </c>
      <c r="J4567" t="s">
        <v>760</v>
      </c>
      <c r="L4567" s="17" t="s">
        <v>734</v>
      </c>
      <c r="M4567" s="17" t="s">
        <v>9</v>
      </c>
      <c r="N4567" s="17" t="s">
        <v>736</v>
      </c>
    </row>
    <row r="4568" spans="1:14" x14ac:dyDescent="0.25">
      <c r="A4568" s="8">
        <v>995179</v>
      </c>
      <c r="B4568" s="22" t="str">
        <f>IFERROR(VLOOKUP(A4568,VLOOKUPS!$A$2:B$12589,2,FALSE),"")</f>
        <v>Avocado Ranch Salad Bowl 7.2oz-Standard</v>
      </c>
      <c r="E4568">
        <v>4.49</v>
      </c>
      <c r="F4568">
        <v>2.25</v>
      </c>
      <c r="G4568" s="13">
        <v>44717</v>
      </c>
      <c r="H4568" s="13">
        <v>44718</v>
      </c>
      <c r="I4568" s="22" t="str">
        <f>VLOOKUP(J4568, Dropdowns!N:O, 2, FALSE)</f>
        <v>Lower Price</v>
      </c>
      <c r="J4568" t="s">
        <v>759</v>
      </c>
      <c r="L4568" s="17" t="s">
        <v>733</v>
      </c>
      <c r="M4568" s="17" t="s">
        <v>10</v>
      </c>
      <c r="N4568" s="17" t="s">
        <v>740</v>
      </c>
    </row>
    <row r="4569" spans="1:14" x14ac:dyDescent="0.25">
      <c r="A4569" s="8">
        <v>995179</v>
      </c>
      <c r="B4569" s="22" t="str">
        <f>IFERROR(VLOOKUP(A4569,VLOOKUPS!$A$2:B$12589,2,FALSE),"")</f>
        <v>Avocado Ranch Salad Bowl 7.2oz-Standard</v>
      </c>
      <c r="E4569">
        <v>2.25</v>
      </c>
      <c r="F4569">
        <v>4.49</v>
      </c>
      <c r="G4569" s="13">
        <v>44719</v>
      </c>
      <c r="H4569" s="13"/>
      <c r="I4569" s="22" t="str">
        <f>VLOOKUP(J4569, Dropdowns!N:O, 2, FALSE)</f>
        <v>Standard</v>
      </c>
      <c r="J4569" t="s">
        <v>760</v>
      </c>
      <c r="L4569" s="17" t="s">
        <v>733</v>
      </c>
      <c r="M4569" s="17" t="s">
        <v>10</v>
      </c>
      <c r="N4569" s="17" t="s">
        <v>740</v>
      </c>
    </row>
    <row r="4570" spans="1:14" x14ac:dyDescent="0.25">
      <c r="A4570" s="8">
        <v>995180</v>
      </c>
      <c r="B4570" s="22" t="str">
        <f>IFERROR(VLOOKUP(A4570,VLOOKUPS!$A$2:B$12589,2,FALSE),"")</f>
        <v>Crunchy Sesame 6.1oz-Standard</v>
      </c>
      <c r="E4570">
        <v>4.49</v>
      </c>
      <c r="F4570">
        <v>2.25</v>
      </c>
      <c r="G4570" s="13">
        <v>44717</v>
      </c>
      <c r="H4570" s="13">
        <v>44718</v>
      </c>
      <c r="I4570" s="22" t="str">
        <f>VLOOKUP(J4570, Dropdowns!N:O, 2, FALSE)</f>
        <v>Lower Price</v>
      </c>
      <c r="J4570" t="s">
        <v>759</v>
      </c>
      <c r="L4570" s="17" t="s">
        <v>733</v>
      </c>
      <c r="M4570" s="17" t="s">
        <v>10</v>
      </c>
      <c r="N4570" s="17" t="s">
        <v>740</v>
      </c>
    </row>
    <row r="4571" spans="1:14" x14ac:dyDescent="0.25">
      <c r="A4571" s="8">
        <v>995180</v>
      </c>
      <c r="B4571" s="22" t="str">
        <f>IFERROR(VLOOKUP(A4571,VLOOKUPS!$A$2:B$12589,2,FALSE),"")</f>
        <v>Crunchy Sesame 6.1oz-Standard</v>
      </c>
      <c r="E4571">
        <v>2.25</v>
      </c>
      <c r="F4571">
        <v>4.49</v>
      </c>
      <c r="G4571" s="13">
        <v>44719</v>
      </c>
      <c r="H4571" s="13"/>
      <c r="I4571" s="22" t="str">
        <f>VLOOKUP(J4571, Dropdowns!N:O, 2, FALSE)</f>
        <v>Standard</v>
      </c>
      <c r="J4571" t="s">
        <v>760</v>
      </c>
      <c r="L4571" s="17" t="s">
        <v>733</v>
      </c>
      <c r="M4571" s="17" t="s">
        <v>10</v>
      </c>
      <c r="N4571" s="17" t="s">
        <v>740</v>
      </c>
    </row>
    <row r="4572" spans="1:14" x14ac:dyDescent="0.25">
      <c r="A4572" s="8">
        <v>984700</v>
      </c>
      <c r="B4572" s="22" t="str">
        <f>IFERROR(VLOOKUP(A4572,VLOOKUPS!$A$2:B$12589,2,FALSE),"")</f>
        <v>Blackberries 6oz-standard</v>
      </c>
      <c r="E4572">
        <v>3.19</v>
      </c>
      <c r="F4572">
        <v>2.39</v>
      </c>
      <c r="G4572" s="13">
        <v>44719</v>
      </c>
      <c r="H4572" s="13"/>
      <c r="I4572" s="22" t="str">
        <f>VLOOKUP(J4572, Dropdowns!N:O, 2, FALSE)</f>
        <v>Standard</v>
      </c>
      <c r="J4572" t="s">
        <v>761</v>
      </c>
      <c r="L4572" s="17" t="s">
        <v>734</v>
      </c>
      <c r="M4572" s="17" t="s">
        <v>9</v>
      </c>
      <c r="N4572" s="17" t="s">
        <v>736</v>
      </c>
    </row>
    <row r="4573" spans="1:14" x14ac:dyDescent="0.25">
      <c r="A4573" s="8">
        <v>984700</v>
      </c>
      <c r="B4573" s="22" t="str">
        <f>IFERROR(VLOOKUP(A4573,VLOOKUPS!$A$2:B$12589,2,FALSE),"")</f>
        <v>Blackberries 6oz-standard</v>
      </c>
      <c r="E4573">
        <v>2.88</v>
      </c>
      <c r="F4573">
        <v>2.2400000000000002</v>
      </c>
      <c r="G4573" s="13">
        <v>44719</v>
      </c>
      <c r="H4573" s="13"/>
      <c r="I4573" s="22" t="str">
        <f>VLOOKUP(J4573, Dropdowns!N:O, 2, FALSE)</f>
        <v>Standard</v>
      </c>
      <c r="J4573" t="s">
        <v>761</v>
      </c>
      <c r="L4573" s="17" t="s">
        <v>733</v>
      </c>
      <c r="M4573" s="17" t="s">
        <v>736</v>
      </c>
      <c r="N4573" s="17" t="s">
        <v>740</v>
      </c>
    </row>
    <row r="4574" spans="1:14" x14ac:dyDescent="0.25">
      <c r="A4574" s="8">
        <v>985190</v>
      </c>
      <c r="B4574" s="22" t="str">
        <f>IFERROR(VLOOKUP(A4574,VLOOKUPS!$A$2:B$12589,2,FALSE),"")</f>
        <v>Organic Romaine Hearts 3ct-standard</v>
      </c>
      <c r="E4574">
        <v>3.19</v>
      </c>
      <c r="F4574">
        <v>1.91</v>
      </c>
      <c r="G4574" s="13">
        <v>44719</v>
      </c>
      <c r="H4574" s="13">
        <v>44720</v>
      </c>
      <c r="I4574" s="22" t="str">
        <f>VLOOKUP(J4574, Dropdowns!N:O, 2, FALSE)</f>
        <v>Lower Price</v>
      </c>
      <c r="J4574" t="s">
        <v>759</v>
      </c>
      <c r="L4574" s="17" t="s">
        <v>733</v>
      </c>
      <c r="M4574" s="17" t="s">
        <v>11</v>
      </c>
      <c r="N4574" s="17" t="s">
        <v>740</v>
      </c>
    </row>
    <row r="4575" spans="1:14" x14ac:dyDescent="0.25">
      <c r="A4575" s="8">
        <v>985190</v>
      </c>
      <c r="B4575" s="22" t="str">
        <f>IFERROR(VLOOKUP(A4575,VLOOKUPS!$A$2:B$12589,2,FALSE),"")</f>
        <v>Organic Romaine Hearts 3ct-standard</v>
      </c>
      <c r="E4575">
        <v>1.91</v>
      </c>
      <c r="F4575">
        <v>3.19</v>
      </c>
      <c r="G4575" s="13">
        <v>44721</v>
      </c>
      <c r="H4575" s="13"/>
      <c r="I4575" s="22" t="str">
        <f>VLOOKUP(J4575, Dropdowns!N:O, 2, FALSE)</f>
        <v>Standard</v>
      </c>
      <c r="J4575" t="s">
        <v>760</v>
      </c>
      <c r="L4575" s="17" t="s">
        <v>733</v>
      </c>
      <c r="M4575" s="17" t="s">
        <v>11</v>
      </c>
      <c r="N4575" s="17" t="s">
        <v>740</v>
      </c>
    </row>
    <row r="4576" spans="1:14" x14ac:dyDescent="0.25">
      <c r="A4576" s="8">
        <v>985760</v>
      </c>
      <c r="B4576" s="22" t="str">
        <f>IFERROR(VLOOKUP(A4576,VLOOKUPS!$A$2:B$12589,2,FALSE),"")</f>
        <v>Asparagus 1lb-standard</v>
      </c>
      <c r="E4576">
        <v>1.5</v>
      </c>
      <c r="F4576">
        <v>2.99</v>
      </c>
      <c r="G4576" s="13">
        <v>44719</v>
      </c>
      <c r="H4576" s="13"/>
      <c r="I4576" s="22" t="str">
        <f>VLOOKUP(J4576, Dropdowns!N:O, 2, FALSE)</f>
        <v>Standard</v>
      </c>
      <c r="J4576" t="s">
        <v>760</v>
      </c>
      <c r="L4576" s="17" t="s">
        <v>732</v>
      </c>
      <c r="M4576" s="17" t="s">
        <v>738</v>
      </c>
      <c r="N4576" s="17">
        <v>2</v>
      </c>
    </row>
    <row r="4577" spans="1:17" x14ac:dyDescent="0.25">
      <c r="A4577" s="8">
        <v>995004</v>
      </c>
      <c r="B4577" s="22" t="str">
        <f>IFERROR(VLOOKUP(A4577,VLOOKUPS!$A$2:B$12589,2,FALSE),"")</f>
        <v>Chicken Caesar Salad 6.25oz-standard</v>
      </c>
      <c r="E4577">
        <v>3.79</v>
      </c>
      <c r="F4577">
        <v>2.27</v>
      </c>
      <c r="G4577" s="13">
        <v>44719</v>
      </c>
      <c r="H4577" s="13">
        <v>44720</v>
      </c>
      <c r="I4577" s="22" t="str">
        <f>VLOOKUP(J4577, Dropdowns!N:O, 2, FALSE)</f>
        <v>Lower Price</v>
      </c>
      <c r="J4577" t="s">
        <v>759</v>
      </c>
      <c r="L4577" s="17" t="s">
        <v>734</v>
      </c>
      <c r="M4577" s="17" t="s">
        <v>9</v>
      </c>
      <c r="N4577" s="17" t="s">
        <v>736</v>
      </c>
    </row>
    <row r="4578" spans="1:17" x14ac:dyDescent="0.25">
      <c r="A4578" s="8">
        <v>995004</v>
      </c>
      <c r="B4578" s="22" t="str">
        <f>IFERROR(VLOOKUP(A4578,VLOOKUPS!$A$2:B$12589,2,FALSE),"")</f>
        <v>Chicken Caesar Salad 6.25oz-standard</v>
      </c>
      <c r="E4578">
        <v>3.27</v>
      </c>
      <c r="F4578">
        <v>1.96</v>
      </c>
      <c r="G4578" s="13">
        <v>44719</v>
      </c>
      <c r="H4578" s="13">
        <v>44720</v>
      </c>
      <c r="I4578" s="22" t="str">
        <f>VLOOKUP(J4578, Dropdowns!N:O, 2, FALSE)</f>
        <v>Lower Price</v>
      </c>
      <c r="J4578" t="s">
        <v>759</v>
      </c>
      <c r="L4578" s="17" t="s">
        <v>733</v>
      </c>
      <c r="M4578" s="17" t="s">
        <v>9</v>
      </c>
      <c r="N4578" s="17" t="s">
        <v>740</v>
      </c>
    </row>
    <row r="4579" spans="1:17" x14ac:dyDescent="0.25">
      <c r="A4579" s="8">
        <v>995004</v>
      </c>
      <c r="B4579" s="22" t="str">
        <f>IFERROR(VLOOKUP(A4579,VLOOKUPS!$A$2:B$12589,2,FALSE),"")</f>
        <v>Chicken Caesar Salad 6.25oz-standard</v>
      </c>
      <c r="E4579">
        <v>2.27</v>
      </c>
      <c r="F4579">
        <v>3.79</v>
      </c>
      <c r="G4579" s="13">
        <v>44721</v>
      </c>
      <c r="H4579" s="13"/>
      <c r="I4579" s="22" t="str">
        <f>VLOOKUP(J4579, Dropdowns!N:O, 2, FALSE)</f>
        <v>Standard</v>
      </c>
      <c r="J4579" t="s">
        <v>760</v>
      </c>
      <c r="L4579" s="17" t="s">
        <v>734</v>
      </c>
      <c r="M4579" s="17" t="s">
        <v>9</v>
      </c>
      <c r="N4579" s="17" t="s">
        <v>736</v>
      </c>
    </row>
    <row r="4580" spans="1:17" x14ac:dyDescent="0.25">
      <c r="A4580" s="8">
        <v>995004</v>
      </c>
      <c r="B4580" s="22" t="str">
        <f>IFERROR(VLOOKUP(A4580,VLOOKUPS!$A$2:B$12589,2,FALSE),"")</f>
        <v>Chicken Caesar Salad 6.25oz-standard</v>
      </c>
      <c r="E4580">
        <v>1.96</v>
      </c>
      <c r="F4580">
        <v>3.27</v>
      </c>
      <c r="G4580" s="13">
        <v>44721</v>
      </c>
      <c r="H4580" s="13"/>
      <c r="I4580" s="22" t="str">
        <f>VLOOKUP(J4580, Dropdowns!N:O, 2, FALSE)</f>
        <v>Standard</v>
      </c>
      <c r="J4580" t="s">
        <v>760</v>
      </c>
      <c r="L4580" s="17" t="s">
        <v>733</v>
      </c>
      <c r="M4580" s="17" t="s">
        <v>9</v>
      </c>
      <c r="N4580" s="17" t="s">
        <v>740</v>
      </c>
    </row>
    <row r="4581" spans="1:17" x14ac:dyDescent="0.25">
      <c r="A4581" s="8">
        <v>995011</v>
      </c>
      <c r="B4581" s="22" t="str">
        <f>IFERROR(VLOOKUP(A4581,VLOOKUPS!$A$2:B$12589,2,FALSE),"")</f>
        <v>RTE Santa Fe Salad 6.25oz-standard</v>
      </c>
      <c r="E4581">
        <v>3.27</v>
      </c>
      <c r="F4581">
        <v>1.96</v>
      </c>
      <c r="G4581" s="13">
        <v>44719</v>
      </c>
      <c r="H4581" s="13">
        <v>44720</v>
      </c>
      <c r="I4581" s="22" t="str">
        <f>VLOOKUP(J4581, Dropdowns!N:O, 2, FALSE)</f>
        <v>Lower Price</v>
      </c>
      <c r="J4581" t="s">
        <v>759</v>
      </c>
      <c r="L4581" s="17" t="s">
        <v>732</v>
      </c>
      <c r="M4581" s="17" t="s">
        <v>10</v>
      </c>
      <c r="N4581" s="17">
        <v>2</v>
      </c>
    </row>
    <row r="4582" spans="1:17" x14ac:dyDescent="0.25">
      <c r="A4582" s="8">
        <v>995011</v>
      </c>
      <c r="B4582" s="22" t="str">
        <f>IFERROR(VLOOKUP(A4582,VLOOKUPS!$A$2:B$12589,2,FALSE),"")</f>
        <v>RTE Santa Fe Salad 6.25oz-standard</v>
      </c>
      <c r="E4582">
        <v>1.96</v>
      </c>
      <c r="F4582">
        <v>3.27</v>
      </c>
      <c r="G4582" s="13">
        <v>44721</v>
      </c>
      <c r="H4582" s="13"/>
      <c r="I4582" s="22" t="str">
        <f>VLOOKUP(J4582, Dropdowns!N:O, 2, FALSE)</f>
        <v>Standard</v>
      </c>
      <c r="J4582" t="s">
        <v>760</v>
      </c>
      <c r="L4582" s="17" t="s">
        <v>732</v>
      </c>
      <c r="M4582" s="17" t="s">
        <v>10</v>
      </c>
      <c r="N4582" s="17">
        <v>2</v>
      </c>
    </row>
    <row r="4583" spans="1:17" x14ac:dyDescent="0.25">
      <c r="A4583" s="8">
        <v>995012</v>
      </c>
      <c r="B4583" s="22" t="str">
        <f>IFERROR(VLOOKUP(A4583,VLOOKUPS!$A$2:B$12589,2,FALSE),"")</f>
        <v>RTE Cranberry Walnut Salad 4.5oz-standard</v>
      </c>
      <c r="E4583">
        <v>3.69</v>
      </c>
      <c r="F4583">
        <v>2.21</v>
      </c>
      <c r="G4583" s="13">
        <v>44719</v>
      </c>
      <c r="H4583" s="13">
        <v>44720</v>
      </c>
      <c r="I4583" s="22" t="str">
        <f>VLOOKUP(J4583, Dropdowns!N:O, 2, FALSE)</f>
        <v>Lower Price</v>
      </c>
      <c r="J4583" t="s">
        <v>759</v>
      </c>
      <c r="L4583" s="17" t="s">
        <v>734</v>
      </c>
      <c r="M4583" s="17" t="s">
        <v>9</v>
      </c>
      <c r="N4583" s="17" t="s">
        <v>736</v>
      </c>
    </row>
    <row r="4584" spans="1:17" x14ac:dyDescent="0.25">
      <c r="A4584" s="8">
        <v>995012</v>
      </c>
      <c r="B4584" s="22" t="str">
        <f>IFERROR(VLOOKUP(A4584,VLOOKUPS!$A$2:B$12589,2,FALSE),"")</f>
        <v>RTE Cranberry Walnut Salad 4.5oz-standard</v>
      </c>
      <c r="E4584">
        <v>3.27</v>
      </c>
      <c r="F4584">
        <v>1.96</v>
      </c>
      <c r="G4584" s="13">
        <v>44719</v>
      </c>
      <c r="H4584" s="13">
        <v>44720</v>
      </c>
      <c r="I4584" s="22" t="str">
        <f>VLOOKUP(J4584, Dropdowns!N:O, 2, FALSE)</f>
        <v>Lower Price</v>
      </c>
      <c r="J4584" t="s">
        <v>759</v>
      </c>
      <c r="L4584" s="17" t="s">
        <v>733</v>
      </c>
      <c r="M4584" s="17" t="s">
        <v>9</v>
      </c>
      <c r="N4584" s="17" t="s">
        <v>740</v>
      </c>
    </row>
    <row r="4585" spans="1:17" x14ac:dyDescent="0.25">
      <c r="A4585" s="8">
        <v>995012</v>
      </c>
      <c r="B4585" s="22" t="str">
        <f>IFERROR(VLOOKUP(A4585,VLOOKUPS!$A$2:B$12589,2,FALSE),"")</f>
        <v>RTE Cranberry Walnut Salad 4.5oz-standard</v>
      </c>
      <c r="E4585">
        <v>2.21</v>
      </c>
      <c r="F4585">
        <v>3.69</v>
      </c>
      <c r="G4585" s="13">
        <v>44721</v>
      </c>
      <c r="H4585" s="13"/>
      <c r="I4585" s="22" t="str">
        <f>VLOOKUP(J4585, Dropdowns!N:O, 2, FALSE)</f>
        <v>Standard</v>
      </c>
      <c r="J4585" t="s">
        <v>760</v>
      </c>
      <c r="L4585" s="17" t="s">
        <v>734</v>
      </c>
      <c r="M4585" s="17" t="s">
        <v>9</v>
      </c>
      <c r="N4585" s="17" t="s">
        <v>736</v>
      </c>
    </row>
    <row r="4586" spans="1:17" x14ac:dyDescent="0.25">
      <c r="A4586" s="8">
        <v>995012</v>
      </c>
      <c r="B4586" s="22" t="str">
        <f>IFERROR(VLOOKUP(A4586,VLOOKUPS!$A$2:B$12589,2,FALSE),"")</f>
        <v>RTE Cranberry Walnut Salad 4.5oz-standard</v>
      </c>
      <c r="E4586">
        <v>1.96</v>
      </c>
      <c r="F4586">
        <v>3.27</v>
      </c>
      <c r="G4586" s="13">
        <v>44721</v>
      </c>
      <c r="H4586" s="13"/>
      <c r="I4586" s="22" t="str">
        <f>VLOOKUP(J4586, Dropdowns!N:O, 2, FALSE)</f>
        <v>Standard</v>
      </c>
      <c r="J4586" t="s">
        <v>760</v>
      </c>
      <c r="L4586" s="17" t="s">
        <v>733</v>
      </c>
      <c r="M4586" s="17" t="s">
        <v>9</v>
      </c>
      <c r="N4586" s="17" t="s">
        <v>740</v>
      </c>
    </row>
    <row r="4587" spans="1:17" x14ac:dyDescent="0.25">
      <c r="A4587" s="8">
        <v>995097</v>
      </c>
      <c r="B4587" s="22" t="str">
        <f>IFERROR(VLOOKUP(A4587,VLOOKUPS!$A$2:B$12589,2,FALSE),"")</f>
        <v>Butternut Diced 12oz-standard</v>
      </c>
      <c r="E4587">
        <v>2.25</v>
      </c>
      <c r="F4587">
        <v>2.39</v>
      </c>
      <c r="G4587" s="13">
        <v>44719</v>
      </c>
      <c r="H4587" s="13"/>
      <c r="I4587" s="22" t="str">
        <f>VLOOKUP(J4587, Dropdowns!N:O, 2, FALSE)</f>
        <v>Standard</v>
      </c>
      <c r="J4587" t="s">
        <v>761</v>
      </c>
      <c r="L4587" s="17" t="s">
        <v>732</v>
      </c>
      <c r="M4587" s="17" t="s">
        <v>738</v>
      </c>
      <c r="N4587" s="17">
        <v>2</v>
      </c>
    </row>
    <row r="4588" spans="1:17" x14ac:dyDescent="0.25">
      <c r="A4588" s="8">
        <v>995135</v>
      </c>
      <c r="B4588" s="22" t="str">
        <f>IFERROR(VLOOKUP(A4588,VLOOKUPS!$A$2:B$12589,2,FALSE),"")</f>
        <v>XL Mild Fresh Salsa 30oz-standard</v>
      </c>
      <c r="D4588">
        <v>6</v>
      </c>
      <c r="F4588">
        <v>6.99</v>
      </c>
      <c r="G4588" s="13">
        <v>44719</v>
      </c>
      <c r="H4588" s="13"/>
      <c r="I4588" s="22" t="str">
        <f>VLOOKUP(J4588, Dropdowns!N:O, 2, FALSE)</f>
        <v>NA</v>
      </c>
      <c r="J4588" t="s">
        <v>754</v>
      </c>
      <c r="L4588" s="17" t="s">
        <v>732</v>
      </c>
      <c r="M4588" s="17" t="s">
        <v>10</v>
      </c>
      <c r="N4588" s="17">
        <v>2</v>
      </c>
    </row>
    <row r="4589" spans="1:17" x14ac:dyDescent="0.25">
      <c r="A4589" s="8">
        <v>995141</v>
      </c>
      <c r="B4589" s="22" t="str">
        <f>IFERROR(VLOOKUP(A4589,VLOOKUPS!$A$2:B$12589,2,FALSE),"")</f>
        <v>Watermelon Chunks 32oz-standard</v>
      </c>
      <c r="E4589">
        <v>7.97</v>
      </c>
      <c r="F4589">
        <v>4.78</v>
      </c>
      <c r="G4589" s="13">
        <v>44719</v>
      </c>
      <c r="H4589" s="13">
        <v>44720</v>
      </c>
      <c r="I4589" s="22" t="str">
        <f>VLOOKUP(J4589, Dropdowns!N:O, 2, FALSE)</f>
        <v>Lower Price</v>
      </c>
      <c r="J4589" t="s">
        <v>759</v>
      </c>
      <c r="L4589" s="17" t="s">
        <v>732</v>
      </c>
      <c r="M4589" s="17" t="s">
        <v>738</v>
      </c>
      <c r="N4589" s="17">
        <v>2</v>
      </c>
    </row>
    <row r="4590" spans="1:17" x14ac:dyDescent="0.25">
      <c r="A4590" s="8">
        <v>995141</v>
      </c>
      <c r="B4590" s="22" t="str">
        <f>IFERROR(VLOOKUP(A4590,VLOOKUPS!$A$2:B$12589,2,FALSE),"")</f>
        <v>Watermelon Chunks 32oz-standard</v>
      </c>
      <c r="E4590">
        <v>4.78</v>
      </c>
      <c r="F4590">
        <v>7.97</v>
      </c>
      <c r="G4590" s="13">
        <v>44721</v>
      </c>
      <c r="H4590" s="13"/>
      <c r="I4590" s="22" t="str">
        <f>VLOOKUP(J4590, Dropdowns!N:O, 2, FALSE)</f>
        <v>Standard</v>
      </c>
      <c r="J4590" t="s">
        <v>760</v>
      </c>
      <c r="L4590" s="17" t="s">
        <v>732</v>
      </c>
      <c r="M4590" s="17" t="s">
        <v>738</v>
      </c>
      <c r="N4590" s="17">
        <v>2</v>
      </c>
    </row>
    <row r="4591" spans="1:17" x14ac:dyDescent="0.25">
      <c r="A4591" s="8">
        <v>995145</v>
      </c>
      <c r="B4591" s="22" t="str">
        <f>IFERROR(VLOOKUP(A4591,VLOOKUPS!$A$2:B$12589,2,FALSE),"")</f>
        <v>Mango Spears 32oz-standard</v>
      </c>
      <c r="D4591">
        <v>6</v>
      </c>
      <c r="F4591">
        <v>10.49</v>
      </c>
      <c r="G4591" s="13">
        <v>44719</v>
      </c>
      <c r="H4591" s="13"/>
      <c r="I4591" s="22" t="str">
        <f>VLOOKUP(J4591, Dropdowns!N:O, 2, FALSE)</f>
        <v>New</v>
      </c>
      <c r="J4591" t="s">
        <v>776</v>
      </c>
      <c r="L4591" s="17" t="s">
        <v>733</v>
      </c>
      <c r="M4591" s="17" t="s">
        <v>11</v>
      </c>
      <c r="N4591" s="17" t="s">
        <v>740</v>
      </c>
      <c r="O4591" s="17" t="s">
        <v>748</v>
      </c>
      <c r="P4591">
        <v>1</v>
      </c>
      <c r="Q4591" s="17" t="s">
        <v>1044</v>
      </c>
    </row>
    <row r="4592" spans="1:17" x14ac:dyDescent="0.25">
      <c r="A4592" s="8">
        <v>995185</v>
      </c>
      <c r="B4592" s="22" t="str">
        <f>IFERROR(VLOOKUP(A4592,VLOOKUPS!$A$2:B$12589,2,FALSE),"")</f>
        <v>Organic Crisp Romaine 4oz-standard</v>
      </c>
      <c r="E4592">
        <v>2.98</v>
      </c>
      <c r="F4592">
        <v>0.99</v>
      </c>
      <c r="G4592" s="13">
        <v>44719</v>
      </c>
      <c r="H4592" s="13">
        <v>44722</v>
      </c>
      <c r="I4592" s="22" t="str">
        <f>VLOOKUP(J4592, Dropdowns!N:O, 2, FALSE)</f>
        <v>Lower Price</v>
      </c>
      <c r="J4592" t="s">
        <v>759</v>
      </c>
      <c r="L4592" s="17" t="s">
        <v>732</v>
      </c>
      <c r="M4592" s="17" t="s">
        <v>738</v>
      </c>
      <c r="N4592" s="17">
        <v>2</v>
      </c>
    </row>
    <row r="4593" spans="1:14" x14ac:dyDescent="0.25">
      <c r="A4593" s="8">
        <v>995186</v>
      </c>
      <c r="B4593" s="22" t="str">
        <f>IFERROR(VLOOKUP(A4593,VLOOKUPS!$A$2:B$12589,2,FALSE),"")</f>
        <v>Organic Carrots and Ranch 5oz-standard</v>
      </c>
      <c r="E4593">
        <v>2.99</v>
      </c>
      <c r="F4593">
        <v>1.79</v>
      </c>
      <c r="G4593" s="13">
        <v>44719</v>
      </c>
      <c r="H4593" s="13">
        <v>44720</v>
      </c>
      <c r="I4593" s="22" t="str">
        <f>VLOOKUP(J4593, Dropdowns!N:O, 2, FALSE)</f>
        <v>Lower Price</v>
      </c>
      <c r="J4593" t="s">
        <v>759</v>
      </c>
      <c r="L4593" s="17" t="s">
        <v>732</v>
      </c>
      <c r="M4593" s="17" t="s">
        <v>10</v>
      </c>
      <c r="N4593" s="17">
        <v>2</v>
      </c>
    </row>
    <row r="4594" spans="1:14" x14ac:dyDescent="0.25">
      <c r="A4594" s="8">
        <v>995186</v>
      </c>
      <c r="B4594" s="22" t="str">
        <f>IFERROR(VLOOKUP(A4594,VLOOKUPS!$A$2:B$12589,2,FALSE),"")</f>
        <v>Organic Carrots and Ranch 5oz-standard</v>
      </c>
      <c r="E4594">
        <v>1.79</v>
      </c>
      <c r="F4594">
        <v>2.99</v>
      </c>
      <c r="G4594" s="13">
        <v>44721</v>
      </c>
      <c r="H4594" s="13"/>
      <c r="I4594" s="22" t="str">
        <f>VLOOKUP(J4594, Dropdowns!N:O, 2, FALSE)</f>
        <v>Standard</v>
      </c>
      <c r="J4594" t="s">
        <v>760</v>
      </c>
      <c r="L4594" s="17" t="s">
        <v>732</v>
      </c>
      <c r="M4594" s="17" t="s">
        <v>10</v>
      </c>
      <c r="N4594" s="17">
        <v>2</v>
      </c>
    </row>
    <row r="4595" spans="1:14" x14ac:dyDescent="0.25">
      <c r="A4595" s="8">
        <v>982650</v>
      </c>
      <c r="B4595" s="22" t="str">
        <f>IFERROR(VLOOKUP(A4595,VLOOKUPS!$A$2:B$12589,2,FALSE),"")</f>
        <v>Grapes* Green Seedless 1lb-LOOSE</v>
      </c>
      <c r="E4595">
        <v>2.59</v>
      </c>
      <c r="F4595">
        <v>2.48</v>
      </c>
      <c r="G4595" s="13">
        <v>44719</v>
      </c>
      <c r="H4595" s="13"/>
      <c r="I4595" s="22" t="str">
        <f>VLOOKUP(J4595, Dropdowns!N:O, 2, FALSE)</f>
        <v>Standard</v>
      </c>
      <c r="J4595" t="s">
        <v>761</v>
      </c>
      <c r="L4595" s="17" t="s">
        <v>732</v>
      </c>
      <c r="M4595" s="17" t="s">
        <v>738</v>
      </c>
      <c r="N4595" s="17">
        <v>2</v>
      </c>
    </row>
    <row r="4596" spans="1:14" x14ac:dyDescent="0.25">
      <c r="A4596" s="8">
        <v>982650</v>
      </c>
      <c r="B4596" s="22" t="str">
        <f>IFERROR(VLOOKUP(A4596,VLOOKUPS!$A$2:B$12589,2,FALSE),"")</f>
        <v>Grapes* Green Seedless 1lb-LOOSE</v>
      </c>
      <c r="E4596">
        <v>2.59</v>
      </c>
      <c r="F4596">
        <v>2.48</v>
      </c>
      <c r="G4596" s="13">
        <v>44719</v>
      </c>
      <c r="H4596" s="13"/>
      <c r="I4596" s="22" t="str">
        <f>VLOOKUP(J4596, Dropdowns!N:O, 2, FALSE)</f>
        <v>Standard</v>
      </c>
      <c r="J4596" t="s">
        <v>761</v>
      </c>
      <c r="L4596" s="17" t="s">
        <v>733</v>
      </c>
      <c r="M4596" s="17" t="s">
        <v>9</v>
      </c>
      <c r="N4596" s="17" t="s">
        <v>740</v>
      </c>
    </row>
    <row r="4597" spans="1:14" x14ac:dyDescent="0.25">
      <c r="A4597" s="8">
        <v>985861</v>
      </c>
      <c r="B4597" s="22" t="str">
        <f>IFERROR(VLOOKUP(A4597,VLOOKUPS!$A$2:B$12589,2,FALSE),"")</f>
        <v>Green Onions 1ct Bunch</v>
      </c>
      <c r="E4597">
        <v>0.68</v>
      </c>
      <c r="F4597">
        <v>0.85</v>
      </c>
      <c r="G4597" s="13">
        <v>44719</v>
      </c>
      <c r="H4597" s="13"/>
      <c r="I4597" s="22" t="str">
        <f>VLOOKUP(J4597, Dropdowns!N:O, 2, FALSE)</f>
        <v>Standard</v>
      </c>
      <c r="J4597" t="s">
        <v>760</v>
      </c>
      <c r="L4597" s="17" t="s">
        <v>733</v>
      </c>
      <c r="M4597" s="17" t="s">
        <v>9</v>
      </c>
      <c r="N4597" s="17" t="s">
        <v>740</v>
      </c>
    </row>
    <row r="4598" spans="1:14" x14ac:dyDescent="0.25">
      <c r="A4598" s="8">
        <v>983651</v>
      </c>
      <c r="B4598" s="22" t="str">
        <f>IFERROR(VLOOKUP(A4598,VLOOKUPS!$A$2:B$12589,2,FALSE),"")</f>
        <v>Kiwis Gold 1ct-LOOSE</v>
      </c>
      <c r="E4598">
        <v>0.99</v>
      </c>
      <c r="F4598">
        <v>0.69</v>
      </c>
      <c r="G4598" s="13">
        <v>44719</v>
      </c>
      <c r="H4598" s="13">
        <v>44720</v>
      </c>
      <c r="I4598" s="22" t="str">
        <f>VLOOKUP(J4598, Dropdowns!N:O, 2, FALSE)</f>
        <v>Lower Price</v>
      </c>
      <c r="J4598" t="s">
        <v>759</v>
      </c>
      <c r="L4598" s="17" t="s">
        <v>732</v>
      </c>
      <c r="M4598" s="17" t="s">
        <v>736</v>
      </c>
      <c r="N4598" s="17" t="s">
        <v>736</v>
      </c>
    </row>
    <row r="4599" spans="1:14" x14ac:dyDescent="0.25">
      <c r="A4599" s="8">
        <v>983651</v>
      </c>
      <c r="B4599" s="22" t="str">
        <f>IFERROR(VLOOKUP(A4599,VLOOKUPS!$A$2:B$12589,2,FALSE),"")</f>
        <v>Kiwis Gold 1ct-LOOSE</v>
      </c>
      <c r="E4599">
        <v>0.69</v>
      </c>
      <c r="F4599">
        <v>0.99</v>
      </c>
      <c r="G4599" s="13">
        <v>44721</v>
      </c>
      <c r="H4599" s="13"/>
      <c r="I4599" s="22" t="str">
        <f>VLOOKUP(J4599, Dropdowns!N:O, 2, FALSE)</f>
        <v>Standard</v>
      </c>
      <c r="J4599" t="s">
        <v>760</v>
      </c>
      <c r="L4599" s="17" t="s">
        <v>732</v>
      </c>
      <c r="M4599" s="17" t="s">
        <v>736</v>
      </c>
      <c r="N4599" s="17" t="s">
        <v>736</v>
      </c>
    </row>
    <row r="4600" spans="1:14" x14ac:dyDescent="0.25">
      <c r="A4600" s="8">
        <v>983201</v>
      </c>
      <c r="B4600" s="22" t="str">
        <f>IFERROR(VLOOKUP(A4600,VLOOKUPS!$A$2:B$12589,2,FALSE),"")</f>
        <v>Melons* Honeydew 1ct-LOOSE</v>
      </c>
      <c r="E4600">
        <v>3.98</v>
      </c>
      <c r="F4600">
        <v>2.79</v>
      </c>
      <c r="G4600" s="13">
        <v>44720</v>
      </c>
      <c r="H4600" s="13">
        <v>44721</v>
      </c>
      <c r="I4600" s="22" t="str">
        <f>VLOOKUP(J4600, Dropdowns!N:O, 2, FALSE)</f>
        <v>Lower Price</v>
      </c>
      <c r="J4600" t="s">
        <v>759</v>
      </c>
      <c r="L4600" s="17" t="s">
        <v>733</v>
      </c>
      <c r="M4600" s="17" t="s">
        <v>11</v>
      </c>
      <c r="N4600" s="17" t="s">
        <v>740</v>
      </c>
    </row>
    <row r="4601" spans="1:14" x14ac:dyDescent="0.25">
      <c r="A4601" s="8">
        <v>983201</v>
      </c>
      <c r="B4601" s="22" t="str">
        <f>IFERROR(VLOOKUP(A4601,VLOOKUPS!$A$2:B$12589,2,FALSE),"")</f>
        <v>Melons* Honeydew 1ct-LOOSE</v>
      </c>
      <c r="E4601">
        <v>2.79</v>
      </c>
      <c r="F4601">
        <v>3.98</v>
      </c>
      <c r="G4601" s="13">
        <v>44722</v>
      </c>
      <c r="H4601" s="13"/>
      <c r="I4601" s="22" t="str">
        <f>VLOOKUP(J4601, Dropdowns!N:O, 2, FALSE)</f>
        <v>Standard</v>
      </c>
      <c r="J4601" t="s">
        <v>760</v>
      </c>
      <c r="L4601" s="17" t="s">
        <v>733</v>
      </c>
      <c r="M4601" s="17" t="s">
        <v>11</v>
      </c>
      <c r="N4601" s="17" t="s">
        <v>740</v>
      </c>
    </row>
    <row r="4602" spans="1:14" x14ac:dyDescent="0.25">
      <c r="A4602" s="8">
        <v>984621</v>
      </c>
      <c r="B4602" s="22" t="str">
        <f>IFERROR(VLOOKUP(A4602,VLOOKUPS!$A$2:B$12589,2,FALSE),"")</f>
        <v>Raspberries 12oz-standard</v>
      </c>
      <c r="E4602">
        <v>5.48</v>
      </c>
      <c r="F4602">
        <v>3.29</v>
      </c>
      <c r="G4602" s="13">
        <v>44720</v>
      </c>
      <c r="H4602" s="13">
        <v>44721</v>
      </c>
      <c r="I4602" s="22" t="str">
        <f>VLOOKUP(J4602, Dropdowns!N:O, 2, FALSE)</f>
        <v>Lower Price</v>
      </c>
      <c r="J4602" t="s">
        <v>759</v>
      </c>
      <c r="L4602" s="17" t="s">
        <v>733</v>
      </c>
      <c r="M4602" s="17" t="s">
        <v>11</v>
      </c>
      <c r="N4602" s="17" t="s">
        <v>740</v>
      </c>
    </row>
    <row r="4603" spans="1:14" x14ac:dyDescent="0.25">
      <c r="A4603" s="8">
        <v>984621</v>
      </c>
      <c r="B4603" s="22" t="str">
        <f>IFERROR(VLOOKUP(A4603,VLOOKUPS!$A$2:B$12589,2,FALSE),"")</f>
        <v>Raspberries 12oz-standard</v>
      </c>
      <c r="E4603">
        <v>3.29</v>
      </c>
      <c r="F4603">
        <v>5.48</v>
      </c>
      <c r="G4603" s="13">
        <v>44722</v>
      </c>
      <c r="H4603" s="13"/>
      <c r="I4603" s="22" t="str">
        <f>VLOOKUP(J4603, Dropdowns!N:O, 2, FALSE)</f>
        <v>Standard</v>
      </c>
      <c r="J4603" t="s">
        <v>760</v>
      </c>
      <c r="L4603" s="17" t="s">
        <v>733</v>
      </c>
      <c r="M4603" s="17" t="s">
        <v>11</v>
      </c>
      <c r="N4603" s="17" t="s">
        <v>740</v>
      </c>
    </row>
    <row r="4604" spans="1:14" x14ac:dyDescent="0.25">
      <c r="A4604" s="8">
        <v>984700</v>
      </c>
      <c r="B4604" s="22" t="str">
        <f>IFERROR(VLOOKUP(A4604,VLOOKUPS!$A$2:B$12589,2,FALSE),"")</f>
        <v>Blackberries 6oz-standard</v>
      </c>
      <c r="G4604" s="13">
        <v>44720</v>
      </c>
      <c r="H4604" s="13">
        <v>44726</v>
      </c>
      <c r="I4604" s="22" t="str">
        <f>VLOOKUP(J4604, Dropdowns!N:O, 2, FALSE)</f>
        <v>Lower Price</v>
      </c>
      <c r="J4604" t="s">
        <v>753</v>
      </c>
      <c r="L4604" s="17" t="s">
        <v>732</v>
      </c>
      <c r="M4604" s="17" t="s">
        <v>736</v>
      </c>
      <c r="N4604" s="17" t="s">
        <v>736</v>
      </c>
    </row>
    <row r="4605" spans="1:14" x14ac:dyDescent="0.25">
      <c r="A4605" s="8">
        <v>985160</v>
      </c>
      <c r="B4605" s="22" t="str">
        <f>IFERROR(VLOOKUP(A4605,VLOOKUPS!$A$2:B$12589,2,FALSE),"")</f>
        <v>Romaine Hearts 3ct-standard</v>
      </c>
      <c r="E4605">
        <v>3.56</v>
      </c>
      <c r="F4605">
        <v>2.14</v>
      </c>
      <c r="G4605" s="13">
        <v>44720</v>
      </c>
      <c r="H4605" s="13">
        <v>44721</v>
      </c>
      <c r="I4605" s="22" t="str">
        <f>VLOOKUP(J4605, Dropdowns!N:O, 2, FALSE)</f>
        <v>Lower Price</v>
      </c>
      <c r="J4605" t="s">
        <v>759</v>
      </c>
      <c r="L4605" s="17" t="s">
        <v>734</v>
      </c>
      <c r="M4605" s="17" t="s">
        <v>9</v>
      </c>
      <c r="N4605" s="17" t="s">
        <v>736</v>
      </c>
    </row>
    <row r="4606" spans="1:14" x14ac:dyDescent="0.25">
      <c r="A4606" s="8">
        <v>985160</v>
      </c>
      <c r="B4606" s="22" t="str">
        <f>IFERROR(VLOOKUP(A4606,VLOOKUPS!$A$2:B$12589,2,FALSE),"")</f>
        <v>Romaine Hearts 3ct-standard</v>
      </c>
      <c r="E4606">
        <v>2.79</v>
      </c>
      <c r="F4606">
        <v>1.67</v>
      </c>
      <c r="G4606" s="13">
        <v>44720</v>
      </c>
      <c r="H4606" s="13">
        <v>44721</v>
      </c>
      <c r="I4606" s="22" t="str">
        <f>VLOOKUP(J4606, Dropdowns!N:O, 2, FALSE)</f>
        <v>Lower Price</v>
      </c>
      <c r="J4606" t="s">
        <v>759</v>
      </c>
      <c r="L4606" s="17" t="s">
        <v>733</v>
      </c>
      <c r="M4606" s="17" t="s">
        <v>9</v>
      </c>
      <c r="N4606" s="17" t="s">
        <v>740</v>
      </c>
    </row>
    <row r="4607" spans="1:14" x14ac:dyDescent="0.25">
      <c r="A4607" s="8">
        <v>985160</v>
      </c>
      <c r="B4607" s="22" t="str">
        <f>IFERROR(VLOOKUP(A4607,VLOOKUPS!$A$2:B$12589,2,FALSE),"")</f>
        <v>Romaine Hearts 3ct-standard</v>
      </c>
      <c r="E4607">
        <v>2.14</v>
      </c>
      <c r="F4607">
        <v>3.56</v>
      </c>
      <c r="G4607" s="13">
        <v>44722</v>
      </c>
      <c r="H4607" s="13"/>
      <c r="I4607" s="22" t="str">
        <f>VLOOKUP(J4607, Dropdowns!N:O, 2, FALSE)</f>
        <v>Standard</v>
      </c>
      <c r="J4607" t="s">
        <v>760</v>
      </c>
      <c r="L4607" s="17" t="s">
        <v>734</v>
      </c>
      <c r="M4607" s="17" t="s">
        <v>9</v>
      </c>
      <c r="N4607" s="17" t="s">
        <v>736</v>
      </c>
    </row>
    <row r="4608" spans="1:14" x14ac:dyDescent="0.25">
      <c r="A4608" s="8">
        <v>985160</v>
      </c>
      <c r="B4608" s="22" t="str">
        <f>IFERROR(VLOOKUP(A4608,VLOOKUPS!$A$2:B$12589,2,FALSE),"")</f>
        <v>Romaine Hearts 3ct-standard</v>
      </c>
      <c r="E4608">
        <v>1.67</v>
      </c>
      <c r="F4608">
        <v>2.79</v>
      </c>
      <c r="G4608" s="13">
        <v>44722</v>
      </c>
      <c r="H4608" s="13"/>
      <c r="I4608" s="22" t="str">
        <f>VLOOKUP(J4608, Dropdowns!N:O, 2, FALSE)</f>
        <v>Standard</v>
      </c>
      <c r="J4608" t="s">
        <v>760</v>
      </c>
      <c r="L4608" s="17" t="s">
        <v>733</v>
      </c>
      <c r="M4608" s="17" t="s">
        <v>9</v>
      </c>
      <c r="N4608" s="17" t="s">
        <v>740</v>
      </c>
    </row>
    <row r="4609" spans="1:17" x14ac:dyDescent="0.25">
      <c r="A4609" s="8">
        <v>986250</v>
      </c>
      <c r="B4609" s="22" t="str">
        <f>IFERROR(VLOOKUP(A4609,VLOOKUPS!$A$2:B$12589,2,FALSE),"")</f>
        <v>French Beans 1lb-standard</v>
      </c>
      <c r="E4609">
        <v>2.99</v>
      </c>
      <c r="F4609">
        <v>1.79</v>
      </c>
      <c r="G4609" s="13">
        <v>44720</v>
      </c>
      <c r="H4609" s="13">
        <v>44721</v>
      </c>
      <c r="I4609" s="22" t="str">
        <f>VLOOKUP(J4609, Dropdowns!N:O, 2, FALSE)</f>
        <v>Lower Price</v>
      </c>
      <c r="J4609" t="s">
        <v>759</v>
      </c>
      <c r="L4609" s="17" t="s">
        <v>732</v>
      </c>
      <c r="M4609" s="17" t="s">
        <v>9</v>
      </c>
      <c r="N4609" s="17" t="s">
        <v>736</v>
      </c>
    </row>
    <row r="4610" spans="1:17" x14ac:dyDescent="0.25">
      <c r="A4610" s="8">
        <v>986250</v>
      </c>
      <c r="B4610" s="22" t="str">
        <f>IFERROR(VLOOKUP(A4610,VLOOKUPS!$A$2:B$12589,2,FALSE),"")</f>
        <v>French Beans 1lb-standard</v>
      </c>
      <c r="E4610">
        <v>1.79</v>
      </c>
      <c r="F4610">
        <v>2.99</v>
      </c>
      <c r="G4610" s="13">
        <v>44722</v>
      </c>
      <c r="H4610" s="13"/>
      <c r="I4610" s="22" t="str">
        <f>VLOOKUP(J4610, Dropdowns!N:O, 2, FALSE)</f>
        <v>Standard</v>
      </c>
      <c r="J4610" t="s">
        <v>760</v>
      </c>
      <c r="L4610" s="17" t="s">
        <v>732</v>
      </c>
      <c r="M4610" s="17" t="s">
        <v>9</v>
      </c>
      <c r="N4610" s="17" t="s">
        <v>736</v>
      </c>
    </row>
    <row r="4611" spans="1:17" x14ac:dyDescent="0.25">
      <c r="A4611" s="8">
        <v>987560</v>
      </c>
      <c r="B4611" s="22" t="str">
        <f>IFERROR(VLOOKUP(A4611,VLOOKUPS!$A$2:B$12589,2,FALSE),"")</f>
        <v>Celery 1ct-standard</v>
      </c>
      <c r="E4611">
        <v>1.89</v>
      </c>
      <c r="F4611">
        <v>1.1299999999999999</v>
      </c>
      <c r="G4611" s="13">
        <v>44720</v>
      </c>
      <c r="H4611" s="13">
        <v>44721</v>
      </c>
      <c r="I4611" s="22" t="str">
        <f>VLOOKUP(J4611, Dropdowns!N:O, 2, FALSE)</f>
        <v>Lower Price</v>
      </c>
      <c r="J4611" t="s">
        <v>759</v>
      </c>
      <c r="L4611" s="17" t="s">
        <v>734</v>
      </c>
      <c r="M4611" s="17" t="s">
        <v>9</v>
      </c>
      <c r="N4611" s="17" t="s">
        <v>736</v>
      </c>
    </row>
    <row r="4612" spans="1:17" x14ac:dyDescent="0.25">
      <c r="A4612" s="8">
        <v>987560</v>
      </c>
      <c r="B4612" s="22" t="str">
        <f>IFERROR(VLOOKUP(A4612,VLOOKUPS!$A$2:B$12589,2,FALSE),"")</f>
        <v>Celery 1ct-standard</v>
      </c>
      <c r="E4612">
        <v>1.74</v>
      </c>
      <c r="F4612">
        <v>1.04</v>
      </c>
      <c r="G4612" s="13">
        <v>44720</v>
      </c>
      <c r="H4612" s="13">
        <v>44721</v>
      </c>
      <c r="I4612" s="22" t="str">
        <f>VLOOKUP(J4612, Dropdowns!N:O, 2, FALSE)</f>
        <v>Lower Price</v>
      </c>
      <c r="J4612" t="s">
        <v>759</v>
      </c>
      <c r="L4612" s="17" t="s">
        <v>733</v>
      </c>
      <c r="M4612" s="17" t="s">
        <v>9</v>
      </c>
      <c r="N4612" s="17" t="s">
        <v>740</v>
      </c>
    </row>
    <row r="4613" spans="1:17" x14ac:dyDescent="0.25">
      <c r="A4613" s="8">
        <v>987560</v>
      </c>
      <c r="B4613" s="22" t="str">
        <f>IFERROR(VLOOKUP(A4613,VLOOKUPS!$A$2:B$12589,2,FALSE),"")</f>
        <v>Celery 1ct-standard</v>
      </c>
      <c r="E4613">
        <v>1.1299999999999999</v>
      </c>
      <c r="F4613">
        <v>1.89</v>
      </c>
      <c r="G4613" s="13">
        <v>44722</v>
      </c>
      <c r="H4613" s="13"/>
      <c r="I4613" s="22" t="str">
        <f>VLOOKUP(J4613, Dropdowns!N:O, 2, FALSE)</f>
        <v>Standard</v>
      </c>
      <c r="J4613" t="s">
        <v>760</v>
      </c>
      <c r="L4613" s="17" t="s">
        <v>734</v>
      </c>
      <c r="M4613" s="17" t="s">
        <v>9</v>
      </c>
      <c r="N4613" s="17" t="s">
        <v>736</v>
      </c>
    </row>
    <row r="4614" spans="1:17" x14ac:dyDescent="0.25">
      <c r="A4614" s="8">
        <v>987560</v>
      </c>
      <c r="B4614" s="22" t="str">
        <f>IFERROR(VLOOKUP(A4614,VLOOKUPS!$A$2:B$12589,2,FALSE),"")</f>
        <v>Celery 1ct-standard</v>
      </c>
      <c r="E4614">
        <v>1.04</v>
      </c>
      <c r="F4614">
        <v>1.74</v>
      </c>
      <c r="G4614" s="13">
        <v>44722</v>
      </c>
      <c r="H4614" s="13"/>
      <c r="I4614" s="22" t="str">
        <f>VLOOKUP(J4614, Dropdowns!N:O, 2, FALSE)</f>
        <v>Standard</v>
      </c>
      <c r="J4614" t="s">
        <v>760</v>
      </c>
      <c r="L4614" s="17" t="s">
        <v>733</v>
      </c>
      <c r="M4614" s="17" t="s">
        <v>9</v>
      </c>
      <c r="N4614" s="17" t="s">
        <v>740</v>
      </c>
    </row>
    <row r="4615" spans="1:17" x14ac:dyDescent="0.25">
      <c r="A4615" s="8">
        <v>988571</v>
      </c>
      <c r="B4615" s="22" t="str">
        <f>IFERROR(VLOOKUP(A4615,VLOOKUPS!$A$2:B$12589,2,FALSE),"")</f>
        <v>Cauliflower* 1ct-LOOSE</v>
      </c>
      <c r="E4615">
        <v>2.99</v>
      </c>
      <c r="F4615">
        <v>1.79</v>
      </c>
      <c r="G4615" s="13">
        <v>44720</v>
      </c>
      <c r="H4615" s="13">
        <v>44721</v>
      </c>
      <c r="I4615" s="22" t="str">
        <f>VLOOKUP(J4615, Dropdowns!N:O, 2, FALSE)</f>
        <v>Lower Price</v>
      </c>
      <c r="J4615" t="s">
        <v>759</v>
      </c>
      <c r="L4615" s="17" t="s">
        <v>734</v>
      </c>
      <c r="M4615" s="17" t="s">
        <v>9</v>
      </c>
      <c r="N4615" s="17" t="s">
        <v>736</v>
      </c>
    </row>
    <row r="4616" spans="1:17" x14ac:dyDescent="0.25">
      <c r="A4616" s="8">
        <v>988571</v>
      </c>
      <c r="B4616" s="22" t="str">
        <f>IFERROR(VLOOKUP(A4616,VLOOKUPS!$A$2:B$12589,2,FALSE),"")</f>
        <v>Cauliflower* 1ct-LOOSE</v>
      </c>
      <c r="E4616">
        <v>2.69</v>
      </c>
      <c r="F4616">
        <v>1.61</v>
      </c>
      <c r="G4616" s="13">
        <v>44720</v>
      </c>
      <c r="H4616" s="13">
        <v>44721</v>
      </c>
      <c r="I4616" s="22" t="str">
        <f>VLOOKUP(J4616, Dropdowns!N:O, 2, FALSE)</f>
        <v>Lower Price</v>
      </c>
      <c r="J4616" t="s">
        <v>759</v>
      </c>
      <c r="L4616" s="17" t="s">
        <v>733</v>
      </c>
      <c r="M4616" s="17" t="s">
        <v>9</v>
      </c>
      <c r="N4616" s="17" t="s">
        <v>740</v>
      </c>
    </row>
    <row r="4617" spans="1:17" x14ac:dyDescent="0.25">
      <c r="A4617" s="8">
        <v>988571</v>
      </c>
      <c r="B4617" s="22" t="str">
        <f>IFERROR(VLOOKUP(A4617,VLOOKUPS!$A$2:B$12589,2,FALSE),"")</f>
        <v>Cauliflower* 1ct-LOOSE</v>
      </c>
      <c r="E4617">
        <v>1.79</v>
      </c>
      <c r="F4617">
        <v>2.99</v>
      </c>
      <c r="G4617" s="13">
        <v>44722</v>
      </c>
      <c r="H4617" s="13"/>
      <c r="I4617" s="22" t="str">
        <f>VLOOKUP(J4617, Dropdowns!N:O, 2, FALSE)</f>
        <v>Standard</v>
      </c>
      <c r="J4617" t="s">
        <v>760</v>
      </c>
      <c r="L4617" s="17" t="s">
        <v>734</v>
      </c>
      <c r="M4617" s="17" t="s">
        <v>9</v>
      </c>
      <c r="N4617" s="17" t="s">
        <v>736</v>
      </c>
    </row>
    <row r="4618" spans="1:17" x14ac:dyDescent="0.25">
      <c r="A4618" s="8">
        <v>988571</v>
      </c>
      <c r="B4618" s="22" t="str">
        <f>IFERROR(VLOOKUP(A4618,VLOOKUPS!$A$2:B$12589,2,FALSE),"")</f>
        <v>Cauliflower* 1ct-LOOSE</v>
      </c>
      <c r="E4618">
        <v>1.61</v>
      </c>
      <c r="F4618">
        <v>2.69</v>
      </c>
      <c r="G4618" s="13">
        <v>44722</v>
      </c>
      <c r="H4618" s="13"/>
      <c r="I4618" s="22" t="str">
        <f>VLOOKUP(J4618, Dropdowns!N:O, 2, FALSE)</f>
        <v>Standard</v>
      </c>
      <c r="J4618" t="s">
        <v>760</v>
      </c>
      <c r="L4618" s="17" t="s">
        <v>733</v>
      </c>
      <c r="M4618" s="17" t="s">
        <v>9</v>
      </c>
      <c r="N4618" s="17" t="s">
        <v>740</v>
      </c>
    </row>
    <row r="4619" spans="1:17" x14ac:dyDescent="0.25">
      <c r="A4619" s="8">
        <v>995085</v>
      </c>
      <c r="B4619" s="22" t="str">
        <f>IFERROR(VLOOKUP(A4619,VLOOKUPS!$A$2:B$12589,2,FALSE),"")</f>
        <v>Sugar Snap Peas 8oz-standard</v>
      </c>
      <c r="E4619">
        <v>2.78</v>
      </c>
      <c r="F4619">
        <v>1.67</v>
      </c>
      <c r="G4619" s="13">
        <v>44720</v>
      </c>
      <c r="H4619" s="13">
        <v>44721</v>
      </c>
      <c r="I4619" s="22" t="str">
        <f>VLOOKUP(J4619, Dropdowns!N:O, 2, FALSE)</f>
        <v>Lower Price</v>
      </c>
      <c r="J4619" t="s">
        <v>759</v>
      </c>
      <c r="L4619" s="17" t="s">
        <v>733</v>
      </c>
      <c r="M4619" s="17" t="s">
        <v>738</v>
      </c>
      <c r="N4619" s="17" t="s">
        <v>740</v>
      </c>
    </row>
    <row r="4620" spans="1:17" x14ac:dyDescent="0.25">
      <c r="A4620" s="8">
        <v>995085</v>
      </c>
      <c r="B4620" s="22" t="str">
        <f>IFERROR(VLOOKUP(A4620,VLOOKUPS!$A$2:B$12589,2,FALSE),"")</f>
        <v>Sugar Snap Peas 8oz-standard</v>
      </c>
      <c r="E4620">
        <v>1.67</v>
      </c>
      <c r="F4620">
        <v>2.78</v>
      </c>
      <c r="G4620" s="13">
        <v>44722</v>
      </c>
      <c r="H4620" s="13"/>
      <c r="I4620" s="22" t="str">
        <f>VLOOKUP(J4620, Dropdowns!N:O, 2, FALSE)</f>
        <v>Standard</v>
      </c>
      <c r="J4620" t="s">
        <v>760</v>
      </c>
      <c r="L4620" s="17" t="s">
        <v>733</v>
      </c>
      <c r="M4620" s="17" t="s">
        <v>738</v>
      </c>
      <c r="N4620" s="17" t="s">
        <v>740</v>
      </c>
    </row>
    <row r="4621" spans="1:17" x14ac:dyDescent="0.25">
      <c r="A4621" s="8">
        <v>995085</v>
      </c>
      <c r="B4621" s="22" t="str">
        <f>IFERROR(VLOOKUP(A4621,VLOOKUPS!$A$2:B$12589,2,FALSE),"")</f>
        <v>Sugar Snap Peas 8oz-standard</v>
      </c>
      <c r="E4621">
        <v>2.68</v>
      </c>
      <c r="F4621">
        <v>2.78</v>
      </c>
      <c r="G4621" s="13">
        <v>44723</v>
      </c>
      <c r="H4621" s="13"/>
      <c r="I4621" s="22" t="str">
        <f>VLOOKUP(J4621, Dropdowns!N:O, 2, FALSE)</f>
        <v>Standard</v>
      </c>
      <c r="J4621" t="s">
        <v>761</v>
      </c>
      <c r="L4621" s="17" t="s">
        <v>734</v>
      </c>
      <c r="M4621" s="17" t="s">
        <v>10</v>
      </c>
      <c r="N4621" s="17">
        <v>2</v>
      </c>
    </row>
    <row r="4622" spans="1:17" x14ac:dyDescent="0.25">
      <c r="A4622" s="8">
        <v>995145</v>
      </c>
      <c r="B4622" s="22" t="str">
        <f>IFERROR(VLOOKUP(A4622,VLOOKUPS!$A$2:B$12589,2,FALSE),"")</f>
        <v>Mango Spears 32oz-standard</v>
      </c>
      <c r="D4622">
        <v>6</v>
      </c>
      <c r="F4622">
        <v>10.49</v>
      </c>
      <c r="G4622" s="13">
        <v>44721</v>
      </c>
      <c r="H4622" s="13"/>
      <c r="I4622" s="22" t="str">
        <f>VLOOKUP(J4622, Dropdowns!N:O, 2, FALSE)</f>
        <v>New</v>
      </c>
      <c r="J4622" t="s">
        <v>776</v>
      </c>
      <c r="L4622" s="17" t="s">
        <v>732</v>
      </c>
      <c r="M4622" s="17" t="s">
        <v>735</v>
      </c>
      <c r="N4622" s="17" t="s">
        <v>736</v>
      </c>
      <c r="O4622" s="17" t="s">
        <v>748</v>
      </c>
      <c r="P4622">
        <v>1</v>
      </c>
      <c r="Q4622" s="17" t="s">
        <v>1044</v>
      </c>
    </row>
    <row r="4623" spans="1:17" x14ac:dyDescent="0.25">
      <c r="A4623" s="8">
        <v>995192</v>
      </c>
      <c r="B4623" s="22" t="str">
        <f>IFERROR(VLOOKUP(A4623,VLOOKUPS!$A$2:B$12589,2,FALSE),"")</f>
        <v>Green Beans 32oz-standard</v>
      </c>
      <c r="E4623">
        <v>6.18</v>
      </c>
      <c r="F4623">
        <v>3.71</v>
      </c>
      <c r="G4623" s="13">
        <v>44720</v>
      </c>
      <c r="H4623" s="13">
        <v>44721</v>
      </c>
      <c r="I4623" s="22" t="str">
        <f>VLOOKUP(J4623, Dropdowns!N:O, 2, FALSE)</f>
        <v>Lower Price</v>
      </c>
      <c r="J4623" t="s">
        <v>759</v>
      </c>
      <c r="L4623" s="17" t="s">
        <v>733</v>
      </c>
      <c r="M4623" s="17" t="s">
        <v>737</v>
      </c>
      <c r="N4623" s="17" t="s">
        <v>740</v>
      </c>
    </row>
    <row r="4624" spans="1:17" x14ac:dyDescent="0.25">
      <c r="A4624" s="8">
        <v>995192</v>
      </c>
      <c r="B4624" s="22" t="str">
        <f>IFERROR(VLOOKUP(A4624,VLOOKUPS!$A$2:B$12589,2,FALSE),"")</f>
        <v>Green Beans 32oz-standard</v>
      </c>
      <c r="E4624">
        <v>3.71</v>
      </c>
      <c r="F4624">
        <v>6.18</v>
      </c>
      <c r="G4624" s="13">
        <v>44722</v>
      </c>
      <c r="H4624" s="13"/>
      <c r="I4624" s="22" t="str">
        <f>VLOOKUP(J4624, Dropdowns!N:O, 2, FALSE)</f>
        <v>Standard</v>
      </c>
      <c r="J4624" t="s">
        <v>760</v>
      </c>
      <c r="L4624" s="17" t="s">
        <v>733</v>
      </c>
      <c r="M4624" s="17" t="s">
        <v>737</v>
      </c>
      <c r="N4624" s="17" t="s">
        <v>740</v>
      </c>
    </row>
    <row r="4625" spans="1:14" x14ac:dyDescent="0.25">
      <c r="A4625" s="8">
        <v>984620</v>
      </c>
      <c r="B4625" s="22" t="str">
        <f>IFERROR(VLOOKUP(A4625,VLOOKUPS!$A$2:B$12589,2,FALSE),"")</f>
        <v>Raspberries 6oz-standard</v>
      </c>
      <c r="G4625" s="13">
        <v>44720</v>
      </c>
      <c r="H4625" s="13">
        <v>44722</v>
      </c>
      <c r="I4625" s="22" t="str">
        <f>VLOOKUP(J4625, Dropdowns!N:O, 2, FALSE)</f>
        <v>Lower Price</v>
      </c>
      <c r="J4625" t="s">
        <v>1081</v>
      </c>
      <c r="L4625" s="17" t="s">
        <v>732</v>
      </c>
      <c r="M4625" s="17" t="s">
        <v>10</v>
      </c>
      <c r="N4625" s="17">
        <v>2</v>
      </c>
    </row>
    <row r="4626" spans="1:14" x14ac:dyDescent="0.25">
      <c r="A4626" s="8">
        <v>988620</v>
      </c>
      <c r="B4626" s="22" t="str">
        <f>IFERROR(VLOOKUP(A4626,VLOOKUPS!$A$2:B$12589,2,FALSE),"")</f>
        <v>Brussels Sprouts 1lb-standard</v>
      </c>
      <c r="G4626" s="13">
        <v>44720</v>
      </c>
      <c r="H4626" s="13">
        <v>44722</v>
      </c>
      <c r="I4626" s="22" t="str">
        <f>VLOOKUP(J4626, Dropdowns!N:O, 2, FALSE)</f>
        <v>Lower Price</v>
      </c>
      <c r="J4626" t="s">
        <v>1081</v>
      </c>
      <c r="L4626" s="17" t="s">
        <v>733</v>
      </c>
      <c r="M4626" s="17" t="s">
        <v>11</v>
      </c>
      <c r="N4626" s="17" t="s">
        <v>740</v>
      </c>
    </row>
    <row r="4627" spans="1:14" x14ac:dyDescent="0.25">
      <c r="A4627" s="8">
        <v>984541</v>
      </c>
      <c r="B4627" s="22" t="str">
        <f>IFERROR(VLOOKUP(A4627,VLOOKUPS!$A$2:B$12589,2,FALSE),"")</f>
        <v>Blueberries 1pt-standard</v>
      </c>
      <c r="E4627">
        <v>2.69</v>
      </c>
      <c r="F4627">
        <v>3.69</v>
      </c>
      <c r="G4627" s="13">
        <v>44720</v>
      </c>
      <c r="H4627" s="13"/>
      <c r="I4627" s="22" t="str">
        <f>VLOOKUP(J4627, Dropdowns!N:O, 2, FALSE)</f>
        <v>Standard</v>
      </c>
      <c r="J4627" t="s">
        <v>760</v>
      </c>
      <c r="L4627" s="17" t="s">
        <v>732</v>
      </c>
      <c r="M4627" s="17" t="s">
        <v>9</v>
      </c>
      <c r="N4627" s="17" t="s">
        <v>736</v>
      </c>
    </row>
    <row r="4628" spans="1:14" x14ac:dyDescent="0.25">
      <c r="A4628" s="8">
        <v>984541</v>
      </c>
      <c r="B4628" s="22" t="str">
        <f>IFERROR(VLOOKUP(A4628,VLOOKUPS!$A$2:B$12589,2,FALSE),"")</f>
        <v>Blueberries 1pt-standard</v>
      </c>
      <c r="E4628">
        <v>2.4900000000000002</v>
      </c>
      <c r="F4628">
        <v>3.69</v>
      </c>
      <c r="G4628" s="13">
        <v>44720</v>
      </c>
      <c r="H4628" s="13"/>
      <c r="I4628" s="22" t="str">
        <f>VLOOKUP(J4628, Dropdowns!N:O, 2, FALSE)</f>
        <v>Standard</v>
      </c>
      <c r="J4628" t="s">
        <v>760</v>
      </c>
      <c r="L4628" s="17" t="s">
        <v>733</v>
      </c>
      <c r="M4628" s="17" t="s">
        <v>11</v>
      </c>
      <c r="N4628" s="17" t="s">
        <v>740</v>
      </c>
    </row>
    <row r="4629" spans="1:14" x14ac:dyDescent="0.25">
      <c r="A4629" s="8">
        <v>988620</v>
      </c>
      <c r="B4629" s="22" t="str">
        <f>IFERROR(VLOOKUP(A4629,VLOOKUPS!$A$2:B$12589,2,FALSE),"")</f>
        <v>Brussels Sprouts 1lb-standard</v>
      </c>
      <c r="E4629">
        <v>1.39</v>
      </c>
      <c r="F4629">
        <v>2.98</v>
      </c>
      <c r="G4629" s="13">
        <v>44720</v>
      </c>
      <c r="H4629" s="13"/>
      <c r="I4629" s="22" t="str">
        <f>VLOOKUP(J4629, Dropdowns!N:O, 2, FALSE)</f>
        <v>Standard</v>
      </c>
      <c r="J4629" t="s">
        <v>760</v>
      </c>
      <c r="L4629" s="17" t="s">
        <v>732</v>
      </c>
      <c r="M4629" s="17" t="s">
        <v>735</v>
      </c>
      <c r="N4629" s="17" t="s">
        <v>736</v>
      </c>
    </row>
    <row r="4630" spans="1:14" x14ac:dyDescent="0.25">
      <c r="A4630" s="8">
        <v>984541</v>
      </c>
      <c r="B4630" s="22" t="str">
        <f>IFERROR(VLOOKUP(A4630,VLOOKUPS!$A$2:B$12589,2,FALSE),"")</f>
        <v>Blueberries 1pt-standard</v>
      </c>
      <c r="E4630">
        <v>3.69</v>
      </c>
      <c r="F4630">
        <v>3.99</v>
      </c>
      <c r="G4630" s="13">
        <v>44721</v>
      </c>
      <c r="H4630" s="13"/>
      <c r="I4630" s="22" t="str">
        <f>VLOOKUP(J4630, Dropdowns!N:O, 2, FALSE)</f>
        <v>Standard</v>
      </c>
      <c r="J4630" t="s">
        <v>761</v>
      </c>
      <c r="L4630" s="17" t="s">
        <v>734</v>
      </c>
      <c r="M4630" s="17" t="s">
        <v>9</v>
      </c>
      <c r="N4630" s="17" t="s">
        <v>736</v>
      </c>
    </row>
    <row r="4631" spans="1:14" x14ac:dyDescent="0.25">
      <c r="A4631" s="8">
        <v>988620</v>
      </c>
      <c r="B4631" s="22" t="str">
        <f>IFERROR(VLOOKUP(A4631,VLOOKUPS!$A$2:B$12589,2,FALSE),"")</f>
        <v>Brussels Sprouts 1lb-standard</v>
      </c>
      <c r="E4631">
        <v>2.98</v>
      </c>
      <c r="F4631">
        <v>2.89</v>
      </c>
      <c r="G4631" s="13">
        <v>44721</v>
      </c>
      <c r="H4631" s="13"/>
      <c r="I4631" s="22" t="str">
        <f>VLOOKUP(J4631, Dropdowns!N:O, 2, FALSE)</f>
        <v>Standard</v>
      </c>
      <c r="J4631" t="s">
        <v>761</v>
      </c>
      <c r="L4631" s="17" t="s">
        <v>732</v>
      </c>
      <c r="M4631" s="17" t="s">
        <v>735</v>
      </c>
      <c r="N4631" s="17" t="s">
        <v>736</v>
      </c>
    </row>
    <row r="4632" spans="1:14" x14ac:dyDescent="0.25">
      <c r="A4632" s="8">
        <v>989084</v>
      </c>
      <c r="B4632" s="22" t="str">
        <f>IFERROR(VLOOKUP(A4632,VLOOKUPS!$A$2:B$12589,2,FALSE),"")</f>
        <v>Basil 2oz-standard</v>
      </c>
      <c r="E4632">
        <v>3.49</v>
      </c>
      <c r="F4632">
        <v>2.79</v>
      </c>
      <c r="G4632" s="13">
        <v>44720</v>
      </c>
      <c r="H4632" s="13">
        <v>44721</v>
      </c>
      <c r="I4632" s="22" t="str">
        <f>VLOOKUP(J4632, Dropdowns!N:O, 2, FALSE)</f>
        <v>Lower Price</v>
      </c>
      <c r="J4632" t="s">
        <v>759</v>
      </c>
      <c r="L4632" s="17" t="s">
        <v>732</v>
      </c>
      <c r="M4632" s="17" t="s">
        <v>738</v>
      </c>
      <c r="N4632" s="17">
        <v>2</v>
      </c>
    </row>
    <row r="4633" spans="1:14" x14ac:dyDescent="0.25">
      <c r="A4633" s="8">
        <v>989084</v>
      </c>
      <c r="B4633" s="22" t="str">
        <f>IFERROR(VLOOKUP(A4633,VLOOKUPS!$A$2:B$12589,2,FALSE),"")</f>
        <v>Basil 2oz-standard</v>
      </c>
      <c r="E4633">
        <v>2.79</v>
      </c>
      <c r="F4633">
        <v>3.49</v>
      </c>
      <c r="G4633" s="13">
        <v>44722</v>
      </c>
      <c r="H4633" s="13"/>
      <c r="I4633" s="22" t="str">
        <f>VLOOKUP(J4633, Dropdowns!N:O, 2, FALSE)</f>
        <v>Standard</v>
      </c>
      <c r="J4633" t="s">
        <v>760</v>
      </c>
      <c r="L4633" s="17" t="s">
        <v>732</v>
      </c>
      <c r="M4633" s="17" t="s">
        <v>738</v>
      </c>
      <c r="N4633" s="17">
        <v>2</v>
      </c>
    </row>
    <row r="4634" spans="1:14" x14ac:dyDescent="0.25">
      <c r="A4634" s="8">
        <v>984541</v>
      </c>
      <c r="B4634" s="22" t="str">
        <f>IFERROR(VLOOKUP(A4634,VLOOKUPS!$A$2:B$12589,2,FALSE),"")</f>
        <v>Blueberries 1pt-standard</v>
      </c>
      <c r="E4634">
        <v>3.69</v>
      </c>
      <c r="F4634">
        <v>3.38</v>
      </c>
      <c r="G4634" s="13">
        <v>44721</v>
      </c>
      <c r="H4634" s="13"/>
      <c r="I4634" s="22" t="str">
        <f>VLOOKUP(J4634, Dropdowns!N:O, 2, FALSE)</f>
        <v>Standard</v>
      </c>
      <c r="J4634" t="s">
        <v>761</v>
      </c>
      <c r="L4634" s="17" t="s">
        <v>733</v>
      </c>
      <c r="M4634" s="17" t="s">
        <v>736</v>
      </c>
      <c r="N4634" s="17" t="s">
        <v>740</v>
      </c>
    </row>
    <row r="4635" spans="1:14" x14ac:dyDescent="0.25">
      <c r="A4635" s="8">
        <v>984542</v>
      </c>
      <c r="B4635" s="22" t="str">
        <f>IFERROR(VLOOKUP(A4635,VLOOKUPS!$A$2:B$12589,2,FALSE),"")</f>
        <v>Blueberries 18oz-standard</v>
      </c>
      <c r="E4635">
        <v>5.28</v>
      </c>
      <c r="F4635">
        <v>5.09</v>
      </c>
      <c r="G4635" s="13">
        <v>44721</v>
      </c>
      <c r="H4635" s="13"/>
      <c r="I4635" s="22" t="str">
        <f>VLOOKUP(J4635, Dropdowns!N:O, 2, FALSE)</f>
        <v>Standard</v>
      </c>
      <c r="J4635" t="s">
        <v>761</v>
      </c>
      <c r="L4635" s="17" t="s">
        <v>733</v>
      </c>
      <c r="M4635" s="17" t="s">
        <v>736</v>
      </c>
      <c r="N4635" s="17" t="s">
        <v>740</v>
      </c>
    </row>
    <row r="4636" spans="1:14" x14ac:dyDescent="0.25">
      <c r="A4636" s="8">
        <v>984541</v>
      </c>
      <c r="B4636" s="22" t="str">
        <f>IFERROR(VLOOKUP(A4636,VLOOKUPS!$A$2:B$12589,2,FALSE),"")</f>
        <v>Blueberries 1pt-standard</v>
      </c>
      <c r="E4636">
        <v>3.69</v>
      </c>
      <c r="F4636">
        <v>3.38</v>
      </c>
      <c r="G4636" s="13">
        <v>44721</v>
      </c>
      <c r="H4636" s="13"/>
      <c r="I4636" s="22" t="str">
        <f>VLOOKUP(J4636, Dropdowns!N:O, 2, FALSE)</f>
        <v>Standard</v>
      </c>
      <c r="J4636" t="s">
        <v>761</v>
      </c>
      <c r="L4636" s="17" t="s">
        <v>734</v>
      </c>
      <c r="M4636" s="17" t="s">
        <v>10</v>
      </c>
      <c r="N4636" s="17">
        <v>2</v>
      </c>
    </row>
    <row r="4637" spans="1:14" x14ac:dyDescent="0.25">
      <c r="A4637" s="8">
        <v>984542</v>
      </c>
      <c r="B4637" s="22" t="str">
        <f>IFERROR(VLOOKUP(A4637,VLOOKUPS!$A$2:B$12589,2,FALSE),"")</f>
        <v>Blueberries 18oz-standard</v>
      </c>
      <c r="E4637">
        <v>5.28</v>
      </c>
      <c r="F4637">
        <v>5.09</v>
      </c>
      <c r="G4637" s="13">
        <v>44721</v>
      </c>
      <c r="H4637" s="13"/>
      <c r="I4637" s="22" t="str">
        <f>VLOOKUP(J4637, Dropdowns!N:O, 2, FALSE)</f>
        <v>Standard</v>
      </c>
      <c r="J4637" t="s">
        <v>761</v>
      </c>
      <c r="L4637" s="17" t="s">
        <v>734</v>
      </c>
      <c r="M4637" s="17" t="s">
        <v>10</v>
      </c>
      <c r="N4637" s="17">
        <v>2</v>
      </c>
    </row>
    <row r="4638" spans="1:14" x14ac:dyDescent="0.25">
      <c r="A4638" s="8">
        <v>995014</v>
      </c>
      <c r="B4638" s="22" t="str">
        <f>IFERROR(VLOOKUP(A4638,VLOOKUPS!$A$2:B$12589,2,FALSE),"")</f>
        <v>RTE Café Style Chef Salad 7.65oz-standard</v>
      </c>
      <c r="E4638">
        <v>3.69</v>
      </c>
      <c r="F4638">
        <v>3.79</v>
      </c>
      <c r="G4638" s="13">
        <v>44721</v>
      </c>
      <c r="H4638" s="13"/>
      <c r="I4638" s="22" t="str">
        <f>VLOOKUP(J4638, Dropdowns!N:O, 2, FALSE)</f>
        <v>Standard</v>
      </c>
      <c r="J4638" t="s">
        <v>761</v>
      </c>
      <c r="L4638" s="17" t="s">
        <v>734</v>
      </c>
      <c r="M4638" s="17" t="s">
        <v>9</v>
      </c>
      <c r="N4638" s="17" t="s">
        <v>736</v>
      </c>
    </row>
    <row r="4639" spans="1:14" x14ac:dyDescent="0.25">
      <c r="A4639" s="8">
        <v>995012</v>
      </c>
      <c r="B4639" s="22" t="str">
        <f>IFERROR(VLOOKUP(A4639,VLOOKUPS!$A$2:B$12589,2,FALSE),"")</f>
        <v>RTE Cranberry Walnut Salad 4.5oz-standard</v>
      </c>
      <c r="E4639">
        <v>3.69</v>
      </c>
      <c r="F4639">
        <v>3.79</v>
      </c>
      <c r="G4639" s="13">
        <v>44722</v>
      </c>
      <c r="H4639" s="13"/>
      <c r="I4639" s="22" t="str">
        <f>VLOOKUP(J4639, Dropdowns!N:O, 2, FALSE)</f>
        <v>Standard</v>
      </c>
      <c r="J4639" t="s">
        <v>761</v>
      </c>
      <c r="L4639" s="17" t="s">
        <v>734</v>
      </c>
      <c r="M4639" s="17" t="s">
        <v>9</v>
      </c>
      <c r="N4639" s="17" t="s">
        <v>736</v>
      </c>
    </row>
    <row r="4640" spans="1:14" x14ac:dyDescent="0.25">
      <c r="A4640" s="8">
        <v>995015</v>
      </c>
      <c r="B4640" s="22" t="str">
        <f>IFERROR(VLOOKUP(A4640,VLOOKUPS!$A$2:B$12589,2,FALSE),"")</f>
        <v>Savory Spinach Dijon Salad 4.9oz-standard</v>
      </c>
      <c r="E4640">
        <v>3.49</v>
      </c>
      <c r="F4640">
        <v>3.69</v>
      </c>
      <c r="G4640" s="13">
        <v>44721</v>
      </c>
      <c r="H4640" s="13"/>
      <c r="I4640" s="22" t="str">
        <f>VLOOKUP(J4640, Dropdowns!N:O, 2, FALSE)</f>
        <v>Standard</v>
      </c>
      <c r="J4640" t="s">
        <v>761</v>
      </c>
      <c r="L4640" s="17" t="s">
        <v>734</v>
      </c>
      <c r="M4640" s="17" t="s">
        <v>9</v>
      </c>
      <c r="N4640" s="17" t="s">
        <v>736</v>
      </c>
    </row>
    <row r="4641" spans="1:14" x14ac:dyDescent="0.25">
      <c r="A4641" s="8">
        <v>988620</v>
      </c>
      <c r="B4641" s="22" t="str">
        <f>IFERROR(VLOOKUP(A4641,VLOOKUPS!$A$2:B$12589,2,FALSE),"")</f>
        <v>Brussels Sprouts 1lb-standard</v>
      </c>
      <c r="E4641">
        <v>2.98</v>
      </c>
      <c r="F4641">
        <v>1.79</v>
      </c>
      <c r="G4641" s="13">
        <v>44721</v>
      </c>
      <c r="H4641" s="13">
        <v>44722</v>
      </c>
      <c r="I4641" s="22" t="str">
        <f>VLOOKUP(J4641, Dropdowns!N:O, 2, FALSE)</f>
        <v>Lower Price</v>
      </c>
      <c r="J4641" t="s">
        <v>759</v>
      </c>
      <c r="L4641" s="17" t="s">
        <v>732</v>
      </c>
      <c r="M4641" s="17" t="s">
        <v>10</v>
      </c>
      <c r="N4641" s="17">
        <v>2</v>
      </c>
    </row>
    <row r="4642" spans="1:14" x14ac:dyDescent="0.25">
      <c r="A4642" s="8">
        <v>988620</v>
      </c>
      <c r="B4642" s="22" t="str">
        <f>IFERROR(VLOOKUP(A4642,VLOOKUPS!$A$2:B$12589,2,FALSE),"")</f>
        <v>Brussels Sprouts 1lb-standard</v>
      </c>
      <c r="E4642">
        <v>1.79</v>
      </c>
      <c r="F4642">
        <v>2.98</v>
      </c>
      <c r="G4642" s="13">
        <v>44723</v>
      </c>
      <c r="H4642" s="13"/>
      <c r="I4642" s="22" t="str">
        <f>VLOOKUP(J4642, Dropdowns!N:O, 2, FALSE)</f>
        <v>Standard</v>
      </c>
      <c r="J4642" t="s">
        <v>760</v>
      </c>
      <c r="L4642" s="17" t="s">
        <v>732</v>
      </c>
      <c r="M4642" s="17" t="s">
        <v>10</v>
      </c>
      <c r="N4642" s="17">
        <v>2</v>
      </c>
    </row>
    <row r="4643" spans="1:14" x14ac:dyDescent="0.25">
      <c r="A4643" s="8">
        <v>983201</v>
      </c>
      <c r="B4643" s="22" t="str">
        <f>IFERROR(VLOOKUP(A4643,VLOOKUPS!$A$2:B$12589,2,FALSE),"")</f>
        <v>Melons* Honeydew 1ct-LOOSE</v>
      </c>
      <c r="E4643">
        <v>3.98</v>
      </c>
      <c r="F4643">
        <v>2.79</v>
      </c>
      <c r="G4643" s="13">
        <v>44722</v>
      </c>
      <c r="H4643" s="13">
        <v>44723</v>
      </c>
      <c r="I4643" s="22" t="str">
        <f>VLOOKUP(J4643, Dropdowns!N:O, 2, FALSE)</f>
        <v>Lower Price</v>
      </c>
      <c r="J4643" t="s">
        <v>759</v>
      </c>
      <c r="L4643" s="17" t="s">
        <v>733</v>
      </c>
      <c r="M4643" s="17" t="s">
        <v>9</v>
      </c>
      <c r="N4643" s="17" t="s">
        <v>740</v>
      </c>
    </row>
    <row r="4644" spans="1:14" x14ac:dyDescent="0.25">
      <c r="A4644" s="8">
        <v>983201</v>
      </c>
      <c r="B4644" s="22" t="str">
        <f>IFERROR(VLOOKUP(A4644,VLOOKUPS!$A$2:B$12589,2,FALSE),"")</f>
        <v>Melons* Honeydew 1ct-LOOSE</v>
      </c>
      <c r="E4644">
        <v>2.79</v>
      </c>
      <c r="F4644">
        <v>3.98</v>
      </c>
      <c r="G4644" s="13">
        <v>44724</v>
      </c>
      <c r="H4644" s="13"/>
      <c r="I4644" s="22" t="str">
        <f>VLOOKUP(J4644, Dropdowns!N:O, 2, FALSE)</f>
        <v>Standard</v>
      </c>
      <c r="J4644" t="s">
        <v>760</v>
      </c>
      <c r="L4644" s="17" t="s">
        <v>733</v>
      </c>
      <c r="M4644" s="17" t="s">
        <v>9</v>
      </c>
      <c r="N4644" s="17" t="s">
        <v>740</v>
      </c>
    </row>
    <row r="4645" spans="1:14" x14ac:dyDescent="0.25">
      <c r="A4645" s="8">
        <v>983201</v>
      </c>
      <c r="B4645" s="22" t="str">
        <f>IFERROR(VLOOKUP(A4645,VLOOKUPS!$A$2:B$12589,2,FALSE),"")</f>
        <v>Melons* Honeydew 1ct-LOOSE</v>
      </c>
      <c r="E4645">
        <v>3.98</v>
      </c>
      <c r="F4645">
        <v>2.79</v>
      </c>
      <c r="G4645" s="13">
        <v>44722</v>
      </c>
      <c r="H4645" s="13">
        <v>44723</v>
      </c>
      <c r="I4645" s="22" t="str">
        <f>VLOOKUP(J4645, Dropdowns!N:O, 2, FALSE)</f>
        <v>Lower Price</v>
      </c>
      <c r="J4645" t="s">
        <v>759</v>
      </c>
      <c r="L4645" s="17" t="s">
        <v>732</v>
      </c>
      <c r="M4645" s="17" t="s">
        <v>10</v>
      </c>
      <c r="N4645" s="17">
        <v>2</v>
      </c>
    </row>
    <row r="4646" spans="1:14" x14ac:dyDescent="0.25">
      <c r="A4646" s="8">
        <v>983201</v>
      </c>
      <c r="B4646" s="22" t="str">
        <f>IFERROR(VLOOKUP(A4646,VLOOKUPS!$A$2:B$12589,2,FALSE),"")</f>
        <v>Melons* Honeydew 1ct-LOOSE</v>
      </c>
      <c r="E4646">
        <v>2.79</v>
      </c>
      <c r="F4646">
        <v>3.98</v>
      </c>
      <c r="G4646" s="13">
        <v>44724</v>
      </c>
      <c r="H4646" s="13"/>
      <c r="I4646" s="22" t="str">
        <f>VLOOKUP(J4646, Dropdowns!N:O, 2, FALSE)</f>
        <v>Standard</v>
      </c>
      <c r="J4646" t="s">
        <v>760</v>
      </c>
      <c r="L4646" s="17" t="s">
        <v>732</v>
      </c>
      <c r="M4646" s="17" t="s">
        <v>10</v>
      </c>
      <c r="N4646" s="17">
        <v>2</v>
      </c>
    </row>
    <row r="4647" spans="1:14" x14ac:dyDescent="0.25">
      <c r="A4647" s="8">
        <v>983201</v>
      </c>
      <c r="B4647" s="22" t="str">
        <f>IFERROR(VLOOKUP(A4647,VLOOKUPS!$A$2:B$12589,2,FALSE),"")</f>
        <v>Melons* Honeydew 1ct-LOOSE</v>
      </c>
      <c r="E4647">
        <v>4.29</v>
      </c>
      <c r="F4647">
        <v>3</v>
      </c>
      <c r="G4647" s="13">
        <v>44722</v>
      </c>
      <c r="H4647" s="13">
        <v>44723</v>
      </c>
      <c r="I4647" s="22" t="str">
        <f>VLOOKUP(J4647, Dropdowns!N:O, 2, FALSE)</f>
        <v>Lower Price</v>
      </c>
      <c r="J4647" t="s">
        <v>759</v>
      </c>
      <c r="L4647" s="17" t="s">
        <v>734</v>
      </c>
      <c r="M4647" s="17" t="s">
        <v>9</v>
      </c>
      <c r="N4647" s="17" t="s">
        <v>736</v>
      </c>
    </row>
    <row r="4648" spans="1:14" x14ac:dyDescent="0.25">
      <c r="A4648" s="8">
        <v>983201</v>
      </c>
      <c r="B4648" s="22" t="str">
        <f>IFERROR(VLOOKUP(A4648,VLOOKUPS!$A$2:B$12589,2,FALSE),"")</f>
        <v>Melons* Honeydew 1ct-LOOSE</v>
      </c>
      <c r="E4648">
        <v>3</v>
      </c>
      <c r="F4648">
        <v>4.29</v>
      </c>
      <c r="G4648" s="13">
        <v>44724</v>
      </c>
      <c r="H4648" s="13"/>
      <c r="I4648" s="22" t="str">
        <f>VLOOKUP(J4648, Dropdowns!N:O, 2, FALSE)</f>
        <v>Standard</v>
      </c>
      <c r="J4648" t="s">
        <v>760</v>
      </c>
      <c r="L4648" s="17" t="s">
        <v>734</v>
      </c>
      <c r="M4648" s="17" t="s">
        <v>9</v>
      </c>
      <c r="N4648" s="17" t="s">
        <v>736</v>
      </c>
    </row>
    <row r="4649" spans="1:14" x14ac:dyDescent="0.25">
      <c r="A4649" s="8">
        <v>986293</v>
      </c>
      <c r="B4649" s="22" t="str">
        <f>IFERROR(VLOOKUP(A4649,VLOOKUPS!$A$2:B$12589,2,FALSE),"")</f>
        <v>Leeks* 3ct-BUNCH</v>
      </c>
      <c r="E4649">
        <v>3.72</v>
      </c>
      <c r="F4649">
        <v>2.98</v>
      </c>
      <c r="G4649" s="13">
        <v>44722</v>
      </c>
      <c r="H4649" s="13">
        <v>44723</v>
      </c>
      <c r="I4649" s="22" t="str">
        <f>VLOOKUP(J4649, Dropdowns!N:O, 2, FALSE)</f>
        <v>Lower Price</v>
      </c>
      <c r="J4649" t="s">
        <v>759</v>
      </c>
      <c r="L4649" s="17" t="s">
        <v>732</v>
      </c>
      <c r="M4649" s="17" t="s">
        <v>10</v>
      </c>
      <c r="N4649" s="17">
        <v>2</v>
      </c>
    </row>
    <row r="4650" spans="1:14" x14ac:dyDescent="0.25">
      <c r="A4650" s="8">
        <v>986293</v>
      </c>
      <c r="B4650" s="22" t="str">
        <f>IFERROR(VLOOKUP(A4650,VLOOKUPS!$A$2:B$12589,2,FALSE),"")</f>
        <v>Leeks* 3ct-BUNCH</v>
      </c>
      <c r="E4650">
        <v>2.98</v>
      </c>
      <c r="F4650">
        <v>3.72</v>
      </c>
      <c r="G4650" s="13">
        <v>44724</v>
      </c>
      <c r="H4650" s="13"/>
      <c r="I4650" s="22" t="str">
        <f>VLOOKUP(J4650, Dropdowns!N:O, 2, FALSE)</f>
        <v>Standard</v>
      </c>
      <c r="J4650" t="s">
        <v>760</v>
      </c>
      <c r="L4650" s="17" t="s">
        <v>732</v>
      </c>
      <c r="M4650" s="17" t="s">
        <v>10</v>
      </c>
      <c r="N4650" s="17">
        <v>2</v>
      </c>
    </row>
    <row r="4651" spans="1:14" x14ac:dyDescent="0.25">
      <c r="A4651" s="8">
        <v>984460</v>
      </c>
      <c r="B4651" s="22" t="str">
        <f>IFERROR(VLOOKUP(A4651,VLOOKUPS!$A$2:B$12589,2,FALSE),"")</f>
        <v>Strawberries 1lb-standard</v>
      </c>
      <c r="G4651" s="13">
        <v>44723</v>
      </c>
      <c r="H4651" s="13">
        <v>44724</v>
      </c>
      <c r="I4651" s="22" t="str">
        <f>VLOOKUP(J4651, Dropdowns!N:O, 2, FALSE)</f>
        <v>Lower Price</v>
      </c>
      <c r="J4651" t="s">
        <v>753</v>
      </c>
      <c r="L4651" s="17" t="s">
        <v>732</v>
      </c>
      <c r="M4651" s="17" t="s">
        <v>736</v>
      </c>
      <c r="N4651" s="17" t="s">
        <v>736</v>
      </c>
    </row>
    <row r="4652" spans="1:14" x14ac:dyDescent="0.25">
      <c r="A4652" s="8">
        <v>984460</v>
      </c>
      <c r="B4652" s="22" t="str">
        <f>IFERROR(VLOOKUP(A4652,VLOOKUPS!$A$2:B$12589,2,FALSE),"")</f>
        <v>Strawberries 1lb-standard</v>
      </c>
      <c r="G4652" s="13">
        <v>44725</v>
      </c>
      <c r="H4652" s="13">
        <v>44725</v>
      </c>
      <c r="I4652" s="22" t="str">
        <f>VLOOKUP(J4652, Dropdowns!N:O, 2, FALSE)</f>
        <v>Lower Price</v>
      </c>
      <c r="J4652" t="s">
        <v>762</v>
      </c>
      <c r="L4652" s="17" t="s">
        <v>732</v>
      </c>
      <c r="M4652" s="17" t="s">
        <v>736</v>
      </c>
      <c r="N4652" s="17" t="s">
        <v>736</v>
      </c>
    </row>
    <row r="4653" spans="1:14" x14ac:dyDescent="0.25">
      <c r="A4653" s="8">
        <v>984620</v>
      </c>
      <c r="B4653" s="22" t="str">
        <f>IFERROR(VLOOKUP(A4653,VLOOKUPS!$A$2:B$12589,2,FALSE),"")</f>
        <v>Raspberries 6oz-standard</v>
      </c>
      <c r="G4653" s="13">
        <v>44723</v>
      </c>
      <c r="H4653" s="13">
        <v>44724</v>
      </c>
      <c r="I4653" s="22" t="str">
        <f>VLOOKUP(J4653, Dropdowns!N:O, 2, FALSE)</f>
        <v>Lower Price</v>
      </c>
      <c r="J4653" t="s">
        <v>762</v>
      </c>
      <c r="L4653" s="17" t="s">
        <v>732</v>
      </c>
      <c r="M4653" s="17" t="s">
        <v>10</v>
      </c>
      <c r="N4653" s="17">
        <v>2</v>
      </c>
    </row>
    <row r="4654" spans="1:14" x14ac:dyDescent="0.25">
      <c r="A4654" s="8">
        <v>988620</v>
      </c>
      <c r="B4654" s="22" t="str">
        <f>IFERROR(VLOOKUP(A4654,VLOOKUPS!$A$2:B$12589,2,FALSE),"")</f>
        <v>Brussels Sprouts 1lb-standard</v>
      </c>
      <c r="G4654" s="13">
        <v>44723</v>
      </c>
      <c r="H4654" s="13">
        <v>44724</v>
      </c>
      <c r="I4654" s="22" t="str">
        <f>VLOOKUP(J4654, Dropdowns!N:O, 2, FALSE)</f>
        <v>Lower Price</v>
      </c>
      <c r="J4654" t="s">
        <v>762</v>
      </c>
      <c r="L4654" s="17" t="s">
        <v>733</v>
      </c>
      <c r="M4654" s="17" t="s">
        <v>11</v>
      </c>
      <c r="N4654" s="17" t="s">
        <v>740</v>
      </c>
    </row>
    <row r="4655" spans="1:14" x14ac:dyDescent="0.25">
      <c r="A4655" s="8">
        <v>984620</v>
      </c>
      <c r="B4655" s="22" t="str">
        <f>IFERROR(VLOOKUP(A4655,VLOOKUPS!$A$2:B$12589,2,FALSE),"")</f>
        <v>Raspberries 6oz-standard</v>
      </c>
      <c r="E4655">
        <v>1.49</v>
      </c>
      <c r="F4655">
        <v>2.98</v>
      </c>
      <c r="G4655" s="13">
        <v>44725</v>
      </c>
      <c r="H4655" s="13"/>
      <c r="I4655" s="22" t="str">
        <f>VLOOKUP(J4655, Dropdowns!N:O, 2, FALSE)</f>
        <v>Standard</v>
      </c>
      <c r="J4655" t="s">
        <v>760</v>
      </c>
      <c r="L4655" s="17" t="s">
        <v>732</v>
      </c>
      <c r="M4655" s="17" t="s">
        <v>10</v>
      </c>
      <c r="N4655" s="17">
        <v>2</v>
      </c>
    </row>
    <row r="4656" spans="1:14" x14ac:dyDescent="0.25">
      <c r="A4656" s="8">
        <v>988620</v>
      </c>
      <c r="B4656" s="22" t="str">
        <f>IFERROR(VLOOKUP(A4656,VLOOKUPS!$A$2:B$12589,2,FALSE),"")</f>
        <v>Brussels Sprouts 1lb-standard</v>
      </c>
      <c r="E4656">
        <v>1.39</v>
      </c>
      <c r="F4656">
        <v>2.98</v>
      </c>
      <c r="G4656" s="13">
        <v>44725</v>
      </c>
      <c r="H4656" s="13"/>
      <c r="I4656" s="22" t="str">
        <f>VLOOKUP(J4656, Dropdowns!N:O, 2, FALSE)</f>
        <v>Standard</v>
      </c>
      <c r="J4656" t="s">
        <v>760</v>
      </c>
      <c r="L4656" s="17" t="s">
        <v>733</v>
      </c>
      <c r="M4656" s="17" t="s">
        <v>11</v>
      </c>
      <c r="N4656" s="17" t="s">
        <v>740</v>
      </c>
    </row>
    <row r="4657" spans="1:14" x14ac:dyDescent="0.25">
      <c r="A4657" s="8">
        <v>995006</v>
      </c>
      <c r="B4657" s="22" t="str">
        <f>IFERROR(VLOOKUP(A4657,VLOOKUPS!$A$2:B$12589,2,FALSE),"")</f>
        <v>Italian Salad 9oz-standard</v>
      </c>
      <c r="E4657">
        <v>2.69</v>
      </c>
      <c r="F4657">
        <v>1.61</v>
      </c>
      <c r="G4657" s="13">
        <v>44723</v>
      </c>
      <c r="H4657" s="13">
        <v>44724</v>
      </c>
      <c r="I4657" s="22" t="str">
        <f>VLOOKUP(J4657, Dropdowns!N:O, 2, FALSE)</f>
        <v>Lower Price</v>
      </c>
      <c r="J4657" t="s">
        <v>759</v>
      </c>
      <c r="L4657" s="17" t="s">
        <v>733</v>
      </c>
      <c r="M4657" s="17" t="s">
        <v>11</v>
      </c>
      <c r="N4657" s="17" t="s">
        <v>740</v>
      </c>
    </row>
    <row r="4658" spans="1:14" x14ac:dyDescent="0.25">
      <c r="A4658" s="8">
        <v>995006</v>
      </c>
      <c r="B4658" s="22" t="str">
        <f>IFERROR(VLOOKUP(A4658,VLOOKUPS!$A$2:B$12589,2,FALSE),"")</f>
        <v>Italian Salad 9oz-standard</v>
      </c>
      <c r="E4658">
        <v>1.61</v>
      </c>
      <c r="F4658">
        <v>2.69</v>
      </c>
      <c r="G4658" s="13">
        <v>44725</v>
      </c>
      <c r="H4658" s="13"/>
      <c r="I4658" s="22" t="str">
        <f>VLOOKUP(J4658, Dropdowns!N:O, 2, FALSE)</f>
        <v>Standard</v>
      </c>
      <c r="J4658" t="s">
        <v>760</v>
      </c>
      <c r="L4658" s="17" t="s">
        <v>733</v>
      </c>
      <c r="M4658" s="17" t="s">
        <v>11</v>
      </c>
      <c r="N4658" s="17" t="s">
        <v>740</v>
      </c>
    </row>
    <row r="4659" spans="1:14" x14ac:dyDescent="0.25">
      <c r="A4659" s="8">
        <v>984542</v>
      </c>
      <c r="B4659" s="22" t="str">
        <f>IFERROR(VLOOKUP(A4659,VLOOKUPS!$A$2:B$12589,2,FALSE),"")</f>
        <v>Blueberries 18oz-standard</v>
      </c>
      <c r="E4659">
        <v>5.09</v>
      </c>
      <c r="F4659">
        <v>5.28</v>
      </c>
      <c r="G4659" s="13">
        <v>44726</v>
      </c>
      <c r="H4659" s="13"/>
      <c r="I4659" s="22" t="str">
        <f>VLOOKUP(J4659, Dropdowns!N:O, 2, FALSE)</f>
        <v>Standard</v>
      </c>
      <c r="J4659" t="s">
        <v>761</v>
      </c>
      <c r="L4659" s="17" t="s">
        <v>733</v>
      </c>
      <c r="M4659" s="17" t="s">
        <v>736</v>
      </c>
      <c r="N4659" s="17" t="s">
        <v>740</v>
      </c>
    </row>
    <row r="4660" spans="1:14" x14ac:dyDescent="0.25">
      <c r="A4660" s="8">
        <v>984542</v>
      </c>
      <c r="B4660" s="22" t="str">
        <f>IFERROR(VLOOKUP(A4660,VLOOKUPS!$A$2:B$12589,2,FALSE),"")</f>
        <v>Blueberries 18oz-standard</v>
      </c>
      <c r="E4660">
        <v>5.09</v>
      </c>
      <c r="F4660">
        <v>5.28</v>
      </c>
      <c r="G4660" s="13">
        <v>44726</v>
      </c>
      <c r="H4660" s="13"/>
      <c r="I4660" s="22" t="str">
        <f>VLOOKUP(J4660, Dropdowns!N:O, 2, FALSE)</f>
        <v>Standard</v>
      </c>
      <c r="J4660" t="s">
        <v>761</v>
      </c>
      <c r="L4660" s="17" t="s">
        <v>734</v>
      </c>
      <c r="M4660" s="17" t="s">
        <v>10</v>
      </c>
      <c r="N4660" s="17">
        <v>2</v>
      </c>
    </row>
    <row r="4661" spans="1:14" x14ac:dyDescent="0.25">
      <c r="A4661" s="8">
        <v>984542</v>
      </c>
      <c r="B4661" s="22" t="str">
        <f>IFERROR(VLOOKUP(A4661,VLOOKUPS!$A$2:B$12589,2,FALSE),"")</f>
        <v>Blueberries 18oz-standard</v>
      </c>
      <c r="E4661">
        <v>5.49</v>
      </c>
      <c r="F4661">
        <v>5.59</v>
      </c>
      <c r="G4661" s="13">
        <v>44726</v>
      </c>
      <c r="H4661" s="13"/>
      <c r="I4661" s="22" t="str">
        <f>VLOOKUP(J4661, Dropdowns!N:O, 2, FALSE)</f>
        <v>Standard</v>
      </c>
      <c r="J4661" t="s">
        <v>761</v>
      </c>
      <c r="L4661" s="17" t="s">
        <v>734</v>
      </c>
      <c r="M4661" s="17" t="s">
        <v>9</v>
      </c>
      <c r="N4661" s="17" t="s">
        <v>736</v>
      </c>
    </row>
    <row r="4662" spans="1:14" x14ac:dyDescent="0.25">
      <c r="A4662" s="8">
        <v>995185</v>
      </c>
      <c r="B4662" s="22" t="str">
        <f>IFERROR(VLOOKUP(A4662,VLOOKUPS!$A$2:B$12589,2,FALSE),"")</f>
        <v>Organic Crisp Romaine 4oz-standard</v>
      </c>
      <c r="E4662">
        <v>2.98</v>
      </c>
      <c r="F4662">
        <v>0.99</v>
      </c>
      <c r="G4662" s="13">
        <v>44726</v>
      </c>
      <c r="H4662" s="13">
        <v>44727</v>
      </c>
      <c r="I4662" s="22" t="str">
        <f>VLOOKUP(J4662, Dropdowns!N:O, 2, FALSE)</f>
        <v>Lower Price</v>
      </c>
      <c r="J4662" t="s">
        <v>759</v>
      </c>
      <c r="L4662" s="17" t="s">
        <v>732</v>
      </c>
      <c r="M4662" s="17" t="s">
        <v>9</v>
      </c>
      <c r="N4662" s="17" t="s">
        <v>736</v>
      </c>
    </row>
    <row r="4663" spans="1:14" x14ac:dyDescent="0.25">
      <c r="A4663" s="8">
        <v>995185</v>
      </c>
      <c r="B4663" s="22" t="str">
        <f>IFERROR(VLOOKUP(A4663,VLOOKUPS!$A$2:B$12589,2,FALSE),"")</f>
        <v>Organic Crisp Romaine 4oz-standard</v>
      </c>
      <c r="E4663">
        <v>0.99</v>
      </c>
      <c r="F4663">
        <v>2.98</v>
      </c>
      <c r="G4663" s="13">
        <v>44728</v>
      </c>
      <c r="H4663" s="13"/>
      <c r="I4663" s="22" t="str">
        <f>VLOOKUP(J4663, Dropdowns!N:O, 2, FALSE)</f>
        <v>Standard</v>
      </c>
      <c r="J4663" t="s">
        <v>760</v>
      </c>
      <c r="L4663" s="17" t="s">
        <v>732</v>
      </c>
      <c r="M4663" s="17" t="s">
        <v>9</v>
      </c>
      <c r="N4663" s="17" t="s">
        <v>736</v>
      </c>
    </row>
    <row r="4664" spans="1:14" x14ac:dyDescent="0.25">
      <c r="A4664" s="8">
        <v>984460</v>
      </c>
      <c r="B4664" s="22" t="str">
        <f>IFERROR(VLOOKUP(A4664,VLOOKUPS!$A$2:B$12589,2,FALSE),"")</f>
        <v>Strawberries 1lb-standard</v>
      </c>
      <c r="E4664">
        <v>1.48</v>
      </c>
      <c r="F4664">
        <v>2.48</v>
      </c>
      <c r="G4664" s="13">
        <v>44726</v>
      </c>
      <c r="H4664" s="13"/>
      <c r="I4664" s="22" t="str">
        <f>VLOOKUP(J4664, Dropdowns!N:O, 2, FALSE)</f>
        <v>Standard</v>
      </c>
      <c r="J4664" t="s">
        <v>760</v>
      </c>
      <c r="L4664" s="17" t="s">
        <v>733</v>
      </c>
      <c r="M4664" s="17" t="s">
        <v>9</v>
      </c>
      <c r="N4664" s="17" t="s">
        <v>740</v>
      </c>
    </row>
    <row r="4665" spans="1:14" x14ac:dyDescent="0.25">
      <c r="A4665" s="8">
        <v>984460</v>
      </c>
      <c r="B4665" s="22" t="str">
        <f>IFERROR(VLOOKUP(A4665,VLOOKUPS!$A$2:B$12589,2,FALSE),"")</f>
        <v>Strawberries 1lb-standard</v>
      </c>
      <c r="E4665">
        <v>1.99</v>
      </c>
      <c r="F4665">
        <v>2.99</v>
      </c>
      <c r="G4665" s="13">
        <v>44726</v>
      </c>
      <c r="H4665" s="13"/>
      <c r="I4665" s="22" t="str">
        <f>VLOOKUP(J4665, Dropdowns!N:O, 2, FALSE)</f>
        <v>Standard</v>
      </c>
      <c r="J4665" t="s">
        <v>760</v>
      </c>
      <c r="L4665" s="17" t="s">
        <v>734</v>
      </c>
      <c r="M4665" s="17" t="s">
        <v>9</v>
      </c>
      <c r="N4665" s="17" t="s">
        <v>736</v>
      </c>
    </row>
    <row r="4666" spans="1:14" x14ac:dyDescent="0.25">
      <c r="A4666" s="8">
        <v>984460</v>
      </c>
      <c r="B4666" s="22" t="str">
        <f>IFERROR(VLOOKUP(A4666,VLOOKUPS!$A$2:B$12589,2,FALSE),"")</f>
        <v>Strawberries 1lb-standard</v>
      </c>
      <c r="G4666" s="13">
        <v>44726</v>
      </c>
      <c r="H4666" s="13">
        <v>44726</v>
      </c>
      <c r="I4666" s="22" t="str">
        <f>VLOOKUP(J4666, Dropdowns!N:O, 2, FALSE)</f>
        <v>Lower Price</v>
      </c>
      <c r="J4666" t="s">
        <v>762</v>
      </c>
      <c r="L4666" s="17" t="s">
        <v>732</v>
      </c>
      <c r="M4666" s="17" t="s">
        <v>738</v>
      </c>
      <c r="N4666" s="17">
        <v>2</v>
      </c>
    </row>
    <row r="4667" spans="1:14" x14ac:dyDescent="0.25">
      <c r="A4667" s="8">
        <v>984542</v>
      </c>
      <c r="B4667" s="22" t="str">
        <f>IFERROR(VLOOKUP(A4667,VLOOKUPS!$A$2:B$12589,2,FALSE),"")</f>
        <v>Blueberries 18oz-standard</v>
      </c>
      <c r="G4667" s="13">
        <v>44727</v>
      </c>
      <c r="H4667" s="13">
        <v>44733</v>
      </c>
      <c r="I4667" s="22" t="str">
        <f>VLOOKUP(J4667, Dropdowns!N:O, 2, FALSE)</f>
        <v>Lower Price</v>
      </c>
      <c r="J4667" t="s">
        <v>753</v>
      </c>
      <c r="L4667" s="17" t="s">
        <v>732</v>
      </c>
      <c r="M4667" s="17" t="s">
        <v>736</v>
      </c>
      <c r="N4667" s="17" t="s">
        <v>736</v>
      </c>
    </row>
    <row r="4668" spans="1:14" x14ac:dyDescent="0.25">
      <c r="A4668" s="8">
        <v>985760</v>
      </c>
      <c r="B4668" s="22" t="str">
        <f>IFERROR(VLOOKUP(A4668,VLOOKUPS!$A$2:B$12589,2,FALSE),"")</f>
        <v>Asparagus 1lb-standard</v>
      </c>
      <c r="G4668" s="13">
        <v>44727</v>
      </c>
      <c r="H4668" s="13">
        <v>44733</v>
      </c>
      <c r="I4668" s="22" t="str">
        <f>VLOOKUP(J4668, Dropdowns!N:O, 2, FALSE)</f>
        <v>Lower Price</v>
      </c>
      <c r="J4668" t="s">
        <v>753</v>
      </c>
      <c r="L4668" s="17" t="s">
        <v>732</v>
      </c>
      <c r="M4668" s="17" t="s">
        <v>736</v>
      </c>
      <c r="N4668" s="17" t="s">
        <v>736</v>
      </c>
    </row>
    <row r="4669" spans="1:14" x14ac:dyDescent="0.25">
      <c r="A4669" s="8">
        <v>983671</v>
      </c>
      <c r="B4669" s="22" t="str">
        <f>IFERROR(VLOOKUP(A4669,VLOOKUPS!$A$2:B$12589,2,FALSE),"")</f>
        <v>Kiwis Gold 1lb-standard</v>
      </c>
      <c r="G4669" s="13">
        <v>44727</v>
      </c>
      <c r="H4669" s="13">
        <v>44733</v>
      </c>
      <c r="I4669" s="22" t="str">
        <f>VLOOKUP(J4669, Dropdowns!N:O, 2, FALSE)</f>
        <v>Lower Price</v>
      </c>
      <c r="J4669" t="s">
        <v>753</v>
      </c>
      <c r="L4669" s="17" t="s">
        <v>732</v>
      </c>
      <c r="M4669" s="17" t="s">
        <v>736</v>
      </c>
      <c r="N4669" s="17" t="s">
        <v>736</v>
      </c>
    </row>
    <row r="4670" spans="1:14" x14ac:dyDescent="0.25">
      <c r="A4670" s="8">
        <v>988620</v>
      </c>
      <c r="B4670" s="22" t="str">
        <f>IFERROR(VLOOKUP(A4670,VLOOKUPS!$A$2:B$12589,2,FALSE),"")</f>
        <v>Brussels Sprouts 1lb-standard</v>
      </c>
      <c r="E4670">
        <v>2.98</v>
      </c>
      <c r="F4670">
        <v>2.89</v>
      </c>
      <c r="G4670" s="13">
        <v>44727</v>
      </c>
      <c r="H4670" s="13"/>
      <c r="I4670" s="22" t="str">
        <f>VLOOKUP(J4670, Dropdowns!N:O, 2, FALSE)</f>
        <v>Standard</v>
      </c>
      <c r="J4670" t="s">
        <v>761</v>
      </c>
      <c r="L4670" s="17" t="s">
        <v>732</v>
      </c>
      <c r="M4670" s="17" t="s">
        <v>738</v>
      </c>
      <c r="N4670" s="17">
        <v>2</v>
      </c>
    </row>
    <row r="4671" spans="1:14" x14ac:dyDescent="0.25">
      <c r="A4671" s="8">
        <v>995190</v>
      </c>
      <c r="B4671" s="22" t="str">
        <f>IFERROR(VLOOKUP(A4671,VLOOKUPS!$A$2:B$12589,2,FALSE),"")</f>
        <v>Organic Green Beans 12oz-standard</v>
      </c>
      <c r="E4671">
        <v>4.18</v>
      </c>
      <c r="F4671">
        <v>2.5099999999999998</v>
      </c>
      <c r="G4671" s="13">
        <v>44727</v>
      </c>
      <c r="H4671" s="13">
        <v>44728</v>
      </c>
      <c r="I4671" s="22" t="str">
        <f>VLOOKUP(J4671, Dropdowns!N:O, 2, FALSE)</f>
        <v>Lower Price</v>
      </c>
      <c r="J4671" t="s">
        <v>759</v>
      </c>
      <c r="L4671" s="17" t="s">
        <v>733</v>
      </c>
      <c r="M4671" s="17" t="s">
        <v>11</v>
      </c>
      <c r="N4671" s="17" t="s">
        <v>740</v>
      </c>
    </row>
    <row r="4672" spans="1:14" x14ac:dyDescent="0.25">
      <c r="A4672" s="8">
        <v>995190</v>
      </c>
      <c r="B4672" s="22" t="str">
        <f>IFERROR(VLOOKUP(A4672,VLOOKUPS!$A$2:B$12589,2,FALSE),"")</f>
        <v>Organic Green Beans 12oz-standard</v>
      </c>
      <c r="E4672">
        <v>2.5099999999999998</v>
      </c>
      <c r="F4672">
        <v>4.18</v>
      </c>
      <c r="G4672" s="13">
        <v>44729</v>
      </c>
      <c r="H4672" s="13"/>
      <c r="I4672" s="22" t="str">
        <f>VLOOKUP(J4672, Dropdowns!N:O, 2, FALSE)</f>
        <v>Standard</v>
      </c>
      <c r="J4672" t="s">
        <v>760</v>
      </c>
      <c r="L4672" s="17" t="s">
        <v>733</v>
      </c>
      <c r="M4672" s="17" t="s">
        <v>11</v>
      </c>
      <c r="N4672" s="17" t="s">
        <v>740</v>
      </c>
    </row>
    <row r="4673" spans="1:14" x14ac:dyDescent="0.25">
      <c r="A4673" s="8">
        <v>984700</v>
      </c>
      <c r="B4673" s="22" t="str">
        <f>IFERROR(VLOOKUP(A4673,VLOOKUPS!$A$2:B$12589,2,FALSE),"")</f>
        <v>Blackberries 6oz-standard</v>
      </c>
      <c r="E4673">
        <v>1.29</v>
      </c>
      <c r="F4673">
        <v>2.2400000000000002</v>
      </c>
      <c r="G4673" s="13">
        <v>44727</v>
      </c>
      <c r="H4673" s="13"/>
      <c r="I4673" s="22" t="str">
        <f>VLOOKUP(J4673, Dropdowns!N:O, 2, FALSE)</f>
        <v>Standard</v>
      </c>
      <c r="J4673" t="s">
        <v>760</v>
      </c>
      <c r="L4673" s="17" t="s">
        <v>732</v>
      </c>
      <c r="M4673" s="17" t="s">
        <v>738</v>
      </c>
      <c r="N4673" s="17">
        <v>2</v>
      </c>
    </row>
    <row r="4674" spans="1:14" x14ac:dyDescent="0.25">
      <c r="A4674" s="8">
        <v>984700</v>
      </c>
      <c r="B4674" s="22" t="str">
        <f>IFERROR(VLOOKUP(A4674,VLOOKUPS!$A$2:B$12589,2,FALSE),"")</f>
        <v>Blackberries 6oz-standard</v>
      </c>
      <c r="G4674" s="13">
        <v>44727</v>
      </c>
      <c r="H4674" s="13">
        <v>44727</v>
      </c>
      <c r="I4674" s="22" t="str">
        <f>VLOOKUP(J4674, Dropdowns!N:O, 2, FALSE)</f>
        <v>Lower Price</v>
      </c>
      <c r="J4674" t="s">
        <v>762</v>
      </c>
      <c r="L4674" s="17" t="s">
        <v>732</v>
      </c>
      <c r="M4674" s="17" t="s">
        <v>9</v>
      </c>
      <c r="N4674" s="17" t="s">
        <v>736</v>
      </c>
    </row>
    <row r="4675" spans="1:14" x14ac:dyDescent="0.25">
      <c r="A4675" s="8">
        <v>984460</v>
      </c>
      <c r="B4675" s="22" t="str">
        <f>IFERROR(VLOOKUP(A4675,VLOOKUPS!$A$2:B$12589,2,FALSE),"")</f>
        <v>Strawberries 1lb-standard</v>
      </c>
      <c r="G4675" s="13">
        <v>44727</v>
      </c>
      <c r="H4675" s="13">
        <v>44727</v>
      </c>
      <c r="I4675" s="22" t="str">
        <f>VLOOKUP(J4675, Dropdowns!N:O, 2, FALSE)</f>
        <v>Lower Price</v>
      </c>
      <c r="J4675" t="s">
        <v>762</v>
      </c>
      <c r="L4675" s="17" t="s">
        <v>732</v>
      </c>
      <c r="M4675" s="17" t="s">
        <v>738</v>
      </c>
      <c r="N4675" s="17">
        <v>2</v>
      </c>
    </row>
    <row r="4676" spans="1:14" x14ac:dyDescent="0.25">
      <c r="A4676" s="8">
        <v>984700</v>
      </c>
      <c r="B4676" s="22" t="str">
        <f>IFERROR(VLOOKUP(A4676,VLOOKUPS!$A$2:B$12589,2,FALSE),"")</f>
        <v>Blackberries 6oz-standard</v>
      </c>
      <c r="E4676">
        <v>2.2400000000000002</v>
      </c>
      <c r="F4676">
        <v>2.88</v>
      </c>
      <c r="G4676" s="13">
        <v>44728</v>
      </c>
      <c r="H4676" s="13"/>
      <c r="I4676" s="22" t="str">
        <f>VLOOKUP(J4676, Dropdowns!N:O, 2, FALSE)</f>
        <v>Standard</v>
      </c>
      <c r="J4676" t="s">
        <v>761</v>
      </c>
      <c r="L4676" s="17" t="s">
        <v>732</v>
      </c>
      <c r="M4676" s="17" t="s">
        <v>738</v>
      </c>
      <c r="N4676" s="17">
        <v>2</v>
      </c>
    </row>
    <row r="4677" spans="1:14" x14ac:dyDescent="0.25">
      <c r="A4677" s="8">
        <v>982650</v>
      </c>
      <c r="B4677" s="22" t="str">
        <f>IFERROR(VLOOKUP(A4677,VLOOKUPS!$A$2:B$12589,2,FALSE),"")</f>
        <v>Grapes* Green Seedless 1lb-LOOSE</v>
      </c>
      <c r="E4677">
        <v>2.48</v>
      </c>
      <c r="F4677">
        <v>1.74</v>
      </c>
      <c r="G4677" s="13">
        <v>44728</v>
      </c>
      <c r="H4677" s="13">
        <v>44729</v>
      </c>
      <c r="I4677" s="22" t="str">
        <f>VLOOKUP(J4677, Dropdowns!N:O, 2, FALSE)</f>
        <v>Lower Price</v>
      </c>
      <c r="J4677" t="s">
        <v>759</v>
      </c>
      <c r="L4677" s="17" t="s">
        <v>733</v>
      </c>
      <c r="M4677" s="17" t="s">
        <v>735</v>
      </c>
      <c r="N4677" s="17" t="s">
        <v>740</v>
      </c>
    </row>
    <row r="4678" spans="1:14" x14ac:dyDescent="0.25">
      <c r="A4678" s="8">
        <v>982650</v>
      </c>
      <c r="B4678" s="22" t="str">
        <f>IFERROR(VLOOKUP(A4678,VLOOKUPS!$A$2:B$12589,2,FALSE),"")</f>
        <v>Grapes* Green Seedless 1lb-LOOSE</v>
      </c>
      <c r="E4678">
        <v>2.59</v>
      </c>
      <c r="F4678">
        <v>1.81</v>
      </c>
      <c r="G4678" s="13">
        <v>44728</v>
      </c>
      <c r="H4678" s="13">
        <v>44729</v>
      </c>
      <c r="I4678" s="22" t="str">
        <f>VLOOKUP(J4678, Dropdowns!N:O, 2, FALSE)</f>
        <v>Lower Price</v>
      </c>
      <c r="J4678" t="s">
        <v>759</v>
      </c>
      <c r="L4678" s="17" t="s">
        <v>734</v>
      </c>
      <c r="M4678" s="17" t="s">
        <v>9</v>
      </c>
      <c r="N4678" s="17" t="s">
        <v>736</v>
      </c>
    </row>
    <row r="4679" spans="1:14" x14ac:dyDescent="0.25">
      <c r="A4679" s="8">
        <v>982650</v>
      </c>
      <c r="B4679" s="22" t="str">
        <f>IFERROR(VLOOKUP(A4679,VLOOKUPS!$A$2:B$12589,2,FALSE),"")</f>
        <v>Grapes* Green Seedless 1lb-LOOSE</v>
      </c>
      <c r="E4679">
        <v>1.74</v>
      </c>
      <c r="F4679">
        <v>2.48</v>
      </c>
      <c r="G4679" s="13">
        <v>44730</v>
      </c>
      <c r="H4679" s="13"/>
      <c r="I4679" s="22" t="str">
        <f>VLOOKUP(J4679, Dropdowns!N:O, 2, FALSE)</f>
        <v>Standard</v>
      </c>
      <c r="J4679" t="s">
        <v>760</v>
      </c>
      <c r="L4679" s="17" t="s">
        <v>733</v>
      </c>
      <c r="M4679" s="17" t="s">
        <v>735</v>
      </c>
      <c r="N4679" s="17" t="s">
        <v>740</v>
      </c>
    </row>
    <row r="4680" spans="1:14" x14ac:dyDescent="0.25">
      <c r="A4680" s="8">
        <v>982650</v>
      </c>
      <c r="B4680" s="22" t="str">
        <f>IFERROR(VLOOKUP(A4680,VLOOKUPS!$A$2:B$12589,2,FALSE),"")</f>
        <v>Grapes* Green Seedless 1lb-LOOSE</v>
      </c>
      <c r="E4680">
        <v>1.81</v>
      </c>
      <c r="F4680">
        <v>2.59</v>
      </c>
      <c r="G4680" s="13">
        <v>44730</v>
      </c>
      <c r="H4680" s="13"/>
      <c r="I4680" s="22" t="str">
        <f>VLOOKUP(J4680, Dropdowns!N:O, 2, FALSE)</f>
        <v>Standard</v>
      </c>
      <c r="J4680" t="s">
        <v>760</v>
      </c>
      <c r="L4680" s="17" t="s">
        <v>734</v>
      </c>
      <c r="M4680" s="17" t="s">
        <v>9</v>
      </c>
      <c r="N4680" s="17" t="s">
        <v>736</v>
      </c>
    </row>
    <row r="4681" spans="1:14" x14ac:dyDescent="0.25">
      <c r="A4681" s="8">
        <v>983151</v>
      </c>
      <c r="B4681" s="22" t="str">
        <f>IFERROR(VLOOKUP(A4681,VLOOKUPS!$A$2:B$12589,2,FALSE),"")</f>
        <v>Melons* Golden Honeydew 1ct-LOOSE</v>
      </c>
      <c r="E4681">
        <v>4.4800000000000004</v>
      </c>
      <c r="F4681">
        <v>3.14</v>
      </c>
      <c r="G4681" s="13">
        <v>44728</v>
      </c>
      <c r="H4681" s="13">
        <v>44729</v>
      </c>
      <c r="I4681" s="22" t="str">
        <f>VLOOKUP(J4681, Dropdowns!N:O, 2, FALSE)</f>
        <v>Lower Price</v>
      </c>
      <c r="J4681" t="s">
        <v>759</v>
      </c>
      <c r="L4681" s="17" t="s">
        <v>734</v>
      </c>
      <c r="M4681" s="17" t="s">
        <v>9</v>
      </c>
      <c r="N4681" s="17" t="s">
        <v>736</v>
      </c>
    </row>
    <row r="4682" spans="1:14" x14ac:dyDescent="0.25">
      <c r="A4682" s="8">
        <v>983151</v>
      </c>
      <c r="B4682" s="22" t="str">
        <f>IFERROR(VLOOKUP(A4682,VLOOKUPS!$A$2:B$12589,2,FALSE),"")</f>
        <v>Melons* Golden Honeydew 1ct-LOOSE</v>
      </c>
      <c r="E4682">
        <v>3.98</v>
      </c>
      <c r="F4682">
        <v>2.79</v>
      </c>
      <c r="G4682" s="13">
        <v>44728</v>
      </c>
      <c r="H4682" s="13">
        <v>44729</v>
      </c>
      <c r="I4682" s="22" t="str">
        <f>VLOOKUP(J4682, Dropdowns!N:O, 2, FALSE)</f>
        <v>Lower Price</v>
      </c>
      <c r="J4682" t="s">
        <v>759</v>
      </c>
      <c r="L4682" s="17" t="s">
        <v>733</v>
      </c>
      <c r="M4682" s="17" t="s">
        <v>737</v>
      </c>
      <c r="N4682" s="17" t="s">
        <v>740</v>
      </c>
    </row>
    <row r="4683" spans="1:14" x14ac:dyDescent="0.25">
      <c r="A4683" s="8">
        <v>983151</v>
      </c>
      <c r="B4683" s="22" t="str">
        <f>IFERROR(VLOOKUP(A4683,VLOOKUPS!$A$2:B$12589,2,FALSE),"")</f>
        <v>Melons* Golden Honeydew 1ct-LOOSE</v>
      </c>
      <c r="E4683">
        <v>3.14</v>
      </c>
      <c r="F4683">
        <v>4.4800000000000004</v>
      </c>
      <c r="G4683" s="13">
        <v>44730</v>
      </c>
      <c r="H4683" s="13"/>
      <c r="I4683" s="22" t="str">
        <f>VLOOKUP(J4683, Dropdowns!N:O, 2, FALSE)</f>
        <v>Standard</v>
      </c>
      <c r="J4683" t="s">
        <v>760</v>
      </c>
      <c r="L4683" s="17" t="s">
        <v>734</v>
      </c>
      <c r="M4683" s="17" t="s">
        <v>9</v>
      </c>
      <c r="N4683" s="17" t="s">
        <v>736</v>
      </c>
    </row>
    <row r="4684" spans="1:14" x14ac:dyDescent="0.25">
      <c r="A4684" s="8">
        <v>983151</v>
      </c>
      <c r="B4684" s="22" t="str">
        <f>IFERROR(VLOOKUP(A4684,VLOOKUPS!$A$2:B$12589,2,FALSE),"")</f>
        <v>Melons* Golden Honeydew 1ct-LOOSE</v>
      </c>
      <c r="E4684">
        <v>2.79</v>
      </c>
      <c r="F4684">
        <v>3.98</v>
      </c>
      <c r="G4684" s="13">
        <v>44730</v>
      </c>
      <c r="H4684" s="13"/>
      <c r="I4684" s="22" t="str">
        <f>VLOOKUP(J4684, Dropdowns!N:O, 2, FALSE)</f>
        <v>Standard</v>
      </c>
      <c r="J4684" t="s">
        <v>760</v>
      </c>
      <c r="L4684" s="17" t="s">
        <v>733</v>
      </c>
      <c r="M4684" s="17" t="s">
        <v>737</v>
      </c>
      <c r="N4684" s="17" t="s">
        <v>740</v>
      </c>
    </row>
    <row r="4685" spans="1:14" x14ac:dyDescent="0.25">
      <c r="A4685" s="8">
        <v>983201</v>
      </c>
      <c r="B4685" s="22" t="str">
        <f>IFERROR(VLOOKUP(A4685,VLOOKUPS!$A$2:B$12589,2,FALSE),"")</f>
        <v>Melons* Honeydew 1ct-LOOSE</v>
      </c>
      <c r="E4685">
        <v>3.98</v>
      </c>
      <c r="F4685">
        <v>2.79</v>
      </c>
      <c r="G4685" s="13">
        <v>44728</v>
      </c>
      <c r="H4685" s="13">
        <v>44729</v>
      </c>
      <c r="I4685" s="22" t="str">
        <f>VLOOKUP(J4685, Dropdowns!N:O, 2, FALSE)</f>
        <v>Lower Price</v>
      </c>
      <c r="J4685" t="s">
        <v>759</v>
      </c>
      <c r="L4685" s="17" t="s">
        <v>733</v>
      </c>
      <c r="M4685" s="17" t="s">
        <v>11</v>
      </c>
      <c r="N4685" s="17" t="s">
        <v>740</v>
      </c>
    </row>
    <row r="4686" spans="1:14" x14ac:dyDescent="0.25">
      <c r="A4686" s="8">
        <v>983201</v>
      </c>
      <c r="B4686" s="22" t="str">
        <f>IFERROR(VLOOKUP(A4686,VLOOKUPS!$A$2:B$12589,2,FALSE),"")</f>
        <v>Melons* Honeydew 1ct-LOOSE</v>
      </c>
      <c r="E4686">
        <v>2.79</v>
      </c>
      <c r="F4686">
        <v>3.98</v>
      </c>
      <c r="G4686" s="13">
        <v>44730</v>
      </c>
      <c r="H4686" s="13"/>
      <c r="I4686" s="22" t="str">
        <f>VLOOKUP(J4686, Dropdowns!N:O, 2, FALSE)</f>
        <v>Standard</v>
      </c>
      <c r="J4686" t="s">
        <v>760</v>
      </c>
      <c r="L4686" s="17" t="s">
        <v>733</v>
      </c>
      <c r="M4686" s="17" t="s">
        <v>11</v>
      </c>
      <c r="N4686" s="17" t="s">
        <v>740</v>
      </c>
    </row>
    <row r="4687" spans="1:14" x14ac:dyDescent="0.25">
      <c r="A4687" s="8">
        <v>984460</v>
      </c>
      <c r="B4687" s="22" t="str">
        <f>IFERROR(VLOOKUP(A4687,VLOOKUPS!$A$2:B$12589,2,FALSE),"")</f>
        <v>Strawberries 1lb-standard</v>
      </c>
      <c r="E4687">
        <v>2.48</v>
      </c>
      <c r="F4687">
        <v>2.29</v>
      </c>
      <c r="G4687" s="13">
        <v>44728</v>
      </c>
      <c r="H4687" s="13"/>
      <c r="I4687" s="22" t="str">
        <f>VLOOKUP(J4687, Dropdowns!N:O, 2, FALSE)</f>
        <v>Standard</v>
      </c>
      <c r="J4687" t="s">
        <v>761</v>
      </c>
      <c r="L4687" s="17" t="s">
        <v>733</v>
      </c>
      <c r="M4687" s="17" t="s">
        <v>9</v>
      </c>
      <c r="N4687" s="17" t="s">
        <v>740</v>
      </c>
    </row>
    <row r="4688" spans="1:14" x14ac:dyDescent="0.25">
      <c r="A4688" s="8">
        <v>984460</v>
      </c>
      <c r="B4688" s="22" t="str">
        <f>IFERROR(VLOOKUP(A4688,VLOOKUPS!$A$2:B$12589,2,FALSE),"")</f>
        <v>Strawberries 1lb-standard</v>
      </c>
      <c r="E4688">
        <v>1.48</v>
      </c>
      <c r="F4688">
        <v>2.48</v>
      </c>
      <c r="G4688" s="13">
        <v>44728</v>
      </c>
      <c r="H4688" s="13"/>
      <c r="I4688" s="22" t="str">
        <f>VLOOKUP(J4688, Dropdowns!N:O, 2, FALSE)</f>
        <v>Standard</v>
      </c>
      <c r="J4688" t="s">
        <v>760</v>
      </c>
      <c r="L4688" s="17" t="s">
        <v>732</v>
      </c>
      <c r="M4688" s="17" t="s">
        <v>738</v>
      </c>
      <c r="N4688" s="17">
        <v>2</v>
      </c>
    </row>
    <row r="4689" spans="1:14" x14ac:dyDescent="0.25">
      <c r="A4689" s="8">
        <v>984460</v>
      </c>
      <c r="B4689" s="22" t="str">
        <f>IFERROR(VLOOKUP(A4689,VLOOKUPS!$A$2:B$12589,2,FALSE),"")</f>
        <v>Strawberries 1lb-standard</v>
      </c>
      <c r="E4689">
        <v>2.48</v>
      </c>
      <c r="F4689">
        <v>2.29</v>
      </c>
      <c r="G4689" s="13">
        <v>44729</v>
      </c>
      <c r="H4689" s="13"/>
      <c r="I4689" s="22" t="str">
        <f>VLOOKUP(J4689, Dropdowns!N:O, 2, FALSE)</f>
        <v>Standard</v>
      </c>
      <c r="J4689" t="s">
        <v>761</v>
      </c>
      <c r="L4689" s="17" t="s">
        <v>732</v>
      </c>
      <c r="M4689" s="17" t="s">
        <v>738</v>
      </c>
      <c r="N4689" s="17">
        <v>2</v>
      </c>
    </row>
    <row r="4690" spans="1:14" x14ac:dyDescent="0.25">
      <c r="A4690" s="8">
        <v>984620</v>
      </c>
      <c r="B4690" s="22" t="str">
        <f>IFERROR(VLOOKUP(A4690,VLOOKUPS!$A$2:B$12589,2,FALSE),"")</f>
        <v>Raspberries 6oz-standard</v>
      </c>
      <c r="E4690">
        <v>2.98</v>
      </c>
      <c r="F4690">
        <v>0.99</v>
      </c>
      <c r="G4690" s="13">
        <v>44728</v>
      </c>
      <c r="H4690" s="13">
        <v>44730</v>
      </c>
      <c r="I4690" s="22" t="str">
        <f>VLOOKUP(J4690, Dropdowns!N:O, 2, FALSE)</f>
        <v>Lower Price</v>
      </c>
      <c r="J4690" t="s">
        <v>759</v>
      </c>
      <c r="L4690" s="17" t="s">
        <v>732</v>
      </c>
      <c r="M4690" s="17" t="s">
        <v>10</v>
      </c>
      <c r="N4690" s="17">
        <v>2</v>
      </c>
    </row>
    <row r="4691" spans="1:14" x14ac:dyDescent="0.25">
      <c r="A4691" s="8">
        <v>984620</v>
      </c>
      <c r="B4691" s="22" t="str">
        <f>IFERROR(VLOOKUP(A4691,VLOOKUPS!$A$2:B$12589,2,FALSE),"")</f>
        <v>Raspberries 6oz-standard</v>
      </c>
      <c r="E4691">
        <v>0.99</v>
      </c>
      <c r="F4691">
        <v>2.98</v>
      </c>
      <c r="G4691" s="13">
        <v>44731</v>
      </c>
      <c r="H4691" s="13"/>
      <c r="I4691" s="22" t="str">
        <f>VLOOKUP(J4691, Dropdowns!N:O, 2, FALSE)</f>
        <v>Standard</v>
      </c>
      <c r="J4691" t="s">
        <v>760</v>
      </c>
      <c r="L4691" s="17" t="s">
        <v>732</v>
      </c>
      <c r="M4691" s="17" t="s">
        <v>10</v>
      </c>
      <c r="N4691" s="17">
        <v>2</v>
      </c>
    </row>
    <row r="4692" spans="1:14" x14ac:dyDescent="0.25">
      <c r="A4692" s="8">
        <v>984700</v>
      </c>
      <c r="B4692" s="22" t="str">
        <f>IFERROR(VLOOKUP(A4692,VLOOKUPS!$A$2:B$12589,2,FALSE),"")</f>
        <v>Blackberries 6oz-standard</v>
      </c>
      <c r="G4692" s="13">
        <v>44728</v>
      </c>
      <c r="H4692" s="13">
        <v>44728</v>
      </c>
      <c r="I4692" s="22" t="str">
        <f>VLOOKUP(J4692, Dropdowns!N:O, 2, FALSE)</f>
        <v>Lower Price</v>
      </c>
      <c r="J4692" t="s">
        <v>762</v>
      </c>
      <c r="L4692" s="17" t="s">
        <v>732</v>
      </c>
      <c r="M4692" s="17" t="s">
        <v>9</v>
      </c>
      <c r="N4692" s="17" t="s">
        <v>736</v>
      </c>
    </row>
    <row r="4693" spans="1:14" x14ac:dyDescent="0.25">
      <c r="A4693" s="8">
        <v>984701</v>
      </c>
      <c r="B4693" s="22" t="str">
        <f>IFERROR(VLOOKUP(A4693,VLOOKUPS!$A$2:B$12589,2,FALSE),"")</f>
        <v>Blackberries Super Sweet 6oz-standard</v>
      </c>
      <c r="E4693">
        <v>3.49</v>
      </c>
      <c r="F4693">
        <v>2.44</v>
      </c>
      <c r="G4693" s="13">
        <v>44728</v>
      </c>
      <c r="H4693" s="13">
        <v>44729</v>
      </c>
      <c r="I4693" s="22" t="str">
        <f>VLOOKUP(J4693, Dropdowns!N:O, 2, FALSE)</f>
        <v>Lower Price</v>
      </c>
      <c r="J4693" t="s">
        <v>759</v>
      </c>
      <c r="L4693" s="17" t="s">
        <v>732</v>
      </c>
      <c r="M4693" s="17" t="s">
        <v>736</v>
      </c>
      <c r="N4693" s="17" t="s">
        <v>736</v>
      </c>
    </row>
    <row r="4694" spans="1:14" x14ac:dyDescent="0.25">
      <c r="A4694" s="8">
        <v>984701</v>
      </c>
      <c r="B4694" s="22" t="str">
        <f>IFERROR(VLOOKUP(A4694,VLOOKUPS!$A$2:B$12589,2,FALSE),"")</f>
        <v>Blackberries Super Sweet 6oz-standard</v>
      </c>
      <c r="E4694">
        <v>2.44</v>
      </c>
      <c r="F4694">
        <v>3.49</v>
      </c>
      <c r="G4694" s="13">
        <v>44730</v>
      </c>
      <c r="H4694" s="13"/>
      <c r="I4694" s="22" t="str">
        <f>VLOOKUP(J4694, Dropdowns!N:O, 2, FALSE)</f>
        <v>Standard</v>
      </c>
      <c r="J4694" t="s">
        <v>760</v>
      </c>
      <c r="L4694" s="17" t="s">
        <v>732</v>
      </c>
      <c r="M4694" s="17" t="s">
        <v>736</v>
      </c>
      <c r="N4694" s="17" t="s">
        <v>736</v>
      </c>
    </row>
    <row r="4695" spans="1:14" x14ac:dyDescent="0.25">
      <c r="A4695" s="8">
        <v>984702</v>
      </c>
      <c r="B4695" s="22" t="str">
        <f>IFERROR(VLOOKUP(A4695,VLOOKUPS!$A$2:B$12589,2,FALSE),"")</f>
        <v>Blackberries 12oz-standard</v>
      </c>
      <c r="E4695">
        <v>4.9800000000000004</v>
      </c>
      <c r="F4695">
        <v>3.87</v>
      </c>
      <c r="G4695" s="13">
        <v>44728</v>
      </c>
      <c r="H4695" s="13">
        <v>44729</v>
      </c>
      <c r="I4695" s="22" t="str">
        <f>VLOOKUP(J4695, Dropdowns!N:O, 2, FALSE)</f>
        <v>Lower Price</v>
      </c>
      <c r="J4695" t="s">
        <v>759</v>
      </c>
      <c r="L4695" s="17" t="s">
        <v>732</v>
      </c>
      <c r="M4695" s="17" t="s">
        <v>738</v>
      </c>
      <c r="N4695" s="17">
        <v>2</v>
      </c>
    </row>
    <row r="4696" spans="1:14" x14ac:dyDescent="0.25">
      <c r="A4696" s="8">
        <v>984702</v>
      </c>
      <c r="B4696" s="22" t="str">
        <f>IFERROR(VLOOKUP(A4696,VLOOKUPS!$A$2:B$12589,2,FALSE),"")</f>
        <v>Blackberries 12oz-standard</v>
      </c>
      <c r="E4696">
        <v>3.87</v>
      </c>
      <c r="F4696">
        <v>4.9800000000000004</v>
      </c>
      <c r="G4696" s="13">
        <v>44730</v>
      </c>
      <c r="H4696" s="13"/>
      <c r="I4696" s="22" t="str">
        <f>VLOOKUP(J4696, Dropdowns!N:O, 2, FALSE)</f>
        <v>Standard</v>
      </c>
      <c r="J4696" t="s">
        <v>760</v>
      </c>
      <c r="L4696" s="17" t="s">
        <v>732</v>
      </c>
      <c r="M4696" s="17" t="s">
        <v>738</v>
      </c>
      <c r="N4696" s="17">
        <v>2</v>
      </c>
    </row>
    <row r="4697" spans="1:14" x14ac:dyDescent="0.25">
      <c r="A4697" s="8">
        <v>988620</v>
      </c>
      <c r="B4697" s="22" t="str">
        <f>IFERROR(VLOOKUP(A4697,VLOOKUPS!$A$2:B$12589,2,FALSE),"")</f>
        <v>Brussels Sprouts 1lb-standard</v>
      </c>
      <c r="E4697">
        <v>2.89</v>
      </c>
      <c r="F4697">
        <v>1.73</v>
      </c>
      <c r="G4697" s="13">
        <v>44728</v>
      </c>
      <c r="H4697" s="13">
        <v>44729</v>
      </c>
      <c r="I4697" s="22" t="str">
        <f>VLOOKUP(J4697, Dropdowns!N:O, 2, FALSE)</f>
        <v>Lower Price</v>
      </c>
      <c r="J4697" t="s">
        <v>759</v>
      </c>
      <c r="L4697" s="17" t="s">
        <v>732</v>
      </c>
      <c r="M4697" s="17" t="s">
        <v>738</v>
      </c>
      <c r="N4697" s="17">
        <v>2</v>
      </c>
    </row>
    <row r="4698" spans="1:14" x14ac:dyDescent="0.25">
      <c r="A4698" s="8">
        <v>988620</v>
      </c>
      <c r="B4698" s="22" t="str">
        <f>IFERROR(VLOOKUP(A4698,VLOOKUPS!$A$2:B$12589,2,FALSE),"")</f>
        <v>Brussels Sprouts 1lb-standard</v>
      </c>
      <c r="E4698">
        <v>1.73</v>
      </c>
      <c r="F4698">
        <v>2.89</v>
      </c>
      <c r="G4698" s="13">
        <v>44730</v>
      </c>
      <c r="H4698" s="13"/>
      <c r="I4698" s="22" t="str">
        <f>VLOOKUP(J4698, Dropdowns!N:O, 2, FALSE)</f>
        <v>Standard</v>
      </c>
      <c r="J4698" t="s">
        <v>760</v>
      </c>
      <c r="L4698" s="17" t="s">
        <v>732</v>
      </c>
      <c r="M4698" s="17" t="s">
        <v>738</v>
      </c>
      <c r="N4698" s="17">
        <v>2</v>
      </c>
    </row>
    <row r="4699" spans="1:14" x14ac:dyDescent="0.25">
      <c r="A4699" s="8">
        <v>995015</v>
      </c>
      <c r="B4699" s="22" t="str">
        <f>IFERROR(VLOOKUP(A4699,VLOOKUPS!$A$2:B$12589,2,FALSE),"")</f>
        <v>Savory Spinach Dijon Salad 4.9oz-standard</v>
      </c>
      <c r="E4699">
        <v>3.69</v>
      </c>
      <c r="F4699">
        <v>3.79</v>
      </c>
      <c r="G4699" s="13">
        <v>44728</v>
      </c>
      <c r="H4699" s="13"/>
      <c r="I4699" s="22" t="str">
        <f>VLOOKUP(J4699, Dropdowns!N:O, 2, FALSE)</f>
        <v>Standard</v>
      </c>
      <c r="J4699" t="s">
        <v>761</v>
      </c>
      <c r="L4699" s="17" t="s">
        <v>734</v>
      </c>
      <c r="M4699" s="17" t="s">
        <v>9</v>
      </c>
      <c r="N4699" s="17" t="s">
        <v>736</v>
      </c>
    </row>
    <row r="4700" spans="1:14" x14ac:dyDescent="0.25">
      <c r="A4700" s="8">
        <v>995184</v>
      </c>
      <c r="B4700" s="22" t="str">
        <f>IFERROR(VLOOKUP(A4700,VLOOKUPS!$A$2:B$12589,2,FALSE),"")</f>
        <v>English Peas 8oz-standard</v>
      </c>
      <c r="E4700">
        <v>2.5</v>
      </c>
      <c r="F4700">
        <v>1.5</v>
      </c>
      <c r="G4700" s="13">
        <v>44728</v>
      </c>
      <c r="H4700" s="13">
        <v>44729</v>
      </c>
      <c r="I4700" s="22" t="str">
        <f>VLOOKUP(J4700, Dropdowns!N:O, 2, FALSE)</f>
        <v>Lower Price</v>
      </c>
      <c r="J4700" t="s">
        <v>759</v>
      </c>
      <c r="L4700" s="17" t="s">
        <v>732</v>
      </c>
      <c r="M4700" s="17" t="s">
        <v>10</v>
      </c>
      <c r="N4700" s="17">
        <v>2</v>
      </c>
    </row>
    <row r="4701" spans="1:14" x14ac:dyDescent="0.25">
      <c r="A4701" s="8">
        <v>995184</v>
      </c>
      <c r="B4701" s="22" t="str">
        <f>IFERROR(VLOOKUP(A4701,VLOOKUPS!$A$2:B$12589,2,FALSE),"")</f>
        <v>English Peas 8oz-standard</v>
      </c>
      <c r="E4701">
        <v>1.5</v>
      </c>
      <c r="F4701">
        <v>2.5</v>
      </c>
      <c r="G4701" s="13">
        <v>44730</v>
      </c>
      <c r="H4701" s="13"/>
      <c r="I4701" s="22" t="str">
        <f>VLOOKUP(J4701, Dropdowns!N:O, 2, FALSE)</f>
        <v>Standard</v>
      </c>
      <c r="J4701" t="s">
        <v>760</v>
      </c>
      <c r="L4701" s="17" t="s">
        <v>732</v>
      </c>
      <c r="M4701" s="17" t="s">
        <v>10</v>
      </c>
      <c r="N4701" s="17">
        <v>2</v>
      </c>
    </row>
    <row r="4702" spans="1:14" x14ac:dyDescent="0.25">
      <c r="A4702" s="8">
        <v>984620</v>
      </c>
      <c r="B4702" s="22" t="str">
        <f>IFERROR(VLOOKUP(A4702,VLOOKUPS!$A$2:B$12589,2,FALSE),"")</f>
        <v>Raspberries 6oz-standard</v>
      </c>
      <c r="E4702">
        <v>2.98</v>
      </c>
      <c r="F4702">
        <v>2.09</v>
      </c>
      <c r="G4702" s="13">
        <v>44729</v>
      </c>
      <c r="H4702" s="13">
        <v>44730</v>
      </c>
      <c r="I4702" s="22" t="str">
        <f>VLOOKUP(J4702, Dropdowns!N:O, 2, FALSE)</f>
        <v>Lower Price</v>
      </c>
      <c r="J4702" t="s">
        <v>759</v>
      </c>
      <c r="L4702" s="17" t="s">
        <v>733</v>
      </c>
      <c r="M4702" s="17" t="s">
        <v>11</v>
      </c>
      <c r="N4702" s="17" t="s">
        <v>740</v>
      </c>
    </row>
    <row r="4703" spans="1:14" x14ac:dyDescent="0.25">
      <c r="A4703" s="8">
        <v>984620</v>
      </c>
      <c r="B4703" s="22" t="str">
        <f>IFERROR(VLOOKUP(A4703,VLOOKUPS!$A$2:B$12589,2,FALSE),"")</f>
        <v>Raspberries 6oz-standard</v>
      </c>
      <c r="E4703">
        <v>2.09</v>
      </c>
      <c r="F4703">
        <v>2.98</v>
      </c>
      <c r="G4703" s="13">
        <v>44731</v>
      </c>
      <c r="H4703" s="13"/>
      <c r="I4703" s="22" t="str">
        <f>VLOOKUP(J4703, Dropdowns!N:O, 2, FALSE)</f>
        <v>Standard</v>
      </c>
      <c r="J4703" t="s">
        <v>760</v>
      </c>
      <c r="L4703" s="17" t="s">
        <v>733</v>
      </c>
      <c r="M4703" s="17" t="s">
        <v>11</v>
      </c>
      <c r="N4703" s="17" t="s">
        <v>740</v>
      </c>
    </row>
    <row r="4704" spans="1:14" x14ac:dyDescent="0.25">
      <c r="A4704" s="8">
        <v>984700</v>
      </c>
      <c r="B4704" s="22" t="str">
        <f>IFERROR(VLOOKUP(A4704,VLOOKUPS!$A$2:B$12589,2,FALSE),"")</f>
        <v>Blackberries 6oz-standard</v>
      </c>
      <c r="E4704">
        <v>1.29</v>
      </c>
      <c r="F4704">
        <v>2.2400000000000002</v>
      </c>
      <c r="G4704" s="13">
        <v>44729</v>
      </c>
      <c r="H4704" s="13"/>
      <c r="I4704" s="22" t="str">
        <f>VLOOKUP(J4704, Dropdowns!N:O, 2, FALSE)</f>
        <v>Standard</v>
      </c>
      <c r="J4704" t="s">
        <v>760</v>
      </c>
      <c r="L4704" s="17" t="s">
        <v>733</v>
      </c>
      <c r="M4704" s="17" t="s">
        <v>9</v>
      </c>
      <c r="N4704" s="17" t="s">
        <v>740</v>
      </c>
    </row>
    <row r="4705" spans="1:14" x14ac:dyDescent="0.25">
      <c r="A4705" s="8">
        <v>984700</v>
      </c>
      <c r="B4705" s="22" t="str">
        <f>IFERROR(VLOOKUP(A4705,VLOOKUPS!$A$2:B$12589,2,FALSE),"")</f>
        <v>Blackberries 6oz-standard</v>
      </c>
      <c r="E4705">
        <v>1.44</v>
      </c>
      <c r="F4705">
        <v>2.39</v>
      </c>
      <c r="G4705" s="13">
        <v>44729</v>
      </c>
      <c r="H4705" s="13"/>
      <c r="I4705" s="22" t="str">
        <f>VLOOKUP(J4705, Dropdowns!N:O, 2, FALSE)</f>
        <v>Standard</v>
      </c>
      <c r="J4705" t="s">
        <v>760</v>
      </c>
      <c r="L4705" s="17" t="s">
        <v>734</v>
      </c>
      <c r="M4705" s="17" t="s">
        <v>9</v>
      </c>
      <c r="N4705" s="17" t="s">
        <v>736</v>
      </c>
    </row>
    <row r="4706" spans="1:14" x14ac:dyDescent="0.25">
      <c r="A4706" s="8">
        <v>984700</v>
      </c>
      <c r="B4706" s="22" t="str">
        <f>IFERROR(VLOOKUP(A4706,VLOOKUPS!$A$2:B$12589,2,FALSE),"")</f>
        <v>Blackberries 6oz-standard</v>
      </c>
      <c r="E4706">
        <v>2.2400000000000002</v>
      </c>
      <c r="F4706">
        <v>2.88</v>
      </c>
      <c r="G4706" s="13">
        <v>44730</v>
      </c>
      <c r="H4706" s="13"/>
      <c r="I4706" s="22" t="str">
        <f>VLOOKUP(J4706, Dropdowns!N:O, 2, FALSE)</f>
        <v>Standard</v>
      </c>
      <c r="J4706" t="s">
        <v>761</v>
      </c>
      <c r="L4706" s="17" t="s">
        <v>733</v>
      </c>
      <c r="M4706" s="17" t="s">
        <v>9</v>
      </c>
      <c r="N4706" s="17" t="s">
        <v>740</v>
      </c>
    </row>
    <row r="4707" spans="1:14" x14ac:dyDescent="0.25">
      <c r="A4707" s="8">
        <v>984700</v>
      </c>
      <c r="B4707" s="22" t="str">
        <f>IFERROR(VLOOKUP(A4707,VLOOKUPS!$A$2:B$12589,2,FALSE),"")</f>
        <v>Blackberries 6oz-standard</v>
      </c>
      <c r="E4707">
        <v>2.39</v>
      </c>
      <c r="F4707">
        <v>3.19</v>
      </c>
      <c r="G4707" s="13">
        <v>44730</v>
      </c>
      <c r="H4707" s="13"/>
      <c r="I4707" s="22" t="str">
        <f>VLOOKUP(J4707, Dropdowns!N:O, 2, FALSE)</f>
        <v>Standard</v>
      </c>
      <c r="J4707" t="s">
        <v>761</v>
      </c>
      <c r="L4707" s="17" t="s">
        <v>734</v>
      </c>
      <c r="M4707" s="17" t="s">
        <v>9</v>
      </c>
      <c r="N4707" s="17" t="s">
        <v>736</v>
      </c>
    </row>
    <row r="4708" spans="1:14" x14ac:dyDescent="0.25">
      <c r="A4708" s="8">
        <v>986400</v>
      </c>
      <c r="B4708" s="22" t="str">
        <f>IFERROR(VLOOKUP(A4708,VLOOKUPS!$A$2:B$12589,2,FALSE),"")</f>
        <v>Tomatoes* on the Vine 1lb-LOOSE</v>
      </c>
      <c r="E4708">
        <v>1.1499999999999999</v>
      </c>
      <c r="F4708">
        <v>1.98</v>
      </c>
      <c r="G4708" s="13">
        <v>44729</v>
      </c>
      <c r="H4708" s="13"/>
      <c r="I4708" s="22" t="str">
        <f>VLOOKUP(J4708, Dropdowns!N:O, 2, FALSE)</f>
        <v>Standard</v>
      </c>
      <c r="J4708" t="s">
        <v>760</v>
      </c>
      <c r="L4708" s="17" t="s">
        <v>733</v>
      </c>
      <c r="M4708" s="17" t="s">
        <v>11</v>
      </c>
      <c r="N4708" s="17" t="s">
        <v>740</v>
      </c>
    </row>
    <row r="4709" spans="1:14" x14ac:dyDescent="0.25">
      <c r="A4709" s="8">
        <v>988620</v>
      </c>
      <c r="B4709" s="22" t="str">
        <f>IFERROR(VLOOKUP(A4709,VLOOKUPS!$A$2:B$12589,2,FALSE),"")</f>
        <v>Brussels Sprouts 1lb-standard</v>
      </c>
      <c r="E4709">
        <v>2.89</v>
      </c>
      <c r="F4709">
        <v>1.73</v>
      </c>
      <c r="G4709" s="13">
        <v>44729</v>
      </c>
      <c r="H4709" s="13">
        <v>44730</v>
      </c>
      <c r="I4709" s="22" t="str">
        <f>VLOOKUP(J4709, Dropdowns!N:O, 2, FALSE)</f>
        <v>Lower Price</v>
      </c>
      <c r="J4709" t="s">
        <v>759</v>
      </c>
      <c r="L4709" s="17" t="s">
        <v>732</v>
      </c>
      <c r="M4709" s="17" t="s">
        <v>9</v>
      </c>
      <c r="N4709" s="17" t="s">
        <v>736</v>
      </c>
    </row>
    <row r="4710" spans="1:14" x14ac:dyDescent="0.25">
      <c r="A4710" s="8">
        <v>988620</v>
      </c>
      <c r="B4710" s="22" t="str">
        <f>IFERROR(VLOOKUP(A4710,VLOOKUPS!$A$2:B$12589,2,FALSE),"")</f>
        <v>Brussels Sprouts 1lb-standard</v>
      </c>
      <c r="E4710">
        <v>1.73</v>
      </c>
      <c r="F4710">
        <v>2.89</v>
      </c>
      <c r="G4710" s="13">
        <v>44731</v>
      </c>
      <c r="H4710" s="13"/>
      <c r="I4710" s="22" t="str">
        <f>VLOOKUP(J4710, Dropdowns!N:O, 2, FALSE)</f>
        <v>Standard</v>
      </c>
      <c r="J4710" t="s">
        <v>760</v>
      </c>
      <c r="L4710" s="17" t="s">
        <v>732</v>
      </c>
      <c r="M4710" s="17" t="s">
        <v>9</v>
      </c>
      <c r="N4710" s="17" t="s">
        <v>736</v>
      </c>
    </row>
    <row r="4711" spans="1:14" x14ac:dyDescent="0.25">
      <c r="A4711" s="8">
        <v>995082</v>
      </c>
      <c r="B4711" s="22" t="str">
        <f>IFERROR(VLOOKUP(A4711,VLOOKUPS!$A$2:B$12589,2,FALSE),"")</f>
        <v>Melon Trio 16oz-standard</v>
      </c>
      <c r="D4711">
        <v>4</v>
      </c>
      <c r="F4711">
        <v>3.99</v>
      </c>
      <c r="G4711" s="13">
        <v>44729</v>
      </c>
      <c r="H4711" s="13"/>
      <c r="I4711" s="22" t="str">
        <f>VLOOKUP(J4711, Dropdowns!N:O, 2, FALSE)</f>
        <v>New</v>
      </c>
      <c r="J4711" t="s">
        <v>776</v>
      </c>
      <c r="L4711" s="17" t="s">
        <v>733</v>
      </c>
      <c r="M4711" s="17" t="s">
        <v>735</v>
      </c>
      <c r="N4711" s="17" t="s">
        <v>740</v>
      </c>
    </row>
    <row r="4712" spans="1:14" x14ac:dyDescent="0.25">
      <c r="A4712" s="8">
        <v>995082</v>
      </c>
      <c r="B4712" s="22" t="str">
        <f>IFERROR(VLOOKUP(A4712,VLOOKUPS!$A$2:B$12589,2,FALSE),"")</f>
        <v>Melon Trio 16oz-standard</v>
      </c>
      <c r="D4712">
        <v>4</v>
      </c>
      <c r="F4712">
        <v>4.29</v>
      </c>
      <c r="G4712" s="13">
        <v>44729</v>
      </c>
      <c r="H4712" s="13"/>
      <c r="I4712" s="22" t="str">
        <f>VLOOKUP(J4712, Dropdowns!N:O, 2, FALSE)</f>
        <v>New</v>
      </c>
      <c r="J4712" t="s">
        <v>776</v>
      </c>
      <c r="L4712" s="17" t="s">
        <v>734</v>
      </c>
      <c r="M4712" s="17" t="s">
        <v>9</v>
      </c>
      <c r="N4712" s="17" t="s">
        <v>736</v>
      </c>
    </row>
    <row r="4713" spans="1:14" x14ac:dyDescent="0.25">
      <c r="A4713" s="8">
        <v>995082</v>
      </c>
      <c r="B4713" s="22" t="str">
        <f>IFERROR(VLOOKUP(A4713,VLOOKUPS!$A$2:B$12589,2,FALSE),"")</f>
        <v>Melon Trio 16oz-standard</v>
      </c>
      <c r="D4713">
        <v>4</v>
      </c>
      <c r="F4713">
        <v>3.99</v>
      </c>
      <c r="G4713" s="13">
        <v>44729</v>
      </c>
      <c r="H4713" s="13"/>
      <c r="I4713" s="22" t="str">
        <f>VLOOKUP(J4713, Dropdowns!N:O, 2, FALSE)</f>
        <v>New</v>
      </c>
      <c r="J4713" t="s">
        <v>776</v>
      </c>
      <c r="L4713" s="17" t="s">
        <v>734</v>
      </c>
      <c r="M4713" s="17" t="s">
        <v>10</v>
      </c>
      <c r="N4713" s="17">
        <v>2</v>
      </c>
    </row>
    <row r="4714" spans="1:14" x14ac:dyDescent="0.25">
      <c r="A4714" s="8">
        <v>995082</v>
      </c>
      <c r="B4714" s="22" t="str">
        <f>IFERROR(VLOOKUP(A4714,VLOOKUPS!$A$2:B$12589,2,FALSE),"")</f>
        <v>Melon Trio 16oz-standard</v>
      </c>
      <c r="D4714">
        <v>4</v>
      </c>
      <c r="F4714">
        <v>3.49</v>
      </c>
      <c r="G4714" s="13">
        <v>44729</v>
      </c>
      <c r="H4714" s="13"/>
      <c r="I4714" s="22" t="str">
        <f>VLOOKUP(J4714, Dropdowns!N:O, 2, FALSE)</f>
        <v>New</v>
      </c>
      <c r="J4714" t="s">
        <v>776</v>
      </c>
      <c r="L4714" s="17" t="s">
        <v>733</v>
      </c>
      <c r="M4714" s="17" t="s">
        <v>11</v>
      </c>
      <c r="N4714" s="17" t="s">
        <v>740</v>
      </c>
    </row>
    <row r="4715" spans="1:14" x14ac:dyDescent="0.25">
      <c r="A4715" s="8">
        <v>984582</v>
      </c>
      <c r="B4715" s="22" t="str">
        <f>IFERROR(VLOOKUP(A4715,VLOOKUPS!$A$2:B$12589,2,FALSE),"")</f>
        <v>Organic Blueberries 1pt-standard</v>
      </c>
      <c r="E4715">
        <v>4.8600000000000003</v>
      </c>
      <c r="F4715">
        <v>4.96</v>
      </c>
      <c r="G4715" s="13">
        <v>44732</v>
      </c>
      <c r="H4715" s="13"/>
      <c r="I4715" s="22" t="str">
        <f>VLOOKUP(J4715, Dropdowns!N:O, 2, FALSE)</f>
        <v>Standard</v>
      </c>
      <c r="J4715" t="s">
        <v>761</v>
      </c>
      <c r="L4715" s="17" t="s">
        <v>733</v>
      </c>
      <c r="M4715" s="17" t="s">
        <v>736</v>
      </c>
      <c r="N4715" s="17" t="s">
        <v>740</v>
      </c>
    </row>
    <row r="4716" spans="1:14" x14ac:dyDescent="0.25">
      <c r="A4716" s="8">
        <v>984542</v>
      </c>
      <c r="B4716" s="22" t="str">
        <f>IFERROR(VLOOKUP(A4716,VLOOKUPS!$A$2:B$12589,2,FALSE),"")</f>
        <v>Blueberries 18oz-standard</v>
      </c>
      <c r="E4716">
        <v>4.8600000000000003</v>
      </c>
      <c r="F4716">
        <v>4.96</v>
      </c>
      <c r="G4716" s="13">
        <v>44732</v>
      </c>
      <c r="H4716" s="13"/>
      <c r="I4716" s="22" t="str">
        <f>VLOOKUP(J4716, Dropdowns!N:O, 2, FALSE)</f>
        <v>Standard</v>
      </c>
      <c r="J4716" t="s">
        <v>761</v>
      </c>
      <c r="L4716" s="17" t="s">
        <v>734</v>
      </c>
      <c r="M4716" s="17" t="s">
        <v>10</v>
      </c>
      <c r="N4716" s="17">
        <v>2</v>
      </c>
    </row>
    <row r="4717" spans="1:14" x14ac:dyDescent="0.25">
      <c r="A4717" s="8">
        <v>984620</v>
      </c>
      <c r="B4717" s="22" t="str">
        <f>IFERROR(VLOOKUP(A4717,VLOOKUPS!$A$2:B$12589,2,FALSE),"")</f>
        <v>Raspberries 6oz-standard</v>
      </c>
      <c r="E4717">
        <v>2.98</v>
      </c>
      <c r="F4717">
        <v>3.18</v>
      </c>
      <c r="G4717" s="13">
        <v>44732</v>
      </c>
      <c r="H4717" s="13"/>
      <c r="I4717" s="22" t="str">
        <f>VLOOKUP(J4717, Dropdowns!N:O, 2, FALSE)</f>
        <v>Standard</v>
      </c>
      <c r="J4717" t="s">
        <v>761</v>
      </c>
      <c r="L4717" s="17" t="s">
        <v>733</v>
      </c>
      <c r="M4717" s="17" t="s">
        <v>736</v>
      </c>
      <c r="N4717" s="17" t="s">
        <v>740</v>
      </c>
    </row>
    <row r="4718" spans="1:14" x14ac:dyDescent="0.25">
      <c r="A4718" s="8">
        <v>984620</v>
      </c>
      <c r="B4718" s="22" t="str">
        <f>IFERROR(VLOOKUP(A4718,VLOOKUPS!$A$2:B$12589,2,FALSE),"")</f>
        <v>Raspberries 6oz-standard</v>
      </c>
      <c r="E4718">
        <v>2.98</v>
      </c>
      <c r="F4718">
        <v>3.18</v>
      </c>
      <c r="G4718" s="13">
        <v>44732</v>
      </c>
      <c r="H4718" s="13"/>
      <c r="I4718" s="22" t="str">
        <f>VLOOKUP(J4718, Dropdowns!N:O, 2, FALSE)</f>
        <v>Standard</v>
      </c>
      <c r="J4718" t="s">
        <v>761</v>
      </c>
      <c r="L4718" s="17" t="s">
        <v>734</v>
      </c>
      <c r="M4718" s="17" t="s">
        <v>10</v>
      </c>
      <c r="N4718" s="17">
        <v>2</v>
      </c>
    </row>
    <row r="4719" spans="1:14" x14ac:dyDescent="0.25">
      <c r="A4719" s="8">
        <v>984620</v>
      </c>
      <c r="B4719" s="22" t="str">
        <f>IFERROR(VLOOKUP(A4719,VLOOKUPS!$A$2:B$12589,2,FALSE),"")</f>
        <v>Raspberries 6oz-standard</v>
      </c>
      <c r="E4719">
        <v>3.18</v>
      </c>
      <c r="F4719">
        <v>3.49</v>
      </c>
      <c r="G4719" s="13">
        <v>44732</v>
      </c>
      <c r="H4719" s="13"/>
      <c r="I4719" s="22" t="str">
        <f>VLOOKUP(J4719, Dropdowns!N:O, 2, FALSE)</f>
        <v>Standard</v>
      </c>
      <c r="J4719" t="s">
        <v>761</v>
      </c>
      <c r="L4719" s="17" t="s">
        <v>734</v>
      </c>
      <c r="M4719" s="17" t="s">
        <v>9</v>
      </c>
      <c r="N4719" s="17" t="s">
        <v>736</v>
      </c>
    </row>
    <row r="4720" spans="1:14" x14ac:dyDescent="0.25">
      <c r="A4720" s="8">
        <v>984621</v>
      </c>
      <c r="B4720" s="22" t="str">
        <f>IFERROR(VLOOKUP(A4720,VLOOKUPS!$A$2:B$12589,2,FALSE),"")</f>
        <v>Raspberries 12oz-standard</v>
      </c>
      <c r="E4720">
        <v>5.48</v>
      </c>
      <c r="F4720">
        <v>5.94</v>
      </c>
      <c r="G4720" s="13">
        <v>44732</v>
      </c>
      <c r="H4720" s="13"/>
      <c r="I4720" s="22" t="str">
        <f>VLOOKUP(J4720, Dropdowns!N:O, 2, FALSE)</f>
        <v>Standard</v>
      </c>
      <c r="J4720" t="s">
        <v>761</v>
      </c>
      <c r="L4720" s="17" t="s">
        <v>733</v>
      </c>
      <c r="M4720" s="17" t="s">
        <v>736</v>
      </c>
      <c r="N4720" s="17" t="s">
        <v>740</v>
      </c>
    </row>
    <row r="4721" spans="1:14" x14ac:dyDescent="0.25">
      <c r="A4721" s="8">
        <v>984621</v>
      </c>
      <c r="B4721" s="22" t="str">
        <f>IFERROR(VLOOKUP(A4721,VLOOKUPS!$A$2:B$12589,2,FALSE),"")</f>
        <v>Raspberries 12oz-standard</v>
      </c>
      <c r="E4721">
        <v>5.48</v>
      </c>
      <c r="F4721">
        <v>5.94</v>
      </c>
      <c r="G4721" s="13">
        <v>44732</v>
      </c>
      <c r="H4721" s="13"/>
      <c r="I4721" s="22" t="str">
        <f>VLOOKUP(J4721, Dropdowns!N:O, 2, FALSE)</f>
        <v>Standard</v>
      </c>
      <c r="J4721" t="s">
        <v>761</v>
      </c>
      <c r="L4721" s="17" t="s">
        <v>734</v>
      </c>
      <c r="M4721" s="17" t="s">
        <v>10</v>
      </c>
      <c r="N4721" s="17">
        <v>2</v>
      </c>
    </row>
    <row r="4722" spans="1:14" x14ac:dyDescent="0.25">
      <c r="A4722" s="8">
        <v>984621</v>
      </c>
      <c r="B4722" s="22" t="str">
        <f>IFERROR(VLOOKUP(A4722,VLOOKUPS!$A$2:B$12589,2,FALSE),"")</f>
        <v>Raspberries 12oz-standard</v>
      </c>
      <c r="E4722">
        <v>6.19</v>
      </c>
      <c r="F4722">
        <v>6.49</v>
      </c>
      <c r="G4722" s="13">
        <v>44732</v>
      </c>
      <c r="H4722" s="13"/>
      <c r="I4722" s="22" t="str">
        <f>VLOOKUP(J4722, Dropdowns!N:O, 2, FALSE)</f>
        <v>Standard</v>
      </c>
      <c r="J4722" t="s">
        <v>761</v>
      </c>
      <c r="L4722" s="17" t="s">
        <v>734</v>
      </c>
      <c r="M4722" s="17" t="s">
        <v>9</v>
      </c>
      <c r="N4722" s="17" t="s">
        <v>736</v>
      </c>
    </row>
    <row r="4723" spans="1:14" x14ac:dyDescent="0.25">
      <c r="A4723" s="8">
        <v>984460</v>
      </c>
      <c r="B4723" s="22" t="str">
        <f>IFERROR(VLOOKUP(A4723,VLOOKUPS!$A$2:B$12589,2,FALSE),"")</f>
        <v>Strawberries 1lb-standard</v>
      </c>
      <c r="E4723">
        <v>2.99</v>
      </c>
      <c r="F4723">
        <v>2.29</v>
      </c>
      <c r="G4723" s="13">
        <v>44733</v>
      </c>
      <c r="H4723" s="13"/>
      <c r="I4723" s="22" t="str">
        <f>VLOOKUP(J4723, Dropdowns!N:O, 2, FALSE)</f>
        <v>Standard</v>
      </c>
      <c r="J4723" t="s">
        <v>761</v>
      </c>
      <c r="L4723" s="17" t="s">
        <v>734</v>
      </c>
      <c r="M4723" s="17" t="s">
        <v>9</v>
      </c>
      <c r="N4723" s="17" t="s">
        <v>736</v>
      </c>
    </row>
    <row r="4724" spans="1:14" x14ac:dyDescent="0.25">
      <c r="A4724" s="8">
        <v>995032</v>
      </c>
      <c r="B4724" s="22" t="str">
        <f>IFERROR(VLOOKUP(A4724,VLOOKUPS!$A$2:B$12589,2,FALSE),"")</f>
        <v>Chopped Sunflower Crunch Kit 12.2oz-standard</v>
      </c>
      <c r="E4724">
        <v>3.49</v>
      </c>
      <c r="F4724">
        <v>2.09</v>
      </c>
      <c r="G4724" s="13">
        <v>44730</v>
      </c>
      <c r="H4724" s="13">
        <v>44731</v>
      </c>
      <c r="I4724" s="22" t="str">
        <f>VLOOKUP(J4724, Dropdowns!N:O, 2, FALSE)</f>
        <v>Lower Price</v>
      </c>
      <c r="J4724" t="s">
        <v>759</v>
      </c>
      <c r="L4724" s="17" t="s">
        <v>732</v>
      </c>
      <c r="M4724" s="17" t="s">
        <v>10</v>
      </c>
      <c r="N4724" s="17">
        <v>2</v>
      </c>
    </row>
    <row r="4725" spans="1:14" x14ac:dyDescent="0.25">
      <c r="A4725" s="8">
        <v>995032</v>
      </c>
      <c r="B4725" s="22" t="str">
        <f>IFERROR(VLOOKUP(A4725,VLOOKUPS!$A$2:B$12589,2,FALSE),"")</f>
        <v>Chopped Sunflower Crunch Kit 12.2oz-standard</v>
      </c>
      <c r="E4725">
        <v>2.09</v>
      </c>
      <c r="F4725">
        <v>3.49</v>
      </c>
      <c r="G4725" s="13">
        <v>44732</v>
      </c>
      <c r="H4725" s="13"/>
      <c r="I4725" s="22" t="str">
        <f>VLOOKUP(J4725, Dropdowns!N:O, 2, FALSE)</f>
        <v>Standard</v>
      </c>
      <c r="J4725" t="s">
        <v>760</v>
      </c>
      <c r="L4725" s="17" t="s">
        <v>732</v>
      </c>
      <c r="M4725" s="17" t="s">
        <v>10</v>
      </c>
      <c r="N4725" s="17">
        <v>2</v>
      </c>
    </row>
    <row r="4726" spans="1:14" x14ac:dyDescent="0.25">
      <c r="A4726" s="8">
        <v>995071</v>
      </c>
      <c r="B4726" s="22" t="str">
        <f>IFERROR(VLOOKUP(A4726,VLOOKUPS!$A$2:B$12589,2,FALSE),"")</f>
        <v>Broccoli Florets 12oz-standard</v>
      </c>
      <c r="E4726">
        <v>2.78</v>
      </c>
      <c r="F4726">
        <v>1.67</v>
      </c>
      <c r="G4726" s="13">
        <v>44730</v>
      </c>
      <c r="H4726" s="13">
        <v>44731</v>
      </c>
      <c r="I4726" s="22" t="str">
        <f>VLOOKUP(J4726, Dropdowns!N:O, 2, FALSE)</f>
        <v>Lower Price</v>
      </c>
      <c r="J4726" t="s">
        <v>759</v>
      </c>
      <c r="L4726" s="17" t="s">
        <v>733</v>
      </c>
      <c r="M4726" s="17" t="s">
        <v>9</v>
      </c>
      <c r="N4726" s="17" t="s">
        <v>740</v>
      </c>
    </row>
    <row r="4727" spans="1:14" x14ac:dyDescent="0.25">
      <c r="A4727" s="8">
        <v>995071</v>
      </c>
      <c r="B4727" s="22" t="str">
        <f>IFERROR(VLOOKUP(A4727,VLOOKUPS!$A$2:B$12589,2,FALSE),"")</f>
        <v>Broccoli Florets 12oz-standard</v>
      </c>
      <c r="E4727">
        <v>2.99</v>
      </c>
      <c r="F4727">
        <v>1.79</v>
      </c>
      <c r="G4727" s="13">
        <v>44730</v>
      </c>
      <c r="H4727" s="13">
        <v>44731</v>
      </c>
      <c r="I4727" s="22" t="str">
        <f>VLOOKUP(J4727, Dropdowns!N:O, 2, FALSE)</f>
        <v>Lower Price</v>
      </c>
      <c r="J4727" t="s">
        <v>759</v>
      </c>
      <c r="L4727" s="17" t="s">
        <v>734</v>
      </c>
      <c r="M4727" s="17" t="s">
        <v>9</v>
      </c>
      <c r="N4727" s="17" t="s">
        <v>736</v>
      </c>
    </row>
    <row r="4728" spans="1:14" x14ac:dyDescent="0.25">
      <c r="A4728" s="8">
        <v>995071</v>
      </c>
      <c r="B4728" s="22" t="str">
        <f>IFERROR(VLOOKUP(A4728,VLOOKUPS!$A$2:B$12589,2,FALSE),"")</f>
        <v>Broccoli Florets 12oz-standard</v>
      </c>
      <c r="E4728">
        <v>1.67</v>
      </c>
      <c r="F4728">
        <v>2.78</v>
      </c>
      <c r="G4728" s="13">
        <v>44732</v>
      </c>
      <c r="H4728" s="13"/>
      <c r="I4728" s="22" t="str">
        <f>VLOOKUP(J4728, Dropdowns!N:O, 2, FALSE)</f>
        <v>Standard</v>
      </c>
      <c r="J4728" t="s">
        <v>760</v>
      </c>
      <c r="L4728" s="17" t="s">
        <v>733</v>
      </c>
      <c r="M4728" s="17" t="s">
        <v>9</v>
      </c>
      <c r="N4728" s="17" t="s">
        <v>740</v>
      </c>
    </row>
    <row r="4729" spans="1:14" x14ac:dyDescent="0.25">
      <c r="A4729" s="8">
        <v>995071</v>
      </c>
      <c r="B4729" s="22" t="str">
        <f>IFERROR(VLOOKUP(A4729,VLOOKUPS!$A$2:B$12589,2,FALSE),"")</f>
        <v>Broccoli Florets 12oz-standard</v>
      </c>
      <c r="E4729">
        <v>1.79</v>
      </c>
      <c r="F4729">
        <v>2.99</v>
      </c>
      <c r="G4729" s="13">
        <v>44732</v>
      </c>
      <c r="H4729" s="13"/>
      <c r="I4729" s="22" t="str">
        <f>VLOOKUP(J4729, Dropdowns!N:O, 2, FALSE)</f>
        <v>Standard</v>
      </c>
      <c r="J4729" t="s">
        <v>760</v>
      </c>
      <c r="L4729" s="17" t="s">
        <v>734</v>
      </c>
      <c r="M4729" s="17" t="s">
        <v>9</v>
      </c>
      <c r="N4729" s="17" t="s">
        <v>736</v>
      </c>
    </row>
    <row r="4730" spans="1:14" x14ac:dyDescent="0.25">
      <c r="A4730" s="8">
        <v>995084</v>
      </c>
      <c r="B4730" s="22" t="str">
        <f>IFERROR(VLOOKUP(A4730,VLOOKUPS!$A$2:B$12589,2,FALSE),"")</f>
        <v>Eat Smart Green Beans 12oz-standard</v>
      </c>
      <c r="E4730">
        <v>3.49</v>
      </c>
      <c r="F4730">
        <v>2.09</v>
      </c>
      <c r="G4730" s="13">
        <v>44730</v>
      </c>
      <c r="H4730" s="13">
        <v>44731</v>
      </c>
      <c r="I4730" s="22" t="str">
        <f>VLOOKUP(J4730, Dropdowns!N:O, 2, FALSE)</f>
        <v>Lower Price</v>
      </c>
      <c r="J4730" t="s">
        <v>759</v>
      </c>
      <c r="L4730" s="17" t="s">
        <v>734</v>
      </c>
      <c r="M4730" s="17" t="s">
        <v>9</v>
      </c>
      <c r="N4730" s="17" t="s">
        <v>736</v>
      </c>
    </row>
    <row r="4731" spans="1:14" x14ac:dyDescent="0.25">
      <c r="A4731" s="8">
        <v>995084</v>
      </c>
      <c r="B4731" s="22" t="str">
        <f>IFERROR(VLOOKUP(A4731,VLOOKUPS!$A$2:B$12589,2,FALSE),"")</f>
        <v>Eat Smart Green Beans 12oz-standard</v>
      </c>
      <c r="E4731">
        <v>2.78</v>
      </c>
      <c r="F4731">
        <v>1.67</v>
      </c>
      <c r="G4731" s="13">
        <v>44730</v>
      </c>
      <c r="H4731" s="13">
        <v>44731</v>
      </c>
      <c r="I4731" s="22" t="str">
        <f>VLOOKUP(J4731, Dropdowns!N:O, 2, FALSE)</f>
        <v>Lower Price</v>
      </c>
      <c r="J4731" t="s">
        <v>759</v>
      </c>
      <c r="L4731" s="17" t="s">
        <v>733</v>
      </c>
      <c r="M4731" s="17" t="s">
        <v>736</v>
      </c>
      <c r="N4731" s="17" t="s">
        <v>740</v>
      </c>
    </row>
    <row r="4732" spans="1:14" x14ac:dyDescent="0.25">
      <c r="A4732" s="8">
        <v>995084</v>
      </c>
      <c r="B4732" s="22" t="str">
        <f>IFERROR(VLOOKUP(A4732,VLOOKUPS!$A$2:B$12589,2,FALSE),"")</f>
        <v>Eat Smart Green Beans 12oz-standard</v>
      </c>
      <c r="E4732">
        <v>1.67</v>
      </c>
      <c r="F4732">
        <v>2.78</v>
      </c>
      <c r="G4732" s="13">
        <v>44732</v>
      </c>
      <c r="H4732" s="13"/>
      <c r="I4732" s="22" t="str">
        <f>VLOOKUP(J4732, Dropdowns!N:O, 2, FALSE)</f>
        <v>Standard</v>
      </c>
      <c r="J4732" t="s">
        <v>760</v>
      </c>
      <c r="L4732" s="17" t="s">
        <v>733</v>
      </c>
      <c r="M4732" s="17" t="s">
        <v>736</v>
      </c>
      <c r="N4732" s="17" t="s">
        <v>740</v>
      </c>
    </row>
    <row r="4733" spans="1:14" x14ac:dyDescent="0.25">
      <c r="A4733" s="8">
        <v>995084</v>
      </c>
      <c r="B4733" s="22" t="str">
        <f>IFERROR(VLOOKUP(A4733,VLOOKUPS!$A$2:B$12589,2,FALSE),"")</f>
        <v>Eat Smart Green Beans 12oz-standard</v>
      </c>
      <c r="E4733">
        <v>2.09</v>
      </c>
      <c r="F4733">
        <v>3.49</v>
      </c>
      <c r="G4733" s="13">
        <v>44732</v>
      </c>
      <c r="H4733" s="13"/>
      <c r="I4733" s="22" t="str">
        <f>VLOOKUP(J4733, Dropdowns!N:O, 2, FALSE)</f>
        <v>Standard</v>
      </c>
      <c r="J4733" t="s">
        <v>760</v>
      </c>
      <c r="L4733" s="17" t="s">
        <v>734</v>
      </c>
      <c r="M4733" s="17" t="s">
        <v>9</v>
      </c>
      <c r="N4733" s="17" t="s">
        <v>736</v>
      </c>
    </row>
    <row r="4734" spans="1:14" x14ac:dyDescent="0.25">
      <c r="A4734" s="8">
        <v>982230</v>
      </c>
      <c r="B4734" s="22" t="str">
        <f>IFERROR(VLOOKUP(A4734,VLOOKUPS!$A$2:B$12589,2,FALSE),"")</f>
        <v>Peaches 2lb-standard</v>
      </c>
      <c r="G4734" s="13">
        <v>44730</v>
      </c>
      <c r="H4734" s="13">
        <v>44731</v>
      </c>
      <c r="I4734" s="22" t="str">
        <f>VLOOKUP(J4734, Dropdowns!N:O, 2, FALSE)</f>
        <v>Lower Price</v>
      </c>
      <c r="J4734" t="s">
        <v>762</v>
      </c>
      <c r="L4734" s="17" t="s">
        <v>732</v>
      </c>
      <c r="M4734" s="17" t="s">
        <v>736</v>
      </c>
      <c r="N4734" s="17" t="s">
        <v>736</v>
      </c>
    </row>
    <row r="4735" spans="1:14" x14ac:dyDescent="0.25">
      <c r="A4735" s="8">
        <v>982230</v>
      </c>
      <c r="B4735" s="22" t="str">
        <f>IFERROR(VLOOKUP(A4735,VLOOKUPS!$A$2:B$12589,2,FALSE),"")</f>
        <v>Peaches 2lb-standard</v>
      </c>
      <c r="E4735">
        <v>1.49</v>
      </c>
      <c r="F4735">
        <v>3.99</v>
      </c>
      <c r="G4735" s="13">
        <v>44732</v>
      </c>
      <c r="H4735" s="13"/>
      <c r="I4735" s="22" t="str">
        <f>VLOOKUP(J4735, Dropdowns!N:O, 2, FALSE)</f>
        <v>Standard</v>
      </c>
      <c r="J4735" t="s">
        <v>760</v>
      </c>
      <c r="L4735" s="17" t="s">
        <v>732</v>
      </c>
      <c r="M4735" s="17" t="s">
        <v>736</v>
      </c>
      <c r="N4735" s="17" t="s">
        <v>736</v>
      </c>
    </row>
    <row r="4736" spans="1:14" x14ac:dyDescent="0.25">
      <c r="A4736" s="8">
        <v>982130</v>
      </c>
      <c r="B4736" s="22" t="str">
        <f>IFERROR(VLOOKUP(A4736,VLOOKUPS!$A$2:B$12589,2,FALSE),"")</f>
        <v>Nectarines 2lb-standard</v>
      </c>
      <c r="G4736" s="13">
        <v>44732</v>
      </c>
      <c r="H4736" s="13">
        <v>44732</v>
      </c>
      <c r="I4736" s="22" t="str">
        <f>VLOOKUP(J4736, Dropdowns!N:O, 2, FALSE)</f>
        <v>Lower Price</v>
      </c>
      <c r="J4736" t="s">
        <v>762</v>
      </c>
      <c r="L4736" s="17" t="s">
        <v>732</v>
      </c>
      <c r="M4736" s="17" t="s">
        <v>736</v>
      </c>
      <c r="N4736" s="17" t="s">
        <v>736</v>
      </c>
    </row>
    <row r="4737" spans="1:14" x14ac:dyDescent="0.25">
      <c r="A4737" s="8">
        <v>988545</v>
      </c>
      <c r="B4737" s="22" t="str">
        <f>IFERROR(VLOOKUP(A4737,VLOOKUPS!$A$2:B$12589,2,FALSE),"")</f>
        <v/>
      </c>
      <c r="E4737">
        <v>2.99</v>
      </c>
      <c r="F4737">
        <v>3.29</v>
      </c>
      <c r="G4737" s="13">
        <v>44733</v>
      </c>
      <c r="H4737" s="13"/>
      <c r="I4737" s="22" t="str">
        <f>VLOOKUP(J4737, Dropdowns!N:O, 2, FALSE)</f>
        <v>Standard</v>
      </c>
      <c r="J4737" t="s">
        <v>761</v>
      </c>
      <c r="L4737" s="17" t="s">
        <v>732</v>
      </c>
      <c r="M4737" s="17" t="s">
        <v>736</v>
      </c>
      <c r="N4737" s="17" t="s">
        <v>736</v>
      </c>
    </row>
    <row r="4738" spans="1:14" x14ac:dyDescent="0.25">
      <c r="A4738" s="8">
        <v>984460</v>
      </c>
      <c r="B4738" s="22" t="str">
        <f>IFERROR(VLOOKUP(A4738,VLOOKUPS!$A$2:B$12589,2,FALSE),"")</f>
        <v>Strawberries 1lb-standard</v>
      </c>
      <c r="G4738" s="13">
        <v>44734</v>
      </c>
      <c r="H4738" s="13">
        <v>44740</v>
      </c>
      <c r="I4738" s="22" t="str">
        <f>VLOOKUP(J4738, Dropdowns!N:O, 2, FALSE)</f>
        <v>Lower Price</v>
      </c>
      <c r="J4738" t="s">
        <v>753</v>
      </c>
      <c r="L4738" s="17" t="s">
        <v>732</v>
      </c>
      <c r="M4738" s="17" t="s">
        <v>736</v>
      </c>
      <c r="N4738" s="17" t="s">
        <v>736</v>
      </c>
    </row>
    <row r="4739" spans="1:14" x14ac:dyDescent="0.25">
      <c r="A4739" s="8">
        <v>984702</v>
      </c>
      <c r="B4739" s="22" t="str">
        <f>IFERROR(VLOOKUP(A4739,VLOOKUPS!$A$2:B$12589,2,FALSE),"")</f>
        <v>Blackberries 12oz-standard</v>
      </c>
      <c r="E4739">
        <v>4.9800000000000004</v>
      </c>
      <c r="F4739">
        <v>3.49</v>
      </c>
      <c r="G4739" s="13">
        <v>44734</v>
      </c>
      <c r="H4739" s="13">
        <v>44735</v>
      </c>
      <c r="I4739" s="22" t="str">
        <f>VLOOKUP(J4739, Dropdowns!N:O, 2, FALSE)</f>
        <v>Lower Price</v>
      </c>
      <c r="J4739" t="s">
        <v>759</v>
      </c>
      <c r="L4739" s="17" t="s">
        <v>733</v>
      </c>
      <c r="M4739" s="17" t="s">
        <v>11</v>
      </c>
      <c r="N4739" s="17" t="s">
        <v>740</v>
      </c>
    </row>
    <row r="4740" spans="1:14" x14ac:dyDescent="0.25">
      <c r="A4740" s="8">
        <v>984702</v>
      </c>
      <c r="B4740" s="22" t="str">
        <f>IFERROR(VLOOKUP(A4740,VLOOKUPS!$A$2:B$12589,2,FALSE),"")</f>
        <v>Blackberries 12oz-standard</v>
      </c>
      <c r="E4740">
        <v>3.49</v>
      </c>
      <c r="F4740">
        <v>4.9800000000000004</v>
      </c>
      <c r="G4740" s="13">
        <v>44736</v>
      </c>
      <c r="H4740" s="13"/>
      <c r="I4740" s="22" t="str">
        <f>VLOOKUP(J4740, Dropdowns!N:O, 2, FALSE)</f>
        <v>Standard</v>
      </c>
      <c r="J4740" t="s">
        <v>760</v>
      </c>
      <c r="L4740" s="17" t="s">
        <v>733</v>
      </c>
      <c r="M4740" s="17" t="s">
        <v>11</v>
      </c>
      <c r="N4740" s="17" t="s">
        <v>740</v>
      </c>
    </row>
    <row r="4741" spans="1:14" x14ac:dyDescent="0.25">
      <c r="A4741" s="8">
        <v>988620</v>
      </c>
      <c r="B4741" s="22" t="str">
        <f>IFERROR(VLOOKUP(A4741,VLOOKUPS!$A$2:B$12589,2,FALSE),"")</f>
        <v>Brussels Sprouts 1lb-standard</v>
      </c>
      <c r="E4741">
        <v>2.89</v>
      </c>
      <c r="F4741">
        <v>1.73</v>
      </c>
      <c r="G4741" s="13">
        <v>44734</v>
      </c>
      <c r="H4741" s="13">
        <v>44735</v>
      </c>
      <c r="I4741" s="22" t="str">
        <f>VLOOKUP(J4741, Dropdowns!N:O, 2, FALSE)</f>
        <v>Lower Price</v>
      </c>
      <c r="J4741" t="s">
        <v>759</v>
      </c>
      <c r="L4741" s="17" t="s">
        <v>732</v>
      </c>
      <c r="M4741" s="17" t="s">
        <v>735</v>
      </c>
      <c r="N4741" s="17" t="s">
        <v>736</v>
      </c>
    </row>
    <row r="4742" spans="1:14" x14ac:dyDescent="0.25">
      <c r="A4742" s="8">
        <v>988620</v>
      </c>
      <c r="B4742" s="22" t="str">
        <f>IFERROR(VLOOKUP(A4742,VLOOKUPS!$A$2:B$12589,2,FALSE),"")</f>
        <v>Brussels Sprouts 1lb-standard</v>
      </c>
      <c r="E4742">
        <v>1.73</v>
      </c>
      <c r="F4742">
        <v>2.89</v>
      </c>
      <c r="G4742" s="13">
        <v>44736</v>
      </c>
      <c r="H4742" s="13"/>
      <c r="I4742" s="22" t="str">
        <f>VLOOKUP(J4742, Dropdowns!N:O, 2, FALSE)</f>
        <v>Standard</v>
      </c>
      <c r="J4742" t="s">
        <v>760</v>
      </c>
      <c r="L4742" s="17" t="s">
        <v>732</v>
      </c>
      <c r="M4742" s="17" t="s">
        <v>735</v>
      </c>
      <c r="N4742" s="17" t="s">
        <v>736</v>
      </c>
    </row>
    <row r="4743" spans="1:14" x14ac:dyDescent="0.25">
      <c r="A4743" s="8">
        <v>995007</v>
      </c>
      <c r="B4743" s="22" t="str">
        <f>IFERROR(VLOOKUP(A4743,VLOOKUPS!$A$2:B$12589,2,FALSE),"")</f>
        <v>Caesar Salad Kit 10.5oz-standard</v>
      </c>
      <c r="D4743">
        <v>7</v>
      </c>
      <c r="G4743" s="13">
        <v>44734</v>
      </c>
      <c r="H4743" s="13"/>
      <c r="I4743" s="22" t="str">
        <f>VLOOKUP(J4743, Dropdowns!N:O, 2, FALSE)</f>
        <v>NA</v>
      </c>
      <c r="J4743" t="s">
        <v>754</v>
      </c>
      <c r="L4743" s="17" t="s">
        <v>732</v>
      </c>
      <c r="M4743" s="17" t="s">
        <v>9</v>
      </c>
      <c r="N4743" s="17" t="s">
        <v>736</v>
      </c>
    </row>
    <row r="4744" spans="1:14" x14ac:dyDescent="0.25">
      <c r="A4744" s="8">
        <v>995018</v>
      </c>
      <c r="B4744" s="22" t="str">
        <f>IFERROR(VLOOKUP(A4744,VLOOKUPS!$A$2:B$12589,2,FALSE),"")</f>
        <v>RTE Large Chicken Caesar Salad 13.1oz-standard</v>
      </c>
      <c r="E4744">
        <v>5.34</v>
      </c>
      <c r="F4744">
        <v>3.74</v>
      </c>
      <c r="G4744" s="13">
        <v>44734</v>
      </c>
      <c r="H4744" s="13">
        <v>44735</v>
      </c>
      <c r="I4744" s="22" t="str">
        <f>VLOOKUP(J4744, Dropdowns!N:O, 2, FALSE)</f>
        <v>Lower Price</v>
      </c>
      <c r="J4744" t="s">
        <v>759</v>
      </c>
      <c r="L4744" s="17" t="s">
        <v>733</v>
      </c>
      <c r="M4744" s="17" t="s">
        <v>11</v>
      </c>
      <c r="N4744" s="17" t="s">
        <v>740</v>
      </c>
    </row>
    <row r="4745" spans="1:14" x14ac:dyDescent="0.25">
      <c r="A4745" s="8">
        <v>995018</v>
      </c>
      <c r="B4745" s="22" t="str">
        <f>IFERROR(VLOOKUP(A4745,VLOOKUPS!$A$2:B$12589,2,FALSE),"")</f>
        <v>RTE Large Chicken Caesar Salad 13.1oz-standard</v>
      </c>
      <c r="E4745">
        <v>3.74</v>
      </c>
      <c r="F4745">
        <v>5.34</v>
      </c>
      <c r="G4745" s="13">
        <v>44736</v>
      </c>
      <c r="H4745" s="13"/>
      <c r="I4745" s="22" t="str">
        <f>VLOOKUP(J4745, Dropdowns!N:O, 2, FALSE)</f>
        <v>Standard</v>
      </c>
      <c r="J4745" t="s">
        <v>760</v>
      </c>
      <c r="L4745" s="17" t="s">
        <v>733</v>
      </c>
      <c r="M4745" s="17" t="s">
        <v>11</v>
      </c>
      <c r="N4745" s="17" t="s">
        <v>740</v>
      </c>
    </row>
    <row r="4746" spans="1:14" x14ac:dyDescent="0.25">
      <c r="A4746" s="8">
        <v>995076</v>
      </c>
      <c r="B4746" s="22" t="str">
        <f>IFERROR(VLOOKUP(A4746,VLOOKUPS!$A$2:B$12589,2,FALSE),"")</f>
        <v>Organic Power Greens 5oz-standard</v>
      </c>
      <c r="E4746">
        <v>2.98</v>
      </c>
      <c r="F4746">
        <v>2.09</v>
      </c>
      <c r="G4746" s="13">
        <v>44734</v>
      </c>
      <c r="H4746" s="13">
        <v>44735</v>
      </c>
      <c r="I4746" s="22" t="str">
        <f>VLOOKUP(J4746, Dropdowns!N:O, 2, FALSE)</f>
        <v>Lower Price</v>
      </c>
      <c r="J4746" t="s">
        <v>759</v>
      </c>
      <c r="L4746" s="17" t="s">
        <v>733</v>
      </c>
      <c r="M4746" s="17" t="s">
        <v>11</v>
      </c>
      <c r="N4746" s="17" t="s">
        <v>740</v>
      </c>
    </row>
    <row r="4747" spans="1:14" x14ac:dyDescent="0.25">
      <c r="A4747" s="8">
        <v>995076</v>
      </c>
      <c r="B4747" s="22" t="str">
        <f>IFERROR(VLOOKUP(A4747,VLOOKUPS!$A$2:B$12589,2,FALSE),"")</f>
        <v>Organic Power Greens 5oz-standard</v>
      </c>
      <c r="E4747">
        <v>2.09</v>
      </c>
      <c r="F4747">
        <v>2.98</v>
      </c>
      <c r="G4747" s="13">
        <v>44736</v>
      </c>
      <c r="H4747" s="13"/>
      <c r="I4747" s="22" t="str">
        <f>VLOOKUP(J4747, Dropdowns!N:O, 2, FALSE)</f>
        <v>Standard</v>
      </c>
      <c r="J4747" t="s">
        <v>760</v>
      </c>
      <c r="L4747" s="17" t="s">
        <v>733</v>
      </c>
      <c r="M4747" s="17" t="s">
        <v>11</v>
      </c>
      <c r="N4747" s="17" t="s">
        <v>740</v>
      </c>
    </row>
    <row r="4748" spans="1:14" x14ac:dyDescent="0.25">
      <c r="A4748" s="8">
        <v>995104</v>
      </c>
      <c r="B4748" s="22" t="str">
        <f>IFERROR(VLOOKUP(A4748,VLOOKUPS!$A$2:B$12589,2,FALSE),"")</f>
        <v>Ginger Garlic Stir Fry Kit 14oz-standard</v>
      </c>
      <c r="E4748">
        <v>2.98</v>
      </c>
      <c r="F4748">
        <v>2.09</v>
      </c>
      <c r="G4748" s="13">
        <v>44734</v>
      </c>
      <c r="H4748" s="13">
        <v>44735</v>
      </c>
      <c r="I4748" s="22" t="str">
        <f>VLOOKUP(J4748, Dropdowns!N:O, 2, FALSE)</f>
        <v>Lower Price</v>
      </c>
      <c r="J4748" t="s">
        <v>759</v>
      </c>
      <c r="L4748" s="17" t="s">
        <v>732</v>
      </c>
      <c r="M4748" s="17" t="s">
        <v>10</v>
      </c>
      <c r="N4748" s="17">
        <v>2</v>
      </c>
    </row>
    <row r="4749" spans="1:14" x14ac:dyDescent="0.25">
      <c r="A4749" s="8">
        <v>995104</v>
      </c>
      <c r="B4749" s="22" t="str">
        <f>IFERROR(VLOOKUP(A4749,VLOOKUPS!$A$2:B$12589,2,FALSE),"")</f>
        <v>Ginger Garlic Stir Fry Kit 14oz-standard</v>
      </c>
      <c r="E4749">
        <v>2.09</v>
      </c>
      <c r="F4749">
        <v>2.98</v>
      </c>
      <c r="G4749" s="13">
        <v>44736</v>
      </c>
      <c r="H4749" s="13"/>
      <c r="I4749" s="22" t="str">
        <f>VLOOKUP(J4749, Dropdowns!N:O, 2, FALSE)</f>
        <v>Standard</v>
      </c>
      <c r="J4749" t="s">
        <v>760</v>
      </c>
      <c r="L4749" s="17" t="s">
        <v>732</v>
      </c>
      <c r="M4749" s="17" t="s">
        <v>10</v>
      </c>
      <c r="N4749" s="17">
        <v>2</v>
      </c>
    </row>
    <row r="4750" spans="1:14" x14ac:dyDescent="0.25">
      <c r="A4750" s="8">
        <v>995162</v>
      </c>
      <c r="B4750" s="22" t="str">
        <f>IFERROR(VLOOKUP(A4750,VLOOKUPS!$A$2:B$12589,2,FALSE),"")</f>
        <v>Buffalo Ranch Salad Kit 12oz-standard</v>
      </c>
      <c r="E4750">
        <v>3.49</v>
      </c>
      <c r="F4750">
        <v>2.09</v>
      </c>
      <c r="G4750" s="13">
        <v>44734</v>
      </c>
      <c r="H4750" s="13">
        <v>44735</v>
      </c>
      <c r="I4750" s="22" t="str">
        <f>VLOOKUP(J4750, Dropdowns!N:O, 2, FALSE)</f>
        <v>Lower Price</v>
      </c>
      <c r="J4750" t="s">
        <v>759</v>
      </c>
      <c r="L4750" s="17" t="s">
        <v>732</v>
      </c>
      <c r="M4750" s="17" t="s">
        <v>10</v>
      </c>
      <c r="N4750" s="17">
        <v>2</v>
      </c>
    </row>
    <row r="4751" spans="1:14" x14ac:dyDescent="0.25">
      <c r="A4751" s="8">
        <v>995162</v>
      </c>
      <c r="B4751" s="22" t="str">
        <f>IFERROR(VLOOKUP(A4751,VLOOKUPS!$A$2:B$12589,2,FALSE),"")</f>
        <v>Buffalo Ranch Salad Kit 12oz-standard</v>
      </c>
      <c r="E4751">
        <v>2.09</v>
      </c>
      <c r="F4751">
        <v>3.49</v>
      </c>
      <c r="G4751" s="13">
        <v>44736</v>
      </c>
      <c r="H4751" s="13"/>
      <c r="I4751" s="22" t="str">
        <f>VLOOKUP(J4751, Dropdowns!N:O, 2, FALSE)</f>
        <v>Standard</v>
      </c>
      <c r="J4751" t="s">
        <v>760</v>
      </c>
      <c r="L4751" s="17" t="s">
        <v>732</v>
      </c>
      <c r="M4751" s="17" t="s">
        <v>10</v>
      </c>
      <c r="N4751" s="17">
        <v>2</v>
      </c>
    </row>
    <row r="4752" spans="1:14" x14ac:dyDescent="0.25">
      <c r="A4752" s="8">
        <v>995183</v>
      </c>
      <c r="B4752" s="22" t="str">
        <f>IFERROR(VLOOKUP(A4752,VLOOKUPS!$A$2:B$12589,2,FALSE),"")</f>
        <v>Petite Carrots 8oz-standard</v>
      </c>
      <c r="E4752">
        <v>2.5</v>
      </c>
      <c r="F4752">
        <v>1.5</v>
      </c>
      <c r="G4752" s="13">
        <v>44734</v>
      </c>
      <c r="H4752" s="13">
        <v>44735</v>
      </c>
      <c r="I4752" s="22" t="str">
        <f>VLOOKUP(J4752, Dropdowns!N:O, 2, FALSE)</f>
        <v>Lower Price</v>
      </c>
      <c r="J4752" t="s">
        <v>759</v>
      </c>
      <c r="L4752" s="17" t="s">
        <v>732</v>
      </c>
      <c r="M4752" s="17" t="s">
        <v>10</v>
      </c>
      <c r="N4752" s="17">
        <v>2</v>
      </c>
    </row>
    <row r="4753" spans="1:14" x14ac:dyDescent="0.25">
      <c r="A4753" s="8">
        <v>995183</v>
      </c>
      <c r="B4753" s="22" t="str">
        <f>IFERROR(VLOOKUP(A4753,VLOOKUPS!$A$2:B$12589,2,FALSE),"")</f>
        <v>Petite Carrots 8oz-standard</v>
      </c>
      <c r="D4753">
        <v>6</v>
      </c>
      <c r="E4753">
        <v>2.5</v>
      </c>
      <c r="G4753" s="13">
        <v>44734</v>
      </c>
      <c r="H4753" s="13"/>
      <c r="I4753" s="22" t="str">
        <f>VLOOKUP(J4753, Dropdowns!N:O, 2, FALSE)</f>
        <v>NA</v>
      </c>
      <c r="J4753" t="s">
        <v>754</v>
      </c>
      <c r="L4753" s="17" t="s">
        <v>733</v>
      </c>
      <c r="M4753" s="17" t="s">
        <v>737</v>
      </c>
      <c r="N4753" s="17" t="s">
        <v>740</v>
      </c>
    </row>
    <row r="4754" spans="1:14" x14ac:dyDescent="0.25">
      <c r="A4754" s="8">
        <v>995183</v>
      </c>
      <c r="B4754" s="22" t="str">
        <f>IFERROR(VLOOKUP(A4754,VLOOKUPS!$A$2:B$12589,2,FALSE),"")</f>
        <v>Petite Carrots 8oz-standard</v>
      </c>
      <c r="D4754">
        <v>6</v>
      </c>
      <c r="E4754">
        <v>2.79</v>
      </c>
      <c r="G4754" s="13">
        <v>44734</v>
      </c>
      <c r="H4754" s="13"/>
      <c r="I4754" s="22" t="str">
        <f>VLOOKUP(J4754, Dropdowns!N:O, 2, FALSE)</f>
        <v>NA</v>
      </c>
      <c r="J4754" t="s">
        <v>754</v>
      </c>
      <c r="L4754" s="17" t="s">
        <v>734</v>
      </c>
      <c r="M4754" s="17" t="s">
        <v>9</v>
      </c>
      <c r="N4754" s="17" t="s">
        <v>736</v>
      </c>
    </row>
    <row r="4755" spans="1:14" x14ac:dyDescent="0.25">
      <c r="A4755" s="8">
        <v>995184</v>
      </c>
      <c r="B4755" s="22" t="str">
        <f>IFERROR(VLOOKUP(A4755,VLOOKUPS!$A$2:B$12589,2,FALSE),"")</f>
        <v>English Peas 8oz-standard</v>
      </c>
      <c r="E4755">
        <v>2.5</v>
      </c>
      <c r="F4755">
        <v>1.5</v>
      </c>
      <c r="G4755" s="13">
        <v>44734</v>
      </c>
      <c r="H4755" s="13">
        <v>44735</v>
      </c>
      <c r="I4755" s="22" t="str">
        <f>VLOOKUP(J4755, Dropdowns!N:O, 2, FALSE)</f>
        <v>Lower Price</v>
      </c>
      <c r="J4755" t="s">
        <v>759</v>
      </c>
      <c r="L4755" s="17" t="s">
        <v>732</v>
      </c>
      <c r="M4755" s="17" t="s">
        <v>10</v>
      </c>
      <c r="N4755" s="17">
        <v>2</v>
      </c>
    </row>
    <row r="4756" spans="1:14" x14ac:dyDescent="0.25">
      <c r="A4756" s="8">
        <v>995183</v>
      </c>
      <c r="B4756" s="22" t="str">
        <f>IFERROR(VLOOKUP(A4756,VLOOKUPS!$A$2:B$12589,2,FALSE),"")</f>
        <v>Petite Carrots 8oz-standard</v>
      </c>
      <c r="E4756">
        <v>1.5</v>
      </c>
      <c r="F4756">
        <v>2.5</v>
      </c>
      <c r="G4756" s="13">
        <v>44736</v>
      </c>
      <c r="H4756" s="13"/>
      <c r="I4756" s="22" t="str">
        <f>VLOOKUP(J4756, Dropdowns!N:O, 2, FALSE)</f>
        <v>Standard</v>
      </c>
      <c r="J4756" t="s">
        <v>760</v>
      </c>
      <c r="L4756" s="17" t="s">
        <v>732</v>
      </c>
      <c r="M4756" s="17" t="s">
        <v>10</v>
      </c>
      <c r="N4756" s="17">
        <v>2</v>
      </c>
    </row>
    <row r="4757" spans="1:14" x14ac:dyDescent="0.25">
      <c r="A4757" s="8">
        <v>995184</v>
      </c>
      <c r="B4757" s="22" t="str">
        <f>IFERROR(VLOOKUP(A4757,VLOOKUPS!$A$2:B$12589,2,FALSE),"")</f>
        <v>English Peas 8oz-standard</v>
      </c>
      <c r="E4757">
        <v>1.5</v>
      </c>
      <c r="F4757">
        <v>2.5</v>
      </c>
      <c r="G4757" s="13">
        <v>44736</v>
      </c>
      <c r="H4757" s="13"/>
      <c r="I4757" s="22" t="str">
        <f>VLOOKUP(J4757, Dropdowns!N:O, 2, FALSE)</f>
        <v>Standard</v>
      </c>
      <c r="J4757" t="s">
        <v>760</v>
      </c>
      <c r="L4757" s="17" t="s">
        <v>732</v>
      </c>
      <c r="M4757" s="17" t="s">
        <v>10</v>
      </c>
      <c r="N4757" s="17">
        <v>2</v>
      </c>
    </row>
    <row r="4758" spans="1:14" x14ac:dyDescent="0.25">
      <c r="A4758" s="8">
        <v>995186</v>
      </c>
      <c r="B4758" s="22" t="str">
        <f>IFERROR(VLOOKUP(A4758,VLOOKUPS!$A$2:B$12589,2,FALSE),"")</f>
        <v>Organic Carrots and Ranch 5oz-standard</v>
      </c>
      <c r="E4758">
        <v>2.99</v>
      </c>
      <c r="F4758">
        <v>1.79</v>
      </c>
      <c r="G4758" s="13">
        <v>44734</v>
      </c>
      <c r="H4758" s="13">
        <v>44735</v>
      </c>
      <c r="I4758" s="22" t="str">
        <f>VLOOKUP(J4758, Dropdowns!N:O, 2, FALSE)</f>
        <v>Lower Price</v>
      </c>
      <c r="J4758" t="s">
        <v>759</v>
      </c>
      <c r="L4758" s="17" t="s">
        <v>732</v>
      </c>
      <c r="M4758" s="17" t="s">
        <v>10</v>
      </c>
      <c r="N4758" s="17">
        <v>2</v>
      </c>
    </row>
    <row r="4759" spans="1:14" x14ac:dyDescent="0.25">
      <c r="A4759" s="8">
        <v>995186</v>
      </c>
      <c r="B4759" s="22" t="str">
        <f>IFERROR(VLOOKUP(A4759,VLOOKUPS!$A$2:B$12589,2,FALSE),"")</f>
        <v>Organic Carrots and Ranch 5oz-standard</v>
      </c>
      <c r="E4759">
        <v>1.79</v>
      </c>
      <c r="F4759">
        <v>2.99</v>
      </c>
      <c r="G4759" s="13">
        <v>44736</v>
      </c>
      <c r="H4759" s="13"/>
      <c r="I4759" s="22" t="str">
        <f>VLOOKUP(J4759, Dropdowns!N:O, 2, FALSE)</f>
        <v>Standard</v>
      </c>
      <c r="J4759" t="s">
        <v>760</v>
      </c>
      <c r="L4759" s="17" t="s">
        <v>732</v>
      </c>
      <c r="M4759" s="17" t="s">
        <v>10</v>
      </c>
      <c r="N4759" s="17">
        <v>2</v>
      </c>
    </row>
    <row r="4760" spans="1:14" x14ac:dyDescent="0.25">
      <c r="A4760" s="8">
        <v>995192</v>
      </c>
      <c r="B4760" s="22" t="str">
        <f>IFERROR(VLOOKUP(A4760,VLOOKUPS!$A$2:B$12589,2,FALSE),"")</f>
        <v>Green Beans 32oz-standard</v>
      </c>
      <c r="E4760">
        <v>6.18</v>
      </c>
      <c r="F4760">
        <v>3.71</v>
      </c>
      <c r="G4760" s="13">
        <v>44734</v>
      </c>
      <c r="H4760" s="13">
        <v>44735</v>
      </c>
      <c r="I4760" s="22" t="str">
        <f>VLOOKUP(J4760, Dropdowns!N:O, 2, FALSE)</f>
        <v>Lower Price</v>
      </c>
      <c r="J4760" t="s">
        <v>759</v>
      </c>
      <c r="L4760" s="17" t="s">
        <v>733</v>
      </c>
      <c r="M4760" s="17" t="s">
        <v>9</v>
      </c>
      <c r="N4760" s="17" t="s">
        <v>740</v>
      </c>
    </row>
    <row r="4761" spans="1:14" x14ac:dyDescent="0.25">
      <c r="A4761" s="8">
        <v>995192</v>
      </c>
      <c r="B4761" s="22" t="str">
        <f>IFERROR(VLOOKUP(A4761,VLOOKUPS!$A$2:B$12589,2,FALSE),"")</f>
        <v>Green Beans 32oz-standard</v>
      </c>
      <c r="E4761">
        <v>6.49</v>
      </c>
      <c r="F4761">
        <v>3.89</v>
      </c>
      <c r="G4761" s="13">
        <v>44734</v>
      </c>
      <c r="H4761" s="13">
        <v>44735</v>
      </c>
      <c r="I4761" s="22" t="str">
        <f>VLOOKUP(J4761, Dropdowns!N:O, 2, FALSE)</f>
        <v>Lower Price</v>
      </c>
      <c r="J4761" t="s">
        <v>759</v>
      </c>
      <c r="L4761" s="17" t="s">
        <v>734</v>
      </c>
      <c r="M4761" s="17" t="s">
        <v>9</v>
      </c>
      <c r="N4761" s="17" t="s">
        <v>736</v>
      </c>
    </row>
    <row r="4762" spans="1:14" x14ac:dyDescent="0.25">
      <c r="A4762" s="8">
        <v>995192</v>
      </c>
      <c r="B4762" s="22" t="str">
        <f>IFERROR(VLOOKUP(A4762,VLOOKUPS!$A$2:B$12589,2,FALSE),"")</f>
        <v>Green Beans 32oz-standard</v>
      </c>
      <c r="E4762">
        <v>3.71</v>
      </c>
      <c r="F4762">
        <v>6.18</v>
      </c>
      <c r="G4762" s="13">
        <v>44736</v>
      </c>
      <c r="H4762" s="13"/>
      <c r="I4762" s="22" t="str">
        <f>VLOOKUP(J4762, Dropdowns!N:O, 2, FALSE)</f>
        <v>Standard</v>
      </c>
      <c r="J4762" t="s">
        <v>760</v>
      </c>
      <c r="L4762" s="17" t="s">
        <v>733</v>
      </c>
      <c r="M4762" s="17" t="s">
        <v>9</v>
      </c>
      <c r="N4762" s="17" t="s">
        <v>740</v>
      </c>
    </row>
    <row r="4763" spans="1:14" x14ac:dyDescent="0.25">
      <c r="A4763" s="8">
        <v>995192</v>
      </c>
      <c r="B4763" s="22" t="str">
        <f>IFERROR(VLOOKUP(A4763,VLOOKUPS!$A$2:B$12589,2,FALSE),"")</f>
        <v>Green Beans 32oz-standard</v>
      </c>
      <c r="E4763">
        <v>3.89</v>
      </c>
      <c r="F4763">
        <v>6.49</v>
      </c>
      <c r="G4763" s="13">
        <v>44736</v>
      </c>
      <c r="H4763" s="13"/>
      <c r="I4763" s="22" t="str">
        <f>VLOOKUP(J4763, Dropdowns!N:O, 2, FALSE)</f>
        <v>Standard</v>
      </c>
      <c r="J4763" t="s">
        <v>760</v>
      </c>
      <c r="L4763" s="17" t="s">
        <v>734</v>
      </c>
      <c r="M4763" s="17" t="s">
        <v>9</v>
      </c>
      <c r="N4763" s="17" t="s">
        <v>736</v>
      </c>
    </row>
    <row r="4764" spans="1:14" x14ac:dyDescent="0.25">
      <c r="A4764" s="8">
        <v>985760</v>
      </c>
      <c r="B4764" s="22" t="str">
        <f>IFERROR(VLOOKUP(A4764,VLOOKUPS!$A$2:B$12589,2,FALSE),"")</f>
        <v>Asparagus 1lb-standard</v>
      </c>
      <c r="G4764" s="13">
        <v>44734</v>
      </c>
      <c r="H4764" s="13">
        <v>44735</v>
      </c>
      <c r="I4764" s="22" t="str">
        <f>VLOOKUP(J4764, Dropdowns!N:O, 2, FALSE)</f>
        <v>Lower Price</v>
      </c>
      <c r="J4764" t="s">
        <v>762</v>
      </c>
      <c r="L4764" s="17" t="s">
        <v>732</v>
      </c>
      <c r="M4764" s="17" t="s">
        <v>737</v>
      </c>
      <c r="N4764" s="17" t="s">
        <v>736</v>
      </c>
    </row>
    <row r="4765" spans="1:14" x14ac:dyDescent="0.25">
      <c r="A4765" s="8">
        <v>985760</v>
      </c>
      <c r="B4765" s="22" t="str">
        <f>IFERROR(VLOOKUP(A4765,VLOOKUPS!$A$2:B$12589,2,FALSE),"")</f>
        <v>Asparagus 1lb-standard</v>
      </c>
      <c r="G4765" s="13">
        <v>44734</v>
      </c>
      <c r="H4765" s="13">
        <v>44736</v>
      </c>
      <c r="I4765" s="22" t="str">
        <f>VLOOKUP(J4765, Dropdowns!N:O, 2, FALSE)</f>
        <v>Lower Price</v>
      </c>
      <c r="J4765" t="s">
        <v>762</v>
      </c>
      <c r="L4765" s="17" t="s">
        <v>732</v>
      </c>
      <c r="M4765" s="17" t="s">
        <v>10</v>
      </c>
      <c r="N4765" s="17">
        <v>2</v>
      </c>
    </row>
    <row r="4766" spans="1:14" x14ac:dyDescent="0.25">
      <c r="A4766" s="8">
        <v>984542</v>
      </c>
      <c r="B4766" s="22" t="str">
        <f>IFERROR(VLOOKUP(A4766,VLOOKUPS!$A$2:B$12589,2,FALSE),"")</f>
        <v>Blueberries 18oz-standard</v>
      </c>
      <c r="G4766" s="13">
        <v>44734</v>
      </c>
      <c r="H4766" s="13">
        <v>44734</v>
      </c>
      <c r="I4766" s="22" t="str">
        <f>VLOOKUP(J4766, Dropdowns!N:O, 2, FALSE)</f>
        <v>Lower Price</v>
      </c>
      <c r="J4766" t="s">
        <v>762</v>
      </c>
      <c r="L4766" s="17" t="s">
        <v>732</v>
      </c>
      <c r="M4766" s="17" t="s">
        <v>738</v>
      </c>
      <c r="N4766" s="17">
        <v>2</v>
      </c>
    </row>
    <row r="4767" spans="1:14" x14ac:dyDescent="0.25">
      <c r="A4767" s="8">
        <v>984542</v>
      </c>
      <c r="B4767" s="22" t="str">
        <f>IFERROR(VLOOKUP(A4767,VLOOKUPS!$A$2:B$12589,2,FALSE),"")</f>
        <v>Blueberries 18oz-standard</v>
      </c>
      <c r="E4767">
        <v>3.49</v>
      </c>
      <c r="F4767">
        <v>5.28</v>
      </c>
      <c r="G4767" s="13">
        <v>44734</v>
      </c>
      <c r="H4767" s="13"/>
      <c r="I4767" s="22" t="str">
        <f>VLOOKUP(J4767, Dropdowns!N:O, 2, FALSE)</f>
        <v>Standard</v>
      </c>
      <c r="J4767" t="s">
        <v>760</v>
      </c>
      <c r="L4767" s="17" t="s">
        <v>733</v>
      </c>
      <c r="M4767" s="17" t="s">
        <v>9</v>
      </c>
      <c r="N4767" s="17" t="s">
        <v>740</v>
      </c>
    </row>
    <row r="4768" spans="1:14" x14ac:dyDescent="0.25">
      <c r="A4768" s="8">
        <v>984542</v>
      </c>
      <c r="B4768" s="22" t="str">
        <f>IFERROR(VLOOKUP(A4768,VLOOKUPS!$A$2:B$12589,2,FALSE),"")</f>
        <v>Blueberries 18oz-standard</v>
      </c>
      <c r="E4768">
        <v>3.79</v>
      </c>
      <c r="F4768">
        <v>5.59</v>
      </c>
      <c r="G4768" s="13">
        <v>44734</v>
      </c>
      <c r="H4768" s="13"/>
      <c r="I4768" s="22" t="str">
        <f>VLOOKUP(J4768, Dropdowns!N:O, 2, FALSE)</f>
        <v>Standard</v>
      </c>
      <c r="J4768" t="s">
        <v>760</v>
      </c>
      <c r="L4768" s="17" t="s">
        <v>734</v>
      </c>
      <c r="M4768" s="17" t="s">
        <v>9</v>
      </c>
      <c r="N4768" s="17" t="s">
        <v>736</v>
      </c>
    </row>
    <row r="4769" spans="1:14" x14ac:dyDescent="0.25">
      <c r="A4769" s="8">
        <v>984542</v>
      </c>
      <c r="B4769" s="22" t="str">
        <f>IFERROR(VLOOKUP(A4769,VLOOKUPS!$A$2:B$12589,2,FALSE),"")</f>
        <v>Blueberries 18oz-standard</v>
      </c>
      <c r="E4769">
        <v>5.28</v>
      </c>
      <c r="F4769">
        <v>5.09</v>
      </c>
      <c r="G4769" s="13">
        <v>44735</v>
      </c>
      <c r="H4769" s="13"/>
      <c r="I4769" s="22" t="str">
        <f>VLOOKUP(J4769, Dropdowns!N:O, 2, FALSE)</f>
        <v>Standard</v>
      </c>
      <c r="J4769" t="s">
        <v>761</v>
      </c>
      <c r="L4769" s="17" t="s">
        <v>733</v>
      </c>
      <c r="M4769" s="17" t="s">
        <v>9</v>
      </c>
      <c r="N4769" s="17" t="s">
        <v>740</v>
      </c>
    </row>
    <row r="4770" spans="1:14" x14ac:dyDescent="0.25">
      <c r="A4770" s="8">
        <v>984541</v>
      </c>
      <c r="B4770" s="22" t="str">
        <f>IFERROR(VLOOKUP(A4770,VLOOKUPS!$A$2:B$12589,2,FALSE),"")</f>
        <v>Blueberries 1pt-standard</v>
      </c>
      <c r="E4770">
        <v>3.38</v>
      </c>
      <c r="F4770">
        <v>2.37</v>
      </c>
      <c r="G4770" s="13">
        <v>44735</v>
      </c>
      <c r="H4770" s="13">
        <v>44736</v>
      </c>
      <c r="I4770" s="22" t="str">
        <f>VLOOKUP(J4770, Dropdowns!N:O, 2, FALSE)</f>
        <v>Lower Price</v>
      </c>
      <c r="J4770" t="s">
        <v>759</v>
      </c>
      <c r="L4770" s="17" t="s">
        <v>732</v>
      </c>
      <c r="M4770" s="17" t="s">
        <v>738</v>
      </c>
      <c r="N4770" s="17">
        <v>2</v>
      </c>
    </row>
    <row r="4771" spans="1:14" x14ac:dyDescent="0.25">
      <c r="A4771" s="8">
        <v>984541</v>
      </c>
      <c r="B4771" s="22" t="str">
        <f>IFERROR(VLOOKUP(A4771,VLOOKUPS!$A$2:B$12589,2,FALSE),"")</f>
        <v>Blueberries 1pt-standard</v>
      </c>
      <c r="E4771">
        <v>2.37</v>
      </c>
      <c r="F4771">
        <v>3.38</v>
      </c>
      <c r="G4771" s="13">
        <v>44737</v>
      </c>
      <c r="H4771" s="13"/>
      <c r="I4771" s="22" t="str">
        <f>VLOOKUP(J4771, Dropdowns!N:O, 2, FALSE)</f>
        <v>Standard</v>
      </c>
      <c r="J4771" t="s">
        <v>760</v>
      </c>
      <c r="L4771" s="17" t="s">
        <v>732</v>
      </c>
      <c r="M4771" s="17" t="s">
        <v>738</v>
      </c>
      <c r="N4771" s="17">
        <v>2</v>
      </c>
    </row>
    <row r="4772" spans="1:14" x14ac:dyDescent="0.25">
      <c r="A4772" s="8">
        <v>984620</v>
      </c>
      <c r="B4772" s="22" t="str">
        <f>IFERROR(VLOOKUP(A4772,VLOOKUPS!$A$2:B$12589,2,FALSE),"")</f>
        <v>Raspberries 6oz-standard</v>
      </c>
      <c r="E4772">
        <v>3.18</v>
      </c>
      <c r="F4772">
        <v>2.23</v>
      </c>
      <c r="G4772" s="13">
        <v>44735</v>
      </c>
      <c r="H4772" s="13">
        <v>44736</v>
      </c>
      <c r="I4772" s="22" t="str">
        <f>VLOOKUP(J4772, Dropdowns!N:O, 2, FALSE)</f>
        <v>Lower Price</v>
      </c>
      <c r="J4772" t="s">
        <v>759</v>
      </c>
      <c r="L4772" s="17" t="s">
        <v>732</v>
      </c>
      <c r="M4772" s="17" t="s">
        <v>10</v>
      </c>
      <c r="N4772" s="17">
        <v>2</v>
      </c>
    </row>
    <row r="4773" spans="1:14" x14ac:dyDescent="0.25">
      <c r="A4773" s="8">
        <v>984620</v>
      </c>
      <c r="B4773" s="22" t="str">
        <f>IFERROR(VLOOKUP(A4773,VLOOKUPS!$A$2:B$12589,2,FALSE),"")</f>
        <v>Raspberries 6oz-standard</v>
      </c>
      <c r="E4773">
        <v>2.23</v>
      </c>
      <c r="F4773">
        <v>3.18</v>
      </c>
      <c r="G4773" s="13">
        <v>44737</v>
      </c>
      <c r="H4773" s="13"/>
      <c r="I4773" s="22" t="str">
        <f>VLOOKUP(J4773, Dropdowns!N:O, 2, FALSE)</f>
        <v>Standard</v>
      </c>
      <c r="J4773" t="s">
        <v>760</v>
      </c>
      <c r="L4773" s="17" t="s">
        <v>732</v>
      </c>
      <c r="M4773" s="17" t="s">
        <v>10</v>
      </c>
      <c r="N4773" s="17">
        <v>2</v>
      </c>
    </row>
    <row r="4774" spans="1:14" x14ac:dyDescent="0.25">
      <c r="A4774" s="8">
        <v>988703</v>
      </c>
      <c r="B4774" s="22" t="str">
        <f>IFERROR(VLOOKUP(A4774,VLOOKUPS!$A$2:B$12589,2,FALSE),"")</f>
        <v>Collard Greens 16oz-standard</v>
      </c>
      <c r="E4774">
        <v>2.2799999999999998</v>
      </c>
      <c r="F4774">
        <v>1.37</v>
      </c>
      <c r="G4774" s="13">
        <v>44734</v>
      </c>
      <c r="H4774" s="13">
        <v>44735</v>
      </c>
      <c r="I4774" s="22" t="str">
        <f>VLOOKUP(J4774, Dropdowns!N:O, 2, FALSE)</f>
        <v>Lower Price</v>
      </c>
      <c r="J4774" t="s">
        <v>759</v>
      </c>
      <c r="L4774" s="17" t="s">
        <v>733</v>
      </c>
      <c r="M4774" s="17" t="s">
        <v>9</v>
      </c>
      <c r="N4774" s="17" t="s">
        <v>740</v>
      </c>
    </row>
    <row r="4775" spans="1:14" x14ac:dyDescent="0.25">
      <c r="A4775" s="8">
        <v>988703</v>
      </c>
      <c r="B4775" s="22" t="str">
        <f>IFERROR(VLOOKUP(A4775,VLOOKUPS!$A$2:B$12589,2,FALSE),"")</f>
        <v>Collard Greens 16oz-standard</v>
      </c>
      <c r="E4775">
        <v>2.54</v>
      </c>
      <c r="F4775">
        <v>1.52</v>
      </c>
      <c r="G4775" s="13">
        <v>44734</v>
      </c>
      <c r="H4775" s="13">
        <v>44735</v>
      </c>
      <c r="I4775" s="22" t="str">
        <f>VLOOKUP(J4775, Dropdowns!N:O, 2, FALSE)</f>
        <v>Lower Price</v>
      </c>
      <c r="J4775" t="s">
        <v>759</v>
      </c>
      <c r="L4775" s="17" t="s">
        <v>734</v>
      </c>
      <c r="M4775" s="17" t="s">
        <v>9</v>
      </c>
      <c r="N4775" s="17" t="s">
        <v>736</v>
      </c>
    </row>
    <row r="4776" spans="1:14" x14ac:dyDescent="0.25">
      <c r="A4776" s="8">
        <v>988703</v>
      </c>
      <c r="B4776" s="22" t="str">
        <f>IFERROR(VLOOKUP(A4776,VLOOKUPS!$A$2:B$12589,2,FALSE),"")</f>
        <v>Collard Greens 16oz-standard</v>
      </c>
      <c r="E4776">
        <v>1.37</v>
      </c>
      <c r="F4776">
        <v>2.2799999999999998</v>
      </c>
      <c r="G4776" s="13">
        <v>44736</v>
      </c>
      <c r="H4776" s="13"/>
      <c r="I4776" s="22" t="str">
        <f>VLOOKUP(J4776, Dropdowns!N:O, 2, FALSE)</f>
        <v>Standard</v>
      </c>
      <c r="J4776" t="s">
        <v>760</v>
      </c>
      <c r="L4776" s="17" t="s">
        <v>733</v>
      </c>
      <c r="M4776" s="17" t="s">
        <v>9</v>
      </c>
      <c r="N4776" s="17" t="s">
        <v>740</v>
      </c>
    </row>
    <row r="4777" spans="1:14" x14ac:dyDescent="0.25">
      <c r="A4777" s="8">
        <v>988703</v>
      </c>
      <c r="B4777" s="22" t="str">
        <f>IFERROR(VLOOKUP(A4777,VLOOKUPS!$A$2:B$12589,2,FALSE),"")</f>
        <v>Collard Greens 16oz-standard</v>
      </c>
      <c r="E4777">
        <v>1.52</v>
      </c>
      <c r="F4777">
        <v>2.54</v>
      </c>
      <c r="G4777" s="13">
        <v>44736</v>
      </c>
      <c r="H4777" s="13"/>
      <c r="I4777" s="22" t="str">
        <f>VLOOKUP(J4777, Dropdowns!N:O, 2, FALSE)</f>
        <v>Standard</v>
      </c>
      <c r="J4777" t="s">
        <v>760</v>
      </c>
      <c r="L4777" s="17" t="s">
        <v>734</v>
      </c>
      <c r="M4777" s="17" t="s">
        <v>9</v>
      </c>
      <c r="N4777" s="17" t="s">
        <v>736</v>
      </c>
    </row>
    <row r="4778" spans="1:14" x14ac:dyDescent="0.25">
      <c r="A4778" s="8">
        <v>995007</v>
      </c>
      <c r="B4778" s="22" t="str">
        <f>IFERROR(VLOOKUP(A4778,VLOOKUPS!$A$2:B$12589,2,FALSE),"")</f>
        <v>Caesar Salad Kit 10.5oz-standard</v>
      </c>
      <c r="D4778">
        <v>7</v>
      </c>
      <c r="F4778">
        <v>2.99</v>
      </c>
      <c r="G4778" s="13">
        <v>44735</v>
      </c>
      <c r="H4778" s="13"/>
      <c r="I4778" s="22" t="str">
        <f>VLOOKUP(J4778, Dropdowns!N:O, 2, FALSE)</f>
        <v>NA</v>
      </c>
      <c r="J4778" t="s">
        <v>754</v>
      </c>
      <c r="L4778" s="17" t="s">
        <v>732</v>
      </c>
      <c r="M4778" s="17" t="s">
        <v>738</v>
      </c>
      <c r="N4778" s="17">
        <v>2</v>
      </c>
    </row>
    <row r="4779" spans="1:14" x14ac:dyDescent="0.25">
      <c r="A4779" s="8">
        <v>995012</v>
      </c>
      <c r="B4779" s="22" t="str">
        <f>IFERROR(VLOOKUP(A4779,VLOOKUPS!$A$2:B$12589,2,FALSE),"")</f>
        <v>RTE Cranberry Walnut Salad 4.5oz-standard</v>
      </c>
      <c r="E4779">
        <v>3.27</v>
      </c>
      <c r="F4779">
        <v>1.96</v>
      </c>
      <c r="G4779" s="13">
        <v>44735</v>
      </c>
      <c r="H4779" s="13">
        <v>44736</v>
      </c>
      <c r="I4779" s="22" t="str">
        <f>VLOOKUP(J4779, Dropdowns!N:O, 2, FALSE)</f>
        <v>Lower Price</v>
      </c>
      <c r="J4779" t="s">
        <v>759</v>
      </c>
      <c r="L4779" s="17" t="s">
        <v>733</v>
      </c>
      <c r="M4779" s="17" t="s">
        <v>11</v>
      </c>
      <c r="N4779" s="17" t="s">
        <v>740</v>
      </c>
    </row>
    <row r="4780" spans="1:14" x14ac:dyDescent="0.25">
      <c r="A4780" s="8">
        <v>995012</v>
      </c>
      <c r="B4780" s="22" t="str">
        <f>IFERROR(VLOOKUP(A4780,VLOOKUPS!$A$2:B$12589,2,FALSE),"")</f>
        <v>RTE Cranberry Walnut Salad 4.5oz-standard</v>
      </c>
      <c r="E4780">
        <v>1.96</v>
      </c>
      <c r="F4780">
        <v>3.27</v>
      </c>
      <c r="G4780" s="13">
        <v>44737</v>
      </c>
      <c r="H4780" s="13"/>
      <c r="I4780" s="22" t="str">
        <f>VLOOKUP(J4780, Dropdowns!N:O, 2, FALSE)</f>
        <v>Standard</v>
      </c>
      <c r="J4780" t="s">
        <v>760</v>
      </c>
      <c r="L4780" s="17" t="s">
        <v>733</v>
      </c>
      <c r="M4780" s="17" t="s">
        <v>11</v>
      </c>
      <c r="N4780" s="17" t="s">
        <v>740</v>
      </c>
    </row>
    <row r="4781" spans="1:14" x14ac:dyDescent="0.25">
      <c r="A4781" s="8">
        <v>995069</v>
      </c>
      <c r="B4781" s="22" t="str">
        <f>IFERROR(VLOOKUP(A4781,VLOOKUPS!$A$2:B$12589,2,FALSE),"")</f>
        <v>Organic Baby Spinach 5oz-standard</v>
      </c>
      <c r="E4781">
        <v>2.98</v>
      </c>
      <c r="F4781">
        <v>1.79</v>
      </c>
      <c r="G4781" s="13">
        <v>44735</v>
      </c>
      <c r="H4781" s="13">
        <v>44736</v>
      </c>
      <c r="I4781" s="22" t="str">
        <f>VLOOKUP(J4781, Dropdowns!N:O, 2, FALSE)</f>
        <v>Lower Price</v>
      </c>
      <c r="J4781" t="s">
        <v>759</v>
      </c>
      <c r="L4781" s="17" t="s">
        <v>733</v>
      </c>
      <c r="M4781" s="17" t="s">
        <v>9</v>
      </c>
      <c r="N4781" s="17" t="s">
        <v>740</v>
      </c>
    </row>
    <row r="4782" spans="1:14" x14ac:dyDescent="0.25">
      <c r="A4782" s="8">
        <v>995069</v>
      </c>
      <c r="B4782" s="22" t="str">
        <f>IFERROR(VLOOKUP(A4782,VLOOKUPS!$A$2:B$12589,2,FALSE),"")</f>
        <v>Organic Baby Spinach 5oz-standard</v>
      </c>
      <c r="E4782">
        <v>3.49</v>
      </c>
      <c r="F4782">
        <v>2.09</v>
      </c>
      <c r="G4782" s="13">
        <v>44735</v>
      </c>
      <c r="H4782" s="13">
        <v>44736</v>
      </c>
      <c r="I4782" s="22" t="str">
        <f>VLOOKUP(J4782, Dropdowns!N:O, 2, FALSE)</f>
        <v>Lower Price</v>
      </c>
      <c r="J4782" t="s">
        <v>759</v>
      </c>
      <c r="L4782" s="17" t="s">
        <v>734</v>
      </c>
      <c r="M4782" s="17" t="s">
        <v>9</v>
      </c>
      <c r="N4782" s="17" t="s">
        <v>736</v>
      </c>
    </row>
    <row r="4783" spans="1:14" x14ac:dyDescent="0.25">
      <c r="A4783" s="8">
        <v>995069</v>
      </c>
      <c r="B4783" s="22" t="str">
        <f>IFERROR(VLOOKUP(A4783,VLOOKUPS!$A$2:B$12589,2,FALSE),"")</f>
        <v>Organic Baby Spinach 5oz-standard</v>
      </c>
      <c r="E4783">
        <v>1.79</v>
      </c>
      <c r="F4783">
        <v>2.98</v>
      </c>
      <c r="G4783" s="13">
        <v>44737</v>
      </c>
      <c r="H4783" s="13"/>
      <c r="I4783" s="22" t="str">
        <f>VLOOKUP(J4783, Dropdowns!N:O, 2, FALSE)</f>
        <v>Standard</v>
      </c>
      <c r="J4783" t="s">
        <v>760</v>
      </c>
      <c r="L4783" s="17" t="s">
        <v>733</v>
      </c>
      <c r="M4783" s="17" t="s">
        <v>9</v>
      </c>
      <c r="N4783" s="17" t="s">
        <v>740</v>
      </c>
    </row>
    <row r="4784" spans="1:14" x14ac:dyDescent="0.25">
      <c r="A4784" s="8">
        <v>995069</v>
      </c>
      <c r="B4784" s="22" t="str">
        <f>IFERROR(VLOOKUP(A4784,VLOOKUPS!$A$2:B$12589,2,FALSE),"")</f>
        <v>Organic Baby Spinach 5oz-standard</v>
      </c>
      <c r="E4784">
        <v>2.09</v>
      </c>
      <c r="F4784">
        <v>3.49</v>
      </c>
      <c r="G4784" s="13">
        <v>44737</v>
      </c>
      <c r="H4784" s="13"/>
      <c r="I4784" s="22" t="str">
        <f>VLOOKUP(J4784, Dropdowns!N:O, 2, FALSE)</f>
        <v>Standard</v>
      </c>
      <c r="J4784" t="s">
        <v>760</v>
      </c>
      <c r="L4784" s="17" t="s">
        <v>734</v>
      </c>
      <c r="M4784" s="17" t="s">
        <v>9</v>
      </c>
      <c r="N4784" s="17" t="s">
        <v>736</v>
      </c>
    </row>
    <row r="4785" spans="1:14" x14ac:dyDescent="0.25">
      <c r="A4785" s="8">
        <v>995078</v>
      </c>
      <c r="B4785" s="22" t="str">
        <f>IFERROR(VLOOKUP(A4785,VLOOKUPS!$A$2:B$12589,2,FALSE),"")</f>
        <v>Organic Baby Spinach 16oz-standard</v>
      </c>
      <c r="E4785">
        <v>4.9800000000000004</v>
      </c>
      <c r="F4785">
        <v>2.99</v>
      </c>
      <c r="G4785" s="13">
        <v>44735</v>
      </c>
      <c r="H4785" s="13">
        <v>44736</v>
      </c>
      <c r="I4785" s="22" t="str">
        <f>VLOOKUP(J4785, Dropdowns!N:O, 2, FALSE)</f>
        <v>Lower Price</v>
      </c>
      <c r="J4785" t="s">
        <v>759</v>
      </c>
      <c r="L4785" s="17" t="s">
        <v>733</v>
      </c>
      <c r="M4785" s="17" t="s">
        <v>11</v>
      </c>
      <c r="N4785" s="17" t="s">
        <v>740</v>
      </c>
    </row>
    <row r="4786" spans="1:14" x14ac:dyDescent="0.25">
      <c r="A4786" s="8">
        <v>995078</v>
      </c>
      <c r="B4786" s="22" t="str">
        <f>IFERROR(VLOOKUP(A4786,VLOOKUPS!$A$2:B$12589,2,FALSE),"")</f>
        <v>Organic Baby Spinach 16oz-standard</v>
      </c>
      <c r="E4786">
        <v>2.99</v>
      </c>
      <c r="F4786">
        <v>4.9800000000000004</v>
      </c>
      <c r="G4786" s="13">
        <v>44737</v>
      </c>
      <c r="H4786" s="13"/>
      <c r="I4786" s="22" t="str">
        <f>VLOOKUP(J4786, Dropdowns!N:O, 2, FALSE)</f>
        <v>Standard</v>
      </c>
      <c r="J4786" t="s">
        <v>760</v>
      </c>
      <c r="L4786" s="17" t="s">
        <v>733</v>
      </c>
      <c r="M4786" s="17" t="s">
        <v>11</v>
      </c>
      <c r="N4786" s="17" t="s">
        <v>740</v>
      </c>
    </row>
    <row r="4787" spans="1:14" x14ac:dyDescent="0.25">
      <c r="A4787" s="8">
        <v>995100</v>
      </c>
      <c r="B4787" s="22" t="str">
        <f>IFERROR(VLOOKUP(A4787,VLOOKUPS!$A$2:B$12589,2,FALSE),"")</f>
        <v>Asian Chopped Salad Kit 12oz-standard</v>
      </c>
      <c r="E4787">
        <v>3.49</v>
      </c>
      <c r="F4787">
        <v>2.09</v>
      </c>
      <c r="G4787" s="13">
        <v>44735</v>
      </c>
      <c r="H4787" s="13">
        <v>44736</v>
      </c>
      <c r="I4787" s="22" t="str">
        <f>VLOOKUP(J4787, Dropdowns!N:O, 2, FALSE)</f>
        <v>Lower Price</v>
      </c>
      <c r="J4787" t="s">
        <v>759</v>
      </c>
      <c r="L4787" s="17" t="s">
        <v>732</v>
      </c>
      <c r="M4787" s="17" t="s">
        <v>10</v>
      </c>
      <c r="N4787" s="17">
        <v>2</v>
      </c>
    </row>
    <row r="4788" spans="1:14" x14ac:dyDescent="0.25">
      <c r="A4788" s="8">
        <v>995100</v>
      </c>
      <c r="B4788" s="22" t="str">
        <f>IFERROR(VLOOKUP(A4788,VLOOKUPS!$A$2:B$12589,2,FALSE),"")</f>
        <v>Asian Chopped Salad Kit 12oz-standard</v>
      </c>
      <c r="E4788">
        <v>2.09</v>
      </c>
      <c r="F4788">
        <v>3.49</v>
      </c>
      <c r="G4788" s="13">
        <v>44737</v>
      </c>
      <c r="H4788" s="13"/>
      <c r="I4788" s="22" t="str">
        <f>VLOOKUP(J4788, Dropdowns!N:O, 2, FALSE)</f>
        <v>Standard</v>
      </c>
      <c r="J4788" t="s">
        <v>760</v>
      </c>
      <c r="L4788" s="17" t="s">
        <v>732</v>
      </c>
      <c r="M4788" s="17" t="s">
        <v>10</v>
      </c>
      <c r="N4788" s="17">
        <v>2</v>
      </c>
    </row>
    <row r="4789" spans="1:14" x14ac:dyDescent="0.25">
      <c r="A4789" s="8">
        <v>995126</v>
      </c>
      <c r="B4789" s="22" t="str">
        <f>IFERROR(VLOOKUP(A4789,VLOOKUPS!$A$2:B$12589,2,FALSE),"")</f>
        <v>Broccoli &amp; Cauliflower 12oz-standard</v>
      </c>
      <c r="D4789">
        <v>6</v>
      </c>
      <c r="F4789">
        <v>2.78</v>
      </c>
      <c r="G4789" s="13">
        <v>44735</v>
      </c>
      <c r="H4789" s="13"/>
      <c r="I4789" s="22" t="str">
        <f>VLOOKUP(J4789, Dropdowns!N:O, 2, FALSE)</f>
        <v>NA</v>
      </c>
      <c r="J4789" t="s">
        <v>754</v>
      </c>
      <c r="L4789" s="17" t="s">
        <v>732</v>
      </c>
      <c r="M4789" s="17" t="s">
        <v>738</v>
      </c>
      <c r="N4789" s="17">
        <v>2</v>
      </c>
    </row>
    <row r="4790" spans="1:14" x14ac:dyDescent="0.25">
      <c r="A4790" s="8">
        <v>984542</v>
      </c>
      <c r="B4790" s="22" t="str">
        <f>IFERROR(VLOOKUP(A4790,VLOOKUPS!$A$2:B$12589,2,FALSE),"")</f>
        <v>Blueberries 18oz-standard</v>
      </c>
      <c r="E4790">
        <v>3.49</v>
      </c>
      <c r="F4790">
        <v>5.28</v>
      </c>
      <c r="G4790" s="13">
        <v>44735</v>
      </c>
      <c r="H4790" s="13"/>
      <c r="I4790" s="22" t="str">
        <f>VLOOKUP(J4790, Dropdowns!N:O, 2, FALSE)</f>
        <v>Standard</v>
      </c>
      <c r="J4790" t="s">
        <v>760</v>
      </c>
      <c r="L4790" s="17" t="s">
        <v>732</v>
      </c>
      <c r="M4790" s="17" t="s">
        <v>738</v>
      </c>
      <c r="N4790" s="17">
        <v>2</v>
      </c>
    </row>
    <row r="4791" spans="1:14" x14ac:dyDescent="0.25">
      <c r="A4791" s="8">
        <v>984542</v>
      </c>
      <c r="B4791" s="22" t="str">
        <f>IFERROR(VLOOKUP(A4791,VLOOKUPS!$A$2:B$12589,2,FALSE),"")</f>
        <v>Blueberries 18oz-standard</v>
      </c>
      <c r="E4791">
        <v>5.28</v>
      </c>
      <c r="F4791">
        <v>5.09</v>
      </c>
      <c r="G4791" s="13">
        <v>44736</v>
      </c>
      <c r="H4791" s="13"/>
      <c r="I4791" s="22" t="str">
        <f>VLOOKUP(J4791, Dropdowns!N:O, 2, FALSE)</f>
        <v>Standard</v>
      </c>
      <c r="J4791" t="s">
        <v>761</v>
      </c>
      <c r="L4791" s="17" t="s">
        <v>732</v>
      </c>
      <c r="M4791" s="17" t="s">
        <v>738</v>
      </c>
      <c r="N4791" s="17">
        <v>2</v>
      </c>
    </row>
    <row r="4792" spans="1:14" x14ac:dyDescent="0.25">
      <c r="A4792" s="8">
        <v>995144</v>
      </c>
      <c r="B4792" s="22" t="str">
        <f>IFERROR(VLOOKUP(A4792,VLOOKUPS!$A$2:B$12589,2,FALSE),"")</f>
        <v>Asparagus Spears 10oz-standard</v>
      </c>
      <c r="E4792">
        <v>4.18</v>
      </c>
      <c r="F4792">
        <v>2.5099999999999998</v>
      </c>
      <c r="G4792" s="13">
        <v>44735</v>
      </c>
      <c r="H4792" s="13">
        <v>44736</v>
      </c>
      <c r="I4792" s="22" t="str">
        <f>VLOOKUP(J4792, Dropdowns!N:O, 2, FALSE)</f>
        <v>Lower Price</v>
      </c>
      <c r="J4792" t="s">
        <v>759</v>
      </c>
      <c r="L4792" s="17" t="s">
        <v>733</v>
      </c>
      <c r="M4792" s="17" t="s">
        <v>11</v>
      </c>
      <c r="N4792" s="17" t="s">
        <v>740</v>
      </c>
    </row>
    <row r="4793" spans="1:14" x14ac:dyDescent="0.25">
      <c r="A4793" s="8">
        <v>995144</v>
      </c>
      <c r="B4793" s="22" t="str">
        <f>IFERROR(VLOOKUP(A4793,VLOOKUPS!$A$2:B$12589,2,FALSE),"")</f>
        <v>Asparagus Spears 10oz-standard</v>
      </c>
      <c r="E4793">
        <v>2.5099999999999998</v>
      </c>
      <c r="F4793">
        <v>4.18</v>
      </c>
      <c r="G4793" s="13">
        <v>44737</v>
      </c>
      <c r="H4793" s="13"/>
      <c r="I4793" s="22" t="str">
        <f>VLOOKUP(J4793, Dropdowns!N:O, 2, FALSE)</f>
        <v>Standard</v>
      </c>
      <c r="J4793" t="s">
        <v>760</v>
      </c>
      <c r="L4793" s="17" t="s">
        <v>733</v>
      </c>
      <c r="M4793" s="17" t="s">
        <v>11</v>
      </c>
      <c r="N4793" s="17" t="s">
        <v>740</v>
      </c>
    </row>
    <row r="4794" spans="1:14" x14ac:dyDescent="0.25">
      <c r="A4794" s="8">
        <v>995145</v>
      </c>
      <c r="B4794" s="22" t="str">
        <f>IFERROR(VLOOKUP(A4794,VLOOKUPS!$A$2:B$12589,2,FALSE),"")</f>
        <v>Mango Spears 32oz-standard</v>
      </c>
      <c r="D4794">
        <v>6</v>
      </c>
      <c r="F4794">
        <v>10.49</v>
      </c>
      <c r="G4794" s="13">
        <v>44735</v>
      </c>
      <c r="H4794" s="13"/>
      <c r="I4794" s="22" t="str">
        <f>VLOOKUP(J4794, Dropdowns!N:O, 2, FALSE)</f>
        <v>NA</v>
      </c>
      <c r="J4794" t="s">
        <v>754</v>
      </c>
      <c r="L4794" s="17" t="s">
        <v>732</v>
      </c>
      <c r="M4794" s="17" t="s">
        <v>9</v>
      </c>
      <c r="N4794" s="17" t="s">
        <v>736</v>
      </c>
    </row>
    <row r="4795" spans="1:14" x14ac:dyDescent="0.25">
      <c r="A4795" s="8">
        <v>995068</v>
      </c>
      <c r="B4795" s="22" t="str">
        <f>IFERROR(VLOOKUP(A4795,VLOOKUPS!$A$2:B$12589,2,FALSE),"")</f>
        <v>Organic Half and Half 5oz-standard</v>
      </c>
      <c r="E4795">
        <v>2.75</v>
      </c>
      <c r="F4795">
        <v>1.65</v>
      </c>
      <c r="G4795" s="13">
        <v>44736</v>
      </c>
      <c r="H4795" s="13">
        <v>44737</v>
      </c>
      <c r="I4795" s="22" t="str">
        <f>VLOOKUP(J4795, Dropdowns!N:O, 2, FALSE)</f>
        <v>Lower Price</v>
      </c>
      <c r="J4795" t="s">
        <v>759</v>
      </c>
      <c r="L4795" s="17" t="s">
        <v>733</v>
      </c>
      <c r="M4795" s="17" t="s">
        <v>9</v>
      </c>
      <c r="N4795" s="17" t="s">
        <v>740</v>
      </c>
    </row>
    <row r="4796" spans="1:14" x14ac:dyDescent="0.25">
      <c r="A4796" s="8">
        <v>995068</v>
      </c>
      <c r="B4796" s="22" t="str">
        <f>IFERROR(VLOOKUP(A4796,VLOOKUPS!$A$2:B$12589,2,FALSE),"")</f>
        <v>Organic Half and Half 5oz-standard</v>
      </c>
      <c r="E4796">
        <v>3.49</v>
      </c>
      <c r="F4796">
        <v>2.09</v>
      </c>
      <c r="G4796" s="13">
        <v>44736</v>
      </c>
      <c r="H4796" s="13">
        <v>44737</v>
      </c>
      <c r="I4796" s="22" t="str">
        <f>VLOOKUP(J4796, Dropdowns!N:O, 2, FALSE)</f>
        <v>Lower Price</v>
      </c>
      <c r="J4796" t="s">
        <v>759</v>
      </c>
      <c r="L4796" s="17" t="s">
        <v>734</v>
      </c>
      <c r="M4796" s="17" t="s">
        <v>9</v>
      </c>
      <c r="N4796" s="17" t="s">
        <v>736</v>
      </c>
    </row>
    <row r="4797" spans="1:14" x14ac:dyDescent="0.25">
      <c r="A4797" s="8">
        <v>995068</v>
      </c>
      <c r="B4797" s="22" t="str">
        <f>IFERROR(VLOOKUP(A4797,VLOOKUPS!$A$2:B$12589,2,FALSE),"")</f>
        <v>Organic Half and Half 5oz-standard</v>
      </c>
      <c r="E4797">
        <v>1.65</v>
      </c>
      <c r="F4797">
        <v>2.75</v>
      </c>
      <c r="G4797" s="13">
        <v>44738</v>
      </c>
      <c r="H4797" s="13"/>
      <c r="I4797" s="22" t="str">
        <f>VLOOKUP(J4797, Dropdowns!N:O, 2, FALSE)</f>
        <v>Standard</v>
      </c>
      <c r="J4797" t="s">
        <v>760</v>
      </c>
      <c r="L4797" s="17" t="s">
        <v>733</v>
      </c>
      <c r="M4797" s="17" t="s">
        <v>9</v>
      </c>
      <c r="N4797" s="17" t="s">
        <v>740</v>
      </c>
    </row>
    <row r="4798" spans="1:14" x14ac:dyDescent="0.25">
      <c r="A4798" s="8">
        <v>995068</v>
      </c>
      <c r="B4798" s="22" t="str">
        <f>IFERROR(VLOOKUP(A4798,VLOOKUPS!$A$2:B$12589,2,FALSE),"")</f>
        <v>Organic Half and Half 5oz-standard</v>
      </c>
      <c r="E4798">
        <v>2.09</v>
      </c>
      <c r="F4798">
        <v>3.49</v>
      </c>
      <c r="G4798" s="13">
        <v>44738</v>
      </c>
      <c r="H4798" s="13"/>
      <c r="I4798" s="22" t="str">
        <f>VLOOKUP(J4798, Dropdowns!N:O, 2, FALSE)</f>
        <v>Standard</v>
      </c>
      <c r="J4798" t="s">
        <v>760</v>
      </c>
      <c r="L4798" s="17" t="s">
        <v>734</v>
      </c>
      <c r="M4798" s="17" t="s">
        <v>9</v>
      </c>
      <c r="N4798" s="17" t="s">
        <v>736</v>
      </c>
    </row>
    <row r="4799" spans="1:14" x14ac:dyDescent="0.25">
      <c r="A4799" s="8">
        <v>995126</v>
      </c>
      <c r="B4799" s="22" t="str">
        <f>IFERROR(VLOOKUP(A4799,VLOOKUPS!$A$2:B$12589,2,FALSE),"")</f>
        <v>Broccoli &amp; Cauliflower 12oz-standard</v>
      </c>
      <c r="D4799">
        <v>6</v>
      </c>
      <c r="F4799">
        <v>2.78</v>
      </c>
      <c r="G4799" s="13">
        <v>44736</v>
      </c>
      <c r="H4799" s="13"/>
      <c r="I4799" s="22" t="str">
        <f>VLOOKUP(J4799, Dropdowns!N:O, 2, FALSE)</f>
        <v>NA</v>
      </c>
      <c r="J4799" t="s">
        <v>754</v>
      </c>
      <c r="L4799" s="17" t="s">
        <v>732</v>
      </c>
      <c r="M4799" s="17" t="s">
        <v>9</v>
      </c>
      <c r="N4799" s="17" t="s">
        <v>736</v>
      </c>
    </row>
    <row r="4800" spans="1:14" x14ac:dyDescent="0.25">
      <c r="A4800" s="8">
        <v>985760</v>
      </c>
      <c r="B4800" s="22" t="str">
        <f>IFERROR(VLOOKUP(A4800,VLOOKUPS!$A$2:B$12589,2,FALSE),"")</f>
        <v>Asparagus 1lb-standard</v>
      </c>
      <c r="E4800">
        <v>1.99</v>
      </c>
      <c r="F4800">
        <v>2.99</v>
      </c>
      <c r="G4800" s="13">
        <v>44736</v>
      </c>
      <c r="H4800" s="13"/>
      <c r="I4800" s="22" t="str">
        <f>VLOOKUP(J4800, Dropdowns!N:O, 2, FALSE)</f>
        <v>Standard</v>
      </c>
      <c r="J4800" t="s">
        <v>760</v>
      </c>
      <c r="L4800" s="17" t="s">
        <v>732</v>
      </c>
      <c r="M4800" s="17" t="s">
        <v>9</v>
      </c>
      <c r="N4800" s="17" t="s">
        <v>736</v>
      </c>
    </row>
    <row r="4801" spans="1:14" x14ac:dyDescent="0.25">
      <c r="A4801" s="8">
        <v>985760</v>
      </c>
      <c r="B4801" s="22" t="str">
        <f>IFERROR(VLOOKUP(A4801,VLOOKUPS!$A$2:B$12589,2,FALSE),"")</f>
        <v>Asparagus 1lb-standard</v>
      </c>
      <c r="G4801" s="13">
        <v>44736</v>
      </c>
      <c r="H4801" s="13">
        <v>44737</v>
      </c>
      <c r="I4801" s="22" t="str">
        <f>VLOOKUP(J4801, Dropdowns!N:O, 2, FALSE)</f>
        <v>Lower Price</v>
      </c>
      <c r="J4801" t="s">
        <v>762</v>
      </c>
      <c r="L4801" s="17" t="s">
        <v>733</v>
      </c>
      <c r="M4801" s="17" t="s">
        <v>11</v>
      </c>
      <c r="N4801" s="17" t="s">
        <v>740</v>
      </c>
    </row>
    <row r="4802" spans="1:14" x14ac:dyDescent="0.25">
      <c r="A4802" s="8">
        <v>985760</v>
      </c>
      <c r="B4802" s="22" t="str">
        <f>IFERROR(VLOOKUP(A4802,VLOOKUPS!$A$2:B$12589,2,FALSE),"")</f>
        <v>Asparagus 1lb-standard</v>
      </c>
      <c r="E4802">
        <v>1.99</v>
      </c>
      <c r="F4802">
        <v>2.99</v>
      </c>
      <c r="G4802" s="13">
        <v>44738</v>
      </c>
      <c r="H4802" s="13"/>
      <c r="I4802" s="22" t="str">
        <f>VLOOKUP(J4802, Dropdowns!N:O, 2, FALSE)</f>
        <v>Standard</v>
      </c>
      <c r="J4802" t="s">
        <v>760</v>
      </c>
      <c r="L4802" s="17" t="s">
        <v>733</v>
      </c>
      <c r="M4802" s="17" t="s">
        <v>11</v>
      </c>
      <c r="N4802" s="17" t="s">
        <v>740</v>
      </c>
    </row>
    <row r="4803" spans="1:14" x14ac:dyDescent="0.25">
      <c r="A4803" s="8">
        <v>984460</v>
      </c>
      <c r="B4803" s="22" t="str">
        <f>IFERROR(VLOOKUP(A4803,VLOOKUPS!$A$2:B$12589,2,FALSE),"")</f>
        <v>Strawberries 1lb-standard</v>
      </c>
      <c r="G4803" s="13">
        <v>44736</v>
      </c>
      <c r="H4803" s="13"/>
      <c r="I4803" s="22" t="str">
        <f>VLOOKUP(J4803, Dropdowns!N:O, 2, FALSE)</f>
        <v>Lower Price</v>
      </c>
      <c r="J4803" t="s">
        <v>779</v>
      </c>
      <c r="L4803" s="17" t="s">
        <v>732</v>
      </c>
      <c r="M4803" s="17" t="s">
        <v>738</v>
      </c>
      <c r="N4803" s="17">
        <v>2</v>
      </c>
    </row>
    <row r="4804" spans="1:14" x14ac:dyDescent="0.25">
      <c r="A4804" s="8">
        <v>984700</v>
      </c>
      <c r="B4804" s="22" t="str">
        <f>IFERROR(VLOOKUP(A4804,VLOOKUPS!$A$2:B$12589,2,FALSE),"")</f>
        <v>Blackberries 6oz-standard</v>
      </c>
      <c r="G4804" s="13">
        <v>44737</v>
      </c>
      <c r="H4804" s="13">
        <v>44738</v>
      </c>
      <c r="I4804" s="22" t="str">
        <f>VLOOKUP(J4804, Dropdowns!N:O, 2, FALSE)</f>
        <v>Lower Price</v>
      </c>
      <c r="J4804" t="s">
        <v>753</v>
      </c>
      <c r="L4804" s="17" t="s">
        <v>732</v>
      </c>
      <c r="M4804" s="17" t="s">
        <v>736</v>
      </c>
      <c r="N4804" s="17" t="s">
        <v>736</v>
      </c>
    </row>
    <row r="4805" spans="1:14" x14ac:dyDescent="0.25">
      <c r="A4805" s="8">
        <v>984700</v>
      </c>
      <c r="B4805" s="22" t="str">
        <f>IFERROR(VLOOKUP(A4805,VLOOKUPS!$A$2:B$12589,2,FALSE),"")</f>
        <v>Blackberries 6oz-standard</v>
      </c>
      <c r="G4805" s="13">
        <v>44739</v>
      </c>
      <c r="H4805" s="13">
        <v>44739</v>
      </c>
      <c r="I4805" s="22" t="str">
        <f>VLOOKUP(J4805, Dropdowns!N:O, 2, FALSE)</f>
        <v>Lower Price</v>
      </c>
      <c r="J4805" t="s">
        <v>762</v>
      </c>
      <c r="L4805" s="17" t="s">
        <v>732</v>
      </c>
      <c r="M4805" s="17" t="s">
        <v>736</v>
      </c>
      <c r="N4805" s="17" t="s">
        <v>736</v>
      </c>
    </row>
    <row r="4806" spans="1:14" x14ac:dyDescent="0.25">
      <c r="A4806" s="8">
        <v>986250</v>
      </c>
      <c r="B4806" s="22" t="str">
        <f>IFERROR(VLOOKUP(A4806,VLOOKUPS!$A$2:B$12589,2,FALSE),"")</f>
        <v>French Beans 1lb-standard</v>
      </c>
      <c r="E4806">
        <v>2.99</v>
      </c>
      <c r="F4806">
        <v>1.79</v>
      </c>
      <c r="G4806" s="13">
        <v>44737</v>
      </c>
      <c r="H4806" s="13">
        <v>44738</v>
      </c>
      <c r="I4806" s="22" t="str">
        <f>VLOOKUP(J4806, Dropdowns!N:O, 2, FALSE)</f>
        <v>Lower Price</v>
      </c>
      <c r="J4806" t="s">
        <v>759</v>
      </c>
      <c r="L4806" s="17" t="s">
        <v>733</v>
      </c>
      <c r="M4806" s="17" t="s">
        <v>11</v>
      </c>
      <c r="N4806" s="17" t="s">
        <v>740</v>
      </c>
    </row>
    <row r="4807" spans="1:14" x14ac:dyDescent="0.25">
      <c r="A4807" s="8">
        <v>986250</v>
      </c>
      <c r="B4807" s="22" t="str">
        <f>IFERROR(VLOOKUP(A4807,VLOOKUPS!$A$2:B$12589,2,FALSE),"")</f>
        <v>French Beans 1lb-standard</v>
      </c>
      <c r="E4807">
        <v>1.79</v>
      </c>
      <c r="F4807">
        <v>2.99</v>
      </c>
      <c r="G4807" s="13">
        <v>44739</v>
      </c>
      <c r="H4807" s="13"/>
      <c r="I4807" s="22" t="str">
        <f>VLOOKUP(J4807, Dropdowns!N:O, 2, FALSE)</f>
        <v>Standard</v>
      </c>
      <c r="J4807" t="s">
        <v>760</v>
      </c>
      <c r="L4807" s="17" t="s">
        <v>733</v>
      </c>
      <c r="M4807" s="17" t="s">
        <v>11</v>
      </c>
      <c r="N4807" s="17" t="s">
        <v>740</v>
      </c>
    </row>
    <row r="4808" spans="1:14" x14ac:dyDescent="0.25">
      <c r="A4808" s="8">
        <v>995045</v>
      </c>
      <c r="B4808" s="22" t="str">
        <f>IFERROR(VLOOKUP(A4808,VLOOKUPS!$A$2:B$12589,2,FALSE),"")</f>
        <v>Fajita Blend 12oz-standard</v>
      </c>
      <c r="D4808">
        <v>4</v>
      </c>
      <c r="G4808" s="13">
        <v>44740</v>
      </c>
      <c r="H4808" s="13"/>
      <c r="I4808" s="22" t="str">
        <f>VLOOKUP(J4808, Dropdowns!N:O, 2, FALSE)</f>
        <v>NA</v>
      </c>
      <c r="J4808" t="s">
        <v>780</v>
      </c>
      <c r="L4808" s="17" t="s">
        <v>732</v>
      </c>
      <c r="M4808" s="17" t="s">
        <v>736</v>
      </c>
      <c r="N4808" s="17" t="s">
        <v>736</v>
      </c>
    </row>
    <row r="4809" spans="1:14" x14ac:dyDescent="0.25">
      <c r="A4809" s="8">
        <v>995195</v>
      </c>
      <c r="B4809" s="22" t="str">
        <f>IFERROR(VLOOKUP(A4809,VLOOKUPS!$A$2:B$12589,2,FALSE),"")</f>
        <v>Caesar Salad Kit 10oz-standard</v>
      </c>
      <c r="D4809">
        <v>7</v>
      </c>
      <c r="F4809">
        <v>2.99</v>
      </c>
      <c r="G4809" s="13">
        <v>44737</v>
      </c>
      <c r="H4809" s="13"/>
      <c r="I4809" s="22" t="str">
        <f>VLOOKUP(J4809, Dropdowns!N:O, 2, FALSE)</f>
        <v>New</v>
      </c>
      <c r="J4809" t="s">
        <v>776</v>
      </c>
      <c r="L4809" s="17" t="s">
        <v>733</v>
      </c>
      <c r="M4809" s="17" t="s">
        <v>736</v>
      </c>
      <c r="N4809" s="17" t="s">
        <v>740</v>
      </c>
    </row>
    <row r="4810" spans="1:14" x14ac:dyDescent="0.25">
      <c r="A4810" s="8">
        <v>995195</v>
      </c>
      <c r="B4810" s="22" t="str">
        <f>IFERROR(VLOOKUP(A4810,VLOOKUPS!$A$2:B$12589,2,FALSE),"")</f>
        <v>Caesar Salad Kit 10oz-standard</v>
      </c>
      <c r="D4810">
        <v>7</v>
      </c>
      <c r="F4810">
        <v>3.29</v>
      </c>
      <c r="G4810" s="13">
        <v>44737</v>
      </c>
      <c r="H4810" s="13"/>
      <c r="I4810" s="22" t="str">
        <f>VLOOKUP(J4810, Dropdowns!N:O, 2, FALSE)</f>
        <v>New</v>
      </c>
      <c r="J4810" t="s">
        <v>776</v>
      </c>
      <c r="L4810" s="17" t="s">
        <v>734</v>
      </c>
      <c r="M4810" s="17" t="s">
        <v>9</v>
      </c>
      <c r="N4810" s="17" t="s">
        <v>736</v>
      </c>
    </row>
    <row r="4811" spans="1:14" x14ac:dyDescent="0.25">
      <c r="A4811" s="8">
        <v>995195</v>
      </c>
      <c r="B4811" s="22" t="str">
        <f>IFERROR(VLOOKUP(A4811,VLOOKUPS!$A$2:B$12589,2,FALSE),"")</f>
        <v>Caesar Salad Kit 10oz-standard</v>
      </c>
      <c r="D4811">
        <v>7</v>
      </c>
      <c r="F4811">
        <v>2.99</v>
      </c>
      <c r="G4811" s="13">
        <v>44737</v>
      </c>
      <c r="H4811" s="13"/>
      <c r="I4811" s="22" t="str">
        <f>VLOOKUP(J4811, Dropdowns!N:O, 2, FALSE)</f>
        <v>New</v>
      </c>
      <c r="J4811" t="s">
        <v>776</v>
      </c>
      <c r="L4811" s="17" t="s">
        <v>734</v>
      </c>
      <c r="M4811" s="17" t="s">
        <v>10</v>
      </c>
      <c r="N4811" s="17">
        <v>2</v>
      </c>
    </row>
    <row r="4812" spans="1:14" x14ac:dyDescent="0.25">
      <c r="A4812" s="8">
        <v>985760</v>
      </c>
      <c r="B4812" s="22" t="str">
        <f>IFERROR(VLOOKUP(A4812,VLOOKUPS!$A$2:B$12589,2,FALSE),"")</f>
        <v>Asparagus 1lb-standard</v>
      </c>
      <c r="E4812">
        <v>1.99</v>
      </c>
      <c r="F4812">
        <v>2.99</v>
      </c>
      <c r="G4812" s="13">
        <v>44737</v>
      </c>
      <c r="H4812" s="13"/>
      <c r="I4812" s="22" t="str">
        <f>VLOOKUP(J4812, Dropdowns!N:O, 2, FALSE)</f>
        <v>Standard</v>
      </c>
      <c r="J4812" t="s">
        <v>760</v>
      </c>
      <c r="L4812" s="17" t="s">
        <v>732</v>
      </c>
      <c r="M4812" s="17" t="s">
        <v>10</v>
      </c>
      <c r="N4812" s="17">
        <v>2</v>
      </c>
    </row>
    <row r="4813" spans="1:14" x14ac:dyDescent="0.25">
      <c r="A4813" s="8">
        <v>985760</v>
      </c>
      <c r="B4813" s="22" t="str">
        <f>IFERROR(VLOOKUP(A4813,VLOOKUPS!$A$2:B$12589,2,FALSE),"")</f>
        <v>Asparagus 1lb-standard</v>
      </c>
      <c r="E4813">
        <v>1.99</v>
      </c>
      <c r="F4813">
        <v>2.99</v>
      </c>
      <c r="G4813" s="13">
        <v>44738</v>
      </c>
      <c r="H4813" s="13"/>
      <c r="I4813" s="22" t="str">
        <f>VLOOKUP(J4813, Dropdowns!N:O, 2, FALSE)</f>
        <v>Standard</v>
      </c>
      <c r="J4813" t="s">
        <v>760</v>
      </c>
      <c r="L4813" s="17" t="s">
        <v>733</v>
      </c>
      <c r="M4813" s="17" t="s">
        <v>11</v>
      </c>
      <c r="N4813" s="17" t="s">
        <v>740</v>
      </c>
    </row>
    <row r="4814" spans="1:14" x14ac:dyDescent="0.25">
      <c r="A4814" s="8">
        <v>988703</v>
      </c>
      <c r="B4814" s="22" t="str">
        <f>IFERROR(VLOOKUP(A4814,VLOOKUPS!$A$2:B$12589,2,FALSE),"")</f>
        <v>Collard Greens 16oz-standard</v>
      </c>
      <c r="E4814">
        <v>2.2799999999999998</v>
      </c>
      <c r="F4814">
        <v>1.37</v>
      </c>
      <c r="G4814" s="13">
        <v>44738</v>
      </c>
      <c r="H4814" s="13">
        <v>44739</v>
      </c>
      <c r="I4814" s="22" t="str">
        <f>VLOOKUP(J4814, Dropdowns!N:O, 2, FALSE)</f>
        <v>Lower Price</v>
      </c>
      <c r="J4814" t="s">
        <v>759</v>
      </c>
      <c r="L4814" s="17" t="s">
        <v>733</v>
      </c>
      <c r="M4814" s="17" t="s">
        <v>9</v>
      </c>
      <c r="N4814" s="17" t="s">
        <v>740</v>
      </c>
    </row>
    <row r="4815" spans="1:14" x14ac:dyDescent="0.25">
      <c r="A4815" s="8">
        <v>988703</v>
      </c>
      <c r="B4815" s="22" t="str">
        <f>IFERROR(VLOOKUP(A4815,VLOOKUPS!$A$2:B$12589,2,FALSE),"")</f>
        <v>Collard Greens 16oz-standard</v>
      </c>
      <c r="E4815">
        <v>2.54</v>
      </c>
      <c r="F4815">
        <v>1.52</v>
      </c>
      <c r="G4815" s="13">
        <v>44738</v>
      </c>
      <c r="H4815" s="13">
        <v>44739</v>
      </c>
      <c r="I4815" s="22" t="str">
        <f>VLOOKUP(J4815, Dropdowns!N:O, 2, FALSE)</f>
        <v>Lower Price</v>
      </c>
      <c r="J4815" t="s">
        <v>759</v>
      </c>
      <c r="L4815" s="17" t="s">
        <v>734</v>
      </c>
      <c r="M4815" s="17" t="s">
        <v>9</v>
      </c>
      <c r="N4815" s="17" t="s">
        <v>736</v>
      </c>
    </row>
    <row r="4816" spans="1:14" x14ac:dyDescent="0.25">
      <c r="A4816" s="8">
        <v>988703</v>
      </c>
      <c r="B4816" s="22" t="str">
        <f>IFERROR(VLOOKUP(A4816,VLOOKUPS!$A$2:B$12589,2,FALSE),"")</f>
        <v>Collard Greens 16oz-standard</v>
      </c>
      <c r="E4816">
        <v>1.37</v>
      </c>
      <c r="F4816">
        <v>2.2799999999999998</v>
      </c>
      <c r="G4816" s="13">
        <v>44740</v>
      </c>
      <c r="H4816" s="13"/>
      <c r="I4816" s="22" t="str">
        <f>VLOOKUP(J4816, Dropdowns!N:O, 2, FALSE)</f>
        <v>Standard</v>
      </c>
      <c r="J4816" t="s">
        <v>760</v>
      </c>
      <c r="L4816" s="17" t="s">
        <v>733</v>
      </c>
      <c r="M4816" s="17" t="s">
        <v>9</v>
      </c>
      <c r="N4816" s="17" t="s">
        <v>740</v>
      </c>
    </row>
    <row r="4817" spans="1:14" x14ac:dyDescent="0.25">
      <c r="A4817" s="8">
        <v>988703</v>
      </c>
      <c r="B4817" s="22" t="str">
        <f>IFERROR(VLOOKUP(A4817,VLOOKUPS!$A$2:B$12589,2,FALSE),"")</f>
        <v>Collard Greens 16oz-standard</v>
      </c>
      <c r="E4817">
        <v>1.52</v>
      </c>
      <c r="F4817">
        <v>2.54</v>
      </c>
      <c r="G4817" s="13">
        <v>44740</v>
      </c>
      <c r="H4817" s="13"/>
      <c r="I4817" s="22" t="str">
        <f>VLOOKUP(J4817, Dropdowns!N:O, 2, FALSE)</f>
        <v>Standard</v>
      </c>
      <c r="J4817" t="s">
        <v>760</v>
      </c>
      <c r="L4817" s="17" t="s">
        <v>734</v>
      </c>
      <c r="M4817" s="17" t="s">
        <v>9</v>
      </c>
      <c r="N4817" s="17" t="s">
        <v>736</v>
      </c>
    </row>
    <row r="4818" spans="1:14" x14ac:dyDescent="0.25">
      <c r="A4818" s="8">
        <v>995042</v>
      </c>
      <c r="B4818" s="22" t="str">
        <f>IFERROR(VLOOKUP(A4818,VLOOKUPS!$A$2:B$12589,2,FALSE),"")</f>
        <v>Mango Chunks 16oz-standard</v>
      </c>
      <c r="E4818">
        <v>5.48</v>
      </c>
      <c r="F4818">
        <v>3.29</v>
      </c>
      <c r="G4818" s="13">
        <v>44740</v>
      </c>
      <c r="H4818" s="13">
        <v>44741</v>
      </c>
      <c r="I4818" s="22" t="str">
        <f>VLOOKUP(J4818, Dropdowns!N:O, 2, FALSE)</f>
        <v>Lower Price</v>
      </c>
      <c r="J4818" t="s">
        <v>759</v>
      </c>
      <c r="L4818" s="17" t="s">
        <v>733</v>
      </c>
      <c r="M4818" s="17" t="s">
        <v>9</v>
      </c>
      <c r="N4818" s="17" t="s">
        <v>740</v>
      </c>
    </row>
    <row r="4819" spans="1:14" x14ac:dyDescent="0.25">
      <c r="A4819" s="8">
        <v>995042</v>
      </c>
      <c r="B4819" s="22" t="str">
        <f>IFERROR(VLOOKUP(A4819,VLOOKUPS!$A$2:B$12589,2,FALSE),"")</f>
        <v>Mango Chunks 16oz-standard</v>
      </c>
      <c r="E4819">
        <v>5.99</v>
      </c>
      <c r="F4819">
        <v>3.59</v>
      </c>
      <c r="G4819" s="13">
        <v>44740</v>
      </c>
      <c r="H4819" s="13">
        <v>44741</v>
      </c>
      <c r="I4819" s="22" t="str">
        <f>VLOOKUP(J4819, Dropdowns!N:O, 2, FALSE)</f>
        <v>Lower Price</v>
      </c>
      <c r="J4819" t="s">
        <v>759</v>
      </c>
      <c r="L4819" s="17" t="s">
        <v>734</v>
      </c>
      <c r="M4819" s="17" t="s">
        <v>9</v>
      </c>
      <c r="N4819" s="17" t="s">
        <v>736</v>
      </c>
    </row>
    <row r="4820" spans="1:14" x14ac:dyDescent="0.25">
      <c r="A4820" s="8">
        <v>995042</v>
      </c>
      <c r="B4820" s="22" t="str">
        <f>IFERROR(VLOOKUP(A4820,VLOOKUPS!$A$2:B$12589,2,FALSE),"")</f>
        <v>Mango Chunks 16oz-standard</v>
      </c>
      <c r="E4820">
        <v>3.29</v>
      </c>
      <c r="F4820">
        <v>5.48</v>
      </c>
      <c r="G4820" s="13">
        <v>44742</v>
      </c>
      <c r="H4820" s="13"/>
      <c r="I4820" s="22" t="str">
        <f>VLOOKUP(J4820, Dropdowns!N:O, 2, FALSE)</f>
        <v>Standard</v>
      </c>
      <c r="J4820" t="s">
        <v>760</v>
      </c>
      <c r="L4820" s="17" t="s">
        <v>733</v>
      </c>
      <c r="M4820" s="17" t="s">
        <v>9</v>
      </c>
      <c r="N4820" s="17" t="s">
        <v>740</v>
      </c>
    </row>
    <row r="4821" spans="1:14" x14ac:dyDescent="0.25">
      <c r="A4821" s="8">
        <v>995042</v>
      </c>
      <c r="B4821" s="22" t="str">
        <f>IFERROR(VLOOKUP(A4821,VLOOKUPS!$A$2:B$12589,2,FALSE),"")</f>
        <v>Mango Chunks 16oz-standard</v>
      </c>
      <c r="E4821">
        <v>3.59</v>
      </c>
      <c r="F4821">
        <v>5.99</v>
      </c>
      <c r="G4821" s="13">
        <v>44742</v>
      </c>
      <c r="H4821" s="13"/>
      <c r="I4821" s="22" t="str">
        <f>VLOOKUP(J4821, Dropdowns!N:O, 2, FALSE)</f>
        <v>Standard</v>
      </c>
      <c r="J4821" t="s">
        <v>760</v>
      </c>
      <c r="L4821" s="17" t="s">
        <v>734</v>
      </c>
      <c r="M4821" s="17" t="s">
        <v>9</v>
      </c>
      <c r="N4821" s="17" t="s">
        <v>736</v>
      </c>
    </row>
    <row r="4822" spans="1:14" x14ac:dyDescent="0.25">
      <c r="A4822" s="8">
        <v>995102</v>
      </c>
      <c r="B4822" s="22" t="str">
        <f>IFERROR(VLOOKUP(A4822,VLOOKUPS!$A$2:B$12589,2,FALSE),"")</f>
        <v>Cantaloupe Chunks 16oz-standard</v>
      </c>
      <c r="E4822">
        <v>3.97</v>
      </c>
      <c r="F4822">
        <v>2.38</v>
      </c>
      <c r="G4822" s="13">
        <v>44740</v>
      </c>
      <c r="H4822" s="13">
        <v>44741</v>
      </c>
      <c r="I4822" s="22" t="str">
        <f>VLOOKUP(J4822, Dropdowns!N:O, 2, FALSE)</f>
        <v>Lower Price</v>
      </c>
      <c r="J4822" t="s">
        <v>759</v>
      </c>
      <c r="L4822" s="17" t="s">
        <v>732</v>
      </c>
      <c r="M4822" s="17" t="s">
        <v>10</v>
      </c>
      <c r="N4822" s="17">
        <v>2</v>
      </c>
    </row>
    <row r="4823" spans="1:14" x14ac:dyDescent="0.25">
      <c r="A4823" s="8">
        <v>995102</v>
      </c>
      <c r="B4823" s="22" t="str">
        <f>IFERROR(VLOOKUP(A4823,VLOOKUPS!$A$2:B$12589,2,FALSE),"")</f>
        <v>Cantaloupe Chunks 16oz-standard</v>
      </c>
      <c r="E4823">
        <v>2.38</v>
      </c>
      <c r="F4823">
        <v>3.97</v>
      </c>
      <c r="G4823" s="13">
        <v>44742</v>
      </c>
      <c r="H4823" s="13"/>
      <c r="I4823" s="22" t="str">
        <f>VLOOKUP(J4823, Dropdowns!N:O, 2, FALSE)</f>
        <v>Standard</v>
      </c>
      <c r="J4823" t="s">
        <v>760</v>
      </c>
      <c r="L4823" s="17" t="s">
        <v>732</v>
      </c>
      <c r="M4823" s="17" t="s">
        <v>10</v>
      </c>
      <c r="N4823" s="17">
        <v>2</v>
      </c>
    </row>
    <row r="4824" spans="1:14" x14ac:dyDescent="0.25">
      <c r="A4824" s="8">
        <v>995126</v>
      </c>
      <c r="B4824" s="22" t="str">
        <f>IFERROR(VLOOKUP(A4824,VLOOKUPS!$A$2:B$12589,2,FALSE),"")</f>
        <v>Broccoli &amp; Cauliflower 12oz-standard</v>
      </c>
      <c r="D4824">
        <v>6</v>
      </c>
      <c r="F4824">
        <v>2.78</v>
      </c>
      <c r="G4824" s="13">
        <v>44740</v>
      </c>
      <c r="H4824" s="13"/>
      <c r="I4824" s="22" t="str">
        <f>VLOOKUP(J4824, Dropdowns!N:O, 2, FALSE)</f>
        <v>NA</v>
      </c>
      <c r="J4824" t="s">
        <v>754</v>
      </c>
      <c r="L4824" s="17" t="s">
        <v>732</v>
      </c>
      <c r="M4824" s="17" t="s">
        <v>9</v>
      </c>
      <c r="N4824" s="17" t="s">
        <v>736</v>
      </c>
    </row>
    <row r="4825" spans="1:14" x14ac:dyDescent="0.25">
      <c r="A4825" s="8">
        <v>995183</v>
      </c>
      <c r="B4825" s="22" t="str">
        <f>IFERROR(VLOOKUP(A4825,VLOOKUPS!$A$2:B$12589,2,FALSE),"")</f>
        <v>Petite Carrots 8oz-standard</v>
      </c>
      <c r="D4825">
        <v>6</v>
      </c>
      <c r="F4825">
        <v>2.5</v>
      </c>
      <c r="G4825" s="13">
        <v>44740</v>
      </c>
      <c r="H4825" s="13"/>
      <c r="I4825" s="22" t="str">
        <f>VLOOKUP(J4825, Dropdowns!N:O, 2, FALSE)</f>
        <v>NA</v>
      </c>
      <c r="J4825" t="s">
        <v>754</v>
      </c>
      <c r="L4825" s="17" t="s">
        <v>732</v>
      </c>
      <c r="M4825" s="17" t="s">
        <v>10</v>
      </c>
      <c r="N4825" s="17">
        <v>2</v>
      </c>
    </row>
    <row r="4826" spans="1:14" x14ac:dyDescent="0.25">
      <c r="A4826" s="8">
        <v>995185</v>
      </c>
      <c r="B4826" s="22" t="str">
        <f>IFERROR(VLOOKUP(A4826,VLOOKUPS!$A$2:B$12589,2,FALSE),"")</f>
        <v>Organic Crisp Romaine 4oz-standard</v>
      </c>
      <c r="D4826">
        <v>6</v>
      </c>
      <c r="F4826">
        <v>2.98</v>
      </c>
      <c r="G4826" s="13">
        <v>44740</v>
      </c>
      <c r="H4826" s="13"/>
      <c r="I4826" s="22" t="str">
        <f>VLOOKUP(J4826, Dropdowns!N:O, 2, FALSE)</f>
        <v>NA</v>
      </c>
      <c r="J4826" t="s">
        <v>754</v>
      </c>
      <c r="L4826" s="17" t="s">
        <v>732</v>
      </c>
      <c r="M4826" s="17" t="s">
        <v>736</v>
      </c>
      <c r="N4826" s="17" t="s">
        <v>736</v>
      </c>
    </row>
    <row r="4827" spans="1:14" x14ac:dyDescent="0.25">
      <c r="A4827" s="8">
        <v>995191</v>
      </c>
      <c r="B4827" s="22" t="str">
        <f>IFERROR(VLOOKUP(A4827,VLOOKUPS!$A$2:B$12589,2,FALSE),"")</f>
        <v>Halved Brussels Sprouts 12oz-standard</v>
      </c>
      <c r="D4827">
        <v>6</v>
      </c>
      <c r="F4827">
        <v>3.28</v>
      </c>
      <c r="G4827" s="13">
        <v>44740</v>
      </c>
      <c r="H4827" s="13"/>
      <c r="I4827" s="22" t="str">
        <f>VLOOKUP(J4827, Dropdowns!N:O, 2, FALSE)</f>
        <v>NA</v>
      </c>
      <c r="J4827" t="s">
        <v>754</v>
      </c>
      <c r="L4827" s="17" t="s">
        <v>732</v>
      </c>
      <c r="M4827" s="17" t="s">
        <v>736</v>
      </c>
      <c r="N4827" s="17" t="s">
        <v>736</v>
      </c>
    </row>
    <row r="4828" spans="1:14" x14ac:dyDescent="0.25">
      <c r="A4828" s="8">
        <v>984700</v>
      </c>
      <c r="B4828" s="22" t="str">
        <f>IFERROR(VLOOKUP(A4828,VLOOKUPS!$A$2:B$12589,2,FALSE),"")</f>
        <v>Blackberries 6oz-standard</v>
      </c>
      <c r="E4828">
        <v>1.79</v>
      </c>
      <c r="F4828">
        <v>2.88</v>
      </c>
      <c r="G4828" s="13">
        <v>44740</v>
      </c>
      <c r="H4828" s="13"/>
      <c r="I4828" s="22" t="str">
        <f>VLOOKUP(J4828, Dropdowns!N:O, 2, FALSE)</f>
        <v>Standard</v>
      </c>
      <c r="J4828" t="s">
        <v>760</v>
      </c>
      <c r="L4828" s="17" t="s">
        <v>733</v>
      </c>
      <c r="M4828" s="17" t="s">
        <v>9</v>
      </c>
      <c r="N4828" s="17" t="s">
        <v>740</v>
      </c>
    </row>
    <row r="4829" spans="1:14" x14ac:dyDescent="0.25">
      <c r="A4829" s="8">
        <v>984700</v>
      </c>
      <c r="B4829" s="22" t="str">
        <f>IFERROR(VLOOKUP(A4829,VLOOKUPS!$A$2:B$12589,2,FALSE),"")</f>
        <v>Blackberries 6oz-standard</v>
      </c>
      <c r="E4829">
        <v>1.99</v>
      </c>
      <c r="F4829">
        <v>3.19</v>
      </c>
      <c r="G4829" s="13">
        <v>44740</v>
      </c>
      <c r="H4829" s="13"/>
      <c r="I4829" s="22" t="str">
        <f>VLOOKUP(J4829, Dropdowns!N:O, 2, FALSE)</f>
        <v>Standard</v>
      </c>
      <c r="J4829" t="s">
        <v>760</v>
      </c>
      <c r="L4829" s="17" t="s">
        <v>734</v>
      </c>
      <c r="M4829" s="17" t="s">
        <v>9</v>
      </c>
      <c r="N4829" s="17" t="s">
        <v>736</v>
      </c>
    </row>
    <row r="4830" spans="1:14" x14ac:dyDescent="0.25">
      <c r="A4830" s="8">
        <v>984700</v>
      </c>
      <c r="B4830" s="22" t="str">
        <f>IFERROR(VLOOKUP(A4830,VLOOKUPS!$A$2:B$12589,2,FALSE),"")</f>
        <v>Blackberries 6oz-standard</v>
      </c>
      <c r="G4830" s="13">
        <v>44740</v>
      </c>
      <c r="H4830" s="13">
        <v>44741</v>
      </c>
      <c r="I4830" s="22" t="str">
        <f>VLOOKUP(J4830, Dropdowns!N:O, 2, FALSE)</f>
        <v>Lower Price</v>
      </c>
      <c r="J4830" t="s">
        <v>762</v>
      </c>
      <c r="L4830" s="17" t="s">
        <v>732</v>
      </c>
      <c r="M4830" s="17" t="s">
        <v>738</v>
      </c>
      <c r="N4830" s="17">
        <v>2</v>
      </c>
    </row>
    <row r="4831" spans="1:14" x14ac:dyDescent="0.25">
      <c r="A4831" s="8">
        <v>995145</v>
      </c>
      <c r="B4831" s="22" t="str">
        <f>IFERROR(VLOOKUP(A4831,VLOOKUPS!$A$2:B$12589,2,FALSE),"")</f>
        <v>Mango Spears 32oz-standard</v>
      </c>
      <c r="D4831">
        <v>6</v>
      </c>
      <c r="F4831">
        <v>10.49</v>
      </c>
      <c r="G4831" s="13">
        <v>44741</v>
      </c>
      <c r="H4831" s="13"/>
      <c r="I4831" s="22" t="str">
        <f>VLOOKUP(J4831, Dropdowns!N:O, 2, FALSE)</f>
        <v>NA</v>
      </c>
      <c r="J4831" t="s">
        <v>754</v>
      </c>
      <c r="L4831" s="17" t="s">
        <v>732</v>
      </c>
      <c r="M4831" s="17" t="s">
        <v>737</v>
      </c>
      <c r="N4831" s="17" t="s">
        <v>736</v>
      </c>
    </row>
    <row r="4832" spans="1:14" x14ac:dyDescent="0.25">
      <c r="A4832" s="8">
        <v>984460</v>
      </c>
      <c r="B4832" s="22" t="str">
        <f>IFERROR(VLOOKUP(A4832,VLOOKUPS!$A$2:B$12589,2,FALSE),"")</f>
        <v>Strawberries 1lb-standard</v>
      </c>
      <c r="G4832" s="13">
        <v>44741</v>
      </c>
      <c r="H4832" s="13">
        <v>44742</v>
      </c>
      <c r="I4832" s="22" t="str">
        <f>VLOOKUP(J4832, Dropdowns!N:O, 2, FALSE)</f>
        <v>Lower Price</v>
      </c>
      <c r="J4832" t="s">
        <v>762</v>
      </c>
      <c r="L4832" s="17" t="s">
        <v>732</v>
      </c>
      <c r="M4832" s="17" t="s">
        <v>736</v>
      </c>
      <c r="N4832" s="17" t="s">
        <v>736</v>
      </c>
    </row>
    <row r="4833" spans="1:14" x14ac:dyDescent="0.25">
      <c r="A4833" s="8">
        <v>984541</v>
      </c>
      <c r="B4833" s="22" t="str">
        <f>IFERROR(VLOOKUP(A4833,VLOOKUPS!$A$2:B$12589,2,FALSE),"")</f>
        <v>Blueberries 1pt-standard</v>
      </c>
      <c r="E4833">
        <v>3.38</v>
      </c>
      <c r="F4833">
        <v>3.79</v>
      </c>
      <c r="G4833" s="13">
        <v>44742</v>
      </c>
      <c r="H4833" s="13"/>
      <c r="I4833" s="22" t="str">
        <f>VLOOKUP(J4833, Dropdowns!N:O, 2, FALSE)</f>
        <v>Standard</v>
      </c>
      <c r="J4833" t="s">
        <v>761</v>
      </c>
      <c r="L4833" s="17" t="s">
        <v>733</v>
      </c>
      <c r="M4833" s="17" t="s">
        <v>736</v>
      </c>
      <c r="N4833" s="17" t="s">
        <v>740</v>
      </c>
    </row>
    <row r="4834" spans="1:14" x14ac:dyDescent="0.25">
      <c r="A4834" s="8">
        <v>984541</v>
      </c>
      <c r="B4834" s="22" t="str">
        <f>IFERROR(VLOOKUP(A4834,VLOOKUPS!$A$2:B$12589,2,FALSE),"")</f>
        <v>Blueberries 1pt-standard</v>
      </c>
      <c r="E4834">
        <v>3.38</v>
      </c>
      <c r="F4834">
        <v>3.79</v>
      </c>
      <c r="G4834" s="13">
        <v>44742</v>
      </c>
      <c r="H4834" s="13"/>
      <c r="I4834" s="22" t="str">
        <f>VLOOKUP(J4834, Dropdowns!N:O, 2, FALSE)</f>
        <v>Standard</v>
      </c>
      <c r="J4834" t="s">
        <v>761</v>
      </c>
      <c r="L4834" s="17" t="s">
        <v>734</v>
      </c>
      <c r="M4834" s="17" t="s">
        <v>10</v>
      </c>
      <c r="N4834" s="17">
        <v>2</v>
      </c>
    </row>
    <row r="4835" spans="1:14" x14ac:dyDescent="0.25">
      <c r="A4835" s="8">
        <v>984701</v>
      </c>
      <c r="B4835" s="22" t="str">
        <f>IFERROR(VLOOKUP(A4835,VLOOKUPS!$A$2:B$12589,2,FALSE),"")</f>
        <v>Blackberries Super Sweet 6oz-standard</v>
      </c>
      <c r="D4835">
        <v>12</v>
      </c>
      <c r="F4835">
        <v>3.49</v>
      </c>
      <c r="G4835" s="13">
        <v>44742</v>
      </c>
      <c r="H4835" s="13"/>
      <c r="I4835" s="22" t="str">
        <f>VLOOKUP(J4835, Dropdowns!N:O, 2, FALSE)</f>
        <v>NA</v>
      </c>
      <c r="J4835" t="s">
        <v>754</v>
      </c>
      <c r="L4835" s="17" t="s">
        <v>732</v>
      </c>
      <c r="M4835" s="17" t="s">
        <v>9</v>
      </c>
      <c r="N4835" s="17" t="s">
        <v>736</v>
      </c>
    </row>
    <row r="4836" spans="1:14" x14ac:dyDescent="0.25">
      <c r="A4836" s="8">
        <v>995012</v>
      </c>
      <c r="B4836" s="22" t="str">
        <f>IFERROR(VLOOKUP(A4836,VLOOKUPS!$A$2:B$12589,2,FALSE),"")</f>
        <v>RTE Cranberry Walnut Salad 4.5oz-standard</v>
      </c>
      <c r="E4836">
        <v>3.27</v>
      </c>
      <c r="F4836">
        <v>1.96</v>
      </c>
      <c r="G4836" s="13">
        <v>44742</v>
      </c>
      <c r="H4836" s="13">
        <v>44743</v>
      </c>
      <c r="I4836" s="22" t="str">
        <f>VLOOKUP(J4836, Dropdowns!N:O, 2, FALSE)</f>
        <v>Lower Price</v>
      </c>
      <c r="J4836" t="s">
        <v>759</v>
      </c>
      <c r="L4836" s="17" t="s">
        <v>733</v>
      </c>
      <c r="M4836" s="17" t="s">
        <v>11</v>
      </c>
      <c r="N4836" s="17" t="s">
        <v>740</v>
      </c>
    </row>
    <row r="4837" spans="1:14" x14ac:dyDescent="0.25">
      <c r="A4837" s="8">
        <v>995012</v>
      </c>
      <c r="B4837" s="22" t="str">
        <f>IFERROR(VLOOKUP(A4837,VLOOKUPS!$A$2:B$12589,2,FALSE),"")</f>
        <v>RTE Cranberry Walnut Salad 4.5oz-standard</v>
      </c>
      <c r="E4837">
        <v>1.96</v>
      </c>
      <c r="F4837">
        <v>3.27</v>
      </c>
      <c r="G4837" s="13">
        <v>44744</v>
      </c>
      <c r="H4837" s="13"/>
      <c r="I4837" s="22" t="str">
        <f>VLOOKUP(J4837, Dropdowns!N:O, 2, FALSE)</f>
        <v>Standard</v>
      </c>
      <c r="J4837" t="s">
        <v>760</v>
      </c>
      <c r="L4837" s="17" t="s">
        <v>733</v>
      </c>
      <c r="M4837" s="17" t="s">
        <v>11</v>
      </c>
      <c r="N4837" s="17" t="s">
        <v>740</v>
      </c>
    </row>
    <row r="4838" spans="1:14" x14ac:dyDescent="0.25">
      <c r="A4838" s="8">
        <v>995180</v>
      </c>
      <c r="B4838" s="22" t="str">
        <f>IFERROR(VLOOKUP(A4838,VLOOKUPS!$A$2:B$12589,2,FALSE),"")</f>
        <v>Crunchy Sesame 6.1oz-Standard</v>
      </c>
      <c r="E4838">
        <v>4.49</v>
      </c>
      <c r="F4838">
        <v>2.69</v>
      </c>
      <c r="G4838" s="13">
        <v>44742</v>
      </c>
      <c r="H4838" s="13">
        <v>44744</v>
      </c>
      <c r="I4838" s="22" t="str">
        <f>VLOOKUP(J4838, Dropdowns!N:O, 2, FALSE)</f>
        <v>Lower Price</v>
      </c>
      <c r="J4838" t="s">
        <v>759</v>
      </c>
      <c r="L4838" s="17" t="s">
        <v>733</v>
      </c>
      <c r="M4838" s="17" t="s">
        <v>10</v>
      </c>
      <c r="N4838" s="17" t="s">
        <v>740</v>
      </c>
    </row>
    <row r="4839" spans="1:14" x14ac:dyDescent="0.25">
      <c r="A4839" s="8">
        <v>995180</v>
      </c>
      <c r="B4839" s="22" t="str">
        <f>IFERROR(VLOOKUP(A4839,VLOOKUPS!$A$2:B$12589,2,FALSE),"")</f>
        <v>Crunchy Sesame 6.1oz-Standard</v>
      </c>
      <c r="E4839">
        <v>2.69</v>
      </c>
      <c r="F4839">
        <v>4.49</v>
      </c>
      <c r="G4839" s="13">
        <v>44745</v>
      </c>
      <c r="H4839" s="13"/>
      <c r="I4839" s="22" t="str">
        <f>VLOOKUP(J4839, Dropdowns!N:O, 2, FALSE)</f>
        <v>Standard</v>
      </c>
      <c r="J4839" t="s">
        <v>760</v>
      </c>
      <c r="L4839" s="17" t="s">
        <v>733</v>
      </c>
      <c r="M4839" s="17" t="s">
        <v>10</v>
      </c>
      <c r="N4839" s="17" t="s">
        <v>740</v>
      </c>
    </row>
    <row r="4840" spans="1:14" x14ac:dyDescent="0.25">
      <c r="A4840" s="8">
        <v>984700</v>
      </c>
      <c r="B4840" s="22" t="str">
        <f>IFERROR(VLOOKUP(A4840,VLOOKUPS!$A$2:B$12589,2,FALSE),"")</f>
        <v>Blackberries 6oz-standard</v>
      </c>
      <c r="G4840" s="13">
        <v>44742</v>
      </c>
      <c r="H4840" s="13">
        <v>44743</v>
      </c>
      <c r="I4840" s="22" t="str">
        <f>VLOOKUP(J4840, Dropdowns!N:O, 2, FALSE)</f>
        <v>Lower Price</v>
      </c>
      <c r="J4840" t="s">
        <v>762</v>
      </c>
      <c r="L4840" s="17" t="s">
        <v>732</v>
      </c>
      <c r="M4840" s="17" t="s">
        <v>738</v>
      </c>
      <c r="N4840" s="17">
        <v>2</v>
      </c>
    </row>
    <row r="4841" spans="1:14" x14ac:dyDescent="0.25">
      <c r="A4841" s="8">
        <v>984460</v>
      </c>
      <c r="B4841" s="22" t="str">
        <f>IFERROR(VLOOKUP(A4841,VLOOKUPS!$A$2:B$12589,2,FALSE),"")</f>
        <v>Strawberries 1lb-standard</v>
      </c>
      <c r="E4841">
        <v>1.0900000000000001</v>
      </c>
      <c r="F4841">
        <v>2.29</v>
      </c>
      <c r="G4841" s="13">
        <v>44743</v>
      </c>
      <c r="H4841" s="13"/>
      <c r="I4841" s="22" t="str">
        <f>VLOOKUP(J4841, Dropdowns!N:O, 2, FALSE)</f>
        <v>Standard</v>
      </c>
      <c r="J4841" t="s">
        <v>760</v>
      </c>
      <c r="L4841" s="17" t="s">
        <v>732</v>
      </c>
      <c r="M4841" s="17" t="s">
        <v>736</v>
      </c>
      <c r="N4841" s="17" t="s">
        <v>736</v>
      </c>
    </row>
    <row r="4842" spans="1:14" x14ac:dyDescent="0.25">
      <c r="A4842" s="8">
        <v>984460</v>
      </c>
      <c r="B4842" s="22" t="str">
        <f>IFERROR(VLOOKUP(A4842,VLOOKUPS!$A$2:B$12589,2,FALSE),"")</f>
        <v>Strawberries 1lb-standard</v>
      </c>
      <c r="E4842">
        <v>2.29</v>
      </c>
      <c r="F4842">
        <v>2.99</v>
      </c>
      <c r="G4842" s="13">
        <v>44744</v>
      </c>
      <c r="H4842" s="13"/>
      <c r="I4842" s="22" t="str">
        <f>VLOOKUP(J4842, Dropdowns!N:O, 2, FALSE)</f>
        <v>Standard</v>
      </c>
      <c r="J4842" t="s">
        <v>761</v>
      </c>
      <c r="L4842" s="17" t="s">
        <v>734</v>
      </c>
      <c r="M4842" s="17" t="s">
        <v>9</v>
      </c>
      <c r="N4842" s="17" t="s">
        <v>736</v>
      </c>
    </row>
    <row r="4843" spans="1:14" x14ac:dyDescent="0.25">
      <c r="A4843" s="8">
        <v>984700</v>
      </c>
      <c r="B4843" s="22" t="str">
        <f>IFERROR(VLOOKUP(A4843,VLOOKUPS!$A$2:B$12589,2,FALSE),"")</f>
        <v>Blackberries 6oz-standard</v>
      </c>
      <c r="E4843">
        <v>1.79</v>
      </c>
      <c r="F4843">
        <v>2.88</v>
      </c>
      <c r="G4843" s="13">
        <v>44744</v>
      </c>
      <c r="H4843" s="13"/>
      <c r="I4843" s="22" t="str">
        <f>VLOOKUP(J4843, Dropdowns!N:O, 2, FALSE)</f>
        <v>Standard</v>
      </c>
      <c r="J4843" t="s">
        <v>760</v>
      </c>
      <c r="L4843" s="17" t="s">
        <v>732</v>
      </c>
      <c r="M4843" s="17" t="s">
        <v>738</v>
      </c>
      <c r="N4843" s="17">
        <v>2</v>
      </c>
    </row>
    <row r="4844" spans="1:14" x14ac:dyDescent="0.25">
      <c r="A4844" s="8">
        <v>984541</v>
      </c>
      <c r="B4844" s="22" t="str">
        <f>IFERROR(VLOOKUP(A4844,VLOOKUPS!$A$2:B$12589,2,FALSE),"")</f>
        <v>Blueberries 1pt-standard</v>
      </c>
      <c r="G4844" s="13">
        <v>44743</v>
      </c>
      <c r="H4844" s="13">
        <v>44746</v>
      </c>
      <c r="I4844" s="22" t="str">
        <f>VLOOKUP(J4844, Dropdowns!N:O, 2, FALSE)</f>
        <v>Lower Price</v>
      </c>
      <c r="J4844" t="s">
        <v>753</v>
      </c>
      <c r="L4844" s="17" t="s">
        <v>732</v>
      </c>
      <c r="M4844" s="17" t="s">
        <v>736</v>
      </c>
      <c r="N4844" s="17" t="s">
        <v>736</v>
      </c>
    </row>
    <row r="4845" spans="1:14" x14ac:dyDescent="0.25">
      <c r="A4845" s="8">
        <v>984701</v>
      </c>
      <c r="B4845" s="22" t="str">
        <f>IFERROR(VLOOKUP(A4845,VLOOKUPS!$A$2:B$12589,2,FALSE),"")</f>
        <v>Blackberries Super Sweet 6oz-standard</v>
      </c>
      <c r="D4845">
        <v>12</v>
      </c>
      <c r="F4845">
        <v>3.49</v>
      </c>
      <c r="G4845" s="13">
        <v>44743</v>
      </c>
      <c r="H4845" s="13"/>
      <c r="I4845" s="22" t="str">
        <f>VLOOKUP(J4845, Dropdowns!N:O, 2, FALSE)</f>
        <v>NA</v>
      </c>
      <c r="J4845" t="s">
        <v>754</v>
      </c>
      <c r="L4845" s="17" t="s">
        <v>733</v>
      </c>
      <c r="M4845" s="17" t="s">
        <v>11</v>
      </c>
      <c r="N4845" s="17" t="s">
        <v>740</v>
      </c>
    </row>
    <row r="4846" spans="1:14" x14ac:dyDescent="0.25">
      <c r="A4846" s="8">
        <v>984701</v>
      </c>
      <c r="B4846" s="22" t="str">
        <f>IFERROR(VLOOKUP(A4846,VLOOKUPS!$A$2:B$12589,2,FALSE),"")</f>
        <v>Blackberries Super Sweet 6oz-standard</v>
      </c>
      <c r="D4846">
        <v>12</v>
      </c>
      <c r="F4846">
        <v>3.49</v>
      </c>
      <c r="G4846" s="13">
        <v>44744</v>
      </c>
      <c r="H4846" s="13"/>
      <c r="I4846" s="22" t="str">
        <f>VLOOKUP(J4846, Dropdowns!N:O, 2, FALSE)</f>
        <v>NA</v>
      </c>
      <c r="J4846" t="s">
        <v>754</v>
      </c>
      <c r="L4846" s="17" t="s">
        <v>732</v>
      </c>
      <c r="M4846" s="17" t="s">
        <v>10</v>
      </c>
      <c r="N4846" s="17">
        <v>2</v>
      </c>
    </row>
    <row r="4847" spans="1:14" x14ac:dyDescent="0.25">
      <c r="A4847" s="8">
        <v>995010</v>
      </c>
      <c r="B4847" s="22" t="str">
        <f>IFERROR(VLOOKUP(A4847,VLOOKUPS!$A$2:B$12589,2,FALSE),"")</f>
        <v>RTE Turkey Bacon Cobb Salad 7.25oz-standard</v>
      </c>
      <c r="E4847">
        <v>3.27</v>
      </c>
      <c r="F4847">
        <v>1.96</v>
      </c>
      <c r="G4847" s="13">
        <v>44743</v>
      </c>
      <c r="H4847" s="13">
        <v>44744</v>
      </c>
      <c r="I4847" s="22" t="str">
        <f>VLOOKUP(J4847, Dropdowns!N:O, 2, FALSE)</f>
        <v>Lower Price</v>
      </c>
      <c r="J4847" t="s">
        <v>759</v>
      </c>
      <c r="L4847" s="17" t="s">
        <v>733</v>
      </c>
      <c r="M4847" s="17" t="s">
        <v>10</v>
      </c>
      <c r="N4847" s="17" t="s">
        <v>740</v>
      </c>
    </row>
    <row r="4848" spans="1:14" x14ac:dyDescent="0.25">
      <c r="A4848" s="8">
        <v>995010</v>
      </c>
      <c r="B4848" s="22" t="str">
        <f>IFERROR(VLOOKUP(A4848,VLOOKUPS!$A$2:B$12589,2,FALSE),"")</f>
        <v>RTE Turkey Bacon Cobb Salad 7.25oz-standard</v>
      </c>
      <c r="E4848">
        <v>1.96</v>
      </c>
      <c r="F4848">
        <v>3.27</v>
      </c>
      <c r="G4848" s="13">
        <v>44745</v>
      </c>
      <c r="H4848" s="13"/>
      <c r="I4848" s="22" t="str">
        <f>VLOOKUP(J4848, Dropdowns!N:O, 2, FALSE)</f>
        <v>Standard</v>
      </c>
      <c r="J4848" t="s">
        <v>760</v>
      </c>
      <c r="L4848" s="17" t="s">
        <v>733</v>
      </c>
      <c r="M4848" s="17" t="s">
        <v>10</v>
      </c>
      <c r="N4848" s="17" t="s">
        <v>740</v>
      </c>
    </row>
    <row r="4849" spans="1:14" x14ac:dyDescent="0.25">
      <c r="A4849" s="8">
        <v>995019</v>
      </c>
      <c r="B4849" s="22" t="str">
        <f>IFERROR(VLOOKUP(A4849,VLOOKUPS!$A$2:B$12589,2,FALSE),"")</f>
        <v>RTE Large Santa Fe Salad 14oz-standard</v>
      </c>
      <c r="E4849">
        <v>5.34</v>
      </c>
      <c r="F4849">
        <v>3.2</v>
      </c>
      <c r="G4849" s="13">
        <v>44743</v>
      </c>
      <c r="H4849" s="13">
        <v>44744</v>
      </c>
      <c r="I4849" s="22" t="str">
        <f>VLOOKUP(J4849, Dropdowns!N:O, 2, FALSE)</f>
        <v>Lower Price</v>
      </c>
      <c r="J4849" t="s">
        <v>759</v>
      </c>
      <c r="L4849" s="17" t="s">
        <v>733</v>
      </c>
      <c r="M4849" s="17" t="s">
        <v>10</v>
      </c>
      <c r="N4849" s="17" t="s">
        <v>740</v>
      </c>
    </row>
    <row r="4850" spans="1:14" x14ac:dyDescent="0.25">
      <c r="A4850" s="8">
        <v>995019</v>
      </c>
      <c r="B4850" s="22" t="str">
        <f>IFERROR(VLOOKUP(A4850,VLOOKUPS!$A$2:B$12589,2,FALSE),"")</f>
        <v>RTE Large Santa Fe Salad 14oz-standard</v>
      </c>
      <c r="E4850">
        <v>3.2</v>
      </c>
      <c r="F4850">
        <v>5.34</v>
      </c>
      <c r="G4850" s="13">
        <v>44745</v>
      </c>
      <c r="H4850" s="13"/>
      <c r="I4850" s="22" t="str">
        <f>VLOOKUP(J4850, Dropdowns!N:O, 2, FALSE)</f>
        <v>Standard</v>
      </c>
      <c r="J4850" t="s">
        <v>760</v>
      </c>
      <c r="L4850" s="17" t="s">
        <v>733</v>
      </c>
      <c r="M4850" s="17" t="s">
        <v>10</v>
      </c>
      <c r="N4850" s="17" t="s">
        <v>740</v>
      </c>
    </row>
    <row r="4851" spans="1:14" x14ac:dyDescent="0.25">
      <c r="A4851" s="8">
        <v>995141</v>
      </c>
      <c r="B4851" s="22" t="str">
        <f>IFERROR(VLOOKUP(A4851,VLOOKUPS!$A$2:B$12589,2,FALSE),"")</f>
        <v>Watermelon Chunks 32oz-standard</v>
      </c>
      <c r="D4851">
        <v>4</v>
      </c>
      <c r="F4851">
        <v>7.97</v>
      </c>
      <c r="G4851" s="13">
        <v>44745</v>
      </c>
      <c r="H4851" s="13"/>
      <c r="I4851" s="22" t="str">
        <f>VLOOKUP(J4851, Dropdowns!N:O, 2, FALSE)</f>
        <v>NA</v>
      </c>
      <c r="J4851" t="s">
        <v>754</v>
      </c>
      <c r="L4851" s="17" t="s">
        <v>732</v>
      </c>
      <c r="M4851" s="17" t="s">
        <v>736</v>
      </c>
      <c r="N4851" s="17" t="s">
        <v>736</v>
      </c>
    </row>
    <row r="4852" spans="1:14" x14ac:dyDescent="0.25">
      <c r="A4852" s="8">
        <v>995145</v>
      </c>
      <c r="B4852" s="22" t="str">
        <f>IFERROR(VLOOKUP(A4852,VLOOKUPS!$A$2:B$12589,2,FALSE),"")</f>
        <v>Mango Spears 32oz-standard</v>
      </c>
      <c r="D4852">
        <v>6</v>
      </c>
      <c r="F4852">
        <v>10.49</v>
      </c>
      <c r="G4852" s="13">
        <v>44743</v>
      </c>
      <c r="H4852" s="13"/>
      <c r="I4852" s="22" t="str">
        <f>VLOOKUP(J4852, Dropdowns!N:O, 2, FALSE)</f>
        <v>NA</v>
      </c>
      <c r="J4852" t="s">
        <v>754</v>
      </c>
      <c r="L4852" s="17" t="s">
        <v>732</v>
      </c>
      <c r="M4852" s="17" t="s">
        <v>736</v>
      </c>
      <c r="N4852" s="17" t="s">
        <v>736</v>
      </c>
    </row>
    <row r="4853" spans="1:14" x14ac:dyDescent="0.25">
      <c r="A4853" s="8">
        <v>984541</v>
      </c>
      <c r="B4853" s="22" t="str">
        <f>IFERROR(VLOOKUP(A4853,VLOOKUPS!$A$2:B$12589,2,FALSE),"")</f>
        <v>Blueberries 1pt-standard</v>
      </c>
      <c r="G4853" s="13">
        <v>44747</v>
      </c>
      <c r="H4853" s="13">
        <v>44747</v>
      </c>
      <c r="I4853" s="22" t="str">
        <f>VLOOKUP(J4853, Dropdowns!N:O, 2, FALSE)</f>
        <v>Lower Price</v>
      </c>
      <c r="J4853" t="s">
        <v>762</v>
      </c>
      <c r="L4853" s="17" t="s">
        <v>732</v>
      </c>
      <c r="M4853" s="17" t="s">
        <v>736</v>
      </c>
      <c r="N4853" s="17" t="s">
        <v>736</v>
      </c>
    </row>
    <row r="4854" spans="1:14" x14ac:dyDescent="0.25">
      <c r="A4854" s="8">
        <v>984702</v>
      </c>
      <c r="B4854" s="22" t="str">
        <f>IFERROR(VLOOKUP(A4854,VLOOKUPS!$A$2:B$12589,2,FALSE),"")</f>
        <v>Blackberries 12oz-standard</v>
      </c>
      <c r="E4854">
        <v>4.9800000000000004</v>
      </c>
      <c r="F4854">
        <v>4.16</v>
      </c>
      <c r="G4854" s="13">
        <v>44747</v>
      </c>
      <c r="H4854" s="13"/>
      <c r="I4854" s="22" t="str">
        <f>VLOOKUP(J4854, Dropdowns!N:O, 2, FALSE)</f>
        <v>Standard</v>
      </c>
      <c r="J4854" t="s">
        <v>761</v>
      </c>
      <c r="L4854" s="17" t="s">
        <v>733</v>
      </c>
      <c r="M4854" s="17" t="s">
        <v>736</v>
      </c>
      <c r="N4854" s="17" t="s">
        <v>740</v>
      </c>
    </row>
    <row r="4855" spans="1:14" x14ac:dyDescent="0.25">
      <c r="A4855" s="8">
        <v>984702</v>
      </c>
      <c r="B4855" s="22" t="str">
        <f>IFERROR(VLOOKUP(A4855,VLOOKUPS!$A$2:B$12589,2,FALSE),"")</f>
        <v>Blackberries 12oz-standard</v>
      </c>
      <c r="E4855">
        <v>4.9800000000000004</v>
      </c>
      <c r="F4855">
        <v>4.16</v>
      </c>
      <c r="G4855" s="13">
        <v>44747</v>
      </c>
      <c r="H4855" s="13"/>
      <c r="I4855" s="22" t="str">
        <f>VLOOKUP(J4855, Dropdowns!N:O, 2, FALSE)</f>
        <v>Standard</v>
      </c>
      <c r="J4855" t="s">
        <v>761</v>
      </c>
      <c r="L4855" s="17" t="s">
        <v>734</v>
      </c>
      <c r="M4855" s="17" t="s">
        <v>10</v>
      </c>
      <c r="N4855" s="17">
        <v>2</v>
      </c>
    </row>
    <row r="4856" spans="1:14" x14ac:dyDescent="0.25">
      <c r="A4856" s="8">
        <v>987560</v>
      </c>
      <c r="B4856" s="22" t="str">
        <f>IFERROR(VLOOKUP(A4856,VLOOKUPS!$A$2:B$12589,2,FALSE),"")</f>
        <v>Celery 1ct-standard</v>
      </c>
      <c r="E4856">
        <v>1.74</v>
      </c>
      <c r="F4856">
        <v>1.96</v>
      </c>
      <c r="G4856" s="13">
        <v>44747</v>
      </c>
      <c r="H4856" s="13"/>
      <c r="I4856" s="22" t="str">
        <f>VLOOKUP(J4856, Dropdowns!N:O, 2, FALSE)</f>
        <v>Standard</v>
      </c>
      <c r="J4856" t="s">
        <v>761</v>
      </c>
      <c r="L4856" s="17" t="s">
        <v>733</v>
      </c>
      <c r="M4856" s="17" t="s">
        <v>736</v>
      </c>
      <c r="N4856" s="17" t="s">
        <v>740</v>
      </c>
    </row>
    <row r="4857" spans="1:14" x14ac:dyDescent="0.25">
      <c r="A4857" s="8">
        <v>987560</v>
      </c>
      <c r="B4857" s="22" t="str">
        <f>IFERROR(VLOOKUP(A4857,VLOOKUPS!$A$2:B$12589,2,FALSE),"")</f>
        <v>Celery 1ct-standard</v>
      </c>
      <c r="E4857">
        <v>1.74</v>
      </c>
      <c r="F4857">
        <v>1.96</v>
      </c>
      <c r="G4857" s="13">
        <v>44747</v>
      </c>
      <c r="H4857" s="13"/>
      <c r="I4857" s="22" t="str">
        <f>VLOOKUP(J4857, Dropdowns!N:O, 2, FALSE)</f>
        <v>Standard</v>
      </c>
      <c r="J4857" t="s">
        <v>761</v>
      </c>
      <c r="L4857" s="17" t="s">
        <v>734</v>
      </c>
      <c r="M4857" s="17" t="s">
        <v>10</v>
      </c>
      <c r="N4857" s="17">
        <v>2</v>
      </c>
    </row>
    <row r="4858" spans="1:14" x14ac:dyDescent="0.25">
      <c r="A4858" s="8">
        <v>987560</v>
      </c>
      <c r="B4858" s="22" t="str">
        <f>IFERROR(VLOOKUP(A4858,VLOOKUPS!$A$2:B$12589,2,FALSE),"")</f>
        <v>Celery 1ct-standard</v>
      </c>
      <c r="E4858">
        <v>1.89</v>
      </c>
      <c r="F4858">
        <v>1.96</v>
      </c>
      <c r="G4858" s="13">
        <v>44747</v>
      </c>
      <c r="H4858" s="13"/>
      <c r="I4858" s="22" t="str">
        <f>VLOOKUP(J4858, Dropdowns!N:O, 2, FALSE)</f>
        <v>Standard</v>
      </c>
      <c r="J4858" t="s">
        <v>761</v>
      </c>
      <c r="L4858" s="17" t="s">
        <v>734</v>
      </c>
      <c r="M4858" s="17" t="s">
        <v>9</v>
      </c>
      <c r="N4858" s="17" t="s">
        <v>736</v>
      </c>
    </row>
    <row r="4859" spans="1:14" x14ac:dyDescent="0.25">
      <c r="A4859" s="8">
        <v>985011</v>
      </c>
      <c r="B4859" s="22" t="str">
        <f>IFERROR(VLOOKUP(A4859,VLOOKUPS!$A$2:B$12589,2,FALSE),"")</f>
        <v>Lettuce Butter 1ct-standard</v>
      </c>
      <c r="E4859">
        <v>2.97</v>
      </c>
      <c r="F4859">
        <v>2.48</v>
      </c>
      <c r="G4859" s="13">
        <v>44747</v>
      </c>
      <c r="H4859" s="13"/>
      <c r="I4859" s="22" t="str">
        <f>VLOOKUP(J4859, Dropdowns!N:O, 2, FALSE)</f>
        <v>Standard</v>
      </c>
      <c r="J4859" t="s">
        <v>761</v>
      </c>
      <c r="L4859" s="17" t="s">
        <v>733</v>
      </c>
      <c r="M4859" s="17" t="s">
        <v>736</v>
      </c>
      <c r="N4859" s="17" t="s">
        <v>740</v>
      </c>
    </row>
    <row r="4860" spans="1:14" x14ac:dyDescent="0.25">
      <c r="A4860" s="8">
        <v>985011</v>
      </c>
      <c r="B4860" s="22" t="str">
        <f>IFERROR(VLOOKUP(A4860,VLOOKUPS!$A$2:B$12589,2,FALSE),"")</f>
        <v>Lettuce Butter 1ct-standard</v>
      </c>
      <c r="E4860">
        <v>2.97</v>
      </c>
      <c r="F4860">
        <v>2.48</v>
      </c>
      <c r="G4860" s="13">
        <v>44747</v>
      </c>
      <c r="H4860" s="13"/>
      <c r="I4860" s="22" t="str">
        <f>VLOOKUP(J4860, Dropdowns!N:O, 2, FALSE)</f>
        <v>Standard</v>
      </c>
      <c r="J4860" t="s">
        <v>761</v>
      </c>
      <c r="L4860" s="17" t="s">
        <v>734</v>
      </c>
      <c r="M4860" s="17" t="s">
        <v>10</v>
      </c>
      <c r="N4860" s="17">
        <v>2</v>
      </c>
    </row>
    <row r="4861" spans="1:14" x14ac:dyDescent="0.25">
      <c r="A4861" s="8">
        <v>988703</v>
      </c>
      <c r="B4861" s="22" t="str">
        <f>IFERROR(VLOOKUP(A4861,VLOOKUPS!$A$2:B$12589,2,FALSE),"")</f>
        <v>Collard Greens 16oz-standard</v>
      </c>
      <c r="E4861">
        <v>2.2799999999999998</v>
      </c>
      <c r="F4861">
        <v>2.4900000000000002</v>
      </c>
      <c r="G4861" s="13">
        <v>44747</v>
      </c>
      <c r="H4861" s="13"/>
      <c r="I4861" s="22" t="str">
        <f>VLOOKUP(J4861, Dropdowns!N:O, 2, FALSE)</f>
        <v>Standard</v>
      </c>
      <c r="J4861" t="s">
        <v>761</v>
      </c>
      <c r="L4861" s="17" t="s">
        <v>733</v>
      </c>
      <c r="M4861" s="17" t="s">
        <v>736</v>
      </c>
      <c r="N4861" s="17" t="s">
        <v>740</v>
      </c>
    </row>
    <row r="4862" spans="1:14" x14ac:dyDescent="0.25">
      <c r="A4862" s="8">
        <v>988703</v>
      </c>
      <c r="B4862" s="22" t="str">
        <f>IFERROR(VLOOKUP(A4862,VLOOKUPS!$A$2:B$12589,2,FALSE),"")</f>
        <v>Collard Greens 16oz-standard</v>
      </c>
      <c r="E4862">
        <v>2.2799999999999998</v>
      </c>
      <c r="F4862">
        <v>2.4900000000000002</v>
      </c>
      <c r="G4862" s="13">
        <v>44747</v>
      </c>
      <c r="H4862" s="13"/>
      <c r="I4862" s="22" t="str">
        <f>VLOOKUP(J4862, Dropdowns!N:O, 2, FALSE)</f>
        <v>Standard</v>
      </c>
      <c r="J4862" t="s">
        <v>761</v>
      </c>
      <c r="L4862" s="17" t="s">
        <v>734</v>
      </c>
      <c r="M4862" s="17" t="s">
        <v>10</v>
      </c>
      <c r="N4862" s="17">
        <v>2</v>
      </c>
    </row>
    <row r="4863" spans="1:14" x14ac:dyDescent="0.25">
      <c r="A4863" s="8">
        <v>984460</v>
      </c>
      <c r="B4863" s="22" t="str">
        <f>IFERROR(VLOOKUP(A4863,VLOOKUPS!$A$2:B$12589,2,FALSE),"")</f>
        <v>Strawberries 1lb-standard</v>
      </c>
      <c r="G4863" s="13">
        <v>44748</v>
      </c>
      <c r="H4863" s="13">
        <v>44754</v>
      </c>
      <c r="I4863" s="22" t="str">
        <f>VLOOKUP(J4863, Dropdowns!N:O, 2, FALSE)</f>
        <v>Lower Price</v>
      </c>
      <c r="J4863" t="s">
        <v>753</v>
      </c>
      <c r="L4863" s="17" t="s">
        <v>732</v>
      </c>
      <c r="M4863" s="17" t="s">
        <v>736</v>
      </c>
      <c r="N4863" s="17" t="s">
        <v>736</v>
      </c>
    </row>
    <row r="4864" spans="1:14" x14ac:dyDescent="0.25">
      <c r="A4864" s="8">
        <v>986250</v>
      </c>
      <c r="B4864" s="22" t="str">
        <f>IFERROR(VLOOKUP(A4864,VLOOKUPS!$A$2:B$12589,2,FALSE),"")</f>
        <v>French Beans 1lb-standard</v>
      </c>
      <c r="G4864" s="13">
        <v>44748</v>
      </c>
      <c r="H4864" s="13">
        <v>44749</v>
      </c>
      <c r="I4864" s="22" t="str">
        <f>VLOOKUP(J4864, Dropdowns!N:O, 2, FALSE)</f>
        <v>Lower Price</v>
      </c>
      <c r="J4864" t="s">
        <v>762</v>
      </c>
      <c r="L4864" s="17" t="s">
        <v>732</v>
      </c>
      <c r="M4864" s="17" t="s">
        <v>736</v>
      </c>
      <c r="N4864" s="17" t="s">
        <v>736</v>
      </c>
    </row>
    <row r="4865" spans="1:17" x14ac:dyDescent="0.25">
      <c r="A4865" s="8">
        <v>984541</v>
      </c>
      <c r="B4865" s="22" t="str">
        <f>IFERROR(VLOOKUP(A4865,VLOOKUPS!$A$2:B$12589,2,FALSE),"")</f>
        <v>Blueberries 1pt-standard</v>
      </c>
      <c r="G4865" s="13">
        <v>44748</v>
      </c>
      <c r="H4865" s="13">
        <v>44749</v>
      </c>
      <c r="I4865" s="22" t="str">
        <f>VLOOKUP(J4865, Dropdowns!N:O, 2, FALSE)</f>
        <v>Lower Price</v>
      </c>
      <c r="J4865" t="s">
        <v>762</v>
      </c>
      <c r="L4865" s="17" t="s">
        <v>732</v>
      </c>
      <c r="M4865" s="17" t="s">
        <v>736</v>
      </c>
      <c r="N4865" s="17" t="s">
        <v>736</v>
      </c>
    </row>
    <row r="4866" spans="1:17" x14ac:dyDescent="0.25">
      <c r="A4866" s="8">
        <v>985780</v>
      </c>
      <c r="B4866" s="22" t="str">
        <f>IFERROR(VLOOKUP(A4866,VLOOKUPS!$A$2:B$12589,2,FALSE),"")</f>
        <v>Organic Asparagus 12oz-standard</v>
      </c>
      <c r="D4866">
        <v>14</v>
      </c>
      <c r="F4866">
        <v>3.99</v>
      </c>
      <c r="G4866" s="13">
        <v>44749</v>
      </c>
      <c r="H4866" s="13"/>
      <c r="I4866" s="22" t="str">
        <f>VLOOKUP(J4866, Dropdowns!N:O, 2, FALSE)</f>
        <v>New</v>
      </c>
      <c r="J4866" t="s">
        <v>776</v>
      </c>
      <c r="L4866" s="17" t="s">
        <v>732</v>
      </c>
      <c r="M4866" s="17" t="s">
        <v>736</v>
      </c>
      <c r="N4866" s="17" t="s">
        <v>736</v>
      </c>
      <c r="O4866" t="s">
        <v>748</v>
      </c>
      <c r="P4866">
        <v>1</v>
      </c>
    </row>
    <row r="4867" spans="1:17" x14ac:dyDescent="0.25">
      <c r="A4867" s="8">
        <v>995010</v>
      </c>
      <c r="B4867" s="22" t="str">
        <f>IFERROR(VLOOKUP(A4867,VLOOKUPS!$A$2:B$12589,2,FALSE),"")</f>
        <v>RTE Turkey Bacon Cobb Salad 7.25oz-standard</v>
      </c>
      <c r="E4867">
        <v>3.27</v>
      </c>
      <c r="F4867">
        <v>1.96</v>
      </c>
      <c r="G4867" s="13">
        <v>44749</v>
      </c>
      <c r="H4867" s="13">
        <v>44750</v>
      </c>
      <c r="I4867" s="22" t="str">
        <f>VLOOKUP(J4867, Dropdowns!N:O, 2, FALSE)</f>
        <v>Lower Price</v>
      </c>
      <c r="J4867" t="s">
        <v>759</v>
      </c>
      <c r="L4867" s="17" t="s">
        <v>733</v>
      </c>
      <c r="M4867" s="17" t="s">
        <v>9</v>
      </c>
      <c r="N4867" s="17" t="s">
        <v>740</v>
      </c>
    </row>
    <row r="4868" spans="1:17" x14ac:dyDescent="0.25">
      <c r="A4868" s="8">
        <v>995010</v>
      </c>
      <c r="B4868" s="22" t="str">
        <f>IFERROR(VLOOKUP(A4868,VLOOKUPS!$A$2:B$12589,2,FALSE),"")</f>
        <v>RTE Turkey Bacon Cobb Salad 7.25oz-standard</v>
      </c>
      <c r="E4868">
        <v>3.79</v>
      </c>
      <c r="F4868">
        <v>2.27</v>
      </c>
      <c r="G4868" s="13">
        <v>44749</v>
      </c>
      <c r="H4868" s="13">
        <v>44750</v>
      </c>
      <c r="I4868" s="22" t="str">
        <f>VLOOKUP(J4868, Dropdowns!N:O, 2, FALSE)</f>
        <v>Lower Price</v>
      </c>
      <c r="J4868" t="s">
        <v>759</v>
      </c>
      <c r="L4868" s="17" t="s">
        <v>734</v>
      </c>
      <c r="M4868" s="17" t="s">
        <v>9</v>
      </c>
      <c r="N4868" s="17" t="s">
        <v>736</v>
      </c>
    </row>
    <row r="4869" spans="1:17" x14ac:dyDescent="0.25">
      <c r="A4869" s="8">
        <v>995010</v>
      </c>
      <c r="B4869" s="22" t="str">
        <f>IFERROR(VLOOKUP(A4869,VLOOKUPS!$A$2:B$12589,2,FALSE),"")</f>
        <v>RTE Turkey Bacon Cobb Salad 7.25oz-standard</v>
      </c>
      <c r="E4869">
        <v>1.96</v>
      </c>
      <c r="F4869">
        <v>3.27</v>
      </c>
      <c r="G4869" s="13">
        <v>44751</v>
      </c>
      <c r="H4869" s="13"/>
      <c r="I4869" s="22" t="str">
        <f>VLOOKUP(J4869, Dropdowns!N:O, 2, FALSE)</f>
        <v>Standard</v>
      </c>
      <c r="J4869" t="s">
        <v>760</v>
      </c>
      <c r="L4869" s="17" t="s">
        <v>733</v>
      </c>
      <c r="M4869" s="17" t="s">
        <v>9</v>
      </c>
      <c r="N4869" s="17" t="s">
        <v>740</v>
      </c>
    </row>
    <row r="4870" spans="1:17" x14ac:dyDescent="0.25">
      <c r="A4870" s="8">
        <v>995010</v>
      </c>
      <c r="B4870" s="22" t="str">
        <f>IFERROR(VLOOKUP(A4870,VLOOKUPS!$A$2:B$12589,2,FALSE),"")</f>
        <v>RTE Turkey Bacon Cobb Salad 7.25oz-standard</v>
      </c>
      <c r="E4870">
        <v>2.27</v>
      </c>
      <c r="F4870">
        <v>3.79</v>
      </c>
      <c r="G4870" s="13">
        <v>44751</v>
      </c>
      <c r="H4870" s="13"/>
      <c r="I4870" s="22" t="str">
        <f>VLOOKUP(J4870, Dropdowns!N:O, 2, FALSE)</f>
        <v>Standard</v>
      </c>
      <c r="J4870" t="s">
        <v>760</v>
      </c>
      <c r="L4870" s="17" t="s">
        <v>734</v>
      </c>
      <c r="M4870" s="17" t="s">
        <v>9</v>
      </c>
      <c r="N4870" s="17" t="s">
        <v>736</v>
      </c>
    </row>
    <row r="4871" spans="1:17" x14ac:dyDescent="0.25">
      <c r="A4871" s="8">
        <v>995027</v>
      </c>
      <c r="B4871" s="22" t="str">
        <f>IFERROR(VLOOKUP(A4871,VLOOKUPS!$A$2:B$12589,2,FALSE),"")</f>
        <v>XL Baby Spinach 16oz-standard</v>
      </c>
      <c r="D4871">
        <v>6</v>
      </c>
      <c r="F4871">
        <v>4.49</v>
      </c>
      <c r="G4871" s="13">
        <v>44749</v>
      </c>
      <c r="H4871" s="13"/>
      <c r="I4871" s="22" t="str">
        <f>VLOOKUP(J4871, Dropdowns!N:O, 2, FALSE)</f>
        <v>New</v>
      </c>
      <c r="J4871" t="s">
        <v>776</v>
      </c>
      <c r="L4871" s="17" t="s">
        <v>732</v>
      </c>
      <c r="M4871" s="17" t="s">
        <v>738</v>
      </c>
      <c r="N4871" s="17">
        <v>2</v>
      </c>
      <c r="O4871" s="17" t="s">
        <v>748</v>
      </c>
      <c r="P4871">
        <v>1</v>
      </c>
      <c r="Q4871" s="17" t="s">
        <v>1044</v>
      </c>
    </row>
    <row r="4872" spans="1:17" x14ac:dyDescent="0.25">
      <c r="A4872" s="8">
        <v>986250</v>
      </c>
      <c r="B4872" s="22" t="str">
        <f>IFERROR(VLOOKUP(A4872,VLOOKUPS!$A$2:B$12589,2,FALSE),"")</f>
        <v>French Beans 1lb-standard</v>
      </c>
      <c r="G4872" s="13">
        <v>44750</v>
      </c>
      <c r="H4872" s="13">
        <v>44750</v>
      </c>
      <c r="I4872" s="22" t="str">
        <f>VLOOKUP(J4872, Dropdowns!N:O, 2, FALSE)</f>
        <v>Lower Price</v>
      </c>
      <c r="J4872" t="s">
        <v>762</v>
      </c>
      <c r="L4872" s="17" t="s">
        <v>732</v>
      </c>
      <c r="M4872" s="17" t="s">
        <v>736</v>
      </c>
      <c r="N4872" s="17" t="s">
        <v>736</v>
      </c>
    </row>
    <row r="4873" spans="1:17" x14ac:dyDescent="0.25">
      <c r="A4873" s="8">
        <v>984541</v>
      </c>
      <c r="B4873" s="22" t="str">
        <f>IFERROR(VLOOKUP(A4873,VLOOKUPS!$A$2:B$12589,2,FALSE),"")</f>
        <v>Blueberries 1pt-standard</v>
      </c>
      <c r="G4873" s="13">
        <v>44750</v>
      </c>
      <c r="H4873" s="13">
        <v>44750</v>
      </c>
      <c r="I4873" s="22" t="str">
        <f>VLOOKUP(J4873, Dropdowns!N:O, 2, FALSE)</f>
        <v>Lower Price</v>
      </c>
      <c r="J4873" t="s">
        <v>762</v>
      </c>
      <c r="L4873" s="17" t="s">
        <v>732</v>
      </c>
      <c r="M4873" s="17" t="s">
        <v>736</v>
      </c>
      <c r="N4873" s="17" t="s">
        <v>736</v>
      </c>
    </row>
    <row r="4874" spans="1:17" x14ac:dyDescent="0.25">
      <c r="A4874" s="8">
        <v>995086</v>
      </c>
      <c r="B4874" s="22" t="str">
        <f>IFERROR(VLOOKUP(A4874,VLOOKUPS!$A$2:B$12589,2,FALSE),"")</f>
        <v>Eat Smart Broccoli Florets 2lbs-standard</v>
      </c>
      <c r="E4874">
        <v>6.18</v>
      </c>
      <c r="F4874">
        <v>3.71</v>
      </c>
      <c r="G4874" s="13">
        <v>44750</v>
      </c>
      <c r="H4874" s="13">
        <v>44751</v>
      </c>
      <c r="I4874" s="22" t="str">
        <f>VLOOKUP(J4874, Dropdowns!N:O, 2, FALSE)</f>
        <v>Lower Price</v>
      </c>
      <c r="J4874" t="s">
        <v>759</v>
      </c>
      <c r="L4874" s="17" t="s">
        <v>733</v>
      </c>
      <c r="M4874" s="17" t="s">
        <v>11</v>
      </c>
      <c r="N4874" s="17" t="s">
        <v>740</v>
      </c>
    </row>
    <row r="4875" spans="1:17" x14ac:dyDescent="0.25">
      <c r="A4875" s="8">
        <v>995086</v>
      </c>
      <c r="B4875" s="22" t="str">
        <f>IFERROR(VLOOKUP(A4875,VLOOKUPS!$A$2:B$12589,2,FALSE),"")</f>
        <v>Eat Smart Broccoli Florets 2lbs-standard</v>
      </c>
      <c r="E4875">
        <v>3.71</v>
      </c>
      <c r="F4875">
        <v>6.18</v>
      </c>
      <c r="G4875" s="13">
        <v>44752</v>
      </c>
      <c r="H4875" s="13"/>
      <c r="I4875" s="22" t="str">
        <f>VLOOKUP(J4875, Dropdowns!N:O, 2, FALSE)</f>
        <v>Standard</v>
      </c>
      <c r="J4875" t="s">
        <v>760</v>
      </c>
      <c r="L4875" s="17" t="s">
        <v>733</v>
      </c>
      <c r="M4875" s="17" t="s">
        <v>11</v>
      </c>
      <c r="N4875" s="17" t="s">
        <v>740</v>
      </c>
    </row>
    <row r="4876" spans="1:17" x14ac:dyDescent="0.25">
      <c r="A4876" s="8">
        <v>995103</v>
      </c>
      <c r="B4876" s="22" t="str">
        <f>IFERROR(VLOOKUP(A4876,VLOOKUPS!$A$2:B$12589,2,FALSE),"")</f>
        <v>Teriyaki Stir Fry Kit 12.5oz-standard</v>
      </c>
      <c r="E4876">
        <v>2.98</v>
      </c>
      <c r="F4876">
        <v>1.79</v>
      </c>
      <c r="G4876" s="13">
        <v>44750</v>
      </c>
      <c r="H4876" s="13">
        <v>44751</v>
      </c>
      <c r="I4876" s="22" t="str">
        <f>VLOOKUP(J4876, Dropdowns!N:O, 2, FALSE)</f>
        <v>Lower Price</v>
      </c>
      <c r="J4876" t="s">
        <v>759</v>
      </c>
      <c r="L4876" s="17" t="s">
        <v>733</v>
      </c>
      <c r="M4876" s="17" t="s">
        <v>11</v>
      </c>
      <c r="N4876" s="17" t="s">
        <v>740</v>
      </c>
    </row>
    <row r="4877" spans="1:17" x14ac:dyDescent="0.25">
      <c r="A4877" s="8">
        <v>995103</v>
      </c>
      <c r="B4877" s="22" t="str">
        <f>IFERROR(VLOOKUP(A4877,VLOOKUPS!$A$2:B$12589,2,FALSE),"")</f>
        <v>Teriyaki Stir Fry Kit 12.5oz-standard</v>
      </c>
      <c r="E4877">
        <v>1.79</v>
      </c>
      <c r="F4877">
        <v>2.98</v>
      </c>
      <c r="G4877" s="13">
        <v>44752</v>
      </c>
      <c r="H4877" s="13"/>
      <c r="I4877" s="22" t="str">
        <f>VLOOKUP(J4877, Dropdowns!N:O, 2, FALSE)</f>
        <v>Standard</v>
      </c>
      <c r="J4877" t="s">
        <v>760</v>
      </c>
      <c r="L4877" s="17" t="s">
        <v>733</v>
      </c>
      <c r="M4877" s="17" t="s">
        <v>11</v>
      </c>
      <c r="N4877" s="17" t="s">
        <v>740</v>
      </c>
    </row>
    <row r="4878" spans="1:17" x14ac:dyDescent="0.25">
      <c r="A4878" s="8">
        <v>984582</v>
      </c>
      <c r="B4878" s="22" t="str">
        <f>IFERROR(VLOOKUP(A4878,VLOOKUPS!$A$2:B$12589,2,FALSE),"")</f>
        <v>Organic Blueberries 1pt-standard</v>
      </c>
      <c r="E4878">
        <v>5.2</v>
      </c>
      <c r="F4878">
        <v>5.39</v>
      </c>
      <c r="G4878" s="13">
        <v>44754</v>
      </c>
      <c r="H4878" s="13"/>
      <c r="I4878" s="22" t="str">
        <f>VLOOKUP(J4878, Dropdowns!N:O, 2, FALSE)</f>
        <v>Standard</v>
      </c>
      <c r="J4878" t="s">
        <v>761</v>
      </c>
      <c r="L4878" s="17" t="s">
        <v>734</v>
      </c>
      <c r="M4878" s="17" t="s">
        <v>9</v>
      </c>
      <c r="N4878" s="17" t="s">
        <v>736</v>
      </c>
    </row>
    <row r="4879" spans="1:17" x14ac:dyDescent="0.25">
      <c r="A4879" s="8">
        <v>984620</v>
      </c>
      <c r="B4879" s="22" t="str">
        <f>IFERROR(VLOOKUP(A4879,VLOOKUPS!$A$2:B$12589,2,FALSE),"")</f>
        <v>Raspberries 6oz-standard</v>
      </c>
      <c r="E4879">
        <v>3.49</v>
      </c>
      <c r="F4879">
        <v>3.79</v>
      </c>
      <c r="G4879" s="13">
        <v>44754</v>
      </c>
      <c r="H4879" s="13"/>
      <c r="I4879" s="22" t="str">
        <f>VLOOKUP(J4879, Dropdowns!N:O, 2, FALSE)</f>
        <v>Standard</v>
      </c>
      <c r="J4879" t="s">
        <v>761</v>
      </c>
      <c r="L4879" s="17" t="s">
        <v>734</v>
      </c>
      <c r="M4879" s="17" t="s">
        <v>9</v>
      </c>
      <c r="N4879" s="17" t="s">
        <v>736</v>
      </c>
    </row>
    <row r="4880" spans="1:17" x14ac:dyDescent="0.25">
      <c r="A4880" s="8">
        <v>984621</v>
      </c>
      <c r="B4880" s="22" t="str">
        <f>IFERROR(VLOOKUP(A4880,VLOOKUPS!$A$2:B$12589,2,FALSE),"")</f>
        <v>Raspberries 12oz-standard</v>
      </c>
      <c r="E4880">
        <v>6.49</v>
      </c>
      <c r="F4880">
        <v>6.79</v>
      </c>
      <c r="G4880" s="13">
        <v>44754</v>
      </c>
      <c r="H4880" s="13"/>
      <c r="I4880" s="22" t="str">
        <f>VLOOKUP(J4880, Dropdowns!N:O, 2, FALSE)</f>
        <v>Standard</v>
      </c>
      <c r="J4880" t="s">
        <v>761</v>
      </c>
      <c r="L4880" s="17" t="s">
        <v>734</v>
      </c>
      <c r="M4880" s="17" t="s">
        <v>9</v>
      </c>
      <c r="N4880" s="17" t="s">
        <v>736</v>
      </c>
    </row>
    <row r="4881" spans="1:14" x14ac:dyDescent="0.25">
      <c r="A4881" s="8">
        <v>984702</v>
      </c>
      <c r="B4881" s="22" t="str">
        <f>IFERROR(VLOOKUP(A4881,VLOOKUPS!$A$2:B$12589,2,FALSE),"")</f>
        <v>Blackberries 12oz-standard</v>
      </c>
      <c r="E4881">
        <v>5.49</v>
      </c>
      <c r="F4881">
        <v>5.79</v>
      </c>
      <c r="G4881" s="13">
        <v>44754</v>
      </c>
      <c r="H4881" s="13"/>
      <c r="I4881" s="22" t="str">
        <f>VLOOKUP(J4881, Dropdowns!N:O, 2, FALSE)</f>
        <v>Standard</v>
      </c>
      <c r="J4881" t="s">
        <v>761</v>
      </c>
      <c r="L4881" s="17" t="s">
        <v>734</v>
      </c>
      <c r="M4881" s="17" t="s">
        <v>9</v>
      </c>
      <c r="N4881" s="17" t="s">
        <v>736</v>
      </c>
    </row>
    <row r="4882" spans="1:14" x14ac:dyDescent="0.25">
      <c r="A4882" s="8">
        <v>985060</v>
      </c>
      <c r="B4882" s="22" t="str">
        <f>IFERROR(VLOOKUP(A4882,VLOOKUPS!$A$2:B$12589,2,FALSE),"")</f>
        <v>Lettuce* Iceberg 1ct-standard</v>
      </c>
      <c r="E4882">
        <v>1.89</v>
      </c>
      <c r="F4882">
        <v>1.79</v>
      </c>
      <c r="G4882" s="13">
        <v>44754</v>
      </c>
      <c r="H4882" s="13"/>
      <c r="I4882" s="22" t="str">
        <f>VLOOKUP(J4882, Dropdowns!N:O, 2, FALSE)</f>
        <v>Standard</v>
      </c>
      <c r="J4882" t="s">
        <v>761</v>
      </c>
      <c r="L4882" s="17" t="s">
        <v>734</v>
      </c>
      <c r="M4882" s="17" t="s">
        <v>9</v>
      </c>
      <c r="N4882" s="17" t="s">
        <v>736</v>
      </c>
    </row>
    <row r="4883" spans="1:14" x14ac:dyDescent="0.25">
      <c r="A4883" s="8">
        <v>985160</v>
      </c>
      <c r="B4883" s="22" t="str">
        <f>IFERROR(VLOOKUP(A4883,VLOOKUPS!$A$2:B$12589,2,FALSE),"")</f>
        <v>Romaine Hearts 3ct-standard</v>
      </c>
      <c r="E4883">
        <v>3.56</v>
      </c>
      <c r="F4883">
        <v>2.99</v>
      </c>
      <c r="G4883" s="13">
        <v>44754</v>
      </c>
      <c r="H4883" s="13"/>
      <c r="I4883" s="22" t="str">
        <f>VLOOKUP(J4883, Dropdowns!N:O, 2, FALSE)</f>
        <v>Standard</v>
      </c>
      <c r="J4883" t="s">
        <v>761</v>
      </c>
      <c r="L4883" s="17" t="s">
        <v>734</v>
      </c>
      <c r="M4883" s="17" t="s">
        <v>9</v>
      </c>
      <c r="N4883" s="17" t="s">
        <v>736</v>
      </c>
    </row>
    <row r="4884" spans="1:14" x14ac:dyDescent="0.25">
      <c r="A4884" s="8">
        <v>985190</v>
      </c>
      <c r="B4884" s="22" t="str">
        <f>IFERROR(VLOOKUP(A4884,VLOOKUPS!$A$2:B$12589,2,FALSE),"")</f>
        <v>Organic Romaine Hearts 3ct-standard</v>
      </c>
      <c r="E4884">
        <v>3.96</v>
      </c>
      <c r="F4884">
        <v>4.29</v>
      </c>
      <c r="G4884" s="13">
        <v>44754</v>
      </c>
      <c r="H4884" s="13"/>
      <c r="I4884" s="22" t="str">
        <f>VLOOKUP(J4884, Dropdowns!N:O, 2, FALSE)</f>
        <v>Standard</v>
      </c>
      <c r="J4884" t="s">
        <v>761</v>
      </c>
      <c r="L4884" s="17" t="s">
        <v>734</v>
      </c>
      <c r="M4884" s="17" t="s">
        <v>9</v>
      </c>
      <c r="N4884" s="17" t="s">
        <v>736</v>
      </c>
    </row>
    <row r="4885" spans="1:14" x14ac:dyDescent="0.25">
      <c r="A4885" s="8">
        <v>985780</v>
      </c>
      <c r="B4885" s="22" t="str">
        <f>IFERROR(VLOOKUP(A4885,VLOOKUPS!$A$2:B$12589,2,FALSE),"")</f>
        <v>Organic Asparagus 12oz-standard</v>
      </c>
      <c r="E4885">
        <v>3.99</v>
      </c>
      <c r="F4885">
        <v>4.29</v>
      </c>
      <c r="G4885" s="13">
        <v>44754</v>
      </c>
      <c r="H4885" s="13"/>
      <c r="I4885" s="22" t="str">
        <f>VLOOKUP(J4885, Dropdowns!N:O, 2, FALSE)</f>
        <v>Standard</v>
      </c>
      <c r="J4885" t="s">
        <v>761</v>
      </c>
      <c r="L4885" s="17" t="s">
        <v>734</v>
      </c>
      <c r="M4885" s="17" t="s">
        <v>9</v>
      </c>
      <c r="N4885" s="17" t="s">
        <v>736</v>
      </c>
    </row>
    <row r="4886" spans="1:14" x14ac:dyDescent="0.25">
      <c r="A4886" s="8">
        <v>986250</v>
      </c>
      <c r="B4886" s="22" t="str">
        <f>IFERROR(VLOOKUP(A4886,VLOOKUPS!$A$2:B$12589,2,FALSE),"")</f>
        <v>French Beans 1lb-standard</v>
      </c>
      <c r="E4886">
        <v>2.99</v>
      </c>
      <c r="F4886">
        <v>3.29</v>
      </c>
      <c r="G4886" s="13">
        <v>44754</v>
      </c>
      <c r="H4886" s="13"/>
      <c r="I4886" s="22" t="str">
        <f>VLOOKUP(J4886, Dropdowns!N:O, 2, FALSE)</f>
        <v>Standard</v>
      </c>
      <c r="J4886" t="s">
        <v>761</v>
      </c>
      <c r="L4886" s="17" t="s">
        <v>734</v>
      </c>
      <c r="M4886" s="17" t="s">
        <v>9</v>
      </c>
      <c r="N4886" s="17" t="s">
        <v>736</v>
      </c>
    </row>
    <row r="4887" spans="1:14" x14ac:dyDescent="0.25">
      <c r="A4887" s="8">
        <v>986270</v>
      </c>
      <c r="B4887" s="22" t="str">
        <f>IFERROR(VLOOKUP(A4887,VLOOKUPS!$A$2:B$12589,2,FALSE),"")</f>
        <v>Organic French Beans 1lb-standard</v>
      </c>
      <c r="E4887">
        <v>3.99</v>
      </c>
      <c r="F4887">
        <v>4.29</v>
      </c>
      <c r="G4887" s="13">
        <v>44754</v>
      </c>
      <c r="H4887" s="13"/>
      <c r="I4887" s="22" t="str">
        <f>VLOOKUP(J4887, Dropdowns!N:O, 2, FALSE)</f>
        <v>Standard</v>
      </c>
      <c r="J4887" t="s">
        <v>761</v>
      </c>
      <c r="L4887" s="17" t="s">
        <v>734</v>
      </c>
      <c r="M4887" s="17" t="s">
        <v>9</v>
      </c>
      <c r="N4887" s="17" t="s">
        <v>736</v>
      </c>
    </row>
    <row r="4888" spans="1:14" x14ac:dyDescent="0.25">
      <c r="A4888" s="8">
        <v>987560</v>
      </c>
      <c r="B4888" s="22" t="str">
        <f>IFERROR(VLOOKUP(A4888,VLOOKUPS!$A$2:B$12589,2,FALSE),"")</f>
        <v>Celery 1ct-standard</v>
      </c>
      <c r="E4888">
        <v>1.96</v>
      </c>
      <c r="F4888">
        <v>1.69</v>
      </c>
      <c r="G4888" s="13">
        <v>44754</v>
      </c>
      <c r="H4888" s="13"/>
      <c r="I4888" s="22" t="str">
        <f>VLOOKUP(J4888, Dropdowns!N:O, 2, FALSE)</f>
        <v>Standard</v>
      </c>
      <c r="J4888" t="s">
        <v>761</v>
      </c>
      <c r="L4888" s="17" t="s">
        <v>733</v>
      </c>
      <c r="M4888" s="17" t="s">
        <v>736</v>
      </c>
      <c r="N4888" s="17" t="s">
        <v>740</v>
      </c>
    </row>
    <row r="4889" spans="1:14" x14ac:dyDescent="0.25">
      <c r="A4889" s="8">
        <v>987560</v>
      </c>
      <c r="B4889" s="22" t="str">
        <f>IFERROR(VLOOKUP(A4889,VLOOKUPS!$A$2:B$12589,2,FALSE),"")</f>
        <v>Celery 1ct-standard</v>
      </c>
      <c r="E4889">
        <v>1.96</v>
      </c>
      <c r="F4889">
        <v>1.89</v>
      </c>
      <c r="G4889" s="13">
        <v>44754</v>
      </c>
      <c r="H4889" s="13"/>
      <c r="I4889" s="22" t="str">
        <f>VLOOKUP(J4889, Dropdowns!N:O, 2, FALSE)</f>
        <v>Standard</v>
      </c>
      <c r="J4889" t="s">
        <v>761</v>
      </c>
      <c r="L4889" s="17" t="s">
        <v>734</v>
      </c>
      <c r="M4889" s="17" t="s">
        <v>9</v>
      </c>
      <c r="N4889" s="17" t="s">
        <v>736</v>
      </c>
    </row>
    <row r="4890" spans="1:14" x14ac:dyDescent="0.25">
      <c r="A4890" s="8">
        <v>988620</v>
      </c>
      <c r="B4890" s="22" t="str">
        <f>IFERROR(VLOOKUP(A4890,VLOOKUPS!$A$2:B$12589,2,FALSE),"")</f>
        <v>Brussels Sprouts 1lb-standard</v>
      </c>
      <c r="E4890">
        <v>2.89</v>
      </c>
      <c r="F4890">
        <v>2.59</v>
      </c>
      <c r="G4890" s="13">
        <v>44755</v>
      </c>
      <c r="H4890" s="13"/>
      <c r="I4890" s="22" t="str">
        <f>VLOOKUP(J4890, Dropdowns!N:O, 2, FALSE)</f>
        <v>Standard</v>
      </c>
      <c r="J4890" t="s">
        <v>761</v>
      </c>
      <c r="L4890" s="17" t="s">
        <v>733</v>
      </c>
      <c r="M4890" s="17" t="s">
        <v>736</v>
      </c>
      <c r="N4890" s="17" t="s">
        <v>740</v>
      </c>
    </row>
    <row r="4891" spans="1:14" x14ac:dyDescent="0.25">
      <c r="A4891" s="8">
        <v>988620</v>
      </c>
      <c r="B4891" s="22" t="str">
        <f>IFERROR(VLOOKUP(A4891,VLOOKUPS!$A$2:B$12589,2,FALSE),"")</f>
        <v>Brussels Sprouts 1lb-standard</v>
      </c>
      <c r="E4891">
        <v>2.89</v>
      </c>
      <c r="F4891">
        <v>2.59</v>
      </c>
      <c r="G4891" s="13">
        <v>44755</v>
      </c>
      <c r="H4891" s="13"/>
      <c r="I4891" s="22" t="str">
        <f>VLOOKUP(J4891, Dropdowns!N:O, 2, FALSE)</f>
        <v>Standard</v>
      </c>
      <c r="J4891" t="s">
        <v>761</v>
      </c>
      <c r="L4891" s="17" t="s">
        <v>734</v>
      </c>
      <c r="M4891" s="17" t="s">
        <v>10</v>
      </c>
      <c r="N4891" s="17">
        <v>2</v>
      </c>
    </row>
    <row r="4892" spans="1:14" x14ac:dyDescent="0.25">
      <c r="A4892" s="8">
        <v>987560</v>
      </c>
      <c r="B4892" s="22" t="str">
        <f>IFERROR(VLOOKUP(A4892,VLOOKUPS!$A$2:B$12589,2,FALSE),"")</f>
        <v>Celery 1ct-standard</v>
      </c>
      <c r="E4892">
        <v>1.96</v>
      </c>
      <c r="F4892">
        <v>1.69</v>
      </c>
      <c r="G4892" s="13">
        <v>44754</v>
      </c>
      <c r="H4892" s="13"/>
      <c r="I4892" s="22" t="str">
        <f>VLOOKUP(J4892, Dropdowns!N:O, 2, FALSE)</f>
        <v>Standard</v>
      </c>
      <c r="J4892" t="s">
        <v>761</v>
      </c>
      <c r="L4892" s="17" t="s">
        <v>734</v>
      </c>
      <c r="M4892" s="17" t="s">
        <v>10</v>
      </c>
      <c r="N4892" s="17">
        <v>2</v>
      </c>
    </row>
    <row r="4893" spans="1:14" x14ac:dyDescent="0.25">
      <c r="A4893" s="8">
        <v>988640</v>
      </c>
      <c r="B4893" s="22" t="str">
        <f>IFERROR(VLOOKUP(A4893,VLOOKUPS!$A$2:B$12589,2,FALSE),"")</f>
        <v>Organic Brussels Sprouts 1lb-standard</v>
      </c>
      <c r="E4893">
        <v>3.98</v>
      </c>
      <c r="F4893">
        <v>3.59</v>
      </c>
      <c r="G4893" s="13">
        <v>44755</v>
      </c>
      <c r="H4893" s="13"/>
      <c r="I4893" s="22" t="str">
        <f>VLOOKUP(J4893, Dropdowns!N:O, 2, FALSE)</f>
        <v>Standard</v>
      </c>
      <c r="J4893" t="s">
        <v>761</v>
      </c>
      <c r="L4893" s="17" t="s">
        <v>733</v>
      </c>
      <c r="M4893" s="17" t="s">
        <v>736</v>
      </c>
      <c r="N4893" s="17" t="s">
        <v>740</v>
      </c>
    </row>
    <row r="4894" spans="1:14" x14ac:dyDescent="0.25">
      <c r="A4894" s="8">
        <v>988640</v>
      </c>
      <c r="B4894" s="22" t="str">
        <f>IFERROR(VLOOKUP(A4894,VLOOKUPS!$A$2:B$12589,2,FALSE),"")</f>
        <v>Organic Brussels Sprouts 1lb-standard</v>
      </c>
      <c r="E4894">
        <v>3.98</v>
      </c>
      <c r="F4894">
        <v>3.59</v>
      </c>
      <c r="G4894" s="13">
        <v>44755</v>
      </c>
      <c r="H4894" s="13"/>
      <c r="I4894" s="22" t="str">
        <f>VLOOKUP(J4894, Dropdowns!N:O, 2, FALSE)</f>
        <v>Standard</v>
      </c>
      <c r="J4894" t="s">
        <v>761</v>
      </c>
      <c r="L4894" s="17" t="s">
        <v>734</v>
      </c>
      <c r="M4894" s="17" t="s">
        <v>10</v>
      </c>
      <c r="N4894" s="17">
        <v>2</v>
      </c>
    </row>
    <row r="4895" spans="1:14" x14ac:dyDescent="0.25">
      <c r="A4895" s="8">
        <v>988640</v>
      </c>
      <c r="B4895" s="22" t="str">
        <f>IFERROR(VLOOKUP(A4895,VLOOKUPS!$A$2:B$12589,2,FALSE),"")</f>
        <v>Organic Brussels Sprouts 1lb-standard</v>
      </c>
      <c r="E4895">
        <v>3.98</v>
      </c>
      <c r="F4895">
        <v>4.29</v>
      </c>
      <c r="G4895" s="13">
        <v>44755</v>
      </c>
      <c r="H4895" s="13"/>
      <c r="I4895" s="22" t="str">
        <f>VLOOKUP(J4895, Dropdowns!N:O, 2, FALSE)</f>
        <v>Standard</v>
      </c>
      <c r="J4895" t="s">
        <v>761</v>
      </c>
      <c r="L4895" s="17" t="s">
        <v>734</v>
      </c>
      <c r="M4895" s="17" t="s">
        <v>9</v>
      </c>
      <c r="N4895" s="17" t="s">
        <v>736</v>
      </c>
    </row>
    <row r="4896" spans="1:14" x14ac:dyDescent="0.25">
      <c r="A4896" s="8">
        <v>988703</v>
      </c>
      <c r="B4896" s="22" t="str">
        <f>IFERROR(VLOOKUP(A4896,VLOOKUPS!$A$2:B$12589,2,FALSE),"")</f>
        <v>Collard Greens 16oz-standard</v>
      </c>
      <c r="E4896">
        <v>2.54</v>
      </c>
      <c r="F4896">
        <v>2.69</v>
      </c>
      <c r="G4896" s="13">
        <v>44755</v>
      </c>
      <c r="H4896" s="13"/>
      <c r="I4896" s="22" t="str">
        <f>VLOOKUP(J4896, Dropdowns!N:O, 2, FALSE)</f>
        <v>Standard</v>
      </c>
      <c r="J4896" t="s">
        <v>761</v>
      </c>
      <c r="L4896" s="17" t="s">
        <v>734</v>
      </c>
      <c r="M4896" s="17" t="s">
        <v>9</v>
      </c>
      <c r="N4896" s="17" t="s">
        <v>736</v>
      </c>
    </row>
    <row r="4897" spans="1:14" x14ac:dyDescent="0.25">
      <c r="A4897" s="8">
        <v>995000</v>
      </c>
      <c r="B4897" s="22" t="str">
        <f>IFERROR(VLOOKUP(A4897,VLOOKUPS!$A$2:B$12589,2,FALSE),"")</f>
        <v>Spring Mix 5oz-standard</v>
      </c>
      <c r="E4897">
        <v>2.79</v>
      </c>
      <c r="F4897">
        <v>2.99</v>
      </c>
      <c r="G4897" s="13">
        <v>44755</v>
      </c>
      <c r="H4897" s="13"/>
      <c r="I4897" s="22" t="str">
        <f>VLOOKUP(J4897, Dropdowns!N:O, 2, FALSE)</f>
        <v>Standard</v>
      </c>
      <c r="J4897" t="s">
        <v>761</v>
      </c>
      <c r="L4897" s="17" t="s">
        <v>734</v>
      </c>
      <c r="M4897" s="17" t="s">
        <v>9</v>
      </c>
      <c r="N4897" s="17" t="s">
        <v>736</v>
      </c>
    </row>
    <row r="4898" spans="1:14" x14ac:dyDescent="0.25">
      <c r="A4898" s="8">
        <v>995005</v>
      </c>
      <c r="B4898" s="22" t="str">
        <f>IFERROR(VLOOKUP(A4898,VLOOKUPS!$A$2:B$12589,2,FALSE),"")</f>
        <v>Garden Salad 12oz-standard</v>
      </c>
      <c r="E4898">
        <v>1.69</v>
      </c>
      <c r="F4898">
        <v>1.89</v>
      </c>
      <c r="G4898" s="13">
        <v>44755</v>
      </c>
      <c r="H4898" s="13"/>
      <c r="I4898" s="22" t="str">
        <f>VLOOKUP(J4898, Dropdowns!N:O, 2, FALSE)</f>
        <v>Standard</v>
      </c>
      <c r="J4898" t="s">
        <v>761</v>
      </c>
      <c r="L4898" s="17" t="s">
        <v>734</v>
      </c>
      <c r="M4898" s="17" t="s">
        <v>9</v>
      </c>
      <c r="N4898" s="17" t="s">
        <v>736</v>
      </c>
    </row>
    <row r="4899" spans="1:14" x14ac:dyDescent="0.25">
      <c r="A4899" s="8">
        <v>995195</v>
      </c>
      <c r="B4899" s="22" t="str">
        <f>IFERROR(VLOOKUP(A4899,VLOOKUPS!$A$2:B$12589,2,FALSE),"")</f>
        <v>Caesar Salad Kit 10oz-standard</v>
      </c>
      <c r="E4899">
        <v>3.29</v>
      </c>
      <c r="F4899">
        <v>2.99</v>
      </c>
      <c r="G4899" s="13">
        <v>44755</v>
      </c>
      <c r="H4899" s="13"/>
      <c r="I4899" s="22" t="str">
        <f>VLOOKUP(J4899, Dropdowns!N:O, 2, FALSE)</f>
        <v>Standard</v>
      </c>
      <c r="J4899" t="s">
        <v>761</v>
      </c>
      <c r="L4899" s="17" t="s">
        <v>734</v>
      </c>
      <c r="M4899" s="17" t="s">
        <v>9</v>
      </c>
      <c r="N4899" s="17" t="s">
        <v>736</v>
      </c>
    </row>
    <row r="4900" spans="1:14" x14ac:dyDescent="0.25">
      <c r="A4900" s="8">
        <v>995008</v>
      </c>
      <c r="B4900" s="22" t="str">
        <f>IFERROR(VLOOKUP(A4900,VLOOKUPS!$A$2:B$12589,2,FALSE),"")</f>
        <v>Shredded Lettuce 8oz-standard</v>
      </c>
      <c r="E4900">
        <v>2.19</v>
      </c>
      <c r="F4900">
        <v>1.99</v>
      </c>
      <c r="G4900" s="13">
        <v>44755</v>
      </c>
      <c r="H4900" s="13"/>
      <c r="I4900" s="22" t="str">
        <f>VLOOKUP(J4900, Dropdowns!N:O, 2, FALSE)</f>
        <v>Standard</v>
      </c>
      <c r="J4900" t="s">
        <v>761</v>
      </c>
      <c r="L4900" s="17" t="s">
        <v>734</v>
      </c>
      <c r="M4900" s="17" t="s">
        <v>9</v>
      </c>
      <c r="N4900" s="17" t="s">
        <v>736</v>
      </c>
    </row>
    <row r="4901" spans="1:14" x14ac:dyDescent="0.25">
      <c r="A4901" s="8">
        <v>995018</v>
      </c>
      <c r="B4901" s="22" t="str">
        <f>IFERROR(VLOOKUP(A4901,VLOOKUPS!$A$2:B$12589,2,FALSE),"")</f>
        <v>RTE Large Chicken Caesar Salad 13.1oz-standard</v>
      </c>
      <c r="E4901">
        <v>5.34</v>
      </c>
      <c r="F4901">
        <v>5.79</v>
      </c>
      <c r="G4901" s="13">
        <v>44756</v>
      </c>
      <c r="H4901" s="13"/>
      <c r="I4901" s="22" t="str">
        <f>VLOOKUP(J4901, Dropdowns!N:O, 2, FALSE)</f>
        <v>Standard</v>
      </c>
      <c r="J4901" t="s">
        <v>761</v>
      </c>
      <c r="L4901" s="17" t="s">
        <v>734</v>
      </c>
      <c r="M4901" s="17" t="s">
        <v>9</v>
      </c>
      <c r="N4901" s="17" t="s">
        <v>736</v>
      </c>
    </row>
    <row r="4902" spans="1:14" x14ac:dyDescent="0.25">
      <c r="A4902" s="8">
        <v>995022</v>
      </c>
      <c r="B4902" s="22" t="str">
        <f>IFERROR(VLOOKUP(A4902,VLOOKUPS!$A$2:B$12589,2,FALSE),"")</f>
        <v>American Blend 12oz-standard</v>
      </c>
      <c r="E4902">
        <v>2.29</v>
      </c>
      <c r="F4902">
        <v>2.4900000000000002</v>
      </c>
      <c r="G4902" s="13">
        <v>44756</v>
      </c>
      <c r="H4902" s="13"/>
      <c r="I4902" s="22" t="str">
        <f>VLOOKUP(J4902, Dropdowns!N:O, 2, FALSE)</f>
        <v>Standard</v>
      </c>
      <c r="J4902" t="s">
        <v>761</v>
      </c>
      <c r="L4902" s="17" t="s">
        <v>734</v>
      </c>
      <c r="M4902" s="17" t="s">
        <v>9</v>
      </c>
      <c r="N4902" s="17" t="s">
        <v>736</v>
      </c>
    </row>
    <row r="4903" spans="1:14" x14ac:dyDescent="0.25">
      <c r="A4903" s="8">
        <v>995072</v>
      </c>
      <c r="B4903" s="22" t="str">
        <f>IFERROR(VLOOKUP(A4903,VLOOKUPS!$A$2:B$12589,2,FALSE),"")</f>
        <v>Broccoli Coleslaw 12oz-standard</v>
      </c>
      <c r="E4903">
        <v>2.09</v>
      </c>
      <c r="F4903">
        <v>2.39</v>
      </c>
      <c r="G4903" s="13">
        <v>44756</v>
      </c>
      <c r="H4903" s="13"/>
      <c r="I4903" s="22" t="str">
        <f>VLOOKUP(J4903, Dropdowns!N:O, 2, FALSE)</f>
        <v>Standard</v>
      </c>
      <c r="J4903" t="s">
        <v>761</v>
      </c>
      <c r="L4903" s="17" t="s">
        <v>734</v>
      </c>
      <c r="M4903" s="17" t="s">
        <v>9</v>
      </c>
      <c r="N4903" s="17" t="s">
        <v>736</v>
      </c>
    </row>
    <row r="4904" spans="1:14" x14ac:dyDescent="0.25">
      <c r="A4904" s="8">
        <v>995076</v>
      </c>
      <c r="B4904" s="22" t="str">
        <f>IFERROR(VLOOKUP(A4904,VLOOKUPS!$A$2:B$12589,2,FALSE),"")</f>
        <v>Organic Power Greens 5oz-standard</v>
      </c>
      <c r="E4904">
        <v>2.99</v>
      </c>
      <c r="F4904">
        <v>3.29</v>
      </c>
      <c r="G4904" s="13">
        <v>44756</v>
      </c>
      <c r="H4904" s="13"/>
      <c r="I4904" s="22" t="str">
        <f>VLOOKUP(J4904, Dropdowns!N:O, 2, FALSE)</f>
        <v>Standard</v>
      </c>
      <c r="J4904" t="s">
        <v>761</v>
      </c>
      <c r="L4904" s="17" t="s">
        <v>734</v>
      </c>
      <c r="M4904" s="17" t="s">
        <v>9</v>
      </c>
      <c r="N4904" s="17" t="s">
        <v>736</v>
      </c>
    </row>
    <row r="4905" spans="1:14" x14ac:dyDescent="0.25">
      <c r="A4905" s="8">
        <v>995082</v>
      </c>
      <c r="B4905" s="22" t="str">
        <f>IFERROR(VLOOKUP(A4905,VLOOKUPS!$A$2:B$12589,2,FALSE),"")</f>
        <v>Melon Trio 16oz-standard</v>
      </c>
      <c r="E4905">
        <v>4.29</v>
      </c>
      <c r="F4905">
        <v>4.49</v>
      </c>
      <c r="G4905" s="13">
        <v>44756</v>
      </c>
      <c r="H4905" s="13"/>
      <c r="I4905" s="22" t="str">
        <f>VLOOKUP(J4905, Dropdowns!N:O, 2, FALSE)</f>
        <v>Standard</v>
      </c>
      <c r="J4905" t="s">
        <v>761</v>
      </c>
      <c r="L4905" s="17" t="s">
        <v>734</v>
      </c>
      <c r="M4905" s="17" t="s">
        <v>9</v>
      </c>
      <c r="N4905" s="17" t="s">
        <v>736</v>
      </c>
    </row>
    <row r="4906" spans="1:14" x14ac:dyDescent="0.25">
      <c r="A4906" s="8">
        <v>995084</v>
      </c>
      <c r="B4906" s="22" t="str">
        <f>IFERROR(VLOOKUP(A4906,VLOOKUPS!$A$2:B$12589,2,FALSE),"")</f>
        <v>Eat Smart Green Beans 12oz-standard</v>
      </c>
      <c r="E4906">
        <v>3.49</v>
      </c>
      <c r="F4906">
        <v>2.99</v>
      </c>
      <c r="G4906" s="13">
        <v>44756</v>
      </c>
      <c r="H4906" s="13"/>
      <c r="I4906" s="22" t="str">
        <f>VLOOKUP(J4906, Dropdowns!N:O, 2, FALSE)</f>
        <v>Standard</v>
      </c>
      <c r="J4906" t="s">
        <v>761</v>
      </c>
      <c r="L4906" s="17" t="s">
        <v>734</v>
      </c>
      <c r="M4906" s="17" t="s">
        <v>9</v>
      </c>
      <c r="N4906" s="17" t="s">
        <v>736</v>
      </c>
    </row>
    <row r="4907" spans="1:14" x14ac:dyDescent="0.25">
      <c r="A4907" s="8">
        <v>995085</v>
      </c>
      <c r="B4907" s="22" t="str">
        <f>IFERROR(VLOOKUP(A4907,VLOOKUPS!$A$2:B$12589,2,FALSE),"")</f>
        <v>Sugar Snap Peas 8oz-standard</v>
      </c>
      <c r="E4907">
        <v>2.99</v>
      </c>
      <c r="F4907">
        <v>3.29</v>
      </c>
      <c r="G4907" s="13">
        <v>44756</v>
      </c>
      <c r="H4907" s="13"/>
      <c r="I4907" s="22" t="str">
        <f>VLOOKUP(J4907, Dropdowns!N:O, 2, FALSE)</f>
        <v>Standard</v>
      </c>
      <c r="J4907" t="s">
        <v>761</v>
      </c>
      <c r="L4907" s="17" t="s">
        <v>734</v>
      </c>
      <c r="M4907" s="17" t="s">
        <v>9</v>
      </c>
      <c r="N4907" s="17" t="s">
        <v>736</v>
      </c>
    </row>
    <row r="4908" spans="1:14" x14ac:dyDescent="0.25">
      <c r="A4908" s="8">
        <v>995097</v>
      </c>
      <c r="B4908" s="22" t="str">
        <f>IFERROR(VLOOKUP(A4908,VLOOKUPS!$A$2:B$12589,2,FALSE),"")</f>
        <v>Butternut Diced 12oz-standard</v>
      </c>
      <c r="E4908">
        <v>2.4900000000000002</v>
      </c>
      <c r="F4908">
        <v>2.79</v>
      </c>
      <c r="G4908" s="13">
        <v>44756</v>
      </c>
      <c r="H4908" s="13"/>
      <c r="I4908" s="22" t="str">
        <f>VLOOKUP(J4908, Dropdowns!N:O, 2, FALSE)</f>
        <v>Standard</v>
      </c>
      <c r="J4908" t="s">
        <v>761</v>
      </c>
      <c r="L4908" s="17" t="s">
        <v>734</v>
      </c>
      <c r="M4908" s="17" t="s">
        <v>9</v>
      </c>
      <c r="N4908" s="17" t="s">
        <v>736</v>
      </c>
    </row>
    <row r="4909" spans="1:14" x14ac:dyDescent="0.25">
      <c r="A4909" s="8">
        <v>995102</v>
      </c>
      <c r="B4909" s="22" t="str">
        <f>IFERROR(VLOOKUP(A4909,VLOOKUPS!$A$2:B$12589,2,FALSE),"")</f>
        <v>Cantaloupe Chunks 16oz-standard</v>
      </c>
      <c r="E4909">
        <v>4.99</v>
      </c>
      <c r="F4909">
        <v>5.29</v>
      </c>
      <c r="G4909" s="13">
        <v>44756</v>
      </c>
      <c r="H4909" s="13"/>
      <c r="I4909" s="22" t="str">
        <f>VLOOKUP(J4909, Dropdowns!N:O, 2, FALSE)</f>
        <v>Standard</v>
      </c>
      <c r="J4909" t="s">
        <v>761</v>
      </c>
      <c r="L4909" s="17" t="s">
        <v>734</v>
      </c>
      <c r="M4909" s="17" t="s">
        <v>9</v>
      </c>
      <c r="N4909" s="17" t="s">
        <v>736</v>
      </c>
    </row>
    <row r="4910" spans="1:14" x14ac:dyDescent="0.25">
      <c r="A4910" s="8">
        <v>995104</v>
      </c>
      <c r="B4910" s="22" t="str">
        <f>IFERROR(VLOOKUP(A4910,VLOOKUPS!$A$2:B$12589,2,FALSE),"")</f>
        <v>Ginger Garlic Stir Fry Kit 14oz-standard</v>
      </c>
      <c r="E4910">
        <v>3.29</v>
      </c>
      <c r="F4910">
        <v>3.49</v>
      </c>
      <c r="G4910" s="13">
        <v>44756</v>
      </c>
      <c r="H4910" s="13"/>
      <c r="I4910" s="22" t="str">
        <f>VLOOKUP(J4910, Dropdowns!N:O, 2, FALSE)</f>
        <v>Standard</v>
      </c>
      <c r="J4910" t="s">
        <v>761</v>
      </c>
      <c r="L4910" s="17" t="s">
        <v>734</v>
      </c>
      <c r="M4910" s="17" t="s">
        <v>9</v>
      </c>
      <c r="N4910" s="17" t="s">
        <v>736</v>
      </c>
    </row>
    <row r="4911" spans="1:14" x14ac:dyDescent="0.25">
      <c r="A4911" s="8">
        <v>995116</v>
      </c>
      <c r="B4911" s="22" t="str">
        <f>IFERROR(VLOOKUP(A4911,VLOOKUPS!$A$2:B$12589,2,FALSE),"")</f>
        <v>Mango Chunks 10oz-standard</v>
      </c>
      <c r="E4911">
        <v>2.99</v>
      </c>
      <c r="F4911">
        <v>3.29</v>
      </c>
      <c r="G4911" s="13">
        <v>44756</v>
      </c>
      <c r="H4911" s="13"/>
      <c r="I4911" s="22" t="str">
        <f>VLOOKUP(J4911, Dropdowns!N:O, 2, FALSE)</f>
        <v>Standard</v>
      </c>
      <c r="J4911" t="s">
        <v>761</v>
      </c>
      <c r="L4911" s="17" t="s">
        <v>734</v>
      </c>
      <c r="M4911" s="17" t="s">
        <v>9</v>
      </c>
      <c r="N4911" s="17" t="s">
        <v>736</v>
      </c>
    </row>
    <row r="4912" spans="1:14" x14ac:dyDescent="0.25">
      <c r="A4912" s="8">
        <v>995166</v>
      </c>
      <c r="B4912" s="22" t="str">
        <f>IFERROR(VLOOKUP(A4912,VLOOKUPS!$A$2:B$12589,2,FALSE),"")</f>
        <v>Snow Peas 8oz-standard</v>
      </c>
      <c r="E4912">
        <v>3.33</v>
      </c>
      <c r="F4912">
        <v>3.49</v>
      </c>
      <c r="G4912" s="13">
        <v>44756</v>
      </c>
      <c r="H4912" s="13"/>
      <c r="I4912" s="22" t="str">
        <f>VLOOKUP(J4912, Dropdowns!N:O, 2, FALSE)</f>
        <v>Standard</v>
      </c>
      <c r="J4912" t="s">
        <v>761</v>
      </c>
      <c r="L4912" s="17" t="s">
        <v>734</v>
      </c>
      <c r="M4912" s="17" t="s">
        <v>9</v>
      </c>
      <c r="N4912" s="17" t="s">
        <v>736</v>
      </c>
    </row>
    <row r="4913" spans="1:14" x14ac:dyDescent="0.25">
      <c r="A4913" s="8">
        <v>995192</v>
      </c>
      <c r="B4913" s="22" t="str">
        <f>IFERROR(VLOOKUP(A4913,VLOOKUPS!$A$2:B$12589,2,FALSE),"")</f>
        <v>Green Beans 32oz-standard</v>
      </c>
      <c r="E4913">
        <v>6.49</v>
      </c>
      <c r="F4913">
        <v>6.69</v>
      </c>
      <c r="G4913" s="13">
        <v>44756</v>
      </c>
      <c r="H4913" s="13"/>
      <c r="I4913" s="22" t="str">
        <f>VLOOKUP(J4913, Dropdowns!N:O, 2, FALSE)</f>
        <v>Standard</v>
      </c>
      <c r="J4913" t="s">
        <v>761</v>
      </c>
      <c r="L4913" s="17" t="s">
        <v>734</v>
      </c>
      <c r="M4913" s="17" t="s">
        <v>9</v>
      </c>
      <c r="N4913" s="17" t="s">
        <v>736</v>
      </c>
    </row>
    <row r="4914" spans="1:14" x14ac:dyDescent="0.25">
      <c r="A4914" s="8">
        <v>995190</v>
      </c>
      <c r="B4914" s="22" t="str">
        <f>IFERROR(VLOOKUP(A4914,VLOOKUPS!$A$2:B$12589,2,FALSE),"")</f>
        <v>Organic Green Beans 12oz-standard</v>
      </c>
      <c r="E4914">
        <v>4.18</v>
      </c>
      <c r="F4914">
        <v>4.3899999999999997</v>
      </c>
      <c r="G4914" s="13">
        <v>44756</v>
      </c>
      <c r="H4914" s="13"/>
      <c r="I4914" s="22" t="str">
        <f>VLOOKUP(J4914, Dropdowns!N:O, 2, FALSE)</f>
        <v>Standard</v>
      </c>
      <c r="J4914" t="s">
        <v>761</v>
      </c>
      <c r="L4914" s="17" t="s">
        <v>734</v>
      </c>
      <c r="M4914" s="17" t="s">
        <v>9</v>
      </c>
      <c r="N4914" s="17" t="s">
        <v>736</v>
      </c>
    </row>
    <row r="4915" spans="1:14" x14ac:dyDescent="0.25">
      <c r="A4915" s="8">
        <v>995164</v>
      </c>
      <c r="B4915" s="22" t="str">
        <f>IFERROR(VLOOKUP(A4915,VLOOKUPS!$A$2:B$12589,2,FALSE),"")</f>
        <v>Spinach 10oz-standard</v>
      </c>
      <c r="E4915">
        <v>1.98</v>
      </c>
      <c r="F4915">
        <v>2.29</v>
      </c>
      <c r="G4915" s="13">
        <v>44756</v>
      </c>
      <c r="H4915" s="13"/>
      <c r="I4915" s="22" t="str">
        <f>VLOOKUP(J4915, Dropdowns!N:O, 2, FALSE)</f>
        <v>Standard</v>
      </c>
      <c r="J4915" t="s">
        <v>761</v>
      </c>
      <c r="L4915" s="17" t="s">
        <v>734</v>
      </c>
      <c r="M4915" s="17" t="s">
        <v>9</v>
      </c>
      <c r="N4915" s="17" t="s">
        <v>736</v>
      </c>
    </row>
    <row r="4916" spans="1:14" x14ac:dyDescent="0.25">
      <c r="A4916" s="8">
        <v>995184</v>
      </c>
      <c r="B4916" s="22" t="str">
        <f>IFERROR(VLOOKUP(A4916,VLOOKUPS!$A$2:B$12589,2,FALSE),"")</f>
        <v>English Peas 8oz-standard</v>
      </c>
      <c r="E4916">
        <v>2.79</v>
      </c>
      <c r="F4916">
        <v>2.99</v>
      </c>
      <c r="G4916" s="13">
        <v>44756</v>
      </c>
      <c r="H4916" s="13"/>
      <c r="I4916" s="22" t="str">
        <f>VLOOKUP(J4916, Dropdowns!N:O, 2, FALSE)</f>
        <v>Standard</v>
      </c>
      <c r="J4916" t="s">
        <v>761</v>
      </c>
      <c r="L4916" s="17" t="s">
        <v>734</v>
      </c>
      <c r="M4916" s="17" t="s">
        <v>9</v>
      </c>
      <c r="N4916" s="17" t="s">
        <v>736</v>
      </c>
    </row>
    <row r="4917" spans="1:14" x14ac:dyDescent="0.25">
      <c r="A4917" s="8">
        <v>984460</v>
      </c>
      <c r="B4917" s="22" t="str">
        <f>IFERROR(VLOOKUP(A4917,VLOOKUPS!$A$2:B$12589,2,FALSE),"")</f>
        <v>Strawberries 1lb-standard</v>
      </c>
      <c r="G4917" s="13">
        <v>44751</v>
      </c>
      <c r="H4917" s="13">
        <v>44754</v>
      </c>
      <c r="I4917" s="22" t="str">
        <f>VLOOKUP(J4917, Dropdowns!N:O, 2, FALSE)</f>
        <v>Lower Price</v>
      </c>
      <c r="J4917" t="s">
        <v>779</v>
      </c>
      <c r="L4917" s="17" t="s">
        <v>732</v>
      </c>
      <c r="M4917" s="17" t="s">
        <v>736</v>
      </c>
      <c r="N4917" s="17" t="s">
        <v>736</v>
      </c>
    </row>
    <row r="4918" spans="1:14" x14ac:dyDescent="0.25">
      <c r="A4918" s="8">
        <v>984541</v>
      </c>
      <c r="B4918" s="22" t="str">
        <f>IFERROR(VLOOKUP(A4918,VLOOKUPS!$A$2:B$12589,2,FALSE),"")</f>
        <v>Blueberries 1pt-standard</v>
      </c>
      <c r="E4918">
        <v>2.79</v>
      </c>
      <c r="F4918">
        <v>3.79</v>
      </c>
      <c r="G4918" s="13">
        <v>44751</v>
      </c>
      <c r="H4918" s="13"/>
      <c r="I4918" s="22" t="str">
        <f>VLOOKUP(J4918, Dropdowns!N:O, 2, FALSE)</f>
        <v>Standard</v>
      </c>
      <c r="J4918" t="s">
        <v>760</v>
      </c>
      <c r="L4918" s="17" t="s">
        <v>733</v>
      </c>
      <c r="M4918" s="17" t="s">
        <v>737</v>
      </c>
      <c r="N4918" s="17" t="s">
        <v>740</v>
      </c>
    </row>
    <row r="4919" spans="1:14" x14ac:dyDescent="0.25">
      <c r="A4919" s="8">
        <v>984541</v>
      </c>
      <c r="B4919" s="22" t="str">
        <f>IFERROR(VLOOKUP(A4919,VLOOKUPS!$A$2:B$12589,2,FALSE),"")</f>
        <v>Blueberries 1pt-standard</v>
      </c>
      <c r="E4919">
        <v>2.99</v>
      </c>
      <c r="F4919">
        <v>3.99</v>
      </c>
      <c r="G4919" s="13">
        <v>44751</v>
      </c>
      <c r="H4919" s="13"/>
      <c r="I4919" s="22" t="str">
        <f>VLOOKUP(J4919, Dropdowns!N:O, 2, FALSE)</f>
        <v>Standard</v>
      </c>
      <c r="J4919" t="s">
        <v>760</v>
      </c>
      <c r="L4919" s="17" t="s">
        <v>734</v>
      </c>
      <c r="M4919" s="17" t="s">
        <v>9</v>
      </c>
      <c r="N4919" s="17" t="s">
        <v>736</v>
      </c>
    </row>
    <row r="4920" spans="1:14" x14ac:dyDescent="0.25">
      <c r="A4920" s="8">
        <v>984541</v>
      </c>
      <c r="B4920" s="22" t="str">
        <f>IFERROR(VLOOKUP(A4920,VLOOKUPS!$A$2:B$12589,2,FALSE),"")</f>
        <v>Blueberries 1pt-standard</v>
      </c>
      <c r="E4920">
        <v>3.79</v>
      </c>
      <c r="F4920">
        <v>3.38</v>
      </c>
      <c r="G4920" s="13">
        <v>44752</v>
      </c>
      <c r="H4920" s="13"/>
      <c r="I4920" s="22" t="str">
        <f>VLOOKUP(J4920, Dropdowns!N:O, 2, FALSE)</f>
        <v>Standard</v>
      </c>
      <c r="J4920" t="s">
        <v>761</v>
      </c>
      <c r="L4920" s="17" t="s">
        <v>733</v>
      </c>
      <c r="M4920" s="17" t="s">
        <v>737</v>
      </c>
      <c r="N4920" s="17" t="s">
        <v>740</v>
      </c>
    </row>
    <row r="4921" spans="1:14" x14ac:dyDescent="0.25">
      <c r="A4921" s="8">
        <v>984541</v>
      </c>
      <c r="B4921" s="22" t="str">
        <f>IFERROR(VLOOKUP(A4921,VLOOKUPS!$A$2:B$12589,2,FALSE),"")</f>
        <v>Blueberries 1pt-standard</v>
      </c>
      <c r="G4921" s="13">
        <v>44751</v>
      </c>
      <c r="H4921" s="13">
        <v>44751</v>
      </c>
      <c r="I4921" s="22" t="str">
        <f>VLOOKUP(J4921, Dropdowns!N:O, 2, FALSE)</f>
        <v>Lower Price</v>
      </c>
      <c r="J4921" t="s">
        <v>762</v>
      </c>
      <c r="L4921" s="17" t="s">
        <v>732</v>
      </c>
      <c r="M4921" s="17" t="s">
        <v>10</v>
      </c>
      <c r="N4921" s="17">
        <v>2</v>
      </c>
    </row>
    <row r="4922" spans="1:14" x14ac:dyDescent="0.25">
      <c r="A4922" s="8">
        <v>984541</v>
      </c>
      <c r="B4922" s="22" t="str">
        <f>IFERROR(VLOOKUP(A4922,VLOOKUPS!$A$2:B$12589,2,FALSE),"")</f>
        <v>Blueberries 1pt-standard</v>
      </c>
      <c r="E4922">
        <v>2.79</v>
      </c>
      <c r="F4922">
        <v>3.79</v>
      </c>
      <c r="G4922" s="13">
        <v>44752</v>
      </c>
      <c r="H4922" s="13"/>
      <c r="I4922" s="22" t="str">
        <f>VLOOKUP(J4922, Dropdowns!N:O, 2, FALSE)</f>
        <v>Standard</v>
      </c>
      <c r="J4922" t="s">
        <v>760</v>
      </c>
      <c r="L4922" s="17" t="s">
        <v>732</v>
      </c>
      <c r="M4922" s="17" t="s">
        <v>10</v>
      </c>
      <c r="N4922" s="17">
        <v>2</v>
      </c>
    </row>
    <row r="4923" spans="1:14" x14ac:dyDescent="0.25">
      <c r="A4923" s="8">
        <v>984541</v>
      </c>
      <c r="B4923" s="22" t="str">
        <f>IFERROR(VLOOKUP(A4923,VLOOKUPS!$A$2:B$12589,2,FALSE),"")</f>
        <v>Blueberries 1pt-standard</v>
      </c>
      <c r="E4923">
        <v>3.79</v>
      </c>
      <c r="F4923">
        <v>3.38</v>
      </c>
      <c r="G4923" s="13">
        <v>44753</v>
      </c>
      <c r="H4923" s="13"/>
      <c r="I4923" s="22" t="str">
        <f>VLOOKUP(J4923, Dropdowns!N:O, 2, FALSE)</f>
        <v>Standard</v>
      </c>
      <c r="J4923" t="s">
        <v>761</v>
      </c>
      <c r="L4923" s="17" t="s">
        <v>732</v>
      </c>
      <c r="M4923" s="17" t="s">
        <v>10</v>
      </c>
      <c r="N4923" s="17">
        <v>2</v>
      </c>
    </row>
    <row r="4924" spans="1:14" x14ac:dyDescent="0.25">
      <c r="A4924" s="8">
        <v>984700</v>
      </c>
      <c r="B4924" s="22" t="str">
        <f>IFERROR(VLOOKUP(A4924,VLOOKUPS!$A$2:B$12589,2,FALSE),"")</f>
        <v>Blackberries 6oz-standard</v>
      </c>
      <c r="G4924" s="13">
        <v>44751</v>
      </c>
      <c r="H4924" s="13">
        <v>44752</v>
      </c>
      <c r="I4924" s="22" t="str">
        <f>VLOOKUP(J4924, Dropdowns!N:O, 2, FALSE)</f>
        <v>Lower Price</v>
      </c>
      <c r="J4924" t="s">
        <v>753</v>
      </c>
      <c r="L4924" s="17" t="s">
        <v>732</v>
      </c>
      <c r="M4924" s="17" t="s">
        <v>736</v>
      </c>
      <c r="N4924" s="17" t="s">
        <v>736</v>
      </c>
    </row>
    <row r="4925" spans="1:14" x14ac:dyDescent="0.25">
      <c r="A4925" s="8">
        <v>984700</v>
      </c>
      <c r="B4925" s="22" t="str">
        <f>IFERROR(VLOOKUP(A4925,VLOOKUPS!$A$2:B$12589,2,FALSE),"")</f>
        <v>Blackberries 6oz-standard</v>
      </c>
      <c r="G4925" s="13">
        <v>44753</v>
      </c>
      <c r="H4925" s="13">
        <v>44753</v>
      </c>
      <c r="I4925" s="22" t="str">
        <f>VLOOKUP(J4925, Dropdowns!N:O, 2, FALSE)</f>
        <v>Lower Price</v>
      </c>
      <c r="J4925" t="s">
        <v>762</v>
      </c>
      <c r="L4925" s="17" t="s">
        <v>732</v>
      </c>
      <c r="M4925" s="17" t="s">
        <v>736</v>
      </c>
      <c r="N4925" s="17" t="s">
        <v>736</v>
      </c>
    </row>
    <row r="4926" spans="1:14" x14ac:dyDescent="0.25">
      <c r="A4926" s="8">
        <v>986250</v>
      </c>
      <c r="B4926" s="22" t="str">
        <f>IFERROR(VLOOKUP(A4926,VLOOKUPS!$A$2:B$12589,2,FALSE),"")</f>
        <v>French Beans 1lb-standard</v>
      </c>
      <c r="E4926">
        <v>1.99</v>
      </c>
      <c r="F4926">
        <v>2.99</v>
      </c>
      <c r="G4926" s="13">
        <v>44751</v>
      </c>
      <c r="H4926" s="13"/>
      <c r="I4926" s="22" t="str">
        <f>VLOOKUP(J4926, Dropdowns!N:O, 2, FALSE)</f>
        <v>Standard</v>
      </c>
      <c r="J4926" t="s">
        <v>760</v>
      </c>
      <c r="L4926" s="17" t="s">
        <v>732</v>
      </c>
      <c r="M4926" s="17" t="s">
        <v>737</v>
      </c>
      <c r="N4926" s="17" t="s">
        <v>736</v>
      </c>
    </row>
    <row r="4927" spans="1:14" x14ac:dyDescent="0.25">
      <c r="A4927" s="8">
        <v>986250</v>
      </c>
      <c r="B4927" s="22" t="str">
        <f>IFERROR(VLOOKUP(A4927,VLOOKUPS!$A$2:B$12589,2,FALSE),"")</f>
        <v>French Beans 1lb-standard</v>
      </c>
      <c r="G4927" s="13">
        <v>44751</v>
      </c>
      <c r="H4927" s="13">
        <v>44752</v>
      </c>
      <c r="I4927" s="22" t="str">
        <f>VLOOKUP(J4927, Dropdowns!N:O, 2, FALSE)</f>
        <v>Lower Price</v>
      </c>
      <c r="J4927" t="s">
        <v>762</v>
      </c>
      <c r="L4927" s="17" t="s">
        <v>732</v>
      </c>
      <c r="M4927" s="17" t="s">
        <v>10</v>
      </c>
      <c r="N4927" s="17">
        <v>2</v>
      </c>
    </row>
    <row r="4928" spans="1:14" x14ac:dyDescent="0.25">
      <c r="A4928" s="8">
        <v>986250</v>
      </c>
      <c r="B4928" s="22" t="str">
        <f>IFERROR(VLOOKUP(A4928,VLOOKUPS!$A$2:B$12589,2,FALSE),"")</f>
        <v>French Beans 1lb-standard</v>
      </c>
      <c r="G4928" s="13">
        <v>44753</v>
      </c>
      <c r="H4928" s="13"/>
      <c r="I4928" s="22" t="str">
        <f>VLOOKUP(J4928, Dropdowns!N:O, 2, FALSE)</f>
        <v>Standard</v>
      </c>
      <c r="J4928" t="s">
        <v>760</v>
      </c>
      <c r="L4928" s="17" t="s">
        <v>732</v>
      </c>
      <c r="M4928" s="17" t="s">
        <v>10</v>
      </c>
      <c r="N4928" s="17">
        <v>2</v>
      </c>
    </row>
    <row r="4929" spans="1:14" x14ac:dyDescent="0.25">
      <c r="A4929" s="8">
        <v>995004</v>
      </c>
      <c r="B4929" s="22" t="str">
        <f>IFERROR(VLOOKUP(A4929,VLOOKUPS!$A$2:B$12589,2,FALSE),"")</f>
        <v>Chicken Caesar Salad 6.25oz-standard</v>
      </c>
      <c r="E4929">
        <v>3.27</v>
      </c>
      <c r="F4929">
        <v>1.96</v>
      </c>
      <c r="G4929" s="13">
        <v>44751</v>
      </c>
      <c r="H4929" s="13">
        <v>44752</v>
      </c>
      <c r="I4929" s="22" t="str">
        <f>VLOOKUP(J4929, Dropdowns!N:O, 2, FALSE)</f>
        <v>Lower Price</v>
      </c>
      <c r="J4929" t="s">
        <v>759</v>
      </c>
      <c r="L4929" s="17" t="s">
        <v>733</v>
      </c>
      <c r="M4929" s="17" t="s">
        <v>11</v>
      </c>
      <c r="N4929" s="17" t="s">
        <v>740</v>
      </c>
    </row>
    <row r="4930" spans="1:14" x14ac:dyDescent="0.25">
      <c r="A4930" s="8">
        <v>995018</v>
      </c>
      <c r="B4930" s="22" t="str">
        <f>IFERROR(VLOOKUP(A4930,VLOOKUPS!$A$2:B$12589,2,FALSE),"")</f>
        <v>RTE Large Chicken Caesar Salad 13.1oz-standard</v>
      </c>
      <c r="E4930">
        <v>5.34</v>
      </c>
      <c r="F4930">
        <v>3.2</v>
      </c>
      <c r="G4930" s="13">
        <v>44751</v>
      </c>
      <c r="H4930" s="13">
        <v>44752</v>
      </c>
      <c r="I4930" s="22" t="str">
        <f>VLOOKUP(J4930, Dropdowns!N:O, 2, FALSE)</f>
        <v>Lower Price</v>
      </c>
      <c r="J4930" t="s">
        <v>759</v>
      </c>
      <c r="L4930" s="17" t="s">
        <v>733</v>
      </c>
      <c r="M4930" s="17" t="s">
        <v>10</v>
      </c>
      <c r="N4930" s="17" t="s">
        <v>740</v>
      </c>
    </row>
    <row r="4931" spans="1:14" x14ac:dyDescent="0.25">
      <c r="A4931" s="8">
        <v>995004</v>
      </c>
      <c r="B4931" s="22" t="str">
        <f>IFERROR(VLOOKUP(A4931,VLOOKUPS!$A$2:B$12589,2,FALSE),"")</f>
        <v>Chicken Caesar Salad 6.25oz-standard</v>
      </c>
      <c r="E4931">
        <v>1.96</v>
      </c>
      <c r="F4931">
        <v>3.27</v>
      </c>
      <c r="G4931" s="13">
        <v>44753</v>
      </c>
      <c r="H4931" s="13"/>
      <c r="I4931" s="22" t="str">
        <f>VLOOKUP(J4931, Dropdowns!N:O, 2, FALSE)</f>
        <v>Standard</v>
      </c>
      <c r="J4931" t="s">
        <v>760</v>
      </c>
      <c r="L4931" s="17" t="s">
        <v>733</v>
      </c>
      <c r="M4931" s="17" t="s">
        <v>11</v>
      </c>
      <c r="N4931" s="17" t="s">
        <v>740</v>
      </c>
    </row>
    <row r="4932" spans="1:14" x14ac:dyDescent="0.25">
      <c r="A4932" s="8">
        <v>995018</v>
      </c>
      <c r="B4932" s="22" t="str">
        <f>IFERROR(VLOOKUP(A4932,VLOOKUPS!$A$2:B$12589,2,FALSE),"")</f>
        <v>RTE Large Chicken Caesar Salad 13.1oz-standard</v>
      </c>
      <c r="E4932">
        <v>3.2</v>
      </c>
      <c r="F4932">
        <v>5.34</v>
      </c>
      <c r="G4932" s="13">
        <v>44753</v>
      </c>
      <c r="H4932" s="13"/>
      <c r="I4932" s="22" t="str">
        <f>VLOOKUP(J4932, Dropdowns!N:O, 2, FALSE)</f>
        <v>Standard</v>
      </c>
      <c r="J4932" t="s">
        <v>760</v>
      </c>
      <c r="L4932" s="17" t="s">
        <v>733</v>
      </c>
      <c r="M4932" s="17" t="s">
        <v>10</v>
      </c>
      <c r="N4932" s="17" t="s">
        <v>740</v>
      </c>
    </row>
    <row r="4933" spans="1:14" x14ac:dyDescent="0.25">
      <c r="A4933" s="8">
        <v>995019</v>
      </c>
      <c r="B4933" s="22" t="str">
        <f>IFERROR(VLOOKUP(A4933,VLOOKUPS!$A$2:B$12589,2,FALSE),"")</f>
        <v>RTE Large Santa Fe Salad 14oz-standard</v>
      </c>
      <c r="E4933">
        <v>5.34</v>
      </c>
      <c r="F4933">
        <v>3.2</v>
      </c>
      <c r="G4933" s="13">
        <v>44751</v>
      </c>
      <c r="H4933" s="13">
        <v>44752</v>
      </c>
      <c r="I4933" s="22" t="str">
        <f>VLOOKUP(J4933, Dropdowns!N:O, 2, FALSE)</f>
        <v>Lower Price</v>
      </c>
      <c r="J4933" t="s">
        <v>759</v>
      </c>
      <c r="L4933" s="17" t="s">
        <v>733</v>
      </c>
      <c r="M4933" s="17" t="s">
        <v>11</v>
      </c>
      <c r="N4933" s="17" t="s">
        <v>740</v>
      </c>
    </row>
    <row r="4934" spans="1:14" x14ac:dyDescent="0.25">
      <c r="A4934" s="8">
        <v>995019</v>
      </c>
      <c r="B4934" s="22" t="str">
        <f>IFERROR(VLOOKUP(A4934,VLOOKUPS!$A$2:B$12589,2,FALSE),"")</f>
        <v>RTE Large Santa Fe Salad 14oz-standard</v>
      </c>
      <c r="E4934">
        <v>3.2</v>
      </c>
      <c r="F4934">
        <v>5.34</v>
      </c>
      <c r="G4934" s="13">
        <v>44753</v>
      </c>
      <c r="H4934" s="13"/>
      <c r="I4934" s="22" t="str">
        <f>VLOOKUP(J4934, Dropdowns!N:O, 2, FALSE)</f>
        <v>Standard</v>
      </c>
      <c r="J4934" t="s">
        <v>760</v>
      </c>
      <c r="L4934" s="17" t="s">
        <v>733</v>
      </c>
      <c r="M4934" s="17" t="s">
        <v>11</v>
      </c>
      <c r="N4934" s="17" t="s">
        <v>740</v>
      </c>
    </row>
    <row r="4935" spans="1:14" x14ac:dyDescent="0.25">
      <c r="A4935" s="8">
        <v>995136</v>
      </c>
      <c r="B4935" s="22" t="str">
        <f>IFERROR(VLOOKUP(A4935,VLOOKUPS!$A$2:B$12589,2,FALSE),"")</f>
        <v>Baby Spinach 11oz-standard</v>
      </c>
      <c r="D4935">
        <v>6</v>
      </c>
      <c r="F4935">
        <v>3.98</v>
      </c>
      <c r="G4935" s="13">
        <v>44751</v>
      </c>
      <c r="H4935" s="13"/>
      <c r="I4935" s="22" t="str">
        <f>VLOOKUP(J4935, Dropdowns!N:O, 2, FALSE)</f>
        <v>NA</v>
      </c>
      <c r="J4935" t="s">
        <v>754</v>
      </c>
      <c r="L4935" s="17" t="s">
        <v>732</v>
      </c>
      <c r="M4935" s="17" t="s">
        <v>736</v>
      </c>
      <c r="N4935" s="17" t="s">
        <v>736</v>
      </c>
    </row>
    <row r="4936" spans="1:14" x14ac:dyDescent="0.25">
      <c r="A4936" s="8">
        <v>995147</v>
      </c>
      <c r="B4936" s="22" t="str">
        <f>IFERROR(VLOOKUP(A4936,VLOOKUPS!$A$2:B$12589,2,FALSE),"")</f>
        <v>Celery Sticks 1.25lb-standard</v>
      </c>
      <c r="E4936">
        <v>2.84</v>
      </c>
      <c r="F4936">
        <v>1.7</v>
      </c>
      <c r="G4936" s="13">
        <v>44754</v>
      </c>
      <c r="H4936" s="13">
        <v>44755</v>
      </c>
      <c r="I4936" s="22" t="str">
        <f>VLOOKUP(J4936, Dropdowns!N:O, 2, FALSE)</f>
        <v>Lower Price</v>
      </c>
      <c r="J4936" t="s">
        <v>759</v>
      </c>
      <c r="L4936" s="17" t="s">
        <v>733</v>
      </c>
      <c r="M4936" s="17" t="s">
        <v>11</v>
      </c>
      <c r="N4936" s="17" t="s">
        <v>740</v>
      </c>
    </row>
    <row r="4937" spans="1:14" x14ac:dyDescent="0.25">
      <c r="A4937" s="8">
        <v>995147</v>
      </c>
      <c r="B4937" s="22" t="str">
        <f>IFERROR(VLOOKUP(A4937,VLOOKUPS!$A$2:B$12589,2,FALSE),"")</f>
        <v>Celery Sticks 1.25lb-standard</v>
      </c>
      <c r="E4937">
        <v>1.7</v>
      </c>
      <c r="F4937">
        <v>2.84</v>
      </c>
      <c r="G4937" s="13">
        <v>44756</v>
      </c>
      <c r="H4937" s="13"/>
      <c r="I4937" s="22" t="str">
        <f>VLOOKUP(J4937, Dropdowns!N:O, 2, FALSE)</f>
        <v>Standard</v>
      </c>
      <c r="J4937" t="s">
        <v>760</v>
      </c>
      <c r="L4937" s="17" t="s">
        <v>733</v>
      </c>
      <c r="M4937" s="17" t="s">
        <v>11</v>
      </c>
      <c r="N4937" s="17" t="s">
        <v>740</v>
      </c>
    </row>
    <row r="4938" spans="1:14" x14ac:dyDescent="0.25">
      <c r="A4938" s="8">
        <v>984700</v>
      </c>
      <c r="B4938" s="22" t="str">
        <f>IFERROR(VLOOKUP(A4938,VLOOKUPS!$A$2:B$12589,2,FALSE),"")</f>
        <v>Blackberries 6oz-standard</v>
      </c>
      <c r="G4938" s="13">
        <v>44754</v>
      </c>
      <c r="H4938" s="13">
        <v>44754</v>
      </c>
      <c r="I4938" s="22" t="str">
        <f>VLOOKUP(J4938, Dropdowns!N:O, 2, FALSE)</f>
        <v>Lower Price</v>
      </c>
      <c r="J4938" t="s">
        <v>762</v>
      </c>
      <c r="L4938" s="17" t="s">
        <v>732</v>
      </c>
      <c r="M4938" s="17" t="s">
        <v>736</v>
      </c>
      <c r="N4938" s="17" t="s">
        <v>736</v>
      </c>
    </row>
    <row r="4939" spans="1:14" x14ac:dyDescent="0.25">
      <c r="A4939" s="8">
        <v>985760</v>
      </c>
      <c r="B4939" s="22" t="str">
        <f>IFERROR(VLOOKUP(A4939,VLOOKUPS!$A$2:B$12589,2,FALSE),"")</f>
        <v>Asparagus 1lb-standard</v>
      </c>
      <c r="G4939" s="13">
        <v>44755</v>
      </c>
      <c r="H4939" s="13">
        <v>44761</v>
      </c>
      <c r="I4939" s="22" t="str">
        <f>VLOOKUP(J4939, Dropdowns!N:O, 2, FALSE)</f>
        <v>Lower Price</v>
      </c>
      <c r="J4939" t="s">
        <v>753</v>
      </c>
      <c r="L4939" s="17" t="s">
        <v>732</v>
      </c>
      <c r="M4939" s="17" t="s">
        <v>736</v>
      </c>
      <c r="N4939" s="17" t="s">
        <v>736</v>
      </c>
    </row>
    <row r="4940" spans="1:14" x14ac:dyDescent="0.25">
      <c r="A4940" s="8">
        <v>984542</v>
      </c>
      <c r="B4940" s="22" t="str">
        <f>IFERROR(VLOOKUP(A4940,VLOOKUPS!$A$2:B$12589,2,FALSE),"")</f>
        <v>Blueberries 18oz-standard</v>
      </c>
      <c r="G4940" s="13">
        <v>44755</v>
      </c>
      <c r="H4940" s="13">
        <v>44761</v>
      </c>
      <c r="I4940" s="22" t="str">
        <f>VLOOKUP(J4940, Dropdowns!N:O, 2, FALSE)</f>
        <v>Lower Price</v>
      </c>
      <c r="J4940" t="s">
        <v>1081</v>
      </c>
      <c r="L4940" s="17" t="s">
        <v>732</v>
      </c>
      <c r="M4940" s="17" t="s">
        <v>736</v>
      </c>
      <c r="N4940" s="17" t="s">
        <v>736</v>
      </c>
    </row>
    <row r="4941" spans="1:14" x14ac:dyDescent="0.25">
      <c r="A4941" s="8">
        <v>984700</v>
      </c>
      <c r="B4941" s="22" t="str">
        <f>IFERROR(VLOOKUP(A4941,VLOOKUPS!$A$2:B$12589,2,FALSE),"")</f>
        <v>Blackberries 6oz-standard</v>
      </c>
      <c r="E4941">
        <v>1.79</v>
      </c>
      <c r="F4941">
        <v>2.88</v>
      </c>
      <c r="G4941" s="13">
        <v>44755</v>
      </c>
      <c r="H4941" s="13"/>
      <c r="I4941" s="22" t="str">
        <f>VLOOKUP(J4941, Dropdowns!N:O, 2, FALSE)</f>
        <v>Standard</v>
      </c>
      <c r="J4941" t="s">
        <v>760</v>
      </c>
      <c r="L4941" s="17" t="s">
        <v>733</v>
      </c>
      <c r="M4941" s="17" t="s">
        <v>736</v>
      </c>
      <c r="N4941" s="17" t="s">
        <v>740</v>
      </c>
    </row>
    <row r="4942" spans="1:14" x14ac:dyDescent="0.25">
      <c r="A4942" s="8">
        <v>984700</v>
      </c>
      <c r="B4942" s="22" t="str">
        <f>IFERROR(VLOOKUP(A4942,VLOOKUPS!$A$2:B$12589,2,FALSE),"")</f>
        <v>Blackberries 6oz-standard</v>
      </c>
      <c r="E4942">
        <v>1.79</v>
      </c>
      <c r="F4942">
        <v>2.88</v>
      </c>
      <c r="G4942" s="13">
        <v>44755</v>
      </c>
      <c r="H4942" s="13"/>
      <c r="I4942" s="22" t="str">
        <f>VLOOKUP(J4942, Dropdowns!N:O, 2, FALSE)</f>
        <v>Standard</v>
      </c>
      <c r="J4942" t="s">
        <v>760</v>
      </c>
      <c r="L4942" s="17" t="s">
        <v>734</v>
      </c>
      <c r="M4942" s="17" t="s">
        <v>10</v>
      </c>
      <c r="N4942" s="17">
        <v>2</v>
      </c>
    </row>
    <row r="4943" spans="1:14" x14ac:dyDescent="0.25">
      <c r="A4943" s="8">
        <v>984700</v>
      </c>
      <c r="B4943" s="22" t="str">
        <f>IFERROR(VLOOKUP(A4943,VLOOKUPS!$A$2:B$12589,2,FALSE),"")</f>
        <v>Blackberries 6oz-standard</v>
      </c>
      <c r="E4943">
        <v>1.99</v>
      </c>
      <c r="F4943">
        <v>3.19</v>
      </c>
      <c r="G4943" s="13">
        <v>44755</v>
      </c>
      <c r="H4943" s="13"/>
      <c r="I4943" s="22" t="str">
        <f>VLOOKUP(J4943, Dropdowns!N:O, 2, FALSE)</f>
        <v>Standard</v>
      </c>
      <c r="J4943" t="s">
        <v>760</v>
      </c>
      <c r="L4943" s="17" t="s">
        <v>734</v>
      </c>
      <c r="M4943" s="17" t="s">
        <v>9</v>
      </c>
      <c r="N4943" s="17" t="s">
        <v>736</v>
      </c>
    </row>
    <row r="4944" spans="1:14" x14ac:dyDescent="0.25">
      <c r="A4944" s="8">
        <v>984700</v>
      </c>
      <c r="B4944" s="22" t="str">
        <f>IFERROR(VLOOKUP(A4944,VLOOKUPS!$A$2:B$12589,2,FALSE),"")</f>
        <v>Blackberries 6oz-standard</v>
      </c>
      <c r="E4944">
        <v>3.19</v>
      </c>
      <c r="F4944">
        <v>3.49</v>
      </c>
      <c r="G4944" s="13">
        <v>44756</v>
      </c>
      <c r="H4944" s="13"/>
      <c r="I4944" s="22" t="str">
        <f>VLOOKUP(J4944, Dropdowns!N:O, 2, FALSE)</f>
        <v>Standard</v>
      </c>
      <c r="J4944" t="s">
        <v>761</v>
      </c>
      <c r="L4944" s="17" t="s">
        <v>734</v>
      </c>
      <c r="M4944" s="17" t="s">
        <v>9</v>
      </c>
      <c r="N4944" s="17" t="s">
        <v>736</v>
      </c>
    </row>
    <row r="4945" spans="1:14" x14ac:dyDescent="0.25">
      <c r="A4945" s="8">
        <v>984700</v>
      </c>
      <c r="B4945" s="22" t="str">
        <f>IFERROR(VLOOKUP(A4945,VLOOKUPS!$A$2:B$12589,2,FALSE),"")</f>
        <v>Blackberries 6oz-standard</v>
      </c>
      <c r="E4945">
        <v>2.88</v>
      </c>
      <c r="F4945">
        <v>2.1800000000000002</v>
      </c>
      <c r="G4945" s="13">
        <v>44756</v>
      </c>
      <c r="H4945" s="13"/>
      <c r="I4945" s="22" t="str">
        <f>VLOOKUP(J4945, Dropdowns!N:O, 2, FALSE)</f>
        <v>Standard</v>
      </c>
      <c r="J4945" t="s">
        <v>761</v>
      </c>
      <c r="L4945" s="17" t="s">
        <v>733</v>
      </c>
      <c r="M4945" s="17" t="s">
        <v>736</v>
      </c>
      <c r="N4945" s="17" t="s">
        <v>740</v>
      </c>
    </row>
    <row r="4946" spans="1:14" x14ac:dyDescent="0.25">
      <c r="A4946" s="8">
        <v>984460</v>
      </c>
      <c r="B4946" s="22" t="str">
        <f>IFERROR(VLOOKUP(A4946,VLOOKUPS!$A$2:B$12589,2,FALSE),"")</f>
        <v>Strawberries 1lb-standard</v>
      </c>
      <c r="E4946">
        <v>1.29</v>
      </c>
      <c r="F4946">
        <v>2.29</v>
      </c>
      <c r="G4946" s="13">
        <v>44755</v>
      </c>
      <c r="H4946" s="13"/>
      <c r="I4946" s="22" t="str">
        <f>VLOOKUP(J4946, Dropdowns!N:O, 2, FALSE)</f>
        <v>Standard</v>
      </c>
      <c r="J4946" t="s">
        <v>760</v>
      </c>
      <c r="L4946" s="17" t="s">
        <v>733</v>
      </c>
      <c r="M4946" s="17" t="s">
        <v>9</v>
      </c>
      <c r="N4946" s="17" t="s">
        <v>740</v>
      </c>
    </row>
    <row r="4947" spans="1:14" x14ac:dyDescent="0.25">
      <c r="A4947" s="8">
        <v>984460</v>
      </c>
      <c r="B4947" s="22" t="str">
        <f>IFERROR(VLOOKUP(A4947,VLOOKUPS!$A$2:B$12589,2,FALSE),"")</f>
        <v>Strawberries 1lb-standard</v>
      </c>
      <c r="E4947">
        <v>1.99</v>
      </c>
      <c r="F4947">
        <v>2.99</v>
      </c>
      <c r="G4947" s="13">
        <v>44755</v>
      </c>
      <c r="H4947" s="13"/>
      <c r="I4947" s="22" t="str">
        <f>VLOOKUP(J4947, Dropdowns!N:O, 2, FALSE)</f>
        <v>Standard</v>
      </c>
      <c r="J4947" t="s">
        <v>760</v>
      </c>
      <c r="L4947" s="17" t="s">
        <v>734</v>
      </c>
      <c r="M4947" s="17" t="s">
        <v>9</v>
      </c>
      <c r="N4947" s="17" t="s">
        <v>736</v>
      </c>
    </row>
    <row r="4948" spans="1:14" x14ac:dyDescent="0.25">
      <c r="A4948" s="8">
        <v>984460</v>
      </c>
      <c r="B4948" s="22" t="str">
        <f>IFERROR(VLOOKUP(A4948,VLOOKUPS!$A$2:B$12589,2,FALSE),"")</f>
        <v>Strawberries 1lb-standard</v>
      </c>
      <c r="G4948" s="13">
        <v>44755</v>
      </c>
      <c r="H4948" s="13">
        <v>44756</v>
      </c>
      <c r="I4948" s="22" t="str">
        <f>VLOOKUP(J4948, Dropdowns!N:O, 2, FALSE)</f>
        <v>Lower Price</v>
      </c>
      <c r="J4948" t="s">
        <v>762</v>
      </c>
      <c r="L4948" s="17" t="s">
        <v>732</v>
      </c>
      <c r="M4948" s="17" t="s">
        <v>738</v>
      </c>
      <c r="N4948" s="17">
        <v>2</v>
      </c>
    </row>
    <row r="4949" spans="1:14" x14ac:dyDescent="0.25">
      <c r="A4949" s="8">
        <v>995000</v>
      </c>
      <c r="B4949" s="22" t="str">
        <f>IFERROR(VLOOKUP(A4949,VLOOKUPS!$A$2:B$12589,2,FALSE),"")</f>
        <v>Spring Mix 5oz-standard</v>
      </c>
      <c r="E4949">
        <v>2.73</v>
      </c>
      <c r="F4949">
        <v>1.64</v>
      </c>
      <c r="G4949" s="13">
        <v>44756</v>
      </c>
      <c r="H4949" s="13">
        <v>44757</v>
      </c>
      <c r="I4949" s="22" t="str">
        <f>VLOOKUP(J4949, Dropdowns!N:O, 2, FALSE)</f>
        <v>Lower Price</v>
      </c>
      <c r="J4949" t="s">
        <v>759</v>
      </c>
      <c r="L4949" s="17" t="s">
        <v>733</v>
      </c>
      <c r="M4949" s="17" t="s">
        <v>10</v>
      </c>
      <c r="N4949" s="17" t="s">
        <v>740</v>
      </c>
    </row>
    <row r="4950" spans="1:14" x14ac:dyDescent="0.25">
      <c r="A4950" s="8">
        <v>995000</v>
      </c>
      <c r="B4950" s="22" t="str">
        <f>IFERROR(VLOOKUP(A4950,VLOOKUPS!$A$2:B$12589,2,FALSE),"")</f>
        <v>Spring Mix 5oz-standard</v>
      </c>
      <c r="E4950">
        <v>1.64</v>
      </c>
      <c r="F4950">
        <v>2.73</v>
      </c>
      <c r="G4950" s="13">
        <v>44758</v>
      </c>
      <c r="H4950" s="13"/>
      <c r="I4950" s="22" t="str">
        <f>VLOOKUP(J4950, Dropdowns!N:O, 2, FALSE)</f>
        <v>Standard</v>
      </c>
      <c r="J4950" t="s">
        <v>760</v>
      </c>
      <c r="L4950" s="17" t="s">
        <v>733</v>
      </c>
      <c r="M4950" s="17" t="s">
        <v>10</v>
      </c>
      <c r="N4950" s="17" t="s">
        <v>740</v>
      </c>
    </row>
    <row r="4951" spans="1:14" x14ac:dyDescent="0.25">
      <c r="A4951" s="8">
        <v>995078</v>
      </c>
      <c r="B4951" s="22" t="str">
        <f>IFERROR(VLOOKUP(A4951,VLOOKUPS!$A$2:B$12589,2,FALSE),"")</f>
        <v>Organic Baby Spinach 16oz-standard</v>
      </c>
      <c r="E4951">
        <v>4.9800000000000004</v>
      </c>
      <c r="F4951">
        <v>2.99</v>
      </c>
      <c r="G4951" s="13">
        <v>44756</v>
      </c>
      <c r="H4951" s="13">
        <v>44757</v>
      </c>
      <c r="I4951" s="22" t="str">
        <f>VLOOKUP(J4951, Dropdowns!N:O, 2, FALSE)</f>
        <v>Lower Price</v>
      </c>
      <c r="J4951" t="s">
        <v>759</v>
      </c>
      <c r="L4951" s="17" t="s">
        <v>733</v>
      </c>
      <c r="M4951" s="17" t="s">
        <v>11</v>
      </c>
      <c r="N4951" s="17" t="s">
        <v>740</v>
      </c>
    </row>
    <row r="4952" spans="1:14" x14ac:dyDescent="0.25">
      <c r="A4952" s="8">
        <v>995078</v>
      </c>
      <c r="B4952" s="22" t="str">
        <f>IFERROR(VLOOKUP(A4952,VLOOKUPS!$A$2:B$12589,2,FALSE),"")</f>
        <v>Organic Baby Spinach 16oz-standard</v>
      </c>
      <c r="E4952">
        <v>2.99</v>
      </c>
      <c r="F4952">
        <v>4.9800000000000004</v>
      </c>
      <c r="G4952" s="13">
        <v>44758</v>
      </c>
      <c r="H4952" s="13"/>
      <c r="I4952" s="22" t="str">
        <f>VLOOKUP(J4952, Dropdowns!N:O, 2, FALSE)</f>
        <v>Standard</v>
      </c>
      <c r="J4952" t="s">
        <v>760</v>
      </c>
      <c r="L4952" s="17" t="s">
        <v>733</v>
      </c>
      <c r="M4952" s="17" t="s">
        <v>11</v>
      </c>
      <c r="N4952" s="17" t="s">
        <v>740</v>
      </c>
    </row>
    <row r="4953" spans="1:14" x14ac:dyDescent="0.25">
      <c r="A4953" s="8">
        <v>995085</v>
      </c>
      <c r="B4953" s="22" t="str">
        <f>IFERROR(VLOOKUP(A4953,VLOOKUPS!$A$2:B$12589,2,FALSE),"")</f>
        <v>Sugar Snap Peas 8oz-standard</v>
      </c>
      <c r="E4953">
        <v>2.78</v>
      </c>
      <c r="F4953">
        <v>1.67</v>
      </c>
      <c r="G4953" s="13">
        <v>44756</v>
      </c>
      <c r="H4953" s="13">
        <v>44757</v>
      </c>
      <c r="I4953" s="22" t="str">
        <f>VLOOKUP(J4953, Dropdowns!N:O, 2, FALSE)</f>
        <v>Lower Price</v>
      </c>
      <c r="J4953" t="s">
        <v>759</v>
      </c>
      <c r="L4953" s="17" t="s">
        <v>733</v>
      </c>
      <c r="M4953" s="17" t="s">
        <v>735</v>
      </c>
      <c r="N4953" s="17" t="s">
        <v>740</v>
      </c>
    </row>
    <row r="4954" spans="1:14" x14ac:dyDescent="0.25">
      <c r="A4954" s="8">
        <v>995085</v>
      </c>
      <c r="B4954" s="22" t="str">
        <f>IFERROR(VLOOKUP(A4954,VLOOKUPS!$A$2:B$12589,2,FALSE),"")</f>
        <v>Sugar Snap Peas 8oz-standard</v>
      </c>
      <c r="E4954">
        <v>1.67</v>
      </c>
      <c r="F4954">
        <v>2.78</v>
      </c>
      <c r="G4954" s="13">
        <v>44758</v>
      </c>
      <c r="H4954" s="13"/>
      <c r="I4954" s="22" t="str">
        <f>VLOOKUP(J4954, Dropdowns!N:O, 2, FALSE)</f>
        <v>Standard</v>
      </c>
      <c r="J4954" t="s">
        <v>760</v>
      </c>
      <c r="L4954" s="17" t="s">
        <v>733</v>
      </c>
      <c r="M4954" s="17" t="s">
        <v>735</v>
      </c>
      <c r="N4954" s="17" t="s">
        <v>740</v>
      </c>
    </row>
    <row r="4955" spans="1:14" x14ac:dyDescent="0.25">
      <c r="A4955" s="8">
        <v>995184</v>
      </c>
      <c r="B4955" s="22" t="str">
        <f>IFERROR(VLOOKUP(A4955,VLOOKUPS!$A$2:B$12589,2,FALSE),"")</f>
        <v>English Peas 8oz-standard</v>
      </c>
      <c r="E4955">
        <v>2.5</v>
      </c>
      <c r="F4955">
        <v>1.5</v>
      </c>
      <c r="G4955" s="13">
        <v>44756</v>
      </c>
      <c r="H4955" s="13">
        <v>44757</v>
      </c>
      <c r="I4955" s="22" t="str">
        <f>VLOOKUP(J4955, Dropdowns!N:O, 2, FALSE)</f>
        <v>Lower Price</v>
      </c>
      <c r="J4955" t="s">
        <v>759</v>
      </c>
      <c r="L4955" s="17" t="s">
        <v>733</v>
      </c>
      <c r="M4955" s="17" t="s">
        <v>10</v>
      </c>
      <c r="N4955" s="17" t="s">
        <v>740</v>
      </c>
    </row>
    <row r="4956" spans="1:14" x14ac:dyDescent="0.25">
      <c r="A4956" s="8">
        <v>995184</v>
      </c>
      <c r="B4956" s="22" t="str">
        <f>IFERROR(VLOOKUP(A4956,VLOOKUPS!$A$2:B$12589,2,FALSE),"")</f>
        <v>English Peas 8oz-standard</v>
      </c>
      <c r="E4956">
        <v>1.5</v>
      </c>
      <c r="F4956">
        <v>2.5</v>
      </c>
      <c r="G4956" s="13">
        <v>44758</v>
      </c>
      <c r="H4956" s="13"/>
      <c r="I4956" s="22" t="str">
        <f>VLOOKUP(J4956, Dropdowns!N:O, 2, FALSE)</f>
        <v>Standard</v>
      </c>
      <c r="J4956" t="s">
        <v>760</v>
      </c>
      <c r="L4956" s="17" t="s">
        <v>733</v>
      </c>
      <c r="M4956" s="17" t="s">
        <v>10</v>
      </c>
      <c r="N4956" s="17" t="s">
        <v>740</v>
      </c>
    </row>
    <row r="4957" spans="1:14" x14ac:dyDescent="0.25">
      <c r="A4957" s="8">
        <v>984700</v>
      </c>
      <c r="B4957" s="22" t="str">
        <f>IFERROR(VLOOKUP(A4957,VLOOKUPS!$A$2:B$12589,2,FALSE),"")</f>
        <v>Blackberries 6oz-standard</v>
      </c>
      <c r="E4957">
        <v>2.1800000000000002</v>
      </c>
      <c r="F4957">
        <v>2.38</v>
      </c>
      <c r="G4957" s="13">
        <v>44757</v>
      </c>
      <c r="H4957" s="13"/>
      <c r="I4957" s="22" t="str">
        <f>VLOOKUP(J4957, Dropdowns!N:O, 2, FALSE)</f>
        <v>Standard</v>
      </c>
      <c r="J4957" t="s">
        <v>761</v>
      </c>
      <c r="L4957" s="17" t="s">
        <v>733</v>
      </c>
      <c r="M4957" s="17" t="s">
        <v>736</v>
      </c>
      <c r="N4957" s="17" t="s">
        <v>740</v>
      </c>
    </row>
    <row r="4958" spans="1:14" x14ac:dyDescent="0.25">
      <c r="A4958" s="8">
        <v>984700</v>
      </c>
      <c r="B4958" s="22" t="str">
        <f>IFERROR(VLOOKUP(A4958,VLOOKUPS!$A$2:B$12589,2,FALSE),"")</f>
        <v>Blackberries 6oz-standard</v>
      </c>
      <c r="E4958">
        <v>2.88</v>
      </c>
      <c r="F4958">
        <v>2.38</v>
      </c>
      <c r="G4958" s="13">
        <v>44757</v>
      </c>
      <c r="H4958" s="13"/>
      <c r="I4958" s="22" t="str">
        <f>VLOOKUP(J4958, Dropdowns!N:O, 2, FALSE)</f>
        <v>Standard</v>
      </c>
      <c r="J4958" t="s">
        <v>761</v>
      </c>
      <c r="L4958" s="17" t="s">
        <v>734</v>
      </c>
      <c r="M4958" s="17" t="s">
        <v>10</v>
      </c>
      <c r="N4958" s="17">
        <v>2</v>
      </c>
    </row>
    <row r="4959" spans="1:14" x14ac:dyDescent="0.25">
      <c r="A4959" s="8">
        <v>984702</v>
      </c>
      <c r="B4959" s="22" t="str">
        <f>IFERROR(VLOOKUP(A4959,VLOOKUPS!$A$2:B$12589,2,FALSE),"")</f>
        <v>Blackberries 12oz-standard</v>
      </c>
      <c r="E4959">
        <v>4.16</v>
      </c>
      <c r="F4959">
        <v>4.58</v>
      </c>
      <c r="G4959" s="13">
        <v>44757</v>
      </c>
      <c r="H4959" s="13"/>
      <c r="I4959" s="22" t="str">
        <f>VLOOKUP(J4959, Dropdowns!N:O, 2, FALSE)</f>
        <v>Standard</v>
      </c>
      <c r="J4959" t="s">
        <v>761</v>
      </c>
      <c r="L4959" s="17" t="s">
        <v>733</v>
      </c>
      <c r="M4959" s="17" t="s">
        <v>736</v>
      </c>
      <c r="N4959" s="17" t="s">
        <v>740</v>
      </c>
    </row>
    <row r="4960" spans="1:14" x14ac:dyDescent="0.25">
      <c r="A4960" s="8">
        <v>984702</v>
      </c>
      <c r="B4960" s="22" t="str">
        <f>IFERROR(VLOOKUP(A4960,VLOOKUPS!$A$2:B$12589,2,FALSE),"")</f>
        <v>Blackberries 12oz-standard</v>
      </c>
      <c r="E4960">
        <v>4.16</v>
      </c>
      <c r="F4960">
        <v>4.58</v>
      </c>
      <c r="G4960" s="13">
        <v>44757</v>
      </c>
      <c r="H4960" s="13"/>
      <c r="I4960" s="22" t="str">
        <f>VLOOKUP(J4960, Dropdowns!N:O, 2, FALSE)</f>
        <v>Standard</v>
      </c>
      <c r="J4960" t="s">
        <v>761</v>
      </c>
      <c r="L4960" s="17" t="s">
        <v>734</v>
      </c>
      <c r="M4960" s="17" t="s">
        <v>10</v>
      </c>
      <c r="N4960" s="17">
        <v>2</v>
      </c>
    </row>
    <row r="4961" spans="1:14" x14ac:dyDescent="0.25">
      <c r="A4961" s="8">
        <v>988571</v>
      </c>
      <c r="B4961" s="22" t="str">
        <f>IFERROR(VLOOKUP(A4961,VLOOKUPS!$A$2:B$12589,2,FALSE),"")</f>
        <v>Cauliflower* 1ct-LOOSE</v>
      </c>
      <c r="E4961">
        <v>2.69</v>
      </c>
      <c r="F4961">
        <v>1.61</v>
      </c>
      <c r="G4961" s="13">
        <v>44757</v>
      </c>
      <c r="H4961" s="13">
        <v>44758</v>
      </c>
      <c r="I4961" s="22" t="str">
        <f>VLOOKUP(J4961, Dropdowns!N:O, 2, FALSE)</f>
        <v>Lower Price</v>
      </c>
      <c r="J4961" t="s">
        <v>759</v>
      </c>
      <c r="L4961" s="17" t="s">
        <v>733</v>
      </c>
      <c r="M4961" s="17" t="s">
        <v>9</v>
      </c>
      <c r="N4961" s="17" t="s">
        <v>740</v>
      </c>
    </row>
    <row r="4962" spans="1:14" x14ac:dyDescent="0.25">
      <c r="A4962" s="8">
        <v>988571</v>
      </c>
      <c r="B4962" s="22" t="str">
        <f>IFERROR(VLOOKUP(A4962,VLOOKUPS!$A$2:B$12589,2,FALSE),"")</f>
        <v>Cauliflower* 1ct-LOOSE</v>
      </c>
      <c r="E4962">
        <v>1.61</v>
      </c>
      <c r="F4962">
        <v>2.69</v>
      </c>
      <c r="G4962" s="13">
        <v>44759</v>
      </c>
      <c r="H4962" s="13"/>
      <c r="I4962" s="22" t="str">
        <f>VLOOKUP(J4962, Dropdowns!N:O, 2, FALSE)</f>
        <v>Standard</v>
      </c>
      <c r="J4962" t="s">
        <v>760</v>
      </c>
      <c r="L4962" s="17" t="s">
        <v>733</v>
      </c>
      <c r="M4962" s="17" t="s">
        <v>9</v>
      </c>
      <c r="N4962" s="17" t="s">
        <v>740</v>
      </c>
    </row>
    <row r="4963" spans="1:14" x14ac:dyDescent="0.25">
      <c r="A4963" s="8">
        <v>995008</v>
      </c>
      <c r="B4963" s="22" t="str">
        <f>IFERROR(VLOOKUP(A4963,VLOOKUPS!$A$2:B$12589,2,FALSE),"")</f>
        <v>Shredded Lettuce 8oz-standard</v>
      </c>
      <c r="E4963">
        <v>1.95</v>
      </c>
      <c r="F4963">
        <v>1.17</v>
      </c>
      <c r="G4963" s="13">
        <v>44757</v>
      </c>
      <c r="H4963" s="13">
        <v>44758</v>
      </c>
      <c r="I4963" s="22" t="str">
        <f>VLOOKUP(J4963, Dropdowns!N:O, 2, FALSE)</f>
        <v>Lower Price</v>
      </c>
      <c r="J4963" t="s">
        <v>759</v>
      </c>
      <c r="L4963" s="17" t="s">
        <v>733</v>
      </c>
      <c r="M4963" s="17" t="s">
        <v>9</v>
      </c>
      <c r="N4963" s="17" t="s">
        <v>740</v>
      </c>
    </row>
    <row r="4964" spans="1:14" x14ac:dyDescent="0.25">
      <c r="A4964" s="8">
        <v>995008</v>
      </c>
      <c r="B4964" s="22" t="str">
        <f>IFERROR(VLOOKUP(A4964,VLOOKUPS!$A$2:B$12589,2,FALSE),"")</f>
        <v>Shredded Lettuce 8oz-standard</v>
      </c>
      <c r="E4964">
        <v>1.99</v>
      </c>
      <c r="F4964">
        <v>1.19</v>
      </c>
      <c r="G4964" s="13">
        <v>44757</v>
      </c>
      <c r="H4964" s="13">
        <v>44758</v>
      </c>
      <c r="I4964" s="22" t="str">
        <f>VLOOKUP(J4964, Dropdowns!N:O, 2, FALSE)</f>
        <v>Lower Price</v>
      </c>
      <c r="J4964" t="s">
        <v>759</v>
      </c>
      <c r="L4964" s="17" t="s">
        <v>734</v>
      </c>
      <c r="M4964" s="17" t="s">
        <v>9</v>
      </c>
      <c r="N4964" s="17" t="s">
        <v>736</v>
      </c>
    </row>
    <row r="4965" spans="1:14" x14ac:dyDescent="0.25">
      <c r="A4965" s="8">
        <v>995008</v>
      </c>
      <c r="B4965" s="22" t="str">
        <f>IFERROR(VLOOKUP(A4965,VLOOKUPS!$A$2:B$12589,2,FALSE),"")</f>
        <v>Shredded Lettuce 8oz-standard</v>
      </c>
      <c r="E4965">
        <v>1.17</v>
      </c>
      <c r="F4965">
        <v>1.95</v>
      </c>
      <c r="G4965" s="13">
        <v>44759</v>
      </c>
      <c r="H4965" s="13"/>
      <c r="I4965" s="22" t="str">
        <f>VLOOKUP(J4965, Dropdowns!N:O, 2, FALSE)</f>
        <v>Standard</v>
      </c>
      <c r="J4965" t="s">
        <v>760</v>
      </c>
      <c r="L4965" s="17" t="s">
        <v>733</v>
      </c>
      <c r="M4965" s="17" t="s">
        <v>9</v>
      </c>
      <c r="N4965" s="17" t="s">
        <v>740</v>
      </c>
    </row>
    <row r="4966" spans="1:14" x14ac:dyDescent="0.25">
      <c r="A4966" s="8">
        <v>995008</v>
      </c>
      <c r="B4966" s="22" t="str">
        <f>IFERROR(VLOOKUP(A4966,VLOOKUPS!$A$2:B$12589,2,FALSE),"")</f>
        <v>Shredded Lettuce 8oz-standard</v>
      </c>
      <c r="E4966">
        <v>1.19</v>
      </c>
      <c r="F4966">
        <v>1.99</v>
      </c>
      <c r="G4966" s="13">
        <v>44759</v>
      </c>
      <c r="H4966" s="13"/>
      <c r="I4966" s="22" t="str">
        <f>VLOOKUP(J4966, Dropdowns!N:O, 2, FALSE)</f>
        <v>Standard</v>
      </c>
      <c r="J4966" t="s">
        <v>760</v>
      </c>
      <c r="L4966" s="17" t="s">
        <v>734</v>
      </c>
      <c r="M4966" s="17" t="s">
        <v>9</v>
      </c>
      <c r="N4966" s="17" t="s">
        <v>736</v>
      </c>
    </row>
    <row r="4967" spans="1:14" x14ac:dyDescent="0.25">
      <c r="A4967" s="8">
        <v>995012</v>
      </c>
      <c r="B4967" s="22" t="str">
        <f>IFERROR(VLOOKUP(A4967,VLOOKUPS!$A$2:B$12589,2,FALSE),"")</f>
        <v>RTE Cranberry Walnut Salad 4.5oz-standard</v>
      </c>
      <c r="E4967">
        <v>3.27</v>
      </c>
      <c r="F4967">
        <v>1.96</v>
      </c>
      <c r="G4967" s="13">
        <v>44757</v>
      </c>
      <c r="H4967" s="13">
        <v>44758</v>
      </c>
      <c r="I4967" s="22" t="str">
        <f>VLOOKUP(J4967, Dropdowns!N:O, 2, FALSE)</f>
        <v>Lower Price</v>
      </c>
      <c r="J4967" t="s">
        <v>759</v>
      </c>
      <c r="L4967" s="17" t="s">
        <v>733</v>
      </c>
      <c r="M4967" s="17" t="s">
        <v>9</v>
      </c>
      <c r="N4967" s="17" t="s">
        <v>740</v>
      </c>
    </row>
    <row r="4968" spans="1:14" x14ac:dyDescent="0.25">
      <c r="A4968" s="8">
        <v>995012</v>
      </c>
      <c r="B4968" s="22" t="str">
        <f>IFERROR(VLOOKUP(A4968,VLOOKUPS!$A$2:B$12589,2,FALSE),"")</f>
        <v>RTE Cranberry Walnut Salad 4.5oz-standard</v>
      </c>
      <c r="E4968">
        <v>3.79</v>
      </c>
      <c r="F4968">
        <v>2.27</v>
      </c>
      <c r="G4968" s="13">
        <v>44757</v>
      </c>
      <c r="H4968" s="13">
        <v>44758</v>
      </c>
      <c r="I4968" s="22" t="str">
        <f>VLOOKUP(J4968, Dropdowns!N:O, 2, FALSE)</f>
        <v>Lower Price</v>
      </c>
      <c r="J4968" t="s">
        <v>759</v>
      </c>
      <c r="L4968" s="17" t="s">
        <v>734</v>
      </c>
      <c r="M4968" s="17" t="s">
        <v>9</v>
      </c>
      <c r="N4968" s="17" t="s">
        <v>736</v>
      </c>
    </row>
    <row r="4969" spans="1:14" x14ac:dyDescent="0.25">
      <c r="A4969" s="8">
        <v>995012</v>
      </c>
      <c r="B4969" s="22" t="str">
        <f>IFERROR(VLOOKUP(A4969,VLOOKUPS!$A$2:B$12589,2,FALSE),"")</f>
        <v>RTE Cranberry Walnut Salad 4.5oz-standard</v>
      </c>
      <c r="E4969">
        <v>1.96</v>
      </c>
      <c r="F4969">
        <v>3.27</v>
      </c>
      <c r="G4969" s="13">
        <v>44759</v>
      </c>
      <c r="H4969" s="13"/>
      <c r="I4969" s="22" t="str">
        <f>VLOOKUP(J4969, Dropdowns!N:O, 2, FALSE)</f>
        <v>Standard</v>
      </c>
      <c r="J4969" t="s">
        <v>760</v>
      </c>
      <c r="L4969" s="17" t="s">
        <v>733</v>
      </c>
      <c r="M4969" s="17" t="s">
        <v>9</v>
      </c>
      <c r="N4969" s="17" t="s">
        <v>740</v>
      </c>
    </row>
    <row r="4970" spans="1:14" x14ac:dyDescent="0.25">
      <c r="A4970" s="8">
        <v>995012</v>
      </c>
      <c r="B4970" s="22" t="str">
        <f>IFERROR(VLOOKUP(A4970,VLOOKUPS!$A$2:B$12589,2,FALSE),"")</f>
        <v>RTE Cranberry Walnut Salad 4.5oz-standard</v>
      </c>
      <c r="E4970">
        <v>2.27</v>
      </c>
      <c r="F4970">
        <v>3.79</v>
      </c>
      <c r="G4970" s="13">
        <v>44759</v>
      </c>
      <c r="H4970" s="13"/>
      <c r="I4970" s="22" t="str">
        <f>VLOOKUP(J4970, Dropdowns!N:O, 2, FALSE)</f>
        <v>Standard</v>
      </c>
      <c r="J4970" t="s">
        <v>760</v>
      </c>
      <c r="L4970" s="17" t="s">
        <v>734</v>
      </c>
      <c r="M4970" s="17" t="s">
        <v>9</v>
      </c>
      <c r="N4970" s="17" t="s">
        <v>736</v>
      </c>
    </row>
    <row r="4971" spans="1:14" x14ac:dyDescent="0.25">
      <c r="A4971" s="8">
        <v>995019</v>
      </c>
      <c r="B4971" s="22" t="str">
        <f>IFERROR(VLOOKUP(A4971,VLOOKUPS!$A$2:B$12589,2,FALSE),"")</f>
        <v>RTE Large Santa Fe Salad 14oz-standard</v>
      </c>
      <c r="E4971">
        <v>5.34</v>
      </c>
      <c r="F4971">
        <v>3.2</v>
      </c>
      <c r="G4971" s="13">
        <v>44757</v>
      </c>
      <c r="H4971" s="13">
        <v>44758</v>
      </c>
      <c r="I4971" s="22" t="str">
        <f>VLOOKUP(J4971, Dropdowns!N:O, 2, FALSE)</f>
        <v>Lower Price</v>
      </c>
      <c r="J4971" t="s">
        <v>759</v>
      </c>
      <c r="L4971" s="17" t="s">
        <v>733</v>
      </c>
      <c r="M4971" s="17" t="s">
        <v>9</v>
      </c>
      <c r="N4971" s="17" t="s">
        <v>740</v>
      </c>
    </row>
    <row r="4972" spans="1:14" x14ac:dyDescent="0.25">
      <c r="A4972" s="8">
        <v>995019</v>
      </c>
      <c r="B4972" s="22" t="str">
        <f>IFERROR(VLOOKUP(A4972,VLOOKUPS!$A$2:B$12589,2,FALSE),"")</f>
        <v>RTE Large Santa Fe Salad 14oz-standard</v>
      </c>
      <c r="E4972">
        <v>5.79</v>
      </c>
      <c r="F4972">
        <v>3.47</v>
      </c>
      <c r="G4972" s="13">
        <v>44757</v>
      </c>
      <c r="H4972" s="13">
        <v>44758</v>
      </c>
      <c r="I4972" s="22" t="str">
        <f>VLOOKUP(J4972, Dropdowns!N:O, 2, FALSE)</f>
        <v>Lower Price</v>
      </c>
      <c r="J4972" t="s">
        <v>759</v>
      </c>
      <c r="L4972" s="17" t="s">
        <v>734</v>
      </c>
      <c r="M4972" s="17" t="s">
        <v>9</v>
      </c>
      <c r="N4972" s="17" t="s">
        <v>736</v>
      </c>
    </row>
    <row r="4973" spans="1:14" x14ac:dyDescent="0.25">
      <c r="A4973" s="8">
        <v>995019</v>
      </c>
      <c r="B4973" s="22" t="str">
        <f>IFERROR(VLOOKUP(A4973,VLOOKUPS!$A$2:B$12589,2,FALSE),"")</f>
        <v>RTE Large Santa Fe Salad 14oz-standard</v>
      </c>
      <c r="E4973">
        <v>3.2</v>
      </c>
      <c r="F4973">
        <v>5.34</v>
      </c>
      <c r="G4973" s="13">
        <v>44759</v>
      </c>
      <c r="H4973" s="13"/>
      <c r="I4973" s="22" t="str">
        <f>VLOOKUP(J4973, Dropdowns!N:O, 2, FALSE)</f>
        <v>Standard</v>
      </c>
      <c r="J4973" t="s">
        <v>760</v>
      </c>
      <c r="L4973" s="17" t="s">
        <v>733</v>
      </c>
      <c r="M4973" s="17" t="s">
        <v>9</v>
      </c>
      <c r="N4973" s="17" t="s">
        <v>740</v>
      </c>
    </row>
    <row r="4974" spans="1:14" x14ac:dyDescent="0.25">
      <c r="A4974" s="8">
        <v>995019</v>
      </c>
      <c r="B4974" s="22" t="str">
        <f>IFERROR(VLOOKUP(A4974,VLOOKUPS!$A$2:B$12589,2,FALSE),"")</f>
        <v>RTE Large Santa Fe Salad 14oz-standard</v>
      </c>
      <c r="E4974">
        <v>3.47</v>
      </c>
      <c r="F4974">
        <v>5.79</v>
      </c>
      <c r="G4974" s="13">
        <v>44759</v>
      </c>
      <c r="H4974" s="13"/>
      <c r="I4974" s="22" t="str">
        <f>VLOOKUP(J4974, Dropdowns!N:O, 2, FALSE)</f>
        <v>Standard</v>
      </c>
      <c r="J4974" t="s">
        <v>760</v>
      </c>
      <c r="L4974" s="17" t="s">
        <v>734</v>
      </c>
      <c r="M4974" s="17" t="s">
        <v>9</v>
      </c>
      <c r="N4974" s="17" t="s">
        <v>736</v>
      </c>
    </row>
    <row r="4975" spans="1:14" x14ac:dyDescent="0.25">
      <c r="A4975" s="8">
        <v>995026</v>
      </c>
      <c r="B4975" s="22" t="str">
        <f>IFERROR(VLOOKUP(A4975,VLOOKUPS!$A$2:B$12589,2,FALSE),"")</f>
        <v>Baby Arugula 5oz-standard</v>
      </c>
      <c r="E4975">
        <v>2.29</v>
      </c>
      <c r="F4975">
        <v>1.37</v>
      </c>
      <c r="G4975" s="13">
        <v>44757</v>
      </c>
      <c r="H4975" s="13">
        <v>44758</v>
      </c>
      <c r="I4975" s="22" t="str">
        <f>VLOOKUP(J4975, Dropdowns!N:O, 2, FALSE)</f>
        <v>Lower Price</v>
      </c>
      <c r="J4975" t="s">
        <v>759</v>
      </c>
      <c r="L4975" s="17" t="s">
        <v>732</v>
      </c>
      <c r="M4975" s="17" t="s">
        <v>738</v>
      </c>
      <c r="N4975" s="17">
        <v>2</v>
      </c>
    </row>
    <row r="4976" spans="1:14" x14ac:dyDescent="0.25">
      <c r="A4976" s="8">
        <v>995026</v>
      </c>
      <c r="B4976" s="22" t="str">
        <f>IFERROR(VLOOKUP(A4976,VLOOKUPS!$A$2:B$12589,2,FALSE),"")</f>
        <v>Baby Arugula 5oz-standard</v>
      </c>
      <c r="E4976">
        <v>1.37</v>
      </c>
      <c r="F4976">
        <v>2.29</v>
      </c>
      <c r="G4976" s="13">
        <v>44759</v>
      </c>
      <c r="H4976" s="13"/>
      <c r="I4976" s="22" t="str">
        <f>VLOOKUP(J4976, Dropdowns!N:O, 2, FALSE)</f>
        <v>Standard</v>
      </c>
      <c r="J4976" t="s">
        <v>760</v>
      </c>
      <c r="L4976" s="17" t="s">
        <v>732</v>
      </c>
      <c r="M4976" s="17" t="s">
        <v>738</v>
      </c>
      <c r="N4976" s="17">
        <v>2</v>
      </c>
    </row>
    <row r="4977" spans="1:14" x14ac:dyDescent="0.25">
      <c r="A4977" s="8">
        <v>995032</v>
      </c>
      <c r="B4977" s="22" t="str">
        <f>IFERROR(VLOOKUP(A4977,VLOOKUPS!$A$2:B$12589,2,FALSE),"")</f>
        <v>Chopped Sunflower Crunch Kit 12.2oz-standard</v>
      </c>
      <c r="E4977">
        <v>3.49</v>
      </c>
      <c r="F4977">
        <v>2.09</v>
      </c>
      <c r="G4977" s="13">
        <v>44757</v>
      </c>
      <c r="H4977" s="13">
        <v>44758</v>
      </c>
      <c r="I4977" s="22" t="str">
        <f>VLOOKUP(J4977, Dropdowns!N:O, 2, FALSE)</f>
        <v>Lower Price</v>
      </c>
      <c r="J4977" t="s">
        <v>759</v>
      </c>
      <c r="L4977" s="17" t="s">
        <v>733</v>
      </c>
      <c r="M4977" s="17" t="s">
        <v>9</v>
      </c>
      <c r="N4977" s="17" t="s">
        <v>740</v>
      </c>
    </row>
    <row r="4978" spans="1:14" x14ac:dyDescent="0.25">
      <c r="A4978" s="8">
        <v>995032</v>
      </c>
      <c r="B4978" s="22" t="str">
        <f>IFERROR(VLOOKUP(A4978,VLOOKUPS!$A$2:B$12589,2,FALSE),"")</f>
        <v>Chopped Sunflower Crunch Kit 12.2oz-standard</v>
      </c>
      <c r="E4978">
        <v>3.79</v>
      </c>
      <c r="F4978">
        <v>2.27</v>
      </c>
      <c r="G4978" s="13">
        <v>44757</v>
      </c>
      <c r="H4978" s="13">
        <v>44758</v>
      </c>
      <c r="I4978" s="22" t="str">
        <f>VLOOKUP(J4978, Dropdowns!N:O, 2, FALSE)</f>
        <v>Lower Price</v>
      </c>
      <c r="J4978" t="s">
        <v>759</v>
      </c>
      <c r="L4978" s="17" t="s">
        <v>734</v>
      </c>
      <c r="M4978" s="17" t="s">
        <v>9</v>
      </c>
      <c r="N4978" s="17" t="s">
        <v>736</v>
      </c>
    </row>
    <row r="4979" spans="1:14" x14ac:dyDescent="0.25">
      <c r="A4979" s="8">
        <v>995032</v>
      </c>
      <c r="B4979" s="22" t="str">
        <f>IFERROR(VLOOKUP(A4979,VLOOKUPS!$A$2:B$12589,2,FALSE),"")</f>
        <v>Chopped Sunflower Crunch Kit 12.2oz-standard</v>
      </c>
      <c r="E4979">
        <v>2.09</v>
      </c>
      <c r="F4979">
        <v>3.49</v>
      </c>
      <c r="G4979" s="13">
        <v>44759</v>
      </c>
      <c r="H4979" s="13"/>
      <c r="I4979" s="22" t="str">
        <f>VLOOKUP(J4979, Dropdowns!N:O, 2, FALSE)</f>
        <v>Standard</v>
      </c>
      <c r="J4979" t="s">
        <v>760</v>
      </c>
      <c r="L4979" s="17" t="s">
        <v>733</v>
      </c>
      <c r="M4979" s="17" t="s">
        <v>9</v>
      </c>
      <c r="N4979" s="17" t="s">
        <v>740</v>
      </c>
    </row>
    <row r="4980" spans="1:14" x14ac:dyDescent="0.25">
      <c r="A4980" s="8">
        <v>995032</v>
      </c>
      <c r="B4980" s="22" t="str">
        <f>IFERROR(VLOOKUP(A4980,VLOOKUPS!$A$2:B$12589,2,FALSE),"")</f>
        <v>Chopped Sunflower Crunch Kit 12.2oz-standard</v>
      </c>
      <c r="E4980">
        <v>2.27</v>
      </c>
      <c r="F4980">
        <v>3.79</v>
      </c>
      <c r="G4980" s="13">
        <v>44759</v>
      </c>
      <c r="H4980" s="13"/>
      <c r="I4980" s="22" t="str">
        <f>VLOOKUP(J4980, Dropdowns!N:O, 2, FALSE)</f>
        <v>Standard</v>
      </c>
      <c r="J4980" t="s">
        <v>760</v>
      </c>
      <c r="L4980" s="17" t="s">
        <v>734</v>
      </c>
      <c r="M4980" s="17" t="s">
        <v>9</v>
      </c>
      <c r="N4980" s="17" t="s">
        <v>736</v>
      </c>
    </row>
    <row r="4981" spans="1:14" x14ac:dyDescent="0.25">
      <c r="A4981" s="8">
        <v>995195</v>
      </c>
      <c r="B4981" s="22" t="str">
        <f>IFERROR(VLOOKUP(A4981,VLOOKUPS!$A$2:B$12589,2,FALSE),"")</f>
        <v>Caesar Salad Kit 10oz-standard</v>
      </c>
      <c r="E4981">
        <v>2.99</v>
      </c>
      <c r="F4981">
        <v>1.79</v>
      </c>
      <c r="G4981" s="13">
        <v>44757</v>
      </c>
      <c r="H4981" s="13">
        <v>44758</v>
      </c>
      <c r="I4981" s="22" t="str">
        <f>VLOOKUP(J4981, Dropdowns!N:O, 2, FALSE)</f>
        <v>Lower Price</v>
      </c>
      <c r="J4981" t="s">
        <v>759</v>
      </c>
      <c r="L4981" s="17" t="s">
        <v>732</v>
      </c>
      <c r="M4981" s="17" t="s">
        <v>738</v>
      </c>
      <c r="N4981" s="17">
        <v>2</v>
      </c>
    </row>
    <row r="4982" spans="1:14" x14ac:dyDescent="0.25">
      <c r="A4982" s="8">
        <v>995195</v>
      </c>
      <c r="B4982" s="22" t="str">
        <f>IFERROR(VLOOKUP(A4982,VLOOKUPS!$A$2:B$12589,2,FALSE),"")</f>
        <v>Caesar Salad Kit 10oz-standard</v>
      </c>
      <c r="E4982">
        <v>1.79</v>
      </c>
      <c r="F4982">
        <v>2.99</v>
      </c>
      <c r="G4982" s="13">
        <v>44759</v>
      </c>
      <c r="H4982" s="13"/>
      <c r="I4982" s="22" t="str">
        <f>VLOOKUP(J4982, Dropdowns!N:O, 2, FALSE)</f>
        <v>Standard</v>
      </c>
      <c r="J4982" t="s">
        <v>760</v>
      </c>
      <c r="L4982" s="17" t="s">
        <v>732</v>
      </c>
      <c r="M4982" s="17" t="s">
        <v>738</v>
      </c>
      <c r="N4982" s="17">
        <v>2</v>
      </c>
    </row>
    <row r="4983" spans="1:14" x14ac:dyDescent="0.25">
      <c r="A4983" s="8">
        <v>984460</v>
      </c>
      <c r="B4983" s="22" t="str">
        <f>IFERROR(VLOOKUP(A4983,VLOOKUPS!$A$2:B$12589,2,FALSE),"")</f>
        <v>Strawberries 1lb-standard</v>
      </c>
      <c r="E4983">
        <v>1.29</v>
      </c>
      <c r="F4983">
        <v>2.29</v>
      </c>
      <c r="G4983" s="13">
        <v>44757</v>
      </c>
      <c r="H4983" s="13"/>
      <c r="I4983" s="22" t="str">
        <f>VLOOKUP(J4983, Dropdowns!N:O, 2, FALSE)</f>
        <v>Standard</v>
      </c>
      <c r="J4983" t="s">
        <v>760</v>
      </c>
      <c r="L4983" s="17" t="s">
        <v>733</v>
      </c>
      <c r="M4983" s="17" t="s">
        <v>11</v>
      </c>
      <c r="N4983" s="17" t="s">
        <v>740</v>
      </c>
    </row>
    <row r="4984" spans="1:14" x14ac:dyDescent="0.25">
      <c r="A4984" s="8">
        <v>984460</v>
      </c>
      <c r="B4984" s="22" t="str">
        <f>IFERROR(VLOOKUP(A4984,VLOOKUPS!$A$2:B$12589,2,FALSE),"")</f>
        <v>Strawberries 1lb-standard</v>
      </c>
      <c r="G4984" s="13">
        <v>44757</v>
      </c>
      <c r="H4984" s="13">
        <v>44757</v>
      </c>
      <c r="I4984" s="22" t="str">
        <f>VLOOKUP(J4984, Dropdowns!N:O, 2, FALSE)</f>
        <v>Lower Price</v>
      </c>
      <c r="J4984" t="s">
        <v>762</v>
      </c>
      <c r="L4984" s="17" t="s">
        <v>732</v>
      </c>
      <c r="M4984" s="17" t="s">
        <v>10</v>
      </c>
      <c r="N4984" s="17">
        <v>2</v>
      </c>
    </row>
    <row r="4985" spans="1:14" x14ac:dyDescent="0.25">
      <c r="A4985" s="8">
        <v>984460</v>
      </c>
      <c r="B4985" s="22" t="str">
        <f>IFERROR(VLOOKUP(A4985,VLOOKUPS!$A$2:B$12589,2,FALSE),"")</f>
        <v>Strawberries 1lb-standard</v>
      </c>
      <c r="G4985" s="13">
        <v>44758</v>
      </c>
      <c r="H4985" s="13">
        <v>44759</v>
      </c>
      <c r="I4985" s="22" t="str">
        <f>VLOOKUP(J4985, Dropdowns!N:O, 2, FALSE)</f>
        <v>Lower Price</v>
      </c>
      <c r="J4985" t="s">
        <v>762</v>
      </c>
      <c r="L4985" s="17" t="s">
        <v>732</v>
      </c>
      <c r="M4985" s="17" t="s">
        <v>10</v>
      </c>
      <c r="N4985" s="17">
        <v>2</v>
      </c>
    </row>
    <row r="4986" spans="1:14" x14ac:dyDescent="0.25">
      <c r="A4986" s="8">
        <v>984460</v>
      </c>
      <c r="B4986" s="22" t="str">
        <f>IFERROR(VLOOKUP(A4986,VLOOKUPS!$A$2:B$12589,2,FALSE),"")</f>
        <v>Strawberries 1lb-standard</v>
      </c>
      <c r="E4986">
        <v>1.29</v>
      </c>
      <c r="F4986">
        <v>2.29</v>
      </c>
      <c r="G4986" s="13">
        <v>44760</v>
      </c>
      <c r="H4986" s="13"/>
      <c r="I4986" s="22" t="str">
        <f>VLOOKUP(J4986, Dropdowns!N:O, 2, FALSE)</f>
        <v>Standard</v>
      </c>
      <c r="J4986" t="s">
        <v>760</v>
      </c>
      <c r="L4986" s="17" t="s">
        <v>732</v>
      </c>
      <c r="M4986" s="17" t="s">
        <v>10</v>
      </c>
      <c r="N4986" s="17">
        <v>2</v>
      </c>
    </row>
    <row r="4987" spans="1:14" x14ac:dyDescent="0.25">
      <c r="A4987" s="8">
        <v>984620</v>
      </c>
      <c r="B4987" s="22" t="str">
        <f>IFERROR(VLOOKUP(A4987,VLOOKUPS!$A$2:B$12589,2,FALSE),"")</f>
        <v>Raspberries 6oz-standard</v>
      </c>
      <c r="E4987">
        <v>3.18</v>
      </c>
      <c r="F4987">
        <v>1.91</v>
      </c>
      <c r="G4987" s="13">
        <v>44758</v>
      </c>
      <c r="H4987" s="13">
        <v>44759</v>
      </c>
      <c r="I4987" s="22" t="str">
        <f>VLOOKUP(J4987, Dropdowns!N:O, 2, FALSE)</f>
        <v>Lower Price</v>
      </c>
      <c r="J4987" t="s">
        <v>759</v>
      </c>
      <c r="L4987" s="17" t="s">
        <v>733</v>
      </c>
      <c r="M4987" s="17" t="s">
        <v>10</v>
      </c>
      <c r="N4987" s="17" t="s">
        <v>740</v>
      </c>
    </row>
    <row r="4988" spans="1:14" x14ac:dyDescent="0.25">
      <c r="A4988" s="8">
        <v>984620</v>
      </c>
      <c r="B4988" s="22" t="str">
        <f>IFERROR(VLOOKUP(A4988,VLOOKUPS!$A$2:B$12589,2,FALSE),"")</f>
        <v>Raspberries 6oz-standard</v>
      </c>
      <c r="E4988">
        <v>1.91</v>
      </c>
      <c r="F4988">
        <v>3.18</v>
      </c>
      <c r="G4988" s="13">
        <v>44760</v>
      </c>
      <c r="H4988" s="13"/>
      <c r="I4988" s="22" t="str">
        <f>VLOOKUP(J4988, Dropdowns!N:O, 2, FALSE)</f>
        <v>Standard</v>
      </c>
      <c r="J4988" t="s">
        <v>760</v>
      </c>
      <c r="L4988" s="17" t="s">
        <v>733</v>
      </c>
      <c r="M4988" s="17" t="s">
        <v>10</v>
      </c>
      <c r="N4988" s="17" t="s">
        <v>740</v>
      </c>
    </row>
    <row r="4989" spans="1:14" x14ac:dyDescent="0.25">
      <c r="A4989" s="8">
        <v>988620</v>
      </c>
      <c r="B4989" s="22" t="str">
        <f>IFERROR(VLOOKUP(A4989,VLOOKUPS!$A$2:B$12589,2,FALSE),"")</f>
        <v>Brussels Sprouts 1lb-standard</v>
      </c>
      <c r="E4989">
        <v>2.59</v>
      </c>
      <c r="F4989">
        <v>1.55</v>
      </c>
      <c r="G4989" s="13">
        <v>44758</v>
      </c>
      <c r="H4989" s="13">
        <v>44759</v>
      </c>
      <c r="I4989" s="22" t="str">
        <f>VLOOKUP(J4989, Dropdowns!N:O, 2, FALSE)</f>
        <v>Lower Price</v>
      </c>
      <c r="J4989" t="s">
        <v>759</v>
      </c>
      <c r="L4989" s="17" t="s">
        <v>733</v>
      </c>
      <c r="M4989" s="17" t="s">
        <v>9</v>
      </c>
      <c r="N4989" s="17" t="s">
        <v>740</v>
      </c>
    </row>
    <row r="4990" spans="1:14" x14ac:dyDescent="0.25">
      <c r="A4990" s="8">
        <v>988620</v>
      </c>
      <c r="B4990" s="22" t="str">
        <f>IFERROR(VLOOKUP(A4990,VLOOKUPS!$A$2:B$12589,2,FALSE),"")</f>
        <v>Brussels Sprouts 1lb-standard</v>
      </c>
      <c r="E4990">
        <v>2.89</v>
      </c>
      <c r="F4990">
        <v>1.73</v>
      </c>
      <c r="G4990" s="13">
        <v>44758</v>
      </c>
      <c r="H4990" s="13">
        <v>44759</v>
      </c>
      <c r="I4990" s="22" t="str">
        <f>VLOOKUP(J4990, Dropdowns!N:O, 2, FALSE)</f>
        <v>Lower Price</v>
      </c>
      <c r="J4990" t="s">
        <v>759</v>
      </c>
      <c r="L4990" s="17" t="s">
        <v>734</v>
      </c>
      <c r="M4990" s="17" t="s">
        <v>9</v>
      </c>
      <c r="N4990" s="17" t="s">
        <v>736</v>
      </c>
    </row>
    <row r="4991" spans="1:14" x14ac:dyDescent="0.25">
      <c r="A4991" s="8">
        <v>988620</v>
      </c>
      <c r="B4991" s="22" t="str">
        <f>IFERROR(VLOOKUP(A4991,VLOOKUPS!$A$2:B$12589,2,FALSE),"")</f>
        <v>Brussels Sprouts 1lb-standard</v>
      </c>
      <c r="E4991">
        <v>1.55</v>
      </c>
      <c r="F4991">
        <v>2.59</v>
      </c>
      <c r="G4991" s="13">
        <v>44760</v>
      </c>
      <c r="H4991" s="13"/>
      <c r="I4991" s="22" t="str">
        <f>VLOOKUP(J4991, Dropdowns!N:O, 2, FALSE)</f>
        <v>Standard</v>
      </c>
      <c r="J4991" t="s">
        <v>760</v>
      </c>
      <c r="L4991" s="17" t="s">
        <v>733</v>
      </c>
      <c r="M4991" s="17" t="s">
        <v>9</v>
      </c>
      <c r="N4991" s="17" t="s">
        <v>740</v>
      </c>
    </row>
    <row r="4992" spans="1:14" x14ac:dyDescent="0.25">
      <c r="A4992" s="8">
        <v>988620</v>
      </c>
      <c r="B4992" s="22" t="str">
        <f>IFERROR(VLOOKUP(A4992,VLOOKUPS!$A$2:B$12589,2,FALSE),"")</f>
        <v>Brussels Sprouts 1lb-standard</v>
      </c>
      <c r="E4992">
        <v>1.73</v>
      </c>
      <c r="F4992">
        <v>2.89</v>
      </c>
      <c r="G4992" s="13">
        <v>44760</v>
      </c>
      <c r="H4992" s="13"/>
      <c r="I4992" s="22" t="str">
        <f>VLOOKUP(J4992, Dropdowns!N:O, 2, FALSE)</f>
        <v>Standard</v>
      </c>
      <c r="J4992" t="s">
        <v>760</v>
      </c>
      <c r="L4992" s="17" t="s">
        <v>734</v>
      </c>
      <c r="M4992" s="17" t="s">
        <v>9</v>
      </c>
      <c r="N4992" s="17" t="s">
        <v>736</v>
      </c>
    </row>
    <row r="4993" spans="1:14" x14ac:dyDescent="0.25">
      <c r="A4993" s="8">
        <v>986250</v>
      </c>
      <c r="B4993" s="22" t="str">
        <f>IFERROR(VLOOKUP(A4993,VLOOKUPS!$A$2:B$12589,2,FALSE),"")</f>
        <v>French Beans 1lb-standard</v>
      </c>
      <c r="E4993">
        <v>3.29</v>
      </c>
      <c r="F4993">
        <v>2.99</v>
      </c>
      <c r="G4993" s="13">
        <v>44761</v>
      </c>
      <c r="H4993" s="13"/>
      <c r="I4993" s="22" t="str">
        <f>VLOOKUP(J4993, Dropdowns!N:O, 2, FALSE)</f>
        <v>Standard</v>
      </c>
      <c r="J4993" t="s">
        <v>761</v>
      </c>
      <c r="L4993" s="17" t="s">
        <v>734</v>
      </c>
      <c r="M4993" s="17" t="s">
        <v>9</v>
      </c>
      <c r="N4993" s="17" t="s">
        <v>736</v>
      </c>
    </row>
    <row r="4994" spans="1:14" x14ac:dyDescent="0.25">
      <c r="A4994" s="8">
        <v>984460</v>
      </c>
      <c r="B4994" s="22" t="str">
        <f>IFERROR(VLOOKUP(A4994,VLOOKUPS!$A$2:B$12589,2,FALSE),"")</f>
        <v>Strawberries 1lb-standard</v>
      </c>
      <c r="E4994">
        <v>2.29</v>
      </c>
      <c r="F4994">
        <v>2.12</v>
      </c>
      <c r="G4994" s="13">
        <v>44761</v>
      </c>
      <c r="H4994" s="13"/>
      <c r="I4994" s="22" t="str">
        <f>VLOOKUP(J4994, Dropdowns!N:O, 2, FALSE)</f>
        <v>Standard</v>
      </c>
      <c r="J4994" t="s">
        <v>761</v>
      </c>
      <c r="L4994" s="17" t="s">
        <v>733</v>
      </c>
      <c r="M4994" s="17" t="s">
        <v>736</v>
      </c>
      <c r="N4994" s="17" t="s">
        <v>740</v>
      </c>
    </row>
    <row r="4995" spans="1:14" x14ac:dyDescent="0.25">
      <c r="A4995" s="8">
        <v>984702</v>
      </c>
      <c r="B4995" s="22" t="str">
        <f>IFERROR(VLOOKUP(A4995,VLOOKUPS!$A$2:B$12589,2,FALSE),"")</f>
        <v>Blackberries 12oz-standard</v>
      </c>
      <c r="D4995">
        <v>8</v>
      </c>
      <c r="F4995">
        <v>4.58</v>
      </c>
      <c r="G4995" s="13">
        <v>44761</v>
      </c>
      <c r="H4995" s="13"/>
      <c r="I4995" s="22" t="str">
        <f>VLOOKUP(J4995, Dropdowns!N:O, 2, FALSE)</f>
        <v>NA</v>
      </c>
      <c r="J4995" t="s">
        <v>754</v>
      </c>
      <c r="L4995" s="17" t="s">
        <v>732</v>
      </c>
      <c r="M4995" s="17" t="s">
        <v>736</v>
      </c>
      <c r="N4995" s="17" t="s">
        <v>736</v>
      </c>
    </row>
    <row r="4996" spans="1:14" x14ac:dyDescent="0.25">
      <c r="A4996" s="8">
        <v>984621</v>
      </c>
      <c r="B4996" s="22" t="str">
        <f>IFERROR(VLOOKUP(A4996,VLOOKUPS!$A$2:B$12589,2,FALSE),"")</f>
        <v>Raspberries 12oz-standard</v>
      </c>
      <c r="D4996">
        <v>6</v>
      </c>
      <c r="F4996">
        <v>5.94</v>
      </c>
      <c r="G4996" s="13">
        <v>44762</v>
      </c>
      <c r="H4996" s="13"/>
      <c r="I4996" s="22" t="str">
        <f>VLOOKUP(J4996, Dropdowns!N:O, 2, FALSE)</f>
        <v>NA</v>
      </c>
      <c r="J4996" t="s">
        <v>754</v>
      </c>
      <c r="L4996" s="17" t="s">
        <v>732</v>
      </c>
      <c r="M4996" s="17" t="s">
        <v>736</v>
      </c>
      <c r="N4996" s="17" t="s">
        <v>736</v>
      </c>
    </row>
    <row r="4997" spans="1:14" x14ac:dyDescent="0.25">
      <c r="A4997" s="8">
        <v>986250</v>
      </c>
      <c r="B4997" s="22" t="str">
        <f>IFERROR(VLOOKUP(A4997,VLOOKUPS!$A$2:B$12589,2,FALSE),"")</f>
        <v>French Beans 1lb-standard</v>
      </c>
      <c r="G4997" s="13">
        <v>44762</v>
      </c>
      <c r="H4997" s="13">
        <v>44768</v>
      </c>
      <c r="I4997" s="22" t="str">
        <f>VLOOKUP(J4997, Dropdowns!N:O, 2, FALSE)</f>
        <v>Lower Price</v>
      </c>
      <c r="J4997" t="s">
        <v>753</v>
      </c>
      <c r="L4997" s="17" t="s">
        <v>732</v>
      </c>
      <c r="M4997" s="17" t="s">
        <v>736</v>
      </c>
      <c r="N4997" s="17" t="s">
        <v>736</v>
      </c>
    </row>
    <row r="4998" spans="1:14" x14ac:dyDescent="0.25">
      <c r="A4998" s="8">
        <v>984542</v>
      </c>
      <c r="B4998" s="22" t="str">
        <f>IFERROR(VLOOKUP(A4998,VLOOKUPS!$A$2:B$12589,2,FALSE),"")</f>
        <v>Blueberries 18oz-standard</v>
      </c>
      <c r="E4998">
        <v>2.99</v>
      </c>
      <c r="F4998">
        <v>5.09</v>
      </c>
      <c r="G4998" s="13">
        <v>44762</v>
      </c>
      <c r="H4998" s="13"/>
      <c r="I4998" s="22" t="str">
        <f>VLOOKUP(J4998, Dropdowns!N:O, 2, FALSE)</f>
        <v>Standard</v>
      </c>
      <c r="J4998" t="s">
        <v>760</v>
      </c>
      <c r="L4998" s="17" t="s">
        <v>733</v>
      </c>
      <c r="M4998" s="17" t="s">
        <v>736</v>
      </c>
      <c r="N4998" s="17" t="s">
        <v>740</v>
      </c>
    </row>
    <row r="4999" spans="1:14" x14ac:dyDescent="0.25">
      <c r="A4999" s="8">
        <v>984542</v>
      </c>
      <c r="B4999" s="22" t="str">
        <f>IFERROR(VLOOKUP(A4999,VLOOKUPS!$A$2:B$12589,2,FALSE),"")</f>
        <v>Blueberries 18oz-standard</v>
      </c>
      <c r="E4999">
        <v>3.49</v>
      </c>
      <c r="F4999">
        <v>5.59</v>
      </c>
      <c r="G4999" s="13">
        <v>44762</v>
      </c>
      <c r="H4999" s="13"/>
      <c r="I4999" s="22" t="str">
        <f>VLOOKUP(J4999, Dropdowns!N:O, 2, FALSE)</f>
        <v>Standard</v>
      </c>
      <c r="J4999" t="s">
        <v>760</v>
      </c>
      <c r="L4999" s="17" t="s">
        <v>734</v>
      </c>
      <c r="M4999" s="17" t="s">
        <v>9</v>
      </c>
      <c r="N4999" s="17" t="s">
        <v>736</v>
      </c>
    </row>
    <row r="5000" spans="1:14" x14ac:dyDescent="0.25">
      <c r="A5000" s="8">
        <v>985760</v>
      </c>
      <c r="B5000" s="22" t="str">
        <f>IFERROR(VLOOKUP(A5000,VLOOKUPS!$A$2:B$12589,2,FALSE),"")</f>
        <v>Asparagus 1lb-standard</v>
      </c>
      <c r="E5000">
        <v>1.69</v>
      </c>
      <c r="F5000">
        <v>2.99</v>
      </c>
      <c r="G5000" s="13">
        <v>44762</v>
      </c>
      <c r="H5000" s="13"/>
      <c r="I5000" s="22" t="str">
        <f>VLOOKUP(J5000, Dropdowns!N:O, 2, FALSE)</f>
        <v>Standard</v>
      </c>
      <c r="J5000" t="s">
        <v>760</v>
      </c>
      <c r="L5000" s="17" t="s">
        <v>732</v>
      </c>
      <c r="M5000" s="17" t="s">
        <v>738</v>
      </c>
      <c r="N5000" s="17">
        <v>2</v>
      </c>
    </row>
    <row r="5001" spans="1:14" x14ac:dyDescent="0.25">
      <c r="A5001" s="8">
        <v>985760</v>
      </c>
      <c r="B5001" s="22" t="str">
        <f>IFERROR(VLOOKUP(A5001,VLOOKUPS!$A$2:B$12589,2,FALSE),"")</f>
        <v>Asparagus 1lb-standard</v>
      </c>
      <c r="G5001" s="13">
        <v>44762</v>
      </c>
      <c r="H5001" s="13">
        <v>44763</v>
      </c>
      <c r="I5001" s="22" t="str">
        <f>VLOOKUP(J5001, Dropdowns!N:O, 2, FALSE)</f>
        <v>Lower Price</v>
      </c>
      <c r="J5001" t="s">
        <v>762</v>
      </c>
      <c r="L5001" s="17" t="s">
        <v>732</v>
      </c>
      <c r="M5001" s="17" t="s">
        <v>9</v>
      </c>
      <c r="N5001" s="17" t="s">
        <v>736</v>
      </c>
    </row>
    <row r="5002" spans="1:14" x14ac:dyDescent="0.25">
      <c r="A5002" s="8">
        <v>984542</v>
      </c>
      <c r="B5002" s="22" t="str">
        <f>IFERROR(VLOOKUP(A5002,VLOOKUPS!$A$2:B$12589,2,FALSE),"")</f>
        <v>Blueberries 18oz-standard</v>
      </c>
      <c r="E5002">
        <v>5.59</v>
      </c>
      <c r="F5002">
        <v>5.79</v>
      </c>
      <c r="G5002" s="13">
        <v>44763</v>
      </c>
      <c r="H5002" s="13"/>
      <c r="I5002" s="22" t="str">
        <f>VLOOKUP(J5002, Dropdowns!N:O, 2, FALSE)</f>
        <v>Standard</v>
      </c>
      <c r="J5002" t="s">
        <v>761</v>
      </c>
      <c r="L5002" s="17" t="s">
        <v>734</v>
      </c>
      <c r="M5002" s="17" t="s">
        <v>9</v>
      </c>
      <c r="N5002" s="17" t="s">
        <v>736</v>
      </c>
    </row>
    <row r="5003" spans="1:14" x14ac:dyDescent="0.25">
      <c r="A5003" s="8">
        <v>984620</v>
      </c>
      <c r="B5003" s="22" t="str">
        <f>IFERROR(VLOOKUP(A5003,VLOOKUPS!$A$2:B$12589,2,FALSE),"")</f>
        <v>Raspberries 6oz-standard</v>
      </c>
      <c r="E5003">
        <v>3.18</v>
      </c>
      <c r="F5003">
        <v>1.91</v>
      </c>
      <c r="G5003" s="13">
        <v>44763</v>
      </c>
      <c r="H5003" s="13">
        <v>44764</v>
      </c>
      <c r="I5003" s="22" t="str">
        <f>VLOOKUP(J5003, Dropdowns!N:O, 2, FALSE)</f>
        <v>Lower Price</v>
      </c>
      <c r="J5003" t="s">
        <v>759</v>
      </c>
      <c r="L5003" s="17" t="s">
        <v>733</v>
      </c>
      <c r="M5003" s="17" t="s">
        <v>10</v>
      </c>
      <c r="N5003" s="17" t="s">
        <v>740</v>
      </c>
    </row>
    <row r="5004" spans="1:14" x14ac:dyDescent="0.25">
      <c r="A5004" s="8">
        <v>984620</v>
      </c>
      <c r="B5004" s="22" t="str">
        <f>IFERROR(VLOOKUP(A5004,VLOOKUPS!$A$2:B$12589,2,FALSE),"")</f>
        <v>Raspberries 6oz-standard</v>
      </c>
      <c r="E5004">
        <v>1.91</v>
      </c>
      <c r="F5004">
        <v>3.18</v>
      </c>
      <c r="G5004" s="13">
        <v>44765</v>
      </c>
      <c r="H5004" s="13"/>
      <c r="I5004" s="22" t="str">
        <f>VLOOKUP(J5004, Dropdowns!N:O, 2, FALSE)</f>
        <v>Standard</v>
      </c>
      <c r="J5004" t="s">
        <v>760</v>
      </c>
      <c r="L5004" s="17" t="s">
        <v>733</v>
      </c>
      <c r="M5004" s="17" t="s">
        <v>10</v>
      </c>
      <c r="N5004" s="17" t="s">
        <v>740</v>
      </c>
    </row>
    <row r="5005" spans="1:14" x14ac:dyDescent="0.25">
      <c r="A5005" s="8">
        <v>995144</v>
      </c>
      <c r="B5005" s="22" t="str">
        <f>IFERROR(VLOOKUP(A5005,VLOOKUPS!$A$2:B$12589,2,FALSE),"")</f>
        <v>Asparagus Spears 10oz-standard</v>
      </c>
      <c r="E5005">
        <v>4.18</v>
      </c>
      <c r="F5005">
        <v>2.5099999999999998</v>
      </c>
      <c r="G5005" s="13">
        <v>44763</v>
      </c>
      <c r="H5005" s="13">
        <v>44764</v>
      </c>
      <c r="I5005" s="22" t="str">
        <f>VLOOKUP(J5005, Dropdowns!N:O, 2, FALSE)</f>
        <v>Lower Price</v>
      </c>
      <c r="J5005" t="s">
        <v>759</v>
      </c>
      <c r="L5005" s="17" t="s">
        <v>733</v>
      </c>
      <c r="M5005" s="17" t="s">
        <v>11</v>
      </c>
      <c r="N5005" s="17" t="s">
        <v>740</v>
      </c>
    </row>
    <row r="5006" spans="1:14" x14ac:dyDescent="0.25">
      <c r="A5006" s="8">
        <v>995144</v>
      </c>
      <c r="B5006" s="22" t="str">
        <f>IFERROR(VLOOKUP(A5006,VLOOKUPS!$A$2:B$12589,2,FALSE),"")</f>
        <v>Asparagus Spears 10oz-standard</v>
      </c>
      <c r="E5006">
        <v>2.5099999999999998</v>
      </c>
      <c r="F5006">
        <v>4.18</v>
      </c>
      <c r="G5006" s="13">
        <v>44765</v>
      </c>
      <c r="H5006" s="13"/>
      <c r="I5006" s="22" t="str">
        <f>VLOOKUP(J5006, Dropdowns!N:O, 2, FALSE)</f>
        <v>Standard</v>
      </c>
      <c r="J5006" t="s">
        <v>760</v>
      </c>
      <c r="L5006" s="17" t="s">
        <v>733</v>
      </c>
      <c r="M5006" s="17" t="s">
        <v>11</v>
      </c>
      <c r="N5006" s="17" t="s">
        <v>740</v>
      </c>
    </row>
    <row r="5007" spans="1:14" x14ac:dyDescent="0.25">
      <c r="A5007" s="8">
        <v>995199</v>
      </c>
      <c r="B5007" s="22" t="str">
        <f>IFERROR(VLOOKUP(A5007,VLOOKUPS!$A$2:B$12589,2,FALSE),"")</f>
        <v>Pineapple Rings 10oz-standard</v>
      </c>
      <c r="D5007">
        <v>6</v>
      </c>
      <c r="F5007">
        <v>3.75</v>
      </c>
      <c r="G5007" s="13">
        <v>44764</v>
      </c>
      <c r="H5007" s="13"/>
      <c r="I5007" s="22" t="str">
        <f>VLOOKUP(J5007, Dropdowns!N:O, 2, FALSE)</f>
        <v>New</v>
      </c>
      <c r="J5007" t="s">
        <v>776</v>
      </c>
      <c r="L5007" s="17" t="s">
        <v>732</v>
      </c>
      <c r="M5007" s="17" t="s">
        <v>735</v>
      </c>
      <c r="N5007" s="17" t="s">
        <v>736</v>
      </c>
    </row>
    <row r="5008" spans="1:14" x14ac:dyDescent="0.25">
      <c r="A5008" s="8">
        <v>985760</v>
      </c>
      <c r="B5008" s="22" t="str">
        <f>IFERROR(VLOOKUP(A5008,VLOOKUPS!$A$2:B$12589,2,FALSE),"")</f>
        <v>Asparagus 1lb-standard</v>
      </c>
      <c r="G5008" s="13">
        <v>44764</v>
      </c>
      <c r="H5008" s="13">
        <v>44764</v>
      </c>
      <c r="I5008" s="22" t="str">
        <f>VLOOKUP(J5008, Dropdowns!N:O, 2, FALSE)</f>
        <v>Lower Price</v>
      </c>
      <c r="J5008" t="s">
        <v>762</v>
      </c>
      <c r="L5008" s="17" t="s">
        <v>732</v>
      </c>
      <c r="M5008" s="17" t="s">
        <v>9</v>
      </c>
      <c r="N5008" s="17" t="s">
        <v>736</v>
      </c>
    </row>
    <row r="5009" spans="1:17" x14ac:dyDescent="0.25">
      <c r="A5009" s="8">
        <v>982400</v>
      </c>
      <c r="B5009" s="22" t="str">
        <f>IFERROR(VLOOKUP(A5009,VLOOKUPS!$A$2:B$12589,2,FALSE),"")</f>
        <v>Plums 1lb-LOOSE</v>
      </c>
      <c r="G5009" s="13">
        <v>44764</v>
      </c>
      <c r="H5009" s="13">
        <v>44764</v>
      </c>
      <c r="I5009" s="22" t="str">
        <f>VLOOKUP(J5009, Dropdowns!N:O, 2, FALSE)</f>
        <v>Lower Price</v>
      </c>
      <c r="J5009" t="s">
        <v>762</v>
      </c>
      <c r="L5009" s="17" t="s">
        <v>732</v>
      </c>
      <c r="M5009" s="17" t="s">
        <v>9</v>
      </c>
      <c r="N5009" s="17" t="s">
        <v>736</v>
      </c>
    </row>
    <row r="5010" spans="1:17" x14ac:dyDescent="0.25">
      <c r="A5010" s="8">
        <v>984460</v>
      </c>
      <c r="B5010" s="22" t="str">
        <f>IFERROR(VLOOKUP(A5010,VLOOKUPS!$A$2:B$12589,2,FALSE),"")</f>
        <v>Strawberries 1lb-standard</v>
      </c>
      <c r="E5010">
        <v>2.12</v>
      </c>
      <c r="F5010">
        <v>2.38</v>
      </c>
      <c r="G5010" s="13">
        <v>44765</v>
      </c>
      <c r="H5010" s="13"/>
      <c r="I5010" s="22" t="str">
        <f>VLOOKUP(J5010, Dropdowns!N:O, 2, FALSE)</f>
        <v>Standard</v>
      </c>
      <c r="J5010" t="s">
        <v>761</v>
      </c>
      <c r="L5010" s="17" t="s">
        <v>733</v>
      </c>
      <c r="M5010" s="17" t="s">
        <v>736</v>
      </c>
      <c r="N5010" s="17" t="s">
        <v>740</v>
      </c>
    </row>
    <row r="5011" spans="1:17" x14ac:dyDescent="0.25">
      <c r="A5011" s="8">
        <v>984460</v>
      </c>
      <c r="B5011" s="22" t="str">
        <f>IFERROR(VLOOKUP(A5011,VLOOKUPS!$A$2:B$12589,2,FALSE),"")</f>
        <v>Strawberries 1lb-standard</v>
      </c>
      <c r="E5011">
        <v>2.29</v>
      </c>
      <c r="F5011">
        <v>2.38</v>
      </c>
      <c r="G5011" s="13">
        <v>44765</v>
      </c>
      <c r="H5011" s="13"/>
      <c r="I5011" s="22" t="str">
        <f>VLOOKUP(J5011, Dropdowns!N:O, 2, FALSE)</f>
        <v>Standard</v>
      </c>
      <c r="J5011" t="s">
        <v>761</v>
      </c>
      <c r="L5011" s="17" t="s">
        <v>734</v>
      </c>
      <c r="M5011" s="17" t="s">
        <v>10</v>
      </c>
      <c r="N5011" s="17">
        <v>2</v>
      </c>
    </row>
    <row r="5012" spans="1:17" x14ac:dyDescent="0.25">
      <c r="A5012" s="8">
        <v>984462</v>
      </c>
      <c r="B5012" s="22" t="str">
        <f>IFERROR(VLOOKUP(A5012,VLOOKUPS!$A$2:B$12589,2,FALSE),"")</f>
        <v>Strawberries Long Stem 1lb-standard</v>
      </c>
      <c r="E5012">
        <v>4.1399999999999997</v>
      </c>
      <c r="F5012">
        <v>4.66</v>
      </c>
      <c r="G5012" s="13">
        <v>44765</v>
      </c>
      <c r="H5012" s="13"/>
      <c r="I5012" s="22" t="str">
        <f>VLOOKUP(J5012, Dropdowns!N:O, 2, FALSE)</f>
        <v>Standard</v>
      </c>
      <c r="J5012" t="s">
        <v>761</v>
      </c>
      <c r="L5012" s="17" t="s">
        <v>733</v>
      </c>
      <c r="M5012" s="17" t="s">
        <v>736</v>
      </c>
      <c r="N5012" s="17" t="s">
        <v>740</v>
      </c>
    </row>
    <row r="5013" spans="1:17" x14ac:dyDescent="0.25">
      <c r="A5013" s="8">
        <v>984462</v>
      </c>
      <c r="B5013" s="22" t="str">
        <f>IFERROR(VLOOKUP(A5013,VLOOKUPS!$A$2:B$12589,2,FALSE),"")</f>
        <v>Strawberries Long Stem 1lb-standard</v>
      </c>
      <c r="E5013">
        <v>4.1399999999999997</v>
      </c>
      <c r="F5013">
        <v>4.66</v>
      </c>
      <c r="G5013" s="13">
        <v>44765</v>
      </c>
      <c r="H5013" s="13"/>
      <c r="I5013" s="22" t="str">
        <f>VLOOKUP(J5013, Dropdowns!N:O, 2, FALSE)</f>
        <v>Standard</v>
      </c>
      <c r="J5013" t="s">
        <v>761</v>
      </c>
      <c r="L5013" s="17" t="s">
        <v>734</v>
      </c>
      <c r="M5013" s="17" t="s">
        <v>10</v>
      </c>
      <c r="N5013" s="17">
        <v>2</v>
      </c>
    </row>
    <row r="5014" spans="1:17" x14ac:dyDescent="0.25">
      <c r="A5014" s="8">
        <v>984500</v>
      </c>
      <c r="B5014" s="22" t="str">
        <f>IFERROR(VLOOKUP(A5014,VLOOKUPS!$A$2:B$12589,2,FALSE),"")</f>
        <v>Organic Strawberries 1lb-standard</v>
      </c>
      <c r="E5014">
        <v>3.48</v>
      </c>
      <c r="F5014">
        <v>3.92</v>
      </c>
      <c r="G5014" s="13">
        <v>44765</v>
      </c>
      <c r="H5014" s="13"/>
      <c r="I5014" s="22" t="str">
        <f>VLOOKUP(J5014, Dropdowns!N:O, 2, FALSE)</f>
        <v>Standard</v>
      </c>
      <c r="J5014" t="s">
        <v>761</v>
      </c>
      <c r="L5014" s="17" t="s">
        <v>733</v>
      </c>
      <c r="M5014" s="17" t="s">
        <v>736</v>
      </c>
      <c r="N5014" s="17" t="s">
        <v>740</v>
      </c>
    </row>
    <row r="5015" spans="1:17" x14ac:dyDescent="0.25">
      <c r="A5015" s="8">
        <v>984500</v>
      </c>
      <c r="B5015" s="22" t="str">
        <f>IFERROR(VLOOKUP(A5015,VLOOKUPS!$A$2:B$12589,2,FALSE),"")</f>
        <v>Organic Strawberries 1lb-standard</v>
      </c>
      <c r="E5015">
        <v>3.48</v>
      </c>
      <c r="F5015">
        <v>3.92</v>
      </c>
      <c r="G5015" s="13">
        <v>44765</v>
      </c>
      <c r="H5015" s="13"/>
      <c r="I5015" s="22" t="str">
        <f>VLOOKUP(J5015, Dropdowns!N:O, 2, FALSE)</f>
        <v>Standard</v>
      </c>
      <c r="J5015" t="s">
        <v>761</v>
      </c>
      <c r="L5015" s="17" t="s">
        <v>734</v>
      </c>
      <c r="M5015" s="17" t="s">
        <v>10</v>
      </c>
      <c r="N5015" s="17">
        <v>2</v>
      </c>
    </row>
    <row r="5016" spans="1:17" x14ac:dyDescent="0.25">
      <c r="A5016" s="8">
        <v>984542</v>
      </c>
      <c r="B5016" s="22" t="str">
        <f>IFERROR(VLOOKUP(A5016,VLOOKUPS!$A$2:B$12589,2,FALSE),"")</f>
        <v>Blueberries 18oz-standard</v>
      </c>
      <c r="E5016">
        <v>5.79</v>
      </c>
      <c r="F5016">
        <v>5.59</v>
      </c>
      <c r="G5016" s="13">
        <v>44768</v>
      </c>
      <c r="H5016" s="13"/>
      <c r="I5016" s="22" t="str">
        <f>VLOOKUP(J5016, Dropdowns!N:O, 2, FALSE)</f>
        <v>Standard</v>
      </c>
      <c r="J5016" t="s">
        <v>761</v>
      </c>
      <c r="L5016" s="17" t="s">
        <v>734</v>
      </c>
      <c r="M5016" s="17" t="s">
        <v>9</v>
      </c>
      <c r="N5016" s="17" t="s">
        <v>736</v>
      </c>
    </row>
    <row r="5017" spans="1:17" x14ac:dyDescent="0.25">
      <c r="A5017" s="8">
        <v>995145</v>
      </c>
      <c r="B5017" s="22" t="str">
        <f>IFERROR(VLOOKUP(A5017,VLOOKUPS!$A$2:B$12589,2,FALSE),"")</f>
        <v>Mango Spears 32oz-standard</v>
      </c>
      <c r="D5017">
        <v>6</v>
      </c>
      <c r="F5017">
        <v>10.49</v>
      </c>
      <c r="G5017" s="13">
        <v>44765</v>
      </c>
      <c r="H5017" s="13"/>
      <c r="I5017" s="22" t="str">
        <f>VLOOKUP(J5017, Dropdowns!N:O, 2, FALSE)</f>
        <v>New</v>
      </c>
      <c r="J5017" t="s">
        <v>776</v>
      </c>
      <c r="L5017" s="17" t="s">
        <v>732</v>
      </c>
      <c r="M5017" s="17" t="s">
        <v>10</v>
      </c>
      <c r="N5017" s="17">
        <v>2</v>
      </c>
      <c r="O5017" s="17" t="s">
        <v>748</v>
      </c>
      <c r="P5017">
        <v>1</v>
      </c>
      <c r="Q5017" s="17" t="s">
        <v>1044</v>
      </c>
    </row>
    <row r="5018" spans="1:17" x14ac:dyDescent="0.25">
      <c r="A5018" s="8">
        <v>995145</v>
      </c>
      <c r="B5018" s="22" t="str">
        <f>IFERROR(VLOOKUP(A5018,VLOOKUPS!$A$2:B$12589,2,FALSE),"")</f>
        <v>Mango Spears 32oz-standard</v>
      </c>
      <c r="D5018">
        <v>6</v>
      </c>
      <c r="F5018">
        <v>10.49</v>
      </c>
      <c r="G5018" s="13">
        <v>44766</v>
      </c>
      <c r="H5018" s="13"/>
      <c r="I5018" s="22" t="str">
        <f>VLOOKUP(J5018, Dropdowns!N:O, 2, FALSE)</f>
        <v>New</v>
      </c>
      <c r="J5018" t="s">
        <v>776</v>
      </c>
      <c r="L5018" s="17" t="s">
        <v>732</v>
      </c>
      <c r="M5018" s="17" t="s">
        <v>9</v>
      </c>
      <c r="N5018" s="17" t="s">
        <v>736</v>
      </c>
      <c r="O5018" s="17" t="s">
        <v>748</v>
      </c>
      <c r="P5018">
        <v>1</v>
      </c>
      <c r="Q5018" s="17" t="s">
        <v>1044</v>
      </c>
    </row>
    <row r="5019" spans="1:17" x14ac:dyDescent="0.25">
      <c r="A5019" s="8">
        <v>995145</v>
      </c>
      <c r="B5019" s="22" t="str">
        <f>IFERROR(VLOOKUP(A5019,VLOOKUPS!$A$2:B$12589,2,FALSE),"")</f>
        <v>Mango Spears 32oz-standard</v>
      </c>
      <c r="D5019">
        <v>6</v>
      </c>
      <c r="F5019">
        <v>10.49</v>
      </c>
      <c r="G5019" s="13">
        <v>44767</v>
      </c>
      <c r="H5019" s="13"/>
      <c r="I5019" s="22" t="str">
        <f>VLOOKUP(J5019, Dropdowns!N:O, 2, FALSE)</f>
        <v>New</v>
      </c>
      <c r="J5019" t="s">
        <v>776</v>
      </c>
      <c r="L5019" s="17" t="s">
        <v>733</v>
      </c>
      <c r="M5019" s="17" t="s">
        <v>11</v>
      </c>
      <c r="N5019" s="17" t="s">
        <v>740</v>
      </c>
      <c r="O5019" s="17" t="s">
        <v>748</v>
      </c>
      <c r="P5019">
        <v>1</v>
      </c>
      <c r="Q5019" s="17" t="s">
        <v>1044</v>
      </c>
    </row>
    <row r="5020" spans="1:17" x14ac:dyDescent="0.25">
      <c r="A5020" s="8">
        <v>995199</v>
      </c>
      <c r="B5020" s="22" t="str">
        <f>IFERROR(VLOOKUP(A5020,VLOOKUPS!$A$2:B$12589,2,FALSE),"")</f>
        <v>Pineapple Rings 10oz-standard</v>
      </c>
      <c r="D5020">
        <v>6</v>
      </c>
      <c r="F5020">
        <v>3.75</v>
      </c>
      <c r="G5020" s="13">
        <v>44766</v>
      </c>
      <c r="H5020" s="13"/>
      <c r="I5020" s="22" t="str">
        <f>VLOOKUP(J5020, Dropdowns!N:O, 2, FALSE)</f>
        <v>New</v>
      </c>
      <c r="J5020" t="s">
        <v>776</v>
      </c>
      <c r="L5020" s="17" t="s">
        <v>733</v>
      </c>
      <c r="M5020" s="17" t="s">
        <v>11</v>
      </c>
      <c r="N5020" s="17" t="s">
        <v>740</v>
      </c>
      <c r="O5020" s="17" t="s">
        <v>748</v>
      </c>
      <c r="P5020">
        <v>1</v>
      </c>
      <c r="Q5020" s="17" t="s">
        <v>1044</v>
      </c>
    </row>
    <row r="5021" spans="1:17" x14ac:dyDescent="0.25">
      <c r="A5021" s="8">
        <v>985760</v>
      </c>
      <c r="B5021" s="22" t="str">
        <f>IFERROR(VLOOKUP(A5021,VLOOKUPS!$A$2:B$12589,2,FALSE),"")</f>
        <v>Asparagus 1lb-standard</v>
      </c>
      <c r="G5021" s="13">
        <v>44765</v>
      </c>
      <c r="H5021" s="13">
        <v>44766</v>
      </c>
      <c r="I5021" s="22" t="str">
        <f>VLOOKUP(J5021, Dropdowns!N:O, 2, FALSE)</f>
        <v>Lower Price</v>
      </c>
      <c r="J5021" t="s">
        <v>762</v>
      </c>
      <c r="L5021" s="17" t="s">
        <v>732</v>
      </c>
      <c r="M5021" s="17" t="s">
        <v>9</v>
      </c>
      <c r="N5021" s="17" t="s">
        <v>736</v>
      </c>
    </row>
    <row r="5022" spans="1:17" x14ac:dyDescent="0.25">
      <c r="A5022" s="8">
        <v>985760</v>
      </c>
      <c r="B5022" s="22" t="str">
        <f>IFERROR(VLOOKUP(A5022,VLOOKUPS!$A$2:B$12589,2,FALSE),"")</f>
        <v>Asparagus 1lb-standard</v>
      </c>
      <c r="E5022">
        <v>1.69</v>
      </c>
      <c r="F5022">
        <v>2.99</v>
      </c>
      <c r="G5022" s="13">
        <v>44767</v>
      </c>
      <c r="H5022" s="13"/>
      <c r="I5022" s="22" t="str">
        <f>VLOOKUP(J5022, Dropdowns!N:O, 2, FALSE)</f>
        <v>Standard</v>
      </c>
      <c r="J5022" t="s">
        <v>760</v>
      </c>
      <c r="L5022" s="17" t="s">
        <v>732</v>
      </c>
      <c r="M5022" s="17" t="s">
        <v>9</v>
      </c>
      <c r="N5022" s="17" t="s">
        <v>736</v>
      </c>
    </row>
    <row r="5023" spans="1:17" x14ac:dyDescent="0.25">
      <c r="A5023" s="8">
        <v>982400</v>
      </c>
      <c r="B5023" s="22" t="str">
        <f>IFERROR(VLOOKUP(A5023,VLOOKUPS!$A$2:B$12589,2,FALSE),"")</f>
        <v>Plums 1lb-LOOSE</v>
      </c>
      <c r="G5023" s="13">
        <v>44765</v>
      </c>
      <c r="H5023" s="13">
        <v>44766</v>
      </c>
      <c r="I5023" s="22" t="str">
        <f>VLOOKUP(J5023, Dropdowns!N:O, 2, FALSE)</f>
        <v>Lower Price</v>
      </c>
      <c r="J5023" t="s">
        <v>762</v>
      </c>
      <c r="L5023" s="17" t="s">
        <v>732</v>
      </c>
      <c r="M5023" s="17" t="s">
        <v>9</v>
      </c>
      <c r="N5023" s="17" t="s">
        <v>736</v>
      </c>
    </row>
    <row r="5024" spans="1:17" x14ac:dyDescent="0.25">
      <c r="A5024" s="8">
        <v>982400</v>
      </c>
      <c r="B5024" s="22" t="str">
        <f>IFERROR(VLOOKUP(A5024,VLOOKUPS!$A$2:B$12589,2,FALSE),"")</f>
        <v>Plums 1lb-LOOSE</v>
      </c>
      <c r="E5024">
        <v>1.99</v>
      </c>
      <c r="F5024">
        <v>2.99</v>
      </c>
      <c r="G5024" s="13">
        <v>44767</v>
      </c>
      <c r="H5024" s="13"/>
      <c r="I5024" s="22" t="str">
        <f>VLOOKUP(J5024, Dropdowns!N:O, 2, FALSE)</f>
        <v>Standard</v>
      </c>
      <c r="J5024" t="s">
        <v>760</v>
      </c>
      <c r="L5024" s="17" t="s">
        <v>733</v>
      </c>
      <c r="M5024" s="17" t="s">
        <v>9</v>
      </c>
      <c r="N5024" s="17" t="s">
        <v>740</v>
      </c>
    </row>
    <row r="5025" spans="1:14" x14ac:dyDescent="0.25">
      <c r="A5025" s="8">
        <v>982400</v>
      </c>
      <c r="B5025" s="22" t="str">
        <f>IFERROR(VLOOKUP(A5025,VLOOKUPS!$A$2:B$12589,2,FALSE),"")</f>
        <v>Plums 1lb-LOOSE</v>
      </c>
      <c r="E5025">
        <v>2.29</v>
      </c>
      <c r="F5025">
        <v>3.29</v>
      </c>
      <c r="G5025" s="13">
        <v>44767</v>
      </c>
      <c r="H5025" s="13"/>
      <c r="I5025" s="22" t="str">
        <f>VLOOKUP(J5025, Dropdowns!N:O, 2, FALSE)</f>
        <v>Standard</v>
      </c>
      <c r="J5025" t="s">
        <v>760</v>
      </c>
      <c r="L5025" s="17" t="s">
        <v>734</v>
      </c>
      <c r="M5025" s="17" t="s">
        <v>9</v>
      </c>
      <c r="N5025" s="17" t="s">
        <v>736</v>
      </c>
    </row>
    <row r="5026" spans="1:14" x14ac:dyDescent="0.25">
      <c r="A5026" s="8">
        <v>984542</v>
      </c>
      <c r="B5026" s="22" t="str">
        <f>IFERROR(VLOOKUP(A5026,VLOOKUPS!$A$2:B$12589,2,FALSE),"")</f>
        <v>Blueberries 18oz-standard</v>
      </c>
      <c r="G5026" s="13">
        <v>44769</v>
      </c>
      <c r="H5026" s="13">
        <v>44775</v>
      </c>
      <c r="I5026" s="22" t="str">
        <f>VLOOKUP(J5026, Dropdowns!N:O, 2, FALSE)</f>
        <v>Lower Price</v>
      </c>
      <c r="J5026" t="s">
        <v>753</v>
      </c>
      <c r="L5026" s="17" t="s">
        <v>732</v>
      </c>
      <c r="M5026" s="17" t="s">
        <v>736</v>
      </c>
      <c r="N5026" s="17" t="s">
        <v>736</v>
      </c>
    </row>
    <row r="5027" spans="1:14" x14ac:dyDescent="0.25">
      <c r="A5027" s="8">
        <v>995179</v>
      </c>
      <c r="B5027" s="22" t="str">
        <f>IFERROR(VLOOKUP(A5027,VLOOKUPS!$A$2:B$12589,2,FALSE),"")</f>
        <v>Avocado Ranch Salad Bowl 7.2oz-Standard</v>
      </c>
      <c r="G5027" s="13">
        <v>44769</v>
      </c>
      <c r="H5027" s="13">
        <v>44775</v>
      </c>
      <c r="I5027" s="22" t="str">
        <f>VLOOKUP(J5027, Dropdowns!N:O, 2, FALSE)</f>
        <v>Lower Price</v>
      </c>
      <c r="J5027" t="s">
        <v>1081</v>
      </c>
      <c r="L5027" s="17" t="s">
        <v>732</v>
      </c>
      <c r="M5027" s="17" t="s">
        <v>736</v>
      </c>
      <c r="N5027" s="17" t="s">
        <v>736</v>
      </c>
    </row>
    <row r="5028" spans="1:14" x14ac:dyDescent="0.25">
      <c r="A5028" s="8">
        <v>995180</v>
      </c>
      <c r="B5028" s="22" t="str">
        <f>IFERROR(VLOOKUP(A5028,VLOOKUPS!$A$2:B$12589,2,FALSE),"")</f>
        <v>Crunchy Sesame 6.1oz-Standard</v>
      </c>
      <c r="G5028" s="13">
        <v>44769</v>
      </c>
      <c r="H5028" s="13">
        <v>44775</v>
      </c>
      <c r="I5028" s="22" t="str">
        <f>VLOOKUP(J5028, Dropdowns!N:O, 2, FALSE)</f>
        <v>Lower Price</v>
      </c>
      <c r="J5028" t="s">
        <v>1081</v>
      </c>
      <c r="L5028" s="17" t="s">
        <v>732</v>
      </c>
      <c r="M5028" s="17" t="s">
        <v>736</v>
      </c>
      <c r="N5028" s="17" t="s">
        <v>736</v>
      </c>
    </row>
    <row r="5029" spans="1:14" x14ac:dyDescent="0.25">
      <c r="A5029" s="8">
        <v>995181</v>
      </c>
      <c r="B5029" s="22" t="str">
        <f>IFERROR(VLOOKUP(A5029,VLOOKUPS!$A$2:B$12589,2,FALSE),"")</f>
        <v>Spicy Southwest Salad Bowl 5.9oz-standard</v>
      </c>
      <c r="G5029" s="13">
        <v>44769</v>
      </c>
      <c r="H5029" s="13">
        <v>44775</v>
      </c>
      <c r="I5029" s="22" t="str">
        <f>VLOOKUP(J5029, Dropdowns!N:O, 2, FALSE)</f>
        <v>Lower Price</v>
      </c>
      <c r="J5029" t="s">
        <v>1081</v>
      </c>
      <c r="L5029" s="17" t="s">
        <v>732</v>
      </c>
      <c r="M5029" s="17" t="s">
        <v>736</v>
      </c>
      <c r="N5029" s="17" t="s">
        <v>736</v>
      </c>
    </row>
    <row r="5030" spans="1:14" x14ac:dyDescent="0.25">
      <c r="A5030" s="8">
        <v>986250</v>
      </c>
      <c r="B5030" s="22" t="str">
        <f>IFERROR(VLOOKUP(A5030,VLOOKUPS!$A$2:B$12589,2,FALSE),"")</f>
        <v>French Beans 1lb-standard</v>
      </c>
      <c r="E5030">
        <v>1.99</v>
      </c>
      <c r="F5030">
        <v>2.99</v>
      </c>
      <c r="G5030" s="13">
        <v>44769</v>
      </c>
      <c r="H5030" s="13"/>
      <c r="I5030" s="22" t="str">
        <f>VLOOKUP(J5030, Dropdowns!N:O, 2, FALSE)</f>
        <v>Standard</v>
      </c>
      <c r="J5030" t="s">
        <v>760</v>
      </c>
      <c r="L5030" s="17" t="s">
        <v>732</v>
      </c>
      <c r="M5030" s="17" t="s">
        <v>736</v>
      </c>
      <c r="N5030" s="17" t="s">
        <v>736</v>
      </c>
    </row>
    <row r="5031" spans="1:14" x14ac:dyDescent="0.25">
      <c r="A5031" s="8">
        <v>982202</v>
      </c>
      <c r="B5031" s="22" t="str">
        <f>IFERROR(VLOOKUP(A5031,VLOOKUPS!$A$2:B$12589,2,FALSE),"")</f>
        <v>Peaches* 1lb-LOOSE</v>
      </c>
      <c r="E5031">
        <v>1.69</v>
      </c>
      <c r="F5031">
        <v>2.99</v>
      </c>
      <c r="G5031" s="13">
        <v>44769</v>
      </c>
      <c r="H5031" s="13"/>
      <c r="I5031" s="22" t="str">
        <f>VLOOKUP(J5031, Dropdowns!N:O, 2, FALSE)</f>
        <v>Standard</v>
      </c>
      <c r="J5031" t="s">
        <v>760</v>
      </c>
      <c r="L5031" s="17" t="s">
        <v>733</v>
      </c>
      <c r="M5031" s="17" t="s">
        <v>735</v>
      </c>
      <c r="N5031" s="17" t="s">
        <v>740</v>
      </c>
    </row>
    <row r="5032" spans="1:14" x14ac:dyDescent="0.25">
      <c r="A5032" s="8">
        <v>982202</v>
      </c>
      <c r="B5032" s="22" t="str">
        <f>IFERROR(VLOOKUP(A5032,VLOOKUPS!$A$2:B$12589,2,FALSE),"")</f>
        <v>Peaches* 1lb-LOOSE</v>
      </c>
      <c r="E5032">
        <v>1.99</v>
      </c>
      <c r="F5032">
        <v>3.29</v>
      </c>
      <c r="G5032" s="13">
        <v>44769</v>
      </c>
      <c r="H5032" s="13"/>
      <c r="I5032" s="22" t="str">
        <f>VLOOKUP(J5032, Dropdowns!N:O, 2, FALSE)</f>
        <v>Standard</v>
      </c>
      <c r="J5032" t="s">
        <v>760</v>
      </c>
      <c r="L5032" s="17" t="s">
        <v>734</v>
      </c>
      <c r="M5032" s="17" t="s">
        <v>9</v>
      </c>
      <c r="N5032" s="17" t="s">
        <v>736</v>
      </c>
    </row>
    <row r="5033" spans="1:14" x14ac:dyDescent="0.25">
      <c r="A5033" s="8">
        <v>982202</v>
      </c>
      <c r="B5033" s="22" t="str">
        <f>IFERROR(VLOOKUP(A5033,VLOOKUPS!$A$2:B$12589,2,FALSE),"")</f>
        <v>Peaches* 1lb-LOOSE</v>
      </c>
      <c r="G5033" s="13">
        <v>44769</v>
      </c>
      <c r="H5033" s="13">
        <v>44770</v>
      </c>
      <c r="I5033" s="22" t="str">
        <f>VLOOKUP(J5033, Dropdowns!N:O, 2, FALSE)</f>
        <v>Lower Price</v>
      </c>
      <c r="J5033" t="s">
        <v>762</v>
      </c>
      <c r="L5033" s="17" t="s">
        <v>733</v>
      </c>
      <c r="M5033" s="17" t="s">
        <v>11</v>
      </c>
      <c r="N5033" s="17" t="s">
        <v>740</v>
      </c>
    </row>
    <row r="5034" spans="1:14" x14ac:dyDescent="0.25">
      <c r="A5034" s="8">
        <v>985611</v>
      </c>
      <c r="B5034" s="22" t="str">
        <f>IFERROR(VLOOKUP(A5034,VLOOKUPS!$A$2:B$12589,2,FALSE),"")</f>
        <v>Cucumbers Long English 3ct-standard</v>
      </c>
      <c r="E5034">
        <v>2.99</v>
      </c>
      <c r="F5034">
        <v>2.99</v>
      </c>
      <c r="G5034" s="13">
        <v>44769</v>
      </c>
      <c r="H5034" s="13"/>
      <c r="I5034" s="22" t="str">
        <f>VLOOKUP(J5034, Dropdowns!N:O, 2, FALSE)</f>
        <v>Standard</v>
      </c>
      <c r="J5034" t="s">
        <v>760</v>
      </c>
      <c r="L5034" s="17" t="s">
        <v>732</v>
      </c>
      <c r="M5034" s="17" t="s">
        <v>736</v>
      </c>
      <c r="N5034" s="17" t="s">
        <v>736</v>
      </c>
    </row>
    <row r="5035" spans="1:14" x14ac:dyDescent="0.25">
      <c r="A5035" s="8">
        <v>982000</v>
      </c>
      <c r="B5035" s="22" t="str">
        <f>IFERROR(VLOOKUP(A5035,VLOOKUPS!$A$2:B$12589,2,FALSE),"")</f>
        <v>Cherries* Sweet 1lb-LOOSE</v>
      </c>
      <c r="E5035">
        <v>3.49</v>
      </c>
      <c r="F5035">
        <v>4.99</v>
      </c>
      <c r="G5035" s="13">
        <v>44769</v>
      </c>
      <c r="H5035" s="13"/>
      <c r="I5035" s="22" t="str">
        <f>VLOOKUP(J5035, Dropdowns!N:O, 2, FALSE)</f>
        <v>Standard</v>
      </c>
      <c r="J5035" t="s">
        <v>760</v>
      </c>
      <c r="L5035" s="17" t="s">
        <v>732</v>
      </c>
      <c r="M5035" s="17" t="s">
        <v>737</v>
      </c>
      <c r="N5035" s="17" t="s">
        <v>736</v>
      </c>
    </row>
    <row r="5036" spans="1:14" x14ac:dyDescent="0.25">
      <c r="A5036" s="8">
        <v>982000</v>
      </c>
      <c r="B5036" s="22" t="str">
        <f>IFERROR(VLOOKUP(A5036,VLOOKUPS!$A$2:B$12589,2,FALSE),"")</f>
        <v>Cherries* Sweet 1lb-LOOSE</v>
      </c>
      <c r="G5036" s="13">
        <v>44769</v>
      </c>
      <c r="H5036" s="13">
        <v>44769</v>
      </c>
      <c r="I5036" s="22" t="str">
        <f>VLOOKUP(J5036, Dropdowns!N:O, 2, FALSE)</f>
        <v>Lower Price</v>
      </c>
      <c r="J5036" t="s">
        <v>762</v>
      </c>
      <c r="L5036" s="17" t="s">
        <v>732</v>
      </c>
      <c r="M5036" s="17" t="s">
        <v>10</v>
      </c>
      <c r="N5036" s="17">
        <v>2</v>
      </c>
    </row>
    <row r="5037" spans="1:14" x14ac:dyDescent="0.25">
      <c r="A5037" s="8">
        <v>984461</v>
      </c>
      <c r="B5037" s="22" t="str">
        <f>IFERROR(VLOOKUP(A5037,VLOOKUPS!$A$2:B$12589,2,FALSE),"")</f>
        <v>Strawberries 2lb-standard</v>
      </c>
      <c r="E5037">
        <v>4.66</v>
      </c>
      <c r="F5037">
        <v>2.8</v>
      </c>
      <c r="G5037" s="13">
        <v>44769</v>
      </c>
      <c r="H5037" s="13">
        <v>44770</v>
      </c>
      <c r="I5037" s="22" t="str">
        <f>VLOOKUP(J5037, Dropdowns!N:O, 2, FALSE)</f>
        <v>Lower Price</v>
      </c>
      <c r="J5037" t="s">
        <v>759</v>
      </c>
      <c r="L5037" s="17" t="s">
        <v>733</v>
      </c>
      <c r="M5037" s="17" t="s">
        <v>10</v>
      </c>
      <c r="N5037" s="17" t="s">
        <v>740</v>
      </c>
    </row>
    <row r="5038" spans="1:14" x14ac:dyDescent="0.25">
      <c r="A5038" s="8">
        <v>984461</v>
      </c>
      <c r="B5038" s="22" t="str">
        <f>IFERROR(VLOOKUP(A5038,VLOOKUPS!$A$2:B$12589,2,FALSE),"")</f>
        <v>Strawberries 2lb-standard</v>
      </c>
      <c r="E5038">
        <v>2.8</v>
      </c>
      <c r="F5038">
        <v>4.66</v>
      </c>
      <c r="G5038" s="13">
        <v>44771</v>
      </c>
      <c r="H5038" s="13"/>
      <c r="I5038" s="22" t="str">
        <f>VLOOKUP(J5038, Dropdowns!N:O, 2, FALSE)</f>
        <v>Standard</v>
      </c>
      <c r="J5038" t="s">
        <v>760</v>
      </c>
      <c r="L5038" s="17" t="s">
        <v>733</v>
      </c>
      <c r="M5038" s="17" t="s">
        <v>10</v>
      </c>
      <c r="N5038" s="17" t="s">
        <v>740</v>
      </c>
    </row>
    <row r="5039" spans="1:14" x14ac:dyDescent="0.25">
      <c r="A5039" s="8">
        <v>995004</v>
      </c>
      <c r="B5039" s="22" t="str">
        <f>IFERROR(VLOOKUP(A5039,VLOOKUPS!$A$2:B$12589,2,FALSE),"")</f>
        <v>Chicken Caesar Salad 6.25oz-standard</v>
      </c>
      <c r="E5039">
        <v>3.27</v>
      </c>
      <c r="F5039">
        <v>3.47</v>
      </c>
      <c r="G5039" s="13">
        <v>44770</v>
      </c>
      <c r="H5039" s="13"/>
      <c r="I5039" s="22" t="str">
        <f>VLOOKUP(J5039, Dropdowns!N:O, 2, FALSE)</f>
        <v>Standard</v>
      </c>
      <c r="J5039" t="s">
        <v>761</v>
      </c>
      <c r="L5039" s="17" t="s">
        <v>733</v>
      </c>
      <c r="M5039" s="17" t="s">
        <v>736</v>
      </c>
      <c r="N5039" s="17" t="s">
        <v>740</v>
      </c>
    </row>
    <row r="5040" spans="1:14" x14ac:dyDescent="0.25">
      <c r="A5040" s="8">
        <v>995004</v>
      </c>
      <c r="B5040" s="22" t="str">
        <f>IFERROR(VLOOKUP(A5040,VLOOKUPS!$A$2:B$12589,2,FALSE),"")</f>
        <v>Chicken Caesar Salad 6.25oz-standard</v>
      </c>
      <c r="E5040">
        <v>3.27</v>
      </c>
      <c r="F5040">
        <v>3.47</v>
      </c>
      <c r="G5040" s="13">
        <v>44770</v>
      </c>
      <c r="H5040" s="13"/>
      <c r="I5040" s="22" t="str">
        <f>VLOOKUP(J5040, Dropdowns!N:O, 2, FALSE)</f>
        <v>Standard</v>
      </c>
      <c r="J5040" t="s">
        <v>761</v>
      </c>
      <c r="L5040" s="17" t="s">
        <v>734</v>
      </c>
      <c r="M5040" s="17" t="s">
        <v>10</v>
      </c>
      <c r="N5040" s="17">
        <v>2</v>
      </c>
    </row>
    <row r="5041" spans="1:14" x14ac:dyDescent="0.25">
      <c r="A5041" s="8">
        <v>995005</v>
      </c>
      <c r="B5041" s="22" t="str">
        <f>IFERROR(VLOOKUP(A5041,VLOOKUPS!$A$2:B$12589,2,FALSE),"")</f>
        <v>Garden Salad 12oz-standard</v>
      </c>
      <c r="E5041">
        <v>1.49</v>
      </c>
      <c r="F5041">
        <v>1.78</v>
      </c>
      <c r="G5041" s="13">
        <v>44770</v>
      </c>
      <c r="H5041" s="13"/>
      <c r="I5041" s="22" t="str">
        <f>VLOOKUP(J5041, Dropdowns!N:O, 2, FALSE)</f>
        <v>Standard</v>
      </c>
      <c r="J5041" t="s">
        <v>761</v>
      </c>
      <c r="L5041" s="17" t="s">
        <v>733</v>
      </c>
      <c r="M5041" s="17" t="s">
        <v>736</v>
      </c>
      <c r="N5041" s="17" t="s">
        <v>740</v>
      </c>
    </row>
    <row r="5042" spans="1:14" x14ac:dyDescent="0.25">
      <c r="A5042" s="8">
        <v>995005</v>
      </c>
      <c r="B5042" s="22" t="str">
        <f>IFERROR(VLOOKUP(A5042,VLOOKUPS!$A$2:B$12589,2,FALSE),"")</f>
        <v>Garden Salad 12oz-standard</v>
      </c>
      <c r="E5042">
        <v>1.49</v>
      </c>
      <c r="F5042">
        <v>1.78</v>
      </c>
      <c r="G5042" s="13">
        <v>44770</v>
      </c>
      <c r="H5042" s="13"/>
      <c r="I5042" s="22" t="str">
        <f>VLOOKUP(J5042, Dropdowns!N:O, 2, FALSE)</f>
        <v>Standard</v>
      </c>
      <c r="J5042" t="s">
        <v>761</v>
      </c>
      <c r="L5042" s="17" t="s">
        <v>734</v>
      </c>
      <c r="M5042" s="17" t="s">
        <v>10</v>
      </c>
      <c r="N5042" s="17">
        <v>2</v>
      </c>
    </row>
    <row r="5043" spans="1:14" x14ac:dyDescent="0.25">
      <c r="A5043" s="8">
        <v>995008</v>
      </c>
      <c r="B5043" s="22" t="str">
        <f>IFERROR(VLOOKUP(A5043,VLOOKUPS!$A$2:B$12589,2,FALSE),"")</f>
        <v>Shredded Lettuce 8oz-standard</v>
      </c>
      <c r="E5043">
        <v>1.95</v>
      </c>
      <c r="F5043">
        <v>1.98</v>
      </c>
      <c r="G5043" s="13">
        <v>44770</v>
      </c>
      <c r="H5043" s="13"/>
      <c r="I5043" s="22" t="str">
        <f>VLOOKUP(J5043, Dropdowns!N:O, 2, FALSE)</f>
        <v>Standard</v>
      </c>
      <c r="J5043" t="s">
        <v>761</v>
      </c>
      <c r="L5043" s="17" t="s">
        <v>733</v>
      </c>
      <c r="M5043" s="17" t="s">
        <v>736</v>
      </c>
      <c r="N5043" s="17" t="s">
        <v>740</v>
      </c>
    </row>
    <row r="5044" spans="1:14" x14ac:dyDescent="0.25">
      <c r="A5044" s="8">
        <v>995008</v>
      </c>
      <c r="B5044" s="22" t="str">
        <f>IFERROR(VLOOKUP(A5044,VLOOKUPS!$A$2:B$12589,2,FALSE),"")</f>
        <v>Shredded Lettuce 8oz-standard</v>
      </c>
      <c r="E5044">
        <v>1.95</v>
      </c>
      <c r="F5044">
        <v>1.98</v>
      </c>
      <c r="G5044" s="13">
        <v>44770</v>
      </c>
      <c r="H5044" s="13"/>
      <c r="I5044" s="22" t="str">
        <f>VLOOKUP(J5044, Dropdowns!N:O, 2, FALSE)</f>
        <v>Standard</v>
      </c>
      <c r="J5044" t="s">
        <v>761</v>
      </c>
      <c r="L5044" s="17" t="s">
        <v>734</v>
      </c>
      <c r="M5044" s="17" t="s">
        <v>10</v>
      </c>
      <c r="N5044" s="17">
        <v>2</v>
      </c>
    </row>
    <row r="5045" spans="1:14" x14ac:dyDescent="0.25">
      <c r="A5045" s="8">
        <v>995010</v>
      </c>
      <c r="B5045" s="22" t="str">
        <f>IFERROR(VLOOKUP(A5045,VLOOKUPS!$A$2:B$12589,2,FALSE),"")</f>
        <v>RTE Turkey Bacon Cobb Salad 7.25oz-standard</v>
      </c>
      <c r="E5045">
        <v>3.27</v>
      </c>
      <c r="F5045">
        <v>3.47</v>
      </c>
      <c r="G5045" s="13">
        <v>44770</v>
      </c>
      <c r="H5045" s="13"/>
      <c r="I5045" s="22" t="str">
        <f>VLOOKUP(J5045, Dropdowns!N:O, 2, FALSE)</f>
        <v>Standard</v>
      </c>
      <c r="J5045" t="s">
        <v>761</v>
      </c>
      <c r="L5045" s="17" t="s">
        <v>733</v>
      </c>
      <c r="M5045" s="17" t="s">
        <v>736</v>
      </c>
      <c r="N5045" s="17" t="s">
        <v>740</v>
      </c>
    </row>
    <row r="5046" spans="1:14" x14ac:dyDescent="0.25">
      <c r="A5046" s="8">
        <v>995010</v>
      </c>
      <c r="B5046" s="22" t="str">
        <f>IFERROR(VLOOKUP(A5046,VLOOKUPS!$A$2:B$12589,2,FALSE),"")</f>
        <v>RTE Turkey Bacon Cobb Salad 7.25oz-standard</v>
      </c>
      <c r="E5046">
        <v>3.27</v>
      </c>
      <c r="F5046">
        <v>3.47</v>
      </c>
      <c r="G5046" s="13">
        <v>44770</v>
      </c>
      <c r="H5046" s="13"/>
      <c r="I5046" s="22" t="str">
        <f>VLOOKUP(J5046, Dropdowns!N:O, 2, FALSE)</f>
        <v>Standard</v>
      </c>
      <c r="J5046" t="s">
        <v>761</v>
      </c>
      <c r="L5046" s="17" t="s">
        <v>734</v>
      </c>
      <c r="M5046" s="17" t="s">
        <v>10</v>
      </c>
      <c r="N5046" s="17">
        <v>2</v>
      </c>
    </row>
    <row r="5047" spans="1:14" x14ac:dyDescent="0.25">
      <c r="A5047" s="8">
        <v>995015</v>
      </c>
      <c r="B5047" s="22" t="str">
        <f>IFERROR(VLOOKUP(A5047,VLOOKUPS!$A$2:B$12589,2,FALSE),"")</f>
        <v>Savory Spinach Dijon Salad 4.9oz-standard</v>
      </c>
      <c r="E5047">
        <v>3.27</v>
      </c>
      <c r="F5047">
        <v>3.47</v>
      </c>
      <c r="G5047" s="13">
        <v>44770</v>
      </c>
      <c r="H5047" s="13"/>
      <c r="I5047" s="22" t="str">
        <f>VLOOKUP(J5047, Dropdowns!N:O, 2, FALSE)</f>
        <v>Standard</v>
      </c>
      <c r="J5047" t="s">
        <v>761</v>
      </c>
      <c r="L5047" s="17" t="s">
        <v>733</v>
      </c>
      <c r="M5047" s="17" t="s">
        <v>736</v>
      </c>
      <c r="N5047" s="17" t="s">
        <v>740</v>
      </c>
    </row>
    <row r="5048" spans="1:14" x14ac:dyDescent="0.25">
      <c r="A5048" s="8">
        <v>995015</v>
      </c>
      <c r="B5048" s="22" t="str">
        <f>IFERROR(VLOOKUP(A5048,VLOOKUPS!$A$2:B$12589,2,FALSE),"")</f>
        <v>Savory Spinach Dijon Salad 4.9oz-standard</v>
      </c>
      <c r="E5048">
        <v>3.12</v>
      </c>
      <c r="F5048">
        <v>3.47</v>
      </c>
      <c r="G5048" s="13">
        <v>44770</v>
      </c>
      <c r="H5048" s="13"/>
      <c r="I5048" s="22" t="str">
        <f>VLOOKUP(J5048, Dropdowns!N:O, 2, FALSE)</f>
        <v>Standard</v>
      </c>
      <c r="J5048" t="s">
        <v>761</v>
      </c>
      <c r="L5048" s="17" t="s">
        <v>734</v>
      </c>
      <c r="M5048" s="17" t="s">
        <v>10</v>
      </c>
      <c r="N5048" s="17">
        <v>2</v>
      </c>
    </row>
    <row r="5049" spans="1:14" x14ac:dyDescent="0.25">
      <c r="A5049" s="8">
        <v>995011</v>
      </c>
      <c r="B5049" s="22" t="str">
        <f>IFERROR(VLOOKUP(A5049,VLOOKUPS!$A$2:B$12589,2,FALSE),"")</f>
        <v>RTE Santa Fe Salad 6.25oz-standard</v>
      </c>
      <c r="E5049">
        <v>3.27</v>
      </c>
      <c r="F5049">
        <v>3.47</v>
      </c>
      <c r="G5049" s="13">
        <v>44770</v>
      </c>
      <c r="H5049" s="13"/>
      <c r="I5049" s="22" t="str">
        <f>VLOOKUP(J5049, Dropdowns!N:O, 2, FALSE)</f>
        <v>Standard</v>
      </c>
      <c r="J5049" t="s">
        <v>761</v>
      </c>
      <c r="L5049" s="17" t="s">
        <v>733</v>
      </c>
      <c r="M5049" s="17" t="s">
        <v>736</v>
      </c>
      <c r="N5049" s="17" t="s">
        <v>740</v>
      </c>
    </row>
    <row r="5050" spans="1:14" x14ac:dyDescent="0.25">
      <c r="A5050" s="8">
        <v>995011</v>
      </c>
      <c r="B5050" s="22" t="str">
        <f>IFERROR(VLOOKUP(A5050,VLOOKUPS!$A$2:B$12589,2,FALSE),"")</f>
        <v>RTE Santa Fe Salad 6.25oz-standard</v>
      </c>
      <c r="E5050">
        <v>3.27</v>
      </c>
      <c r="F5050">
        <v>3.47</v>
      </c>
      <c r="G5050" s="13">
        <v>44770</v>
      </c>
      <c r="H5050" s="13"/>
      <c r="I5050" s="22" t="str">
        <f>VLOOKUP(J5050, Dropdowns!N:O, 2, FALSE)</f>
        <v>Standard</v>
      </c>
      <c r="J5050" t="s">
        <v>761</v>
      </c>
      <c r="L5050" s="17" t="s">
        <v>734</v>
      </c>
      <c r="M5050" s="17" t="s">
        <v>10</v>
      </c>
      <c r="N5050" s="17">
        <v>2</v>
      </c>
    </row>
    <row r="5051" spans="1:14" x14ac:dyDescent="0.25">
      <c r="A5051" s="8">
        <v>995012</v>
      </c>
      <c r="B5051" s="22" t="str">
        <f>IFERROR(VLOOKUP(A5051,VLOOKUPS!$A$2:B$12589,2,FALSE),"")</f>
        <v>RTE Cranberry Walnut Salad 4.5oz-standard</v>
      </c>
      <c r="E5051">
        <v>3.27</v>
      </c>
      <c r="F5051">
        <v>3.47</v>
      </c>
      <c r="G5051" s="13">
        <v>44770</v>
      </c>
      <c r="H5051" s="13"/>
      <c r="I5051" s="22" t="str">
        <f>VLOOKUP(J5051, Dropdowns!N:O, 2, FALSE)</f>
        <v>Standard</v>
      </c>
      <c r="J5051" t="s">
        <v>761</v>
      </c>
      <c r="L5051" s="17" t="s">
        <v>733</v>
      </c>
      <c r="M5051" s="17" t="s">
        <v>736</v>
      </c>
      <c r="N5051" s="17" t="s">
        <v>740</v>
      </c>
    </row>
    <row r="5052" spans="1:14" x14ac:dyDescent="0.25">
      <c r="A5052" s="8">
        <v>995012</v>
      </c>
      <c r="B5052" s="22" t="str">
        <f>IFERROR(VLOOKUP(A5052,VLOOKUPS!$A$2:B$12589,2,FALSE),"")</f>
        <v>RTE Cranberry Walnut Salad 4.5oz-standard</v>
      </c>
      <c r="E5052">
        <v>3.12</v>
      </c>
      <c r="F5052">
        <v>3.47</v>
      </c>
      <c r="G5052" s="13">
        <v>44770</v>
      </c>
      <c r="H5052" s="13"/>
      <c r="I5052" s="22" t="str">
        <f>VLOOKUP(J5052, Dropdowns!N:O, 2, FALSE)</f>
        <v>Standard</v>
      </c>
      <c r="J5052" t="s">
        <v>761</v>
      </c>
      <c r="L5052" s="17" t="s">
        <v>734</v>
      </c>
      <c r="M5052" s="17" t="s">
        <v>10</v>
      </c>
      <c r="N5052" s="17">
        <v>2</v>
      </c>
    </row>
    <row r="5053" spans="1:14" x14ac:dyDescent="0.25">
      <c r="A5053" s="8">
        <v>995014</v>
      </c>
      <c r="B5053" s="22" t="str">
        <f>IFERROR(VLOOKUP(A5053,VLOOKUPS!$A$2:B$12589,2,FALSE),"")</f>
        <v>RTE Café Style Chef Salad 7.65oz-standard</v>
      </c>
      <c r="E5053">
        <v>3.27</v>
      </c>
      <c r="F5053">
        <v>3.47</v>
      </c>
      <c r="G5053" s="13">
        <v>44770</v>
      </c>
      <c r="H5053" s="13"/>
      <c r="I5053" s="22" t="str">
        <f>VLOOKUP(J5053, Dropdowns!N:O, 2, FALSE)</f>
        <v>Standard</v>
      </c>
      <c r="J5053" t="s">
        <v>761</v>
      </c>
      <c r="L5053" s="17" t="s">
        <v>733</v>
      </c>
      <c r="M5053" s="17" t="s">
        <v>736</v>
      </c>
      <c r="N5053" s="17" t="s">
        <v>740</v>
      </c>
    </row>
    <row r="5054" spans="1:14" x14ac:dyDescent="0.25">
      <c r="A5054" s="8">
        <v>995014</v>
      </c>
      <c r="B5054" s="22" t="str">
        <f>IFERROR(VLOOKUP(A5054,VLOOKUPS!$A$2:B$12589,2,FALSE),"")</f>
        <v>RTE Café Style Chef Salad 7.65oz-standard</v>
      </c>
      <c r="E5054">
        <v>3.27</v>
      </c>
      <c r="F5054">
        <v>3.47</v>
      </c>
      <c r="G5054" s="13">
        <v>44770</v>
      </c>
      <c r="H5054" s="13"/>
      <c r="I5054" s="22" t="str">
        <f>VLOOKUP(J5054, Dropdowns!N:O, 2, FALSE)</f>
        <v>Standard</v>
      </c>
      <c r="J5054" t="s">
        <v>761</v>
      </c>
      <c r="L5054" s="17" t="s">
        <v>734</v>
      </c>
      <c r="M5054" s="17" t="s">
        <v>10</v>
      </c>
      <c r="N5054" s="17">
        <v>2</v>
      </c>
    </row>
    <row r="5055" spans="1:14" x14ac:dyDescent="0.25">
      <c r="A5055" s="8">
        <v>995067</v>
      </c>
      <c r="B5055" s="22" t="str">
        <f>IFERROR(VLOOKUP(A5055,VLOOKUPS!$A$2:B$12589,2,FALSE),"")</f>
        <v>Organic Baby Arugula 5oz-standard</v>
      </c>
      <c r="E5055">
        <v>2.98</v>
      </c>
      <c r="F5055">
        <v>3.13</v>
      </c>
      <c r="G5055" s="13">
        <v>44770</v>
      </c>
      <c r="H5055" s="13"/>
      <c r="I5055" s="22" t="str">
        <f>VLOOKUP(J5055, Dropdowns!N:O, 2, FALSE)</f>
        <v>Standard</v>
      </c>
      <c r="J5055" t="s">
        <v>761</v>
      </c>
      <c r="L5055" s="17" t="s">
        <v>733</v>
      </c>
      <c r="M5055" s="17" t="s">
        <v>736</v>
      </c>
      <c r="N5055" s="17" t="s">
        <v>740</v>
      </c>
    </row>
    <row r="5056" spans="1:14" x14ac:dyDescent="0.25">
      <c r="A5056" s="8">
        <v>995067</v>
      </c>
      <c r="B5056" s="22" t="str">
        <f>IFERROR(VLOOKUP(A5056,VLOOKUPS!$A$2:B$12589,2,FALSE),"")</f>
        <v>Organic Baby Arugula 5oz-standard</v>
      </c>
      <c r="E5056">
        <v>2.98</v>
      </c>
      <c r="F5056">
        <v>3.13</v>
      </c>
      <c r="G5056" s="13">
        <v>44770</v>
      </c>
      <c r="H5056" s="13"/>
      <c r="I5056" s="22" t="str">
        <f>VLOOKUP(J5056, Dropdowns!N:O, 2, FALSE)</f>
        <v>Standard</v>
      </c>
      <c r="J5056" t="s">
        <v>761</v>
      </c>
      <c r="L5056" s="17" t="s">
        <v>734</v>
      </c>
      <c r="M5056" s="17" t="s">
        <v>10</v>
      </c>
      <c r="N5056" s="17">
        <v>2</v>
      </c>
    </row>
    <row r="5057" spans="1:14" x14ac:dyDescent="0.25">
      <c r="A5057" s="8">
        <v>995068</v>
      </c>
      <c r="B5057" s="22" t="str">
        <f>IFERROR(VLOOKUP(A5057,VLOOKUPS!$A$2:B$12589,2,FALSE),"")</f>
        <v>Organic Half and Half 5oz-standard</v>
      </c>
      <c r="E5057">
        <v>2.75</v>
      </c>
      <c r="F5057">
        <v>2.85</v>
      </c>
      <c r="G5057" s="13">
        <v>44770</v>
      </c>
      <c r="H5057" s="13"/>
      <c r="I5057" s="22" t="str">
        <f>VLOOKUP(J5057, Dropdowns!N:O, 2, FALSE)</f>
        <v>Standard</v>
      </c>
      <c r="J5057" t="s">
        <v>761</v>
      </c>
      <c r="L5057" s="17" t="s">
        <v>733</v>
      </c>
      <c r="M5057" s="17" t="s">
        <v>736</v>
      </c>
      <c r="N5057" s="17" t="s">
        <v>740</v>
      </c>
    </row>
    <row r="5058" spans="1:14" x14ac:dyDescent="0.25">
      <c r="A5058" s="8">
        <v>995068</v>
      </c>
      <c r="B5058" s="22" t="str">
        <f>IFERROR(VLOOKUP(A5058,VLOOKUPS!$A$2:B$12589,2,FALSE),"")</f>
        <v>Organic Half and Half 5oz-standard</v>
      </c>
      <c r="E5058">
        <v>2.75</v>
      </c>
      <c r="F5058">
        <v>2.85</v>
      </c>
      <c r="G5058" s="13">
        <v>44770</v>
      </c>
      <c r="H5058" s="13"/>
      <c r="I5058" s="22" t="str">
        <f>VLOOKUP(J5058, Dropdowns!N:O, 2, FALSE)</f>
        <v>Standard</v>
      </c>
      <c r="J5058" t="s">
        <v>761</v>
      </c>
      <c r="L5058" s="17" t="s">
        <v>734</v>
      </c>
      <c r="M5058" s="17" t="s">
        <v>10</v>
      </c>
      <c r="N5058" s="17">
        <v>2</v>
      </c>
    </row>
    <row r="5059" spans="1:14" x14ac:dyDescent="0.25">
      <c r="A5059" s="8">
        <v>995069</v>
      </c>
      <c r="B5059" s="22" t="str">
        <f>IFERROR(VLOOKUP(A5059,VLOOKUPS!$A$2:B$12589,2,FALSE),"")</f>
        <v>Organic Baby Spinach 5oz-standard</v>
      </c>
      <c r="E5059">
        <v>2.98</v>
      </c>
      <c r="F5059">
        <v>3.13</v>
      </c>
      <c r="G5059" s="13">
        <v>44770</v>
      </c>
      <c r="H5059" s="13"/>
      <c r="I5059" s="22" t="str">
        <f>VLOOKUP(J5059, Dropdowns!N:O, 2, FALSE)</f>
        <v>Standard</v>
      </c>
      <c r="J5059" t="s">
        <v>761</v>
      </c>
      <c r="L5059" s="17" t="s">
        <v>733</v>
      </c>
      <c r="M5059" s="17" t="s">
        <v>736</v>
      </c>
      <c r="N5059" s="17" t="s">
        <v>740</v>
      </c>
    </row>
    <row r="5060" spans="1:14" x14ac:dyDescent="0.25">
      <c r="A5060" s="8">
        <v>995069</v>
      </c>
      <c r="B5060" s="22" t="str">
        <f>IFERROR(VLOOKUP(A5060,VLOOKUPS!$A$2:B$12589,2,FALSE),"")</f>
        <v>Organic Baby Spinach 5oz-standard</v>
      </c>
      <c r="E5060">
        <v>2.98</v>
      </c>
      <c r="F5060">
        <v>3.13</v>
      </c>
      <c r="G5060" s="13">
        <v>44770</v>
      </c>
      <c r="H5060" s="13"/>
      <c r="I5060" s="22" t="str">
        <f>VLOOKUP(J5060, Dropdowns!N:O, 2, FALSE)</f>
        <v>Standard</v>
      </c>
      <c r="J5060" t="s">
        <v>761</v>
      </c>
      <c r="L5060" s="17" t="s">
        <v>734</v>
      </c>
      <c r="M5060" s="17" t="s">
        <v>10</v>
      </c>
      <c r="N5060" s="17">
        <v>2</v>
      </c>
    </row>
    <row r="5061" spans="1:14" x14ac:dyDescent="0.25">
      <c r="A5061" s="8">
        <v>995070</v>
      </c>
      <c r="B5061" s="22" t="str">
        <f>IFERROR(VLOOKUP(A5061,VLOOKUPS!$A$2:B$12589,2,FALSE),"")</f>
        <v>Organic Baby Spring Mix 5oz-standard</v>
      </c>
      <c r="E5061">
        <v>2.98</v>
      </c>
      <c r="F5061">
        <v>3.13</v>
      </c>
      <c r="G5061" s="13">
        <v>44770</v>
      </c>
      <c r="H5061" s="13"/>
      <c r="I5061" s="22" t="str">
        <f>VLOOKUP(J5061, Dropdowns!N:O, 2, FALSE)</f>
        <v>Standard</v>
      </c>
      <c r="J5061" t="s">
        <v>761</v>
      </c>
      <c r="L5061" s="17" t="s">
        <v>733</v>
      </c>
      <c r="M5061" s="17" t="s">
        <v>736</v>
      </c>
      <c r="N5061" s="17" t="s">
        <v>740</v>
      </c>
    </row>
    <row r="5062" spans="1:14" x14ac:dyDescent="0.25">
      <c r="A5062" s="8">
        <v>995070</v>
      </c>
      <c r="B5062" s="22" t="str">
        <f>IFERROR(VLOOKUP(A5062,VLOOKUPS!$A$2:B$12589,2,FALSE),"")</f>
        <v>Organic Baby Spring Mix 5oz-standard</v>
      </c>
      <c r="E5062">
        <v>2.98</v>
      </c>
      <c r="F5062">
        <v>3.13</v>
      </c>
      <c r="G5062" s="13">
        <v>44770</v>
      </c>
      <c r="H5062" s="13"/>
      <c r="I5062" s="22" t="str">
        <f>VLOOKUP(J5062, Dropdowns!N:O, 2, FALSE)</f>
        <v>Standard</v>
      </c>
      <c r="J5062" t="s">
        <v>761</v>
      </c>
      <c r="L5062" s="17" t="s">
        <v>734</v>
      </c>
      <c r="M5062" s="17" t="s">
        <v>10</v>
      </c>
      <c r="N5062" s="17">
        <v>2</v>
      </c>
    </row>
    <row r="5063" spans="1:14" x14ac:dyDescent="0.25">
      <c r="A5063" s="8">
        <v>995076</v>
      </c>
      <c r="B5063" s="22" t="str">
        <f>IFERROR(VLOOKUP(A5063,VLOOKUPS!$A$2:B$12589,2,FALSE),"")</f>
        <v>Organic Power Greens 5oz-standard</v>
      </c>
      <c r="E5063">
        <v>2.98</v>
      </c>
      <c r="F5063">
        <v>3.13</v>
      </c>
      <c r="G5063" s="13">
        <v>44770</v>
      </c>
      <c r="H5063" s="13"/>
      <c r="I5063" s="22" t="str">
        <f>VLOOKUP(J5063, Dropdowns!N:O, 2, FALSE)</f>
        <v>Standard</v>
      </c>
      <c r="J5063" t="s">
        <v>761</v>
      </c>
      <c r="L5063" s="17" t="s">
        <v>733</v>
      </c>
      <c r="M5063" s="17" t="s">
        <v>736</v>
      </c>
      <c r="N5063" s="17" t="s">
        <v>740</v>
      </c>
    </row>
    <row r="5064" spans="1:14" x14ac:dyDescent="0.25">
      <c r="A5064" s="8">
        <v>995076</v>
      </c>
      <c r="B5064" s="22" t="str">
        <f>IFERROR(VLOOKUP(A5064,VLOOKUPS!$A$2:B$12589,2,FALSE),"")</f>
        <v>Organic Power Greens 5oz-standard</v>
      </c>
      <c r="E5064">
        <v>2.98</v>
      </c>
      <c r="F5064">
        <v>3.13</v>
      </c>
      <c r="G5064" s="13">
        <v>44770</v>
      </c>
      <c r="H5064" s="13"/>
      <c r="I5064" s="22" t="str">
        <f>VLOOKUP(J5064, Dropdowns!N:O, 2, FALSE)</f>
        <v>Standard</v>
      </c>
      <c r="J5064" t="s">
        <v>761</v>
      </c>
      <c r="L5064" s="17" t="s">
        <v>734</v>
      </c>
      <c r="M5064" s="17" t="s">
        <v>10</v>
      </c>
      <c r="N5064" s="17">
        <v>2</v>
      </c>
    </row>
    <row r="5065" spans="1:14" x14ac:dyDescent="0.25">
      <c r="A5065" s="8">
        <v>995077</v>
      </c>
      <c r="B5065" s="22" t="str">
        <f>IFERROR(VLOOKUP(A5065,VLOOKUPS!$A$2:B$12589,2,FALSE),"")</f>
        <v>Organic Baby Spring Mix 16oz-standard</v>
      </c>
      <c r="E5065">
        <v>4.9800000000000004</v>
      </c>
      <c r="F5065">
        <v>5.13</v>
      </c>
      <c r="G5065" s="13">
        <v>44770</v>
      </c>
      <c r="H5065" s="13"/>
      <c r="I5065" s="22" t="str">
        <f>VLOOKUP(J5065, Dropdowns!N:O, 2, FALSE)</f>
        <v>Standard</v>
      </c>
      <c r="J5065" t="s">
        <v>761</v>
      </c>
      <c r="L5065" s="17" t="s">
        <v>733</v>
      </c>
      <c r="M5065" s="17" t="s">
        <v>736</v>
      </c>
      <c r="N5065" s="17" t="s">
        <v>740</v>
      </c>
    </row>
    <row r="5066" spans="1:14" x14ac:dyDescent="0.25">
      <c r="A5066" s="8">
        <v>995077</v>
      </c>
      <c r="B5066" s="22" t="str">
        <f>IFERROR(VLOOKUP(A5066,VLOOKUPS!$A$2:B$12589,2,FALSE),"")</f>
        <v>Organic Baby Spring Mix 16oz-standard</v>
      </c>
      <c r="E5066">
        <v>4.9800000000000004</v>
      </c>
      <c r="F5066">
        <v>5.13</v>
      </c>
      <c r="G5066" s="13">
        <v>44770</v>
      </c>
      <c r="H5066" s="13"/>
      <c r="I5066" s="22" t="str">
        <f>VLOOKUP(J5066, Dropdowns!N:O, 2, FALSE)</f>
        <v>Standard</v>
      </c>
      <c r="J5066" t="s">
        <v>761</v>
      </c>
      <c r="L5066" s="17" t="s">
        <v>734</v>
      </c>
      <c r="M5066" s="17" t="s">
        <v>10</v>
      </c>
      <c r="N5066" s="17">
        <v>2</v>
      </c>
    </row>
    <row r="5067" spans="1:14" x14ac:dyDescent="0.25">
      <c r="A5067" s="8">
        <v>995078</v>
      </c>
      <c r="B5067" s="22" t="str">
        <f>IFERROR(VLOOKUP(A5067,VLOOKUPS!$A$2:B$12589,2,FALSE),"")</f>
        <v>Organic Baby Spinach 16oz-standard</v>
      </c>
      <c r="E5067">
        <v>4.9800000000000004</v>
      </c>
      <c r="F5067">
        <v>5.13</v>
      </c>
      <c r="G5067" s="13">
        <v>44770</v>
      </c>
      <c r="H5067" s="13"/>
      <c r="I5067" s="22" t="str">
        <f>VLOOKUP(J5067, Dropdowns!N:O, 2, FALSE)</f>
        <v>Standard</v>
      </c>
      <c r="J5067" t="s">
        <v>761</v>
      </c>
      <c r="L5067" s="17" t="s">
        <v>733</v>
      </c>
      <c r="M5067" s="17" t="s">
        <v>736</v>
      </c>
      <c r="N5067" s="17" t="s">
        <v>740</v>
      </c>
    </row>
    <row r="5068" spans="1:14" x14ac:dyDescent="0.25">
      <c r="A5068" s="8">
        <v>995078</v>
      </c>
      <c r="B5068" s="22" t="str">
        <f>IFERROR(VLOOKUP(A5068,VLOOKUPS!$A$2:B$12589,2,FALSE),"")</f>
        <v>Organic Baby Spinach 16oz-standard</v>
      </c>
      <c r="E5068">
        <v>4.9800000000000004</v>
      </c>
      <c r="F5068">
        <v>5.13</v>
      </c>
      <c r="G5068" s="13">
        <v>44770</v>
      </c>
      <c r="H5068" s="13"/>
      <c r="I5068" s="22" t="str">
        <f>VLOOKUP(J5068, Dropdowns!N:O, 2, FALSE)</f>
        <v>Standard</v>
      </c>
      <c r="J5068" t="s">
        <v>761</v>
      </c>
      <c r="L5068" s="17" t="s">
        <v>734</v>
      </c>
      <c r="M5068" s="17" t="s">
        <v>10</v>
      </c>
      <c r="N5068" s="17">
        <v>2</v>
      </c>
    </row>
    <row r="5069" spans="1:14" x14ac:dyDescent="0.25">
      <c r="A5069" s="8">
        <v>995131</v>
      </c>
      <c r="B5069" s="22" t="str">
        <f>IFERROR(VLOOKUP(A5069,VLOOKUPS!$A$2:B$12589,2,FALSE),"")</f>
        <v>Organic Baby Spinach &amp; Baby Kale 5oz-standard</v>
      </c>
      <c r="E5069">
        <v>2.98</v>
      </c>
      <c r="F5069">
        <v>3.13</v>
      </c>
      <c r="G5069" s="13">
        <v>44770</v>
      </c>
      <c r="H5069" s="13"/>
      <c r="I5069" s="22" t="str">
        <f>VLOOKUP(J5069, Dropdowns!N:O, 2, FALSE)</f>
        <v>Standard</v>
      </c>
      <c r="J5069" t="s">
        <v>761</v>
      </c>
      <c r="L5069" s="17" t="s">
        <v>733</v>
      </c>
      <c r="M5069" s="17" t="s">
        <v>736</v>
      </c>
      <c r="N5069" s="17" t="s">
        <v>740</v>
      </c>
    </row>
    <row r="5070" spans="1:14" x14ac:dyDescent="0.25">
      <c r="A5070" s="8">
        <v>995131</v>
      </c>
      <c r="B5070" s="22" t="str">
        <f>IFERROR(VLOOKUP(A5070,VLOOKUPS!$A$2:B$12589,2,FALSE),"")</f>
        <v>Organic Baby Spinach &amp; Baby Kale 5oz-standard</v>
      </c>
      <c r="E5070">
        <v>2.98</v>
      </c>
      <c r="F5070">
        <v>3.13</v>
      </c>
      <c r="G5070" s="13">
        <v>44770</v>
      </c>
      <c r="H5070" s="13"/>
      <c r="I5070" s="22" t="str">
        <f>VLOOKUP(J5070, Dropdowns!N:O, 2, FALSE)</f>
        <v>Standard</v>
      </c>
      <c r="J5070" t="s">
        <v>761</v>
      </c>
      <c r="L5070" s="17" t="s">
        <v>734</v>
      </c>
      <c r="M5070" s="17" t="s">
        <v>10</v>
      </c>
      <c r="N5070" s="17">
        <v>2</v>
      </c>
    </row>
    <row r="5071" spans="1:14" x14ac:dyDescent="0.25">
      <c r="A5071" s="8">
        <v>995164</v>
      </c>
      <c r="B5071" s="22" t="str">
        <f>IFERROR(VLOOKUP(A5071,VLOOKUPS!$A$2:B$12589,2,FALSE),"")</f>
        <v>Spinach 10oz-standard</v>
      </c>
      <c r="E5071">
        <v>1.98</v>
      </c>
      <c r="F5071">
        <v>2.2799999999999998</v>
      </c>
      <c r="G5071" s="13">
        <v>44770</v>
      </c>
      <c r="H5071" s="13"/>
      <c r="I5071" s="22" t="str">
        <f>VLOOKUP(J5071, Dropdowns!N:O, 2, FALSE)</f>
        <v>Standard</v>
      </c>
      <c r="J5071" t="s">
        <v>761</v>
      </c>
      <c r="L5071" s="17" t="s">
        <v>733</v>
      </c>
      <c r="M5071" s="17" t="s">
        <v>736</v>
      </c>
      <c r="N5071" s="17" t="s">
        <v>740</v>
      </c>
    </row>
    <row r="5072" spans="1:14" x14ac:dyDescent="0.25">
      <c r="A5072" s="8">
        <v>995164</v>
      </c>
      <c r="B5072" s="22" t="str">
        <f>IFERROR(VLOOKUP(A5072,VLOOKUPS!$A$2:B$12589,2,FALSE),"")</f>
        <v>Spinach 10oz-standard</v>
      </c>
      <c r="E5072">
        <v>1.98</v>
      </c>
      <c r="F5072">
        <v>2.2799999999999998</v>
      </c>
      <c r="G5072" s="13">
        <v>44770</v>
      </c>
      <c r="H5072" s="13"/>
      <c r="I5072" s="22" t="str">
        <f>VLOOKUP(J5072, Dropdowns!N:O, 2, FALSE)</f>
        <v>Standard</v>
      </c>
      <c r="J5072" t="s">
        <v>761</v>
      </c>
      <c r="L5072" s="17" t="s">
        <v>734</v>
      </c>
      <c r="M5072" s="17" t="s">
        <v>10</v>
      </c>
      <c r="N5072" s="17">
        <v>2</v>
      </c>
    </row>
    <row r="5073" spans="1:17" x14ac:dyDescent="0.25">
      <c r="A5073" s="8">
        <v>982000</v>
      </c>
      <c r="B5073" s="22" t="str">
        <f>IFERROR(VLOOKUP(A5073,VLOOKUPS!$A$2:B$12589,2,FALSE),"")</f>
        <v>Cherries* Sweet 1lb-LOOSE</v>
      </c>
      <c r="G5073" s="13">
        <v>44771</v>
      </c>
      <c r="H5073" s="13">
        <v>44771</v>
      </c>
      <c r="I5073" s="22" t="str">
        <f>VLOOKUP(J5073, Dropdowns!N:O, 2, FALSE)</f>
        <v>Lower Price</v>
      </c>
      <c r="J5073" t="s">
        <v>762</v>
      </c>
      <c r="L5073" s="17" t="s">
        <v>732</v>
      </c>
      <c r="M5073" s="17" t="s">
        <v>10</v>
      </c>
      <c r="N5073" s="17">
        <v>2</v>
      </c>
    </row>
    <row r="5074" spans="1:17" x14ac:dyDescent="0.25">
      <c r="A5074" s="8">
        <v>982202</v>
      </c>
      <c r="B5074" s="22" t="str">
        <f>IFERROR(VLOOKUP(A5074,VLOOKUPS!$A$2:B$12589,2,FALSE),"")</f>
        <v>Peaches* 1lb-LOOSE</v>
      </c>
      <c r="G5074" s="13">
        <v>44771</v>
      </c>
      <c r="H5074" s="13">
        <v>44771</v>
      </c>
      <c r="I5074" s="22" t="str">
        <f>VLOOKUP(J5074, Dropdowns!N:O, 2, FALSE)</f>
        <v>Lower Price</v>
      </c>
      <c r="J5074" t="s">
        <v>762</v>
      </c>
      <c r="L5074" s="17" t="s">
        <v>733</v>
      </c>
      <c r="M5074" s="17" t="s">
        <v>11</v>
      </c>
      <c r="N5074" s="17" t="s">
        <v>740</v>
      </c>
    </row>
    <row r="5075" spans="1:17" x14ac:dyDescent="0.25">
      <c r="A5075" s="8">
        <v>980500</v>
      </c>
      <c r="B5075" s="22" t="str">
        <f>IFERROR(VLOOKUP(A5075,VLOOKUPS!$A$2:B$12589,2,FALSE),"")</f>
        <v>Mandarins 3lb-standard</v>
      </c>
      <c r="G5075" s="13">
        <v>44771</v>
      </c>
      <c r="H5075" s="13">
        <v>44771</v>
      </c>
      <c r="I5075" s="22" t="str">
        <f>VLOOKUP(J5075, Dropdowns!N:O, 2, FALSE)</f>
        <v>Lower Price</v>
      </c>
      <c r="J5075" t="s">
        <v>762</v>
      </c>
      <c r="L5075" s="17" t="s">
        <v>732</v>
      </c>
      <c r="M5075" s="17" t="s">
        <v>9</v>
      </c>
      <c r="N5075" s="17" t="s">
        <v>736</v>
      </c>
    </row>
    <row r="5076" spans="1:17" x14ac:dyDescent="0.25">
      <c r="A5076" s="8">
        <v>995186</v>
      </c>
      <c r="B5076" s="22" t="str">
        <f>IFERROR(VLOOKUP(A5076,VLOOKUPS!$A$2:B$12589,2,FALSE),"")</f>
        <v>Organic Carrots and Ranch 5oz-standard</v>
      </c>
      <c r="D5076">
        <v>6</v>
      </c>
      <c r="F5076">
        <v>2.99</v>
      </c>
      <c r="G5076" s="13">
        <v>44772</v>
      </c>
      <c r="H5076" s="13"/>
      <c r="I5076" s="22" t="str">
        <f>VLOOKUP(J5076, Dropdowns!N:O, 2, FALSE)</f>
        <v>Standard</v>
      </c>
      <c r="J5076" t="s">
        <v>782</v>
      </c>
      <c r="L5076" s="17" t="s">
        <v>732</v>
      </c>
      <c r="M5076" s="17" t="s">
        <v>736</v>
      </c>
      <c r="N5076" s="17" t="s">
        <v>736</v>
      </c>
      <c r="O5076" t="s">
        <v>1110</v>
      </c>
    </row>
    <row r="5077" spans="1:17" x14ac:dyDescent="0.25">
      <c r="A5077" s="8">
        <v>995187</v>
      </c>
      <c r="B5077" s="22" t="str">
        <f>IFERROR(VLOOKUP(A5077,VLOOKUPS!$A$2:B$12589,2,FALSE),"")</f>
        <v>Organic Carrots and Guacamole 5oz-standard</v>
      </c>
      <c r="D5077">
        <v>6</v>
      </c>
      <c r="F5077">
        <v>2.99</v>
      </c>
      <c r="G5077" s="13">
        <v>44772</v>
      </c>
      <c r="H5077" s="13"/>
      <c r="I5077" s="22" t="str">
        <f>VLOOKUP(J5077, Dropdowns!N:O, 2, FALSE)</f>
        <v>Standard</v>
      </c>
      <c r="J5077" t="s">
        <v>782</v>
      </c>
      <c r="L5077" s="17" t="s">
        <v>732</v>
      </c>
      <c r="M5077" s="17" t="s">
        <v>736</v>
      </c>
      <c r="N5077" s="17" t="s">
        <v>736</v>
      </c>
      <c r="O5077" t="s">
        <v>1110</v>
      </c>
    </row>
    <row r="5078" spans="1:17" x14ac:dyDescent="0.25">
      <c r="A5078" s="8">
        <v>995188</v>
      </c>
      <c r="B5078" s="22" t="str">
        <f>IFERROR(VLOOKUP(A5078,VLOOKUPS!$A$2:B$12589,2,FALSE),"")</f>
        <v>Carrots and Hummus 5.5oz-standard</v>
      </c>
      <c r="D5078">
        <v>6</v>
      </c>
      <c r="F5078">
        <v>2.99</v>
      </c>
      <c r="G5078" s="13">
        <v>44772</v>
      </c>
      <c r="H5078" s="13"/>
      <c r="I5078" s="22" t="str">
        <f>VLOOKUP(J5078, Dropdowns!N:O, 2, FALSE)</f>
        <v>Standard</v>
      </c>
      <c r="J5078" t="s">
        <v>782</v>
      </c>
      <c r="L5078" s="17" t="s">
        <v>732</v>
      </c>
      <c r="M5078" s="17" t="s">
        <v>736</v>
      </c>
      <c r="N5078" s="17" t="s">
        <v>736</v>
      </c>
      <c r="O5078" t="s">
        <v>1110</v>
      </c>
    </row>
    <row r="5079" spans="1:17" x14ac:dyDescent="0.25">
      <c r="A5079" s="8">
        <v>995189</v>
      </c>
      <c r="B5079" s="22" t="str">
        <f>IFERROR(VLOOKUP(A5079,VLOOKUPS!$A$2:B$12589,2,FALSE),"")</f>
        <v>Celery and Hummus 5.5oz-standard</v>
      </c>
      <c r="D5079">
        <v>6</v>
      </c>
      <c r="F5079">
        <v>2.99</v>
      </c>
      <c r="G5079" s="13">
        <v>44772</v>
      </c>
      <c r="H5079" s="13"/>
      <c r="I5079" s="22" t="str">
        <f>VLOOKUP(J5079, Dropdowns!N:O, 2, FALSE)</f>
        <v>Standard</v>
      </c>
      <c r="J5079" t="s">
        <v>782</v>
      </c>
      <c r="L5079" s="17" t="s">
        <v>732</v>
      </c>
      <c r="M5079" s="17" t="s">
        <v>736</v>
      </c>
      <c r="N5079" s="17" t="s">
        <v>736</v>
      </c>
      <c r="O5079" t="s">
        <v>1110</v>
      </c>
    </row>
    <row r="5080" spans="1:17" x14ac:dyDescent="0.25">
      <c r="A5080" s="8">
        <v>995202</v>
      </c>
      <c r="B5080" s="22" t="str">
        <f>IFERROR(VLOOKUP(A5080,VLOOKUPS!$A$2:B$12589,2,FALSE),"")</f>
        <v>Salty Caramelicious Bliss 3.2oz-standard</v>
      </c>
      <c r="D5080">
        <v>6</v>
      </c>
      <c r="F5080">
        <v>2.99</v>
      </c>
      <c r="G5080" s="13">
        <v>44772</v>
      </c>
      <c r="H5080" s="13"/>
      <c r="I5080" s="22" t="str">
        <f>VLOOKUP(J5080, Dropdowns!N:O, 2, FALSE)</f>
        <v>New</v>
      </c>
      <c r="J5080" t="s">
        <v>776</v>
      </c>
      <c r="L5080" s="17" t="s">
        <v>732</v>
      </c>
      <c r="M5080" s="17" t="s">
        <v>736</v>
      </c>
      <c r="N5080" s="17" t="s">
        <v>736</v>
      </c>
      <c r="O5080" t="s">
        <v>1110</v>
      </c>
      <c r="Q5080" s="17" t="s">
        <v>1044</v>
      </c>
    </row>
    <row r="5081" spans="1:17" x14ac:dyDescent="0.25">
      <c r="A5081" s="8">
        <v>995203</v>
      </c>
      <c r="B5081" s="22" t="str">
        <f>IFERROR(VLOOKUP(A5081,VLOOKUPS!$A$2:B$12589,2,FALSE),"")</f>
        <v>Berry Lemony Bliss 3.2oz-standard</v>
      </c>
      <c r="D5081">
        <v>6</v>
      </c>
      <c r="F5081">
        <v>2.99</v>
      </c>
      <c r="G5081" s="13">
        <v>44772</v>
      </c>
      <c r="H5081" s="13"/>
      <c r="I5081" s="22" t="str">
        <f>VLOOKUP(J5081, Dropdowns!N:O, 2, FALSE)</f>
        <v>New</v>
      </c>
      <c r="J5081" t="s">
        <v>776</v>
      </c>
      <c r="L5081" s="17" t="s">
        <v>732</v>
      </c>
      <c r="M5081" s="17" t="s">
        <v>736</v>
      </c>
      <c r="N5081" s="17" t="s">
        <v>736</v>
      </c>
      <c r="O5081" t="s">
        <v>1110</v>
      </c>
      <c r="Q5081" s="17" t="s">
        <v>1044</v>
      </c>
    </row>
    <row r="5082" spans="1:17" x14ac:dyDescent="0.25">
      <c r="A5082" s="8">
        <v>995206</v>
      </c>
      <c r="B5082" s="22" t="str">
        <f>IFERROR(VLOOKUP(A5082,VLOOKUPS!$A$2:B$12589,2,FALSE),"")</f>
        <v>Sweet 'N Crunchy Boost Bento 5.5oz-standard</v>
      </c>
      <c r="D5082">
        <v>6</v>
      </c>
      <c r="F5082">
        <v>3.99</v>
      </c>
      <c r="G5082" s="13">
        <v>44772</v>
      </c>
      <c r="H5082" s="13"/>
      <c r="I5082" s="22" t="str">
        <f>VLOOKUP(J5082, Dropdowns!N:O, 2, FALSE)</f>
        <v>New</v>
      </c>
      <c r="J5082" t="s">
        <v>776</v>
      </c>
      <c r="L5082" s="17" t="s">
        <v>732</v>
      </c>
      <c r="M5082" s="17" t="s">
        <v>736</v>
      </c>
      <c r="N5082" s="17" t="s">
        <v>736</v>
      </c>
      <c r="O5082" t="s">
        <v>1110</v>
      </c>
      <c r="Q5082" s="17" t="s">
        <v>1044</v>
      </c>
    </row>
    <row r="5083" spans="1:17" x14ac:dyDescent="0.25">
      <c r="A5083" s="8">
        <v>995145</v>
      </c>
      <c r="B5083" s="22" t="str">
        <f>IFERROR(VLOOKUP(A5083,VLOOKUPS!$A$2:B$12589,2,FALSE),"")</f>
        <v>Mango Spears 32oz-standard</v>
      </c>
      <c r="E5083">
        <v>10.49</v>
      </c>
      <c r="F5083">
        <v>6.29</v>
      </c>
      <c r="G5083" s="13">
        <v>44772</v>
      </c>
      <c r="H5083" s="13">
        <v>44773</v>
      </c>
      <c r="I5083" s="22" t="str">
        <f>VLOOKUP(J5083, Dropdowns!N:O, 2, FALSE)</f>
        <v>Lower Price</v>
      </c>
      <c r="J5083" t="s">
        <v>759</v>
      </c>
      <c r="L5083" s="17" t="s">
        <v>732</v>
      </c>
      <c r="M5083" s="17" t="s">
        <v>10</v>
      </c>
      <c r="N5083" s="17">
        <v>2</v>
      </c>
    </row>
    <row r="5084" spans="1:17" x14ac:dyDescent="0.25">
      <c r="A5084" s="8">
        <v>995145</v>
      </c>
      <c r="B5084" s="22" t="str">
        <f>IFERROR(VLOOKUP(A5084,VLOOKUPS!$A$2:B$12589,2,FALSE),"")</f>
        <v>Mango Spears 32oz-standard</v>
      </c>
      <c r="E5084">
        <v>6.29</v>
      </c>
      <c r="F5084">
        <v>10.49</v>
      </c>
      <c r="G5084" s="13">
        <v>44774</v>
      </c>
      <c r="H5084" s="13"/>
      <c r="I5084" s="22" t="str">
        <f>VLOOKUP(J5084, Dropdowns!N:O, 2, FALSE)</f>
        <v>Standard</v>
      </c>
      <c r="J5084" t="s">
        <v>760</v>
      </c>
      <c r="L5084" s="17" t="s">
        <v>732</v>
      </c>
      <c r="M5084" s="17" t="s">
        <v>10</v>
      </c>
      <c r="N5084" s="17">
        <v>2</v>
      </c>
    </row>
    <row r="5085" spans="1:17" x14ac:dyDescent="0.25">
      <c r="A5085" s="8">
        <v>985760</v>
      </c>
      <c r="B5085" s="22" t="str">
        <f>IFERROR(VLOOKUP(A5085,VLOOKUPS!$A$2:B$12589,2,FALSE),"")</f>
        <v>Asparagus 1lb-standard</v>
      </c>
      <c r="E5085">
        <v>2.99</v>
      </c>
      <c r="F5085">
        <v>2.09</v>
      </c>
      <c r="G5085" s="13">
        <v>44772</v>
      </c>
      <c r="H5085" s="13">
        <v>44773</v>
      </c>
      <c r="I5085" s="22" t="str">
        <f>VLOOKUP(J5085, Dropdowns!N:O, 2, FALSE)</f>
        <v>Lower Price</v>
      </c>
      <c r="J5085" t="s">
        <v>759</v>
      </c>
      <c r="L5085" s="17" t="s">
        <v>733</v>
      </c>
      <c r="M5085" s="17" t="s">
        <v>11</v>
      </c>
      <c r="N5085" s="17" t="s">
        <v>740</v>
      </c>
    </row>
    <row r="5086" spans="1:17" x14ac:dyDescent="0.25">
      <c r="A5086" s="8">
        <v>985760</v>
      </c>
      <c r="B5086" s="22" t="str">
        <f>IFERROR(VLOOKUP(A5086,VLOOKUPS!$A$2:B$12589,2,FALSE),"")</f>
        <v>Asparagus 1lb-standard</v>
      </c>
      <c r="E5086">
        <v>2.09</v>
      </c>
      <c r="F5086">
        <v>2.99</v>
      </c>
      <c r="G5086" s="13">
        <v>44774</v>
      </c>
      <c r="H5086" s="13"/>
      <c r="I5086" s="22" t="str">
        <f>VLOOKUP(J5086, Dropdowns!N:O, 2, FALSE)</f>
        <v>Standard</v>
      </c>
      <c r="J5086" t="s">
        <v>760</v>
      </c>
      <c r="L5086" s="17" t="s">
        <v>733</v>
      </c>
      <c r="M5086" s="17" t="s">
        <v>11</v>
      </c>
      <c r="N5086" s="17" t="s">
        <v>740</v>
      </c>
    </row>
    <row r="5087" spans="1:17" x14ac:dyDescent="0.25">
      <c r="A5087" s="8">
        <v>982637</v>
      </c>
      <c r="B5087" s="22" t="str">
        <f>IFERROR(VLOOKUP(A5087,VLOOKUPS!$A$2:B$12589,2,FALSE),"")</f>
        <v>Plumcots 2lb-standard</v>
      </c>
      <c r="G5087" s="13">
        <v>44772</v>
      </c>
      <c r="H5087" s="13">
        <v>44773</v>
      </c>
      <c r="I5087" s="22" t="str">
        <f>VLOOKUP(J5087, Dropdowns!N:O, 2, FALSE)</f>
        <v>Lower Price</v>
      </c>
      <c r="J5087" t="s">
        <v>753</v>
      </c>
      <c r="L5087" s="17" t="s">
        <v>732</v>
      </c>
      <c r="M5087" s="17" t="s">
        <v>736</v>
      </c>
      <c r="N5087" s="17" t="s">
        <v>736</v>
      </c>
    </row>
    <row r="5088" spans="1:17" x14ac:dyDescent="0.25">
      <c r="A5088" s="8">
        <v>982000</v>
      </c>
      <c r="B5088" s="22" t="str">
        <f>IFERROR(VLOOKUP(A5088,VLOOKUPS!$A$2:B$12589,2,FALSE),"")</f>
        <v>Cherries* Sweet 1lb-LOOSE</v>
      </c>
      <c r="E5088">
        <v>3.49</v>
      </c>
      <c r="F5088">
        <v>4.99</v>
      </c>
      <c r="G5088" s="13">
        <v>44772</v>
      </c>
      <c r="H5088" s="13"/>
      <c r="I5088" s="22" t="str">
        <f>VLOOKUP(J5088, Dropdowns!N:O, 2, FALSE)</f>
        <v>Standard</v>
      </c>
      <c r="J5088" t="s">
        <v>760</v>
      </c>
      <c r="L5088" s="17" t="s">
        <v>732</v>
      </c>
      <c r="M5088" s="17" t="s">
        <v>10</v>
      </c>
      <c r="N5088" s="17">
        <v>2</v>
      </c>
    </row>
    <row r="5089" spans="1:14" x14ac:dyDescent="0.25">
      <c r="A5089" s="8">
        <v>982202</v>
      </c>
      <c r="B5089" s="22" t="str">
        <f>IFERROR(VLOOKUP(A5089,VLOOKUPS!$A$2:B$12589,2,FALSE),"")</f>
        <v>Peaches* 1lb-LOOSE</v>
      </c>
      <c r="E5089">
        <v>1.69</v>
      </c>
      <c r="F5089">
        <v>2.99</v>
      </c>
      <c r="G5089" s="13">
        <v>44772</v>
      </c>
      <c r="H5089" s="13"/>
      <c r="I5089" s="22" t="str">
        <f>VLOOKUP(J5089, Dropdowns!N:O, 2, FALSE)</f>
        <v>Standard</v>
      </c>
      <c r="J5089" t="s">
        <v>760</v>
      </c>
      <c r="L5089" s="17" t="s">
        <v>733</v>
      </c>
      <c r="M5089" s="17" t="s">
        <v>11</v>
      </c>
      <c r="N5089" s="17" t="s">
        <v>740</v>
      </c>
    </row>
    <row r="5090" spans="1:14" x14ac:dyDescent="0.25">
      <c r="A5090" s="8">
        <v>980500</v>
      </c>
      <c r="B5090" s="22" t="str">
        <f>IFERROR(VLOOKUP(A5090,VLOOKUPS!$A$2:B$12589,2,FALSE),"")</f>
        <v>Mandarins 3lb-standard</v>
      </c>
      <c r="E5090">
        <v>3.49</v>
      </c>
      <c r="F5090">
        <v>4.76</v>
      </c>
      <c r="G5090" s="13">
        <v>44772</v>
      </c>
      <c r="H5090" s="13"/>
      <c r="I5090" s="22" t="str">
        <f>VLOOKUP(J5090, Dropdowns!N:O, 2, FALSE)</f>
        <v>Standard</v>
      </c>
      <c r="J5090" t="s">
        <v>760</v>
      </c>
      <c r="L5090" s="17" t="s">
        <v>733</v>
      </c>
      <c r="M5090" s="17" t="s">
        <v>9</v>
      </c>
      <c r="N5090" s="17" t="s">
        <v>740</v>
      </c>
    </row>
    <row r="5091" spans="1:14" x14ac:dyDescent="0.25">
      <c r="A5091" s="8">
        <v>980500</v>
      </c>
      <c r="B5091" s="22" t="str">
        <f>IFERROR(VLOOKUP(A5091,VLOOKUPS!$A$2:B$12589,2,FALSE),"")</f>
        <v>Mandarins 3lb-standard</v>
      </c>
      <c r="E5091">
        <v>3.99</v>
      </c>
      <c r="F5091">
        <v>5.29</v>
      </c>
      <c r="G5091" s="13">
        <v>44772</v>
      </c>
      <c r="H5091" s="13"/>
      <c r="I5091" s="22" t="str">
        <f>VLOOKUP(J5091, Dropdowns!N:O, 2, FALSE)</f>
        <v>Standard</v>
      </c>
      <c r="J5091" t="s">
        <v>760</v>
      </c>
      <c r="L5091" s="17" t="s">
        <v>734</v>
      </c>
      <c r="M5091" s="17" t="s">
        <v>9</v>
      </c>
      <c r="N5091" s="17" t="s">
        <v>736</v>
      </c>
    </row>
    <row r="5092" spans="1:14" x14ac:dyDescent="0.25">
      <c r="A5092" s="8">
        <v>984460</v>
      </c>
      <c r="B5092" s="22" t="str">
        <f>IFERROR(VLOOKUP(A5092,VLOOKUPS!$A$2:B$12589,2,FALSE),"")</f>
        <v>Strawberries 1lb-standard</v>
      </c>
      <c r="E5092">
        <v>2.38</v>
      </c>
      <c r="F5092">
        <v>2.12</v>
      </c>
      <c r="G5092" s="13">
        <v>44778</v>
      </c>
      <c r="H5092" s="13"/>
      <c r="I5092" s="22" t="str">
        <f>VLOOKUP(J5092, Dropdowns!N:O, 2, FALSE)</f>
        <v>Standard</v>
      </c>
      <c r="J5092" t="s">
        <v>761</v>
      </c>
      <c r="L5092" s="17" t="s">
        <v>733</v>
      </c>
      <c r="M5092" s="17" t="s">
        <v>736</v>
      </c>
      <c r="N5092" s="17" t="s">
        <v>740</v>
      </c>
    </row>
    <row r="5093" spans="1:14" x14ac:dyDescent="0.25">
      <c r="A5093" s="8">
        <v>984460</v>
      </c>
      <c r="B5093" s="22" t="str">
        <f>IFERROR(VLOOKUP(A5093,VLOOKUPS!$A$2:B$12589,2,FALSE),"")</f>
        <v>Strawberries 1lb-standard</v>
      </c>
      <c r="E5093">
        <v>2.38</v>
      </c>
      <c r="F5093">
        <v>2.12</v>
      </c>
      <c r="G5093" s="13">
        <v>44778</v>
      </c>
      <c r="H5093" s="13"/>
      <c r="I5093" s="22" t="str">
        <f>VLOOKUP(J5093, Dropdowns!N:O, 2, FALSE)</f>
        <v>Standard</v>
      </c>
      <c r="J5093" t="s">
        <v>761</v>
      </c>
      <c r="L5093" s="17" t="s">
        <v>734</v>
      </c>
      <c r="M5093" s="17" t="s">
        <v>10</v>
      </c>
      <c r="N5093" s="17">
        <v>2</v>
      </c>
    </row>
    <row r="5094" spans="1:14" x14ac:dyDescent="0.25">
      <c r="A5094" s="8">
        <v>984542</v>
      </c>
      <c r="B5094" s="22" t="str">
        <f>IFERROR(VLOOKUP(A5094,VLOOKUPS!$A$2:B$12589,2,FALSE),"")</f>
        <v>Blueberries 18oz-standard</v>
      </c>
      <c r="E5094">
        <v>2.99</v>
      </c>
      <c r="F5094">
        <v>5.09</v>
      </c>
      <c r="G5094" s="13">
        <v>44776</v>
      </c>
      <c r="H5094" s="13"/>
      <c r="I5094" s="22" t="str">
        <f>VLOOKUP(J5094, Dropdowns!N:O, 2, FALSE)</f>
        <v>Standard</v>
      </c>
      <c r="J5094" t="s">
        <v>760</v>
      </c>
      <c r="L5094" s="17" t="s">
        <v>733</v>
      </c>
      <c r="M5094" s="17" t="s">
        <v>736</v>
      </c>
      <c r="N5094" s="17" t="s">
        <v>740</v>
      </c>
    </row>
    <row r="5095" spans="1:14" x14ac:dyDescent="0.25">
      <c r="A5095" s="8">
        <v>984542</v>
      </c>
      <c r="B5095" s="22" t="str">
        <f>IFERROR(VLOOKUP(A5095,VLOOKUPS!$A$2:B$12589,2,FALSE),"")</f>
        <v>Blueberries 18oz-standard</v>
      </c>
      <c r="E5095">
        <v>3.49</v>
      </c>
      <c r="F5095">
        <v>5.59</v>
      </c>
      <c r="G5095" s="13">
        <v>44776</v>
      </c>
      <c r="H5095" s="13"/>
      <c r="I5095" s="22" t="str">
        <f>VLOOKUP(J5095, Dropdowns!N:O, 2, FALSE)</f>
        <v>Standard</v>
      </c>
      <c r="J5095" t="s">
        <v>760</v>
      </c>
      <c r="L5095" s="17" t="s">
        <v>734</v>
      </c>
      <c r="M5095" s="17" t="s">
        <v>9</v>
      </c>
      <c r="N5095" s="17" t="s">
        <v>736</v>
      </c>
    </row>
    <row r="5096" spans="1:14" x14ac:dyDescent="0.25">
      <c r="A5096" s="8">
        <v>995179</v>
      </c>
      <c r="B5096" s="22" t="str">
        <f>IFERROR(VLOOKUP(A5096,VLOOKUPS!$A$2:B$12589,2,FALSE),"")</f>
        <v>Avocado Ranch Salad Bowl 7.2oz-Standard</v>
      </c>
      <c r="E5096">
        <v>3.99</v>
      </c>
      <c r="F5096">
        <v>4.99</v>
      </c>
      <c r="G5096" s="13">
        <v>44776</v>
      </c>
      <c r="H5096" s="13"/>
      <c r="I5096" s="22" t="str">
        <f>VLOOKUP(J5096, Dropdowns!N:O, 2, FALSE)</f>
        <v>Standard</v>
      </c>
      <c r="J5096" t="s">
        <v>760</v>
      </c>
      <c r="L5096" s="17" t="s">
        <v>734</v>
      </c>
      <c r="M5096" s="17" t="s">
        <v>735</v>
      </c>
      <c r="N5096" s="17" t="s">
        <v>736</v>
      </c>
    </row>
    <row r="5097" spans="1:14" x14ac:dyDescent="0.25">
      <c r="A5097" s="8">
        <v>995179</v>
      </c>
      <c r="B5097" s="22" t="str">
        <f>IFERROR(VLOOKUP(A5097,VLOOKUPS!$A$2:B$12589,2,FALSE),"")</f>
        <v>Avocado Ranch Salad Bowl 7.2oz-Standard</v>
      </c>
      <c r="E5097">
        <v>3.49</v>
      </c>
      <c r="F5097">
        <v>4.49</v>
      </c>
      <c r="G5097" s="13">
        <v>44776</v>
      </c>
      <c r="H5097" s="13"/>
      <c r="I5097" s="22" t="str">
        <f>VLOOKUP(J5097, Dropdowns!N:O, 2, FALSE)</f>
        <v>Standard</v>
      </c>
      <c r="J5097" t="s">
        <v>760</v>
      </c>
      <c r="L5097" s="17" t="s">
        <v>733</v>
      </c>
      <c r="M5097" s="17" t="s">
        <v>736</v>
      </c>
      <c r="N5097" s="17" t="s">
        <v>740</v>
      </c>
    </row>
    <row r="5098" spans="1:14" x14ac:dyDescent="0.25">
      <c r="A5098" s="8">
        <v>995180</v>
      </c>
      <c r="B5098" s="22" t="str">
        <f>IFERROR(VLOOKUP(A5098,VLOOKUPS!$A$2:B$12589,2,FALSE),"")</f>
        <v>Crunchy Sesame 6.1oz-Standard</v>
      </c>
      <c r="E5098">
        <v>3.99</v>
      </c>
      <c r="F5098">
        <v>4.99</v>
      </c>
      <c r="G5098" s="13">
        <v>44776</v>
      </c>
      <c r="H5098" s="13"/>
      <c r="I5098" s="22" t="str">
        <f>VLOOKUP(J5098, Dropdowns!N:O, 2, FALSE)</f>
        <v>Standard</v>
      </c>
      <c r="J5098" t="s">
        <v>760</v>
      </c>
      <c r="L5098" s="17" t="s">
        <v>734</v>
      </c>
      <c r="M5098" s="17" t="s">
        <v>735</v>
      </c>
      <c r="N5098" s="17" t="s">
        <v>736</v>
      </c>
    </row>
    <row r="5099" spans="1:14" x14ac:dyDescent="0.25">
      <c r="A5099" s="8">
        <v>995180</v>
      </c>
      <c r="B5099" s="22" t="str">
        <f>IFERROR(VLOOKUP(A5099,VLOOKUPS!$A$2:B$12589,2,FALSE),"")</f>
        <v>Crunchy Sesame 6.1oz-Standard</v>
      </c>
      <c r="E5099">
        <v>3.49</v>
      </c>
      <c r="F5099">
        <v>4.49</v>
      </c>
      <c r="G5099" s="13">
        <v>44776</v>
      </c>
      <c r="H5099" s="13"/>
      <c r="I5099" s="22" t="str">
        <f>VLOOKUP(J5099, Dropdowns!N:O, 2, FALSE)</f>
        <v>Standard</v>
      </c>
      <c r="J5099" t="s">
        <v>760</v>
      </c>
      <c r="L5099" s="17" t="s">
        <v>733</v>
      </c>
      <c r="M5099" s="17" t="s">
        <v>736</v>
      </c>
      <c r="N5099" s="17" t="s">
        <v>740</v>
      </c>
    </row>
    <row r="5100" spans="1:14" x14ac:dyDescent="0.25">
      <c r="A5100" s="8">
        <v>995181</v>
      </c>
      <c r="B5100" s="22" t="str">
        <f>IFERROR(VLOOKUP(A5100,VLOOKUPS!$A$2:B$12589,2,FALSE),"")</f>
        <v>Spicy Southwest Salad Bowl 5.9oz-standard</v>
      </c>
      <c r="E5100">
        <v>3.99</v>
      </c>
      <c r="F5100">
        <v>4.99</v>
      </c>
      <c r="G5100" s="13">
        <v>44776</v>
      </c>
      <c r="H5100" s="13"/>
      <c r="I5100" s="22" t="str">
        <f>VLOOKUP(J5100, Dropdowns!N:O, 2, FALSE)</f>
        <v>Standard</v>
      </c>
      <c r="J5100" t="s">
        <v>760</v>
      </c>
      <c r="L5100" s="17" t="s">
        <v>734</v>
      </c>
      <c r="M5100" s="17" t="s">
        <v>735</v>
      </c>
      <c r="N5100" s="17" t="s">
        <v>736</v>
      </c>
    </row>
    <row r="5101" spans="1:14" x14ac:dyDescent="0.25">
      <c r="A5101" s="8">
        <v>995181</v>
      </c>
      <c r="B5101" s="22" t="str">
        <f>IFERROR(VLOOKUP(A5101,VLOOKUPS!$A$2:B$12589,2,FALSE),"")</f>
        <v>Spicy Southwest Salad Bowl 5.9oz-standard</v>
      </c>
      <c r="E5101">
        <v>3.49</v>
      </c>
      <c r="F5101">
        <v>4.49</v>
      </c>
      <c r="G5101" s="13">
        <v>44776</v>
      </c>
      <c r="H5101" s="13"/>
      <c r="I5101" s="22" t="str">
        <f>VLOOKUP(J5101, Dropdowns!N:O, 2, FALSE)</f>
        <v>Standard</v>
      </c>
      <c r="J5101" t="s">
        <v>760</v>
      </c>
      <c r="L5101" s="17" t="s">
        <v>733</v>
      </c>
      <c r="M5101" s="17" t="s">
        <v>736</v>
      </c>
      <c r="N5101" s="17" t="s">
        <v>740</v>
      </c>
    </row>
    <row r="5102" spans="1:14" x14ac:dyDescent="0.25">
      <c r="A5102" s="8">
        <v>985011</v>
      </c>
      <c r="B5102" s="22" t="str">
        <f>IFERROR(VLOOKUP(A5102,VLOOKUPS!$A$2:B$12589,2,FALSE),"")</f>
        <v>Lettuce Butter 1ct-standard</v>
      </c>
      <c r="G5102" s="13">
        <v>44776</v>
      </c>
      <c r="H5102" s="13">
        <v>44782</v>
      </c>
      <c r="I5102" s="22" t="str">
        <f>VLOOKUP(J5102, Dropdowns!N:O, 2, FALSE)</f>
        <v>Lower Price</v>
      </c>
      <c r="J5102" t="s">
        <v>753</v>
      </c>
      <c r="L5102" s="17" t="s">
        <v>733</v>
      </c>
      <c r="M5102" s="17" t="s">
        <v>11</v>
      </c>
      <c r="N5102" s="17" t="s">
        <v>740</v>
      </c>
    </row>
    <row r="5103" spans="1:14" x14ac:dyDescent="0.25">
      <c r="A5103" s="8">
        <v>986250</v>
      </c>
      <c r="B5103" s="22" t="str">
        <f>IFERROR(VLOOKUP(A5103,VLOOKUPS!$A$2:B$12589,2,FALSE),"")</f>
        <v>French Beans 1lb-standard</v>
      </c>
      <c r="E5103">
        <v>2.99</v>
      </c>
      <c r="F5103">
        <v>3.29</v>
      </c>
      <c r="G5103" s="13">
        <v>44782</v>
      </c>
      <c r="H5103" s="13"/>
      <c r="I5103" s="22" t="str">
        <f>VLOOKUP(J5103, Dropdowns!N:O, 2, FALSE)</f>
        <v>Standard</v>
      </c>
      <c r="J5103" t="s">
        <v>761</v>
      </c>
      <c r="L5103" s="17" t="s">
        <v>734</v>
      </c>
      <c r="M5103" s="17" t="s">
        <v>9</v>
      </c>
      <c r="N5103" s="17" t="s">
        <v>736</v>
      </c>
    </row>
    <row r="5104" spans="1:14" x14ac:dyDescent="0.25">
      <c r="A5104" s="8">
        <v>995043</v>
      </c>
      <c r="B5104" s="22" t="str">
        <f>IFERROR(VLOOKUP(A5104,VLOOKUPS!$A$2:B$12589,2,FALSE),"")</f>
        <v>Watermelon Chunks 16oz-standard</v>
      </c>
      <c r="E5104">
        <v>4.4800000000000004</v>
      </c>
      <c r="F5104">
        <v>2.69</v>
      </c>
      <c r="G5104" s="13">
        <v>44782</v>
      </c>
      <c r="H5104" s="13">
        <v>44783</v>
      </c>
      <c r="I5104" s="22" t="str">
        <f>VLOOKUP(J5104, Dropdowns!N:O, 2, FALSE)</f>
        <v>Lower Price</v>
      </c>
      <c r="J5104" t="s">
        <v>759</v>
      </c>
      <c r="L5104" s="17" t="s">
        <v>733</v>
      </c>
      <c r="M5104" s="17" t="s">
        <v>11</v>
      </c>
      <c r="N5104" s="17" t="s">
        <v>740</v>
      </c>
    </row>
    <row r="5105" spans="1:14" x14ac:dyDescent="0.25">
      <c r="A5105" s="8">
        <v>995043</v>
      </c>
      <c r="B5105" s="22" t="str">
        <f>IFERROR(VLOOKUP(A5105,VLOOKUPS!$A$2:B$12589,2,FALSE),"")</f>
        <v>Watermelon Chunks 16oz-standard</v>
      </c>
      <c r="E5105">
        <v>2.69</v>
      </c>
      <c r="F5105">
        <v>4.4800000000000004</v>
      </c>
      <c r="G5105" s="13">
        <v>44784</v>
      </c>
      <c r="H5105" s="13"/>
      <c r="I5105" s="22" t="str">
        <f>VLOOKUP(J5105, Dropdowns!N:O, 2, FALSE)</f>
        <v>Standard</v>
      </c>
      <c r="J5105" t="s">
        <v>760</v>
      </c>
      <c r="L5105" s="17" t="s">
        <v>733</v>
      </c>
      <c r="M5105" s="17" t="s">
        <v>11</v>
      </c>
      <c r="N5105" s="17" t="s">
        <v>740</v>
      </c>
    </row>
    <row r="5106" spans="1:14" x14ac:dyDescent="0.25">
      <c r="A5106" s="8">
        <v>995102</v>
      </c>
      <c r="B5106" s="22" t="str">
        <f>IFERROR(VLOOKUP(A5106,VLOOKUPS!$A$2:B$12589,2,FALSE),"")</f>
        <v>Cantaloupe Chunks 16oz-standard</v>
      </c>
      <c r="E5106">
        <v>3.97</v>
      </c>
      <c r="F5106">
        <v>2.38</v>
      </c>
      <c r="G5106" s="13">
        <v>44782</v>
      </c>
      <c r="H5106" s="13">
        <v>44783</v>
      </c>
      <c r="I5106" s="22" t="str">
        <f>VLOOKUP(J5106, Dropdowns!N:O, 2, FALSE)</f>
        <v>Lower Price</v>
      </c>
      <c r="J5106" t="s">
        <v>759</v>
      </c>
      <c r="L5106" s="17" t="s">
        <v>733</v>
      </c>
      <c r="M5106" s="17" t="s">
        <v>10</v>
      </c>
      <c r="N5106" s="17" t="s">
        <v>740</v>
      </c>
    </row>
    <row r="5107" spans="1:14" x14ac:dyDescent="0.25">
      <c r="A5107" s="8">
        <v>995102</v>
      </c>
      <c r="B5107" s="22" t="str">
        <f>IFERROR(VLOOKUP(A5107,VLOOKUPS!$A$2:B$12589,2,FALSE),"")</f>
        <v>Cantaloupe Chunks 16oz-standard</v>
      </c>
      <c r="E5107">
        <v>2.38</v>
      </c>
      <c r="F5107">
        <v>3.97</v>
      </c>
      <c r="G5107" s="13">
        <v>44784</v>
      </c>
      <c r="H5107" s="13"/>
      <c r="I5107" s="22" t="str">
        <f>VLOOKUP(J5107, Dropdowns!N:O, 2, FALSE)</f>
        <v>Standard</v>
      </c>
      <c r="J5107" t="s">
        <v>760</v>
      </c>
      <c r="L5107" s="17" t="s">
        <v>733</v>
      </c>
      <c r="M5107" s="17" t="s">
        <v>10</v>
      </c>
      <c r="N5107" s="17" t="s">
        <v>740</v>
      </c>
    </row>
    <row r="5108" spans="1:14" x14ac:dyDescent="0.25">
      <c r="A5108" s="8">
        <v>995171</v>
      </c>
      <c r="B5108" s="22" t="str">
        <f>IFERROR(VLOOKUP(A5108,VLOOKUPS!$A$2:B$12589,2,FALSE),"")</f>
        <v>Kale Greens 2lb-standard</v>
      </c>
      <c r="E5108">
        <v>4.5599999999999996</v>
      </c>
      <c r="F5108">
        <v>2.74</v>
      </c>
      <c r="G5108" s="13">
        <v>44782</v>
      </c>
      <c r="H5108" s="13">
        <v>44783</v>
      </c>
      <c r="I5108" s="22" t="str">
        <f>VLOOKUP(J5108, Dropdowns!N:O, 2, FALSE)</f>
        <v>Lower Price</v>
      </c>
      <c r="J5108" t="s">
        <v>759</v>
      </c>
      <c r="L5108" s="17" t="s">
        <v>733</v>
      </c>
      <c r="M5108" s="17" t="s">
        <v>10</v>
      </c>
      <c r="N5108" s="17" t="s">
        <v>740</v>
      </c>
    </row>
    <row r="5109" spans="1:14" x14ac:dyDescent="0.25">
      <c r="A5109" s="8">
        <v>995171</v>
      </c>
      <c r="B5109" s="22" t="str">
        <f>IFERROR(VLOOKUP(A5109,VLOOKUPS!$A$2:B$12589,2,FALSE),"")</f>
        <v>Kale Greens 2lb-standard</v>
      </c>
      <c r="E5109">
        <v>2.74</v>
      </c>
      <c r="F5109">
        <v>4.5599999999999996</v>
      </c>
      <c r="G5109" s="13">
        <v>44784</v>
      </c>
      <c r="H5109" s="13"/>
      <c r="I5109" s="22" t="str">
        <f>VLOOKUP(J5109, Dropdowns!N:O, 2, FALSE)</f>
        <v>Standard</v>
      </c>
      <c r="J5109" t="s">
        <v>760</v>
      </c>
      <c r="L5109" s="17" t="s">
        <v>733</v>
      </c>
      <c r="M5109" s="17" t="s">
        <v>10</v>
      </c>
      <c r="N5109" s="17" t="s">
        <v>740</v>
      </c>
    </row>
    <row r="5110" spans="1:14" x14ac:dyDescent="0.25">
      <c r="A5110" s="8">
        <v>995199</v>
      </c>
      <c r="B5110" s="22" t="str">
        <f>IFERROR(VLOOKUP(A5110,VLOOKUPS!$A$2:B$12589,2,FALSE),"")</f>
        <v>Pineapple Rings 10oz-standard</v>
      </c>
      <c r="E5110">
        <v>3.75</v>
      </c>
      <c r="F5110">
        <v>2.25</v>
      </c>
      <c r="G5110" s="13">
        <v>44782</v>
      </c>
      <c r="H5110" s="13">
        <v>44783</v>
      </c>
      <c r="I5110" s="22" t="str">
        <f>VLOOKUP(J5110, Dropdowns!N:O, 2, FALSE)</f>
        <v>Lower Price</v>
      </c>
      <c r="J5110" t="s">
        <v>759</v>
      </c>
      <c r="L5110" s="17" t="s">
        <v>732</v>
      </c>
      <c r="M5110" s="17" t="s">
        <v>9</v>
      </c>
      <c r="N5110" s="17" t="s">
        <v>736</v>
      </c>
    </row>
    <row r="5111" spans="1:14" x14ac:dyDescent="0.25">
      <c r="A5111" s="8">
        <v>995199</v>
      </c>
      <c r="B5111" s="22" t="str">
        <f>IFERROR(VLOOKUP(A5111,VLOOKUPS!$A$2:B$12589,2,FALSE),"")</f>
        <v>Pineapple Rings 10oz-standard</v>
      </c>
      <c r="E5111">
        <v>2.25</v>
      </c>
      <c r="F5111">
        <v>3.75</v>
      </c>
      <c r="G5111" s="13">
        <v>44784</v>
      </c>
      <c r="H5111" s="13"/>
      <c r="I5111" s="22" t="str">
        <f>VLOOKUP(J5111, Dropdowns!N:O, 2, FALSE)</f>
        <v>Standard</v>
      </c>
      <c r="J5111" t="s">
        <v>760</v>
      </c>
      <c r="L5111" s="17" t="s">
        <v>732</v>
      </c>
      <c r="M5111" s="17" t="s">
        <v>9</v>
      </c>
      <c r="N5111" s="17" t="s">
        <v>736</v>
      </c>
    </row>
    <row r="5112" spans="1:14" x14ac:dyDescent="0.25">
      <c r="A5112" s="8">
        <v>984460</v>
      </c>
      <c r="B5112" s="22" t="str">
        <f>IFERROR(VLOOKUP(A5112,VLOOKUPS!$A$2:B$12589,2,FALSE),"")</f>
        <v>Strawberries 1lb-standard</v>
      </c>
      <c r="E5112">
        <v>1.29</v>
      </c>
      <c r="F5112">
        <v>2.12</v>
      </c>
      <c r="G5112" s="13">
        <v>44782</v>
      </c>
      <c r="H5112" s="13"/>
      <c r="I5112" s="22" t="str">
        <f>VLOOKUP(J5112, Dropdowns!N:O, 2, FALSE)</f>
        <v>Standard</v>
      </c>
      <c r="J5112" t="s">
        <v>760</v>
      </c>
      <c r="L5112" s="17" t="s">
        <v>732</v>
      </c>
      <c r="M5112" s="17" t="s">
        <v>10</v>
      </c>
      <c r="N5112" s="17">
        <v>2</v>
      </c>
    </row>
    <row r="5113" spans="1:14" x14ac:dyDescent="0.25">
      <c r="A5113" s="8">
        <v>984460</v>
      </c>
      <c r="B5113" s="22" t="str">
        <f>IFERROR(VLOOKUP(A5113,VLOOKUPS!$A$2:B$12589,2,FALSE),"")</f>
        <v>Strawberries 1lb-standard</v>
      </c>
      <c r="G5113" s="13">
        <v>44782</v>
      </c>
      <c r="H5113" s="13">
        <v>44782</v>
      </c>
      <c r="I5113" s="22" t="str">
        <f>VLOOKUP(J5113, Dropdowns!N:O, 2, FALSE)</f>
        <v>Lower Price</v>
      </c>
      <c r="J5113" t="s">
        <v>762</v>
      </c>
      <c r="L5113" s="17" t="s">
        <v>732</v>
      </c>
      <c r="M5113" s="17" t="s">
        <v>9</v>
      </c>
      <c r="N5113" s="17" t="s">
        <v>736</v>
      </c>
    </row>
    <row r="5114" spans="1:14" x14ac:dyDescent="0.25">
      <c r="A5114" s="8">
        <v>984460</v>
      </c>
      <c r="B5114" s="22" t="str">
        <f>IFERROR(VLOOKUP(A5114,VLOOKUPS!$A$2:B$12589,2,FALSE),"")</f>
        <v>Strawberries 1lb-standard</v>
      </c>
      <c r="G5114" s="13">
        <v>44782</v>
      </c>
      <c r="H5114" s="13">
        <v>44783</v>
      </c>
      <c r="I5114" s="22" t="str">
        <f>VLOOKUP(J5114, Dropdowns!N:O, 2, FALSE)</f>
        <v>Lower Price</v>
      </c>
      <c r="J5114" t="s">
        <v>762</v>
      </c>
      <c r="L5114" s="17" t="s">
        <v>733</v>
      </c>
      <c r="M5114" s="17" t="s">
        <v>11</v>
      </c>
      <c r="N5114" s="17" t="s">
        <v>740</v>
      </c>
    </row>
    <row r="5115" spans="1:14" x14ac:dyDescent="0.25">
      <c r="A5115" s="8">
        <v>984460</v>
      </c>
      <c r="B5115" s="22" t="str">
        <f>IFERROR(VLOOKUP(A5115,VLOOKUPS!$A$2:B$12589,2,FALSE),"")</f>
        <v>Strawberries 1lb-standard</v>
      </c>
      <c r="E5115">
        <v>2.12</v>
      </c>
      <c r="F5115">
        <v>2.38</v>
      </c>
      <c r="G5115" s="13">
        <v>44783</v>
      </c>
      <c r="H5115" s="13"/>
      <c r="I5115" s="22" t="str">
        <f>VLOOKUP(J5115, Dropdowns!N:O, 2, FALSE)</f>
        <v>Standard</v>
      </c>
      <c r="J5115" t="s">
        <v>761</v>
      </c>
      <c r="L5115" s="17" t="s">
        <v>732</v>
      </c>
      <c r="M5115" s="17" t="s">
        <v>10</v>
      </c>
      <c r="N5115" s="17">
        <v>2</v>
      </c>
    </row>
    <row r="5116" spans="1:14" x14ac:dyDescent="0.25">
      <c r="A5116" s="8">
        <v>984542</v>
      </c>
      <c r="B5116" s="22" t="str">
        <f>IFERROR(VLOOKUP(A5116,VLOOKUPS!$A$2:B$12589,2,FALSE),"")</f>
        <v>Blueberries 18oz-standard</v>
      </c>
      <c r="G5116" s="13">
        <v>44783</v>
      </c>
      <c r="H5116" s="13">
        <v>44789</v>
      </c>
      <c r="I5116" s="22" t="str">
        <f>VLOOKUP(J5116, Dropdowns!N:O, 2, FALSE)</f>
        <v>Lower Price</v>
      </c>
      <c r="J5116" t="s">
        <v>753</v>
      </c>
      <c r="L5116" s="17" t="s">
        <v>732</v>
      </c>
      <c r="M5116" s="17" t="s">
        <v>736</v>
      </c>
      <c r="N5116" s="17" t="s">
        <v>736</v>
      </c>
    </row>
    <row r="5117" spans="1:14" x14ac:dyDescent="0.25">
      <c r="A5117" s="8">
        <v>986250</v>
      </c>
      <c r="B5117" s="22" t="str">
        <f>IFERROR(VLOOKUP(A5117,VLOOKUPS!$A$2:B$12589,2,FALSE),"")</f>
        <v>French Beans 1lb-standard</v>
      </c>
      <c r="G5117" s="13">
        <v>44783</v>
      </c>
      <c r="H5117" s="13">
        <v>44789</v>
      </c>
      <c r="I5117" s="22" t="str">
        <f>VLOOKUP(J5117, Dropdowns!N:O, 2, FALSE)</f>
        <v>Lower Price</v>
      </c>
      <c r="J5117" t="s">
        <v>753</v>
      </c>
      <c r="L5117" s="17" t="s">
        <v>732</v>
      </c>
      <c r="M5117" s="17" t="s">
        <v>736</v>
      </c>
      <c r="N5117" s="17" t="s">
        <v>736</v>
      </c>
    </row>
    <row r="5118" spans="1:14" x14ac:dyDescent="0.25">
      <c r="A5118" s="8">
        <v>995010</v>
      </c>
      <c r="B5118" s="22" t="str">
        <f>IFERROR(VLOOKUP(A5118,VLOOKUPS!$A$2:B$12589,2,FALSE),"")</f>
        <v>RTE Turkey Bacon Cobb Salad 7.25oz-standard</v>
      </c>
      <c r="D5118">
        <v>8</v>
      </c>
      <c r="F5118">
        <v>3.47</v>
      </c>
      <c r="G5118" s="13">
        <v>44783</v>
      </c>
      <c r="H5118" s="13"/>
      <c r="I5118" s="22" t="str">
        <f>VLOOKUP(J5118, Dropdowns!N:O, 2, FALSE)</f>
        <v>NA</v>
      </c>
      <c r="J5118" t="s">
        <v>754</v>
      </c>
      <c r="L5118" s="17" t="s">
        <v>733</v>
      </c>
      <c r="M5118" s="17" t="s">
        <v>736</v>
      </c>
      <c r="N5118" s="17" t="s">
        <v>740</v>
      </c>
    </row>
    <row r="5119" spans="1:14" x14ac:dyDescent="0.25">
      <c r="A5119" s="8">
        <v>995010</v>
      </c>
      <c r="B5119" s="22" t="str">
        <f>IFERROR(VLOOKUP(A5119,VLOOKUPS!$A$2:B$12589,2,FALSE),"")</f>
        <v>RTE Turkey Bacon Cobb Salad 7.25oz-standard</v>
      </c>
      <c r="D5119">
        <v>8</v>
      </c>
      <c r="F5119">
        <v>3.47</v>
      </c>
      <c r="G5119" s="13">
        <v>44783</v>
      </c>
      <c r="H5119" s="13"/>
      <c r="I5119" s="22" t="str">
        <f>VLOOKUP(J5119, Dropdowns!N:O, 2, FALSE)</f>
        <v>NA</v>
      </c>
      <c r="J5119" t="s">
        <v>754</v>
      </c>
      <c r="L5119" s="17" t="s">
        <v>734</v>
      </c>
      <c r="M5119" s="17" t="s">
        <v>10</v>
      </c>
      <c r="N5119" s="17">
        <v>2</v>
      </c>
    </row>
    <row r="5120" spans="1:14" x14ac:dyDescent="0.25">
      <c r="A5120" s="8">
        <v>995010</v>
      </c>
      <c r="B5120" s="22" t="str">
        <f>IFERROR(VLOOKUP(A5120,VLOOKUPS!$A$2:B$12589,2,FALSE),"")</f>
        <v>RTE Turkey Bacon Cobb Salad 7.25oz-standard</v>
      </c>
      <c r="D5120">
        <v>8</v>
      </c>
      <c r="F5120">
        <v>3.79</v>
      </c>
      <c r="G5120" s="13">
        <v>44783</v>
      </c>
      <c r="H5120" s="13"/>
      <c r="I5120" s="22" t="str">
        <f>VLOOKUP(J5120, Dropdowns!N:O, 2, FALSE)</f>
        <v>NA</v>
      </c>
      <c r="J5120" t="s">
        <v>754</v>
      </c>
      <c r="L5120" s="17" t="s">
        <v>734</v>
      </c>
      <c r="M5120" s="17" t="s">
        <v>9</v>
      </c>
      <c r="N5120" s="17" t="s">
        <v>736</v>
      </c>
    </row>
    <row r="5121" spans="1:14" x14ac:dyDescent="0.25">
      <c r="A5121" s="8">
        <v>995115</v>
      </c>
      <c r="B5121" s="22" t="str">
        <f>IFERROR(VLOOKUP(A5121,VLOOKUPS!$A$2:B$12589,2,FALSE),"")</f>
        <v>Pineapple Chunks 10oz-standard</v>
      </c>
      <c r="E5121">
        <v>3.24</v>
      </c>
      <c r="F5121">
        <v>1.94</v>
      </c>
      <c r="G5121" s="13">
        <v>44783</v>
      </c>
      <c r="H5121" s="13">
        <v>44784</v>
      </c>
      <c r="I5121" s="22" t="str">
        <f>VLOOKUP(J5121, Dropdowns!N:O, 2, FALSE)</f>
        <v>Lower Price</v>
      </c>
      <c r="J5121" t="s">
        <v>759</v>
      </c>
      <c r="L5121" s="17" t="s">
        <v>733</v>
      </c>
      <c r="M5121" s="17" t="s">
        <v>10</v>
      </c>
      <c r="N5121" s="17" t="s">
        <v>740</v>
      </c>
    </row>
    <row r="5122" spans="1:14" x14ac:dyDescent="0.25">
      <c r="A5122" s="8">
        <v>995115</v>
      </c>
      <c r="B5122" s="22" t="str">
        <f>IFERROR(VLOOKUP(A5122,VLOOKUPS!$A$2:B$12589,2,FALSE),"")</f>
        <v>Pineapple Chunks 10oz-standard</v>
      </c>
      <c r="E5122">
        <v>1.94</v>
      </c>
      <c r="F5122">
        <v>3.24</v>
      </c>
      <c r="G5122" s="13">
        <v>44785</v>
      </c>
      <c r="H5122" s="13"/>
      <c r="I5122" s="22" t="str">
        <f>VLOOKUP(J5122, Dropdowns!N:O, 2, FALSE)</f>
        <v>Standard</v>
      </c>
      <c r="J5122" t="s">
        <v>760</v>
      </c>
      <c r="L5122" s="17" t="s">
        <v>733</v>
      </c>
      <c r="M5122" s="17" t="s">
        <v>10</v>
      </c>
      <c r="N5122" s="17" t="s">
        <v>740</v>
      </c>
    </row>
    <row r="5123" spans="1:14" x14ac:dyDescent="0.25">
      <c r="A5123" s="8">
        <v>995180</v>
      </c>
      <c r="B5123" s="22" t="str">
        <f>IFERROR(VLOOKUP(A5123,VLOOKUPS!$A$2:B$12589,2,FALSE),"")</f>
        <v>Crunchy Sesame 6.1oz-Standard</v>
      </c>
      <c r="E5123">
        <v>4.49</v>
      </c>
      <c r="F5123">
        <v>2.69</v>
      </c>
      <c r="G5123" s="13">
        <v>44783</v>
      </c>
      <c r="H5123" s="13">
        <v>44784</v>
      </c>
      <c r="I5123" s="22" t="str">
        <f>VLOOKUP(J5123, Dropdowns!N:O, 2, FALSE)</f>
        <v>Lower Price</v>
      </c>
      <c r="J5123" t="s">
        <v>759</v>
      </c>
      <c r="L5123" s="17" t="s">
        <v>733</v>
      </c>
      <c r="M5123" s="17" t="s">
        <v>10</v>
      </c>
      <c r="N5123" s="17" t="s">
        <v>740</v>
      </c>
    </row>
    <row r="5124" spans="1:14" x14ac:dyDescent="0.25">
      <c r="A5124" s="8">
        <v>995180</v>
      </c>
      <c r="B5124" s="22" t="str">
        <f>IFERROR(VLOOKUP(A5124,VLOOKUPS!$A$2:B$12589,2,FALSE),"")</f>
        <v>Crunchy Sesame 6.1oz-Standard</v>
      </c>
      <c r="E5124">
        <v>2.69</v>
      </c>
      <c r="F5124">
        <v>4.49</v>
      </c>
      <c r="G5124" s="13">
        <v>44785</v>
      </c>
      <c r="H5124" s="13"/>
      <c r="I5124" s="22" t="str">
        <f>VLOOKUP(J5124, Dropdowns!N:O, 2, FALSE)</f>
        <v>Standard</v>
      </c>
      <c r="J5124" t="s">
        <v>760</v>
      </c>
      <c r="L5124" s="17" t="s">
        <v>733</v>
      </c>
      <c r="M5124" s="17" t="s">
        <v>10</v>
      </c>
      <c r="N5124" s="17" t="s">
        <v>740</v>
      </c>
    </row>
    <row r="5125" spans="1:14" x14ac:dyDescent="0.25">
      <c r="A5125" s="8">
        <v>995181</v>
      </c>
      <c r="B5125" s="22" t="str">
        <f>IFERROR(VLOOKUP(A5125,VLOOKUPS!$A$2:B$12589,2,FALSE),"")</f>
        <v>Spicy Southwest Salad Bowl 5.9oz-standard</v>
      </c>
      <c r="E5125">
        <v>4.49</v>
      </c>
      <c r="F5125">
        <v>2.69</v>
      </c>
      <c r="G5125" s="13">
        <v>44783</v>
      </c>
      <c r="H5125" s="13">
        <v>44784</v>
      </c>
      <c r="I5125" s="22" t="str">
        <f>VLOOKUP(J5125, Dropdowns!N:O, 2, FALSE)</f>
        <v>Lower Price</v>
      </c>
      <c r="J5125" t="s">
        <v>759</v>
      </c>
      <c r="L5125" s="17" t="s">
        <v>733</v>
      </c>
      <c r="M5125" s="17" t="s">
        <v>10</v>
      </c>
      <c r="N5125" s="17" t="s">
        <v>740</v>
      </c>
    </row>
    <row r="5126" spans="1:14" x14ac:dyDescent="0.25">
      <c r="A5126" s="8">
        <v>995181</v>
      </c>
      <c r="B5126" s="22" t="str">
        <f>IFERROR(VLOOKUP(A5126,VLOOKUPS!$A$2:B$12589,2,FALSE),"")</f>
        <v>Spicy Southwest Salad Bowl 5.9oz-standard</v>
      </c>
      <c r="E5126">
        <v>2.69</v>
      </c>
      <c r="F5126">
        <v>4.49</v>
      </c>
      <c r="G5126" s="13">
        <v>44785</v>
      </c>
      <c r="H5126" s="13"/>
      <c r="I5126" s="22" t="str">
        <f>VLOOKUP(J5126, Dropdowns!N:O, 2, FALSE)</f>
        <v>Standard</v>
      </c>
      <c r="J5126" t="s">
        <v>760</v>
      </c>
      <c r="L5126" s="17" t="s">
        <v>733</v>
      </c>
      <c r="M5126" s="17" t="s">
        <v>10</v>
      </c>
      <c r="N5126" s="17" t="s">
        <v>740</v>
      </c>
    </row>
    <row r="5127" spans="1:14" x14ac:dyDescent="0.25">
      <c r="A5127" s="8">
        <v>995184</v>
      </c>
      <c r="B5127" s="22" t="str">
        <f>IFERROR(VLOOKUP(A5127,VLOOKUPS!$A$2:B$12589,2,FALSE),"")</f>
        <v>English Peas 8oz-standard</v>
      </c>
      <c r="E5127">
        <v>2.5</v>
      </c>
      <c r="F5127">
        <v>1.5</v>
      </c>
      <c r="G5127" s="13">
        <v>44783</v>
      </c>
      <c r="H5127" s="13">
        <v>44784</v>
      </c>
      <c r="I5127" s="22" t="str">
        <f>VLOOKUP(J5127, Dropdowns!N:O, 2, FALSE)</f>
        <v>Lower Price</v>
      </c>
      <c r="J5127" t="s">
        <v>759</v>
      </c>
      <c r="L5127" s="17" t="s">
        <v>733</v>
      </c>
      <c r="M5127" s="17" t="s">
        <v>10</v>
      </c>
      <c r="N5127" s="17" t="s">
        <v>740</v>
      </c>
    </row>
    <row r="5128" spans="1:14" x14ac:dyDescent="0.25">
      <c r="A5128" s="8">
        <v>995184</v>
      </c>
      <c r="B5128" s="22" t="str">
        <f>IFERROR(VLOOKUP(A5128,VLOOKUPS!$A$2:B$12589,2,FALSE),"")</f>
        <v>English Peas 8oz-standard</v>
      </c>
      <c r="E5128">
        <v>1.5</v>
      </c>
      <c r="F5128">
        <v>2.5</v>
      </c>
      <c r="G5128" s="13">
        <v>44785</v>
      </c>
      <c r="H5128" s="13"/>
      <c r="I5128" s="22" t="str">
        <f>VLOOKUP(J5128, Dropdowns!N:O, 2, FALSE)</f>
        <v>Standard</v>
      </c>
      <c r="J5128" t="s">
        <v>760</v>
      </c>
      <c r="L5128" s="17" t="s">
        <v>733</v>
      </c>
      <c r="M5128" s="17" t="s">
        <v>10</v>
      </c>
      <c r="N5128" s="17" t="s">
        <v>740</v>
      </c>
    </row>
    <row r="5129" spans="1:14" x14ac:dyDescent="0.25">
      <c r="A5129" s="8">
        <v>985011</v>
      </c>
      <c r="B5129" s="22" t="str">
        <f>IFERROR(VLOOKUP(A5129,VLOOKUPS!$A$2:B$12589,2,FALSE),"")</f>
        <v>Lettuce Butter 1ct-standard</v>
      </c>
      <c r="E5129">
        <v>1.49</v>
      </c>
      <c r="F5129">
        <v>2.48</v>
      </c>
      <c r="G5129" s="13">
        <v>44783</v>
      </c>
      <c r="H5129" s="13"/>
      <c r="I5129" s="22" t="str">
        <f>VLOOKUP(J5129, Dropdowns!N:O, 2, FALSE)</f>
        <v>Standard</v>
      </c>
      <c r="J5129" t="s">
        <v>760</v>
      </c>
      <c r="L5129" s="17" t="s">
        <v>733</v>
      </c>
      <c r="M5129" s="17" t="s">
        <v>11</v>
      </c>
      <c r="N5129" s="17" t="s">
        <v>740</v>
      </c>
    </row>
    <row r="5130" spans="1:14" x14ac:dyDescent="0.25">
      <c r="A5130" s="8">
        <v>984460</v>
      </c>
      <c r="B5130" s="22" t="str">
        <f>IFERROR(VLOOKUP(A5130,VLOOKUPS!$A$2:B$12589,2,FALSE),"")</f>
        <v>Strawberries 1lb-standard</v>
      </c>
      <c r="E5130">
        <v>1.79</v>
      </c>
      <c r="F5130">
        <v>2.99</v>
      </c>
      <c r="G5130" s="13">
        <v>44783</v>
      </c>
      <c r="H5130" s="13"/>
      <c r="I5130" s="22" t="str">
        <f>VLOOKUP(J5130, Dropdowns!N:O, 2, FALSE)</f>
        <v>Standard</v>
      </c>
      <c r="J5130" t="s">
        <v>760</v>
      </c>
      <c r="L5130" s="17" t="s">
        <v>734</v>
      </c>
      <c r="M5130" s="17" t="s">
        <v>9</v>
      </c>
      <c r="N5130" s="17" t="s">
        <v>736</v>
      </c>
    </row>
    <row r="5131" spans="1:14" x14ac:dyDescent="0.25">
      <c r="A5131" s="8">
        <v>984460</v>
      </c>
      <c r="B5131" s="22" t="str">
        <f>IFERROR(VLOOKUP(A5131,VLOOKUPS!$A$2:B$12589,2,FALSE),"")</f>
        <v>Strawberries 1lb-standard</v>
      </c>
      <c r="E5131">
        <v>1.29</v>
      </c>
      <c r="F5131">
        <v>2.12</v>
      </c>
      <c r="G5131" s="13">
        <v>44783</v>
      </c>
      <c r="H5131" s="13"/>
      <c r="I5131" s="22" t="str">
        <f>VLOOKUP(J5131, Dropdowns!N:O, 2, FALSE)</f>
        <v>Standard</v>
      </c>
      <c r="J5131" t="s">
        <v>760</v>
      </c>
      <c r="L5131" s="17" t="s">
        <v>733</v>
      </c>
      <c r="M5131" s="17" t="s">
        <v>9</v>
      </c>
      <c r="N5131" s="17" t="s">
        <v>740</v>
      </c>
    </row>
    <row r="5132" spans="1:14" x14ac:dyDescent="0.25">
      <c r="A5132" s="8">
        <v>984460</v>
      </c>
      <c r="B5132" s="22" t="str">
        <f>IFERROR(VLOOKUP(A5132,VLOOKUPS!$A$2:B$12589,2,FALSE),"")</f>
        <v>Strawberries 1lb-standard</v>
      </c>
      <c r="E5132">
        <v>2.12</v>
      </c>
      <c r="F5132">
        <v>2.38</v>
      </c>
      <c r="G5132" s="13">
        <v>44784</v>
      </c>
      <c r="H5132" s="13"/>
      <c r="I5132" s="22" t="str">
        <f>VLOOKUP(J5132, Dropdowns!N:O, 2, FALSE)</f>
        <v>Standard</v>
      </c>
      <c r="J5132" t="s">
        <v>761</v>
      </c>
      <c r="L5132" s="17" t="s">
        <v>733</v>
      </c>
      <c r="M5132" s="17" t="s">
        <v>9</v>
      </c>
      <c r="N5132" s="17" t="s">
        <v>740</v>
      </c>
    </row>
    <row r="5133" spans="1:14" x14ac:dyDescent="0.25">
      <c r="A5133" s="8">
        <v>984460</v>
      </c>
      <c r="B5133" s="22" t="str">
        <f>IFERROR(VLOOKUP(A5133,VLOOKUPS!$A$2:B$12589,2,FALSE),"")</f>
        <v>Strawberries 1lb-standard</v>
      </c>
      <c r="E5133">
        <v>1.29</v>
      </c>
      <c r="F5133">
        <v>2.12</v>
      </c>
      <c r="G5133" s="13">
        <v>44784</v>
      </c>
      <c r="H5133" s="13"/>
      <c r="I5133" s="22" t="str">
        <f>VLOOKUP(J5133, Dropdowns!N:O, 2, FALSE)</f>
        <v>Standard</v>
      </c>
      <c r="J5133" t="s">
        <v>760</v>
      </c>
      <c r="L5133" s="17" t="s">
        <v>733</v>
      </c>
      <c r="M5133" s="17" t="s">
        <v>11</v>
      </c>
      <c r="N5133" s="17" t="s">
        <v>740</v>
      </c>
    </row>
    <row r="5134" spans="1:14" x14ac:dyDescent="0.25">
      <c r="A5134" s="8">
        <v>984460</v>
      </c>
      <c r="B5134" s="22" t="str">
        <f>IFERROR(VLOOKUP(A5134,VLOOKUPS!$A$2:B$12589,2,FALSE),"")</f>
        <v>Strawberries 1lb-standard</v>
      </c>
      <c r="E5134">
        <v>2.12</v>
      </c>
      <c r="F5134">
        <v>2.38</v>
      </c>
      <c r="G5134" s="13">
        <v>44785</v>
      </c>
      <c r="H5134" s="13"/>
      <c r="I5134" s="22" t="str">
        <f>VLOOKUP(J5134, Dropdowns!N:O, 2, FALSE)</f>
        <v>Standard</v>
      </c>
      <c r="J5134" t="s">
        <v>761</v>
      </c>
      <c r="L5134" s="17" t="s">
        <v>733</v>
      </c>
      <c r="M5134" s="17" t="s">
        <v>11</v>
      </c>
      <c r="N5134" s="17" t="s">
        <v>740</v>
      </c>
    </row>
    <row r="5135" spans="1:14" x14ac:dyDescent="0.25">
      <c r="A5135" s="8">
        <v>995085</v>
      </c>
      <c r="B5135" s="22" t="str">
        <f>IFERROR(VLOOKUP(A5135,VLOOKUPS!$A$2:B$12589,2,FALSE),"")</f>
        <v>Sugar Snap Peas 8oz-standard</v>
      </c>
      <c r="E5135">
        <v>2.78</v>
      </c>
      <c r="F5135">
        <v>1.67</v>
      </c>
      <c r="G5135" s="13">
        <v>44784</v>
      </c>
      <c r="H5135" s="13">
        <v>44785</v>
      </c>
      <c r="I5135" s="22" t="str">
        <f>VLOOKUP(J5135, Dropdowns!N:O, 2, FALSE)</f>
        <v>Lower Price</v>
      </c>
      <c r="J5135" t="s">
        <v>759</v>
      </c>
      <c r="L5135" s="17" t="s">
        <v>733</v>
      </c>
      <c r="M5135" s="17" t="s">
        <v>10</v>
      </c>
      <c r="N5135" s="17" t="s">
        <v>740</v>
      </c>
    </row>
    <row r="5136" spans="1:14" x14ac:dyDescent="0.25">
      <c r="A5136" s="8">
        <v>995085</v>
      </c>
      <c r="B5136" s="22" t="str">
        <f>IFERROR(VLOOKUP(A5136,VLOOKUPS!$A$2:B$12589,2,FALSE),"")</f>
        <v>Sugar Snap Peas 8oz-standard</v>
      </c>
      <c r="E5136">
        <v>1.67</v>
      </c>
      <c r="F5136">
        <v>2.78</v>
      </c>
      <c r="G5136" s="13">
        <v>44786</v>
      </c>
      <c r="H5136" s="13"/>
      <c r="I5136" s="22" t="str">
        <f>VLOOKUP(J5136, Dropdowns!N:O, 2, FALSE)</f>
        <v>Standard</v>
      </c>
      <c r="J5136" t="s">
        <v>760</v>
      </c>
      <c r="L5136" s="17" t="s">
        <v>733</v>
      </c>
      <c r="M5136" s="17" t="s">
        <v>10</v>
      </c>
      <c r="N5136" s="17" t="s">
        <v>740</v>
      </c>
    </row>
    <row r="5137" spans="1:17" x14ac:dyDescent="0.25">
      <c r="A5137" s="8">
        <v>995097</v>
      </c>
      <c r="B5137" s="22" t="str">
        <f>IFERROR(VLOOKUP(A5137,VLOOKUPS!$A$2:B$12589,2,FALSE),"")</f>
        <v>Butternut Diced 12oz-standard</v>
      </c>
      <c r="E5137">
        <v>2.39</v>
      </c>
      <c r="F5137">
        <v>1.43</v>
      </c>
      <c r="G5137" s="13">
        <v>44784</v>
      </c>
      <c r="H5137" s="13">
        <v>44785</v>
      </c>
      <c r="I5137" s="22" t="str">
        <f>VLOOKUP(J5137, Dropdowns!N:O, 2, FALSE)</f>
        <v>Lower Price</v>
      </c>
      <c r="J5137" t="s">
        <v>759</v>
      </c>
      <c r="L5137" s="17" t="s">
        <v>733</v>
      </c>
      <c r="M5137" s="17" t="s">
        <v>735</v>
      </c>
      <c r="N5137" s="17" t="s">
        <v>740</v>
      </c>
    </row>
    <row r="5138" spans="1:17" x14ac:dyDescent="0.25">
      <c r="A5138" s="8">
        <v>995097</v>
      </c>
      <c r="B5138" s="22" t="str">
        <f>IFERROR(VLOOKUP(A5138,VLOOKUPS!$A$2:B$12589,2,FALSE),"")</f>
        <v>Butternut Diced 12oz-standard</v>
      </c>
      <c r="E5138">
        <v>1.43</v>
      </c>
      <c r="F5138">
        <v>2.39</v>
      </c>
      <c r="G5138" s="13">
        <v>44786</v>
      </c>
      <c r="H5138" s="13"/>
      <c r="I5138" s="22" t="str">
        <f>VLOOKUP(J5138, Dropdowns!N:O, 2, FALSE)</f>
        <v>Standard</v>
      </c>
      <c r="J5138" t="s">
        <v>760</v>
      </c>
      <c r="L5138" s="17" t="s">
        <v>733</v>
      </c>
      <c r="M5138" s="17" t="s">
        <v>735</v>
      </c>
      <c r="N5138" s="17" t="s">
        <v>740</v>
      </c>
    </row>
    <row r="5139" spans="1:17" x14ac:dyDescent="0.25">
      <c r="A5139" s="8">
        <v>995193</v>
      </c>
      <c r="B5139" s="22" t="str">
        <f>IFERROR(VLOOKUP(A5139,VLOOKUPS!$A$2:B$12589,2,FALSE),"")</f>
        <v>Organic Broccoli Florets 12oz-standard</v>
      </c>
      <c r="E5139">
        <v>4.49</v>
      </c>
      <c r="F5139">
        <v>2.69</v>
      </c>
      <c r="G5139" s="13">
        <v>44785</v>
      </c>
      <c r="H5139" s="13">
        <v>44786</v>
      </c>
      <c r="I5139" s="22" t="str">
        <f>VLOOKUP(J5139, Dropdowns!N:O, 2, FALSE)</f>
        <v>Lower Price</v>
      </c>
      <c r="J5139" t="s">
        <v>759</v>
      </c>
      <c r="L5139" s="17" t="s">
        <v>734</v>
      </c>
      <c r="M5139" s="17" t="s">
        <v>9</v>
      </c>
      <c r="N5139" s="17" t="s">
        <v>736</v>
      </c>
    </row>
    <row r="5140" spans="1:17" x14ac:dyDescent="0.25">
      <c r="A5140" s="8">
        <v>995193</v>
      </c>
      <c r="B5140" s="22" t="str">
        <f>IFERROR(VLOOKUP(A5140,VLOOKUPS!$A$2:B$12589,2,FALSE),"")</f>
        <v>Organic Broccoli Florets 12oz-standard</v>
      </c>
      <c r="E5140">
        <v>4.18</v>
      </c>
      <c r="F5140">
        <v>2.5099999999999998</v>
      </c>
      <c r="G5140" s="13">
        <v>44785</v>
      </c>
      <c r="H5140" s="13">
        <v>44786</v>
      </c>
      <c r="I5140" s="22" t="str">
        <f>VLOOKUP(J5140, Dropdowns!N:O, 2, FALSE)</f>
        <v>Lower Price</v>
      </c>
      <c r="J5140" t="s">
        <v>759</v>
      </c>
      <c r="L5140" s="17" t="s">
        <v>733</v>
      </c>
      <c r="M5140" s="17" t="s">
        <v>9</v>
      </c>
      <c r="N5140" s="17" t="s">
        <v>740</v>
      </c>
    </row>
    <row r="5141" spans="1:17" x14ac:dyDescent="0.25">
      <c r="A5141" s="8">
        <v>995193</v>
      </c>
      <c r="B5141" s="22" t="str">
        <f>IFERROR(VLOOKUP(A5141,VLOOKUPS!$A$2:B$12589,2,FALSE),"")</f>
        <v>Organic Broccoli Florets 12oz-standard</v>
      </c>
      <c r="E5141">
        <v>2.69</v>
      </c>
      <c r="F5141">
        <v>4.49</v>
      </c>
      <c r="G5141" s="13">
        <v>44787</v>
      </c>
      <c r="H5141" s="13"/>
      <c r="I5141" s="22" t="str">
        <f>VLOOKUP(J5141, Dropdowns!N:O, 2, FALSE)</f>
        <v>Standard</v>
      </c>
      <c r="J5141" t="s">
        <v>760</v>
      </c>
      <c r="L5141" s="17" t="s">
        <v>734</v>
      </c>
      <c r="M5141" s="17" t="s">
        <v>9</v>
      </c>
      <c r="N5141" s="17" t="s">
        <v>736</v>
      </c>
    </row>
    <row r="5142" spans="1:17" x14ac:dyDescent="0.25">
      <c r="A5142" s="8">
        <v>995193</v>
      </c>
      <c r="B5142" s="22" t="str">
        <f>IFERROR(VLOOKUP(A5142,VLOOKUPS!$A$2:B$12589,2,FALSE),"")</f>
        <v>Organic Broccoli Florets 12oz-standard</v>
      </c>
      <c r="E5142">
        <v>2.5099999999999998</v>
      </c>
      <c r="F5142">
        <v>4.18</v>
      </c>
      <c r="G5142" s="13">
        <v>44787</v>
      </c>
      <c r="H5142" s="13"/>
      <c r="I5142" s="22" t="str">
        <f>VLOOKUP(J5142, Dropdowns!N:O, 2, FALSE)</f>
        <v>Standard</v>
      </c>
      <c r="J5142" t="s">
        <v>760</v>
      </c>
      <c r="L5142" s="17" t="s">
        <v>733</v>
      </c>
      <c r="M5142" s="17" t="s">
        <v>9</v>
      </c>
      <c r="N5142" s="17" t="s">
        <v>740</v>
      </c>
    </row>
    <row r="5143" spans="1:17" x14ac:dyDescent="0.25">
      <c r="A5143" s="8">
        <v>995187</v>
      </c>
      <c r="B5143" s="22" t="str">
        <f>IFERROR(VLOOKUP(A5143,VLOOKUPS!$A$2:B$12589,2,FALSE),"")</f>
        <v>Organic Carrots and Guacamole 5oz-standard</v>
      </c>
      <c r="E5143">
        <v>2.99</v>
      </c>
      <c r="F5143">
        <v>1.79</v>
      </c>
      <c r="G5143" s="13">
        <v>44785</v>
      </c>
      <c r="H5143" s="13">
        <v>44786</v>
      </c>
      <c r="I5143" s="22" t="str">
        <f>VLOOKUP(J5143, Dropdowns!N:O, 2, FALSE)</f>
        <v>Lower Price</v>
      </c>
      <c r="J5143" t="s">
        <v>759</v>
      </c>
      <c r="L5143" s="17" t="s">
        <v>733</v>
      </c>
      <c r="M5143" s="17" t="s">
        <v>10</v>
      </c>
      <c r="N5143" s="17" t="s">
        <v>740</v>
      </c>
    </row>
    <row r="5144" spans="1:17" x14ac:dyDescent="0.25">
      <c r="A5144" s="8">
        <v>995187</v>
      </c>
      <c r="B5144" s="22" t="str">
        <f>IFERROR(VLOOKUP(A5144,VLOOKUPS!$A$2:B$12589,2,FALSE),"")</f>
        <v>Organic Carrots and Guacamole 5oz-standard</v>
      </c>
      <c r="E5144">
        <v>1.79</v>
      </c>
      <c r="F5144">
        <v>2.99</v>
      </c>
      <c r="G5144" s="13">
        <v>44787</v>
      </c>
      <c r="H5144" s="13"/>
      <c r="I5144" s="22" t="str">
        <f>VLOOKUP(J5144, Dropdowns!N:O, 2, FALSE)</f>
        <v>Standard</v>
      </c>
      <c r="J5144" t="s">
        <v>760</v>
      </c>
      <c r="L5144" s="17" t="s">
        <v>733</v>
      </c>
      <c r="M5144" s="17" t="s">
        <v>10</v>
      </c>
      <c r="N5144" s="17" t="s">
        <v>740</v>
      </c>
    </row>
    <row r="5145" spans="1:17" x14ac:dyDescent="0.25">
      <c r="A5145" s="8">
        <v>995015</v>
      </c>
      <c r="B5145" s="22" t="str">
        <f>IFERROR(VLOOKUP(A5145,VLOOKUPS!$A$2:B$12589,2,FALSE),"")</f>
        <v>Savory Spinach Dijon Salad 4.9oz-standard</v>
      </c>
      <c r="E5145">
        <v>3.47</v>
      </c>
      <c r="F5145">
        <v>2.08</v>
      </c>
      <c r="G5145" s="13">
        <v>44785</v>
      </c>
      <c r="H5145" s="13">
        <v>44786</v>
      </c>
      <c r="I5145" s="22" t="str">
        <f>VLOOKUP(J5145, Dropdowns!N:O, 2, FALSE)</f>
        <v>Lower Price</v>
      </c>
      <c r="J5145" t="s">
        <v>759</v>
      </c>
      <c r="L5145" s="17" t="s">
        <v>733</v>
      </c>
      <c r="M5145" s="17" t="s">
        <v>10</v>
      </c>
      <c r="N5145" s="17" t="s">
        <v>740</v>
      </c>
    </row>
    <row r="5146" spans="1:17" x14ac:dyDescent="0.25">
      <c r="A5146" s="8">
        <v>995015</v>
      </c>
      <c r="B5146" s="22" t="str">
        <f>IFERROR(VLOOKUP(A5146,VLOOKUPS!$A$2:B$12589,2,FALSE),"")</f>
        <v>Savory Spinach Dijon Salad 4.9oz-standard</v>
      </c>
      <c r="E5146">
        <v>2.08</v>
      </c>
      <c r="F5146">
        <v>3.47</v>
      </c>
      <c r="G5146" s="13">
        <v>44787</v>
      </c>
      <c r="H5146" s="13"/>
      <c r="I5146" s="22" t="str">
        <f>VLOOKUP(J5146, Dropdowns!N:O, 2, FALSE)</f>
        <v>Standard</v>
      </c>
      <c r="J5146" t="s">
        <v>760</v>
      </c>
      <c r="L5146" s="17" t="s">
        <v>733</v>
      </c>
      <c r="M5146" s="17" t="s">
        <v>10</v>
      </c>
      <c r="N5146" s="17" t="s">
        <v>740</v>
      </c>
    </row>
    <row r="5147" spans="1:17" x14ac:dyDescent="0.25">
      <c r="A5147" s="8">
        <v>995212</v>
      </c>
      <c r="B5147" s="22" t="str">
        <f>IFERROR(VLOOKUP(A5147,VLOOKUPS!$A$2:B$12589,2,FALSE),"")</f>
        <v>Country Cobb Salad 7.25oz-standard</v>
      </c>
      <c r="D5147">
        <v>8</v>
      </c>
      <c r="F5147">
        <v>3.47</v>
      </c>
      <c r="G5147" s="13">
        <v>44786</v>
      </c>
      <c r="H5147" s="13"/>
      <c r="I5147" s="22" t="str">
        <f>VLOOKUP(J5147, Dropdowns!N:O, 2, FALSE)</f>
        <v>New</v>
      </c>
      <c r="J5147" t="s">
        <v>776</v>
      </c>
      <c r="L5147" s="17" t="s">
        <v>733</v>
      </c>
      <c r="M5147" s="17" t="s">
        <v>736</v>
      </c>
      <c r="N5147" s="17" t="s">
        <v>740</v>
      </c>
      <c r="O5147" t="s">
        <v>748</v>
      </c>
      <c r="P5147">
        <v>1</v>
      </c>
      <c r="Q5147" s="17" t="s">
        <v>1044</v>
      </c>
    </row>
    <row r="5148" spans="1:17" x14ac:dyDescent="0.25">
      <c r="A5148" s="8">
        <v>995212</v>
      </c>
      <c r="B5148" s="22" t="str">
        <f>IFERROR(VLOOKUP(A5148,VLOOKUPS!$A$2:B$12589,2,FALSE),"")</f>
        <v>Country Cobb Salad 7.25oz-standard</v>
      </c>
      <c r="D5148">
        <v>8</v>
      </c>
      <c r="F5148">
        <v>3.79</v>
      </c>
      <c r="G5148" s="13">
        <v>44786</v>
      </c>
      <c r="H5148" s="13"/>
      <c r="I5148" s="22" t="str">
        <f>VLOOKUP(J5148, Dropdowns!N:O, 2, FALSE)</f>
        <v>New</v>
      </c>
      <c r="J5148" t="s">
        <v>776</v>
      </c>
      <c r="L5148" s="17" t="s">
        <v>734</v>
      </c>
      <c r="M5148" s="17" t="s">
        <v>9</v>
      </c>
      <c r="N5148" s="17" t="s">
        <v>736</v>
      </c>
      <c r="O5148" s="17" t="s">
        <v>748</v>
      </c>
      <c r="P5148">
        <v>1</v>
      </c>
      <c r="Q5148" s="17" t="s">
        <v>1044</v>
      </c>
    </row>
    <row r="5149" spans="1:17" x14ac:dyDescent="0.25">
      <c r="A5149" s="8">
        <v>995212</v>
      </c>
      <c r="B5149" s="22" t="str">
        <f>IFERROR(VLOOKUP(A5149,VLOOKUPS!$A$2:B$12589,2,FALSE),"")</f>
        <v>Country Cobb Salad 7.25oz-standard</v>
      </c>
      <c r="D5149">
        <v>8</v>
      </c>
      <c r="F5149">
        <v>3.47</v>
      </c>
      <c r="G5149" s="13">
        <v>44786</v>
      </c>
      <c r="H5149" s="13"/>
      <c r="I5149" s="22" t="str">
        <f>VLOOKUP(J5149, Dropdowns!N:O, 2, FALSE)</f>
        <v>New</v>
      </c>
      <c r="J5149" t="s">
        <v>776</v>
      </c>
      <c r="L5149" s="17" t="s">
        <v>734</v>
      </c>
      <c r="M5149" s="17" t="s">
        <v>10</v>
      </c>
      <c r="N5149" s="17">
        <v>2</v>
      </c>
      <c r="O5149" s="17" t="s">
        <v>748</v>
      </c>
      <c r="P5149">
        <v>1</v>
      </c>
      <c r="Q5149" s="17" t="s">
        <v>1044</v>
      </c>
    </row>
    <row r="5150" spans="1:17" x14ac:dyDescent="0.25">
      <c r="A5150" s="8">
        <v>995208</v>
      </c>
      <c r="B5150" s="22" t="str">
        <f>IFERROR(VLOOKUP(A5150,VLOOKUPS!$A$2:B$12589,2,FALSE),"")</f>
        <v>Veggies &amp; Dip 7oz-standard</v>
      </c>
      <c r="D5150">
        <v>6</v>
      </c>
      <c r="F5150">
        <v>2.97</v>
      </c>
      <c r="G5150" s="13">
        <v>44788</v>
      </c>
      <c r="H5150" s="13"/>
      <c r="I5150" s="22" t="str">
        <f>VLOOKUP(J5150, Dropdowns!N:O, 2, FALSE)</f>
        <v>New</v>
      </c>
      <c r="J5150" t="s">
        <v>776</v>
      </c>
      <c r="L5150" s="17" t="s">
        <v>733</v>
      </c>
      <c r="M5150" s="17" t="s">
        <v>9</v>
      </c>
      <c r="N5150" s="17" t="s">
        <v>740</v>
      </c>
      <c r="O5150" t="s">
        <v>1110</v>
      </c>
      <c r="Q5150" s="17" t="s">
        <v>1044</v>
      </c>
    </row>
    <row r="5151" spans="1:17" x14ac:dyDescent="0.25">
      <c r="A5151" s="8">
        <v>995208</v>
      </c>
      <c r="B5151" s="22" t="str">
        <f>IFERROR(VLOOKUP(A5151,VLOOKUPS!$A$2:B$12589,2,FALSE),"")</f>
        <v>Veggies &amp; Dip 7oz-standard</v>
      </c>
      <c r="D5151">
        <v>6</v>
      </c>
      <c r="F5151">
        <v>3.27</v>
      </c>
      <c r="G5151" s="13">
        <v>44788</v>
      </c>
      <c r="H5151" s="13"/>
      <c r="I5151" s="22" t="str">
        <f>VLOOKUP(J5151, Dropdowns!N:O, 2, FALSE)</f>
        <v>New</v>
      </c>
      <c r="J5151" t="s">
        <v>776</v>
      </c>
      <c r="L5151" s="17" t="s">
        <v>734</v>
      </c>
      <c r="M5151" s="17" t="s">
        <v>9</v>
      </c>
      <c r="N5151" s="17" t="s">
        <v>736</v>
      </c>
      <c r="O5151" s="17" t="s">
        <v>1110</v>
      </c>
      <c r="Q5151" s="17" t="s">
        <v>1044</v>
      </c>
    </row>
    <row r="5152" spans="1:17" x14ac:dyDescent="0.25">
      <c r="A5152" s="8">
        <v>995209</v>
      </c>
      <c r="B5152" s="22" t="str">
        <f>IFERROR(VLOOKUP(A5152,VLOOKUPS!$A$2:B$12589,2,FALSE),"")</f>
        <v>Turkey &amp; Cheese 6oz-standard</v>
      </c>
      <c r="D5152">
        <v>6</v>
      </c>
      <c r="F5152">
        <v>2.97</v>
      </c>
      <c r="G5152" s="13">
        <v>44788</v>
      </c>
      <c r="H5152" s="13"/>
      <c r="I5152" s="22" t="str">
        <f>VLOOKUP(J5152, Dropdowns!N:O, 2, FALSE)</f>
        <v>New</v>
      </c>
      <c r="J5152" t="s">
        <v>776</v>
      </c>
      <c r="L5152" s="17" t="s">
        <v>733</v>
      </c>
      <c r="M5152" s="17" t="s">
        <v>9</v>
      </c>
      <c r="N5152" s="17" t="s">
        <v>740</v>
      </c>
      <c r="O5152" s="17" t="s">
        <v>1110</v>
      </c>
      <c r="Q5152" s="17" t="s">
        <v>1044</v>
      </c>
    </row>
    <row r="5153" spans="1:17" x14ac:dyDescent="0.25">
      <c r="A5153" s="8">
        <v>995209</v>
      </c>
      <c r="B5153" s="22" t="str">
        <f>IFERROR(VLOOKUP(A5153,VLOOKUPS!$A$2:B$12589,2,FALSE),"")</f>
        <v>Turkey &amp; Cheese 6oz-standard</v>
      </c>
      <c r="D5153">
        <v>6</v>
      </c>
      <c r="F5153">
        <v>3.27</v>
      </c>
      <c r="G5153" s="13">
        <v>44788</v>
      </c>
      <c r="H5153" s="13"/>
      <c r="I5153" s="22" t="str">
        <f>VLOOKUP(J5153, Dropdowns!N:O, 2, FALSE)</f>
        <v>New</v>
      </c>
      <c r="J5153" t="s">
        <v>776</v>
      </c>
      <c r="L5153" s="17" t="s">
        <v>734</v>
      </c>
      <c r="M5153" s="17" t="s">
        <v>9</v>
      </c>
      <c r="N5153" s="17" t="s">
        <v>736</v>
      </c>
      <c r="O5153" s="17" t="s">
        <v>1110</v>
      </c>
      <c r="Q5153" s="17" t="s">
        <v>1044</v>
      </c>
    </row>
    <row r="5154" spans="1:17" x14ac:dyDescent="0.25">
      <c r="A5154" s="8">
        <v>995154</v>
      </c>
      <c r="B5154" s="22" t="str">
        <f>IFERROR(VLOOKUP(A5154,VLOOKUPS!$A$2:B$12589,2,FALSE),"")</f>
        <v>Butter Blend 5oz-standard</v>
      </c>
      <c r="E5154">
        <v>2.98</v>
      </c>
      <c r="F5154">
        <v>1.79</v>
      </c>
      <c r="G5154" s="13">
        <v>44786</v>
      </c>
      <c r="H5154" s="13">
        <v>44787</v>
      </c>
      <c r="I5154" s="22" t="str">
        <f>VLOOKUP(J5154, Dropdowns!N:O, 2, FALSE)</f>
        <v>Lower Price</v>
      </c>
      <c r="J5154" t="s">
        <v>759</v>
      </c>
      <c r="L5154" s="17" t="s">
        <v>733</v>
      </c>
      <c r="M5154" s="17" t="s">
        <v>10</v>
      </c>
      <c r="N5154" s="17" t="s">
        <v>740</v>
      </c>
    </row>
    <row r="5155" spans="1:17" x14ac:dyDescent="0.25">
      <c r="A5155" s="8">
        <v>995154</v>
      </c>
      <c r="B5155" s="22" t="str">
        <f>IFERROR(VLOOKUP(A5155,VLOOKUPS!$A$2:B$12589,2,FALSE),"")</f>
        <v>Butter Blend 5oz-standard</v>
      </c>
      <c r="E5155">
        <v>1.79</v>
      </c>
      <c r="F5155">
        <v>2.98</v>
      </c>
      <c r="G5155" s="13">
        <v>44788</v>
      </c>
      <c r="H5155" s="13"/>
      <c r="I5155" s="22" t="str">
        <f>VLOOKUP(J5155, Dropdowns!N:O, 2, FALSE)</f>
        <v>Standard</v>
      </c>
      <c r="J5155" t="s">
        <v>760</v>
      </c>
      <c r="L5155" s="17" t="s">
        <v>733</v>
      </c>
      <c r="M5155" s="17" t="s">
        <v>10</v>
      </c>
      <c r="N5155" s="17" t="s">
        <v>740</v>
      </c>
    </row>
    <row r="5156" spans="1:17" x14ac:dyDescent="0.25">
      <c r="A5156" s="8">
        <v>995086</v>
      </c>
      <c r="B5156" s="22" t="str">
        <f>IFERROR(VLOOKUP(A5156,VLOOKUPS!$A$2:B$12589,2,FALSE),"")</f>
        <v>Eat Smart Broccoli Florets 2lbs-standard</v>
      </c>
      <c r="E5156">
        <v>6.18</v>
      </c>
      <c r="F5156">
        <v>3.71</v>
      </c>
      <c r="G5156" s="13">
        <v>44786</v>
      </c>
      <c r="H5156" s="13">
        <v>44787</v>
      </c>
      <c r="I5156" s="22" t="str">
        <f>VLOOKUP(J5156, Dropdowns!N:O, 2, FALSE)</f>
        <v>Lower Price</v>
      </c>
      <c r="J5156" t="s">
        <v>759</v>
      </c>
      <c r="L5156" s="17" t="s">
        <v>733</v>
      </c>
      <c r="M5156" s="17" t="s">
        <v>10</v>
      </c>
      <c r="N5156" s="17" t="s">
        <v>740</v>
      </c>
    </row>
    <row r="5157" spans="1:17" x14ac:dyDescent="0.25">
      <c r="A5157" s="8">
        <v>995086</v>
      </c>
      <c r="B5157" s="22" t="str">
        <f>IFERROR(VLOOKUP(A5157,VLOOKUPS!$A$2:B$12589,2,FALSE),"")</f>
        <v>Eat Smart Broccoli Florets 2lbs-standard</v>
      </c>
      <c r="E5157">
        <v>3.71</v>
      </c>
      <c r="F5157">
        <v>6.18</v>
      </c>
      <c r="G5157" s="13">
        <v>44788</v>
      </c>
      <c r="H5157" s="13"/>
      <c r="I5157" s="22" t="str">
        <f>VLOOKUP(J5157, Dropdowns!N:O, 2, FALSE)</f>
        <v>Standard</v>
      </c>
      <c r="J5157" t="s">
        <v>760</v>
      </c>
      <c r="L5157" s="17" t="s">
        <v>733</v>
      </c>
      <c r="M5157" s="17" t="s">
        <v>10</v>
      </c>
      <c r="N5157" s="17" t="s">
        <v>740</v>
      </c>
    </row>
    <row r="5158" spans="1:17" x14ac:dyDescent="0.25">
      <c r="A5158" s="8">
        <v>995208</v>
      </c>
      <c r="B5158" s="22" t="str">
        <f>IFERROR(VLOOKUP(A5158,VLOOKUPS!$A$2:B$12589,2,FALSE),"")</f>
        <v>Veggies &amp; Dip 7oz-standard</v>
      </c>
      <c r="D5158">
        <v>6</v>
      </c>
      <c r="F5158">
        <v>2.97</v>
      </c>
      <c r="G5158" s="13">
        <v>44789</v>
      </c>
      <c r="H5158" s="13"/>
      <c r="I5158" s="22" t="str">
        <f>VLOOKUP(J5158, Dropdowns!N:O, 2, FALSE)</f>
        <v>New</v>
      </c>
      <c r="J5158" t="s">
        <v>776</v>
      </c>
      <c r="L5158" s="17" t="s">
        <v>732</v>
      </c>
      <c r="M5158" s="17" t="s">
        <v>10</v>
      </c>
      <c r="N5158" s="17">
        <v>2</v>
      </c>
      <c r="O5158" s="28" t="s">
        <v>1110</v>
      </c>
      <c r="Q5158" s="28" t="s">
        <v>1044</v>
      </c>
    </row>
    <row r="5159" spans="1:17" x14ac:dyDescent="0.25">
      <c r="A5159" s="8">
        <v>995209</v>
      </c>
      <c r="B5159" s="22" t="str">
        <f>IFERROR(VLOOKUP(A5159,VLOOKUPS!$A$2:B$12589,2,FALSE),"")</f>
        <v>Turkey &amp; Cheese 6oz-standard</v>
      </c>
      <c r="D5159">
        <v>6</v>
      </c>
      <c r="F5159">
        <v>2.97</v>
      </c>
      <c r="G5159" s="13">
        <v>44789</v>
      </c>
      <c r="H5159" s="13"/>
      <c r="I5159" s="22" t="str">
        <f>VLOOKUP(J5159, Dropdowns!N:O, 2, FALSE)</f>
        <v>New</v>
      </c>
      <c r="J5159" t="s">
        <v>776</v>
      </c>
      <c r="L5159" s="17" t="s">
        <v>732</v>
      </c>
      <c r="M5159" s="17" t="s">
        <v>10</v>
      </c>
      <c r="N5159" s="17">
        <v>2</v>
      </c>
      <c r="O5159" s="28" t="s">
        <v>1110</v>
      </c>
      <c r="Q5159" s="28" t="s">
        <v>1044</v>
      </c>
    </row>
    <row r="5160" spans="1:17" x14ac:dyDescent="0.25">
      <c r="A5160" s="8">
        <v>995208</v>
      </c>
      <c r="B5160" s="22" t="str">
        <f>IFERROR(VLOOKUP(A5160,VLOOKUPS!$A$2:B$12589,2,FALSE),"")</f>
        <v>Veggies &amp; Dip 7oz-standard</v>
      </c>
      <c r="D5160">
        <v>6</v>
      </c>
      <c r="F5160">
        <v>2.97</v>
      </c>
      <c r="G5160" s="13">
        <v>44790</v>
      </c>
      <c r="H5160" s="13"/>
      <c r="I5160" s="22" t="str">
        <f>VLOOKUP(J5160, Dropdowns!N:O, 2, FALSE)</f>
        <v>New</v>
      </c>
      <c r="J5160" t="s">
        <v>776</v>
      </c>
      <c r="L5160" s="17" t="s">
        <v>733</v>
      </c>
      <c r="M5160" s="17" t="s">
        <v>11</v>
      </c>
      <c r="N5160" s="17" t="s">
        <v>740</v>
      </c>
      <c r="O5160" s="28" t="s">
        <v>1110</v>
      </c>
      <c r="Q5160" s="28" t="s">
        <v>1044</v>
      </c>
    </row>
    <row r="5161" spans="1:17" x14ac:dyDescent="0.25">
      <c r="A5161" s="8">
        <v>995209</v>
      </c>
      <c r="B5161" s="22" t="str">
        <f>IFERROR(VLOOKUP(A5161,VLOOKUPS!$A$2:B$12589,2,FALSE),"")</f>
        <v>Turkey &amp; Cheese 6oz-standard</v>
      </c>
      <c r="D5161">
        <v>6</v>
      </c>
      <c r="F5161">
        <v>2.97</v>
      </c>
      <c r="G5161" s="13">
        <v>44790</v>
      </c>
      <c r="H5161" s="13"/>
      <c r="I5161" s="22" t="str">
        <f>VLOOKUP(J5161, Dropdowns!N:O, 2, FALSE)</f>
        <v>New</v>
      </c>
      <c r="J5161" t="s">
        <v>776</v>
      </c>
      <c r="L5161" s="17" t="s">
        <v>733</v>
      </c>
      <c r="M5161" s="17" t="s">
        <v>11</v>
      </c>
      <c r="N5161" s="17" t="s">
        <v>740</v>
      </c>
      <c r="O5161" s="28" t="s">
        <v>1110</v>
      </c>
      <c r="Q5161" s="28" t="s">
        <v>1044</v>
      </c>
    </row>
    <row r="5162" spans="1:17" x14ac:dyDescent="0.25">
      <c r="A5162" s="8">
        <v>995206</v>
      </c>
      <c r="B5162" s="22" t="str">
        <f>IFERROR(VLOOKUP(A5162,VLOOKUPS!$A$2:B$12589,2,FALSE),"")</f>
        <v>Sweet 'N Crunchy Boost Bento 5.5oz-standard</v>
      </c>
      <c r="E5162">
        <v>3.99</v>
      </c>
      <c r="F5162">
        <v>2.39</v>
      </c>
      <c r="G5162" s="13">
        <v>44790</v>
      </c>
      <c r="H5162" s="13">
        <v>44791</v>
      </c>
      <c r="I5162" s="22" t="str">
        <f>VLOOKUP(J5162, Dropdowns!N:O, 2, FALSE)</f>
        <v>Lower Price</v>
      </c>
      <c r="J5162" t="s">
        <v>759</v>
      </c>
      <c r="L5162" s="17" t="s">
        <v>733</v>
      </c>
      <c r="M5162" s="17" t="s">
        <v>11</v>
      </c>
      <c r="N5162" s="17" t="s">
        <v>740</v>
      </c>
    </row>
    <row r="5163" spans="1:17" x14ac:dyDescent="0.25">
      <c r="A5163" s="8">
        <v>995206</v>
      </c>
      <c r="B5163" s="22" t="str">
        <f>IFERROR(VLOOKUP(A5163,VLOOKUPS!$A$2:B$12589,2,FALSE),"")</f>
        <v>Sweet 'N Crunchy Boost Bento 5.5oz-standard</v>
      </c>
      <c r="E5163">
        <v>2.39</v>
      </c>
      <c r="F5163">
        <v>3.99</v>
      </c>
      <c r="G5163" s="13">
        <v>44792</v>
      </c>
      <c r="H5163" s="13"/>
      <c r="I5163" s="22" t="str">
        <f>VLOOKUP(J5163, Dropdowns!N:O, 2, FALSE)</f>
        <v>Standard</v>
      </c>
      <c r="J5163" t="s">
        <v>760</v>
      </c>
      <c r="L5163" s="17" t="s">
        <v>733</v>
      </c>
      <c r="M5163" s="17" t="s">
        <v>11</v>
      </c>
      <c r="N5163" s="17" t="s">
        <v>740</v>
      </c>
    </row>
    <row r="5164" spans="1:17" x14ac:dyDescent="0.25">
      <c r="A5164" s="8">
        <v>995196</v>
      </c>
      <c r="B5164" s="22" t="str">
        <f>IFERROR(VLOOKUP(A5164,VLOOKUPS!$A$2:B$12589,2,FALSE),"")</f>
        <v/>
      </c>
      <c r="E5164">
        <v>7.97</v>
      </c>
      <c r="F5164">
        <v>4.78</v>
      </c>
      <c r="G5164" s="13">
        <v>44790</v>
      </c>
      <c r="H5164" s="13">
        <v>44791</v>
      </c>
      <c r="I5164" s="22" t="str">
        <f>VLOOKUP(J5164, Dropdowns!N:O, 2, FALSE)</f>
        <v>Lower Price</v>
      </c>
      <c r="J5164" t="s">
        <v>759</v>
      </c>
      <c r="L5164" s="17" t="s">
        <v>733</v>
      </c>
      <c r="M5164" s="17" t="s">
        <v>9</v>
      </c>
      <c r="N5164" s="17" t="s">
        <v>740</v>
      </c>
    </row>
    <row r="5165" spans="1:17" x14ac:dyDescent="0.25">
      <c r="A5165" s="8">
        <v>995196</v>
      </c>
      <c r="B5165" s="22" t="str">
        <f>IFERROR(VLOOKUP(A5165,VLOOKUPS!$A$2:B$12589,2,FALSE),"")</f>
        <v/>
      </c>
      <c r="E5165">
        <v>8.4700000000000006</v>
      </c>
      <c r="F5165">
        <v>5.08</v>
      </c>
      <c r="G5165" s="13">
        <v>44790</v>
      </c>
      <c r="H5165" s="13">
        <v>44791</v>
      </c>
      <c r="I5165" s="22" t="str">
        <f>VLOOKUP(J5165, Dropdowns!N:O, 2, FALSE)</f>
        <v>Lower Price</v>
      </c>
      <c r="J5165" t="s">
        <v>759</v>
      </c>
      <c r="L5165" s="17" t="s">
        <v>734</v>
      </c>
      <c r="M5165" s="17" t="s">
        <v>9</v>
      </c>
      <c r="N5165" s="17" t="s">
        <v>736</v>
      </c>
    </row>
    <row r="5166" spans="1:17" x14ac:dyDescent="0.25">
      <c r="A5166" s="8">
        <v>995196</v>
      </c>
      <c r="B5166" s="22" t="str">
        <f>IFERROR(VLOOKUP(A5166,VLOOKUPS!$A$2:B$12589,2,FALSE),"")</f>
        <v/>
      </c>
      <c r="E5166">
        <v>4.78</v>
      </c>
      <c r="F5166">
        <v>7.97</v>
      </c>
      <c r="G5166" s="13">
        <v>44792</v>
      </c>
      <c r="H5166" s="13"/>
      <c r="I5166" s="22" t="str">
        <f>VLOOKUP(J5166, Dropdowns!N:O, 2, FALSE)</f>
        <v>Standard</v>
      </c>
      <c r="J5166" t="s">
        <v>760</v>
      </c>
      <c r="L5166" s="17" t="s">
        <v>733</v>
      </c>
      <c r="M5166" s="17" t="s">
        <v>9</v>
      </c>
      <c r="N5166" s="17" t="s">
        <v>740</v>
      </c>
    </row>
    <row r="5167" spans="1:17" x14ac:dyDescent="0.25">
      <c r="A5167" s="8">
        <v>995196</v>
      </c>
      <c r="B5167" s="22" t="str">
        <f>IFERROR(VLOOKUP(A5167,VLOOKUPS!$A$2:B$12589,2,FALSE),"")</f>
        <v/>
      </c>
      <c r="E5167">
        <v>5.08</v>
      </c>
      <c r="F5167">
        <v>8.4700000000000006</v>
      </c>
      <c r="G5167" s="13">
        <v>44792</v>
      </c>
      <c r="H5167" s="13"/>
      <c r="I5167" s="22" t="str">
        <f>VLOOKUP(J5167, Dropdowns!N:O, 2, FALSE)</f>
        <v>Standard</v>
      </c>
      <c r="J5167" t="s">
        <v>760</v>
      </c>
      <c r="L5167" s="17" t="s">
        <v>734</v>
      </c>
      <c r="M5167" s="17" t="s">
        <v>9</v>
      </c>
      <c r="N5167" s="17" t="s">
        <v>736</v>
      </c>
    </row>
    <row r="5168" spans="1:17" x14ac:dyDescent="0.25">
      <c r="A5168" s="8">
        <v>995192</v>
      </c>
      <c r="B5168" s="22" t="str">
        <f>IFERROR(VLOOKUP(A5168,VLOOKUPS!$A$2:B$12589,2,FALSE),"")</f>
        <v>Green Beans 32oz-standard</v>
      </c>
      <c r="E5168">
        <v>6.18</v>
      </c>
      <c r="F5168">
        <v>3.71</v>
      </c>
      <c r="G5168" s="13">
        <v>44790</v>
      </c>
      <c r="H5168" s="13">
        <v>44791</v>
      </c>
      <c r="I5168" s="22" t="str">
        <f>VLOOKUP(J5168, Dropdowns!N:O, 2, FALSE)</f>
        <v>Lower Price</v>
      </c>
      <c r="J5168" t="s">
        <v>759</v>
      </c>
      <c r="L5168" s="17" t="s">
        <v>733</v>
      </c>
      <c r="M5168" s="17" t="s">
        <v>11</v>
      </c>
      <c r="N5168" s="17" t="s">
        <v>740</v>
      </c>
    </row>
    <row r="5169" spans="1:14" x14ac:dyDescent="0.25">
      <c r="A5169" s="8">
        <v>995192</v>
      </c>
      <c r="B5169" s="22" t="str">
        <f>IFERROR(VLOOKUP(A5169,VLOOKUPS!$A$2:B$12589,2,FALSE),"")</f>
        <v>Green Beans 32oz-standard</v>
      </c>
      <c r="E5169">
        <v>3.71</v>
      </c>
      <c r="F5169">
        <v>6.18</v>
      </c>
      <c r="G5169" s="13">
        <v>44792</v>
      </c>
      <c r="H5169" s="13"/>
      <c r="I5169" s="22" t="str">
        <f>VLOOKUP(J5169, Dropdowns!N:O, 2, FALSE)</f>
        <v>Standard</v>
      </c>
      <c r="J5169" t="s">
        <v>760</v>
      </c>
      <c r="L5169" s="17" t="s">
        <v>733</v>
      </c>
      <c r="M5169" s="17" t="s">
        <v>11</v>
      </c>
      <c r="N5169" s="17" t="s">
        <v>740</v>
      </c>
    </row>
    <row r="5170" spans="1:14" x14ac:dyDescent="0.25">
      <c r="A5170" s="8">
        <v>995189</v>
      </c>
      <c r="B5170" s="22" t="str">
        <f>IFERROR(VLOOKUP(A5170,VLOOKUPS!$A$2:B$12589,2,FALSE),"")</f>
        <v>Celery and Hummus 5.5oz-standard</v>
      </c>
      <c r="D5170">
        <v>6</v>
      </c>
      <c r="F5170">
        <v>2.99</v>
      </c>
      <c r="G5170" s="13">
        <v>44790</v>
      </c>
      <c r="H5170" s="13"/>
      <c r="I5170" s="22" t="str">
        <f>VLOOKUP(J5170, Dropdowns!N:O, 2, FALSE)</f>
        <v>NA</v>
      </c>
      <c r="J5170" t="s">
        <v>754</v>
      </c>
      <c r="L5170" s="17" t="s">
        <v>732</v>
      </c>
      <c r="M5170" s="17" t="s">
        <v>736</v>
      </c>
      <c r="N5170" s="17" t="s">
        <v>736</v>
      </c>
    </row>
    <row r="5171" spans="1:14" x14ac:dyDescent="0.25">
      <c r="A5171" s="8">
        <v>984542</v>
      </c>
      <c r="B5171" s="22" t="str">
        <f>IFERROR(VLOOKUP(A5171,VLOOKUPS!$A$2:B$12589,2,FALSE),"")</f>
        <v>Blueberries 18oz-standard</v>
      </c>
      <c r="E5171">
        <v>2.99</v>
      </c>
      <c r="F5171">
        <v>5.09</v>
      </c>
      <c r="G5171" s="13">
        <v>44790</v>
      </c>
      <c r="H5171" s="13"/>
      <c r="I5171" s="22" t="str">
        <f>VLOOKUP(J5171, Dropdowns!N:O, 2, FALSE)</f>
        <v>Standard</v>
      </c>
      <c r="J5171" t="s">
        <v>760</v>
      </c>
      <c r="L5171" s="17" t="s">
        <v>733</v>
      </c>
      <c r="M5171" s="17" t="s">
        <v>736</v>
      </c>
      <c r="N5171" s="17" t="s">
        <v>740</v>
      </c>
    </row>
    <row r="5172" spans="1:14" x14ac:dyDescent="0.25">
      <c r="A5172" s="8">
        <v>984542</v>
      </c>
      <c r="B5172" s="22" t="str">
        <f>IFERROR(VLOOKUP(A5172,VLOOKUPS!$A$2:B$12589,2,FALSE),"")</f>
        <v>Blueberries 18oz-standard</v>
      </c>
      <c r="E5172">
        <v>3.49</v>
      </c>
      <c r="F5172">
        <v>5.59</v>
      </c>
      <c r="G5172" s="13">
        <v>44790</v>
      </c>
      <c r="H5172" s="13"/>
      <c r="I5172" s="22" t="str">
        <f>VLOOKUP(J5172, Dropdowns!N:O, 2, FALSE)</f>
        <v>Standard</v>
      </c>
      <c r="J5172" t="s">
        <v>760</v>
      </c>
      <c r="L5172" s="17" t="s">
        <v>734</v>
      </c>
      <c r="M5172" s="17" t="s">
        <v>9</v>
      </c>
      <c r="N5172" s="17" t="s">
        <v>736</v>
      </c>
    </row>
    <row r="5173" spans="1:14" x14ac:dyDescent="0.25">
      <c r="A5173" s="8">
        <v>984542</v>
      </c>
      <c r="B5173" s="22" t="str">
        <f>IFERROR(VLOOKUP(A5173,VLOOKUPS!$A$2:B$12589,2,FALSE),"")</f>
        <v>Blueberries 18oz-standard</v>
      </c>
      <c r="E5173">
        <v>2.99</v>
      </c>
      <c r="F5173">
        <v>5.09</v>
      </c>
      <c r="G5173" s="13">
        <v>44790</v>
      </c>
      <c r="H5173" s="13"/>
      <c r="I5173" s="22" t="str">
        <f>VLOOKUP(J5173, Dropdowns!N:O, 2, FALSE)</f>
        <v>Standard</v>
      </c>
      <c r="J5173" t="s">
        <v>760</v>
      </c>
      <c r="L5173" s="17" t="s">
        <v>734</v>
      </c>
      <c r="M5173" s="17" t="s">
        <v>10</v>
      </c>
      <c r="N5173" s="17">
        <v>2</v>
      </c>
    </row>
    <row r="5174" spans="1:14" x14ac:dyDescent="0.25">
      <c r="A5174" s="8">
        <v>986250</v>
      </c>
      <c r="B5174" s="22" t="str">
        <f>IFERROR(VLOOKUP(A5174,VLOOKUPS!$A$2:B$12589,2,FALSE),"")</f>
        <v>French Beans 1lb-standard</v>
      </c>
      <c r="E5174">
        <v>2.29</v>
      </c>
      <c r="F5174">
        <v>3.29</v>
      </c>
      <c r="G5174" s="13">
        <v>44790</v>
      </c>
      <c r="H5174" s="13"/>
      <c r="I5174" s="22" t="str">
        <f>VLOOKUP(J5174, Dropdowns!N:O, 2, FALSE)</f>
        <v>Standard</v>
      </c>
      <c r="J5174" t="s">
        <v>760</v>
      </c>
      <c r="L5174" s="17" t="s">
        <v>734</v>
      </c>
      <c r="M5174" s="17" t="s">
        <v>9</v>
      </c>
      <c r="N5174" s="17" t="s">
        <v>736</v>
      </c>
    </row>
    <row r="5175" spans="1:14" x14ac:dyDescent="0.25">
      <c r="A5175" s="8">
        <v>986250</v>
      </c>
      <c r="B5175" s="22" t="str">
        <f>IFERROR(VLOOKUP(A5175,VLOOKUPS!$A$2:B$12589,2,FALSE),"")</f>
        <v>French Beans 1lb-standard</v>
      </c>
      <c r="E5175">
        <v>1.99</v>
      </c>
      <c r="F5175">
        <v>2.99</v>
      </c>
      <c r="G5175" s="13">
        <v>44790</v>
      </c>
      <c r="H5175" s="13"/>
      <c r="I5175" s="22" t="str">
        <f>VLOOKUP(J5175, Dropdowns!N:O, 2, FALSE)</f>
        <v>Standard</v>
      </c>
      <c r="J5175" t="s">
        <v>760</v>
      </c>
      <c r="L5175" s="17" t="s">
        <v>733</v>
      </c>
      <c r="M5175" s="17" t="s">
        <v>736</v>
      </c>
      <c r="N5175" s="17" t="s">
        <v>740</v>
      </c>
    </row>
    <row r="5176" spans="1:14" x14ac:dyDescent="0.25">
      <c r="A5176" s="8">
        <v>986250</v>
      </c>
      <c r="B5176" s="22" t="str">
        <f>IFERROR(VLOOKUP(A5176,VLOOKUPS!$A$2:B$12589,2,FALSE),"")</f>
        <v>French Beans 1lb-standard</v>
      </c>
      <c r="E5176">
        <v>1.99</v>
      </c>
      <c r="F5176">
        <v>2.99</v>
      </c>
      <c r="G5176" s="13">
        <v>44790</v>
      </c>
      <c r="H5176" s="13"/>
      <c r="I5176" s="22" t="str">
        <f>VLOOKUP(J5176, Dropdowns!N:O, 2, FALSE)</f>
        <v>Standard</v>
      </c>
      <c r="J5176" t="s">
        <v>760</v>
      </c>
      <c r="L5176" s="17" t="s">
        <v>734</v>
      </c>
      <c r="M5176" s="17" t="s">
        <v>10</v>
      </c>
      <c r="N5176" s="17">
        <v>2</v>
      </c>
    </row>
    <row r="5177" spans="1:14" x14ac:dyDescent="0.25">
      <c r="A5177" s="8">
        <v>995171</v>
      </c>
      <c r="B5177" s="22" t="str">
        <f>IFERROR(VLOOKUP(A5177,VLOOKUPS!$A$2:B$12589,2,FALSE),"")</f>
        <v>Kale Greens 2lb-standard</v>
      </c>
      <c r="E5177">
        <v>4.5599999999999996</v>
      </c>
      <c r="F5177">
        <v>2.74</v>
      </c>
      <c r="G5177" s="13">
        <v>44791</v>
      </c>
      <c r="H5177" s="13">
        <v>44792</v>
      </c>
      <c r="I5177" s="22" t="str">
        <f>VLOOKUP(J5177, Dropdowns!N:O, 2, FALSE)</f>
        <v>Lower Price</v>
      </c>
      <c r="J5177" t="s">
        <v>759</v>
      </c>
      <c r="L5177" s="17" t="s">
        <v>732</v>
      </c>
      <c r="M5177" s="17" t="s">
        <v>737</v>
      </c>
      <c r="N5177" s="17" t="s">
        <v>736</v>
      </c>
    </row>
    <row r="5178" spans="1:14" x14ac:dyDescent="0.25">
      <c r="A5178" s="8">
        <v>995171</v>
      </c>
      <c r="B5178" s="22" t="str">
        <f>IFERROR(VLOOKUP(A5178,VLOOKUPS!$A$2:B$12589,2,FALSE),"")</f>
        <v>Kale Greens 2lb-standard</v>
      </c>
      <c r="E5178">
        <v>2.74</v>
      </c>
      <c r="F5178">
        <v>4.5599999999999996</v>
      </c>
      <c r="G5178" s="13">
        <v>44793</v>
      </c>
      <c r="H5178" s="13"/>
      <c r="I5178" s="22" t="str">
        <f>VLOOKUP(J5178, Dropdowns!N:O, 2, FALSE)</f>
        <v>Standard</v>
      </c>
      <c r="J5178" t="s">
        <v>760</v>
      </c>
      <c r="L5178" s="17" t="s">
        <v>732</v>
      </c>
      <c r="M5178" s="17" t="s">
        <v>737</v>
      </c>
      <c r="N5178" s="17" t="s">
        <v>736</v>
      </c>
    </row>
    <row r="5179" spans="1:14" x14ac:dyDescent="0.25">
      <c r="A5179" s="8">
        <v>995184</v>
      </c>
      <c r="B5179" s="22" t="str">
        <f>IFERROR(VLOOKUP(A5179,VLOOKUPS!$A$2:B$12589,2,FALSE),"")</f>
        <v>English Peas 8oz-standard</v>
      </c>
      <c r="E5179">
        <v>2.5</v>
      </c>
      <c r="F5179">
        <v>1.5</v>
      </c>
      <c r="G5179" s="13">
        <v>44791</v>
      </c>
      <c r="H5179" s="13">
        <v>44792</v>
      </c>
      <c r="I5179" s="22" t="str">
        <f>VLOOKUP(J5179, Dropdowns!N:O, 2, FALSE)</f>
        <v>Lower Price</v>
      </c>
      <c r="J5179" t="s">
        <v>759</v>
      </c>
      <c r="L5179" s="17" t="s">
        <v>732</v>
      </c>
      <c r="M5179" s="17" t="s">
        <v>10</v>
      </c>
      <c r="N5179" s="17">
        <v>2</v>
      </c>
    </row>
    <row r="5180" spans="1:14" x14ac:dyDescent="0.25">
      <c r="A5180" s="8">
        <v>995184</v>
      </c>
      <c r="B5180" s="22" t="str">
        <f>IFERROR(VLOOKUP(A5180,VLOOKUPS!$A$2:B$12589,2,FALSE),"")</f>
        <v>English Peas 8oz-standard</v>
      </c>
      <c r="E5180">
        <v>1.5</v>
      </c>
      <c r="F5180">
        <v>2.5</v>
      </c>
      <c r="G5180" s="13">
        <v>44793</v>
      </c>
      <c r="H5180" s="13"/>
      <c r="I5180" s="22" t="str">
        <f>VLOOKUP(J5180, Dropdowns!N:O, 2, FALSE)</f>
        <v>Standard</v>
      </c>
      <c r="J5180" t="s">
        <v>760</v>
      </c>
      <c r="L5180" s="17" t="s">
        <v>732</v>
      </c>
      <c r="M5180" s="17" t="s">
        <v>10</v>
      </c>
      <c r="N5180" s="17">
        <v>2</v>
      </c>
    </row>
    <row r="5181" spans="1:14" x14ac:dyDescent="0.25">
      <c r="A5181" s="8">
        <v>984500</v>
      </c>
      <c r="B5181" s="22" t="str">
        <f>IFERROR(VLOOKUP(A5181,VLOOKUPS!$A$2:B$12589,2,FALSE),"")</f>
        <v>Organic Strawberries 1lb-standard</v>
      </c>
      <c r="E5181">
        <v>4.49</v>
      </c>
      <c r="F5181">
        <v>4.79</v>
      </c>
      <c r="G5181" s="13">
        <v>44792</v>
      </c>
      <c r="H5181" s="13"/>
      <c r="I5181" s="22" t="str">
        <f>VLOOKUP(J5181, Dropdowns!N:O, 2, FALSE)</f>
        <v>Standard</v>
      </c>
      <c r="J5181" t="s">
        <v>761</v>
      </c>
      <c r="L5181" s="17" t="s">
        <v>734</v>
      </c>
      <c r="M5181" s="17" t="s">
        <v>9</v>
      </c>
      <c r="N5181" s="17" t="s">
        <v>736</v>
      </c>
    </row>
    <row r="5182" spans="1:14" x14ac:dyDescent="0.25">
      <c r="A5182" s="8">
        <v>984620</v>
      </c>
      <c r="B5182" s="22" t="str">
        <f>IFERROR(VLOOKUP(A5182,VLOOKUPS!$A$2:B$12589,2,FALSE),"")</f>
        <v>Raspberries 6oz-standard</v>
      </c>
      <c r="E5182">
        <v>3.18</v>
      </c>
      <c r="F5182">
        <v>3.48</v>
      </c>
      <c r="G5182" s="13">
        <v>44792</v>
      </c>
      <c r="H5182" s="13"/>
      <c r="I5182" s="22" t="str">
        <f>VLOOKUP(J5182, Dropdowns!N:O, 2, FALSE)</f>
        <v>Standard</v>
      </c>
      <c r="J5182" t="s">
        <v>761</v>
      </c>
      <c r="L5182" s="17" t="s">
        <v>733</v>
      </c>
      <c r="M5182" s="17" t="s">
        <v>736</v>
      </c>
      <c r="N5182" s="17" t="s">
        <v>740</v>
      </c>
    </row>
    <row r="5183" spans="1:14" x14ac:dyDescent="0.25">
      <c r="A5183" s="8">
        <v>984620</v>
      </c>
      <c r="B5183" s="22" t="str">
        <f>IFERROR(VLOOKUP(A5183,VLOOKUPS!$A$2:B$12589,2,FALSE),"")</f>
        <v>Raspberries 6oz-standard</v>
      </c>
      <c r="E5183">
        <v>3.18</v>
      </c>
      <c r="F5183">
        <v>3.48</v>
      </c>
      <c r="G5183" s="13">
        <v>44792</v>
      </c>
      <c r="H5183" s="13"/>
      <c r="I5183" s="22" t="str">
        <f>VLOOKUP(J5183, Dropdowns!N:O, 2, FALSE)</f>
        <v>Standard</v>
      </c>
      <c r="J5183" t="s">
        <v>761</v>
      </c>
      <c r="L5183" s="17" t="s">
        <v>734</v>
      </c>
      <c r="M5183" s="17" t="s">
        <v>10</v>
      </c>
      <c r="N5183" s="17">
        <v>2</v>
      </c>
    </row>
    <row r="5184" spans="1:14" x14ac:dyDescent="0.25">
      <c r="A5184" s="8">
        <v>984700</v>
      </c>
      <c r="B5184" s="22" t="str">
        <f>IFERROR(VLOOKUP(A5184,VLOOKUPS!$A$2:B$12589,2,FALSE),"")</f>
        <v>Blackberries 6oz-standard</v>
      </c>
      <c r="E5184">
        <v>2.38</v>
      </c>
      <c r="F5184">
        <v>2.88</v>
      </c>
      <c r="G5184" s="13">
        <v>44792</v>
      </c>
      <c r="H5184" s="13"/>
      <c r="I5184" s="22" t="str">
        <f>VLOOKUP(J5184, Dropdowns!N:O, 2, FALSE)</f>
        <v>Standard</v>
      </c>
      <c r="J5184" t="s">
        <v>761</v>
      </c>
      <c r="L5184" s="17" t="s">
        <v>733</v>
      </c>
      <c r="M5184" s="17" t="s">
        <v>736</v>
      </c>
      <c r="N5184" s="17" t="s">
        <v>740</v>
      </c>
    </row>
    <row r="5185" spans="1:14" x14ac:dyDescent="0.25">
      <c r="A5185" s="8">
        <v>984700</v>
      </c>
      <c r="B5185" s="22" t="str">
        <f>IFERROR(VLOOKUP(A5185,VLOOKUPS!$A$2:B$12589,2,FALSE),"")</f>
        <v>Blackberries 6oz-standard</v>
      </c>
      <c r="E5185">
        <v>2.38</v>
      </c>
      <c r="F5185">
        <v>2.88</v>
      </c>
      <c r="G5185" s="13">
        <v>44792</v>
      </c>
      <c r="H5185" s="13"/>
      <c r="I5185" s="22" t="str">
        <f>VLOOKUP(J5185, Dropdowns!N:O, 2, FALSE)</f>
        <v>Standard</v>
      </c>
      <c r="J5185" t="s">
        <v>761</v>
      </c>
      <c r="L5185" s="17" t="s">
        <v>734</v>
      </c>
      <c r="M5185" s="17" t="s">
        <v>10</v>
      </c>
      <c r="N5185" s="17">
        <v>2</v>
      </c>
    </row>
    <row r="5186" spans="1:14" x14ac:dyDescent="0.25">
      <c r="A5186" s="8">
        <v>985160</v>
      </c>
      <c r="B5186" s="22" t="str">
        <f>IFERROR(VLOOKUP(A5186,VLOOKUPS!$A$2:B$12589,2,FALSE),"")</f>
        <v>Romaine Hearts 3ct-standard</v>
      </c>
      <c r="E5186">
        <v>2.79</v>
      </c>
      <c r="F5186">
        <v>2.62</v>
      </c>
      <c r="G5186" s="13">
        <v>44792</v>
      </c>
      <c r="H5186" s="13"/>
      <c r="I5186" s="22" t="str">
        <f>VLOOKUP(J5186, Dropdowns!N:O, 2, FALSE)</f>
        <v>Standard</v>
      </c>
      <c r="J5186" t="s">
        <v>761</v>
      </c>
      <c r="L5186" s="17" t="s">
        <v>733</v>
      </c>
      <c r="M5186" s="17" t="s">
        <v>736</v>
      </c>
      <c r="N5186" s="17" t="s">
        <v>740</v>
      </c>
    </row>
    <row r="5187" spans="1:14" x14ac:dyDescent="0.25">
      <c r="A5187" s="8">
        <v>985160</v>
      </c>
      <c r="B5187" s="22" t="str">
        <f>IFERROR(VLOOKUP(A5187,VLOOKUPS!$A$2:B$12589,2,FALSE),"")</f>
        <v>Romaine Hearts 3ct-standard</v>
      </c>
      <c r="E5187">
        <v>2.79</v>
      </c>
      <c r="F5187">
        <v>2.62</v>
      </c>
      <c r="G5187" s="13">
        <v>44792</v>
      </c>
      <c r="H5187" s="13"/>
      <c r="I5187" s="22" t="str">
        <f>VLOOKUP(J5187, Dropdowns!N:O, 2, FALSE)</f>
        <v>Standard</v>
      </c>
      <c r="J5187" t="s">
        <v>761</v>
      </c>
      <c r="L5187" s="17" t="s">
        <v>734</v>
      </c>
      <c r="M5187" s="17" t="s">
        <v>10</v>
      </c>
      <c r="N5187" s="17">
        <v>2</v>
      </c>
    </row>
    <row r="5188" spans="1:14" x14ac:dyDescent="0.25">
      <c r="A5188" s="8">
        <v>985160</v>
      </c>
      <c r="B5188" s="22" t="str">
        <f>IFERROR(VLOOKUP(A5188,VLOOKUPS!$A$2:B$12589,2,FALSE),"")</f>
        <v>Romaine Hearts 3ct-standard</v>
      </c>
      <c r="E5188">
        <v>2.99</v>
      </c>
      <c r="F5188">
        <v>3.29</v>
      </c>
      <c r="G5188" s="13">
        <v>44792</v>
      </c>
      <c r="H5188" s="13"/>
      <c r="I5188" s="22" t="str">
        <f>VLOOKUP(J5188, Dropdowns!N:O, 2, FALSE)</f>
        <v>Standard</v>
      </c>
      <c r="J5188" t="s">
        <v>761</v>
      </c>
      <c r="L5188" s="17" t="s">
        <v>734</v>
      </c>
      <c r="M5188" s="17" t="s">
        <v>9</v>
      </c>
      <c r="N5188" s="17" t="s">
        <v>736</v>
      </c>
    </row>
    <row r="5189" spans="1:14" x14ac:dyDescent="0.25">
      <c r="A5189" s="8">
        <v>985190</v>
      </c>
      <c r="B5189" s="22" t="str">
        <f>IFERROR(VLOOKUP(A5189,VLOOKUPS!$A$2:B$12589,2,FALSE),"")</f>
        <v>Organic Romaine Hearts 3ct-standard</v>
      </c>
      <c r="E5189">
        <v>4.29</v>
      </c>
      <c r="F5189">
        <v>4.49</v>
      </c>
      <c r="G5189" s="13">
        <v>44792</v>
      </c>
      <c r="H5189" s="13"/>
      <c r="I5189" s="22" t="str">
        <f>VLOOKUP(J5189, Dropdowns!N:O, 2, FALSE)</f>
        <v>Standard</v>
      </c>
      <c r="J5189" t="s">
        <v>761</v>
      </c>
      <c r="L5189" s="17" t="s">
        <v>734</v>
      </c>
      <c r="M5189" s="17" t="s">
        <v>9</v>
      </c>
      <c r="N5189" s="17" t="s">
        <v>736</v>
      </c>
    </row>
    <row r="5190" spans="1:14" x14ac:dyDescent="0.25">
      <c r="A5190" s="8">
        <v>985760</v>
      </c>
      <c r="B5190" s="22" t="str">
        <f>IFERROR(VLOOKUP(A5190,VLOOKUPS!$A$2:B$12589,2,FALSE),"")</f>
        <v>Asparagus 1lb-standard</v>
      </c>
      <c r="E5190">
        <v>2.99</v>
      </c>
      <c r="F5190">
        <v>3.49</v>
      </c>
      <c r="G5190" s="13">
        <v>44792</v>
      </c>
      <c r="H5190" s="13"/>
      <c r="I5190" s="22" t="str">
        <f>VLOOKUP(J5190, Dropdowns!N:O, 2, FALSE)</f>
        <v>Standard</v>
      </c>
      <c r="J5190" t="s">
        <v>761</v>
      </c>
      <c r="L5190" s="17" t="s">
        <v>734</v>
      </c>
      <c r="M5190" s="17" t="s">
        <v>9</v>
      </c>
      <c r="N5190" s="17" t="s">
        <v>736</v>
      </c>
    </row>
    <row r="5191" spans="1:14" x14ac:dyDescent="0.25">
      <c r="A5191" s="8">
        <v>988571</v>
      </c>
      <c r="B5191" s="22" t="str">
        <f>IFERROR(VLOOKUP(A5191,VLOOKUPS!$A$2:B$12589,2,FALSE),"")</f>
        <v>Cauliflower* 1ct-LOOSE</v>
      </c>
      <c r="E5191">
        <v>2.69</v>
      </c>
      <c r="F5191">
        <v>2.4900000000000002</v>
      </c>
      <c r="G5191" s="13">
        <v>44792</v>
      </c>
      <c r="H5191" s="13"/>
      <c r="I5191" s="22" t="str">
        <f>VLOOKUP(J5191, Dropdowns!N:O, 2, FALSE)</f>
        <v>Standard</v>
      </c>
      <c r="J5191" t="s">
        <v>761</v>
      </c>
      <c r="L5191" s="17" t="s">
        <v>733</v>
      </c>
      <c r="M5191" s="17" t="s">
        <v>736</v>
      </c>
      <c r="N5191" s="17" t="s">
        <v>740</v>
      </c>
    </row>
    <row r="5192" spans="1:14" x14ac:dyDescent="0.25">
      <c r="A5192" s="8">
        <v>988571</v>
      </c>
      <c r="B5192" s="22" t="str">
        <f>IFERROR(VLOOKUP(A5192,VLOOKUPS!$A$2:B$12589,2,FALSE),"")</f>
        <v>Cauliflower* 1ct-LOOSE</v>
      </c>
      <c r="E5192">
        <v>2.69</v>
      </c>
      <c r="F5192">
        <v>2.4900000000000002</v>
      </c>
      <c r="G5192" s="13">
        <v>44792</v>
      </c>
      <c r="H5192" s="13"/>
      <c r="I5192" s="22" t="str">
        <f>VLOOKUP(J5192, Dropdowns!N:O, 2, FALSE)</f>
        <v>Standard</v>
      </c>
      <c r="J5192" t="s">
        <v>761</v>
      </c>
      <c r="L5192" s="17" t="s">
        <v>734</v>
      </c>
      <c r="M5192" s="17" t="s">
        <v>10</v>
      </c>
      <c r="N5192" s="17">
        <v>2</v>
      </c>
    </row>
    <row r="5193" spans="1:14" x14ac:dyDescent="0.25">
      <c r="A5193" s="8">
        <v>988571</v>
      </c>
      <c r="B5193" s="22" t="str">
        <f>IFERROR(VLOOKUP(A5193,VLOOKUPS!$A$2:B$12589,2,FALSE),"")</f>
        <v>Cauliflower* 1ct-LOOSE</v>
      </c>
      <c r="E5193">
        <v>2.99</v>
      </c>
      <c r="F5193">
        <v>2.79</v>
      </c>
      <c r="G5193" s="13">
        <v>44792</v>
      </c>
      <c r="H5193" s="13"/>
      <c r="I5193" s="22" t="str">
        <f>VLOOKUP(J5193, Dropdowns!N:O, 2, FALSE)</f>
        <v>Standard</v>
      </c>
      <c r="J5193" t="s">
        <v>761</v>
      </c>
      <c r="L5193" s="17" t="s">
        <v>734</v>
      </c>
      <c r="M5193" s="17" t="s">
        <v>9</v>
      </c>
      <c r="N5193" s="17" t="s">
        <v>736</v>
      </c>
    </row>
    <row r="5194" spans="1:14" x14ac:dyDescent="0.25">
      <c r="A5194" s="8">
        <v>995001</v>
      </c>
      <c r="B5194" s="22" t="str">
        <f>IFERROR(VLOOKUP(A5194,VLOOKUPS!$A$2:B$12589,2,FALSE),"")</f>
        <v>Spinach Baby 6oz-standard</v>
      </c>
      <c r="E5194">
        <v>2.73</v>
      </c>
      <c r="F5194">
        <v>2.72</v>
      </c>
      <c r="G5194" s="13">
        <v>44792</v>
      </c>
      <c r="H5194" s="13"/>
      <c r="I5194" s="22" t="str">
        <f>VLOOKUP(J5194, Dropdowns!N:O, 2, FALSE)</f>
        <v>Standard</v>
      </c>
      <c r="J5194" t="s">
        <v>761</v>
      </c>
      <c r="L5194" s="17" t="s">
        <v>733</v>
      </c>
      <c r="M5194" s="17" t="s">
        <v>736</v>
      </c>
      <c r="N5194" s="17" t="s">
        <v>740</v>
      </c>
    </row>
    <row r="5195" spans="1:14" x14ac:dyDescent="0.25">
      <c r="A5195" s="8">
        <v>995001</v>
      </c>
      <c r="B5195" s="22" t="str">
        <f>IFERROR(VLOOKUP(A5195,VLOOKUPS!$A$2:B$12589,2,FALSE),"")</f>
        <v>Spinach Baby 6oz-standard</v>
      </c>
      <c r="E5195">
        <v>2.73</v>
      </c>
      <c r="F5195">
        <v>2.72</v>
      </c>
      <c r="G5195" s="13">
        <v>44792</v>
      </c>
      <c r="H5195" s="13"/>
      <c r="I5195" s="22" t="str">
        <f>VLOOKUP(J5195, Dropdowns!N:O, 2, FALSE)</f>
        <v>Standard</v>
      </c>
      <c r="J5195" t="s">
        <v>761</v>
      </c>
      <c r="L5195" s="17" t="s">
        <v>734</v>
      </c>
      <c r="M5195" s="17" t="s">
        <v>10</v>
      </c>
      <c r="N5195" s="17">
        <v>2</v>
      </c>
    </row>
    <row r="5196" spans="1:14" x14ac:dyDescent="0.25">
      <c r="A5196" s="8">
        <v>995001</v>
      </c>
      <c r="B5196" s="22" t="str">
        <f>IFERROR(VLOOKUP(A5196,VLOOKUPS!$A$2:B$12589,2,FALSE),"")</f>
        <v>Spinach Baby 6oz-standard</v>
      </c>
      <c r="E5196">
        <v>3.19</v>
      </c>
      <c r="F5196">
        <v>2.89</v>
      </c>
      <c r="G5196" s="13">
        <v>44792</v>
      </c>
      <c r="H5196" s="13"/>
      <c r="I5196" s="22" t="str">
        <f>VLOOKUP(J5196, Dropdowns!N:O, 2, FALSE)</f>
        <v>Standard</v>
      </c>
      <c r="J5196" t="s">
        <v>761</v>
      </c>
      <c r="L5196" s="17" t="s">
        <v>734</v>
      </c>
      <c r="M5196" s="17" t="s">
        <v>9</v>
      </c>
      <c r="N5196" s="17" t="s">
        <v>736</v>
      </c>
    </row>
    <row r="5197" spans="1:14" x14ac:dyDescent="0.25">
      <c r="A5197" s="8">
        <v>995006</v>
      </c>
      <c r="B5197" s="22" t="str">
        <f>IFERROR(VLOOKUP(A5197,VLOOKUPS!$A$2:B$12589,2,FALSE),"")</f>
        <v>Italian Salad 9oz-standard</v>
      </c>
      <c r="E5197">
        <v>2.69</v>
      </c>
      <c r="F5197">
        <v>2.4900000000000002</v>
      </c>
      <c r="G5197" s="13">
        <v>44792</v>
      </c>
      <c r="H5197" s="13"/>
      <c r="I5197" s="22" t="str">
        <f>VLOOKUP(J5197, Dropdowns!N:O, 2, FALSE)</f>
        <v>Standard</v>
      </c>
      <c r="J5197" t="s">
        <v>761</v>
      </c>
      <c r="L5197" s="17" t="s">
        <v>733</v>
      </c>
      <c r="M5197" s="17" t="s">
        <v>736</v>
      </c>
      <c r="N5197" s="17" t="s">
        <v>740</v>
      </c>
    </row>
    <row r="5198" spans="1:14" x14ac:dyDescent="0.25">
      <c r="A5198" s="8">
        <v>995006</v>
      </c>
      <c r="B5198" s="22" t="str">
        <f>IFERROR(VLOOKUP(A5198,VLOOKUPS!$A$2:B$12589,2,FALSE),"")</f>
        <v>Italian Salad 9oz-standard</v>
      </c>
      <c r="E5198">
        <v>2.69</v>
      </c>
      <c r="F5198">
        <v>2.4900000000000002</v>
      </c>
      <c r="G5198" s="13">
        <v>44792</v>
      </c>
      <c r="H5198" s="13"/>
      <c r="I5198" s="22" t="str">
        <f>VLOOKUP(J5198, Dropdowns!N:O, 2, FALSE)</f>
        <v>Standard</v>
      </c>
      <c r="J5198" t="s">
        <v>761</v>
      </c>
      <c r="L5198" s="17" t="s">
        <v>734</v>
      </c>
      <c r="M5198" s="17" t="s">
        <v>10</v>
      </c>
      <c r="N5198" s="17">
        <v>2</v>
      </c>
    </row>
    <row r="5199" spans="1:14" x14ac:dyDescent="0.25">
      <c r="A5199" s="8">
        <v>995006</v>
      </c>
      <c r="B5199" s="22" t="str">
        <f>IFERROR(VLOOKUP(A5199,VLOOKUPS!$A$2:B$12589,2,FALSE),"")</f>
        <v>Italian Salad 9oz-standard</v>
      </c>
      <c r="E5199">
        <v>2.69</v>
      </c>
      <c r="F5199">
        <v>2.89</v>
      </c>
      <c r="G5199" s="13">
        <v>44792</v>
      </c>
      <c r="H5199" s="13"/>
      <c r="I5199" s="22" t="str">
        <f>VLOOKUP(J5199, Dropdowns!N:O, 2, FALSE)</f>
        <v>Standard</v>
      </c>
      <c r="J5199" t="s">
        <v>761</v>
      </c>
      <c r="L5199" s="17" t="s">
        <v>734</v>
      </c>
      <c r="M5199" s="17" t="s">
        <v>9</v>
      </c>
      <c r="N5199" s="17" t="s">
        <v>736</v>
      </c>
    </row>
    <row r="5200" spans="1:14" x14ac:dyDescent="0.25">
      <c r="A5200" s="8">
        <v>995008</v>
      </c>
      <c r="B5200" s="22" t="str">
        <f>IFERROR(VLOOKUP(A5200,VLOOKUPS!$A$2:B$12589,2,FALSE),"")</f>
        <v>Shredded Lettuce 8oz-standard</v>
      </c>
      <c r="E5200">
        <v>1.99</v>
      </c>
      <c r="F5200">
        <v>2.19</v>
      </c>
      <c r="G5200" s="13">
        <v>44792</v>
      </c>
      <c r="H5200" s="13"/>
      <c r="I5200" s="22" t="str">
        <f>VLOOKUP(J5200, Dropdowns!N:O, 2, FALSE)</f>
        <v>Standard</v>
      </c>
      <c r="J5200" t="s">
        <v>761</v>
      </c>
      <c r="L5200" s="17" t="s">
        <v>734</v>
      </c>
      <c r="M5200" s="17" t="s">
        <v>9</v>
      </c>
      <c r="N5200" s="17" t="s">
        <v>736</v>
      </c>
    </row>
    <row r="5201" spans="1:14" x14ac:dyDescent="0.25">
      <c r="A5201" s="8">
        <v>995009</v>
      </c>
      <c r="B5201" s="22" t="str">
        <f>IFERROR(VLOOKUP(A5201,VLOOKUPS!$A$2:B$12589,2,FALSE),"")</f>
        <v>Classic Coleslaw 14oz-standard</v>
      </c>
      <c r="E5201">
        <v>1.69</v>
      </c>
      <c r="F5201">
        <v>1.89</v>
      </c>
      <c r="G5201" s="13">
        <v>44792</v>
      </c>
      <c r="H5201" s="13"/>
      <c r="I5201" s="22" t="str">
        <f>VLOOKUP(J5201, Dropdowns!N:O, 2, FALSE)</f>
        <v>Standard</v>
      </c>
      <c r="J5201" t="s">
        <v>761</v>
      </c>
      <c r="L5201" s="17" t="s">
        <v>734</v>
      </c>
      <c r="M5201" s="17" t="s">
        <v>9</v>
      </c>
      <c r="N5201" s="17" t="s">
        <v>736</v>
      </c>
    </row>
    <row r="5202" spans="1:14" x14ac:dyDescent="0.25">
      <c r="A5202" s="8">
        <v>995022</v>
      </c>
      <c r="B5202" s="22" t="str">
        <f>IFERROR(VLOOKUP(A5202,VLOOKUPS!$A$2:B$12589,2,FALSE),"")</f>
        <v>American Blend 12oz-standard</v>
      </c>
      <c r="E5202">
        <v>2.4900000000000002</v>
      </c>
      <c r="F5202">
        <v>2.79</v>
      </c>
      <c r="G5202" s="13">
        <v>44792</v>
      </c>
      <c r="H5202" s="13"/>
      <c r="I5202" s="22" t="str">
        <f>VLOOKUP(J5202, Dropdowns!N:O, 2, FALSE)</f>
        <v>Standard</v>
      </c>
      <c r="J5202" t="s">
        <v>761</v>
      </c>
      <c r="L5202" s="17" t="s">
        <v>734</v>
      </c>
      <c r="M5202" s="17" t="s">
        <v>9</v>
      </c>
      <c r="N5202" s="17" t="s">
        <v>736</v>
      </c>
    </row>
    <row r="5203" spans="1:14" x14ac:dyDescent="0.25">
      <c r="A5203" s="8">
        <v>995026</v>
      </c>
      <c r="B5203" s="22" t="str">
        <f>IFERROR(VLOOKUP(A5203,VLOOKUPS!$A$2:B$12589,2,FALSE),"")</f>
        <v>Baby Arugula 5oz-standard</v>
      </c>
      <c r="E5203">
        <v>2.4900000000000002</v>
      </c>
      <c r="F5203">
        <v>2.69</v>
      </c>
      <c r="G5203" s="13">
        <v>44792</v>
      </c>
      <c r="H5203" s="13"/>
      <c r="I5203" s="22" t="str">
        <f>VLOOKUP(J5203, Dropdowns!N:O, 2, FALSE)</f>
        <v>Standard</v>
      </c>
      <c r="J5203" t="s">
        <v>761</v>
      </c>
      <c r="L5203" s="17" t="s">
        <v>734</v>
      </c>
      <c r="M5203" s="17" t="s">
        <v>9</v>
      </c>
      <c r="N5203" s="17" t="s">
        <v>736</v>
      </c>
    </row>
    <row r="5204" spans="1:14" x14ac:dyDescent="0.25">
      <c r="A5204" s="8">
        <v>995042</v>
      </c>
      <c r="B5204" s="22" t="str">
        <f>IFERROR(VLOOKUP(A5204,VLOOKUPS!$A$2:B$12589,2,FALSE),"")</f>
        <v>Mango Chunks 16oz-standard</v>
      </c>
      <c r="E5204">
        <v>5.99</v>
      </c>
      <c r="F5204">
        <v>6.29</v>
      </c>
      <c r="G5204" s="13">
        <v>44793</v>
      </c>
      <c r="H5204" s="13"/>
      <c r="I5204" s="22" t="str">
        <f>VLOOKUP(J5204, Dropdowns!N:O, 2, FALSE)</f>
        <v>Standard</v>
      </c>
      <c r="J5204" t="s">
        <v>761</v>
      </c>
      <c r="L5204" s="17" t="s">
        <v>734</v>
      </c>
      <c r="M5204" s="17" t="s">
        <v>9</v>
      </c>
      <c r="N5204" s="17" t="s">
        <v>736</v>
      </c>
    </row>
    <row r="5205" spans="1:14" x14ac:dyDescent="0.25">
      <c r="A5205" s="8">
        <v>995045</v>
      </c>
      <c r="B5205" s="22" t="str">
        <f>IFERROR(VLOOKUP(A5205,VLOOKUPS!$A$2:B$12589,2,FALSE),"")</f>
        <v>Fajita Blend 12oz-standard</v>
      </c>
      <c r="E5205">
        <v>4.17</v>
      </c>
      <c r="F5205">
        <v>4.49</v>
      </c>
      <c r="G5205" s="13">
        <v>44793</v>
      </c>
      <c r="H5205" s="13"/>
      <c r="I5205" s="22" t="str">
        <f>VLOOKUP(J5205, Dropdowns!N:O, 2, FALSE)</f>
        <v>Standard</v>
      </c>
      <c r="J5205" t="s">
        <v>761</v>
      </c>
      <c r="L5205" s="17" t="s">
        <v>734</v>
      </c>
      <c r="M5205" s="17" t="s">
        <v>9</v>
      </c>
      <c r="N5205" s="17" t="s">
        <v>736</v>
      </c>
    </row>
    <row r="5206" spans="1:14" x14ac:dyDescent="0.25">
      <c r="A5206" s="8">
        <v>995053</v>
      </c>
      <c r="B5206" s="22" t="str">
        <f>IFERROR(VLOOKUP(A5206,VLOOKUPS!$A$2:B$12589,2,FALSE),"")</f>
        <v>Fresh Chopped Salsa Pico 16oz-standard</v>
      </c>
      <c r="E5206">
        <v>5.19</v>
      </c>
      <c r="F5206">
        <v>5.39</v>
      </c>
      <c r="G5206" s="13">
        <v>44793</v>
      </c>
      <c r="H5206" s="13"/>
      <c r="I5206" s="22" t="str">
        <f>VLOOKUP(J5206, Dropdowns!N:O, 2, FALSE)</f>
        <v>Standard</v>
      </c>
      <c r="J5206" t="s">
        <v>761</v>
      </c>
      <c r="L5206" s="17" t="s">
        <v>734</v>
      </c>
      <c r="M5206" s="17" t="s">
        <v>9</v>
      </c>
      <c r="N5206" s="17" t="s">
        <v>736</v>
      </c>
    </row>
    <row r="5207" spans="1:14" x14ac:dyDescent="0.25">
      <c r="A5207" s="8">
        <v>995072</v>
      </c>
      <c r="B5207" s="22" t="str">
        <f>IFERROR(VLOOKUP(A5207,VLOOKUPS!$A$2:B$12589,2,FALSE),"")</f>
        <v>Broccoli Coleslaw 12oz-standard</v>
      </c>
      <c r="E5207">
        <v>2.39</v>
      </c>
      <c r="F5207">
        <v>2.59</v>
      </c>
      <c r="G5207" s="13">
        <v>44793</v>
      </c>
      <c r="H5207" s="13"/>
      <c r="I5207" s="22" t="str">
        <f>VLOOKUP(J5207, Dropdowns!N:O, 2, FALSE)</f>
        <v>Standard</v>
      </c>
      <c r="J5207" t="s">
        <v>761</v>
      </c>
      <c r="L5207" s="17" t="s">
        <v>734</v>
      </c>
      <c r="M5207" s="17" t="s">
        <v>9</v>
      </c>
      <c r="N5207" s="17" t="s">
        <v>736</v>
      </c>
    </row>
    <row r="5208" spans="1:14" x14ac:dyDescent="0.25">
      <c r="A5208" s="8">
        <v>995076</v>
      </c>
      <c r="B5208" s="22" t="str">
        <f>IFERROR(VLOOKUP(A5208,VLOOKUPS!$A$2:B$12589,2,FALSE),"")</f>
        <v>Organic Power Greens 5oz-standard</v>
      </c>
      <c r="E5208">
        <v>3.29</v>
      </c>
      <c r="F5208">
        <v>3.49</v>
      </c>
      <c r="G5208" s="13">
        <v>44793</v>
      </c>
      <c r="H5208" s="13"/>
      <c r="I5208" s="22" t="str">
        <f>VLOOKUP(J5208, Dropdowns!N:O, 2, FALSE)</f>
        <v>Standard</v>
      </c>
      <c r="J5208" t="s">
        <v>761</v>
      </c>
      <c r="L5208" s="17" t="s">
        <v>734</v>
      </c>
      <c r="M5208" s="17" t="s">
        <v>9</v>
      </c>
      <c r="N5208" s="17" t="s">
        <v>736</v>
      </c>
    </row>
    <row r="5209" spans="1:14" x14ac:dyDescent="0.25">
      <c r="A5209" s="8">
        <v>995077</v>
      </c>
      <c r="B5209" s="22" t="str">
        <f>IFERROR(VLOOKUP(A5209,VLOOKUPS!$A$2:B$12589,2,FALSE),"")</f>
        <v>Organic Baby Spring Mix 16oz-standard</v>
      </c>
      <c r="E5209">
        <v>5.69</v>
      </c>
      <c r="F5209">
        <v>5.79</v>
      </c>
      <c r="G5209" s="13">
        <v>44793</v>
      </c>
      <c r="H5209" s="13"/>
      <c r="I5209" s="22" t="str">
        <f>VLOOKUP(J5209, Dropdowns!N:O, 2, FALSE)</f>
        <v>Standard</v>
      </c>
      <c r="J5209" t="s">
        <v>761</v>
      </c>
      <c r="L5209" s="17" t="s">
        <v>734</v>
      </c>
      <c r="M5209" s="17" t="s">
        <v>9</v>
      </c>
      <c r="N5209" s="17" t="s">
        <v>736</v>
      </c>
    </row>
    <row r="5210" spans="1:14" x14ac:dyDescent="0.25">
      <c r="A5210" s="8">
        <v>995078</v>
      </c>
      <c r="B5210" s="22" t="str">
        <f>IFERROR(VLOOKUP(A5210,VLOOKUPS!$A$2:B$12589,2,FALSE),"")</f>
        <v>Organic Baby Spinach 16oz-standard</v>
      </c>
      <c r="E5210">
        <v>5.69</v>
      </c>
      <c r="F5210">
        <v>5.79</v>
      </c>
      <c r="G5210" s="13">
        <v>44793</v>
      </c>
      <c r="H5210" s="13"/>
      <c r="I5210" s="22" t="str">
        <f>VLOOKUP(J5210, Dropdowns!N:O, 2, FALSE)</f>
        <v>Standard</v>
      </c>
      <c r="J5210" t="s">
        <v>761</v>
      </c>
      <c r="L5210" s="17" t="s">
        <v>734</v>
      </c>
      <c r="M5210" s="17" t="s">
        <v>9</v>
      </c>
      <c r="N5210" s="17" t="s">
        <v>736</v>
      </c>
    </row>
    <row r="5211" spans="1:14" x14ac:dyDescent="0.25">
      <c r="A5211" s="8">
        <v>995084</v>
      </c>
      <c r="B5211" s="22" t="str">
        <f>IFERROR(VLOOKUP(A5211,VLOOKUPS!$A$2:B$12589,2,FALSE),"")</f>
        <v>Eat Smart Green Beans 12oz-standard</v>
      </c>
      <c r="E5211">
        <v>2.99</v>
      </c>
      <c r="F5211">
        <v>3.29</v>
      </c>
      <c r="G5211" s="13">
        <v>44793</v>
      </c>
      <c r="H5211" s="13"/>
      <c r="I5211" s="22" t="str">
        <f>VLOOKUP(J5211, Dropdowns!N:O, 2, FALSE)</f>
        <v>Standard</v>
      </c>
      <c r="J5211" t="s">
        <v>761</v>
      </c>
      <c r="L5211" s="17" t="s">
        <v>734</v>
      </c>
      <c r="M5211" s="17" t="s">
        <v>9</v>
      </c>
      <c r="N5211" s="17" t="s">
        <v>736</v>
      </c>
    </row>
    <row r="5212" spans="1:14" x14ac:dyDescent="0.25">
      <c r="A5212" s="8">
        <v>995085</v>
      </c>
      <c r="B5212" s="22" t="str">
        <f>IFERROR(VLOOKUP(A5212,VLOOKUPS!$A$2:B$12589,2,FALSE),"")</f>
        <v>Sugar Snap Peas 8oz-standard</v>
      </c>
      <c r="E5212">
        <v>2.99</v>
      </c>
      <c r="F5212">
        <v>3.29</v>
      </c>
      <c r="G5212" s="13">
        <v>44793</v>
      </c>
      <c r="H5212" s="13"/>
      <c r="I5212" s="22" t="str">
        <f>VLOOKUP(J5212, Dropdowns!N:O, 2, FALSE)</f>
        <v>Standard</v>
      </c>
      <c r="J5212" t="s">
        <v>761</v>
      </c>
      <c r="L5212" s="17" t="s">
        <v>734</v>
      </c>
      <c r="M5212" s="17" t="s">
        <v>9</v>
      </c>
      <c r="N5212" s="17" t="s">
        <v>736</v>
      </c>
    </row>
    <row r="5213" spans="1:14" x14ac:dyDescent="0.25">
      <c r="A5213" s="8">
        <v>995097</v>
      </c>
      <c r="B5213" s="22" t="str">
        <f>IFERROR(VLOOKUP(A5213,VLOOKUPS!$A$2:B$12589,2,FALSE),"")</f>
        <v>Butternut Diced 12oz-standard</v>
      </c>
      <c r="E5213">
        <v>2.79</v>
      </c>
      <c r="F5213">
        <v>2.69</v>
      </c>
      <c r="G5213" s="13">
        <v>44793</v>
      </c>
      <c r="H5213" s="13"/>
      <c r="I5213" s="22" t="str">
        <f>VLOOKUP(J5213, Dropdowns!N:O, 2, FALSE)</f>
        <v>Standard</v>
      </c>
      <c r="J5213" t="s">
        <v>761</v>
      </c>
      <c r="L5213" s="17" t="s">
        <v>734</v>
      </c>
      <c r="M5213" s="17" t="s">
        <v>9</v>
      </c>
      <c r="N5213" s="17" t="s">
        <v>736</v>
      </c>
    </row>
    <row r="5214" spans="1:14" x14ac:dyDescent="0.25">
      <c r="A5214" s="8">
        <v>995104</v>
      </c>
      <c r="B5214" s="22" t="str">
        <f>IFERROR(VLOOKUP(A5214,VLOOKUPS!$A$2:B$12589,2,FALSE),"")</f>
        <v>Ginger Garlic Stir Fry Kit 14oz-standard</v>
      </c>
      <c r="E5214">
        <v>3.49</v>
      </c>
      <c r="F5214">
        <v>3.69</v>
      </c>
      <c r="G5214" s="13">
        <v>44793</v>
      </c>
      <c r="H5214" s="13"/>
      <c r="I5214" s="22" t="str">
        <f>VLOOKUP(J5214, Dropdowns!N:O, 2, FALSE)</f>
        <v>Standard</v>
      </c>
      <c r="J5214" t="s">
        <v>761</v>
      </c>
      <c r="L5214" s="17" t="s">
        <v>734</v>
      </c>
      <c r="M5214" s="17" t="s">
        <v>9</v>
      </c>
      <c r="N5214" s="17" t="s">
        <v>736</v>
      </c>
    </row>
    <row r="5215" spans="1:14" x14ac:dyDescent="0.25">
      <c r="A5215" s="8">
        <v>995115</v>
      </c>
      <c r="B5215" s="22" t="str">
        <f>IFERROR(VLOOKUP(A5215,VLOOKUPS!$A$2:B$12589,2,FALSE),"")</f>
        <v>Pineapple Chunks 10oz-standard</v>
      </c>
      <c r="E5215">
        <v>3.24</v>
      </c>
      <c r="F5215">
        <v>3.29</v>
      </c>
      <c r="G5215" s="13">
        <v>44793</v>
      </c>
      <c r="H5215" s="13"/>
      <c r="I5215" s="22" t="str">
        <f>VLOOKUP(J5215, Dropdowns!N:O, 2, FALSE)</f>
        <v>Standard</v>
      </c>
      <c r="J5215" t="s">
        <v>761</v>
      </c>
      <c r="L5215" s="17" t="s">
        <v>734</v>
      </c>
      <c r="M5215" s="17" t="s">
        <v>9</v>
      </c>
      <c r="N5215" s="17" t="s">
        <v>736</v>
      </c>
    </row>
    <row r="5216" spans="1:14" x14ac:dyDescent="0.25">
      <c r="A5216" s="8">
        <v>995116</v>
      </c>
      <c r="B5216" s="22" t="str">
        <f>IFERROR(VLOOKUP(A5216,VLOOKUPS!$A$2:B$12589,2,FALSE),"")</f>
        <v>Mango Chunks 10oz-standard</v>
      </c>
      <c r="E5216">
        <v>3.29</v>
      </c>
      <c r="F5216">
        <v>3.97</v>
      </c>
      <c r="G5216" s="13">
        <v>44793</v>
      </c>
      <c r="H5216" s="13"/>
      <c r="I5216" s="22" t="str">
        <f>VLOOKUP(J5216, Dropdowns!N:O, 2, FALSE)</f>
        <v>Standard</v>
      </c>
      <c r="J5216" t="s">
        <v>761</v>
      </c>
      <c r="L5216" s="17" t="s">
        <v>734</v>
      </c>
      <c r="M5216" s="17" t="s">
        <v>9</v>
      </c>
      <c r="N5216" s="17" t="s">
        <v>736</v>
      </c>
    </row>
    <row r="5217" spans="1:14" x14ac:dyDescent="0.25">
      <c r="A5217" s="8">
        <v>995137</v>
      </c>
      <c r="B5217" s="22" t="str">
        <f>IFERROR(VLOOKUP(A5217,VLOOKUPS!$A$2:B$12589,2,FALSE),"")</f>
        <v>Half and Half 11oz-standard</v>
      </c>
      <c r="E5217">
        <v>4.74</v>
      </c>
      <c r="F5217">
        <v>4.79</v>
      </c>
      <c r="G5217" s="13">
        <v>44793</v>
      </c>
      <c r="H5217" s="13"/>
      <c r="I5217" s="22" t="str">
        <f>VLOOKUP(J5217, Dropdowns!N:O, 2, FALSE)</f>
        <v>Standard</v>
      </c>
      <c r="J5217" t="s">
        <v>761</v>
      </c>
      <c r="L5217" s="17" t="s">
        <v>734</v>
      </c>
      <c r="M5217" s="17" t="s">
        <v>9</v>
      </c>
      <c r="N5217" s="17" t="s">
        <v>736</v>
      </c>
    </row>
    <row r="5218" spans="1:14" x14ac:dyDescent="0.25">
      <c r="A5218" s="8">
        <v>995138</v>
      </c>
      <c r="B5218" s="22" t="str">
        <f>IFERROR(VLOOKUP(A5218,VLOOKUPS!$A$2:B$12589,2,FALSE),"")</f>
        <v>Spring Mix 11oz-standard</v>
      </c>
      <c r="E5218">
        <v>4.74</v>
      </c>
      <c r="F5218">
        <v>4.79</v>
      </c>
      <c r="G5218" s="13">
        <v>44793</v>
      </c>
      <c r="H5218" s="13"/>
      <c r="I5218" s="22" t="str">
        <f>VLOOKUP(J5218, Dropdowns!N:O, 2, FALSE)</f>
        <v>Standard</v>
      </c>
      <c r="J5218" t="s">
        <v>761</v>
      </c>
      <c r="L5218" s="17" t="s">
        <v>734</v>
      </c>
      <c r="M5218" s="17" t="s">
        <v>9</v>
      </c>
      <c r="N5218" s="17" t="s">
        <v>736</v>
      </c>
    </row>
    <row r="5219" spans="1:14" x14ac:dyDescent="0.25">
      <c r="A5219" s="8">
        <v>995165</v>
      </c>
      <c r="B5219" s="22" t="str">
        <f>IFERROR(VLOOKUP(A5219,VLOOKUPS!$A$2:B$12589,2,FALSE),"")</f>
        <v>Organic Kale Greens 12oz-PK</v>
      </c>
      <c r="E5219">
        <v>3.55</v>
      </c>
      <c r="F5219">
        <v>3.89</v>
      </c>
      <c r="G5219" s="13">
        <v>44793</v>
      </c>
      <c r="H5219" s="13"/>
      <c r="I5219" s="22" t="str">
        <f>VLOOKUP(J5219, Dropdowns!N:O, 2, FALSE)</f>
        <v>Standard</v>
      </c>
      <c r="J5219" t="s">
        <v>761</v>
      </c>
      <c r="L5219" s="17" t="s">
        <v>733</v>
      </c>
      <c r="M5219" s="17" t="s">
        <v>736</v>
      </c>
      <c r="N5219" s="17" t="s">
        <v>740</v>
      </c>
    </row>
    <row r="5220" spans="1:14" x14ac:dyDescent="0.25">
      <c r="A5220" s="8">
        <v>995165</v>
      </c>
      <c r="B5220" s="22" t="str">
        <f>IFERROR(VLOOKUP(A5220,VLOOKUPS!$A$2:B$12589,2,FALSE),"")</f>
        <v>Organic Kale Greens 12oz-PK</v>
      </c>
      <c r="E5220">
        <v>3.55</v>
      </c>
      <c r="F5220">
        <v>3.89</v>
      </c>
      <c r="G5220" s="13">
        <v>44793</v>
      </c>
      <c r="H5220" s="13"/>
      <c r="I5220" s="22" t="str">
        <f>VLOOKUP(J5220, Dropdowns!N:O, 2, FALSE)</f>
        <v>Standard</v>
      </c>
      <c r="J5220" t="s">
        <v>761</v>
      </c>
      <c r="L5220" s="17" t="s">
        <v>734</v>
      </c>
      <c r="M5220" s="17" t="s">
        <v>10</v>
      </c>
      <c r="N5220" s="17">
        <v>2</v>
      </c>
    </row>
    <row r="5221" spans="1:14" x14ac:dyDescent="0.25">
      <c r="A5221" s="8">
        <v>995165</v>
      </c>
      <c r="B5221" s="22" t="str">
        <f>IFERROR(VLOOKUP(A5221,VLOOKUPS!$A$2:B$12589,2,FALSE),"")</f>
        <v>Organic Kale Greens 12oz-PK</v>
      </c>
      <c r="E5221">
        <v>3.74</v>
      </c>
      <c r="F5221">
        <v>3.89</v>
      </c>
      <c r="G5221" s="13">
        <v>44793</v>
      </c>
      <c r="H5221" s="13"/>
      <c r="I5221" s="22" t="str">
        <f>VLOOKUP(J5221, Dropdowns!N:O, 2, FALSE)</f>
        <v>Standard</v>
      </c>
      <c r="J5221" t="s">
        <v>761</v>
      </c>
      <c r="L5221" s="17" t="s">
        <v>734</v>
      </c>
      <c r="M5221" s="17" t="s">
        <v>9</v>
      </c>
      <c r="N5221" s="17" t="s">
        <v>736</v>
      </c>
    </row>
    <row r="5222" spans="1:14" x14ac:dyDescent="0.25">
      <c r="A5222" s="8">
        <v>995171</v>
      </c>
      <c r="B5222" s="22" t="str">
        <f>IFERROR(VLOOKUP(A5222,VLOOKUPS!$A$2:B$12589,2,FALSE),"")</f>
        <v>Kale Greens 2lb-standard</v>
      </c>
      <c r="E5222">
        <v>4.5599999999999996</v>
      </c>
      <c r="F5222">
        <v>4.8899999999999997</v>
      </c>
      <c r="G5222" s="13">
        <v>44793</v>
      </c>
      <c r="H5222" s="13"/>
      <c r="I5222" s="22" t="str">
        <f>VLOOKUP(J5222, Dropdowns!N:O, 2, FALSE)</f>
        <v>Standard</v>
      </c>
      <c r="J5222" t="s">
        <v>761</v>
      </c>
      <c r="L5222" s="17" t="s">
        <v>734</v>
      </c>
      <c r="M5222" s="17" t="s">
        <v>9</v>
      </c>
      <c r="N5222" s="17" t="s">
        <v>736</v>
      </c>
    </row>
    <row r="5223" spans="1:14" x14ac:dyDescent="0.25">
      <c r="A5223" s="8">
        <v>988640</v>
      </c>
      <c r="B5223" s="22" t="str">
        <f>IFERROR(VLOOKUP(A5223,VLOOKUPS!$A$2:B$12589,2,FALSE),"")</f>
        <v>Organic Brussels Sprouts 1lb-standard</v>
      </c>
      <c r="D5223">
        <v>16</v>
      </c>
      <c r="F5223">
        <v>4.29</v>
      </c>
      <c r="G5223" s="13">
        <v>44792</v>
      </c>
      <c r="H5223" s="13"/>
      <c r="I5223" s="22" t="str">
        <f>VLOOKUP(J5223, Dropdowns!N:O, 2, FALSE)</f>
        <v>NA</v>
      </c>
      <c r="J5223" t="s">
        <v>754</v>
      </c>
      <c r="L5223" s="17" t="s">
        <v>734</v>
      </c>
      <c r="M5223" s="17" t="s">
        <v>9</v>
      </c>
      <c r="N5223" s="17" t="s">
        <v>736</v>
      </c>
    </row>
    <row r="5224" spans="1:14" x14ac:dyDescent="0.25">
      <c r="A5224" s="8">
        <v>988640</v>
      </c>
      <c r="B5224" s="22" t="str">
        <f>IFERROR(VLOOKUP(A5224,VLOOKUPS!$A$2:B$12589,2,FALSE),"")</f>
        <v>Organic Brussels Sprouts 1lb-standard</v>
      </c>
      <c r="D5224">
        <v>16</v>
      </c>
      <c r="F5224">
        <v>3.59</v>
      </c>
      <c r="G5224" s="13">
        <v>44792</v>
      </c>
      <c r="H5224" s="13"/>
      <c r="I5224" s="22" t="str">
        <f>VLOOKUP(J5224, Dropdowns!N:O, 2, FALSE)</f>
        <v>NA</v>
      </c>
      <c r="J5224" t="s">
        <v>754</v>
      </c>
      <c r="L5224" s="17" t="s">
        <v>733</v>
      </c>
      <c r="M5224" s="17" t="s">
        <v>736</v>
      </c>
      <c r="N5224" s="17" t="s">
        <v>740</v>
      </c>
    </row>
    <row r="5225" spans="1:14" x14ac:dyDescent="0.25">
      <c r="A5225" s="8">
        <v>988640</v>
      </c>
      <c r="B5225" s="22" t="str">
        <f>IFERROR(VLOOKUP(A5225,VLOOKUPS!$A$2:B$12589,2,FALSE),"")</f>
        <v>Organic Brussels Sprouts 1lb-standard</v>
      </c>
      <c r="D5225">
        <v>16</v>
      </c>
      <c r="F5225">
        <v>3.59</v>
      </c>
      <c r="G5225" s="13">
        <v>44792</v>
      </c>
      <c r="H5225" s="13"/>
      <c r="I5225" s="22" t="str">
        <f>VLOOKUP(J5225, Dropdowns!N:O, 2, FALSE)</f>
        <v>NA</v>
      </c>
      <c r="J5225" t="s">
        <v>754</v>
      </c>
      <c r="L5225" s="17" t="s">
        <v>734</v>
      </c>
      <c r="M5225" s="17" t="s">
        <v>10</v>
      </c>
      <c r="N5225" s="17">
        <v>2</v>
      </c>
    </row>
    <row r="5226" spans="1:14" x14ac:dyDescent="0.25">
      <c r="A5226" s="8">
        <v>995085</v>
      </c>
      <c r="B5226" s="22" t="str">
        <f>IFERROR(VLOOKUP(A5226,VLOOKUPS!$A$2:B$12589,2,FALSE),"")</f>
        <v>Sugar Snap Peas 8oz-standard</v>
      </c>
      <c r="E5226">
        <v>2.78</v>
      </c>
      <c r="F5226">
        <v>1.67</v>
      </c>
      <c r="G5226" s="13">
        <v>44792</v>
      </c>
      <c r="H5226" s="13">
        <v>44793</v>
      </c>
      <c r="I5226" s="22" t="str">
        <f>VLOOKUP(J5226, Dropdowns!N:O, 2, FALSE)</f>
        <v>Lower Price</v>
      </c>
      <c r="J5226" t="s">
        <v>759</v>
      </c>
      <c r="L5226" s="17" t="s">
        <v>733</v>
      </c>
      <c r="M5226" s="17" t="s">
        <v>11</v>
      </c>
      <c r="N5226" s="17" t="s">
        <v>740</v>
      </c>
    </row>
    <row r="5227" spans="1:14" x14ac:dyDescent="0.25">
      <c r="A5227" s="8">
        <v>995085</v>
      </c>
      <c r="B5227" s="22" t="str">
        <f>IFERROR(VLOOKUP(A5227,VLOOKUPS!$A$2:B$12589,2,FALSE),"")</f>
        <v>Sugar Snap Peas 8oz-standard</v>
      </c>
      <c r="E5227">
        <v>1.67</v>
      </c>
      <c r="F5227">
        <v>2.78</v>
      </c>
      <c r="G5227" s="13">
        <v>44794</v>
      </c>
      <c r="H5227" s="13"/>
      <c r="I5227" s="22" t="str">
        <f>VLOOKUP(J5227, Dropdowns!N:O, 2, FALSE)</f>
        <v>Standard</v>
      </c>
      <c r="J5227" t="s">
        <v>760</v>
      </c>
      <c r="L5227" s="17" t="s">
        <v>733</v>
      </c>
      <c r="M5227" s="17" t="s">
        <v>11</v>
      </c>
      <c r="N5227" s="17" t="s">
        <v>740</v>
      </c>
    </row>
    <row r="5228" spans="1:14" x14ac:dyDescent="0.25">
      <c r="A5228" s="8">
        <v>984460</v>
      </c>
      <c r="B5228" s="22" t="str">
        <f>IFERROR(VLOOKUP(A5228,VLOOKUPS!$A$2:B$12589,2,FALSE),"")</f>
        <v>Strawberries 1lb-standard</v>
      </c>
      <c r="G5228" s="13">
        <v>44793</v>
      </c>
      <c r="H5228" s="13">
        <v>44794</v>
      </c>
      <c r="I5228" s="22" t="str">
        <f>VLOOKUP(J5228, Dropdowns!N:O, 2, FALSE)</f>
        <v>Lower Price</v>
      </c>
      <c r="J5228" t="s">
        <v>753</v>
      </c>
      <c r="L5228" s="17" t="s">
        <v>732</v>
      </c>
      <c r="M5228" s="17" t="s">
        <v>736</v>
      </c>
      <c r="N5228" s="17" t="s">
        <v>736</v>
      </c>
    </row>
    <row r="5229" spans="1:14" x14ac:dyDescent="0.25">
      <c r="A5229" s="8">
        <v>984460</v>
      </c>
      <c r="B5229" s="22" t="str">
        <f>IFERROR(VLOOKUP(A5229,VLOOKUPS!$A$2:B$12589,2,FALSE),"")</f>
        <v>Strawberries 1lb-standard</v>
      </c>
      <c r="E5229">
        <v>1.49</v>
      </c>
      <c r="F5229">
        <v>2.38</v>
      </c>
      <c r="G5229" s="13">
        <v>44795</v>
      </c>
      <c r="H5229" s="13"/>
      <c r="I5229" s="22" t="str">
        <f>VLOOKUP(J5229, Dropdowns!N:O, 2, FALSE)</f>
        <v>Standard</v>
      </c>
      <c r="J5229" t="s">
        <v>760</v>
      </c>
      <c r="L5229" s="17" t="s">
        <v>733</v>
      </c>
      <c r="M5229" s="17" t="s">
        <v>736</v>
      </c>
      <c r="N5229" s="17" t="s">
        <v>740</v>
      </c>
    </row>
    <row r="5230" spans="1:14" x14ac:dyDescent="0.25">
      <c r="A5230" s="8">
        <v>984460</v>
      </c>
      <c r="B5230" s="22" t="str">
        <f>IFERROR(VLOOKUP(A5230,VLOOKUPS!$A$2:B$12589,2,FALSE),"")</f>
        <v>Strawberries 1lb-standard</v>
      </c>
      <c r="E5230">
        <v>1.99</v>
      </c>
      <c r="F5230">
        <v>2.99</v>
      </c>
      <c r="G5230" s="13">
        <v>44795</v>
      </c>
      <c r="H5230" s="13"/>
      <c r="I5230" s="22" t="str">
        <f>VLOOKUP(J5230, Dropdowns!N:O, 2, FALSE)</f>
        <v>Standard</v>
      </c>
      <c r="J5230" t="s">
        <v>760</v>
      </c>
      <c r="L5230" s="17" t="s">
        <v>734</v>
      </c>
      <c r="M5230" s="17" t="s">
        <v>9</v>
      </c>
      <c r="N5230" s="17" t="s">
        <v>736</v>
      </c>
    </row>
    <row r="5231" spans="1:14" x14ac:dyDescent="0.25">
      <c r="A5231" s="8">
        <v>984460</v>
      </c>
      <c r="B5231" s="22" t="str">
        <f>IFERROR(VLOOKUP(A5231,VLOOKUPS!$A$2:B$12589,2,FALSE),"")</f>
        <v>Strawberries 1lb-standard</v>
      </c>
      <c r="E5231">
        <v>1.49</v>
      </c>
      <c r="F5231">
        <v>2.38</v>
      </c>
      <c r="G5231" s="13">
        <v>44795</v>
      </c>
      <c r="H5231" s="13"/>
      <c r="I5231" s="22" t="str">
        <f>VLOOKUP(J5231, Dropdowns!N:O, 2, FALSE)</f>
        <v>Standard</v>
      </c>
      <c r="J5231" t="s">
        <v>760</v>
      </c>
      <c r="L5231" s="17" t="s">
        <v>734</v>
      </c>
      <c r="M5231" s="17" t="s">
        <v>10</v>
      </c>
      <c r="N5231" s="17">
        <v>2</v>
      </c>
    </row>
    <row r="5232" spans="1:14" x14ac:dyDescent="0.25">
      <c r="A5232" s="8">
        <v>984582</v>
      </c>
      <c r="B5232" s="22" t="str">
        <f>IFERROR(VLOOKUP(A5232,VLOOKUPS!$A$2:B$12589,2,FALSE),"")</f>
        <v>Organic Blueberries 1pt-standard</v>
      </c>
      <c r="G5232" s="13">
        <v>44793</v>
      </c>
      <c r="H5232" s="13">
        <v>44794</v>
      </c>
      <c r="I5232" s="22" t="str">
        <f>VLOOKUP(J5232, Dropdowns!N:O, 2, FALSE)</f>
        <v>Lower Price</v>
      </c>
      <c r="J5232" t="s">
        <v>753</v>
      </c>
      <c r="L5232" s="17" t="s">
        <v>732</v>
      </c>
      <c r="M5232" s="17" t="s">
        <v>736</v>
      </c>
      <c r="N5232" s="17" t="s">
        <v>736</v>
      </c>
    </row>
    <row r="5233" spans="1:14" x14ac:dyDescent="0.25">
      <c r="A5233" s="8">
        <v>984582</v>
      </c>
      <c r="B5233" s="22" t="str">
        <f>IFERROR(VLOOKUP(A5233,VLOOKUPS!$A$2:B$12589,2,FALSE),"")</f>
        <v>Organic Blueberries 1pt-standard</v>
      </c>
      <c r="E5233">
        <v>2.99</v>
      </c>
      <c r="F5233">
        <v>4.96</v>
      </c>
      <c r="G5233" s="13">
        <v>44795</v>
      </c>
      <c r="H5233" s="13"/>
      <c r="I5233" s="22" t="str">
        <f>VLOOKUP(J5233, Dropdowns!N:O, 2, FALSE)</f>
        <v>Standard</v>
      </c>
      <c r="J5233" t="s">
        <v>760</v>
      </c>
      <c r="L5233" s="17" t="s">
        <v>733</v>
      </c>
      <c r="M5233" s="17" t="s">
        <v>735</v>
      </c>
      <c r="N5233" s="17" t="s">
        <v>740</v>
      </c>
    </row>
    <row r="5234" spans="1:14" x14ac:dyDescent="0.25">
      <c r="A5234" s="8">
        <v>984582</v>
      </c>
      <c r="B5234" s="22" t="str">
        <f>IFERROR(VLOOKUP(A5234,VLOOKUPS!$A$2:B$12589,2,FALSE),"")</f>
        <v>Organic Blueberries 1pt-standard</v>
      </c>
      <c r="E5234">
        <v>2.99</v>
      </c>
      <c r="F5234">
        <v>4.96</v>
      </c>
      <c r="G5234" s="13">
        <v>44795</v>
      </c>
      <c r="H5234" s="13"/>
      <c r="I5234" s="22" t="str">
        <f>VLOOKUP(J5234, Dropdowns!N:O, 2, FALSE)</f>
        <v>Standard</v>
      </c>
      <c r="J5234" t="s">
        <v>760</v>
      </c>
      <c r="L5234" s="17" t="s">
        <v>734</v>
      </c>
      <c r="M5234" s="17" t="s">
        <v>10</v>
      </c>
      <c r="N5234" s="17">
        <v>2</v>
      </c>
    </row>
    <row r="5235" spans="1:14" x14ac:dyDescent="0.25">
      <c r="A5235" s="8">
        <v>984582</v>
      </c>
      <c r="B5235" s="22" t="str">
        <f>IFERROR(VLOOKUP(A5235,VLOOKUPS!$A$2:B$12589,2,FALSE),"")</f>
        <v>Organic Blueberries 1pt-standard</v>
      </c>
      <c r="E5235">
        <v>3.99</v>
      </c>
      <c r="F5235">
        <v>5.39</v>
      </c>
      <c r="G5235" s="13">
        <v>44795</v>
      </c>
      <c r="H5235" s="13"/>
      <c r="I5235" s="22" t="str">
        <f>VLOOKUP(J5235, Dropdowns!N:O, 2, FALSE)</f>
        <v>Standard</v>
      </c>
      <c r="J5235" t="s">
        <v>760</v>
      </c>
      <c r="L5235" s="17" t="s">
        <v>734</v>
      </c>
      <c r="M5235" s="17" t="s">
        <v>9</v>
      </c>
      <c r="N5235" s="17" t="s">
        <v>736</v>
      </c>
    </row>
    <row r="5236" spans="1:14" x14ac:dyDescent="0.25">
      <c r="A5236" s="8">
        <v>984582</v>
      </c>
      <c r="B5236" s="22" t="str">
        <f>IFERROR(VLOOKUP(A5236,VLOOKUPS!$A$2:B$12589,2,FALSE),"")</f>
        <v>Organic Blueberries 1pt-standard</v>
      </c>
      <c r="E5236">
        <v>1.49</v>
      </c>
      <c r="F5236">
        <v>4.96</v>
      </c>
      <c r="G5236" s="13">
        <v>44795</v>
      </c>
      <c r="H5236" s="13"/>
      <c r="I5236" s="22" t="str">
        <f>VLOOKUP(J5236, Dropdowns!N:O, 2, FALSE)</f>
        <v>Standard</v>
      </c>
      <c r="J5236" t="s">
        <v>760</v>
      </c>
      <c r="L5236" s="17" t="s">
        <v>733</v>
      </c>
      <c r="M5236" s="17" t="s">
        <v>11</v>
      </c>
      <c r="N5236" s="17" t="s">
        <v>740</v>
      </c>
    </row>
    <row r="5237" spans="1:14" x14ac:dyDescent="0.25">
      <c r="A5237" s="8">
        <v>995192</v>
      </c>
      <c r="B5237" s="22" t="str">
        <f>IFERROR(VLOOKUP(A5237,VLOOKUPS!$A$2:B$12589,2,FALSE),"")</f>
        <v>Green Beans 32oz-standard</v>
      </c>
      <c r="E5237">
        <v>6.18</v>
      </c>
      <c r="F5237">
        <v>3.71</v>
      </c>
      <c r="G5237" s="13">
        <v>44793</v>
      </c>
      <c r="H5237" s="13">
        <v>44794</v>
      </c>
      <c r="I5237" s="22" t="str">
        <f>VLOOKUP(J5237, Dropdowns!N:O, 2, FALSE)</f>
        <v>Lower Price</v>
      </c>
      <c r="J5237" t="s">
        <v>759</v>
      </c>
      <c r="L5237" s="17" t="s">
        <v>733</v>
      </c>
      <c r="M5237" s="17" t="s">
        <v>11</v>
      </c>
      <c r="N5237" s="17" t="s">
        <v>740</v>
      </c>
    </row>
    <row r="5238" spans="1:14" x14ac:dyDescent="0.25">
      <c r="A5238" s="8">
        <v>995192</v>
      </c>
      <c r="B5238" s="22" t="str">
        <f>IFERROR(VLOOKUP(A5238,VLOOKUPS!$A$2:B$12589,2,FALSE),"")</f>
        <v>Green Beans 32oz-standard</v>
      </c>
      <c r="E5238">
        <v>3.71</v>
      </c>
      <c r="F5238">
        <v>6.18</v>
      </c>
      <c r="G5238" s="13">
        <v>44795</v>
      </c>
      <c r="H5238" s="13"/>
      <c r="I5238" s="22" t="str">
        <f>VLOOKUP(J5238, Dropdowns!N:O, 2, FALSE)</f>
        <v>Standard</v>
      </c>
      <c r="J5238" t="s">
        <v>760</v>
      </c>
      <c r="L5238" s="17" t="s">
        <v>733</v>
      </c>
      <c r="M5238" s="17" t="s">
        <v>11</v>
      </c>
      <c r="N5238" s="17" t="s">
        <v>740</v>
      </c>
    </row>
    <row r="5239" spans="1:14" x14ac:dyDescent="0.25">
      <c r="A5239" s="8">
        <v>995145</v>
      </c>
      <c r="B5239" s="22" t="str">
        <f>IFERROR(VLOOKUP(A5239,VLOOKUPS!$A$2:B$12589,2,FALSE),"")</f>
        <v>Mango Spears 32oz-standard</v>
      </c>
      <c r="E5239">
        <v>10.49</v>
      </c>
      <c r="F5239">
        <v>6.29</v>
      </c>
      <c r="G5239" s="13">
        <v>44793</v>
      </c>
      <c r="H5239" s="13">
        <v>44794</v>
      </c>
      <c r="I5239" s="22" t="str">
        <f>VLOOKUP(J5239, Dropdowns!N:O, 2, FALSE)</f>
        <v>Lower Price</v>
      </c>
      <c r="J5239" t="s">
        <v>759</v>
      </c>
      <c r="L5239" s="17" t="s">
        <v>733</v>
      </c>
      <c r="M5239" s="17" t="s">
        <v>10</v>
      </c>
      <c r="N5239" s="17" t="s">
        <v>740</v>
      </c>
    </row>
    <row r="5240" spans="1:14" x14ac:dyDescent="0.25">
      <c r="A5240" s="8">
        <v>995145</v>
      </c>
      <c r="B5240" s="22" t="str">
        <f>IFERROR(VLOOKUP(A5240,VLOOKUPS!$A$2:B$12589,2,FALSE),"")</f>
        <v>Mango Spears 32oz-standard</v>
      </c>
      <c r="E5240">
        <v>6.29</v>
      </c>
      <c r="F5240">
        <v>10.49</v>
      </c>
      <c r="G5240" s="13">
        <v>44795</v>
      </c>
      <c r="H5240" s="13"/>
      <c r="I5240" s="22" t="str">
        <f>VLOOKUP(J5240, Dropdowns!N:O, 2, FALSE)</f>
        <v>Standard</v>
      </c>
      <c r="J5240" t="s">
        <v>760</v>
      </c>
      <c r="L5240" s="17" t="s">
        <v>733</v>
      </c>
      <c r="M5240" s="17" t="s">
        <v>10</v>
      </c>
      <c r="N5240" s="17" t="s">
        <v>740</v>
      </c>
    </row>
    <row r="5241" spans="1:14" x14ac:dyDescent="0.25">
      <c r="A5241" s="8">
        <v>988571</v>
      </c>
      <c r="B5241" s="22" t="str">
        <f>IFERROR(VLOOKUP(A5241,VLOOKUPS!$A$2:B$12589,2,FALSE),"")</f>
        <v>Cauliflower* 1ct-LOOSE</v>
      </c>
      <c r="E5241">
        <v>2.4900000000000002</v>
      </c>
      <c r="F5241">
        <v>1.49</v>
      </c>
      <c r="G5241" s="13">
        <v>44793</v>
      </c>
      <c r="H5241" s="13">
        <v>44794</v>
      </c>
      <c r="I5241" s="22" t="str">
        <f>VLOOKUP(J5241, Dropdowns!N:O, 2, FALSE)</f>
        <v>Lower Price</v>
      </c>
      <c r="J5241" t="s">
        <v>759</v>
      </c>
      <c r="L5241" s="17" t="s">
        <v>733</v>
      </c>
      <c r="M5241" s="17" t="s">
        <v>9</v>
      </c>
      <c r="N5241" s="17" t="s">
        <v>740</v>
      </c>
    </row>
    <row r="5242" spans="1:14" x14ac:dyDescent="0.25">
      <c r="A5242" s="8">
        <v>988571</v>
      </c>
      <c r="B5242" s="22" t="str">
        <f>IFERROR(VLOOKUP(A5242,VLOOKUPS!$A$2:B$12589,2,FALSE),"")</f>
        <v>Cauliflower* 1ct-LOOSE</v>
      </c>
      <c r="E5242">
        <v>2.79</v>
      </c>
      <c r="F5242">
        <v>1.67</v>
      </c>
      <c r="G5242" s="13">
        <v>44793</v>
      </c>
      <c r="H5242" s="13">
        <v>44794</v>
      </c>
      <c r="I5242" s="22" t="str">
        <f>VLOOKUP(J5242, Dropdowns!N:O, 2, FALSE)</f>
        <v>Lower Price</v>
      </c>
      <c r="J5242" t="s">
        <v>759</v>
      </c>
      <c r="L5242" s="17" t="s">
        <v>734</v>
      </c>
      <c r="M5242" s="17" t="s">
        <v>9</v>
      </c>
      <c r="N5242" s="17" t="s">
        <v>736</v>
      </c>
    </row>
    <row r="5243" spans="1:14" x14ac:dyDescent="0.25">
      <c r="A5243" s="8">
        <v>988571</v>
      </c>
      <c r="B5243" s="22" t="str">
        <f>IFERROR(VLOOKUP(A5243,VLOOKUPS!$A$2:B$12589,2,FALSE),"")</f>
        <v>Cauliflower* 1ct-LOOSE</v>
      </c>
      <c r="E5243">
        <v>1.49</v>
      </c>
      <c r="F5243">
        <v>2.4900000000000002</v>
      </c>
      <c r="G5243" s="13">
        <v>44795</v>
      </c>
      <c r="H5243" s="13"/>
      <c r="I5243" s="22" t="str">
        <f>VLOOKUP(J5243, Dropdowns!N:O, 2, FALSE)</f>
        <v>Standard</v>
      </c>
      <c r="J5243" t="s">
        <v>760</v>
      </c>
      <c r="L5243" s="17" t="s">
        <v>733</v>
      </c>
      <c r="M5243" s="17" t="s">
        <v>9</v>
      </c>
      <c r="N5243" s="17" t="s">
        <v>740</v>
      </c>
    </row>
    <row r="5244" spans="1:14" x14ac:dyDescent="0.25">
      <c r="A5244" s="8">
        <v>988571</v>
      </c>
      <c r="B5244" s="22" t="str">
        <f>IFERROR(VLOOKUP(A5244,VLOOKUPS!$A$2:B$12589,2,FALSE),"")</f>
        <v>Cauliflower* 1ct-LOOSE</v>
      </c>
      <c r="E5244">
        <v>1.67</v>
      </c>
      <c r="F5244">
        <v>2.79</v>
      </c>
      <c r="G5244" s="13">
        <v>44795</v>
      </c>
      <c r="H5244" s="13"/>
      <c r="I5244" s="22" t="str">
        <f>VLOOKUP(J5244, Dropdowns!N:O, 2, FALSE)</f>
        <v>Standard</v>
      </c>
      <c r="J5244" t="s">
        <v>760</v>
      </c>
      <c r="L5244" s="17" t="s">
        <v>734</v>
      </c>
      <c r="M5244" s="17" t="s">
        <v>9</v>
      </c>
      <c r="N5244" s="17" t="s">
        <v>736</v>
      </c>
    </row>
    <row r="5245" spans="1:14" x14ac:dyDescent="0.25">
      <c r="A5245" s="8">
        <v>984460</v>
      </c>
      <c r="B5245" s="22" t="str">
        <f>IFERROR(VLOOKUP(A5245,VLOOKUPS!$A$2:B$12589,2,FALSE),"")</f>
        <v>Strawberries 1lb-standard</v>
      </c>
      <c r="E5245">
        <v>2.38</v>
      </c>
      <c r="F5245">
        <v>2.58</v>
      </c>
      <c r="G5245" s="13">
        <v>44796</v>
      </c>
      <c r="H5245" s="13"/>
      <c r="I5245" s="22" t="str">
        <f>VLOOKUP(J5245, Dropdowns!N:O, 2, FALSE)</f>
        <v>Standard</v>
      </c>
      <c r="J5245" t="s">
        <v>761</v>
      </c>
      <c r="L5245" s="17" t="s">
        <v>733</v>
      </c>
      <c r="M5245" s="17" t="s">
        <v>736</v>
      </c>
      <c r="N5245" s="17" t="s">
        <v>740</v>
      </c>
    </row>
    <row r="5246" spans="1:14" x14ac:dyDescent="0.25">
      <c r="A5246" s="8">
        <v>984460</v>
      </c>
      <c r="B5246" s="22" t="str">
        <f>IFERROR(VLOOKUP(A5246,VLOOKUPS!$A$2:B$12589,2,FALSE),"")</f>
        <v>Strawberries 1lb-standard</v>
      </c>
      <c r="E5246">
        <v>2.38</v>
      </c>
      <c r="F5246">
        <v>2.58</v>
      </c>
      <c r="G5246" s="13">
        <v>44796</v>
      </c>
      <c r="H5246" s="13"/>
      <c r="I5246" s="22" t="str">
        <f>VLOOKUP(J5246, Dropdowns!N:O, 2, FALSE)</f>
        <v>Standard</v>
      </c>
      <c r="J5246" t="s">
        <v>761</v>
      </c>
      <c r="L5246" s="17" t="s">
        <v>734</v>
      </c>
      <c r="M5246" s="17" t="s">
        <v>10</v>
      </c>
      <c r="N5246" s="17">
        <v>2</v>
      </c>
    </row>
    <row r="5247" spans="1:14" x14ac:dyDescent="0.25">
      <c r="A5247" s="8">
        <v>984461</v>
      </c>
      <c r="B5247" s="22" t="str">
        <f>IFERROR(VLOOKUP(A5247,VLOOKUPS!$A$2:B$12589,2,FALSE),"")</f>
        <v>Strawberries 2lb-standard</v>
      </c>
      <c r="E5247">
        <v>4.66</v>
      </c>
      <c r="F5247">
        <v>5.12</v>
      </c>
      <c r="G5247" s="13">
        <v>44796</v>
      </c>
      <c r="H5247" s="13"/>
      <c r="I5247" s="22" t="str">
        <f>VLOOKUP(J5247, Dropdowns!N:O, 2, FALSE)</f>
        <v>Standard</v>
      </c>
      <c r="J5247" t="s">
        <v>761</v>
      </c>
      <c r="L5247" s="17" t="s">
        <v>733</v>
      </c>
      <c r="M5247" s="17" t="s">
        <v>736</v>
      </c>
      <c r="N5247" s="17" t="s">
        <v>740</v>
      </c>
    </row>
    <row r="5248" spans="1:14" x14ac:dyDescent="0.25">
      <c r="A5248" s="8">
        <v>984461</v>
      </c>
      <c r="B5248" s="22" t="str">
        <f>IFERROR(VLOOKUP(A5248,VLOOKUPS!$A$2:B$12589,2,FALSE),"")</f>
        <v>Strawberries 2lb-standard</v>
      </c>
      <c r="E5248">
        <v>4.66</v>
      </c>
      <c r="F5248">
        <v>5.12</v>
      </c>
      <c r="G5248" s="13">
        <v>44796</v>
      </c>
      <c r="H5248" s="13"/>
      <c r="I5248" s="22" t="str">
        <f>VLOOKUP(J5248, Dropdowns!N:O, 2, FALSE)</f>
        <v>Standard</v>
      </c>
      <c r="J5248" t="s">
        <v>761</v>
      </c>
      <c r="L5248" s="17" t="s">
        <v>734</v>
      </c>
      <c r="M5248" s="17" t="s">
        <v>10</v>
      </c>
      <c r="N5248" s="17">
        <v>2</v>
      </c>
    </row>
    <row r="5249" spans="1:14" x14ac:dyDescent="0.25">
      <c r="A5249" s="8">
        <v>984500</v>
      </c>
      <c r="B5249" s="22" t="str">
        <f>IFERROR(VLOOKUP(A5249,VLOOKUPS!$A$2:B$12589,2,FALSE),"")</f>
        <v>Organic Strawberries 1lb-standard</v>
      </c>
      <c r="E5249">
        <v>3.92</v>
      </c>
      <c r="F5249">
        <v>3.86</v>
      </c>
      <c r="G5249" s="13">
        <v>44796</v>
      </c>
      <c r="H5249" s="13"/>
      <c r="I5249" s="22" t="str">
        <f>VLOOKUP(J5249, Dropdowns!N:O, 2, FALSE)</f>
        <v>Standard</v>
      </c>
      <c r="J5249" t="s">
        <v>761</v>
      </c>
      <c r="L5249" s="17" t="s">
        <v>733</v>
      </c>
      <c r="M5249" s="17" t="s">
        <v>736</v>
      </c>
      <c r="N5249" s="17" t="s">
        <v>740</v>
      </c>
    </row>
    <row r="5250" spans="1:14" x14ac:dyDescent="0.25">
      <c r="A5250" s="8">
        <v>984500</v>
      </c>
      <c r="B5250" s="22" t="str">
        <f>IFERROR(VLOOKUP(A5250,VLOOKUPS!$A$2:B$12589,2,FALSE),"")</f>
        <v>Organic Strawberries 1lb-standard</v>
      </c>
      <c r="E5250">
        <v>3.92</v>
      </c>
      <c r="F5250">
        <v>3.86</v>
      </c>
      <c r="G5250" s="13">
        <v>44796</v>
      </c>
      <c r="H5250" s="13"/>
      <c r="I5250" s="22" t="str">
        <f>VLOOKUP(J5250, Dropdowns!N:O, 2, FALSE)</f>
        <v>Standard</v>
      </c>
      <c r="J5250" t="s">
        <v>761</v>
      </c>
      <c r="L5250" s="17" t="s">
        <v>734</v>
      </c>
      <c r="M5250" s="17" t="s">
        <v>10</v>
      </c>
      <c r="N5250" s="17">
        <v>2</v>
      </c>
    </row>
    <row r="5251" spans="1:14" x14ac:dyDescent="0.25">
      <c r="A5251" s="8">
        <v>995041</v>
      </c>
      <c r="B5251" s="22" t="str">
        <f>IFERROR(VLOOKUP(A5251,VLOOKUPS!$A$2:B$12589,2,FALSE),"")</f>
        <v>Pineapple Spears 16oz-standard</v>
      </c>
      <c r="E5251">
        <v>4.4800000000000004</v>
      </c>
      <c r="F5251">
        <v>2.69</v>
      </c>
      <c r="G5251" s="13">
        <v>44796</v>
      </c>
      <c r="H5251" s="13">
        <v>44797</v>
      </c>
      <c r="I5251" s="22" t="str">
        <f>VLOOKUP(J5251, Dropdowns!N:O, 2, FALSE)</f>
        <v>Lower Price</v>
      </c>
      <c r="J5251" t="s">
        <v>759</v>
      </c>
      <c r="L5251" s="17" t="s">
        <v>733</v>
      </c>
      <c r="M5251" s="17" t="s">
        <v>9</v>
      </c>
      <c r="N5251" s="17" t="s">
        <v>740</v>
      </c>
    </row>
    <row r="5252" spans="1:14" x14ac:dyDescent="0.25">
      <c r="A5252" s="8">
        <v>995041</v>
      </c>
      <c r="B5252" s="22" t="str">
        <f>IFERROR(VLOOKUP(A5252,VLOOKUPS!$A$2:B$12589,2,FALSE),"")</f>
        <v>Pineapple Spears 16oz-standard</v>
      </c>
      <c r="E5252">
        <v>4.99</v>
      </c>
      <c r="F5252">
        <v>2.99</v>
      </c>
      <c r="G5252" s="13">
        <v>44796</v>
      </c>
      <c r="H5252" s="13">
        <v>44797</v>
      </c>
      <c r="I5252" s="22" t="str">
        <f>VLOOKUP(J5252, Dropdowns!N:O, 2, FALSE)</f>
        <v>Lower Price</v>
      </c>
      <c r="J5252" t="s">
        <v>759</v>
      </c>
      <c r="L5252" s="17" t="s">
        <v>734</v>
      </c>
      <c r="M5252" s="17" t="s">
        <v>9</v>
      </c>
      <c r="N5252" s="17" t="s">
        <v>736</v>
      </c>
    </row>
    <row r="5253" spans="1:14" x14ac:dyDescent="0.25">
      <c r="A5253" s="8">
        <v>995041</v>
      </c>
      <c r="B5253" s="22" t="str">
        <f>IFERROR(VLOOKUP(A5253,VLOOKUPS!$A$2:B$12589,2,FALSE),"")</f>
        <v>Pineapple Spears 16oz-standard</v>
      </c>
      <c r="E5253">
        <v>2.69</v>
      </c>
      <c r="F5253">
        <v>4.4800000000000004</v>
      </c>
      <c r="G5253" s="13">
        <v>44798</v>
      </c>
      <c r="H5253" s="13"/>
      <c r="I5253" s="22" t="str">
        <f>VLOOKUP(J5253, Dropdowns!N:O, 2, FALSE)</f>
        <v>Standard</v>
      </c>
      <c r="J5253" t="s">
        <v>760</v>
      </c>
      <c r="L5253" s="17" t="s">
        <v>733</v>
      </c>
      <c r="M5253" s="17" t="s">
        <v>9</v>
      </c>
      <c r="N5253" s="17" t="s">
        <v>740</v>
      </c>
    </row>
    <row r="5254" spans="1:14" x14ac:dyDescent="0.25">
      <c r="A5254" s="8">
        <v>995041</v>
      </c>
      <c r="B5254" s="22" t="str">
        <f>IFERROR(VLOOKUP(A5254,VLOOKUPS!$A$2:B$12589,2,FALSE),"")</f>
        <v>Pineapple Spears 16oz-standard</v>
      </c>
      <c r="E5254">
        <v>2.99</v>
      </c>
      <c r="F5254">
        <v>4.99</v>
      </c>
      <c r="G5254" s="13">
        <v>44798</v>
      </c>
      <c r="H5254" s="13"/>
      <c r="I5254" s="22" t="str">
        <f>VLOOKUP(J5254, Dropdowns!N:O, 2, FALSE)</f>
        <v>Standard</v>
      </c>
      <c r="J5254" t="s">
        <v>760</v>
      </c>
      <c r="L5254" s="17" t="s">
        <v>734</v>
      </c>
      <c r="M5254" s="17" t="s">
        <v>9</v>
      </c>
      <c r="N5254" s="17" t="s">
        <v>736</v>
      </c>
    </row>
    <row r="5255" spans="1:14" x14ac:dyDescent="0.25">
      <c r="A5255" s="8">
        <v>995085</v>
      </c>
      <c r="B5255" s="22" t="str">
        <f>IFERROR(VLOOKUP(A5255,VLOOKUPS!$A$2:B$12589,2,FALSE),"")</f>
        <v>Sugar Snap Peas 8oz-standard</v>
      </c>
      <c r="E5255">
        <v>3.29</v>
      </c>
      <c r="F5255">
        <v>1.97</v>
      </c>
      <c r="G5255" s="13">
        <v>44796</v>
      </c>
      <c r="H5255" s="13">
        <v>44797</v>
      </c>
      <c r="I5255" s="22" t="str">
        <f>VLOOKUP(J5255, Dropdowns!N:O, 2, FALSE)</f>
        <v>Lower Price</v>
      </c>
      <c r="J5255" t="s">
        <v>759</v>
      </c>
      <c r="L5255" s="17" t="s">
        <v>734</v>
      </c>
      <c r="M5255" s="17" t="s">
        <v>9</v>
      </c>
      <c r="N5255" s="17" t="s">
        <v>736</v>
      </c>
    </row>
    <row r="5256" spans="1:14" x14ac:dyDescent="0.25">
      <c r="A5256" s="8">
        <v>995085</v>
      </c>
      <c r="B5256" s="22" t="str">
        <f>IFERROR(VLOOKUP(A5256,VLOOKUPS!$A$2:B$12589,2,FALSE),"")</f>
        <v>Sugar Snap Peas 8oz-standard</v>
      </c>
      <c r="E5256">
        <v>2.78</v>
      </c>
      <c r="F5256">
        <v>1.67</v>
      </c>
      <c r="G5256" s="13">
        <v>44796</v>
      </c>
      <c r="H5256" s="13">
        <v>44797</v>
      </c>
      <c r="I5256" s="22" t="str">
        <f>VLOOKUP(J5256, Dropdowns!N:O, 2, FALSE)</f>
        <v>Lower Price</v>
      </c>
      <c r="J5256" t="s">
        <v>759</v>
      </c>
      <c r="L5256" s="17" t="s">
        <v>733</v>
      </c>
      <c r="M5256" s="17" t="s">
        <v>737</v>
      </c>
      <c r="N5256" s="17" t="s">
        <v>740</v>
      </c>
    </row>
    <row r="5257" spans="1:14" x14ac:dyDescent="0.25">
      <c r="A5257" s="8">
        <v>995085</v>
      </c>
      <c r="B5257" s="22" t="str">
        <f>IFERROR(VLOOKUP(A5257,VLOOKUPS!$A$2:B$12589,2,FALSE),"")</f>
        <v>Sugar Snap Peas 8oz-standard</v>
      </c>
      <c r="E5257">
        <v>1.97</v>
      </c>
      <c r="F5257">
        <v>3.29</v>
      </c>
      <c r="G5257" s="13">
        <v>44798</v>
      </c>
      <c r="H5257" s="13"/>
      <c r="I5257" s="22" t="str">
        <f>VLOOKUP(J5257, Dropdowns!N:O, 2, FALSE)</f>
        <v>Standard</v>
      </c>
      <c r="J5257" t="s">
        <v>760</v>
      </c>
      <c r="L5257" s="17" t="s">
        <v>734</v>
      </c>
      <c r="M5257" s="17" t="s">
        <v>9</v>
      </c>
      <c r="N5257" s="17" t="s">
        <v>736</v>
      </c>
    </row>
    <row r="5258" spans="1:14" x14ac:dyDescent="0.25">
      <c r="A5258" s="8">
        <v>995085</v>
      </c>
      <c r="B5258" s="22" t="str">
        <f>IFERROR(VLOOKUP(A5258,VLOOKUPS!$A$2:B$12589,2,FALSE),"")</f>
        <v>Sugar Snap Peas 8oz-standard</v>
      </c>
      <c r="E5258">
        <v>1.67</v>
      </c>
      <c r="F5258">
        <v>2.78</v>
      </c>
      <c r="G5258" s="13">
        <v>44798</v>
      </c>
      <c r="H5258" s="13"/>
      <c r="I5258" s="22" t="str">
        <f>VLOOKUP(J5258, Dropdowns!N:O, 2, FALSE)</f>
        <v>Standard</v>
      </c>
      <c r="J5258" t="s">
        <v>760</v>
      </c>
      <c r="L5258" s="17" t="s">
        <v>733</v>
      </c>
      <c r="M5258" s="17" t="s">
        <v>737</v>
      </c>
      <c r="N5258" s="17" t="s">
        <v>740</v>
      </c>
    </row>
    <row r="5259" spans="1:14" x14ac:dyDescent="0.25">
      <c r="A5259" s="8">
        <v>995145</v>
      </c>
      <c r="B5259" s="22" t="str">
        <f>IFERROR(VLOOKUP(A5259,VLOOKUPS!$A$2:B$12589,2,FALSE),"")</f>
        <v>Mango Spears 32oz-standard</v>
      </c>
      <c r="D5259">
        <v>6</v>
      </c>
      <c r="F5259">
        <v>10.49</v>
      </c>
      <c r="G5259" s="13">
        <v>44796</v>
      </c>
      <c r="H5259" s="13"/>
      <c r="I5259" s="22" t="str">
        <f>VLOOKUP(J5259, Dropdowns!N:O, 2, FALSE)</f>
        <v>NA</v>
      </c>
      <c r="J5259" t="s">
        <v>754</v>
      </c>
      <c r="L5259" s="17" t="s">
        <v>732</v>
      </c>
      <c r="M5259" s="17" t="s">
        <v>736</v>
      </c>
      <c r="N5259" s="17" t="s">
        <v>736</v>
      </c>
    </row>
    <row r="5260" spans="1:14" x14ac:dyDescent="0.25">
      <c r="A5260" s="8">
        <v>995203</v>
      </c>
      <c r="B5260" s="22" t="str">
        <f>IFERROR(VLOOKUP(A5260,VLOOKUPS!$A$2:B$12589,2,FALSE),"")</f>
        <v>Berry Lemony Bliss 3.2oz-standard</v>
      </c>
      <c r="E5260">
        <v>2.99</v>
      </c>
      <c r="F5260">
        <v>1.79</v>
      </c>
      <c r="G5260" s="13">
        <v>44796</v>
      </c>
      <c r="H5260" s="13">
        <v>44797</v>
      </c>
      <c r="I5260" s="22" t="str">
        <f>VLOOKUP(J5260, Dropdowns!N:O, 2, FALSE)</f>
        <v>Lower Price</v>
      </c>
      <c r="J5260" t="s">
        <v>759</v>
      </c>
      <c r="L5260" s="17" t="s">
        <v>733</v>
      </c>
      <c r="M5260" s="17" t="s">
        <v>11</v>
      </c>
      <c r="N5260" s="17" t="s">
        <v>740</v>
      </c>
    </row>
    <row r="5261" spans="1:14" x14ac:dyDescent="0.25">
      <c r="A5261" s="8">
        <v>995203</v>
      </c>
      <c r="B5261" s="22" t="str">
        <f>IFERROR(VLOOKUP(A5261,VLOOKUPS!$A$2:B$12589,2,FALSE),"")</f>
        <v>Berry Lemony Bliss 3.2oz-standard</v>
      </c>
      <c r="E5261">
        <v>1.79</v>
      </c>
      <c r="F5261">
        <v>2.99</v>
      </c>
      <c r="G5261" s="13">
        <v>44798</v>
      </c>
      <c r="H5261" s="13"/>
      <c r="I5261" s="22" t="str">
        <f>VLOOKUP(J5261, Dropdowns!N:O, 2, FALSE)</f>
        <v>Standard</v>
      </c>
      <c r="J5261" t="s">
        <v>760</v>
      </c>
      <c r="L5261" s="17" t="s">
        <v>733</v>
      </c>
      <c r="M5261" s="17" t="s">
        <v>11</v>
      </c>
      <c r="N5261" s="17" t="s">
        <v>740</v>
      </c>
    </row>
    <row r="5262" spans="1:14" x14ac:dyDescent="0.25">
      <c r="A5262" s="8">
        <v>984460</v>
      </c>
      <c r="B5262" s="22" t="str">
        <f>IFERROR(VLOOKUP(A5262,VLOOKUPS!$A$2:B$12589,2,FALSE),"")</f>
        <v>Strawberries 1lb-standard</v>
      </c>
      <c r="E5262">
        <v>2.58</v>
      </c>
      <c r="F5262">
        <v>1.54</v>
      </c>
      <c r="G5262" s="13">
        <v>44797</v>
      </c>
      <c r="H5262" s="13">
        <v>44798</v>
      </c>
      <c r="I5262" s="22" t="str">
        <f>VLOOKUP(J5262, Dropdowns!N:O, 2, FALSE)</f>
        <v>Lower Price</v>
      </c>
      <c r="J5262" t="s">
        <v>759</v>
      </c>
      <c r="L5262" s="17" t="s">
        <v>733</v>
      </c>
      <c r="M5262" s="17" t="s">
        <v>9</v>
      </c>
      <c r="N5262" s="17" t="s">
        <v>740</v>
      </c>
    </row>
    <row r="5263" spans="1:14" x14ac:dyDescent="0.25">
      <c r="A5263" s="8">
        <v>984460</v>
      </c>
      <c r="B5263" s="22" t="str">
        <f>IFERROR(VLOOKUP(A5263,VLOOKUPS!$A$2:B$12589,2,FALSE),"")</f>
        <v>Strawberries 1lb-standard</v>
      </c>
      <c r="E5263">
        <v>2.99</v>
      </c>
      <c r="F5263">
        <v>1.79</v>
      </c>
      <c r="G5263" s="13">
        <v>44797</v>
      </c>
      <c r="H5263" s="13">
        <v>44798</v>
      </c>
      <c r="I5263" s="22" t="str">
        <f>VLOOKUP(J5263, Dropdowns!N:O, 2, FALSE)</f>
        <v>Lower Price</v>
      </c>
      <c r="J5263" t="s">
        <v>759</v>
      </c>
      <c r="L5263" s="17" t="s">
        <v>734</v>
      </c>
      <c r="M5263" s="17" t="s">
        <v>9</v>
      </c>
      <c r="N5263" s="17" t="s">
        <v>736</v>
      </c>
    </row>
    <row r="5264" spans="1:14" x14ac:dyDescent="0.25">
      <c r="A5264" s="8">
        <v>984460</v>
      </c>
      <c r="B5264" s="22" t="str">
        <f>IFERROR(VLOOKUP(A5264,VLOOKUPS!$A$2:B$12589,2,FALSE),"")</f>
        <v>Strawberries 1lb-standard</v>
      </c>
      <c r="E5264">
        <v>1.54</v>
      </c>
      <c r="F5264">
        <v>2.58</v>
      </c>
      <c r="G5264" s="13">
        <v>44799</v>
      </c>
      <c r="H5264" s="13"/>
      <c r="I5264" s="22" t="str">
        <f>VLOOKUP(J5264, Dropdowns!N:O, 2, FALSE)</f>
        <v>Standard</v>
      </c>
      <c r="J5264" t="s">
        <v>760</v>
      </c>
      <c r="L5264" s="17" t="s">
        <v>733</v>
      </c>
      <c r="M5264" s="17" t="s">
        <v>9</v>
      </c>
      <c r="N5264" s="17" t="s">
        <v>740</v>
      </c>
    </row>
    <row r="5265" spans="1:17" x14ac:dyDescent="0.25">
      <c r="A5265" s="8">
        <v>984460</v>
      </c>
      <c r="B5265" s="22" t="str">
        <f>IFERROR(VLOOKUP(A5265,VLOOKUPS!$A$2:B$12589,2,FALSE),"")</f>
        <v>Strawberries 1lb-standard</v>
      </c>
      <c r="E5265">
        <v>1.79</v>
      </c>
      <c r="F5265">
        <v>2.99</v>
      </c>
      <c r="G5265" s="13">
        <v>44799</v>
      </c>
      <c r="H5265" s="13"/>
      <c r="I5265" s="22" t="str">
        <f>VLOOKUP(J5265, Dropdowns!N:O, 2, FALSE)</f>
        <v>Standard</v>
      </c>
      <c r="J5265" t="s">
        <v>760</v>
      </c>
      <c r="L5265" s="17" t="s">
        <v>734</v>
      </c>
      <c r="M5265" s="17" t="s">
        <v>9</v>
      </c>
      <c r="N5265" s="17" t="s">
        <v>736</v>
      </c>
    </row>
    <row r="5266" spans="1:17" x14ac:dyDescent="0.25">
      <c r="A5266" s="8">
        <v>984542</v>
      </c>
      <c r="B5266" s="22" t="str">
        <f>IFERROR(VLOOKUP(A5266,VLOOKUPS!$A$2:B$12589,2,FALSE),"")</f>
        <v>Blueberries 18oz-standard</v>
      </c>
      <c r="G5266" s="13">
        <v>44797</v>
      </c>
      <c r="H5266" s="13">
        <v>44803</v>
      </c>
      <c r="I5266" s="22" t="str">
        <f>VLOOKUP(J5266, Dropdowns!N:O, 2, FALSE)</f>
        <v>Lower Price</v>
      </c>
      <c r="J5266" t="s">
        <v>753</v>
      </c>
      <c r="L5266" s="17" t="s">
        <v>732</v>
      </c>
      <c r="M5266" s="17" t="s">
        <v>736</v>
      </c>
      <c r="N5266" s="17" t="s">
        <v>736</v>
      </c>
    </row>
    <row r="5267" spans="1:17" x14ac:dyDescent="0.25">
      <c r="A5267" s="8">
        <v>995085</v>
      </c>
      <c r="B5267" s="22" t="str">
        <f>IFERROR(VLOOKUP(A5267,VLOOKUPS!$A$2:B$12589,2,FALSE),"")</f>
        <v>Sugar Snap Peas 8oz-standard</v>
      </c>
      <c r="E5267">
        <v>2.78</v>
      </c>
      <c r="F5267">
        <v>1.67</v>
      </c>
      <c r="G5267" s="13">
        <v>44797</v>
      </c>
      <c r="H5267" s="13">
        <v>44798</v>
      </c>
      <c r="I5267" s="22" t="str">
        <f>VLOOKUP(J5267, Dropdowns!N:O, 2, FALSE)</f>
        <v>Lower Price</v>
      </c>
      <c r="J5267" t="s">
        <v>759</v>
      </c>
      <c r="L5267" s="17" t="s">
        <v>733</v>
      </c>
      <c r="M5267" s="17" t="s">
        <v>10</v>
      </c>
      <c r="N5267" s="17" t="s">
        <v>740</v>
      </c>
    </row>
    <row r="5268" spans="1:17" x14ac:dyDescent="0.25">
      <c r="A5268" s="8">
        <v>995085</v>
      </c>
      <c r="B5268" s="22" t="str">
        <f>IFERROR(VLOOKUP(A5268,VLOOKUPS!$A$2:B$12589,2,FALSE),"")</f>
        <v>Sugar Snap Peas 8oz-standard</v>
      </c>
      <c r="E5268">
        <v>1.67</v>
      </c>
      <c r="F5268">
        <v>2.78</v>
      </c>
      <c r="G5268" s="13">
        <v>44799</v>
      </c>
      <c r="H5268" s="13"/>
      <c r="I5268" s="22" t="str">
        <f>VLOOKUP(J5268, Dropdowns!N:O, 2, FALSE)</f>
        <v>Standard</v>
      </c>
      <c r="J5268" t="s">
        <v>760</v>
      </c>
      <c r="L5268" s="17" t="s">
        <v>733</v>
      </c>
      <c r="M5268" s="17" t="s">
        <v>10</v>
      </c>
      <c r="N5268" s="17" t="s">
        <v>740</v>
      </c>
    </row>
    <row r="5269" spans="1:17" x14ac:dyDescent="0.25">
      <c r="A5269" s="8">
        <v>985760</v>
      </c>
      <c r="B5269" s="22" t="str">
        <f>IFERROR(VLOOKUP(A5269,VLOOKUPS!$A$2:B$12589,2,FALSE),"")</f>
        <v>Asparagus 1lb-standard</v>
      </c>
      <c r="E5269">
        <v>3.49</v>
      </c>
      <c r="F5269">
        <v>2.44</v>
      </c>
      <c r="G5269" s="13">
        <v>44798</v>
      </c>
      <c r="H5269" s="13">
        <v>44799</v>
      </c>
      <c r="I5269" s="22" t="str">
        <f>VLOOKUP(J5269, Dropdowns!N:O, 2, FALSE)</f>
        <v>Lower Price</v>
      </c>
      <c r="J5269" t="s">
        <v>759</v>
      </c>
      <c r="L5269" s="17" t="s">
        <v>734</v>
      </c>
      <c r="M5269" s="17" t="s">
        <v>9</v>
      </c>
      <c r="N5269" s="17" t="s">
        <v>736</v>
      </c>
    </row>
    <row r="5270" spans="1:17" x14ac:dyDescent="0.25">
      <c r="A5270" s="8">
        <v>985760</v>
      </c>
      <c r="B5270" s="22" t="str">
        <f>IFERROR(VLOOKUP(A5270,VLOOKUPS!$A$2:B$12589,2,FALSE),"")</f>
        <v>Asparagus 1lb-standard</v>
      </c>
      <c r="E5270">
        <v>2.99</v>
      </c>
      <c r="F5270">
        <v>2.09</v>
      </c>
      <c r="G5270" s="13">
        <v>44798</v>
      </c>
      <c r="H5270" s="13">
        <v>44799</v>
      </c>
      <c r="I5270" s="22" t="str">
        <f>VLOOKUP(J5270, Dropdowns!N:O, 2, FALSE)</f>
        <v>Lower Price</v>
      </c>
      <c r="J5270" t="s">
        <v>759</v>
      </c>
      <c r="L5270" s="17" t="s">
        <v>733</v>
      </c>
      <c r="M5270" s="17" t="s">
        <v>9</v>
      </c>
      <c r="N5270" s="17" t="s">
        <v>740</v>
      </c>
    </row>
    <row r="5271" spans="1:17" x14ac:dyDescent="0.25">
      <c r="A5271" s="8">
        <v>985760</v>
      </c>
      <c r="B5271" s="22" t="str">
        <f>IFERROR(VLOOKUP(A5271,VLOOKUPS!$A$2:B$12589,2,FALSE),"")</f>
        <v>Asparagus 1lb-standard</v>
      </c>
      <c r="E5271">
        <v>2.09</v>
      </c>
      <c r="F5271">
        <v>2.99</v>
      </c>
      <c r="G5271" s="13">
        <v>44800</v>
      </c>
      <c r="H5271" s="13"/>
      <c r="I5271" s="22" t="str">
        <f>VLOOKUP(J5271, Dropdowns!N:O, 2, FALSE)</f>
        <v>Standard</v>
      </c>
      <c r="J5271" t="s">
        <v>760</v>
      </c>
      <c r="L5271" s="17" t="s">
        <v>733</v>
      </c>
      <c r="M5271" s="17" t="s">
        <v>9</v>
      </c>
      <c r="N5271" s="17" t="s">
        <v>740</v>
      </c>
    </row>
    <row r="5272" spans="1:17" x14ac:dyDescent="0.25">
      <c r="A5272" s="8">
        <v>985760</v>
      </c>
      <c r="B5272" s="22" t="str">
        <f>IFERROR(VLOOKUP(A5272,VLOOKUPS!$A$2:B$12589,2,FALSE),"")</f>
        <v>Asparagus 1lb-standard</v>
      </c>
      <c r="E5272">
        <v>2.44</v>
      </c>
      <c r="F5272">
        <v>3.49</v>
      </c>
      <c r="G5272" s="13">
        <v>44800</v>
      </c>
      <c r="H5272" s="13"/>
      <c r="I5272" s="22" t="str">
        <f>VLOOKUP(J5272, Dropdowns!N:O, 2, FALSE)</f>
        <v>Standard</v>
      </c>
      <c r="J5272" t="s">
        <v>760</v>
      </c>
      <c r="L5272" s="17" t="s">
        <v>734</v>
      </c>
      <c r="M5272" s="17" t="s">
        <v>9</v>
      </c>
      <c r="N5272" s="17" t="s">
        <v>736</v>
      </c>
    </row>
    <row r="5273" spans="1:17" x14ac:dyDescent="0.25">
      <c r="A5273" s="8">
        <v>995111</v>
      </c>
      <c r="B5273" s="22" t="str">
        <f>IFERROR(VLOOKUP(A5273,VLOOKUPS!$A$2:B$12589,2,FALSE),"")</f>
        <v>Sweet Kale Salad Kit 12oz-standard</v>
      </c>
      <c r="D5273">
        <v>6</v>
      </c>
      <c r="F5273">
        <v>3.79</v>
      </c>
      <c r="G5273" s="13">
        <v>44798</v>
      </c>
      <c r="H5273" s="13"/>
      <c r="I5273" s="22" t="str">
        <f>VLOOKUP(J5273, Dropdowns!N:O, 2, FALSE)</f>
        <v>New</v>
      </c>
      <c r="J5273" t="s">
        <v>776</v>
      </c>
      <c r="L5273" s="17" t="s">
        <v>734</v>
      </c>
      <c r="M5273" s="17" t="s">
        <v>9</v>
      </c>
      <c r="N5273" s="17" t="s">
        <v>736</v>
      </c>
      <c r="O5273" t="s">
        <v>748</v>
      </c>
      <c r="P5273">
        <v>1</v>
      </c>
      <c r="Q5273" s="17" t="s">
        <v>1044</v>
      </c>
    </row>
    <row r="5274" spans="1:17" x14ac:dyDescent="0.25">
      <c r="A5274" s="8">
        <v>995111</v>
      </c>
      <c r="B5274" s="22" t="str">
        <f>IFERROR(VLOOKUP(A5274,VLOOKUPS!$A$2:B$12589,2,FALSE),"")</f>
        <v>Sweet Kale Salad Kit 12oz-standard</v>
      </c>
      <c r="D5274">
        <v>6</v>
      </c>
      <c r="F5274">
        <v>3.49</v>
      </c>
      <c r="G5274" s="13">
        <v>44798</v>
      </c>
      <c r="H5274" s="13"/>
      <c r="I5274" s="22" t="str">
        <f>VLOOKUP(J5274, Dropdowns!N:O, 2, FALSE)</f>
        <v>New</v>
      </c>
      <c r="J5274" t="s">
        <v>776</v>
      </c>
      <c r="L5274" s="17" t="s">
        <v>733</v>
      </c>
      <c r="M5274" s="17" t="s">
        <v>736</v>
      </c>
      <c r="N5274" s="17" t="s">
        <v>740</v>
      </c>
      <c r="O5274" s="28" t="s">
        <v>748</v>
      </c>
      <c r="P5274">
        <v>1</v>
      </c>
      <c r="Q5274" s="28" t="s">
        <v>1044</v>
      </c>
    </row>
    <row r="5275" spans="1:17" x14ac:dyDescent="0.25">
      <c r="A5275" s="8">
        <v>995111</v>
      </c>
      <c r="B5275" s="22" t="str">
        <f>IFERROR(VLOOKUP(A5275,VLOOKUPS!$A$2:B$12589,2,FALSE),"")</f>
        <v>Sweet Kale Salad Kit 12oz-standard</v>
      </c>
      <c r="D5275">
        <v>6</v>
      </c>
      <c r="F5275">
        <v>3.49</v>
      </c>
      <c r="G5275" s="13">
        <v>44798</v>
      </c>
      <c r="H5275" s="13"/>
      <c r="I5275" s="22" t="str">
        <f>VLOOKUP(J5275, Dropdowns!N:O, 2, FALSE)</f>
        <v>New</v>
      </c>
      <c r="J5275" t="s">
        <v>776</v>
      </c>
      <c r="L5275" s="17" t="s">
        <v>734</v>
      </c>
      <c r="M5275" s="17" t="s">
        <v>10</v>
      </c>
      <c r="N5275" s="17">
        <v>2</v>
      </c>
      <c r="O5275" t="s">
        <v>748</v>
      </c>
      <c r="P5275">
        <v>1</v>
      </c>
      <c r="Q5275" s="17" t="s">
        <v>1044</v>
      </c>
    </row>
    <row r="5276" spans="1:17" x14ac:dyDescent="0.25">
      <c r="A5276" s="8">
        <v>995186</v>
      </c>
      <c r="B5276" s="22" t="str">
        <f>IFERROR(VLOOKUP(A5276,VLOOKUPS!$A$2:B$12589,2,FALSE),"")</f>
        <v>Organic Carrots and Ranch 5oz-standard</v>
      </c>
      <c r="E5276">
        <v>2.99</v>
      </c>
      <c r="F5276">
        <v>1.79</v>
      </c>
      <c r="G5276" s="13">
        <v>44798</v>
      </c>
      <c r="H5276" s="13">
        <v>44799</v>
      </c>
      <c r="I5276" s="22" t="str">
        <f>VLOOKUP(J5276, Dropdowns!N:O, 2, FALSE)</f>
        <v>Lower Price</v>
      </c>
      <c r="J5276" t="s">
        <v>759</v>
      </c>
      <c r="L5276" s="17" t="s">
        <v>733</v>
      </c>
      <c r="M5276" s="17" t="s">
        <v>10</v>
      </c>
      <c r="N5276" s="17" t="s">
        <v>740</v>
      </c>
    </row>
    <row r="5277" spans="1:17" x14ac:dyDescent="0.25">
      <c r="A5277" s="8">
        <v>995186</v>
      </c>
      <c r="B5277" s="22" t="str">
        <f>IFERROR(VLOOKUP(A5277,VLOOKUPS!$A$2:B$12589,2,FALSE),"")</f>
        <v>Organic Carrots and Ranch 5oz-standard</v>
      </c>
      <c r="E5277">
        <v>1.79</v>
      </c>
      <c r="F5277">
        <v>2.99</v>
      </c>
      <c r="G5277" s="13">
        <v>44800</v>
      </c>
      <c r="H5277" s="13"/>
      <c r="I5277" s="22" t="str">
        <f>VLOOKUP(J5277, Dropdowns!N:O, 2, FALSE)</f>
        <v>Standard</v>
      </c>
      <c r="J5277" t="s">
        <v>760</v>
      </c>
      <c r="L5277" s="17" t="s">
        <v>733</v>
      </c>
      <c r="M5277" s="17" t="s">
        <v>10</v>
      </c>
      <c r="N5277" s="17" t="s">
        <v>740</v>
      </c>
    </row>
    <row r="5278" spans="1:17" x14ac:dyDescent="0.25">
      <c r="A5278" s="8">
        <v>984460</v>
      </c>
      <c r="B5278" s="22" t="str">
        <f>IFERROR(VLOOKUP(A5278,VLOOKUPS!$A$2:B$12589,2,FALSE),"")</f>
        <v>Strawberries 1lb-standard</v>
      </c>
      <c r="E5278">
        <v>2.99</v>
      </c>
      <c r="F5278">
        <v>3.49</v>
      </c>
      <c r="G5278" s="13">
        <v>44800</v>
      </c>
      <c r="H5278" s="13"/>
      <c r="I5278" s="22" t="str">
        <f>VLOOKUP(J5278, Dropdowns!N:O, 2, FALSE)</f>
        <v>Standard</v>
      </c>
      <c r="J5278" t="s">
        <v>761</v>
      </c>
      <c r="L5278" s="17" t="s">
        <v>734</v>
      </c>
      <c r="M5278" s="17" t="s">
        <v>9</v>
      </c>
      <c r="N5278" s="17" t="s">
        <v>736</v>
      </c>
    </row>
    <row r="5279" spans="1:17" x14ac:dyDescent="0.25">
      <c r="A5279" s="8">
        <v>984461</v>
      </c>
      <c r="B5279" s="22" t="str">
        <f>IFERROR(VLOOKUP(A5279,VLOOKUPS!$A$2:B$12589,2,FALSE),"")</f>
        <v>Strawberries 2lb-standard</v>
      </c>
      <c r="E5279">
        <v>5.79</v>
      </c>
      <c r="F5279">
        <v>5.99</v>
      </c>
      <c r="G5279" s="13">
        <v>44800</v>
      </c>
      <c r="H5279" s="13"/>
      <c r="I5279" s="22" t="str">
        <f>VLOOKUP(J5279, Dropdowns!N:O, 2, FALSE)</f>
        <v>Standard</v>
      </c>
      <c r="J5279" t="s">
        <v>761</v>
      </c>
      <c r="L5279" s="17" t="s">
        <v>734</v>
      </c>
      <c r="M5279" s="17" t="s">
        <v>9</v>
      </c>
      <c r="N5279" s="17" t="s">
        <v>736</v>
      </c>
    </row>
    <row r="5280" spans="1:17" x14ac:dyDescent="0.25">
      <c r="A5280" s="8">
        <v>984500</v>
      </c>
      <c r="B5280" s="22" t="str">
        <f>IFERROR(VLOOKUP(A5280,VLOOKUPS!$A$2:B$12589,2,FALSE),"")</f>
        <v>Organic Strawberries 1lb-standard</v>
      </c>
      <c r="E5280">
        <v>4.79</v>
      </c>
      <c r="F5280">
        <v>4.99</v>
      </c>
      <c r="G5280" s="13">
        <v>44800</v>
      </c>
      <c r="H5280" s="13"/>
      <c r="I5280" s="22" t="str">
        <f>VLOOKUP(J5280, Dropdowns!N:O, 2, FALSE)</f>
        <v>Standard</v>
      </c>
      <c r="J5280" t="s">
        <v>761</v>
      </c>
      <c r="L5280" s="17" t="s">
        <v>734</v>
      </c>
      <c r="M5280" s="17" t="s">
        <v>9</v>
      </c>
      <c r="N5280" s="17" t="s">
        <v>736</v>
      </c>
    </row>
    <row r="5281" spans="1:14" x14ac:dyDescent="0.25">
      <c r="A5281" s="8">
        <v>984541</v>
      </c>
      <c r="B5281" s="22" t="str">
        <f>IFERROR(VLOOKUP(A5281,VLOOKUPS!$A$2:B$12589,2,FALSE),"")</f>
        <v>Blueberries 1pt-standard</v>
      </c>
      <c r="E5281">
        <v>3.38</v>
      </c>
      <c r="F5281">
        <v>3.18</v>
      </c>
      <c r="G5281" s="13">
        <v>44800</v>
      </c>
      <c r="H5281" s="13"/>
      <c r="I5281" s="22" t="str">
        <f>VLOOKUP(J5281, Dropdowns!N:O, 2, FALSE)</f>
        <v>Standard</v>
      </c>
      <c r="J5281" t="s">
        <v>761</v>
      </c>
      <c r="L5281" s="17" t="s">
        <v>733</v>
      </c>
      <c r="M5281" s="17" t="s">
        <v>736</v>
      </c>
      <c r="N5281" s="17" t="s">
        <v>740</v>
      </c>
    </row>
    <row r="5282" spans="1:14" x14ac:dyDescent="0.25">
      <c r="A5282" s="8">
        <v>984541</v>
      </c>
      <c r="B5282" s="22" t="str">
        <f>IFERROR(VLOOKUP(A5282,VLOOKUPS!$A$2:B$12589,2,FALSE),"")</f>
        <v>Blueberries 1pt-standard</v>
      </c>
      <c r="E5282">
        <v>3.38</v>
      </c>
      <c r="F5282">
        <v>3.18</v>
      </c>
      <c r="G5282" s="13">
        <v>44800</v>
      </c>
      <c r="H5282" s="13"/>
      <c r="I5282" s="22" t="str">
        <f>VLOOKUP(J5282, Dropdowns!N:O, 2, FALSE)</f>
        <v>Standard</v>
      </c>
      <c r="J5282" t="s">
        <v>761</v>
      </c>
      <c r="L5282" s="17" t="s">
        <v>734</v>
      </c>
      <c r="M5282" s="17" t="s">
        <v>10</v>
      </c>
      <c r="N5282" s="17">
        <v>2</v>
      </c>
    </row>
    <row r="5283" spans="1:14" x14ac:dyDescent="0.25">
      <c r="A5283" s="8">
        <v>984582</v>
      </c>
      <c r="B5283" s="22" t="str">
        <f>IFERROR(VLOOKUP(A5283,VLOOKUPS!$A$2:B$12589,2,FALSE),"")</f>
        <v>Organic Blueberries 1pt-standard</v>
      </c>
      <c r="E5283">
        <v>4.96</v>
      </c>
      <c r="F5283">
        <v>4.8600000000000003</v>
      </c>
      <c r="G5283" s="13">
        <v>44800</v>
      </c>
      <c r="H5283" s="13"/>
      <c r="I5283" s="22" t="str">
        <f>VLOOKUP(J5283, Dropdowns!N:O, 2, FALSE)</f>
        <v>Standard</v>
      </c>
      <c r="J5283" t="s">
        <v>761</v>
      </c>
      <c r="L5283" s="17" t="s">
        <v>733</v>
      </c>
      <c r="M5283" s="17" t="s">
        <v>736</v>
      </c>
      <c r="N5283" s="17" t="s">
        <v>740</v>
      </c>
    </row>
    <row r="5284" spans="1:14" x14ac:dyDescent="0.25">
      <c r="A5284" s="8">
        <v>984582</v>
      </c>
      <c r="B5284" s="22" t="str">
        <f>IFERROR(VLOOKUP(A5284,VLOOKUPS!$A$2:B$12589,2,FALSE),"")</f>
        <v>Organic Blueberries 1pt-standard</v>
      </c>
      <c r="E5284">
        <v>4.96</v>
      </c>
      <c r="F5284">
        <v>4.8600000000000003</v>
      </c>
      <c r="G5284" s="13">
        <v>44800</v>
      </c>
      <c r="H5284" s="13"/>
      <c r="I5284" s="22" t="str">
        <f>VLOOKUP(J5284, Dropdowns!N:O, 2, FALSE)</f>
        <v>Standard</v>
      </c>
      <c r="J5284" t="s">
        <v>761</v>
      </c>
      <c r="L5284" s="17" t="s">
        <v>734</v>
      </c>
      <c r="M5284" s="17" t="s">
        <v>10</v>
      </c>
      <c r="N5284">
        <v>2</v>
      </c>
    </row>
    <row r="5285" spans="1:14" x14ac:dyDescent="0.25">
      <c r="A5285" s="8">
        <v>985160</v>
      </c>
      <c r="B5285" s="22" t="str">
        <f>IFERROR(VLOOKUP(A5285,VLOOKUPS!$A$2:B$12589,2,FALSE),"")</f>
        <v>Romaine Hearts 3ct-standard</v>
      </c>
      <c r="E5285">
        <v>2.62</v>
      </c>
      <c r="F5285">
        <v>2.98</v>
      </c>
      <c r="G5285" s="13">
        <v>44800</v>
      </c>
      <c r="H5285" s="13"/>
      <c r="I5285" s="22" t="str">
        <f>VLOOKUP(J5285, Dropdowns!N:O, 2, FALSE)</f>
        <v>Standard</v>
      </c>
      <c r="J5285" t="s">
        <v>761</v>
      </c>
      <c r="L5285" s="17" t="s">
        <v>733</v>
      </c>
      <c r="M5285" s="17" t="s">
        <v>736</v>
      </c>
      <c r="N5285" s="17" t="s">
        <v>740</v>
      </c>
    </row>
    <row r="5286" spans="1:14" x14ac:dyDescent="0.25">
      <c r="A5286" s="8">
        <v>985160</v>
      </c>
      <c r="B5286" s="22" t="str">
        <f>IFERROR(VLOOKUP(A5286,VLOOKUPS!$A$2:B$12589,2,FALSE),"")</f>
        <v>Romaine Hearts 3ct-standard</v>
      </c>
      <c r="E5286">
        <v>2.62</v>
      </c>
      <c r="F5286">
        <v>2.98</v>
      </c>
      <c r="G5286" s="13">
        <v>44800</v>
      </c>
      <c r="H5286" s="13"/>
      <c r="I5286" s="22" t="str">
        <f>VLOOKUP(J5286, Dropdowns!N:O, 2, FALSE)</f>
        <v>Standard</v>
      </c>
      <c r="J5286" t="s">
        <v>761</v>
      </c>
      <c r="L5286" s="17" t="s">
        <v>734</v>
      </c>
      <c r="M5286" s="17" t="s">
        <v>10</v>
      </c>
      <c r="N5286" s="17">
        <v>2</v>
      </c>
    </row>
    <row r="5287" spans="1:14" x14ac:dyDescent="0.25">
      <c r="A5287" s="8">
        <v>988703</v>
      </c>
      <c r="B5287" s="22" t="str">
        <f>IFERROR(VLOOKUP(A5287,VLOOKUPS!$A$2:B$12589,2,FALSE),"")</f>
        <v>Collard Greens 16oz-standard</v>
      </c>
      <c r="E5287">
        <v>2.69</v>
      </c>
      <c r="F5287">
        <v>2.79</v>
      </c>
      <c r="G5287" s="13">
        <v>44800</v>
      </c>
      <c r="H5287" s="13"/>
      <c r="I5287" s="22" t="str">
        <f>VLOOKUP(J5287, Dropdowns!N:O, 2, FALSE)</f>
        <v>Standard</v>
      </c>
      <c r="J5287" t="s">
        <v>761</v>
      </c>
      <c r="L5287" s="17" t="s">
        <v>734</v>
      </c>
      <c r="M5287" s="17" t="s">
        <v>9</v>
      </c>
      <c r="N5287" s="17" t="s">
        <v>736</v>
      </c>
    </row>
    <row r="5288" spans="1:14" x14ac:dyDescent="0.25">
      <c r="A5288" s="8">
        <v>995045</v>
      </c>
      <c r="B5288" s="22" t="str">
        <f>IFERROR(VLOOKUP(A5288,VLOOKUPS!$A$2:B$12589,2,FALSE),"")</f>
        <v>Fajita Blend 12oz-standard</v>
      </c>
      <c r="E5288">
        <v>4.49</v>
      </c>
      <c r="F5288">
        <v>4.79</v>
      </c>
      <c r="G5288" s="13">
        <v>44800</v>
      </c>
      <c r="H5288" s="13"/>
      <c r="I5288" s="22" t="str">
        <f>VLOOKUP(J5288, Dropdowns!N:O, 2, FALSE)</f>
        <v>Standard</v>
      </c>
      <c r="J5288" t="s">
        <v>761</v>
      </c>
      <c r="L5288" s="17" t="s">
        <v>734</v>
      </c>
      <c r="M5288" s="17" t="s">
        <v>9</v>
      </c>
      <c r="N5288" s="17" t="s">
        <v>736</v>
      </c>
    </row>
    <row r="5289" spans="1:14" x14ac:dyDescent="0.25">
      <c r="A5289" s="8">
        <v>995171</v>
      </c>
      <c r="B5289" s="22" t="str">
        <f>IFERROR(VLOOKUP(A5289,VLOOKUPS!$A$2:B$12589,2,FALSE),"")</f>
        <v>Kale Greens 2lb-standard</v>
      </c>
      <c r="E5289">
        <v>4.8899999999999997</v>
      </c>
      <c r="F5289">
        <v>5.19</v>
      </c>
      <c r="G5289" s="13">
        <v>44800</v>
      </c>
      <c r="H5289" s="13"/>
      <c r="I5289" s="22" t="str">
        <f>VLOOKUP(J5289, Dropdowns!N:O, 2, FALSE)</f>
        <v>Standard</v>
      </c>
      <c r="J5289" t="s">
        <v>761</v>
      </c>
      <c r="L5289" s="17" t="s">
        <v>734</v>
      </c>
      <c r="M5289" s="17" t="s">
        <v>9</v>
      </c>
      <c r="N5289" s="17" t="s">
        <v>736</v>
      </c>
    </row>
    <row r="5290" spans="1:14" x14ac:dyDescent="0.25">
      <c r="A5290" s="8">
        <v>985111</v>
      </c>
      <c r="B5290" s="22" t="str">
        <f>IFERROR(VLOOKUP(A5290,VLOOKUPS!$A$2:B$12589,2,FALSE),"")</f>
        <v>Lettuce Mixed 1ct-standard</v>
      </c>
      <c r="E5290">
        <v>2.48</v>
      </c>
      <c r="F5290">
        <v>1.49</v>
      </c>
      <c r="G5290" s="13">
        <v>44800</v>
      </c>
      <c r="H5290" s="13">
        <v>44801</v>
      </c>
      <c r="I5290" s="22" t="str">
        <f>VLOOKUP(J5290, Dropdowns!N:O, 2, FALSE)</f>
        <v>Lower Price</v>
      </c>
      <c r="J5290" t="s">
        <v>759</v>
      </c>
      <c r="L5290" s="17" t="s">
        <v>732</v>
      </c>
      <c r="M5290" s="17" t="s">
        <v>9</v>
      </c>
      <c r="N5290" s="17" t="s">
        <v>736</v>
      </c>
    </row>
    <row r="5291" spans="1:14" x14ac:dyDescent="0.25">
      <c r="A5291" s="8">
        <v>985111</v>
      </c>
      <c r="B5291" s="22" t="str">
        <f>IFERROR(VLOOKUP(A5291,VLOOKUPS!$A$2:B$12589,2,FALSE),"")</f>
        <v>Lettuce Mixed 1ct-standard</v>
      </c>
      <c r="E5291">
        <v>1.49</v>
      </c>
      <c r="F5291">
        <v>2.48</v>
      </c>
      <c r="G5291" s="13">
        <v>44802</v>
      </c>
      <c r="H5291" s="13"/>
      <c r="I5291" s="22" t="str">
        <f>VLOOKUP(J5291, Dropdowns!N:O, 2, FALSE)</f>
        <v>Standard</v>
      </c>
      <c r="J5291" t="s">
        <v>760</v>
      </c>
      <c r="L5291" s="17" t="s">
        <v>732</v>
      </c>
      <c r="M5291" s="17" t="s">
        <v>9</v>
      </c>
      <c r="N5291" s="17" t="s">
        <v>736</v>
      </c>
    </row>
    <row r="5292" spans="1:14" x14ac:dyDescent="0.25">
      <c r="A5292" s="8">
        <v>995190</v>
      </c>
      <c r="B5292" s="22" t="str">
        <f>IFERROR(VLOOKUP(A5292,VLOOKUPS!$A$2:B$12589,2,FALSE),"")</f>
        <v>Organic Green Beans 12oz-standard</v>
      </c>
      <c r="D5292">
        <v>6</v>
      </c>
      <c r="F5292">
        <v>4.18</v>
      </c>
      <c r="G5292" s="13">
        <v>44802</v>
      </c>
      <c r="H5292" s="13"/>
      <c r="I5292" s="22" t="str">
        <f>VLOOKUP(J5292, Dropdowns!N:O, 2, FALSE)</f>
        <v>NA</v>
      </c>
      <c r="J5292" t="s">
        <v>754</v>
      </c>
      <c r="L5292" s="17" t="s">
        <v>733</v>
      </c>
      <c r="M5292" s="17" t="s">
        <v>736</v>
      </c>
      <c r="N5292" s="17" t="s">
        <v>740</v>
      </c>
    </row>
    <row r="5293" spans="1:14" x14ac:dyDescent="0.25">
      <c r="A5293" s="8">
        <v>995190</v>
      </c>
      <c r="B5293" s="22" t="str">
        <f>IFERROR(VLOOKUP(A5293,VLOOKUPS!$A$2:B$12589,2,FALSE),"")</f>
        <v>Organic Green Beans 12oz-standard</v>
      </c>
      <c r="D5293">
        <v>6</v>
      </c>
      <c r="F5293">
        <v>4.18</v>
      </c>
      <c r="G5293" s="13">
        <v>44802</v>
      </c>
      <c r="H5293" s="13"/>
      <c r="I5293" s="22" t="str">
        <f>VLOOKUP(J5293, Dropdowns!N:O, 2, FALSE)</f>
        <v>NA</v>
      </c>
      <c r="J5293" t="s">
        <v>754</v>
      </c>
      <c r="L5293" s="17" t="s">
        <v>734</v>
      </c>
      <c r="M5293" s="17" t="s">
        <v>10</v>
      </c>
      <c r="N5293" s="17">
        <v>2</v>
      </c>
    </row>
    <row r="5294" spans="1:14" x14ac:dyDescent="0.25">
      <c r="A5294" s="8">
        <v>995190</v>
      </c>
      <c r="B5294" s="22" t="str">
        <f>IFERROR(VLOOKUP(A5294,VLOOKUPS!$A$2:B$12589,2,FALSE),"")</f>
        <v>Organic Green Beans 12oz-standard</v>
      </c>
      <c r="D5294">
        <v>6</v>
      </c>
      <c r="F5294">
        <v>4.3899999999999997</v>
      </c>
      <c r="G5294" s="13">
        <v>44802</v>
      </c>
      <c r="H5294" s="13"/>
      <c r="I5294" s="22" t="str">
        <f>VLOOKUP(J5294, Dropdowns!N:O, 2, FALSE)</f>
        <v>NA</v>
      </c>
      <c r="J5294" t="s">
        <v>754</v>
      </c>
      <c r="L5294" s="17" t="s">
        <v>734</v>
      </c>
      <c r="M5294" s="17" t="s">
        <v>9</v>
      </c>
      <c r="N5294" s="17" t="s">
        <v>736</v>
      </c>
    </row>
    <row r="5295" spans="1:14" x14ac:dyDescent="0.25">
      <c r="A5295" s="8">
        <v>985780</v>
      </c>
      <c r="B5295" s="22" t="str">
        <f>IFERROR(VLOOKUP(A5295,VLOOKUPS!$A$2:B$12589,2,FALSE),"")</f>
        <v>Organic Asparagus 12oz-standard</v>
      </c>
      <c r="D5295">
        <v>14</v>
      </c>
      <c r="F5295">
        <v>3.99</v>
      </c>
      <c r="G5295" s="13">
        <v>44803</v>
      </c>
      <c r="H5295" s="13"/>
      <c r="I5295" s="22" t="str">
        <f>VLOOKUP(J5295, Dropdowns!N:O, 2, FALSE)</f>
        <v>NA</v>
      </c>
      <c r="J5295" t="s">
        <v>754</v>
      </c>
      <c r="L5295" s="17" t="s">
        <v>733</v>
      </c>
      <c r="M5295" s="17" t="s">
        <v>11</v>
      </c>
      <c r="N5295" s="17" t="s">
        <v>740</v>
      </c>
    </row>
    <row r="5296" spans="1:14" x14ac:dyDescent="0.25">
      <c r="A5296" s="8">
        <v>986250</v>
      </c>
      <c r="B5296" s="22" t="str">
        <f>IFERROR(VLOOKUP(A5296,VLOOKUPS!$A$2:B$12589,2,FALSE),"")</f>
        <v>French Beans 1lb-standard</v>
      </c>
      <c r="G5296" s="13">
        <v>44804</v>
      </c>
      <c r="H5296" s="13">
        <v>44810</v>
      </c>
      <c r="I5296" s="22" t="str">
        <f>VLOOKUP(J5296, Dropdowns!N:O, 2, FALSE)</f>
        <v>Lower Price</v>
      </c>
      <c r="J5296" t="s">
        <v>753</v>
      </c>
      <c r="L5296" s="17" t="s">
        <v>732</v>
      </c>
      <c r="M5296" s="17" t="s">
        <v>736</v>
      </c>
      <c r="N5296" s="17" t="s">
        <v>736</v>
      </c>
    </row>
    <row r="5297" spans="1:17" x14ac:dyDescent="0.25">
      <c r="A5297" s="8">
        <v>995000</v>
      </c>
      <c r="B5297" s="22" t="str">
        <f>IFERROR(VLOOKUP(A5297,VLOOKUPS!$A$2:B$12589,2,FALSE),"")</f>
        <v>Spring Mix 5oz-standard</v>
      </c>
      <c r="E5297">
        <v>2.73</v>
      </c>
      <c r="F5297">
        <v>1.64</v>
      </c>
      <c r="G5297" s="13">
        <v>44804</v>
      </c>
      <c r="H5297" s="13">
        <v>44805</v>
      </c>
      <c r="I5297" s="22" t="str">
        <f>VLOOKUP(J5297, Dropdowns!N:O, 2, FALSE)</f>
        <v>Lower Price</v>
      </c>
      <c r="J5297" t="s">
        <v>759</v>
      </c>
      <c r="L5297" s="17" t="s">
        <v>733</v>
      </c>
      <c r="M5297" s="17" t="s">
        <v>11</v>
      </c>
      <c r="N5297" s="17" t="s">
        <v>740</v>
      </c>
    </row>
    <row r="5298" spans="1:17" x14ac:dyDescent="0.25">
      <c r="A5298" s="8">
        <v>995000</v>
      </c>
      <c r="B5298" s="22" t="str">
        <f>IFERROR(VLOOKUP(A5298,VLOOKUPS!$A$2:B$12589,2,FALSE),"")</f>
        <v>Spring Mix 5oz-standard</v>
      </c>
      <c r="E5298">
        <v>1.64</v>
      </c>
      <c r="F5298">
        <v>2.73</v>
      </c>
      <c r="G5298" s="13">
        <v>44806</v>
      </c>
      <c r="H5298" s="13"/>
      <c r="I5298" s="22" t="str">
        <f>VLOOKUP(J5298, Dropdowns!N:O, 2, FALSE)</f>
        <v>Standard</v>
      </c>
      <c r="J5298" t="s">
        <v>760</v>
      </c>
      <c r="L5298" s="17" t="s">
        <v>733</v>
      </c>
      <c r="M5298" s="17" t="s">
        <v>11</v>
      </c>
      <c r="N5298" s="17" t="s">
        <v>740</v>
      </c>
    </row>
    <row r="5299" spans="1:17" x14ac:dyDescent="0.25">
      <c r="A5299" s="8">
        <v>995115</v>
      </c>
      <c r="B5299" s="22" t="str">
        <f>IFERROR(VLOOKUP(A5299,VLOOKUPS!$A$2:B$12589,2,FALSE),"")</f>
        <v>Pineapple Chunks 10oz-standard</v>
      </c>
      <c r="E5299">
        <v>3.24</v>
      </c>
      <c r="F5299">
        <v>1.94</v>
      </c>
      <c r="G5299" s="13">
        <v>44804</v>
      </c>
      <c r="H5299" s="13">
        <v>44805</v>
      </c>
      <c r="I5299" s="22" t="str">
        <f>VLOOKUP(J5299, Dropdowns!N:O, 2, FALSE)</f>
        <v>Lower Price</v>
      </c>
      <c r="J5299" t="s">
        <v>759</v>
      </c>
      <c r="L5299" s="17" t="s">
        <v>733</v>
      </c>
      <c r="M5299" s="17" t="s">
        <v>9</v>
      </c>
      <c r="N5299" s="17" t="s">
        <v>740</v>
      </c>
    </row>
    <row r="5300" spans="1:17" x14ac:dyDescent="0.25">
      <c r="A5300" s="8">
        <v>995115</v>
      </c>
      <c r="B5300" s="22" t="str">
        <f>IFERROR(VLOOKUP(A5300,VLOOKUPS!$A$2:B$12589,2,FALSE),"")</f>
        <v>Pineapple Chunks 10oz-standard</v>
      </c>
      <c r="E5300">
        <v>3.29</v>
      </c>
      <c r="F5300">
        <v>1.97</v>
      </c>
      <c r="G5300" s="13">
        <v>44804</v>
      </c>
      <c r="H5300" s="13">
        <v>44774</v>
      </c>
      <c r="I5300" s="22" t="str">
        <f>VLOOKUP(J5300, Dropdowns!N:O, 2, FALSE)</f>
        <v>Lower Price</v>
      </c>
      <c r="J5300" t="s">
        <v>759</v>
      </c>
      <c r="L5300" s="17" t="s">
        <v>734</v>
      </c>
      <c r="M5300" s="17" t="s">
        <v>9</v>
      </c>
      <c r="N5300" s="17" t="s">
        <v>736</v>
      </c>
    </row>
    <row r="5301" spans="1:17" x14ac:dyDescent="0.25">
      <c r="A5301" s="8">
        <v>995115</v>
      </c>
      <c r="B5301" s="22" t="str">
        <f>IFERROR(VLOOKUP(A5301,VLOOKUPS!$A$2:B$12589,2,FALSE),"")</f>
        <v>Pineapple Chunks 10oz-standard</v>
      </c>
      <c r="E5301">
        <v>1.94</v>
      </c>
      <c r="F5301">
        <v>3.24</v>
      </c>
      <c r="G5301" s="13">
        <v>44806</v>
      </c>
      <c r="H5301" s="13"/>
      <c r="I5301" s="22" t="str">
        <f>VLOOKUP(J5301, Dropdowns!N:O, 2, FALSE)</f>
        <v>Standard</v>
      </c>
      <c r="J5301" t="s">
        <v>760</v>
      </c>
      <c r="L5301" s="17" t="s">
        <v>733</v>
      </c>
      <c r="M5301" s="17" t="s">
        <v>9</v>
      </c>
      <c r="N5301" s="17" t="s">
        <v>740</v>
      </c>
    </row>
    <row r="5302" spans="1:17" x14ac:dyDescent="0.25">
      <c r="A5302" s="8">
        <v>995115</v>
      </c>
      <c r="B5302" s="22" t="str">
        <f>IFERROR(VLOOKUP(A5302,VLOOKUPS!$A$2:B$12589,2,FALSE),"")</f>
        <v>Pineapple Chunks 10oz-standard</v>
      </c>
      <c r="E5302">
        <v>1.97</v>
      </c>
      <c r="F5302">
        <v>3.29</v>
      </c>
      <c r="G5302" s="13">
        <v>44806</v>
      </c>
      <c r="H5302" s="13"/>
      <c r="I5302" s="22" t="str">
        <f>VLOOKUP(J5302, Dropdowns!N:O, 2, FALSE)</f>
        <v>Standard</v>
      </c>
      <c r="J5302" t="s">
        <v>760</v>
      </c>
      <c r="L5302" s="17" t="s">
        <v>734</v>
      </c>
      <c r="M5302" s="17" t="s">
        <v>9</v>
      </c>
      <c r="N5302" s="17" t="s">
        <v>736</v>
      </c>
    </row>
    <row r="5303" spans="1:17" x14ac:dyDescent="0.25">
      <c r="A5303" s="8">
        <v>984542</v>
      </c>
      <c r="B5303" s="22" t="str">
        <f>IFERROR(VLOOKUP(A5303,VLOOKUPS!$A$2:B$12589,2,FALSE),"")</f>
        <v>Blueberries 18oz-standard</v>
      </c>
      <c r="E5303">
        <v>2.99</v>
      </c>
      <c r="F5303">
        <v>5.09</v>
      </c>
      <c r="G5303" s="13">
        <v>44804</v>
      </c>
      <c r="H5303" s="13"/>
      <c r="I5303" s="22" t="str">
        <f>VLOOKUP(J5303, Dropdowns!N:O, 2, FALSE)</f>
        <v>Standard</v>
      </c>
      <c r="J5303" t="s">
        <v>760</v>
      </c>
      <c r="L5303" s="17" t="s">
        <v>733</v>
      </c>
      <c r="M5303" s="17" t="s">
        <v>736</v>
      </c>
      <c r="N5303" s="17" t="s">
        <v>740</v>
      </c>
    </row>
    <row r="5304" spans="1:17" x14ac:dyDescent="0.25">
      <c r="A5304" s="8">
        <v>984542</v>
      </c>
      <c r="B5304" s="22" t="str">
        <f>IFERROR(VLOOKUP(A5304,VLOOKUPS!$A$2:B$12589,2,FALSE),"")</f>
        <v>Blueberries 18oz-standard</v>
      </c>
      <c r="E5304">
        <v>3.49</v>
      </c>
      <c r="F5304">
        <v>5.59</v>
      </c>
      <c r="G5304" s="13">
        <v>44804</v>
      </c>
      <c r="H5304" s="13"/>
      <c r="I5304" s="22" t="str">
        <f>VLOOKUP(J5304, Dropdowns!N:O, 2, FALSE)</f>
        <v>Standard</v>
      </c>
      <c r="J5304" t="s">
        <v>760</v>
      </c>
      <c r="L5304" s="17" t="s">
        <v>734</v>
      </c>
      <c r="M5304" s="17" t="s">
        <v>9</v>
      </c>
      <c r="N5304" s="17" t="s">
        <v>736</v>
      </c>
    </row>
    <row r="5305" spans="1:17" x14ac:dyDescent="0.25">
      <c r="A5305" s="8">
        <v>984542</v>
      </c>
      <c r="B5305" s="22" t="str">
        <f>IFERROR(VLOOKUP(A5305,VLOOKUPS!$A$2:B$12589,2,FALSE),"")</f>
        <v>Blueberries 18oz-standard</v>
      </c>
      <c r="E5305">
        <v>2.99</v>
      </c>
      <c r="F5305">
        <v>5.09</v>
      </c>
      <c r="G5305" s="13">
        <v>44804</v>
      </c>
      <c r="H5305" s="13"/>
      <c r="I5305" s="22" t="str">
        <f>VLOOKUP(J5305, Dropdowns!N:O, 2, FALSE)</f>
        <v>Standard</v>
      </c>
      <c r="J5305" t="s">
        <v>760</v>
      </c>
      <c r="L5305" s="17" t="s">
        <v>734</v>
      </c>
      <c r="M5305" s="17" t="s">
        <v>10</v>
      </c>
      <c r="N5305" s="17">
        <v>2</v>
      </c>
    </row>
    <row r="5306" spans="1:17" x14ac:dyDescent="0.25">
      <c r="A5306" s="8">
        <v>986231</v>
      </c>
      <c r="B5306" s="22" t="str">
        <f>IFERROR(VLOOKUP(A5306,VLOOKUPS!$A$2:B$12589,2,FALSE),"")</f>
        <v>Artichokes 2ct-standard</v>
      </c>
      <c r="D5306">
        <v>12</v>
      </c>
      <c r="F5306">
        <v>3.98</v>
      </c>
      <c r="G5306" s="13">
        <v>44805</v>
      </c>
      <c r="H5306" s="13"/>
      <c r="I5306" s="22" t="str">
        <f>VLOOKUP(J5306, Dropdowns!N:O, 2, FALSE)</f>
        <v>New</v>
      </c>
      <c r="J5306" t="s">
        <v>776</v>
      </c>
      <c r="L5306" s="17" t="s">
        <v>732</v>
      </c>
      <c r="M5306" s="17" t="s">
        <v>736</v>
      </c>
      <c r="N5306" s="17" t="s">
        <v>736</v>
      </c>
      <c r="O5306" s="28" t="s">
        <v>748</v>
      </c>
      <c r="P5306">
        <v>1</v>
      </c>
    </row>
    <row r="5307" spans="1:17" x14ac:dyDescent="0.25">
      <c r="A5307" s="8">
        <v>995140</v>
      </c>
      <c r="B5307" s="22" t="str">
        <f>IFERROR(VLOOKUP(A5307,VLOOKUPS!$A$2:B$12589,2,FALSE),"")</f>
        <v>Organic Half and Half 16oz-standard</v>
      </c>
      <c r="D5307">
        <v>6</v>
      </c>
      <c r="F5307">
        <v>5.13</v>
      </c>
      <c r="G5307" s="13">
        <v>44805</v>
      </c>
      <c r="H5307" s="13"/>
      <c r="I5307" s="22" t="str">
        <f>VLOOKUP(J5307, Dropdowns!N:O, 2, FALSE)</f>
        <v>New</v>
      </c>
      <c r="J5307" t="s">
        <v>776</v>
      </c>
      <c r="L5307" s="17" t="s">
        <v>733</v>
      </c>
      <c r="M5307" s="17" t="s">
        <v>736</v>
      </c>
      <c r="N5307" s="17" t="s">
        <v>740</v>
      </c>
      <c r="O5307" s="28" t="s">
        <v>748</v>
      </c>
      <c r="P5307">
        <v>1</v>
      </c>
      <c r="Q5307" s="28" t="s">
        <v>1044</v>
      </c>
    </row>
    <row r="5308" spans="1:17" x14ac:dyDescent="0.25">
      <c r="A5308" s="8">
        <v>995140</v>
      </c>
      <c r="B5308" s="22" t="str">
        <f>IFERROR(VLOOKUP(A5308,VLOOKUPS!$A$2:B$12589,2,FALSE),"")</f>
        <v>Organic Half and Half 16oz-standard</v>
      </c>
      <c r="D5308">
        <v>6</v>
      </c>
      <c r="F5308">
        <v>5.13</v>
      </c>
      <c r="G5308" s="13">
        <v>44805</v>
      </c>
      <c r="H5308" s="13"/>
      <c r="I5308" s="22" t="str">
        <f>VLOOKUP(J5308, Dropdowns!N:O, 2, FALSE)</f>
        <v>New</v>
      </c>
      <c r="J5308" t="s">
        <v>776</v>
      </c>
      <c r="L5308" s="17" t="s">
        <v>734</v>
      </c>
      <c r="M5308" s="17" t="s">
        <v>10</v>
      </c>
      <c r="N5308" s="17">
        <v>2</v>
      </c>
      <c r="O5308" s="28" t="s">
        <v>748</v>
      </c>
      <c r="P5308">
        <v>1</v>
      </c>
      <c r="Q5308" s="28" t="s">
        <v>1044</v>
      </c>
    </row>
    <row r="5309" spans="1:17" x14ac:dyDescent="0.25">
      <c r="A5309" s="8">
        <v>995140</v>
      </c>
      <c r="B5309" s="22" t="str">
        <f>IFERROR(VLOOKUP(A5309,VLOOKUPS!$A$2:B$12589,2,FALSE),"")</f>
        <v>Organic Half and Half 16oz-standard</v>
      </c>
      <c r="D5309">
        <v>6</v>
      </c>
      <c r="F5309">
        <v>5.79</v>
      </c>
      <c r="G5309" s="13">
        <v>44805</v>
      </c>
      <c r="H5309" s="13"/>
      <c r="I5309" s="22" t="str">
        <f>VLOOKUP(J5309, Dropdowns!N:O, 2, FALSE)</f>
        <v>New</v>
      </c>
      <c r="J5309" t="s">
        <v>776</v>
      </c>
      <c r="L5309" s="17" t="s">
        <v>734</v>
      </c>
      <c r="M5309" s="17" t="s">
        <v>9</v>
      </c>
      <c r="N5309" s="17" t="s">
        <v>736</v>
      </c>
      <c r="O5309" s="28" t="s">
        <v>748</v>
      </c>
      <c r="P5309">
        <v>1</v>
      </c>
      <c r="Q5309" s="28" t="s">
        <v>1044</v>
      </c>
    </row>
    <row r="5310" spans="1:17" x14ac:dyDescent="0.25">
      <c r="A5310" s="8">
        <v>995210</v>
      </c>
      <c r="B5310" s="22" t="str">
        <f>IFERROR(VLOOKUP(A5310,VLOOKUPS!$A$2:B$12589,2,FALSE),"")</f>
        <v>Garden Salad 24oz-standard</v>
      </c>
      <c r="D5310">
        <v>12</v>
      </c>
      <c r="F5310">
        <v>2.98</v>
      </c>
      <c r="G5310" s="13">
        <v>44805</v>
      </c>
      <c r="H5310" s="13"/>
      <c r="I5310" s="22" t="str">
        <f>VLOOKUP(J5310, Dropdowns!N:O, 2, FALSE)</f>
        <v>New</v>
      </c>
      <c r="J5310" t="s">
        <v>776</v>
      </c>
      <c r="L5310" s="17" t="s">
        <v>733</v>
      </c>
      <c r="M5310" s="17" t="s">
        <v>736</v>
      </c>
      <c r="N5310" s="17" t="s">
        <v>740</v>
      </c>
      <c r="O5310" s="28" t="s">
        <v>748</v>
      </c>
      <c r="P5310">
        <v>1</v>
      </c>
      <c r="Q5310" s="28" t="s">
        <v>1044</v>
      </c>
    </row>
    <row r="5311" spans="1:17" x14ac:dyDescent="0.25">
      <c r="A5311" s="8">
        <v>995210</v>
      </c>
      <c r="B5311" s="22" t="str">
        <f>IFERROR(VLOOKUP(A5311,VLOOKUPS!$A$2:B$12589,2,FALSE),"")</f>
        <v>Garden Salad 24oz-standard</v>
      </c>
      <c r="D5311">
        <v>12</v>
      </c>
      <c r="F5311">
        <v>2.98</v>
      </c>
      <c r="G5311" s="13">
        <v>44805</v>
      </c>
      <c r="H5311" s="13"/>
      <c r="I5311" s="22" t="str">
        <f>VLOOKUP(J5311, Dropdowns!N:O, 2, FALSE)</f>
        <v>New</v>
      </c>
      <c r="J5311" t="s">
        <v>776</v>
      </c>
      <c r="L5311" s="17" t="s">
        <v>734</v>
      </c>
      <c r="M5311" s="17" t="s">
        <v>10</v>
      </c>
      <c r="N5311" s="17">
        <v>2</v>
      </c>
      <c r="O5311" s="28" t="s">
        <v>748</v>
      </c>
      <c r="P5311">
        <v>1</v>
      </c>
      <c r="Q5311" s="28" t="s">
        <v>1044</v>
      </c>
    </row>
    <row r="5312" spans="1:17" x14ac:dyDescent="0.25">
      <c r="A5312" s="8">
        <v>995210</v>
      </c>
      <c r="B5312" s="22" t="str">
        <f>IFERROR(VLOOKUP(A5312,VLOOKUPS!$A$2:B$12589,2,FALSE),"")</f>
        <v>Garden Salad 24oz-standard</v>
      </c>
      <c r="D5312">
        <v>12</v>
      </c>
      <c r="F5312">
        <v>3.09</v>
      </c>
      <c r="G5312" s="13">
        <v>44805</v>
      </c>
      <c r="H5312" s="13"/>
      <c r="I5312" s="22" t="str">
        <f>VLOOKUP(J5312, Dropdowns!N:O, 2, FALSE)</f>
        <v>New</v>
      </c>
      <c r="J5312" t="s">
        <v>776</v>
      </c>
      <c r="L5312" s="17" t="s">
        <v>734</v>
      </c>
      <c r="M5312" s="17" t="s">
        <v>9</v>
      </c>
      <c r="N5312" s="17" t="s">
        <v>736</v>
      </c>
      <c r="O5312" s="28" t="s">
        <v>748</v>
      </c>
      <c r="P5312">
        <v>1</v>
      </c>
      <c r="Q5312" s="28" t="s">
        <v>1044</v>
      </c>
    </row>
    <row r="5313" spans="1:17" x14ac:dyDescent="0.25">
      <c r="A5313" s="8">
        <v>995211</v>
      </c>
      <c r="B5313" s="22" t="str">
        <f>IFERROR(VLOOKUP(A5313,VLOOKUPS!$A$2:B$12589,2,FALSE),"")</f>
        <v>Verry Veggie 10oz-standard</v>
      </c>
      <c r="D5313">
        <v>8</v>
      </c>
      <c r="F5313">
        <v>2.75</v>
      </c>
      <c r="G5313" s="13">
        <v>44805</v>
      </c>
      <c r="H5313" s="13"/>
      <c r="I5313" s="22" t="str">
        <f>VLOOKUP(J5313, Dropdowns!N:O, 2, FALSE)</f>
        <v>New</v>
      </c>
      <c r="J5313" t="s">
        <v>776</v>
      </c>
      <c r="L5313" s="17" t="s">
        <v>733</v>
      </c>
      <c r="M5313" s="17" t="s">
        <v>736</v>
      </c>
      <c r="N5313" s="17" t="s">
        <v>740</v>
      </c>
      <c r="O5313" s="28" t="s">
        <v>748</v>
      </c>
      <c r="P5313">
        <v>1</v>
      </c>
      <c r="Q5313" s="28" t="s">
        <v>1044</v>
      </c>
    </row>
    <row r="5314" spans="1:17" x14ac:dyDescent="0.25">
      <c r="A5314" s="8">
        <v>995211</v>
      </c>
      <c r="B5314" s="22" t="str">
        <f>IFERROR(VLOOKUP(A5314,VLOOKUPS!$A$2:B$12589,2,FALSE),"")</f>
        <v>Verry Veggie 10oz-standard</v>
      </c>
      <c r="D5314">
        <v>8</v>
      </c>
      <c r="F5314">
        <v>2.75</v>
      </c>
      <c r="G5314" s="13">
        <v>44805</v>
      </c>
      <c r="H5314" s="13"/>
      <c r="I5314" s="22" t="str">
        <f>VLOOKUP(J5314, Dropdowns!N:O, 2, FALSE)</f>
        <v>New</v>
      </c>
      <c r="J5314" t="s">
        <v>776</v>
      </c>
      <c r="L5314" s="17" t="s">
        <v>734</v>
      </c>
      <c r="M5314" s="17" t="s">
        <v>10</v>
      </c>
      <c r="N5314" s="17">
        <v>2</v>
      </c>
      <c r="O5314" s="28" t="s">
        <v>748</v>
      </c>
      <c r="P5314">
        <v>1</v>
      </c>
      <c r="Q5314" s="28" t="s">
        <v>1044</v>
      </c>
    </row>
    <row r="5315" spans="1:17" x14ac:dyDescent="0.25">
      <c r="A5315" s="8">
        <v>995211</v>
      </c>
      <c r="B5315" s="22" t="str">
        <f>IFERROR(VLOOKUP(A5315,VLOOKUPS!$A$2:B$12589,2,FALSE),"")</f>
        <v>Verry Veggie 10oz-standard</v>
      </c>
      <c r="D5315">
        <v>8</v>
      </c>
      <c r="F5315">
        <v>2.99</v>
      </c>
      <c r="G5315" s="13">
        <v>44805</v>
      </c>
      <c r="H5315" s="13"/>
      <c r="I5315" s="22" t="str">
        <f>VLOOKUP(J5315, Dropdowns!N:O, 2, FALSE)</f>
        <v>New</v>
      </c>
      <c r="J5315" t="s">
        <v>776</v>
      </c>
      <c r="L5315" s="17" t="s">
        <v>734</v>
      </c>
      <c r="M5315" s="17" t="s">
        <v>9</v>
      </c>
      <c r="N5315" s="17" t="s">
        <v>736</v>
      </c>
      <c r="O5315" s="28" t="s">
        <v>748</v>
      </c>
      <c r="P5315">
        <v>1</v>
      </c>
      <c r="Q5315" s="28" t="s">
        <v>1044</v>
      </c>
    </row>
    <row r="5316" spans="1:17" x14ac:dyDescent="0.25">
      <c r="A5316" s="8">
        <v>985780</v>
      </c>
      <c r="B5316" s="22" t="str">
        <f>IFERROR(VLOOKUP(A5316,VLOOKUPS!$A$2:B$12589,2,FALSE),"")</f>
        <v>Organic Asparagus 12oz-standard</v>
      </c>
      <c r="D5316">
        <v>14</v>
      </c>
      <c r="F5316">
        <v>3.99</v>
      </c>
      <c r="G5316" s="13">
        <v>44806</v>
      </c>
      <c r="H5316" s="13"/>
      <c r="I5316" s="22" t="str">
        <f>VLOOKUP(J5316, Dropdowns!N:O, 2, FALSE)</f>
        <v>NA</v>
      </c>
      <c r="J5316" t="s">
        <v>754</v>
      </c>
      <c r="L5316" s="17" t="s">
        <v>733</v>
      </c>
      <c r="M5316" s="17" t="s">
        <v>735</v>
      </c>
      <c r="N5316" s="17" t="s">
        <v>740</v>
      </c>
    </row>
    <row r="5317" spans="1:17" x14ac:dyDescent="0.25">
      <c r="A5317" s="8">
        <v>985780</v>
      </c>
      <c r="B5317" s="22" t="str">
        <f>IFERROR(VLOOKUP(A5317,VLOOKUPS!$A$2:B$12589,2,FALSE),"")</f>
        <v>Organic Asparagus 12oz-standard</v>
      </c>
      <c r="D5317">
        <v>14</v>
      </c>
      <c r="F5317">
        <v>3.99</v>
      </c>
      <c r="G5317" s="13">
        <v>44806</v>
      </c>
      <c r="H5317" s="13"/>
      <c r="I5317" s="22" t="str">
        <f>VLOOKUP(J5317, Dropdowns!N:O, 2, FALSE)</f>
        <v>NA</v>
      </c>
      <c r="J5317" t="s">
        <v>754</v>
      </c>
      <c r="L5317" s="17" t="s">
        <v>734</v>
      </c>
      <c r="M5317" s="17" t="s">
        <v>10</v>
      </c>
      <c r="N5317" s="17">
        <v>2</v>
      </c>
    </row>
    <row r="5318" spans="1:17" x14ac:dyDescent="0.25">
      <c r="A5318" s="8">
        <v>985780</v>
      </c>
      <c r="B5318" s="22" t="str">
        <f>IFERROR(VLOOKUP(A5318,VLOOKUPS!$A$2:B$12589,2,FALSE),"")</f>
        <v>Organic Asparagus 12oz-standard</v>
      </c>
      <c r="D5318">
        <v>14</v>
      </c>
      <c r="F5318">
        <v>4.29</v>
      </c>
      <c r="G5318" s="13">
        <v>44806</v>
      </c>
      <c r="H5318" s="13"/>
      <c r="I5318" s="22" t="str">
        <f>VLOOKUP(J5318, Dropdowns!N:O, 2, FALSE)</f>
        <v>NA</v>
      </c>
      <c r="J5318" t="s">
        <v>754</v>
      </c>
      <c r="L5318" s="17" t="s">
        <v>734</v>
      </c>
      <c r="M5318" s="17" t="s">
        <v>9</v>
      </c>
      <c r="N5318" s="17" t="s">
        <v>736</v>
      </c>
    </row>
    <row r="5319" spans="1:17" x14ac:dyDescent="0.25">
      <c r="A5319" s="8">
        <v>995171</v>
      </c>
      <c r="B5319" s="22" t="str">
        <f>IFERROR(VLOOKUP(A5319,VLOOKUPS!$A$2:B$12589,2,FALSE),"")</f>
        <v>Kale Greens 2lb-standard</v>
      </c>
      <c r="D5319">
        <v>6</v>
      </c>
      <c r="F5319">
        <v>4.5599999999999996</v>
      </c>
      <c r="G5319" s="13">
        <v>44806</v>
      </c>
      <c r="H5319" s="13"/>
      <c r="I5319" s="22" t="str">
        <f>VLOOKUP(J5319, Dropdowns!N:O, 2, FALSE)</f>
        <v>NA</v>
      </c>
      <c r="J5319" t="s">
        <v>754</v>
      </c>
      <c r="L5319" s="17" t="s">
        <v>733</v>
      </c>
      <c r="M5319" s="17" t="s">
        <v>736</v>
      </c>
      <c r="N5319" s="17" t="s">
        <v>740</v>
      </c>
    </row>
    <row r="5320" spans="1:17" x14ac:dyDescent="0.25">
      <c r="A5320" s="8">
        <v>995171</v>
      </c>
      <c r="B5320" s="22" t="str">
        <f>IFERROR(VLOOKUP(A5320,VLOOKUPS!$A$2:B$12589,2,FALSE),"")</f>
        <v>Kale Greens 2lb-standard</v>
      </c>
      <c r="D5320">
        <v>6</v>
      </c>
      <c r="F5320">
        <v>4.5599999999999996</v>
      </c>
      <c r="G5320" s="13">
        <v>44806</v>
      </c>
      <c r="H5320" s="13"/>
      <c r="I5320" s="22" t="str">
        <f>VLOOKUP(J5320, Dropdowns!N:O, 2, FALSE)</f>
        <v>NA</v>
      </c>
      <c r="J5320" t="s">
        <v>754</v>
      </c>
      <c r="L5320" s="17" t="s">
        <v>734</v>
      </c>
      <c r="M5320" s="17" t="s">
        <v>10</v>
      </c>
      <c r="N5320" s="17">
        <v>2</v>
      </c>
    </row>
    <row r="5321" spans="1:17" x14ac:dyDescent="0.25">
      <c r="A5321" s="8">
        <v>995171</v>
      </c>
      <c r="B5321" s="22" t="str">
        <f>IFERROR(VLOOKUP(A5321,VLOOKUPS!$A$2:B$12589,2,FALSE),"")</f>
        <v>Kale Greens 2lb-standard</v>
      </c>
      <c r="D5321">
        <v>6</v>
      </c>
      <c r="F5321">
        <v>5.19</v>
      </c>
      <c r="G5321" s="13">
        <v>44806</v>
      </c>
      <c r="H5321" s="13"/>
      <c r="I5321" s="22" t="str">
        <f>VLOOKUP(J5321, Dropdowns!N:O, 2, FALSE)</f>
        <v>NA</v>
      </c>
      <c r="J5321" t="s">
        <v>754</v>
      </c>
      <c r="L5321" s="17" t="s">
        <v>734</v>
      </c>
      <c r="M5321" s="17" t="s">
        <v>9</v>
      </c>
      <c r="N5321" s="17" t="s">
        <v>736</v>
      </c>
    </row>
    <row r="5322" spans="1:17" x14ac:dyDescent="0.25">
      <c r="A5322" s="8">
        <v>995199</v>
      </c>
      <c r="B5322" s="22" t="str">
        <f>IFERROR(VLOOKUP(A5322,VLOOKUPS!$A$2:B$12589,2,FALSE),"")</f>
        <v>Pineapple Rings 10oz-standard</v>
      </c>
      <c r="D5322">
        <v>6</v>
      </c>
      <c r="F5322">
        <v>3.75</v>
      </c>
      <c r="G5322" s="13">
        <v>44806</v>
      </c>
      <c r="H5322" s="13"/>
      <c r="I5322" s="22" t="str">
        <f>VLOOKUP(J5322, Dropdowns!N:O, 2, FALSE)</f>
        <v>NA</v>
      </c>
      <c r="J5322" t="s">
        <v>754</v>
      </c>
      <c r="L5322" s="17" t="s">
        <v>732</v>
      </c>
      <c r="M5322" s="17" t="s">
        <v>736</v>
      </c>
      <c r="N5322" s="17" t="s">
        <v>736</v>
      </c>
    </row>
    <row r="5323" spans="1:17" x14ac:dyDescent="0.25">
      <c r="A5323" s="8">
        <v>984620</v>
      </c>
      <c r="B5323" s="22" t="str">
        <f>IFERROR(VLOOKUP(A5323,VLOOKUPS!$A$2:B$12589,2,FALSE),"")</f>
        <v>Raspberries 6oz-standard</v>
      </c>
      <c r="G5323" s="13">
        <v>44807</v>
      </c>
      <c r="H5323" s="13">
        <v>44808</v>
      </c>
      <c r="I5323" s="22" t="str">
        <f>VLOOKUP(J5323, Dropdowns!N:O, 2, FALSE)</f>
        <v>Lower Price</v>
      </c>
      <c r="J5323" t="s">
        <v>753</v>
      </c>
      <c r="L5323" s="17" t="s">
        <v>732</v>
      </c>
      <c r="M5323" s="17" t="s">
        <v>736</v>
      </c>
      <c r="N5323" s="17" t="s">
        <v>736</v>
      </c>
    </row>
    <row r="5324" spans="1:17" x14ac:dyDescent="0.25">
      <c r="A5324" s="8">
        <v>984620</v>
      </c>
      <c r="B5324" s="22" t="str">
        <f>IFERROR(VLOOKUP(A5324,VLOOKUPS!$A$2:B$12589,2,FALSE),"")</f>
        <v>Raspberries 6oz-standard</v>
      </c>
      <c r="G5324" s="13">
        <v>44809</v>
      </c>
      <c r="H5324" s="13">
        <v>44809</v>
      </c>
      <c r="I5324" s="22" t="str">
        <f>VLOOKUP(J5324, Dropdowns!N:O, 2, FALSE)</f>
        <v>Lower Price</v>
      </c>
      <c r="J5324" t="s">
        <v>762</v>
      </c>
      <c r="L5324" s="17" t="s">
        <v>732</v>
      </c>
      <c r="M5324" s="17" t="s">
        <v>736</v>
      </c>
      <c r="N5324" s="17" t="s">
        <v>736</v>
      </c>
    </row>
    <row r="5325" spans="1:17" x14ac:dyDescent="0.25">
      <c r="A5325" s="8">
        <v>984620</v>
      </c>
      <c r="B5325" s="22" t="str">
        <f>IFERROR(VLOOKUP(A5325,VLOOKUPS!$A$2:B$12589,2,FALSE),"")</f>
        <v>Raspberries 6oz-standard</v>
      </c>
      <c r="E5325">
        <v>2.29</v>
      </c>
      <c r="F5325">
        <v>3.79</v>
      </c>
      <c r="G5325" s="13">
        <v>44810</v>
      </c>
      <c r="H5325" s="13"/>
      <c r="I5325" s="22" t="str">
        <f>VLOOKUP(J5325, Dropdowns!N:O, 2, FALSE)</f>
        <v>Standard</v>
      </c>
      <c r="J5325" t="s">
        <v>760</v>
      </c>
      <c r="L5325" s="17" t="s">
        <v>734</v>
      </c>
      <c r="M5325" s="17" t="s">
        <v>9</v>
      </c>
      <c r="N5325" s="17" t="s">
        <v>736</v>
      </c>
    </row>
    <row r="5326" spans="1:17" x14ac:dyDescent="0.25">
      <c r="A5326" s="8">
        <v>984620</v>
      </c>
      <c r="B5326" s="22" t="str">
        <f>IFERROR(VLOOKUP(A5326,VLOOKUPS!$A$2:B$12589,2,FALSE),"")</f>
        <v>Raspberries 6oz-standard</v>
      </c>
      <c r="E5326">
        <v>1.99</v>
      </c>
      <c r="F5326">
        <v>3.48</v>
      </c>
      <c r="G5326" s="13">
        <v>44810</v>
      </c>
      <c r="H5326" s="13"/>
      <c r="I5326" s="22" t="str">
        <f>VLOOKUP(J5326, Dropdowns!N:O, 2, FALSE)</f>
        <v>Standard</v>
      </c>
      <c r="J5326" t="s">
        <v>760</v>
      </c>
      <c r="L5326" s="17" t="s">
        <v>733</v>
      </c>
      <c r="M5326" s="17" t="s">
        <v>736</v>
      </c>
      <c r="N5326" s="17" t="s">
        <v>740</v>
      </c>
    </row>
    <row r="5327" spans="1:17" x14ac:dyDescent="0.25">
      <c r="A5327" s="8">
        <v>984620</v>
      </c>
      <c r="B5327" s="22" t="str">
        <f>IFERROR(VLOOKUP(A5327,VLOOKUPS!$A$2:B$12589,2,FALSE),"")</f>
        <v>Raspberries 6oz-standard</v>
      </c>
      <c r="E5327">
        <v>1.99</v>
      </c>
      <c r="F5327">
        <v>3.48</v>
      </c>
      <c r="G5327" s="13">
        <v>44810</v>
      </c>
      <c r="H5327" s="13"/>
      <c r="I5327" s="22" t="str">
        <f>VLOOKUP(J5327, Dropdowns!N:O, 2, FALSE)</f>
        <v>Standard</v>
      </c>
      <c r="J5327" t="s">
        <v>760</v>
      </c>
      <c r="L5327" s="17" t="s">
        <v>734</v>
      </c>
      <c r="M5327" s="17" t="s">
        <v>10</v>
      </c>
      <c r="N5327" s="17">
        <v>2</v>
      </c>
    </row>
    <row r="5328" spans="1:17" x14ac:dyDescent="0.25">
      <c r="A5328" s="8">
        <v>984621</v>
      </c>
      <c r="B5328" s="22" t="str">
        <f>IFERROR(VLOOKUP(A5328,VLOOKUPS!$A$2:B$12589,2,FALSE),"")</f>
        <v>Raspberries 12oz-standard</v>
      </c>
      <c r="D5328">
        <v>6</v>
      </c>
      <c r="F5328">
        <v>5.94</v>
      </c>
      <c r="G5328" s="13">
        <v>44811</v>
      </c>
      <c r="H5328" s="13"/>
      <c r="I5328" s="22" t="str">
        <f>VLOOKUP(J5328, Dropdowns!N:O, 2, FALSE)</f>
        <v>New</v>
      </c>
      <c r="J5328" t="s">
        <v>776</v>
      </c>
      <c r="L5328" s="17" t="s">
        <v>733</v>
      </c>
      <c r="M5328" s="17" t="s">
        <v>9</v>
      </c>
      <c r="N5328" s="17" t="s">
        <v>740</v>
      </c>
      <c r="O5328" s="28" t="s">
        <v>748</v>
      </c>
      <c r="P5328">
        <v>1</v>
      </c>
      <c r="Q5328" s="28"/>
    </row>
    <row r="5329" spans="1:17" x14ac:dyDescent="0.25">
      <c r="A5329" s="8">
        <v>984621</v>
      </c>
      <c r="B5329" s="22" t="str">
        <f>IFERROR(VLOOKUP(A5329,VLOOKUPS!$A$2:B$12589,2,FALSE),"")</f>
        <v>Raspberries 12oz-standard</v>
      </c>
      <c r="D5329">
        <v>6</v>
      </c>
      <c r="F5329">
        <v>6.49</v>
      </c>
      <c r="G5329" s="13">
        <v>44811</v>
      </c>
      <c r="H5329" s="13"/>
      <c r="I5329" s="22" t="str">
        <f>VLOOKUP(J5329, Dropdowns!N:O, 2, FALSE)</f>
        <v>New</v>
      </c>
      <c r="J5329" t="s">
        <v>776</v>
      </c>
      <c r="L5329" s="17" t="s">
        <v>734</v>
      </c>
      <c r="M5329" s="17" t="s">
        <v>9</v>
      </c>
      <c r="N5329" s="17" t="s">
        <v>736</v>
      </c>
      <c r="O5329" s="28" t="s">
        <v>748</v>
      </c>
      <c r="P5329">
        <v>1</v>
      </c>
      <c r="Q5329" s="28"/>
    </row>
    <row r="5330" spans="1:17" x14ac:dyDescent="0.25">
      <c r="A5330" s="8">
        <v>984621</v>
      </c>
      <c r="B5330" s="22" t="str">
        <f>IFERROR(VLOOKUP(A5330,VLOOKUPS!$A$2:B$12589,2,FALSE),"")</f>
        <v>Raspberries 12oz-standard</v>
      </c>
      <c r="D5330">
        <v>6</v>
      </c>
      <c r="F5330">
        <v>5.94</v>
      </c>
      <c r="G5330" s="13">
        <v>44812</v>
      </c>
      <c r="H5330" s="13"/>
      <c r="I5330" s="22" t="str">
        <f>VLOOKUP(J5330, Dropdowns!N:O, 2, FALSE)</f>
        <v>New</v>
      </c>
      <c r="J5330" t="s">
        <v>776</v>
      </c>
      <c r="L5330" s="17" t="s">
        <v>732</v>
      </c>
      <c r="M5330" s="17" t="s">
        <v>738</v>
      </c>
      <c r="N5330" s="17">
        <v>2</v>
      </c>
      <c r="O5330" s="28" t="s">
        <v>748</v>
      </c>
      <c r="P5330">
        <v>1</v>
      </c>
      <c r="Q5330" s="28"/>
    </row>
    <row r="5331" spans="1:17" x14ac:dyDescent="0.25">
      <c r="A5331" s="8">
        <v>984702</v>
      </c>
      <c r="B5331" s="22" t="str">
        <f>IFERROR(VLOOKUP(A5331,VLOOKUPS!$A$2:B$12589,2,FALSE),"")</f>
        <v>Blackberries 12oz-standard</v>
      </c>
      <c r="D5331">
        <v>8</v>
      </c>
      <c r="F5331">
        <v>4.9800000000000004</v>
      </c>
      <c r="G5331" s="13">
        <v>44811</v>
      </c>
      <c r="H5331" s="13"/>
      <c r="I5331" s="22" t="str">
        <f>VLOOKUP(J5331, Dropdowns!N:O, 2, FALSE)</f>
        <v>New</v>
      </c>
      <c r="J5331" t="s">
        <v>776</v>
      </c>
      <c r="L5331" s="17" t="s">
        <v>733</v>
      </c>
      <c r="M5331" s="17" t="s">
        <v>9</v>
      </c>
      <c r="N5331" s="17" t="s">
        <v>740</v>
      </c>
      <c r="O5331" s="28" t="s">
        <v>748</v>
      </c>
      <c r="P5331">
        <v>1</v>
      </c>
      <c r="Q5331" s="28"/>
    </row>
    <row r="5332" spans="1:17" x14ac:dyDescent="0.25">
      <c r="A5332" s="8">
        <v>984702</v>
      </c>
      <c r="B5332" s="22" t="str">
        <f>IFERROR(VLOOKUP(A5332,VLOOKUPS!$A$2:B$12589,2,FALSE),"")</f>
        <v>Blackberries 12oz-standard</v>
      </c>
      <c r="D5332">
        <v>8</v>
      </c>
      <c r="F5332">
        <v>5.48</v>
      </c>
      <c r="G5332" s="13">
        <v>44811</v>
      </c>
      <c r="H5332" s="13"/>
      <c r="I5332" s="22" t="str">
        <f>VLOOKUP(J5332, Dropdowns!N:O, 2, FALSE)</f>
        <v>New</v>
      </c>
      <c r="J5332" t="s">
        <v>776</v>
      </c>
      <c r="L5332" s="17" t="s">
        <v>734</v>
      </c>
      <c r="M5332" s="17" t="s">
        <v>9</v>
      </c>
      <c r="N5332" s="17" t="s">
        <v>736</v>
      </c>
      <c r="O5332" s="28" t="s">
        <v>748</v>
      </c>
      <c r="P5332">
        <v>1</v>
      </c>
      <c r="Q5332" s="28"/>
    </row>
    <row r="5333" spans="1:17" x14ac:dyDescent="0.25">
      <c r="A5333" s="8">
        <v>984702</v>
      </c>
      <c r="B5333" s="22" t="str">
        <f>IFERROR(VLOOKUP(A5333,VLOOKUPS!$A$2:B$12589,2,FALSE),"")</f>
        <v>Blackberries 12oz-standard</v>
      </c>
      <c r="D5333">
        <v>8</v>
      </c>
      <c r="F5333">
        <v>4.9800000000000004</v>
      </c>
      <c r="G5333" s="13">
        <v>44812</v>
      </c>
      <c r="H5333" s="13"/>
      <c r="I5333" s="22" t="str">
        <f>VLOOKUP(J5333, Dropdowns!N:O, 2, FALSE)</f>
        <v>New</v>
      </c>
      <c r="J5333" t="s">
        <v>776</v>
      </c>
      <c r="L5333" s="17" t="s">
        <v>732</v>
      </c>
      <c r="M5333" s="17" t="s">
        <v>738</v>
      </c>
      <c r="N5333" s="17">
        <v>2</v>
      </c>
      <c r="O5333" s="28" t="s">
        <v>748</v>
      </c>
      <c r="P5333">
        <v>1</v>
      </c>
    </row>
    <row r="5334" spans="1:17" x14ac:dyDescent="0.25">
      <c r="A5334" s="8">
        <v>995193</v>
      </c>
      <c r="B5334" s="22" t="str">
        <f>IFERROR(VLOOKUP(A5334,VLOOKUPS!$A$2:B$12589,2,FALSE),"")</f>
        <v>Organic Broccoli Florets 12oz-standard</v>
      </c>
      <c r="D5334">
        <v>6</v>
      </c>
      <c r="F5334">
        <v>4.49</v>
      </c>
      <c r="G5334" s="13">
        <v>44809</v>
      </c>
      <c r="H5334" s="13"/>
      <c r="I5334" s="22" t="str">
        <f>VLOOKUP(J5334, Dropdowns!N:O, 2, FALSE)</f>
        <v>NA</v>
      </c>
      <c r="J5334" t="s">
        <v>754</v>
      </c>
      <c r="L5334" s="17" t="s">
        <v>734</v>
      </c>
      <c r="M5334" s="17" t="s">
        <v>9</v>
      </c>
      <c r="N5334" s="17" t="s">
        <v>736</v>
      </c>
    </row>
    <row r="5335" spans="1:17" x14ac:dyDescent="0.25">
      <c r="A5335" s="8">
        <v>995193</v>
      </c>
      <c r="B5335" s="22" t="str">
        <f>IFERROR(VLOOKUP(A5335,VLOOKUPS!$A$2:B$12589,2,FALSE),"")</f>
        <v>Organic Broccoli Florets 12oz-standard</v>
      </c>
      <c r="D5335">
        <v>6</v>
      </c>
      <c r="F5335">
        <v>4.18</v>
      </c>
      <c r="G5335" s="13">
        <v>44809</v>
      </c>
      <c r="H5335" s="13"/>
      <c r="I5335" s="22" t="str">
        <f>VLOOKUP(J5335, Dropdowns!N:O, 2, FALSE)</f>
        <v>NA</v>
      </c>
      <c r="J5335" t="s">
        <v>754</v>
      </c>
      <c r="L5335" s="17" t="s">
        <v>733</v>
      </c>
      <c r="M5335" s="17" t="s">
        <v>736</v>
      </c>
      <c r="N5335" s="17" t="s">
        <v>740</v>
      </c>
    </row>
    <row r="5336" spans="1:17" x14ac:dyDescent="0.25">
      <c r="A5336" s="8">
        <v>995193</v>
      </c>
      <c r="B5336" s="22" t="str">
        <f>IFERROR(VLOOKUP(A5336,VLOOKUPS!$A$2:B$12589,2,FALSE),"")</f>
        <v>Organic Broccoli Florets 12oz-standard</v>
      </c>
      <c r="D5336">
        <v>6</v>
      </c>
      <c r="F5336">
        <v>4.18</v>
      </c>
      <c r="G5336" s="13">
        <v>44809</v>
      </c>
      <c r="H5336" s="13"/>
      <c r="I5336" s="22" t="str">
        <f>VLOOKUP(J5336, Dropdowns!N:O, 2, FALSE)</f>
        <v>NA</v>
      </c>
      <c r="J5336" t="s">
        <v>754</v>
      </c>
      <c r="L5336" s="17" t="s">
        <v>734</v>
      </c>
      <c r="M5336" s="17" t="s">
        <v>10</v>
      </c>
      <c r="N5336" s="17">
        <v>2</v>
      </c>
    </row>
    <row r="5337" spans="1:17" x14ac:dyDescent="0.25">
      <c r="A5337" s="8">
        <v>995197</v>
      </c>
      <c r="B5337" s="22" t="str">
        <f>IFERROR(VLOOKUP(A5337,VLOOKUPS!$A$2:B$12589,2,FALSE),"")</f>
        <v/>
      </c>
      <c r="D5337">
        <v>9</v>
      </c>
      <c r="F5337">
        <v>3.49</v>
      </c>
      <c r="G5337" s="13">
        <v>44812</v>
      </c>
      <c r="H5337" s="13"/>
      <c r="I5337" s="22" t="str">
        <f>VLOOKUP(J5337, Dropdowns!N:O, 2, FALSE)</f>
        <v>New</v>
      </c>
      <c r="J5337" t="s">
        <v>776</v>
      </c>
      <c r="L5337" s="17" t="s">
        <v>733</v>
      </c>
      <c r="M5337" s="17" t="s">
        <v>9</v>
      </c>
      <c r="N5337" s="17" t="s">
        <v>740</v>
      </c>
      <c r="O5337" s="28" t="s">
        <v>748</v>
      </c>
      <c r="P5337">
        <v>1</v>
      </c>
      <c r="Q5337" s="28" t="s">
        <v>1044</v>
      </c>
    </row>
    <row r="5338" spans="1:17" x14ac:dyDescent="0.25">
      <c r="A5338" s="8">
        <v>995197</v>
      </c>
      <c r="B5338" s="22" t="str">
        <f>IFERROR(VLOOKUP(A5338,VLOOKUPS!$A$2:B$12589,2,FALSE),"")</f>
        <v/>
      </c>
      <c r="D5338">
        <v>9</v>
      </c>
      <c r="F5338">
        <v>3.79</v>
      </c>
      <c r="G5338" s="13">
        <v>44812</v>
      </c>
      <c r="H5338" s="13"/>
      <c r="I5338" s="22" t="str">
        <f>VLOOKUP(J5338, Dropdowns!N:O, 2, FALSE)</f>
        <v>New</v>
      </c>
      <c r="J5338" t="s">
        <v>776</v>
      </c>
      <c r="L5338" s="17" t="s">
        <v>734</v>
      </c>
      <c r="M5338" s="17" t="s">
        <v>9</v>
      </c>
      <c r="N5338" s="17" t="s">
        <v>736</v>
      </c>
      <c r="O5338" s="28" t="s">
        <v>748</v>
      </c>
      <c r="P5338">
        <v>1</v>
      </c>
      <c r="Q5338" s="28" t="s">
        <v>1044</v>
      </c>
    </row>
    <row r="5339" spans="1:17" x14ac:dyDescent="0.25">
      <c r="A5339" s="8">
        <v>995198</v>
      </c>
      <c r="B5339" s="22" t="str">
        <f>IFERROR(VLOOKUP(A5339,VLOOKUPS!$A$2:B$12589,2,FALSE),"")</f>
        <v/>
      </c>
      <c r="D5339">
        <v>9</v>
      </c>
      <c r="F5339">
        <v>3.49</v>
      </c>
      <c r="G5339" s="13">
        <v>44812</v>
      </c>
      <c r="H5339" s="13"/>
      <c r="I5339" s="22" t="str">
        <f>VLOOKUP(J5339, Dropdowns!N:O, 2, FALSE)</f>
        <v>New</v>
      </c>
      <c r="J5339" t="s">
        <v>776</v>
      </c>
      <c r="L5339" s="17" t="s">
        <v>733</v>
      </c>
      <c r="M5339" s="17" t="s">
        <v>736</v>
      </c>
      <c r="N5339" s="17" t="s">
        <v>740</v>
      </c>
      <c r="O5339" s="28" t="s">
        <v>748</v>
      </c>
      <c r="P5339">
        <v>1</v>
      </c>
      <c r="Q5339" s="28" t="s">
        <v>1044</v>
      </c>
    </row>
    <row r="5340" spans="1:17" x14ac:dyDescent="0.25">
      <c r="A5340" s="8">
        <v>995198</v>
      </c>
      <c r="B5340" s="22" t="str">
        <f>IFERROR(VLOOKUP(A5340,VLOOKUPS!$A$2:B$12589,2,FALSE),"")</f>
        <v/>
      </c>
      <c r="D5340">
        <v>9</v>
      </c>
      <c r="F5340">
        <v>3.79</v>
      </c>
      <c r="G5340" s="13">
        <v>44812</v>
      </c>
      <c r="H5340" s="13"/>
      <c r="I5340" s="22" t="str">
        <f>VLOOKUP(J5340, Dropdowns!N:O, 2, FALSE)</f>
        <v>New</v>
      </c>
      <c r="J5340" t="s">
        <v>776</v>
      </c>
      <c r="L5340" s="17" t="s">
        <v>734</v>
      </c>
      <c r="M5340" s="17" t="s">
        <v>9</v>
      </c>
      <c r="N5340" s="17" t="s">
        <v>736</v>
      </c>
      <c r="O5340" s="28" t="s">
        <v>748</v>
      </c>
      <c r="P5340">
        <v>1</v>
      </c>
      <c r="Q5340" s="28" t="s">
        <v>1044</v>
      </c>
    </row>
    <row r="5341" spans="1:17" x14ac:dyDescent="0.25">
      <c r="A5341" s="8">
        <v>995198</v>
      </c>
      <c r="B5341" s="22" t="str">
        <f>IFERROR(VLOOKUP(A5341,VLOOKUPS!$A$2:B$12589,2,FALSE),"")</f>
        <v/>
      </c>
      <c r="D5341">
        <v>9</v>
      </c>
      <c r="F5341">
        <v>3.49</v>
      </c>
      <c r="G5341" s="13">
        <v>44812</v>
      </c>
      <c r="H5341" s="13"/>
      <c r="I5341" s="22" t="str">
        <f>VLOOKUP(J5341, Dropdowns!N:O, 2, FALSE)</f>
        <v>New</v>
      </c>
      <c r="J5341" t="s">
        <v>776</v>
      </c>
      <c r="L5341" s="17" t="s">
        <v>734</v>
      </c>
      <c r="M5341" s="17" t="s">
        <v>10</v>
      </c>
      <c r="N5341" s="17">
        <v>2</v>
      </c>
      <c r="O5341" s="28" t="s">
        <v>748</v>
      </c>
      <c r="P5341">
        <v>1</v>
      </c>
      <c r="Q5341" s="28" t="s">
        <v>1044</v>
      </c>
    </row>
    <row r="5342" spans="1:17" x14ac:dyDescent="0.25">
      <c r="A5342" s="8">
        <v>995207</v>
      </c>
      <c r="B5342" s="22" t="str">
        <f>IFERROR(VLOOKUP(A5342,VLOOKUPS!$A$2:B$12589,2,FALSE),"")</f>
        <v/>
      </c>
      <c r="D5342">
        <v>9</v>
      </c>
      <c r="F5342">
        <v>3.49</v>
      </c>
      <c r="G5342" s="13">
        <v>44812</v>
      </c>
      <c r="H5342" s="13"/>
      <c r="I5342" s="22" t="str">
        <f>VLOOKUP(J5342, Dropdowns!N:O, 2, FALSE)</f>
        <v>New</v>
      </c>
      <c r="J5342" t="s">
        <v>776</v>
      </c>
      <c r="L5342" s="17" t="s">
        <v>733</v>
      </c>
      <c r="M5342" s="17" t="s">
        <v>736</v>
      </c>
      <c r="N5342" s="17" t="s">
        <v>740</v>
      </c>
      <c r="O5342" s="28" t="s">
        <v>748</v>
      </c>
      <c r="P5342">
        <v>1</v>
      </c>
      <c r="Q5342" s="28" t="s">
        <v>1044</v>
      </c>
    </row>
    <row r="5343" spans="1:17" x14ac:dyDescent="0.25">
      <c r="A5343" s="8">
        <v>995207</v>
      </c>
      <c r="B5343" s="22" t="str">
        <f>IFERROR(VLOOKUP(A5343,VLOOKUPS!$A$2:B$12589,2,FALSE),"")</f>
        <v/>
      </c>
      <c r="D5343">
        <v>9</v>
      </c>
      <c r="F5343">
        <v>3.49</v>
      </c>
      <c r="G5343" s="13">
        <v>44812</v>
      </c>
      <c r="H5343" s="13"/>
      <c r="I5343" s="22" t="str">
        <f>VLOOKUP(J5343, Dropdowns!N:O, 2, FALSE)</f>
        <v>New</v>
      </c>
      <c r="J5343" t="s">
        <v>776</v>
      </c>
      <c r="L5343" s="17" t="s">
        <v>734</v>
      </c>
      <c r="M5343" s="17" t="s">
        <v>10</v>
      </c>
      <c r="N5343" s="17">
        <v>2</v>
      </c>
      <c r="O5343" s="28" t="s">
        <v>748</v>
      </c>
      <c r="P5343">
        <v>1</v>
      </c>
      <c r="Q5343" s="28" t="s">
        <v>1044</v>
      </c>
    </row>
    <row r="5344" spans="1:17" x14ac:dyDescent="0.25">
      <c r="A5344" s="8">
        <v>995207</v>
      </c>
      <c r="B5344" s="22" t="str">
        <f>IFERROR(VLOOKUP(A5344,VLOOKUPS!$A$2:B$12589,2,FALSE),"")</f>
        <v/>
      </c>
      <c r="D5344">
        <v>9</v>
      </c>
      <c r="F5344">
        <v>3.79</v>
      </c>
      <c r="G5344" s="13">
        <v>44812</v>
      </c>
      <c r="H5344" s="13"/>
      <c r="I5344" s="22" t="str">
        <f>VLOOKUP(J5344, Dropdowns!N:O, 2, FALSE)</f>
        <v>New</v>
      </c>
      <c r="J5344" t="s">
        <v>776</v>
      </c>
      <c r="L5344" s="17" t="s">
        <v>734</v>
      </c>
      <c r="M5344" s="17" t="s">
        <v>9</v>
      </c>
      <c r="N5344" s="17" t="s">
        <v>736</v>
      </c>
      <c r="O5344" s="28" t="s">
        <v>748</v>
      </c>
      <c r="P5344">
        <v>1</v>
      </c>
      <c r="Q5344" s="28" t="s">
        <v>1044</v>
      </c>
    </row>
    <row r="5345" spans="1:15" x14ac:dyDescent="0.25">
      <c r="A5345" s="8">
        <v>995005</v>
      </c>
      <c r="B5345" s="22" t="str">
        <f>IFERROR(VLOOKUP(A5345,VLOOKUPS!$A$2:B$12589,2,FALSE),"")</f>
        <v>Garden Salad 12oz-standard</v>
      </c>
      <c r="E5345">
        <v>1.78</v>
      </c>
      <c r="F5345">
        <v>1.07</v>
      </c>
      <c r="G5345" s="13">
        <v>44817</v>
      </c>
      <c r="H5345" s="13">
        <v>44818</v>
      </c>
      <c r="I5345" s="22" t="str">
        <f>VLOOKUP(J5345, Dropdowns!N:O, 2, FALSE)</f>
        <v>Lower Price</v>
      </c>
      <c r="J5345" t="s">
        <v>759</v>
      </c>
      <c r="L5345" s="17" t="s">
        <v>733</v>
      </c>
      <c r="M5345" s="17" t="s">
        <v>738</v>
      </c>
      <c r="N5345" s="17" t="s">
        <v>740</v>
      </c>
      <c r="O5345" s="28"/>
    </row>
    <row r="5346" spans="1:15" x14ac:dyDescent="0.25">
      <c r="A5346" s="8">
        <v>995005</v>
      </c>
      <c r="B5346" s="22" t="str">
        <f>IFERROR(VLOOKUP(A5346,VLOOKUPS!$A$2:B$12589,2,FALSE),"")</f>
        <v>Garden Salad 12oz-standard</v>
      </c>
      <c r="E5346">
        <v>1.07</v>
      </c>
      <c r="F5346">
        <v>1.78</v>
      </c>
      <c r="G5346" s="13">
        <v>44819</v>
      </c>
      <c r="H5346" s="13"/>
      <c r="I5346" s="22" t="str">
        <f>VLOOKUP(J5346, Dropdowns!N:O, 2, FALSE)</f>
        <v>Standard</v>
      </c>
      <c r="J5346" t="s">
        <v>760</v>
      </c>
      <c r="L5346" s="17" t="s">
        <v>733</v>
      </c>
      <c r="M5346" s="17" t="s">
        <v>738</v>
      </c>
      <c r="N5346" s="17" t="s">
        <v>740</v>
      </c>
    </row>
    <row r="5347" spans="1:15" x14ac:dyDescent="0.25">
      <c r="A5347" s="8">
        <v>995018</v>
      </c>
      <c r="B5347" s="22" t="str">
        <f>IFERROR(VLOOKUP(A5347,VLOOKUPS!$A$2:B$12589,2,FALSE),"")</f>
        <v>RTE Large Chicken Caesar Salad 13.1oz-standard</v>
      </c>
      <c r="E5347">
        <v>5.34</v>
      </c>
      <c r="F5347">
        <v>2.4900000000000002</v>
      </c>
      <c r="G5347" s="13">
        <v>44817</v>
      </c>
      <c r="H5347" s="13">
        <v>44818</v>
      </c>
      <c r="I5347" s="22" t="str">
        <f>VLOOKUP(J5347, Dropdowns!N:O, 2, FALSE)</f>
        <v>Lower Price</v>
      </c>
      <c r="J5347" t="s">
        <v>759</v>
      </c>
      <c r="L5347" s="17" t="s">
        <v>733</v>
      </c>
      <c r="M5347" s="17" t="s">
        <v>11</v>
      </c>
      <c r="N5347" s="17" t="s">
        <v>740</v>
      </c>
    </row>
    <row r="5348" spans="1:15" x14ac:dyDescent="0.25">
      <c r="A5348" s="8">
        <v>995018</v>
      </c>
      <c r="B5348" s="22" t="str">
        <f>IFERROR(VLOOKUP(A5348,VLOOKUPS!$A$2:B$12589,2,FALSE),"")</f>
        <v>RTE Large Chicken Caesar Salad 13.1oz-standard</v>
      </c>
      <c r="E5348">
        <v>2.4900000000000002</v>
      </c>
      <c r="F5348">
        <v>5.34</v>
      </c>
      <c r="G5348" s="13">
        <v>44819</v>
      </c>
      <c r="H5348" s="13"/>
      <c r="I5348" s="22" t="str">
        <f>VLOOKUP(J5348, Dropdowns!N:O, 2, FALSE)</f>
        <v>Standard</v>
      </c>
      <c r="J5348" t="s">
        <v>760</v>
      </c>
      <c r="L5348" s="17" t="s">
        <v>733</v>
      </c>
      <c r="M5348" s="17" t="s">
        <v>11</v>
      </c>
      <c r="N5348" s="17" t="s">
        <v>740</v>
      </c>
    </row>
    <row r="5349" spans="1:15" x14ac:dyDescent="0.25">
      <c r="A5349" s="8">
        <v>995027</v>
      </c>
      <c r="B5349" s="22" t="str">
        <f>IFERROR(VLOOKUP(A5349,VLOOKUPS!$A$2:B$12589,2,FALSE),"")</f>
        <v>XL Baby Spinach 16oz-standard</v>
      </c>
      <c r="E5349">
        <v>4.49</v>
      </c>
      <c r="F5349">
        <v>2.69</v>
      </c>
      <c r="G5349" s="13">
        <v>44817</v>
      </c>
      <c r="H5349" s="13">
        <v>44818</v>
      </c>
      <c r="I5349" s="22" t="str">
        <f>VLOOKUP(J5349, Dropdowns!N:O, 2, FALSE)</f>
        <v>Lower Price</v>
      </c>
      <c r="J5349" t="s">
        <v>759</v>
      </c>
      <c r="L5349" s="17" t="s">
        <v>733</v>
      </c>
      <c r="M5349" s="17" t="s">
        <v>11</v>
      </c>
      <c r="N5349" s="17" t="s">
        <v>740</v>
      </c>
    </row>
    <row r="5350" spans="1:15" x14ac:dyDescent="0.25">
      <c r="A5350" s="8">
        <v>995027</v>
      </c>
      <c r="B5350" s="22" t="str">
        <f>IFERROR(VLOOKUP(A5350,VLOOKUPS!$A$2:B$12589,2,FALSE),"")</f>
        <v>XL Baby Spinach 16oz-standard</v>
      </c>
      <c r="E5350">
        <v>2.69</v>
      </c>
      <c r="F5350">
        <v>4.49</v>
      </c>
      <c r="G5350" s="13">
        <v>44819</v>
      </c>
      <c r="H5350" s="13"/>
      <c r="I5350" s="22" t="str">
        <f>VLOOKUP(J5350, Dropdowns!N:O, 2, FALSE)</f>
        <v>Standard</v>
      </c>
      <c r="J5350" t="s">
        <v>760</v>
      </c>
      <c r="L5350" s="17" t="s">
        <v>733</v>
      </c>
      <c r="M5350" s="17" t="s">
        <v>11</v>
      </c>
      <c r="N5350" s="17" t="s">
        <v>740</v>
      </c>
    </row>
    <row r="5351" spans="1:15" x14ac:dyDescent="0.25">
      <c r="A5351" s="8">
        <v>995111</v>
      </c>
      <c r="B5351" s="22" t="str">
        <f>IFERROR(VLOOKUP(A5351,VLOOKUPS!$A$2:B$12589,2,FALSE),"")</f>
        <v>Sweet Kale Salad Kit 12oz-standard</v>
      </c>
      <c r="E5351">
        <v>3.49</v>
      </c>
      <c r="F5351">
        <v>2.09</v>
      </c>
      <c r="G5351" s="13">
        <v>44817</v>
      </c>
      <c r="H5351" s="13">
        <v>44818</v>
      </c>
      <c r="I5351" s="22" t="str">
        <f>VLOOKUP(J5351, Dropdowns!N:O, 2, FALSE)</f>
        <v>Lower Price</v>
      </c>
      <c r="J5351" t="s">
        <v>759</v>
      </c>
      <c r="L5351" s="17" t="s">
        <v>733</v>
      </c>
      <c r="M5351" s="17" t="s">
        <v>11</v>
      </c>
      <c r="N5351" s="17" t="s">
        <v>740</v>
      </c>
    </row>
    <row r="5352" spans="1:15" x14ac:dyDescent="0.25">
      <c r="A5352" s="8">
        <v>995111</v>
      </c>
      <c r="B5352" s="22" t="str">
        <f>IFERROR(VLOOKUP(A5352,VLOOKUPS!$A$2:B$12589,2,FALSE),"")</f>
        <v>Sweet Kale Salad Kit 12oz-standard</v>
      </c>
      <c r="E5352">
        <v>2.09</v>
      </c>
      <c r="F5352">
        <v>3.49</v>
      </c>
      <c r="G5352" s="13">
        <v>44819</v>
      </c>
      <c r="H5352" s="13"/>
      <c r="I5352" s="22" t="str">
        <f>VLOOKUP(J5352, Dropdowns!N:O, 2, FALSE)</f>
        <v>Standard</v>
      </c>
      <c r="J5352" t="s">
        <v>760</v>
      </c>
      <c r="L5352" s="17" t="s">
        <v>733</v>
      </c>
      <c r="M5352" s="17" t="s">
        <v>11</v>
      </c>
      <c r="N5352" s="17" t="s">
        <v>740</v>
      </c>
    </row>
    <row r="5353" spans="1:15" x14ac:dyDescent="0.25">
      <c r="A5353" s="8">
        <v>995162</v>
      </c>
      <c r="B5353" s="22" t="str">
        <f>IFERROR(VLOOKUP(A5353,VLOOKUPS!$A$2:B$12589,2,FALSE),"")</f>
        <v>Buffalo Ranch Salad Kit 12oz-standard</v>
      </c>
      <c r="D5353">
        <v>9</v>
      </c>
      <c r="F5353" s="31">
        <v>3.49</v>
      </c>
      <c r="G5353" s="13">
        <v>44817</v>
      </c>
      <c r="H5353" s="13"/>
      <c r="I5353" s="22" t="str">
        <f>VLOOKUP(J5353, Dropdowns!N:O, 2, FALSE)</f>
        <v>NA</v>
      </c>
      <c r="J5353" t="s">
        <v>754</v>
      </c>
      <c r="L5353" s="17" t="s">
        <v>733</v>
      </c>
      <c r="M5353" s="17" t="s">
        <v>736</v>
      </c>
      <c r="N5353" s="17" t="s">
        <v>740</v>
      </c>
    </row>
    <row r="5354" spans="1:15" x14ac:dyDescent="0.25">
      <c r="A5354" s="8">
        <v>995162</v>
      </c>
      <c r="B5354" s="22" t="str">
        <f>IFERROR(VLOOKUP(A5354,VLOOKUPS!$A$2:B$12589,2,FALSE),"")</f>
        <v>Buffalo Ranch Salad Kit 12oz-standard</v>
      </c>
      <c r="D5354">
        <v>9</v>
      </c>
      <c r="F5354" s="31">
        <v>3.49</v>
      </c>
      <c r="G5354" s="13">
        <v>44817</v>
      </c>
      <c r="H5354" s="13"/>
      <c r="I5354" s="22" t="str">
        <f>VLOOKUP(J5354, Dropdowns!N:O, 2, FALSE)</f>
        <v>NA</v>
      </c>
      <c r="J5354" t="s">
        <v>754</v>
      </c>
      <c r="L5354" s="17" t="s">
        <v>734</v>
      </c>
      <c r="M5354" s="17" t="s">
        <v>10</v>
      </c>
      <c r="N5354" s="17">
        <v>2</v>
      </c>
    </row>
    <row r="5355" spans="1:15" x14ac:dyDescent="0.25">
      <c r="A5355" s="8">
        <v>995162</v>
      </c>
      <c r="B5355" s="22" t="str">
        <f>IFERROR(VLOOKUP(A5355,VLOOKUPS!$A$2:B$12589,2,FALSE),"")</f>
        <v>Buffalo Ranch Salad Kit 12oz-standard</v>
      </c>
      <c r="D5355">
        <v>9</v>
      </c>
      <c r="F5355" s="31">
        <v>3.79</v>
      </c>
      <c r="G5355" s="13">
        <v>44817</v>
      </c>
      <c r="H5355" s="13"/>
      <c r="I5355" s="22" t="str">
        <f>VLOOKUP(J5355, Dropdowns!N:O, 2, FALSE)</f>
        <v>NA</v>
      </c>
      <c r="J5355" t="s">
        <v>754</v>
      </c>
      <c r="L5355" s="17" t="s">
        <v>734</v>
      </c>
      <c r="M5355" s="17" t="s">
        <v>9</v>
      </c>
      <c r="N5355" s="17" t="s">
        <v>736</v>
      </c>
    </row>
    <row r="5356" spans="1:15" x14ac:dyDescent="0.25">
      <c r="A5356" s="8">
        <v>995187</v>
      </c>
      <c r="B5356" s="22" t="str">
        <f>IFERROR(VLOOKUP(A5356,VLOOKUPS!$A$2:B$12589,2,FALSE),"")</f>
        <v>Organic Carrots and Guacamole 5oz-standard</v>
      </c>
      <c r="D5356">
        <v>6</v>
      </c>
      <c r="F5356" s="31">
        <v>2.99</v>
      </c>
      <c r="G5356" s="13">
        <v>44817</v>
      </c>
      <c r="H5356" s="13"/>
      <c r="I5356" s="22" t="str">
        <f>VLOOKUP(J5356, Dropdowns!N:O, 2, FALSE)</f>
        <v>NA</v>
      </c>
      <c r="J5356" t="s">
        <v>754</v>
      </c>
      <c r="L5356" s="17" t="s">
        <v>732</v>
      </c>
      <c r="M5356" s="17" t="s">
        <v>736</v>
      </c>
      <c r="N5356" s="17" t="s">
        <v>736</v>
      </c>
    </row>
    <row r="5357" spans="1:15" x14ac:dyDescent="0.25">
      <c r="A5357" s="8">
        <v>995196</v>
      </c>
      <c r="B5357" s="22" t="str">
        <f>IFERROR(VLOOKUP(A5357,VLOOKUPS!$A$2:B$12589,2,FALSE),"")</f>
        <v/>
      </c>
      <c r="D5357">
        <v>4</v>
      </c>
      <c r="F5357" s="31">
        <v>7.97</v>
      </c>
      <c r="G5357" s="13">
        <v>44817</v>
      </c>
      <c r="H5357" s="13"/>
      <c r="I5357" s="22" t="str">
        <f>VLOOKUP(J5357, Dropdowns!N:O, 2, FALSE)</f>
        <v>NA</v>
      </c>
      <c r="J5357" t="s">
        <v>754</v>
      </c>
      <c r="L5357" s="17" t="s">
        <v>733</v>
      </c>
      <c r="M5357" s="17" t="s">
        <v>736</v>
      </c>
      <c r="N5357" s="17" t="s">
        <v>740</v>
      </c>
    </row>
    <row r="5358" spans="1:15" x14ac:dyDescent="0.25">
      <c r="A5358" s="8">
        <v>995196</v>
      </c>
      <c r="B5358" s="22" t="str">
        <f>IFERROR(VLOOKUP(A5358,VLOOKUPS!$A$2:B$12589,2,FALSE),"")</f>
        <v/>
      </c>
      <c r="D5358">
        <v>4</v>
      </c>
      <c r="F5358" s="31">
        <v>7.97</v>
      </c>
      <c r="G5358" s="13">
        <v>44817</v>
      </c>
      <c r="H5358" s="13"/>
      <c r="I5358" s="22" t="str">
        <f>VLOOKUP(J5358, Dropdowns!N:O, 2, FALSE)</f>
        <v>NA</v>
      </c>
      <c r="J5358" t="s">
        <v>754</v>
      </c>
      <c r="L5358" s="17" t="s">
        <v>734</v>
      </c>
      <c r="M5358" s="17" t="s">
        <v>10</v>
      </c>
      <c r="N5358" s="17">
        <v>2</v>
      </c>
    </row>
    <row r="5359" spans="1:15" x14ac:dyDescent="0.25">
      <c r="A5359" s="8">
        <v>995196</v>
      </c>
      <c r="B5359" s="22" t="str">
        <f>IFERROR(VLOOKUP(A5359,VLOOKUPS!$A$2:B$12589,2,FALSE),"")</f>
        <v/>
      </c>
      <c r="D5359">
        <v>4</v>
      </c>
      <c r="F5359" s="31">
        <v>8.4700000000000006</v>
      </c>
      <c r="G5359" s="13">
        <v>44817</v>
      </c>
      <c r="H5359" s="13"/>
      <c r="I5359" s="22" t="str">
        <f>VLOOKUP(J5359, Dropdowns!N:O, 2, FALSE)</f>
        <v>NA</v>
      </c>
      <c r="J5359" t="s">
        <v>754</v>
      </c>
      <c r="L5359" s="17" t="s">
        <v>734</v>
      </c>
      <c r="M5359" s="17" t="s">
        <v>9</v>
      </c>
      <c r="N5359" s="17" t="s">
        <v>736</v>
      </c>
    </row>
    <row r="5360" spans="1:15" x14ac:dyDescent="0.25">
      <c r="A5360" s="8">
        <v>995210</v>
      </c>
      <c r="B5360" s="22" t="str">
        <f>IFERROR(VLOOKUP(A5360,VLOOKUPS!$A$2:B$12589,2,FALSE),"")</f>
        <v>Garden Salad 24oz-standard</v>
      </c>
      <c r="E5360">
        <v>2.98</v>
      </c>
      <c r="F5360">
        <v>1.79</v>
      </c>
      <c r="G5360" s="13">
        <v>44817</v>
      </c>
      <c r="H5360" s="13">
        <v>44818</v>
      </c>
      <c r="I5360" s="22" t="str">
        <f>VLOOKUP(J5360, Dropdowns!N:O, 2, FALSE)</f>
        <v>Lower Price</v>
      </c>
      <c r="J5360" t="s">
        <v>759</v>
      </c>
      <c r="L5360" s="17" t="s">
        <v>733</v>
      </c>
      <c r="M5360" s="17" t="s">
        <v>11</v>
      </c>
      <c r="N5360" s="17" t="s">
        <v>740</v>
      </c>
    </row>
    <row r="5361" spans="1:14" x14ac:dyDescent="0.25">
      <c r="A5361" s="8">
        <v>995210</v>
      </c>
      <c r="B5361" s="22" t="str">
        <f>IFERROR(VLOOKUP(A5361,VLOOKUPS!$A$2:B$12589,2,FALSE),"")</f>
        <v>Garden Salad 24oz-standard</v>
      </c>
      <c r="E5361">
        <v>1.79</v>
      </c>
      <c r="F5361">
        <v>2.98</v>
      </c>
      <c r="G5361" s="13">
        <v>44819</v>
      </c>
      <c r="H5361" s="13"/>
      <c r="I5361" s="22" t="str">
        <f>VLOOKUP(J5361, Dropdowns!N:O, 2, FALSE)</f>
        <v>Standard</v>
      </c>
      <c r="J5361" t="s">
        <v>760</v>
      </c>
      <c r="L5361" s="17" t="s">
        <v>733</v>
      </c>
      <c r="M5361" s="17" t="s">
        <v>11</v>
      </c>
      <c r="N5361" s="17" t="s">
        <v>740</v>
      </c>
    </row>
    <row r="5362" spans="1:14" x14ac:dyDescent="0.25">
      <c r="A5362" s="8">
        <v>995015</v>
      </c>
      <c r="B5362" s="22" t="str">
        <f>IFERROR(VLOOKUP(A5362,VLOOKUPS!$A$2:B$12589,2,FALSE),"")</f>
        <v>Savory Spinach Dijon Salad 4.9oz-standard</v>
      </c>
      <c r="E5362">
        <v>3.47</v>
      </c>
      <c r="F5362">
        <v>2.08</v>
      </c>
      <c r="G5362" s="13">
        <v>44818</v>
      </c>
      <c r="H5362" s="13">
        <v>44819</v>
      </c>
      <c r="I5362" s="22" t="str">
        <f>VLOOKUP(J5362, Dropdowns!N:O, 2, FALSE)</f>
        <v>Lower Price</v>
      </c>
      <c r="J5362" t="s">
        <v>759</v>
      </c>
      <c r="L5362" s="17" t="s">
        <v>733</v>
      </c>
      <c r="M5362" s="17" t="s">
        <v>11</v>
      </c>
      <c r="N5362" s="17" t="s">
        <v>740</v>
      </c>
    </row>
    <row r="5363" spans="1:14" x14ac:dyDescent="0.25">
      <c r="A5363" s="8">
        <v>995015</v>
      </c>
      <c r="B5363" s="22" t="str">
        <f>IFERROR(VLOOKUP(A5363,VLOOKUPS!$A$2:B$12589,2,FALSE),"")</f>
        <v>Savory Spinach Dijon Salad 4.9oz-standard</v>
      </c>
      <c r="E5363">
        <v>2.08</v>
      </c>
      <c r="F5363">
        <v>3.47</v>
      </c>
      <c r="G5363" s="13">
        <v>44820</v>
      </c>
      <c r="H5363" s="13"/>
      <c r="I5363" s="22" t="str">
        <f>VLOOKUP(J5363, Dropdowns!N:O, 2, FALSE)</f>
        <v>Standard</v>
      </c>
      <c r="J5363" t="s">
        <v>760</v>
      </c>
      <c r="L5363" s="17" t="s">
        <v>733</v>
      </c>
      <c r="M5363" s="17" t="s">
        <v>11</v>
      </c>
      <c r="N5363" s="17" t="s">
        <v>740</v>
      </c>
    </row>
    <row r="5364" spans="1:14" x14ac:dyDescent="0.25">
      <c r="A5364" s="8">
        <v>995184</v>
      </c>
      <c r="B5364" s="22" t="str">
        <f>IFERROR(VLOOKUP(A5364,VLOOKUPS!$A$2:B$12589,2,FALSE),"")</f>
        <v>English Peas 8oz-standard</v>
      </c>
      <c r="D5364">
        <v>8</v>
      </c>
      <c r="F5364">
        <v>2.5</v>
      </c>
      <c r="G5364" s="13">
        <v>44818</v>
      </c>
      <c r="H5364" s="13"/>
      <c r="I5364" s="22" t="str">
        <f>VLOOKUP(J5364, Dropdowns!N:O, 2, FALSE)</f>
        <v>NA</v>
      </c>
      <c r="J5364" t="s">
        <v>754</v>
      </c>
      <c r="L5364" s="17" t="s">
        <v>733</v>
      </c>
      <c r="M5364" s="17" t="s">
        <v>737</v>
      </c>
      <c r="N5364" s="17" t="s">
        <v>740</v>
      </c>
    </row>
    <row r="5365" spans="1:14" x14ac:dyDescent="0.25">
      <c r="A5365" s="8">
        <v>995184</v>
      </c>
      <c r="B5365" s="22" t="str">
        <f>IFERROR(VLOOKUP(A5365,VLOOKUPS!$A$2:B$12589,2,FALSE),"")</f>
        <v>English Peas 8oz-standard</v>
      </c>
      <c r="D5365">
        <v>8</v>
      </c>
      <c r="F5365">
        <v>2.99</v>
      </c>
      <c r="G5365" s="13">
        <v>44818</v>
      </c>
      <c r="H5365" s="13"/>
      <c r="I5365" s="22" t="str">
        <f>VLOOKUP(J5365, Dropdowns!N:O, 2, FALSE)</f>
        <v>NA</v>
      </c>
      <c r="J5365" t="s">
        <v>754</v>
      </c>
      <c r="L5365" s="17" t="s">
        <v>734</v>
      </c>
      <c r="M5365" s="17" t="s">
        <v>9</v>
      </c>
      <c r="N5365" s="17" t="s">
        <v>736</v>
      </c>
    </row>
    <row r="5366" spans="1:14" x14ac:dyDescent="0.25">
      <c r="A5366" s="8">
        <v>984542</v>
      </c>
      <c r="B5366" s="22" t="str">
        <f>IFERROR(VLOOKUP(A5366,VLOOKUPS!$A$2:B$12589,2,FALSE),"")</f>
        <v>Blueberries 18oz-standard</v>
      </c>
      <c r="E5366">
        <v>3.99</v>
      </c>
      <c r="F5366">
        <v>5.59</v>
      </c>
      <c r="G5366" s="13">
        <v>44818</v>
      </c>
      <c r="H5366" s="13"/>
      <c r="I5366" s="22" t="str">
        <f>VLOOKUP(J5366, Dropdowns!N:O, 2, FALSE)</f>
        <v>Standard</v>
      </c>
      <c r="J5366" t="s">
        <v>760</v>
      </c>
      <c r="L5366" s="17" t="s">
        <v>734</v>
      </c>
      <c r="M5366" s="17" t="s">
        <v>9</v>
      </c>
      <c r="N5366" s="17" t="s">
        <v>736</v>
      </c>
    </row>
    <row r="5367" spans="1:14" x14ac:dyDescent="0.25">
      <c r="A5367" s="8">
        <v>984542</v>
      </c>
      <c r="B5367" s="22" t="str">
        <f>IFERROR(VLOOKUP(A5367,VLOOKUPS!$A$2:B$12589,2,FALSE),"")</f>
        <v>Blueberries 18oz-standard</v>
      </c>
      <c r="E5367">
        <v>3.49</v>
      </c>
      <c r="F5367">
        <v>5.09</v>
      </c>
      <c r="G5367" s="13">
        <v>44818</v>
      </c>
      <c r="H5367" s="13"/>
      <c r="I5367" s="22" t="str">
        <f>VLOOKUP(J5367, Dropdowns!N:O, 2, FALSE)</f>
        <v>Standard</v>
      </c>
      <c r="J5367" t="s">
        <v>760</v>
      </c>
      <c r="L5367" s="17" t="s">
        <v>733</v>
      </c>
      <c r="M5367" s="17" t="s">
        <v>736</v>
      </c>
      <c r="N5367" s="17" t="s">
        <v>740</v>
      </c>
    </row>
    <row r="5368" spans="1:14" x14ac:dyDescent="0.25">
      <c r="A5368" s="8">
        <v>984542</v>
      </c>
      <c r="B5368" s="22" t="str">
        <f>IFERROR(VLOOKUP(A5368,VLOOKUPS!$A$2:B$12589,2,FALSE),"")</f>
        <v>Blueberries 18oz-standard</v>
      </c>
      <c r="E5368">
        <v>3.49</v>
      </c>
      <c r="F5368">
        <v>5.09</v>
      </c>
      <c r="G5368" s="13">
        <v>44818</v>
      </c>
      <c r="H5368" s="13"/>
      <c r="I5368" s="22" t="str">
        <f>VLOOKUP(J5368, Dropdowns!N:O, 2, FALSE)</f>
        <v>Standard</v>
      </c>
      <c r="J5368" t="s">
        <v>760</v>
      </c>
      <c r="L5368" s="17" t="s">
        <v>734</v>
      </c>
      <c r="M5368" s="17" t="s">
        <v>10</v>
      </c>
      <c r="N5368" s="17">
        <v>2</v>
      </c>
    </row>
    <row r="5369" spans="1:14" x14ac:dyDescent="0.25">
      <c r="A5369" s="8">
        <v>985060</v>
      </c>
      <c r="B5369" s="22" t="str">
        <f>IFERROR(VLOOKUP(A5369,VLOOKUPS!$A$2:B$12589,2,FALSE),"")</f>
        <v>Lettuce* Iceberg 1ct-standard</v>
      </c>
      <c r="E5369">
        <v>1.55</v>
      </c>
      <c r="F5369">
        <v>1.0900000000000001</v>
      </c>
      <c r="G5369" s="13">
        <v>44819</v>
      </c>
      <c r="H5369" s="13">
        <v>44820</v>
      </c>
      <c r="I5369" s="22" t="str">
        <f>VLOOKUP(J5369, Dropdowns!N:O, 2, FALSE)</f>
        <v>Lower Price</v>
      </c>
      <c r="J5369" t="s">
        <v>759</v>
      </c>
      <c r="L5369" s="17" t="s">
        <v>733</v>
      </c>
      <c r="M5369" s="17" t="s">
        <v>10</v>
      </c>
      <c r="N5369" s="17" t="s">
        <v>740</v>
      </c>
    </row>
    <row r="5370" spans="1:14" x14ac:dyDescent="0.25">
      <c r="A5370" s="8">
        <v>985060</v>
      </c>
      <c r="B5370" s="22" t="str">
        <f>IFERROR(VLOOKUP(A5370,VLOOKUPS!$A$2:B$12589,2,FALSE),"")</f>
        <v>Lettuce* Iceberg 1ct-standard</v>
      </c>
      <c r="E5370">
        <v>1.0900000000000001</v>
      </c>
      <c r="F5370">
        <v>1.55</v>
      </c>
      <c r="G5370" s="13">
        <v>44821</v>
      </c>
      <c r="H5370" s="13"/>
      <c r="I5370" s="22" t="str">
        <f>VLOOKUP(J5370, Dropdowns!N:O, 2, FALSE)</f>
        <v>Standard</v>
      </c>
      <c r="J5370" t="s">
        <v>760</v>
      </c>
      <c r="L5370" s="17" t="s">
        <v>733</v>
      </c>
      <c r="M5370" s="17" t="s">
        <v>10</v>
      </c>
      <c r="N5370" s="17" t="s">
        <v>740</v>
      </c>
    </row>
    <row r="5371" spans="1:14" x14ac:dyDescent="0.25">
      <c r="A5371" s="8">
        <v>995000</v>
      </c>
      <c r="B5371" s="22" t="str">
        <f>IFERROR(VLOOKUP(A5371,VLOOKUPS!$A$2:B$12589,2,FALSE),"")</f>
        <v>Spring Mix 5oz-standard</v>
      </c>
      <c r="E5371">
        <v>2.73</v>
      </c>
      <c r="F5371">
        <v>1.64</v>
      </c>
      <c r="G5371" s="13">
        <v>44819</v>
      </c>
      <c r="H5371" s="13">
        <v>44820</v>
      </c>
      <c r="I5371" s="22" t="str">
        <f>VLOOKUP(J5371, Dropdowns!N:O, 2, FALSE)</f>
        <v>Lower Price</v>
      </c>
      <c r="J5371" t="s">
        <v>759</v>
      </c>
      <c r="L5371" s="17" t="s">
        <v>733</v>
      </c>
      <c r="M5371" s="17" t="s">
        <v>11</v>
      </c>
      <c r="N5371" s="17" t="s">
        <v>740</v>
      </c>
    </row>
    <row r="5372" spans="1:14" x14ac:dyDescent="0.25">
      <c r="A5372" s="8">
        <v>995000</v>
      </c>
      <c r="B5372" s="22" t="str">
        <f>IFERROR(VLOOKUP(A5372,VLOOKUPS!$A$2:B$12589,2,FALSE),"")</f>
        <v>Spring Mix 5oz-standard</v>
      </c>
      <c r="E5372">
        <v>1.64</v>
      </c>
      <c r="F5372">
        <v>2.73</v>
      </c>
      <c r="G5372" s="13">
        <v>44821</v>
      </c>
      <c r="H5372" s="13"/>
      <c r="I5372" s="22" t="str">
        <f>VLOOKUP(J5372, Dropdowns!N:O, 2, FALSE)</f>
        <v>Standard</v>
      </c>
      <c r="J5372" t="s">
        <v>760</v>
      </c>
      <c r="L5372" s="17" t="s">
        <v>733</v>
      </c>
      <c r="M5372" s="17" t="s">
        <v>11</v>
      </c>
      <c r="N5372" s="17" t="s">
        <v>740</v>
      </c>
    </row>
    <row r="5373" spans="1:14" x14ac:dyDescent="0.25">
      <c r="A5373" s="8">
        <v>995015</v>
      </c>
      <c r="B5373" s="22" t="str">
        <f>IFERROR(VLOOKUP(A5373,VLOOKUPS!$A$2:B$12589,2,FALSE),"")</f>
        <v>Savory Spinach Dijon Salad 4.9oz-standard</v>
      </c>
      <c r="E5373">
        <v>3.47</v>
      </c>
      <c r="F5373">
        <v>2.08</v>
      </c>
      <c r="G5373" s="13">
        <v>44819</v>
      </c>
      <c r="H5373" s="13">
        <v>44820</v>
      </c>
      <c r="I5373" s="22" t="str">
        <f>VLOOKUP(J5373, Dropdowns!N:O, 2, FALSE)</f>
        <v>Lower Price</v>
      </c>
      <c r="J5373" t="s">
        <v>759</v>
      </c>
      <c r="L5373" s="17" t="s">
        <v>733</v>
      </c>
      <c r="M5373" s="17" t="s">
        <v>10</v>
      </c>
      <c r="N5373" s="17" t="s">
        <v>740</v>
      </c>
    </row>
    <row r="5374" spans="1:14" x14ac:dyDescent="0.25">
      <c r="A5374" s="8">
        <v>995015</v>
      </c>
      <c r="B5374" s="22" t="str">
        <f>IFERROR(VLOOKUP(A5374,VLOOKUPS!$A$2:B$12589,2,FALSE),"")</f>
        <v>Savory Spinach Dijon Salad 4.9oz-standard</v>
      </c>
      <c r="E5374">
        <v>2.08</v>
      </c>
      <c r="F5374">
        <v>3.47</v>
      </c>
      <c r="G5374" s="13">
        <v>44821</v>
      </c>
      <c r="H5374" s="13"/>
      <c r="I5374" s="22" t="str">
        <f>VLOOKUP(J5374, Dropdowns!N:O, 2, FALSE)</f>
        <v>Standard</v>
      </c>
      <c r="J5374" t="s">
        <v>760</v>
      </c>
      <c r="L5374" s="17" t="s">
        <v>733</v>
      </c>
      <c r="M5374" s="17" t="s">
        <v>10</v>
      </c>
      <c r="N5374" s="17" t="s">
        <v>740</v>
      </c>
    </row>
    <row r="5375" spans="1:14" x14ac:dyDescent="0.25">
      <c r="A5375" s="8">
        <v>995085</v>
      </c>
      <c r="B5375" s="22" t="str">
        <f>IFERROR(VLOOKUP(A5375,VLOOKUPS!$A$2:B$12589,2,FALSE),"")</f>
        <v>Sugar Snap Peas 8oz-standard</v>
      </c>
      <c r="E5375">
        <v>2.78</v>
      </c>
      <c r="F5375">
        <v>1.67</v>
      </c>
      <c r="G5375" s="13">
        <v>44819</v>
      </c>
      <c r="H5375" s="13">
        <v>44820</v>
      </c>
      <c r="I5375" s="22" t="str">
        <f>VLOOKUP(J5375, Dropdowns!N:O, 2, FALSE)</f>
        <v>Lower Price</v>
      </c>
      <c r="J5375" t="s">
        <v>759</v>
      </c>
      <c r="L5375" s="17" t="s">
        <v>733</v>
      </c>
      <c r="M5375" s="17" t="s">
        <v>11</v>
      </c>
      <c r="N5375" s="17" t="s">
        <v>740</v>
      </c>
    </row>
    <row r="5376" spans="1:14" x14ac:dyDescent="0.25">
      <c r="A5376" s="8">
        <v>995085</v>
      </c>
      <c r="B5376" s="22" t="str">
        <f>IFERROR(VLOOKUP(A5376,VLOOKUPS!$A$2:B$12589,2,FALSE),"")</f>
        <v>Sugar Snap Peas 8oz-standard</v>
      </c>
      <c r="E5376">
        <v>1.67</v>
      </c>
      <c r="F5376">
        <v>2.78</v>
      </c>
      <c r="G5376" s="13">
        <v>44821</v>
      </c>
      <c r="H5376" s="13"/>
      <c r="I5376" s="22" t="str">
        <f>VLOOKUP(J5376, Dropdowns!N:O, 2, FALSE)</f>
        <v>Standard</v>
      </c>
      <c r="J5376" t="s">
        <v>760</v>
      </c>
      <c r="L5376" s="17" t="s">
        <v>733</v>
      </c>
      <c r="M5376" s="17" t="s">
        <v>11</v>
      </c>
      <c r="N5376" s="17" t="s">
        <v>740</v>
      </c>
    </row>
    <row r="5377" spans="1:14" x14ac:dyDescent="0.25">
      <c r="A5377" s="8">
        <v>995108</v>
      </c>
      <c r="B5377" s="22" t="str">
        <f>IFERROR(VLOOKUP(A5377,VLOOKUPS!$A$2:B$12589,2,FALSE),"")</f>
        <v>Everything Chopped Salad Kit 11.57oz-standard</v>
      </c>
      <c r="E5377">
        <v>3.49</v>
      </c>
      <c r="F5377">
        <v>2.09</v>
      </c>
      <c r="G5377" s="13">
        <v>44819</v>
      </c>
      <c r="H5377" s="13">
        <v>44820</v>
      </c>
      <c r="I5377" s="22" t="str">
        <f>VLOOKUP(J5377, Dropdowns!N:O, 2, FALSE)</f>
        <v>Lower Price</v>
      </c>
      <c r="J5377" t="s">
        <v>759</v>
      </c>
      <c r="L5377" s="17" t="s">
        <v>733</v>
      </c>
      <c r="M5377" s="17" t="s">
        <v>11</v>
      </c>
      <c r="N5377" s="17" t="s">
        <v>740</v>
      </c>
    </row>
    <row r="5378" spans="1:14" x14ac:dyDescent="0.25">
      <c r="A5378" s="8">
        <v>995108</v>
      </c>
      <c r="B5378" s="22" t="str">
        <f>IFERROR(VLOOKUP(A5378,VLOOKUPS!$A$2:B$12589,2,FALSE),"")</f>
        <v>Everything Chopped Salad Kit 11.57oz-standard</v>
      </c>
      <c r="E5378">
        <v>2.09</v>
      </c>
      <c r="F5378">
        <v>3.49</v>
      </c>
      <c r="G5378" s="13">
        <v>44821</v>
      </c>
      <c r="H5378" s="13"/>
      <c r="I5378" s="22" t="str">
        <f>VLOOKUP(J5378, Dropdowns!N:O, 2, FALSE)</f>
        <v>Standard</v>
      </c>
      <c r="J5378" t="s">
        <v>760</v>
      </c>
      <c r="L5378" s="17" t="s">
        <v>733</v>
      </c>
      <c r="M5378" s="17" t="s">
        <v>11</v>
      </c>
      <c r="N5378" s="17" t="s">
        <v>740</v>
      </c>
    </row>
    <row r="5379" spans="1:14" x14ac:dyDescent="0.25">
      <c r="A5379" s="8">
        <v>995131</v>
      </c>
      <c r="B5379" s="22" t="str">
        <f>IFERROR(VLOOKUP(A5379,VLOOKUPS!$A$2:B$12589,2,FALSE),"")</f>
        <v>Organic Baby Spinach &amp; Baby Kale 5oz-standard</v>
      </c>
      <c r="E5379">
        <v>3.13</v>
      </c>
      <c r="F5379">
        <v>1.88</v>
      </c>
      <c r="G5379" s="13">
        <v>44819</v>
      </c>
      <c r="H5379" s="13">
        <v>44820</v>
      </c>
      <c r="I5379" s="22" t="str">
        <f>VLOOKUP(J5379, Dropdowns!N:O, 2, FALSE)</f>
        <v>Lower Price</v>
      </c>
      <c r="J5379" t="s">
        <v>759</v>
      </c>
      <c r="L5379" s="17" t="s">
        <v>733</v>
      </c>
      <c r="M5379" s="17" t="s">
        <v>10</v>
      </c>
      <c r="N5379" s="17" t="s">
        <v>740</v>
      </c>
    </row>
    <row r="5380" spans="1:14" x14ac:dyDescent="0.25">
      <c r="A5380" s="8">
        <v>995131</v>
      </c>
      <c r="B5380" s="22" t="str">
        <f>IFERROR(VLOOKUP(A5380,VLOOKUPS!$A$2:B$12589,2,FALSE),"")</f>
        <v>Organic Baby Spinach &amp; Baby Kale 5oz-standard</v>
      </c>
      <c r="E5380">
        <v>1.88</v>
      </c>
      <c r="F5380">
        <v>3.13</v>
      </c>
      <c r="G5380" s="13">
        <v>44821</v>
      </c>
      <c r="H5380" s="13"/>
      <c r="I5380" s="22" t="str">
        <f>VLOOKUP(J5380, Dropdowns!N:O, 2, FALSE)</f>
        <v>Standard</v>
      </c>
      <c r="J5380" t="s">
        <v>760</v>
      </c>
      <c r="L5380" s="17" t="s">
        <v>733</v>
      </c>
      <c r="M5380" s="17" t="s">
        <v>10</v>
      </c>
      <c r="N5380" s="17" t="s">
        <v>740</v>
      </c>
    </row>
    <row r="5381" spans="1:14" x14ac:dyDescent="0.25">
      <c r="A5381" s="8">
        <v>995186</v>
      </c>
      <c r="B5381" s="22" t="str">
        <f>IFERROR(VLOOKUP(A5381,VLOOKUPS!$A$2:B$12589,2,FALSE),"")</f>
        <v>Organic Carrots and Ranch 5oz-standard</v>
      </c>
      <c r="E5381">
        <v>2.99</v>
      </c>
      <c r="F5381">
        <v>1.79</v>
      </c>
      <c r="G5381" s="13">
        <v>44819</v>
      </c>
      <c r="H5381" s="13">
        <v>44820</v>
      </c>
      <c r="I5381" s="22" t="str">
        <f>VLOOKUP(J5381, Dropdowns!N:O, 2, FALSE)</f>
        <v>Lower Price</v>
      </c>
      <c r="J5381" t="s">
        <v>759</v>
      </c>
      <c r="L5381" s="17" t="s">
        <v>732</v>
      </c>
      <c r="M5381" s="17" t="s">
        <v>10</v>
      </c>
      <c r="N5381" s="17">
        <v>2</v>
      </c>
    </row>
    <row r="5382" spans="1:14" x14ac:dyDescent="0.25">
      <c r="A5382" s="8">
        <v>995186</v>
      </c>
      <c r="B5382" s="22" t="str">
        <f>IFERROR(VLOOKUP(A5382,VLOOKUPS!$A$2:B$12589,2,FALSE),"")</f>
        <v>Organic Carrots and Ranch 5oz-standard</v>
      </c>
      <c r="E5382">
        <v>1.79</v>
      </c>
      <c r="F5382">
        <v>2.99</v>
      </c>
      <c r="G5382" s="13">
        <v>44821</v>
      </c>
      <c r="H5382" s="13"/>
      <c r="I5382" s="22" t="str">
        <f>VLOOKUP(J5382, Dropdowns!N:O, 2, FALSE)</f>
        <v>Standard</v>
      </c>
      <c r="J5382" t="s">
        <v>760</v>
      </c>
      <c r="L5382" s="17" t="s">
        <v>732</v>
      </c>
      <c r="M5382" s="17" t="s">
        <v>10</v>
      </c>
      <c r="N5382" s="17">
        <v>2</v>
      </c>
    </row>
    <row r="5383" spans="1:14" x14ac:dyDescent="0.25">
      <c r="A5383" s="8">
        <v>995206</v>
      </c>
      <c r="B5383" s="22" t="str">
        <f>IFERROR(VLOOKUP(A5383,VLOOKUPS!$A$2:B$12589,2,FALSE),"")</f>
        <v>Sweet 'N Crunchy Boost Bento 5.5oz-standard</v>
      </c>
      <c r="E5383">
        <v>3.99</v>
      </c>
      <c r="F5383">
        <v>2.39</v>
      </c>
      <c r="G5383" s="13">
        <v>44819</v>
      </c>
      <c r="H5383" s="13">
        <v>44820</v>
      </c>
      <c r="I5383" s="22" t="str">
        <f>VLOOKUP(J5383, Dropdowns!N:O, 2, FALSE)</f>
        <v>Lower Price</v>
      </c>
      <c r="J5383" t="s">
        <v>759</v>
      </c>
      <c r="L5383" s="17" t="s">
        <v>732</v>
      </c>
      <c r="M5383" s="17" t="s">
        <v>10</v>
      </c>
      <c r="N5383" s="17">
        <v>2</v>
      </c>
    </row>
    <row r="5384" spans="1:14" x14ac:dyDescent="0.25">
      <c r="A5384" s="8">
        <v>995206</v>
      </c>
      <c r="B5384" s="22" t="str">
        <f>IFERROR(VLOOKUP(A5384,VLOOKUPS!$A$2:B$12589,2,FALSE),"")</f>
        <v>Sweet 'N Crunchy Boost Bento 5.5oz-standard</v>
      </c>
      <c r="E5384">
        <v>2.39</v>
      </c>
      <c r="F5384">
        <v>3.99</v>
      </c>
      <c r="G5384" s="13">
        <v>44821</v>
      </c>
      <c r="H5384" s="13"/>
      <c r="I5384" s="22" t="str">
        <f>VLOOKUP(J5384, Dropdowns!N:O, 2, FALSE)</f>
        <v>Standard</v>
      </c>
      <c r="J5384" t="s">
        <v>760</v>
      </c>
      <c r="L5384" s="17" t="s">
        <v>732</v>
      </c>
      <c r="M5384" s="17" t="s">
        <v>10</v>
      </c>
      <c r="N5384" s="17">
        <v>2</v>
      </c>
    </row>
    <row r="5385" spans="1:14" x14ac:dyDescent="0.25">
      <c r="B5385" s="22" t="str">
        <f>IFERROR(VLOOKUP(A5385,VLOOKUPS!$A$2:B$12589,2,FALSE),"")</f>
        <v/>
      </c>
      <c r="G5385" s="13"/>
      <c r="H5385" s="13"/>
      <c r="I5385" s="22" t="e">
        <f>VLOOKUP(J5385, Dropdowns!N:O, 2, FALSE)</f>
        <v>#N/A</v>
      </c>
    </row>
    <row r="5386" spans="1:14" x14ac:dyDescent="0.25">
      <c r="B5386" s="22" t="str">
        <f>IFERROR(VLOOKUP(A5386,VLOOKUPS!$A$2:B$12589,2,FALSE),"")</f>
        <v/>
      </c>
      <c r="G5386" s="13"/>
      <c r="H5386" s="13"/>
      <c r="I5386" s="22" t="e">
        <f>VLOOKUP(J5386, Dropdowns!N:O, 2, FALSE)</f>
        <v>#N/A</v>
      </c>
    </row>
    <row r="5387" spans="1:14" x14ac:dyDescent="0.25">
      <c r="B5387" s="22" t="str">
        <f>IFERROR(VLOOKUP(A5387,VLOOKUPS!$A$2:B$12589,2,FALSE),"")</f>
        <v/>
      </c>
      <c r="G5387" s="13"/>
      <c r="H5387" s="13"/>
      <c r="I5387" s="22" t="e">
        <f>VLOOKUP(J5387, Dropdowns!N:O, 2, FALSE)</f>
        <v>#N/A</v>
      </c>
    </row>
    <row r="5388" spans="1:14" x14ac:dyDescent="0.25">
      <c r="B5388" s="22" t="str">
        <f>IFERROR(VLOOKUP(A5388,VLOOKUPS!$A$2:B$12589,2,FALSE),"")</f>
        <v/>
      </c>
      <c r="G5388" s="13"/>
      <c r="H5388" s="13"/>
      <c r="I5388" s="22" t="e">
        <f>VLOOKUP(J5388, Dropdowns!N:O, 2, FALSE)</f>
        <v>#N/A</v>
      </c>
    </row>
    <row r="5389" spans="1:14" x14ac:dyDescent="0.25">
      <c r="B5389" s="22" t="str">
        <f>IFERROR(VLOOKUP(A5389,VLOOKUPS!$A$2:B$12589,2,FALSE),"")</f>
        <v/>
      </c>
      <c r="G5389" s="13"/>
      <c r="H5389" s="13"/>
      <c r="I5389" s="22" t="e">
        <f>VLOOKUP(J5389, Dropdowns!N:O, 2, FALSE)</f>
        <v>#N/A</v>
      </c>
    </row>
    <row r="5390" spans="1:14" x14ac:dyDescent="0.25">
      <c r="B5390" s="22" t="str">
        <f>IFERROR(VLOOKUP(A5390,VLOOKUPS!$A$2:B$12589,2,FALSE),"")</f>
        <v/>
      </c>
      <c r="G5390" s="13"/>
      <c r="H5390" s="13"/>
      <c r="I5390" s="22" t="e">
        <f>VLOOKUP(J5390, Dropdowns!N:O, 2, FALSE)</f>
        <v>#N/A</v>
      </c>
    </row>
    <row r="5391" spans="1:14" x14ac:dyDescent="0.25">
      <c r="B5391" s="22" t="str">
        <f>IFERROR(VLOOKUP(A5391,VLOOKUPS!$A$2:B$12589,2,FALSE),"")</f>
        <v/>
      </c>
      <c r="G5391" s="13"/>
      <c r="H5391" s="13"/>
      <c r="I5391" s="22" t="e">
        <f>VLOOKUP(J5391, Dropdowns!N:O, 2, FALSE)</f>
        <v>#N/A</v>
      </c>
    </row>
    <row r="5392" spans="1:14" x14ac:dyDescent="0.25">
      <c r="B5392" s="22" t="str">
        <f>IFERROR(VLOOKUP(A5392,VLOOKUPS!$A$2:B$12589,2,FALSE),"")</f>
        <v/>
      </c>
      <c r="G5392" s="13"/>
      <c r="H5392" s="13"/>
      <c r="I5392" s="22" t="e">
        <f>VLOOKUP(J5392, Dropdowns!N:O, 2, FALSE)</f>
        <v>#N/A</v>
      </c>
    </row>
    <row r="5393" spans="2:9" x14ac:dyDescent="0.25">
      <c r="B5393" s="22" t="str">
        <f>IFERROR(VLOOKUP(A5393,VLOOKUPS!$A$2:B$12589,2,FALSE),"")</f>
        <v/>
      </c>
      <c r="G5393" s="13"/>
      <c r="H5393" s="13"/>
      <c r="I5393" s="22" t="e">
        <f>VLOOKUP(J5393, Dropdowns!N:O, 2, FALSE)</f>
        <v>#N/A</v>
      </c>
    </row>
    <row r="5394" spans="2:9" x14ac:dyDescent="0.25">
      <c r="B5394" s="22" t="str">
        <f>IFERROR(VLOOKUP(A5394,VLOOKUPS!$A$2:B$12589,2,FALSE),"")</f>
        <v/>
      </c>
      <c r="G5394" s="13"/>
      <c r="H5394" s="13"/>
      <c r="I5394" s="22" t="e">
        <f>VLOOKUP(J5394, Dropdowns!N:O, 2, FALSE)</f>
        <v>#N/A</v>
      </c>
    </row>
    <row r="5395" spans="2:9" x14ac:dyDescent="0.25">
      <c r="B5395" s="22" t="str">
        <f>IFERROR(VLOOKUP(A5395,VLOOKUPS!$A$2:B$12589,2,FALSE),"")</f>
        <v/>
      </c>
      <c r="G5395" s="13"/>
      <c r="H5395" s="13"/>
      <c r="I5395" s="22" t="e">
        <f>VLOOKUP(J5395, Dropdowns!N:O, 2, FALSE)</f>
        <v>#N/A</v>
      </c>
    </row>
    <row r="5396" spans="2:9" x14ac:dyDescent="0.25">
      <c r="B5396" s="22" t="str">
        <f>IFERROR(VLOOKUP(A5396,VLOOKUPS!$A$2:B$12589,2,FALSE),"")</f>
        <v/>
      </c>
      <c r="G5396" s="13"/>
      <c r="H5396" s="13"/>
      <c r="I5396" s="22" t="e">
        <f>VLOOKUP(J5396, Dropdowns!N:O, 2, FALSE)</f>
        <v>#N/A</v>
      </c>
    </row>
    <row r="5397" spans="2:9" x14ac:dyDescent="0.25">
      <c r="B5397" s="22" t="str">
        <f>IFERROR(VLOOKUP(A5397,VLOOKUPS!$A$2:B$12589,2,FALSE),"")</f>
        <v/>
      </c>
      <c r="G5397" s="13"/>
      <c r="H5397" s="13"/>
      <c r="I5397" s="22" t="e">
        <f>VLOOKUP(J5397, Dropdowns!N:O, 2, FALSE)</f>
        <v>#N/A</v>
      </c>
    </row>
    <row r="5398" spans="2:9" x14ac:dyDescent="0.25">
      <c r="B5398" s="22" t="str">
        <f>IFERROR(VLOOKUP(A5398,VLOOKUPS!$A$2:B$12589,2,FALSE),"")</f>
        <v/>
      </c>
      <c r="G5398" s="13"/>
      <c r="H5398" s="13"/>
      <c r="I5398" s="22" t="e">
        <f>VLOOKUP(J5398, Dropdowns!N:O, 2, FALSE)</f>
        <v>#N/A</v>
      </c>
    </row>
    <row r="5399" spans="2:9" x14ac:dyDescent="0.25">
      <c r="B5399" s="22" t="str">
        <f>IFERROR(VLOOKUP(A5399,VLOOKUPS!$A$2:B$12589,2,FALSE),"")</f>
        <v/>
      </c>
      <c r="G5399" s="13"/>
      <c r="H5399" s="13"/>
      <c r="I5399" s="22" t="e">
        <f>VLOOKUP(J5399, Dropdowns!N:O, 2, FALSE)</f>
        <v>#N/A</v>
      </c>
    </row>
    <row r="5400" spans="2:9" x14ac:dyDescent="0.25">
      <c r="B5400" s="22" t="str">
        <f>IFERROR(VLOOKUP(A5400,VLOOKUPS!$A$2:B$12589,2,FALSE),"")</f>
        <v/>
      </c>
      <c r="G5400" s="13"/>
      <c r="H5400" s="13"/>
      <c r="I5400" s="22" t="e">
        <f>VLOOKUP(J5400, Dropdowns!N:O, 2, FALSE)</f>
        <v>#N/A</v>
      </c>
    </row>
    <row r="5401" spans="2:9" x14ac:dyDescent="0.25">
      <c r="B5401" s="22" t="str">
        <f>IFERROR(VLOOKUP(A5401,VLOOKUPS!$A$2:B$12589,2,FALSE),"")</f>
        <v/>
      </c>
      <c r="G5401" s="13"/>
      <c r="H5401" s="13"/>
      <c r="I5401" s="22" t="e">
        <f>VLOOKUP(J5401, Dropdowns!N:O, 2, FALSE)</f>
        <v>#N/A</v>
      </c>
    </row>
    <row r="5402" spans="2:9" x14ac:dyDescent="0.25">
      <c r="B5402" s="22" t="str">
        <f>IFERROR(VLOOKUP(A5402,VLOOKUPS!$A$2:B$12589,2,FALSE),"")</f>
        <v/>
      </c>
      <c r="G5402" s="13"/>
      <c r="H5402" s="13"/>
      <c r="I5402" s="22" t="e">
        <f>VLOOKUP(J5402, Dropdowns!N:O, 2, FALSE)</f>
        <v>#N/A</v>
      </c>
    </row>
    <row r="5403" spans="2:9" x14ac:dyDescent="0.25">
      <c r="B5403" s="22" t="str">
        <f>IFERROR(VLOOKUP(A5403,VLOOKUPS!$A$2:B$12589,2,FALSE),"")</f>
        <v/>
      </c>
      <c r="G5403" s="13"/>
      <c r="H5403" s="13"/>
      <c r="I5403" s="22" t="e">
        <f>VLOOKUP(J5403, Dropdowns!N:O, 2, FALSE)</f>
        <v>#N/A</v>
      </c>
    </row>
    <row r="5404" spans="2:9" x14ac:dyDescent="0.25">
      <c r="B5404" s="22" t="str">
        <f>IFERROR(VLOOKUP(A5404,VLOOKUPS!$A$2:B$12589,2,FALSE),"")</f>
        <v/>
      </c>
      <c r="G5404" s="13"/>
      <c r="H5404" s="13"/>
      <c r="I5404" s="22" t="e">
        <f>VLOOKUP(J5404, Dropdowns!N:O, 2, FALSE)</f>
        <v>#N/A</v>
      </c>
    </row>
    <row r="5405" spans="2:9" x14ac:dyDescent="0.25">
      <c r="B5405" s="22" t="str">
        <f>IFERROR(VLOOKUP(A5405,VLOOKUPS!$A$2:B$12589,2,FALSE),"")</f>
        <v/>
      </c>
      <c r="G5405" s="13"/>
      <c r="H5405" s="13"/>
      <c r="I5405" s="22" t="e">
        <f>VLOOKUP(J5405, Dropdowns!N:O, 2, FALSE)</f>
        <v>#N/A</v>
      </c>
    </row>
    <row r="5406" spans="2:9" x14ac:dyDescent="0.25">
      <c r="B5406" s="22" t="str">
        <f>IFERROR(VLOOKUP(A5406,VLOOKUPS!$A$2:B$12589,2,FALSE),"")</f>
        <v/>
      </c>
      <c r="G5406" s="13"/>
      <c r="H5406" s="13"/>
      <c r="I5406" s="22" t="e">
        <f>VLOOKUP(J5406, Dropdowns!N:O, 2, FALSE)</f>
        <v>#N/A</v>
      </c>
    </row>
    <row r="5407" spans="2:9" x14ac:dyDescent="0.25">
      <c r="B5407" s="22" t="str">
        <f>IFERROR(VLOOKUP(A5407,VLOOKUPS!$A$2:B$12589,2,FALSE),"")</f>
        <v/>
      </c>
      <c r="G5407" s="13"/>
      <c r="H5407" s="13"/>
      <c r="I5407" s="22" t="e">
        <f>VLOOKUP(J5407, Dropdowns!N:O, 2, FALSE)</f>
        <v>#N/A</v>
      </c>
    </row>
    <row r="5408" spans="2:9" x14ac:dyDescent="0.25">
      <c r="B5408" s="22" t="str">
        <f>IFERROR(VLOOKUP(A5408,VLOOKUPS!$A$2:B$12589,2,FALSE),"")</f>
        <v/>
      </c>
      <c r="G5408" s="13"/>
      <c r="H5408" s="13"/>
      <c r="I5408" s="22" t="e">
        <f>VLOOKUP(J5408, Dropdowns!N:O, 2, FALSE)</f>
        <v>#N/A</v>
      </c>
    </row>
    <row r="5409" spans="2:9" x14ac:dyDescent="0.25">
      <c r="B5409" s="22" t="str">
        <f>IFERROR(VLOOKUP(A5409,VLOOKUPS!$A$2:B$12589,2,FALSE),"")</f>
        <v/>
      </c>
      <c r="G5409" s="13"/>
      <c r="H5409" s="13"/>
      <c r="I5409" s="22" t="e">
        <f>VLOOKUP(J5409, Dropdowns!N:O, 2, FALSE)</f>
        <v>#N/A</v>
      </c>
    </row>
    <row r="5410" spans="2:9" x14ac:dyDescent="0.25">
      <c r="B5410" s="22" t="str">
        <f>IFERROR(VLOOKUP(A5410,VLOOKUPS!$A$2:B$12589,2,FALSE),"")</f>
        <v/>
      </c>
      <c r="G5410" s="13"/>
      <c r="H5410" s="13"/>
      <c r="I5410" s="22" t="e">
        <f>VLOOKUP(J5410, Dropdowns!N:O, 2, FALSE)</f>
        <v>#N/A</v>
      </c>
    </row>
    <row r="5411" spans="2:9" x14ac:dyDescent="0.25">
      <c r="B5411" s="22" t="str">
        <f>IFERROR(VLOOKUP(A5411,VLOOKUPS!$A$2:B$12589,2,FALSE),"")</f>
        <v/>
      </c>
      <c r="G5411" s="13"/>
      <c r="H5411" s="13"/>
      <c r="I5411" s="22" t="e">
        <f>VLOOKUP(J5411, Dropdowns!N:O, 2, FALSE)</f>
        <v>#N/A</v>
      </c>
    </row>
    <row r="5412" spans="2:9" x14ac:dyDescent="0.25">
      <c r="B5412" s="22" t="str">
        <f>IFERROR(VLOOKUP(A5412,VLOOKUPS!$A$2:B$12589,2,FALSE),"")</f>
        <v/>
      </c>
      <c r="G5412" s="13"/>
      <c r="H5412" s="13"/>
      <c r="I5412" s="22" t="e">
        <f>VLOOKUP(J5412, Dropdowns!N:O, 2, FALSE)</f>
        <v>#N/A</v>
      </c>
    </row>
    <row r="5413" spans="2:9" x14ac:dyDescent="0.25">
      <c r="B5413" s="22" t="str">
        <f>IFERROR(VLOOKUP(A5413,VLOOKUPS!$A$2:B$12589,2,FALSE),"")</f>
        <v/>
      </c>
      <c r="G5413" s="13"/>
      <c r="H5413" s="13"/>
      <c r="I5413" s="22" t="e">
        <f>VLOOKUP(J5413, Dropdowns!N:O, 2, FALSE)</f>
        <v>#N/A</v>
      </c>
    </row>
    <row r="5414" spans="2:9" x14ac:dyDescent="0.25">
      <c r="B5414" s="22" t="str">
        <f>IFERROR(VLOOKUP(A5414,VLOOKUPS!$A$2:B$12589,2,FALSE),"")</f>
        <v/>
      </c>
      <c r="G5414" s="13"/>
      <c r="H5414" s="13"/>
      <c r="I5414" s="22" t="e">
        <f>VLOOKUP(J5414, Dropdowns!N:O, 2, FALSE)</f>
        <v>#N/A</v>
      </c>
    </row>
    <row r="5415" spans="2:9" x14ac:dyDescent="0.25">
      <c r="B5415" s="22" t="str">
        <f>IFERROR(VLOOKUP(A5415,VLOOKUPS!$A$2:B$12589,2,FALSE),"")</f>
        <v/>
      </c>
      <c r="G5415" s="13"/>
      <c r="H5415" s="13"/>
      <c r="I5415" s="22" t="e">
        <f>VLOOKUP(J5415, Dropdowns!N:O, 2, FALSE)</f>
        <v>#N/A</v>
      </c>
    </row>
    <row r="5416" spans="2:9" x14ac:dyDescent="0.25">
      <c r="B5416" s="22" t="str">
        <f>IFERROR(VLOOKUP(A5416,VLOOKUPS!$A$2:B$12589,2,FALSE),"")</f>
        <v/>
      </c>
      <c r="G5416" s="13"/>
      <c r="H5416" s="13"/>
      <c r="I5416" s="22" t="e">
        <f>VLOOKUP(J5416, Dropdowns!N:O, 2, FALSE)</f>
        <v>#N/A</v>
      </c>
    </row>
    <row r="5417" spans="2:9" x14ac:dyDescent="0.25">
      <c r="B5417" s="22" t="str">
        <f>IFERROR(VLOOKUP(A5417,VLOOKUPS!$A$2:B$12589,2,FALSE),"")</f>
        <v/>
      </c>
      <c r="G5417" s="13"/>
      <c r="H5417" s="13"/>
      <c r="I5417" s="22" t="e">
        <f>VLOOKUP(J5417, Dropdowns!N:O, 2, FALSE)</f>
        <v>#N/A</v>
      </c>
    </row>
    <row r="5418" spans="2:9" x14ac:dyDescent="0.25">
      <c r="B5418" s="22" t="str">
        <f>IFERROR(VLOOKUP(A5418,VLOOKUPS!$A$2:B$12589,2,FALSE),"")</f>
        <v/>
      </c>
      <c r="G5418" s="13"/>
      <c r="H5418" s="13"/>
      <c r="I5418" s="22" t="e">
        <f>VLOOKUP(J5418, Dropdowns!N:O, 2, FALSE)</f>
        <v>#N/A</v>
      </c>
    </row>
    <row r="5419" spans="2:9" x14ac:dyDescent="0.25">
      <c r="B5419" s="22" t="str">
        <f>IFERROR(VLOOKUP(A5419,VLOOKUPS!$A$2:B$12589,2,FALSE),"")</f>
        <v/>
      </c>
      <c r="G5419" s="13"/>
      <c r="H5419" s="13"/>
      <c r="I5419" s="22" t="e">
        <f>VLOOKUP(J5419, Dropdowns!N:O, 2, FALSE)</f>
        <v>#N/A</v>
      </c>
    </row>
    <row r="5420" spans="2:9" x14ac:dyDescent="0.25">
      <c r="B5420" s="22" t="str">
        <f>IFERROR(VLOOKUP(A5420,VLOOKUPS!$A$2:B$12589,2,FALSE),"")</f>
        <v/>
      </c>
      <c r="G5420" s="13"/>
      <c r="H5420" s="13"/>
      <c r="I5420" s="22" t="e">
        <f>VLOOKUP(J5420, Dropdowns!N:O, 2, FALSE)</f>
        <v>#N/A</v>
      </c>
    </row>
    <row r="5421" spans="2:9" x14ac:dyDescent="0.25">
      <c r="B5421" s="22" t="str">
        <f>IFERROR(VLOOKUP(A5421,VLOOKUPS!$A$2:B$12589,2,FALSE),"")</f>
        <v/>
      </c>
      <c r="G5421" s="13"/>
      <c r="H5421" s="13"/>
      <c r="I5421" s="22" t="e">
        <f>VLOOKUP(J5421, Dropdowns!N:O, 2, FALSE)</f>
        <v>#N/A</v>
      </c>
    </row>
    <row r="5422" spans="2:9" x14ac:dyDescent="0.25">
      <c r="B5422" s="22" t="str">
        <f>IFERROR(VLOOKUP(A5422,VLOOKUPS!$A$2:B$12589,2,FALSE),"")</f>
        <v/>
      </c>
      <c r="G5422" s="13"/>
      <c r="H5422" s="13"/>
      <c r="I5422" s="22" t="e">
        <f>VLOOKUP(J5422, Dropdowns!N:O, 2, FALSE)</f>
        <v>#N/A</v>
      </c>
    </row>
    <row r="5423" spans="2:9" x14ac:dyDescent="0.25">
      <c r="B5423" s="22" t="str">
        <f>IFERROR(VLOOKUP(A5423,VLOOKUPS!$A$2:B$12589,2,FALSE),"")</f>
        <v/>
      </c>
      <c r="G5423" s="13"/>
      <c r="H5423" s="13"/>
      <c r="I5423" s="22" t="e">
        <f>VLOOKUP(J5423, Dropdowns!N:O, 2, FALSE)</f>
        <v>#N/A</v>
      </c>
    </row>
    <row r="5424" spans="2:9" x14ac:dyDescent="0.25">
      <c r="B5424" s="22" t="str">
        <f>IFERROR(VLOOKUP(A5424,VLOOKUPS!$A$2:B$12589,2,FALSE),"")</f>
        <v/>
      </c>
      <c r="G5424" s="13"/>
      <c r="H5424" s="13"/>
      <c r="I5424" s="22" t="e">
        <f>VLOOKUP(J5424, Dropdowns!N:O, 2, FALSE)</f>
        <v>#N/A</v>
      </c>
    </row>
    <row r="5425" spans="2:9" x14ac:dyDescent="0.25">
      <c r="B5425" s="22" t="str">
        <f>IFERROR(VLOOKUP(A5425,VLOOKUPS!$A$2:B$12589,2,FALSE),"")</f>
        <v/>
      </c>
      <c r="G5425" s="13"/>
      <c r="H5425" s="13"/>
      <c r="I5425" s="22" t="e">
        <f>VLOOKUP(J5425, Dropdowns!N:O, 2, FALSE)</f>
        <v>#N/A</v>
      </c>
    </row>
    <row r="5426" spans="2:9" x14ac:dyDescent="0.25">
      <c r="B5426" s="22" t="str">
        <f>IFERROR(VLOOKUP(A5426,VLOOKUPS!$A$2:B$12589,2,FALSE),"")</f>
        <v/>
      </c>
      <c r="G5426" s="13"/>
      <c r="H5426" s="13"/>
      <c r="I5426" s="22" t="e">
        <f>VLOOKUP(J5426, Dropdowns!N:O, 2, FALSE)</f>
        <v>#N/A</v>
      </c>
    </row>
    <row r="5427" spans="2:9" x14ac:dyDescent="0.25">
      <c r="B5427" s="22" t="str">
        <f>IFERROR(VLOOKUP(A5427,VLOOKUPS!$A$2:B$12589,2,FALSE),"")</f>
        <v/>
      </c>
      <c r="G5427" s="13"/>
      <c r="H5427" s="13"/>
      <c r="I5427" s="22" t="e">
        <f>VLOOKUP(J5427, Dropdowns!N:O, 2, FALSE)</f>
        <v>#N/A</v>
      </c>
    </row>
    <row r="5428" spans="2:9" x14ac:dyDescent="0.25">
      <c r="B5428" s="22" t="str">
        <f>IFERROR(VLOOKUP(A5428,VLOOKUPS!$A$2:B$12589,2,FALSE),"")</f>
        <v/>
      </c>
      <c r="G5428" s="13"/>
      <c r="H5428" s="13"/>
      <c r="I5428" s="22" t="e">
        <f>VLOOKUP(J5428, Dropdowns!N:O, 2, FALSE)</f>
        <v>#N/A</v>
      </c>
    </row>
    <row r="5429" spans="2:9" x14ac:dyDescent="0.25">
      <c r="B5429" s="22" t="str">
        <f>IFERROR(VLOOKUP(A5429,VLOOKUPS!$A$2:B$12589,2,FALSE),"")</f>
        <v/>
      </c>
      <c r="G5429" s="13"/>
      <c r="H5429" s="13"/>
      <c r="I5429" s="22" t="e">
        <f>VLOOKUP(J5429, Dropdowns!N:O, 2, FALSE)</f>
        <v>#N/A</v>
      </c>
    </row>
    <row r="5430" spans="2:9" x14ac:dyDescent="0.25">
      <c r="B5430" s="22" t="str">
        <f>IFERROR(VLOOKUP(A5430,VLOOKUPS!$A$2:B$12589,2,FALSE),"")</f>
        <v/>
      </c>
      <c r="G5430" s="13"/>
      <c r="H5430" s="13"/>
      <c r="I5430" s="22" t="e">
        <f>VLOOKUP(J5430, Dropdowns!N:O, 2, FALSE)</f>
        <v>#N/A</v>
      </c>
    </row>
    <row r="5431" spans="2:9" x14ac:dyDescent="0.25">
      <c r="B5431" s="22" t="str">
        <f>IFERROR(VLOOKUP(A5431,VLOOKUPS!$A$2:B$12589,2,FALSE),"")</f>
        <v/>
      </c>
      <c r="G5431" s="13"/>
      <c r="H5431" s="13"/>
      <c r="I5431" s="22" t="e">
        <f>VLOOKUP(J5431, Dropdowns!N:O, 2, FALSE)</f>
        <v>#N/A</v>
      </c>
    </row>
    <row r="5432" spans="2:9" x14ac:dyDescent="0.25">
      <c r="B5432" s="22" t="str">
        <f>IFERROR(VLOOKUP(A5432,VLOOKUPS!$A$2:B$12589,2,FALSE),"")</f>
        <v/>
      </c>
      <c r="G5432" s="13"/>
      <c r="H5432" s="13"/>
      <c r="I5432" s="22" t="e">
        <f>VLOOKUP(J5432, Dropdowns!N:O, 2, FALSE)</f>
        <v>#N/A</v>
      </c>
    </row>
    <row r="5433" spans="2:9" x14ac:dyDescent="0.25">
      <c r="B5433" s="22" t="str">
        <f>IFERROR(VLOOKUP(A5433,VLOOKUPS!$A$2:B$12589,2,FALSE),"")</f>
        <v/>
      </c>
      <c r="G5433" s="13"/>
      <c r="H5433" s="13"/>
      <c r="I5433" s="22" t="e">
        <f>VLOOKUP(J5433, Dropdowns!N:O, 2, FALSE)</f>
        <v>#N/A</v>
      </c>
    </row>
    <row r="5434" spans="2:9" x14ac:dyDescent="0.25">
      <c r="B5434" s="22" t="str">
        <f>IFERROR(VLOOKUP(A5434,VLOOKUPS!$A$2:B$12589,2,FALSE),"")</f>
        <v/>
      </c>
      <c r="G5434" s="13"/>
      <c r="H5434" s="13"/>
      <c r="I5434" s="22" t="e">
        <f>VLOOKUP(J5434, Dropdowns!N:O, 2, FALSE)</f>
        <v>#N/A</v>
      </c>
    </row>
    <row r="5435" spans="2:9" x14ac:dyDescent="0.25">
      <c r="B5435" s="22" t="str">
        <f>IFERROR(VLOOKUP(A5435,VLOOKUPS!$A$2:B$12589,2,FALSE),"")</f>
        <v/>
      </c>
      <c r="G5435" s="13"/>
      <c r="H5435" s="13"/>
      <c r="I5435" s="22" t="e">
        <f>VLOOKUP(J5435, Dropdowns!N:O, 2, FALSE)</f>
        <v>#N/A</v>
      </c>
    </row>
    <row r="5436" spans="2:9" x14ac:dyDescent="0.25">
      <c r="B5436" s="22" t="str">
        <f>IFERROR(VLOOKUP(A5436,VLOOKUPS!$A$2:B$12589,2,FALSE),"")</f>
        <v/>
      </c>
      <c r="G5436" s="13"/>
      <c r="H5436" s="13"/>
      <c r="I5436" s="22" t="e">
        <f>VLOOKUP(J5436, Dropdowns!N:O, 2, FALSE)</f>
        <v>#N/A</v>
      </c>
    </row>
    <row r="5437" spans="2:9" x14ac:dyDescent="0.25">
      <c r="B5437" s="22" t="str">
        <f>IFERROR(VLOOKUP(A5437,VLOOKUPS!$A$2:B$12589,2,FALSE),"")</f>
        <v/>
      </c>
      <c r="G5437" s="13"/>
      <c r="H5437" s="13"/>
      <c r="I5437" s="22" t="e">
        <f>VLOOKUP(J5437, Dropdowns!N:O, 2, FALSE)</f>
        <v>#N/A</v>
      </c>
    </row>
    <row r="5438" spans="2:9" x14ac:dyDescent="0.25">
      <c r="B5438" s="22" t="str">
        <f>IFERROR(VLOOKUP(A5438,VLOOKUPS!$A$2:B$12589,2,FALSE),"")</f>
        <v/>
      </c>
      <c r="G5438" s="13"/>
      <c r="H5438" s="13"/>
      <c r="I5438" s="22" t="e">
        <f>VLOOKUP(J5438, Dropdowns!N:O, 2, FALSE)</f>
        <v>#N/A</v>
      </c>
    </row>
    <row r="5439" spans="2:9" x14ac:dyDescent="0.25">
      <c r="B5439" s="22" t="str">
        <f>IFERROR(VLOOKUP(A5439,VLOOKUPS!$A$2:B$12589,2,FALSE),"")</f>
        <v/>
      </c>
      <c r="G5439" s="13"/>
      <c r="H5439" s="13"/>
      <c r="I5439" s="22" t="e">
        <f>VLOOKUP(J5439, Dropdowns!N:O, 2, FALSE)</f>
        <v>#N/A</v>
      </c>
    </row>
    <row r="5440" spans="2:9" x14ac:dyDescent="0.25">
      <c r="B5440" s="22" t="str">
        <f>IFERROR(VLOOKUP(A5440,VLOOKUPS!$A$2:B$12589,2,FALSE),"")</f>
        <v/>
      </c>
      <c r="G5440" s="13"/>
      <c r="H5440" s="13"/>
      <c r="I5440" s="22" t="e">
        <f>VLOOKUP(J5440, Dropdowns!N:O, 2, FALSE)</f>
        <v>#N/A</v>
      </c>
    </row>
    <row r="5441" spans="2:9" x14ac:dyDescent="0.25">
      <c r="B5441" s="22" t="str">
        <f>IFERROR(VLOOKUP(A5441,VLOOKUPS!$A$2:B$12589,2,FALSE),"")</f>
        <v/>
      </c>
      <c r="G5441" s="13"/>
      <c r="H5441" s="13"/>
      <c r="I5441" s="22" t="e">
        <f>VLOOKUP(J5441, Dropdowns!N:O, 2, FALSE)</f>
        <v>#N/A</v>
      </c>
    </row>
    <row r="5442" spans="2:9" x14ac:dyDescent="0.25">
      <c r="B5442" s="22" t="str">
        <f>IFERROR(VLOOKUP(A5442,VLOOKUPS!$A$2:B$12589,2,FALSE),"")</f>
        <v/>
      </c>
      <c r="G5442" s="13"/>
      <c r="H5442" s="13"/>
      <c r="I5442" s="22" t="e">
        <f>VLOOKUP(J5442, Dropdowns!N:O, 2, FALSE)</f>
        <v>#N/A</v>
      </c>
    </row>
    <row r="5443" spans="2:9" x14ac:dyDescent="0.25">
      <c r="B5443" s="22" t="str">
        <f>IFERROR(VLOOKUP(A5443,VLOOKUPS!$A$2:B$12589,2,FALSE),"")</f>
        <v/>
      </c>
      <c r="G5443" s="13"/>
      <c r="H5443" s="13"/>
      <c r="I5443" s="22" t="e">
        <f>VLOOKUP(J5443, Dropdowns!N:O, 2, FALSE)</f>
        <v>#N/A</v>
      </c>
    </row>
    <row r="5444" spans="2:9" x14ac:dyDescent="0.25">
      <c r="B5444" s="22" t="str">
        <f>IFERROR(VLOOKUP(A5444,VLOOKUPS!$A$2:B$12589,2,FALSE),"")</f>
        <v/>
      </c>
      <c r="G5444" s="13"/>
      <c r="H5444" s="13"/>
      <c r="I5444" s="22" t="e">
        <f>VLOOKUP(J5444, Dropdowns!N:O, 2, FALSE)</f>
        <v>#N/A</v>
      </c>
    </row>
    <row r="5445" spans="2:9" x14ac:dyDescent="0.25">
      <c r="B5445" s="22" t="str">
        <f>IFERROR(VLOOKUP(A5445,VLOOKUPS!$A$2:B$12589,2,FALSE),"")</f>
        <v/>
      </c>
      <c r="G5445" s="13"/>
      <c r="H5445" s="13"/>
      <c r="I5445" s="22" t="e">
        <f>VLOOKUP(J5445, Dropdowns!N:O, 2, FALSE)</f>
        <v>#N/A</v>
      </c>
    </row>
    <row r="5446" spans="2:9" x14ac:dyDescent="0.25">
      <c r="B5446" s="22" t="str">
        <f>IFERROR(VLOOKUP(A5446,VLOOKUPS!$A$2:B$12589,2,FALSE),"")</f>
        <v/>
      </c>
      <c r="G5446" s="13"/>
      <c r="H5446" s="13"/>
      <c r="I5446" s="22" t="e">
        <f>VLOOKUP(J5446, Dropdowns!N:O, 2, FALSE)</f>
        <v>#N/A</v>
      </c>
    </row>
    <row r="5447" spans="2:9" x14ac:dyDescent="0.25">
      <c r="B5447" s="22" t="str">
        <f>IFERROR(VLOOKUP(A5447,VLOOKUPS!$A$2:B$12589,2,FALSE),"")</f>
        <v/>
      </c>
      <c r="G5447" s="13"/>
      <c r="H5447" s="13"/>
      <c r="I5447" s="22" t="e">
        <f>VLOOKUP(J5447, Dropdowns!N:O, 2, FALSE)</f>
        <v>#N/A</v>
      </c>
    </row>
    <row r="5448" spans="2:9" x14ac:dyDescent="0.25">
      <c r="B5448" s="22" t="str">
        <f>IFERROR(VLOOKUP(A5448,VLOOKUPS!$A$2:B$12589,2,FALSE),"")</f>
        <v/>
      </c>
      <c r="G5448" s="13"/>
      <c r="H5448" s="13"/>
      <c r="I5448" s="22" t="e">
        <f>VLOOKUP(J5448, Dropdowns!N:O, 2, FALSE)</f>
        <v>#N/A</v>
      </c>
    </row>
    <row r="5449" spans="2:9" x14ac:dyDescent="0.25">
      <c r="B5449" s="22" t="str">
        <f>IFERROR(VLOOKUP(A5449,VLOOKUPS!$A$2:B$12589,2,FALSE),"")</f>
        <v/>
      </c>
      <c r="G5449" s="13"/>
      <c r="H5449" s="13"/>
      <c r="I5449" s="22" t="e">
        <f>VLOOKUP(J5449, Dropdowns!N:O, 2, FALSE)</f>
        <v>#N/A</v>
      </c>
    </row>
    <row r="5450" spans="2:9" x14ac:dyDescent="0.25">
      <c r="B5450" s="22" t="str">
        <f>IFERROR(VLOOKUP(A5450,VLOOKUPS!$A$2:B$12589,2,FALSE),"")</f>
        <v/>
      </c>
      <c r="G5450" s="13"/>
      <c r="H5450" s="13"/>
      <c r="I5450" s="22" t="e">
        <f>VLOOKUP(J5450, Dropdowns!N:O, 2, FALSE)</f>
        <v>#N/A</v>
      </c>
    </row>
    <row r="5451" spans="2:9" x14ac:dyDescent="0.25">
      <c r="B5451" s="22" t="str">
        <f>IFERROR(VLOOKUP(A5451,VLOOKUPS!$A$2:B$12589,2,FALSE),"")</f>
        <v/>
      </c>
      <c r="G5451" s="13"/>
      <c r="H5451" s="13"/>
      <c r="I5451" s="22" t="e">
        <f>VLOOKUP(J5451, Dropdowns!N:O, 2, FALSE)</f>
        <v>#N/A</v>
      </c>
    </row>
    <row r="5452" spans="2:9" x14ac:dyDescent="0.25">
      <c r="B5452" s="22" t="str">
        <f>IFERROR(VLOOKUP(A5452,VLOOKUPS!$A$2:B$12589,2,FALSE),"")</f>
        <v/>
      </c>
      <c r="G5452" s="13"/>
      <c r="H5452" s="13"/>
      <c r="I5452" s="22" t="e">
        <f>VLOOKUP(J5452, Dropdowns!N:O, 2, FALSE)</f>
        <v>#N/A</v>
      </c>
    </row>
    <row r="5453" spans="2:9" x14ac:dyDescent="0.25">
      <c r="B5453" s="22" t="str">
        <f>IFERROR(VLOOKUP(A5453,VLOOKUPS!$A$2:B$12589,2,FALSE),"")</f>
        <v/>
      </c>
      <c r="G5453" s="13"/>
      <c r="H5453" s="13"/>
      <c r="I5453" s="22" t="e">
        <f>VLOOKUP(J5453, Dropdowns!N:O, 2, FALSE)</f>
        <v>#N/A</v>
      </c>
    </row>
    <row r="5454" spans="2:9" x14ac:dyDescent="0.25">
      <c r="B5454" s="22" t="str">
        <f>IFERROR(VLOOKUP(A5454,VLOOKUPS!$A$2:B$12589,2,FALSE),"")</f>
        <v/>
      </c>
      <c r="G5454" s="13"/>
      <c r="H5454" s="13"/>
      <c r="I5454" s="22" t="e">
        <f>VLOOKUP(J5454, Dropdowns!N:O, 2, FALSE)</f>
        <v>#N/A</v>
      </c>
    </row>
    <row r="5455" spans="2:9" x14ac:dyDescent="0.25">
      <c r="B5455" s="22" t="str">
        <f>IFERROR(VLOOKUP(A5455,VLOOKUPS!$A$2:B$12589,2,FALSE),"")</f>
        <v/>
      </c>
      <c r="G5455" s="13"/>
      <c r="H5455" s="13"/>
      <c r="I5455" s="22" t="e">
        <f>VLOOKUP(J5455, Dropdowns!N:O, 2, FALSE)</f>
        <v>#N/A</v>
      </c>
    </row>
    <row r="5456" spans="2:9" x14ac:dyDescent="0.25">
      <c r="B5456" s="22" t="str">
        <f>IFERROR(VLOOKUP(A5456,VLOOKUPS!$A$2:B$12589,2,FALSE),"")</f>
        <v/>
      </c>
      <c r="G5456" s="13"/>
      <c r="H5456" s="13"/>
      <c r="I5456" s="22" t="e">
        <f>VLOOKUP(J5456, Dropdowns!N:O, 2, FALSE)</f>
        <v>#N/A</v>
      </c>
    </row>
    <row r="5457" spans="2:9" x14ac:dyDescent="0.25">
      <c r="B5457" s="22" t="str">
        <f>IFERROR(VLOOKUP(A5457,VLOOKUPS!$A$2:B$12589,2,FALSE),"")</f>
        <v/>
      </c>
      <c r="G5457" s="13"/>
      <c r="H5457" s="13"/>
      <c r="I5457" s="22" t="e">
        <f>VLOOKUP(J5457, Dropdowns!N:O, 2, FALSE)</f>
        <v>#N/A</v>
      </c>
    </row>
    <row r="5458" spans="2:9" x14ac:dyDescent="0.25">
      <c r="B5458" s="22" t="str">
        <f>IFERROR(VLOOKUP(A5458,VLOOKUPS!$A$2:B$12589,2,FALSE),"")</f>
        <v/>
      </c>
      <c r="G5458" s="13"/>
      <c r="H5458" s="13"/>
      <c r="I5458" s="22" t="e">
        <f>VLOOKUP(J5458, Dropdowns!N:O, 2, FALSE)</f>
        <v>#N/A</v>
      </c>
    </row>
    <row r="5459" spans="2:9" x14ac:dyDescent="0.25">
      <c r="B5459" s="22" t="str">
        <f>IFERROR(VLOOKUP(A5459,VLOOKUPS!$A$2:B$12589,2,FALSE),"")</f>
        <v/>
      </c>
      <c r="G5459" s="13"/>
      <c r="H5459" s="13"/>
      <c r="I5459" s="22" t="e">
        <f>VLOOKUP(J5459, Dropdowns!N:O, 2, FALSE)</f>
        <v>#N/A</v>
      </c>
    </row>
    <row r="5460" spans="2:9" x14ac:dyDescent="0.25">
      <c r="B5460" s="22" t="str">
        <f>IFERROR(VLOOKUP(A5460,VLOOKUPS!$A$2:B$12589,2,FALSE),"")</f>
        <v/>
      </c>
      <c r="G5460" s="13"/>
      <c r="H5460" s="13"/>
      <c r="I5460" s="22" t="e">
        <f>VLOOKUP(J5460, Dropdowns!N:O, 2, FALSE)</f>
        <v>#N/A</v>
      </c>
    </row>
    <row r="5461" spans="2:9" x14ac:dyDescent="0.25">
      <c r="B5461" s="22" t="str">
        <f>IFERROR(VLOOKUP(A5461,VLOOKUPS!$A$2:B$12589,2,FALSE),"")</f>
        <v/>
      </c>
      <c r="G5461" s="13"/>
      <c r="H5461" s="13"/>
      <c r="I5461" s="22" t="e">
        <f>VLOOKUP(J5461, Dropdowns!N:O, 2, FALSE)</f>
        <v>#N/A</v>
      </c>
    </row>
    <row r="5462" spans="2:9" x14ac:dyDescent="0.25">
      <c r="B5462" s="22" t="str">
        <f>IFERROR(VLOOKUP(A5462,VLOOKUPS!$A$2:B$12589,2,FALSE),"")</f>
        <v/>
      </c>
      <c r="G5462" s="13"/>
      <c r="H5462" s="13"/>
      <c r="I5462" s="22" t="e">
        <f>VLOOKUP(J5462, Dropdowns!N:O, 2, FALSE)</f>
        <v>#N/A</v>
      </c>
    </row>
    <row r="5463" spans="2:9" x14ac:dyDescent="0.25">
      <c r="B5463" s="22" t="str">
        <f>IFERROR(VLOOKUP(A5463,VLOOKUPS!$A$2:B$12589,2,FALSE),"")</f>
        <v/>
      </c>
      <c r="G5463" s="13"/>
      <c r="H5463" s="13"/>
      <c r="I5463" s="22" t="e">
        <f>VLOOKUP(J5463, Dropdowns!N:O, 2, FALSE)</f>
        <v>#N/A</v>
      </c>
    </row>
    <row r="5464" spans="2:9" x14ac:dyDescent="0.25">
      <c r="B5464" s="22" t="str">
        <f>IFERROR(VLOOKUP(A5464,VLOOKUPS!$A$2:B$12589,2,FALSE),"")</f>
        <v/>
      </c>
      <c r="G5464" s="13"/>
      <c r="H5464" s="13"/>
      <c r="I5464" s="22" t="e">
        <f>VLOOKUP(J5464, Dropdowns!N:O, 2, FALSE)</f>
        <v>#N/A</v>
      </c>
    </row>
    <row r="5465" spans="2:9" x14ac:dyDescent="0.25">
      <c r="B5465" s="22" t="str">
        <f>IFERROR(VLOOKUP(A5465,VLOOKUPS!$A$2:B$12589,2,FALSE),"")</f>
        <v/>
      </c>
      <c r="G5465" s="13"/>
      <c r="H5465" s="13"/>
      <c r="I5465" s="22" t="e">
        <f>VLOOKUP(J5465, Dropdowns!N:O, 2, FALSE)</f>
        <v>#N/A</v>
      </c>
    </row>
    <row r="5466" spans="2:9" x14ac:dyDescent="0.25">
      <c r="B5466" s="22" t="str">
        <f>IFERROR(VLOOKUP(A5466,VLOOKUPS!$A$2:B$12589,2,FALSE),"")</f>
        <v/>
      </c>
      <c r="G5466" s="13"/>
      <c r="H5466" s="13"/>
      <c r="I5466" s="22" t="e">
        <f>VLOOKUP(J5466, Dropdowns!N:O, 2, FALSE)</f>
        <v>#N/A</v>
      </c>
    </row>
    <row r="5467" spans="2:9" x14ac:dyDescent="0.25">
      <c r="B5467" s="22" t="str">
        <f>IFERROR(VLOOKUP(A5467,VLOOKUPS!$A$2:B$12589,2,FALSE),"")</f>
        <v/>
      </c>
      <c r="G5467" s="13"/>
      <c r="H5467" s="13"/>
      <c r="I5467" s="22" t="e">
        <f>VLOOKUP(J5467, Dropdowns!N:O, 2, FALSE)</f>
        <v>#N/A</v>
      </c>
    </row>
    <row r="5468" spans="2:9" x14ac:dyDescent="0.25">
      <c r="B5468" s="22" t="str">
        <f>IFERROR(VLOOKUP(A5468,VLOOKUPS!$A$2:B$12589,2,FALSE),"")</f>
        <v/>
      </c>
      <c r="G5468" s="13"/>
      <c r="H5468" s="13"/>
      <c r="I5468" s="22" t="e">
        <f>VLOOKUP(J5468, Dropdowns!N:O, 2, FALSE)</f>
        <v>#N/A</v>
      </c>
    </row>
    <row r="5469" spans="2:9" x14ac:dyDescent="0.25">
      <c r="B5469" s="22" t="str">
        <f>IFERROR(VLOOKUP(A5469,VLOOKUPS!$A$2:B$12589,2,FALSE),"")</f>
        <v/>
      </c>
      <c r="G5469" s="13"/>
      <c r="H5469" s="13"/>
      <c r="I5469" s="22" t="e">
        <f>VLOOKUP(J5469, Dropdowns!N:O, 2, FALSE)</f>
        <v>#N/A</v>
      </c>
    </row>
    <row r="5470" spans="2:9" x14ac:dyDescent="0.25">
      <c r="B5470" s="22" t="str">
        <f>IFERROR(VLOOKUP(A5470,VLOOKUPS!$A$2:B$12589,2,FALSE),"")</f>
        <v/>
      </c>
      <c r="G5470" s="13"/>
      <c r="H5470" s="13"/>
      <c r="I5470" s="22" t="e">
        <f>VLOOKUP(J5470, Dropdowns!N:O, 2, FALSE)</f>
        <v>#N/A</v>
      </c>
    </row>
    <row r="5471" spans="2:9" x14ac:dyDescent="0.25">
      <c r="B5471" s="22" t="str">
        <f>IFERROR(VLOOKUP(A5471,VLOOKUPS!$A$2:B$12589,2,FALSE),"")</f>
        <v/>
      </c>
      <c r="G5471" s="13"/>
      <c r="H5471" s="13"/>
      <c r="I5471" s="22" t="e">
        <f>VLOOKUP(J5471, Dropdowns!N:O, 2, FALSE)</f>
        <v>#N/A</v>
      </c>
    </row>
    <row r="5472" spans="2:9" x14ac:dyDescent="0.25">
      <c r="B5472" s="22" t="str">
        <f>IFERROR(VLOOKUP(A5472,VLOOKUPS!$A$2:B$12589,2,FALSE),"")</f>
        <v/>
      </c>
      <c r="G5472" s="13"/>
      <c r="H5472" s="13"/>
      <c r="I5472" s="22" t="e">
        <f>VLOOKUP(J5472, Dropdowns!N:O, 2, FALSE)</f>
        <v>#N/A</v>
      </c>
    </row>
    <row r="5473" spans="2:9" x14ac:dyDescent="0.25">
      <c r="B5473" s="22" t="str">
        <f>IFERROR(VLOOKUP(A5473,VLOOKUPS!$A$2:B$12589,2,FALSE),"")</f>
        <v/>
      </c>
      <c r="G5473" s="13"/>
      <c r="H5473" s="13"/>
      <c r="I5473" s="22" t="e">
        <f>VLOOKUP(J5473, Dropdowns!N:O, 2, FALSE)</f>
        <v>#N/A</v>
      </c>
    </row>
    <row r="5474" spans="2:9" x14ac:dyDescent="0.25">
      <c r="B5474" s="22" t="str">
        <f>IFERROR(VLOOKUP(A5474,VLOOKUPS!$A$2:B$12589,2,FALSE),"")</f>
        <v/>
      </c>
      <c r="G5474" s="13"/>
      <c r="H5474" s="13"/>
      <c r="I5474" s="22" t="e">
        <f>VLOOKUP(J5474, Dropdowns!N:O, 2, FALSE)</f>
        <v>#N/A</v>
      </c>
    </row>
    <row r="5475" spans="2:9" x14ac:dyDescent="0.25">
      <c r="B5475" s="22" t="str">
        <f>IFERROR(VLOOKUP(A5475,VLOOKUPS!$A$2:B$12589,2,FALSE),"")</f>
        <v/>
      </c>
      <c r="G5475" s="13"/>
      <c r="H5475" s="13"/>
      <c r="I5475" s="22" t="e">
        <f>VLOOKUP(J5475, Dropdowns!N:O, 2, FALSE)</f>
        <v>#N/A</v>
      </c>
    </row>
    <row r="5476" spans="2:9" x14ac:dyDescent="0.25">
      <c r="B5476" s="22" t="str">
        <f>IFERROR(VLOOKUP(A5476,VLOOKUPS!$A$2:B$12589,2,FALSE),"")</f>
        <v/>
      </c>
      <c r="G5476" s="13"/>
      <c r="H5476" s="13"/>
      <c r="I5476" s="22" t="e">
        <f>VLOOKUP(J5476, Dropdowns!N:O, 2, FALSE)</f>
        <v>#N/A</v>
      </c>
    </row>
    <row r="5477" spans="2:9" x14ac:dyDescent="0.25">
      <c r="B5477" s="22" t="str">
        <f>IFERROR(VLOOKUP(A5477,VLOOKUPS!$A$2:B$12589,2,FALSE),"")</f>
        <v/>
      </c>
      <c r="G5477" s="13"/>
      <c r="H5477" s="13"/>
      <c r="I5477" s="22" t="e">
        <f>VLOOKUP(J5477, Dropdowns!N:O, 2, FALSE)</f>
        <v>#N/A</v>
      </c>
    </row>
    <row r="5478" spans="2:9" x14ac:dyDescent="0.25">
      <c r="B5478" s="22" t="str">
        <f>IFERROR(VLOOKUP(A5478,VLOOKUPS!$A$2:B$12589,2,FALSE),"")</f>
        <v/>
      </c>
      <c r="G5478" s="13"/>
      <c r="H5478" s="13"/>
      <c r="I5478" s="22" t="e">
        <f>VLOOKUP(J5478, Dropdowns!N:O, 2, FALSE)</f>
        <v>#N/A</v>
      </c>
    </row>
    <row r="5479" spans="2:9" x14ac:dyDescent="0.25">
      <c r="B5479" s="22" t="str">
        <f>IFERROR(VLOOKUP(A5479,VLOOKUPS!$A$2:B$12589,2,FALSE),"")</f>
        <v/>
      </c>
      <c r="I5479" s="22" t="e">
        <f>VLOOKUP(J5479, Dropdowns!N:O, 2, FALSE)</f>
        <v>#N/A</v>
      </c>
    </row>
    <row r="5480" spans="2:9" x14ac:dyDescent="0.25">
      <c r="B5480" s="22" t="str">
        <f>IFERROR(VLOOKUP(A5480,VLOOKUPS!$A$2:B$12589,2,FALSE),"")</f>
        <v/>
      </c>
      <c r="I5480" s="22" t="e">
        <f>VLOOKUP(J5480, Dropdowns!N:O, 2, FALSE)</f>
        <v>#N/A</v>
      </c>
    </row>
  </sheetData>
  <autoFilter ref="A2:AA5021" xr:uid="{DB577C69-EBDD-44B1-A150-F9B563EB2848}"/>
  <conditionalFormatting sqref="I1730 I2207 E3:F2847 E2851:F1048576">
    <cfRule type="expression" dxfId="21" priority="20">
      <formula>AND(TRIM($J3)="Back to Normal",$F3&lt;$E3)</formula>
    </cfRule>
    <cfRule type="expression" dxfId="20" priority="21">
      <formula>AND(TRIM($J3)="Temporary Price Change",$F3&gt;$E3)</formula>
    </cfRule>
  </conditionalFormatting>
  <conditionalFormatting sqref="G3:H2847 G2851:H4079 G4084:H999987">
    <cfRule type="expression" dxfId="19" priority="18">
      <formula>AND(TRIM($J3)="Back to Normal", TRIM($G3)="")</formula>
    </cfRule>
    <cfRule type="expression" dxfId="18" priority="19">
      <formula>AND(TRIM($J3)="Temporary Price Change", TRIM($H3)="")</formula>
    </cfRule>
  </conditionalFormatting>
  <conditionalFormatting sqref="D1:D2847 D2851:D4079 D4084:D1048576">
    <cfRule type="expression" dxfId="17" priority="16">
      <formula>AND(ISBLANK(D1),OR(J1= "Delist", J1= "New Item"))</formula>
    </cfRule>
  </conditionalFormatting>
  <conditionalFormatting sqref="E2848:F2848">
    <cfRule type="expression" dxfId="16" priority="14">
      <formula>AND(TRIM($J2848)="Back to Normal",$F2848&lt;$E2848)</formula>
    </cfRule>
    <cfRule type="expression" dxfId="15" priority="15">
      <formula>AND(TRIM($J2848)="Temporary Price Change",$F2848&gt;$E2848)</formula>
    </cfRule>
  </conditionalFormatting>
  <conditionalFormatting sqref="G2848:H2848">
    <cfRule type="expression" dxfId="14" priority="12">
      <formula>AND(TRIM($J2848)="Back to Normal", TRIM($G2848)="")</formula>
    </cfRule>
    <cfRule type="expression" dxfId="13" priority="13">
      <formula>AND(TRIM($J2848)="Temporary Price Change", TRIM($H2848)="")</formula>
    </cfRule>
  </conditionalFormatting>
  <conditionalFormatting sqref="D2848">
    <cfRule type="expression" dxfId="12" priority="11">
      <formula>AND(ISBLANK(D2848),OR(J2848= "Delist", J2848= "New Item"))</formula>
    </cfRule>
  </conditionalFormatting>
  <conditionalFormatting sqref="E2849:F2849">
    <cfRule type="expression" dxfId="11" priority="9">
      <formula>AND(TRIM($J2849)="Back to Normal",$F2849&lt;$E2849)</formula>
    </cfRule>
    <cfRule type="expression" dxfId="10" priority="10">
      <formula>AND(TRIM($J2849)="Temporary Price Change",$F2849&gt;$E2849)</formula>
    </cfRule>
  </conditionalFormatting>
  <conditionalFormatting sqref="G2849:H2849">
    <cfRule type="expression" dxfId="9" priority="7">
      <formula>AND(TRIM($J2849)="Back to Normal", TRIM($G2849)="")</formula>
    </cfRule>
    <cfRule type="expression" dxfId="8" priority="8">
      <formula>AND(TRIM($J2849)="Temporary Price Change", TRIM($H2849)="")</formula>
    </cfRule>
  </conditionalFormatting>
  <conditionalFormatting sqref="D2849">
    <cfRule type="expression" dxfId="7" priority="6">
      <formula>AND(ISBLANK(D2849),OR(J2849= "Delist", J2849= "New Item"))</formula>
    </cfRule>
  </conditionalFormatting>
  <conditionalFormatting sqref="E2850:F2850">
    <cfRule type="expression" dxfId="6" priority="4">
      <formula>AND(TRIM($J2850)="Back to Normal",$F2850&lt;$E2850)</formula>
    </cfRule>
    <cfRule type="expression" dxfId="5" priority="5">
      <formula>AND(TRIM($J2850)="Temporary Price Change",$F2850&gt;$E2850)</formula>
    </cfRule>
  </conditionalFormatting>
  <conditionalFormatting sqref="G2850:H2850">
    <cfRule type="expression" dxfId="4" priority="2">
      <formula>AND(TRIM($J2850)="Back to Normal", TRIM($G2850)="")</formula>
    </cfRule>
    <cfRule type="expression" dxfId="3" priority="3">
      <formula>AND(TRIM($J2850)="Temporary Price Change", TRIM($H2850)="")</formula>
    </cfRule>
  </conditionalFormatting>
  <conditionalFormatting sqref="D2850">
    <cfRule type="expression" dxfId="2" priority="1">
      <formula>AND(ISBLANK(D2850),OR(J2850= "Delist", J2850= "New Item"))</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xr:uid="{7D1EB9E7-7385-41D7-B6B0-B82B1C6340CA}">
          <x14:formula1>
            <xm:f>OFFSET(Dropdowns!$K$1, 1, 0, COUNTA(Dropdowns!$K:$K) - 1, 1)</xm:f>
          </x14:formula1>
          <xm:sqref>O1 O3:O1048576</xm:sqref>
        </x14:dataValidation>
        <x14:dataValidation type="list" allowBlank="1" showInputMessage="1" showErrorMessage="1" xr:uid="{E91BB3D4-524F-4AE6-AAD8-37D14849BA93}">
          <x14:formula1>
            <xm:f>OFFSET(Dropdowns!$L$1, 1, 0, COUNTA(Dropdowns!$L:$L) - 1, 1)</xm:f>
          </x14:formula1>
          <xm:sqref>P1 P3:P1048576</xm:sqref>
        </x14:dataValidation>
        <x14:dataValidation type="list" showInputMessage="1" showErrorMessage="1" xr:uid="{29677942-00E4-499F-9EFB-B00A01570C24}">
          <x14:formula1>
            <xm:f>OFFSET(Dropdowns!$N$1, 1, 0, COUNTA(Dropdowns!$N:$N)-1,1)</xm:f>
          </x14:formula1>
          <xm:sqref>J1 J3:J4079 J4084:J1048576</xm:sqref>
        </x14:dataValidation>
        <x14:dataValidation type="list" allowBlank="1" showInputMessage="1" showErrorMessage="1" xr:uid="{72E60468-846B-475B-BA31-F71F8AD78FF0}">
          <x14:formula1>
            <xm:f>OFFSET(Dropdowns!$D$1, 1, 0, COUNTA(Dropdowns!$D:$D) - 1, 1)</xm:f>
          </x14:formula1>
          <xm:sqref>M3:M33 M35:M36 M2709:M2847 L2842:L2856 M2660:M2694 M2534:M2658 M2532 M2308:M2530 M2233:M2304 M2306 M2173:M2230 M2171 M2169 M2167 M2165 M2062:M2163 M2060 M2042:M2058 M2040 M1985:M2038 M1983 M1948:M1981 M1838:M1943 M1836 M1776:M1834 M1774 M1629:M1772 M1627 M1618:M1625 M1611:M1616 M1608:M1609 M1589:M1606 M1587 M1584 M1582 M1578:M1580 M1575 M1467:M1573 M1465 M1436:M1463 M1414:M1434 M1388:M1412 M1386 M1367:M1384 M1348:M1365 M1346 M1344 M1340:M1342 M1338 M1324:M1336 M1322 M1310:M1320 M1281:M1308 M1255:M1279 M1253 M1232:M1251 M1157:M1230 M1151:M1155 M1149 M1131:M1147 M1129 M1052:M1127 M1024:M1050 M1022 M1005:M1020 M1003 M932:M1001 M930 M880:M928 M878 M875:M876 M865:M872 M861:M863 M859 M854:M857 M852 M831:M850 M829 M825:M827 M823 M817:M821 M815 M764:M813 M744:M762 M729:M742 M727 M719:M725 M620:M717 M618 M605:M616 M585:M603 M536:M583 M423:M534 M415:M421 M411:M413 M398:M409 M376:M396 M312:M374 M310 M269:M308 M259 M255:M257 M245:M253 M243 M216:M241 M193:M214 M173:M191 M171 M130:M169 M122:M128 M120 M69:M118 M67 M38:M65 M2851:M3195 M3198:M3218 M3220:M4019 M4023:M4030 M4032 M4034 M4036 M4038:M4057 M4059 M4061 M4063 M4065:M4088 M4090:M4099 M4102:M4106 M4109:M4112 M4114 M4116 M4119:M4124 M4126:M4138 M4140:M4148 M4150:M4171 M4173 M4175 M4179:M4180 M4182 M4184 M4186:M4204 M4206 M4208 M4210 M4212:M4226 M4228:M4229 M4232 M4234 M4236:M4237 M4239:M4247 M4249 M4251:M4252 M4254:M4261 M4264:M4267 M4270:M4275 M4278:M4279 M4281:M4309 M4312:M4317 M4320:M4321 M4323 M4325 M4327 M4329:M4336 M4339:M4342 M4344:M4348 M4350 M4352:M4355 M4358:M4363 M4366 M4369:M4374 M4385:M4387 M4390 M4392:M4397 M4399:M4401 M4403 M4405:M4408 M4410:M4411 M4413:M4440 M4443 M4446 M4448 M4458 M4460:M4461 M4464 M4467 M4488:M4498 M4479:M4486 M4471:M4477 M4500:M4503 M4505:M4509 M4511:M4517 M4520:M4522 M4532 M4534:M4552 M4554 M4558:M4564 M4566 M4568:M4571 M4573:M4576 M4578 M4580:M4582 M4584 M4586:M4604 M4606 M4608:M4610 M4612 M4614 M4616 M4618:M4620 M4622:M4629 M4631:M4635 M4641:M4646 M4649:M4659 M4662:M4664 M4666:M4677 M4679 M4682 M4684:M4698 M4700:M4704 M4706 M4708:M4711 M4714:M4715 M4717 M4720 M4724:M4726 M4728 M4731:M4732 M4734:M4753 M4755:M4760 M4762 M4764:M4767 M4769:M4774 M4776 M4778:M4781 M4783 M4785:M4795 M4797 M4799:M4809 M4812:M4814 M4816 M4818 M4820 M4822:M4828 M4830:M4833 M4835:M4841 M4843:M4854 M4856 M4859 M4861 M4863:M4867 M4869 M4871:M4877 M4888 M4890 M4893 M4917:M4918 M4920:M4941 M4945:M4946 M4948:M4957 M4959 M4961:M4963 M4965 M4967 M4969 M4971 M4973 M4975:M4977 M4979 M4981:M4989 M4991 M4994:M4998 M5000:M5001 M5003:M5010 M5012 M5014 M5017:M5024 M5026:M5031 M5033:M5039 M5041 M5043 M5045 M5047 M5049 M5051 M5053 M5055 M5057 M5059 M5061 M5063 M5065 M5067 M5069 M5071 M5073:M5090 M5092 M5094 M5097 M5099 M5101:M5102 M5104:M5118 M5121:M5129 M5131:M5138 M5140 M5142:M5147 M5150 M5152 M5154:M5164 M5166 M5168:M5171 M5175 M5177:M5180 M5182 M5184 M5186 M5191 M5194 M5197 M5219 M5224 M5226:M5229 M5232:M5233 M5236:M5241 M5243 M5245 M5247 M5249 M5251 M5253 M5256 M5258:M5262 M5264 M5266:M5268 M5270:M5271 M5274 M5276:M5277 M5281 M5283 M5285 M5290:M5292 M5295:M5299 M5301 M5303 M5306:M5307 M5310 M5313 M5316 M5319 M5322:M5324 M5326 M5328 M5330:M5331 M5333 M5335 M5337 M5339 M5342 M5345:M5353 M5356:M5357 M5360:M5364 M5367 M5369:M5384</xm:sqref>
        </x14:dataValidation>
        <x14:dataValidation type="list" allowBlank="1" showInputMessage="1" showErrorMessage="1" xr:uid="{013780F9-E878-4926-914C-4B4778BD9137}">
          <x14:formula1>
            <xm:f>OFFSET(Dropdowns!$H$1, 1, 0, COUNTA(Dropdowns!$H:$H) - 1, 1)</xm:f>
          </x14:formula1>
          <xm:sqref>N3:N11 N14:N24 N3142:N3143 N3136:N3137 N3131 N3127:N3128 N3123:N3124 N3112:N3116 N3102:N3107 N3100 N3094:N3095 N3080:N3085 N3070:N3073 N3042:N3044 N3047 N3051:N3052 N3038:N3039 N3036 N3027:N3033 N3024:N3025 N3020:N3022 N3013:N3017 N2993:N2994 N2990:N2991 N2984:N2985 N2981 N2968:N2974 N2953:N2957 N2951 N2944 N2942 N2938:N2940 N2934:N2935 N2918:N2923 N2913:N2915 N2897:N2907 N2894:N2895 N2892 N2882 N2880 N2873:N2877 N2868:N2871 N2865:N2866 N2841:N2856 N2836:N2837 N2833:N2834 N2819:N2830 N2809:N2810 N2804 N2791:N2792 N2787:N2789 N2783:N2785 N2765:N2766 N2743:N2750 N2736:N2740 N2730:N2731 N2725:N2727 N2720 N2709:N2716 N2692:N2694 N2684:N2687 N2680:N2681 N2662:N2666 N2660 N2656:N2658 N2646 N2644 N2638:N2642 N2622:N2633 N2616:N2618 N2604:N2607 N2602 N2594:N2599 N2587:N2591 N2581:N2582 N2575:N2576 N2564:N2572 N2561 N2554:N2558 N2546:N2549 N2538:N2544 N2536 N2532 N2530 N2522:N2524 N2518:N2519 N2515:N2516 N2511:N2512 N2507:N2508 N2504 N2501 N2493:N2499 N2490:N2491 N2488 N2482:N2486 N2478:N2479 N2476 N2473 N2457:N2464 N2453 N2449:N2451 N2445:N2446 N2437:N2438 N2430:N2432 N2426:N2427 N2422:N2423 N2416:N2418 N2411:N2414 N2407 N2402:N2404 N2396:N2399 N2380:N2392 N2377 N2369:N2373 N2360:N2364 N2358 N2350:N2353 N2339:N2343 N2333:N2334 N2328 N2325 N2242:N2244 N2315:N2322 N2308:N2310 N2287:N2294 N2279:N2284 N2276 N2271 N2261:N2267 N2249:N2252 N2235:N2237 N2229 N2218:N2222 N2211:N2215 N2209 N2185:N2198 N2177:N2178 N2173:N2174 N2160:N2162 N2154:N2157 N2149 N2141:N2142 N2133 N2120:N2131 N2106:N2115 N2102:N2103 N2096:N2097 N2089:N2091 N2078:N2087 N2070:N2071 N2064:N2065 N2048:N2053 N2044:N2045 N2034:N2037 N2020:N2031 N2012:N2015 N2007:N2008 N2003:N2005 N1999 N1990:N1994 N1987 N1964:N1972 N1957:N1959 N1954:N1955 N1951 N1948 N1941:N1942 N1933:N1938 N1918:N1930 N1915 N1906:N1908 N1902:N1904 N1899 N1891:N1892 N1886 N1883 N1874 N1867:N1869 N1864 N1859 N1854:N1855 N1848:N1849 N1844:N1846 N1821:N1829 N1815:N1816 N1810 N1803:N1807 N1794:N1798 N1780:N1785 N1769 N1759:N1760 N1753:N1756 N1741:N1742 N1739 N1735 N1726:N1732 N1701:N1716 N1694:N1695 N1687:N1689 N1684:N1685 N1682 N1680 N1632:N1635 N1669 N1666 N1663:N1664 N1660:N1661 N1656:N1657 N1650:N1651 N1671:N1678 N1618:N1624 N1629 N1611:N1616 N1608:N1609 N1602:N1605 N1594:N1597 N1589:N1591 N1584 N1578:N1579 N1572 N1564:N1565 N1560:N1562 N1552:N1553 N1546:N1549 N1540:N1543 N1530:N1533 N1519:N1520 N1517 N1494:N1507 N1488:N1491 N1483:N1485 N1478 N1476 N1471:N1472 N1451:N1456 N1446:N1448 N1442:N1443 N1436:N1439 N1421:N1427 N1414 N1407:N1411 N1405 N1402 N1399 N1393:N1396 N1388:N1391 N1386 N1383:N1384 N1367:N1374 N1361:N1365 N1359 N1355:N1356 N1348:N1352 N1346 N1338 N1334:N1336 N1331 N1327 N1312:N1315 N1306 N1292:N1304 N1289 N1287 N1281:N1282 N1279 N1277 N1271:N1275 N1265:N1266 N1255:N1256 N1247:N1250 N1241:N1242 N1238 N1232:N1235 N1229 N1222:N1224 N1212:N1213 N1204:N1207 N1202 N1199 N1173:N1184 N1161:N1162 N1151:N1155 N1146 N1143:N1144 N1137:N1140 N1129 N1127 N1115:N1116 N1111:N1112 N1104:N1108 N1100:N1101 N1096:N1097 N1087:N1089 N1054:N1084 N1052 N1050 N1048 N1039 N1036 N1024:N1031 N1022 N1020 N1014:N1017 N1005:N1008 N999:N1001 N987:N994 N984 N981 N977:N978 N972:N975 N962:N970 N955:N959 N935:N952 N932 N926:N927 N923 N911:N920 N899:N908 N894 N888:N891 N880:N885 N878 N875:N876 N865:N872 N863 N854 N852 N846:N848 N842:N843 N831:N837 N829 N825:N827 N817:N820 N811:N812 N803:N808 N785:N800 N778:N782 N764:N776 N760 N756:N757 N742 N737 N733:N734 N723:N724 N719:N720 N715:N716 N713 N697:N710 N685:N686 N675:N678 N666:N672 N659:N662 N653:N655 N640:N646 N635:N637 N633 N628:N629 N610:N615 N605:N606 N599:N600 N586:N594 N583 N581 N566:N572 N559:N562 N555 N549:N553 N544:N547 N536:N538 N532:N533 N510:N519 N494:N495 N484:N491 N473:N477 N465:N470 N458 N428:N429 N455 N444:N453 N423:N425 N415 N409 N394 N392 N383:N390 N359:N374 N353 N332:N335 N347 N338:N343 N349:N350 N327:N330 N323:N325 N320:N321 N312:N318 N302:N303 N299:N300 N294:N295 N288:N291 N283:N285 N277:N281 N259 N255:N257 N245:N253 N229:N236 N227 N222:N224 N216:N217 N211:N214 N206:N208 N201:N203 N193:N196 N190 N188 N175:N186 N164:N168 N157:N159 N151:N153 N144:N149 N138:N141 N130:N135 N124:N125 N116:N117 N114 N111:N112 N100:N109 N96:N97 N88:N91 N81:N84 N76:N77 N69:N73 N57:N64 N48:N55 N40:N44 N38 N35 N27:N31 N3146:N3149 N3152:N3155 N3158:N3162 N3167:N3169 N3171 N3173 N3176:N3182 N3185:N3189 N3192:N3195 N3199:N3215 N3220:N3222 N3225:N3229 N3238:N3241 N3244:N3247 N3250:N3251 N3260:N3262 N3265:N3266 N3269:N3273 N3276:N3279 N3282:N3286 N3289:N3294 N3297:N3300 N3305:N3306 N3311:N3312 N3315:N3316 N3319:N3320 N3327 N3330:N3331 N3334:N3335 N3338 N3343:N3351 N3356:N3359 N3362:N3367 N3370:N3377 N3382:N3383 N3386 N3388 N3391:N3394 N3396:N3399 N3402:N3403 N3406:N3407 N3410:N3411 N3413 N3415:N3418 N3420 N3423:N3425 N3428:N3432 N3437:N3438 N3441:N3442 N3451:N3455 N3458 N3463:N3466 N3469:N3470 N3473:N3474 N3479 N3484:N3486 N3491 N3493:N3494 N3499:N3500 N3503:N3507 N3518:N3521 N3523:N3529 N3555:N3558 N3532:N3539 N3542 N3547:N3549 N3553 N3512:N3515 N3561 N3563:N3564 N3574:N3582 N3566:N3572 N3585:N3587 N3590:N3593 N3600 N3605:N3607 N3610:N3612 N3614 N3616 N3618:N3622 N3625:N3627 N3629:N3631 N3646:N3652 N3656:N3661 N3663:N3673 N3676 N3683:N3692 N3695:N3701 N3704:N3707 N3716:N3720 N3722:N3726 N3729:N3730 N3733:N3734 N3737 N3740:N3745 N3750:N3765 N3768:N3785 N3789:N3790 N3793 N3795 N3797 N3800:N3801 N3805 N3808 N3815 N3819 N3821:N3823 N3827:N3834 N3837 N3844:N3845 N3848:N3849 N3856 N3858:N3860 N3862:N3870 N3875:N3877 N3879 N3881:N3883 N3892 N3910:N3914 N3930 N3922 N3894:N3895 N4003 N4012:N4013 N4018:N4019 N4023:N4024 N4026:N4027 N4032 N4049:N4054 N4067 N4070:N4074 N4077 N4092 N4094 N4097:N4098 N4128:N4131 N4136 N4140:N4143 N4145:N4146 N4150 N4153:N4155 N4160:N4161 N4163:N4164 N4169:N4170 N4186:N4189 N4196 N4198 N4200 N4202:N4203 N4212:N4213 N4224:N4225 N4236 N4242:N4246 N4251:N4252 N4254:N4258 N4264:N4266 N4270:N4273 N4278 N4281 N4284:N4285 N4288 N4290 N4292:N4297 N4303:N4304 N4306:N4307 N4313:N4315 N4317 N4320 N4330:N4334 N4346:N4347 N4353 N4369:N4374 N4358:N4359 N4385:N4386 N4390 N4392:N4393 N4396 N4399:N4400 N4405:N4406 N4413:N4414 N4417:N4418 N4420:N4421 N4426:N4427 N4429:N4431 N4436:N4437 N4460 N4484:N4485 N4475:N4477 N4497 N4501:N4502 N4505 N4507 N4511:N4514 N4516 N4520 N4537:N4538 N4551 N4598:N4599 N4604 N4609:N4610 N4622 N4627 N4629 N4631 N4651:N4652 N4662:N4663 N4667:N4669 N4674 N4692:N4694 N4709:N4710 N4734:N4738 N4741:N4743 N4764 N4794 N4799:N4800 N4804:N4805 N4808 N4824 N4826:N4827 N4831:N4832 N4835 N4841 N4844 N4851:N4853 N4863:N4866 N4872:N4873 N4917 N4924:N4926 N4935 N4938:N4940 N4995:N4997 N5001 N5007:N5009 N5018 N5021:N5023 N5026:N5030 N5034:N5035 N5075:N5082 N5087 N5110:N5111 N5113 N5116:N5117 N5170 N5177:N5178 N5228 N5232 N5259 N5266 N5290:N5291 N5296 N5306 N5322:N5324 N5356</xm:sqref>
        </x14:dataValidation>
        <x14:dataValidation type="list" allowBlank="1" showInputMessage="1" showErrorMessage="1" xr:uid="{FC96CC1A-D0FD-465D-9EFC-9ACB30A9B495}">
          <x14:formula1>
            <xm:f>OFFSET(Dropdowns!$I$1, 1, 0, COUNTA(Dropdowns!$I:$I) - 1, 1)</xm:f>
          </x14:formula1>
          <xm:sqref>N25:N26 N3144:N3145 N3138:N3141 N3125:N3126 N3119:N3120 N3110:N3111 N3096:N3099 N3074:N3075 N3088:N3093 N3078:N3079 N3063:N3064 N3048:N3050 N3037 N3026 N3023 N2999:N3002 N2992 N2979:N2980 N2964:N2965 N2958:N2961 N2945:N2950 N2943 N2941 N2936:N2937 N2924:N2933 N2916:N2917 N2908:N2912 N2896 N2893 N2883:N2889 N2881 N2867 N2857:N2862 N2835 N2831:N2832 N2817:N2818 N2811:N2812 N2807:N2808 N2803 N2797:N2798 N2790 N2786 N2781:N2782 N2771:N2772 N2767:N2768 N2761:N2764 N2751:N2756 N2741 N2734:N2735 N2728:N2729 N2723:N2724 N2717:N2719 N2688:N2689 N2682:N2683 N2675:N2676 N2667:N2672 N2661 N2655 N2649:N2652 N2634:N2635 N2621 N2610:N2615 N2603 N2583:N2584 N2577:N2580 N2562 N2537 N2534:N2535 N2525:N2526 N2513:N2514 N2505 N2502:N2503 N2489 N2487 N2480:N2481 N2474:N2475 N2467:N2472 N2454 N2447:N2448 N2433:N2434 N2428:N2429 N2420:N2421 N2400:N2401 N2395 N2378:N2379 N2374:N2376 N2365:N2368 N2359 N2354:N2357 N2346:N2347 N2335:N2338 N2329:N2330 N2326:N2327 N2323:N2324 N2311:N2312 N2297:N2299 N2277:N2278 N2272:N2273 N2255:N2260 N2234 N2227:N2228 N2210 N2199:N2208 N2181:N2184 N2158:N2159 N2150:N2151 N2148 N2135:N2136 N2072:N2077 N2068:N2069 N2062:N2063 N2054:N2057 N2046:N2047 N2032:N2033 N2016:N2019 N2009:N2010 N2006 N2002 N1995:N1996 N1975:N1976 N1960:N1961 N1952:N1953 N1905 N1900:N1901 N1895:N1896 N1889:N1890 N1881:N1882 N1875:N1878 N1872:N1873 N1860:N1861 N1856:N1858 N1850:N1853 N1847 N1838:N1841 N1819:N1820 N1808:N1809 N1799:N1802 N1792:N1793 N1770:N1771 N1763:N1766 N1751:N1752 N1747:N1748 N1743:N1744 N1740 N1733:N1734 N1721:N1725 N1700 N1690:N1693 N1683 N1681 N1679 N1668 N1665 N1662 N1658:N1659 N1652:N1655 N1646:N1647 N1640:N1643 N1636:N1637 N1566:N1571 N1563 N1558:N1559 N1550:N1551 N1544:N1545 N1534:N1535 N1525:N1527 N1513:N1514 N1479:N1482 N1477 N1473:N1475 N1467:N1470 N1449:N1450 N1444:N1445 N1440:N1441 N1430:N1433 N1415:N1418 N1406 N1403:N1404 N1392 N1381:N1382 N1377:N1378 N1340:N1341 N1332:N1333 N1328:N1330 N1325:N1326 N1307 N1305 N1288 N1283:N1286 N1267:N1270 N1261:N1262 N1257:N1258 N1243:N1246 N1236:N1237 N1225:N1228 N1220:N1221 N1216:N1217 N1208:N1211 N1203 N1201 N1191:N1192 N1185:N1186 N1163:N1172 N1157:N1160 N1141:N1142 N1131:N1132 N1125:N1126 N1121:N1122 N1117:N1118 N1113:N1114 N1094:N1095 N1090:N1091 N1085:N1086 N1053 N1046:N1047 N1042:N1043 N1037:N1038 N1034:N1035 N1009:N1010 N985:N986 N982:N983 N976 N953:N954 N933:N934 N924:N925 N921:N922 N909:N910 N895:N898 N892:N893 N886:N887 N861:N862 N855:N856 N849 N838:N841 N801:N802 N783:N784 N758:N759 N754:N755 N744:N745 N735 N738:N741 N729:N732 N712 N695:N696 N687:N690 N679:N684 N673:N674 N663:N665 N657:N658 N649:N652 N638:N639 N634 N632 N620:N627 N607:N608 N595:N598 N585 N579:N580 N573:N574 N548 N540:N541 N526:N531 N520 N522 N504:N509 N492:N493 N463:N464 N430:N431 N420:N421 N416 N411 N398:N399 N331 N319 N306:N307 N296:N297 N271:N274 N237:N238 N204:N205 N197:N198 N189 N160:N163 N154:N156 N142:N143 N115 N113 N110 N87 N78:N80 N75 N56 N39 N32 N3150:N3151 N3170 N3172 N3175 N3190:N3191 N3198 N3234:N3237 N3242:N3243 N3248:N3249 N3252:N3259 N3263:N3264 N3287:N3288 N3295:N3296 N3301:N3302 N3307:N3308 N3317:N3318 N3321:N3322 N3328:N3329 N3336:N3337 N3339:N3342 N3352:N3355 N3360:N3361 N3384:N3385 N3395 N3400:N3401 N3404:N3405 N3408:N3409 N3412 N3419 N3421:N3422 N3426:N3427 N3433:N3436 N3445:N3448 N3459:N3460 N3467:N3468 N3471:N3472 N3475:N3478 N3480:N3483 N3487:N3490 N3492 N3495:N3498 N3516:N3517 N3530:N3531 N3540:N3541 N3545:N3546 N3550:N3552 N3554 N3511 N3560 N3562 N3565 N3573 N3594:N3597 N3608:N3609 N3613 N3615 N3634:N3635 N3638:N3639 N3644:N3645 N3653 N3674:N3675 N3677:N3678 N3681:N3682 N3693:N3694 N3710:N3711 N3714:N3715 N3731:N3732 N3735:N3736 N3738:N3739 N3746:N3749 N3786:N3787 N3820 N3794 N3796 N3798 N3802:N3804 N3806:N3807 N3810:N3811 N3814 N3791:N3792 N3838:N3843 N3854 N3857 N3861 N3873:N3874 N3878 N4025 N3963 N4084:N4085 N4093 N4104:N4105 N4109:N4111 N4119:N4120 N4127 N4134:N4135 N4137 N4144 N4151:N4152 N4157 N4162 N4190:N4191 N4194:N4195 N4197 N4199 N4201 N4219 N4221 N4223 N4226 N4259:N4260 N4279 N4282:N4283 N4286:N4287 N4291 N4302 N4305 N4312 N4329 N4339:N4340 N4352 N4407:N4408 N4411 N4415:N4416 N4419 N4428 N4472:N4474 N4483 N4488:N4490 N4492 N4494 N4496 N4506 N4508 N4521:N4522 N4536 N4547:N4550 N4554 N4558:N4559 N4563 N4576 N4581:N4582 N4587:N4590 N4592:N4595 N4625 N4632:N4633 N4641:N4642 N4645:N4646 N4649:N4650 N4653 N4655 N4666 N4670 N4673 N4675:N4676 N4688:N4691 N4695:N4698 N4700:N4701 N4724:N4725 N4748:N4752 N4755:N4759 N4765:N4766 N4770:N4773 N4778 N4787:N4791 N4803 N4812 N4822:N4823 N4825 N4830 N4840 N4843 N4846 N4871 N4921:N4923 N4927:N4928 N4948 N4975:N4976 N4981:N4982 N4984:N4986 N5000 N5017 N5036 N5073 N5083:N5084 N5088 N5112 N5115 N5158:N5159 N5179:N5180 N5330 N5333 N5381:N5384</xm:sqref>
        </x14:dataValidation>
        <x14:dataValidation type="list" allowBlank="1" showInputMessage="1" showErrorMessage="1" xr:uid="{9DD87A4A-F7BE-4B0F-BBCB-A8823F3A816F}">
          <x14:formula1>
            <xm:f>OFFSET(Dropdowns!$E$1, 1, 0, COUNTA(Dropdowns!$E:$E) - 1, 1)</xm:f>
          </x14:formula1>
          <xm:sqref>M34 M2659 M2533 M2531 M2307 M2305 M2231:M2232 M2172 M2170 M2168 M2166 M2164 M2061 M2059 M2041 M2039 M1984 M1982 M1944:M1947 M1837 M1835 M1775 M1773 M1628 M1626 M1617 M1610 M1607 M1588 M1585:M1586 M1583 M1581 M1576:M1577 M1574 M1466 M1464 M1435 M1413 M1387 M1385 M1366 M1347 M1345 M1343 M1339 M1337 M1323 M1321 M1309 M1280 M1254 M1252 M1231 M1156 M1150 M1148 M1130 M1128 M1051 M1023 M1021 M1004 M1002 M931 M929 M879 M877 M873:M874 M864 M860 M858 M853 M851 M830 M828 M824 M822 M816 M814 M763 M743 M728 M726 M718 M619 M617 M604 M584 M535 M422 M414 M410 M397 M375 M311 M309 M258 M254 M244 M242 M215 M192 M172 M170 M129 M121 M119 M68 M66 M37 M3196:M3197 M3219 M4020:M4022 M4031 M4033 M4035 M4037 M4058 M4060 M4062 M4064 M4089 M4100:M4101 M4107:M4108 M4113 M4115 M4117:M4118 M4125 M4139 M4149 M4172 M4174 M4176:M4178 M4181 M4183 M4185 M4205 M4207 M4209 M4211 M4227 M4230:M4231 M4233 M4235 M4238 M4248 M4250 M4253 M4262:M4263 M4268:M4269 M4276:M4277 M4280 M4310:M4311 M4318:M4319 M4322 M4324 M4326 M4328 M4337:M4338 M4343 M4349 M4351 M4356:M4357 M4364:M4365 M4367:M4368 M4375:M4384 M4388:M4389 M4391 M4398 M4402 M4404 M4409 M4412 M4441:M4442 M4444:M4445 M4447 M4449:M4457 M4459 M4462:M4463 M4465:M4466 M4468:M4470 M4478 M4487 M4499 M4504 M4510 M4518:M4519 M4523:M4531 M4533 M4553 M4555:M4557 M4565 M4567 M4572 M4577 M4579 M4583 M4585 M4605 M4607 M4611 M4613 M4615 M4617 M4621 M4630 M4636:M4640 M4647:M4648 M4660:M4661 M4665 M4678 M4680:M4681 M4683 M4699 M4705 M4707 M4712:M4713 M4716 M4718:M4719 M4721:M4723 M4727 M4729:M4730 M4733 M4754 M4761 M4763 M4768 M4775 M4777 M4782 M4784 M4796 M4798 M4810:M4811 M4815 M4817 M4819 M4821 M4829 M4834 M4842 M4855 M4857:M4858 M4860 M4862 M4868 M4870 M4878:M4887 M4889 M4891:M4892 M4894:M4916 M4919 M4942:M4944 M4947 M4958 M4960 M4964 M4966 M4968 M4970 M4972 M4974 M4978 M4980 M4990 M4992:M4993 M4999 M5002 M5011 M5013 M5015:M5016 M5025 M5032 M5040 M5042 M5044 M5046 M5048 M5050 M5052 M5054 M5056 M5058 M5060 M5062 M5064 M5066 M5068 M5070 M5072 M5091 M5093 M5095:M5096 M5098 M5100 M5103 M5119:M5120 M5130 M5139 M5141 M5148:M5149 M5151 M5153 M5165 M5167 M5172:M5174 M5176 M5181 M5183 M5185 M5187:M5190 M5192:M5193 M5195:M5196 M5198:M5218 M5220:M5223 M5225 M5230:M5231 M5234:M5235 M5242 M5244 M5246 M5248 M5250 M5252 M5254:M5255 M5257 M5263 M5265 M5269 M5272:M5273 M5275 M5278:M5280 M5282 M5284 M5286:M5289 M5293:M5294 M5300 M5302 M5304:M5305 M5308:M5309 M5311:M5312 M5314:M5315 M5317:M5318 M5320:M5321 M5325 M5327 M5329 M5332 M5334 M5336 M5338 M5340:M5341 M5343:M5344 M5354:M5355 M5358:M5359 M5365:M5366 M5368</xm:sqref>
        </x14:dataValidation>
        <x14:dataValidation type="list" allowBlank="1" showInputMessage="1" showErrorMessage="1" xr:uid="{CAB3AF18-47EF-4AC8-8EA6-7A4EA429A87B}">
          <x14:formula1>
            <xm:f>OFFSET(Dropdowns!$H$1, 1, 0, COUNTA(Dropdowns!$H:$H) - 2, 1)</xm:f>
          </x14:formula1>
          <xm:sqref>N34 N2659 N2533 N2531 N2307 N2305 N2231:N2232 N2172 N2170 N2168 N2166 N2164 N2061 N2059 N1984 N1982 N1944:N1947 N1628 N1626 N1617 N1610 N1607 N1588 N1585:N1586 N1583 N1581 N1576:N1577 N1574 N1466 N1464 N1435 N1413 N1387 N1385 N1366 N1347 N1339 N1337 N1323 N1321 N1309 N1280 N1254 N1252 N1231 N1156 N1150 N1148 N1130 N1128 N1051 N1023 N1021 N1004 N1002 N931 N929 N879 N877 N873:N874 N864 N860 N858 N853 N851 N830 N828 N824 N822 N816 N814 N763 N728 N726 N584 N535 N422 N410 N397 N375 N311 N309 N258 N254 N244 N242 N215 N129 N121 N119 N68 N66 N37 N3196:N3197 N3219 N4020:N4022 N4031 N4033 N4035 N4037 N4058 N4060 N4062 N4064 N4100 N4107 N4113 N4115 N4117 N4139 N4149 N4178 N4205 N4207 N4209 N4211 N4227 N4230 N4248 N4250 N4253 N4262 N4268 N4276:N4277 N4280 N4310:N4311 N4318:N4319 N4337:N4338 N4343 N4349 N4351 N4356:N4357 N4364:N4365 N4367:N4368 N4375:N4384 N4388 N4398 N4402 N4404 N4409 N4412 N4441 N4444 N4456:N4457 N4459 N4463 N4466 N4469:N4470 N4478 N4487 N4499 N4504 N4510 N4518 N4523:N4531 N4555:N4557 N4565 N4567 N4572 N4577 N4579 N4583 N4585 N4605 N4607 N4611 N4613 N4615 N4617 N4630 N4638:N4640 N4647:N4648 N4661 N4665 N4678 N4680:N4681 N4683 N4699 N4705 N4707 N4712 N4719 N4722:N4723 N4727 N4729:N4730 N4733 N4754 N4761 N4763 N4768 N4775 N4777 N4782 N4784 N4796 N4798 N4810 N4815 N4817 N4819 N4821 N4829 N4842 N4858 N4868 N4870 N4878:N4887 N4889 N4895:N4916 N4919 N4943:N4944 N4947 N4964 N4966 N4968 N4970 N4972 N4974 N4978 N4980 N4990 N4992:N4993 N4999 N5002 N5016 N5025 N5032 N5091 N5095:N5096 N5098 N5100 N5103 N5120 N5130 N5139 N5141 N5148 N5151 N5153 N5165 N5167 N5172 N5174 N5181 N5188:N5190 N5193 N5196 N5199:N5218 N5221:N5223 N5230 N5235 N5242 N5244 N5252 N5254:N5255 N5257 N5263 N5265 N5269 N5272:N5273 N5278:N5280 N5287:N5289 N5294 N5300 N5302 N5304 N5309 N5312 N5315 N5318 N5321 N5325 N5329 N5332 N5334 N5338 N5340 N5344 N5355 N5359 N5365:N5366</xm:sqref>
        </x14:dataValidation>
        <x14:dataValidation type="list" allowBlank="1" showInputMessage="1" showErrorMessage="1" xr:uid="{0397B1D4-52E7-4FB3-9C4E-9AA6F67D1BEE}">
          <x14:formula1>
            <xm:f>OFFSET(Dropdowns!$I$1, 1, 0, COUNTA(Dropdowns!$I:$I) - 2, 1)</xm:f>
          </x14:formula1>
          <xm:sqref>N170 N2041 N2039 N1837 N1835 N1775 N1773 N1345 N1343 N743 N718 N619 N617 N604 N414 N192 N172 N4089 N4101 N4108 N4118 N4125 N4172 N4174 N4176:N4177 N4181 N4183 N4185 N4231 N4233 N4235 N4238 N4263 N4269 N4322 N4324 N4326 N4328 N4389 N4391 N4442 N4445 N4447 N4449:N4455 N4462 N4465 N4468 N4519 N4533 N4553 N4621 N4636:N4637 N4660 N4713 N4716 N4718 N4721 N4811 N4834 N4855 N4857 N4860 N4862 N4891:N4892 N4894 N4942 N4958 N4960 N5011 N5013 N5015 N5040 N5042 N5044 N5046 N5048 N5050 N5052 N5054 N5056 N5058 N5060 N5062 N5064 N5066 N5068 N5070 N5072 N5093 N5119 N5149 N5173 N5176 N5183 N5185 N5187 N5192 N5195 N5198 N5220 N5225 N5231 N5234 N5246 N5248 N5250 N5275 N5282 N5284 N5286 N5293 N5305 N5308 N5311 N5314 N5317 N5320 N5327 N5336 N5341 N5343 N5354 N5358 N5368</xm:sqref>
        </x14:dataValidation>
        <x14:dataValidation type="list" allowBlank="1" showInputMessage="1" showErrorMessage="1" xr:uid="{9541BA96-E88D-4C5C-936B-59BE2CF03D50}">
          <x14:formula1>
            <xm:f>OFFSET(Dropdowns!$A$1, 1, 0, COUNTA(Dropdowns!A:A) - 1, 1)</xm:f>
          </x14:formula1>
          <xm:sqref>L3:L2841 L2857:L1048576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2470C-9365-4F59-8F77-7B80E92CCEE5}">
  <sheetPr codeName="Sheet2"/>
  <dimension ref="A1:K3453"/>
  <sheetViews>
    <sheetView workbookViewId="0">
      <selection activeCell="B50" sqref="B50"/>
    </sheetView>
  </sheetViews>
  <sheetFormatPr defaultRowHeight="15" x14ac:dyDescent="0.25"/>
  <cols>
    <col min="1" max="1" width="7.42578125" bestFit="1" customWidth="1"/>
    <col min="2" max="2" width="47.85546875" bestFit="1" customWidth="1"/>
    <col min="10" max="10" width="15.42578125" customWidth="1"/>
  </cols>
  <sheetData>
    <row r="1" spans="1:11" x14ac:dyDescent="0.25">
      <c r="A1" s="18" t="s">
        <v>18</v>
      </c>
      <c r="B1" s="14" t="s">
        <v>19</v>
      </c>
    </row>
    <row r="2" spans="1:11" x14ac:dyDescent="0.25">
      <c r="A2">
        <v>238433</v>
      </c>
      <c r="B2" s="29" t="s">
        <v>20</v>
      </c>
    </row>
    <row r="3" spans="1:11" x14ac:dyDescent="0.25">
      <c r="A3">
        <v>240977</v>
      </c>
      <c r="B3" s="29" t="s">
        <v>21</v>
      </c>
      <c r="E3" s="32" t="s">
        <v>774</v>
      </c>
      <c r="F3" s="33"/>
      <c r="G3" s="33"/>
      <c r="H3" s="33"/>
      <c r="I3" s="33"/>
      <c r="J3" s="33"/>
      <c r="K3" s="19"/>
    </row>
    <row r="4" spans="1:11" x14ac:dyDescent="0.25">
      <c r="A4">
        <v>240978</v>
      </c>
      <c r="B4" s="29" t="s">
        <v>22</v>
      </c>
      <c r="E4" s="34"/>
      <c r="F4" s="35"/>
      <c r="G4" s="35"/>
      <c r="H4" s="35"/>
      <c r="I4" s="35"/>
      <c r="J4" s="35"/>
      <c r="K4" s="20"/>
    </row>
    <row r="5" spans="1:11" x14ac:dyDescent="0.25">
      <c r="A5">
        <v>980000</v>
      </c>
      <c r="B5" s="29" t="s">
        <v>23</v>
      </c>
      <c r="E5" s="34"/>
      <c r="F5" s="35"/>
      <c r="G5" s="35"/>
      <c r="H5" s="35"/>
      <c r="I5" s="35"/>
      <c r="J5" s="35"/>
      <c r="K5" s="20"/>
    </row>
    <row r="6" spans="1:11" x14ac:dyDescent="0.25">
      <c r="A6">
        <v>980005</v>
      </c>
      <c r="B6" s="29" t="s">
        <v>24</v>
      </c>
      <c r="E6" s="36"/>
      <c r="F6" s="37"/>
      <c r="G6" s="37"/>
      <c r="H6" s="37"/>
      <c r="I6" s="37"/>
      <c r="J6" s="37"/>
      <c r="K6" s="21"/>
    </row>
    <row r="7" spans="1:11" x14ac:dyDescent="0.25">
      <c r="A7">
        <v>980010</v>
      </c>
      <c r="B7" s="29" t="s">
        <v>25</v>
      </c>
    </row>
    <row r="8" spans="1:11" x14ac:dyDescent="0.25">
      <c r="A8">
        <v>980091</v>
      </c>
      <c r="B8" s="29" t="s">
        <v>26</v>
      </c>
    </row>
    <row r="9" spans="1:11" x14ac:dyDescent="0.25">
      <c r="A9">
        <v>980100</v>
      </c>
      <c r="B9" s="29" t="s">
        <v>27</v>
      </c>
    </row>
    <row r="10" spans="1:11" x14ac:dyDescent="0.25">
      <c r="A10">
        <v>980150</v>
      </c>
      <c r="B10" s="29" t="s">
        <v>28</v>
      </c>
    </row>
    <row r="11" spans="1:11" x14ac:dyDescent="0.25">
      <c r="A11">
        <v>980201</v>
      </c>
      <c r="B11" s="29" t="s">
        <v>29</v>
      </c>
    </row>
    <row r="12" spans="1:11" x14ac:dyDescent="0.25">
      <c r="A12">
        <v>980202</v>
      </c>
      <c r="B12" s="29" t="s">
        <v>30</v>
      </c>
    </row>
    <row r="13" spans="1:11" x14ac:dyDescent="0.25">
      <c r="A13">
        <v>980210</v>
      </c>
      <c r="B13" s="29" t="s">
        <v>31</v>
      </c>
    </row>
    <row r="14" spans="1:11" x14ac:dyDescent="0.25">
      <c r="A14">
        <v>995172</v>
      </c>
      <c r="B14" s="29" t="s">
        <v>1076</v>
      </c>
    </row>
    <row r="15" spans="1:11" x14ac:dyDescent="0.25">
      <c r="A15">
        <v>980211</v>
      </c>
      <c r="B15" s="29" t="s">
        <v>32</v>
      </c>
    </row>
    <row r="16" spans="1:11" x14ac:dyDescent="0.25">
      <c r="A16">
        <v>980212</v>
      </c>
      <c r="B16" s="29" t="s">
        <v>33</v>
      </c>
    </row>
    <row r="17" spans="1:2" x14ac:dyDescent="0.25">
      <c r="A17">
        <v>980213</v>
      </c>
      <c r="B17" s="29" t="s">
        <v>34</v>
      </c>
    </row>
    <row r="18" spans="1:2" x14ac:dyDescent="0.25">
      <c r="A18">
        <v>995126</v>
      </c>
      <c r="B18" s="29" t="s">
        <v>1074</v>
      </c>
    </row>
    <row r="19" spans="1:2" x14ac:dyDescent="0.25">
      <c r="A19">
        <v>988640</v>
      </c>
      <c r="B19" s="29" t="s">
        <v>1084</v>
      </c>
    </row>
    <row r="20" spans="1:2" x14ac:dyDescent="0.25">
      <c r="A20">
        <v>980220</v>
      </c>
      <c r="B20" s="29" t="s">
        <v>35</v>
      </c>
    </row>
    <row r="21" spans="1:2" x14ac:dyDescent="0.25">
      <c r="A21">
        <v>995168</v>
      </c>
      <c r="B21" s="29" t="s">
        <v>1077</v>
      </c>
    </row>
    <row r="22" spans="1:2" x14ac:dyDescent="0.25">
      <c r="A22">
        <v>995173</v>
      </c>
      <c r="B22" s="29" t="s">
        <v>1078</v>
      </c>
    </row>
    <row r="23" spans="1:2" x14ac:dyDescent="0.25">
      <c r="A23">
        <v>995174</v>
      </c>
      <c r="B23" s="29" t="s">
        <v>1079</v>
      </c>
    </row>
    <row r="24" spans="1:2" x14ac:dyDescent="0.25">
      <c r="A24">
        <v>995112</v>
      </c>
      <c r="B24" s="29" t="s">
        <v>1082</v>
      </c>
    </row>
    <row r="25" spans="1:2" x14ac:dyDescent="0.25">
      <c r="A25">
        <v>995164</v>
      </c>
      <c r="B25" s="29" t="s">
        <v>1083</v>
      </c>
    </row>
    <row r="26" spans="1:2" x14ac:dyDescent="0.25">
      <c r="A26">
        <v>980221</v>
      </c>
      <c r="B26" s="29" t="s">
        <v>36</v>
      </c>
    </row>
    <row r="27" spans="1:2" x14ac:dyDescent="0.25">
      <c r="A27">
        <v>980271</v>
      </c>
      <c r="B27" s="29" t="s">
        <v>37</v>
      </c>
    </row>
    <row r="28" spans="1:2" x14ac:dyDescent="0.25">
      <c r="A28">
        <v>980400</v>
      </c>
      <c r="B28" s="29" t="s">
        <v>38</v>
      </c>
    </row>
    <row r="29" spans="1:2" x14ac:dyDescent="0.25">
      <c r="A29">
        <v>980410</v>
      </c>
      <c r="B29" s="29" t="s">
        <v>39</v>
      </c>
    </row>
    <row r="30" spans="1:2" x14ac:dyDescent="0.25">
      <c r="A30">
        <v>995156</v>
      </c>
      <c r="B30" s="29" t="s">
        <v>1066</v>
      </c>
    </row>
    <row r="31" spans="1:2" x14ac:dyDescent="0.25">
      <c r="A31">
        <v>995166</v>
      </c>
      <c r="B31" s="29" t="s">
        <v>1075</v>
      </c>
    </row>
    <row r="32" spans="1:2" x14ac:dyDescent="0.25">
      <c r="A32">
        <v>995163</v>
      </c>
      <c r="B32" s="29" t="s">
        <v>1067</v>
      </c>
    </row>
    <row r="33" spans="1:2" x14ac:dyDescent="0.25">
      <c r="A33">
        <v>980500</v>
      </c>
      <c r="B33" s="29" t="s">
        <v>40</v>
      </c>
    </row>
    <row r="34" spans="1:2" x14ac:dyDescent="0.25">
      <c r="A34">
        <v>980501</v>
      </c>
      <c r="B34" s="29" t="s">
        <v>41</v>
      </c>
    </row>
    <row r="35" spans="1:2" x14ac:dyDescent="0.25">
      <c r="A35">
        <v>980502</v>
      </c>
      <c r="B35" s="29" t="s">
        <v>42</v>
      </c>
    </row>
    <row r="36" spans="1:2" x14ac:dyDescent="0.25">
      <c r="A36">
        <v>980503</v>
      </c>
      <c r="B36" s="29" t="s">
        <v>43</v>
      </c>
    </row>
    <row r="37" spans="1:2" x14ac:dyDescent="0.25">
      <c r="A37">
        <v>980507</v>
      </c>
      <c r="B37" s="29" t="s">
        <v>44</v>
      </c>
    </row>
    <row r="38" spans="1:2" x14ac:dyDescent="0.25">
      <c r="A38">
        <v>980551</v>
      </c>
      <c r="B38" s="29" t="s">
        <v>45</v>
      </c>
    </row>
    <row r="39" spans="1:2" x14ac:dyDescent="0.25">
      <c r="A39">
        <v>980680</v>
      </c>
      <c r="B39" s="29" t="s">
        <v>46</v>
      </c>
    </row>
    <row r="40" spans="1:2" x14ac:dyDescent="0.25">
      <c r="A40">
        <v>980700</v>
      </c>
      <c r="B40" s="29" t="s">
        <v>47</v>
      </c>
    </row>
    <row r="41" spans="1:2" x14ac:dyDescent="0.25">
      <c r="A41">
        <v>980730</v>
      </c>
      <c r="B41" s="29" t="s">
        <v>48</v>
      </c>
    </row>
    <row r="42" spans="1:2" x14ac:dyDescent="0.25">
      <c r="A42">
        <v>980731</v>
      </c>
      <c r="B42" s="29" t="s">
        <v>49</v>
      </c>
    </row>
    <row r="43" spans="1:2" x14ac:dyDescent="0.25">
      <c r="A43">
        <v>980821</v>
      </c>
      <c r="B43" s="29" t="s">
        <v>50</v>
      </c>
    </row>
    <row r="44" spans="1:2" x14ac:dyDescent="0.25">
      <c r="A44">
        <v>980829</v>
      </c>
      <c r="B44" s="29" t="s">
        <v>51</v>
      </c>
    </row>
    <row r="45" spans="1:2" x14ac:dyDescent="0.25">
      <c r="A45">
        <v>980830</v>
      </c>
      <c r="B45" s="29" t="s">
        <v>52</v>
      </c>
    </row>
    <row r="46" spans="1:2" x14ac:dyDescent="0.25">
      <c r="A46">
        <v>980831</v>
      </c>
      <c r="B46" s="29" t="s">
        <v>53</v>
      </c>
    </row>
    <row r="47" spans="1:2" x14ac:dyDescent="0.25">
      <c r="A47">
        <v>980832</v>
      </c>
      <c r="B47" s="29" t="s">
        <v>54</v>
      </c>
    </row>
    <row r="48" spans="1:2" x14ac:dyDescent="0.25">
      <c r="A48">
        <v>980833</v>
      </c>
      <c r="B48" s="29" t="s">
        <v>55</v>
      </c>
    </row>
    <row r="49" spans="1:2" x14ac:dyDescent="0.25">
      <c r="A49">
        <v>980890</v>
      </c>
      <c r="B49" s="29" t="s">
        <v>56</v>
      </c>
    </row>
    <row r="50" spans="1:2" x14ac:dyDescent="0.25">
      <c r="A50">
        <v>980921</v>
      </c>
      <c r="B50" s="29" t="s">
        <v>57</v>
      </c>
    </row>
    <row r="51" spans="1:2" x14ac:dyDescent="0.25">
      <c r="A51">
        <v>980930</v>
      </c>
      <c r="B51" s="29" t="s">
        <v>58</v>
      </c>
    </row>
    <row r="52" spans="1:2" x14ac:dyDescent="0.25">
      <c r="A52">
        <v>980931</v>
      </c>
      <c r="B52" s="29" t="s">
        <v>59</v>
      </c>
    </row>
    <row r="53" spans="1:2" x14ac:dyDescent="0.25">
      <c r="A53">
        <v>980990</v>
      </c>
      <c r="B53" s="29" t="s">
        <v>60</v>
      </c>
    </row>
    <row r="54" spans="1:2" x14ac:dyDescent="0.25">
      <c r="A54">
        <v>981080</v>
      </c>
      <c r="B54" s="29" t="s">
        <v>61</v>
      </c>
    </row>
    <row r="55" spans="1:2" x14ac:dyDescent="0.25">
      <c r="A55">
        <v>981081</v>
      </c>
      <c r="B55" s="29" t="s">
        <v>62</v>
      </c>
    </row>
    <row r="56" spans="1:2" x14ac:dyDescent="0.25">
      <c r="A56">
        <v>981089</v>
      </c>
      <c r="B56" s="29" t="s">
        <v>63</v>
      </c>
    </row>
    <row r="57" spans="1:2" x14ac:dyDescent="0.25">
      <c r="A57">
        <v>981100</v>
      </c>
      <c r="B57" s="29" t="s">
        <v>64</v>
      </c>
    </row>
    <row r="58" spans="1:2" x14ac:dyDescent="0.25">
      <c r="A58">
        <v>981120</v>
      </c>
      <c r="B58" s="29" t="s">
        <v>65</v>
      </c>
    </row>
    <row r="59" spans="1:2" x14ac:dyDescent="0.25">
      <c r="A59">
        <v>981130</v>
      </c>
      <c r="B59" s="29" t="s">
        <v>66</v>
      </c>
    </row>
    <row r="60" spans="1:2" x14ac:dyDescent="0.25">
      <c r="A60">
        <v>981131</v>
      </c>
      <c r="B60" s="29" t="s">
        <v>67</v>
      </c>
    </row>
    <row r="61" spans="1:2" x14ac:dyDescent="0.25">
      <c r="A61">
        <v>981132</v>
      </c>
      <c r="B61" s="29" t="s">
        <v>68</v>
      </c>
    </row>
    <row r="62" spans="1:2" x14ac:dyDescent="0.25">
      <c r="A62">
        <v>981141</v>
      </c>
      <c r="B62" s="29" t="s">
        <v>69</v>
      </c>
    </row>
    <row r="63" spans="1:2" x14ac:dyDescent="0.25">
      <c r="A63">
        <v>981150</v>
      </c>
      <c r="B63" s="29" t="s">
        <v>70</v>
      </c>
    </row>
    <row r="64" spans="1:2" x14ac:dyDescent="0.25">
      <c r="A64">
        <v>981161</v>
      </c>
      <c r="B64" s="29" t="s">
        <v>71</v>
      </c>
    </row>
    <row r="65" spans="1:2" x14ac:dyDescent="0.25">
      <c r="A65">
        <v>981180</v>
      </c>
      <c r="B65" s="29" t="s">
        <v>72</v>
      </c>
    </row>
    <row r="66" spans="1:2" x14ac:dyDescent="0.25">
      <c r="A66">
        <v>981186</v>
      </c>
      <c r="B66" s="29" t="s">
        <v>73</v>
      </c>
    </row>
    <row r="67" spans="1:2" x14ac:dyDescent="0.25">
      <c r="A67">
        <v>981187</v>
      </c>
      <c r="B67" s="29" t="s">
        <v>74</v>
      </c>
    </row>
    <row r="68" spans="1:2" x14ac:dyDescent="0.25">
      <c r="A68">
        <v>981200</v>
      </c>
      <c r="B68" s="29" t="s">
        <v>75</v>
      </c>
    </row>
    <row r="69" spans="1:2" x14ac:dyDescent="0.25">
      <c r="A69">
        <v>981201</v>
      </c>
      <c r="B69" s="29" t="s">
        <v>76</v>
      </c>
    </row>
    <row r="70" spans="1:2" x14ac:dyDescent="0.25">
      <c r="A70">
        <v>981202</v>
      </c>
      <c r="B70" s="29" t="s">
        <v>77</v>
      </c>
    </row>
    <row r="71" spans="1:2" x14ac:dyDescent="0.25">
      <c r="A71">
        <v>981203</v>
      </c>
      <c r="B71" s="29" t="s">
        <v>78</v>
      </c>
    </row>
    <row r="72" spans="1:2" x14ac:dyDescent="0.25">
      <c r="A72">
        <v>981204</v>
      </c>
      <c r="B72" s="29" t="s">
        <v>79</v>
      </c>
    </row>
    <row r="73" spans="1:2" x14ac:dyDescent="0.25">
      <c r="A73">
        <v>981205</v>
      </c>
      <c r="B73" s="29" t="s">
        <v>80</v>
      </c>
    </row>
    <row r="74" spans="1:2" x14ac:dyDescent="0.25">
      <c r="A74">
        <v>981206</v>
      </c>
      <c r="B74" s="29" t="s">
        <v>81</v>
      </c>
    </row>
    <row r="75" spans="1:2" x14ac:dyDescent="0.25">
      <c r="A75">
        <v>981207</v>
      </c>
      <c r="B75" s="29" t="s">
        <v>82</v>
      </c>
    </row>
    <row r="76" spans="1:2" x14ac:dyDescent="0.25">
      <c r="A76">
        <v>981210</v>
      </c>
      <c r="B76" s="29" t="s">
        <v>83</v>
      </c>
    </row>
    <row r="77" spans="1:2" x14ac:dyDescent="0.25">
      <c r="A77">
        <v>981220</v>
      </c>
      <c r="B77" s="29" t="s">
        <v>84</v>
      </c>
    </row>
    <row r="78" spans="1:2" x14ac:dyDescent="0.25">
      <c r="A78">
        <v>981221</v>
      </c>
      <c r="B78" s="29" t="s">
        <v>85</v>
      </c>
    </row>
    <row r="79" spans="1:2" x14ac:dyDescent="0.25">
      <c r="A79">
        <v>981222</v>
      </c>
      <c r="B79" s="29" t="s">
        <v>86</v>
      </c>
    </row>
    <row r="80" spans="1:2" x14ac:dyDescent="0.25">
      <c r="A80">
        <v>981230</v>
      </c>
      <c r="B80" s="29" t="s">
        <v>87</v>
      </c>
    </row>
    <row r="81" spans="1:2" x14ac:dyDescent="0.25">
      <c r="A81">
        <v>981240</v>
      </c>
      <c r="B81" s="29" t="s">
        <v>88</v>
      </c>
    </row>
    <row r="82" spans="1:2" x14ac:dyDescent="0.25">
      <c r="A82">
        <v>981260</v>
      </c>
      <c r="B82" s="29" t="s">
        <v>89</v>
      </c>
    </row>
    <row r="83" spans="1:2" x14ac:dyDescent="0.25">
      <c r="A83">
        <v>981280</v>
      </c>
      <c r="B83" s="29" t="s">
        <v>90</v>
      </c>
    </row>
    <row r="84" spans="1:2" x14ac:dyDescent="0.25">
      <c r="A84">
        <v>995118</v>
      </c>
      <c r="B84" s="29" t="s">
        <v>1072</v>
      </c>
    </row>
    <row r="85" spans="1:2" x14ac:dyDescent="0.25">
      <c r="A85">
        <v>981281</v>
      </c>
      <c r="B85" s="29" t="s">
        <v>91</v>
      </c>
    </row>
    <row r="86" spans="1:2" x14ac:dyDescent="0.25">
      <c r="A86">
        <v>981300</v>
      </c>
      <c r="B86" s="29" t="s">
        <v>92</v>
      </c>
    </row>
    <row r="87" spans="1:2" x14ac:dyDescent="0.25">
      <c r="A87">
        <v>981301</v>
      </c>
      <c r="B87" s="29" t="s">
        <v>93</v>
      </c>
    </row>
    <row r="88" spans="1:2" x14ac:dyDescent="0.25">
      <c r="A88">
        <v>981319</v>
      </c>
      <c r="B88" s="29" t="s">
        <v>94</v>
      </c>
    </row>
    <row r="89" spans="1:2" x14ac:dyDescent="0.25">
      <c r="A89">
        <v>981340</v>
      </c>
      <c r="B89" s="29" t="s">
        <v>95</v>
      </c>
    </row>
    <row r="90" spans="1:2" x14ac:dyDescent="0.25">
      <c r="A90">
        <v>981341</v>
      </c>
      <c r="B90" s="29" t="s">
        <v>96</v>
      </c>
    </row>
    <row r="91" spans="1:2" x14ac:dyDescent="0.25">
      <c r="A91">
        <v>981351</v>
      </c>
      <c r="B91" s="29" t="s">
        <v>97</v>
      </c>
    </row>
    <row r="92" spans="1:2" x14ac:dyDescent="0.25">
      <c r="A92">
        <v>981370</v>
      </c>
      <c r="B92" s="29" t="s">
        <v>98</v>
      </c>
    </row>
    <row r="93" spans="1:2" x14ac:dyDescent="0.25">
      <c r="A93">
        <v>981371</v>
      </c>
      <c r="B93" s="29" t="s">
        <v>99</v>
      </c>
    </row>
    <row r="94" spans="1:2" x14ac:dyDescent="0.25">
      <c r="A94">
        <v>981400</v>
      </c>
      <c r="B94" s="29" t="s">
        <v>100</v>
      </c>
    </row>
    <row r="95" spans="1:2" x14ac:dyDescent="0.25">
      <c r="A95">
        <v>981430</v>
      </c>
      <c r="B95" s="29" t="s">
        <v>101</v>
      </c>
    </row>
    <row r="96" spans="1:2" x14ac:dyDescent="0.25">
      <c r="A96">
        <v>981451</v>
      </c>
      <c r="B96" s="29" t="s">
        <v>102</v>
      </c>
    </row>
    <row r="97" spans="1:2" x14ac:dyDescent="0.25">
      <c r="A97">
        <v>981600</v>
      </c>
      <c r="B97" s="29" t="s">
        <v>103</v>
      </c>
    </row>
    <row r="98" spans="1:2" x14ac:dyDescent="0.25">
      <c r="A98">
        <v>981620</v>
      </c>
      <c r="B98" s="29" t="s">
        <v>104</v>
      </c>
    </row>
    <row r="99" spans="1:2" x14ac:dyDescent="0.25">
      <c r="A99">
        <v>981640</v>
      </c>
      <c r="B99" s="29" t="s">
        <v>105</v>
      </c>
    </row>
    <row r="100" spans="1:2" x14ac:dyDescent="0.25">
      <c r="A100">
        <v>981650</v>
      </c>
      <c r="B100" s="29" t="s">
        <v>106</v>
      </c>
    </row>
    <row r="101" spans="1:2" x14ac:dyDescent="0.25">
      <c r="A101">
        <v>981670</v>
      </c>
      <c r="B101" s="29" t="s">
        <v>107</v>
      </c>
    </row>
    <row r="102" spans="1:2" x14ac:dyDescent="0.25">
      <c r="A102">
        <v>981699</v>
      </c>
      <c r="B102" s="29" t="s">
        <v>108</v>
      </c>
    </row>
    <row r="103" spans="1:2" x14ac:dyDescent="0.25">
      <c r="A103">
        <v>981700</v>
      </c>
      <c r="B103" s="29" t="s">
        <v>109</v>
      </c>
    </row>
    <row r="104" spans="1:2" x14ac:dyDescent="0.25">
      <c r="A104">
        <v>981710</v>
      </c>
      <c r="B104" s="29" t="s">
        <v>110</v>
      </c>
    </row>
    <row r="105" spans="1:2" x14ac:dyDescent="0.25">
      <c r="A105">
        <v>981720</v>
      </c>
      <c r="B105" s="29" t="s">
        <v>111</v>
      </c>
    </row>
    <row r="106" spans="1:2" x14ac:dyDescent="0.25">
      <c r="A106">
        <v>981721</v>
      </c>
      <c r="B106" s="29" t="s">
        <v>112</v>
      </c>
    </row>
    <row r="107" spans="1:2" x14ac:dyDescent="0.25">
      <c r="A107">
        <v>981730</v>
      </c>
      <c r="B107" s="29" t="s">
        <v>113</v>
      </c>
    </row>
    <row r="108" spans="1:2" x14ac:dyDescent="0.25">
      <c r="A108">
        <v>981731</v>
      </c>
      <c r="B108" s="29" t="s">
        <v>114</v>
      </c>
    </row>
    <row r="109" spans="1:2" x14ac:dyDescent="0.25">
      <c r="A109">
        <v>981740</v>
      </c>
      <c r="B109" s="29" t="s">
        <v>115</v>
      </c>
    </row>
    <row r="110" spans="1:2" x14ac:dyDescent="0.25">
      <c r="A110">
        <v>981750</v>
      </c>
      <c r="B110" s="29" t="s">
        <v>116</v>
      </c>
    </row>
    <row r="111" spans="1:2" x14ac:dyDescent="0.25">
      <c r="A111">
        <v>981761</v>
      </c>
      <c r="B111" s="29" t="s">
        <v>117</v>
      </c>
    </row>
    <row r="112" spans="1:2" x14ac:dyDescent="0.25">
      <c r="A112">
        <v>981780</v>
      </c>
      <c r="B112" s="29" t="s">
        <v>118</v>
      </c>
    </row>
    <row r="113" spans="1:2" x14ac:dyDescent="0.25">
      <c r="A113">
        <v>981871</v>
      </c>
      <c r="B113" s="29" t="s">
        <v>119</v>
      </c>
    </row>
    <row r="114" spans="1:2" x14ac:dyDescent="0.25">
      <c r="A114">
        <v>981900</v>
      </c>
      <c r="B114" s="29" t="s">
        <v>120</v>
      </c>
    </row>
    <row r="115" spans="1:2" x14ac:dyDescent="0.25">
      <c r="A115">
        <v>981901</v>
      </c>
      <c r="B115" s="29" t="s">
        <v>121</v>
      </c>
    </row>
    <row r="116" spans="1:2" x14ac:dyDescent="0.25">
      <c r="A116">
        <v>981902</v>
      </c>
      <c r="B116" s="29" t="s">
        <v>122</v>
      </c>
    </row>
    <row r="117" spans="1:2" x14ac:dyDescent="0.25">
      <c r="A117">
        <v>981920</v>
      </c>
      <c r="B117" s="29" t="s">
        <v>123</v>
      </c>
    </row>
    <row r="118" spans="1:2" x14ac:dyDescent="0.25">
      <c r="A118">
        <v>981921</v>
      </c>
      <c r="B118" s="29" t="s">
        <v>124</v>
      </c>
    </row>
    <row r="119" spans="1:2" x14ac:dyDescent="0.25">
      <c r="A119">
        <v>981922</v>
      </c>
      <c r="B119" s="29" t="s">
        <v>125</v>
      </c>
    </row>
    <row r="120" spans="1:2" x14ac:dyDescent="0.25">
      <c r="A120">
        <v>981923</v>
      </c>
      <c r="B120" s="29" t="s">
        <v>126</v>
      </c>
    </row>
    <row r="121" spans="1:2" x14ac:dyDescent="0.25">
      <c r="A121">
        <v>982000</v>
      </c>
      <c r="B121" s="29" t="s">
        <v>127</v>
      </c>
    </row>
    <row r="122" spans="1:2" x14ac:dyDescent="0.25">
      <c r="A122">
        <v>982001</v>
      </c>
      <c r="B122" s="29" t="s">
        <v>128</v>
      </c>
    </row>
    <row r="123" spans="1:2" x14ac:dyDescent="0.25">
      <c r="A123">
        <v>982031</v>
      </c>
      <c r="B123" s="29" t="s">
        <v>129</v>
      </c>
    </row>
    <row r="124" spans="1:2" x14ac:dyDescent="0.25">
      <c r="A124">
        <v>982071</v>
      </c>
      <c r="B124" s="29" t="s">
        <v>130</v>
      </c>
    </row>
    <row r="125" spans="1:2" x14ac:dyDescent="0.25">
      <c r="A125">
        <v>982102</v>
      </c>
      <c r="B125" s="29" t="s">
        <v>131</v>
      </c>
    </row>
    <row r="126" spans="1:2" x14ac:dyDescent="0.25">
      <c r="A126">
        <v>982130</v>
      </c>
      <c r="B126" s="29" t="s">
        <v>132</v>
      </c>
    </row>
    <row r="127" spans="1:2" x14ac:dyDescent="0.25">
      <c r="A127">
        <v>982131</v>
      </c>
      <c r="B127" s="29" t="s">
        <v>133</v>
      </c>
    </row>
    <row r="128" spans="1:2" x14ac:dyDescent="0.25">
      <c r="A128">
        <v>982147</v>
      </c>
      <c r="B128" s="29" t="s">
        <v>134</v>
      </c>
    </row>
    <row r="129" spans="1:2" x14ac:dyDescent="0.25">
      <c r="A129">
        <v>982201</v>
      </c>
      <c r="B129" s="29" t="s">
        <v>135</v>
      </c>
    </row>
    <row r="130" spans="1:2" x14ac:dyDescent="0.25">
      <c r="A130">
        <v>982202</v>
      </c>
      <c r="B130" s="29" t="s">
        <v>136</v>
      </c>
    </row>
    <row r="131" spans="1:2" x14ac:dyDescent="0.25">
      <c r="A131">
        <v>982203</v>
      </c>
      <c r="B131" s="29" t="s">
        <v>137</v>
      </c>
    </row>
    <row r="132" spans="1:2" x14ac:dyDescent="0.25">
      <c r="A132">
        <v>982204</v>
      </c>
      <c r="B132" s="29" t="s">
        <v>138</v>
      </c>
    </row>
    <row r="133" spans="1:2" x14ac:dyDescent="0.25">
      <c r="A133">
        <v>982230</v>
      </c>
      <c r="B133" s="29" t="s">
        <v>139</v>
      </c>
    </row>
    <row r="134" spans="1:2" x14ac:dyDescent="0.25">
      <c r="A134">
        <v>982231</v>
      </c>
      <c r="B134" s="29" t="s">
        <v>140</v>
      </c>
    </row>
    <row r="135" spans="1:2" x14ac:dyDescent="0.25">
      <c r="A135">
        <v>982232</v>
      </c>
      <c r="B135" s="29" t="s">
        <v>141</v>
      </c>
    </row>
    <row r="136" spans="1:2" x14ac:dyDescent="0.25">
      <c r="A136">
        <v>982250</v>
      </c>
      <c r="B136" s="29" t="s">
        <v>142</v>
      </c>
    </row>
    <row r="137" spans="1:2" x14ac:dyDescent="0.25">
      <c r="A137">
        <v>982270</v>
      </c>
      <c r="B137" s="29" t="s">
        <v>143</v>
      </c>
    </row>
    <row r="138" spans="1:2" x14ac:dyDescent="0.25">
      <c r="A138">
        <v>982300</v>
      </c>
      <c r="B138" s="29" t="s">
        <v>144</v>
      </c>
    </row>
    <row r="139" spans="1:2" x14ac:dyDescent="0.25">
      <c r="A139">
        <v>982330</v>
      </c>
      <c r="B139" s="29" t="s">
        <v>145</v>
      </c>
    </row>
    <row r="140" spans="1:2" x14ac:dyDescent="0.25">
      <c r="A140">
        <v>982331</v>
      </c>
      <c r="B140" s="29" t="s">
        <v>146</v>
      </c>
    </row>
    <row r="141" spans="1:2" x14ac:dyDescent="0.25">
      <c r="A141">
        <v>982400</v>
      </c>
      <c r="B141" s="29" t="s">
        <v>147</v>
      </c>
    </row>
    <row r="142" spans="1:2" x14ac:dyDescent="0.25">
      <c r="A142">
        <v>982401</v>
      </c>
      <c r="B142" s="29" t="s">
        <v>148</v>
      </c>
    </row>
    <row r="143" spans="1:2" x14ac:dyDescent="0.25">
      <c r="A143">
        <v>982430</v>
      </c>
      <c r="B143" s="29" t="s">
        <v>149</v>
      </c>
    </row>
    <row r="144" spans="1:2" x14ac:dyDescent="0.25">
      <c r="A144">
        <v>982431</v>
      </c>
      <c r="B144" s="29" t="s">
        <v>150</v>
      </c>
    </row>
    <row r="145" spans="1:2" x14ac:dyDescent="0.25">
      <c r="A145">
        <v>982457</v>
      </c>
      <c r="B145" s="29" t="s">
        <v>151</v>
      </c>
    </row>
    <row r="146" spans="1:2" x14ac:dyDescent="0.25">
      <c r="A146">
        <v>982631</v>
      </c>
      <c r="B146" s="29" t="s">
        <v>152</v>
      </c>
    </row>
    <row r="147" spans="1:2" x14ac:dyDescent="0.25">
      <c r="A147">
        <v>982632</v>
      </c>
      <c r="B147" s="29" t="s">
        <v>153</v>
      </c>
    </row>
    <row r="148" spans="1:2" x14ac:dyDescent="0.25">
      <c r="A148">
        <v>982637</v>
      </c>
      <c r="B148" s="29" t="s">
        <v>154</v>
      </c>
    </row>
    <row r="149" spans="1:2" x14ac:dyDescent="0.25">
      <c r="A149">
        <v>982650</v>
      </c>
      <c r="B149" s="29" t="s">
        <v>155</v>
      </c>
    </row>
    <row r="150" spans="1:2" x14ac:dyDescent="0.25">
      <c r="A150">
        <v>982671</v>
      </c>
      <c r="B150" s="29" t="s">
        <v>156</v>
      </c>
    </row>
    <row r="151" spans="1:2" x14ac:dyDescent="0.25">
      <c r="A151">
        <v>982710</v>
      </c>
      <c r="B151" s="29" t="s">
        <v>157</v>
      </c>
    </row>
    <row r="152" spans="1:2" x14ac:dyDescent="0.25">
      <c r="A152">
        <v>982711</v>
      </c>
      <c r="B152" s="29" t="s">
        <v>158</v>
      </c>
    </row>
    <row r="153" spans="1:2" x14ac:dyDescent="0.25">
      <c r="A153">
        <v>982712</v>
      </c>
      <c r="B153" s="29" t="s">
        <v>159</v>
      </c>
    </row>
    <row r="154" spans="1:2" x14ac:dyDescent="0.25">
      <c r="A154">
        <v>982713</v>
      </c>
      <c r="B154" s="29" t="s">
        <v>160</v>
      </c>
    </row>
    <row r="155" spans="1:2" x14ac:dyDescent="0.25">
      <c r="A155">
        <v>982740</v>
      </c>
      <c r="B155" s="29" t="s">
        <v>161</v>
      </c>
    </row>
    <row r="156" spans="1:2" x14ac:dyDescent="0.25">
      <c r="A156">
        <v>982800</v>
      </c>
      <c r="B156" s="29" t="s">
        <v>162</v>
      </c>
    </row>
    <row r="157" spans="1:2" x14ac:dyDescent="0.25">
      <c r="A157">
        <v>982801</v>
      </c>
      <c r="B157" s="29" t="s">
        <v>163</v>
      </c>
    </row>
    <row r="158" spans="1:2" x14ac:dyDescent="0.25">
      <c r="A158">
        <v>982830</v>
      </c>
      <c r="B158" s="29" t="s">
        <v>164</v>
      </c>
    </row>
    <row r="159" spans="1:2" x14ac:dyDescent="0.25">
      <c r="A159">
        <v>982831</v>
      </c>
      <c r="B159" s="29" t="s">
        <v>1073</v>
      </c>
    </row>
    <row r="160" spans="1:2" x14ac:dyDescent="0.25">
      <c r="A160">
        <v>982832</v>
      </c>
      <c r="B160" s="29" t="s">
        <v>165</v>
      </c>
    </row>
    <row r="161" spans="1:2" x14ac:dyDescent="0.25">
      <c r="A161">
        <v>982920</v>
      </c>
      <c r="B161" s="29" t="s">
        <v>166</v>
      </c>
    </row>
    <row r="162" spans="1:2" x14ac:dyDescent="0.25">
      <c r="A162">
        <v>982960</v>
      </c>
      <c r="B162" s="29" t="s">
        <v>167</v>
      </c>
    </row>
    <row r="163" spans="1:2" x14ac:dyDescent="0.25">
      <c r="A163">
        <v>982961</v>
      </c>
      <c r="B163" s="29" t="s">
        <v>168</v>
      </c>
    </row>
    <row r="164" spans="1:2" x14ac:dyDescent="0.25">
      <c r="A164">
        <v>995153</v>
      </c>
      <c r="B164" s="29" t="s">
        <v>1064</v>
      </c>
    </row>
    <row r="165" spans="1:2" x14ac:dyDescent="0.25">
      <c r="A165">
        <v>995155</v>
      </c>
      <c r="B165" s="29" t="s">
        <v>1065</v>
      </c>
    </row>
    <row r="166" spans="1:2" x14ac:dyDescent="0.25">
      <c r="A166">
        <v>982962</v>
      </c>
      <c r="B166" s="29" t="s">
        <v>169</v>
      </c>
    </row>
    <row r="167" spans="1:2" x14ac:dyDescent="0.25">
      <c r="A167">
        <v>982970</v>
      </c>
      <c r="B167" s="29" t="s">
        <v>170</v>
      </c>
    </row>
    <row r="168" spans="1:2" x14ac:dyDescent="0.25">
      <c r="A168">
        <v>983100</v>
      </c>
      <c r="B168" s="29" t="s">
        <v>171</v>
      </c>
    </row>
    <row r="169" spans="1:2" x14ac:dyDescent="0.25">
      <c r="A169">
        <v>983101</v>
      </c>
      <c r="B169" s="29" t="s">
        <v>172</v>
      </c>
    </row>
    <row r="170" spans="1:2" x14ac:dyDescent="0.25">
      <c r="A170">
        <v>983102</v>
      </c>
      <c r="B170" s="29" t="s">
        <v>173</v>
      </c>
    </row>
    <row r="171" spans="1:2" x14ac:dyDescent="0.25">
      <c r="A171">
        <v>983103</v>
      </c>
      <c r="B171" s="29" t="s">
        <v>174</v>
      </c>
    </row>
    <row r="172" spans="1:2" x14ac:dyDescent="0.25">
      <c r="A172">
        <v>983104</v>
      </c>
      <c r="B172" s="29" t="s">
        <v>175</v>
      </c>
    </row>
    <row r="173" spans="1:2" x14ac:dyDescent="0.25">
      <c r="A173">
        <v>983105</v>
      </c>
      <c r="B173" s="29" t="s">
        <v>176</v>
      </c>
    </row>
    <row r="174" spans="1:2" x14ac:dyDescent="0.25">
      <c r="A174">
        <v>983151</v>
      </c>
      <c r="B174" s="29" t="s">
        <v>177</v>
      </c>
    </row>
    <row r="175" spans="1:2" x14ac:dyDescent="0.25">
      <c r="A175">
        <v>983201</v>
      </c>
      <c r="B175" s="29" t="s">
        <v>178</v>
      </c>
    </row>
    <row r="176" spans="1:2" x14ac:dyDescent="0.25">
      <c r="A176">
        <v>995158</v>
      </c>
      <c r="B176" s="29" t="s">
        <v>1063</v>
      </c>
    </row>
    <row r="177" spans="1:2" x14ac:dyDescent="0.25">
      <c r="A177">
        <v>983202</v>
      </c>
      <c r="B177" s="29" t="s">
        <v>179</v>
      </c>
    </row>
    <row r="178" spans="1:2" x14ac:dyDescent="0.25">
      <c r="A178">
        <v>983250</v>
      </c>
      <c r="B178" s="29" t="s">
        <v>180</v>
      </c>
    </row>
    <row r="179" spans="1:2" x14ac:dyDescent="0.25">
      <c r="A179">
        <v>983251</v>
      </c>
      <c r="B179" s="29" t="s">
        <v>181</v>
      </c>
    </row>
    <row r="180" spans="1:2" x14ac:dyDescent="0.25">
      <c r="A180">
        <v>983301</v>
      </c>
      <c r="B180" s="29" t="s">
        <v>182</v>
      </c>
    </row>
    <row r="181" spans="1:2" x14ac:dyDescent="0.25">
      <c r="A181">
        <v>983451</v>
      </c>
      <c r="B181" s="29" t="s">
        <v>183</v>
      </c>
    </row>
    <row r="182" spans="1:2" x14ac:dyDescent="0.25">
      <c r="A182">
        <v>983470</v>
      </c>
      <c r="B182" s="29" t="s">
        <v>184</v>
      </c>
    </row>
    <row r="183" spans="1:2" x14ac:dyDescent="0.25">
      <c r="A183">
        <v>983472</v>
      </c>
      <c r="B183" s="29" t="s">
        <v>185</v>
      </c>
    </row>
    <row r="184" spans="1:2" x14ac:dyDescent="0.25">
      <c r="A184">
        <v>983473</v>
      </c>
      <c r="B184" s="29" t="s">
        <v>186</v>
      </c>
    </row>
    <row r="185" spans="1:2" x14ac:dyDescent="0.25">
      <c r="A185">
        <v>983500</v>
      </c>
      <c r="B185" s="29" t="s">
        <v>187</v>
      </c>
    </row>
    <row r="186" spans="1:2" x14ac:dyDescent="0.25">
      <c r="A186">
        <v>983501</v>
      </c>
      <c r="B186" s="29" t="s">
        <v>188</v>
      </c>
    </row>
    <row r="187" spans="1:2" x14ac:dyDescent="0.25">
      <c r="A187">
        <v>983513</v>
      </c>
      <c r="B187" s="29" t="s">
        <v>189</v>
      </c>
    </row>
    <row r="188" spans="1:2" x14ac:dyDescent="0.25">
      <c r="A188">
        <v>995159</v>
      </c>
      <c r="B188" s="29" t="s">
        <v>1069</v>
      </c>
    </row>
    <row r="189" spans="1:2" x14ac:dyDescent="0.25">
      <c r="A189">
        <v>995162</v>
      </c>
      <c r="B189" s="29" t="s">
        <v>1071</v>
      </c>
    </row>
    <row r="190" spans="1:2" x14ac:dyDescent="0.25">
      <c r="B190" s="29" t="s">
        <v>1070</v>
      </c>
    </row>
    <row r="191" spans="1:2" x14ac:dyDescent="0.25">
      <c r="A191">
        <v>983531</v>
      </c>
      <c r="B191" s="29" t="s">
        <v>190</v>
      </c>
    </row>
    <row r="192" spans="1:2" x14ac:dyDescent="0.25">
      <c r="A192">
        <v>983533</v>
      </c>
      <c r="B192" s="29" t="s">
        <v>191</v>
      </c>
    </row>
    <row r="193" spans="1:2" x14ac:dyDescent="0.25">
      <c r="A193">
        <v>983534</v>
      </c>
      <c r="B193" s="29" t="s">
        <v>192</v>
      </c>
    </row>
    <row r="194" spans="1:2" x14ac:dyDescent="0.25">
      <c r="A194">
        <v>983580</v>
      </c>
      <c r="B194" s="29" t="s">
        <v>193</v>
      </c>
    </row>
    <row r="195" spans="1:2" x14ac:dyDescent="0.25">
      <c r="A195">
        <v>983611</v>
      </c>
      <c r="B195" s="29" t="s">
        <v>194</v>
      </c>
    </row>
    <row r="196" spans="1:2" x14ac:dyDescent="0.25">
      <c r="A196">
        <v>983651</v>
      </c>
      <c r="B196" s="29" t="s">
        <v>195</v>
      </c>
    </row>
    <row r="197" spans="1:2" x14ac:dyDescent="0.25">
      <c r="A197">
        <v>983670</v>
      </c>
      <c r="B197" s="29" t="s">
        <v>196</v>
      </c>
    </row>
    <row r="198" spans="1:2" x14ac:dyDescent="0.25">
      <c r="A198">
        <v>983671</v>
      </c>
      <c r="B198" s="29" t="s">
        <v>197</v>
      </c>
    </row>
    <row r="199" spans="1:2" x14ac:dyDescent="0.25">
      <c r="A199">
        <v>983672</v>
      </c>
      <c r="B199" s="29" t="s">
        <v>198</v>
      </c>
    </row>
    <row r="200" spans="1:2" x14ac:dyDescent="0.25">
      <c r="A200">
        <v>983700</v>
      </c>
      <c r="B200" s="29" t="s">
        <v>199</v>
      </c>
    </row>
    <row r="201" spans="1:2" x14ac:dyDescent="0.25">
      <c r="A201">
        <v>983721</v>
      </c>
      <c r="B201" s="29" t="s">
        <v>200</v>
      </c>
    </row>
    <row r="202" spans="1:2" x14ac:dyDescent="0.25">
      <c r="A202">
        <v>983762</v>
      </c>
      <c r="B202" s="29" t="s">
        <v>201</v>
      </c>
    </row>
    <row r="203" spans="1:2" x14ac:dyDescent="0.25">
      <c r="A203">
        <v>983810</v>
      </c>
      <c r="B203" s="29" t="s">
        <v>202</v>
      </c>
    </row>
    <row r="204" spans="1:2" x14ac:dyDescent="0.25">
      <c r="A204">
        <v>983811</v>
      </c>
      <c r="B204" s="29" t="s">
        <v>203</v>
      </c>
    </row>
    <row r="205" spans="1:2" x14ac:dyDescent="0.25">
      <c r="A205">
        <v>983860</v>
      </c>
      <c r="B205" s="29" t="s">
        <v>204</v>
      </c>
    </row>
    <row r="206" spans="1:2" x14ac:dyDescent="0.25">
      <c r="A206">
        <v>983870</v>
      </c>
      <c r="B206" s="29" t="s">
        <v>205</v>
      </c>
    </row>
    <row r="207" spans="1:2" x14ac:dyDescent="0.25">
      <c r="A207">
        <v>983920</v>
      </c>
      <c r="B207" s="29" t="s">
        <v>206</v>
      </c>
    </row>
    <row r="208" spans="1:2" x14ac:dyDescent="0.25">
      <c r="A208">
        <v>983990</v>
      </c>
      <c r="B208" s="29" t="s">
        <v>207</v>
      </c>
    </row>
    <row r="209" spans="1:2" x14ac:dyDescent="0.25">
      <c r="A209">
        <v>984005</v>
      </c>
      <c r="B209" s="29" t="s">
        <v>208</v>
      </c>
    </row>
    <row r="210" spans="1:2" x14ac:dyDescent="0.25">
      <c r="A210">
        <v>984021</v>
      </c>
      <c r="B210" s="29" t="s">
        <v>209</v>
      </c>
    </row>
    <row r="211" spans="1:2" x14ac:dyDescent="0.25">
      <c r="A211">
        <v>984031</v>
      </c>
      <c r="B211" s="29" t="s">
        <v>210</v>
      </c>
    </row>
    <row r="212" spans="1:2" x14ac:dyDescent="0.25">
      <c r="A212">
        <v>984032</v>
      </c>
      <c r="B212" s="29" t="s">
        <v>211</v>
      </c>
    </row>
    <row r="213" spans="1:2" x14ac:dyDescent="0.25">
      <c r="A213">
        <v>984050</v>
      </c>
      <c r="B213" s="29" t="s">
        <v>212</v>
      </c>
    </row>
    <row r="214" spans="1:2" x14ac:dyDescent="0.25">
      <c r="A214">
        <v>984070</v>
      </c>
      <c r="B214" s="29" t="s">
        <v>213</v>
      </c>
    </row>
    <row r="215" spans="1:2" x14ac:dyDescent="0.25">
      <c r="A215">
        <v>984074</v>
      </c>
      <c r="B215" s="29" t="s">
        <v>214</v>
      </c>
    </row>
    <row r="216" spans="1:2" x14ac:dyDescent="0.25">
      <c r="A216">
        <v>984080</v>
      </c>
      <c r="B216" s="29" t="s">
        <v>215</v>
      </c>
    </row>
    <row r="217" spans="1:2" x14ac:dyDescent="0.25">
      <c r="A217">
        <v>984161</v>
      </c>
      <c r="B217" s="29" t="s">
        <v>216</v>
      </c>
    </row>
    <row r="218" spans="1:2" x14ac:dyDescent="0.25">
      <c r="A218">
        <v>984460</v>
      </c>
      <c r="B218" s="29" t="s">
        <v>217</v>
      </c>
    </row>
    <row r="219" spans="1:2" x14ac:dyDescent="0.25">
      <c r="A219">
        <v>984461</v>
      </c>
      <c r="B219" s="29" t="s">
        <v>218</v>
      </c>
    </row>
    <row r="220" spans="1:2" x14ac:dyDescent="0.25">
      <c r="A220">
        <v>984462</v>
      </c>
      <c r="B220" s="29" t="s">
        <v>219</v>
      </c>
    </row>
    <row r="221" spans="1:2" x14ac:dyDescent="0.25">
      <c r="A221">
        <v>984463</v>
      </c>
      <c r="B221" s="29" t="s">
        <v>220</v>
      </c>
    </row>
    <row r="222" spans="1:2" x14ac:dyDescent="0.25">
      <c r="A222">
        <v>984500</v>
      </c>
      <c r="B222" s="29" t="s">
        <v>221</v>
      </c>
    </row>
    <row r="223" spans="1:2" x14ac:dyDescent="0.25">
      <c r="A223">
        <v>984540</v>
      </c>
      <c r="B223" s="29" t="s">
        <v>222</v>
      </c>
    </row>
    <row r="224" spans="1:2" x14ac:dyDescent="0.25">
      <c r="A224">
        <v>984541</v>
      </c>
      <c r="B224" s="29" t="s">
        <v>223</v>
      </c>
    </row>
    <row r="225" spans="1:2" x14ac:dyDescent="0.25">
      <c r="A225">
        <v>984542</v>
      </c>
      <c r="B225" s="29" t="s">
        <v>224</v>
      </c>
    </row>
    <row r="226" spans="1:2" x14ac:dyDescent="0.25">
      <c r="A226">
        <v>984543</v>
      </c>
      <c r="B226" s="29" t="s">
        <v>225</v>
      </c>
    </row>
    <row r="227" spans="1:2" x14ac:dyDescent="0.25">
      <c r="A227">
        <v>984544</v>
      </c>
      <c r="B227" s="29" t="s">
        <v>226</v>
      </c>
    </row>
    <row r="228" spans="1:2" x14ac:dyDescent="0.25">
      <c r="A228">
        <v>984555</v>
      </c>
      <c r="B228" s="29" t="s">
        <v>227</v>
      </c>
    </row>
    <row r="229" spans="1:2" x14ac:dyDescent="0.25">
      <c r="A229">
        <v>984580</v>
      </c>
      <c r="B229" s="29" t="s">
        <v>228</v>
      </c>
    </row>
    <row r="230" spans="1:2" x14ac:dyDescent="0.25">
      <c r="A230">
        <v>984581</v>
      </c>
      <c r="B230" s="29" t="s">
        <v>229</v>
      </c>
    </row>
    <row r="231" spans="1:2" x14ac:dyDescent="0.25">
      <c r="A231">
        <v>984620</v>
      </c>
      <c r="B231" s="29" t="s">
        <v>230</v>
      </c>
    </row>
    <row r="232" spans="1:2" x14ac:dyDescent="0.25">
      <c r="A232">
        <v>984621</v>
      </c>
      <c r="B232" s="29" t="s">
        <v>231</v>
      </c>
    </row>
    <row r="233" spans="1:2" x14ac:dyDescent="0.25">
      <c r="A233">
        <v>984660</v>
      </c>
      <c r="B233" s="29" t="s">
        <v>232</v>
      </c>
    </row>
    <row r="234" spans="1:2" x14ac:dyDescent="0.25">
      <c r="A234">
        <v>984700</v>
      </c>
      <c r="B234" s="29" t="s">
        <v>233</v>
      </c>
    </row>
    <row r="235" spans="1:2" x14ac:dyDescent="0.25">
      <c r="A235">
        <v>984701</v>
      </c>
      <c r="B235" s="29" t="s">
        <v>234</v>
      </c>
    </row>
    <row r="236" spans="1:2" x14ac:dyDescent="0.25">
      <c r="A236">
        <v>984702</v>
      </c>
      <c r="B236" s="29" t="s">
        <v>235</v>
      </c>
    </row>
    <row r="237" spans="1:2" x14ac:dyDescent="0.25">
      <c r="A237">
        <v>984740</v>
      </c>
      <c r="B237" s="29" t="s">
        <v>236</v>
      </c>
    </row>
    <row r="238" spans="1:2" x14ac:dyDescent="0.25">
      <c r="A238">
        <v>984780</v>
      </c>
      <c r="B238" s="29" t="s">
        <v>237</v>
      </c>
    </row>
    <row r="239" spans="1:2" x14ac:dyDescent="0.25">
      <c r="A239">
        <v>984831</v>
      </c>
      <c r="B239" s="29" t="s">
        <v>238</v>
      </c>
    </row>
    <row r="240" spans="1:2" x14ac:dyDescent="0.25">
      <c r="A240">
        <v>984910</v>
      </c>
      <c r="B240" s="29" t="s">
        <v>239</v>
      </c>
    </row>
    <row r="241" spans="1:2" x14ac:dyDescent="0.25">
      <c r="A241">
        <v>984911</v>
      </c>
      <c r="B241" s="29" t="s">
        <v>240</v>
      </c>
    </row>
    <row r="242" spans="1:2" x14ac:dyDescent="0.25">
      <c r="A242">
        <v>984912</v>
      </c>
      <c r="B242" s="29" t="s">
        <v>241</v>
      </c>
    </row>
    <row r="243" spans="1:2" x14ac:dyDescent="0.25">
      <c r="A243">
        <v>984913</v>
      </c>
      <c r="B243" s="29" t="s">
        <v>242</v>
      </c>
    </row>
    <row r="244" spans="1:2" x14ac:dyDescent="0.25">
      <c r="A244">
        <v>984914</v>
      </c>
      <c r="B244" s="29" t="s">
        <v>243</v>
      </c>
    </row>
    <row r="245" spans="1:2" x14ac:dyDescent="0.25">
      <c r="A245">
        <v>984935</v>
      </c>
      <c r="B245" s="29" t="s">
        <v>244</v>
      </c>
    </row>
    <row r="246" spans="1:2" x14ac:dyDescent="0.25">
      <c r="A246">
        <v>985010</v>
      </c>
      <c r="B246" s="29" t="s">
        <v>245</v>
      </c>
    </row>
    <row r="247" spans="1:2" x14ac:dyDescent="0.25">
      <c r="A247">
        <v>985011</v>
      </c>
      <c r="B247" s="29" t="s">
        <v>246</v>
      </c>
    </row>
    <row r="248" spans="1:2" x14ac:dyDescent="0.25">
      <c r="A248">
        <v>985012</v>
      </c>
      <c r="B248" s="29" t="s">
        <v>247</v>
      </c>
    </row>
    <row r="249" spans="1:2" x14ac:dyDescent="0.25">
      <c r="A249">
        <v>985060</v>
      </c>
      <c r="B249" s="29" t="s">
        <v>248</v>
      </c>
    </row>
    <row r="250" spans="1:2" x14ac:dyDescent="0.25">
      <c r="A250">
        <v>985111</v>
      </c>
      <c r="B250" s="29" t="s">
        <v>249</v>
      </c>
    </row>
    <row r="251" spans="1:2" x14ac:dyDescent="0.25">
      <c r="A251">
        <v>985160</v>
      </c>
      <c r="B251" s="29" t="s">
        <v>250</v>
      </c>
    </row>
    <row r="252" spans="1:2" x14ac:dyDescent="0.25">
      <c r="A252">
        <v>985190</v>
      </c>
      <c r="B252" s="29" t="s">
        <v>251</v>
      </c>
    </row>
    <row r="253" spans="1:2" x14ac:dyDescent="0.25">
      <c r="A253">
        <v>985570</v>
      </c>
      <c r="B253" s="29" t="s">
        <v>252</v>
      </c>
    </row>
    <row r="254" spans="1:2" x14ac:dyDescent="0.25">
      <c r="A254">
        <v>985601</v>
      </c>
      <c r="B254" s="29" t="s">
        <v>253</v>
      </c>
    </row>
    <row r="255" spans="1:2" x14ac:dyDescent="0.25">
      <c r="A255">
        <v>985605</v>
      </c>
      <c r="B255" s="29" t="s">
        <v>254</v>
      </c>
    </row>
    <row r="256" spans="1:2" x14ac:dyDescent="0.25">
      <c r="A256">
        <v>985610</v>
      </c>
      <c r="B256" s="29" t="s">
        <v>255</v>
      </c>
    </row>
    <row r="257" spans="1:2" x14ac:dyDescent="0.25">
      <c r="A257">
        <v>985611</v>
      </c>
      <c r="B257" s="29" t="s">
        <v>256</v>
      </c>
    </row>
    <row r="258" spans="1:2" x14ac:dyDescent="0.25">
      <c r="A258">
        <v>985612</v>
      </c>
      <c r="B258" s="29" t="s">
        <v>257</v>
      </c>
    </row>
    <row r="259" spans="1:2" x14ac:dyDescent="0.25">
      <c r="A259">
        <v>985613</v>
      </c>
      <c r="B259" s="29" t="s">
        <v>258</v>
      </c>
    </row>
    <row r="260" spans="1:2" x14ac:dyDescent="0.25">
      <c r="A260">
        <v>985630</v>
      </c>
      <c r="B260" s="29" t="s">
        <v>259</v>
      </c>
    </row>
    <row r="261" spans="1:2" x14ac:dyDescent="0.25">
      <c r="A261">
        <v>985631</v>
      </c>
      <c r="B261" s="29" t="s">
        <v>260</v>
      </c>
    </row>
    <row r="262" spans="1:2" x14ac:dyDescent="0.25">
      <c r="A262">
        <v>985632</v>
      </c>
      <c r="B262" s="29" t="s">
        <v>261</v>
      </c>
    </row>
    <row r="263" spans="1:2" x14ac:dyDescent="0.25">
      <c r="A263">
        <v>985634</v>
      </c>
      <c r="B263" s="29" t="s">
        <v>262</v>
      </c>
    </row>
    <row r="264" spans="1:2" x14ac:dyDescent="0.25">
      <c r="A264">
        <v>985650</v>
      </c>
      <c r="B264" s="29" t="s">
        <v>263</v>
      </c>
    </row>
    <row r="265" spans="1:2" x14ac:dyDescent="0.25">
      <c r="A265">
        <v>985651</v>
      </c>
      <c r="B265" s="29" t="s">
        <v>264</v>
      </c>
    </row>
    <row r="266" spans="1:2" x14ac:dyDescent="0.25">
      <c r="A266">
        <v>985680</v>
      </c>
      <c r="B266" s="29" t="s">
        <v>265</v>
      </c>
    </row>
    <row r="267" spans="1:2" x14ac:dyDescent="0.25">
      <c r="A267">
        <v>985701</v>
      </c>
      <c r="B267" s="29" t="s">
        <v>266</v>
      </c>
    </row>
    <row r="268" spans="1:2" x14ac:dyDescent="0.25">
      <c r="A268">
        <v>985711</v>
      </c>
      <c r="B268" s="29" t="s">
        <v>267</v>
      </c>
    </row>
    <row r="269" spans="1:2" x14ac:dyDescent="0.25">
      <c r="A269">
        <v>985728</v>
      </c>
      <c r="B269" s="29" t="s">
        <v>268</v>
      </c>
    </row>
    <row r="270" spans="1:2" x14ac:dyDescent="0.25">
      <c r="A270">
        <v>985737</v>
      </c>
      <c r="B270" s="29" t="s">
        <v>269</v>
      </c>
    </row>
    <row r="271" spans="1:2" x14ac:dyDescent="0.25">
      <c r="A271">
        <v>985760</v>
      </c>
      <c r="B271" s="29" t="s">
        <v>270</v>
      </c>
    </row>
    <row r="272" spans="1:2" x14ac:dyDescent="0.25">
      <c r="A272">
        <v>985780</v>
      </c>
      <c r="B272" s="29" t="s">
        <v>271</v>
      </c>
    </row>
    <row r="273" spans="1:2" x14ac:dyDescent="0.25">
      <c r="A273">
        <v>985860</v>
      </c>
      <c r="B273" s="29" t="s">
        <v>272</v>
      </c>
    </row>
    <row r="274" spans="1:2" x14ac:dyDescent="0.25">
      <c r="A274">
        <v>985870</v>
      </c>
      <c r="B274" s="29" t="s">
        <v>273</v>
      </c>
    </row>
    <row r="275" spans="1:2" x14ac:dyDescent="0.25">
      <c r="A275">
        <v>985880</v>
      </c>
      <c r="B275" s="29" t="s">
        <v>274</v>
      </c>
    </row>
    <row r="276" spans="1:2" x14ac:dyDescent="0.25">
      <c r="A276">
        <v>985950</v>
      </c>
      <c r="B276" s="29" t="s">
        <v>275</v>
      </c>
    </row>
    <row r="277" spans="1:2" x14ac:dyDescent="0.25">
      <c r="A277">
        <v>985951</v>
      </c>
      <c r="B277" s="29" t="s">
        <v>276</v>
      </c>
    </row>
    <row r="278" spans="1:2" x14ac:dyDescent="0.25">
      <c r="A278">
        <v>985990</v>
      </c>
      <c r="B278" s="29" t="s">
        <v>277</v>
      </c>
    </row>
    <row r="279" spans="1:2" x14ac:dyDescent="0.25">
      <c r="A279">
        <v>986050</v>
      </c>
      <c r="B279" s="29" t="s">
        <v>278</v>
      </c>
    </row>
    <row r="280" spans="1:2" x14ac:dyDescent="0.25">
      <c r="A280">
        <v>986090</v>
      </c>
      <c r="B280" s="29" t="s">
        <v>279</v>
      </c>
    </row>
    <row r="281" spans="1:2" x14ac:dyDescent="0.25">
      <c r="A281">
        <v>986120</v>
      </c>
      <c r="B281" s="29" t="s">
        <v>280</v>
      </c>
    </row>
    <row r="282" spans="1:2" x14ac:dyDescent="0.25">
      <c r="A282">
        <v>986140</v>
      </c>
      <c r="B282" s="29" t="s">
        <v>281</v>
      </c>
    </row>
    <row r="283" spans="1:2" x14ac:dyDescent="0.25">
      <c r="A283">
        <v>986170</v>
      </c>
      <c r="B283" s="29" t="s">
        <v>282</v>
      </c>
    </row>
    <row r="284" spans="1:2" x14ac:dyDescent="0.25">
      <c r="A284">
        <v>986171</v>
      </c>
      <c r="B284" s="29" t="s">
        <v>283</v>
      </c>
    </row>
    <row r="285" spans="1:2" x14ac:dyDescent="0.25">
      <c r="A285">
        <v>986172</v>
      </c>
      <c r="B285" s="29" t="s">
        <v>284</v>
      </c>
    </row>
    <row r="286" spans="1:2" x14ac:dyDescent="0.25">
      <c r="A286">
        <v>986211</v>
      </c>
      <c r="B286" s="29" t="s">
        <v>285</v>
      </c>
    </row>
    <row r="287" spans="1:2" x14ac:dyDescent="0.25">
      <c r="A287">
        <v>986230</v>
      </c>
      <c r="B287" s="29" t="s">
        <v>286</v>
      </c>
    </row>
    <row r="288" spans="1:2" x14ac:dyDescent="0.25">
      <c r="A288">
        <v>986231</v>
      </c>
      <c r="B288" s="29" t="s">
        <v>287</v>
      </c>
    </row>
    <row r="289" spans="1:2" x14ac:dyDescent="0.25">
      <c r="A289">
        <v>986250</v>
      </c>
      <c r="B289" s="29" t="s">
        <v>288</v>
      </c>
    </row>
    <row r="290" spans="1:2" x14ac:dyDescent="0.25">
      <c r="A290">
        <v>986270</v>
      </c>
      <c r="B290" s="29" t="s">
        <v>289</v>
      </c>
    </row>
    <row r="291" spans="1:2" x14ac:dyDescent="0.25">
      <c r="A291">
        <v>986293</v>
      </c>
      <c r="B291" s="29" t="s">
        <v>290</v>
      </c>
    </row>
    <row r="292" spans="1:2" x14ac:dyDescent="0.25">
      <c r="A292">
        <v>986340</v>
      </c>
      <c r="B292" s="29" t="s">
        <v>291</v>
      </c>
    </row>
    <row r="293" spans="1:2" x14ac:dyDescent="0.25">
      <c r="A293">
        <v>986400</v>
      </c>
      <c r="B293" s="29" t="s">
        <v>292</v>
      </c>
    </row>
    <row r="294" spans="1:2" x14ac:dyDescent="0.25">
      <c r="A294">
        <v>986465</v>
      </c>
      <c r="B294" s="29" t="s">
        <v>293</v>
      </c>
    </row>
    <row r="295" spans="1:2" x14ac:dyDescent="0.25">
      <c r="A295">
        <v>986480</v>
      </c>
      <c r="B295" s="29" t="s">
        <v>294</v>
      </c>
    </row>
    <row r="296" spans="1:2" x14ac:dyDescent="0.25">
      <c r="A296">
        <v>986481</v>
      </c>
      <c r="B296" s="29" t="s">
        <v>295</v>
      </c>
    </row>
    <row r="297" spans="1:2" x14ac:dyDescent="0.25">
      <c r="A297">
        <v>986640</v>
      </c>
      <c r="B297" s="29" t="s">
        <v>296</v>
      </c>
    </row>
    <row r="298" spans="1:2" x14ac:dyDescent="0.25">
      <c r="A298">
        <v>986650</v>
      </c>
      <c r="B298" s="29" t="s">
        <v>297</v>
      </c>
    </row>
    <row r="299" spans="1:2" x14ac:dyDescent="0.25">
      <c r="A299">
        <v>986678</v>
      </c>
      <c r="B299" s="29" t="s">
        <v>298</v>
      </c>
    </row>
    <row r="300" spans="1:2" x14ac:dyDescent="0.25">
      <c r="A300">
        <v>986730</v>
      </c>
      <c r="B300" s="29" t="s">
        <v>299</v>
      </c>
    </row>
    <row r="301" spans="1:2" x14ac:dyDescent="0.25">
      <c r="A301">
        <v>986785</v>
      </c>
      <c r="B301" s="29" t="s">
        <v>300</v>
      </c>
    </row>
    <row r="302" spans="1:2" x14ac:dyDescent="0.25">
      <c r="A302">
        <v>986810</v>
      </c>
      <c r="B302" s="29" t="s">
        <v>301</v>
      </c>
    </row>
    <row r="303" spans="1:2" x14ac:dyDescent="0.25">
      <c r="A303">
        <v>986890</v>
      </c>
      <c r="B303" s="29" t="s">
        <v>302</v>
      </c>
    </row>
    <row r="304" spans="1:2" x14ac:dyDescent="0.25">
      <c r="A304">
        <v>986891</v>
      </c>
      <c r="B304" s="29" t="s">
        <v>303</v>
      </c>
    </row>
    <row r="305" spans="1:2" x14ac:dyDescent="0.25">
      <c r="A305">
        <v>986915</v>
      </c>
      <c r="B305" s="29" t="s">
        <v>304</v>
      </c>
    </row>
    <row r="306" spans="1:2" x14ac:dyDescent="0.25">
      <c r="A306">
        <v>986970</v>
      </c>
      <c r="B306" s="29" t="s">
        <v>305</v>
      </c>
    </row>
    <row r="307" spans="1:2" x14ac:dyDescent="0.25">
      <c r="A307">
        <v>986971</v>
      </c>
      <c r="B307" s="29" t="s">
        <v>306</v>
      </c>
    </row>
    <row r="308" spans="1:2" x14ac:dyDescent="0.25">
      <c r="A308">
        <v>986972</v>
      </c>
      <c r="B308" s="29" t="s">
        <v>307</v>
      </c>
    </row>
    <row r="309" spans="1:2" x14ac:dyDescent="0.25">
      <c r="A309">
        <v>986973</v>
      </c>
      <c r="B309" s="29" t="s">
        <v>308</v>
      </c>
    </row>
    <row r="310" spans="1:2" x14ac:dyDescent="0.25">
      <c r="A310">
        <v>986974</v>
      </c>
      <c r="B310" s="29" t="s">
        <v>309</v>
      </c>
    </row>
    <row r="311" spans="1:2" x14ac:dyDescent="0.25">
      <c r="A311">
        <v>986975</v>
      </c>
      <c r="B311" s="29" t="s">
        <v>310</v>
      </c>
    </row>
    <row r="312" spans="1:2" x14ac:dyDescent="0.25">
      <c r="A312">
        <v>986976</v>
      </c>
      <c r="B312" s="29" t="s">
        <v>311</v>
      </c>
    </row>
    <row r="313" spans="1:2" x14ac:dyDescent="0.25">
      <c r="A313">
        <v>987060</v>
      </c>
      <c r="B313" s="29" t="s">
        <v>312</v>
      </c>
    </row>
    <row r="314" spans="1:2" x14ac:dyDescent="0.25">
      <c r="A314">
        <v>987101</v>
      </c>
      <c r="B314" s="29" t="s">
        <v>313</v>
      </c>
    </row>
    <row r="315" spans="1:2" x14ac:dyDescent="0.25">
      <c r="A315">
        <v>987110</v>
      </c>
      <c r="B315" s="29" t="s">
        <v>314</v>
      </c>
    </row>
    <row r="316" spans="1:2" x14ac:dyDescent="0.25">
      <c r="A316">
        <v>987151</v>
      </c>
      <c r="B316" s="29" t="s">
        <v>315</v>
      </c>
    </row>
    <row r="317" spans="1:2" x14ac:dyDescent="0.25">
      <c r="A317">
        <v>987201</v>
      </c>
      <c r="B317" s="29" t="s">
        <v>316</v>
      </c>
    </row>
    <row r="318" spans="1:2" x14ac:dyDescent="0.25">
      <c r="A318">
        <v>987210</v>
      </c>
      <c r="B318" s="29" t="s">
        <v>317</v>
      </c>
    </row>
    <row r="319" spans="1:2" x14ac:dyDescent="0.25">
      <c r="A319">
        <v>987211</v>
      </c>
      <c r="B319" s="29" t="s">
        <v>318</v>
      </c>
    </row>
    <row r="320" spans="1:2" x14ac:dyDescent="0.25">
      <c r="A320">
        <v>987240</v>
      </c>
      <c r="B320" s="29" t="s">
        <v>319</v>
      </c>
    </row>
    <row r="321" spans="1:2" x14ac:dyDescent="0.25">
      <c r="A321">
        <v>987260</v>
      </c>
      <c r="B321" s="29" t="s">
        <v>320</v>
      </c>
    </row>
    <row r="322" spans="1:2" x14ac:dyDescent="0.25">
      <c r="A322">
        <v>987261</v>
      </c>
      <c r="B322" s="29" t="s">
        <v>321</v>
      </c>
    </row>
    <row r="323" spans="1:2" x14ac:dyDescent="0.25">
      <c r="A323">
        <v>987268</v>
      </c>
      <c r="B323" s="29" t="s">
        <v>322</v>
      </c>
    </row>
    <row r="324" spans="1:2" x14ac:dyDescent="0.25">
      <c r="A324">
        <v>987290</v>
      </c>
      <c r="B324" s="29" t="s">
        <v>323</v>
      </c>
    </row>
    <row r="325" spans="1:2" x14ac:dyDescent="0.25">
      <c r="A325">
        <v>987310</v>
      </c>
      <c r="B325" s="29" t="s">
        <v>324</v>
      </c>
    </row>
    <row r="326" spans="1:2" x14ac:dyDescent="0.25">
      <c r="A326">
        <v>987340</v>
      </c>
      <c r="B326" s="29" t="s">
        <v>325</v>
      </c>
    </row>
    <row r="327" spans="1:2" x14ac:dyDescent="0.25">
      <c r="A327">
        <v>987360</v>
      </c>
      <c r="B327" s="29" t="s">
        <v>326</v>
      </c>
    </row>
    <row r="328" spans="1:2" x14ac:dyDescent="0.25">
      <c r="A328">
        <v>987361</v>
      </c>
      <c r="B328" s="29" t="s">
        <v>327</v>
      </c>
    </row>
    <row r="329" spans="1:2" x14ac:dyDescent="0.25">
      <c r="A329">
        <v>987400</v>
      </c>
      <c r="B329" s="29" t="s">
        <v>328</v>
      </c>
    </row>
    <row r="330" spans="1:2" x14ac:dyDescent="0.25">
      <c r="A330">
        <v>987425</v>
      </c>
      <c r="B330" s="29" t="s">
        <v>329</v>
      </c>
    </row>
    <row r="331" spans="1:2" x14ac:dyDescent="0.25">
      <c r="A331">
        <v>987560</v>
      </c>
      <c r="B331" s="29" t="s">
        <v>330</v>
      </c>
    </row>
    <row r="332" spans="1:2" x14ac:dyDescent="0.25">
      <c r="A332">
        <v>987570</v>
      </c>
      <c r="B332" s="29" t="s">
        <v>331</v>
      </c>
    </row>
    <row r="333" spans="1:2" x14ac:dyDescent="0.25">
      <c r="A333">
        <v>987590</v>
      </c>
      <c r="B333" s="29" t="s">
        <v>332</v>
      </c>
    </row>
    <row r="334" spans="1:2" x14ac:dyDescent="0.25">
      <c r="A334">
        <v>987591</v>
      </c>
      <c r="B334" s="29" t="s">
        <v>333</v>
      </c>
    </row>
    <row r="335" spans="1:2" x14ac:dyDescent="0.25">
      <c r="A335">
        <v>987592</v>
      </c>
      <c r="B335" s="29" t="s">
        <v>334</v>
      </c>
    </row>
    <row r="336" spans="1:2" x14ac:dyDescent="0.25">
      <c r="A336">
        <v>987593</v>
      </c>
      <c r="B336" s="29" t="s">
        <v>335</v>
      </c>
    </row>
    <row r="337" spans="1:2" x14ac:dyDescent="0.25">
      <c r="A337">
        <v>987594</v>
      </c>
      <c r="B337" s="29" t="s">
        <v>336</v>
      </c>
    </row>
    <row r="338" spans="1:2" x14ac:dyDescent="0.25">
      <c r="A338">
        <v>987600</v>
      </c>
      <c r="B338" s="29" t="s">
        <v>337</v>
      </c>
    </row>
    <row r="339" spans="1:2" x14ac:dyDescent="0.25">
      <c r="A339">
        <v>987610</v>
      </c>
      <c r="B339" s="29" t="s">
        <v>338</v>
      </c>
    </row>
    <row r="340" spans="1:2" x14ac:dyDescent="0.25">
      <c r="A340">
        <v>987614</v>
      </c>
      <c r="B340" s="29" t="s">
        <v>339</v>
      </c>
    </row>
    <row r="341" spans="1:2" x14ac:dyDescent="0.25">
      <c r="A341">
        <v>987660</v>
      </c>
      <c r="B341" s="29" t="s">
        <v>340</v>
      </c>
    </row>
    <row r="342" spans="1:2" x14ac:dyDescent="0.25">
      <c r="A342">
        <v>987666</v>
      </c>
      <c r="B342" s="29" t="s">
        <v>341</v>
      </c>
    </row>
    <row r="343" spans="1:2" x14ac:dyDescent="0.25">
      <c r="A343">
        <v>987690</v>
      </c>
      <c r="B343" s="29" t="s">
        <v>342</v>
      </c>
    </row>
    <row r="344" spans="1:2" x14ac:dyDescent="0.25">
      <c r="A344">
        <v>987691</v>
      </c>
      <c r="B344" s="29" t="s">
        <v>343</v>
      </c>
    </row>
    <row r="345" spans="1:2" x14ac:dyDescent="0.25">
      <c r="A345">
        <v>987692</v>
      </c>
      <c r="B345" s="29" t="s">
        <v>344</v>
      </c>
    </row>
    <row r="346" spans="1:2" x14ac:dyDescent="0.25">
      <c r="A346">
        <v>987710</v>
      </c>
      <c r="B346" s="29" t="s">
        <v>345</v>
      </c>
    </row>
    <row r="347" spans="1:2" x14ac:dyDescent="0.25">
      <c r="A347">
        <v>987730</v>
      </c>
      <c r="B347" s="29" t="s">
        <v>346</v>
      </c>
    </row>
    <row r="348" spans="1:2" x14ac:dyDescent="0.25">
      <c r="A348">
        <v>987733</v>
      </c>
      <c r="B348" s="29" t="s">
        <v>347</v>
      </c>
    </row>
    <row r="349" spans="1:2" x14ac:dyDescent="0.25">
      <c r="A349">
        <v>987760</v>
      </c>
      <c r="B349" s="29" t="s">
        <v>348</v>
      </c>
    </row>
    <row r="350" spans="1:2" x14ac:dyDescent="0.25">
      <c r="A350">
        <v>987790</v>
      </c>
      <c r="B350" s="29" t="s">
        <v>349</v>
      </c>
    </row>
    <row r="351" spans="1:2" x14ac:dyDescent="0.25">
      <c r="A351">
        <v>987810</v>
      </c>
      <c r="B351" s="29" t="s">
        <v>350</v>
      </c>
    </row>
    <row r="352" spans="1:2" x14ac:dyDescent="0.25">
      <c r="A352">
        <v>987820</v>
      </c>
      <c r="B352" s="29" t="s">
        <v>351</v>
      </c>
    </row>
    <row r="353" spans="1:2" x14ac:dyDescent="0.25">
      <c r="A353">
        <v>987821</v>
      </c>
      <c r="B353" s="29" t="s">
        <v>352</v>
      </c>
    </row>
    <row r="354" spans="1:2" x14ac:dyDescent="0.25">
      <c r="A354">
        <v>987822</v>
      </c>
      <c r="B354" s="29" t="s">
        <v>353</v>
      </c>
    </row>
    <row r="355" spans="1:2" x14ac:dyDescent="0.25">
      <c r="A355">
        <v>987832</v>
      </c>
      <c r="B355" s="29" t="s">
        <v>354</v>
      </c>
    </row>
    <row r="356" spans="1:2" x14ac:dyDescent="0.25">
      <c r="A356">
        <v>987900</v>
      </c>
      <c r="B356" s="29" t="s">
        <v>355</v>
      </c>
    </row>
    <row r="357" spans="1:2" x14ac:dyDescent="0.25">
      <c r="A357">
        <v>987906</v>
      </c>
      <c r="B357" s="29" t="s">
        <v>356</v>
      </c>
    </row>
    <row r="358" spans="1:2" x14ac:dyDescent="0.25">
      <c r="A358">
        <v>988015</v>
      </c>
      <c r="B358" s="29" t="s">
        <v>357</v>
      </c>
    </row>
    <row r="359" spans="1:2" x14ac:dyDescent="0.25">
      <c r="A359">
        <v>988020</v>
      </c>
      <c r="B359" s="29" t="s">
        <v>358</v>
      </c>
    </row>
    <row r="360" spans="1:2" x14ac:dyDescent="0.25">
      <c r="A360">
        <v>988460</v>
      </c>
      <c r="B360" s="29" t="s">
        <v>359</v>
      </c>
    </row>
    <row r="361" spans="1:2" x14ac:dyDescent="0.25">
      <c r="A361">
        <v>988490</v>
      </c>
      <c r="B361" s="29" t="s">
        <v>360</v>
      </c>
    </row>
    <row r="362" spans="1:2" x14ac:dyDescent="0.25">
      <c r="A362">
        <v>988520</v>
      </c>
      <c r="B362" s="29" t="s">
        <v>361</v>
      </c>
    </row>
    <row r="363" spans="1:2" x14ac:dyDescent="0.25">
      <c r="A363">
        <v>988531</v>
      </c>
      <c r="B363" s="29" t="s">
        <v>362</v>
      </c>
    </row>
    <row r="364" spans="1:2" x14ac:dyDescent="0.25">
      <c r="A364">
        <v>988532</v>
      </c>
      <c r="B364" s="29" t="s">
        <v>363</v>
      </c>
    </row>
    <row r="365" spans="1:2" x14ac:dyDescent="0.25">
      <c r="A365">
        <v>988540</v>
      </c>
      <c r="B365" s="29" t="s">
        <v>364</v>
      </c>
    </row>
    <row r="366" spans="1:2" x14ac:dyDescent="0.25">
      <c r="A366">
        <v>988561</v>
      </c>
      <c r="B366" s="29" t="s">
        <v>365</v>
      </c>
    </row>
    <row r="367" spans="1:2" x14ac:dyDescent="0.25">
      <c r="A367">
        <v>988562</v>
      </c>
      <c r="B367" s="29" t="s">
        <v>366</v>
      </c>
    </row>
    <row r="368" spans="1:2" x14ac:dyDescent="0.25">
      <c r="A368">
        <v>988571</v>
      </c>
      <c r="B368" s="29" t="s">
        <v>367</v>
      </c>
    </row>
    <row r="369" spans="1:2" x14ac:dyDescent="0.25">
      <c r="A369">
        <v>988600</v>
      </c>
      <c r="B369" s="29" t="s">
        <v>368</v>
      </c>
    </row>
    <row r="370" spans="1:2" x14ac:dyDescent="0.25">
      <c r="A370">
        <v>988620</v>
      </c>
      <c r="B370" s="29" t="s">
        <v>369</v>
      </c>
    </row>
    <row r="371" spans="1:2" x14ac:dyDescent="0.25">
      <c r="A371">
        <v>988621</v>
      </c>
      <c r="B371" s="29" t="s">
        <v>370</v>
      </c>
    </row>
    <row r="372" spans="1:2" x14ac:dyDescent="0.25">
      <c r="A372">
        <v>988630</v>
      </c>
      <c r="B372" s="29" t="s">
        <v>371</v>
      </c>
    </row>
    <row r="373" spans="1:2" x14ac:dyDescent="0.25">
      <c r="A373">
        <v>988650</v>
      </c>
      <c r="B373" s="29" t="s">
        <v>372</v>
      </c>
    </row>
    <row r="374" spans="1:2" x14ac:dyDescent="0.25">
      <c r="A374">
        <v>988700</v>
      </c>
      <c r="B374" s="29" t="s">
        <v>373</v>
      </c>
    </row>
    <row r="375" spans="1:2" x14ac:dyDescent="0.25">
      <c r="A375">
        <v>988703</v>
      </c>
      <c r="B375" s="29" t="s">
        <v>374</v>
      </c>
    </row>
    <row r="376" spans="1:2" x14ac:dyDescent="0.25">
      <c r="A376">
        <v>988735</v>
      </c>
      <c r="B376" s="29" t="s">
        <v>375</v>
      </c>
    </row>
    <row r="377" spans="1:2" x14ac:dyDescent="0.25">
      <c r="A377">
        <v>988760</v>
      </c>
      <c r="B377" s="29" t="s">
        <v>376</v>
      </c>
    </row>
    <row r="378" spans="1:2" x14ac:dyDescent="0.25">
      <c r="A378">
        <v>995154</v>
      </c>
      <c r="B378" s="29" t="s">
        <v>1091</v>
      </c>
    </row>
    <row r="379" spans="1:2" x14ac:dyDescent="0.25">
      <c r="A379">
        <v>995182</v>
      </c>
      <c r="B379" s="29" t="s">
        <v>1092</v>
      </c>
    </row>
    <row r="380" spans="1:2" x14ac:dyDescent="0.25">
      <c r="A380">
        <v>995183</v>
      </c>
      <c r="B380" s="29" t="s">
        <v>1093</v>
      </c>
    </row>
    <row r="381" spans="1:2" x14ac:dyDescent="0.25">
      <c r="A381">
        <v>988810</v>
      </c>
      <c r="B381" s="29" t="s">
        <v>377</v>
      </c>
    </row>
    <row r="382" spans="1:2" x14ac:dyDescent="0.25">
      <c r="A382">
        <v>988830</v>
      </c>
      <c r="B382" s="29" t="s">
        <v>378</v>
      </c>
    </row>
    <row r="383" spans="1:2" x14ac:dyDescent="0.25">
      <c r="A383">
        <v>988850</v>
      </c>
      <c r="B383" s="29" t="s">
        <v>379</v>
      </c>
    </row>
    <row r="384" spans="1:2" x14ac:dyDescent="0.25">
      <c r="A384">
        <v>988851</v>
      </c>
      <c r="B384" s="29" t="s">
        <v>380</v>
      </c>
    </row>
    <row r="385" spans="1:2" x14ac:dyDescent="0.25">
      <c r="A385">
        <v>988890</v>
      </c>
      <c r="B385" s="29" t="s">
        <v>381</v>
      </c>
    </row>
    <row r="386" spans="1:2" x14ac:dyDescent="0.25">
      <c r="A386">
        <v>988910</v>
      </c>
      <c r="B386" s="29" t="s">
        <v>382</v>
      </c>
    </row>
    <row r="387" spans="1:2" x14ac:dyDescent="0.25">
      <c r="A387">
        <v>988930</v>
      </c>
      <c r="B387" s="29" t="s">
        <v>383</v>
      </c>
    </row>
    <row r="388" spans="1:2" x14ac:dyDescent="0.25">
      <c r="A388">
        <v>988970</v>
      </c>
      <c r="B388" s="29" t="s">
        <v>384</v>
      </c>
    </row>
    <row r="389" spans="1:2" x14ac:dyDescent="0.25">
      <c r="A389">
        <v>988971</v>
      </c>
      <c r="B389" s="29" t="s">
        <v>385</v>
      </c>
    </row>
    <row r="390" spans="1:2" x14ac:dyDescent="0.25">
      <c r="A390">
        <v>989005</v>
      </c>
      <c r="B390" s="29" t="s">
        <v>386</v>
      </c>
    </row>
    <row r="391" spans="1:2" x14ac:dyDescent="0.25">
      <c r="A391">
        <v>989006</v>
      </c>
      <c r="B391" s="29" t="s">
        <v>387</v>
      </c>
    </row>
    <row r="392" spans="1:2" x14ac:dyDescent="0.25">
      <c r="A392">
        <v>989007</v>
      </c>
      <c r="B392" s="29" t="s">
        <v>388</v>
      </c>
    </row>
    <row r="393" spans="1:2" x14ac:dyDescent="0.25">
      <c r="A393">
        <v>989008</v>
      </c>
      <c r="B393" s="29" t="s">
        <v>389</v>
      </c>
    </row>
    <row r="394" spans="1:2" x14ac:dyDescent="0.25">
      <c r="A394">
        <v>989060</v>
      </c>
      <c r="B394" s="29" t="s">
        <v>390</v>
      </c>
    </row>
    <row r="395" spans="1:2" x14ac:dyDescent="0.25">
      <c r="A395">
        <v>989061</v>
      </c>
      <c r="B395" s="29" t="s">
        <v>391</v>
      </c>
    </row>
    <row r="396" spans="1:2" x14ac:dyDescent="0.25">
      <c r="A396">
        <v>989062</v>
      </c>
      <c r="B396" s="29" t="s">
        <v>392</v>
      </c>
    </row>
    <row r="397" spans="1:2" x14ac:dyDescent="0.25">
      <c r="A397">
        <v>989063</v>
      </c>
      <c r="B397" s="29" t="s">
        <v>393</v>
      </c>
    </row>
    <row r="398" spans="1:2" x14ac:dyDescent="0.25">
      <c r="A398">
        <v>989064</v>
      </c>
      <c r="B398" s="29" t="s">
        <v>394</v>
      </c>
    </row>
    <row r="399" spans="1:2" x14ac:dyDescent="0.25">
      <c r="A399">
        <v>989065</v>
      </c>
      <c r="B399" s="29" t="s">
        <v>395</v>
      </c>
    </row>
    <row r="400" spans="1:2" x14ac:dyDescent="0.25">
      <c r="A400">
        <v>989066</v>
      </c>
      <c r="B400" s="29" t="s">
        <v>396</v>
      </c>
    </row>
    <row r="401" spans="1:2" x14ac:dyDescent="0.25">
      <c r="A401">
        <v>989067</v>
      </c>
      <c r="B401" s="29" t="s">
        <v>397</v>
      </c>
    </row>
    <row r="402" spans="1:2" x14ac:dyDescent="0.25">
      <c r="A402">
        <v>989068</v>
      </c>
      <c r="B402" s="29" t="s">
        <v>398</v>
      </c>
    </row>
    <row r="403" spans="1:2" x14ac:dyDescent="0.25">
      <c r="A403">
        <v>989085</v>
      </c>
      <c r="B403" s="29" t="s">
        <v>399</v>
      </c>
    </row>
    <row r="404" spans="1:2" x14ac:dyDescent="0.25">
      <c r="A404">
        <v>989086</v>
      </c>
      <c r="B404" s="29" t="s">
        <v>400</v>
      </c>
    </row>
    <row r="405" spans="1:2" x14ac:dyDescent="0.25">
      <c r="A405">
        <v>989087</v>
      </c>
      <c r="B405" s="29" t="s">
        <v>401</v>
      </c>
    </row>
    <row r="406" spans="1:2" s="10" customFormat="1" x14ac:dyDescent="0.25">
      <c r="A406">
        <v>989088</v>
      </c>
      <c r="B406" s="29" t="s">
        <v>402</v>
      </c>
    </row>
    <row r="407" spans="1:2" x14ac:dyDescent="0.25">
      <c r="A407">
        <v>989089</v>
      </c>
      <c r="B407" s="29" t="s">
        <v>403</v>
      </c>
    </row>
    <row r="408" spans="1:2" x14ac:dyDescent="0.25">
      <c r="A408">
        <v>989100</v>
      </c>
      <c r="B408" s="29" t="s">
        <v>404</v>
      </c>
    </row>
    <row r="409" spans="1:2" x14ac:dyDescent="0.25">
      <c r="A409">
        <v>989210</v>
      </c>
      <c r="B409" s="29" t="s">
        <v>405</v>
      </c>
    </row>
    <row r="410" spans="1:2" x14ac:dyDescent="0.25">
      <c r="A410">
        <v>989211</v>
      </c>
      <c r="B410" s="29" t="s">
        <v>406</v>
      </c>
    </row>
    <row r="411" spans="1:2" x14ac:dyDescent="0.25">
      <c r="A411">
        <v>989212</v>
      </c>
      <c r="B411" s="29" t="s">
        <v>407</v>
      </c>
    </row>
    <row r="412" spans="1:2" x14ac:dyDescent="0.25">
      <c r="A412">
        <v>989213</v>
      </c>
      <c r="B412" s="29" t="s">
        <v>408</v>
      </c>
    </row>
    <row r="413" spans="1:2" x14ac:dyDescent="0.25">
      <c r="A413">
        <v>989250</v>
      </c>
      <c r="B413" s="29" t="s">
        <v>409</v>
      </c>
    </row>
    <row r="414" spans="1:2" x14ac:dyDescent="0.25">
      <c r="A414">
        <v>989260</v>
      </c>
      <c r="B414" s="29" t="s">
        <v>410</v>
      </c>
    </row>
    <row r="415" spans="1:2" x14ac:dyDescent="0.25">
      <c r="A415">
        <v>989267</v>
      </c>
      <c r="B415" s="29" t="s">
        <v>411</v>
      </c>
    </row>
    <row r="416" spans="1:2" x14ac:dyDescent="0.25">
      <c r="A416">
        <v>989280</v>
      </c>
      <c r="B416" s="29" t="s">
        <v>412</v>
      </c>
    </row>
    <row r="417" spans="1:2" x14ac:dyDescent="0.25">
      <c r="A417">
        <v>989301</v>
      </c>
      <c r="B417" s="29" t="s">
        <v>413</v>
      </c>
    </row>
    <row r="418" spans="1:2" x14ac:dyDescent="0.25">
      <c r="A418">
        <v>989310</v>
      </c>
      <c r="B418" s="29" t="s">
        <v>414</v>
      </c>
    </row>
    <row r="419" spans="1:2" x14ac:dyDescent="0.25">
      <c r="A419">
        <v>989330</v>
      </c>
      <c r="B419" s="29" t="s">
        <v>415</v>
      </c>
    </row>
    <row r="420" spans="1:2" x14ac:dyDescent="0.25">
      <c r="A420">
        <v>989360</v>
      </c>
      <c r="B420" s="29" t="s">
        <v>416</v>
      </c>
    </row>
    <row r="421" spans="1:2" x14ac:dyDescent="0.25">
      <c r="A421">
        <v>989361</v>
      </c>
      <c r="B421" s="29" t="s">
        <v>417</v>
      </c>
    </row>
    <row r="422" spans="1:2" x14ac:dyDescent="0.25">
      <c r="A422">
        <v>989380</v>
      </c>
      <c r="B422" s="29" t="s">
        <v>418</v>
      </c>
    </row>
    <row r="423" spans="1:2" x14ac:dyDescent="0.25">
      <c r="A423">
        <v>989410</v>
      </c>
      <c r="B423" s="29" t="s">
        <v>419</v>
      </c>
    </row>
    <row r="424" spans="1:2" x14ac:dyDescent="0.25">
      <c r="A424">
        <v>989411</v>
      </c>
      <c r="B424" s="29" t="s">
        <v>420</v>
      </c>
    </row>
    <row r="425" spans="1:2" x14ac:dyDescent="0.25">
      <c r="A425">
        <v>989412</v>
      </c>
      <c r="B425" s="29" t="s">
        <v>421</v>
      </c>
    </row>
    <row r="426" spans="1:2" x14ac:dyDescent="0.25">
      <c r="A426">
        <v>989430</v>
      </c>
      <c r="B426" s="29" t="s">
        <v>422</v>
      </c>
    </row>
    <row r="427" spans="1:2" x14ac:dyDescent="0.25">
      <c r="A427">
        <v>989460</v>
      </c>
      <c r="B427" s="29" t="s">
        <v>423</v>
      </c>
    </row>
    <row r="428" spans="1:2" x14ac:dyDescent="0.25">
      <c r="A428">
        <v>989461</v>
      </c>
      <c r="B428" s="29" t="s">
        <v>424</v>
      </c>
    </row>
    <row r="429" spans="1:2" x14ac:dyDescent="0.25">
      <c r="A429">
        <v>989490</v>
      </c>
      <c r="B429" s="29" t="s">
        <v>425</v>
      </c>
    </row>
    <row r="430" spans="1:2" x14ac:dyDescent="0.25">
      <c r="A430">
        <v>989550</v>
      </c>
      <c r="B430" s="29" t="s">
        <v>426</v>
      </c>
    </row>
    <row r="431" spans="1:2" x14ac:dyDescent="0.25">
      <c r="A431">
        <v>989560</v>
      </c>
      <c r="B431" s="29" t="s">
        <v>427</v>
      </c>
    </row>
    <row r="432" spans="1:2" x14ac:dyDescent="0.25">
      <c r="A432">
        <v>989561</v>
      </c>
      <c r="B432" s="29" t="s">
        <v>428</v>
      </c>
    </row>
    <row r="433" spans="1:2" x14ac:dyDescent="0.25">
      <c r="A433">
        <v>989580</v>
      </c>
      <c r="B433" s="29" t="s">
        <v>429</v>
      </c>
    </row>
    <row r="434" spans="1:2" x14ac:dyDescent="0.25">
      <c r="A434">
        <v>989618</v>
      </c>
      <c r="B434" s="29" t="s">
        <v>430</v>
      </c>
    </row>
    <row r="435" spans="1:2" x14ac:dyDescent="0.25">
      <c r="A435">
        <v>989619</v>
      </c>
      <c r="B435" s="29" t="s">
        <v>431</v>
      </c>
    </row>
    <row r="436" spans="1:2" x14ac:dyDescent="0.25">
      <c r="A436">
        <v>989660</v>
      </c>
      <c r="B436" s="29" t="s">
        <v>432</v>
      </c>
    </row>
    <row r="437" spans="1:2" x14ac:dyDescent="0.25">
      <c r="A437">
        <v>989680</v>
      </c>
      <c r="B437" s="29" t="s">
        <v>433</v>
      </c>
    </row>
    <row r="438" spans="1:2" x14ac:dyDescent="0.25">
      <c r="A438">
        <v>989710</v>
      </c>
      <c r="B438" s="29" t="s">
        <v>434</v>
      </c>
    </row>
    <row r="439" spans="1:2" x14ac:dyDescent="0.25">
      <c r="A439">
        <v>989730</v>
      </c>
      <c r="B439" s="29" t="s">
        <v>435</v>
      </c>
    </row>
    <row r="440" spans="1:2" x14ac:dyDescent="0.25">
      <c r="A440">
        <v>989760</v>
      </c>
      <c r="B440" s="29" t="s">
        <v>1060</v>
      </c>
    </row>
    <row r="441" spans="1:2" x14ac:dyDescent="0.25">
      <c r="A441">
        <v>989762</v>
      </c>
      <c r="B441" s="29" t="s">
        <v>436</v>
      </c>
    </row>
    <row r="442" spans="1:2" x14ac:dyDescent="0.25">
      <c r="A442">
        <v>989763</v>
      </c>
      <c r="B442" s="29" t="s">
        <v>437</v>
      </c>
    </row>
    <row r="443" spans="1:2" x14ac:dyDescent="0.25">
      <c r="A443">
        <v>989764</v>
      </c>
      <c r="B443" s="29" t="s">
        <v>438</v>
      </c>
    </row>
    <row r="444" spans="1:2" x14ac:dyDescent="0.25">
      <c r="A444">
        <v>989800</v>
      </c>
      <c r="B444" s="29" t="s">
        <v>439</v>
      </c>
    </row>
    <row r="445" spans="1:2" x14ac:dyDescent="0.25">
      <c r="A445">
        <v>989810</v>
      </c>
      <c r="B445" s="29" t="s">
        <v>440</v>
      </c>
    </row>
    <row r="446" spans="1:2" x14ac:dyDescent="0.25">
      <c r="A446">
        <v>989811</v>
      </c>
      <c r="B446" s="29" t="s">
        <v>441</v>
      </c>
    </row>
    <row r="447" spans="1:2" x14ac:dyDescent="0.25">
      <c r="A447">
        <v>989812</v>
      </c>
      <c r="B447" s="29" t="s">
        <v>442</v>
      </c>
    </row>
    <row r="448" spans="1:2" x14ac:dyDescent="0.25">
      <c r="A448">
        <v>989830</v>
      </c>
      <c r="B448" s="29" t="s">
        <v>443</v>
      </c>
    </row>
    <row r="449" spans="1:2" x14ac:dyDescent="0.25">
      <c r="A449">
        <v>989860</v>
      </c>
      <c r="B449" s="29" t="s">
        <v>444</v>
      </c>
    </row>
    <row r="450" spans="1:2" x14ac:dyDescent="0.25">
      <c r="A450">
        <v>990000</v>
      </c>
      <c r="B450" s="29" t="s">
        <v>445</v>
      </c>
    </row>
    <row r="451" spans="1:2" x14ac:dyDescent="0.25">
      <c r="A451">
        <v>990001</v>
      </c>
      <c r="B451" s="29" t="s">
        <v>446</v>
      </c>
    </row>
    <row r="452" spans="1:2" x14ac:dyDescent="0.25">
      <c r="A452">
        <v>990002</v>
      </c>
      <c r="B452" s="29" t="s">
        <v>447</v>
      </c>
    </row>
    <row r="453" spans="1:2" x14ac:dyDescent="0.25">
      <c r="A453">
        <v>990003</v>
      </c>
      <c r="B453" s="29" t="s">
        <v>448</v>
      </c>
    </row>
    <row r="454" spans="1:2" x14ac:dyDescent="0.25">
      <c r="A454">
        <v>990004</v>
      </c>
      <c r="B454" s="29" t="s">
        <v>449</v>
      </c>
    </row>
    <row r="455" spans="1:2" x14ac:dyDescent="0.25">
      <c r="A455">
        <v>990005</v>
      </c>
      <c r="B455" s="29" t="s">
        <v>450</v>
      </c>
    </row>
    <row r="456" spans="1:2" x14ac:dyDescent="0.25">
      <c r="A456">
        <v>990006</v>
      </c>
      <c r="B456" s="29" t="s">
        <v>451</v>
      </c>
    </row>
    <row r="457" spans="1:2" x14ac:dyDescent="0.25">
      <c r="A457">
        <v>990007</v>
      </c>
      <c r="B457" s="29" t="s">
        <v>452</v>
      </c>
    </row>
    <row r="458" spans="1:2" x14ac:dyDescent="0.25">
      <c r="A458">
        <v>990008</v>
      </c>
      <c r="B458" s="29" t="s">
        <v>453</v>
      </c>
    </row>
    <row r="459" spans="1:2" x14ac:dyDescent="0.25">
      <c r="A459">
        <v>990009</v>
      </c>
      <c r="B459" s="29" t="s">
        <v>454</v>
      </c>
    </row>
    <row r="460" spans="1:2" x14ac:dyDescent="0.25">
      <c r="A460">
        <v>990010</v>
      </c>
      <c r="B460" s="29" t="s">
        <v>455</v>
      </c>
    </row>
    <row r="461" spans="1:2" x14ac:dyDescent="0.25">
      <c r="A461">
        <v>990011</v>
      </c>
      <c r="B461" s="29" t="s">
        <v>456</v>
      </c>
    </row>
    <row r="462" spans="1:2" x14ac:dyDescent="0.25">
      <c r="A462">
        <v>990012</v>
      </c>
      <c r="B462" s="29" t="s">
        <v>457</v>
      </c>
    </row>
    <row r="463" spans="1:2" x14ac:dyDescent="0.25">
      <c r="A463">
        <v>990013</v>
      </c>
      <c r="B463" s="29" t="s">
        <v>458</v>
      </c>
    </row>
    <row r="464" spans="1:2" x14ac:dyDescent="0.25">
      <c r="A464">
        <v>990014</v>
      </c>
      <c r="B464" s="29" t="s">
        <v>459</v>
      </c>
    </row>
    <row r="465" spans="1:2" x14ac:dyDescent="0.25">
      <c r="A465">
        <v>990015</v>
      </c>
      <c r="B465" s="29" t="s">
        <v>460</v>
      </c>
    </row>
    <row r="466" spans="1:2" x14ac:dyDescent="0.25">
      <c r="A466">
        <v>990016</v>
      </c>
      <c r="B466" s="29" t="s">
        <v>461</v>
      </c>
    </row>
    <row r="467" spans="1:2" x14ac:dyDescent="0.25">
      <c r="A467">
        <v>990017</v>
      </c>
      <c r="B467" s="29" t="s">
        <v>462</v>
      </c>
    </row>
    <row r="468" spans="1:2" x14ac:dyDescent="0.25">
      <c r="A468">
        <v>990018</v>
      </c>
      <c r="B468" s="29" t="s">
        <v>463</v>
      </c>
    </row>
    <row r="469" spans="1:2" x14ac:dyDescent="0.25">
      <c r="A469">
        <v>990019</v>
      </c>
      <c r="B469" s="29" t="s">
        <v>464</v>
      </c>
    </row>
    <row r="470" spans="1:2" x14ac:dyDescent="0.25">
      <c r="A470">
        <v>990020</v>
      </c>
      <c r="B470" s="29" t="s">
        <v>465</v>
      </c>
    </row>
    <row r="471" spans="1:2" x14ac:dyDescent="0.25">
      <c r="A471">
        <v>990021</v>
      </c>
      <c r="B471" s="29" t="s">
        <v>466</v>
      </c>
    </row>
    <row r="472" spans="1:2" x14ac:dyDescent="0.25">
      <c r="A472">
        <v>990022</v>
      </c>
      <c r="B472" s="29" t="s">
        <v>467</v>
      </c>
    </row>
    <row r="473" spans="1:2" x14ac:dyDescent="0.25">
      <c r="A473">
        <v>990023</v>
      </c>
      <c r="B473" s="29" t="s">
        <v>468</v>
      </c>
    </row>
    <row r="474" spans="1:2" x14ac:dyDescent="0.25">
      <c r="A474">
        <v>990024</v>
      </c>
      <c r="B474" s="29" t="s">
        <v>469</v>
      </c>
    </row>
    <row r="475" spans="1:2" x14ac:dyDescent="0.25">
      <c r="A475">
        <v>990025</v>
      </c>
      <c r="B475" s="29" t="s">
        <v>470</v>
      </c>
    </row>
    <row r="476" spans="1:2" x14ac:dyDescent="0.25">
      <c r="A476">
        <v>990026</v>
      </c>
      <c r="B476" s="29" t="s">
        <v>471</v>
      </c>
    </row>
    <row r="477" spans="1:2" x14ac:dyDescent="0.25">
      <c r="A477">
        <v>990027</v>
      </c>
      <c r="B477" s="29" t="s">
        <v>472</v>
      </c>
    </row>
    <row r="478" spans="1:2" x14ac:dyDescent="0.25">
      <c r="A478">
        <v>990028</v>
      </c>
      <c r="B478" s="29" t="s">
        <v>473</v>
      </c>
    </row>
    <row r="479" spans="1:2" x14ac:dyDescent="0.25">
      <c r="A479">
        <v>990029</v>
      </c>
      <c r="B479" s="29" t="s">
        <v>474</v>
      </c>
    </row>
    <row r="480" spans="1:2" x14ac:dyDescent="0.25">
      <c r="A480">
        <v>990031</v>
      </c>
      <c r="B480" s="29" t="s">
        <v>475</v>
      </c>
    </row>
    <row r="481" spans="1:2" x14ac:dyDescent="0.25">
      <c r="A481">
        <v>982800</v>
      </c>
      <c r="B481" s="29" t="s">
        <v>1041</v>
      </c>
    </row>
    <row r="482" spans="1:2" x14ac:dyDescent="0.25">
      <c r="A482">
        <v>984582</v>
      </c>
      <c r="B482" s="29" t="s">
        <v>1061</v>
      </c>
    </row>
    <row r="483" spans="1:2" x14ac:dyDescent="0.25">
      <c r="A483">
        <v>990058</v>
      </c>
      <c r="B483" s="29" t="s">
        <v>476</v>
      </c>
    </row>
    <row r="484" spans="1:2" x14ac:dyDescent="0.25">
      <c r="A484">
        <v>990800</v>
      </c>
      <c r="B484" s="29" t="s">
        <v>477</v>
      </c>
    </row>
    <row r="485" spans="1:2" x14ac:dyDescent="0.25">
      <c r="A485">
        <v>990801</v>
      </c>
      <c r="B485" s="29" t="s">
        <v>478</v>
      </c>
    </row>
    <row r="486" spans="1:2" x14ac:dyDescent="0.25">
      <c r="A486">
        <v>990802</v>
      </c>
      <c r="B486" s="29" t="s">
        <v>479</v>
      </c>
    </row>
    <row r="487" spans="1:2" x14ac:dyDescent="0.25">
      <c r="A487">
        <v>990803</v>
      </c>
      <c r="B487" s="29" t="s">
        <v>480</v>
      </c>
    </row>
    <row r="488" spans="1:2" x14ac:dyDescent="0.25">
      <c r="A488">
        <v>990804</v>
      </c>
      <c r="B488" s="29" t="s">
        <v>481</v>
      </c>
    </row>
    <row r="489" spans="1:2" x14ac:dyDescent="0.25">
      <c r="A489">
        <v>990805</v>
      </c>
      <c r="B489" s="29" t="s">
        <v>482</v>
      </c>
    </row>
    <row r="490" spans="1:2" x14ac:dyDescent="0.25">
      <c r="A490">
        <v>990806</v>
      </c>
      <c r="B490" s="29" t="s">
        <v>483</v>
      </c>
    </row>
    <row r="491" spans="1:2" x14ac:dyDescent="0.25">
      <c r="A491">
        <v>990807</v>
      </c>
      <c r="B491" s="29" t="s">
        <v>484</v>
      </c>
    </row>
    <row r="492" spans="1:2" x14ac:dyDescent="0.25">
      <c r="A492">
        <v>990808</v>
      </c>
      <c r="B492" s="29" t="s">
        <v>485</v>
      </c>
    </row>
    <row r="493" spans="1:2" x14ac:dyDescent="0.25">
      <c r="A493">
        <v>990809</v>
      </c>
      <c r="B493" s="29" t="s">
        <v>486</v>
      </c>
    </row>
    <row r="494" spans="1:2" x14ac:dyDescent="0.25">
      <c r="A494">
        <v>990810</v>
      </c>
      <c r="B494" s="29" t="s">
        <v>487</v>
      </c>
    </row>
    <row r="495" spans="1:2" x14ac:dyDescent="0.25">
      <c r="A495">
        <v>990811</v>
      </c>
      <c r="B495" s="29" t="s">
        <v>488</v>
      </c>
    </row>
    <row r="496" spans="1:2" x14ac:dyDescent="0.25">
      <c r="A496">
        <v>990812</v>
      </c>
      <c r="B496" s="29" t="s">
        <v>489</v>
      </c>
    </row>
    <row r="497" spans="1:2" x14ac:dyDescent="0.25">
      <c r="A497">
        <v>990813</v>
      </c>
      <c r="B497" s="29" t="s">
        <v>490</v>
      </c>
    </row>
    <row r="498" spans="1:2" x14ac:dyDescent="0.25">
      <c r="A498">
        <v>990814</v>
      </c>
      <c r="B498" s="29" t="s">
        <v>491</v>
      </c>
    </row>
    <row r="499" spans="1:2" x14ac:dyDescent="0.25">
      <c r="A499">
        <v>990815</v>
      </c>
      <c r="B499" s="29" t="s">
        <v>492</v>
      </c>
    </row>
    <row r="500" spans="1:2" x14ac:dyDescent="0.25">
      <c r="A500">
        <v>990816</v>
      </c>
      <c r="B500" s="29" t="s">
        <v>493</v>
      </c>
    </row>
    <row r="501" spans="1:2" x14ac:dyDescent="0.25">
      <c r="A501">
        <v>990817</v>
      </c>
      <c r="B501" s="29" t="s">
        <v>494</v>
      </c>
    </row>
    <row r="502" spans="1:2" x14ac:dyDescent="0.25">
      <c r="A502">
        <v>990818</v>
      </c>
      <c r="B502" s="29" t="s">
        <v>495</v>
      </c>
    </row>
    <row r="503" spans="1:2" x14ac:dyDescent="0.25">
      <c r="A503">
        <v>990819</v>
      </c>
      <c r="B503" s="29" t="s">
        <v>496</v>
      </c>
    </row>
    <row r="504" spans="1:2" x14ac:dyDescent="0.25">
      <c r="A504">
        <v>990820</v>
      </c>
      <c r="B504" s="29" t="s">
        <v>497</v>
      </c>
    </row>
    <row r="505" spans="1:2" x14ac:dyDescent="0.25">
      <c r="A505">
        <v>990821</v>
      </c>
      <c r="B505" s="29" t="s">
        <v>498</v>
      </c>
    </row>
    <row r="506" spans="1:2" x14ac:dyDescent="0.25">
      <c r="A506">
        <v>990822</v>
      </c>
      <c r="B506" s="29" t="s">
        <v>499</v>
      </c>
    </row>
    <row r="507" spans="1:2" x14ac:dyDescent="0.25">
      <c r="A507">
        <v>990823</v>
      </c>
      <c r="B507" s="29" t="s">
        <v>500</v>
      </c>
    </row>
    <row r="508" spans="1:2" x14ac:dyDescent="0.25">
      <c r="A508">
        <v>990824</v>
      </c>
      <c r="B508" s="29" t="s">
        <v>501</v>
      </c>
    </row>
    <row r="509" spans="1:2" x14ac:dyDescent="0.25">
      <c r="A509">
        <v>990825</v>
      </c>
      <c r="B509" s="29" t="s">
        <v>502</v>
      </c>
    </row>
    <row r="510" spans="1:2" x14ac:dyDescent="0.25">
      <c r="A510">
        <v>990826</v>
      </c>
      <c r="B510" s="29" t="s">
        <v>503</v>
      </c>
    </row>
    <row r="511" spans="1:2" x14ac:dyDescent="0.25">
      <c r="A511">
        <v>990827</v>
      </c>
      <c r="B511" s="29" t="s">
        <v>504</v>
      </c>
    </row>
    <row r="512" spans="1:2" x14ac:dyDescent="0.25">
      <c r="A512">
        <v>990828</v>
      </c>
      <c r="B512" s="29" t="s">
        <v>505</v>
      </c>
    </row>
    <row r="513" spans="1:2" x14ac:dyDescent="0.25">
      <c r="A513">
        <v>990829</v>
      </c>
      <c r="B513" s="29" t="s">
        <v>506</v>
      </c>
    </row>
    <row r="514" spans="1:2" x14ac:dyDescent="0.25">
      <c r="A514">
        <v>990830</v>
      </c>
      <c r="B514" s="29" t="s">
        <v>507</v>
      </c>
    </row>
    <row r="515" spans="1:2" x14ac:dyDescent="0.25">
      <c r="A515">
        <v>990831</v>
      </c>
      <c r="B515" s="29" t="s">
        <v>508</v>
      </c>
    </row>
    <row r="516" spans="1:2" x14ac:dyDescent="0.25">
      <c r="A516">
        <v>990832</v>
      </c>
      <c r="B516" s="29" t="s">
        <v>509</v>
      </c>
    </row>
    <row r="517" spans="1:2" x14ac:dyDescent="0.25">
      <c r="A517">
        <v>990833</v>
      </c>
      <c r="B517" s="29" t="s">
        <v>510</v>
      </c>
    </row>
    <row r="518" spans="1:2" x14ac:dyDescent="0.25">
      <c r="A518">
        <v>990834</v>
      </c>
      <c r="B518" s="29" t="s">
        <v>511</v>
      </c>
    </row>
    <row r="519" spans="1:2" x14ac:dyDescent="0.25">
      <c r="A519">
        <v>990835</v>
      </c>
      <c r="B519" s="29" t="s">
        <v>512</v>
      </c>
    </row>
    <row r="520" spans="1:2" x14ac:dyDescent="0.25">
      <c r="A520">
        <v>991200</v>
      </c>
      <c r="B520" s="29" t="s">
        <v>513</v>
      </c>
    </row>
    <row r="521" spans="1:2" x14ac:dyDescent="0.25">
      <c r="A521">
        <v>991201</v>
      </c>
      <c r="B521" s="29" t="s">
        <v>514</v>
      </c>
    </row>
    <row r="522" spans="1:2" x14ac:dyDescent="0.25">
      <c r="A522">
        <v>991202</v>
      </c>
      <c r="B522" s="29" t="s">
        <v>515</v>
      </c>
    </row>
    <row r="523" spans="1:2" x14ac:dyDescent="0.25">
      <c r="A523">
        <v>991203</v>
      </c>
      <c r="B523" s="29" t="s">
        <v>516</v>
      </c>
    </row>
    <row r="524" spans="1:2" x14ac:dyDescent="0.25">
      <c r="A524">
        <v>991204</v>
      </c>
      <c r="B524" s="29" t="s">
        <v>517</v>
      </c>
    </row>
    <row r="525" spans="1:2" x14ac:dyDescent="0.25">
      <c r="A525">
        <v>991205</v>
      </c>
      <c r="B525" s="29" t="s">
        <v>518</v>
      </c>
    </row>
    <row r="526" spans="1:2" x14ac:dyDescent="0.25">
      <c r="A526">
        <v>991206</v>
      </c>
      <c r="B526" s="29" t="s">
        <v>519</v>
      </c>
    </row>
    <row r="527" spans="1:2" x14ac:dyDescent="0.25">
      <c r="A527">
        <v>991207</v>
      </c>
      <c r="B527" s="29" t="s">
        <v>520</v>
      </c>
    </row>
    <row r="528" spans="1:2" x14ac:dyDescent="0.25">
      <c r="A528">
        <v>991208</v>
      </c>
      <c r="B528" s="29" t="s">
        <v>521</v>
      </c>
    </row>
    <row r="529" spans="1:2" x14ac:dyDescent="0.25">
      <c r="A529">
        <v>991209</v>
      </c>
      <c r="B529" s="29" t="s">
        <v>522</v>
      </c>
    </row>
    <row r="530" spans="1:2" x14ac:dyDescent="0.25">
      <c r="A530">
        <v>991210</v>
      </c>
      <c r="B530" s="29" t="s">
        <v>523</v>
      </c>
    </row>
    <row r="531" spans="1:2" x14ac:dyDescent="0.25">
      <c r="A531">
        <v>991211</v>
      </c>
      <c r="B531" s="29" t="s">
        <v>524</v>
      </c>
    </row>
    <row r="532" spans="1:2" x14ac:dyDescent="0.25">
      <c r="A532">
        <v>991212</v>
      </c>
      <c r="B532" s="29" t="s">
        <v>525</v>
      </c>
    </row>
    <row r="533" spans="1:2" x14ac:dyDescent="0.25">
      <c r="A533">
        <v>991213</v>
      </c>
      <c r="B533" s="29" t="s">
        <v>526</v>
      </c>
    </row>
    <row r="534" spans="1:2" x14ac:dyDescent="0.25">
      <c r="A534">
        <v>991214</v>
      </c>
      <c r="B534" s="29" t="s">
        <v>527</v>
      </c>
    </row>
    <row r="535" spans="1:2" x14ac:dyDescent="0.25">
      <c r="A535">
        <v>991215</v>
      </c>
      <c r="B535" s="29" t="s">
        <v>528</v>
      </c>
    </row>
    <row r="536" spans="1:2" x14ac:dyDescent="0.25">
      <c r="A536">
        <v>991216</v>
      </c>
      <c r="B536" s="29" t="s">
        <v>529</v>
      </c>
    </row>
    <row r="537" spans="1:2" x14ac:dyDescent="0.25">
      <c r="A537">
        <v>991217</v>
      </c>
      <c r="B537" s="29" t="s">
        <v>530</v>
      </c>
    </row>
    <row r="538" spans="1:2" x14ac:dyDescent="0.25">
      <c r="A538">
        <v>991218</v>
      </c>
      <c r="B538" s="29" t="s">
        <v>531</v>
      </c>
    </row>
    <row r="539" spans="1:2" x14ac:dyDescent="0.25">
      <c r="A539">
        <v>991219</v>
      </c>
      <c r="B539" s="29" t="s">
        <v>532</v>
      </c>
    </row>
    <row r="540" spans="1:2" x14ac:dyDescent="0.25">
      <c r="A540">
        <v>991220</v>
      </c>
      <c r="B540" s="29" t="s">
        <v>533</v>
      </c>
    </row>
    <row r="541" spans="1:2" x14ac:dyDescent="0.25">
      <c r="A541">
        <v>991221</v>
      </c>
      <c r="B541" s="29" t="s">
        <v>534</v>
      </c>
    </row>
    <row r="542" spans="1:2" x14ac:dyDescent="0.25">
      <c r="A542">
        <v>991222</v>
      </c>
      <c r="B542" s="29" t="s">
        <v>535</v>
      </c>
    </row>
    <row r="543" spans="1:2" x14ac:dyDescent="0.25">
      <c r="A543">
        <v>991223</v>
      </c>
      <c r="B543" s="29" t="s">
        <v>536</v>
      </c>
    </row>
    <row r="544" spans="1:2" x14ac:dyDescent="0.25">
      <c r="A544">
        <v>991224</v>
      </c>
      <c r="B544" s="29" t="s">
        <v>537</v>
      </c>
    </row>
    <row r="545" spans="1:2" x14ac:dyDescent="0.25">
      <c r="A545">
        <v>991225</v>
      </c>
      <c r="B545" s="29" t="s">
        <v>538</v>
      </c>
    </row>
    <row r="546" spans="1:2" x14ac:dyDescent="0.25">
      <c r="A546">
        <v>991226</v>
      </c>
      <c r="B546" s="29" t="s">
        <v>539</v>
      </c>
    </row>
    <row r="547" spans="1:2" x14ac:dyDescent="0.25">
      <c r="A547">
        <v>991227</v>
      </c>
      <c r="B547" s="29" t="s">
        <v>540</v>
      </c>
    </row>
    <row r="548" spans="1:2" x14ac:dyDescent="0.25">
      <c r="A548">
        <v>991228</v>
      </c>
      <c r="B548" s="29" t="s">
        <v>541</v>
      </c>
    </row>
    <row r="549" spans="1:2" x14ac:dyDescent="0.25">
      <c r="A549">
        <v>991229</v>
      </c>
      <c r="B549" s="29" t="s">
        <v>542</v>
      </c>
    </row>
    <row r="550" spans="1:2" x14ac:dyDescent="0.25">
      <c r="A550">
        <v>991230</v>
      </c>
      <c r="B550" s="29" t="s">
        <v>543</v>
      </c>
    </row>
    <row r="551" spans="1:2" x14ac:dyDescent="0.25">
      <c r="A551">
        <v>992949</v>
      </c>
      <c r="B551" s="29" t="s">
        <v>544</v>
      </c>
    </row>
    <row r="552" spans="1:2" x14ac:dyDescent="0.25">
      <c r="A552">
        <v>992950</v>
      </c>
      <c r="B552" s="29" t="s">
        <v>545</v>
      </c>
    </row>
    <row r="553" spans="1:2" x14ac:dyDescent="0.25">
      <c r="A553">
        <v>992951</v>
      </c>
      <c r="B553" s="29" t="s">
        <v>546</v>
      </c>
    </row>
    <row r="554" spans="1:2" x14ac:dyDescent="0.25">
      <c r="A554">
        <v>992952</v>
      </c>
      <c r="B554" s="29" t="s">
        <v>547</v>
      </c>
    </row>
    <row r="555" spans="1:2" x14ac:dyDescent="0.25">
      <c r="A555">
        <v>992953</v>
      </c>
      <c r="B555" s="29" t="s">
        <v>548</v>
      </c>
    </row>
    <row r="556" spans="1:2" x14ac:dyDescent="0.25">
      <c r="A556">
        <v>992954</v>
      </c>
      <c r="B556" s="29" t="s">
        <v>549</v>
      </c>
    </row>
    <row r="557" spans="1:2" x14ac:dyDescent="0.25">
      <c r="A557">
        <v>992955</v>
      </c>
      <c r="B557" s="29" t="s">
        <v>550</v>
      </c>
    </row>
    <row r="558" spans="1:2" x14ac:dyDescent="0.25">
      <c r="A558">
        <v>992956</v>
      </c>
      <c r="B558" s="29" t="s">
        <v>551</v>
      </c>
    </row>
    <row r="559" spans="1:2" x14ac:dyDescent="0.25">
      <c r="A559">
        <v>992957</v>
      </c>
      <c r="B559" s="29" t="s">
        <v>552</v>
      </c>
    </row>
    <row r="560" spans="1:2" x14ac:dyDescent="0.25">
      <c r="A560">
        <v>992958</v>
      </c>
      <c r="B560" s="29" t="s">
        <v>553</v>
      </c>
    </row>
    <row r="561" spans="1:2" x14ac:dyDescent="0.25">
      <c r="A561">
        <v>992959</v>
      </c>
      <c r="B561" s="29" t="s">
        <v>554</v>
      </c>
    </row>
    <row r="562" spans="1:2" x14ac:dyDescent="0.25">
      <c r="A562">
        <v>992960</v>
      </c>
      <c r="B562" s="29" t="s">
        <v>555</v>
      </c>
    </row>
    <row r="563" spans="1:2" x14ac:dyDescent="0.25">
      <c r="A563">
        <v>992961</v>
      </c>
      <c r="B563" s="29" t="s">
        <v>556</v>
      </c>
    </row>
    <row r="564" spans="1:2" x14ac:dyDescent="0.25">
      <c r="A564">
        <v>992962</v>
      </c>
      <c r="B564" s="29" t="s">
        <v>557</v>
      </c>
    </row>
    <row r="565" spans="1:2" x14ac:dyDescent="0.25">
      <c r="A565">
        <v>992963</v>
      </c>
      <c r="B565" s="29" t="s">
        <v>558</v>
      </c>
    </row>
    <row r="566" spans="1:2" x14ac:dyDescent="0.25">
      <c r="A566">
        <v>992965</v>
      </c>
      <c r="B566" s="29" t="s">
        <v>559</v>
      </c>
    </row>
    <row r="567" spans="1:2" x14ac:dyDescent="0.25">
      <c r="A567">
        <v>992967</v>
      </c>
      <c r="B567" s="29" t="s">
        <v>560</v>
      </c>
    </row>
    <row r="568" spans="1:2" x14ac:dyDescent="0.25">
      <c r="A568">
        <v>992968</v>
      </c>
      <c r="B568" s="29" t="s">
        <v>561</v>
      </c>
    </row>
    <row r="569" spans="1:2" x14ac:dyDescent="0.25">
      <c r="A569">
        <v>992969</v>
      </c>
      <c r="B569" s="29" t="s">
        <v>562</v>
      </c>
    </row>
    <row r="570" spans="1:2" x14ac:dyDescent="0.25">
      <c r="A570">
        <v>992970</v>
      </c>
      <c r="B570" s="29" t="s">
        <v>563</v>
      </c>
    </row>
    <row r="571" spans="1:2" x14ac:dyDescent="0.25">
      <c r="A571">
        <v>992971</v>
      </c>
      <c r="B571" s="29" t="s">
        <v>564</v>
      </c>
    </row>
    <row r="572" spans="1:2" x14ac:dyDescent="0.25">
      <c r="A572">
        <v>992972</v>
      </c>
      <c r="B572" s="29" t="s">
        <v>565</v>
      </c>
    </row>
    <row r="573" spans="1:2" x14ac:dyDescent="0.25">
      <c r="A573">
        <v>992973</v>
      </c>
      <c r="B573" s="29" t="s">
        <v>566</v>
      </c>
    </row>
    <row r="574" spans="1:2" x14ac:dyDescent="0.25">
      <c r="A574">
        <v>992974</v>
      </c>
      <c r="B574" s="29" t="s">
        <v>567</v>
      </c>
    </row>
    <row r="575" spans="1:2" x14ac:dyDescent="0.25">
      <c r="A575">
        <v>992975</v>
      </c>
      <c r="B575" s="29" t="s">
        <v>568</v>
      </c>
    </row>
    <row r="576" spans="1:2" x14ac:dyDescent="0.25">
      <c r="A576">
        <v>992976</v>
      </c>
      <c r="B576" s="29" t="s">
        <v>569</v>
      </c>
    </row>
    <row r="577" spans="1:2" x14ac:dyDescent="0.25">
      <c r="A577">
        <v>992977</v>
      </c>
      <c r="B577" s="29" t="s">
        <v>570</v>
      </c>
    </row>
    <row r="578" spans="1:2" x14ac:dyDescent="0.25">
      <c r="A578">
        <v>992978</v>
      </c>
      <c r="B578" s="29" t="s">
        <v>571</v>
      </c>
    </row>
    <row r="579" spans="1:2" x14ac:dyDescent="0.25">
      <c r="A579">
        <v>992979</v>
      </c>
      <c r="B579" s="29" t="s">
        <v>572</v>
      </c>
    </row>
    <row r="580" spans="1:2" x14ac:dyDescent="0.25">
      <c r="A580">
        <v>992980</v>
      </c>
      <c r="B580" s="29" t="s">
        <v>573</v>
      </c>
    </row>
    <row r="581" spans="1:2" x14ac:dyDescent="0.25">
      <c r="A581">
        <v>992981</v>
      </c>
      <c r="B581" s="29" t="s">
        <v>574</v>
      </c>
    </row>
    <row r="582" spans="1:2" x14ac:dyDescent="0.25">
      <c r="A582">
        <v>992982</v>
      </c>
      <c r="B582" s="29" t="s">
        <v>575</v>
      </c>
    </row>
    <row r="583" spans="1:2" x14ac:dyDescent="0.25">
      <c r="A583">
        <v>992983</v>
      </c>
      <c r="B583" s="29" t="s">
        <v>576</v>
      </c>
    </row>
    <row r="584" spans="1:2" x14ac:dyDescent="0.25">
      <c r="A584">
        <v>992984</v>
      </c>
      <c r="B584" s="29" t="s">
        <v>577</v>
      </c>
    </row>
    <row r="585" spans="1:2" x14ac:dyDescent="0.25">
      <c r="A585">
        <v>992985</v>
      </c>
      <c r="B585" s="29" t="s">
        <v>578</v>
      </c>
    </row>
    <row r="586" spans="1:2" x14ac:dyDescent="0.25">
      <c r="A586">
        <v>992986</v>
      </c>
      <c r="B586" s="29" t="s">
        <v>579</v>
      </c>
    </row>
    <row r="587" spans="1:2" x14ac:dyDescent="0.25">
      <c r="A587">
        <v>992987</v>
      </c>
      <c r="B587" s="29" t="s">
        <v>580</v>
      </c>
    </row>
    <row r="588" spans="1:2" x14ac:dyDescent="0.25">
      <c r="A588">
        <v>992988</v>
      </c>
      <c r="B588" s="29" t="s">
        <v>581</v>
      </c>
    </row>
    <row r="589" spans="1:2" x14ac:dyDescent="0.25">
      <c r="A589">
        <v>992989</v>
      </c>
      <c r="B589" s="29" t="s">
        <v>582</v>
      </c>
    </row>
    <row r="590" spans="1:2" x14ac:dyDescent="0.25">
      <c r="A590">
        <v>992990</v>
      </c>
      <c r="B590" s="29" t="s">
        <v>583</v>
      </c>
    </row>
    <row r="591" spans="1:2" x14ac:dyDescent="0.25">
      <c r="A591">
        <v>992991</v>
      </c>
      <c r="B591" s="29" t="s">
        <v>584</v>
      </c>
    </row>
    <row r="592" spans="1:2" x14ac:dyDescent="0.25">
      <c r="A592">
        <v>992992</v>
      </c>
      <c r="B592" s="29" t="s">
        <v>585</v>
      </c>
    </row>
    <row r="593" spans="1:2" x14ac:dyDescent="0.25">
      <c r="A593">
        <v>992993</v>
      </c>
      <c r="B593" s="29" t="s">
        <v>586</v>
      </c>
    </row>
    <row r="594" spans="1:2" x14ac:dyDescent="0.25">
      <c r="A594">
        <v>992994</v>
      </c>
      <c r="B594" s="29" t="s">
        <v>587</v>
      </c>
    </row>
    <row r="595" spans="1:2" x14ac:dyDescent="0.25">
      <c r="A595">
        <v>992995</v>
      </c>
      <c r="B595" s="29" t="s">
        <v>588</v>
      </c>
    </row>
    <row r="596" spans="1:2" x14ac:dyDescent="0.25">
      <c r="A596">
        <v>992996</v>
      </c>
      <c r="B596" s="29" t="s">
        <v>589</v>
      </c>
    </row>
    <row r="597" spans="1:2" x14ac:dyDescent="0.25">
      <c r="A597">
        <v>992997</v>
      </c>
      <c r="B597" s="29" t="s">
        <v>590</v>
      </c>
    </row>
    <row r="598" spans="1:2" x14ac:dyDescent="0.25">
      <c r="A598">
        <v>992998</v>
      </c>
      <c r="B598" s="29" t="s">
        <v>591</v>
      </c>
    </row>
    <row r="599" spans="1:2" x14ac:dyDescent="0.25">
      <c r="A599">
        <v>992999</v>
      </c>
      <c r="B599" s="29" t="s">
        <v>592</v>
      </c>
    </row>
    <row r="600" spans="1:2" x14ac:dyDescent="0.25">
      <c r="A600">
        <v>993001</v>
      </c>
      <c r="B600" s="29" t="s">
        <v>593</v>
      </c>
    </row>
    <row r="601" spans="1:2" x14ac:dyDescent="0.25">
      <c r="A601">
        <v>993002</v>
      </c>
      <c r="B601" s="29" t="s">
        <v>594</v>
      </c>
    </row>
    <row r="602" spans="1:2" x14ac:dyDescent="0.25">
      <c r="A602">
        <v>993003</v>
      </c>
      <c r="B602" s="29" t="s">
        <v>595</v>
      </c>
    </row>
    <row r="603" spans="1:2" x14ac:dyDescent="0.25">
      <c r="A603">
        <v>993004</v>
      </c>
      <c r="B603" s="29" t="s">
        <v>596</v>
      </c>
    </row>
    <row r="604" spans="1:2" x14ac:dyDescent="0.25">
      <c r="A604">
        <v>993005</v>
      </c>
      <c r="B604" s="29" t="s">
        <v>597</v>
      </c>
    </row>
    <row r="605" spans="1:2" x14ac:dyDescent="0.25">
      <c r="A605">
        <v>993006</v>
      </c>
      <c r="B605" s="29" t="s">
        <v>598</v>
      </c>
    </row>
    <row r="606" spans="1:2" x14ac:dyDescent="0.25">
      <c r="A606">
        <v>993007</v>
      </c>
      <c r="B606" s="29" t="s">
        <v>599</v>
      </c>
    </row>
    <row r="607" spans="1:2" x14ac:dyDescent="0.25">
      <c r="A607">
        <v>993008</v>
      </c>
      <c r="B607" s="29" t="s">
        <v>600</v>
      </c>
    </row>
    <row r="608" spans="1:2" x14ac:dyDescent="0.25">
      <c r="A608">
        <v>993009</v>
      </c>
      <c r="B608" s="29" t="s">
        <v>601</v>
      </c>
    </row>
    <row r="609" spans="1:2" x14ac:dyDescent="0.25">
      <c r="A609">
        <v>993011</v>
      </c>
      <c r="B609" s="29" t="s">
        <v>602</v>
      </c>
    </row>
    <row r="610" spans="1:2" x14ac:dyDescent="0.25">
      <c r="A610">
        <v>993012</v>
      </c>
      <c r="B610" s="29" t="s">
        <v>603</v>
      </c>
    </row>
    <row r="611" spans="1:2" x14ac:dyDescent="0.25">
      <c r="A611">
        <v>993791</v>
      </c>
      <c r="B611" s="29" t="s">
        <v>604</v>
      </c>
    </row>
    <row r="612" spans="1:2" x14ac:dyDescent="0.25">
      <c r="A612">
        <v>993950</v>
      </c>
      <c r="B612" s="29" t="s">
        <v>605</v>
      </c>
    </row>
    <row r="613" spans="1:2" x14ac:dyDescent="0.25">
      <c r="A613">
        <v>993951</v>
      </c>
      <c r="B613" s="29" t="s">
        <v>606</v>
      </c>
    </row>
    <row r="614" spans="1:2" x14ac:dyDescent="0.25">
      <c r="A614">
        <v>993952</v>
      </c>
      <c r="B614" s="29" t="s">
        <v>607</v>
      </c>
    </row>
    <row r="615" spans="1:2" x14ac:dyDescent="0.25">
      <c r="A615">
        <v>993953</v>
      </c>
      <c r="B615" s="29" t="s">
        <v>608</v>
      </c>
    </row>
    <row r="616" spans="1:2" x14ac:dyDescent="0.25">
      <c r="A616">
        <v>993954</v>
      </c>
      <c r="B616" s="29" t="s">
        <v>609</v>
      </c>
    </row>
    <row r="617" spans="1:2" x14ac:dyDescent="0.25">
      <c r="A617">
        <v>993955</v>
      </c>
      <c r="B617" s="29" t="s">
        <v>610</v>
      </c>
    </row>
    <row r="618" spans="1:2" x14ac:dyDescent="0.25">
      <c r="A618">
        <v>993956</v>
      </c>
      <c r="B618" s="29" t="s">
        <v>611</v>
      </c>
    </row>
    <row r="619" spans="1:2" x14ac:dyDescent="0.25">
      <c r="A619">
        <v>993958</v>
      </c>
      <c r="B619" s="29" t="s">
        <v>612</v>
      </c>
    </row>
    <row r="620" spans="1:2" x14ac:dyDescent="0.25">
      <c r="A620">
        <v>993959</v>
      </c>
      <c r="B620" s="29" t="s">
        <v>613</v>
      </c>
    </row>
    <row r="621" spans="1:2" x14ac:dyDescent="0.25">
      <c r="A621">
        <v>993960</v>
      </c>
      <c r="B621" s="29" t="s">
        <v>614</v>
      </c>
    </row>
    <row r="622" spans="1:2" x14ac:dyDescent="0.25">
      <c r="A622">
        <v>993961</v>
      </c>
      <c r="B622" s="29" t="s">
        <v>615</v>
      </c>
    </row>
    <row r="623" spans="1:2" x14ac:dyDescent="0.25">
      <c r="A623">
        <v>993962</v>
      </c>
      <c r="B623" s="29" t="s">
        <v>616</v>
      </c>
    </row>
    <row r="624" spans="1:2" x14ac:dyDescent="0.25">
      <c r="A624">
        <v>993963</v>
      </c>
      <c r="B624" s="29" t="s">
        <v>617</v>
      </c>
    </row>
    <row r="625" spans="1:2" x14ac:dyDescent="0.25">
      <c r="A625">
        <v>993964</v>
      </c>
      <c r="B625" s="29" t="s">
        <v>618</v>
      </c>
    </row>
    <row r="626" spans="1:2" x14ac:dyDescent="0.25">
      <c r="A626">
        <v>993965</v>
      </c>
      <c r="B626" s="29" t="s">
        <v>619</v>
      </c>
    </row>
    <row r="627" spans="1:2" x14ac:dyDescent="0.25">
      <c r="A627">
        <v>993966</v>
      </c>
      <c r="B627" s="29" t="s">
        <v>620</v>
      </c>
    </row>
    <row r="628" spans="1:2" x14ac:dyDescent="0.25">
      <c r="A628">
        <v>993968</v>
      </c>
      <c r="B628" s="29" t="s">
        <v>621</v>
      </c>
    </row>
    <row r="629" spans="1:2" x14ac:dyDescent="0.25">
      <c r="A629">
        <v>993969</v>
      </c>
      <c r="B629" s="29" t="s">
        <v>622</v>
      </c>
    </row>
    <row r="630" spans="1:2" x14ac:dyDescent="0.25">
      <c r="A630">
        <v>993970</v>
      </c>
      <c r="B630" s="29" t="s">
        <v>623</v>
      </c>
    </row>
    <row r="631" spans="1:2" x14ac:dyDescent="0.25">
      <c r="A631">
        <v>993972</v>
      </c>
      <c r="B631" s="29" t="s">
        <v>624</v>
      </c>
    </row>
    <row r="632" spans="1:2" x14ac:dyDescent="0.25">
      <c r="A632">
        <v>993973</v>
      </c>
      <c r="B632" s="29" t="s">
        <v>625</v>
      </c>
    </row>
    <row r="633" spans="1:2" x14ac:dyDescent="0.25">
      <c r="A633">
        <v>993974</v>
      </c>
      <c r="B633" s="29" t="s">
        <v>626</v>
      </c>
    </row>
    <row r="634" spans="1:2" x14ac:dyDescent="0.25">
      <c r="A634">
        <v>993975</v>
      </c>
      <c r="B634" s="29" t="s">
        <v>627</v>
      </c>
    </row>
    <row r="635" spans="1:2" x14ac:dyDescent="0.25">
      <c r="A635">
        <v>993976</v>
      </c>
      <c r="B635" s="29" t="s">
        <v>628</v>
      </c>
    </row>
    <row r="636" spans="1:2" x14ac:dyDescent="0.25">
      <c r="A636">
        <v>994150</v>
      </c>
      <c r="B636" s="29" t="s">
        <v>629</v>
      </c>
    </row>
    <row r="637" spans="1:2" x14ac:dyDescent="0.25">
      <c r="A637">
        <v>994151</v>
      </c>
      <c r="B637" s="29" t="s">
        <v>630</v>
      </c>
    </row>
    <row r="638" spans="1:2" x14ac:dyDescent="0.25">
      <c r="A638">
        <v>994152</v>
      </c>
      <c r="B638" s="29" t="s">
        <v>631</v>
      </c>
    </row>
    <row r="639" spans="1:2" x14ac:dyDescent="0.25">
      <c r="A639">
        <v>994153</v>
      </c>
      <c r="B639" s="29" t="s">
        <v>632</v>
      </c>
    </row>
    <row r="640" spans="1:2" x14ac:dyDescent="0.25">
      <c r="A640">
        <v>994154</v>
      </c>
      <c r="B640" s="29" t="s">
        <v>633</v>
      </c>
    </row>
    <row r="641" spans="1:2" x14ac:dyDescent="0.25">
      <c r="A641">
        <v>994155</v>
      </c>
      <c r="B641" s="29" t="s">
        <v>634</v>
      </c>
    </row>
    <row r="642" spans="1:2" x14ac:dyDescent="0.25">
      <c r="A642">
        <v>994156</v>
      </c>
      <c r="B642" s="29" t="s">
        <v>635</v>
      </c>
    </row>
    <row r="643" spans="1:2" x14ac:dyDescent="0.25">
      <c r="A643">
        <v>994157</v>
      </c>
      <c r="B643" s="29" t="s">
        <v>636</v>
      </c>
    </row>
    <row r="644" spans="1:2" x14ac:dyDescent="0.25">
      <c r="A644">
        <v>994158</v>
      </c>
      <c r="B644" s="29" t="s">
        <v>637</v>
      </c>
    </row>
    <row r="645" spans="1:2" x14ac:dyDescent="0.25">
      <c r="A645">
        <v>994159</v>
      </c>
      <c r="B645" s="29" t="s">
        <v>638</v>
      </c>
    </row>
    <row r="646" spans="1:2" x14ac:dyDescent="0.25">
      <c r="A646">
        <v>994160</v>
      </c>
      <c r="B646" s="29" t="s">
        <v>639</v>
      </c>
    </row>
    <row r="647" spans="1:2" x14ac:dyDescent="0.25">
      <c r="A647">
        <v>994450</v>
      </c>
      <c r="B647" s="29" t="s">
        <v>640</v>
      </c>
    </row>
    <row r="648" spans="1:2" x14ac:dyDescent="0.25">
      <c r="A648">
        <v>994451</v>
      </c>
      <c r="B648" s="29" t="s">
        <v>641</v>
      </c>
    </row>
    <row r="649" spans="1:2" x14ac:dyDescent="0.25">
      <c r="A649">
        <v>994452</v>
      </c>
      <c r="B649" s="29" t="s">
        <v>642</v>
      </c>
    </row>
    <row r="650" spans="1:2" x14ac:dyDescent="0.25">
      <c r="A650">
        <v>994453</v>
      </c>
      <c r="B650" s="29" t="s">
        <v>643</v>
      </c>
    </row>
    <row r="651" spans="1:2" x14ac:dyDescent="0.25">
      <c r="A651">
        <v>995000</v>
      </c>
      <c r="B651" s="29" t="s">
        <v>644</v>
      </c>
    </row>
    <row r="652" spans="1:2" x14ac:dyDescent="0.25">
      <c r="A652">
        <v>995001</v>
      </c>
      <c r="B652" s="29" t="s">
        <v>645</v>
      </c>
    </row>
    <row r="653" spans="1:2" x14ac:dyDescent="0.25">
      <c r="A653">
        <v>995002</v>
      </c>
      <c r="B653" s="29" t="s">
        <v>646</v>
      </c>
    </row>
    <row r="654" spans="1:2" x14ac:dyDescent="0.25">
      <c r="A654">
        <v>995003</v>
      </c>
      <c r="B654" s="29" t="s">
        <v>647</v>
      </c>
    </row>
    <row r="655" spans="1:2" x14ac:dyDescent="0.25">
      <c r="A655">
        <v>995004</v>
      </c>
      <c r="B655" s="29" t="s">
        <v>648</v>
      </c>
    </row>
    <row r="656" spans="1:2" x14ac:dyDescent="0.25">
      <c r="A656">
        <v>995005</v>
      </c>
      <c r="B656" s="29" t="s">
        <v>649</v>
      </c>
    </row>
    <row r="657" spans="1:2" x14ac:dyDescent="0.25">
      <c r="A657">
        <v>995006</v>
      </c>
      <c r="B657" s="29" t="s">
        <v>650</v>
      </c>
    </row>
    <row r="658" spans="1:2" x14ac:dyDescent="0.25">
      <c r="A658">
        <v>995007</v>
      </c>
      <c r="B658" s="29" t="s">
        <v>651</v>
      </c>
    </row>
    <row r="659" spans="1:2" x14ac:dyDescent="0.25">
      <c r="A659">
        <v>995101</v>
      </c>
      <c r="B659" s="29" t="s">
        <v>652</v>
      </c>
    </row>
    <row r="660" spans="1:2" x14ac:dyDescent="0.25">
      <c r="A660">
        <v>995103</v>
      </c>
      <c r="B660" s="29" t="s">
        <v>653</v>
      </c>
    </row>
    <row r="661" spans="1:2" x14ac:dyDescent="0.25">
      <c r="A661">
        <v>995104</v>
      </c>
      <c r="B661" s="29" t="s">
        <v>654</v>
      </c>
    </row>
    <row r="662" spans="1:2" x14ac:dyDescent="0.25">
      <c r="A662">
        <v>995008</v>
      </c>
      <c r="B662" s="29" t="s">
        <v>655</v>
      </c>
    </row>
    <row r="663" spans="1:2" x14ac:dyDescent="0.25">
      <c r="A663">
        <v>995009</v>
      </c>
      <c r="B663" s="29" t="s">
        <v>656</v>
      </c>
    </row>
    <row r="664" spans="1:2" x14ac:dyDescent="0.25">
      <c r="A664">
        <v>995010</v>
      </c>
      <c r="B664" s="29" t="s">
        <v>657</v>
      </c>
    </row>
    <row r="665" spans="1:2" x14ac:dyDescent="0.25">
      <c r="A665">
        <v>995199</v>
      </c>
      <c r="B665" s="29" t="s">
        <v>1108</v>
      </c>
    </row>
    <row r="666" spans="1:2" x14ac:dyDescent="0.25">
      <c r="A666">
        <v>995011</v>
      </c>
      <c r="B666" s="29" t="s">
        <v>658</v>
      </c>
    </row>
    <row r="667" spans="1:2" x14ac:dyDescent="0.25">
      <c r="A667">
        <v>995012</v>
      </c>
      <c r="B667" s="29" t="s">
        <v>659</v>
      </c>
    </row>
    <row r="668" spans="1:2" x14ac:dyDescent="0.25">
      <c r="A668">
        <v>995013</v>
      </c>
      <c r="B668" s="29" t="s">
        <v>660</v>
      </c>
    </row>
    <row r="669" spans="1:2" x14ac:dyDescent="0.25">
      <c r="A669">
        <v>995014</v>
      </c>
      <c r="B669" s="30" t="s">
        <v>661</v>
      </c>
    </row>
    <row r="670" spans="1:2" x14ac:dyDescent="0.25">
      <c r="A670">
        <v>995015</v>
      </c>
      <c r="B670" s="29" t="s">
        <v>662</v>
      </c>
    </row>
    <row r="671" spans="1:2" x14ac:dyDescent="0.25">
      <c r="A671">
        <v>995016</v>
      </c>
      <c r="B671" s="29" t="s">
        <v>663</v>
      </c>
    </row>
    <row r="672" spans="1:2" x14ac:dyDescent="0.25">
      <c r="A672">
        <v>995017</v>
      </c>
      <c r="B672" s="29" t="s">
        <v>664</v>
      </c>
    </row>
    <row r="673" spans="1:2" x14ac:dyDescent="0.25">
      <c r="A673">
        <v>995018</v>
      </c>
      <c r="B673" s="29" t="s">
        <v>665</v>
      </c>
    </row>
    <row r="674" spans="1:2" x14ac:dyDescent="0.25">
      <c r="A674">
        <v>995019</v>
      </c>
      <c r="B674" s="29" t="s">
        <v>666</v>
      </c>
    </row>
    <row r="675" spans="1:2" x14ac:dyDescent="0.25">
      <c r="A675">
        <v>995020</v>
      </c>
      <c r="B675" s="29" t="s">
        <v>667</v>
      </c>
    </row>
    <row r="676" spans="1:2" x14ac:dyDescent="0.25">
      <c r="A676">
        <v>995021</v>
      </c>
      <c r="B676" s="29" t="s">
        <v>668</v>
      </c>
    </row>
    <row r="677" spans="1:2" x14ac:dyDescent="0.25">
      <c r="A677">
        <v>995022</v>
      </c>
      <c r="B677" s="29" t="s">
        <v>669</v>
      </c>
    </row>
    <row r="678" spans="1:2" x14ac:dyDescent="0.25">
      <c r="A678">
        <v>995023</v>
      </c>
      <c r="B678" s="29" t="s">
        <v>670</v>
      </c>
    </row>
    <row r="679" spans="1:2" x14ac:dyDescent="0.25">
      <c r="A679">
        <v>995024</v>
      </c>
      <c r="B679" s="29" t="s">
        <v>671</v>
      </c>
    </row>
    <row r="680" spans="1:2" x14ac:dyDescent="0.25">
      <c r="A680">
        <v>995025</v>
      </c>
      <c r="B680" s="29" t="s">
        <v>672</v>
      </c>
    </row>
    <row r="681" spans="1:2" x14ac:dyDescent="0.25">
      <c r="A681">
        <v>995026</v>
      </c>
      <c r="B681" s="29" t="s">
        <v>673</v>
      </c>
    </row>
    <row r="682" spans="1:2" x14ac:dyDescent="0.25">
      <c r="A682">
        <v>995027</v>
      </c>
      <c r="B682" s="29" t="s">
        <v>674</v>
      </c>
    </row>
    <row r="683" spans="1:2" x14ac:dyDescent="0.25">
      <c r="A683">
        <v>995032</v>
      </c>
      <c r="B683" s="29" t="s">
        <v>675</v>
      </c>
    </row>
    <row r="684" spans="1:2" x14ac:dyDescent="0.25">
      <c r="A684">
        <v>995034</v>
      </c>
      <c r="B684" s="29" t="s">
        <v>676</v>
      </c>
    </row>
    <row r="685" spans="1:2" x14ac:dyDescent="0.25">
      <c r="A685">
        <v>995035</v>
      </c>
      <c r="B685" s="29" t="s">
        <v>677</v>
      </c>
    </row>
    <row r="686" spans="1:2" x14ac:dyDescent="0.25">
      <c r="A686">
        <v>995036</v>
      </c>
      <c r="B686" s="29" t="s">
        <v>678</v>
      </c>
    </row>
    <row r="687" spans="1:2" x14ac:dyDescent="0.25">
      <c r="A687">
        <v>995037</v>
      </c>
      <c r="B687" s="29" t="s">
        <v>679</v>
      </c>
    </row>
    <row r="688" spans="1:2" x14ac:dyDescent="0.25">
      <c r="A688">
        <v>995038</v>
      </c>
      <c r="B688" s="29" t="s">
        <v>680</v>
      </c>
    </row>
    <row r="689" spans="1:2" x14ac:dyDescent="0.25">
      <c r="A689">
        <v>995140</v>
      </c>
      <c r="B689" s="29" t="s">
        <v>1121</v>
      </c>
    </row>
    <row r="690" spans="1:2" x14ac:dyDescent="0.25">
      <c r="A690">
        <v>995210</v>
      </c>
      <c r="B690" s="29" t="s">
        <v>1122</v>
      </c>
    </row>
    <row r="691" spans="1:2" x14ac:dyDescent="0.25">
      <c r="A691">
        <v>995211</v>
      </c>
      <c r="B691" s="29" t="s">
        <v>1123</v>
      </c>
    </row>
    <row r="692" spans="1:2" x14ac:dyDescent="0.25">
      <c r="A692">
        <v>995039</v>
      </c>
      <c r="B692" s="29" t="s">
        <v>681</v>
      </c>
    </row>
    <row r="693" spans="1:2" x14ac:dyDescent="0.25">
      <c r="A693">
        <v>995111</v>
      </c>
      <c r="B693" s="29" t="s">
        <v>1120</v>
      </c>
    </row>
    <row r="694" spans="1:2" x14ac:dyDescent="0.25">
      <c r="A694">
        <v>995040</v>
      </c>
      <c r="B694" s="29" t="s">
        <v>682</v>
      </c>
    </row>
    <row r="695" spans="1:2" x14ac:dyDescent="0.25">
      <c r="A695">
        <v>995041</v>
      </c>
      <c r="B695" s="29" t="s">
        <v>683</v>
      </c>
    </row>
    <row r="696" spans="1:2" x14ac:dyDescent="0.25">
      <c r="A696">
        <v>995043</v>
      </c>
      <c r="B696" s="29" t="s">
        <v>684</v>
      </c>
    </row>
    <row r="697" spans="1:2" x14ac:dyDescent="0.25">
      <c r="A697">
        <v>995044</v>
      </c>
      <c r="B697" s="29" t="s">
        <v>685</v>
      </c>
    </row>
    <row r="698" spans="1:2" x14ac:dyDescent="0.25">
      <c r="A698">
        <v>995045</v>
      </c>
      <c r="B698" s="29" t="s">
        <v>686</v>
      </c>
    </row>
    <row r="699" spans="1:2" x14ac:dyDescent="0.25">
      <c r="A699">
        <v>995046</v>
      </c>
      <c r="B699" s="29" t="s">
        <v>687</v>
      </c>
    </row>
    <row r="700" spans="1:2" x14ac:dyDescent="0.25">
      <c r="A700">
        <v>995047</v>
      </c>
      <c r="B700" s="29" t="s">
        <v>688</v>
      </c>
    </row>
    <row r="701" spans="1:2" x14ac:dyDescent="0.25">
      <c r="A701">
        <v>995048</v>
      </c>
      <c r="B701" s="29" t="s">
        <v>689</v>
      </c>
    </row>
    <row r="702" spans="1:2" x14ac:dyDescent="0.25">
      <c r="A702">
        <v>995049</v>
      </c>
      <c r="B702" s="29" t="s">
        <v>690</v>
      </c>
    </row>
    <row r="703" spans="1:2" x14ac:dyDescent="0.25">
      <c r="A703">
        <v>995050</v>
      </c>
      <c r="B703" s="29" t="s">
        <v>691</v>
      </c>
    </row>
    <row r="704" spans="1:2" x14ac:dyDescent="0.25">
      <c r="A704">
        <v>995051</v>
      </c>
      <c r="B704" s="29" t="s">
        <v>692</v>
      </c>
    </row>
    <row r="705" spans="1:2" x14ac:dyDescent="0.25">
      <c r="A705">
        <v>995052</v>
      </c>
      <c r="B705" s="29" t="s">
        <v>693</v>
      </c>
    </row>
    <row r="706" spans="1:2" x14ac:dyDescent="0.25">
      <c r="A706">
        <v>995053</v>
      </c>
      <c r="B706" s="29" t="s">
        <v>694</v>
      </c>
    </row>
    <row r="707" spans="1:2" x14ac:dyDescent="0.25">
      <c r="A707">
        <v>995212</v>
      </c>
      <c r="B707" s="29" t="s">
        <v>1114</v>
      </c>
    </row>
    <row r="708" spans="1:2" x14ac:dyDescent="0.25">
      <c r="A708">
        <v>995208</v>
      </c>
      <c r="B708" s="29" t="s">
        <v>1115</v>
      </c>
    </row>
    <row r="709" spans="1:2" x14ac:dyDescent="0.25">
      <c r="A709">
        <v>995209</v>
      </c>
      <c r="B709" s="29" t="s">
        <v>1116</v>
      </c>
    </row>
    <row r="710" spans="1:2" x14ac:dyDescent="0.25">
      <c r="A710">
        <v>995054</v>
      </c>
      <c r="B710" s="29" t="s">
        <v>695</v>
      </c>
    </row>
    <row r="711" spans="1:2" x14ac:dyDescent="0.25">
      <c r="A711">
        <v>995055</v>
      </c>
      <c r="B711" s="29" t="s">
        <v>696</v>
      </c>
    </row>
    <row r="712" spans="1:2" x14ac:dyDescent="0.25">
      <c r="A712">
        <v>995061</v>
      </c>
      <c r="B712" s="29" t="s">
        <v>697</v>
      </c>
    </row>
    <row r="713" spans="1:2" x14ac:dyDescent="0.25">
      <c r="A713">
        <v>995062</v>
      </c>
      <c r="B713" s="29" t="s">
        <v>698</v>
      </c>
    </row>
    <row r="714" spans="1:2" x14ac:dyDescent="0.25">
      <c r="A714">
        <v>995067</v>
      </c>
      <c r="B714" s="29" t="s">
        <v>699</v>
      </c>
    </row>
    <row r="715" spans="1:2" x14ac:dyDescent="0.25">
      <c r="A715">
        <v>995068</v>
      </c>
      <c r="B715" s="29" t="s">
        <v>700</v>
      </c>
    </row>
    <row r="716" spans="1:2" x14ac:dyDescent="0.25">
      <c r="A716">
        <v>995069</v>
      </c>
      <c r="B716" s="29" t="s">
        <v>701</v>
      </c>
    </row>
    <row r="717" spans="1:2" x14ac:dyDescent="0.25">
      <c r="A717">
        <v>995070</v>
      </c>
      <c r="B717" s="29" t="s">
        <v>702</v>
      </c>
    </row>
    <row r="718" spans="1:2" x14ac:dyDescent="0.25">
      <c r="A718">
        <v>995071</v>
      </c>
      <c r="B718" s="29" t="s">
        <v>703</v>
      </c>
    </row>
    <row r="719" spans="1:2" x14ac:dyDescent="0.25">
      <c r="A719">
        <v>995072</v>
      </c>
      <c r="B719" s="29" t="s">
        <v>704</v>
      </c>
    </row>
    <row r="720" spans="1:2" x14ac:dyDescent="0.25">
      <c r="A720">
        <v>995073</v>
      </c>
      <c r="B720" s="29" t="s">
        <v>705</v>
      </c>
    </row>
    <row r="721" spans="1:2" x14ac:dyDescent="0.25">
      <c r="A721">
        <v>995074</v>
      </c>
      <c r="B721" s="29" t="s">
        <v>706</v>
      </c>
    </row>
    <row r="722" spans="1:2" x14ac:dyDescent="0.25">
      <c r="A722">
        <v>995075</v>
      </c>
      <c r="B722" s="29" t="s">
        <v>707</v>
      </c>
    </row>
    <row r="723" spans="1:2" x14ac:dyDescent="0.25">
      <c r="A723">
        <v>995165</v>
      </c>
      <c r="B723" s="29" t="s">
        <v>1117</v>
      </c>
    </row>
    <row r="724" spans="1:2" x14ac:dyDescent="0.25">
      <c r="A724">
        <v>995171</v>
      </c>
      <c r="B724" s="29" t="s">
        <v>1118</v>
      </c>
    </row>
    <row r="725" spans="1:2" x14ac:dyDescent="0.25">
      <c r="A725">
        <v>995184</v>
      </c>
      <c r="B725" s="29" t="s">
        <v>1119</v>
      </c>
    </row>
    <row r="726" spans="1:2" x14ac:dyDescent="0.25">
      <c r="A726">
        <v>995076</v>
      </c>
      <c r="B726" s="29" t="s">
        <v>708</v>
      </c>
    </row>
    <row r="727" spans="1:2" x14ac:dyDescent="0.25">
      <c r="A727">
        <v>995077</v>
      </c>
      <c r="B727" s="29" t="s">
        <v>709</v>
      </c>
    </row>
    <row r="728" spans="1:2" x14ac:dyDescent="0.25">
      <c r="A728">
        <v>995078</v>
      </c>
      <c r="B728" s="29" t="s">
        <v>710</v>
      </c>
    </row>
    <row r="729" spans="1:2" x14ac:dyDescent="0.25">
      <c r="A729">
        <v>995079</v>
      </c>
      <c r="B729" s="29" t="s">
        <v>711</v>
      </c>
    </row>
    <row r="730" spans="1:2" x14ac:dyDescent="0.25">
      <c r="A730">
        <v>995202</v>
      </c>
      <c r="B730" s="29" t="s">
        <v>1111</v>
      </c>
    </row>
    <row r="731" spans="1:2" x14ac:dyDescent="0.25">
      <c r="A731">
        <v>995203</v>
      </c>
      <c r="B731" s="29" t="s">
        <v>1112</v>
      </c>
    </row>
    <row r="732" spans="1:2" x14ac:dyDescent="0.25">
      <c r="A732">
        <v>995206</v>
      </c>
      <c r="B732" s="29" t="s">
        <v>1113</v>
      </c>
    </row>
    <row r="733" spans="1:2" x14ac:dyDescent="0.25">
      <c r="A733">
        <v>995195</v>
      </c>
      <c r="B733" s="29" t="s">
        <v>1107</v>
      </c>
    </row>
    <row r="734" spans="1:2" x14ac:dyDescent="0.25">
      <c r="A734">
        <v>995080</v>
      </c>
      <c r="B734" s="29" t="s">
        <v>712</v>
      </c>
    </row>
    <row r="735" spans="1:2" x14ac:dyDescent="0.25">
      <c r="A735">
        <v>995081</v>
      </c>
      <c r="B735" s="29" t="s">
        <v>713</v>
      </c>
    </row>
    <row r="736" spans="1:2" x14ac:dyDescent="0.25">
      <c r="A736">
        <v>995082</v>
      </c>
      <c r="B736" s="29" t="s">
        <v>714</v>
      </c>
    </row>
    <row r="737" spans="1:2" x14ac:dyDescent="0.25">
      <c r="A737">
        <v>995083</v>
      </c>
      <c r="B737" s="29" t="s">
        <v>715</v>
      </c>
    </row>
    <row r="738" spans="1:2" x14ac:dyDescent="0.25">
      <c r="A738">
        <v>995084</v>
      </c>
      <c r="B738" s="29" t="s">
        <v>716</v>
      </c>
    </row>
    <row r="739" spans="1:2" x14ac:dyDescent="0.25">
      <c r="A739">
        <v>995085</v>
      </c>
      <c r="B739" s="29" t="s">
        <v>1101</v>
      </c>
    </row>
    <row r="740" spans="1:2" x14ac:dyDescent="0.25">
      <c r="A740">
        <v>995086</v>
      </c>
      <c r="B740" s="29" t="s">
        <v>717</v>
      </c>
    </row>
    <row r="741" spans="1:2" x14ac:dyDescent="0.25">
      <c r="A741">
        <v>995087</v>
      </c>
      <c r="B741" s="29" t="s">
        <v>718</v>
      </c>
    </row>
    <row r="742" spans="1:2" x14ac:dyDescent="0.25">
      <c r="A742">
        <v>995088</v>
      </c>
      <c r="B742" s="29" t="s">
        <v>719</v>
      </c>
    </row>
    <row r="743" spans="1:2" x14ac:dyDescent="0.25">
      <c r="A743">
        <v>995089</v>
      </c>
      <c r="B743" s="29" t="s">
        <v>720</v>
      </c>
    </row>
    <row r="744" spans="1:2" x14ac:dyDescent="0.25">
      <c r="A744">
        <v>995100</v>
      </c>
      <c r="B744" s="29" t="s">
        <v>721</v>
      </c>
    </row>
    <row r="745" spans="1:2" x14ac:dyDescent="0.25">
      <c r="A745">
        <v>995097</v>
      </c>
      <c r="B745" s="29" t="s">
        <v>722</v>
      </c>
    </row>
    <row r="746" spans="1:2" x14ac:dyDescent="0.25">
      <c r="A746">
        <v>995098</v>
      </c>
      <c r="B746" s="29" t="s">
        <v>723</v>
      </c>
    </row>
    <row r="747" spans="1:2" x14ac:dyDescent="0.25">
      <c r="A747">
        <v>995115</v>
      </c>
      <c r="B747" s="29" t="s">
        <v>724</v>
      </c>
    </row>
    <row r="748" spans="1:2" x14ac:dyDescent="0.25">
      <c r="A748">
        <v>995116</v>
      </c>
      <c r="B748" s="29" t="s">
        <v>725</v>
      </c>
    </row>
    <row r="749" spans="1:2" x14ac:dyDescent="0.25">
      <c r="A749">
        <v>995099</v>
      </c>
      <c r="B749" s="29" t="s">
        <v>726</v>
      </c>
    </row>
    <row r="750" spans="1:2" x14ac:dyDescent="0.25">
      <c r="A750">
        <v>995102</v>
      </c>
      <c r="B750" s="29" t="s">
        <v>727</v>
      </c>
    </row>
    <row r="751" spans="1:2" x14ac:dyDescent="0.25">
      <c r="A751">
        <v>995106</v>
      </c>
      <c r="B751" s="29" t="s">
        <v>728</v>
      </c>
    </row>
    <row r="752" spans="1:2" x14ac:dyDescent="0.25">
      <c r="A752">
        <v>995132</v>
      </c>
      <c r="B752" s="29" t="s">
        <v>729</v>
      </c>
    </row>
    <row r="753" spans="1:2" x14ac:dyDescent="0.25">
      <c r="A753">
        <v>995128</v>
      </c>
      <c r="B753" s="29" t="s">
        <v>730</v>
      </c>
    </row>
    <row r="754" spans="1:2" x14ac:dyDescent="0.25">
      <c r="A754">
        <v>989765</v>
      </c>
      <c r="B754" s="29" t="s">
        <v>731</v>
      </c>
    </row>
    <row r="755" spans="1:2" x14ac:dyDescent="0.25">
      <c r="A755">
        <v>980222</v>
      </c>
      <c r="B755" s="29" t="s">
        <v>755</v>
      </c>
    </row>
    <row r="756" spans="1:2" x14ac:dyDescent="0.25">
      <c r="A756">
        <v>989562</v>
      </c>
      <c r="B756" s="29" t="s">
        <v>756</v>
      </c>
    </row>
    <row r="757" spans="1:2" x14ac:dyDescent="0.25">
      <c r="A757">
        <v>987589</v>
      </c>
      <c r="B757" s="29" t="s">
        <v>757</v>
      </c>
    </row>
    <row r="758" spans="1:2" x14ac:dyDescent="0.25">
      <c r="A758">
        <v>983763</v>
      </c>
      <c r="B758" s="29" t="s">
        <v>758</v>
      </c>
    </row>
    <row r="759" spans="1:2" x14ac:dyDescent="0.25">
      <c r="A759">
        <v>987450</v>
      </c>
      <c r="B759" s="29" t="s">
        <v>763</v>
      </c>
    </row>
    <row r="760" spans="1:2" x14ac:dyDescent="0.25">
      <c r="A760">
        <v>995042</v>
      </c>
      <c r="B760" s="29" t="s">
        <v>764</v>
      </c>
    </row>
    <row r="761" spans="1:2" x14ac:dyDescent="0.25">
      <c r="A761">
        <v>995091</v>
      </c>
      <c r="B761" s="29" t="s">
        <v>765</v>
      </c>
    </row>
    <row r="762" spans="1:2" x14ac:dyDescent="0.25">
      <c r="A762">
        <v>995092</v>
      </c>
      <c r="B762" s="29" t="s">
        <v>766</v>
      </c>
    </row>
    <row r="763" spans="1:2" x14ac:dyDescent="0.25">
      <c r="A763">
        <v>995190</v>
      </c>
      <c r="B763" s="29" t="s">
        <v>1102</v>
      </c>
    </row>
    <row r="764" spans="1:2" x14ac:dyDescent="0.25">
      <c r="A764">
        <v>995191</v>
      </c>
      <c r="B764" s="29" t="s">
        <v>1103</v>
      </c>
    </row>
    <row r="765" spans="1:2" x14ac:dyDescent="0.25">
      <c r="A765">
        <v>995192</v>
      </c>
      <c r="B765" s="29" t="s">
        <v>1104</v>
      </c>
    </row>
    <row r="766" spans="1:2" x14ac:dyDescent="0.25">
      <c r="A766">
        <v>995193</v>
      </c>
      <c r="B766" s="29" t="s">
        <v>1105</v>
      </c>
    </row>
    <row r="767" spans="1:2" x14ac:dyDescent="0.25">
      <c r="A767">
        <v>995093</v>
      </c>
      <c r="B767" s="29" t="s">
        <v>767</v>
      </c>
    </row>
    <row r="768" spans="1:2" x14ac:dyDescent="0.25">
      <c r="A768">
        <v>995094</v>
      </c>
      <c r="B768" s="29" t="s">
        <v>768</v>
      </c>
    </row>
    <row r="769" spans="1:2" x14ac:dyDescent="0.25">
      <c r="A769">
        <v>995095</v>
      </c>
      <c r="B769" s="29" t="s">
        <v>769</v>
      </c>
    </row>
    <row r="770" spans="1:2" x14ac:dyDescent="0.25">
      <c r="A770">
        <v>983610</v>
      </c>
      <c r="B770" s="29" t="s">
        <v>770</v>
      </c>
    </row>
    <row r="771" spans="1:2" x14ac:dyDescent="0.25">
      <c r="A771">
        <v>981223</v>
      </c>
      <c r="B771" s="29" t="s">
        <v>771</v>
      </c>
    </row>
    <row r="772" spans="1:2" x14ac:dyDescent="0.25">
      <c r="A772">
        <v>989564</v>
      </c>
      <c r="B772" s="29" t="s">
        <v>772</v>
      </c>
    </row>
    <row r="773" spans="1:2" x14ac:dyDescent="0.25">
      <c r="A773">
        <v>995127</v>
      </c>
      <c r="B773" s="29" t="s">
        <v>773</v>
      </c>
    </row>
    <row r="774" spans="1:2" x14ac:dyDescent="0.25">
      <c r="A774">
        <v>990826</v>
      </c>
      <c r="B774" s="29" t="s">
        <v>789</v>
      </c>
    </row>
    <row r="775" spans="1:2" x14ac:dyDescent="0.25">
      <c r="A775">
        <v>990826</v>
      </c>
      <c r="B775" s="29" t="s">
        <v>789</v>
      </c>
    </row>
    <row r="776" spans="1:2" x14ac:dyDescent="0.25">
      <c r="A776">
        <v>990826</v>
      </c>
      <c r="B776" s="29" t="s">
        <v>789</v>
      </c>
    </row>
    <row r="777" spans="1:2" x14ac:dyDescent="0.25">
      <c r="A777">
        <v>990826</v>
      </c>
      <c r="B777" s="29" t="s">
        <v>789</v>
      </c>
    </row>
    <row r="778" spans="1:2" x14ac:dyDescent="0.25">
      <c r="A778">
        <v>990826</v>
      </c>
      <c r="B778" s="29" t="s">
        <v>789</v>
      </c>
    </row>
    <row r="779" spans="1:2" x14ac:dyDescent="0.25">
      <c r="A779">
        <v>990826</v>
      </c>
      <c r="B779" s="29" t="s">
        <v>789</v>
      </c>
    </row>
    <row r="780" spans="1:2" x14ac:dyDescent="0.25">
      <c r="A780">
        <v>990826</v>
      </c>
      <c r="B780" s="29" t="s">
        <v>789</v>
      </c>
    </row>
    <row r="781" spans="1:2" x14ac:dyDescent="0.25">
      <c r="A781">
        <v>990826</v>
      </c>
      <c r="B781" s="29" t="s">
        <v>789</v>
      </c>
    </row>
    <row r="782" spans="1:2" x14ac:dyDescent="0.25">
      <c r="A782">
        <v>990826</v>
      </c>
      <c r="B782" s="29" t="s">
        <v>789</v>
      </c>
    </row>
    <row r="783" spans="1:2" x14ac:dyDescent="0.25">
      <c r="A783">
        <v>990826</v>
      </c>
      <c r="B783" s="29" t="s">
        <v>789</v>
      </c>
    </row>
    <row r="784" spans="1:2" x14ac:dyDescent="0.25">
      <c r="A784">
        <v>990826</v>
      </c>
      <c r="B784" s="29" t="s">
        <v>789</v>
      </c>
    </row>
    <row r="785" spans="1:2" x14ac:dyDescent="0.25">
      <c r="A785">
        <v>990826</v>
      </c>
      <c r="B785" s="29" t="s">
        <v>789</v>
      </c>
    </row>
    <row r="786" spans="1:2" x14ac:dyDescent="0.25">
      <c r="A786">
        <v>990016</v>
      </c>
      <c r="B786" s="29" t="s">
        <v>790</v>
      </c>
    </row>
    <row r="787" spans="1:2" x14ac:dyDescent="0.25">
      <c r="A787">
        <v>990016</v>
      </c>
      <c r="B787" s="29" t="s">
        <v>790</v>
      </c>
    </row>
    <row r="788" spans="1:2" x14ac:dyDescent="0.25">
      <c r="A788">
        <v>990059</v>
      </c>
      <c r="B788" s="29" t="s">
        <v>791</v>
      </c>
    </row>
    <row r="789" spans="1:2" x14ac:dyDescent="0.25">
      <c r="A789">
        <v>990059</v>
      </c>
      <c r="B789" s="29" t="s">
        <v>791</v>
      </c>
    </row>
    <row r="790" spans="1:2" x14ac:dyDescent="0.25">
      <c r="A790">
        <v>990059</v>
      </c>
      <c r="B790" s="29" t="s">
        <v>791</v>
      </c>
    </row>
    <row r="791" spans="1:2" x14ac:dyDescent="0.25">
      <c r="A791">
        <v>990059</v>
      </c>
      <c r="B791" s="29" t="s">
        <v>791</v>
      </c>
    </row>
    <row r="792" spans="1:2" x14ac:dyDescent="0.25">
      <c r="A792">
        <v>990059</v>
      </c>
      <c r="B792" s="29" t="s">
        <v>791</v>
      </c>
    </row>
    <row r="793" spans="1:2" x14ac:dyDescent="0.25">
      <c r="A793">
        <v>990059</v>
      </c>
      <c r="B793" s="29" t="s">
        <v>791</v>
      </c>
    </row>
    <row r="794" spans="1:2" x14ac:dyDescent="0.25">
      <c r="A794">
        <v>990061</v>
      </c>
      <c r="B794" s="29" t="s">
        <v>792</v>
      </c>
    </row>
    <row r="795" spans="1:2" x14ac:dyDescent="0.25">
      <c r="A795">
        <v>990061</v>
      </c>
      <c r="B795" s="29" t="s">
        <v>792</v>
      </c>
    </row>
    <row r="796" spans="1:2" x14ac:dyDescent="0.25">
      <c r="A796">
        <v>990061</v>
      </c>
      <c r="B796" s="29" t="s">
        <v>792</v>
      </c>
    </row>
    <row r="797" spans="1:2" x14ac:dyDescent="0.25">
      <c r="A797">
        <v>990061</v>
      </c>
      <c r="B797" s="29" t="s">
        <v>792</v>
      </c>
    </row>
    <row r="798" spans="1:2" x14ac:dyDescent="0.25">
      <c r="A798">
        <v>990061</v>
      </c>
      <c r="B798" s="29" t="s">
        <v>792</v>
      </c>
    </row>
    <row r="799" spans="1:2" x14ac:dyDescent="0.25">
      <c r="A799">
        <v>990061</v>
      </c>
      <c r="B799" s="29" t="s">
        <v>792</v>
      </c>
    </row>
    <row r="800" spans="1:2" x14ac:dyDescent="0.25">
      <c r="A800">
        <v>990063</v>
      </c>
      <c r="B800" s="29" t="s">
        <v>793</v>
      </c>
    </row>
    <row r="801" spans="1:2" x14ac:dyDescent="0.25">
      <c r="A801">
        <v>990063</v>
      </c>
      <c r="B801" s="29" t="s">
        <v>793</v>
      </c>
    </row>
    <row r="802" spans="1:2" x14ac:dyDescent="0.25">
      <c r="A802">
        <v>990063</v>
      </c>
      <c r="B802" s="29" t="s">
        <v>793</v>
      </c>
    </row>
    <row r="803" spans="1:2" x14ac:dyDescent="0.25">
      <c r="A803">
        <v>990063</v>
      </c>
      <c r="B803" s="29" t="s">
        <v>793</v>
      </c>
    </row>
    <row r="804" spans="1:2" x14ac:dyDescent="0.25">
      <c r="A804">
        <v>990063</v>
      </c>
      <c r="B804" s="29" t="s">
        <v>793</v>
      </c>
    </row>
    <row r="805" spans="1:2" x14ac:dyDescent="0.25">
      <c r="A805">
        <v>990063</v>
      </c>
      <c r="B805" s="29" t="s">
        <v>793</v>
      </c>
    </row>
    <row r="806" spans="1:2" x14ac:dyDescent="0.25">
      <c r="A806">
        <v>990801</v>
      </c>
      <c r="B806" s="29" t="s">
        <v>478</v>
      </c>
    </row>
    <row r="807" spans="1:2" x14ac:dyDescent="0.25">
      <c r="A807">
        <v>990803</v>
      </c>
      <c r="B807" s="29" t="s">
        <v>480</v>
      </c>
    </row>
    <row r="808" spans="1:2" x14ac:dyDescent="0.25">
      <c r="A808">
        <v>990806</v>
      </c>
      <c r="B808" s="29" t="s">
        <v>483</v>
      </c>
    </row>
    <row r="809" spans="1:2" x14ac:dyDescent="0.25">
      <c r="A809">
        <v>990811</v>
      </c>
      <c r="B809" s="29" t="s">
        <v>488</v>
      </c>
    </row>
    <row r="810" spans="1:2" x14ac:dyDescent="0.25">
      <c r="A810">
        <v>990811</v>
      </c>
      <c r="B810" s="29" t="s">
        <v>488</v>
      </c>
    </row>
    <row r="811" spans="1:2" x14ac:dyDescent="0.25">
      <c r="A811">
        <v>990811</v>
      </c>
      <c r="B811" s="29" t="s">
        <v>488</v>
      </c>
    </row>
    <row r="812" spans="1:2" x14ac:dyDescent="0.25">
      <c r="A812">
        <v>990811</v>
      </c>
      <c r="B812" s="29" t="s">
        <v>488</v>
      </c>
    </row>
    <row r="813" spans="1:2" x14ac:dyDescent="0.25">
      <c r="A813">
        <v>990819</v>
      </c>
      <c r="B813" s="29" t="s">
        <v>496</v>
      </c>
    </row>
    <row r="814" spans="1:2" x14ac:dyDescent="0.25">
      <c r="A814">
        <v>990819</v>
      </c>
      <c r="B814" s="29" t="s">
        <v>496</v>
      </c>
    </row>
    <row r="815" spans="1:2" x14ac:dyDescent="0.25">
      <c r="A815">
        <v>990822</v>
      </c>
      <c r="B815" s="29" t="s">
        <v>794</v>
      </c>
    </row>
    <row r="816" spans="1:2" x14ac:dyDescent="0.25">
      <c r="A816">
        <v>990822</v>
      </c>
      <c r="B816" s="29" t="s">
        <v>794</v>
      </c>
    </row>
    <row r="817" spans="1:2" x14ac:dyDescent="0.25">
      <c r="A817">
        <v>990822</v>
      </c>
      <c r="B817" s="29" t="s">
        <v>794</v>
      </c>
    </row>
    <row r="818" spans="1:2" x14ac:dyDescent="0.25">
      <c r="A818">
        <v>990822</v>
      </c>
      <c r="B818" s="29" t="s">
        <v>794</v>
      </c>
    </row>
    <row r="819" spans="1:2" x14ac:dyDescent="0.25">
      <c r="A819">
        <v>990822</v>
      </c>
      <c r="B819" s="29" t="s">
        <v>794</v>
      </c>
    </row>
    <row r="820" spans="1:2" x14ac:dyDescent="0.25">
      <c r="A820">
        <v>990822</v>
      </c>
      <c r="B820" s="29" t="s">
        <v>794</v>
      </c>
    </row>
    <row r="821" spans="1:2" x14ac:dyDescent="0.25">
      <c r="A821">
        <v>990822</v>
      </c>
      <c r="B821" s="29" t="s">
        <v>794</v>
      </c>
    </row>
    <row r="822" spans="1:2" x14ac:dyDescent="0.25">
      <c r="A822">
        <v>990822</v>
      </c>
      <c r="B822" s="29" t="s">
        <v>794</v>
      </c>
    </row>
    <row r="823" spans="1:2" x14ac:dyDescent="0.25">
      <c r="A823">
        <v>990822</v>
      </c>
      <c r="B823" s="29" t="s">
        <v>794</v>
      </c>
    </row>
    <row r="824" spans="1:2" x14ac:dyDescent="0.25">
      <c r="A824">
        <v>990822</v>
      </c>
      <c r="B824" s="29" t="s">
        <v>794</v>
      </c>
    </row>
    <row r="825" spans="1:2" x14ac:dyDescent="0.25">
      <c r="A825">
        <v>990822</v>
      </c>
      <c r="B825" s="29" t="s">
        <v>794</v>
      </c>
    </row>
    <row r="826" spans="1:2" x14ac:dyDescent="0.25">
      <c r="A826">
        <v>990822</v>
      </c>
      <c r="B826" s="29" t="s">
        <v>794</v>
      </c>
    </row>
    <row r="827" spans="1:2" x14ac:dyDescent="0.25">
      <c r="A827">
        <v>990823</v>
      </c>
      <c r="B827" s="29" t="s">
        <v>500</v>
      </c>
    </row>
    <row r="828" spans="1:2" x14ac:dyDescent="0.25">
      <c r="A828">
        <v>990823</v>
      </c>
      <c r="B828" s="29" t="s">
        <v>500</v>
      </c>
    </row>
    <row r="829" spans="1:2" x14ac:dyDescent="0.25">
      <c r="A829">
        <v>990823</v>
      </c>
      <c r="B829" s="29" t="s">
        <v>500</v>
      </c>
    </row>
    <row r="830" spans="1:2" x14ac:dyDescent="0.25">
      <c r="A830">
        <v>990823</v>
      </c>
      <c r="B830" s="29" t="s">
        <v>500</v>
      </c>
    </row>
    <row r="831" spans="1:2" x14ac:dyDescent="0.25">
      <c r="A831">
        <v>990829</v>
      </c>
      <c r="B831" s="29" t="s">
        <v>795</v>
      </c>
    </row>
    <row r="832" spans="1:2" x14ac:dyDescent="0.25">
      <c r="A832">
        <v>990829</v>
      </c>
      <c r="B832" s="29" t="s">
        <v>795</v>
      </c>
    </row>
    <row r="833" spans="1:2" x14ac:dyDescent="0.25">
      <c r="A833">
        <v>990829</v>
      </c>
      <c r="B833" s="29" t="s">
        <v>795</v>
      </c>
    </row>
    <row r="834" spans="1:2" x14ac:dyDescent="0.25">
      <c r="A834">
        <v>990829</v>
      </c>
      <c r="B834" s="29" t="s">
        <v>795</v>
      </c>
    </row>
    <row r="835" spans="1:2" x14ac:dyDescent="0.25">
      <c r="A835">
        <v>990829</v>
      </c>
      <c r="B835" s="29" t="s">
        <v>795</v>
      </c>
    </row>
    <row r="836" spans="1:2" x14ac:dyDescent="0.25">
      <c r="A836">
        <v>990829</v>
      </c>
      <c r="B836" s="29" t="s">
        <v>795</v>
      </c>
    </row>
    <row r="837" spans="1:2" x14ac:dyDescent="0.25">
      <c r="A837">
        <v>990830</v>
      </c>
      <c r="B837" s="29" t="s">
        <v>796</v>
      </c>
    </row>
    <row r="838" spans="1:2" x14ac:dyDescent="0.25">
      <c r="A838">
        <v>993014</v>
      </c>
      <c r="B838" s="29" t="s">
        <v>797</v>
      </c>
    </row>
    <row r="839" spans="1:2" x14ac:dyDescent="0.25">
      <c r="A839">
        <v>993014</v>
      </c>
      <c r="B839" s="29" t="s">
        <v>797</v>
      </c>
    </row>
    <row r="840" spans="1:2" x14ac:dyDescent="0.25">
      <c r="A840">
        <v>993014</v>
      </c>
      <c r="B840" s="29" t="s">
        <v>797</v>
      </c>
    </row>
    <row r="841" spans="1:2" x14ac:dyDescent="0.25">
      <c r="A841">
        <v>993014</v>
      </c>
      <c r="B841" s="29" t="s">
        <v>797</v>
      </c>
    </row>
    <row r="842" spans="1:2" x14ac:dyDescent="0.25">
      <c r="A842">
        <v>993014</v>
      </c>
      <c r="B842" s="29" t="s">
        <v>797</v>
      </c>
    </row>
    <row r="843" spans="1:2" x14ac:dyDescent="0.25">
      <c r="A843">
        <v>993014</v>
      </c>
      <c r="B843" s="29" t="s">
        <v>797</v>
      </c>
    </row>
    <row r="844" spans="1:2" x14ac:dyDescent="0.25">
      <c r="A844">
        <v>990835</v>
      </c>
      <c r="B844" s="29" t="s">
        <v>798</v>
      </c>
    </row>
    <row r="845" spans="1:2" x14ac:dyDescent="0.25">
      <c r="A845">
        <v>990835</v>
      </c>
      <c r="B845" s="29" t="s">
        <v>798</v>
      </c>
    </row>
    <row r="846" spans="1:2" x14ac:dyDescent="0.25">
      <c r="A846">
        <v>990835</v>
      </c>
      <c r="B846" s="29" t="s">
        <v>798</v>
      </c>
    </row>
    <row r="847" spans="1:2" x14ac:dyDescent="0.25">
      <c r="A847">
        <v>990835</v>
      </c>
      <c r="B847" s="29" t="s">
        <v>798</v>
      </c>
    </row>
    <row r="848" spans="1:2" x14ac:dyDescent="0.25">
      <c r="A848">
        <v>990835</v>
      </c>
      <c r="B848" s="29" t="s">
        <v>798</v>
      </c>
    </row>
    <row r="849" spans="1:2" x14ac:dyDescent="0.25">
      <c r="A849">
        <v>990835</v>
      </c>
      <c r="B849" s="29" t="s">
        <v>798</v>
      </c>
    </row>
    <row r="850" spans="1:2" x14ac:dyDescent="0.25">
      <c r="A850">
        <v>993015</v>
      </c>
      <c r="B850" s="29" t="s">
        <v>799</v>
      </c>
    </row>
    <row r="851" spans="1:2" x14ac:dyDescent="0.25">
      <c r="A851">
        <v>991202</v>
      </c>
      <c r="B851" s="29" t="s">
        <v>515</v>
      </c>
    </row>
    <row r="852" spans="1:2" x14ac:dyDescent="0.25">
      <c r="A852">
        <v>991203</v>
      </c>
      <c r="B852" s="29" t="s">
        <v>516</v>
      </c>
    </row>
    <row r="853" spans="1:2" x14ac:dyDescent="0.25">
      <c r="A853">
        <v>993018</v>
      </c>
      <c r="B853" s="29" t="s">
        <v>800</v>
      </c>
    </row>
    <row r="854" spans="1:2" x14ac:dyDescent="0.25">
      <c r="A854">
        <v>993018</v>
      </c>
      <c r="B854" s="29" t="s">
        <v>800</v>
      </c>
    </row>
    <row r="855" spans="1:2" x14ac:dyDescent="0.25">
      <c r="A855">
        <v>993018</v>
      </c>
      <c r="B855" s="29" t="s">
        <v>800</v>
      </c>
    </row>
    <row r="856" spans="1:2" x14ac:dyDescent="0.25">
      <c r="A856">
        <v>993018</v>
      </c>
      <c r="B856" s="29" t="s">
        <v>800</v>
      </c>
    </row>
    <row r="857" spans="1:2" x14ac:dyDescent="0.25">
      <c r="A857">
        <v>993018</v>
      </c>
      <c r="B857" s="29" t="s">
        <v>800</v>
      </c>
    </row>
    <row r="858" spans="1:2" x14ac:dyDescent="0.25">
      <c r="A858">
        <v>993018</v>
      </c>
      <c r="B858" s="29" t="s">
        <v>800</v>
      </c>
    </row>
    <row r="859" spans="1:2" x14ac:dyDescent="0.25">
      <c r="A859">
        <v>991206</v>
      </c>
      <c r="B859" s="29" t="s">
        <v>519</v>
      </c>
    </row>
    <row r="860" spans="1:2" x14ac:dyDescent="0.25">
      <c r="A860">
        <v>991206</v>
      </c>
      <c r="B860" s="29" t="s">
        <v>519</v>
      </c>
    </row>
    <row r="861" spans="1:2" x14ac:dyDescent="0.25">
      <c r="A861">
        <v>991206</v>
      </c>
      <c r="B861" s="29" t="s">
        <v>519</v>
      </c>
    </row>
    <row r="862" spans="1:2" x14ac:dyDescent="0.25">
      <c r="A862">
        <v>991206</v>
      </c>
      <c r="B862" s="29" t="s">
        <v>519</v>
      </c>
    </row>
    <row r="863" spans="1:2" x14ac:dyDescent="0.25">
      <c r="A863">
        <v>991206</v>
      </c>
      <c r="B863" s="29" t="s">
        <v>519</v>
      </c>
    </row>
    <row r="864" spans="1:2" x14ac:dyDescent="0.25">
      <c r="A864">
        <v>991206</v>
      </c>
      <c r="B864" s="29" t="s">
        <v>519</v>
      </c>
    </row>
    <row r="865" spans="1:2" x14ac:dyDescent="0.25">
      <c r="A865">
        <v>993950</v>
      </c>
      <c r="B865" s="29" t="s">
        <v>801</v>
      </c>
    </row>
    <row r="866" spans="1:2" x14ac:dyDescent="0.25">
      <c r="A866">
        <v>993950</v>
      </c>
      <c r="B866" s="29" t="s">
        <v>801</v>
      </c>
    </row>
    <row r="867" spans="1:2" x14ac:dyDescent="0.25">
      <c r="A867">
        <v>993950</v>
      </c>
      <c r="B867" s="29" t="s">
        <v>801</v>
      </c>
    </row>
    <row r="868" spans="1:2" x14ac:dyDescent="0.25">
      <c r="A868">
        <v>993950</v>
      </c>
      <c r="B868" s="29" t="s">
        <v>801</v>
      </c>
    </row>
    <row r="869" spans="1:2" x14ac:dyDescent="0.25">
      <c r="A869">
        <v>993950</v>
      </c>
      <c r="B869" s="29" t="s">
        <v>801</v>
      </c>
    </row>
    <row r="870" spans="1:2" x14ac:dyDescent="0.25">
      <c r="A870">
        <v>993950</v>
      </c>
      <c r="B870" s="29" t="s">
        <v>801</v>
      </c>
    </row>
    <row r="871" spans="1:2" x14ac:dyDescent="0.25">
      <c r="A871">
        <v>993950</v>
      </c>
      <c r="B871" s="29" t="s">
        <v>801</v>
      </c>
    </row>
    <row r="872" spans="1:2" x14ac:dyDescent="0.25">
      <c r="A872">
        <v>993950</v>
      </c>
      <c r="B872" s="29" t="s">
        <v>801</v>
      </c>
    </row>
    <row r="873" spans="1:2" x14ac:dyDescent="0.25">
      <c r="A873">
        <v>993950</v>
      </c>
      <c r="B873" s="29" t="s">
        <v>801</v>
      </c>
    </row>
    <row r="874" spans="1:2" x14ac:dyDescent="0.25">
      <c r="A874">
        <v>993950</v>
      </c>
      <c r="B874" s="29" t="s">
        <v>801</v>
      </c>
    </row>
    <row r="875" spans="1:2" x14ac:dyDescent="0.25">
      <c r="A875">
        <v>993950</v>
      </c>
      <c r="B875" s="29" t="s">
        <v>801</v>
      </c>
    </row>
    <row r="876" spans="1:2" x14ac:dyDescent="0.25">
      <c r="A876">
        <v>993950</v>
      </c>
      <c r="B876" s="29" t="s">
        <v>801</v>
      </c>
    </row>
    <row r="877" spans="1:2" x14ac:dyDescent="0.25">
      <c r="A877">
        <v>993951</v>
      </c>
      <c r="B877" s="29" t="s">
        <v>802</v>
      </c>
    </row>
    <row r="878" spans="1:2" x14ac:dyDescent="0.25">
      <c r="A878">
        <v>993951</v>
      </c>
      <c r="B878" s="29" t="s">
        <v>802</v>
      </c>
    </row>
    <row r="879" spans="1:2" x14ac:dyDescent="0.25">
      <c r="A879">
        <v>993951</v>
      </c>
      <c r="B879" s="29" t="s">
        <v>802</v>
      </c>
    </row>
    <row r="880" spans="1:2" x14ac:dyDescent="0.25">
      <c r="A880">
        <v>993951</v>
      </c>
      <c r="B880" s="29" t="s">
        <v>802</v>
      </c>
    </row>
    <row r="881" spans="1:2" x14ac:dyDescent="0.25">
      <c r="A881">
        <v>993951</v>
      </c>
      <c r="B881" s="29" t="s">
        <v>802</v>
      </c>
    </row>
    <row r="882" spans="1:2" x14ac:dyDescent="0.25">
      <c r="A882">
        <v>993951</v>
      </c>
      <c r="B882" s="29" t="s">
        <v>802</v>
      </c>
    </row>
    <row r="883" spans="1:2" x14ac:dyDescent="0.25">
      <c r="A883">
        <v>993951</v>
      </c>
      <c r="B883" s="29" t="s">
        <v>802</v>
      </c>
    </row>
    <row r="884" spans="1:2" x14ac:dyDescent="0.25">
      <c r="A884">
        <v>993951</v>
      </c>
      <c r="B884" s="29" t="s">
        <v>802</v>
      </c>
    </row>
    <row r="885" spans="1:2" x14ac:dyDescent="0.25">
      <c r="A885">
        <v>993951</v>
      </c>
      <c r="B885" s="29" t="s">
        <v>802</v>
      </c>
    </row>
    <row r="886" spans="1:2" x14ac:dyDescent="0.25">
      <c r="A886">
        <v>993951</v>
      </c>
      <c r="B886" s="29" t="s">
        <v>802</v>
      </c>
    </row>
    <row r="887" spans="1:2" x14ac:dyDescent="0.25">
      <c r="A887">
        <v>993951</v>
      </c>
      <c r="B887" s="29" t="s">
        <v>802</v>
      </c>
    </row>
    <row r="888" spans="1:2" x14ac:dyDescent="0.25">
      <c r="A888">
        <v>993951</v>
      </c>
      <c r="B888" s="29" t="s">
        <v>802</v>
      </c>
    </row>
    <row r="889" spans="1:2" x14ac:dyDescent="0.25">
      <c r="A889">
        <v>993952</v>
      </c>
      <c r="B889" s="29" t="s">
        <v>803</v>
      </c>
    </row>
    <row r="890" spans="1:2" x14ac:dyDescent="0.25">
      <c r="A890">
        <v>993952</v>
      </c>
      <c r="B890" s="29" t="s">
        <v>803</v>
      </c>
    </row>
    <row r="891" spans="1:2" x14ac:dyDescent="0.25">
      <c r="A891">
        <v>993952</v>
      </c>
      <c r="B891" s="29" t="s">
        <v>803</v>
      </c>
    </row>
    <row r="892" spans="1:2" x14ac:dyDescent="0.25">
      <c r="A892">
        <v>993952</v>
      </c>
      <c r="B892" s="29" t="s">
        <v>803</v>
      </c>
    </row>
    <row r="893" spans="1:2" x14ac:dyDescent="0.25">
      <c r="A893">
        <v>993952</v>
      </c>
      <c r="B893" s="29" t="s">
        <v>803</v>
      </c>
    </row>
    <row r="894" spans="1:2" x14ac:dyDescent="0.25">
      <c r="A894">
        <v>993952</v>
      </c>
      <c r="B894" s="29" t="s">
        <v>803</v>
      </c>
    </row>
    <row r="895" spans="1:2" x14ac:dyDescent="0.25">
      <c r="A895">
        <v>993952</v>
      </c>
      <c r="B895" s="29" t="s">
        <v>803</v>
      </c>
    </row>
    <row r="896" spans="1:2" x14ac:dyDescent="0.25">
      <c r="A896">
        <v>993952</v>
      </c>
      <c r="B896" s="29" t="s">
        <v>803</v>
      </c>
    </row>
    <row r="897" spans="1:2" x14ac:dyDescent="0.25">
      <c r="A897">
        <v>993952</v>
      </c>
      <c r="B897" s="29" t="s">
        <v>803</v>
      </c>
    </row>
    <row r="898" spans="1:2" x14ac:dyDescent="0.25">
      <c r="A898">
        <v>993952</v>
      </c>
      <c r="B898" s="29" t="s">
        <v>803</v>
      </c>
    </row>
    <row r="899" spans="1:2" x14ac:dyDescent="0.25">
      <c r="A899">
        <v>993952</v>
      </c>
      <c r="B899" s="29" t="s">
        <v>803</v>
      </c>
    </row>
    <row r="900" spans="1:2" x14ac:dyDescent="0.25">
      <c r="A900">
        <v>993952</v>
      </c>
      <c r="B900" s="29" t="s">
        <v>803</v>
      </c>
    </row>
    <row r="901" spans="1:2" x14ac:dyDescent="0.25">
      <c r="A901">
        <v>991210</v>
      </c>
      <c r="B901" s="29" t="s">
        <v>804</v>
      </c>
    </row>
    <row r="902" spans="1:2" x14ac:dyDescent="0.25">
      <c r="A902">
        <v>991210</v>
      </c>
      <c r="B902" s="29" t="s">
        <v>804</v>
      </c>
    </row>
    <row r="903" spans="1:2" x14ac:dyDescent="0.25">
      <c r="A903">
        <v>991210</v>
      </c>
      <c r="B903" s="29" t="s">
        <v>804</v>
      </c>
    </row>
    <row r="904" spans="1:2" x14ac:dyDescent="0.25">
      <c r="A904">
        <v>991210</v>
      </c>
      <c r="B904" s="29" t="s">
        <v>804</v>
      </c>
    </row>
    <row r="905" spans="1:2" x14ac:dyDescent="0.25">
      <c r="A905">
        <v>991210</v>
      </c>
      <c r="B905" s="29" t="s">
        <v>804</v>
      </c>
    </row>
    <row r="906" spans="1:2" x14ac:dyDescent="0.25">
      <c r="A906">
        <v>991210</v>
      </c>
      <c r="B906" s="29" t="s">
        <v>804</v>
      </c>
    </row>
    <row r="907" spans="1:2" x14ac:dyDescent="0.25">
      <c r="A907">
        <v>991210</v>
      </c>
      <c r="B907" s="29" t="s">
        <v>804</v>
      </c>
    </row>
    <row r="908" spans="1:2" x14ac:dyDescent="0.25">
      <c r="A908">
        <v>991210</v>
      </c>
      <c r="B908" s="29" t="s">
        <v>804</v>
      </c>
    </row>
    <row r="909" spans="1:2" x14ac:dyDescent="0.25">
      <c r="A909">
        <v>991210</v>
      </c>
      <c r="B909" s="29" t="s">
        <v>804</v>
      </c>
    </row>
    <row r="910" spans="1:2" x14ac:dyDescent="0.25">
      <c r="A910">
        <v>991210</v>
      </c>
      <c r="B910" s="29" t="s">
        <v>804</v>
      </c>
    </row>
    <row r="911" spans="1:2" x14ac:dyDescent="0.25">
      <c r="A911">
        <v>991210</v>
      </c>
      <c r="B911" s="29" t="s">
        <v>804</v>
      </c>
    </row>
    <row r="912" spans="1:2" x14ac:dyDescent="0.25">
      <c r="A912">
        <v>991210</v>
      </c>
      <c r="B912" s="29" t="s">
        <v>804</v>
      </c>
    </row>
    <row r="913" spans="1:2" x14ac:dyDescent="0.25">
      <c r="A913">
        <v>993953</v>
      </c>
      <c r="B913" s="29" t="s">
        <v>805</v>
      </c>
    </row>
    <row r="914" spans="1:2" x14ac:dyDescent="0.25">
      <c r="A914">
        <v>993953</v>
      </c>
      <c r="B914" s="29" t="s">
        <v>805</v>
      </c>
    </row>
    <row r="915" spans="1:2" x14ac:dyDescent="0.25">
      <c r="A915">
        <v>993953</v>
      </c>
      <c r="B915" s="29" t="s">
        <v>805</v>
      </c>
    </row>
    <row r="916" spans="1:2" x14ac:dyDescent="0.25">
      <c r="A916">
        <v>993953</v>
      </c>
      <c r="B916" s="29" t="s">
        <v>805</v>
      </c>
    </row>
    <row r="917" spans="1:2" x14ac:dyDescent="0.25">
      <c r="A917">
        <v>993953</v>
      </c>
      <c r="B917" s="29" t="s">
        <v>805</v>
      </c>
    </row>
    <row r="918" spans="1:2" x14ac:dyDescent="0.25">
      <c r="A918">
        <v>993953</v>
      </c>
      <c r="B918" s="29" t="s">
        <v>805</v>
      </c>
    </row>
    <row r="919" spans="1:2" x14ac:dyDescent="0.25">
      <c r="A919">
        <v>993953</v>
      </c>
      <c r="B919" s="29" t="s">
        <v>805</v>
      </c>
    </row>
    <row r="920" spans="1:2" x14ac:dyDescent="0.25">
      <c r="A920">
        <v>993953</v>
      </c>
      <c r="B920" s="29" t="s">
        <v>805</v>
      </c>
    </row>
    <row r="921" spans="1:2" x14ac:dyDescent="0.25">
      <c r="A921">
        <v>993953</v>
      </c>
      <c r="B921" s="29" t="s">
        <v>805</v>
      </c>
    </row>
    <row r="922" spans="1:2" x14ac:dyDescent="0.25">
      <c r="A922">
        <v>993953</v>
      </c>
      <c r="B922" s="29" t="s">
        <v>805</v>
      </c>
    </row>
    <row r="923" spans="1:2" x14ac:dyDescent="0.25">
      <c r="A923">
        <v>993953</v>
      </c>
      <c r="B923" s="29" t="s">
        <v>805</v>
      </c>
    </row>
    <row r="924" spans="1:2" x14ac:dyDescent="0.25">
      <c r="A924">
        <v>993953</v>
      </c>
      <c r="B924" s="29" t="s">
        <v>805</v>
      </c>
    </row>
    <row r="925" spans="1:2" x14ac:dyDescent="0.25">
      <c r="A925">
        <v>991212</v>
      </c>
      <c r="B925" s="29" t="s">
        <v>806</v>
      </c>
    </row>
    <row r="926" spans="1:2" x14ac:dyDescent="0.25">
      <c r="A926">
        <v>991212</v>
      </c>
      <c r="B926" s="29" t="s">
        <v>806</v>
      </c>
    </row>
    <row r="927" spans="1:2" x14ac:dyDescent="0.25">
      <c r="A927">
        <v>991212</v>
      </c>
      <c r="B927" s="29" t="s">
        <v>806</v>
      </c>
    </row>
    <row r="928" spans="1:2" x14ac:dyDescent="0.25">
      <c r="A928">
        <v>991212</v>
      </c>
      <c r="B928" s="29" t="s">
        <v>806</v>
      </c>
    </row>
    <row r="929" spans="1:2" x14ac:dyDescent="0.25">
      <c r="A929">
        <v>991212</v>
      </c>
      <c r="B929" s="29" t="s">
        <v>806</v>
      </c>
    </row>
    <row r="930" spans="1:2" x14ac:dyDescent="0.25">
      <c r="A930">
        <v>991212</v>
      </c>
      <c r="B930" s="29" t="s">
        <v>806</v>
      </c>
    </row>
    <row r="931" spans="1:2" x14ac:dyDescent="0.25">
      <c r="A931">
        <v>991212</v>
      </c>
      <c r="B931" s="29" t="s">
        <v>806</v>
      </c>
    </row>
    <row r="932" spans="1:2" x14ac:dyDescent="0.25">
      <c r="A932">
        <v>991212</v>
      </c>
      <c r="B932" s="29" t="s">
        <v>806</v>
      </c>
    </row>
    <row r="933" spans="1:2" x14ac:dyDescent="0.25">
      <c r="A933">
        <v>991212</v>
      </c>
      <c r="B933" s="29" t="s">
        <v>806</v>
      </c>
    </row>
    <row r="934" spans="1:2" x14ac:dyDescent="0.25">
      <c r="A934">
        <v>991212</v>
      </c>
      <c r="B934" s="29" t="s">
        <v>806</v>
      </c>
    </row>
    <row r="935" spans="1:2" x14ac:dyDescent="0.25">
      <c r="A935">
        <v>991212</v>
      </c>
      <c r="B935" s="29" t="s">
        <v>806</v>
      </c>
    </row>
    <row r="936" spans="1:2" x14ac:dyDescent="0.25">
      <c r="A936">
        <v>991212</v>
      </c>
      <c r="B936" s="29" t="s">
        <v>806</v>
      </c>
    </row>
    <row r="937" spans="1:2" x14ac:dyDescent="0.25">
      <c r="A937">
        <v>991212</v>
      </c>
      <c r="B937" s="29" t="s">
        <v>806</v>
      </c>
    </row>
    <row r="938" spans="1:2" x14ac:dyDescent="0.25">
      <c r="A938">
        <v>991212</v>
      </c>
      <c r="B938" s="29" t="s">
        <v>806</v>
      </c>
    </row>
    <row r="939" spans="1:2" x14ac:dyDescent="0.25">
      <c r="A939">
        <v>991212</v>
      </c>
      <c r="B939" s="29" t="s">
        <v>806</v>
      </c>
    </row>
    <row r="940" spans="1:2" x14ac:dyDescent="0.25">
      <c r="A940">
        <v>991212</v>
      </c>
      <c r="B940" s="29" t="s">
        <v>806</v>
      </c>
    </row>
    <row r="941" spans="1:2" x14ac:dyDescent="0.25">
      <c r="A941">
        <v>991212</v>
      </c>
      <c r="B941" s="29" t="s">
        <v>806</v>
      </c>
    </row>
    <row r="942" spans="1:2" x14ac:dyDescent="0.25">
      <c r="A942">
        <v>991212</v>
      </c>
      <c r="B942" s="29" t="s">
        <v>806</v>
      </c>
    </row>
    <row r="943" spans="1:2" x14ac:dyDescent="0.25">
      <c r="A943">
        <v>991212</v>
      </c>
      <c r="B943" s="29" t="s">
        <v>806</v>
      </c>
    </row>
    <row r="944" spans="1:2" x14ac:dyDescent="0.25">
      <c r="A944">
        <v>991212</v>
      </c>
      <c r="B944" s="29" t="s">
        <v>806</v>
      </c>
    </row>
    <row r="945" spans="1:2" x14ac:dyDescent="0.25">
      <c r="A945">
        <v>991212</v>
      </c>
      <c r="B945" s="29" t="s">
        <v>806</v>
      </c>
    </row>
    <row r="946" spans="1:2" x14ac:dyDescent="0.25">
      <c r="A946">
        <v>991212</v>
      </c>
      <c r="B946" s="29" t="s">
        <v>806</v>
      </c>
    </row>
    <row r="947" spans="1:2" x14ac:dyDescent="0.25">
      <c r="A947">
        <v>991212</v>
      </c>
      <c r="B947" s="29" t="s">
        <v>806</v>
      </c>
    </row>
    <row r="948" spans="1:2" x14ac:dyDescent="0.25">
      <c r="A948">
        <v>991212</v>
      </c>
      <c r="B948" s="29" t="s">
        <v>806</v>
      </c>
    </row>
    <row r="949" spans="1:2" x14ac:dyDescent="0.25">
      <c r="A949">
        <v>991212</v>
      </c>
      <c r="B949" s="29" t="s">
        <v>806</v>
      </c>
    </row>
    <row r="950" spans="1:2" x14ac:dyDescent="0.25">
      <c r="A950">
        <v>991212</v>
      </c>
      <c r="B950" s="29" t="s">
        <v>806</v>
      </c>
    </row>
    <row r="951" spans="1:2" x14ac:dyDescent="0.25">
      <c r="A951">
        <v>991212</v>
      </c>
      <c r="B951" s="29" t="s">
        <v>806</v>
      </c>
    </row>
    <row r="952" spans="1:2" x14ac:dyDescent="0.25">
      <c r="A952">
        <v>991212</v>
      </c>
      <c r="B952" s="29" t="s">
        <v>806</v>
      </c>
    </row>
    <row r="953" spans="1:2" x14ac:dyDescent="0.25">
      <c r="A953">
        <v>991212</v>
      </c>
      <c r="B953" s="29" t="s">
        <v>806</v>
      </c>
    </row>
    <row r="954" spans="1:2" x14ac:dyDescent="0.25">
      <c r="A954">
        <v>991212</v>
      </c>
      <c r="B954" s="29" t="s">
        <v>806</v>
      </c>
    </row>
    <row r="955" spans="1:2" x14ac:dyDescent="0.25">
      <c r="A955">
        <v>991212</v>
      </c>
      <c r="B955" s="29" t="s">
        <v>806</v>
      </c>
    </row>
    <row r="956" spans="1:2" x14ac:dyDescent="0.25">
      <c r="A956">
        <v>991212</v>
      </c>
      <c r="B956" s="29" t="s">
        <v>806</v>
      </c>
    </row>
    <row r="957" spans="1:2" x14ac:dyDescent="0.25">
      <c r="A957">
        <v>991212</v>
      </c>
      <c r="B957" s="29" t="s">
        <v>806</v>
      </c>
    </row>
    <row r="958" spans="1:2" x14ac:dyDescent="0.25">
      <c r="A958">
        <v>991212</v>
      </c>
      <c r="B958" s="29" t="s">
        <v>806</v>
      </c>
    </row>
    <row r="959" spans="1:2" x14ac:dyDescent="0.25">
      <c r="A959">
        <v>991212</v>
      </c>
      <c r="B959" s="29" t="s">
        <v>806</v>
      </c>
    </row>
    <row r="960" spans="1:2" x14ac:dyDescent="0.25">
      <c r="A960">
        <v>991212</v>
      </c>
      <c r="B960" s="29" t="s">
        <v>806</v>
      </c>
    </row>
    <row r="961" spans="1:2" x14ac:dyDescent="0.25">
      <c r="A961">
        <v>993959</v>
      </c>
      <c r="B961" s="29" t="s">
        <v>807</v>
      </c>
    </row>
    <row r="962" spans="1:2" x14ac:dyDescent="0.25">
      <c r="A962">
        <v>991213</v>
      </c>
      <c r="B962" s="29" t="s">
        <v>526</v>
      </c>
    </row>
    <row r="963" spans="1:2" x14ac:dyDescent="0.25">
      <c r="A963">
        <v>991213</v>
      </c>
      <c r="B963" s="29" t="s">
        <v>526</v>
      </c>
    </row>
    <row r="964" spans="1:2" x14ac:dyDescent="0.25">
      <c r="A964">
        <v>991213</v>
      </c>
      <c r="B964" s="29" t="s">
        <v>526</v>
      </c>
    </row>
    <row r="965" spans="1:2" x14ac:dyDescent="0.25">
      <c r="A965">
        <v>991213</v>
      </c>
      <c r="B965" s="29" t="s">
        <v>526</v>
      </c>
    </row>
    <row r="966" spans="1:2" x14ac:dyDescent="0.25">
      <c r="A966">
        <v>991213</v>
      </c>
      <c r="B966" s="29" t="s">
        <v>526</v>
      </c>
    </row>
    <row r="967" spans="1:2" x14ac:dyDescent="0.25">
      <c r="A967">
        <v>991213</v>
      </c>
      <c r="B967" s="29" t="s">
        <v>526</v>
      </c>
    </row>
    <row r="968" spans="1:2" x14ac:dyDescent="0.25">
      <c r="A968">
        <v>991213</v>
      </c>
      <c r="B968" s="29" t="s">
        <v>526</v>
      </c>
    </row>
    <row r="969" spans="1:2" x14ac:dyDescent="0.25">
      <c r="A969">
        <v>991213</v>
      </c>
      <c r="B969" s="29" t="s">
        <v>526</v>
      </c>
    </row>
    <row r="970" spans="1:2" x14ac:dyDescent="0.25">
      <c r="A970">
        <v>991213</v>
      </c>
      <c r="B970" s="29" t="s">
        <v>526</v>
      </c>
    </row>
    <row r="971" spans="1:2" x14ac:dyDescent="0.25">
      <c r="A971">
        <v>991213</v>
      </c>
      <c r="B971" s="29" t="s">
        <v>526</v>
      </c>
    </row>
    <row r="972" spans="1:2" x14ac:dyDescent="0.25">
      <c r="A972">
        <v>991213</v>
      </c>
      <c r="B972" s="29" t="s">
        <v>526</v>
      </c>
    </row>
    <row r="973" spans="1:2" x14ac:dyDescent="0.25">
      <c r="A973">
        <v>991213</v>
      </c>
      <c r="B973" s="29" t="s">
        <v>526</v>
      </c>
    </row>
    <row r="974" spans="1:2" x14ac:dyDescent="0.25">
      <c r="A974">
        <v>991213</v>
      </c>
      <c r="B974" s="29" t="s">
        <v>526</v>
      </c>
    </row>
    <row r="975" spans="1:2" x14ac:dyDescent="0.25">
      <c r="A975">
        <v>991213</v>
      </c>
      <c r="B975" s="29" t="s">
        <v>526</v>
      </c>
    </row>
    <row r="976" spans="1:2" x14ac:dyDescent="0.25">
      <c r="A976">
        <v>991213</v>
      </c>
      <c r="B976" s="29" t="s">
        <v>526</v>
      </c>
    </row>
    <row r="977" spans="1:2" x14ac:dyDescent="0.25">
      <c r="A977">
        <v>991213</v>
      </c>
      <c r="B977" s="29" t="s">
        <v>526</v>
      </c>
    </row>
    <row r="978" spans="1:2" x14ac:dyDescent="0.25">
      <c r="A978">
        <v>991213</v>
      </c>
      <c r="B978" s="29" t="s">
        <v>526</v>
      </c>
    </row>
    <row r="979" spans="1:2" x14ac:dyDescent="0.25">
      <c r="A979">
        <v>991213</v>
      </c>
      <c r="B979" s="29" t="s">
        <v>526</v>
      </c>
    </row>
    <row r="980" spans="1:2" x14ac:dyDescent="0.25">
      <c r="A980">
        <v>991213</v>
      </c>
      <c r="B980" s="29" t="s">
        <v>526</v>
      </c>
    </row>
    <row r="981" spans="1:2" x14ac:dyDescent="0.25">
      <c r="A981">
        <v>991213</v>
      </c>
      <c r="B981" s="29" t="s">
        <v>526</v>
      </c>
    </row>
    <row r="982" spans="1:2" x14ac:dyDescent="0.25">
      <c r="A982">
        <v>991213</v>
      </c>
      <c r="B982" s="29" t="s">
        <v>526</v>
      </c>
    </row>
    <row r="983" spans="1:2" x14ac:dyDescent="0.25">
      <c r="A983">
        <v>991213</v>
      </c>
      <c r="B983" s="29" t="s">
        <v>526</v>
      </c>
    </row>
    <row r="984" spans="1:2" x14ac:dyDescent="0.25">
      <c r="A984">
        <v>991213</v>
      </c>
      <c r="B984" s="29" t="s">
        <v>526</v>
      </c>
    </row>
    <row r="985" spans="1:2" x14ac:dyDescent="0.25">
      <c r="A985">
        <v>991213</v>
      </c>
      <c r="B985" s="29" t="s">
        <v>526</v>
      </c>
    </row>
    <row r="986" spans="1:2" x14ac:dyDescent="0.25">
      <c r="A986">
        <v>991213</v>
      </c>
      <c r="B986" s="29" t="s">
        <v>526</v>
      </c>
    </row>
    <row r="987" spans="1:2" x14ac:dyDescent="0.25">
      <c r="A987">
        <v>991213</v>
      </c>
      <c r="B987" s="29" t="s">
        <v>526</v>
      </c>
    </row>
    <row r="988" spans="1:2" x14ac:dyDescent="0.25">
      <c r="A988">
        <v>991213</v>
      </c>
      <c r="B988" s="29" t="s">
        <v>526</v>
      </c>
    </row>
    <row r="989" spans="1:2" x14ac:dyDescent="0.25">
      <c r="A989">
        <v>991213</v>
      </c>
      <c r="B989" s="29" t="s">
        <v>526</v>
      </c>
    </row>
    <row r="990" spans="1:2" x14ac:dyDescent="0.25">
      <c r="A990">
        <v>991213</v>
      </c>
      <c r="B990" s="29" t="s">
        <v>526</v>
      </c>
    </row>
    <row r="991" spans="1:2" x14ac:dyDescent="0.25">
      <c r="A991">
        <v>991213</v>
      </c>
      <c r="B991" s="29" t="s">
        <v>526</v>
      </c>
    </row>
    <row r="992" spans="1:2" x14ac:dyDescent="0.25">
      <c r="A992">
        <v>991213</v>
      </c>
      <c r="B992" s="29" t="s">
        <v>526</v>
      </c>
    </row>
    <row r="993" spans="1:2" x14ac:dyDescent="0.25">
      <c r="A993">
        <v>991213</v>
      </c>
      <c r="B993" s="29" t="s">
        <v>526</v>
      </c>
    </row>
    <row r="994" spans="1:2" x14ac:dyDescent="0.25">
      <c r="A994">
        <v>991213</v>
      </c>
      <c r="B994" s="29" t="s">
        <v>526</v>
      </c>
    </row>
    <row r="995" spans="1:2" x14ac:dyDescent="0.25">
      <c r="A995">
        <v>991213</v>
      </c>
      <c r="B995" s="29" t="s">
        <v>526</v>
      </c>
    </row>
    <row r="996" spans="1:2" x14ac:dyDescent="0.25">
      <c r="A996">
        <v>991213</v>
      </c>
      <c r="B996" s="29" t="s">
        <v>526</v>
      </c>
    </row>
    <row r="997" spans="1:2" x14ac:dyDescent="0.25">
      <c r="A997">
        <v>991213</v>
      </c>
      <c r="B997" s="29" t="s">
        <v>526</v>
      </c>
    </row>
    <row r="998" spans="1:2" x14ac:dyDescent="0.25">
      <c r="A998">
        <v>993960</v>
      </c>
      <c r="B998" s="29" t="s">
        <v>808</v>
      </c>
    </row>
    <row r="999" spans="1:2" x14ac:dyDescent="0.25">
      <c r="A999">
        <v>991215</v>
      </c>
      <c r="B999" s="29" t="s">
        <v>528</v>
      </c>
    </row>
    <row r="1000" spans="1:2" x14ac:dyDescent="0.25">
      <c r="A1000">
        <v>991215</v>
      </c>
      <c r="B1000" s="29" t="s">
        <v>528</v>
      </c>
    </row>
    <row r="1001" spans="1:2" x14ac:dyDescent="0.25">
      <c r="A1001">
        <v>991215</v>
      </c>
      <c r="B1001" s="29" t="s">
        <v>528</v>
      </c>
    </row>
    <row r="1002" spans="1:2" x14ac:dyDescent="0.25">
      <c r="A1002">
        <v>991215</v>
      </c>
      <c r="B1002" s="29" t="s">
        <v>528</v>
      </c>
    </row>
    <row r="1003" spans="1:2" x14ac:dyDescent="0.25">
      <c r="A1003">
        <v>991215</v>
      </c>
      <c r="B1003" s="29" t="s">
        <v>528</v>
      </c>
    </row>
    <row r="1004" spans="1:2" x14ac:dyDescent="0.25">
      <c r="A1004">
        <v>991215</v>
      </c>
      <c r="B1004" s="29" t="s">
        <v>528</v>
      </c>
    </row>
    <row r="1005" spans="1:2" x14ac:dyDescent="0.25">
      <c r="A1005">
        <v>991215</v>
      </c>
      <c r="B1005" s="29" t="s">
        <v>528</v>
      </c>
    </row>
    <row r="1006" spans="1:2" x14ac:dyDescent="0.25">
      <c r="A1006">
        <v>991215</v>
      </c>
      <c r="B1006" s="29" t="s">
        <v>528</v>
      </c>
    </row>
    <row r="1007" spans="1:2" x14ac:dyDescent="0.25">
      <c r="A1007">
        <v>991215</v>
      </c>
      <c r="B1007" s="29" t="s">
        <v>528</v>
      </c>
    </row>
    <row r="1008" spans="1:2" x14ac:dyDescent="0.25">
      <c r="A1008">
        <v>991215</v>
      </c>
      <c r="B1008" s="29" t="s">
        <v>528</v>
      </c>
    </row>
    <row r="1009" spans="1:2" x14ac:dyDescent="0.25">
      <c r="A1009">
        <v>991215</v>
      </c>
      <c r="B1009" s="29" t="s">
        <v>528</v>
      </c>
    </row>
    <row r="1010" spans="1:2" x14ac:dyDescent="0.25">
      <c r="A1010">
        <v>991215</v>
      </c>
      <c r="B1010" s="29" t="s">
        <v>528</v>
      </c>
    </row>
    <row r="1011" spans="1:2" x14ac:dyDescent="0.25">
      <c r="A1011">
        <v>993961</v>
      </c>
      <c r="B1011" s="29" t="s">
        <v>809</v>
      </c>
    </row>
    <row r="1012" spans="1:2" x14ac:dyDescent="0.25">
      <c r="A1012">
        <v>991217</v>
      </c>
      <c r="B1012" s="29" t="s">
        <v>530</v>
      </c>
    </row>
    <row r="1013" spans="1:2" x14ac:dyDescent="0.25">
      <c r="A1013">
        <v>991217</v>
      </c>
      <c r="B1013" s="29" t="s">
        <v>530</v>
      </c>
    </row>
    <row r="1014" spans="1:2" x14ac:dyDescent="0.25">
      <c r="A1014">
        <v>991217</v>
      </c>
      <c r="B1014" s="29" t="s">
        <v>530</v>
      </c>
    </row>
    <row r="1015" spans="1:2" x14ac:dyDescent="0.25">
      <c r="A1015">
        <v>993963</v>
      </c>
      <c r="B1015" s="29" t="s">
        <v>810</v>
      </c>
    </row>
    <row r="1016" spans="1:2" x14ac:dyDescent="0.25">
      <c r="A1016">
        <v>991218</v>
      </c>
      <c r="B1016" s="29" t="s">
        <v>531</v>
      </c>
    </row>
    <row r="1017" spans="1:2" x14ac:dyDescent="0.25">
      <c r="A1017">
        <v>991218</v>
      </c>
      <c r="B1017" s="29" t="s">
        <v>531</v>
      </c>
    </row>
    <row r="1018" spans="1:2" x14ac:dyDescent="0.25">
      <c r="A1018">
        <v>993964</v>
      </c>
      <c r="B1018" s="29" t="s">
        <v>811</v>
      </c>
    </row>
    <row r="1019" spans="1:2" x14ac:dyDescent="0.25">
      <c r="A1019">
        <v>993965</v>
      </c>
      <c r="B1019" s="29" t="s">
        <v>812</v>
      </c>
    </row>
    <row r="1020" spans="1:2" x14ac:dyDescent="0.25">
      <c r="A1020">
        <v>993968</v>
      </c>
      <c r="B1020" s="29" t="s">
        <v>813</v>
      </c>
    </row>
    <row r="1021" spans="1:2" x14ac:dyDescent="0.25">
      <c r="A1021">
        <v>993968</v>
      </c>
      <c r="B1021" s="29" t="s">
        <v>813</v>
      </c>
    </row>
    <row r="1022" spans="1:2" x14ac:dyDescent="0.25">
      <c r="A1022">
        <v>993968</v>
      </c>
      <c r="B1022" s="29" t="s">
        <v>813</v>
      </c>
    </row>
    <row r="1023" spans="1:2" x14ac:dyDescent="0.25">
      <c r="A1023">
        <v>993968</v>
      </c>
      <c r="B1023" s="29" t="s">
        <v>813</v>
      </c>
    </row>
    <row r="1024" spans="1:2" x14ac:dyDescent="0.25">
      <c r="A1024">
        <v>993968</v>
      </c>
      <c r="B1024" s="29" t="s">
        <v>813</v>
      </c>
    </row>
    <row r="1025" spans="1:2" x14ac:dyDescent="0.25">
      <c r="A1025">
        <v>993968</v>
      </c>
      <c r="B1025" s="29" t="s">
        <v>813</v>
      </c>
    </row>
    <row r="1026" spans="1:2" x14ac:dyDescent="0.25">
      <c r="A1026">
        <v>993969</v>
      </c>
      <c r="B1026" s="29" t="s">
        <v>814</v>
      </c>
    </row>
    <row r="1027" spans="1:2" x14ac:dyDescent="0.25">
      <c r="A1027">
        <v>993969</v>
      </c>
      <c r="B1027" s="29" t="s">
        <v>814</v>
      </c>
    </row>
    <row r="1028" spans="1:2" x14ac:dyDescent="0.25">
      <c r="A1028">
        <v>993969</v>
      </c>
      <c r="B1028" s="29" t="s">
        <v>814</v>
      </c>
    </row>
    <row r="1029" spans="1:2" x14ac:dyDescent="0.25">
      <c r="A1029">
        <v>993969</v>
      </c>
      <c r="B1029" s="29" t="s">
        <v>814</v>
      </c>
    </row>
    <row r="1030" spans="1:2" x14ac:dyDescent="0.25">
      <c r="A1030">
        <v>993969</v>
      </c>
      <c r="B1030" s="29" t="s">
        <v>814</v>
      </c>
    </row>
    <row r="1031" spans="1:2" x14ac:dyDescent="0.25">
      <c r="A1031">
        <v>993969</v>
      </c>
      <c r="B1031" s="29" t="s">
        <v>814</v>
      </c>
    </row>
    <row r="1032" spans="1:2" x14ac:dyDescent="0.25">
      <c r="A1032">
        <v>993970</v>
      </c>
      <c r="B1032" s="29" t="s">
        <v>815</v>
      </c>
    </row>
    <row r="1033" spans="1:2" x14ac:dyDescent="0.25">
      <c r="A1033">
        <v>993970</v>
      </c>
      <c r="B1033" s="29" t="s">
        <v>815</v>
      </c>
    </row>
    <row r="1034" spans="1:2" x14ac:dyDescent="0.25">
      <c r="A1034">
        <v>993970</v>
      </c>
      <c r="B1034" s="29" t="s">
        <v>815</v>
      </c>
    </row>
    <row r="1035" spans="1:2" x14ac:dyDescent="0.25">
      <c r="A1035">
        <v>993970</v>
      </c>
      <c r="B1035" s="29" t="s">
        <v>815</v>
      </c>
    </row>
    <row r="1036" spans="1:2" x14ac:dyDescent="0.25">
      <c r="A1036">
        <v>993970</v>
      </c>
      <c r="B1036" s="29" t="s">
        <v>815</v>
      </c>
    </row>
    <row r="1037" spans="1:2" x14ac:dyDescent="0.25">
      <c r="A1037">
        <v>993970</v>
      </c>
      <c r="B1037" s="29" t="s">
        <v>815</v>
      </c>
    </row>
    <row r="1038" spans="1:2" x14ac:dyDescent="0.25">
      <c r="A1038">
        <v>994150</v>
      </c>
      <c r="B1038" s="29" t="s">
        <v>816</v>
      </c>
    </row>
    <row r="1039" spans="1:2" x14ac:dyDescent="0.25">
      <c r="A1039">
        <v>994150</v>
      </c>
      <c r="B1039" s="29" t="s">
        <v>816</v>
      </c>
    </row>
    <row r="1040" spans="1:2" x14ac:dyDescent="0.25">
      <c r="A1040">
        <v>994150</v>
      </c>
      <c r="B1040" s="29" t="s">
        <v>816</v>
      </c>
    </row>
    <row r="1041" spans="1:2" x14ac:dyDescent="0.25">
      <c r="A1041">
        <v>994150</v>
      </c>
      <c r="B1041" s="29" t="s">
        <v>816</v>
      </c>
    </row>
    <row r="1042" spans="1:2" x14ac:dyDescent="0.25">
      <c r="A1042">
        <v>994150</v>
      </c>
      <c r="B1042" s="29" t="s">
        <v>816</v>
      </c>
    </row>
    <row r="1043" spans="1:2" x14ac:dyDescent="0.25">
      <c r="A1043">
        <v>994150</v>
      </c>
      <c r="B1043" s="29" t="s">
        <v>816</v>
      </c>
    </row>
    <row r="1044" spans="1:2" x14ac:dyDescent="0.25">
      <c r="A1044">
        <v>994150</v>
      </c>
      <c r="B1044" s="29" t="s">
        <v>816</v>
      </c>
    </row>
    <row r="1045" spans="1:2" x14ac:dyDescent="0.25">
      <c r="A1045">
        <v>994150</v>
      </c>
      <c r="B1045" s="29" t="s">
        <v>816</v>
      </c>
    </row>
    <row r="1046" spans="1:2" x14ac:dyDescent="0.25">
      <c r="A1046">
        <v>994150</v>
      </c>
      <c r="B1046" s="29" t="s">
        <v>816</v>
      </c>
    </row>
    <row r="1047" spans="1:2" x14ac:dyDescent="0.25">
      <c r="A1047">
        <v>991221</v>
      </c>
      <c r="B1047" s="29" t="s">
        <v>534</v>
      </c>
    </row>
    <row r="1048" spans="1:2" x14ac:dyDescent="0.25">
      <c r="A1048">
        <v>991221</v>
      </c>
      <c r="B1048" s="29" t="s">
        <v>534</v>
      </c>
    </row>
    <row r="1049" spans="1:2" x14ac:dyDescent="0.25">
      <c r="A1049">
        <v>991221</v>
      </c>
      <c r="B1049" s="29" t="s">
        <v>534</v>
      </c>
    </row>
    <row r="1050" spans="1:2" x14ac:dyDescent="0.25">
      <c r="A1050">
        <v>991221</v>
      </c>
      <c r="B1050" s="29" t="s">
        <v>534</v>
      </c>
    </row>
    <row r="1051" spans="1:2" x14ac:dyDescent="0.25">
      <c r="A1051">
        <v>994153</v>
      </c>
      <c r="B1051" s="29" t="s">
        <v>817</v>
      </c>
    </row>
    <row r="1052" spans="1:2" x14ac:dyDescent="0.25">
      <c r="A1052">
        <v>994153</v>
      </c>
      <c r="B1052" s="29" t="s">
        <v>817</v>
      </c>
    </row>
    <row r="1053" spans="1:2" x14ac:dyDescent="0.25">
      <c r="A1053">
        <v>994153</v>
      </c>
      <c r="B1053" s="29" t="s">
        <v>817</v>
      </c>
    </row>
    <row r="1054" spans="1:2" x14ac:dyDescent="0.25">
      <c r="A1054">
        <v>994153</v>
      </c>
      <c r="B1054" s="29" t="s">
        <v>817</v>
      </c>
    </row>
    <row r="1055" spans="1:2" x14ac:dyDescent="0.25">
      <c r="A1055">
        <v>994153</v>
      </c>
      <c r="B1055" s="29" t="s">
        <v>817</v>
      </c>
    </row>
    <row r="1056" spans="1:2" x14ac:dyDescent="0.25">
      <c r="A1056">
        <v>994153</v>
      </c>
      <c r="B1056" s="29" t="s">
        <v>817</v>
      </c>
    </row>
    <row r="1057" spans="1:2" x14ac:dyDescent="0.25">
      <c r="A1057">
        <v>994153</v>
      </c>
      <c r="B1057" s="29" t="s">
        <v>817</v>
      </c>
    </row>
    <row r="1058" spans="1:2" x14ac:dyDescent="0.25">
      <c r="A1058">
        <v>994153</v>
      </c>
      <c r="B1058" s="29" t="s">
        <v>817</v>
      </c>
    </row>
    <row r="1059" spans="1:2" x14ac:dyDescent="0.25">
      <c r="A1059">
        <v>994153</v>
      </c>
      <c r="B1059" s="29" t="s">
        <v>817</v>
      </c>
    </row>
    <row r="1060" spans="1:2" x14ac:dyDescent="0.25">
      <c r="A1060">
        <v>991223</v>
      </c>
      <c r="B1060" s="29" t="s">
        <v>536</v>
      </c>
    </row>
    <row r="1061" spans="1:2" x14ac:dyDescent="0.25">
      <c r="A1061">
        <v>991223</v>
      </c>
      <c r="B1061" s="29" t="s">
        <v>536</v>
      </c>
    </row>
    <row r="1062" spans="1:2" x14ac:dyDescent="0.25">
      <c r="A1062">
        <v>991223</v>
      </c>
      <c r="B1062" s="29" t="s">
        <v>536</v>
      </c>
    </row>
    <row r="1063" spans="1:2" x14ac:dyDescent="0.25">
      <c r="A1063">
        <v>991223</v>
      </c>
      <c r="B1063" s="29" t="s">
        <v>536</v>
      </c>
    </row>
    <row r="1064" spans="1:2" x14ac:dyDescent="0.25">
      <c r="A1064">
        <v>991223</v>
      </c>
      <c r="B1064" s="29" t="s">
        <v>536</v>
      </c>
    </row>
    <row r="1065" spans="1:2" x14ac:dyDescent="0.25">
      <c r="A1065">
        <v>991223</v>
      </c>
      <c r="B1065" s="29" t="s">
        <v>536</v>
      </c>
    </row>
    <row r="1066" spans="1:2" x14ac:dyDescent="0.25">
      <c r="A1066">
        <v>991223</v>
      </c>
      <c r="B1066" s="29" t="s">
        <v>536</v>
      </c>
    </row>
    <row r="1067" spans="1:2" x14ac:dyDescent="0.25">
      <c r="A1067">
        <v>991223</v>
      </c>
      <c r="B1067" s="29" t="s">
        <v>536</v>
      </c>
    </row>
    <row r="1068" spans="1:2" x14ac:dyDescent="0.25">
      <c r="A1068">
        <v>991223</v>
      </c>
      <c r="B1068" s="29" t="s">
        <v>536</v>
      </c>
    </row>
    <row r="1069" spans="1:2" x14ac:dyDescent="0.25">
      <c r="A1069">
        <v>991223</v>
      </c>
      <c r="B1069" s="29" t="s">
        <v>536</v>
      </c>
    </row>
    <row r="1070" spans="1:2" x14ac:dyDescent="0.25">
      <c r="A1070">
        <v>991223</v>
      </c>
      <c r="B1070" s="29" t="s">
        <v>536</v>
      </c>
    </row>
    <row r="1071" spans="1:2" x14ac:dyDescent="0.25">
      <c r="A1071">
        <v>991223</v>
      </c>
      <c r="B1071" s="29" t="s">
        <v>536</v>
      </c>
    </row>
    <row r="1072" spans="1:2" x14ac:dyDescent="0.25">
      <c r="A1072">
        <v>994155</v>
      </c>
      <c r="B1072" s="29" t="s">
        <v>818</v>
      </c>
    </row>
    <row r="1073" spans="1:2" x14ac:dyDescent="0.25">
      <c r="A1073">
        <v>994155</v>
      </c>
      <c r="B1073" s="29" t="s">
        <v>818</v>
      </c>
    </row>
    <row r="1074" spans="1:2" x14ac:dyDescent="0.25">
      <c r="A1074">
        <v>994155</v>
      </c>
      <c r="B1074" s="29" t="s">
        <v>818</v>
      </c>
    </row>
    <row r="1075" spans="1:2" x14ac:dyDescent="0.25">
      <c r="A1075">
        <v>994155</v>
      </c>
      <c r="B1075" s="29" t="s">
        <v>818</v>
      </c>
    </row>
    <row r="1076" spans="1:2" x14ac:dyDescent="0.25">
      <c r="A1076">
        <v>994155</v>
      </c>
      <c r="B1076" s="29" t="s">
        <v>818</v>
      </c>
    </row>
    <row r="1077" spans="1:2" x14ac:dyDescent="0.25">
      <c r="A1077">
        <v>994155</v>
      </c>
      <c r="B1077" s="29" t="s">
        <v>818</v>
      </c>
    </row>
    <row r="1078" spans="1:2" x14ac:dyDescent="0.25">
      <c r="A1078">
        <v>994156</v>
      </c>
      <c r="B1078" s="29" t="s">
        <v>819</v>
      </c>
    </row>
    <row r="1079" spans="1:2" x14ac:dyDescent="0.25">
      <c r="A1079">
        <v>994156</v>
      </c>
      <c r="B1079" s="29" t="s">
        <v>819</v>
      </c>
    </row>
    <row r="1080" spans="1:2" x14ac:dyDescent="0.25">
      <c r="A1080">
        <v>994156</v>
      </c>
      <c r="B1080" s="29" t="s">
        <v>819</v>
      </c>
    </row>
    <row r="1081" spans="1:2" x14ac:dyDescent="0.25">
      <c r="A1081">
        <v>994156</v>
      </c>
      <c r="B1081" s="29" t="s">
        <v>819</v>
      </c>
    </row>
    <row r="1082" spans="1:2" x14ac:dyDescent="0.25">
      <c r="A1082">
        <v>994156</v>
      </c>
      <c r="B1082" s="29" t="s">
        <v>819</v>
      </c>
    </row>
    <row r="1083" spans="1:2" x14ac:dyDescent="0.25">
      <c r="A1083">
        <v>994156</v>
      </c>
      <c r="B1083" s="29" t="s">
        <v>819</v>
      </c>
    </row>
    <row r="1084" spans="1:2" x14ac:dyDescent="0.25">
      <c r="A1084">
        <v>994157</v>
      </c>
      <c r="B1084" s="29" t="s">
        <v>820</v>
      </c>
    </row>
    <row r="1085" spans="1:2" x14ac:dyDescent="0.25">
      <c r="A1085">
        <v>994157</v>
      </c>
      <c r="B1085" s="29" t="s">
        <v>820</v>
      </c>
    </row>
    <row r="1086" spans="1:2" x14ac:dyDescent="0.25">
      <c r="A1086">
        <v>994158</v>
      </c>
      <c r="B1086" s="29" t="s">
        <v>821</v>
      </c>
    </row>
    <row r="1087" spans="1:2" x14ac:dyDescent="0.25">
      <c r="A1087">
        <v>994158</v>
      </c>
      <c r="B1087" s="29" t="s">
        <v>821</v>
      </c>
    </row>
    <row r="1088" spans="1:2" x14ac:dyDescent="0.25">
      <c r="A1088">
        <v>994158</v>
      </c>
      <c r="B1088" s="29" t="s">
        <v>821</v>
      </c>
    </row>
    <row r="1089" spans="1:2" x14ac:dyDescent="0.25">
      <c r="A1089">
        <v>994158</v>
      </c>
      <c r="B1089" s="29" t="s">
        <v>821</v>
      </c>
    </row>
    <row r="1090" spans="1:2" x14ac:dyDescent="0.25">
      <c r="A1090">
        <v>994158</v>
      </c>
      <c r="B1090" s="29" t="s">
        <v>821</v>
      </c>
    </row>
    <row r="1091" spans="1:2" x14ac:dyDescent="0.25">
      <c r="A1091">
        <v>994158</v>
      </c>
      <c r="B1091" s="29" t="s">
        <v>821</v>
      </c>
    </row>
    <row r="1092" spans="1:2" x14ac:dyDescent="0.25">
      <c r="A1092">
        <v>994160</v>
      </c>
      <c r="B1092" s="29" t="s">
        <v>822</v>
      </c>
    </row>
    <row r="1093" spans="1:2" x14ac:dyDescent="0.25">
      <c r="A1093">
        <v>994160</v>
      </c>
      <c r="B1093" s="29" t="s">
        <v>822</v>
      </c>
    </row>
    <row r="1094" spans="1:2" x14ac:dyDescent="0.25">
      <c r="A1094">
        <v>994160</v>
      </c>
      <c r="B1094" s="29" t="s">
        <v>822</v>
      </c>
    </row>
    <row r="1095" spans="1:2" x14ac:dyDescent="0.25">
      <c r="A1095">
        <v>994160</v>
      </c>
      <c r="B1095" s="29" t="s">
        <v>822</v>
      </c>
    </row>
    <row r="1096" spans="1:2" x14ac:dyDescent="0.25">
      <c r="A1096">
        <v>994160</v>
      </c>
      <c r="B1096" s="29" t="s">
        <v>822</v>
      </c>
    </row>
    <row r="1097" spans="1:2" x14ac:dyDescent="0.25">
      <c r="A1097">
        <v>994160</v>
      </c>
      <c r="B1097" s="29" t="s">
        <v>822</v>
      </c>
    </row>
    <row r="1098" spans="1:2" x14ac:dyDescent="0.25">
      <c r="A1098">
        <v>994161</v>
      </c>
      <c r="B1098" s="29" t="s">
        <v>823</v>
      </c>
    </row>
    <row r="1099" spans="1:2" x14ac:dyDescent="0.25">
      <c r="A1099">
        <v>994161</v>
      </c>
      <c r="B1099" s="29" t="s">
        <v>823</v>
      </c>
    </row>
    <row r="1100" spans="1:2" x14ac:dyDescent="0.25">
      <c r="A1100">
        <v>994161</v>
      </c>
      <c r="B1100" s="29" t="s">
        <v>823</v>
      </c>
    </row>
    <row r="1101" spans="1:2" x14ac:dyDescent="0.25">
      <c r="A1101">
        <v>994161</v>
      </c>
      <c r="B1101" s="29" t="s">
        <v>823</v>
      </c>
    </row>
    <row r="1102" spans="1:2" x14ac:dyDescent="0.25">
      <c r="A1102">
        <v>994161</v>
      </c>
      <c r="B1102" s="29" t="s">
        <v>823</v>
      </c>
    </row>
    <row r="1103" spans="1:2" x14ac:dyDescent="0.25">
      <c r="A1103">
        <v>994161</v>
      </c>
      <c r="B1103" s="29" t="s">
        <v>823</v>
      </c>
    </row>
    <row r="1104" spans="1:2" x14ac:dyDescent="0.25">
      <c r="A1104">
        <v>994162</v>
      </c>
      <c r="B1104" s="29" t="s">
        <v>824</v>
      </c>
    </row>
    <row r="1105" spans="1:2" x14ac:dyDescent="0.25">
      <c r="A1105">
        <v>994162</v>
      </c>
      <c r="B1105" s="29" t="s">
        <v>824</v>
      </c>
    </row>
    <row r="1106" spans="1:2" x14ac:dyDescent="0.25">
      <c r="A1106">
        <v>994162</v>
      </c>
      <c r="B1106" s="29" t="s">
        <v>824</v>
      </c>
    </row>
    <row r="1107" spans="1:2" x14ac:dyDescent="0.25">
      <c r="A1107">
        <v>994162</v>
      </c>
      <c r="B1107" s="29" t="s">
        <v>824</v>
      </c>
    </row>
    <row r="1108" spans="1:2" x14ac:dyDescent="0.25">
      <c r="A1108">
        <v>994162</v>
      </c>
      <c r="B1108" s="29" t="s">
        <v>824</v>
      </c>
    </row>
    <row r="1109" spans="1:2" x14ac:dyDescent="0.25">
      <c r="A1109">
        <v>994162</v>
      </c>
      <c r="B1109" s="29" t="s">
        <v>824</v>
      </c>
    </row>
    <row r="1110" spans="1:2" x14ac:dyDescent="0.25">
      <c r="A1110">
        <v>994163</v>
      </c>
      <c r="B1110" s="29" t="s">
        <v>825</v>
      </c>
    </row>
    <row r="1111" spans="1:2" x14ac:dyDescent="0.25">
      <c r="A1111">
        <v>994163</v>
      </c>
      <c r="B1111" s="29" t="s">
        <v>825</v>
      </c>
    </row>
    <row r="1112" spans="1:2" x14ac:dyDescent="0.25">
      <c r="A1112">
        <v>994163</v>
      </c>
      <c r="B1112" s="29" t="s">
        <v>825</v>
      </c>
    </row>
    <row r="1113" spans="1:2" x14ac:dyDescent="0.25">
      <c r="A1113">
        <v>994163</v>
      </c>
      <c r="B1113" s="29" t="s">
        <v>825</v>
      </c>
    </row>
    <row r="1114" spans="1:2" x14ac:dyDescent="0.25">
      <c r="A1114">
        <v>994163</v>
      </c>
      <c r="B1114" s="29" t="s">
        <v>825</v>
      </c>
    </row>
    <row r="1115" spans="1:2" x14ac:dyDescent="0.25">
      <c r="A1115">
        <v>994163</v>
      </c>
      <c r="B1115" s="29" t="s">
        <v>825</v>
      </c>
    </row>
    <row r="1116" spans="1:2" x14ac:dyDescent="0.25">
      <c r="A1116">
        <v>994165</v>
      </c>
      <c r="B1116" s="29" t="s">
        <v>826</v>
      </c>
    </row>
    <row r="1117" spans="1:2" x14ac:dyDescent="0.25">
      <c r="A1117">
        <v>994165</v>
      </c>
      <c r="B1117" s="29" t="s">
        <v>826</v>
      </c>
    </row>
    <row r="1118" spans="1:2" x14ac:dyDescent="0.25">
      <c r="A1118">
        <v>994165</v>
      </c>
      <c r="B1118" s="29" t="s">
        <v>826</v>
      </c>
    </row>
    <row r="1119" spans="1:2" x14ac:dyDescent="0.25">
      <c r="A1119">
        <v>994165</v>
      </c>
      <c r="B1119" s="29" t="s">
        <v>826</v>
      </c>
    </row>
    <row r="1120" spans="1:2" x14ac:dyDescent="0.25">
      <c r="A1120">
        <v>994450</v>
      </c>
      <c r="B1120" s="29" t="s">
        <v>640</v>
      </c>
    </row>
    <row r="1121" spans="1:2" x14ac:dyDescent="0.25">
      <c r="A1121">
        <v>994450</v>
      </c>
      <c r="B1121" s="29" t="s">
        <v>640</v>
      </c>
    </row>
    <row r="1122" spans="1:2" x14ac:dyDescent="0.25">
      <c r="A1122">
        <v>994450</v>
      </c>
      <c r="B1122" s="29" t="s">
        <v>640</v>
      </c>
    </row>
    <row r="1123" spans="1:2" x14ac:dyDescent="0.25">
      <c r="A1123">
        <v>994450</v>
      </c>
      <c r="B1123" s="29" t="s">
        <v>640</v>
      </c>
    </row>
    <row r="1124" spans="1:2" x14ac:dyDescent="0.25">
      <c r="A1124">
        <v>991239</v>
      </c>
      <c r="B1124" s="29" t="s">
        <v>827</v>
      </c>
    </row>
    <row r="1125" spans="1:2" x14ac:dyDescent="0.25">
      <c r="A1125">
        <v>991239</v>
      </c>
      <c r="B1125" s="29" t="s">
        <v>827</v>
      </c>
    </row>
    <row r="1126" spans="1:2" x14ac:dyDescent="0.25">
      <c r="A1126">
        <v>991239</v>
      </c>
      <c r="B1126" s="29" t="s">
        <v>827</v>
      </c>
    </row>
    <row r="1127" spans="1:2" x14ac:dyDescent="0.25">
      <c r="A1127">
        <v>991239</v>
      </c>
      <c r="B1127" s="29" t="s">
        <v>827</v>
      </c>
    </row>
    <row r="1128" spans="1:2" x14ac:dyDescent="0.25">
      <c r="A1128">
        <v>991239</v>
      </c>
      <c r="B1128" s="29" t="s">
        <v>827</v>
      </c>
    </row>
    <row r="1129" spans="1:2" x14ac:dyDescent="0.25">
      <c r="A1129">
        <v>991239</v>
      </c>
      <c r="B1129" s="29" t="s">
        <v>827</v>
      </c>
    </row>
    <row r="1130" spans="1:2" x14ac:dyDescent="0.25">
      <c r="A1130">
        <v>991239</v>
      </c>
      <c r="B1130" s="29" t="s">
        <v>827</v>
      </c>
    </row>
    <row r="1131" spans="1:2" x14ac:dyDescent="0.25">
      <c r="A1131">
        <v>991239</v>
      </c>
      <c r="B1131" s="29" t="s">
        <v>827</v>
      </c>
    </row>
    <row r="1132" spans="1:2" x14ac:dyDescent="0.25">
      <c r="A1132">
        <v>991239</v>
      </c>
      <c r="B1132" s="29" t="s">
        <v>827</v>
      </c>
    </row>
    <row r="1133" spans="1:2" x14ac:dyDescent="0.25">
      <c r="A1133">
        <v>991239</v>
      </c>
      <c r="B1133" s="29" t="s">
        <v>827</v>
      </c>
    </row>
    <row r="1134" spans="1:2" x14ac:dyDescent="0.25">
      <c r="A1134">
        <v>991239</v>
      </c>
      <c r="B1134" s="29" t="s">
        <v>827</v>
      </c>
    </row>
    <row r="1135" spans="1:2" x14ac:dyDescent="0.25">
      <c r="A1135">
        <v>991239</v>
      </c>
      <c r="B1135" s="29" t="s">
        <v>827</v>
      </c>
    </row>
    <row r="1136" spans="1:2" x14ac:dyDescent="0.25">
      <c r="A1136">
        <v>991239</v>
      </c>
      <c r="B1136" s="29" t="s">
        <v>827</v>
      </c>
    </row>
    <row r="1137" spans="1:2" x14ac:dyDescent="0.25">
      <c r="A1137">
        <v>991239</v>
      </c>
      <c r="B1137" s="29" t="s">
        <v>827</v>
      </c>
    </row>
    <row r="1138" spans="1:2" x14ac:dyDescent="0.25">
      <c r="A1138">
        <v>991239</v>
      </c>
      <c r="B1138" s="29" t="s">
        <v>827</v>
      </c>
    </row>
    <row r="1139" spans="1:2" x14ac:dyDescent="0.25">
      <c r="A1139">
        <v>991239</v>
      </c>
      <c r="B1139" s="29" t="s">
        <v>827</v>
      </c>
    </row>
    <row r="1140" spans="1:2" x14ac:dyDescent="0.25">
      <c r="A1140">
        <v>991239</v>
      </c>
      <c r="B1140" s="29" t="s">
        <v>827</v>
      </c>
    </row>
    <row r="1141" spans="1:2" x14ac:dyDescent="0.25">
      <c r="A1141">
        <v>991239</v>
      </c>
      <c r="B1141" s="29" t="s">
        <v>827</v>
      </c>
    </row>
    <row r="1142" spans="1:2" x14ac:dyDescent="0.25">
      <c r="A1142">
        <v>991239</v>
      </c>
      <c r="B1142" s="29" t="s">
        <v>827</v>
      </c>
    </row>
    <row r="1143" spans="1:2" x14ac:dyDescent="0.25">
      <c r="A1143">
        <v>991239</v>
      </c>
      <c r="B1143" s="29" t="s">
        <v>827</v>
      </c>
    </row>
    <row r="1144" spans="1:2" x14ac:dyDescent="0.25">
      <c r="A1144">
        <v>991239</v>
      </c>
      <c r="B1144" s="29" t="s">
        <v>827</v>
      </c>
    </row>
    <row r="1145" spans="1:2" x14ac:dyDescent="0.25">
      <c r="A1145">
        <v>991239</v>
      </c>
      <c r="B1145" s="29" t="s">
        <v>827</v>
      </c>
    </row>
    <row r="1146" spans="1:2" x14ac:dyDescent="0.25">
      <c r="A1146">
        <v>991239</v>
      </c>
      <c r="B1146" s="29" t="s">
        <v>827</v>
      </c>
    </row>
    <row r="1147" spans="1:2" x14ac:dyDescent="0.25">
      <c r="A1147">
        <v>991239</v>
      </c>
      <c r="B1147" s="29" t="s">
        <v>827</v>
      </c>
    </row>
    <row r="1148" spans="1:2" x14ac:dyDescent="0.25">
      <c r="A1148">
        <v>991240</v>
      </c>
      <c r="B1148" s="29" t="s">
        <v>828</v>
      </c>
    </row>
    <row r="1149" spans="1:2" x14ac:dyDescent="0.25">
      <c r="A1149">
        <v>991240</v>
      </c>
      <c r="B1149" s="29" t="s">
        <v>828</v>
      </c>
    </row>
    <row r="1150" spans="1:2" x14ac:dyDescent="0.25">
      <c r="A1150">
        <v>991240</v>
      </c>
      <c r="B1150" s="29" t="s">
        <v>828</v>
      </c>
    </row>
    <row r="1151" spans="1:2" x14ac:dyDescent="0.25">
      <c r="A1151">
        <v>991240</v>
      </c>
      <c r="B1151" s="29" t="s">
        <v>828</v>
      </c>
    </row>
    <row r="1152" spans="1:2" x14ac:dyDescent="0.25">
      <c r="A1152">
        <v>991240</v>
      </c>
      <c r="B1152" s="29" t="s">
        <v>828</v>
      </c>
    </row>
    <row r="1153" spans="1:2" x14ac:dyDescent="0.25">
      <c r="A1153">
        <v>991240</v>
      </c>
      <c r="B1153" s="29" t="s">
        <v>828</v>
      </c>
    </row>
    <row r="1154" spans="1:2" x14ac:dyDescent="0.25">
      <c r="A1154">
        <v>991240</v>
      </c>
      <c r="B1154" s="29" t="s">
        <v>828</v>
      </c>
    </row>
    <row r="1155" spans="1:2" x14ac:dyDescent="0.25">
      <c r="A1155">
        <v>991240</v>
      </c>
      <c r="B1155" s="29" t="s">
        <v>828</v>
      </c>
    </row>
    <row r="1156" spans="1:2" x14ac:dyDescent="0.25">
      <c r="A1156">
        <v>991240</v>
      </c>
      <c r="B1156" s="29" t="s">
        <v>828</v>
      </c>
    </row>
    <row r="1157" spans="1:2" x14ac:dyDescent="0.25">
      <c r="A1157">
        <v>991240</v>
      </c>
      <c r="B1157" s="29" t="s">
        <v>828</v>
      </c>
    </row>
    <row r="1158" spans="1:2" x14ac:dyDescent="0.25">
      <c r="A1158">
        <v>991240</v>
      </c>
      <c r="B1158" s="29" t="s">
        <v>828</v>
      </c>
    </row>
    <row r="1159" spans="1:2" x14ac:dyDescent="0.25">
      <c r="A1159">
        <v>991240</v>
      </c>
      <c r="B1159" s="29" t="s">
        <v>828</v>
      </c>
    </row>
    <row r="1160" spans="1:2" x14ac:dyDescent="0.25">
      <c r="A1160">
        <v>991240</v>
      </c>
      <c r="B1160" s="29" t="s">
        <v>828</v>
      </c>
    </row>
    <row r="1161" spans="1:2" x14ac:dyDescent="0.25">
      <c r="A1161">
        <v>991240</v>
      </c>
      <c r="B1161" s="29" t="s">
        <v>828</v>
      </c>
    </row>
    <row r="1162" spans="1:2" x14ac:dyDescent="0.25">
      <c r="A1162">
        <v>991240</v>
      </c>
      <c r="B1162" s="29" t="s">
        <v>828</v>
      </c>
    </row>
    <row r="1163" spans="1:2" x14ac:dyDescent="0.25">
      <c r="A1163">
        <v>991240</v>
      </c>
      <c r="B1163" s="29" t="s">
        <v>828</v>
      </c>
    </row>
    <row r="1164" spans="1:2" x14ac:dyDescent="0.25">
      <c r="A1164">
        <v>991240</v>
      </c>
      <c r="B1164" s="29" t="s">
        <v>828</v>
      </c>
    </row>
    <row r="1165" spans="1:2" x14ac:dyDescent="0.25">
      <c r="A1165">
        <v>991240</v>
      </c>
      <c r="B1165" s="29" t="s">
        <v>828</v>
      </c>
    </row>
    <row r="1166" spans="1:2" x14ac:dyDescent="0.25">
      <c r="A1166">
        <v>991240</v>
      </c>
      <c r="B1166" s="29" t="s">
        <v>828</v>
      </c>
    </row>
    <row r="1167" spans="1:2" x14ac:dyDescent="0.25">
      <c r="A1167">
        <v>991240</v>
      </c>
      <c r="B1167" s="29" t="s">
        <v>828</v>
      </c>
    </row>
    <row r="1168" spans="1:2" x14ac:dyDescent="0.25">
      <c r="A1168">
        <v>991240</v>
      </c>
      <c r="B1168" s="29" t="s">
        <v>828</v>
      </c>
    </row>
    <row r="1169" spans="1:2" x14ac:dyDescent="0.25">
      <c r="A1169">
        <v>991240</v>
      </c>
      <c r="B1169" s="29" t="s">
        <v>828</v>
      </c>
    </row>
    <row r="1170" spans="1:2" x14ac:dyDescent="0.25">
      <c r="A1170">
        <v>991240</v>
      </c>
      <c r="B1170" s="29" t="s">
        <v>828</v>
      </c>
    </row>
    <row r="1171" spans="1:2" x14ac:dyDescent="0.25">
      <c r="A1171">
        <v>991240</v>
      </c>
      <c r="B1171" s="29" t="s">
        <v>828</v>
      </c>
    </row>
    <row r="1172" spans="1:2" x14ac:dyDescent="0.25">
      <c r="A1172">
        <v>991240</v>
      </c>
      <c r="B1172" s="29" t="s">
        <v>828</v>
      </c>
    </row>
    <row r="1173" spans="1:2" x14ac:dyDescent="0.25">
      <c r="A1173">
        <v>991240</v>
      </c>
      <c r="B1173" s="29" t="s">
        <v>828</v>
      </c>
    </row>
    <row r="1174" spans="1:2" x14ac:dyDescent="0.25">
      <c r="A1174">
        <v>991240</v>
      </c>
      <c r="B1174" s="29" t="s">
        <v>828</v>
      </c>
    </row>
    <row r="1175" spans="1:2" x14ac:dyDescent="0.25">
      <c r="A1175">
        <v>991240</v>
      </c>
      <c r="B1175" s="29" t="s">
        <v>828</v>
      </c>
    </row>
    <row r="1176" spans="1:2" x14ac:dyDescent="0.25">
      <c r="A1176">
        <v>991240</v>
      </c>
      <c r="B1176" s="29" t="s">
        <v>828</v>
      </c>
    </row>
    <row r="1177" spans="1:2" x14ac:dyDescent="0.25">
      <c r="A1177">
        <v>991240</v>
      </c>
      <c r="B1177" s="29" t="s">
        <v>828</v>
      </c>
    </row>
    <row r="1178" spans="1:2" x14ac:dyDescent="0.25">
      <c r="A1178">
        <v>991240</v>
      </c>
      <c r="B1178" s="29" t="s">
        <v>828</v>
      </c>
    </row>
    <row r="1179" spans="1:2" x14ac:dyDescent="0.25">
      <c r="A1179">
        <v>991240</v>
      </c>
      <c r="B1179" s="29" t="s">
        <v>828</v>
      </c>
    </row>
    <row r="1180" spans="1:2" x14ac:dyDescent="0.25">
      <c r="A1180">
        <v>991240</v>
      </c>
      <c r="B1180" s="29" t="s">
        <v>828</v>
      </c>
    </row>
    <row r="1181" spans="1:2" x14ac:dyDescent="0.25">
      <c r="A1181">
        <v>991240</v>
      </c>
      <c r="B1181" s="29" t="s">
        <v>828</v>
      </c>
    </row>
    <row r="1182" spans="1:2" x14ac:dyDescent="0.25">
      <c r="A1182">
        <v>991240</v>
      </c>
      <c r="B1182" s="29" t="s">
        <v>828</v>
      </c>
    </row>
    <row r="1183" spans="1:2" x14ac:dyDescent="0.25">
      <c r="A1183">
        <v>991240</v>
      </c>
      <c r="B1183" s="29" t="s">
        <v>828</v>
      </c>
    </row>
    <row r="1184" spans="1:2" x14ac:dyDescent="0.25">
      <c r="A1184">
        <v>991241</v>
      </c>
      <c r="B1184" s="29" t="s">
        <v>829</v>
      </c>
    </row>
    <row r="1185" spans="1:2" x14ac:dyDescent="0.25">
      <c r="A1185">
        <v>991241</v>
      </c>
      <c r="B1185" s="29" t="s">
        <v>829</v>
      </c>
    </row>
    <row r="1186" spans="1:2" x14ac:dyDescent="0.25">
      <c r="A1186">
        <v>991241</v>
      </c>
      <c r="B1186" s="29" t="s">
        <v>829</v>
      </c>
    </row>
    <row r="1187" spans="1:2" x14ac:dyDescent="0.25">
      <c r="A1187">
        <v>991241</v>
      </c>
      <c r="B1187" s="29" t="s">
        <v>829</v>
      </c>
    </row>
    <row r="1188" spans="1:2" x14ac:dyDescent="0.25">
      <c r="A1188">
        <v>991241</v>
      </c>
      <c r="B1188" s="29" t="s">
        <v>829</v>
      </c>
    </row>
    <row r="1189" spans="1:2" x14ac:dyDescent="0.25">
      <c r="A1189">
        <v>991241</v>
      </c>
      <c r="B1189" s="29" t="s">
        <v>829</v>
      </c>
    </row>
    <row r="1190" spans="1:2" x14ac:dyDescent="0.25">
      <c r="A1190">
        <v>991242</v>
      </c>
      <c r="B1190" s="29" t="s">
        <v>830</v>
      </c>
    </row>
    <row r="1191" spans="1:2" x14ac:dyDescent="0.25">
      <c r="A1191">
        <v>991242</v>
      </c>
      <c r="B1191" s="29" t="s">
        <v>830</v>
      </c>
    </row>
    <row r="1192" spans="1:2" x14ac:dyDescent="0.25">
      <c r="A1192">
        <v>991242</v>
      </c>
      <c r="B1192" s="29" t="s">
        <v>830</v>
      </c>
    </row>
    <row r="1193" spans="1:2" x14ac:dyDescent="0.25">
      <c r="A1193">
        <v>991242</v>
      </c>
      <c r="B1193" s="29" t="s">
        <v>830</v>
      </c>
    </row>
    <row r="1194" spans="1:2" x14ac:dyDescent="0.25">
      <c r="A1194">
        <v>991242</v>
      </c>
      <c r="B1194" s="29" t="s">
        <v>830</v>
      </c>
    </row>
    <row r="1195" spans="1:2" x14ac:dyDescent="0.25">
      <c r="A1195">
        <v>991242</v>
      </c>
      <c r="B1195" s="29" t="s">
        <v>830</v>
      </c>
    </row>
    <row r="1196" spans="1:2" x14ac:dyDescent="0.25">
      <c r="A1196">
        <v>991243</v>
      </c>
      <c r="B1196" s="29" t="s">
        <v>831</v>
      </c>
    </row>
    <row r="1197" spans="1:2" x14ac:dyDescent="0.25">
      <c r="A1197">
        <v>991243</v>
      </c>
      <c r="B1197" s="29" t="s">
        <v>831</v>
      </c>
    </row>
    <row r="1198" spans="1:2" x14ac:dyDescent="0.25">
      <c r="A1198">
        <v>991243</v>
      </c>
      <c r="B1198" s="29" t="s">
        <v>831</v>
      </c>
    </row>
    <row r="1199" spans="1:2" x14ac:dyDescent="0.25">
      <c r="A1199">
        <v>991243</v>
      </c>
      <c r="B1199" s="29" t="s">
        <v>831</v>
      </c>
    </row>
    <row r="1200" spans="1:2" x14ac:dyDescent="0.25">
      <c r="A1200">
        <v>991243</v>
      </c>
      <c r="B1200" s="29" t="s">
        <v>831</v>
      </c>
    </row>
    <row r="1201" spans="1:2" x14ac:dyDescent="0.25">
      <c r="A1201">
        <v>991243</v>
      </c>
      <c r="B1201" s="29" t="s">
        <v>831</v>
      </c>
    </row>
    <row r="1202" spans="1:2" x14ac:dyDescent="0.25">
      <c r="A1202">
        <v>991246</v>
      </c>
      <c r="B1202" s="29" t="s">
        <v>832</v>
      </c>
    </row>
    <row r="1203" spans="1:2" x14ac:dyDescent="0.25">
      <c r="A1203">
        <v>992959</v>
      </c>
      <c r="B1203" s="29" t="s">
        <v>554</v>
      </c>
    </row>
    <row r="1204" spans="1:2" x14ac:dyDescent="0.25">
      <c r="A1204">
        <v>992959</v>
      </c>
      <c r="B1204" s="29" t="s">
        <v>554</v>
      </c>
    </row>
    <row r="1205" spans="1:2" x14ac:dyDescent="0.25">
      <c r="A1205">
        <v>992960</v>
      </c>
      <c r="B1205" s="29" t="s">
        <v>833</v>
      </c>
    </row>
    <row r="1206" spans="1:2" x14ac:dyDescent="0.25">
      <c r="A1206">
        <v>992960</v>
      </c>
      <c r="B1206" s="29" t="s">
        <v>833</v>
      </c>
    </row>
    <row r="1207" spans="1:2" x14ac:dyDescent="0.25">
      <c r="A1207">
        <v>992960</v>
      </c>
      <c r="B1207" s="29" t="s">
        <v>833</v>
      </c>
    </row>
    <row r="1208" spans="1:2" x14ac:dyDescent="0.25">
      <c r="A1208">
        <v>992960</v>
      </c>
      <c r="B1208" s="29" t="s">
        <v>833</v>
      </c>
    </row>
    <row r="1209" spans="1:2" x14ac:dyDescent="0.25">
      <c r="A1209">
        <v>992961</v>
      </c>
      <c r="B1209" s="29" t="s">
        <v>834</v>
      </c>
    </row>
    <row r="1210" spans="1:2" x14ac:dyDescent="0.25">
      <c r="A1210">
        <v>992961</v>
      </c>
      <c r="B1210" s="29" t="s">
        <v>834</v>
      </c>
    </row>
    <row r="1211" spans="1:2" x14ac:dyDescent="0.25">
      <c r="A1211">
        <v>992961</v>
      </c>
      <c r="B1211" s="29" t="s">
        <v>834</v>
      </c>
    </row>
    <row r="1212" spans="1:2" x14ac:dyDescent="0.25">
      <c r="A1212">
        <v>992961</v>
      </c>
      <c r="B1212" s="29" t="s">
        <v>834</v>
      </c>
    </row>
    <row r="1213" spans="1:2" x14ac:dyDescent="0.25">
      <c r="A1213">
        <v>992961</v>
      </c>
      <c r="B1213" s="29" t="s">
        <v>834</v>
      </c>
    </row>
    <row r="1214" spans="1:2" x14ac:dyDescent="0.25">
      <c r="A1214">
        <v>992961</v>
      </c>
      <c r="B1214" s="29" t="s">
        <v>834</v>
      </c>
    </row>
    <row r="1215" spans="1:2" x14ac:dyDescent="0.25">
      <c r="A1215">
        <v>992961</v>
      </c>
      <c r="B1215" s="29" t="s">
        <v>834</v>
      </c>
    </row>
    <row r="1216" spans="1:2" x14ac:dyDescent="0.25">
      <c r="A1216">
        <v>992961</v>
      </c>
      <c r="B1216" s="29" t="s">
        <v>834</v>
      </c>
    </row>
    <row r="1217" spans="1:2" x14ac:dyDescent="0.25">
      <c r="A1217">
        <v>992961</v>
      </c>
      <c r="B1217" s="29" t="s">
        <v>834</v>
      </c>
    </row>
    <row r="1218" spans="1:2" x14ac:dyDescent="0.25">
      <c r="A1218">
        <v>992961</v>
      </c>
      <c r="B1218" s="29" t="s">
        <v>834</v>
      </c>
    </row>
    <row r="1219" spans="1:2" x14ac:dyDescent="0.25">
      <c r="A1219">
        <v>992961</v>
      </c>
      <c r="B1219" s="29" t="s">
        <v>834</v>
      </c>
    </row>
    <row r="1220" spans="1:2" x14ac:dyDescent="0.25">
      <c r="A1220">
        <v>992961</v>
      </c>
      <c r="B1220" s="29" t="s">
        <v>834</v>
      </c>
    </row>
    <row r="1221" spans="1:2" x14ac:dyDescent="0.25">
      <c r="A1221">
        <v>992965</v>
      </c>
      <c r="B1221" s="29" t="s">
        <v>835</v>
      </c>
    </row>
    <row r="1222" spans="1:2" x14ac:dyDescent="0.25">
      <c r="A1222">
        <v>992965</v>
      </c>
      <c r="B1222" s="29" t="s">
        <v>835</v>
      </c>
    </row>
    <row r="1223" spans="1:2" x14ac:dyDescent="0.25">
      <c r="A1223">
        <v>992965</v>
      </c>
      <c r="B1223" s="29" t="s">
        <v>835</v>
      </c>
    </row>
    <row r="1224" spans="1:2" x14ac:dyDescent="0.25">
      <c r="A1224">
        <v>992965</v>
      </c>
      <c r="B1224" s="29" t="s">
        <v>835</v>
      </c>
    </row>
    <row r="1225" spans="1:2" x14ac:dyDescent="0.25">
      <c r="A1225">
        <v>992965</v>
      </c>
      <c r="B1225" s="29" t="s">
        <v>835</v>
      </c>
    </row>
    <row r="1226" spans="1:2" x14ac:dyDescent="0.25">
      <c r="A1226">
        <v>992965</v>
      </c>
      <c r="B1226" s="29" t="s">
        <v>835</v>
      </c>
    </row>
    <row r="1227" spans="1:2" x14ac:dyDescent="0.25">
      <c r="A1227">
        <v>992965</v>
      </c>
      <c r="B1227" s="29" t="s">
        <v>835</v>
      </c>
    </row>
    <row r="1228" spans="1:2" x14ac:dyDescent="0.25">
      <c r="A1228">
        <v>992965</v>
      </c>
      <c r="B1228" s="29" t="s">
        <v>835</v>
      </c>
    </row>
    <row r="1229" spans="1:2" x14ac:dyDescent="0.25">
      <c r="A1229">
        <v>992965</v>
      </c>
      <c r="B1229" s="29" t="s">
        <v>835</v>
      </c>
    </row>
    <row r="1230" spans="1:2" x14ac:dyDescent="0.25">
      <c r="A1230">
        <v>992965</v>
      </c>
      <c r="B1230" s="29" t="s">
        <v>835</v>
      </c>
    </row>
    <row r="1231" spans="1:2" x14ac:dyDescent="0.25">
      <c r="A1231">
        <v>992965</v>
      </c>
      <c r="B1231" s="29" t="s">
        <v>835</v>
      </c>
    </row>
    <row r="1232" spans="1:2" x14ac:dyDescent="0.25">
      <c r="A1232">
        <v>992965</v>
      </c>
      <c r="B1232" s="29" t="s">
        <v>835</v>
      </c>
    </row>
    <row r="1233" spans="1:2" x14ac:dyDescent="0.25">
      <c r="A1233">
        <v>992977</v>
      </c>
      <c r="B1233" s="29" t="s">
        <v>836</v>
      </c>
    </row>
    <row r="1234" spans="1:2" x14ac:dyDescent="0.25">
      <c r="A1234">
        <v>992977</v>
      </c>
      <c r="B1234" s="29" t="s">
        <v>836</v>
      </c>
    </row>
    <row r="1235" spans="1:2" x14ac:dyDescent="0.25">
      <c r="A1235">
        <v>992977</v>
      </c>
      <c r="B1235" s="29" t="s">
        <v>836</v>
      </c>
    </row>
    <row r="1236" spans="1:2" x14ac:dyDescent="0.25">
      <c r="A1236">
        <v>992977</v>
      </c>
      <c r="B1236" s="29" t="s">
        <v>836</v>
      </c>
    </row>
    <row r="1237" spans="1:2" x14ac:dyDescent="0.25">
      <c r="A1237">
        <v>992977</v>
      </c>
      <c r="B1237" s="29" t="s">
        <v>836</v>
      </c>
    </row>
    <row r="1238" spans="1:2" x14ac:dyDescent="0.25">
      <c r="A1238">
        <v>992977</v>
      </c>
      <c r="B1238" s="29" t="s">
        <v>836</v>
      </c>
    </row>
    <row r="1239" spans="1:2" x14ac:dyDescent="0.25">
      <c r="A1239">
        <v>992977</v>
      </c>
      <c r="B1239" s="29" t="s">
        <v>836</v>
      </c>
    </row>
    <row r="1240" spans="1:2" x14ac:dyDescent="0.25">
      <c r="A1240">
        <v>992977</v>
      </c>
      <c r="B1240" s="29" t="s">
        <v>836</v>
      </c>
    </row>
    <row r="1241" spans="1:2" x14ac:dyDescent="0.25">
      <c r="A1241">
        <v>992977</v>
      </c>
      <c r="B1241" s="29" t="s">
        <v>836</v>
      </c>
    </row>
    <row r="1242" spans="1:2" x14ac:dyDescent="0.25">
      <c r="A1242">
        <v>992977</v>
      </c>
      <c r="B1242" s="29" t="s">
        <v>836</v>
      </c>
    </row>
    <row r="1243" spans="1:2" x14ac:dyDescent="0.25">
      <c r="A1243">
        <v>992977</v>
      </c>
      <c r="B1243" s="29" t="s">
        <v>836</v>
      </c>
    </row>
    <row r="1244" spans="1:2" x14ac:dyDescent="0.25">
      <c r="A1244">
        <v>992977</v>
      </c>
      <c r="B1244" s="29" t="s">
        <v>836</v>
      </c>
    </row>
    <row r="1245" spans="1:2" x14ac:dyDescent="0.25">
      <c r="A1245">
        <v>992977</v>
      </c>
      <c r="B1245" s="29" t="s">
        <v>836</v>
      </c>
    </row>
    <row r="1246" spans="1:2" x14ac:dyDescent="0.25">
      <c r="A1246">
        <v>992977</v>
      </c>
      <c r="B1246" s="29" t="s">
        <v>836</v>
      </c>
    </row>
    <row r="1247" spans="1:2" x14ac:dyDescent="0.25">
      <c r="A1247">
        <v>992977</v>
      </c>
      <c r="B1247" s="29" t="s">
        <v>836</v>
      </c>
    </row>
    <row r="1248" spans="1:2" x14ac:dyDescent="0.25">
      <c r="A1248">
        <v>992978</v>
      </c>
      <c r="B1248" s="29" t="s">
        <v>837</v>
      </c>
    </row>
    <row r="1249" spans="1:2" x14ac:dyDescent="0.25">
      <c r="A1249">
        <v>992978</v>
      </c>
      <c r="B1249" s="29" t="s">
        <v>837</v>
      </c>
    </row>
    <row r="1250" spans="1:2" x14ac:dyDescent="0.25">
      <c r="A1250">
        <v>992978</v>
      </c>
      <c r="B1250" s="29" t="s">
        <v>837</v>
      </c>
    </row>
    <row r="1251" spans="1:2" x14ac:dyDescent="0.25">
      <c r="A1251">
        <v>992978</v>
      </c>
      <c r="B1251" s="29" t="s">
        <v>837</v>
      </c>
    </row>
    <row r="1252" spans="1:2" x14ac:dyDescent="0.25">
      <c r="A1252">
        <v>992978</v>
      </c>
      <c r="B1252" s="29" t="s">
        <v>837</v>
      </c>
    </row>
    <row r="1253" spans="1:2" x14ac:dyDescent="0.25">
      <c r="A1253">
        <v>992978</v>
      </c>
      <c r="B1253" s="29" t="s">
        <v>837</v>
      </c>
    </row>
    <row r="1254" spans="1:2" x14ac:dyDescent="0.25">
      <c r="A1254">
        <v>992978</v>
      </c>
      <c r="B1254" s="29" t="s">
        <v>837</v>
      </c>
    </row>
    <row r="1255" spans="1:2" x14ac:dyDescent="0.25">
      <c r="A1255">
        <v>992978</v>
      </c>
      <c r="B1255" s="29" t="s">
        <v>837</v>
      </c>
    </row>
    <row r="1256" spans="1:2" x14ac:dyDescent="0.25">
      <c r="A1256">
        <v>992978</v>
      </c>
      <c r="B1256" s="29" t="s">
        <v>837</v>
      </c>
    </row>
    <row r="1257" spans="1:2" x14ac:dyDescent="0.25">
      <c r="A1257">
        <v>992978</v>
      </c>
      <c r="B1257" s="29" t="s">
        <v>837</v>
      </c>
    </row>
    <row r="1258" spans="1:2" x14ac:dyDescent="0.25">
      <c r="A1258">
        <v>992978</v>
      </c>
      <c r="B1258" s="29" t="s">
        <v>837</v>
      </c>
    </row>
    <row r="1259" spans="1:2" x14ac:dyDescent="0.25">
      <c r="A1259">
        <v>992978</v>
      </c>
      <c r="B1259" s="29" t="s">
        <v>837</v>
      </c>
    </row>
    <row r="1260" spans="1:2" x14ac:dyDescent="0.25">
      <c r="A1260">
        <v>992980</v>
      </c>
      <c r="B1260" s="29" t="s">
        <v>838</v>
      </c>
    </row>
    <row r="1261" spans="1:2" x14ac:dyDescent="0.25">
      <c r="A1261">
        <v>992980</v>
      </c>
      <c r="B1261" s="29" t="s">
        <v>838</v>
      </c>
    </row>
    <row r="1262" spans="1:2" x14ac:dyDescent="0.25">
      <c r="A1262">
        <v>992980</v>
      </c>
      <c r="B1262" s="29" t="s">
        <v>838</v>
      </c>
    </row>
    <row r="1263" spans="1:2" x14ac:dyDescent="0.25">
      <c r="A1263">
        <v>992980</v>
      </c>
      <c r="B1263" s="29" t="s">
        <v>838</v>
      </c>
    </row>
    <row r="1264" spans="1:2" x14ac:dyDescent="0.25">
      <c r="A1264">
        <v>992981</v>
      </c>
      <c r="B1264" s="29" t="s">
        <v>839</v>
      </c>
    </row>
    <row r="1265" spans="1:2" x14ac:dyDescent="0.25">
      <c r="A1265">
        <v>992981</v>
      </c>
      <c r="B1265" s="29" t="s">
        <v>839</v>
      </c>
    </row>
    <row r="1266" spans="1:2" x14ac:dyDescent="0.25">
      <c r="A1266">
        <v>992981</v>
      </c>
      <c r="B1266" s="29" t="s">
        <v>839</v>
      </c>
    </row>
    <row r="1267" spans="1:2" x14ac:dyDescent="0.25">
      <c r="A1267">
        <v>992981</v>
      </c>
      <c r="B1267" s="29" t="s">
        <v>839</v>
      </c>
    </row>
    <row r="1268" spans="1:2" x14ac:dyDescent="0.25">
      <c r="A1268">
        <v>992989</v>
      </c>
      <c r="B1268" s="29" t="s">
        <v>840</v>
      </c>
    </row>
    <row r="1269" spans="1:2" x14ac:dyDescent="0.25">
      <c r="A1269">
        <v>992989</v>
      </c>
      <c r="B1269" s="29" t="s">
        <v>840</v>
      </c>
    </row>
    <row r="1270" spans="1:2" x14ac:dyDescent="0.25">
      <c r="A1270">
        <v>992989</v>
      </c>
      <c r="B1270" s="29" t="s">
        <v>840</v>
      </c>
    </row>
    <row r="1271" spans="1:2" x14ac:dyDescent="0.25">
      <c r="A1271">
        <v>992989</v>
      </c>
      <c r="B1271" s="29" t="s">
        <v>840</v>
      </c>
    </row>
    <row r="1272" spans="1:2" x14ac:dyDescent="0.25">
      <c r="A1272">
        <v>992989</v>
      </c>
      <c r="B1272" s="29" t="s">
        <v>840</v>
      </c>
    </row>
    <row r="1273" spans="1:2" x14ac:dyDescent="0.25">
      <c r="A1273">
        <v>992989</v>
      </c>
      <c r="B1273" s="29" t="s">
        <v>840</v>
      </c>
    </row>
    <row r="1274" spans="1:2" x14ac:dyDescent="0.25">
      <c r="A1274">
        <v>992989</v>
      </c>
      <c r="B1274" s="29" t="s">
        <v>840</v>
      </c>
    </row>
    <row r="1275" spans="1:2" x14ac:dyDescent="0.25">
      <c r="A1275">
        <v>992989</v>
      </c>
      <c r="B1275" s="29" t="s">
        <v>840</v>
      </c>
    </row>
    <row r="1276" spans="1:2" x14ac:dyDescent="0.25">
      <c r="A1276">
        <v>992989</v>
      </c>
      <c r="B1276" s="29" t="s">
        <v>840</v>
      </c>
    </row>
    <row r="1277" spans="1:2" x14ac:dyDescent="0.25">
      <c r="A1277">
        <v>992989</v>
      </c>
      <c r="B1277" s="29" t="s">
        <v>840</v>
      </c>
    </row>
    <row r="1278" spans="1:2" x14ac:dyDescent="0.25">
      <c r="A1278">
        <v>992989</v>
      </c>
      <c r="B1278" s="29" t="s">
        <v>840</v>
      </c>
    </row>
    <row r="1279" spans="1:2" x14ac:dyDescent="0.25">
      <c r="A1279">
        <v>992989</v>
      </c>
      <c r="B1279" s="29" t="s">
        <v>840</v>
      </c>
    </row>
    <row r="1280" spans="1:2" x14ac:dyDescent="0.25">
      <c r="A1280">
        <v>992989</v>
      </c>
      <c r="B1280" s="29" t="s">
        <v>840</v>
      </c>
    </row>
    <row r="1281" spans="1:2" x14ac:dyDescent="0.25">
      <c r="A1281">
        <v>992989</v>
      </c>
      <c r="B1281" s="29" t="s">
        <v>840</v>
      </c>
    </row>
    <row r="1282" spans="1:2" x14ac:dyDescent="0.25">
      <c r="A1282">
        <v>992989</v>
      </c>
      <c r="B1282" s="29" t="s">
        <v>840</v>
      </c>
    </row>
    <row r="1283" spans="1:2" x14ac:dyDescent="0.25">
      <c r="A1283">
        <v>992989</v>
      </c>
      <c r="B1283" s="29" t="s">
        <v>840</v>
      </c>
    </row>
    <row r="1284" spans="1:2" x14ac:dyDescent="0.25">
      <c r="A1284">
        <v>992991</v>
      </c>
      <c r="B1284" s="29" t="s">
        <v>841</v>
      </c>
    </row>
    <row r="1285" spans="1:2" x14ac:dyDescent="0.25">
      <c r="A1285">
        <v>992991</v>
      </c>
      <c r="B1285" s="29" t="s">
        <v>841</v>
      </c>
    </row>
    <row r="1286" spans="1:2" x14ac:dyDescent="0.25">
      <c r="A1286">
        <v>992992</v>
      </c>
      <c r="B1286" s="29" t="s">
        <v>842</v>
      </c>
    </row>
    <row r="1287" spans="1:2" x14ac:dyDescent="0.25">
      <c r="A1287">
        <v>992992</v>
      </c>
      <c r="B1287" s="29" t="s">
        <v>842</v>
      </c>
    </row>
    <row r="1288" spans="1:2" x14ac:dyDescent="0.25">
      <c r="A1288">
        <v>992992</v>
      </c>
      <c r="B1288" s="29" t="s">
        <v>842</v>
      </c>
    </row>
    <row r="1289" spans="1:2" x14ac:dyDescent="0.25">
      <c r="A1289">
        <v>992992</v>
      </c>
      <c r="B1289" s="29" t="s">
        <v>842</v>
      </c>
    </row>
    <row r="1290" spans="1:2" x14ac:dyDescent="0.25">
      <c r="A1290">
        <v>992992</v>
      </c>
      <c r="B1290" s="29" t="s">
        <v>842</v>
      </c>
    </row>
    <row r="1291" spans="1:2" x14ac:dyDescent="0.25">
      <c r="A1291">
        <v>992992</v>
      </c>
      <c r="B1291" s="29" t="s">
        <v>842</v>
      </c>
    </row>
    <row r="1292" spans="1:2" x14ac:dyDescent="0.25">
      <c r="A1292">
        <v>992992</v>
      </c>
      <c r="B1292" s="29" t="s">
        <v>842</v>
      </c>
    </row>
    <row r="1293" spans="1:2" x14ac:dyDescent="0.25">
      <c r="A1293">
        <v>992992</v>
      </c>
      <c r="B1293" s="29" t="s">
        <v>842</v>
      </c>
    </row>
    <row r="1294" spans="1:2" x14ac:dyDescent="0.25">
      <c r="A1294">
        <v>992992</v>
      </c>
      <c r="B1294" s="29" t="s">
        <v>842</v>
      </c>
    </row>
    <row r="1295" spans="1:2" x14ac:dyDescent="0.25">
      <c r="A1295">
        <v>992992</v>
      </c>
      <c r="B1295" s="29" t="s">
        <v>842</v>
      </c>
    </row>
    <row r="1296" spans="1:2" x14ac:dyDescent="0.25">
      <c r="A1296">
        <v>992992</v>
      </c>
      <c r="B1296" s="29" t="s">
        <v>842</v>
      </c>
    </row>
    <row r="1297" spans="1:2" x14ac:dyDescent="0.25">
      <c r="A1297">
        <v>992992</v>
      </c>
      <c r="B1297" s="29" t="s">
        <v>842</v>
      </c>
    </row>
    <row r="1298" spans="1:2" x14ac:dyDescent="0.25">
      <c r="A1298">
        <v>992993</v>
      </c>
      <c r="B1298" s="29" t="s">
        <v>843</v>
      </c>
    </row>
    <row r="1299" spans="1:2" x14ac:dyDescent="0.25">
      <c r="A1299">
        <v>992993</v>
      </c>
      <c r="B1299" s="29" t="s">
        <v>843</v>
      </c>
    </row>
    <row r="1300" spans="1:2" x14ac:dyDescent="0.25">
      <c r="A1300">
        <v>992993</v>
      </c>
      <c r="B1300" s="29" t="s">
        <v>843</v>
      </c>
    </row>
    <row r="1301" spans="1:2" x14ac:dyDescent="0.25">
      <c r="A1301">
        <v>992993</v>
      </c>
      <c r="B1301" s="29" t="s">
        <v>843</v>
      </c>
    </row>
    <row r="1302" spans="1:2" x14ac:dyDescent="0.25">
      <c r="A1302">
        <v>992993</v>
      </c>
      <c r="B1302" s="29" t="s">
        <v>843</v>
      </c>
    </row>
    <row r="1303" spans="1:2" x14ac:dyDescent="0.25">
      <c r="A1303">
        <v>992993</v>
      </c>
      <c r="B1303" s="29" t="s">
        <v>843</v>
      </c>
    </row>
    <row r="1304" spans="1:2" x14ac:dyDescent="0.25">
      <c r="A1304">
        <v>992994</v>
      </c>
      <c r="B1304" s="29" t="s">
        <v>844</v>
      </c>
    </row>
    <row r="1305" spans="1:2" x14ac:dyDescent="0.25">
      <c r="A1305">
        <v>992994</v>
      </c>
      <c r="B1305" s="29" t="s">
        <v>844</v>
      </c>
    </row>
    <row r="1306" spans="1:2" x14ac:dyDescent="0.25">
      <c r="A1306">
        <v>992994</v>
      </c>
      <c r="B1306" s="29" t="s">
        <v>844</v>
      </c>
    </row>
    <row r="1307" spans="1:2" x14ac:dyDescent="0.25">
      <c r="A1307">
        <v>992994</v>
      </c>
      <c r="B1307" s="29" t="s">
        <v>844</v>
      </c>
    </row>
    <row r="1308" spans="1:2" x14ac:dyDescent="0.25">
      <c r="A1308">
        <v>992994</v>
      </c>
      <c r="B1308" s="29" t="s">
        <v>844</v>
      </c>
    </row>
    <row r="1309" spans="1:2" x14ac:dyDescent="0.25">
      <c r="A1309">
        <v>992994</v>
      </c>
      <c r="B1309" s="29" t="s">
        <v>844</v>
      </c>
    </row>
    <row r="1310" spans="1:2" x14ac:dyDescent="0.25">
      <c r="A1310">
        <v>992994</v>
      </c>
      <c r="B1310" s="29" t="s">
        <v>844</v>
      </c>
    </row>
    <row r="1311" spans="1:2" x14ac:dyDescent="0.25">
      <c r="A1311">
        <v>992994</v>
      </c>
      <c r="B1311" s="29" t="s">
        <v>844</v>
      </c>
    </row>
    <row r="1312" spans="1:2" x14ac:dyDescent="0.25">
      <c r="A1312">
        <v>992994</v>
      </c>
      <c r="B1312" s="29" t="s">
        <v>844</v>
      </c>
    </row>
    <row r="1313" spans="1:2" x14ac:dyDescent="0.25">
      <c r="A1313">
        <v>992994</v>
      </c>
      <c r="B1313" s="29" t="s">
        <v>844</v>
      </c>
    </row>
    <row r="1314" spans="1:2" x14ac:dyDescent="0.25">
      <c r="A1314">
        <v>992994</v>
      </c>
      <c r="B1314" s="29" t="s">
        <v>844</v>
      </c>
    </row>
    <row r="1315" spans="1:2" x14ac:dyDescent="0.25">
      <c r="A1315">
        <v>992994</v>
      </c>
      <c r="B1315" s="29" t="s">
        <v>844</v>
      </c>
    </row>
    <row r="1316" spans="1:2" x14ac:dyDescent="0.25">
      <c r="A1316">
        <v>992995</v>
      </c>
      <c r="B1316" s="29" t="s">
        <v>845</v>
      </c>
    </row>
    <row r="1317" spans="1:2" x14ac:dyDescent="0.25">
      <c r="A1317">
        <v>992995</v>
      </c>
      <c r="B1317" s="29" t="s">
        <v>845</v>
      </c>
    </row>
    <row r="1318" spans="1:2" x14ac:dyDescent="0.25">
      <c r="A1318">
        <v>992995</v>
      </c>
      <c r="B1318" s="29" t="s">
        <v>845</v>
      </c>
    </row>
    <row r="1319" spans="1:2" x14ac:dyDescent="0.25">
      <c r="A1319">
        <v>992995</v>
      </c>
      <c r="B1319" s="29" t="s">
        <v>845</v>
      </c>
    </row>
    <row r="1320" spans="1:2" x14ac:dyDescent="0.25">
      <c r="A1320">
        <v>992995</v>
      </c>
      <c r="B1320" s="29" t="s">
        <v>845</v>
      </c>
    </row>
    <row r="1321" spans="1:2" x14ac:dyDescent="0.25">
      <c r="A1321">
        <v>992995</v>
      </c>
      <c r="B1321" s="29" t="s">
        <v>845</v>
      </c>
    </row>
    <row r="1322" spans="1:2" x14ac:dyDescent="0.25">
      <c r="A1322">
        <v>992995</v>
      </c>
      <c r="B1322" s="29" t="s">
        <v>845</v>
      </c>
    </row>
    <row r="1323" spans="1:2" x14ac:dyDescent="0.25">
      <c r="A1323">
        <v>992995</v>
      </c>
      <c r="B1323" s="29" t="s">
        <v>845</v>
      </c>
    </row>
    <row r="1324" spans="1:2" x14ac:dyDescent="0.25">
      <c r="A1324">
        <v>992995</v>
      </c>
      <c r="B1324" s="29" t="s">
        <v>845</v>
      </c>
    </row>
    <row r="1325" spans="1:2" x14ac:dyDescent="0.25">
      <c r="A1325">
        <v>992995</v>
      </c>
      <c r="B1325" s="29" t="s">
        <v>845</v>
      </c>
    </row>
    <row r="1326" spans="1:2" x14ac:dyDescent="0.25">
      <c r="A1326">
        <v>992995</v>
      </c>
      <c r="B1326" s="29" t="s">
        <v>845</v>
      </c>
    </row>
    <row r="1327" spans="1:2" x14ac:dyDescent="0.25">
      <c r="A1327">
        <v>992995</v>
      </c>
      <c r="B1327" s="29" t="s">
        <v>845</v>
      </c>
    </row>
    <row r="1328" spans="1:2" x14ac:dyDescent="0.25">
      <c r="A1328">
        <v>992996</v>
      </c>
      <c r="B1328" s="29" t="s">
        <v>846</v>
      </c>
    </row>
    <row r="1329" spans="1:2" x14ac:dyDescent="0.25">
      <c r="A1329">
        <v>992996</v>
      </c>
      <c r="B1329" s="29" t="s">
        <v>846</v>
      </c>
    </row>
    <row r="1330" spans="1:2" x14ac:dyDescent="0.25">
      <c r="A1330">
        <v>992996</v>
      </c>
      <c r="B1330" s="29" t="s">
        <v>846</v>
      </c>
    </row>
    <row r="1331" spans="1:2" x14ac:dyDescent="0.25">
      <c r="A1331">
        <v>992996</v>
      </c>
      <c r="B1331" s="29" t="s">
        <v>846</v>
      </c>
    </row>
    <row r="1332" spans="1:2" x14ac:dyDescent="0.25">
      <c r="A1332">
        <v>992996</v>
      </c>
      <c r="B1332" s="29" t="s">
        <v>846</v>
      </c>
    </row>
    <row r="1333" spans="1:2" x14ac:dyDescent="0.25">
      <c r="A1333">
        <v>992996</v>
      </c>
      <c r="B1333" s="29" t="s">
        <v>846</v>
      </c>
    </row>
    <row r="1334" spans="1:2" x14ac:dyDescent="0.25">
      <c r="A1334">
        <v>992996</v>
      </c>
      <c r="B1334" s="29" t="s">
        <v>846</v>
      </c>
    </row>
    <row r="1335" spans="1:2" x14ac:dyDescent="0.25">
      <c r="A1335">
        <v>992996</v>
      </c>
      <c r="B1335" s="29" t="s">
        <v>846</v>
      </c>
    </row>
    <row r="1336" spans="1:2" x14ac:dyDescent="0.25">
      <c r="A1336">
        <v>992996</v>
      </c>
      <c r="B1336" s="29" t="s">
        <v>846</v>
      </c>
    </row>
    <row r="1337" spans="1:2" x14ac:dyDescent="0.25">
      <c r="A1337">
        <v>992996</v>
      </c>
      <c r="B1337" s="29" t="s">
        <v>846</v>
      </c>
    </row>
    <row r="1338" spans="1:2" x14ac:dyDescent="0.25">
      <c r="A1338">
        <v>992996</v>
      </c>
      <c r="B1338" s="29" t="s">
        <v>846</v>
      </c>
    </row>
    <row r="1339" spans="1:2" x14ac:dyDescent="0.25">
      <c r="A1339">
        <v>992996</v>
      </c>
      <c r="B1339" s="29" t="s">
        <v>846</v>
      </c>
    </row>
    <row r="1340" spans="1:2" x14ac:dyDescent="0.25">
      <c r="A1340">
        <v>992997</v>
      </c>
      <c r="B1340" s="29" t="s">
        <v>847</v>
      </c>
    </row>
    <row r="1341" spans="1:2" x14ac:dyDescent="0.25">
      <c r="A1341">
        <v>992997</v>
      </c>
      <c r="B1341" s="29" t="s">
        <v>847</v>
      </c>
    </row>
    <row r="1342" spans="1:2" x14ac:dyDescent="0.25">
      <c r="A1342">
        <v>992997</v>
      </c>
      <c r="B1342" s="29" t="s">
        <v>847</v>
      </c>
    </row>
    <row r="1343" spans="1:2" x14ac:dyDescent="0.25">
      <c r="A1343">
        <v>992997</v>
      </c>
      <c r="B1343" s="29" t="s">
        <v>847</v>
      </c>
    </row>
    <row r="1344" spans="1:2" x14ac:dyDescent="0.25">
      <c r="A1344">
        <v>992997</v>
      </c>
      <c r="B1344" s="29" t="s">
        <v>847</v>
      </c>
    </row>
    <row r="1345" spans="1:2" x14ac:dyDescent="0.25">
      <c r="A1345">
        <v>992997</v>
      </c>
      <c r="B1345" s="29" t="s">
        <v>847</v>
      </c>
    </row>
    <row r="1346" spans="1:2" x14ac:dyDescent="0.25">
      <c r="A1346">
        <v>992997</v>
      </c>
      <c r="B1346" s="29" t="s">
        <v>847</v>
      </c>
    </row>
    <row r="1347" spans="1:2" x14ac:dyDescent="0.25">
      <c r="A1347">
        <v>992997</v>
      </c>
      <c r="B1347" s="29" t="s">
        <v>847</v>
      </c>
    </row>
    <row r="1348" spans="1:2" x14ac:dyDescent="0.25">
      <c r="A1348">
        <v>992997</v>
      </c>
      <c r="B1348" s="29" t="s">
        <v>847</v>
      </c>
    </row>
    <row r="1349" spans="1:2" x14ac:dyDescent="0.25">
      <c r="A1349">
        <v>992998</v>
      </c>
      <c r="B1349" s="29" t="s">
        <v>848</v>
      </c>
    </row>
    <row r="1350" spans="1:2" x14ac:dyDescent="0.25">
      <c r="A1350">
        <v>992998</v>
      </c>
      <c r="B1350" s="29" t="s">
        <v>848</v>
      </c>
    </row>
    <row r="1351" spans="1:2" x14ac:dyDescent="0.25">
      <c r="A1351">
        <v>992998</v>
      </c>
      <c r="B1351" s="29" t="s">
        <v>848</v>
      </c>
    </row>
    <row r="1352" spans="1:2" x14ac:dyDescent="0.25">
      <c r="A1352">
        <v>992998</v>
      </c>
      <c r="B1352" s="29" t="s">
        <v>848</v>
      </c>
    </row>
    <row r="1353" spans="1:2" x14ac:dyDescent="0.25">
      <c r="A1353">
        <v>992998</v>
      </c>
      <c r="B1353" s="29" t="s">
        <v>848</v>
      </c>
    </row>
    <row r="1354" spans="1:2" x14ac:dyDescent="0.25">
      <c r="A1354">
        <v>992998</v>
      </c>
      <c r="B1354" s="29" t="s">
        <v>848</v>
      </c>
    </row>
    <row r="1355" spans="1:2" x14ac:dyDescent="0.25">
      <c r="A1355">
        <v>992998</v>
      </c>
      <c r="B1355" s="29" t="s">
        <v>848</v>
      </c>
    </row>
    <row r="1356" spans="1:2" x14ac:dyDescent="0.25">
      <c r="A1356">
        <v>992998</v>
      </c>
      <c r="B1356" s="29" t="s">
        <v>848</v>
      </c>
    </row>
    <row r="1357" spans="1:2" x14ac:dyDescent="0.25">
      <c r="A1357">
        <v>992998</v>
      </c>
      <c r="B1357" s="29" t="s">
        <v>848</v>
      </c>
    </row>
    <row r="1358" spans="1:2" x14ac:dyDescent="0.25">
      <c r="A1358">
        <v>990002</v>
      </c>
      <c r="B1358" s="29" t="s">
        <v>849</v>
      </c>
    </row>
    <row r="1359" spans="1:2" x14ac:dyDescent="0.25">
      <c r="A1359">
        <v>990002</v>
      </c>
      <c r="B1359" s="29" t="s">
        <v>849</v>
      </c>
    </row>
    <row r="1360" spans="1:2" x14ac:dyDescent="0.25">
      <c r="A1360">
        <v>990002</v>
      </c>
      <c r="B1360" s="29" t="s">
        <v>849</v>
      </c>
    </row>
    <row r="1361" spans="1:2" x14ac:dyDescent="0.25">
      <c r="A1361">
        <v>990002</v>
      </c>
      <c r="B1361" s="29" t="s">
        <v>849</v>
      </c>
    </row>
    <row r="1362" spans="1:2" x14ac:dyDescent="0.25">
      <c r="A1362">
        <v>990002</v>
      </c>
      <c r="B1362" s="29" t="s">
        <v>849</v>
      </c>
    </row>
    <row r="1363" spans="1:2" x14ac:dyDescent="0.25">
      <c r="A1363">
        <v>990002</v>
      </c>
      <c r="B1363" s="29" t="s">
        <v>849</v>
      </c>
    </row>
    <row r="1364" spans="1:2" x14ac:dyDescent="0.25">
      <c r="A1364">
        <v>990003</v>
      </c>
      <c r="B1364" s="29" t="s">
        <v>850</v>
      </c>
    </row>
    <row r="1365" spans="1:2" x14ac:dyDescent="0.25">
      <c r="A1365">
        <v>990003</v>
      </c>
      <c r="B1365" s="29" t="s">
        <v>850</v>
      </c>
    </row>
    <row r="1366" spans="1:2" x14ac:dyDescent="0.25">
      <c r="A1366">
        <v>990003</v>
      </c>
      <c r="B1366" s="29" t="s">
        <v>850</v>
      </c>
    </row>
    <row r="1367" spans="1:2" x14ac:dyDescent="0.25">
      <c r="A1367">
        <v>990003</v>
      </c>
      <c r="B1367" s="29" t="s">
        <v>850</v>
      </c>
    </row>
    <row r="1368" spans="1:2" x14ac:dyDescent="0.25">
      <c r="A1368">
        <v>990003</v>
      </c>
      <c r="B1368" s="29" t="s">
        <v>850</v>
      </c>
    </row>
    <row r="1369" spans="1:2" x14ac:dyDescent="0.25">
      <c r="A1369">
        <v>990003</v>
      </c>
      <c r="B1369" s="29" t="s">
        <v>850</v>
      </c>
    </row>
    <row r="1370" spans="1:2" x14ac:dyDescent="0.25">
      <c r="A1370">
        <v>990003</v>
      </c>
      <c r="B1370" s="29" t="s">
        <v>850</v>
      </c>
    </row>
    <row r="1371" spans="1:2" x14ac:dyDescent="0.25">
      <c r="A1371">
        <v>990003</v>
      </c>
      <c r="B1371" s="29" t="s">
        <v>850</v>
      </c>
    </row>
    <row r="1372" spans="1:2" x14ac:dyDescent="0.25">
      <c r="A1372">
        <v>990003</v>
      </c>
      <c r="B1372" s="29" t="s">
        <v>850</v>
      </c>
    </row>
    <row r="1373" spans="1:2" x14ac:dyDescent="0.25">
      <c r="A1373">
        <v>990003</v>
      </c>
      <c r="B1373" s="29" t="s">
        <v>850</v>
      </c>
    </row>
    <row r="1374" spans="1:2" x14ac:dyDescent="0.25">
      <c r="A1374">
        <v>990003</v>
      </c>
      <c r="B1374" s="29" t="s">
        <v>850</v>
      </c>
    </row>
    <row r="1375" spans="1:2" x14ac:dyDescent="0.25">
      <c r="A1375">
        <v>990003</v>
      </c>
      <c r="B1375" s="29" t="s">
        <v>850</v>
      </c>
    </row>
    <row r="1376" spans="1:2" x14ac:dyDescent="0.25">
      <c r="A1376">
        <v>990006</v>
      </c>
      <c r="B1376" s="29" t="s">
        <v>451</v>
      </c>
    </row>
    <row r="1377" spans="1:2" x14ac:dyDescent="0.25">
      <c r="A1377">
        <v>990006</v>
      </c>
      <c r="B1377" s="29" t="s">
        <v>451</v>
      </c>
    </row>
    <row r="1378" spans="1:2" x14ac:dyDescent="0.25">
      <c r="A1378">
        <v>990006</v>
      </c>
      <c r="B1378" s="29" t="s">
        <v>451</v>
      </c>
    </row>
    <row r="1379" spans="1:2" x14ac:dyDescent="0.25">
      <c r="A1379">
        <v>990006</v>
      </c>
      <c r="B1379" s="29" t="s">
        <v>451</v>
      </c>
    </row>
    <row r="1380" spans="1:2" x14ac:dyDescent="0.25">
      <c r="A1380">
        <v>990006</v>
      </c>
      <c r="B1380" s="29" t="s">
        <v>451</v>
      </c>
    </row>
    <row r="1381" spans="1:2" x14ac:dyDescent="0.25">
      <c r="A1381">
        <v>990006</v>
      </c>
      <c r="B1381" s="29" t="s">
        <v>451</v>
      </c>
    </row>
    <row r="1382" spans="1:2" x14ac:dyDescent="0.25">
      <c r="A1382">
        <v>990006</v>
      </c>
      <c r="B1382" s="29" t="s">
        <v>451</v>
      </c>
    </row>
    <row r="1383" spans="1:2" x14ac:dyDescent="0.25">
      <c r="A1383">
        <v>990006</v>
      </c>
      <c r="B1383" s="29" t="s">
        <v>451</v>
      </c>
    </row>
    <row r="1384" spans="1:2" x14ac:dyDescent="0.25">
      <c r="A1384">
        <v>990006</v>
      </c>
      <c r="B1384" s="29" t="s">
        <v>451</v>
      </c>
    </row>
    <row r="1385" spans="1:2" x14ac:dyDescent="0.25">
      <c r="A1385">
        <v>990007</v>
      </c>
      <c r="B1385" s="29" t="s">
        <v>851</v>
      </c>
    </row>
    <row r="1386" spans="1:2" x14ac:dyDescent="0.25">
      <c r="A1386">
        <v>990007</v>
      </c>
      <c r="B1386" s="29" t="s">
        <v>851</v>
      </c>
    </row>
    <row r="1387" spans="1:2" x14ac:dyDescent="0.25">
      <c r="A1387">
        <v>990007</v>
      </c>
      <c r="B1387" s="29" t="s">
        <v>851</v>
      </c>
    </row>
    <row r="1388" spans="1:2" x14ac:dyDescent="0.25">
      <c r="A1388">
        <v>990007</v>
      </c>
      <c r="B1388" s="29" t="s">
        <v>851</v>
      </c>
    </row>
    <row r="1389" spans="1:2" x14ac:dyDescent="0.25">
      <c r="A1389">
        <v>990007</v>
      </c>
      <c r="B1389" s="29" t="s">
        <v>851</v>
      </c>
    </row>
    <row r="1390" spans="1:2" x14ac:dyDescent="0.25">
      <c r="A1390">
        <v>990007</v>
      </c>
      <c r="B1390" s="29" t="s">
        <v>851</v>
      </c>
    </row>
    <row r="1391" spans="1:2" x14ac:dyDescent="0.25">
      <c r="A1391">
        <v>990007</v>
      </c>
      <c r="B1391" s="29" t="s">
        <v>851</v>
      </c>
    </row>
    <row r="1392" spans="1:2" x14ac:dyDescent="0.25">
      <c r="A1392">
        <v>990007</v>
      </c>
      <c r="B1392" s="29" t="s">
        <v>851</v>
      </c>
    </row>
    <row r="1393" spans="1:2" x14ac:dyDescent="0.25">
      <c r="A1393">
        <v>990007</v>
      </c>
      <c r="B1393" s="29" t="s">
        <v>851</v>
      </c>
    </row>
    <row r="1394" spans="1:2" x14ac:dyDescent="0.25">
      <c r="A1394">
        <v>990007</v>
      </c>
      <c r="B1394" s="29" t="s">
        <v>851</v>
      </c>
    </row>
    <row r="1395" spans="1:2" x14ac:dyDescent="0.25">
      <c r="A1395">
        <v>990007</v>
      </c>
      <c r="B1395" s="29" t="s">
        <v>851</v>
      </c>
    </row>
    <row r="1396" spans="1:2" x14ac:dyDescent="0.25">
      <c r="A1396">
        <v>990007</v>
      </c>
      <c r="B1396" s="29" t="s">
        <v>851</v>
      </c>
    </row>
    <row r="1397" spans="1:2" x14ac:dyDescent="0.25">
      <c r="A1397">
        <v>990007</v>
      </c>
      <c r="B1397" s="29" t="s">
        <v>851</v>
      </c>
    </row>
    <row r="1398" spans="1:2" x14ac:dyDescent="0.25">
      <c r="A1398">
        <v>990007</v>
      </c>
      <c r="B1398" s="29" t="s">
        <v>851</v>
      </c>
    </row>
    <row r="1399" spans="1:2" x14ac:dyDescent="0.25">
      <c r="A1399">
        <v>990007</v>
      </c>
      <c r="B1399" s="29" t="s">
        <v>851</v>
      </c>
    </row>
    <row r="1400" spans="1:2" x14ac:dyDescent="0.25">
      <c r="A1400">
        <v>990007</v>
      </c>
      <c r="B1400" s="29" t="s">
        <v>851</v>
      </c>
    </row>
    <row r="1401" spans="1:2" x14ac:dyDescent="0.25">
      <c r="A1401">
        <v>990007</v>
      </c>
      <c r="B1401" s="29" t="s">
        <v>851</v>
      </c>
    </row>
    <row r="1402" spans="1:2" x14ac:dyDescent="0.25">
      <c r="A1402">
        <v>990007</v>
      </c>
      <c r="B1402" s="29" t="s">
        <v>851</v>
      </c>
    </row>
    <row r="1403" spans="1:2" x14ac:dyDescent="0.25">
      <c r="A1403">
        <v>990007</v>
      </c>
      <c r="B1403" s="29" t="s">
        <v>851</v>
      </c>
    </row>
    <row r="1404" spans="1:2" x14ac:dyDescent="0.25">
      <c r="A1404">
        <v>990007</v>
      </c>
      <c r="B1404" s="29" t="s">
        <v>851</v>
      </c>
    </row>
    <row r="1405" spans="1:2" x14ac:dyDescent="0.25">
      <c r="A1405">
        <v>990007</v>
      </c>
      <c r="B1405" s="29" t="s">
        <v>851</v>
      </c>
    </row>
    <row r="1406" spans="1:2" x14ac:dyDescent="0.25">
      <c r="A1406">
        <v>990007</v>
      </c>
      <c r="B1406" s="29" t="s">
        <v>851</v>
      </c>
    </row>
    <row r="1407" spans="1:2" x14ac:dyDescent="0.25">
      <c r="A1407">
        <v>990007</v>
      </c>
      <c r="B1407" s="29" t="s">
        <v>851</v>
      </c>
    </row>
    <row r="1408" spans="1:2" x14ac:dyDescent="0.25">
      <c r="A1408">
        <v>990007</v>
      </c>
      <c r="B1408" s="29" t="s">
        <v>851</v>
      </c>
    </row>
    <row r="1409" spans="1:2" x14ac:dyDescent="0.25">
      <c r="A1409">
        <v>990007</v>
      </c>
      <c r="B1409" s="29" t="s">
        <v>851</v>
      </c>
    </row>
    <row r="1410" spans="1:2" x14ac:dyDescent="0.25">
      <c r="A1410">
        <v>990007</v>
      </c>
      <c r="B1410" s="29" t="s">
        <v>851</v>
      </c>
    </row>
    <row r="1411" spans="1:2" x14ac:dyDescent="0.25">
      <c r="A1411">
        <v>990007</v>
      </c>
      <c r="B1411" s="29" t="s">
        <v>851</v>
      </c>
    </row>
    <row r="1412" spans="1:2" x14ac:dyDescent="0.25">
      <c r="A1412">
        <v>990007</v>
      </c>
      <c r="B1412" s="29" t="s">
        <v>851</v>
      </c>
    </row>
    <row r="1413" spans="1:2" x14ac:dyDescent="0.25">
      <c r="A1413">
        <v>990007</v>
      </c>
      <c r="B1413" s="29" t="s">
        <v>851</v>
      </c>
    </row>
    <row r="1414" spans="1:2" x14ac:dyDescent="0.25">
      <c r="A1414">
        <v>990007</v>
      </c>
      <c r="B1414" s="29" t="s">
        <v>851</v>
      </c>
    </row>
    <row r="1415" spans="1:2" x14ac:dyDescent="0.25">
      <c r="A1415">
        <v>990011</v>
      </c>
      <c r="B1415" s="29" t="s">
        <v>456</v>
      </c>
    </row>
    <row r="1416" spans="1:2" x14ac:dyDescent="0.25">
      <c r="A1416">
        <v>990011</v>
      </c>
      <c r="B1416" s="29" t="s">
        <v>456</v>
      </c>
    </row>
    <row r="1417" spans="1:2" x14ac:dyDescent="0.25">
      <c r="A1417">
        <v>990011</v>
      </c>
      <c r="B1417" s="29" t="s">
        <v>456</v>
      </c>
    </row>
    <row r="1418" spans="1:2" x14ac:dyDescent="0.25">
      <c r="A1418">
        <v>990011</v>
      </c>
      <c r="B1418" s="29" t="s">
        <v>456</v>
      </c>
    </row>
    <row r="1419" spans="1:2" x14ac:dyDescent="0.25">
      <c r="A1419">
        <v>990011</v>
      </c>
      <c r="B1419" s="29" t="s">
        <v>456</v>
      </c>
    </row>
    <row r="1420" spans="1:2" x14ac:dyDescent="0.25">
      <c r="A1420">
        <v>990011</v>
      </c>
      <c r="B1420" s="29" t="s">
        <v>456</v>
      </c>
    </row>
    <row r="1421" spans="1:2" x14ac:dyDescent="0.25">
      <c r="A1421">
        <v>990014</v>
      </c>
      <c r="B1421" s="29" t="s">
        <v>459</v>
      </c>
    </row>
    <row r="1422" spans="1:2" x14ac:dyDescent="0.25">
      <c r="A1422">
        <v>990014</v>
      </c>
      <c r="B1422" s="29" t="s">
        <v>459</v>
      </c>
    </row>
    <row r="1423" spans="1:2" x14ac:dyDescent="0.25">
      <c r="A1423">
        <v>990014</v>
      </c>
      <c r="B1423" s="29" t="s">
        <v>459</v>
      </c>
    </row>
    <row r="1424" spans="1:2" x14ac:dyDescent="0.25">
      <c r="A1424">
        <v>990014</v>
      </c>
      <c r="B1424" s="29" t="s">
        <v>459</v>
      </c>
    </row>
    <row r="1425" spans="1:2" x14ac:dyDescent="0.25">
      <c r="A1425">
        <v>990014</v>
      </c>
      <c r="B1425" s="29" t="s">
        <v>459</v>
      </c>
    </row>
    <row r="1426" spans="1:2" x14ac:dyDescent="0.25">
      <c r="A1426">
        <v>990014</v>
      </c>
      <c r="B1426" s="29" t="s">
        <v>459</v>
      </c>
    </row>
    <row r="1427" spans="1:2" x14ac:dyDescent="0.25">
      <c r="A1427">
        <v>990019</v>
      </c>
      <c r="B1427" s="29" t="s">
        <v>852</v>
      </c>
    </row>
    <row r="1428" spans="1:2" x14ac:dyDescent="0.25">
      <c r="A1428">
        <v>990019</v>
      </c>
      <c r="B1428" s="29" t="s">
        <v>852</v>
      </c>
    </row>
    <row r="1429" spans="1:2" x14ac:dyDescent="0.25">
      <c r="A1429">
        <v>990023</v>
      </c>
      <c r="B1429" s="29" t="s">
        <v>853</v>
      </c>
    </row>
    <row r="1430" spans="1:2" x14ac:dyDescent="0.25">
      <c r="A1430">
        <v>990023</v>
      </c>
      <c r="B1430" s="29" t="s">
        <v>853</v>
      </c>
    </row>
    <row r="1431" spans="1:2" x14ac:dyDescent="0.25">
      <c r="A1431">
        <v>990023</v>
      </c>
      <c r="B1431" s="29" t="s">
        <v>853</v>
      </c>
    </row>
    <row r="1432" spans="1:2" x14ac:dyDescent="0.25">
      <c r="A1432">
        <v>990023</v>
      </c>
      <c r="B1432" s="29" t="s">
        <v>853</v>
      </c>
    </row>
    <row r="1433" spans="1:2" x14ac:dyDescent="0.25">
      <c r="A1433">
        <v>990023</v>
      </c>
      <c r="B1433" s="29" t="s">
        <v>853</v>
      </c>
    </row>
    <row r="1434" spans="1:2" x14ac:dyDescent="0.25">
      <c r="A1434">
        <v>990023</v>
      </c>
      <c r="B1434" s="29" t="s">
        <v>853</v>
      </c>
    </row>
    <row r="1435" spans="1:2" x14ac:dyDescent="0.25">
      <c r="A1435">
        <v>990030</v>
      </c>
      <c r="B1435" s="29" t="s">
        <v>854</v>
      </c>
    </row>
    <row r="1436" spans="1:2" x14ac:dyDescent="0.25">
      <c r="A1436">
        <v>990046</v>
      </c>
      <c r="B1436" s="29" t="s">
        <v>855</v>
      </c>
    </row>
    <row r="1437" spans="1:2" x14ac:dyDescent="0.25">
      <c r="A1437">
        <v>990047</v>
      </c>
      <c r="B1437" s="29" t="s">
        <v>856</v>
      </c>
    </row>
    <row r="1438" spans="1:2" x14ac:dyDescent="0.25">
      <c r="A1438">
        <v>990047</v>
      </c>
      <c r="B1438" s="29" t="s">
        <v>856</v>
      </c>
    </row>
    <row r="1439" spans="1:2" x14ac:dyDescent="0.25">
      <c r="A1439">
        <v>990047</v>
      </c>
      <c r="B1439" s="29" t="s">
        <v>856</v>
      </c>
    </row>
    <row r="1440" spans="1:2" x14ac:dyDescent="0.25">
      <c r="A1440">
        <v>990047</v>
      </c>
      <c r="B1440" s="29" t="s">
        <v>856</v>
      </c>
    </row>
    <row r="1441" spans="1:2" x14ac:dyDescent="0.25">
      <c r="A1441">
        <v>990047</v>
      </c>
      <c r="B1441" s="29" t="s">
        <v>856</v>
      </c>
    </row>
    <row r="1442" spans="1:2" x14ac:dyDescent="0.25">
      <c r="A1442">
        <v>990047</v>
      </c>
      <c r="B1442" s="29" t="s">
        <v>856</v>
      </c>
    </row>
    <row r="1443" spans="1:2" x14ac:dyDescent="0.25">
      <c r="A1443">
        <v>990047</v>
      </c>
      <c r="B1443" s="29" t="s">
        <v>856</v>
      </c>
    </row>
    <row r="1444" spans="1:2" x14ac:dyDescent="0.25">
      <c r="A1444">
        <v>990047</v>
      </c>
      <c r="B1444" s="29" t="s">
        <v>856</v>
      </c>
    </row>
    <row r="1445" spans="1:2" x14ac:dyDescent="0.25">
      <c r="A1445">
        <v>990047</v>
      </c>
      <c r="B1445" s="29" t="s">
        <v>856</v>
      </c>
    </row>
    <row r="1446" spans="1:2" x14ac:dyDescent="0.25">
      <c r="A1446">
        <v>990047</v>
      </c>
      <c r="B1446" s="29" t="s">
        <v>856</v>
      </c>
    </row>
    <row r="1447" spans="1:2" x14ac:dyDescent="0.25">
      <c r="A1447">
        <v>990047</v>
      </c>
      <c r="B1447" s="29" t="s">
        <v>856</v>
      </c>
    </row>
    <row r="1448" spans="1:2" x14ac:dyDescent="0.25">
      <c r="A1448">
        <v>990047</v>
      </c>
      <c r="B1448" s="29" t="s">
        <v>856</v>
      </c>
    </row>
    <row r="1449" spans="1:2" x14ac:dyDescent="0.25">
      <c r="A1449">
        <v>990047</v>
      </c>
      <c r="B1449" s="29" t="s">
        <v>856</v>
      </c>
    </row>
    <row r="1450" spans="1:2" x14ac:dyDescent="0.25">
      <c r="A1450">
        <v>990047</v>
      </c>
      <c r="B1450" s="29" t="s">
        <v>856</v>
      </c>
    </row>
    <row r="1451" spans="1:2" x14ac:dyDescent="0.25">
      <c r="A1451">
        <v>990047</v>
      </c>
      <c r="B1451" s="29" t="s">
        <v>856</v>
      </c>
    </row>
    <row r="1452" spans="1:2" x14ac:dyDescent="0.25">
      <c r="A1452">
        <v>990047</v>
      </c>
      <c r="B1452" s="29" t="s">
        <v>856</v>
      </c>
    </row>
    <row r="1453" spans="1:2" x14ac:dyDescent="0.25">
      <c r="A1453">
        <v>990047</v>
      </c>
      <c r="B1453" s="29" t="s">
        <v>856</v>
      </c>
    </row>
    <row r="1454" spans="1:2" x14ac:dyDescent="0.25">
      <c r="A1454">
        <v>990047</v>
      </c>
      <c r="B1454" s="29" t="s">
        <v>856</v>
      </c>
    </row>
    <row r="1455" spans="1:2" x14ac:dyDescent="0.25">
      <c r="A1455">
        <v>990047</v>
      </c>
      <c r="B1455" s="29" t="s">
        <v>856</v>
      </c>
    </row>
    <row r="1456" spans="1:2" x14ac:dyDescent="0.25">
      <c r="A1456">
        <v>990047</v>
      </c>
      <c r="B1456" s="29" t="s">
        <v>856</v>
      </c>
    </row>
    <row r="1457" spans="1:2" x14ac:dyDescent="0.25">
      <c r="A1457">
        <v>990047</v>
      </c>
      <c r="B1457" s="29" t="s">
        <v>856</v>
      </c>
    </row>
    <row r="1458" spans="1:2" x14ac:dyDescent="0.25">
      <c r="A1458">
        <v>990047</v>
      </c>
      <c r="B1458" s="29" t="s">
        <v>856</v>
      </c>
    </row>
    <row r="1459" spans="1:2" x14ac:dyDescent="0.25">
      <c r="A1459">
        <v>990047</v>
      </c>
      <c r="B1459" s="29" t="s">
        <v>856</v>
      </c>
    </row>
    <row r="1460" spans="1:2" x14ac:dyDescent="0.25">
      <c r="A1460">
        <v>990047</v>
      </c>
      <c r="B1460" s="29" t="s">
        <v>856</v>
      </c>
    </row>
    <row r="1461" spans="1:2" x14ac:dyDescent="0.25">
      <c r="A1461">
        <v>990047</v>
      </c>
      <c r="B1461" s="29" t="s">
        <v>856</v>
      </c>
    </row>
    <row r="1462" spans="1:2" x14ac:dyDescent="0.25">
      <c r="A1462">
        <v>990047</v>
      </c>
      <c r="B1462" s="29" t="s">
        <v>856</v>
      </c>
    </row>
    <row r="1463" spans="1:2" x14ac:dyDescent="0.25">
      <c r="A1463">
        <v>990047</v>
      </c>
      <c r="B1463" s="29" t="s">
        <v>856</v>
      </c>
    </row>
    <row r="1464" spans="1:2" x14ac:dyDescent="0.25">
      <c r="A1464">
        <v>990047</v>
      </c>
      <c r="B1464" s="29" t="s">
        <v>856</v>
      </c>
    </row>
    <row r="1465" spans="1:2" x14ac:dyDescent="0.25">
      <c r="A1465">
        <v>990047</v>
      </c>
      <c r="B1465" s="29" t="s">
        <v>856</v>
      </c>
    </row>
    <row r="1466" spans="1:2" x14ac:dyDescent="0.25">
      <c r="A1466">
        <v>990047</v>
      </c>
      <c r="B1466" s="29" t="s">
        <v>856</v>
      </c>
    </row>
    <row r="1467" spans="1:2" x14ac:dyDescent="0.25">
      <c r="A1467">
        <v>990047</v>
      </c>
      <c r="B1467" s="29" t="s">
        <v>856</v>
      </c>
    </row>
    <row r="1468" spans="1:2" x14ac:dyDescent="0.25">
      <c r="A1468">
        <v>990047</v>
      </c>
      <c r="B1468" s="29" t="s">
        <v>856</v>
      </c>
    </row>
    <row r="1469" spans="1:2" x14ac:dyDescent="0.25">
      <c r="A1469">
        <v>990047</v>
      </c>
      <c r="B1469" s="29" t="s">
        <v>856</v>
      </c>
    </row>
    <row r="1470" spans="1:2" x14ac:dyDescent="0.25">
      <c r="A1470">
        <v>990047</v>
      </c>
      <c r="B1470" s="29" t="s">
        <v>856</v>
      </c>
    </row>
    <row r="1471" spans="1:2" x14ac:dyDescent="0.25">
      <c r="A1471">
        <v>990047</v>
      </c>
      <c r="B1471" s="29" t="s">
        <v>856</v>
      </c>
    </row>
    <row r="1472" spans="1:2" x14ac:dyDescent="0.25">
      <c r="A1472">
        <v>990047</v>
      </c>
      <c r="B1472" s="29" t="s">
        <v>856</v>
      </c>
    </row>
    <row r="1473" spans="1:2" x14ac:dyDescent="0.25">
      <c r="A1473">
        <v>990048</v>
      </c>
      <c r="B1473" s="29" t="s">
        <v>857</v>
      </c>
    </row>
    <row r="1474" spans="1:2" x14ac:dyDescent="0.25">
      <c r="A1474">
        <v>990048</v>
      </c>
      <c r="B1474" s="29" t="s">
        <v>857</v>
      </c>
    </row>
    <row r="1475" spans="1:2" x14ac:dyDescent="0.25">
      <c r="A1475">
        <v>990048</v>
      </c>
      <c r="B1475" s="29" t="s">
        <v>857</v>
      </c>
    </row>
    <row r="1476" spans="1:2" x14ac:dyDescent="0.25">
      <c r="A1476">
        <v>990048</v>
      </c>
      <c r="B1476" s="29" t="s">
        <v>857</v>
      </c>
    </row>
    <row r="1477" spans="1:2" x14ac:dyDescent="0.25">
      <c r="A1477">
        <v>990048</v>
      </c>
      <c r="B1477" s="29" t="s">
        <v>857</v>
      </c>
    </row>
    <row r="1478" spans="1:2" x14ac:dyDescent="0.25">
      <c r="A1478">
        <v>990048</v>
      </c>
      <c r="B1478" s="29" t="s">
        <v>857</v>
      </c>
    </row>
    <row r="1479" spans="1:2" x14ac:dyDescent="0.25">
      <c r="A1479">
        <v>990049</v>
      </c>
      <c r="B1479" s="29" t="s">
        <v>858</v>
      </c>
    </row>
    <row r="1480" spans="1:2" x14ac:dyDescent="0.25">
      <c r="A1480">
        <v>990049</v>
      </c>
      <c r="B1480" s="29" t="s">
        <v>858</v>
      </c>
    </row>
    <row r="1481" spans="1:2" x14ac:dyDescent="0.25">
      <c r="A1481">
        <v>990049</v>
      </c>
      <c r="B1481" s="29" t="s">
        <v>858</v>
      </c>
    </row>
    <row r="1482" spans="1:2" x14ac:dyDescent="0.25">
      <c r="A1482">
        <v>990049</v>
      </c>
      <c r="B1482" s="29" t="s">
        <v>858</v>
      </c>
    </row>
    <row r="1483" spans="1:2" x14ac:dyDescent="0.25">
      <c r="A1483">
        <v>990049</v>
      </c>
      <c r="B1483" s="29" t="s">
        <v>858</v>
      </c>
    </row>
    <row r="1484" spans="1:2" x14ac:dyDescent="0.25">
      <c r="A1484">
        <v>990049</v>
      </c>
      <c r="B1484" s="29" t="s">
        <v>858</v>
      </c>
    </row>
    <row r="1485" spans="1:2" x14ac:dyDescent="0.25">
      <c r="A1485">
        <v>990049</v>
      </c>
      <c r="B1485" s="29" t="s">
        <v>858</v>
      </c>
    </row>
    <row r="1486" spans="1:2" x14ac:dyDescent="0.25">
      <c r="A1486">
        <v>990049</v>
      </c>
      <c r="B1486" s="29" t="s">
        <v>858</v>
      </c>
    </row>
    <row r="1487" spans="1:2" x14ac:dyDescent="0.25">
      <c r="A1487">
        <v>990049</v>
      </c>
      <c r="B1487" s="29" t="s">
        <v>858</v>
      </c>
    </row>
    <row r="1488" spans="1:2" x14ac:dyDescent="0.25">
      <c r="A1488">
        <v>990049</v>
      </c>
      <c r="B1488" s="29" t="s">
        <v>858</v>
      </c>
    </row>
    <row r="1489" spans="1:2" x14ac:dyDescent="0.25">
      <c r="A1489">
        <v>990049</v>
      </c>
      <c r="B1489" s="29" t="s">
        <v>858</v>
      </c>
    </row>
    <row r="1490" spans="1:2" x14ac:dyDescent="0.25">
      <c r="A1490">
        <v>990049</v>
      </c>
      <c r="B1490" s="29" t="s">
        <v>858</v>
      </c>
    </row>
    <row r="1491" spans="1:2" x14ac:dyDescent="0.25">
      <c r="A1491">
        <v>990049</v>
      </c>
      <c r="B1491" s="29" t="s">
        <v>858</v>
      </c>
    </row>
    <row r="1492" spans="1:2" x14ac:dyDescent="0.25">
      <c r="A1492">
        <v>990049</v>
      </c>
      <c r="B1492" s="29" t="s">
        <v>858</v>
      </c>
    </row>
    <row r="1493" spans="1:2" x14ac:dyDescent="0.25">
      <c r="A1493">
        <v>990049</v>
      </c>
      <c r="B1493" s="29" t="s">
        <v>858</v>
      </c>
    </row>
    <row r="1494" spans="1:2" x14ac:dyDescent="0.25">
      <c r="A1494">
        <v>990049</v>
      </c>
      <c r="B1494" s="29" t="s">
        <v>858</v>
      </c>
    </row>
    <row r="1495" spans="1:2" x14ac:dyDescent="0.25">
      <c r="A1495">
        <v>990049</v>
      </c>
      <c r="B1495" s="29" t="s">
        <v>858</v>
      </c>
    </row>
    <row r="1496" spans="1:2" x14ac:dyDescent="0.25">
      <c r="A1496">
        <v>990049</v>
      </c>
      <c r="B1496" s="29" t="s">
        <v>858</v>
      </c>
    </row>
    <row r="1497" spans="1:2" x14ac:dyDescent="0.25">
      <c r="A1497">
        <v>990049</v>
      </c>
      <c r="B1497" s="29" t="s">
        <v>858</v>
      </c>
    </row>
    <row r="1498" spans="1:2" x14ac:dyDescent="0.25">
      <c r="A1498">
        <v>990049</v>
      </c>
      <c r="B1498" s="29" t="s">
        <v>858</v>
      </c>
    </row>
    <row r="1499" spans="1:2" x14ac:dyDescent="0.25">
      <c r="A1499">
        <v>990049</v>
      </c>
      <c r="B1499" s="29" t="s">
        <v>858</v>
      </c>
    </row>
    <row r="1500" spans="1:2" x14ac:dyDescent="0.25">
      <c r="A1500">
        <v>990049</v>
      </c>
      <c r="B1500" s="29" t="s">
        <v>858</v>
      </c>
    </row>
    <row r="1501" spans="1:2" x14ac:dyDescent="0.25">
      <c r="A1501">
        <v>990049</v>
      </c>
      <c r="B1501" s="29" t="s">
        <v>858</v>
      </c>
    </row>
    <row r="1502" spans="1:2" x14ac:dyDescent="0.25">
      <c r="A1502">
        <v>990049</v>
      </c>
      <c r="B1502" s="29" t="s">
        <v>858</v>
      </c>
    </row>
    <row r="1503" spans="1:2" x14ac:dyDescent="0.25">
      <c r="A1503">
        <v>990049</v>
      </c>
      <c r="B1503" s="29" t="s">
        <v>858</v>
      </c>
    </row>
    <row r="1504" spans="1:2" x14ac:dyDescent="0.25">
      <c r="A1504">
        <v>990049</v>
      </c>
      <c r="B1504" s="29" t="s">
        <v>858</v>
      </c>
    </row>
    <row r="1505" spans="1:2" x14ac:dyDescent="0.25">
      <c r="A1505">
        <v>990049</v>
      </c>
      <c r="B1505" s="29" t="s">
        <v>858</v>
      </c>
    </row>
    <row r="1506" spans="1:2" x14ac:dyDescent="0.25">
      <c r="A1506">
        <v>990049</v>
      </c>
      <c r="B1506" s="29" t="s">
        <v>858</v>
      </c>
    </row>
    <row r="1507" spans="1:2" x14ac:dyDescent="0.25">
      <c r="A1507">
        <v>990049</v>
      </c>
      <c r="B1507" s="29" t="s">
        <v>858</v>
      </c>
    </row>
    <row r="1508" spans="1:2" x14ac:dyDescent="0.25">
      <c r="A1508">
        <v>990049</v>
      </c>
      <c r="B1508" s="29" t="s">
        <v>858</v>
      </c>
    </row>
    <row r="1509" spans="1:2" x14ac:dyDescent="0.25">
      <c r="A1509">
        <v>990049</v>
      </c>
      <c r="B1509" s="29" t="s">
        <v>858</v>
      </c>
    </row>
    <row r="1510" spans="1:2" x14ac:dyDescent="0.25">
      <c r="A1510">
        <v>990049</v>
      </c>
      <c r="B1510" s="29" t="s">
        <v>858</v>
      </c>
    </row>
    <row r="1511" spans="1:2" x14ac:dyDescent="0.25">
      <c r="A1511">
        <v>990049</v>
      </c>
      <c r="B1511" s="29" t="s">
        <v>858</v>
      </c>
    </row>
    <row r="1512" spans="1:2" x14ac:dyDescent="0.25">
      <c r="A1512">
        <v>990049</v>
      </c>
      <c r="B1512" s="29" t="s">
        <v>858</v>
      </c>
    </row>
    <row r="1513" spans="1:2" x14ac:dyDescent="0.25">
      <c r="A1513">
        <v>990049</v>
      </c>
      <c r="B1513" s="29" t="s">
        <v>858</v>
      </c>
    </row>
    <row r="1514" spans="1:2" x14ac:dyDescent="0.25">
      <c r="A1514">
        <v>990049</v>
      </c>
      <c r="B1514" s="29" t="s">
        <v>858</v>
      </c>
    </row>
    <row r="1515" spans="1:2" x14ac:dyDescent="0.25">
      <c r="A1515">
        <v>990050</v>
      </c>
      <c r="B1515" s="29" t="s">
        <v>859</v>
      </c>
    </row>
    <row r="1516" spans="1:2" x14ac:dyDescent="0.25">
      <c r="A1516">
        <v>990050</v>
      </c>
      <c r="B1516" s="29" t="s">
        <v>859</v>
      </c>
    </row>
    <row r="1517" spans="1:2" x14ac:dyDescent="0.25">
      <c r="A1517">
        <v>990050</v>
      </c>
      <c r="B1517" s="29" t="s">
        <v>859</v>
      </c>
    </row>
    <row r="1518" spans="1:2" x14ac:dyDescent="0.25">
      <c r="A1518">
        <v>990050</v>
      </c>
      <c r="B1518" s="29" t="s">
        <v>859</v>
      </c>
    </row>
    <row r="1519" spans="1:2" x14ac:dyDescent="0.25">
      <c r="A1519">
        <v>990050</v>
      </c>
      <c r="B1519" s="29" t="s">
        <v>859</v>
      </c>
    </row>
    <row r="1520" spans="1:2" x14ac:dyDescent="0.25">
      <c r="A1520">
        <v>990050</v>
      </c>
      <c r="B1520" s="29" t="s">
        <v>859</v>
      </c>
    </row>
    <row r="1521" spans="1:2" x14ac:dyDescent="0.25">
      <c r="A1521">
        <v>990051</v>
      </c>
      <c r="B1521" s="29" t="s">
        <v>860</v>
      </c>
    </row>
    <row r="1522" spans="1:2" x14ac:dyDescent="0.25">
      <c r="A1522">
        <v>990051</v>
      </c>
      <c r="B1522" s="29" t="s">
        <v>860</v>
      </c>
    </row>
    <row r="1523" spans="1:2" x14ac:dyDescent="0.25">
      <c r="A1523">
        <v>990051</v>
      </c>
      <c r="B1523" s="29" t="s">
        <v>860</v>
      </c>
    </row>
    <row r="1524" spans="1:2" x14ac:dyDescent="0.25">
      <c r="A1524">
        <v>990051</v>
      </c>
      <c r="B1524" s="29" t="s">
        <v>860</v>
      </c>
    </row>
    <row r="1525" spans="1:2" x14ac:dyDescent="0.25">
      <c r="A1525">
        <v>990051</v>
      </c>
      <c r="B1525" s="29" t="s">
        <v>860</v>
      </c>
    </row>
    <row r="1526" spans="1:2" x14ac:dyDescent="0.25">
      <c r="A1526">
        <v>990051</v>
      </c>
      <c r="B1526" s="29" t="s">
        <v>860</v>
      </c>
    </row>
    <row r="1527" spans="1:2" x14ac:dyDescent="0.25">
      <c r="A1527">
        <v>990813</v>
      </c>
      <c r="B1527" s="29" t="s">
        <v>861</v>
      </c>
    </row>
    <row r="1528" spans="1:2" x14ac:dyDescent="0.25">
      <c r="A1528">
        <v>990813</v>
      </c>
      <c r="B1528" s="29" t="s">
        <v>861</v>
      </c>
    </row>
    <row r="1529" spans="1:2" x14ac:dyDescent="0.25">
      <c r="A1529">
        <v>990813</v>
      </c>
      <c r="B1529" s="29" t="s">
        <v>861</v>
      </c>
    </row>
    <row r="1530" spans="1:2" x14ac:dyDescent="0.25">
      <c r="A1530">
        <v>990813</v>
      </c>
      <c r="B1530" s="29" t="s">
        <v>861</v>
      </c>
    </row>
    <row r="1531" spans="1:2" x14ac:dyDescent="0.25">
      <c r="A1531">
        <v>990813</v>
      </c>
      <c r="B1531" s="29" t="s">
        <v>861</v>
      </c>
    </row>
    <row r="1532" spans="1:2" x14ac:dyDescent="0.25">
      <c r="A1532">
        <v>990813</v>
      </c>
      <c r="B1532" s="29" t="s">
        <v>861</v>
      </c>
    </row>
    <row r="1533" spans="1:2" x14ac:dyDescent="0.25">
      <c r="A1533">
        <v>990813</v>
      </c>
      <c r="B1533" s="29" t="s">
        <v>861</v>
      </c>
    </row>
    <row r="1534" spans="1:2" x14ac:dyDescent="0.25">
      <c r="A1534">
        <v>990813</v>
      </c>
      <c r="B1534" s="29" t="s">
        <v>861</v>
      </c>
    </row>
    <row r="1535" spans="1:2" x14ac:dyDescent="0.25">
      <c r="A1535">
        <v>990813</v>
      </c>
      <c r="B1535" s="29" t="s">
        <v>861</v>
      </c>
    </row>
    <row r="1536" spans="1:2" x14ac:dyDescent="0.25">
      <c r="A1536">
        <v>990814</v>
      </c>
      <c r="B1536" s="29" t="s">
        <v>862</v>
      </c>
    </row>
    <row r="1537" spans="1:2" x14ac:dyDescent="0.25">
      <c r="A1537">
        <v>990814</v>
      </c>
      <c r="B1537" s="29" t="s">
        <v>862</v>
      </c>
    </row>
    <row r="1538" spans="1:2" x14ac:dyDescent="0.25">
      <c r="A1538">
        <v>990814</v>
      </c>
      <c r="B1538" s="29" t="s">
        <v>862</v>
      </c>
    </row>
    <row r="1539" spans="1:2" x14ac:dyDescent="0.25">
      <c r="A1539">
        <v>990814</v>
      </c>
      <c r="B1539" s="29" t="s">
        <v>862</v>
      </c>
    </row>
    <row r="1540" spans="1:2" x14ac:dyDescent="0.25">
      <c r="A1540">
        <v>990814</v>
      </c>
      <c r="B1540" s="29" t="s">
        <v>862</v>
      </c>
    </row>
    <row r="1541" spans="1:2" x14ac:dyDescent="0.25">
      <c r="A1541">
        <v>990814</v>
      </c>
      <c r="B1541" s="29" t="s">
        <v>862</v>
      </c>
    </row>
    <row r="1542" spans="1:2" x14ac:dyDescent="0.25">
      <c r="A1542">
        <v>990814</v>
      </c>
      <c r="B1542" s="29" t="s">
        <v>862</v>
      </c>
    </row>
    <row r="1543" spans="1:2" x14ac:dyDescent="0.25">
      <c r="A1543">
        <v>990814</v>
      </c>
      <c r="B1543" s="29" t="s">
        <v>862</v>
      </c>
    </row>
    <row r="1544" spans="1:2" x14ac:dyDescent="0.25">
      <c r="A1544">
        <v>990814</v>
      </c>
      <c r="B1544" s="29" t="s">
        <v>862</v>
      </c>
    </row>
    <row r="1545" spans="1:2" x14ac:dyDescent="0.25">
      <c r="A1545">
        <v>990814</v>
      </c>
      <c r="B1545" s="29" t="s">
        <v>862</v>
      </c>
    </row>
    <row r="1546" spans="1:2" x14ac:dyDescent="0.25">
      <c r="A1546">
        <v>990814</v>
      </c>
      <c r="B1546" s="29" t="s">
        <v>862</v>
      </c>
    </row>
    <row r="1547" spans="1:2" x14ac:dyDescent="0.25">
      <c r="A1547">
        <v>990814</v>
      </c>
      <c r="B1547" s="29" t="s">
        <v>862</v>
      </c>
    </row>
    <row r="1548" spans="1:2" x14ac:dyDescent="0.25">
      <c r="A1548">
        <v>990815</v>
      </c>
      <c r="B1548" s="29" t="s">
        <v>492</v>
      </c>
    </row>
    <row r="1549" spans="1:2" x14ac:dyDescent="0.25">
      <c r="A1549">
        <v>990815</v>
      </c>
      <c r="B1549" s="29" t="s">
        <v>492</v>
      </c>
    </row>
    <row r="1550" spans="1:2" x14ac:dyDescent="0.25">
      <c r="A1550">
        <v>990816</v>
      </c>
      <c r="B1550" s="29" t="s">
        <v>863</v>
      </c>
    </row>
    <row r="1551" spans="1:2" x14ac:dyDescent="0.25">
      <c r="A1551">
        <v>990816</v>
      </c>
      <c r="B1551" s="29" t="s">
        <v>863</v>
      </c>
    </row>
    <row r="1552" spans="1:2" x14ac:dyDescent="0.25">
      <c r="A1552">
        <v>990816</v>
      </c>
      <c r="B1552" s="29" t="s">
        <v>863</v>
      </c>
    </row>
    <row r="1553" spans="1:2" x14ac:dyDescent="0.25">
      <c r="A1553">
        <v>990816</v>
      </c>
      <c r="B1553" s="29" t="s">
        <v>863</v>
      </c>
    </row>
    <row r="1554" spans="1:2" x14ac:dyDescent="0.25">
      <c r="A1554">
        <v>990816</v>
      </c>
      <c r="B1554" s="29" t="s">
        <v>863</v>
      </c>
    </row>
    <row r="1555" spans="1:2" x14ac:dyDescent="0.25">
      <c r="A1555">
        <v>990816</v>
      </c>
      <c r="B1555" s="29" t="s">
        <v>863</v>
      </c>
    </row>
    <row r="1556" spans="1:2" x14ac:dyDescent="0.25">
      <c r="A1556">
        <v>990816</v>
      </c>
      <c r="B1556" s="29" t="s">
        <v>863</v>
      </c>
    </row>
    <row r="1557" spans="1:2" x14ac:dyDescent="0.25">
      <c r="A1557">
        <v>990816</v>
      </c>
      <c r="B1557" s="29" t="s">
        <v>863</v>
      </c>
    </row>
    <row r="1558" spans="1:2" x14ac:dyDescent="0.25">
      <c r="A1558">
        <v>990816</v>
      </c>
      <c r="B1558" s="29" t="s">
        <v>863</v>
      </c>
    </row>
    <row r="1559" spans="1:2" x14ac:dyDescent="0.25">
      <c r="A1559">
        <v>990817</v>
      </c>
      <c r="B1559" s="29" t="s">
        <v>864</v>
      </c>
    </row>
    <row r="1560" spans="1:2" x14ac:dyDescent="0.25">
      <c r="A1560">
        <v>990817</v>
      </c>
      <c r="B1560" s="29" t="s">
        <v>864</v>
      </c>
    </row>
    <row r="1561" spans="1:2" x14ac:dyDescent="0.25">
      <c r="A1561">
        <v>990817</v>
      </c>
      <c r="B1561" s="29" t="s">
        <v>864</v>
      </c>
    </row>
    <row r="1562" spans="1:2" x14ac:dyDescent="0.25">
      <c r="A1562">
        <v>990817</v>
      </c>
      <c r="B1562" s="29" t="s">
        <v>864</v>
      </c>
    </row>
    <row r="1563" spans="1:2" x14ac:dyDescent="0.25">
      <c r="A1563">
        <v>990817</v>
      </c>
      <c r="B1563" s="29" t="s">
        <v>864</v>
      </c>
    </row>
    <row r="1564" spans="1:2" x14ac:dyDescent="0.25">
      <c r="A1564">
        <v>990817</v>
      </c>
      <c r="B1564" s="29" t="s">
        <v>864</v>
      </c>
    </row>
    <row r="1565" spans="1:2" x14ac:dyDescent="0.25">
      <c r="A1565">
        <v>990817</v>
      </c>
      <c r="B1565" s="29" t="s">
        <v>864</v>
      </c>
    </row>
    <row r="1566" spans="1:2" x14ac:dyDescent="0.25">
      <c r="A1566">
        <v>990817</v>
      </c>
      <c r="B1566" s="29" t="s">
        <v>864</v>
      </c>
    </row>
    <row r="1567" spans="1:2" x14ac:dyDescent="0.25">
      <c r="A1567">
        <v>990817</v>
      </c>
      <c r="B1567" s="29" t="s">
        <v>864</v>
      </c>
    </row>
    <row r="1568" spans="1:2" x14ac:dyDescent="0.25">
      <c r="A1568">
        <v>990817</v>
      </c>
      <c r="B1568" s="29" t="s">
        <v>864</v>
      </c>
    </row>
    <row r="1569" spans="1:2" x14ac:dyDescent="0.25">
      <c r="A1569">
        <v>990817</v>
      </c>
      <c r="B1569" s="29" t="s">
        <v>864</v>
      </c>
    </row>
    <row r="1570" spans="1:2" x14ac:dyDescent="0.25">
      <c r="A1570">
        <v>990817</v>
      </c>
      <c r="B1570" s="29" t="s">
        <v>864</v>
      </c>
    </row>
    <row r="1571" spans="1:2" x14ac:dyDescent="0.25">
      <c r="A1571">
        <v>990825</v>
      </c>
      <c r="B1571" s="29" t="s">
        <v>865</v>
      </c>
    </row>
    <row r="1572" spans="1:2" x14ac:dyDescent="0.25">
      <c r="A1572">
        <v>990825</v>
      </c>
      <c r="B1572" s="29" t="s">
        <v>865</v>
      </c>
    </row>
    <row r="1573" spans="1:2" x14ac:dyDescent="0.25">
      <c r="A1573">
        <v>990825</v>
      </c>
      <c r="B1573" s="29" t="s">
        <v>865</v>
      </c>
    </row>
    <row r="1574" spans="1:2" x14ac:dyDescent="0.25">
      <c r="A1574">
        <v>990825</v>
      </c>
      <c r="B1574" s="29" t="s">
        <v>865</v>
      </c>
    </row>
    <row r="1575" spans="1:2" x14ac:dyDescent="0.25">
      <c r="A1575">
        <v>990825</v>
      </c>
      <c r="B1575" s="29" t="s">
        <v>865</v>
      </c>
    </row>
    <row r="1576" spans="1:2" x14ac:dyDescent="0.25">
      <c r="A1576">
        <v>990825</v>
      </c>
      <c r="B1576" s="29" t="s">
        <v>865</v>
      </c>
    </row>
    <row r="1577" spans="1:2" x14ac:dyDescent="0.25">
      <c r="A1577">
        <v>990825</v>
      </c>
      <c r="B1577" s="29" t="s">
        <v>865</v>
      </c>
    </row>
    <row r="1578" spans="1:2" x14ac:dyDescent="0.25">
      <c r="A1578">
        <v>990825</v>
      </c>
      <c r="B1578" s="29" t="s">
        <v>865</v>
      </c>
    </row>
    <row r="1579" spans="1:2" x14ac:dyDescent="0.25">
      <c r="A1579">
        <v>990825</v>
      </c>
      <c r="B1579" s="29" t="s">
        <v>865</v>
      </c>
    </row>
    <row r="1580" spans="1:2" x14ac:dyDescent="0.25">
      <c r="A1580">
        <v>990825</v>
      </c>
      <c r="B1580" s="29" t="s">
        <v>865</v>
      </c>
    </row>
    <row r="1581" spans="1:2" x14ac:dyDescent="0.25">
      <c r="A1581">
        <v>990825</v>
      </c>
      <c r="B1581" s="29" t="s">
        <v>865</v>
      </c>
    </row>
    <row r="1582" spans="1:2" x14ac:dyDescent="0.25">
      <c r="A1582">
        <v>990825</v>
      </c>
      <c r="B1582" s="29" t="s">
        <v>865</v>
      </c>
    </row>
    <row r="1583" spans="1:2" x14ac:dyDescent="0.25">
      <c r="A1583">
        <v>990825</v>
      </c>
      <c r="B1583" s="29" t="s">
        <v>865</v>
      </c>
    </row>
    <row r="1584" spans="1:2" x14ac:dyDescent="0.25">
      <c r="A1584">
        <v>990825</v>
      </c>
      <c r="B1584" s="29" t="s">
        <v>865</v>
      </c>
    </row>
    <row r="1585" spans="1:2" x14ac:dyDescent="0.25">
      <c r="A1585">
        <v>990825</v>
      </c>
      <c r="B1585" s="29" t="s">
        <v>865</v>
      </c>
    </row>
    <row r="1586" spans="1:2" x14ac:dyDescent="0.25">
      <c r="A1586">
        <v>990825</v>
      </c>
      <c r="B1586" s="29" t="s">
        <v>865</v>
      </c>
    </row>
    <row r="1587" spans="1:2" x14ac:dyDescent="0.25">
      <c r="A1587">
        <v>990825</v>
      </c>
      <c r="B1587" s="29" t="s">
        <v>865</v>
      </c>
    </row>
    <row r="1588" spans="1:2" x14ac:dyDescent="0.25">
      <c r="A1588">
        <v>990825</v>
      </c>
      <c r="B1588" s="29" t="s">
        <v>865</v>
      </c>
    </row>
    <row r="1589" spans="1:2" x14ac:dyDescent="0.25">
      <c r="A1589">
        <v>990825</v>
      </c>
      <c r="B1589" s="29" t="s">
        <v>865</v>
      </c>
    </row>
    <row r="1590" spans="1:2" x14ac:dyDescent="0.25">
      <c r="A1590">
        <v>990825</v>
      </c>
      <c r="B1590" s="29" t="s">
        <v>865</v>
      </c>
    </row>
    <row r="1591" spans="1:2" x14ac:dyDescent="0.25">
      <c r="A1591">
        <v>990825</v>
      </c>
      <c r="B1591" s="29" t="s">
        <v>865</v>
      </c>
    </row>
    <row r="1592" spans="1:2" x14ac:dyDescent="0.25">
      <c r="A1592">
        <v>990825</v>
      </c>
      <c r="B1592" s="29" t="s">
        <v>865</v>
      </c>
    </row>
    <row r="1593" spans="1:2" x14ac:dyDescent="0.25">
      <c r="A1593">
        <v>990825</v>
      </c>
      <c r="B1593" s="29" t="s">
        <v>865</v>
      </c>
    </row>
    <row r="1594" spans="1:2" x14ac:dyDescent="0.25">
      <c r="A1594">
        <v>990825</v>
      </c>
      <c r="B1594" s="29" t="s">
        <v>865</v>
      </c>
    </row>
    <row r="1595" spans="1:2" x14ac:dyDescent="0.25">
      <c r="A1595">
        <v>990825</v>
      </c>
      <c r="B1595" s="29" t="s">
        <v>865</v>
      </c>
    </row>
    <row r="1596" spans="1:2" x14ac:dyDescent="0.25">
      <c r="A1596">
        <v>990825</v>
      </c>
      <c r="B1596" s="29" t="s">
        <v>865</v>
      </c>
    </row>
    <row r="1597" spans="1:2" x14ac:dyDescent="0.25">
      <c r="A1597">
        <v>990825</v>
      </c>
      <c r="B1597" s="29" t="s">
        <v>865</v>
      </c>
    </row>
    <row r="1598" spans="1:2" x14ac:dyDescent="0.25">
      <c r="A1598">
        <v>990825</v>
      </c>
      <c r="B1598" s="29" t="s">
        <v>865</v>
      </c>
    </row>
    <row r="1599" spans="1:2" x14ac:dyDescent="0.25">
      <c r="A1599">
        <v>990825</v>
      </c>
      <c r="B1599" s="29" t="s">
        <v>865</v>
      </c>
    </row>
    <row r="1600" spans="1:2" x14ac:dyDescent="0.25">
      <c r="A1600">
        <v>990825</v>
      </c>
      <c r="B1600" s="29" t="s">
        <v>865</v>
      </c>
    </row>
    <row r="1601" spans="1:2" x14ac:dyDescent="0.25">
      <c r="A1601">
        <v>990825</v>
      </c>
      <c r="B1601" s="29" t="s">
        <v>865</v>
      </c>
    </row>
    <row r="1602" spans="1:2" x14ac:dyDescent="0.25">
      <c r="A1602">
        <v>990825</v>
      </c>
      <c r="B1602" s="29" t="s">
        <v>865</v>
      </c>
    </row>
    <row r="1603" spans="1:2" x14ac:dyDescent="0.25">
      <c r="A1603">
        <v>990825</v>
      </c>
      <c r="B1603" s="29" t="s">
        <v>865</v>
      </c>
    </row>
    <row r="1604" spans="1:2" x14ac:dyDescent="0.25">
      <c r="A1604">
        <v>990825</v>
      </c>
      <c r="B1604" s="29" t="s">
        <v>865</v>
      </c>
    </row>
    <row r="1605" spans="1:2" x14ac:dyDescent="0.25">
      <c r="A1605">
        <v>990825</v>
      </c>
      <c r="B1605" s="29" t="s">
        <v>865</v>
      </c>
    </row>
    <row r="1606" spans="1:2" x14ac:dyDescent="0.25">
      <c r="A1606">
        <v>990825</v>
      </c>
      <c r="B1606" s="29" t="s">
        <v>865</v>
      </c>
    </row>
    <row r="1607" spans="1:2" x14ac:dyDescent="0.25">
      <c r="A1607">
        <v>990825</v>
      </c>
      <c r="B1607" s="29" t="s">
        <v>865</v>
      </c>
    </row>
    <row r="1608" spans="1:2" x14ac:dyDescent="0.25">
      <c r="A1608">
        <v>990825</v>
      </c>
      <c r="B1608" s="29" t="s">
        <v>865</v>
      </c>
    </row>
    <row r="1609" spans="1:2" x14ac:dyDescent="0.25">
      <c r="A1609">
        <v>990825</v>
      </c>
      <c r="B1609" s="29" t="s">
        <v>865</v>
      </c>
    </row>
    <row r="1610" spans="1:2" x14ac:dyDescent="0.25">
      <c r="A1610">
        <v>990825</v>
      </c>
      <c r="B1610" s="29" t="s">
        <v>865</v>
      </c>
    </row>
    <row r="1611" spans="1:2" x14ac:dyDescent="0.25">
      <c r="A1611">
        <v>990825</v>
      </c>
      <c r="B1611" s="29" t="s">
        <v>865</v>
      </c>
    </row>
    <row r="1612" spans="1:2" x14ac:dyDescent="0.25">
      <c r="A1612">
        <v>990825</v>
      </c>
      <c r="B1612" s="29" t="s">
        <v>865</v>
      </c>
    </row>
    <row r="1613" spans="1:2" x14ac:dyDescent="0.25">
      <c r="A1613">
        <v>990834</v>
      </c>
      <c r="B1613" s="29" t="s">
        <v>866</v>
      </c>
    </row>
    <row r="1614" spans="1:2" x14ac:dyDescent="0.25">
      <c r="A1614">
        <v>990834</v>
      </c>
      <c r="B1614" s="29" t="s">
        <v>866</v>
      </c>
    </row>
    <row r="1615" spans="1:2" x14ac:dyDescent="0.25">
      <c r="A1615">
        <v>990834</v>
      </c>
      <c r="B1615" s="29" t="s">
        <v>866</v>
      </c>
    </row>
    <row r="1616" spans="1:2" x14ac:dyDescent="0.25">
      <c r="A1616">
        <v>990834</v>
      </c>
      <c r="B1616" s="29" t="s">
        <v>866</v>
      </c>
    </row>
    <row r="1617" spans="1:2" x14ac:dyDescent="0.25">
      <c r="A1617">
        <v>990834</v>
      </c>
      <c r="B1617" s="29" t="s">
        <v>866</v>
      </c>
    </row>
    <row r="1618" spans="1:2" x14ac:dyDescent="0.25">
      <c r="A1618">
        <v>990834</v>
      </c>
      <c r="B1618" s="29" t="s">
        <v>866</v>
      </c>
    </row>
    <row r="1619" spans="1:2" x14ac:dyDescent="0.25">
      <c r="A1619">
        <v>990834</v>
      </c>
      <c r="B1619" s="29" t="s">
        <v>866</v>
      </c>
    </row>
    <row r="1620" spans="1:2" x14ac:dyDescent="0.25">
      <c r="A1620">
        <v>990834</v>
      </c>
      <c r="B1620" s="29" t="s">
        <v>866</v>
      </c>
    </row>
    <row r="1621" spans="1:2" x14ac:dyDescent="0.25">
      <c r="A1621">
        <v>990834</v>
      </c>
      <c r="B1621" s="29" t="s">
        <v>866</v>
      </c>
    </row>
    <row r="1622" spans="1:2" x14ac:dyDescent="0.25">
      <c r="A1622">
        <v>990834</v>
      </c>
      <c r="B1622" s="29" t="s">
        <v>866</v>
      </c>
    </row>
    <row r="1623" spans="1:2" x14ac:dyDescent="0.25">
      <c r="A1623">
        <v>990834</v>
      </c>
      <c r="B1623" s="29" t="s">
        <v>866</v>
      </c>
    </row>
    <row r="1624" spans="1:2" x14ac:dyDescent="0.25">
      <c r="A1624">
        <v>990834</v>
      </c>
      <c r="B1624" s="29" t="s">
        <v>866</v>
      </c>
    </row>
    <row r="1625" spans="1:2" x14ac:dyDescent="0.25">
      <c r="A1625">
        <v>990834</v>
      </c>
      <c r="B1625" s="29" t="s">
        <v>866</v>
      </c>
    </row>
    <row r="1626" spans="1:2" x14ac:dyDescent="0.25">
      <c r="A1626">
        <v>990834</v>
      </c>
      <c r="B1626" s="29" t="s">
        <v>866</v>
      </c>
    </row>
    <row r="1627" spans="1:2" x14ac:dyDescent="0.25">
      <c r="A1627">
        <v>990834</v>
      </c>
      <c r="B1627" s="29" t="s">
        <v>866</v>
      </c>
    </row>
    <row r="1628" spans="1:2" x14ac:dyDescent="0.25">
      <c r="A1628">
        <v>990834</v>
      </c>
      <c r="B1628" s="29" t="s">
        <v>866</v>
      </c>
    </row>
    <row r="1629" spans="1:2" x14ac:dyDescent="0.25">
      <c r="A1629">
        <v>990834</v>
      </c>
      <c r="B1629" s="29" t="s">
        <v>866</v>
      </c>
    </row>
    <row r="1630" spans="1:2" x14ac:dyDescent="0.25">
      <c r="A1630">
        <v>990834</v>
      </c>
      <c r="B1630" s="29" t="s">
        <v>866</v>
      </c>
    </row>
    <row r="1631" spans="1:2" x14ac:dyDescent="0.25">
      <c r="A1631">
        <v>990834</v>
      </c>
      <c r="B1631" s="29" t="s">
        <v>866</v>
      </c>
    </row>
    <row r="1632" spans="1:2" x14ac:dyDescent="0.25">
      <c r="A1632">
        <v>990834</v>
      </c>
      <c r="B1632" s="29" t="s">
        <v>866</v>
      </c>
    </row>
    <row r="1633" spans="1:2" x14ac:dyDescent="0.25">
      <c r="A1633">
        <v>990834</v>
      </c>
      <c r="B1633" s="29" t="s">
        <v>866</v>
      </c>
    </row>
    <row r="1634" spans="1:2" x14ac:dyDescent="0.25">
      <c r="A1634">
        <v>990834</v>
      </c>
      <c r="B1634" s="29" t="s">
        <v>866</v>
      </c>
    </row>
    <row r="1635" spans="1:2" x14ac:dyDescent="0.25">
      <c r="A1635">
        <v>990834</v>
      </c>
      <c r="B1635" s="29" t="s">
        <v>866</v>
      </c>
    </row>
    <row r="1636" spans="1:2" x14ac:dyDescent="0.25">
      <c r="A1636">
        <v>990834</v>
      </c>
      <c r="B1636" s="29" t="s">
        <v>866</v>
      </c>
    </row>
    <row r="1637" spans="1:2" x14ac:dyDescent="0.25">
      <c r="A1637">
        <v>990834</v>
      </c>
      <c r="B1637" s="29" t="s">
        <v>866</v>
      </c>
    </row>
    <row r="1638" spans="1:2" x14ac:dyDescent="0.25">
      <c r="A1638">
        <v>990834</v>
      </c>
      <c r="B1638" s="29" t="s">
        <v>866</v>
      </c>
    </row>
    <row r="1639" spans="1:2" x14ac:dyDescent="0.25">
      <c r="A1639">
        <v>990834</v>
      </c>
      <c r="B1639" s="29" t="s">
        <v>866</v>
      </c>
    </row>
    <row r="1640" spans="1:2" x14ac:dyDescent="0.25">
      <c r="A1640">
        <v>990834</v>
      </c>
      <c r="B1640" s="29" t="s">
        <v>866</v>
      </c>
    </row>
    <row r="1641" spans="1:2" x14ac:dyDescent="0.25">
      <c r="A1641">
        <v>990834</v>
      </c>
      <c r="B1641" s="29" t="s">
        <v>866</v>
      </c>
    </row>
    <row r="1642" spans="1:2" x14ac:dyDescent="0.25">
      <c r="A1642">
        <v>990834</v>
      </c>
      <c r="B1642" s="29" t="s">
        <v>866</v>
      </c>
    </row>
    <row r="1643" spans="1:2" x14ac:dyDescent="0.25">
      <c r="A1643">
        <v>990834</v>
      </c>
      <c r="B1643" s="29" t="s">
        <v>866</v>
      </c>
    </row>
    <row r="1644" spans="1:2" x14ac:dyDescent="0.25">
      <c r="A1644">
        <v>990834</v>
      </c>
      <c r="B1644" s="29" t="s">
        <v>866</v>
      </c>
    </row>
    <row r="1645" spans="1:2" x14ac:dyDescent="0.25">
      <c r="A1645">
        <v>990834</v>
      </c>
      <c r="B1645" s="29" t="s">
        <v>866</v>
      </c>
    </row>
    <row r="1646" spans="1:2" x14ac:dyDescent="0.25">
      <c r="A1646">
        <v>990834</v>
      </c>
      <c r="B1646" s="29" t="s">
        <v>866</v>
      </c>
    </row>
    <row r="1647" spans="1:2" x14ac:dyDescent="0.25">
      <c r="A1647">
        <v>990834</v>
      </c>
      <c r="B1647" s="29" t="s">
        <v>866</v>
      </c>
    </row>
    <row r="1648" spans="1:2" x14ac:dyDescent="0.25">
      <c r="A1648">
        <v>990834</v>
      </c>
      <c r="B1648" s="29" t="s">
        <v>866</v>
      </c>
    </row>
    <row r="1649" spans="1:2" x14ac:dyDescent="0.25">
      <c r="A1649">
        <v>990834</v>
      </c>
      <c r="B1649" s="29" t="s">
        <v>866</v>
      </c>
    </row>
    <row r="1650" spans="1:2" x14ac:dyDescent="0.25">
      <c r="A1650">
        <v>990834</v>
      </c>
      <c r="B1650" s="29" t="s">
        <v>866</v>
      </c>
    </row>
    <row r="1651" spans="1:2" x14ac:dyDescent="0.25">
      <c r="A1651">
        <v>990834</v>
      </c>
      <c r="B1651" s="29" t="s">
        <v>866</v>
      </c>
    </row>
    <row r="1652" spans="1:2" x14ac:dyDescent="0.25">
      <c r="A1652">
        <v>990834</v>
      </c>
      <c r="B1652" s="29" t="s">
        <v>866</v>
      </c>
    </row>
    <row r="1653" spans="1:2" x14ac:dyDescent="0.25">
      <c r="A1653">
        <v>990834</v>
      </c>
      <c r="B1653" s="29" t="s">
        <v>866</v>
      </c>
    </row>
    <row r="1654" spans="1:2" x14ac:dyDescent="0.25">
      <c r="A1654">
        <v>990834</v>
      </c>
      <c r="B1654" s="29" t="s">
        <v>866</v>
      </c>
    </row>
    <row r="1655" spans="1:2" x14ac:dyDescent="0.25">
      <c r="A1655">
        <v>990022</v>
      </c>
      <c r="B1655" s="29" t="s">
        <v>867</v>
      </c>
    </row>
    <row r="1656" spans="1:2" x14ac:dyDescent="0.25">
      <c r="A1656">
        <v>990022</v>
      </c>
      <c r="B1656" s="29" t="s">
        <v>867</v>
      </c>
    </row>
    <row r="1657" spans="1:2" x14ac:dyDescent="0.25">
      <c r="A1657">
        <v>990022</v>
      </c>
      <c r="B1657" s="29" t="s">
        <v>867</v>
      </c>
    </row>
    <row r="1658" spans="1:2" x14ac:dyDescent="0.25">
      <c r="A1658">
        <v>990022</v>
      </c>
      <c r="B1658" s="29" t="s">
        <v>867</v>
      </c>
    </row>
    <row r="1659" spans="1:2" x14ac:dyDescent="0.25">
      <c r="A1659">
        <v>990022</v>
      </c>
      <c r="B1659" s="29" t="s">
        <v>867</v>
      </c>
    </row>
    <row r="1660" spans="1:2" x14ac:dyDescent="0.25">
      <c r="A1660">
        <v>990022</v>
      </c>
      <c r="B1660" s="29" t="s">
        <v>867</v>
      </c>
    </row>
    <row r="1661" spans="1:2" x14ac:dyDescent="0.25">
      <c r="A1661">
        <v>990031</v>
      </c>
      <c r="B1661" s="29" t="s">
        <v>868</v>
      </c>
    </row>
    <row r="1662" spans="1:2" x14ac:dyDescent="0.25">
      <c r="A1662">
        <v>990031</v>
      </c>
      <c r="B1662" s="29" t="s">
        <v>868</v>
      </c>
    </row>
    <row r="1663" spans="1:2" x14ac:dyDescent="0.25">
      <c r="A1663">
        <v>990031</v>
      </c>
      <c r="B1663" s="29" t="s">
        <v>868</v>
      </c>
    </row>
    <row r="1664" spans="1:2" x14ac:dyDescent="0.25">
      <c r="A1664">
        <v>990031</v>
      </c>
      <c r="B1664" s="29" t="s">
        <v>868</v>
      </c>
    </row>
    <row r="1665" spans="1:2" x14ac:dyDescent="0.25">
      <c r="A1665">
        <v>990031</v>
      </c>
      <c r="B1665" s="29" t="s">
        <v>868</v>
      </c>
    </row>
    <row r="1666" spans="1:2" x14ac:dyDescent="0.25">
      <c r="A1666">
        <v>990031</v>
      </c>
      <c r="B1666" s="29" t="s">
        <v>868</v>
      </c>
    </row>
    <row r="1667" spans="1:2" x14ac:dyDescent="0.25">
      <c r="A1667">
        <v>990031</v>
      </c>
      <c r="B1667" s="29" t="s">
        <v>868</v>
      </c>
    </row>
    <row r="1668" spans="1:2" x14ac:dyDescent="0.25">
      <c r="A1668">
        <v>990031</v>
      </c>
      <c r="B1668" s="29" t="s">
        <v>868</v>
      </c>
    </row>
    <row r="1669" spans="1:2" x14ac:dyDescent="0.25">
      <c r="A1669">
        <v>990031</v>
      </c>
      <c r="B1669" s="29" t="s">
        <v>868</v>
      </c>
    </row>
    <row r="1670" spans="1:2" x14ac:dyDescent="0.25">
      <c r="A1670">
        <v>990031</v>
      </c>
      <c r="B1670" s="29" t="s">
        <v>868</v>
      </c>
    </row>
    <row r="1671" spans="1:2" x14ac:dyDescent="0.25">
      <c r="A1671">
        <v>990031</v>
      </c>
      <c r="B1671" s="29" t="s">
        <v>868</v>
      </c>
    </row>
    <row r="1672" spans="1:2" x14ac:dyDescent="0.25">
      <c r="A1672">
        <v>990031</v>
      </c>
      <c r="B1672" s="29" t="s">
        <v>868</v>
      </c>
    </row>
    <row r="1673" spans="1:2" x14ac:dyDescent="0.25">
      <c r="A1673">
        <v>991253</v>
      </c>
      <c r="B1673" s="29" t="s">
        <v>869</v>
      </c>
    </row>
    <row r="1674" spans="1:2" x14ac:dyDescent="0.25">
      <c r="A1674">
        <v>992950</v>
      </c>
      <c r="B1674" s="29" t="s">
        <v>870</v>
      </c>
    </row>
    <row r="1675" spans="1:2" x14ac:dyDescent="0.25">
      <c r="A1675">
        <v>992950</v>
      </c>
      <c r="B1675" s="29" t="s">
        <v>870</v>
      </c>
    </row>
    <row r="1676" spans="1:2" x14ac:dyDescent="0.25">
      <c r="A1676">
        <v>992950</v>
      </c>
      <c r="B1676" s="29" t="s">
        <v>870</v>
      </c>
    </row>
    <row r="1677" spans="1:2" x14ac:dyDescent="0.25">
      <c r="A1677">
        <v>992950</v>
      </c>
      <c r="B1677" s="29" t="s">
        <v>870</v>
      </c>
    </row>
    <row r="1678" spans="1:2" x14ac:dyDescent="0.25">
      <c r="A1678">
        <v>992950</v>
      </c>
      <c r="B1678" s="29" t="s">
        <v>870</v>
      </c>
    </row>
    <row r="1679" spans="1:2" x14ac:dyDescent="0.25">
      <c r="A1679">
        <v>992950</v>
      </c>
      <c r="B1679" s="29" t="s">
        <v>870</v>
      </c>
    </row>
    <row r="1680" spans="1:2" x14ac:dyDescent="0.25">
      <c r="A1680">
        <v>992950</v>
      </c>
      <c r="B1680" s="29" t="s">
        <v>870</v>
      </c>
    </row>
    <row r="1681" spans="1:2" x14ac:dyDescent="0.25">
      <c r="A1681">
        <v>992950</v>
      </c>
      <c r="B1681" s="29" t="s">
        <v>870</v>
      </c>
    </row>
    <row r="1682" spans="1:2" x14ac:dyDescent="0.25">
      <c r="A1682">
        <v>992950</v>
      </c>
      <c r="B1682" s="29" t="s">
        <v>870</v>
      </c>
    </row>
    <row r="1683" spans="1:2" x14ac:dyDescent="0.25">
      <c r="A1683">
        <v>992950</v>
      </c>
      <c r="B1683" s="29" t="s">
        <v>870</v>
      </c>
    </row>
    <row r="1684" spans="1:2" x14ac:dyDescent="0.25">
      <c r="A1684">
        <v>992950</v>
      </c>
      <c r="B1684" s="29" t="s">
        <v>870</v>
      </c>
    </row>
    <row r="1685" spans="1:2" x14ac:dyDescent="0.25">
      <c r="A1685">
        <v>992950</v>
      </c>
      <c r="B1685" s="29" t="s">
        <v>870</v>
      </c>
    </row>
    <row r="1686" spans="1:2" x14ac:dyDescent="0.25">
      <c r="A1686">
        <v>990036</v>
      </c>
      <c r="B1686" s="29" t="s">
        <v>871</v>
      </c>
    </row>
    <row r="1687" spans="1:2" x14ac:dyDescent="0.25">
      <c r="A1687">
        <v>990036</v>
      </c>
      <c r="B1687" s="29" t="s">
        <v>871</v>
      </c>
    </row>
    <row r="1688" spans="1:2" x14ac:dyDescent="0.25">
      <c r="A1688">
        <v>990036</v>
      </c>
      <c r="B1688" s="29" t="s">
        <v>871</v>
      </c>
    </row>
    <row r="1689" spans="1:2" x14ac:dyDescent="0.25">
      <c r="A1689">
        <v>990036</v>
      </c>
      <c r="B1689" s="29" t="s">
        <v>871</v>
      </c>
    </row>
    <row r="1690" spans="1:2" x14ac:dyDescent="0.25">
      <c r="A1690">
        <v>990036</v>
      </c>
      <c r="B1690" s="29" t="s">
        <v>871</v>
      </c>
    </row>
    <row r="1691" spans="1:2" x14ac:dyDescent="0.25">
      <c r="A1691">
        <v>990036</v>
      </c>
      <c r="B1691" s="29" t="s">
        <v>871</v>
      </c>
    </row>
    <row r="1692" spans="1:2" x14ac:dyDescent="0.25">
      <c r="A1692">
        <v>990036</v>
      </c>
      <c r="B1692" s="29" t="s">
        <v>871</v>
      </c>
    </row>
    <row r="1693" spans="1:2" x14ac:dyDescent="0.25">
      <c r="A1693">
        <v>990036</v>
      </c>
      <c r="B1693" s="29" t="s">
        <v>871</v>
      </c>
    </row>
    <row r="1694" spans="1:2" x14ac:dyDescent="0.25">
      <c r="A1694">
        <v>990036</v>
      </c>
      <c r="B1694" s="29" t="s">
        <v>871</v>
      </c>
    </row>
    <row r="1695" spans="1:2" x14ac:dyDescent="0.25">
      <c r="A1695">
        <v>990036</v>
      </c>
      <c r="B1695" s="29" t="s">
        <v>871</v>
      </c>
    </row>
    <row r="1696" spans="1:2" x14ac:dyDescent="0.25">
      <c r="A1696">
        <v>990036</v>
      </c>
      <c r="B1696" s="29" t="s">
        <v>871</v>
      </c>
    </row>
    <row r="1697" spans="1:2" x14ac:dyDescent="0.25">
      <c r="A1697">
        <v>990036</v>
      </c>
      <c r="B1697" s="29" t="s">
        <v>871</v>
      </c>
    </row>
    <row r="1698" spans="1:2" x14ac:dyDescent="0.25">
      <c r="A1698">
        <v>990037</v>
      </c>
      <c r="B1698" s="29" t="s">
        <v>872</v>
      </c>
    </row>
    <row r="1699" spans="1:2" x14ac:dyDescent="0.25">
      <c r="A1699">
        <v>990037</v>
      </c>
      <c r="B1699" s="29" t="s">
        <v>872</v>
      </c>
    </row>
    <row r="1700" spans="1:2" x14ac:dyDescent="0.25">
      <c r="A1700">
        <v>990037</v>
      </c>
      <c r="B1700" s="29" t="s">
        <v>872</v>
      </c>
    </row>
    <row r="1701" spans="1:2" x14ac:dyDescent="0.25">
      <c r="A1701">
        <v>990037</v>
      </c>
      <c r="B1701" s="29" t="s">
        <v>872</v>
      </c>
    </row>
    <row r="1702" spans="1:2" x14ac:dyDescent="0.25">
      <c r="A1702">
        <v>990037</v>
      </c>
      <c r="B1702" s="29" t="s">
        <v>872</v>
      </c>
    </row>
    <row r="1703" spans="1:2" x14ac:dyDescent="0.25">
      <c r="A1703">
        <v>990037</v>
      </c>
      <c r="B1703" s="29" t="s">
        <v>872</v>
      </c>
    </row>
    <row r="1704" spans="1:2" x14ac:dyDescent="0.25">
      <c r="A1704">
        <v>990037</v>
      </c>
      <c r="B1704" s="29" t="s">
        <v>872</v>
      </c>
    </row>
    <row r="1705" spans="1:2" x14ac:dyDescent="0.25">
      <c r="A1705">
        <v>990037</v>
      </c>
      <c r="B1705" s="29" t="s">
        <v>872</v>
      </c>
    </row>
    <row r="1706" spans="1:2" x14ac:dyDescent="0.25">
      <c r="A1706">
        <v>990037</v>
      </c>
      <c r="B1706" s="29" t="s">
        <v>872</v>
      </c>
    </row>
    <row r="1707" spans="1:2" x14ac:dyDescent="0.25">
      <c r="A1707">
        <v>990037</v>
      </c>
      <c r="B1707" s="29" t="s">
        <v>872</v>
      </c>
    </row>
    <row r="1708" spans="1:2" x14ac:dyDescent="0.25">
      <c r="A1708">
        <v>990037</v>
      </c>
      <c r="B1708" s="29" t="s">
        <v>872</v>
      </c>
    </row>
    <row r="1709" spans="1:2" x14ac:dyDescent="0.25">
      <c r="A1709">
        <v>990037</v>
      </c>
      <c r="B1709" s="29" t="s">
        <v>872</v>
      </c>
    </row>
    <row r="1710" spans="1:2" x14ac:dyDescent="0.25">
      <c r="A1710">
        <v>990037</v>
      </c>
      <c r="B1710" s="29" t="s">
        <v>872</v>
      </c>
    </row>
    <row r="1711" spans="1:2" x14ac:dyDescent="0.25">
      <c r="A1711">
        <v>990037</v>
      </c>
      <c r="B1711" s="29" t="s">
        <v>872</v>
      </c>
    </row>
    <row r="1712" spans="1:2" x14ac:dyDescent="0.25">
      <c r="A1712">
        <v>990037</v>
      </c>
      <c r="B1712" s="29" t="s">
        <v>872</v>
      </c>
    </row>
    <row r="1713" spans="1:2" x14ac:dyDescent="0.25">
      <c r="A1713">
        <v>990041</v>
      </c>
      <c r="B1713" s="29" t="s">
        <v>873</v>
      </c>
    </row>
    <row r="1714" spans="1:2" x14ac:dyDescent="0.25">
      <c r="A1714">
        <v>990041</v>
      </c>
      <c r="B1714" s="29" t="s">
        <v>873</v>
      </c>
    </row>
    <row r="1715" spans="1:2" x14ac:dyDescent="0.25">
      <c r="A1715">
        <v>990041</v>
      </c>
      <c r="B1715" s="29" t="s">
        <v>873</v>
      </c>
    </row>
    <row r="1716" spans="1:2" x14ac:dyDescent="0.25">
      <c r="A1716">
        <v>990041</v>
      </c>
      <c r="B1716" s="29" t="s">
        <v>873</v>
      </c>
    </row>
    <row r="1717" spans="1:2" x14ac:dyDescent="0.25">
      <c r="A1717">
        <v>990041</v>
      </c>
      <c r="B1717" s="29" t="s">
        <v>873</v>
      </c>
    </row>
    <row r="1718" spans="1:2" x14ac:dyDescent="0.25">
      <c r="A1718">
        <v>990041</v>
      </c>
      <c r="B1718" s="29" t="s">
        <v>873</v>
      </c>
    </row>
    <row r="1719" spans="1:2" x14ac:dyDescent="0.25">
      <c r="A1719">
        <v>990041</v>
      </c>
      <c r="B1719" s="29" t="s">
        <v>873</v>
      </c>
    </row>
    <row r="1720" spans="1:2" x14ac:dyDescent="0.25">
      <c r="A1720">
        <v>990041</v>
      </c>
      <c r="B1720" s="29" t="s">
        <v>873</v>
      </c>
    </row>
    <row r="1721" spans="1:2" x14ac:dyDescent="0.25">
      <c r="A1721">
        <v>990041</v>
      </c>
      <c r="B1721" s="29" t="s">
        <v>873</v>
      </c>
    </row>
    <row r="1722" spans="1:2" x14ac:dyDescent="0.25">
      <c r="A1722">
        <v>990042</v>
      </c>
      <c r="B1722" s="29" t="s">
        <v>874</v>
      </c>
    </row>
    <row r="1723" spans="1:2" x14ac:dyDescent="0.25">
      <c r="A1723">
        <v>990042</v>
      </c>
      <c r="B1723" s="29" t="s">
        <v>874</v>
      </c>
    </row>
    <row r="1724" spans="1:2" x14ac:dyDescent="0.25">
      <c r="A1724">
        <v>990042</v>
      </c>
      <c r="B1724" s="29" t="s">
        <v>874</v>
      </c>
    </row>
    <row r="1725" spans="1:2" x14ac:dyDescent="0.25">
      <c r="A1725">
        <v>990042</v>
      </c>
      <c r="B1725" s="29" t="s">
        <v>874</v>
      </c>
    </row>
    <row r="1726" spans="1:2" x14ac:dyDescent="0.25">
      <c r="A1726">
        <v>990042</v>
      </c>
      <c r="B1726" s="29" t="s">
        <v>874</v>
      </c>
    </row>
    <row r="1727" spans="1:2" x14ac:dyDescent="0.25">
      <c r="A1727">
        <v>990042</v>
      </c>
      <c r="B1727" s="29" t="s">
        <v>874</v>
      </c>
    </row>
    <row r="1728" spans="1:2" x14ac:dyDescent="0.25">
      <c r="A1728">
        <v>990042</v>
      </c>
      <c r="B1728" s="29" t="s">
        <v>874</v>
      </c>
    </row>
    <row r="1729" spans="1:2" x14ac:dyDescent="0.25">
      <c r="A1729">
        <v>990042</v>
      </c>
      <c r="B1729" s="29" t="s">
        <v>874</v>
      </c>
    </row>
    <row r="1730" spans="1:2" x14ac:dyDescent="0.25">
      <c r="A1730">
        <v>990042</v>
      </c>
      <c r="B1730" s="29" t="s">
        <v>874</v>
      </c>
    </row>
    <row r="1731" spans="1:2" x14ac:dyDescent="0.25">
      <c r="A1731">
        <v>990042</v>
      </c>
      <c r="B1731" s="29" t="s">
        <v>874</v>
      </c>
    </row>
    <row r="1732" spans="1:2" x14ac:dyDescent="0.25">
      <c r="A1732">
        <v>990042</v>
      </c>
      <c r="B1732" s="29" t="s">
        <v>874</v>
      </c>
    </row>
    <row r="1733" spans="1:2" x14ac:dyDescent="0.25">
      <c r="A1733">
        <v>990042</v>
      </c>
      <c r="B1733" s="29" t="s">
        <v>874</v>
      </c>
    </row>
    <row r="1734" spans="1:2" x14ac:dyDescent="0.25">
      <c r="A1734">
        <v>990043</v>
      </c>
      <c r="B1734" s="29" t="s">
        <v>875</v>
      </c>
    </row>
    <row r="1735" spans="1:2" x14ac:dyDescent="0.25">
      <c r="A1735">
        <v>990043</v>
      </c>
      <c r="B1735" s="29" t="s">
        <v>875</v>
      </c>
    </row>
    <row r="1736" spans="1:2" x14ac:dyDescent="0.25">
      <c r="A1736">
        <v>990043</v>
      </c>
      <c r="B1736" s="29" t="s">
        <v>875</v>
      </c>
    </row>
    <row r="1737" spans="1:2" x14ac:dyDescent="0.25">
      <c r="A1737">
        <v>990043</v>
      </c>
      <c r="B1737" s="29" t="s">
        <v>875</v>
      </c>
    </row>
    <row r="1738" spans="1:2" x14ac:dyDescent="0.25">
      <c r="A1738">
        <v>990043</v>
      </c>
      <c r="B1738" s="29" t="s">
        <v>875</v>
      </c>
    </row>
    <row r="1739" spans="1:2" x14ac:dyDescent="0.25">
      <c r="A1739">
        <v>990043</v>
      </c>
      <c r="B1739" s="29" t="s">
        <v>875</v>
      </c>
    </row>
    <row r="1740" spans="1:2" x14ac:dyDescent="0.25">
      <c r="A1740">
        <v>990043</v>
      </c>
      <c r="B1740" s="29" t="s">
        <v>875</v>
      </c>
    </row>
    <row r="1741" spans="1:2" x14ac:dyDescent="0.25">
      <c r="A1741">
        <v>990043</v>
      </c>
      <c r="B1741" s="29" t="s">
        <v>875</v>
      </c>
    </row>
    <row r="1742" spans="1:2" x14ac:dyDescent="0.25">
      <c r="A1742">
        <v>990043</v>
      </c>
      <c r="B1742" s="29" t="s">
        <v>875</v>
      </c>
    </row>
    <row r="1743" spans="1:2" x14ac:dyDescent="0.25">
      <c r="A1743">
        <v>990043</v>
      </c>
      <c r="B1743" s="29" t="s">
        <v>875</v>
      </c>
    </row>
    <row r="1744" spans="1:2" x14ac:dyDescent="0.25">
      <c r="A1744">
        <v>990043</v>
      </c>
      <c r="B1744" s="29" t="s">
        <v>875</v>
      </c>
    </row>
    <row r="1745" spans="1:2" x14ac:dyDescent="0.25">
      <c r="A1745">
        <v>990043</v>
      </c>
      <c r="B1745" s="29" t="s">
        <v>875</v>
      </c>
    </row>
    <row r="1746" spans="1:2" x14ac:dyDescent="0.25">
      <c r="A1746">
        <v>990054</v>
      </c>
      <c r="B1746" s="29" t="s">
        <v>876</v>
      </c>
    </row>
    <row r="1747" spans="1:2" x14ac:dyDescent="0.25">
      <c r="A1747">
        <v>990054</v>
      </c>
      <c r="B1747" s="29" t="s">
        <v>876</v>
      </c>
    </row>
    <row r="1748" spans="1:2" x14ac:dyDescent="0.25">
      <c r="A1748">
        <v>990054</v>
      </c>
      <c r="B1748" s="29" t="s">
        <v>876</v>
      </c>
    </row>
    <row r="1749" spans="1:2" x14ac:dyDescent="0.25">
      <c r="A1749">
        <v>990054</v>
      </c>
      <c r="B1749" s="29" t="s">
        <v>876</v>
      </c>
    </row>
    <row r="1750" spans="1:2" x14ac:dyDescent="0.25">
      <c r="A1750">
        <v>990054</v>
      </c>
      <c r="B1750" s="29" t="s">
        <v>876</v>
      </c>
    </row>
    <row r="1751" spans="1:2" x14ac:dyDescent="0.25">
      <c r="A1751">
        <v>990054</v>
      </c>
      <c r="B1751" s="29" t="s">
        <v>876</v>
      </c>
    </row>
    <row r="1752" spans="1:2" x14ac:dyDescent="0.25">
      <c r="A1752">
        <v>990054</v>
      </c>
      <c r="B1752" s="29" t="s">
        <v>876</v>
      </c>
    </row>
    <row r="1753" spans="1:2" x14ac:dyDescent="0.25">
      <c r="A1753">
        <v>990054</v>
      </c>
      <c r="B1753" s="29" t="s">
        <v>876</v>
      </c>
    </row>
    <row r="1754" spans="1:2" x14ac:dyDescent="0.25">
      <c r="A1754">
        <v>990054</v>
      </c>
      <c r="B1754" s="29" t="s">
        <v>876</v>
      </c>
    </row>
    <row r="1755" spans="1:2" x14ac:dyDescent="0.25">
      <c r="A1755">
        <v>992958</v>
      </c>
      <c r="B1755" s="29" t="s">
        <v>877</v>
      </c>
    </row>
    <row r="1756" spans="1:2" x14ac:dyDescent="0.25">
      <c r="A1756">
        <v>992958</v>
      </c>
      <c r="B1756" s="29" t="s">
        <v>877</v>
      </c>
    </row>
    <row r="1757" spans="1:2" x14ac:dyDescent="0.25">
      <c r="A1757">
        <v>992958</v>
      </c>
      <c r="B1757" s="29" t="s">
        <v>877</v>
      </c>
    </row>
    <row r="1758" spans="1:2" x14ac:dyDescent="0.25">
      <c r="A1758">
        <v>992958</v>
      </c>
      <c r="B1758" s="29" t="s">
        <v>877</v>
      </c>
    </row>
    <row r="1759" spans="1:2" x14ac:dyDescent="0.25">
      <c r="A1759">
        <v>992958</v>
      </c>
      <c r="B1759" s="29" t="s">
        <v>877</v>
      </c>
    </row>
    <row r="1760" spans="1:2" x14ac:dyDescent="0.25">
      <c r="A1760">
        <v>992958</v>
      </c>
      <c r="B1760" s="29" t="s">
        <v>877</v>
      </c>
    </row>
    <row r="1761" spans="1:2" x14ac:dyDescent="0.25">
      <c r="A1761">
        <v>992958</v>
      </c>
      <c r="B1761" s="29" t="s">
        <v>877</v>
      </c>
    </row>
    <row r="1762" spans="1:2" x14ac:dyDescent="0.25">
      <c r="A1762">
        <v>992958</v>
      </c>
      <c r="B1762" s="29" t="s">
        <v>877</v>
      </c>
    </row>
    <row r="1763" spans="1:2" x14ac:dyDescent="0.25">
      <c r="A1763">
        <v>992958</v>
      </c>
      <c r="B1763" s="29" t="s">
        <v>877</v>
      </c>
    </row>
    <row r="1764" spans="1:2" x14ac:dyDescent="0.25">
      <c r="A1764">
        <v>992970</v>
      </c>
      <c r="B1764" s="29" t="s">
        <v>878</v>
      </c>
    </row>
    <row r="1765" spans="1:2" x14ac:dyDescent="0.25">
      <c r="A1765">
        <v>992970</v>
      </c>
      <c r="B1765" s="29" t="s">
        <v>878</v>
      </c>
    </row>
    <row r="1766" spans="1:2" x14ac:dyDescent="0.25">
      <c r="A1766">
        <v>992970</v>
      </c>
      <c r="B1766" s="29" t="s">
        <v>878</v>
      </c>
    </row>
    <row r="1767" spans="1:2" x14ac:dyDescent="0.25">
      <c r="A1767">
        <v>992970</v>
      </c>
      <c r="B1767" s="29" t="s">
        <v>878</v>
      </c>
    </row>
    <row r="1768" spans="1:2" x14ac:dyDescent="0.25">
      <c r="A1768">
        <v>992970</v>
      </c>
      <c r="B1768" s="29" t="s">
        <v>878</v>
      </c>
    </row>
    <row r="1769" spans="1:2" x14ac:dyDescent="0.25">
      <c r="A1769">
        <v>992970</v>
      </c>
      <c r="B1769" s="29" t="s">
        <v>878</v>
      </c>
    </row>
    <row r="1770" spans="1:2" x14ac:dyDescent="0.25">
      <c r="A1770">
        <v>992970</v>
      </c>
      <c r="B1770" s="29" t="s">
        <v>878</v>
      </c>
    </row>
    <row r="1771" spans="1:2" x14ac:dyDescent="0.25">
      <c r="A1771">
        <v>992970</v>
      </c>
      <c r="B1771" s="29" t="s">
        <v>878</v>
      </c>
    </row>
    <row r="1772" spans="1:2" x14ac:dyDescent="0.25">
      <c r="A1772">
        <v>992970</v>
      </c>
      <c r="B1772" s="29" t="s">
        <v>878</v>
      </c>
    </row>
    <row r="1773" spans="1:2" x14ac:dyDescent="0.25">
      <c r="A1773">
        <v>992970</v>
      </c>
      <c r="B1773" s="29" t="s">
        <v>878</v>
      </c>
    </row>
    <row r="1774" spans="1:2" x14ac:dyDescent="0.25">
      <c r="A1774">
        <v>992970</v>
      </c>
      <c r="B1774" s="29" t="s">
        <v>878</v>
      </c>
    </row>
    <row r="1775" spans="1:2" x14ac:dyDescent="0.25">
      <c r="A1775">
        <v>992970</v>
      </c>
      <c r="B1775" s="29" t="s">
        <v>878</v>
      </c>
    </row>
    <row r="1776" spans="1:2" x14ac:dyDescent="0.25">
      <c r="A1776">
        <v>992971</v>
      </c>
      <c r="B1776" s="29" t="s">
        <v>879</v>
      </c>
    </row>
    <row r="1777" spans="1:2" x14ac:dyDescent="0.25">
      <c r="A1777">
        <v>992971</v>
      </c>
      <c r="B1777" s="29" t="s">
        <v>879</v>
      </c>
    </row>
    <row r="1778" spans="1:2" x14ac:dyDescent="0.25">
      <c r="A1778">
        <v>992971</v>
      </c>
      <c r="B1778" s="29" t="s">
        <v>879</v>
      </c>
    </row>
    <row r="1779" spans="1:2" x14ac:dyDescent="0.25">
      <c r="A1779">
        <v>992971</v>
      </c>
      <c r="B1779" s="29" t="s">
        <v>879</v>
      </c>
    </row>
    <row r="1780" spans="1:2" x14ac:dyDescent="0.25">
      <c r="A1780">
        <v>992971</v>
      </c>
      <c r="B1780" s="29" t="s">
        <v>879</v>
      </c>
    </row>
    <row r="1781" spans="1:2" x14ac:dyDescent="0.25">
      <c r="A1781">
        <v>992971</v>
      </c>
      <c r="B1781" s="29" t="s">
        <v>879</v>
      </c>
    </row>
    <row r="1782" spans="1:2" x14ac:dyDescent="0.25">
      <c r="A1782">
        <v>992971</v>
      </c>
      <c r="B1782" s="29" t="s">
        <v>879</v>
      </c>
    </row>
    <row r="1783" spans="1:2" x14ac:dyDescent="0.25">
      <c r="A1783">
        <v>992971</v>
      </c>
      <c r="B1783" s="29" t="s">
        <v>879</v>
      </c>
    </row>
    <row r="1784" spans="1:2" x14ac:dyDescent="0.25">
      <c r="A1784">
        <v>992971</v>
      </c>
      <c r="B1784" s="29" t="s">
        <v>879</v>
      </c>
    </row>
    <row r="1785" spans="1:2" x14ac:dyDescent="0.25">
      <c r="A1785">
        <v>992971</v>
      </c>
      <c r="B1785" s="29" t="s">
        <v>879</v>
      </c>
    </row>
    <row r="1786" spans="1:2" x14ac:dyDescent="0.25">
      <c r="A1786">
        <v>992971</v>
      </c>
      <c r="B1786" s="29" t="s">
        <v>879</v>
      </c>
    </row>
    <row r="1787" spans="1:2" x14ac:dyDescent="0.25">
      <c r="A1787">
        <v>992971</v>
      </c>
      <c r="B1787" s="29" t="s">
        <v>879</v>
      </c>
    </row>
    <row r="1788" spans="1:2" x14ac:dyDescent="0.25">
      <c r="A1788">
        <v>992972</v>
      </c>
      <c r="B1788" s="29" t="s">
        <v>880</v>
      </c>
    </row>
    <row r="1789" spans="1:2" x14ac:dyDescent="0.25">
      <c r="A1789">
        <v>992972</v>
      </c>
      <c r="B1789" s="29" t="s">
        <v>880</v>
      </c>
    </row>
    <row r="1790" spans="1:2" x14ac:dyDescent="0.25">
      <c r="A1790">
        <v>992972</v>
      </c>
      <c r="B1790" s="29" t="s">
        <v>880</v>
      </c>
    </row>
    <row r="1791" spans="1:2" x14ac:dyDescent="0.25">
      <c r="A1791">
        <v>992972</v>
      </c>
      <c r="B1791" s="29" t="s">
        <v>880</v>
      </c>
    </row>
    <row r="1792" spans="1:2" x14ac:dyDescent="0.25">
      <c r="A1792">
        <v>992972</v>
      </c>
      <c r="B1792" s="29" t="s">
        <v>880</v>
      </c>
    </row>
    <row r="1793" spans="1:2" x14ac:dyDescent="0.25">
      <c r="A1793">
        <v>992972</v>
      </c>
      <c r="B1793" s="29" t="s">
        <v>880</v>
      </c>
    </row>
    <row r="1794" spans="1:2" x14ac:dyDescent="0.25">
      <c r="A1794">
        <v>992972</v>
      </c>
      <c r="B1794" s="29" t="s">
        <v>880</v>
      </c>
    </row>
    <row r="1795" spans="1:2" x14ac:dyDescent="0.25">
      <c r="A1795">
        <v>992972</v>
      </c>
      <c r="B1795" s="29" t="s">
        <v>880</v>
      </c>
    </row>
    <row r="1796" spans="1:2" x14ac:dyDescent="0.25">
      <c r="A1796">
        <v>992972</v>
      </c>
      <c r="B1796" s="29" t="s">
        <v>880</v>
      </c>
    </row>
    <row r="1797" spans="1:2" x14ac:dyDescent="0.25">
      <c r="A1797">
        <v>991225</v>
      </c>
      <c r="B1797" s="29" t="s">
        <v>881</v>
      </c>
    </row>
    <row r="1798" spans="1:2" x14ac:dyDescent="0.25">
      <c r="A1798">
        <v>991225</v>
      </c>
      <c r="B1798" s="29" t="s">
        <v>881</v>
      </c>
    </row>
    <row r="1799" spans="1:2" x14ac:dyDescent="0.25">
      <c r="A1799">
        <v>991225</v>
      </c>
      <c r="B1799" s="29" t="s">
        <v>881</v>
      </c>
    </row>
    <row r="1800" spans="1:2" x14ac:dyDescent="0.25">
      <c r="A1800">
        <v>991225</v>
      </c>
      <c r="B1800" s="29" t="s">
        <v>881</v>
      </c>
    </row>
    <row r="1801" spans="1:2" x14ac:dyDescent="0.25">
      <c r="A1801">
        <v>991225</v>
      </c>
      <c r="B1801" s="29" t="s">
        <v>881</v>
      </c>
    </row>
    <row r="1802" spans="1:2" x14ac:dyDescent="0.25">
      <c r="A1802">
        <v>991225</v>
      </c>
      <c r="B1802" s="29" t="s">
        <v>881</v>
      </c>
    </row>
    <row r="1803" spans="1:2" x14ac:dyDescent="0.25">
      <c r="A1803">
        <v>991225</v>
      </c>
      <c r="B1803" s="29" t="s">
        <v>881</v>
      </c>
    </row>
    <row r="1804" spans="1:2" x14ac:dyDescent="0.25">
      <c r="A1804">
        <v>991225</v>
      </c>
      <c r="B1804" s="29" t="s">
        <v>881</v>
      </c>
    </row>
    <row r="1805" spans="1:2" x14ac:dyDescent="0.25">
      <c r="A1805">
        <v>991225</v>
      </c>
      <c r="B1805" s="29" t="s">
        <v>881</v>
      </c>
    </row>
    <row r="1806" spans="1:2" x14ac:dyDescent="0.25">
      <c r="A1806">
        <v>991225</v>
      </c>
      <c r="B1806" s="29" t="s">
        <v>881</v>
      </c>
    </row>
    <row r="1807" spans="1:2" x14ac:dyDescent="0.25">
      <c r="A1807">
        <v>991225</v>
      </c>
      <c r="B1807" s="29" t="s">
        <v>881</v>
      </c>
    </row>
    <row r="1808" spans="1:2" x14ac:dyDescent="0.25">
      <c r="A1808">
        <v>991225</v>
      </c>
      <c r="B1808" s="29" t="s">
        <v>881</v>
      </c>
    </row>
    <row r="1809" spans="1:2" x14ac:dyDescent="0.25">
      <c r="A1809">
        <v>991226</v>
      </c>
      <c r="B1809" s="29" t="s">
        <v>539</v>
      </c>
    </row>
    <row r="1810" spans="1:2" x14ac:dyDescent="0.25">
      <c r="A1810">
        <v>991226</v>
      </c>
      <c r="B1810" s="29" t="s">
        <v>539</v>
      </c>
    </row>
    <row r="1811" spans="1:2" x14ac:dyDescent="0.25">
      <c r="A1811">
        <v>991226</v>
      </c>
      <c r="B1811" s="29" t="s">
        <v>539</v>
      </c>
    </row>
    <row r="1812" spans="1:2" x14ac:dyDescent="0.25">
      <c r="A1812">
        <v>991226</v>
      </c>
      <c r="B1812" s="29" t="s">
        <v>539</v>
      </c>
    </row>
    <row r="1813" spans="1:2" x14ac:dyDescent="0.25">
      <c r="A1813">
        <v>991226</v>
      </c>
      <c r="B1813" s="29" t="s">
        <v>539</v>
      </c>
    </row>
    <row r="1814" spans="1:2" x14ac:dyDescent="0.25">
      <c r="A1814">
        <v>991226</v>
      </c>
      <c r="B1814" s="29" t="s">
        <v>539</v>
      </c>
    </row>
    <row r="1815" spans="1:2" x14ac:dyDescent="0.25">
      <c r="A1815">
        <v>990055</v>
      </c>
      <c r="B1815" s="29" t="s">
        <v>882</v>
      </c>
    </row>
    <row r="1816" spans="1:2" x14ac:dyDescent="0.25">
      <c r="A1816">
        <v>990055</v>
      </c>
      <c r="B1816" s="29" t="s">
        <v>882</v>
      </c>
    </row>
    <row r="1817" spans="1:2" x14ac:dyDescent="0.25">
      <c r="A1817">
        <v>990055</v>
      </c>
      <c r="B1817" s="29" t="s">
        <v>882</v>
      </c>
    </row>
    <row r="1818" spans="1:2" x14ac:dyDescent="0.25">
      <c r="A1818">
        <v>990055</v>
      </c>
      <c r="B1818" s="29" t="s">
        <v>882</v>
      </c>
    </row>
    <row r="1819" spans="1:2" x14ac:dyDescent="0.25">
      <c r="A1819">
        <v>990055</v>
      </c>
      <c r="B1819" s="29" t="s">
        <v>882</v>
      </c>
    </row>
    <row r="1820" spans="1:2" x14ac:dyDescent="0.25">
      <c r="A1820">
        <v>990055</v>
      </c>
      <c r="B1820" s="29" t="s">
        <v>882</v>
      </c>
    </row>
    <row r="1821" spans="1:2" x14ac:dyDescent="0.25">
      <c r="A1821">
        <v>990055</v>
      </c>
      <c r="B1821" s="29" t="s">
        <v>882</v>
      </c>
    </row>
    <row r="1822" spans="1:2" x14ac:dyDescent="0.25">
      <c r="A1822">
        <v>990055</v>
      </c>
      <c r="B1822" s="29" t="s">
        <v>882</v>
      </c>
    </row>
    <row r="1823" spans="1:2" x14ac:dyDescent="0.25">
      <c r="A1823">
        <v>990055</v>
      </c>
      <c r="B1823" s="29" t="s">
        <v>882</v>
      </c>
    </row>
    <row r="1824" spans="1:2" x14ac:dyDescent="0.25">
      <c r="A1824">
        <v>990056</v>
      </c>
      <c r="B1824" s="29" t="s">
        <v>883</v>
      </c>
    </row>
    <row r="1825" spans="1:2" x14ac:dyDescent="0.25">
      <c r="A1825">
        <v>990056</v>
      </c>
      <c r="B1825" s="29" t="s">
        <v>883</v>
      </c>
    </row>
    <row r="1826" spans="1:2" x14ac:dyDescent="0.25">
      <c r="A1826">
        <v>990056</v>
      </c>
      <c r="B1826" s="29" t="s">
        <v>883</v>
      </c>
    </row>
    <row r="1827" spans="1:2" x14ac:dyDescent="0.25">
      <c r="A1827">
        <v>990056</v>
      </c>
      <c r="B1827" s="29" t="s">
        <v>883</v>
      </c>
    </row>
    <row r="1828" spans="1:2" x14ac:dyDescent="0.25">
      <c r="A1828">
        <v>990056</v>
      </c>
      <c r="B1828" s="29" t="s">
        <v>883</v>
      </c>
    </row>
    <row r="1829" spans="1:2" x14ac:dyDescent="0.25">
      <c r="A1829">
        <v>990056</v>
      </c>
      <c r="B1829" s="29" t="s">
        <v>883</v>
      </c>
    </row>
    <row r="1830" spans="1:2" x14ac:dyDescent="0.25">
      <c r="A1830">
        <v>992982</v>
      </c>
      <c r="B1830" s="29" t="s">
        <v>884</v>
      </c>
    </row>
    <row r="1831" spans="1:2" x14ac:dyDescent="0.25">
      <c r="A1831">
        <v>992982</v>
      </c>
      <c r="B1831" s="29" t="s">
        <v>884</v>
      </c>
    </row>
    <row r="1832" spans="1:2" x14ac:dyDescent="0.25">
      <c r="A1832">
        <v>992982</v>
      </c>
      <c r="B1832" s="29" t="s">
        <v>884</v>
      </c>
    </row>
    <row r="1833" spans="1:2" x14ac:dyDescent="0.25">
      <c r="A1833">
        <v>992982</v>
      </c>
      <c r="B1833" s="29" t="s">
        <v>884</v>
      </c>
    </row>
    <row r="1834" spans="1:2" x14ac:dyDescent="0.25">
      <c r="A1834">
        <v>992982</v>
      </c>
      <c r="B1834" s="29" t="s">
        <v>884</v>
      </c>
    </row>
    <row r="1835" spans="1:2" x14ac:dyDescent="0.25">
      <c r="A1835">
        <v>992982</v>
      </c>
      <c r="B1835" s="29" t="s">
        <v>884</v>
      </c>
    </row>
    <row r="1836" spans="1:2" x14ac:dyDescent="0.25">
      <c r="A1836">
        <v>992982</v>
      </c>
      <c r="B1836" s="29" t="s">
        <v>884</v>
      </c>
    </row>
    <row r="1837" spans="1:2" x14ac:dyDescent="0.25">
      <c r="A1837">
        <v>992982</v>
      </c>
      <c r="B1837" s="29" t="s">
        <v>884</v>
      </c>
    </row>
    <row r="1838" spans="1:2" x14ac:dyDescent="0.25">
      <c r="A1838">
        <v>992982</v>
      </c>
      <c r="B1838" s="29" t="s">
        <v>884</v>
      </c>
    </row>
    <row r="1839" spans="1:2" x14ac:dyDescent="0.25">
      <c r="A1839">
        <v>992984</v>
      </c>
      <c r="B1839" s="29" t="s">
        <v>885</v>
      </c>
    </row>
    <row r="1840" spans="1:2" x14ac:dyDescent="0.25">
      <c r="A1840">
        <v>992984</v>
      </c>
      <c r="B1840" s="29" t="s">
        <v>885</v>
      </c>
    </row>
    <row r="1841" spans="1:2" x14ac:dyDescent="0.25">
      <c r="A1841">
        <v>992984</v>
      </c>
      <c r="B1841" s="29" t="s">
        <v>885</v>
      </c>
    </row>
    <row r="1842" spans="1:2" x14ac:dyDescent="0.25">
      <c r="A1842">
        <v>992984</v>
      </c>
      <c r="B1842" s="29" t="s">
        <v>885</v>
      </c>
    </row>
    <row r="1843" spans="1:2" x14ac:dyDescent="0.25">
      <c r="A1843">
        <v>992984</v>
      </c>
      <c r="B1843" s="29" t="s">
        <v>885</v>
      </c>
    </row>
    <row r="1844" spans="1:2" x14ac:dyDescent="0.25">
      <c r="A1844">
        <v>992984</v>
      </c>
      <c r="B1844" s="29" t="s">
        <v>885</v>
      </c>
    </row>
    <row r="1845" spans="1:2" x14ac:dyDescent="0.25">
      <c r="A1845">
        <v>992984</v>
      </c>
      <c r="B1845" s="29" t="s">
        <v>885</v>
      </c>
    </row>
    <row r="1846" spans="1:2" x14ac:dyDescent="0.25">
      <c r="A1846">
        <v>992984</v>
      </c>
      <c r="B1846" s="29" t="s">
        <v>885</v>
      </c>
    </row>
    <row r="1847" spans="1:2" x14ac:dyDescent="0.25">
      <c r="A1847">
        <v>992984</v>
      </c>
      <c r="B1847" s="29" t="s">
        <v>885</v>
      </c>
    </row>
    <row r="1848" spans="1:2" x14ac:dyDescent="0.25">
      <c r="A1848">
        <v>992984</v>
      </c>
      <c r="B1848" s="29" t="s">
        <v>885</v>
      </c>
    </row>
    <row r="1849" spans="1:2" x14ac:dyDescent="0.25">
      <c r="A1849">
        <v>992984</v>
      </c>
      <c r="B1849" s="29" t="s">
        <v>885</v>
      </c>
    </row>
    <row r="1850" spans="1:2" x14ac:dyDescent="0.25">
      <c r="A1850">
        <v>992984</v>
      </c>
      <c r="B1850" s="29" t="s">
        <v>885</v>
      </c>
    </row>
    <row r="1851" spans="1:2" x14ac:dyDescent="0.25">
      <c r="A1851">
        <v>992984</v>
      </c>
      <c r="B1851" s="29" t="s">
        <v>885</v>
      </c>
    </row>
    <row r="1852" spans="1:2" x14ac:dyDescent="0.25">
      <c r="A1852">
        <v>992984</v>
      </c>
      <c r="B1852" s="29" t="s">
        <v>885</v>
      </c>
    </row>
    <row r="1853" spans="1:2" x14ac:dyDescent="0.25">
      <c r="A1853">
        <v>992984</v>
      </c>
      <c r="B1853" s="29" t="s">
        <v>885</v>
      </c>
    </row>
    <row r="1854" spans="1:2" x14ac:dyDescent="0.25">
      <c r="A1854">
        <v>992985</v>
      </c>
      <c r="B1854" s="29" t="s">
        <v>886</v>
      </c>
    </row>
    <row r="1855" spans="1:2" x14ac:dyDescent="0.25">
      <c r="A1855">
        <v>992985</v>
      </c>
      <c r="B1855" s="29" t="s">
        <v>886</v>
      </c>
    </row>
    <row r="1856" spans="1:2" x14ac:dyDescent="0.25">
      <c r="A1856">
        <v>992985</v>
      </c>
      <c r="B1856" s="29" t="s">
        <v>886</v>
      </c>
    </row>
    <row r="1857" spans="1:2" x14ac:dyDescent="0.25">
      <c r="A1857">
        <v>992985</v>
      </c>
      <c r="B1857" s="29" t="s">
        <v>886</v>
      </c>
    </row>
    <row r="1858" spans="1:2" x14ac:dyDescent="0.25">
      <c r="A1858">
        <v>992985</v>
      </c>
      <c r="B1858" s="29" t="s">
        <v>886</v>
      </c>
    </row>
    <row r="1859" spans="1:2" x14ac:dyDescent="0.25">
      <c r="A1859">
        <v>992985</v>
      </c>
      <c r="B1859" s="29" t="s">
        <v>886</v>
      </c>
    </row>
    <row r="1860" spans="1:2" x14ac:dyDescent="0.25">
      <c r="A1860">
        <v>992985</v>
      </c>
      <c r="B1860" s="29" t="s">
        <v>886</v>
      </c>
    </row>
    <row r="1861" spans="1:2" x14ac:dyDescent="0.25">
      <c r="A1861">
        <v>992985</v>
      </c>
      <c r="B1861" s="29" t="s">
        <v>886</v>
      </c>
    </row>
    <row r="1862" spans="1:2" x14ac:dyDescent="0.25">
      <c r="A1862">
        <v>992985</v>
      </c>
      <c r="B1862" s="29" t="s">
        <v>886</v>
      </c>
    </row>
    <row r="1863" spans="1:2" x14ac:dyDescent="0.25">
      <c r="A1863">
        <v>992987</v>
      </c>
      <c r="B1863" s="29" t="s">
        <v>887</v>
      </c>
    </row>
    <row r="1864" spans="1:2" x14ac:dyDescent="0.25">
      <c r="A1864">
        <v>992987</v>
      </c>
      <c r="B1864" s="29" t="s">
        <v>887</v>
      </c>
    </row>
    <row r="1865" spans="1:2" x14ac:dyDescent="0.25">
      <c r="A1865">
        <v>992987</v>
      </c>
      <c r="B1865" s="29" t="s">
        <v>887</v>
      </c>
    </row>
    <row r="1866" spans="1:2" x14ac:dyDescent="0.25">
      <c r="A1866">
        <v>992987</v>
      </c>
      <c r="B1866" s="29" t="s">
        <v>887</v>
      </c>
    </row>
    <row r="1867" spans="1:2" x14ac:dyDescent="0.25">
      <c r="A1867">
        <v>992987</v>
      </c>
      <c r="B1867" s="29" t="s">
        <v>887</v>
      </c>
    </row>
    <row r="1868" spans="1:2" x14ac:dyDescent="0.25">
      <c r="A1868">
        <v>992987</v>
      </c>
      <c r="B1868" s="29" t="s">
        <v>887</v>
      </c>
    </row>
    <row r="1869" spans="1:2" x14ac:dyDescent="0.25">
      <c r="A1869">
        <v>992987</v>
      </c>
      <c r="B1869" s="29" t="s">
        <v>887</v>
      </c>
    </row>
    <row r="1870" spans="1:2" x14ac:dyDescent="0.25">
      <c r="A1870">
        <v>992987</v>
      </c>
      <c r="B1870" s="29" t="s">
        <v>887</v>
      </c>
    </row>
    <row r="1871" spans="1:2" x14ac:dyDescent="0.25">
      <c r="A1871">
        <v>992987</v>
      </c>
      <c r="B1871" s="29" t="s">
        <v>887</v>
      </c>
    </row>
    <row r="1872" spans="1:2" x14ac:dyDescent="0.25">
      <c r="A1872">
        <v>992990</v>
      </c>
      <c r="B1872" s="29" t="s">
        <v>888</v>
      </c>
    </row>
    <row r="1873" spans="1:2" x14ac:dyDescent="0.25">
      <c r="A1873">
        <v>992990</v>
      </c>
      <c r="B1873" s="29" t="s">
        <v>888</v>
      </c>
    </row>
    <row r="1874" spans="1:2" x14ac:dyDescent="0.25">
      <c r="A1874">
        <v>992990</v>
      </c>
      <c r="B1874" s="29" t="s">
        <v>888</v>
      </c>
    </row>
    <row r="1875" spans="1:2" x14ac:dyDescent="0.25">
      <c r="A1875">
        <v>992990</v>
      </c>
      <c r="B1875" s="29" t="s">
        <v>888</v>
      </c>
    </row>
    <row r="1876" spans="1:2" x14ac:dyDescent="0.25">
      <c r="A1876">
        <v>992990</v>
      </c>
      <c r="B1876" s="29" t="s">
        <v>888</v>
      </c>
    </row>
    <row r="1877" spans="1:2" x14ac:dyDescent="0.25">
      <c r="A1877">
        <v>992990</v>
      </c>
      <c r="B1877" s="29" t="s">
        <v>888</v>
      </c>
    </row>
    <row r="1878" spans="1:2" x14ac:dyDescent="0.25">
      <c r="A1878">
        <v>992990</v>
      </c>
      <c r="B1878" s="29" t="s">
        <v>888</v>
      </c>
    </row>
    <row r="1879" spans="1:2" x14ac:dyDescent="0.25">
      <c r="A1879">
        <v>992990</v>
      </c>
      <c r="B1879" s="29" t="s">
        <v>888</v>
      </c>
    </row>
    <row r="1880" spans="1:2" x14ac:dyDescent="0.25">
      <c r="A1880">
        <v>992990</v>
      </c>
      <c r="B1880" s="29" t="s">
        <v>888</v>
      </c>
    </row>
    <row r="1881" spans="1:2" x14ac:dyDescent="0.25">
      <c r="A1881">
        <v>992990</v>
      </c>
      <c r="B1881" s="29" t="s">
        <v>888</v>
      </c>
    </row>
    <row r="1882" spans="1:2" x14ac:dyDescent="0.25">
      <c r="A1882">
        <v>992990</v>
      </c>
      <c r="B1882" s="29" t="s">
        <v>888</v>
      </c>
    </row>
    <row r="1883" spans="1:2" x14ac:dyDescent="0.25">
      <c r="A1883">
        <v>992990</v>
      </c>
      <c r="B1883" s="29" t="s">
        <v>888</v>
      </c>
    </row>
    <row r="1884" spans="1:2" x14ac:dyDescent="0.25">
      <c r="A1884">
        <v>993019</v>
      </c>
      <c r="B1884" s="29" t="s">
        <v>889</v>
      </c>
    </row>
    <row r="1885" spans="1:2" x14ac:dyDescent="0.25">
      <c r="A1885">
        <v>993019</v>
      </c>
      <c r="B1885" s="29" t="s">
        <v>889</v>
      </c>
    </row>
    <row r="1886" spans="1:2" x14ac:dyDescent="0.25">
      <c r="A1886">
        <v>993019</v>
      </c>
      <c r="B1886" s="29" t="s">
        <v>889</v>
      </c>
    </row>
    <row r="1887" spans="1:2" x14ac:dyDescent="0.25">
      <c r="A1887">
        <v>993020</v>
      </c>
      <c r="B1887" s="29" t="s">
        <v>890</v>
      </c>
    </row>
    <row r="1888" spans="1:2" x14ac:dyDescent="0.25">
      <c r="A1888">
        <v>993021</v>
      </c>
      <c r="B1888" s="29" t="s">
        <v>891</v>
      </c>
    </row>
    <row r="1889" spans="1:2" x14ac:dyDescent="0.25">
      <c r="A1889">
        <v>992999</v>
      </c>
      <c r="B1889" s="29" t="s">
        <v>892</v>
      </c>
    </row>
    <row r="1890" spans="1:2" x14ac:dyDescent="0.25">
      <c r="A1890">
        <v>992999</v>
      </c>
      <c r="B1890" s="29" t="s">
        <v>892</v>
      </c>
    </row>
    <row r="1891" spans="1:2" x14ac:dyDescent="0.25">
      <c r="A1891">
        <v>992999</v>
      </c>
      <c r="B1891" s="29" t="s">
        <v>892</v>
      </c>
    </row>
    <row r="1892" spans="1:2" x14ac:dyDescent="0.25">
      <c r="A1892">
        <v>992999</v>
      </c>
      <c r="B1892" s="29" t="s">
        <v>892</v>
      </c>
    </row>
    <row r="1893" spans="1:2" x14ac:dyDescent="0.25">
      <c r="A1893">
        <v>992999</v>
      </c>
      <c r="B1893" s="29" t="s">
        <v>892</v>
      </c>
    </row>
    <row r="1894" spans="1:2" x14ac:dyDescent="0.25">
      <c r="A1894">
        <v>992999</v>
      </c>
      <c r="B1894" s="29" t="s">
        <v>892</v>
      </c>
    </row>
    <row r="1895" spans="1:2" x14ac:dyDescent="0.25">
      <c r="A1895">
        <v>992999</v>
      </c>
      <c r="B1895" s="29" t="s">
        <v>892</v>
      </c>
    </row>
    <row r="1896" spans="1:2" x14ac:dyDescent="0.25">
      <c r="A1896">
        <v>992999</v>
      </c>
      <c r="B1896" s="29" t="s">
        <v>892</v>
      </c>
    </row>
    <row r="1897" spans="1:2" x14ac:dyDescent="0.25">
      <c r="A1897">
        <v>992999</v>
      </c>
      <c r="B1897" s="29" t="s">
        <v>892</v>
      </c>
    </row>
    <row r="1898" spans="1:2" x14ac:dyDescent="0.25">
      <c r="A1898">
        <v>992999</v>
      </c>
      <c r="B1898" s="29" t="s">
        <v>892</v>
      </c>
    </row>
    <row r="1899" spans="1:2" x14ac:dyDescent="0.25">
      <c r="A1899">
        <v>992999</v>
      </c>
      <c r="B1899" s="29" t="s">
        <v>892</v>
      </c>
    </row>
    <row r="1900" spans="1:2" x14ac:dyDescent="0.25">
      <c r="A1900">
        <v>992999</v>
      </c>
      <c r="B1900" s="29" t="s">
        <v>892</v>
      </c>
    </row>
    <row r="1901" spans="1:2" x14ac:dyDescent="0.25">
      <c r="A1901">
        <v>993002</v>
      </c>
      <c r="B1901" s="29" t="s">
        <v>893</v>
      </c>
    </row>
    <row r="1902" spans="1:2" x14ac:dyDescent="0.25">
      <c r="A1902">
        <v>993002</v>
      </c>
      <c r="B1902" s="29" t="s">
        <v>893</v>
      </c>
    </row>
    <row r="1903" spans="1:2" x14ac:dyDescent="0.25">
      <c r="A1903">
        <v>993002</v>
      </c>
      <c r="B1903" s="29" t="s">
        <v>893</v>
      </c>
    </row>
    <row r="1904" spans="1:2" x14ac:dyDescent="0.25">
      <c r="A1904">
        <v>993002</v>
      </c>
      <c r="B1904" s="29" t="s">
        <v>893</v>
      </c>
    </row>
    <row r="1905" spans="1:2" x14ac:dyDescent="0.25">
      <c r="A1905">
        <v>993002</v>
      </c>
      <c r="B1905" s="29" t="s">
        <v>893</v>
      </c>
    </row>
    <row r="1906" spans="1:2" x14ac:dyDescent="0.25">
      <c r="A1906">
        <v>993002</v>
      </c>
      <c r="B1906" s="29" t="s">
        <v>893</v>
      </c>
    </row>
    <row r="1907" spans="1:2" x14ac:dyDescent="0.25">
      <c r="A1907">
        <v>993002</v>
      </c>
      <c r="B1907" s="29" t="s">
        <v>893</v>
      </c>
    </row>
    <row r="1908" spans="1:2" x14ac:dyDescent="0.25">
      <c r="A1908">
        <v>993002</v>
      </c>
      <c r="B1908" s="29" t="s">
        <v>893</v>
      </c>
    </row>
    <row r="1909" spans="1:2" x14ac:dyDescent="0.25">
      <c r="A1909">
        <v>993002</v>
      </c>
      <c r="B1909" s="29" t="s">
        <v>893</v>
      </c>
    </row>
    <row r="1910" spans="1:2" x14ac:dyDescent="0.25">
      <c r="A1910">
        <v>993002</v>
      </c>
      <c r="B1910" s="29" t="s">
        <v>893</v>
      </c>
    </row>
    <row r="1911" spans="1:2" x14ac:dyDescent="0.25">
      <c r="A1911">
        <v>993002</v>
      </c>
      <c r="B1911" s="29" t="s">
        <v>893</v>
      </c>
    </row>
    <row r="1912" spans="1:2" x14ac:dyDescent="0.25">
      <c r="A1912">
        <v>993002</v>
      </c>
      <c r="B1912" s="29" t="s">
        <v>893</v>
      </c>
    </row>
    <row r="1913" spans="1:2" x14ac:dyDescent="0.25">
      <c r="A1913">
        <v>993005</v>
      </c>
      <c r="B1913" s="29" t="s">
        <v>894</v>
      </c>
    </row>
    <row r="1914" spans="1:2" x14ac:dyDescent="0.25">
      <c r="A1914">
        <v>993005</v>
      </c>
      <c r="B1914" s="29" t="s">
        <v>894</v>
      </c>
    </row>
    <row r="1915" spans="1:2" x14ac:dyDescent="0.25">
      <c r="A1915">
        <v>993005</v>
      </c>
      <c r="B1915" s="29" t="s">
        <v>894</v>
      </c>
    </row>
    <row r="1916" spans="1:2" x14ac:dyDescent="0.25">
      <c r="A1916">
        <v>993005</v>
      </c>
      <c r="B1916" s="29" t="s">
        <v>894</v>
      </c>
    </row>
    <row r="1917" spans="1:2" x14ac:dyDescent="0.25">
      <c r="A1917">
        <v>993005</v>
      </c>
      <c r="B1917" s="29" t="s">
        <v>894</v>
      </c>
    </row>
    <row r="1918" spans="1:2" x14ac:dyDescent="0.25">
      <c r="A1918">
        <v>993005</v>
      </c>
      <c r="B1918" s="29" t="s">
        <v>894</v>
      </c>
    </row>
    <row r="1919" spans="1:2" x14ac:dyDescent="0.25">
      <c r="A1919">
        <v>993005</v>
      </c>
      <c r="B1919" s="29" t="s">
        <v>894</v>
      </c>
    </row>
    <row r="1920" spans="1:2" x14ac:dyDescent="0.25">
      <c r="A1920">
        <v>993005</v>
      </c>
      <c r="B1920" s="29" t="s">
        <v>894</v>
      </c>
    </row>
    <row r="1921" spans="1:2" x14ac:dyDescent="0.25">
      <c r="A1921">
        <v>993005</v>
      </c>
      <c r="B1921" s="29" t="s">
        <v>894</v>
      </c>
    </row>
    <row r="1922" spans="1:2" x14ac:dyDescent="0.25">
      <c r="A1922">
        <v>993005</v>
      </c>
      <c r="B1922" s="29" t="s">
        <v>894</v>
      </c>
    </row>
    <row r="1923" spans="1:2" x14ac:dyDescent="0.25">
      <c r="A1923">
        <v>993005</v>
      </c>
      <c r="B1923" s="29" t="s">
        <v>894</v>
      </c>
    </row>
    <row r="1924" spans="1:2" x14ac:dyDescent="0.25">
      <c r="A1924">
        <v>993005</v>
      </c>
      <c r="B1924" s="29" t="s">
        <v>894</v>
      </c>
    </row>
    <row r="1925" spans="1:2" x14ac:dyDescent="0.25">
      <c r="A1925">
        <v>993006</v>
      </c>
      <c r="B1925" s="29" t="s">
        <v>895</v>
      </c>
    </row>
    <row r="1926" spans="1:2" x14ac:dyDescent="0.25">
      <c r="A1926">
        <v>993006</v>
      </c>
      <c r="B1926" s="29" t="s">
        <v>895</v>
      </c>
    </row>
    <row r="1927" spans="1:2" x14ac:dyDescent="0.25">
      <c r="A1927">
        <v>993006</v>
      </c>
      <c r="B1927" s="29" t="s">
        <v>895</v>
      </c>
    </row>
    <row r="1928" spans="1:2" x14ac:dyDescent="0.25">
      <c r="A1928">
        <v>993006</v>
      </c>
      <c r="B1928" s="29" t="s">
        <v>895</v>
      </c>
    </row>
    <row r="1929" spans="1:2" x14ac:dyDescent="0.25">
      <c r="A1929">
        <v>993006</v>
      </c>
      <c r="B1929" s="29" t="s">
        <v>895</v>
      </c>
    </row>
    <row r="1930" spans="1:2" x14ac:dyDescent="0.25">
      <c r="A1930">
        <v>993006</v>
      </c>
      <c r="B1930" s="29" t="s">
        <v>895</v>
      </c>
    </row>
    <row r="1931" spans="1:2" x14ac:dyDescent="0.25">
      <c r="A1931">
        <v>990052</v>
      </c>
      <c r="B1931" s="29" t="s">
        <v>896</v>
      </c>
    </row>
    <row r="1932" spans="1:2" x14ac:dyDescent="0.25">
      <c r="A1932">
        <v>990052</v>
      </c>
      <c r="B1932" s="29" t="s">
        <v>896</v>
      </c>
    </row>
    <row r="1933" spans="1:2" x14ac:dyDescent="0.25">
      <c r="A1933">
        <v>990052</v>
      </c>
      <c r="B1933" s="29" t="s">
        <v>896</v>
      </c>
    </row>
    <row r="1934" spans="1:2" x14ac:dyDescent="0.25">
      <c r="A1934">
        <v>990052</v>
      </c>
      <c r="B1934" s="29" t="s">
        <v>896</v>
      </c>
    </row>
    <row r="1935" spans="1:2" x14ac:dyDescent="0.25">
      <c r="A1935">
        <v>990052</v>
      </c>
      <c r="B1935" s="29" t="s">
        <v>896</v>
      </c>
    </row>
    <row r="1936" spans="1:2" x14ac:dyDescent="0.25">
      <c r="A1936">
        <v>990052</v>
      </c>
      <c r="B1936" s="29" t="s">
        <v>896</v>
      </c>
    </row>
    <row r="1937" spans="1:2" x14ac:dyDescent="0.25">
      <c r="A1937">
        <v>990053</v>
      </c>
      <c r="B1937" s="29" t="s">
        <v>897</v>
      </c>
    </row>
    <row r="1938" spans="1:2" x14ac:dyDescent="0.25">
      <c r="A1938">
        <v>990053</v>
      </c>
      <c r="B1938" s="29" t="s">
        <v>897</v>
      </c>
    </row>
    <row r="1939" spans="1:2" x14ac:dyDescent="0.25">
      <c r="A1939">
        <v>990053</v>
      </c>
      <c r="B1939" s="29" t="s">
        <v>897</v>
      </c>
    </row>
    <row r="1940" spans="1:2" x14ac:dyDescent="0.25">
      <c r="A1940">
        <v>990053</v>
      </c>
      <c r="B1940" s="29" t="s">
        <v>897</v>
      </c>
    </row>
    <row r="1941" spans="1:2" x14ac:dyDescent="0.25">
      <c r="A1941">
        <v>990053</v>
      </c>
      <c r="B1941" s="29" t="s">
        <v>897</v>
      </c>
    </row>
    <row r="1942" spans="1:2" x14ac:dyDescent="0.25">
      <c r="A1942">
        <v>990053</v>
      </c>
      <c r="B1942" s="29" t="s">
        <v>897</v>
      </c>
    </row>
    <row r="1943" spans="1:2" x14ac:dyDescent="0.25">
      <c r="A1943">
        <v>990057</v>
      </c>
      <c r="B1943" s="29" t="s">
        <v>898</v>
      </c>
    </row>
    <row r="1944" spans="1:2" x14ac:dyDescent="0.25">
      <c r="A1944">
        <v>990057</v>
      </c>
      <c r="B1944" s="29" t="s">
        <v>898</v>
      </c>
    </row>
    <row r="1945" spans="1:2" x14ac:dyDescent="0.25">
      <c r="A1945">
        <v>990057</v>
      </c>
      <c r="B1945" s="29" t="s">
        <v>898</v>
      </c>
    </row>
    <row r="1946" spans="1:2" x14ac:dyDescent="0.25">
      <c r="A1946">
        <v>990057</v>
      </c>
      <c r="B1946" s="29" t="s">
        <v>898</v>
      </c>
    </row>
    <row r="1947" spans="1:2" x14ac:dyDescent="0.25">
      <c r="A1947">
        <v>990057</v>
      </c>
      <c r="B1947" s="29" t="s">
        <v>898</v>
      </c>
    </row>
    <row r="1948" spans="1:2" x14ac:dyDescent="0.25">
      <c r="A1948">
        <v>990057</v>
      </c>
      <c r="B1948" s="29" t="s">
        <v>898</v>
      </c>
    </row>
    <row r="1949" spans="1:2" x14ac:dyDescent="0.25">
      <c r="A1949">
        <v>990058</v>
      </c>
      <c r="B1949" s="29" t="s">
        <v>899</v>
      </c>
    </row>
    <row r="1950" spans="1:2" x14ac:dyDescent="0.25">
      <c r="A1950">
        <v>990058</v>
      </c>
      <c r="B1950" s="29" t="s">
        <v>899</v>
      </c>
    </row>
    <row r="1951" spans="1:2" x14ac:dyDescent="0.25">
      <c r="A1951">
        <v>990058</v>
      </c>
      <c r="B1951" s="29" t="s">
        <v>899</v>
      </c>
    </row>
    <row r="1952" spans="1:2" x14ac:dyDescent="0.25">
      <c r="A1952">
        <v>990058</v>
      </c>
      <c r="B1952" s="29" t="s">
        <v>899</v>
      </c>
    </row>
    <row r="1953" spans="1:2" x14ac:dyDescent="0.25">
      <c r="A1953">
        <v>990058</v>
      </c>
      <c r="B1953" s="29" t="s">
        <v>899</v>
      </c>
    </row>
    <row r="1954" spans="1:2" x14ac:dyDescent="0.25">
      <c r="A1954">
        <v>990058</v>
      </c>
      <c r="B1954" s="29" t="s">
        <v>899</v>
      </c>
    </row>
    <row r="1955" spans="1:2" x14ac:dyDescent="0.25">
      <c r="A1955">
        <v>990060</v>
      </c>
      <c r="B1955" s="29" t="s">
        <v>900</v>
      </c>
    </row>
    <row r="1956" spans="1:2" x14ac:dyDescent="0.25">
      <c r="A1956">
        <v>990060</v>
      </c>
      <c r="B1956" s="29" t="s">
        <v>900</v>
      </c>
    </row>
    <row r="1957" spans="1:2" x14ac:dyDescent="0.25">
      <c r="A1957">
        <v>990060</v>
      </c>
      <c r="B1957" s="29" t="s">
        <v>900</v>
      </c>
    </row>
    <row r="1958" spans="1:2" x14ac:dyDescent="0.25">
      <c r="A1958">
        <v>990060</v>
      </c>
      <c r="B1958" s="29" t="s">
        <v>900</v>
      </c>
    </row>
    <row r="1959" spans="1:2" x14ac:dyDescent="0.25">
      <c r="A1959">
        <v>990064</v>
      </c>
      <c r="B1959" s="29" t="s">
        <v>901</v>
      </c>
    </row>
    <row r="1960" spans="1:2" x14ac:dyDescent="0.25">
      <c r="A1960">
        <v>990809</v>
      </c>
      <c r="B1960" s="29" t="s">
        <v>486</v>
      </c>
    </row>
    <row r="1961" spans="1:2" x14ac:dyDescent="0.25">
      <c r="A1961">
        <v>990809</v>
      </c>
      <c r="B1961" s="29" t="s">
        <v>486</v>
      </c>
    </row>
    <row r="1962" spans="1:2" x14ac:dyDescent="0.25">
      <c r="A1962">
        <v>990809</v>
      </c>
      <c r="B1962" s="29" t="s">
        <v>486</v>
      </c>
    </row>
    <row r="1963" spans="1:2" x14ac:dyDescent="0.25">
      <c r="A1963">
        <v>990809</v>
      </c>
      <c r="B1963" s="29" t="s">
        <v>486</v>
      </c>
    </row>
    <row r="1964" spans="1:2" x14ac:dyDescent="0.25">
      <c r="A1964">
        <v>990810</v>
      </c>
      <c r="B1964" s="29" t="s">
        <v>902</v>
      </c>
    </row>
    <row r="1965" spans="1:2" x14ac:dyDescent="0.25">
      <c r="A1965">
        <v>990810</v>
      </c>
      <c r="B1965" s="29" t="s">
        <v>902</v>
      </c>
    </row>
    <row r="1966" spans="1:2" x14ac:dyDescent="0.25">
      <c r="A1966">
        <v>990810</v>
      </c>
      <c r="B1966" s="29" t="s">
        <v>902</v>
      </c>
    </row>
    <row r="1967" spans="1:2" x14ac:dyDescent="0.25">
      <c r="A1967">
        <v>990810</v>
      </c>
      <c r="B1967" s="29" t="s">
        <v>902</v>
      </c>
    </row>
    <row r="1968" spans="1:2" x14ac:dyDescent="0.25">
      <c r="A1968">
        <v>990810</v>
      </c>
      <c r="B1968" s="29" t="s">
        <v>902</v>
      </c>
    </row>
    <row r="1969" spans="1:2" x14ac:dyDescent="0.25">
      <c r="A1969">
        <v>990810</v>
      </c>
      <c r="B1969" s="29" t="s">
        <v>902</v>
      </c>
    </row>
    <row r="1970" spans="1:2" x14ac:dyDescent="0.25">
      <c r="A1970">
        <v>990810</v>
      </c>
      <c r="B1970" s="29" t="s">
        <v>902</v>
      </c>
    </row>
    <row r="1971" spans="1:2" x14ac:dyDescent="0.25">
      <c r="A1971">
        <v>990810</v>
      </c>
      <c r="B1971" s="29" t="s">
        <v>902</v>
      </c>
    </row>
    <row r="1972" spans="1:2" x14ac:dyDescent="0.25">
      <c r="A1972">
        <v>990810</v>
      </c>
      <c r="B1972" s="29" t="s">
        <v>902</v>
      </c>
    </row>
    <row r="1973" spans="1:2" x14ac:dyDescent="0.25">
      <c r="A1973">
        <v>990810</v>
      </c>
      <c r="B1973" s="29" t="s">
        <v>902</v>
      </c>
    </row>
    <row r="1974" spans="1:2" x14ac:dyDescent="0.25">
      <c r="A1974">
        <v>990810</v>
      </c>
      <c r="B1974" s="29" t="s">
        <v>902</v>
      </c>
    </row>
    <row r="1975" spans="1:2" x14ac:dyDescent="0.25">
      <c r="A1975">
        <v>990810</v>
      </c>
      <c r="B1975" s="29" t="s">
        <v>902</v>
      </c>
    </row>
    <row r="1976" spans="1:2" x14ac:dyDescent="0.25">
      <c r="A1976">
        <v>990821</v>
      </c>
      <c r="B1976" s="29" t="s">
        <v>903</v>
      </c>
    </row>
    <row r="1977" spans="1:2" x14ac:dyDescent="0.25">
      <c r="A1977">
        <v>990821</v>
      </c>
      <c r="B1977" s="29" t="s">
        <v>903</v>
      </c>
    </row>
    <row r="1978" spans="1:2" x14ac:dyDescent="0.25">
      <c r="A1978">
        <v>993011</v>
      </c>
      <c r="B1978" s="29" t="s">
        <v>904</v>
      </c>
    </row>
    <row r="1979" spans="1:2" x14ac:dyDescent="0.25">
      <c r="A1979">
        <v>993011</v>
      </c>
      <c r="B1979" s="29" t="s">
        <v>904</v>
      </c>
    </row>
    <row r="1980" spans="1:2" x14ac:dyDescent="0.25">
      <c r="A1980">
        <v>993011</v>
      </c>
      <c r="B1980" s="29" t="s">
        <v>904</v>
      </c>
    </row>
    <row r="1981" spans="1:2" x14ac:dyDescent="0.25">
      <c r="A1981">
        <v>993011</v>
      </c>
      <c r="B1981" s="29" t="s">
        <v>904</v>
      </c>
    </row>
    <row r="1982" spans="1:2" x14ac:dyDescent="0.25">
      <c r="A1982">
        <v>993011</v>
      </c>
      <c r="B1982" s="29" t="s">
        <v>904</v>
      </c>
    </row>
    <row r="1983" spans="1:2" x14ac:dyDescent="0.25">
      <c r="A1983">
        <v>993011</v>
      </c>
      <c r="B1983" s="29" t="s">
        <v>904</v>
      </c>
    </row>
    <row r="1984" spans="1:2" x14ac:dyDescent="0.25">
      <c r="A1984">
        <v>990831</v>
      </c>
      <c r="B1984" s="29" t="s">
        <v>905</v>
      </c>
    </row>
    <row r="1985" spans="1:2" x14ac:dyDescent="0.25">
      <c r="A1985">
        <v>993013</v>
      </c>
      <c r="B1985" s="29" t="s">
        <v>906</v>
      </c>
    </row>
    <row r="1986" spans="1:2" x14ac:dyDescent="0.25">
      <c r="A1986">
        <v>993013</v>
      </c>
      <c r="B1986" s="29" t="s">
        <v>906</v>
      </c>
    </row>
    <row r="1987" spans="1:2" x14ac:dyDescent="0.25">
      <c r="A1987">
        <v>993013</v>
      </c>
      <c r="B1987" s="29" t="s">
        <v>906</v>
      </c>
    </row>
    <row r="1988" spans="1:2" x14ac:dyDescent="0.25">
      <c r="A1988">
        <v>993013</v>
      </c>
      <c r="B1988" s="29" t="s">
        <v>906</v>
      </c>
    </row>
    <row r="1989" spans="1:2" x14ac:dyDescent="0.25">
      <c r="A1989">
        <v>993013</v>
      </c>
      <c r="B1989" s="29" t="s">
        <v>906</v>
      </c>
    </row>
    <row r="1990" spans="1:2" x14ac:dyDescent="0.25">
      <c r="A1990">
        <v>993013</v>
      </c>
      <c r="B1990" s="29" t="s">
        <v>906</v>
      </c>
    </row>
    <row r="1991" spans="1:2" x14ac:dyDescent="0.25">
      <c r="A1991">
        <v>991201</v>
      </c>
      <c r="B1991" s="29" t="s">
        <v>514</v>
      </c>
    </row>
    <row r="1992" spans="1:2" x14ac:dyDescent="0.25">
      <c r="A1992">
        <v>991201</v>
      </c>
      <c r="B1992" s="29" t="s">
        <v>514</v>
      </c>
    </row>
    <row r="1993" spans="1:2" x14ac:dyDescent="0.25">
      <c r="A1993">
        <v>991201</v>
      </c>
      <c r="B1993" s="29" t="s">
        <v>514</v>
      </c>
    </row>
    <row r="1994" spans="1:2" x14ac:dyDescent="0.25">
      <c r="A1994">
        <v>991201</v>
      </c>
      <c r="B1994" s="29" t="s">
        <v>514</v>
      </c>
    </row>
    <row r="1995" spans="1:2" x14ac:dyDescent="0.25">
      <c r="A1995">
        <v>993016</v>
      </c>
      <c r="B1995" s="29" t="s">
        <v>907</v>
      </c>
    </row>
    <row r="1996" spans="1:2" x14ac:dyDescent="0.25">
      <c r="A1996">
        <v>993016</v>
      </c>
      <c r="B1996" s="29" t="s">
        <v>907</v>
      </c>
    </row>
    <row r="1997" spans="1:2" x14ac:dyDescent="0.25">
      <c r="A1997">
        <v>993016</v>
      </c>
      <c r="B1997" s="29" t="s">
        <v>907</v>
      </c>
    </row>
    <row r="1998" spans="1:2" x14ac:dyDescent="0.25">
      <c r="A1998">
        <v>993016</v>
      </c>
      <c r="B1998" s="29" t="s">
        <v>907</v>
      </c>
    </row>
    <row r="1999" spans="1:2" x14ac:dyDescent="0.25">
      <c r="A1999">
        <v>993016</v>
      </c>
      <c r="B1999" s="29" t="s">
        <v>907</v>
      </c>
    </row>
    <row r="2000" spans="1:2" x14ac:dyDescent="0.25">
      <c r="A2000">
        <v>993016</v>
      </c>
      <c r="B2000" s="29" t="s">
        <v>907</v>
      </c>
    </row>
    <row r="2001" spans="1:2" x14ac:dyDescent="0.25">
      <c r="A2001">
        <v>993017</v>
      </c>
      <c r="B2001" s="29" t="s">
        <v>908</v>
      </c>
    </row>
    <row r="2002" spans="1:2" x14ac:dyDescent="0.25">
      <c r="A2002">
        <v>993017</v>
      </c>
      <c r="B2002" s="29" t="s">
        <v>908</v>
      </c>
    </row>
    <row r="2003" spans="1:2" x14ac:dyDescent="0.25">
      <c r="A2003">
        <v>993017</v>
      </c>
      <c r="B2003" s="29" t="s">
        <v>908</v>
      </c>
    </row>
    <row r="2004" spans="1:2" x14ac:dyDescent="0.25">
      <c r="A2004">
        <v>993017</v>
      </c>
      <c r="B2004" s="29" t="s">
        <v>908</v>
      </c>
    </row>
    <row r="2005" spans="1:2" x14ac:dyDescent="0.25">
      <c r="A2005">
        <v>993017</v>
      </c>
      <c r="B2005" s="29" t="s">
        <v>908</v>
      </c>
    </row>
    <row r="2006" spans="1:2" x14ac:dyDescent="0.25">
      <c r="A2006">
        <v>993017</v>
      </c>
      <c r="B2006" s="29" t="s">
        <v>908</v>
      </c>
    </row>
    <row r="2007" spans="1:2" x14ac:dyDescent="0.25">
      <c r="A2007">
        <v>993791</v>
      </c>
      <c r="B2007" s="29" t="s">
        <v>909</v>
      </c>
    </row>
    <row r="2008" spans="1:2" x14ac:dyDescent="0.25">
      <c r="A2008">
        <v>993791</v>
      </c>
      <c r="B2008" s="29" t="s">
        <v>909</v>
      </c>
    </row>
    <row r="2009" spans="1:2" x14ac:dyDescent="0.25">
      <c r="A2009">
        <v>993791</v>
      </c>
      <c r="B2009" s="29" t="s">
        <v>909</v>
      </c>
    </row>
    <row r="2010" spans="1:2" x14ac:dyDescent="0.25">
      <c r="A2010">
        <v>993791</v>
      </c>
      <c r="B2010" s="29" t="s">
        <v>909</v>
      </c>
    </row>
    <row r="2011" spans="1:2" x14ac:dyDescent="0.25">
      <c r="A2011">
        <v>993791</v>
      </c>
      <c r="B2011" s="29" t="s">
        <v>909</v>
      </c>
    </row>
    <row r="2012" spans="1:2" x14ac:dyDescent="0.25">
      <c r="A2012">
        <v>993791</v>
      </c>
      <c r="B2012" s="29" t="s">
        <v>909</v>
      </c>
    </row>
    <row r="2013" spans="1:2" x14ac:dyDescent="0.25">
      <c r="A2013">
        <v>991207</v>
      </c>
      <c r="B2013" s="29" t="s">
        <v>520</v>
      </c>
    </row>
    <row r="2014" spans="1:2" x14ac:dyDescent="0.25">
      <c r="A2014">
        <v>991207</v>
      </c>
      <c r="B2014" s="29" t="s">
        <v>520</v>
      </c>
    </row>
    <row r="2015" spans="1:2" x14ac:dyDescent="0.25">
      <c r="A2015">
        <v>991216</v>
      </c>
      <c r="B2015" s="29" t="s">
        <v>529</v>
      </c>
    </row>
    <row r="2016" spans="1:2" x14ac:dyDescent="0.25">
      <c r="A2016">
        <v>991216</v>
      </c>
      <c r="B2016" s="29" t="s">
        <v>529</v>
      </c>
    </row>
    <row r="2017" spans="1:2" x14ac:dyDescent="0.25">
      <c r="A2017">
        <v>991219</v>
      </c>
      <c r="B2017" s="29" t="s">
        <v>532</v>
      </c>
    </row>
    <row r="2018" spans="1:2" x14ac:dyDescent="0.25">
      <c r="A2018">
        <v>991219</v>
      </c>
      <c r="B2018" s="29" t="s">
        <v>532</v>
      </c>
    </row>
    <row r="2019" spans="1:2" x14ac:dyDescent="0.25">
      <c r="A2019">
        <v>991219</v>
      </c>
      <c r="B2019" s="29" t="s">
        <v>532</v>
      </c>
    </row>
    <row r="2020" spans="1:2" x14ac:dyDescent="0.25">
      <c r="A2020">
        <v>991219</v>
      </c>
      <c r="B2020" s="29" t="s">
        <v>532</v>
      </c>
    </row>
    <row r="2021" spans="1:2" x14ac:dyDescent="0.25">
      <c r="A2021">
        <v>991219</v>
      </c>
      <c r="B2021" s="29" t="s">
        <v>532</v>
      </c>
    </row>
    <row r="2022" spans="1:2" x14ac:dyDescent="0.25">
      <c r="A2022">
        <v>991219</v>
      </c>
      <c r="B2022" s="29" t="s">
        <v>532</v>
      </c>
    </row>
    <row r="2023" spans="1:2" x14ac:dyDescent="0.25">
      <c r="A2023">
        <v>991220</v>
      </c>
      <c r="B2023" s="29" t="s">
        <v>533</v>
      </c>
    </row>
    <row r="2024" spans="1:2" x14ac:dyDescent="0.25">
      <c r="A2024">
        <v>991220</v>
      </c>
      <c r="B2024" s="29" t="s">
        <v>533</v>
      </c>
    </row>
    <row r="2025" spans="1:2" x14ac:dyDescent="0.25">
      <c r="A2025">
        <v>991220</v>
      </c>
      <c r="B2025" s="29" t="s">
        <v>533</v>
      </c>
    </row>
    <row r="2026" spans="1:2" x14ac:dyDescent="0.25">
      <c r="A2026">
        <v>991220</v>
      </c>
      <c r="B2026" s="29" t="s">
        <v>533</v>
      </c>
    </row>
    <row r="2027" spans="1:2" x14ac:dyDescent="0.25">
      <c r="A2027">
        <v>994151</v>
      </c>
      <c r="B2027" s="29" t="s">
        <v>910</v>
      </c>
    </row>
    <row r="2028" spans="1:2" x14ac:dyDescent="0.25">
      <c r="A2028">
        <v>994151</v>
      </c>
      <c r="B2028" s="29" t="s">
        <v>910</v>
      </c>
    </row>
    <row r="2029" spans="1:2" x14ac:dyDescent="0.25">
      <c r="A2029">
        <v>994154</v>
      </c>
      <c r="B2029" s="29" t="s">
        <v>911</v>
      </c>
    </row>
    <row r="2030" spans="1:2" x14ac:dyDescent="0.25">
      <c r="A2030">
        <v>994154</v>
      </c>
      <c r="B2030" s="29" t="s">
        <v>911</v>
      </c>
    </row>
    <row r="2031" spans="1:2" x14ac:dyDescent="0.25">
      <c r="A2031">
        <v>994154</v>
      </c>
      <c r="B2031" s="29" t="s">
        <v>911</v>
      </c>
    </row>
    <row r="2032" spans="1:2" x14ac:dyDescent="0.25">
      <c r="A2032">
        <v>994154</v>
      </c>
      <c r="B2032" s="29" t="s">
        <v>911</v>
      </c>
    </row>
    <row r="2033" spans="1:2" x14ac:dyDescent="0.25">
      <c r="A2033">
        <v>994154</v>
      </c>
      <c r="B2033" s="29" t="s">
        <v>911</v>
      </c>
    </row>
    <row r="2034" spans="1:2" x14ac:dyDescent="0.25">
      <c r="A2034">
        <v>994154</v>
      </c>
      <c r="B2034" s="29" t="s">
        <v>911</v>
      </c>
    </row>
    <row r="2035" spans="1:2" x14ac:dyDescent="0.25">
      <c r="A2035">
        <v>994154</v>
      </c>
      <c r="B2035" s="29" t="s">
        <v>911</v>
      </c>
    </row>
    <row r="2036" spans="1:2" x14ac:dyDescent="0.25">
      <c r="A2036">
        <v>994154</v>
      </c>
      <c r="B2036" s="29" t="s">
        <v>911</v>
      </c>
    </row>
    <row r="2037" spans="1:2" x14ac:dyDescent="0.25">
      <c r="A2037">
        <v>994154</v>
      </c>
      <c r="B2037" s="29" t="s">
        <v>911</v>
      </c>
    </row>
    <row r="2038" spans="1:2" x14ac:dyDescent="0.25">
      <c r="A2038">
        <v>991230</v>
      </c>
      <c r="B2038" s="29" t="s">
        <v>543</v>
      </c>
    </row>
    <row r="2039" spans="1:2" x14ac:dyDescent="0.25">
      <c r="A2039">
        <v>991230</v>
      </c>
      <c r="B2039" s="29" t="s">
        <v>543</v>
      </c>
    </row>
    <row r="2040" spans="1:2" x14ac:dyDescent="0.25">
      <c r="A2040">
        <v>991230</v>
      </c>
      <c r="B2040" s="29" t="s">
        <v>543</v>
      </c>
    </row>
    <row r="2041" spans="1:2" x14ac:dyDescent="0.25">
      <c r="A2041">
        <v>991230</v>
      </c>
      <c r="B2041" s="29" t="s">
        <v>543</v>
      </c>
    </row>
    <row r="2042" spans="1:2" x14ac:dyDescent="0.25">
      <c r="A2042">
        <v>991230</v>
      </c>
      <c r="B2042" s="29" t="s">
        <v>543</v>
      </c>
    </row>
    <row r="2043" spans="1:2" x14ac:dyDescent="0.25">
      <c r="A2043">
        <v>991230</v>
      </c>
      <c r="B2043" s="29" t="s">
        <v>543</v>
      </c>
    </row>
    <row r="2044" spans="1:2" x14ac:dyDescent="0.25">
      <c r="A2044">
        <v>991231</v>
      </c>
      <c r="B2044" s="29" t="s">
        <v>912</v>
      </c>
    </row>
    <row r="2045" spans="1:2" x14ac:dyDescent="0.25">
      <c r="A2045">
        <v>991231</v>
      </c>
      <c r="B2045" s="29" t="s">
        <v>912</v>
      </c>
    </row>
    <row r="2046" spans="1:2" x14ac:dyDescent="0.25">
      <c r="A2046">
        <v>991231</v>
      </c>
      <c r="B2046" s="29" t="s">
        <v>912</v>
      </c>
    </row>
    <row r="2047" spans="1:2" x14ac:dyDescent="0.25">
      <c r="A2047">
        <v>994164</v>
      </c>
      <c r="B2047" s="29" t="s">
        <v>913</v>
      </c>
    </row>
    <row r="2048" spans="1:2" x14ac:dyDescent="0.25">
      <c r="A2048">
        <v>994164</v>
      </c>
      <c r="B2048" s="29" t="s">
        <v>913</v>
      </c>
    </row>
    <row r="2049" spans="1:2" x14ac:dyDescent="0.25">
      <c r="A2049">
        <v>994164</v>
      </c>
      <c r="B2049" s="29" t="s">
        <v>913</v>
      </c>
    </row>
    <row r="2050" spans="1:2" x14ac:dyDescent="0.25">
      <c r="A2050">
        <v>994164</v>
      </c>
      <c r="B2050" s="29" t="s">
        <v>913</v>
      </c>
    </row>
    <row r="2051" spans="1:2" x14ac:dyDescent="0.25">
      <c r="A2051">
        <v>994164</v>
      </c>
      <c r="B2051" s="29" t="s">
        <v>913</v>
      </c>
    </row>
    <row r="2052" spans="1:2" x14ac:dyDescent="0.25">
      <c r="A2052">
        <v>994164</v>
      </c>
      <c r="B2052" s="29" t="s">
        <v>913</v>
      </c>
    </row>
    <row r="2053" spans="1:2" x14ac:dyDescent="0.25">
      <c r="A2053">
        <v>991245</v>
      </c>
      <c r="B2053" s="29" t="s">
        <v>914</v>
      </c>
    </row>
    <row r="2054" spans="1:2" x14ac:dyDescent="0.25">
      <c r="A2054">
        <v>991245</v>
      </c>
      <c r="B2054" s="29" t="s">
        <v>914</v>
      </c>
    </row>
    <row r="2055" spans="1:2" x14ac:dyDescent="0.25">
      <c r="A2055">
        <v>991245</v>
      </c>
      <c r="B2055" s="29" t="s">
        <v>914</v>
      </c>
    </row>
    <row r="2056" spans="1:2" x14ac:dyDescent="0.25">
      <c r="A2056">
        <v>991245</v>
      </c>
      <c r="B2056" s="29" t="s">
        <v>914</v>
      </c>
    </row>
    <row r="2057" spans="1:2" x14ac:dyDescent="0.25">
      <c r="A2057">
        <v>991245</v>
      </c>
      <c r="B2057" s="29" t="s">
        <v>914</v>
      </c>
    </row>
    <row r="2058" spans="1:2" x14ac:dyDescent="0.25">
      <c r="A2058">
        <v>991245</v>
      </c>
      <c r="B2058" s="29" t="s">
        <v>914</v>
      </c>
    </row>
    <row r="2059" spans="1:2" x14ac:dyDescent="0.25">
      <c r="A2059">
        <v>991247</v>
      </c>
      <c r="B2059" s="29" t="s">
        <v>915</v>
      </c>
    </row>
    <row r="2060" spans="1:2" x14ac:dyDescent="0.25">
      <c r="A2060">
        <v>991247</v>
      </c>
      <c r="B2060" s="29" t="s">
        <v>915</v>
      </c>
    </row>
    <row r="2061" spans="1:2" x14ac:dyDescent="0.25">
      <c r="A2061">
        <v>991247</v>
      </c>
      <c r="B2061" s="29" t="s">
        <v>915</v>
      </c>
    </row>
    <row r="2062" spans="1:2" x14ac:dyDescent="0.25">
      <c r="A2062">
        <v>991247</v>
      </c>
      <c r="B2062" s="29" t="s">
        <v>915</v>
      </c>
    </row>
    <row r="2063" spans="1:2" x14ac:dyDescent="0.25">
      <c r="A2063">
        <v>991247</v>
      </c>
      <c r="B2063" s="29" t="s">
        <v>915</v>
      </c>
    </row>
    <row r="2064" spans="1:2" x14ac:dyDescent="0.25">
      <c r="A2064">
        <v>991247</v>
      </c>
      <c r="B2064" s="29" t="s">
        <v>915</v>
      </c>
    </row>
    <row r="2065" spans="1:2" x14ac:dyDescent="0.25">
      <c r="A2065">
        <v>992949</v>
      </c>
      <c r="B2065" s="29" t="s">
        <v>916</v>
      </c>
    </row>
    <row r="2066" spans="1:2" x14ac:dyDescent="0.25">
      <c r="A2066">
        <v>992949</v>
      </c>
      <c r="B2066" s="29" t="s">
        <v>916</v>
      </c>
    </row>
    <row r="2067" spans="1:2" x14ac:dyDescent="0.25">
      <c r="A2067">
        <v>992949</v>
      </c>
      <c r="B2067" s="29" t="s">
        <v>916</v>
      </c>
    </row>
    <row r="2068" spans="1:2" x14ac:dyDescent="0.25">
      <c r="A2068">
        <v>992949</v>
      </c>
      <c r="B2068" s="29" t="s">
        <v>916</v>
      </c>
    </row>
    <row r="2069" spans="1:2" x14ac:dyDescent="0.25">
      <c r="A2069">
        <v>992949</v>
      </c>
      <c r="B2069" s="29" t="s">
        <v>916</v>
      </c>
    </row>
    <row r="2070" spans="1:2" x14ac:dyDescent="0.25">
      <c r="A2070">
        <v>992949</v>
      </c>
      <c r="B2070" s="29" t="s">
        <v>916</v>
      </c>
    </row>
    <row r="2071" spans="1:2" x14ac:dyDescent="0.25">
      <c r="A2071">
        <v>992949</v>
      </c>
      <c r="B2071" s="29" t="s">
        <v>916</v>
      </c>
    </row>
    <row r="2072" spans="1:2" x14ac:dyDescent="0.25">
      <c r="A2072">
        <v>992949</v>
      </c>
      <c r="B2072" s="29" t="s">
        <v>916</v>
      </c>
    </row>
    <row r="2073" spans="1:2" x14ac:dyDescent="0.25">
      <c r="A2073">
        <v>992949</v>
      </c>
      <c r="B2073" s="29" t="s">
        <v>916</v>
      </c>
    </row>
    <row r="2074" spans="1:2" x14ac:dyDescent="0.25">
      <c r="A2074">
        <v>992952</v>
      </c>
      <c r="B2074" s="29" t="s">
        <v>547</v>
      </c>
    </row>
    <row r="2075" spans="1:2" x14ac:dyDescent="0.25">
      <c r="A2075">
        <v>992952</v>
      </c>
      <c r="B2075" s="29" t="s">
        <v>547</v>
      </c>
    </row>
    <row r="2076" spans="1:2" x14ac:dyDescent="0.25">
      <c r="A2076">
        <v>992952</v>
      </c>
      <c r="B2076" s="29" t="s">
        <v>547</v>
      </c>
    </row>
    <row r="2077" spans="1:2" x14ac:dyDescent="0.25">
      <c r="A2077">
        <v>992952</v>
      </c>
      <c r="B2077" s="29" t="s">
        <v>547</v>
      </c>
    </row>
    <row r="2078" spans="1:2" x14ac:dyDescent="0.25">
      <c r="A2078">
        <v>992953</v>
      </c>
      <c r="B2078" s="29" t="s">
        <v>548</v>
      </c>
    </row>
    <row r="2079" spans="1:2" x14ac:dyDescent="0.25">
      <c r="A2079">
        <v>992954</v>
      </c>
      <c r="B2079" s="29" t="s">
        <v>549</v>
      </c>
    </row>
    <row r="2080" spans="1:2" x14ac:dyDescent="0.25">
      <c r="A2080">
        <v>992955</v>
      </c>
      <c r="B2080" s="29" t="s">
        <v>550</v>
      </c>
    </row>
    <row r="2081" spans="1:2" x14ac:dyDescent="0.25">
      <c r="A2081">
        <v>992956</v>
      </c>
      <c r="B2081" s="29" t="s">
        <v>917</v>
      </c>
    </row>
    <row r="2082" spans="1:2" x14ac:dyDescent="0.25">
      <c r="A2082">
        <v>992956</v>
      </c>
      <c r="B2082" s="29" t="s">
        <v>917</v>
      </c>
    </row>
    <row r="2083" spans="1:2" x14ac:dyDescent="0.25">
      <c r="A2083">
        <v>992956</v>
      </c>
      <c r="B2083" s="29" t="s">
        <v>917</v>
      </c>
    </row>
    <row r="2084" spans="1:2" x14ac:dyDescent="0.25">
      <c r="A2084">
        <v>992956</v>
      </c>
      <c r="B2084" s="29" t="s">
        <v>917</v>
      </c>
    </row>
    <row r="2085" spans="1:2" x14ac:dyDescent="0.25">
      <c r="A2085">
        <v>992956</v>
      </c>
      <c r="B2085" s="29" t="s">
        <v>917</v>
      </c>
    </row>
    <row r="2086" spans="1:2" x14ac:dyDescent="0.25">
      <c r="A2086">
        <v>992956</v>
      </c>
      <c r="B2086" s="29" t="s">
        <v>917</v>
      </c>
    </row>
    <row r="2087" spans="1:2" x14ac:dyDescent="0.25">
      <c r="A2087">
        <v>992962</v>
      </c>
      <c r="B2087" s="29" t="s">
        <v>918</v>
      </c>
    </row>
    <row r="2088" spans="1:2" x14ac:dyDescent="0.25">
      <c r="A2088">
        <v>992962</v>
      </c>
      <c r="B2088" s="29" t="s">
        <v>918</v>
      </c>
    </row>
    <row r="2089" spans="1:2" x14ac:dyDescent="0.25">
      <c r="A2089">
        <v>992962</v>
      </c>
      <c r="B2089" s="29" t="s">
        <v>918</v>
      </c>
    </row>
    <row r="2090" spans="1:2" x14ac:dyDescent="0.25">
      <c r="A2090">
        <v>992962</v>
      </c>
      <c r="B2090" s="29" t="s">
        <v>918</v>
      </c>
    </row>
    <row r="2091" spans="1:2" x14ac:dyDescent="0.25">
      <c r="A2091">
        <v>992963</v>
      </c>
      <c r="B2091" s="29" t="s">
        <v>558</v>
      </c>
    </row>
    <row r="2092" spans="1:2" x14ac:dyDescent="0.25">
      <c r="A2092">
        <v>992963</v>
      </c>
      <c r="B2092" s="29" t="s">
        <v>558</v>
      </c>
    </row>
    <row r="2093" spans="1:2" x14ac:dyDescent="0.25">
      <c r="A2093">
        <v>992967</v>
      </c>
      <c r="B2093" s="29" t="s">
        <v>919</v>
      </c>
    </row>
    <row r="2094" spans="1:2" x14ac:dyDescent="0.25">
      <c r="A2094">
        <v>992967</v>
      </c>
      <c r="B2094" s="29" t="s">
        <v>919</v>
      </c>
    </row>
    <row r="2095" spans="1:2" x14ac:dyDescent="0.25">
      <c r="A2095">
        <v>992967</v>
      </c>
      <c r="B2095" s="29" t="s">
        <v>919</v>
      </c>
    </row>
    <row r="2096" spans="1:2" x14ac:dyDescent="0.25">
      <c r="A2096">
        <v>992967</v>
      </c>
      <c r="B2096" s="29" t="s">
        <v>919</v>
      </c>
    </row>
    <row r="2097" spans="1:2" x14ac:dyDescent="0.25">
      <c r="A2097">
        <v>992967</v>
      </c>
      <c r="B2097" s="29" t="s">
        <v>919</v>
      </c>
    </row>
    <row r="2098" spans="1:2" x14ac:dyDescent="0.25">
      <c r="A2098">
        <v>992967</v>
      </c>
      <c r="B2098" s="29" t="s">
        <v>919</v>
      </c>
    </row>
    <row r="2099" spans="1:2" x14ac:dyDescent="0.25">
      <c r="A2099">
        <v>992967</v>
      </c>
      <c r="B2099" s="29" t="s">
        <v>919</v>
      </c>
    </row>
    <row r="2100" spans="1:2" x14ac:dyDescent="0.25">
      <c r="A2100">
        <v>992967</v>
      </c>
      <c r="B2100" s="29" t="s">
        <v>919</v>
      </c>
    </row>
    <row r="2101" spans="1:2" x14ac:dyDescent="0.25">
      <c r="A2101">
        <v>992967</v>
      </c>
      <c r="B2101" s="29" t="s">
        <v>919</v>
      </c>
    </row>
    <row r="2102" spans="1:2" x14ac:dyDescent="0.25">
      <c r="A2102">
        <v>992968</v>
      </c>
      <c r="B2102" s="29" t="s">
        <v>561</v>
      </c>
    </row>
    <row r="2103" spans="1:2" x14ac:dyDescent="0.25">
      <c r="A2103">
        <v>992968</v>
      </c>
      <c r="B2103" s="29" t="s">
        <v>561</v>
      </c>
    </row>
    <row r="2104" spans="1:2" x14ac:dyDescent="0.25">
      <c r="A2104">
        <v>992968</v>
      </c>
      <c r="B2104" s="29" t="s">
        <v>561</v>
      </c>
    </row>
    <row r="2105" spans="1:2" x14ac:dyDescent="0.25">
      <c r="A2105">
        <v>992968</v>
      </c>
      <c r="B2105" s="29" t="s">
        <v>561</v>
      </c>
    </row>
    <row r="2106" spans="1:2" x14ac:dyDescent="0.25">
      <c r="A2106">
        <v>992973</v>
      </c>
      <c r="B2106" s="29" t="s">
        <v>920</v>
      </c>
    </row>
    <row r="2107" spans="1:2" x14ac:dyDescent="0.25">
      <c r="A2107">
        <v>992973</v>
      </c>
      <c r="B2107" s="29" t="s">
        <v>920</v>
      </c>
    </row>
    <row r="2108" spans="1:2" x14ac:dyDescent="0.25">
      <c r="A2108">
        <v>992973</v>
      </c>
      <c r="B2108" s="29" t="s">
        <v>920</v>
      </c>
    </row>
    <row r="2109" spans="1:2" x14ac:dyDescent="0.25">
      <c r="A2109">
        <v>992973</v>
      </c>
      <c r="B2109" s="29" t="s">
        <v>920</v>
      </c>
    </row>
    <row r="2110" spans="1:2" x14ac:dyDescent="0.25">
      <c r="A2110">
        <v>992973</v>
      </c>
      <c r="B2110" s="29" t="s">
        <v>920</v>
      </c>
    </row>
    <row r="2111" spans="1:2" x14ac:dyDescent="0.25">
      <c r="A2111">
        <v>992973</v>
      </c>
      <c r="B2111" s="29" t="s">
        <v>920</v>
      </c>
    </row>
    <row r="2112" spans="1:2" x14ac:dyDescent="0.25">
      <c r="A2112">
        <v>992973</v>
      </c>
      <c r="B2112" s="29" t="s">
        <v>920</v>
      </c>
    </row>
    <row r="2113" spans="1:2" x14ac:dyDescent="0.25">
      <c r="A2113">
        <v>992973</v>
      </c>
      <c r="B2113" s="29" t="s">
        <v>920</v>
      </c>
    </row>
    <row r="2114" spans="1:2" x14ac:dyDescent="0.25">
      <c r="A2114">
        <v>992973</v>
      </c>
      <c r="B2114" s="29" t="s">
        <v>920</v>
      </c>
    </row>
    <row r="2115" spans="1:2" x14ac:dyDescent="0.25">
      <c r="A2115">
        <v>992973</v>
      </c>
      <c r="B2115" s="29" t="s">
        <v>920</v>
      </c>
    </row>
    <row r="2116" spans="1:2" x14ac:dyDescent="0.25">
      <c r="A2116">
        <v>992973</v>
      </c>
      <c r="B2116" s="29" t="s">
        <v>920</v>
      </c>
    </row>
    <row r="2117" spans="1:2" x14ac:dyDescent="0.25">
      <c r="A2117">
        <v>992973</v>
      </c>
      <c r="B2117" s="29" t="s">
        <v>920</v>
      </c>
    </row>
    <row r="2118" spans="1:2" x14ac:dyDescent="0.25">
      <c r="A2118">
        <v>992983</v>
      </c>
      <c r="B2118" s="29" t="s">
        <v>576</v>
      </c>
    </row>
    <row r="2119" spans="1:2" x14ac:dyDescent="0.25">
      <c r="A2119">
        <v>992983</v>
      </c>
      <c r="B2119" s="29" t="s">
        <v>576</v>
      </c>
    </row>
    <row r="2120" spans="1:2" x14ac:dyDescent="0.25">
      <c r="A2120">
        <v>992983</v>
      </c>
      <c r="B2120" s="29" t="s">
        <v>576</v>
      </c>
    </row>
    <row r="2121" spans="1:2" x14ac:dyDescent="0.25">
      <c r="A2121">
        <v>992983</v>
      </c>
      <c r="B2121" s="29" t="s">
        <v>576</v>
      </c>
    </row>
    <row r="2122" spans="1:2" x14ac:dyDescent="0.25">
      <c r="A2122">
        <v>992986</v>
      </c>
      <c r="B2122" s="29" t="s">
        <v>921</v>
      </c>
    </row>
    <row r="2123" spans="1:2" x14ac:dyDescent="0.25">
      <c r="A2123">
        <v>992986</v>
      </c>
      <c r="B2123" s="29" t="s">
        <v>921</v>
      </c>
    </row>
    <row r="2124" spans="1:2" x14ac:dyDescent="0.25">
      <c r="A2124">
        <v>992986</v>
      </c>
      <c r="B2124" s="29" t="s">
        <v>921</v>
      </c>
    </row>
    <row r="2125" spans="1:2" x14ac:dyDescent="0.25">
      <c r="A2125">
        <v>992986</v>
      </c>
      <c r="B2125" s="29" t="s">
        <v>921</v>
      </c>
    </row>
    <row r="2126" spans="1:2" x14ac:dyDescent="0.25">
      <c r="A2126">
        <v>993003</v>
      </c>
      <c r="B2126" s="29" t="s">
        <v>922</v>
      </c>
    </row>
    <row r="2127" spans="1:2" x14ac:dyDescent="0.25">
      <c r="A2127">
        <v>993003</v>
      </c>
      <c r="B2127" s="29" t="s">
        <v>922</v>
      </c>
    </row>
    <row r="2128" spans="1:2" x14ac:dyDescent="0.25">
      <c r="A2128">
        <v>993003</v>
      </c>
      <c r="B2128" s="29" t="s">
        <v>922</v>
      </c>
    </row>
    <row r="2129" spans="1:2" x14ac:dyDescent="0.25">
      <c r="A2129">
        <v>993003</v>
      </c>
      <c r="B2129" s="29" t="s">
        <v>922</v>
      </c>
    </row>
    <row r="2130" spans="1:2" x14ac:dyDescent="0.25">
      <c r="A2130">
        <v>993004</v>
      </c>
      <c r="B2130" s="29" t="s">
        <v>923</v>
      </c>
    </row>
    <row r="2131" spans="1:2" x14ac:dyDescent="0.25">
      <c r="A2131">
        <v>993004</v>
      </c>
      <c r="B2131" s="29" t="s">
        <v>923</v>
      </c>
    </row>
    <row r="2132" spans="1:2" x14ac:dyDescent="0.25">
      <c r="A2132">
        <v>993004</v>
      </c>
      <c r="B2132" s="29" t="s">
        <v>923</v>
      </c>
    </row>
    <row r="2133" spans="1:2" x14ac:dyDescent="0.25">
      <c r="A2133">
        <v>993004</v>
      </c>
      <c r="B2133" s="29" t="s">
        <v>923</v>
      </c>
    </row>
    <row r="2134" spans="1:2" x14ac:dyDescent="0.25">
      <c r="A2134">
        <v>993007</v>
      </c>
      <c r="B2134" s="29" t="s">
        <v>924</v>
      </c>
    </row>
    <row r="2135" spans="1:2" x14ac:dyDescent="0.25">
      <c r="A2135">
        <v>993007</v>
      </c>
      <c r="B2135" s="29" t="s">
        <v>924</v>
      </c>
    </row>
    <row r="2136" spans="1:2" x14ac:dyDescent="0.25">
      <c r="A2136">
        <v>993007</v>
      </c>
      <c r="B2136" s="29" t="s">
        <v>924</v>
      </c>
    </row>
    <row r="2137" spans="1:2" x14ac:dyDescent="0.25">
      <c r="A2137">
        <v>993007</v>
      </c>
      <c r="B2137" s="29" t="s">
        <v>924</v>
      </c>
    </row>
    <row r="2138" spans="1:2" x14ac:dyDescent="0.25">
      <c r="A2138">
        <v>993007</v>
      </c>
      <c r="B2138" s="29" t="s">
        <v>924</v>
      </c>
    </row>
    <row r="2139" spans="1:2" x14ac:dyDescent="0.25">
      <c r="A2139">
        <v>993007</v>
      </c>
      <c r="B2139" s="29" t="s">
        <v>924</v>
      </c>
    </row>
    <row r="2140" spans="1:2" x14ac:dyDescent="0.25">
      <c r="A2140">
        <v>993008</v>
      </c>
      <c r="B2140" s="29" t="s">
        <v>925</v>
      </c>
    </row>
    <row r="2141" spans="1:2" x14ac:dyDescent="0.25">
      <c r="A2141">
        <v>993008</v>
      </c>
      <c r="B2141" s="29" t="s">
        <v>925</v>
      </c>
    </row>
    <row r="2142" spans="1:2" x14ac:dyDescent="0.25">
      <c r="A2142">
        <v>993009</v>
      </c>
      <c r="B2142" s="29" t="s">
        <v>926</v>
      </c>
    </row>
    <row r="2143" spans="1:2" x14ac:dyDescent="0.25">
      <c r="A2143">
        <v>993009</v>
      </c>
      <c r="B2143" s="29" t="s">
        <v>926</v>
      </c>
    </row>
    <row r="2144" spans="1:2" x14ac:dyDescent="0.25">
      <c r="A2144">
        <v>990004</v>
      </c>
      <c r="B2144" s="29" t="s">
        <v>449</v>
      </c>
    </row>
    <row r="2145" spans="1:2" x14ac:dyDescent="0.25">
      <c r="A2145">
        <v>990004</v>
      </c>
      <c r="B2145" s="29" t="s">
        <v>449</v>
      </c>
    </row>
    <row r="2146" spans="1:2" x14ac:dyDescent="0.25">
      <c r="A2146">
        <v>990004</v>
      </c>
      <c r="B2146" s="29" t="s">
        <v>449</v>
      </c>
    </row>
    <row r="2147" spans="1:2" x14ac:dyDescent="0.25">
      <c r="A2147">
        <v>990004</v>
      </c>
      <c r="B2147" s="29" t="s">
        <v>449</v>
      </c>
    </row>
    <row r="2148" spans="1:2" x14ac:dyDescent="0.25">
      <c r="A2148">
        <v>990004</v>
      </c>
      <c r="B2148" s="29" t="s">
        <v>449</v>
      </c>
    </row>
    <row r="2149" spans="1:2" x14ac:dyDescent="0.25">
      <c r="A2149">
        <v>990004</v>
      </c>
      <c r="B2149" s="29" t="s">
        <v>449</v>
      </c>
    </row>
    <row r="2150" spans="1:2" x14ac:dyDescent="0.25">
      <c r="A2150">
        <v>990004</v>
      </c>
      <c r="B2150" s="29" t="s">
        <v>449</v>
      </c>
    </row>
    <row r="2151" spans="1:2" x14ac:dyDescent="0.25">
      <c r="A2151">
        <v>990004</v>
      </c>
      <c r="B2151" s="29" t="s">
        <v>449</v>
      </c>
    </row>
    <row r="2152" spans="1:2" x14ac:dyDescent="0.25">
      <c r="A2152">
        <v>990004</v>
      </c>
      <c r="B2152" s="29" t="s">
        <v>449</v>
      </c>
    </row>
    <row r="2153" spans="1:2" x14ac:dyDescent="0.25">
      <c r="A2153">
        <v>990004</v>
      </c>
      <c r="B2153" s="29" t="s">
        <v>449</v>
      </c>
    </row>
    <row r="2154" spans="1:2" x14ac:dyDescent="0.25">
      <c r="A2154">
        <v>990004</v>
      </c>
      <c r="B2154" s="29" t="s">
        <v>449</v>
      </c>
    </row>
    <row r="2155" spans="1:2" x14ac:dyDescent="0.25">
      <c r="A2155">
        <v>990004</v>
      </c>
      <c r="B2155" s="29" t="s">
        <v>449</v>
      </c>
    </row>
    <row r="2156" spans="1:2" x14ac:dyDescent="0.25">
      <c r="A2156">
        <v>990004</v>
      </c>
      <c r="B2156" s="29" t="s">
        <v>449</v>
      </c>
    </row>
    <row r="2157" spans="1:2" x14ac:dyDescent="0.25">
      <c r="A2157">
        <v>990004</v>
      </c>
      <c r="B2157" s="29" t="s">
        <v>449</v>
      </c>
    </row>
    <row r="2158" spans="1:2" x14ac:dyDescent="0.25">
      <c r="A2158">
        <v>990004</v>
      </c>
      <c r="B2158" s="29" t="s">
        <v>449</v>
      </c>
    </row>
    <row r="2159" spans="1:2" x14ac:dyDescent="0.25">
      <c r="A2159">
        <v>990004</v>
      </c>
      <c r="B2159" s="29" t="s">
        <v>449</v>
      </c>
    </row>
    <row r="2160" spans="1:2" x14ac:dyDescent="0.25">
      <c r="A2160">
        <v>990004</v>
      </c>
      <c r="B2160" s="29" t="s">
        <v>449</v>
      </c>
    </row>
    <row r="2161" spans="1:2" x14ac:dyDescent="0.25">
      <c r="A2161">
        <v>990004</v>
      </c>
      <c r="B2161" s="29" t="s">
        <v>449</v>
      </c>
    </row>
    <row r="2162" spans="1:2" x14ac:dyDescent="0.25">
      <c r="A2162">
        <v>990005</v>
      </c>
      <c r="B2162" s="29" t="s">
        <v>450</v>
      </c>
    </row>
    <row r="2163" spans="1:2" x14ac:dyDescent="0.25">
      <c r="A2163">
        <v>990005</v>
      </c>
      <c r="B2163" s="29" t="s">
        <v>450</v>
      </c>
    </row>
    <row r="2164" spans="1:2" x14ac:dyDescent="0.25">
      <c r="A2164">
        <v>990005</v>
      </c>
      <c r="B2164" s="29" t="s">
        <v>450</v>
      </c>
    </row>
    <row r="2165" spans="1:2" x14ac:dyDescent="0.25">
      <c r="A2165">
        <v>990005</v>
      </c>
      <c r="B2165" s="29" t="s">
        <v>450</v>
      </c>
    </row>
    <row r="2166" spans="1:2" x14ac:dyDescent="0.25">
      <c r="A2166">
        <v>990005</v>
      </c>
      <c r="B2166" s="29" t="s">
        <v>450</v>
      </c>
    </row>
    <row r="2167" spans="1:2" x14ac:dyDescent="0.25">
      <c r="A2167">
        <v>990005</v>
      </c>
      <c r="B2167" s="29" t="s">
        <v>450</v>
      </c>
    </row>
    <row r="2168" spans="1:2" x14ac:dyDescent="0.25">
      <c r="A2168">
        <v>990005</v>
      </c>
      <c r="B2168" s="29" t="s">
        <v>450</v>
      </c>
    </row>
    <row r="2169" spans="1:2" x14ac:dyDescent="0.25">
      <c r="A2169">
        <v>990005</v>
      </c>
      <c r="B2169" s="29" t="s">
        <v>450</v>
      </c>
    </row>
    <row r="2170" spans="1:2" x14ac:dyDescent="0.25">
      <c r="A2170">
        <v>990005</v>
      </c>
      <c r="B2170" s="29" t="s">
        <v>450</v>
      </c>
    </row>
    <row r="2171" spans="1:2" x14ac:dyDescent="0.25">
      <c r="A2171">
        <v>990005</v>
      </c>
      <c r="B2171" s="29" t="s">
        <v>450</v>
      </c>
    </row>
    <row r="2172" spans="1:2" x14ac:dyDescent="0.25">
      <c r="A2172">
        <v>990005</v>
      </c>
      <c r="B2172" s="29" t="s">
        <v>450</v>
      </c>
    </row>
    <row r="2173" spans="1:2" x14ac:dyDescent="0.25">
      <c r="A2173">
        <v>990005</v>
      </c>
      <c r="B2173" s="29" t="s">
        <v>450</v>
      </c>
    </row>
    <row r="2174" spans="1:2" x14ac:dyDescent="0.25">
      <c r="A2174">
        <v>990005</v>
      </c>
      <c r="B2174" s="29" t="s">
        <v>450</v>
      </c>
    </row>
    <row r="2175" spans="1:2" x14ac:dyDescent="0.25">
      <c r="A2175">
        <v>990005</v>
      </c>
      <c r="B2175" s="29" t="s">
        <v>450</v>
      </c>
    </row>
    <row r="2176" spans="1:2" x14ac:dyDescent="0.25">
      <c r="A2176">
        <v>990005</v>
      </c>
      <c r="B2176" s="29" t="s">
        <v>450</v>
      </c>
    </row>
    <row r="2177" spans="1:2" x14ac:dyDescent="0.25">
      <c r="A2177">
        <v>990005</v>
      </c>
      <c r="B2177" s="29" t="s">
        <v>450</v>
      </c>
    </row>
    <row r="2178" spans="1:2" x14ac:dyDescent="0.25">
      <c r="A2178">
        <v>990005</v>
      </c>
      <c r="B2178" s="29" t="s">
        <v>450</v>
      </c>
    </row>
    <row r="2179" spans="1:2" x14ac:dyDescent="0.25">
      <c r="A2179">
        <v>990005</v>
      </c>
      <c r="B2179" s="29" t="s">
        <v>450</v>
      </c>
    </row>
    <row r="2180" spans="1:2" x14ac:dyDescent="0.25">
      <c r="A2180">
        <v>990005</v>
      </c>
      <c r="B2180" s="29" t="s">
        <v>450</v>
      </c>
    </row>
    <row r="2181" spans="1:2" x14ac:dyDescent="0.25">
      <c r="A2181">
        <v>990005</v>
      </c>
      <c r="B2181" s="29" t="s">
        <v>450</v>
      </c>
    </row>
    <row r="2182" spans="1:2" x14ac:dyDescent="0.25">
      <c r="A2182">
        <v>990005</v>
      </c>
      <c r="B2182" s="29" t="s">
        <v>450</v>
      </c>
    </row>
    <row r="2183" spans="1:2" x14ac:dyDescent="0.25">
      <c r="A2183">
        <v>990005</v>
      </c>
      <c r="B2183" s="29" t="s">
        <v>450</v>
      </c>
    </row>
    <row r="2184" spans="1:2" x14ac:dyDescent="0.25">
      <c r="A2184">
        <v>990005</v>
      </c>
      <c r="B2184" s="29" t="s">
        <v>450</v>
      </c>
    </row>
    <row r="2185" spans="1:2" x14ac:dyDescent="0.25">
      <c r="A2185">
        <v>990005</v>
      </c>
      <c r="B2185" s="29" t="s">
        <v>450</v>
      </c>
    </row>
    <row r="2186" spans="1:2" x14ac:dyDescent="0.25">
      <c r="A2186">
        <v>990008</v>
      </c>
      <c r="B2186" s="29" t="s">
        <v>927</v>
      </c>
    </row>
    <row r="2187" spans="1:2" x14ac:dyDescent="0.25">
      <c r="A2187">
        <v>990008</v>
      </c>
      <c r="B2187" s="29" t="s">
        <v>927</v>
      </c>
    </row>
    <row r="2188" spans="1:2" x14ac:dyDescent="0.25">
      <c r="A2188">
        <v>990008</v>
      </c>
      <c r="B2188" s="29" t="s">
        <v>927</v>
      </c>
    </row>
    <row r="2189" spans="1:2" x14ac:dyDescent="0.25">
      <c r="A2189">
        <v>990008</v>
      </c>
      <c r="B2189" s="29" t="s">
        <v>927</v>
      </c>
    </row>
    <row r="2190" spans="1:2" x14ac:dyDescent="0.25">
      <c r="A2190">
        <v>990008</v>
      </c>
      <c r="B2190" s="29" t="s">
        <v>927</v>
      </c>
    </row>
    <row r="2191" spans="1:2" x14ac:dyDescent="0.25">
      <c r="A2191">
        <v>990008</v>
      </c>
      <c r="B2191" s="29" t="s">
        <v>927</v>
      </c>
    </row>
    <row r="2192" spans="1:2" x14ac:dyDescent="0.25">
      <c r="A2192">
        <v>990008</v>
      </c>
      <c r="B2192" s="29" t="s">
        <v>927</v>
      </c>
    </row>
    <row r="2193" spans="1:2" x14ac:dyDescent="0.25">
      <c r="A2193">
        <v>990008</v>
      </c>
      <c r="B2193" s="29" t="s">
        <v>927</v>
      </c>
    </row>
    <row r="2194" spans="1:2" x14ac:dyDescent="0.25">
      <c r="A2194">
        <v>990008</v>
      </c>
      <c r="B2194" s="29" t="s">
        <v>927</v>
      </c>
    </row>
    <row r="2195" spans="1:2" x14ac:dyDescent="0.25">
      <c r="A2195">
        <v>990013</v>
      </c>
      <c r="B2195" s="29" t="s">
        <v>458</v>
      </c>
    </row>
    <row r="2196" spans="1:2" x14ac:dyDescent="0.25">
      <c r="A2196">
        <v>990013</v>
      </c>
      <c r="B2196" s="29" t="s">
        <v>458</v>
      </c>
    </row>
    <row r="2197" spans="1:2" x14ac:dyDescent="0.25">
      <c r="A2197">
        <v>990013</v>
      </c>
      <c r="B2197" s="29" t="s">
        <v>458</v>
      </c>
    </row>
    <row r="2198" spans="1:2" x14ac:dyDescent="0.25">
      <c r="A2198">
        <v>990013</v>
      </c>
      <c r="B2198" s="29" t="s">
        <v>458</v>
      </c>
    </row>
    <row r="2199" spans="1:2" x14ac:dyDescent="0.25">
      <c r="A2199">
        <v>990013</v>
      </c>
      <c r="B2199" s="29" t="s">
        <v>458</v>
      </c>
    </row>
    <row r="2200" spans="1:2" x14ac:dyDescent="0.25">
      <c r="A2200">
        <v>990013</v>
      </c>
      <c r="B2200" s="29" t="s">
        <v>458</v>
      </c>
    </row>
    <row r="2201" spans="1:2" x14ac:dyDescent="0.25">
      <c r="A2201">
        <v>990013</v>
      </c>
      <c r="B2201" s="29" t="s">
        <v>458</v>
      </c>
    </row>
    <row r="2202" spans="1:2" x14ac:dyDescent="0.25">
      <c r="A2202">
        <v>990013</v>
      </c>
      <c r="B2202" s="29" t="s">
        <v>458</v>
      </c>
    </row>
    <row r="2203" spans="1:2" x14ac:dyDescent="0.25">
      <c r="A2203">
        <v>990013</v>
      </c>
      <c r="B2203" s="29" t="s">
        <v>458</v>
      </c>
    </row>
    <row r="2204" spans="1:2" x14ac:dyDescent="0.25">
      <c r="A2204">
        <v>990013</v>
      </c>
      <c r="B2204" s="29" t="s">
        <v>458</v>
      </c>
    </row>
    <row r="2205" spans="1:2" x14ac:dyDescent="0.25">
      <c r="A2205">
        <v>990013</v>
      </c>
      <c r="B2205" s="29" t="s">
        <v>458</v>
      </c>
    </row>
    <row r="2206" spans="1:2" x14ac:dyDescent="0.25">
      <c r="A2206">
        <v>990013</v>
      </c>
      <c r="B2206" s="29" t="s">
        <v>458</v>
      </c>
    </row>
    <row r="2207" spans="1:2" x14ac:dyDescent="0.25">
      <c r="A2207">
        <v>990013</v>
      </c>
      <c r="B2207" s="29" t="s">
        <v>458</v>
      </c>
    </row>
    <row r="2208" spans="1:2" x14ac:dyDescent="0.25">
      <c r="A2208">
        <v>990013</v>
      </c>
      <c r="B2208" s="29" t="s">
        <v>458</v>
      </c>
    </row>
    <row r="2209" spans="1:2" x14ac:dyDescent="0.25">
      <c r="A2209">
        <v>990013</v>
      </c>
      <c r="B2209" s="29" t="s">
        <v>458</v>
      </c>
    </row>
    <row r="2210" spans="1:2" x14ac:dyDescent="0.25">
      <c r="A2210">
        <v>990013</v>
      </c>
      <c r="B2210" s="29" t="s">
        <v>458</v>
      </c>
    </row>
    <row r="2211" spans="1:2" x14ac:dyDescent="0.25">
      <c r="A2211">
        <v>990013</v>
      </c>
      <c r="B2211" s="29" t="s">
        <v>458</v>
      </c>
    </row>
    <row r="2212" spans="1:2" x14ac:dyDescent="0.25">
      <c r="A2212">
        <v>990013</v>
      </c>
      <c r="B2212" s="29" t="s">
        <v>458</v>
      </c>
    </row>
    <row r="2213" spans="1:2" x14ac:dyDescent="0.25">
      <c r="A2213">
        <v>990013</v>
      </c>
      <c r="B2213" s="29" t="s">
        <v>458</v>
      </c>
    </row>
    <row r="2214" spans="1:2" x14ac:dyDescent="0.25">
      <c r="A2214">
        <v>990013</v>
      </c>
      <c r="B2214" s="29" t="s">
        <v>458</v>
      </c>
    </row>
    <row r="2215" spans="1:2" x14ac:dyDescent="0.25">
      <c r="A2215">
        <v>990013</v>
      </c>
      <c r="B2215" s="29" t="s">
        <v>458</v>
      </c>
    </row>
    <row r="2216" spans="1:2" x14ac:dyDescent="0.25">
      <c r="A2216">
        <v>990013</v>
      </c>
      <c r="B2216" s="29" t="s">
        <v>458</v>
      </c>
    </row>
    <row r="2217" spans="1:2" x14ac:dyDescent="0.25">
      <c r="A2217">
        <v>990013</v>
      </c>
      <c r="B2217" s="29" t="s">
        <v>458</v>
      </c>
    </row>
    <row r="2218" spans="1:2" x14ac:dyDescent="0.25">
      <c r="A2218">
        <v>990013</v>
      </c>
      <c r="B2218" s="29" t="s">
        <v>458</v>
      </c>
    </row>
    <row r="2219" spans="1:2" x14ac:dyDescent="0.25">
      <c r="A2219">
        <v>990013</v>
      </c>
      <c r="B2219" s="29" t="s">
        <v>458</v>
      </c>
    </row>
    <row r="2220" spans="1:2" x14ac:dyDescent="0.25">
      <c r="A2220">
        <v>990013</v>
      </c>
      <c r="B2220" s="29" t="s">
        <v>458</v>
      </c>
    </row>
    <row r="2221" spans="1:2" x14ac:dyDescent="0.25">
      <c r="A2221">
        <v>990013</v>
      </c>
      <c r="B2221" s="29" t="s">
        <v>458</v>
      </c>
    </row>
    <row r="2222" spans="1:2" x14ac:dyDescent="0.25">
      <c r="A2222">
        <v>990013</v>
      </c>
      <c r="B2222" s="29" t="s">
        <v>458</v>
      </c>
    </row>
    <row r="2223" spans="1:2" x14ac:dyDescent="0.25">
      <c r="A2223">
        <v>990013</v>
      </c>
      <c r="B2223" s="29" t="s">
        <v>458</v>
      </c>
    </row>
    <row r="2224" spans="1:2" x14ac:dyDescent="0.25">
      <c r="A2224">
        <v>990013</v>
      </c>
      <c r="B2224" s="29" t="s">
        <v>458</v>
      </c>
    </row>
    <row r="2225" spans="1:2" x14ac:dyDescent="0.25">
      <c r="A2225">
        <v>990013</v>
      </c>
      <c r="B2225" s="29" t="s">
        <v>458</v>
      </c>
    </row>
    <row r="2226" spans="1:2" x14ac:dyDescent="0.25">
      <c r="A2226">
        <v>990013</v>
      </c>
      <c r="B2226" s="29" t="s">
        <v>458</v>
      </c>
    </row>
    <row r="2227" spans="1:2" x14ac:dyDescent="0.25">
      <c r="A2227">
        <v>990013</v>
      </c>
      <c r="B2227" s="29" t="s">
        <v>458</v>
      </c>
    </row>
    <row r="2228" spans="1:2" x14ac:dyDescent="0.25">
      <c r="A2228">
        <v>990013</v>
      </c>
      <c r="B2228" s="29" t="s">
        <v>458</v>
      </c>
    </row>
    <row r="2229" spans="1:2" x14ac:dyDescent="0.25">
      <c r="A2229">
        <v>990013</v>
      </c>
      <c r="B2229" s="29" t="s">
        <v>458</v>
      </c>
    </row>
    <row r="2230" spans="1:2" x14ac:dyDescent="0.25">
      <c r="A2230">
        <v>990013</v>
      </c>
      <c r="B2230" s="29" t="s">
        <v>458</v>
      </c>
    </row>
    <row r="2231" spans="1:2" x14ac:dyDescent="0.25">
      <c r="A2231">
        <v>990015</v>
      </c>
      <c r="B2231" s="29" t="s">
        <v>460</v>
      </c>
    </row>
    <row r="2232" spans="1:2" x14ac:dyDescent="0.25">
      <c r="A2232">
        <v>990015</v>
      </c>
      <c r="B2232" s="29" t="s">
        <v>460</v>
      </c>
    </row>
    <row r="2233" spans="1:2" x14ac:dyDescent="0.25">
      <c r="A2233">
        <v>990015</v>
      </c>
      <c r="B2233" s="29" t="s">
        <v>460</v>
      </c>
    </row>
    <row r="2234" spans="1:2" x14ac:dyDescent="0.25">
      <c r="A2234">
        <v>990015</v>
      </c>
      <c r="B2234" s="29" t="s">
        <v>460</v>
      </c>
    </row>
    <row r="2235" spans="1:2" x14ac:dyDescent="0.25">
      <c r="A2235">
        <v>990015</v>
      </c>
      <c r="B2235" s="29" t="s">
        <v>460</v>
      </c>
    </row>
    <row r="2236" spans="1:2" x14ac:dyDescent="0.25">
      <c r="A2236">
        <v>990015</v>
      </c>
      <c r="B2236" s="29" t="s">
        <v>460</v>
      </c>
    </row>
    <row r="2237" spans="1:2" x14ac:dyDescent="0.25">
      <c r="A2237">
        <v>990015</v>
      </c>
      <c r="B2237" s="29" t="s">
        <v>460</v>
      </c>
    </row>
    <row r="2238" spans="1:2" x14ac:dyDescent="0.25">
      <c r="A2238">
        <v>990015</v>
      </c>
      <c r="B2238" s="29" t="s">
        <v>460</v>
      </c>
    </row>
    <row r="2239" spans="1:2" x14ac:dyDescent="0.25">
      <c r="A2239">
        <v>990015</v>
      </c>
      <c r="B2239" s="29" t="s">
        <v>460</v>
      </c>
    </row>
    <row r="2240" spans="1:2" x14ac:dyDescent="0.25">
      <c r="A2240">
        <v>990015</v>
      </c>
      <c r="B2240" s="29" t="s">
        <v>460</v>
      </c>
    </row>
    <row r="2241" spans="1:2" x14ac:dyDescent="0.25">
      <c r="A2241">
        <v>990015</v>
      </c>
      <c r="B2241" s="29" t="s">
        <v>460</v>
      </c>
    </row>
    <row r="2242" spans="1:2" x14ac:dyDescent="0.25">
      <c r="A2242">
        <v>990015</v>
      </c>
      <c r="B2242" s="29" t="s">
        <v>460</v>
      </c>
    </row>
    <row r="2243" spans="1:2" x14ac:dyDescent="0.25">
      <c r="A2243">
        <v>990018</v>
      </c>
      <c r="B2243" s="29" t="s">
        <v>928</v>
      </c>
    </row>
    <row r="2244" spans="1:2" x14ac:dyDescent="0.25">
      <c r="A2244">
        <v>990018</v>
      </c>
      <c r="B2244" s="29" t="s">
        <v>928</v>
      </c>
    </row>
    <row r="2245" spans="1:2" x14ac:dyDescent="0.25">
      <c r="A2245">
        <v>990018</v>
      </c>
      <c r="B2245" s="29" t="s">
        <v>928</v>
      </c>
    </row>
    <row r="2246" spans="1:2" x14ac:dyDescent="0.25">
      <c r="A2246">
        <v>990018</v>
      </c>
      <c r="B2246" s="29" t="s">
        <v>928</v>
      </c>
    </row>
    <row r="2247" spans="1:2" x14ac:dyDescent="0.25">
      <c r="A2247">
        <v>990018</v>
      </c>
      <c r="B2247" s="29" t="s">
        <v>928</v>
      </c>
    </row>
    <row r="2248" spans="1:2" x14ac:dyDescent="0.25">
      <c r="A2248">
        <v>990018</v>
      </c>
      <c r="B2248" s="29" t="s">
        <v>928</v>
      </c>
    </row>
    <row r="2249" spans="1:2" x14ac:dyDescent="0.25">
      <c r="A2249">
        <v>990025</v>
      </c>
      <c r="B2249" s="29" t="s">
        <v>929</v>
      </c>
    </row>
    <row r="2250" spans="1:2" x14ac:dyDescent="0.25">
      <c r="A2250">
        <v>990025</v>
      </c>
      <c r="B2250" s="29" t="s">
        <v>929</v>
      </c>
    </row>
    <row r="2251" spans="1:2" x14ac:dyDescent="0.25">
      <c r="A2251">
        <v>990025</v>
      </c>
      <c r="B2251" s="29" t="s">
        <v>929</v>
      </c>
    </row>
    <row r="2252" spans="1:2" x14ac:dyDescent="0.25">
      <c r="A2252">
        <v>990025</v>
      </c>
      <c r="B2252" s="29" t="s">
        <v>929</v>
      </c>
    </row>
    <row r="2253" spans="1:2" x14ac:dyDescent="0.25">
      <c r="A2253">
        <v>990025</v>
      </c>
      <c r="B2253" s="29" t="s">
        <v>929</v>
      </c>
    </row>
    <row r="2254" spans="1:2" x14ac:dyDescent="0.25">
      <c r="A2254">
        <v>990025</v>
      </c>
      <c r="B2254" s="29" t="s">
        <v>929</v>
      </c>
    </row>
    <row r="2255" spans="1:2" x14ac:dyDescent="0.25">
      <c r="A2255">
        <v>990028</v>
      </c>
      <c r="B2255" s="29" t="s">
        <v>930</v>
      </c>
    </row>
    <row r="2256" spans="1:2" x14ac:dyDescent="0.25">
      <c r="A2256">
        <v>990028</v>
      </c>
      <c r="B2256" s="29" t="s">
        <v>930</v>
      </c>
    </row>
    <row r="2257" spans="1:2" x14ac:dyDescent="0.25">
      <c r="A2257">
        <v>990028</v>
      </c>
      <c r="B2257" s="29" t="s">
        <v>930</v>
      </c>
    </row>
    <row r="2258" spans="1:2" x14ac:dyDescent="0.25">
      <c r="A2258">
        <v>990028</v>
      </c>
      <c r="B2258" s="29" t="s">
        <v>930</v>
      </c>
    </row>
    <row r="2259" spans="1:2" x14ac:dyDescent="0.25">
      <c r="A2259">
        <v>990028</v>
      </c>
      <c r="B2259" s="29" t="s">
        <v>930</v>
      </c>
    </row>
    <row r="2260" spans="1:2" x14ac:dyDescent="0.25">
      <c r="A2260">
        <v>990028</v>
      </c>
      <c r="B2260" s="29" t="s">
        <v>930</v>
      </c>
    </row>
    <row r="2261" spans="1:2" x14ac:dyDescent="0.25">
      <c r="A2261">
        <v>993012</v>
      </c>
      <c r="B2261" s="29" t="s">
        <v>931</v>
      </c>
    </row>
    <row r="2262" spans="1:2" x14ac:dyDescent="0.25">
      <c r="A2262">
        <v>993012</v>
      </c>
      <c r="B2262" s="29" t="s">
        <v>931</v>
      </c>
    </row>
    <row r="2263" spans="1:2" x14ac:dyDescent="0.25">
      <c r="A2263">
        <v>993012</v>
      </c>
      <c r="B2263" s="29" t="s">
        <v>931</v>
      </c>
    </row>
    <row r="2264" spans="1:2" x14ac:dyDescent="0.25">
      <c r="A2264">
        <v>993012</v>
      </c>
      <c r="B2264" s="29" t="s">
        <v>931</v>
      </c>
    </row>
    <row r="2265" spans="1:2" x14ac:dyDescent="0.25">
      <c r="A2265">
        <v>993012</v>
      </c>
      <c r="B2265" s="29" t="s">
        <v>931</v>
      </c>
    </row>
    <row r="2266" spans="1:2" x14ac:dyDescent="0.25">
      <c r="A2266">
        <v>993012</v>
      </c>
      <c r="B2266" s="29" t="s">
        <v>931</v>
      </c>
    </row>
    <row r="2267" spans="1:2" x14ac:dyDescent="0.25">
      <c r="A2267">
        <v>990832</v>
      </c>
      <c r="B2267" s="29" t="s">
        <v>932</v>
      </c>
    </row>
    <row r="2268" spans="1:2" x14ac:dyDescent="0.25">
      <c r="A2268">
        <v>990832</v>
      </c>
      <c r="B2268" s="29" t="s">
        <v>932</v>
      </c>
    </row>
    <row r="2269" spans="1:2" x14ac:dyDescent="0.25">
      <c r="A2269">
        <v>990833</v>
      </c>
      <c r="B2269" s="29" t="s">
        <v>933</v>
      </c>
    </row>
    <row r="2270" spans="1:2" x14ac:dyDescent="0.25">
      <c r="A2270">
        <v>990833</v>
      </c>
      <c r="B2270" s="29" t="s">
        <v>933</v>
      </c>
    </row>
    <row r="2271" spans="1:2" x14ac:dyDescent="0.25">
      <c r="A2271">
        <v>993972</v>
      </c>
      <c r="B2271" s="29" t="s">
        <v>934</v>
      </c>
    </row>
    <row r="2272" spans="1:2" x14ac:dyDescent="0.25">
      <c r="A2272">
        <v>993972</v>
      </c>
      <c r="B2272" s="29" t="s">
        <v>934</v>
      </c>
    </row>
    <row r="2273" spans="1:2" x14ac:dyDescent="0.25">
      <c r="A2273">
        <v>993972</v>
      </c>
      <c r="B2273" s="29" t="s">
        <v>934</v>
      </c>
    </row>
    <row r="2274" spans="1:2" x14ac:dyDescent="0.25">
      <c r="A2274">
        <v>993972</v>
      </c>
      <c r="B2274" s="29" t="s">
        <v>934</v>
      </c>
    </row>
    <row r="2275" spans="1:2" x14ac:dyDescent="0.25">
      <c r="A2275">
        <v>993972</v>
      </c>
      <c r="B2275" s="29" t="s">
        <v>934</v>
      </c>
    </row>
    <row r="2276" spans="1:2" x14ac:dyDescent="0.25">
      <c r="A2276">
        <v>993972</v>
      </c>
      <c r="B2276" s="29" t="s">
        <v>934</v>
      </c>
    </row>
    <row r="2277" spans="1:2" x14ac:dyDescent="0.25">
      <c r="A2277">
        <v>991232</v>
      </c>
      <c r="B2277" s="29" t="s">
        <v>935</v>
      </c>
    </row>
    <row r="2278" spans="1:2" x14ac:dyDescent="0.25">
      <c r="A2278">
        <v>991232</v>
      </c>
      <c r="B2278" s="29" t="s">
        <v>935</v>
      </c>
    </row>
    <row r="2279" spans="1:2" x14ac:dyDescent="0.25">
      <c r="A2279">
        <v>991232</v>
      </c>
      <c r="B2279" s="29" t="s">
        <v>935</v>
      </c>
    </row>
    <row r="2280" spans="1:2" x14ac:dyDescent="0.25">
      <c r="A2280">
        <v>991232</v>
      </c>
      <c r="B2280" s="29" t="s">
        <v>935</v>
      </c>
    </row>
    <row r="2281" spans="1:2" x14ac:dyDescent="0.25">
      <c r="A2281">
        <v>991232</v>
      </c>
      <c r="B2281" s="29" t="s">
        <v>935</v>
      </c>
    </row>
    <row r="2282" spans="1:2" x14ac:dyDescent="0.25">
      <c r="A2282">
        <v>991232</v>
      </c>
      <c r="B2282" s="29" t="s">
        <v>935</v>
      </c>
    </row>
    <row r="2283" spans="1:2" x14ac:dyDescent="0.25">
      <c r="A2283">
        <v>991233</v>
      </c>
      <c r="B2283" s="29" t="s">
        <v>936</v>
      </c>
    </row>
    <row r="2284" spans="1:2" x14ac:dyDescent="0.25">
      <c r="A2284">
        <v>991233</v>
      </c>
      <c r="B2284" s="29" t="s">
        <v>936</v>
      </c>
    </row>
    <row r="2285" spans="1:2" x14ac:dyDescent="0.25">
      <c r="A2285">
        <v>991233</v>
      </c>
      <c r="B2285" s="29" t="s">
        <v>936</v>
      </c>
    </row>
    <row r="2286" spans="1:2" x14ac:dyDescent="0.25">
      <c r="A2286">
        <v>991233</v>
      </c>
      <c r="B2286" s="29" t="s">
        <v>936</v>
      </c>
    </row>
    <row r="2287" spans="1:2" x14ac:dyDescent="0.25">
      <c r="A2287">
        <v>991233</v>
      </c>
      <c r="B2287" s="29" t="s">
        <v>936</v>
      </c>
    </row>
    <row r="2288" spans="1:2" x14ac:dyDescent="0.25">
      <c r="A2288">
        <v>991233</v>
      </c>
      <c r="B2288" s="29" t="s">
        <v>936</v>
      </c>
    </row>
    <row r="2289" spans="1:2" x14ac:dyDescent="0.25">
      <c r="A2289">
        <v>990009</v>
      </c>
      <c r="B2289" s="29" t="s">
        <v>937</v>
      </c>
    </row>
    <row r="2290" spans="1:2" x14ac:dyDescent="0.25">
      <c r="A2290">
        <v>990009</v>
      </c>
      <c r="B2290" s="29" t="s">
        <v>937</v>
      </c>
    </row>
    <row r="2291" spans="1:2" x14ac:dyDescent="0.25">
      <c r="A2291">
        <v>990009</v>
      </c>
      <c r="B2291" s="29" t="s">
        <v>937</v>
      </c>
    </row>
    <row r="2292" spans="1:2" x14ac:dyDescent="0.25">
      <c r="A2292">
        <v>990009</v>
      </c>
      <c r="B2292" s="29" t="s">
        <v>937</v>
      </c>
    </row>
    <row r="2293" spans="1:2" x14ac:dyDescent="0.25">
      <c r="A2293">
        <v>990009</v>
      </c>
      <c r="B2293" s="29" t="s">
        <v>937</v>
      </c>
    </row>
    <row r="2294" spans="1:2" x14ac:dyDescent="0.25">
      <c r="A2294">
        <v>990009</v>
      </c>
      <c r="B2294" s="29" t="s">
        <v>937</v>
      </c>
    </row>
    <row r="2295" spans="1:2" x14ac:dyDescent="0.25">
      <c r="A2295">
        <v>990010</v>
      </c>
      <c r="B2295" s="29" t="s">
        <v>938</v>
      </c>
    </row>
    <row r="2296" spans="1:2" x14ac:dyDescent="0.25">
      <c r="A2296">
        <v>990010</v>
      </c>
      <c r="B2296" s="29" t="s">
        <v>938</v>
      </c>
    </row>
    <row r="2297" spans="1:2" x14ac:dyDescent="0.25">
      <c r="A2297">
        <v>990017</v>
      </c>
      <c r="B2297" s="29" t="s">
        <v>939</v>
      </c>
    </row>
    <row r="2298" spans="1:2" x14ac:dyDescent="0.25">
      <c r="A2298">
        <v>990017</v>
      </c>
      <c r="B2298" s="29" t="s">
        <v>939</v>
      </c>
    </row>
    <row r="2299" spans="1:2" x14ac:dyDescent="0.25">
      <c r="A2299">
        <v>990017</v>
      </c>
      <c r="B2299" s="29" t="s">
        <v>939</v>
      </c>
    </row>
    <row r="2300" spans="1:2" x14ac:dyDescent="0.25">
      <c r="A2300">
        <v>990020</v>
      </c>
      <c r="B2300" s="29" t="s">
        <v>940</v>
      </c>
    </row>
    <row r="2301" spans="1:2" x14ac:dyDescent="0.25">
      <c r="A2301">
        <v>990020</v>
      </c>
      <c r="B2301" s="29" t="s">
        <v>940</v>
      </c>
    </row>
    <row r="2302" spans="1:2" x14ac:dyDescent="0.25">
      <c r="A2302">
        <v>990020</v>
      </c>
      <c r="B2302" s="29" t="s">
        <v>940</v>
      </c>
    </row>
    <row r="2303" spans="1:2" x14ac:dyDescent="0.25">
      <c r="A2303">
        <v>990020</v>
      </c>
      <c r="B2303" s="29" t="s">
        <v>940</v>
      </c>
    </row>
    <row r="2304" spans="1:2" x14ac:dyDescent="0.25">
      <c r="A2304">
        <v>990020</v>
      </c>
      <c r="B2304" s="29" t="s">
        <v>940</v>
      </c>
    </row>
    <row r="2305" spans="1:2" x14ac:dyDescent="0.25">
      <c r="A2305">
        <v>990020</v>
      </c>
      <c r="B2305" s="29" t="s">
        <v>940</v>
      </c>
    </row>
    <row r="2306" spans="1:2" x14ac:dyDescent="0.25">
      <c r="A2306">
        <v>990021</v>
      </c>
      <c r="B2306" s="29" t="s">
        <v>466</v>
      </c>
    </row>
    <row r="2307" spans="1:2" x14ac:dyDescent="0.25">
      <c r="A2307">
        <v>990021</v>
      </c>
      <c r="B2307" s="29" t="s">
        <v>466</v>
      </c>
    </row>
    <row r="2308" spans="1:2" x14ac:dyDescent="0.25">
      <c r="A2308">
        <v>990024</v>
      </c>
      <c r="B2308" s="29" t="s">
        <v>941</v>
      </c>
    </row>
    <row r="2309" spans="1:2" x14ac:dyDescent="0.25">
      <c r="A2309">
        <v>990024</v>
      </c>
      <c r="B2309" s="29" t="s">
        <v>941</v>
      </c>
    </row>
    <row r="2310" spans="1:2" x14ac:dyDescent="0.25">
      <c r="A2310">
        <v>990026</v>
      </c>
      <c r="B2310" s="29" t="s">
        <v>942</v>
      </c>
    </row>
    <row r="2311" spans="1:2" x14ac:dyDescent="0.25">
      <c r="A2311">
        <v>990026</v>
      </c>
      <c r="B2311" s="29" t="s">
        <v>942</v>
      </c>
    </row>
    <row r="2312" spans="1:2" x14ac:dyDescent="0.25">
      <c r="A2312">
        <v>990026</v>
      </c>
      <c r="B2312" s="29" t="s">
        <v>942</v>
      </c>
    </row>
    <row r="2313" spans="1:2" x14ac:dyDescent="0.25">
      <c r="A2313">
        <v>990026</v>
      </c>
      <c r="B2313" s="29" t="s">
        <v>942</v>
      </c>
    </row>
    <row r="2314" spans="1:2" x14ac:dyDescent="0.25">
      <c r="A2314">
        <v>990026</v>
      </c>
      <c r="B2314" s="29" t="s">
        <v>942</v>
      </c>
    </row>
    <row r="2315" spans="1:2" x14ac:dyDescent="0.25">
      <c r="A2315">
        <v>990026</v>
      </c>
      <c r="B2315" s="29" t="s">
        <v>942</v>
      </c>
    </row>
    <row r="2316" spans="1:2" x14ac:dyDescent="0.25">
      <c r="A2316">
        <v>990027</v>
      </c>
      <c r="B2316" s="29" t="s">
        <v>943</v>
      </c>
    </row>
    <row r="2317" spans="1:2" x14ac:dyDescent="0.25">
      <c r="A2317">
        <v>990027</v>
      </c>
      <c r="B2317" s="29" t="s">
        <v>943</v>
      </c>
    </row>
    <row r="2318" spans="1:2" x14ac:dyDescent="0.25">
      <c r="A2318">
        <v>990033</v>
      </c>
      <c r="B2318" s="29" t="s">
        <v>944</v>
      </c>
    </row>
    <row r="2319" spans="1:2" x14ac:dyDescent="0.25">
      <c r="A2319">
        <v>990034</v>
      </c>
      <c r="B2319" s="29" t="s">
        <v>945</v>
      </c>
    </row>
    <row r="2320" spans="1:2" x14ac:dyDescent="0.25">
      <c r="A2320">
        <v>990038</v>
      </c>
      <c r="B2320" s="29" t="s">
        <v>946</v>
      </c>
    </row>
    <row r="2321" spans="1:2" x14ac:dyDescent="0.25">
      <c r="A2321">
        <v>990029</v>
      </c>
      <c r="B2321" s="29" t="s">
        <v>947</v>
      </c>
    </row>
    <row r="2322" spans="1:2" x14ac:dyDescent="0.25">
      <c r="A2322">
        <v>990029</v>
      </c>
      <c r="B2322" s="29" t="s">
        <v>947</v>
      </c>
    </row>
    <row r="2323" spans="1:2" x14ac:dyDescent="0.25">
      <c r="A2323">
        <v>990029</v>
      </c>
      <c r="B2323" s="29" t="s">
        <v>947</v>
      </c>
    </row>
    <row r="2324" spans="1:2" x14ac:dyDescent="0.25">
      <c r="A2324">
        <v>990029</v>
      </c>
      <c r="B2324" s="29" t="s">
        <v>947</v>
      </c>
    </row>
    <row r="2325" spans="1:2" x14ac:dyDescent="0.25">
      <c r="A2325">
        <v>990029</v>
      </c>
      <c r="B2325" s="29" t="s">
        <v>947</v>
      </c>
    </row>
    <row r="2326" spans="1:2" x14ac:dyDescent="0.25">
      <c r="A2326">
        <v>990029</v>
      </c>
      <c r="B2326" s="29" t="s">
        <v>947</v>
      </c>
    </row>
    <row r="2327" spans="1:2" x14ac:dyDescent="0.25">
      <c r="A2327">
        <v>990029</v>
      </c>
      <c r="B2327" s="29" t="s">
        <v>947</v>
      </c>
    </row>
    <row r="2328" spans="1:2" x14ac:dyDescent="0.25">
      <c r="A2328">
        <v>990029</v>
      </c>
      <c r="B2328" s="29" t="s">
        <v>947</v>
      </c>
    </row>
    <row r="2329" spans="1:2" x14ac:dyDescent="0.25">
      <c r="A2329">
        <v>990029</v>
      </c>
      <c r="B2329" s="29" t="s">
        <v>947</v>
      </c>
    </row>
    <row r="2330" spans="1:2" x14ac:dyDescent="0.25">
      <c r="A2330">
        <v>990039</v>
      </c>
      <c r="B2330" s="29" t="s">
        <v>948</v>
      </c>
    </row>
    <row r="2331" spans="1:2" x14ac:dyDescent="0.25">
      <c r="A2331">
        <v>990039</v>
      </c>
      <c r="B2331" s="29" t="s">
        <v>948</v>
      </c>
    </row>
    <row r="2332" spans="1:2" x14ac:dyDescent="0.25">
      <c r="A2332">
        <v>990039</v>
      </c>
      <c r="B2332" s="29" t="s">
        <v>948</v>
      </c>
    </row>
    <row r="2333" spans="1:2" x14ac:dyDescent="0.25">
      <c r="A2333">
        <v>990039</v>
      </c>
      <c r="B2333" s="29" t="s">
        <v>948</v>
      </c>
    </row>
    <row r="2334" spans="1:2" x14ac:dyDescent="0.25">
      <c r="A2334">
        <v>990039</v>
      </c>
      <c r="B2334" s="29" t="s">
        <v>948</v>
      </c>
    </row>
    <row r="2335" spans="1:2" x14ac:dyDescent="0.25">
      <c r="A2335">
        <v>990039</v>
      </c>
      <c r="B2335" s="29" t="s">
        <v>948</v>
      </c>
    </row>
    <row r="2336" spans="1:2" x14ac:dyDescent="0.25">
      <c r="A2336">
        <v>990039</v>
      </c>
      <c r="B2336" s="29" t="s">
        <v>948</v>
      </c>
    </row>
    <row r="2337" spans="1:2" x14ac:dyDescent="0.25">
      <c r="A2337">
        <v>990039</v>
      </c>
      <c r="B2337" s="29" t="s">
        <v>948</v>
      </c>
    </row>
    <row r="2338" spans="1:2" x14ac:dyDescent="0.25">
      <c r="A2338">
        <v>990039</v>
      </c>
      <c r="B2338" s="29" t="s">
        <v>948</v>
      </c>
    </row>
    <row r="2339" spans="1:2" x14ac:dyDescent="0.25">
      <c r="A2339">
        <v>990039</v>
      </c>
      <c r="B2339" s="29" t="s">
        <v>948</v>
      </c>
    </row>
    <row r="2340" spans="1:2" x14ac:dyDescent="0.25">
      <c r="A2340">
        <v>990039</v>
      </c>
      <c r="B2340" s="29" t="s">
        <v>948</v>
      </c>
    </row>
    <row r="2341" spans="1:2" x14ac:dyDescent="0.25">
      <c r="A2341">
        <v>990039</v>
      </c>
      <c r="B2341" s="29" t="s">
        <v>948</v>
      </c>
    </row>
    <row r="2342" spans="1:2" x14ac:dyDescent="0.25">
      <c r="A2342">
        <v>990039</v>
      </c>
      <c r="B2342" s="29" t="s">
        <v>948</v>
      </c>
    </row>
    <row r="2343" spans="1:2" x14ac:dyDescent="0.25">
      <c r="A2343">
        <v>990039</v>
      </c>
      <c r="B2343" s="29" t="s">
        <v>948</v>
      </c>
    </row>
    <row r="2344" spans="1:2" x14ac:dyDescent="0.25">
      <c r="A2344">
        <v>990039</v>
      </c>
      <c r="B2344" s="29" t="s">
        <v>948</v>
      </c>
    </row>
    <row r="2345" spans="1:2" x14ac:dyDescent="0.25">
      <c r="A2345">
        <v>253424</v>
      </c>
      <c r="B2345" s="29" t="s">
        <v>949</v>
      </c>
    </row>
    <row r="2346" spans="1:2" x14ac:dyDescent="0.25">
      <c r="A2346">
        <v>253426</v>
      </c>
      <c r="B2346" s="29" t="s">
        <v>950</v>
      </c>
    </row>
    <row r="2347" spans="1:2" x14ac:dyDescent="0.25">
      <c r="A2347">
        <v>248459</v>
      </c>
      <c r="B2347" s="29" t="s">
        <v>951</v>
      </c>
    </row>
    <row r="2348" spans="1:2" x14ac:dyDescent="0.25">
      <c r="A2348">
        <v>248459</v>
      </c>
      <c r="B2348" s="29" t="s">
        <v>951</v>
      </c>
    </row>
    <row r="2349" spans="1:2" x14ac:dyDescent="0.25">
      <c r="A2349">
        <v>248459</v>
      </c>
      <c r="B2349" s="29" t="s">
        <v>951</v>
      </c>
    </row>
    <row r="2350" spans="1:2" x14ac:dyDescent="0.25">
      <c r="A2350">
        <v>248459</v>
      </c>
      <c r="B2350" s="29" t="s">
        <v>951</v>
      </c>
    </row>
    <row r="2351" spans="1:2" x14ac:dyDescent="0.25">
      <c r="A2351">
        <v>248459</v>
      </c>
      <c r="B2351" s="29" t="s">
        <v>951</v>
      </c>
    </row>
    <row r="2352" spans="1:2" x14ac:dyDescent="0.25">
      <c r="A2352">
        <v>248459</v>
      </c>
      <c r="B2352" s="29" t="s">
        <v>951</v>
      </c>
    </row>
    <row r="2353" spans="1:2" x14ac:dyDescent="0.25">
      <c r="A2353">
        <v>248459</v>
      </c>
      <c r="B2353" s="29" t="s">
        <v>951</v>
      </c>
    </row>
    <row r="2354" spans="1:2" x14ac:dyDescent="0.25">
      <c r="A2354">
        <v>248459</v>
      </c>
      <c r="B2354" s="29" t="s">
        <v>951</v>
      </c>
    </row>
    <row r="2355" spans="1:2" x14ac:dyDescent="0.25">
      <c r="A2355">
        <v>248459</v>
      </c>
      <c r="B2355" s="29" t="s">
        <v>951</v>
      </c>
    </row>
    <row r="2356" spans="1:2" x14ac:dyDescent="0.25">
      <c r="A2356">
        <v>990828</v>
      </c>
      <c r="B2356" s="29" t="s">
        <v>952</v>
      </c>
    </row>
    <row r="2357" spans="1:2" x14ac:dyDescent="0.25">
      <c r="A2357">
        <v>990828</v>
      </c>
      <c r="B2357" s="29" t="s">
        <v>952</v>
      </c>
    </row>
    <row r="2358" spans="1:2" x14ac:dyDescent="0.25">
      <c r="A2358">
        <v>990828</v>
      </c>
      <c r="B2358" s="29" t="s">
        <v>952</v>
      </c>
    </row>
    <row r="2359" spans="1:2" x14ac:dyDescent="0.25">
      <c r="A2359">
        <v>990828</v>
      </c>
      <c r="B2359" s="29" t="s">
        <v>952</v>
      </c>
    </row>
    <row r="2360" spans="1:2" x14ac:dyDescent="0.25">
      <c r="A2360">
        <v>990828</v>
      </c>
      <c r="B2360" s="29" t="s">
        <v>952</v>
      </c>
    </row>
    <row r="2361" spans="1:2" x14ac:dyDescent="0.25">
      <c r="A2361">
        <v>990828</v>
      </c>
      <c r="B2361" s="29" t="s">
        <v>952</v>
      </c>
    </row>
    <row r="2362" spans="1:2" x14ac:dyDescent="0.25">
      <c r="A2362">
        <v>990828</v>
      </c>
      <c r="B2362" s="29" t="s">
        <v>952</v>
      </c>
    </row>
    <row r="2363" spans="1:2" x14ac:dyDescent="0.25">
      <c r="A2363">
        <v>990828</v>
      </c>
      <c r="B2363" s="29" t="s">
        <v>952</v>
      </c>
    </row>
    <row r="2364" spans="1:2" x14ac:dyDescent="0.25">
      <c r="A2364">
        <v>990828</v>
      </c>
      <c r="B2364" s="29" t="s">
        <v>952</v>
      </c>
    </row>
    <row r="2365" spans="1:2" x14ac:dyDescent="0.25">
      <c r="A2365">
        <v>990828</v>
      </c>
      <c r="B2365" s="29" t="s">
        <v>952</v>
      </c>
    </row>
    <row r="2366" spans="1:2" x14ac:dyDescent="0.25">
      <c r="A2366">
        <v>990828</v>
      </c>
      <c r="B2366" s="29" t="s">
        <v>952</v>
      </c>
    </row>
    <row r="2367" spans="1:2" x14ac:dyDescent="0.25">
      <c r="A2367">
        <v>990828</v>
      </c>
      <c r="B2367" s="29" t="s">
        <v>952</v>
      </c>
    </row>
    <row r="2368" spans="1:2" x14ac:dyDescent="0.25">
      <c r="A2368">
        <v>990828</v>
      </c>
      <c r="B2368" s="29" t="s">
        <v>952</v>
      </c>
    </row>
    <row r="2369" spans="1:2" x14ac:dyDescent="0.25">
      <c r="A2369">
        <v>990828</v>
      </c>
      <c r="B2369" s="29" t="s">
        <v>952</v>
      </c>
    </row>
    <row r="2370" spans="1:2" x14ac:dyDescent="0.25">
      <c r="A2370">
        <v>990828</v>
      </c>
      <c r="B2370" s="29" t="s">
        <v>952</v>
      </c>
    </row>
    <row r="2371" spans="1:2" x14ac:dyDescent="0.25">
      <c r="A2371">
        <v>991228</v>
      </c>
      <c r="B2371" s="29" t="s">
        <v>541</v>
      </c>
    </row>
    <row r="2372" spans="1:2" x14ac:dyDescent="0.25">
      <c r="A2372">
        <v>991228</v>
      </c>
      <c r="B2372" s="29" t="s">
        <v>541</v>
      </c>
    </row>
    <row r="2373" spans="1:2" x14ac:dyDescent="0.25">
      <c r="A2373">
        <v>991228</v>
      </c>
      <c r="B2373" s="29" t="s">
        <v>541</v>
      </c>
    </row>
    <row r="2374" spans="1:2" x14ac:dyDescent="0.25">
      <c r="A2374">
        <v>991228</v>
      </c>
      <c r="B2374" s="29" t="s">
        <v>541</v>
      </c>
    </row>
    <row r="2375" spans="1:2" x14ac:dyDescent="0.25">
      <c r="A2375">
        <v>991228</v>
      </c>
      <c r="B2375" s="29" t="s">
        <v>541</v>
      </c>
    </row>
    <row r="2376" spans="1:2" x14ac:dyDescent="0.25">
      <c r="A2376">
        <v>991228</v>
      </c>
      <c r="B2376" s="29" t="s">
        <v>541</v>
      </c>
    </row>
    <row r="2377" spans="1:2" x14ac:dyDescent="0.25">
      <c r="A2377">
        <v>991228</v>
      </c>
      <c r="B2377" s="29" t="s">
        <v>541</v>
      </c>
    </row>
    <row r="2378" spans="1:2" x14ac:dyDescent="0.25">
      <c r="A2378">
        <v>991228</v>
      </c>
      <c r="B2378" s="29" t="s">
        <v>541</v>
      </c>
    </row>
    <row r="2379" spans="1:2" x14ac:dyDescent="0.25">
      <c r="A2379">
        <v>991228</v>
      </c>
      <c r="B2379" s="29" t="s">
        <v>541</v>
      </c>
    </row>
    <row r="2380" spans="1:2" x14ac:dyDescent="0.25">
      <c r="A2380">
        <v>991228</v>
      </c>
      <c r="B2380" s="29" t="s">
        <v>541</v>
      </c>
    </row>
    <row r="2381" spans="1:2" x14ac:dyDescent="0.25">
      <c r="A2381">
        <v>991228</v>
      </c>
      <c r="B2381" s="29" t="s">
        <v>541</v>
      </c>
    </row>
    <row r="2382" spans="1:2" x14ac:dyDescent="0.25">
      <c r="A2382">
        <v>991228</v>
      </c>
      <c r="B2382" s="29" t="s">
        <v>541</v>
      </c>
    </row>
    <row r="2383" spans="1:2" x14ac:dyDescent="0.25">
      <c r="A2383">
        <v>991200</v>
      </c>
      <c r="B2383" s="29" t="s">
        <v>513</v>
      </c>
    </row>
    <row r="2384" spans="1:2" x14ac:dyDescent="0.25">
      <c r="A2384">
        <v>991200</v>
      </c>
      <c r="B2384" s="29" t="s">
        <v>513</v>
      </c>
    </row>
    <row r="2385" spans="1:2" x14ac:dyDescent="0.25">
      <c r="A2385">
        <v>991200</v>
      </c>
      <c r="B2385" s="29" t="s">
        <v>513</v>
      </c>
    </row>
    <row r="2386" spans="1:2" x14ac:dyDescent="0.25">
      <c r="A2386">
        <v>991200</v>
      </c>
      <c r="B2386" s="29" t="s">
        <v>513</v>
      </c>
    </row>
    <row r="2387" spans="1:2" x14ac:dyDescent="0.25">
      <c r="A2387">
        <v>991200</v>
      </c>
      <c r="B2387" s="29" t="s">
        <v>513</v>
      </c>
    </row>
    <row r="2388" spans="1:2" x14ac:dyDescent="0.25">
      <c r="A2388">
        <v>991200</v>
      </c>
      <c r="B2388" s="29" t="s">
        <v>513</v>
      </c>
    </row>
    <row r="2389" spans="1:2" x14ac:dyDescent="0.25">
      <c r="A2389">
        <v>991200</v>
      </c>
      <c r="B2389" s="29" t="s">
        <v>513</v>
      </c>
    </row>
    <row r="2390" spans="1:2" x14ac:dyDescent="0.25">
      <c r="A2390">
        <v>991200</v>
      </c>
      <c r="B2390" s="29" t="s">
        <v>513</v>
      </c>
    </row>
    <row r="2391" spans="1:2" x14ac:dyDescent="0.25">
      <c r="A2391">
        <v>991200</v>
      </c>
      <c r="B2391" s="29" t="s">
        <v>513</v>
      </c>
    </row>
    <row r="2392" spans="1:2" x14ac:dyDescent="0.25">
      <c r="A2392">
        <v>991200</v>
      </c>
      <c r="B2392" s="29" t="s">
        <v>513</v>
      </c>
    </row>
    <row r="2393" spans="1:2" x14ac:dyDescent="0.25">
      <c r="A2393">
        <v>991200</v>
      </c>
      <c r="B2393" s="29" t="s">
        <v>513</v>
      </c>
    </row>
    <row r="2394" spans="1:2" x14ac:dyDescent="0.25">
      <c r="A2394">
        <v>991200</v>
      </c>
      <c r="B2394" s="29" t="s">
        <v>513</v>
      </c>
    </row>
    <row r="2395" spans="1:2" x14ac:dyDescent="0.25">
      <c r="A2395">
        <v>991200</v>
      </c>
      <c r="B2395" s="29" t="s">
        <v>513</v>
      </c>
    </row>
    <row r="2396" spans="1:2" x14ac:dyDescent="0.25">
      <c r="A2396">
        <v>991200</v>
      </c>
      <c r="B2396" s="29" t="s">
        <v>513</v>
      </c>
    </row>
    <row r="2397" spans="1:2" x14ac:dyDescent="0.25">
      <c r="A2397">
        <v>991200</v>
      </c>
      <c r="B2397" s="29" t="s">
        <v>513</v>
      </c>
    </row>
    <row r="2398" spans="1:2" x14ac:dyDescent="0.25">
      <c r="A2398">
        <v>994453</v>
      </c>
      <c r="B2398" s="29" t="s">
        <v>953</v>
      </c>
    </row>
    <row r="2399" spans="1:2" x14ac:dyDescent="0.25">
      <c r="A2399">
        <v>994453</v>
      </c>
      <c r="B2399" s="29" t="s">
        <v>953</v>
      </c>
    </row>
    <row r="2400" spans="1:2" x14ac:dyDescent="0.25">
      <c r="A2400">
        <v>994453</v>
      </c>
      <c r="B2400" s="29" t="s">
        <v>953</v>
      </c>
    </row>
    <row r="2401" spans="1:2" x14ac:dyDescent="0.25">
      <c r="A2401">
        <v>994453</v>
      </c>
      <c r="B2401" s="29" t="s">
        <v>953</v>
      </c>
    </row>
    <row r="2402" spans="1:2" x14ac:dyDescent="0.25">
      <c r="A2402">
        <v>994453</v>
      </c>
      <c r="B2402" s="29" t="s">
        <v>953</v>
      </c>
    </row>
    <row r="2403" spans="1:2" x14ac:dyDescent="0.25">
      <c r="A2403">
        <v>994453</v>
      </c>
      <c r="B2403" s="29" t="s">
        <v>953</v>
      </c>
    </row>
    <row r="2404" spans="1:2" x14ac:dyDescent="0.25">
      <c r="A2404">
        <v>994453</v>
      </c>
      <c r="B2404" s="29" t="s">
        <v>953</v>
      </c>
    </row>
    <row r="2405" spans="1:2" x14ac:dyDescent="0.25">
      <c r="A2405">
        <v>994453</v>
      </c>
      <c r="B2405" s="29" t="s">
        <v>953</v>
      </c>
    </row>
    <row r="2406" spans="1:2" x14ac:dyDescent="0.25">
      <c r="A2406">
        <v>994453</v>
      </c>
      <c r="B2406" s="29" t="s">
        <v>953</v>
      </c>
    </row>
    <row r="2407" spans="1:2" x14ac:dyDescent="0.25">
      <c r="A2407">
        <v>994453</v>
      </c>
      <c r="B2407" s="29" t="s">
        <v>953</v>
      </c>
    </row>
    <row r="2408" spans="1:2" x14ac:dyDescent="0.25">
      <c r="A2408">
        <v>994453</v>
      </c>
      <c r="B2408" s="29" t="s">
        <v>953</v>
      </c>
    </row>
    <row r="2409" spans="1:2" x14ac:dyDescent="0.25">
      <c r="A2409">
        <v>994453</v>
      </c>
      <c r="B2409" s="29" t="s">
        <v>953</v>
      </c>
    </row>
    <row r="2410" spans="1:2" x14ac:dyDescent="0.25">
      <c r="A2410">
        <v>994453</v>
      </c>
      <c r="B2410" s="29" t="s">
        <v>953</v>
      </c>
    </row>
    <row r="2411" spans="1:2" x14ac:dyDescent="0.25">
      <c r="A2411">
        <v>994453</v>
      </c>
      <c r="B2411" s="29" t="s">
        <v>953</v>
      </c>
    </row>
    <row r="2412" spans="1:2" x14ac:dyDescent="0.25">
      <c r="A2412">
        <v>994453</v>
      </c>
      <c r="B2412" s="29" t="s">
        <v>953</v>
      </c>
    </row>
    <row r="2413" spans="1:2" x14ac:dyDescent="0.25">
      <c r="A2413">
        <v>990001</v>
      </c>
      <c r="B2413" s="29" t="s">
        <v>954</v>
      </c>
    </row>
    <row r="2414" spans="1:2" x14ac:dyDescent="0.25">
      <c r="A2414">
        <v>990001</v>
      </c>
      <c r="B2414" s="29" t="s">
        <v>954</v>
      </c>
    </row>
    <row r="2415" spans="1:2" x14ac:dyDescent="0.25">
      <c r="A2415">
        <v>990001</v>
      </c>
      <c r="B2415" s="29" t="s">
        <v>954</v>
      </c>
    </row>
    <row r="2416" spans="1:2" x14ac:dyDescent="0.25">
      <c r="A2416">
        <v>990001</v>
      </c>
      <c r="B2416" s="29" t="s">
        <v>954</v>
      </c>
    </row>
    <row r="2417" spans="1:2" x14ac:dyDescent="0.25">
      <c r="A2417">
        <v>990001</v>
      </c>
      <c r="B2417" s="29" t="s">
        <v>954</v>
      </c>
    </row>
    <row r="2418" spans="1:2" x14ac:dyDescent="0.25">
      <c r="A2418">
        <v>990001</v>
      </c>
      <c r="B2418" s="29" t="s">
        <v>954</v>
      </c>
    </row>
    <row r="2419" spans="1:2" x14ac:dyDescent="0.25">
      <c r="A2419">
        <v>990001</v>
      </c>
      <c r="B2419" s="29" t="s">
        <v>954</v>
      </c>
    </row>
    <row r="2420" spans="1:2" x14ac:dyDescent="0.25">
      <c r="A2420">
        <v>990001</v>
      </c>
      <c r="B2420" s="29" t="s">
        <v>954</v>
      </c>
    </row>
    <row r="2421" spans="1:2" x14ac:dyDescent="0.25">
      <c r="A2421">
        <v>990001</v>
      </c>
      <c r="B2421" s="29" t="s">
        <v>954</v>
      </c>
    </row>
    <row r="2422" spans="1:2" x14ac:dyDescent="0.25">
      <c r="A2422">
        <v>990001</v>
      </c>
      <c r="B2422" s="29" t="s">
        <v>954</v>
      </c>
    </row>
    <row r="2423" spans="1:2" x14ac:dyDescent="0.25">
      <c r="A2423">
        <v>990001</v>
      </c>
      <c r="B2423" s="29" t="s">
        <v>954</v>
      </c>
    </row>
    <row r="2424" spans="1:2" x14ac:dyDescent="0.25">
      <c r="A2424">
        <v>990001</v>
      </c>
      <c r="B2424" s="29" t="s">
        <v>954</v>
      </c>
    </row>
    <row r="2425" spans="1:2" x14ac:dyDescent="0.25">
      <c r="A2425">
        <v>990012</v>
      </c>
      <c r="B2425" s="29" t="s">
        <v>457</v>
      </c>
    </row>
    <row r="2426" spans="1:2" x14ac:dyDescent="0.25">
      <c r="A2426">
        <v>990012</v>
      </c>
      <c r="B2426" s="29" t="s">
        <v>457</v>
      </c>
    </row>
    <row r="2427" spans="1:2" x14ac:dyDescent="0.25">
      <c r="A2427">
        <v>990012</v>
      </c>
      <c r="B2427" s="29" t="s">
        <v>457</v>
      </c>
    </row>
    <row r="2428" spans="1:2" x14ac:dyDescent="0.25">
      <c r="A2428">
        <v>990012</v>
      </c>
      <c r="B2428" s="29" t="s">
        <v>457</v>
      </c>
    </row>
    <row r="2429" spans="1:2" x14ac:dyDescent="0.25">
      <c r="A2429">
        <v>990012</v>
      </c>
      <c r="B2429" s="29" t="s">
        <v>457</v>
      </c>
    </row>
    <row r="2430" spans="1:2" x14ac:dyDescent="0.25">
      <c r="A2430">
        <v>990012</v>
      </c>
      <c r="B2430" s="29" t="s">
        <v>457</v>
      </c>
    </row>
    <row r="2431" spans="1:2" x14ac:dyDescent="0.25">
      <c r="A2431">
        <v>990012</v>
      </c>
      <c r="B2431" s="29" t="s">
        <v>457</v>
      </c>
    </row>
    <row r="2432" spans="1:2" x14ac:dyDescent="0.25">
      <c r="A2432">
        <v>990012</v>
      </c>
      <c r="B2432" s="29" t="s">
        <v>457</v>
      </c>
    </row>
    <row r="2433" spans="1:2" x14ac:dyDescent="0.25">
      <c r="A2433">
        <v>990012</v>
      </c>
      <c r="B2433" s="29" t="s">
        <v>457</v>
      </c>
    </row>
    <row r="2434" spans="1:2" x14ac:dyDescent="0.25">
      <c r="A2434">
        <v>990012</v>
      </c>
      <c r="B2434" s="29" t="s">
        <v>457</v>
      </c>
    </row>
    <row r="2435" spans="1:2" x14ac:dyDescent="0.25">
      <c r="A2435">
        <v>990012</v>
      </c>
      <c r="B2435" s="29" t="s">
        <v>457</v>
      </c>
    </row>
    <row r="2436" spans="1:2" x14ac:dyDescent="0.25">
      <c r="A2436">
        <v>990012</v>
      </c>
      <c r="B2436" s="29" t="s">
        <v>457</v>
      </c>
    </row>
    <row r="2437" spans="1:2" x14ac:dyDescent="0.25">
      <c r="A2437">
        <v>990035</v>
      </c>
      <c r="B2437" s="29" t="s">
        <v>955</v>
      </c>
    </row>
    <row r="2438" spans="1:2" x14ac:dyDescent="0.25">
      <c r="A2438">
        <v>990035</v>
      </c>
      <c r="B2438" s="29" t="s">
        <v>955</v>
      </c>
    </row>
    <row r="2439" spans="1:2" x14ac:dyDescent="0.25">
      <c r="A2439">
        <v>990035</v>
      </c>
      <c r="B2439" s="29" t="s">
        <v>955</v>
      </c>
    </row>
    <row r="2440" spans="1:2" x14ac:dyDescent="0.25">
      <c r="A2440">
        <v>990035</v>
      </c>
      <c r="B2440" s="29" t="s">
        <v>955</v>
      </c>
    </row>
    <row r="2441" spans="1:2" x14ac:dyDescent="0.25">
      <c r="A2441">
        <v>990035</v>
      </c>
      <c r="B2441" s="29" t="s">
        <v>955</v>
      </c>
    </row>
    <row r="2442" spans="1:2" x14ac:dyDescent="0.25">
      <c r="A2442">
        <v>990035</v>
      </c>
      <c r="B2442" s="29" t="s">
        <v>955</v>
      </c>
    </row>
    <row r="2443" spans="1:2" x14ac:dyDescent="0.25">
      <c r="A2443">
        <v>990035</v>
      </c>
      <c r="B2443" s="29" t="s">
        <v>955</v>
      </c>
    </row>
    <row r="2444" spans="1:2" x14ac:dyDescent="0.25">
      <c r="A2444">
        <v>990035</v>
      </c>
      <c r="B2444" s="29" t="s">
        <v>955</v>
      </c>
    </row>
    <row r="2445" spans="1:2" x14ac:dyDescent="0.25">
      <c r="A2445">
        <v>990035</v>
      </c>
      <c r="B2445" s="29" t="s">
        <v>955</v>
      </c>
    </row>
    <row r="2446" spans="1:2" x14ac:dyDescent="0.25">
      <c r="A2446">
        <v>990035</v>
      </c>
      <c r="B2446" s="29" t="s">
        <v>955</v>
      </c>
    </row>
    <row r="2447" spans="1:2" x14ac:dyDescent="0.25">
      <c r="A2447">
        <v>990035</v>
      </c>
      <c r="B2447" s="29" t="s">
        <v>955</v>
      </c>
    </row>
    <row r="2448" spans="1:2" x14ac:dyDescent="0.25">
      <c r="A2448">
        <v>990035</v>
      </c>
      <c r="B2448" s="29" t="s">
        <v>955</v>
      </c>
    </row>
    <row r="2449" spans="1:2" x14ac:dyDescent="0.25">
      <c r="A2449">
        <v>990040</v>
      </c>
      <c r="B2449" s="29" t="s">
        <v>956</v>
      </c>
    </row>
    <row r="2450" spans="1:2" x14ac:dyDescent="0.25">
      <c r="A2450">
        <v>990040</v>
      </c>
      <c r="B2450" s="29" t="s">
        <v>956</v>
      </c>
    </row>
    <row r="2451" spans="1:2" x14ac:dyDescent="0.25">
      <c r="A2451">
        <v>990040</v>
      </c>
      <c r="B2451" s="29" t="s">
        <v>956</v>
      </c>
    </row>
    <row r="2452" spans="1:2" x14ac:dyDescent="0.25">
      <c r="A2452">
        <v>990040</v>
      </c>
      <c r="B2452" s="29" t="s">
        <v>956</v>
      </c>
    </row>
    <row r="2453" spans="1:2" x14ac:dyDescent="0.25">
      <c r="A2453">
        <v>990040</v>
      </c>
      <c r="B2453" s="29" t="s">
        <v>956</v>
      </c>
    </row>
    <row r="2454" spans="1:2" x14ac:dyDescent="0.25">
      <c r="A2454">
        <v>990040</v>
      </c>
      <c r="B2454" s="29" t="s">
        <v>956</v>
      </c>
    </row>
    <row r="2455" spans="1:2" x14ac:dyDescent="0.25">
      <c r="A2455">
        <v>990040</v>
      </c>
      <c r="B2455" s="29" t="s">
        <v>956</v>
      </c>
    </row>
    <row r="2456" spans="1:2" x14ac:dyDescent="0.25">
      <c r="A2456">
        <v>990040</v>
      </c>
      <c r="B2456" s="29" t="s">
        <v>956</v>
      </c>
    </row>
    <row r="2457" spans="1:2" x14ac:dyDescent="0.25">
      <c r="A2457">
        <v>990040</v>
      </c>
      <c r="B2457" s="29" t="s">
        <v>956</v>
      </c>
    </row>
    <row r="2458" spans="1:2" x14ac:dyDescent="0.25">
      <c r="A2458">
        <v>990040</v>
      </c>
      <c r="B2458" s="29" t="s">
        <v>956</v>
      </c>
    </row>
    <row r="2459" spans="1:2" x14ac:dyDescent="0.25">
      <c r="A2459">
        <v>990040</v>
      </c>
      <c r="B2459" s="29" t="s">
        <v>956</v>
      </c>
    </row>
    <row r="2460" spans="1:2" x14ac:dyDescent="0.25">
      <c r="A2460">
        <v>990040</v>
      </c>
      <c r="B2460" s="29" t="s">
        <v>956</v>
      </c>
    </row>
    <row r="2461" spans="1:2" x14ac:dyDescent="0.25">
      <c r="A2461">
        <v>990045</v>
      </c>
      <c r="B2461" s="29" t="s">
        <v>957</v>
      </c>
    </row>
    <row r="2462" spans="1:2" x14ac:dyDescent="0.25">
      <c r="A2462">
        <v>990045</v>
      </c>
      <c r="B2462" s="29" t="s">
        <v>957</v>
      </c>
    </row>
    <row r="2463" spans="1:2" x14ac:dyDescent="0.25">
      <c r="A2463">
        <v>990045</v>
      </c>
      <c r="B2463" s="29" t="s">
        <v>957</v>
      </c>
    </row>
    <row r="2464" spans="1:2" x14ac:dyDescent="0.25">
      <c r="A2464">
        <v>990045</v>
      </c>
      <c r="B2464" s="29" t="s">
        <v>957</v>
      </c>
    </row>
    <row r="2465" spans="1:2" x14ac:dyDescent="0.25">
      <c r="A2465">
        <v>990045</v>
      </c>
      <c r="B2465" s="29" t="s">
        <v>957</v>
      </c>
    </row>
    <row r="2466" spans="1:2" x14ac:dyDescent="0.25">
      <c r="A2466">
        <v>990045</v>
      </c>
      <c r="B2466" s="29" t="s">
        <v>957</v>
      </c>
    </row>
    <row r="2467" spans="1:2" x14ac:dyDescent="0.25">
      <c r="A2467">
        <v>990045</v>
      </c>
      <c r="B2467" s="29" t="s">
        <v>957</v>
      </c>
    </row>
    <row r="2468" spans="1:2" x14ac:dyDescent="0.25">
      <c r="A2468">
        <v>990045</v>
      </c>
      <c r="B2468" s="29" t="s">
        <v>957</v>
      </c>
    </row>
    <row r="2469" spans="1:2" x14ac:dyDescent="0.25">
      <c r="A2469">
        <v>990045</v>
      </c>
      <c r="B2469" s="29" t="s">
        <v>957</v>
      </c>
    </row>
    <row r="2470" spans="1:2" x14ac:dyDescent="0.25">
      <c r="A2470">
        <v>990045</v>
      </c>
      <c r="B2470" s="29" t="s">
        <v>957</v>
      </c>
    </row>
    <row r="2471" spans="1:2" x14ac:dyDescent="0.25">
      <c r="A2471">
        <v>990045</v>
      </c>
      <c r="B2471" s="29" t="s">
        <v>957</v>
      </c>
    </row>
    <row r="2472" spans="1:2" x14ac:dyDescent="0.25">
      <c r="A2472">
        <v>990045</v>
      </c>
      <c r="B2472" s="29" t="s">
        <v>957</v>
      </c>
    </row>
    <row r="2473" spans="1:2" x14ac:dyDescent="0.25">
      <c r="A2473">
        <v>990065</v>
      </c>
      <c r="B2473" s="29" t="s">
        <v>958</v>
      </c>
    </row>
    <row r="2474" spans="1:2" x14ac:dyDescent="0.25">
      <c r="A2474">
        <v>990065</v>
      </c>
      <c r="B2474" s="29" t="s">
        <v>958</v>
      </c>
    </row>
    <row r="2475" spans="1:2" x14ac:dyDescent="0.25">
      <c r="A2475">
        <v>990065</v>
      </c>
      <c r="B2475" s="29" t="s">
        <v>958</v>
      </c>
    </row>
    <row r="2476" spans="1:2" x14ac:dyDescent="0.25">
      <c r="A2476">
        <v>990065</v>
      </c>
      <c r="B2476" s="29" t="s">
        <v>958</v>
      </c>
    </row>
    <row r="2477" spans="1:2" x14ac:dyDescent="0.25">
      <c r="A2477">
        <v>990065</v>
      </c>
      <c r="B2477" s="29" t="s">
        <v>958</v>
      </c>
    </row>
    <row r="2478" spans="1:2" x14ac:dyDescent="0.25">
      <c r="A2478">
        <v>990065</v>
      </c>
      <c r="B2478" s="29" t="s">
        <v>958</v>
      </c>
    </row>
    <row r="2479" spans="1:2" x14ac:dyDescent="0.25">
      <c r="A2479">
        <v>990065</v>
      </c>
      <c r="B2479" s="29" t="s">
        <v>958</v>
      </c>
    </row>
    <row r="2480" spans="1:2" x14ac:dyDescent="0.25">
      <c r="A2480">
        <v>990065</v>
      </c>
      <c r="B2480" s="29" t="s">
        <v>958</v>
      </c>
    </row>
    <row r="2481" spans="1:2" x14ac:dyDescent="0.25">
      <c r="A2481">
        <v>990065</v>
      </c>
      <c r="B2481" s="29" t="s">
        <v>958</v>
      </c>
    </row>
    <row r="2482" spans="1:2" x14ac:dyDescent="0.25">
      <c r="A2482">
        <v>990044</v>
      </c>
      <c r="B2482" s="29" t="s">
        <v>959</v>
      </c>
    </row>
    <row r="2483" spans="1:2" x14ac:dyDescent="0.25">
      <c r="A2483">
        <v>990044</v>
      </c>
      <c r="B2483" s="29" t="s">
        <v>959</v>
      </c>
    </row>
    <row r="2484" spans="1:2" x14ac:dyDescent="0.25">
      <c r="A2484">
        <v>990044</v>
      </c>
      <c r="B2484" s="29" t="s">
        <v>959</v>
      </c>
    </row>
    <row r="2485" spans="1:2" x14ac:dyDescent="0.25">
      <c r="A2485">
        <v>990044</v>
      </c>
      <c r="B2485" s="29" t="s">
        <v>959</v>
      </c>
    </row>
    <row r="2486" spans="1:2" x14ac:dyDescent="0.25">
      <c r="A2486">
        <v>990044</v>
      </c>
      <c r="B2486" s="29" t="s">
        <v>959</v>
      </c>
    </row>
    <row r="2487" spans="1:2" x14ac:dyDescent="0.25">
      <c r="A2487">
        <v>990044</v>
      </c>
      <c r="B2487" s="29" t="s">
        <v>959</v>
      </c>
    </row>
    <row r="2488" spans="1:2" x14ac:dyDescent="0.25">
      <c r="A2488">
        <v>990044</v>
      </c>
      <c r="B2488" s="29" t="s">
        <v>959</v>
      </c>
    </row>
    <row r="2489" spans="1:2" x14ac:dyDescent="0.25">
      <c r="A2489">
        <v>990044</v>
      </c>
      <c r="B2489" s="29" t="s">
        <v>959</v>
      </c>
    </row>
    <row r="2490" spans="1:2" x14ac:dyDescent="0.25">
      <c r="A2490">
        <v>990044</v>
      </c>
      <c r="B2490" s="29" t="s">
        <v>959</v>
      </c>
    </row>
    <row r="2491" spans="1:2" x14ac:dyDescent="0.25">
      <c r="A2491">
        <v>990044</v>
      </c>
      <c r="B2491" s="29" t="s">
        <v>959</v>
      </c>
    </row>
    <row r="2492" spans="1:2" x14ac:dyDescent="0.25">
      <c r="A2492">
        <v>990044</v>
      </c>
      <c r="B2492" s="29" t="s">
        <v>959</v>
      </c>
    </row>
    <row r="2493" spans="1:2" x14ac:dyDescent="0.25">
      <c r="A2493">
        <v>990044</v>
      </c>
      <c r="B2493" s="29" t="s">
        <v>959</v>
      </c>
    </row>
    <row r="2494" spans="1:2" x14ac:dyDescent="0.25">
      <c r="A2494">
        <v>990802</v>
      </c>
      <c r="B2494" s="29" t="s">
        <v>960</v>
      </c>
    </row>
    <row r="2495" spans="1:2" x14ac:dyDescent="0.25">
      <c r="A2495">
        <v>990802</v>
      </c>
      <c r="B2495" s="29" t="s">
        <v>960</v>
      </c>
    </row>
    <row r="2496" spans="1:2" x14ac:dyDescent="0.25">
      <c r="A2496">
        <v>990802</v>
      </c>
      <c r="B2496" s="29" t="s">
        <v>960</v>
      </c>
    </row>
    <row r="2497" spans="1:2" x14ac:dyDescent="0.25">
      <c r="A2497">
        <v>990802</v>
      </c>
      <c r="B2497" s="29" t="s">
        <v>960</v>
      </c>
    </row>
    <row r="2498" spans="1:2" x14ac:dyDescent="0.25">
      <c r="A2498">
        <v>990802</v>
      </c>
      <c r="B2498" s="29" t="s">
        <v>960</v>
      </c>
    </row>
    <row r="2499" spans="1:2" x14ac:dyDescent="0.25">
      <c r="A2499">
        <v>990802</v>
      </c>
      <c r="B2499" s="29" t="s">
        <v>960</v>
      </c>
    </row>
    <row r="2500" spans="1:2" x14ac:dyDescent="0.25">
      <c r="A2500">
        <v>990802</v>
      </c>
      <c r="B2500" s="29" t="s">
        <v>960</v>
      </c>
    </row>
    <row r="2501" spans="1:2" x14ac:dyDescent="0.25">
      <c r="A2501">
        <v>990802</v>
      </c>
      <c r="B2501" s="29" t="s">
        <v>960</v>
      </c>
    </row>
    <row r="2502" spans="1:2" x14ac:dyDescent="0.25">
      <c r="A2502">
        <v>990802</v>
      </c>
      <c r="B2502" s="29" t="s">
        <v>960</v>
      </c>
    </row>
    <row r="2503" spans="1:2" x14ac:dyDescent="0.25">
      <c r="A2503">
        <v>990818</v>
      </c>
      <c r="B2503" s="29" t="s">
        <v>961</v>
      </c>
    </row>
    <row r="2504" spans="1:2" x14ac:dyDescent="0.25">
      <c r="A2504">
        <v>990818</v>
      </c>
      <c r="B2504" s="29" t="s">
        <v>961</v>
      </c>
    </row>
    <row r="2505" spans="1:2" x14ac:dyDescent="0.25">
      <c r="A2505">
        <v>990818</v>
      </c>
      <c r="B2505" s="29" t="s">
        <v>961</v>
      </c>
    </row>
    <row r="2506" spans="1:2" x14ac:dyDescent="0.25">
      <c r="A2506">
        <v>990818</v>
      </c>
      <c r="B2506" s="29" t="s">
        <v>961</v>
      </c>
    </row>
    <row r="2507" spans="1:2" x14ac:dyDescent="0.25">
      <c r="A2507">
        <v>990818</v>
      </c>
      <c r="B2507" s="29" t="s">
        <v>961</v>
      </c>
    </row>
    <row r="2508" spans="1:2" x14ac:dyDescent="0.25">
      <c r="A2508">
        <v>990818</v>
      </c>
      <c r="B2508" s="29" t="s">
        <v>961</v>
      </c>
    </row>
    <row r="2509" spans="1:2" x14ac:dyDescent="0.25">
      <c r="A2509">
        <v>990818</v>
      </c>
      <c r="B2509" s="29" t="s">
        <v>961</v>
      </c>
    </row>
    <row r="2510" spans="1:2" x14ac:dyDescent="0.25">
      <c r="A2510">
        <v>990818</v>
      </c>
      <c r="B2510" s="29" t="s">
        <v>961</v>
      </c>
    </row>
    <row r="2511" spans="1:2" x14ac:dyDescent="0.25">
      <c r="A2511">
        <v>990818</v>
      </c>
      <c r="B2511" s="29" t="s">
        <v>961</v>
      </c>
    </row>
    <row r="2512" spans="1:2" x14ac:dyDescent="0.25">
      <c r="A2512">
        <v>990818</v>
      </c>
      <c r="B2512" s="29" t="s">
        <v>961</v>
      </c>
    </row>
    <row r="2513" spans="1:2" x14ac:dyDescent="0.25">
      <c r="A2513">
        <v>990818</v>
      </c>
      <c r="B2513" s="29" t="s">
        <v>961</v>
      </c>
    </row>
    <row r="2514" spans="1:2" x14ac:dyDescent="0.25">
      <c r="A2514">
        <v>990818</v>
      </c>
      <c r="B2514" s="29" t="s">
        <v>961</v>
      </c>
    </row>
    <row r="2515" spans="1:2" x14ac:dyDescent="0.25">
      <c r="A2515">
        <v>991208</v>
      </c>
      <c r="B2515" s="29" t="s">
        <v>962</v>
      </c>
    </row>
    <row r="2516" spans="1:2" x14ac:dyDescent="0.25">
      <c r="A2516">
        <v>991208</v>
      </c>
      <c r="B2516" s="29" t="s">
        <v>962</v>
      </c>
    </row>
    <row r="2517" spans="1:2" x14ac:dyDescent="0.25">
      <c r="A2517">
        <v>991208</v>
      </c>
      <c r="B2517" s="29" t="s">
        <v>962</v>
      </c>
    </row>
    <row r="2518" spans="1:2" x14ac:dyDescent="0.25">
      <c r="A2518">
        <v>991208</v>
      </c>
      <c r="B2518" s="29" t="s">
        <v>962</v>
      </c>
    </row>
    <row r="2519" spans="1:2" x14ac:dyDescent="0.25">
      <c r="A2519">
        <v>991208</v>
      </c>
      <c r="B2519" s="29" t="s">
        <v>962</v>
      </c>
    </row>
    <row r="2520" spans="1:2" x14ac:dyDescent="0.25">
      <c r="A2520">
        <v>991208</v>
      </c>
      <c r="B2520" s="29" t="s">
        <v>962</v>
      </c>
    </row>
    <row r="2521" spans="1:2" x14ac:dyDescent="0.25">
      <c r="A2521">
        <v>991208</v>
      </c>
      <c r="B2521" s="29" t="s">
        <v>962</v>
      </c>
    </row>
    <row r="2522" spans="1:2" x14ac:dyDescent="0.25">
      <c r="A2522">
        <v>991208</v>
      </c>
      <c r="B2522" s="29" t="s">
        <v>962</v>
      </c>
    </row>
    <row r="2523" spans="1:2" x14ac:dyDescent="0.25">
      <c r="A2523">
        <v>991208</v>
      </c>
      <c r="B2523" s="29" t="s">
        <v>962</v>
      </c>
    </row>
    <row r="2524" spans="1:2" x14ac:dyDescent="0.25">
      <c r="A2524">
        <v>991208</v>
      </c>
      <c r="B2524" s="29" t="s">
        <v>962</v>
      </c>
    </row>
    <row r="2525" spans="1:2" x14ac:dyDescent="0.25">
      <c r="A2525">
        <v>991208</v>
      </c>
      <c r="B2525" s="29" t="s">
        <v>962</v>
      </c>
    </row>
    <row r="2526" spans="1:2" x14ac:dyDescent="0.25">
      <c r="A2526">
        <v>991208</v>
      </c>
      <c r="B2526" s="29" t="s">
        <v>962</v>
      </c>
    </row>
    <row r="2527" spans="1:2" x14ac:dyDescent="0.25">
      <c r="A2527">
        <v>991214</v>
      </c>
      <c r="B2527" s="29" t="s">
        <v>527</v>
      </c>
    </row>
    <row r="2528" spans="1:2" x14ac:dyDescent="0.25">
      <c r="A2528">
        <v>991214</v>
      </c>
      <c r="B2528" s="29" t="s">
        <v>527</v>
      </c>
    </row>
    <row r="2529" spans="1:2" x14ac:dyDescent="0.25">
      <c r="A2529">
        <v>991214</v>
      </c>
      <c r="B2529" s="29" t="s">
        <v>527</v>
      </c>
    </row>
    <row r="2530" spans="1:2" x14ac:dyDescent="0.25">
      <c r="A2530">
        <v>991214</v>
      </c>
      <c r="B2530" s="29" t="s">
        <v>527</v>
      </c>
    </row>
    <row r="2531" spans="1:2" x14ac:dyDescent="0.25">
      <c r="A2531">
        <v>991214</v>
      </c>
      <c r="B2531" s="29" t="s">
        <v>527</v>
      </c>
    </row>
    <row r="2532" spans="1:2" x14ac:dyDescent="0.25">
      <c r="A2532">
        <v>991214</v>
      </c>
      <c r="B2532" s="29" t="s">
        <v>527</v>
      </c>
    </row>
    <row r="2533" spans="1:2" x14ac:dyDescent="0.25">
      <c r="A2533">
        <v>991214</v>
      </c>
      <c r="B2533" s="29" t="s">
        <v>527</v>
      </c>
    </row>
    <row r="2534" spans="1:2" x14ac:dyDescent="0.25">
      <c r="A2534">
        <v>991214</v>
      </c>
      <c r="B2534" s="29" t="s">
        <v>527</v>
      </c>
    </row>
    <row r="2535" spans="1:2" x14ac:dyDescent="0.25">
      <c r="A2535">
        <v>991214</v>
      </c>
      <c r="B2535" s="29" t="s">
        <v>527</v>
      </c>
    </row>
    <row r="2536" spans="1:2" x14ac:dyDescent="0.25">
      <c r="A2536">
        <v>991214</v>
      </c>
      <c r="B2536" s="29" t="s">
        <v>527</v>
      </c>
    </row>
    <row r="2537" spans="1:2" x14ac:dyDescent="0.25">
      <c r="A2537">
        <v>991214</v>
      </c>
      <c r="B2537" s="29" t="s">
        <v>527</v>
      </c>
    </row>
    <row r="2538" spans="1:2" x14ac:dyDescent="0.25">
      <c r="A2538">
        <v>991214</v>
      </c>
      <c r="B2538" s="29" t="s">
        <v>527</v>
      </c>
    </row>
    <row r="2539" spans="1:2" x14ac:dyDescent="0.25">
      <c r="A2539">
        <v>991214</v>
      </c>
      <c r="B2539" s="29" t="s">
        <v>527</v>
      </c>
    </row>
    <row r="2540" spans="1:2" x14ac:dyDescent="0.25">
      <c r="A2540">
        <v>991214</v>
      </c>
      <c r="B2540" s="29" t="s">
        <v>527</v>
      </c>
    </row>
    <row r="2541" spans="1:2" x14ac:dyDescent="0.25">
      <c r="A2541">
        <v>991214</v>
      </c>
      <c r="B2541" s="29" t="s">
        <v>527</v>
      </c>
    </row>
    <row r="2542" spans="1:2" x14ac:dyDescent="0.25">
      <c r="A2542">
        <v>991214</v>
      </c>
      <c r="B2542" s="29" t="s">
        <v>527</v>
      </c>
    </row>
    <row r="2543" spans="1:2" x14ac:dyDescent="0.25">
      <c r="A2543">
        <v>991214</v>
      </c>
      <c r="B2543" s="29" t="s">
        <v>527</v>
      </c>
    </row>
    <row r="2544" spans="1:2" x14ac:dyDescent="0.25">
      <c r="A2544">
        <v>991214</v>
      </c>
      <c r="B2544" s="29" t="s">
        <v>527</v>
      </c>
    </row>
    <row r="2545" spans="1:2" x14ac:dyDescent="0.25">
      <c r="A2545">
        <v>991214</v>
      </c>
      <c r="B2545" s="29" t="s">
        <v>527</v>
      </c>
    </row>
    <row r="2546" spans="1:2" x14ac:dyDescent="0.25">
      <c r="A2546">
        <v>991214</v>
      </c>
      <c r="B2546" s="29" t="s">
        <v>527</v>
      </c>
    </row>
    <row r="2547" spans="1:2" x14ac:dyDescent="0.25">
      <c r="A2547">
        <v>991214</v>
      </c>
      <c r="B2547" s="29" t="s">
        <v>527</v>
      </c>
    </row>
    <row r="2548" spans="1:2" x14ac:dyDescent="0.25">
      <c r="A2548">
        <v>991214</v>
      </c>
      <c r="B2548" s="29" t="s">
        <v>527</v>
      </c>
    </row>
    <row r="2549" spans="1:2" x14ac:dyDescent="0.25">
      <c r="A2549">
        <v>991214</v>
      </c>
      <c r="B2549" s="29" t="s">
        <v>527</v>
      </c>
    </row>
    <row r="2550" spans="1:2" x14ac:dyDescent="0.25">
      <c r="A2550">
        <v>991214</v>
      </c>
      <c r="B2550" s="29" t="s">
        <v>527</v>
      </c>
    </row>
    <row r="2551" spans="1:2" x14ac:dyDescent="0.25">
      <c r="A2551">
        <v>991214</v>
      </c>
      <c r="B2551" s="29" t="s">
        <v>527</v>
      </c>
    </row>
    <row r="2552" spans="1:2" x14ac:dyDescent="0.25">
      <c r="A2552">
        <v>991214</v>
      </c>
      <c r="B2552" s="29" t="s">
        <v>527</v>
      </c>
    </row>
    <row r="2553" spans="1:2" x14ac:dyDescent="0.25">
      <c r="A2553">
        <v>991214</v>
      </c>
      <c r="B2553" s="29" t="s">
        <v>527</v>
      </c>
    </row>
    <row r="2554" spans="1:2" x14ac:dyDescent="0.25">
      <c r="A2554">
        <v>991214</v>
      </c>
      <c r="B2554" s="29" t="s">
        <v>527</v>
      </c>
    </row>
    <row r="2555" spans="1:2" x14ac:dyDescent="0.25">
      <c r="A2555">
        <v>991214</v>
      </c>
      <c r="B2555" s="29" t="s">
        <v>527</v>
      </c>
    </row>
    <row r="2556" spans="1:2" x14ac:dyDescent="0.25">
      <c r="A2556">
        <v>991214</v>
      </c>
      <c r="B2556" s="29" t="s">
        <v>527</v>
      </c>
    </row>
    <row r="2557" spans="1:2" x14ac:dyDescent="0.25">
      <c r="A2557">
        <v>991214</v>
      </c>
      <c r="B2557" s="29" t="s">
        <v>527</v>
      </c>
    </row>
    <row r="2558" spans="1:2" x14ac:dyDescent="0.25">
      <c r="A2558">
        <v>991214</v>
      </c>
      <c r="B2558" s="29" t="s">
        <v>527</v>
      </c>
    </row>
    <row r="2559" spans="1:2" x14ac:dyDescent="0.25">
      <c r="A2559">
        <v>991214</v>
      </c>
      <c r="B2559" s="29" t="s">
        <v>527</v>
      </c>
    </row>
    <row r="2560" spans="1:2" x14ac:dyDescent="0.25">
      <c r="A2560">
        <v>991214</v>
      </c>
      <c r="B2560" s="29" t="s">
        <v>527</v>
      </c>
    </row>
    <row r="2561" spans="1:2" x14ac:dyDescent="0.25">
      <c r="A2561">
        <v>991214</v>
      </c>
      <c r="B2561" s="29" t="s">
        <v>527</v>
      </c>
    </row>
    <row r="2562" spans="1:2" x14ac:dyDescent="0.25">
      <c r="A2562">
        <v>991214</v>
      </c>
      <c r="B2562" s="29" t="s">
        <v>527</v>
      </c>
    </row>
    <row r="2563" spans="1:2" x14ac:dyDescent="0.25">
      <c r="A2563">
        <v>991224</v>
      </c>
      <c r="B2563" s="29" t="s">
        <v>537</v>
      </c>
    </row>
    <row r="2564" spans="1:2" x14ac:dyDescent="0.25">
      <c r="A2564">
        <v>991224</v>
      </c>
      <c r="B2564" s="29" t="s">
        <v>537</v>
      </c>
    </row>
    <row r="2565" spans="1:2" x14ac:dyDescent="0.25">
      <c r="A2565">
        <v>991224</v>
      </c>
      <c r="B2565" s="29" t="s">
        <v>537</v>
      </c>
    </row>
    <row r="2566" spans="1:2" x14ac:dyDescent="0.25">
      <c r="A2566">
        <v>991224</v>
      </c>
      <c r="B2566" s="29" t="s">
        <v>537</v>
      </c>
    </row>
    <row r="2567" spans="1:2" x14ac:dyDescent="0.25">
      <c r="A2567">
        <v>991224</v>
      </c>
      <c r="B2567" s="29" t="s">
        <v>537</v>
      </c>
    </row>
    <row r="2568" spans="1:2" x14ac:dyDescent="0.25">
      <c r="A2568">
        <v>991224</v>
      </c>
      <c r="B2568" s="29" t="s">
        <v>537</v>
      </c>
    </row>
    <row r="2569" spans="1:2" x14ac:dyDescent="0.25">
      <c r="A2569">
        <v>991224</v>
      </c>
      <c r="B2569" s="29" t="s">
        <v>537</v>
      </c>
    </row>
    <row r="2570" spans="1:2" x14ac:dyDescent="0.25">
      <c r="A2570">
        <v>991224</v>
      </c>
      <c r="B2570" s="29" t="s">
        <v>537</v>
      </c>
    </row>
    <row r="2571" spans="1:2" x14ac:dyDescent="0.25">
      <c r="A2571">
        <v>991224</v>
      </c>
      <c r="B2571" s="29" t="s">
        <v>537</v>
      </c>
    </row>
    <row r="2572" spans="1:2" x14ac:dyDescent="0.25">
      <c r="A2572">
        <v>991224</v>
      </c>
      <c r="B2572" s="29" t="s">
        <v>537</v>
      </c>
    </row>
    <row r="2573" spans="1:2" x14ac:dyDescent="0.25">
      <c r="A2573">
        <v>991224</v>
      </c>
      <c r="B2573" s="29" t="s">
        <v>537</v>
      </c>
    </row>
    <row r="2574" spans="1:2" x14ac:dyDescent="0.25">
      <c r="A2574">
        <v>991224</v>
      </c>
      <c r="B2574" s="29" t="s">
        <v>537</v>
      </c>
    </row>
    <row r="2575" spans="1:2" x14ac:dyDescent="0.25">
      <c r="A2575">
        <v>991211</v>
      </c>
      <c r="B2575" s="29" t="s">
        <v>524</v>
      </c>
    </row>
    <row r="2576" spans="1:2" x14ac:dyDescent="0.25">
      <c r="A2576">
        <v>991211</v>
      </c>
      <c r="B2576" s="29" t="s">
        <v>524</v>
      </c>
    </row>
    <row r="2577" spans="1:2" x14ac:dyDescent="0.25">
      <c r="A2577">
        <v>991211</v>
      </c>
      <c r="B2577" s="29" t="s">
        <v>524</v>
      </c>
    </row>
    <row r="2578" spans="1:2" x14ac:dyDescent="0.25">
      <c r="A2578">
        <v>991211</v>
      </c>
      <c r="B2578" s="29" t="s">
        <v>524</v>
      </c>
    </row>
    <row r="2579" spans="1:2" x14ac:dyDescent="0.25">
      <c r="A2579">
        <v>991211</v>
      </c>
      <c r="B2579" s="29" t="s">
        <v>524</v>
      </c>
    </row>
    <row r="2580" spans="1:2" x14ac:dyDescent="0.25">
      <c r="A2580">
        <v>991211</v>
      </c>
      <c r="B2580" s="29" t="s">
        <v>524</v>
      </c>
    </row>
    <row r="2581" spans="1:2" x14ac:dyDescent="0.25">
      <c r="A2581">
        <v>991211</v>
      </c>
      <c r="B2581" s="29" t="s">
        <v>524</v>
      </c>
    </row>
    <row r="2582" spans="1:2" x14ac:dyDescent="0.25">
      <c r="A2582">
        <v>991211</v>
      </c>
      <c r="B2582" s="29" t="s">
        <v>524</v>
      </c>
    </row>
    <row r="2583" spans="1:2" x14ac:dyDescent="0.25">
      <c r="A2583">
        <v>991211</v>
      </c>
      <c r="B2583" s="29" t="s">
        <v>524</v>
      </c>
    </row>
    <row r="2584" spans="1:2" x14ac:dyDescent="0.25">
      <c r="A2584">
        <v>991211</v>
      </c>
      <c r="B2584" s="29" t="s">
        <v>524</v>
      </c>
    </row>
    <row r="2585" spans="1:2" x14ac:dyDescent="0.25">
      <c r="A2585">
        <v>991211</v>
      </c>
      <c r="B2585" s="29" t="s">
        <v>524</v>
      </c>
    </row>
    <row r="2586" spans="1:2" x14ac:dyDescent="0.25">
      <c r="A2586">
        <v>991211</v>
      </c>
      <c r="B2586" s="29" t="s">
        <v>524</v>
      </c>
    </row>
    <row r="2587" spans="1:2" x14ac:dyDescent="0.25">
      <c r="A2587">
        <v>991234</v>
      </c>
      <c r="B2587" s="29" t="s">
        <v>963</v>
      </c>
    </row>
    <row r="2588" spans="1:2" x14ac:dyDescent="0.25">
      <c r="A2588">
        <v>991234</v>
      </c>
      <c r="B2588" s="29" t="s">
        <v>963</v>
      </c>
    </row>
    <row r="2589" spans="1:2" x14ac:dyDescent="0.25">
      <c r="A2589">
        <v>991234</v>
      </c>
      <c r="B2589" s="29" t="s">
        <v>963</v>
      </c>
    </row>
    <row r="2590" spans="1:2" x14ac:dyDescent="0.25">
      <c r="A2590">
        <v>991234</v>
      </c>
      <c r="B2590" s="29" t="s">
        <v>963</v>
      </c>
    </row>
    <row r="2591" spans="1:2" x14ac:dyDescent="0.25">
      <c r="A2591">
        <v>991234</v>
      </c>
      <c r="B2591" s="29" t="s">
        <v>963</v>
      </c>
    </row>
    <row r="2592" spans="1:2" x14ac:dyDescent="0.25">
      <c r="A2592">
        <v>991234</v>
      </c>
      <c r="B2592" s="29" t="s">
        <v>963</v>
      </c>
    </row>
    <row r="2593" spans="1:2" x14ac:dyDescent="0.25">
      <c r="A2593">
        <v>991234</v>
      </c>
      <c r="B2593" s="29" t="s">
        <v>963</v>
      </c>
    </row>
    <row r="2594" spans="1:2" x14ac:dyDescent="0.25">
      <c r="A2594">
        <v>991234</v>
      </c>
      <c r="B2594" s="29" t="s">
        <v>963</v>
      </c>
    </row>
    <row r="2595" spans="1:2" x14ac:dyDescent="0.25">
      <c r="A2595">
        <v>991234</v>
      </c>
      <c r="B2595" s="29" t="s">
        <v>963</v>
      </c>
    </row>
    <row r="2596" spans="1:2" x14ac:dyDescent="0.25">
      <c r="A2596">
        <v>991234</v>
      </c>
      <c r="B2596" s="29" t="s">
        <v>963</v>
      </c>
    </row>
    <row r="2597" spans="1:2" x14ac:dyDescent="0.25">
      <c r="A2597">
        <v>991234</v>
      </c>
      <c r="B2597" s="29" t="s">
        <v>963</v>
      </c>
    </row>
    <row r="2598" spans="1:2" x14ac:dyDescent="0.25">
      <c r="A2598">
        <v>991234</v>
      </c>
      <c r="B2598" s="29" t="s">
        <v>963</v>
      </c>
    </row>
    <row r="2599" spans="1:2" x14ac:dyDescent="0.25">
      <c r="A2599">
        <v>991238</v>
      </c>
      <c r="B2599" s="29" t="s">
        <v>964</v>
      </c>
    </row>
    <row r="2600" spans="1:2" x14ac:dyDescent="0.25">
      <c r="A2600">
        <v>991238</v>
      </c>
      <c r="B2600" s="29" t="s">
        <v>964</v>
      </c>
    </row>
    <row r="2601" spans="1:2" x14ac:dyDescent="0.25">
      <c r="A2601">
        <v>991238</v>
      </c>
      <c r="B2601" s="29" t="s">
        <v>964</v>
      </c>
    </row>
    <row r="2602" spans="1:2" x14ac:dyDescent="0.25">
      <c r="A2602">
        <v>991238</v>
      </c>
      <c r="B2602" s="29" t="s">
        <v>964</v>
      </c>
    </row>
    <row r="2603" spans="1:2" x14ac:dyDescent="0.25">
      <c r="A2603">
        <v>991238</v>
      </c>
      <c r="B2603" s="29" t="s">
        <v>964</v>
      </c>
    </row>
    <row r="2604" spans="1:2" x14ac:dyDescent="0.25">
      <c r="A2604">
        <v>991238</v>
      </c>
      <c r="B2604" s="29" t="s">
        <v>964</v>
      </c>
    </row>
    <row r="2605" spans="1:2" x14ac:dyDescent="0.25">
      <c r="A2605">
        <v>991238</v>
      </c>
      <c r="B2605" s="29" t="s">
        <v>964</v>
      </c>
    </row>
    <row r="2606" spans="1:2" x14ac:dyDescent="0.25">
      <c r="A2606">
        <v>991238</v>
      </c>
      <c r="B2606" s="29" t="s">
        <v>964</v>
      </c>
    </row>
    <row r="2607" spans="1:2" x14ac:dyDescent="0.25">
      <c r="A2607">
        <v>991238</v>
      </c>
      <c r="B2607" s="29" t="s">
        <v>964</v>
      </c>
    </row>
    <row r="2608" spans="1:2" x14ac:dyDescent="0.25">
      <c r="A2608">
        <v>991238</v>
      </c>
      <c r="B2608" s="29" t="s">
        <v>964</v>
      </c>
    </row>
    <row r="2609" spans="1:2" x14ac:dyDescent="0.25">
      <c r="A2609">
        <v>991238</v>
      </c>
      <c r="B2609" s="29" t="s">
        <v>964</v>
      </c>
    </row>
    <row r="2610" spans="1:2" x14ac:dyDescent="0.25">
      <c r="A2610">
        <v>991238</v>
      </c>
      <c r="B2610" s="29" t="s">
        <v>964</v>
      </c>
    </row>
    <row r="2611" spans="1:2" x14ac:dyDescent="0.25">
      <c r="A2611">
        <v>991237</v>
      </c>
      <c r="B2611" s="29" t="s">
        <v>965</v>
      </c>
    </row>
    <row r="2612" spans="1:2" x14ac:dyDescent="0.25">
      <c r="A2612">
        <v>991237</v>
      </c>
      <c r="B2612" s="29" t="s">
        <v>965</v>
      </c>
    </row>
    <row r="2613" spans="1:2" x14ac:dyDescent="0.25">
      <c r="A2613">
        <v>991237</v>
      </c>
      <c r="B2613" s="29" t="s">
        <v>965</v>
      </c>
    </row>
    <row r="2614" spans="1:2" x14ac:dyDescent="0.25">
      <c r="A2614">
        <v>991237</v>
      </c>
      <c r="B2614" s="29" t="s">
        <v>965</v>
      </c>
    </row>
    <row r="2615" spans="1:2" x14ac:dyDescent="0.25">
      <c r="A2615">
        <v>991237</v>
      </c>
      <c r="B2615" s="29" t="s">
        <v>965</v>
      </c>
    </row>
    <row r="2616" spans="1:2" x14ac:dyDescent="0.25">
      <c r="A2616">
        <v>991237</v>
      </c>
      <c r="B2616" s="29" t="s">
        <v>965</v>
      </c>
    </row>
    <row r="2617" spans="1:2" x14ac:dyDescent="0.25">
      <c r="A2617">
        <v>991237</v>
      </c>
      <c r="B2617" s="29" t="s">
        <v>965</v>
      </c>
    </row>
    <row r="2618" spans="1:2" x14ac:dyDescent="0.25">
      <c r="A2618">
        <v>991237</v>
      </c>
      <c r="B2618" s="29" t="s">
        <v>965</v>
      </c>
    </row>
    <row r="2619" spans="1:2" x14ac:dyDescent="0.25">
      <c r="A2619">
        <v>991237</v>
      </c>
      <c r="B2619" s="29" t="s">
        <v>965</v>
      </c>
    </row>
    <row r="2620" spans="1:2" x14ac:dyDescent="0.25">
      <c r="A2620">
        <v>991237</v>
      </c>
      <c r="B2620" s="29" t="s">
        <v>965</v>
      </c>
    </row>
    <row r="2621" spans="1:2" x14ac:dyDescent="0.25">
      <c r="A2621">
        <v>991237</v>
      </c>
      <c r="B2621" s="29" t="s">
        <v>965</v>
      </c>
    </row>
    <row r="2622" spans="1:2" x14ac:dyDescent="0.25">
      <c r="A2622">
        <v>991237</v>
      </c>
      <c r="B2622" s="29" t="s">
        <v>965</v>
      </c>
    </row>
    <row r="2623" spans="1:2" x14ac:dyDescent="0.25">
      <c r="A2623">
        <v>990032</v>
      </c>
      <c r="B2623" s="29" t="s">
        <v>966</v>
      </c>
    </row>
    <row r="2624" spans="1:2" x14ac:dyDescent="0.25">
      <c r="A2624">
        <v>990032</v>
      </c>
      <c r="B2624" s="29" t="s">
        <v>966</v>
      </c>
    </row>
    <row r="2625" spans="1:2" x14ac:dyDescent="0.25">
      <c r="A2625">
        <v>990032</v>
      </c>
      <c r="B2625" s="29" t="s">
        <v>966</v>
      </c>
    </row>
    <row r="2626" spans="1:2" x14ac:dyDescent="0.25">
      <c r="A2626">
        <v>991249</v>
      </c>
      <c r="B2626" s="29" t="s">
        <v>967</v>
      </c>
    </row>
    <row r="2627" spans="1:2" x14ac:dyDescent="0.25">
      <c r="A2627">
        <v>991249</v>
      </c>
      <c r="B2627" s="29" t="s">
        <v>967</v>
      </c>
    </row>
    <row r="2628" spans="1:2" x14ac:dyDescent="0.25">
      <c r="A2628">
        <v>991249</v>
      </c>
      <c r="B2628" s="29" t="s">
        <v>967</v>
      </c>
    </row>
    <row r="2629" spans="1:2" x14ac:dyDescent="0.25">
      <c r="A2629">
        <v>991249</v>
      </c>
      <c r="B2629" s="29" t="s">
        <v>967</v>
      </c>
    </row>
    <row r="2630" spans="1:2" x14ac:dyDescent="0.25">
      <c r="A2630">
        <v>991249</v>
      </c>
      <c r="B2630" s="29" t="s">
        <v>967</v>
      </c>
    </row>
    <row r="2631" spans="1:2" x14ac:dyDescent="0.25">
      <c r="A2631">
        <v>991249</v>
      </c>
      <c r="B2631" s="29" t="s">
        <v>967</v>
      </c>
    </row>
    <row r="2632" spans="1:2" x14ac:dyDescent="0.25">
      <c r="A2632">
        <v>991249</v>
      </c>
      <c r="B2632" s="29" t="s">
        <v>967</v>
      </c>
    </row>
    <row r="2633" spans="1:2" x14ac:dyDescent="0.25">
      <c r="A2633">
        <v>991249</v>
      </c>
      <c r="B2633" s="29" t="s">
        <v>967</v>
      </c>
    </row>
    <row r="2634" spans="1:2" x14ac:dyDescent="0.25">
      <c r="A2634">
        <v>991249</v>
      </c>
      <c r="B2634" s="29" t="s">
        <v>967</v>
      </c>
    </row>
    <row r="2635" spans="1:2" x14ac:dyDescent="0.25">
      <c r="A2635">
        <v>991249</v>
      </c>
      <c r="B2635" s="29" t="s">
        <v>967</v>
      </c>
    </row>
    <row r="2636" spans="1:2" x14ac:dyDescent="0.25">
      <c r="A2636">
        <v>991249</v>
      </c>
      <c r="B2636" s="29" t="s">
        <v>967</v>
      </c>
    </row>
    <row r="2637" spans="1:2" x14ac:dyDescent="0.25">
      <c r="A2637">
        <v>991249</v>
      </c>
      <c r="B2637" s="29" t="s">
        <v>967</v>
      </c>
    </row>
    <row r="2638" spans="1:2" x14ac:dyDescent="0.25">
      <c r="A2638">
        <v>992957</v>
      </c>
      <c r="B2638" s="29" t="s">
        <v>968</v>
      </c>
    </row>
    <row r="2639" spans="1:2" x14ac:dyDescent="0.25">
      <c r="A2639">
        <v>992957</v>
      </c>
      <c r="B2639" s="29" t="s">
        <v>968</v>
      </c>
    </row>
    <row r="2640" spans="1:2" x14ac:dyDescent="0.25">
      <c r="A2640">
        <v>992957</v>
      </c>
      <c r="B2640" s="29" t="s">
        <v>968</v>
      </c>
    </row>
    <row r="2641" spans="1:2" x14ac:dyDescent="0.25">
      <c r="A2641">
        <v>992957</v>
      </c>
      <c r="B2641" s="29" t="s">
        <v>968</v>
      </c>
    </row>
    <row r="2642" spans="1:2" x14ac:dyDescent="0.25">
      <c r="A2642">
        <v>992957</v>
      </c>
      <c r="B2642" s="29" t="s">
        <v>968</v>
      </c>
    </row>
    <row r="2643" spans="1:2" x14ac:dyDescent="0.25">
      <c r="A2643">
        <v>992957</v>
      </c>
      <c r="B2643" s="29" t="s">
        <v>968</v>
      </c>
    </row>
    <row r="2644" spans="1:2" x14ac:dyDescent="0.25">
      <c r="A2644">
        <v>992957</v>
      </c>
      <c r="B2644" s="29" t="s">
        <v>968</v>
      </c>
    </row>
    <row r="2645" spans="1:2" x14ac:dyDescent="0.25">
      <c r="A2645">
        <v>992957</v>
      </c>
      <c r="B2645" s="29" t="s">
        <v>968</v>
      </c>
    </row>
    <row r="2646" spans="1:2" x14ac:dyDescent="0.25">
      <c r="A2646">
        <v>992957</v>
      </c>
      <c r="B2646" s="29" t="s">
        <v>968</v>
      </c>
    </row>
    <row r="2647" spans="1:2" x14ac:dyDescent="0.25">
      <c r="A2647">
        <v>992957</v>
      </c>
      <c r="B2647" s="29" t="s">
        <v>968</v>
      </c>
    </row>
    <row r="2648" spans="1:2" x14ac:dyDescent="0.25">
      <c r="A2648">
        <v>992957</v>
      </c>
      <c r="B2648" s="29" t="s">
        <v>968</v>
      </c>
    </row>
    <row r="2649" spans="1:2" x14ac:dyDescent="0.25">
      <c r="A2649">
        <v>992957</v>
      </c>
      <c r="B2649" s="29" t="s">
        <v>968</v>
      </c>
    </row>
    <row r="2650" spans="1:2" x14ac:dyDescent="0.25">
      <c r="A2650">
        <v>992957</v>
      </c>
      <c r="B2650" s="29" t="s">
        <v>968</v>
      </c>
    </row>
    <row r="2651" spans="1:2" x14ac:dyDescent="0.25">
      <c r="A2651">
        <v>992957</v>
      </c>
      <c r="B2651" s="29" t="s">
        <v>968</v>
      </c>
    </row>
    <row r="2652" spans="1:2" x14ac:dyDescent="0.25">
      <c r="A2652">
        <v>992957</v>
      </c>
      <c r="B2652" s="29" t="s">
        <v>968</v>
      </c>
    </row>
    <row r="2653" spans="1:2" x14ac:dyDescent="0.25">
      <c r="A2653">
        <v>992957</v>
      </c>
      <c r="B2653" s="29" t="s">
        <v>968</v>
      </c>
    </row>
    <row r="2654" spans="1:2" x14ac:dyDescent="0.25">
      <c r="A2654">
        <v>992957</v>
      </c>
      <c r="B2654" s="29" t="s">
        <v>968</v>
      </c>
    </row>
    <row r="2655" spans="1:2" x14ac:dyDescent="0.25">
      <c r="A2655">
        <v>992957</v>
      </c>
      <c r="B2655" s="29" t="s">
        <v>968</v>
      </c>
    </row>
    <row r="2656" spans="1:2" x14ac:dyDescent="0.25">
      <c r="A2656">
        <v>993956</v>
      </c>
      <c r="B2656" s="29" t="s">
        <v>969</v>
      </c>
    </row>
    <row r="2657" spans="1:2" x14ac:dyDescent="0.25">
      <c r="A2657">
        <v>993956</v>
      </c>
      <c r="B2657" s="29" t="s">
        <v>969</v>
      </c>
    </row>
    <row r="2658" spans="1:2" x14ac:dyDescent="0.25">
      <c r="A2658">
        <v>993956</v>
      </c>
      <c r="B2658" s="29" t="s">
        <v>969</v>
      </c>
    </row>
    <row r="2659" spans="1:2" x14ac:dyDescent="0.25">
      <c r="A2659">
        <v>993956</v>
      </c>
      <c r="B2659" s="29" t="s">
        <v>969</v>
      </c>
    </row>
    <row r="2660" spans="1:2" x14ac:dyDescent="0.25">
      <c r="A2660">
        <v>993956</v>
      </c>
      <c r="B2660" s="29" t="s">
        <v>969</v>
      </c>
    </row>
    <row r="2661" spans="1:2" x14ac:dyDescent="0.25">
      <c r="A2661">
        <v>993956</v>
      </c>
      <c r="B2661" s="29" t="s">
        <v>969</v>
      </c>
    </row>
    <row r="2662" spans="1:2" x14ac:dyDescent="0.25">
      <c r="A2662">
        <v>993956</v>
      </c>
      <c r="B2662" s="29" t="s">
        <v>969</v>
      </c>
    </row>
    <row r="2663" spans="1:2" x14ac:dyDescent="0.25">
      <c r="A2663">
        <v>993956</v>
      </c>
      <c r="B2663" s="29" t="s">
        <v>969</v>
      </c>
    </row>
    <row r="2664" spans="1:2" x14ac:dyDescent="0.25">
      <c r="A2664">
        <v>993956</v>
      </c>
      <c r="B2664" s="29" t="s">
        <v>969</v>
      </c>
    </row>
    <row r="2665" spans="1:2" x14ac:dyDescent="0.25">
      <c r="A2665">
        <v>993956</v>
      </c>
      <c r="B2665" s="29" t="s">
        <v>969</v>
      </c>
    </row>
    <row r="2666" spans="1:2" x14ac:dyDescent="0.25">
      <c r="A2666">
        <v>993956</v>
      </c>
      <c r="B2666" s="29" t="s">
        <v>969</v>
      </c>
    </row>
    <row r="2667" spans="1:2" x14ac:dyDescent="0.25">
      <c r="A2667">
        <v>993956</v>
      </c>
      <c r="B2667" s="29" t="s">
        <v>969</v>
      </c>
    </row>
    <row r="2668" spans="1:2" x14ac:dyDescent="0.25">
      <c r="A2668">
        <v>993956</v>
      </c>
      <c r="B2668" s="29" t="s">
        <v>969</v>
      </c>
    </row>
    <row r="2669" spans="1:2" x14ac:dyDescent="0.25">
      <c r="A2669">
        <v>993956</v>
      </c>
      <c r="B2669" s="29" t="s">
        <v>969</v>
      </c>
    </row>
    <row r="2670" spans="1:2" x14ac:dyDescent="0.25">
      <c r="A2670">
        <v>993956</v>
      </c>
      <c r="B2670" s="29" t="s">
        <v>969</v>
      </c>
    </row>
    <row r="2671" spans="1:2" x14ac:dyDescent="0.25">
      <c r="A2671">
        <v>993956</v>
      </c>
      <c r="B2671" s="29" t="s">
        <v>969</v>
      </c>
    </row>
    <row r="2672" spans="1:2" x14ac:dyDescent="0.25">
      <c r="A2672">
        <v>993956</v>
      </c>
      <c r="B2672" s="29" t="s">
        <v>969</v>
      </c>
    </row>
    <row r="2673" spans="1:2" x14ac:dyDescent="0.25">
      <c r="A2673">
        <v>993956</v>
      </c>
      <c r="B2673" s="29" t="s">
        <v>969</v>
      </c>
    </row>
    <row r="2674" spans="1:2" x14ac:dyDescent="0.25">
      <c r="A2674">
        <v>993956</v>
      </c>
      <c r="B2674" s="29" t="s">
        <v>969</v>
      </c>
    </row>
    <row r="2675" spans="1:2" x14ac:dyDescent="0.25">
      <c r="A2675">
        <v>993956</v>
      </c>
      <c r="B2675" s="29" t="s">
        <v>969</v>
      </c>
    </row>
    <row r="2676" spans="1:2" x14ac:dyDescent="0.25">
      <c r="A2676">
        <v>993956</v>
      </c>
      <c r="B2676" s="29" t="s">
        <v>969</v>
      </c>
    </row>
    <row r="2677" spans="1:2" x14ac:dyDescent="0.25">
      <c r="A2677">
        <v>993956</v>
      </c>
      <c r="B2677" s="29" t="s">
        <v>969</v>
      </c>
    </row>
    <row r="2678" spans="1:2" x14ac:dyDescent="0.25">
      <c r="A2678">
        <v>993956</v>
      </c>
      <c r="B2678" s="29" t="s">
        <v>969</v>
      </c>
    </row>
    <row r="2679" spans="1:2" x14ac:dyDescent="0.25">
      <c r="A2679">
        <v>993956</v>
      </c>
      <c r="B2679" s="29" t="s">
        <v>969</v>
      </c>
    </row>
    <row r="2680" spans="1:2" x14ac:dyDescent="0.25">
      <c r="A2680">
        <v>993955</v>
      </c>
      <c r="B2680" s="29" t="s">
        <v>970</v>
      </c>
    </row>
    <row r="2681" spans="1:2" x14ac:dyDescent="0.25">
      <c r="A2681">
        <v>993955</v>
      </c>
      <c r="B2681" s="29" t="s">
        <v>970</v>
      </c>
    </row>
    <row r="2682" spans="1:2" x14ac:dyDescent="0.25">
      <c r="A2682">
        <v>993955</v>
      </c>
      <c r="B2682" s="29" t="s">
        <v>970</v>
      </c>
    </row>
    <row r="2683" spans="1:2" x14ac:dyDescent="0.25">
      <c r="A2683">
        <v>993955</v>
      </c>
      <c r="B2683" s="29" t="s">
        <v>970</v>
      </c>
    </row>
    <row r="2684" spans="1:2" x14ac:dyDescent="0.25">
      <c r="A2684">
        <v>993955</v>
      </c>
      <c r="B2684" s="29" t="s">
        <v>970</v>
      </c>
    </row>
    <row r="2685" spans="1:2" x14ac:dyDescent="0.25">
      <c r="A2685">
        <v>993955</v>
      </c>
      <c r="B2685" s="29" t="s">
        <v>970</v>
      </c>
    </row>
    <row r="2686" spans="1:2" x14ac:dyDescent="0.25">
      <c r="A2686">
        <v>993955</v>
      </c>
      <c r="B2686" s="29" t="s">
        <v>970</v>
      </c>
    </row>
    <row r="2687" spans="1:2" x14ac:dyDescent="0.25">
      <c r="A2687">
        <v>993955</v>
      </c>
      <c r="B2687" s="29" t="s">
        <v>970</v>
      </c>
    </row>
    <row r="2688" spans="1:2" x14ac:dyDescent="0.25">
      <c r="A2688">
        <v>993955</v>
      </c>
      <c r="B2688" s="29" t="s">
        <v>970</v>
      </c>
    </row>
    <row r="2689" spans="1:2" x14ac:dyDescent="0.25">
      <c r="A2689">
        <v>993955</v>
      </c>
      <c r="B2689" s="29" t="s">
        <v>970</v>
      </c>
    </row>
    <row r="2690" spans="1:2" x14ac:dyDescent="0.25">
      <c r="A2690">
        <v>993955</v>
      </c>
      <c r="B2690" s="29" t="s">
        <v>970</v>
      </c>
    </row>
    <row r="2691" spans="1:2" x14ac:dyDescent="0.25">
      <c r="A2691">
        <v>993955</v>
      </c>
      <c r="B2691" s="29" t="s">
        <v>970</v>
      </c>
    </row>
    <row r="2692" spans="1:2" x14ac:dyDescent="0.25">
      <c r="A2692">
        <v>993955</v>
      </c>
      <c r="B2692" s="29" t="s">
        <v>970</v>
      </c>
    </row>
    <row r="2693" spans="1:2" x14ac:dyDescent="0.25">
      <c r="A2693">
        <v>993955</v>
      </c>
      <c r="B2693" s="29" t="s">
        <v>970</v>
      </c>
    </row>
    <row r="2694" spans="1:2" x14ac:dyDescent="0.25">
      <c r="A2694">
        <v>993955</v>
      </c>
      <c r="B2694" s="29" t="s">
        <v>970</v>
      </c>
    </row>
    <row r="2695" spans="1:2" x14ac:dyDescent="0.25">
      <c r="A2695">
        <v>993962</v>
      </c>
      <c r="B2695" s="29" t="s">
        <v>971</v>
      </c>
    </row>
    <row r="2696" spans="1:2" x14ac:dyDescent="0.25">
      <c r="A2696">
        <v>993962</v>
      </c>
      <c r="B2696" s="29" t="s">
        <v>971</v>
      </c>
    </row>
    <row r="2697" spans="1:2" x14ac:dyDescent="0.25">
      <c r="A2697">
        <v>993962</v>
      </c>
      <c r="B2697" s="29" t="s">
        <v>971</v>
      </c>
    </row>
    <row r="2698" spans="1:2" x14ac:dyDescent="0.25">
      <c r="A2698">
        <v>993962</v>
      </c>
      <c r="B2698" s="29" t="s">
        <v>971</v>
      </c>
    </row>
    <row r="2699" spans="1:2" x14ac:dyDescent="0.25">
      <c r="A2699">
        <v>993962</v>
      </c>
      <c r="B2699" s="29" t="s">
        <v>971</v>
      </c>
    </row>
    <row r="2700" spans="1:2" x14ac:dyDescent="0.25">
      <c r="A2700">
        <v>993962</v>
      </c>
      <c r="B2700" s="29" t="s">
        <v>971</v>
      </c>
    </row>
    <row r="2701" spans="1:2" x14ac:dyDescent="0.25">
      <c r="A2701">
        <v>993962</v>
      </c>
      <c r="B2701" s="29" t="s">
        <v>971</v>
      </c>
    </row>
    <row r="2702" spans="1:2" x14ac:dyDescent="0.25">
      <c r="A2702">
        <v>993962</v>
      </c>
      <c r="B2702" s="29" t="s">
        <v>971</v>
      </c>
    </row>
    <row r="2703" spans="1:2" x14ac:dyDescent="0.25">
      <c r="A2703">
        <v>993962</v>
      </c>
      <c r="B2703" s="29" t="s">
        <v>971</v>
      </c>
    </row>
    <row r="2704" spans="1:2" x14ac:dyDescent="0.25">
      <c r="A2704">
        <v>993962</v>
      </c>
      <c r="B2704" s="29" t="s">
        <v>971</v>
      </c>
    </row>
    <row r="2705" spans="1:2" x14ac:dyDescent="0.25">
      <c r="A2705">
        <v>993967</v>
      </c>
      <c r="B2705" s="29" t="s">
        <v>972</v>
      </c>
    </row>
    <row r="2706" spans="1:2" x14ac:dyDescent="0.25">
      <c r="A2706">
        <v>993967</v>
      </c>
      <c r="B2706" s="29" t="s">
        <v>972</v>
      </c>
    </row>
    <row r="2707" spans="1:2" x14ac:dyDescent="0.25">
      <c r="A2707">
        <v>993967</v>
      </c>
      <c r="B2707" s="29" t="s">
        <v>972</v>
      </c>
    </row>
    <row r="2708" spans="1:2" x14ac:dyDescent="0.25">
      <c r="A2708">
        <v>993967</v>
      </c>
      <c r="B2708" s="29" t="s">
        <v>972</v>
      </c>
    </row>
    <row r="2709" spans="1:2" x14ac:dyDescent="0.25">
      <c r="A2709">
        <v>993967</v>
      </c>
      <c r="B2709" s="29" t="s">
        <v>972</v>
      </c>
    </row>
    <row r="2710" spans="1:2" x14ac:dyDescent="0.25">
      <c r="A2710">
        <v>993967</v>
      </c>
      <c r="B2710" s="29" t="s">
        <v>972</v>
      </c>
    </row>
    <row r="2711" spans="1:2" x14ac:dyDescent="0.25">
      <c r="A2711">
        <v>993967</v>
      </c>
      <c r="B2711" s="29" t="s">
        <v>972</v>
      </c>
    </row>
    <row r="2712" spans="1:2" x14ac:dyDescent="0.25">
      <c r="A2712">
        <v>993967</v>
      </c>
      <c r="B2712" s="29" t="s">
        <v>972</v>
      </c>
    </row>
    <row r="2713" spans="1:2" x14ac:dyDescent="0.25">
      <c r="A2713">
        <v>993967</v>
      </c>
      <c r="B2713" s="29" t="s">
        <v>972</v>
      </c>
    </row>
    <row r="2714" spans="1:2" x14ac:dyDescent="0.25">
      <c r="A2714">
        <v>993967</v>
      </c>
      <c r="B2714" s="29" t="s">
        <v>972</v>
      </c>
    </row>
    <row r="2715" spans="1:2" x14ac:dyDescent="0.25">
      <c r="A2715">
        <v>993967</v>
      </c>
      <c r="B2715" s="29" t="s">
        <v>972</v>
      </c>
    </row>
    <row r="2716" spans="1:2" x14ac:dyDescent="0.25">
      <c r="A2716">
        <v>993967</v>
      </c>
      <c r="B2716" s="29" t="s">
        <v>972</v>
      </c>
    </row>
    <row r="2717" spans="1:2" x14ac:dyDescent="0.25">
      <c r="A2717">
        <v>993967</v>
      </c>
      <c r="B2717" s="29" t="s">
        <v>972</v>
      </c>
    </row>
    <row r="2718" spans="1:2" x14ac:dyDescent="0.25">
      <c r="A2718">
        <v>993967</v>
      </c>
      <c r="B2718" s="29" t="s">
        <v>972</v>
      </c>
    </row>
    <row r="2719" spans="1:2" x14ac:dyDescent="0.25">
      <c r="A2719">
        <v>993967</v>
      </c>
      <c r="B2719" s="29" t="s">
        <v>972</v>
      </c>
    </row>
    <row r="2720" spans="1:2" x14ac:dyDescent="0.25">
      <c r="A2720">
        <v>993966</v>
      </c>
      <c r="B2720" s="29" t="s">
        <v>973</v>
      </c>
    </row>
    <row r="2721" spans="1:2" x14ac:dyDescent="0.25">
      <c r="A2721">
        <v>993966</v>
      </c>
      <c r="B2721" s="29" t="s">
        <v>973</v>
      </c>
    </row>
    <row r="2722" spans="1:2" x14ac:dyDescent="0.25">
      <c r="A2722">
        <v>993966</v>
      </c>
      <c r="B2722" s="29" t="s">
        <v>973</v>
      </c>
    </row>
    <row r="2723" spans="1:2" x14ac:dyDescent="0.25">
      <c r="A2723">
        <v>993966</v>
      </c>
      <c r="B2723" s="29" t="s">
        <v>973</v>
      </c>
    </row>
    <row r="2724" spans="1:2" x14ac:dyDescent="0.25">
      <c r="A2724">
        <v>993966</v>
      </c>
      <c r="B2724" s="29" t="s">
        <v>973</v>
      </c>
    </row>
    <row r="2725" spans="1:2" x14ac:dyDescent="0.25">
      <c r="A2725">
        <v>993966</v>
      </c>
      <c r="B2725" s="29" t="s">
        <v>973</v>
      </c>
    </row>
    <row r="2726" spans="1:2" x14ac:dyDescent="0.25">
      <c r="A2726">
        <v>993966</v>
      </c>
      <c r="B2726" s="29" t="s">
        <v>973</v>
      </c>
    </row>
    <row r="2727" spans="1:2" x14ac:dyDescent="0.25">
      <c r="A2727">
        <v>993966</v>
      </c>
      <c r="B2727" s="29" t="s">
        <v>973</v>
      </c>
    </row>
    <row r="2728" spans="1:2" x14ac:dyDescent="0.25">
      <c r="A2728">
        <v>993966</v>
      </c>
      <c r="B2728" s="29" t="s">
        <v>973</v>
      </c>
    </row>
    <row r="2729" spans="1:2" x14ac:dyDescent="0.25">
      <c r="A2729">
        <v>993966</v>
      </c>
      <c r="B2729" s="29" t="s">
        <v>973</v>
      </c>
    </row>
    <row r="2730" spans="1:2" x14ac:dyDescent="0.25">
      <c r="A2730">
        <v>993966</v>
      </c>
      <c r="B2730" s="29" t="s">
        <v>973</v>
      </c>
    </row>
    <row r="2731" spans="1:2" x14ac:dyDescent="0.25">
      <c r="A2731">
        <v>993966</v>
      </c>
      <c r="B2731" s="29" t="s">
        <v>973</v>
      </c>
    </row>
    <row r="2732" spans="1:2" x14ac:dyDescent="0.25">
      <c r="A2732">
        <v>993966</v>
      </c>
      <c r="B2732" s="29" t="s">
        <v>973</v>
      </c>
    </row>
    <row r="2733" spans="1:2" x14ac:dyDescent="0.25">
      <c r="A2733">
        <v>993966</v>
      </c>
      <c r="B2733" s="29" t="s">
        <v>973</v>
      </c>
    </row>
    <row r="2734" spans="1:2" x14ac:dyDescent="0.25">
      <c r="A2734">
        <v>993966</v>
      </c>
      <c r="B2734" s="29" t="s">
        <v>973</v>
      </c>
    </row>
    <row r="2735" spans="1:2" x14ac:dyDescent="0.25">
      <c r="A2735">
        <v>993981</v>
      </c>
      <c r="B2735" s="29" t="s">
        <v>974</v>
      </c>
    </row>
    <row r="2736" spans="1:2" x14ac:dyDescent="0.25">
      <c r="A2736">
        <v>993981</v>
      </c>
      <c r="B2736" s="29" t="s">
        <v>974</v>
      </c>
    </row>
    <row r="2737" spans="1:2" x14ac:dyDescent="0.25">
      <c r="A2737">
        <v>993981</v>
      </c>
      <c r="B2737" s="29" t="s">
        <v>974</v>
      </c>
    </row>
    <row r="2738" spans="1:2" x14ac:dyDescent="0.25">
      <c r="A2738">
        <v>993981</v>
      </c>
      <c r="B2738" s="29" t="s">
        <v>974</v>
      </c>
    </row>
    <row r="2739" spans="1:2" x14ac:dyDescent="0.25">
      <c r="A2739">
        <v>993981</v>
      </c>
      <c r="B2739" s="29" t="s">
        <v>974</v>
      </c>
    </row>
    <row r="2740" spans="1:2" x14ac:dyDescent="0.25">
      <c r="A2740">
        <v>993981</v>
      </c>
      <c r="B2740" s="29" t="s">
        <v>974</v>
      </c>
    </row>
    <row r="2741" spans="1:2" x14ac:dyDescent="0.25">
      <c r="A2741">
        <v>993981</v>
      </c>
      <c r="B2741" s="29" t="s">
        <v>974</v>
      </c>
    </row>
    <row r="2742" spans="1:2" x14ac:dyDescent="0.25">
      <c r="A2742">
        <v>993981</v>
      </c>
      <c r="B2742" s="29" t="s">
        <v>974</v>
      </c>
    </row>
    <row r="2743" spans="1:2" x14ac:dyDescent="0.25">
      <c r="A2743">
        <v>993981</v>
      </c>
      <c r="B2743" s="29" t="s">
        <v>974</v>
      </c>
    </row>
    <row r="2744" spans="1:2" x14ac:dyDescent="0.25">
      <c r="A2744">
        <v>993981</v>
      </c>
      <c r="B2744" s="29" t="s">
        <v>974</v>
      </c>
    </row>
    <row r="2745" spans="1:2" x14ac:dyDescent="0.25">
      <c r="A2745">
        <v>992976</v>
      </c>
      <c r="B2745" s="29" t="s">
        <v>569</v>
      </c>
    </row>
    <row r="2746" spans="1:2" x14ac:dyDescent="0.25">
      <c r="A2746">
        <v>992976</v>
      </c>
      <c r="B2746" s="29" t="s">
        <v>569</v>
      </c>
    </row>
    <row r="2747" spans="1:2" x14ac:dyDescent="0.25">
      <c r="A2747">
        <v>992976</v>
      </c>
      <c r="B2747" s="29" t="s">
        <v>569</v>
      </c>
    </row>
    <row r="2748" spans="1:2" x14ac:dyDescent="0.25">
      <c r="A2748">
        <v>992976</v>
      </c>
      <c r="B2748" s="29" t="s">
        <v>569</v>
      </c>
    </row>
    <row r="2749" spans="1:2" x14ac:dyDescent="0.25">
      <c r="A2749">
        <v>992976</v>
      </c>
      <c r="B2749" s="29" t="s">
        <v>569</v>
      </c>
    </row>
    <row r="2750" spans="1:2" x14ac:dyDescent="0.25">
      <c r="A2750">
        <v>992976</v>
      </c>
      <c r="B2750" s="29" t="s">
        <v>569</v>
      </c>
    </row>
    <row r="2751" spans="1:2" x14ac:dyDescent="0.25">
      <c r="A2751">
        <v>992976</v>
      </c>
      <c r="B2751" s="29" t="s">
        <v>569</v>
      </c>
    </row>
    <row r="2752" spans="1:2" x14ac:dyDescent="0.25">
      <c r="A2752">
        <v>992976</v>
      </c>
      <c r="B2752" s="29" t="s">
        <v>569</v>
      </c>
    </row>
    <row r="2753" spans="1:2" x14ac:dyDescent="0.25">
      <c r="A2753">
        <v>992976</v>
      </c>
      <c r="B2753" s="29" t="s">
        <v>569</v>
      </c>
    </row>
    <row r="2754" spans="1:2" x14ac:dyDescent="0.25">
      <c r="A2754">
        <v>992976</v>
      </c>
      <c r="B2754" s="29" t="s">
        <v>569</v>
      </c>
    </row>
    <row r="2755" spans="1:2" x14ac:dyDescent="0.25">
      <c r="A2755">
        <v>992976</v>
      </c>
      <c r="B2755" s="29" t="s">
        <v>569</v>
      </c>
    </row>
    <row r="2756" spans="1:2" x14ac:dyDescent="0.25">
      <c r="A2756">
        <v>992976</v>
      </c>
      <c r="B2756" s="29" t="s">
        <v>569</v>
      </c>
    </row>
    <row r="2757" spans="1:2" x14ac:dyDescent="0.25">
      <c r="A2757">
        <v>990836</v>
      </c>
      <c r="B2757" s="29" t="s">
        <v>975</v>
      </c>
    </row>
    <row r="2758" spans="1:2" x14ac:dyDescent="0.25">
      <c r="A2758">
        <v>990836</v>
      </c>
      <c r="B2758" s="29" t="s">
        <v>975</v>
      </c>
    </row>
    <row r="2759" spans="1:2" x14ac:dyDescent="0.25">
      <c r="A2759">
        <v>990836</v>
      </c>
      <c r="B2759" s="29" t="s">
        <v>975</v>
      </c>
    </row>
    <row r="2760" spans="1:2" x14ac:dyDescent="0.25">
      <c r="A2760">
        <v>990836</v>
      </c>
      <c r="B2760" s="29" t="s">
        <v>975</v>
      </c>
    </row>
    <row r="2761" spans="1:2" x14ac:dyDescent="0.25">
      <c r="A2761">
        <v>990836</v>
      </c>
      <c r="B2761" s="29" t="s">
        <v>975</v>
      </c>
    </row>
    <row r="2762" spans="1:2" x14ac:dyDescent="0.25">
      <c r="A2762">
        <v>990836</v>
      </c>
      <c r="B2762" s="29" t="s">
        <v>975</v>
      </c>
    </row>
    <row r="2763" spans="1:2" x14ac:dyDescent="0.25">
      <c r="A2763">
        <v>990836</v>
      </c>
      <c r="B2763" s="29" t="s">
        <v>975</v>
      </c>
    </row>
    <row r="2764" spans="1:2" x14ac:dyDescent="0.25">
      <c r="A2764">
        <v>990836</v>
      </c>
      <c r="B2764" s="29" t="s">
        <v>975</v>
      </c>
    </row>
    <row r="2765" spans="1:2" x14ac:dyDescent="0.25">
      <c r="A2765">
        <v>990836</v>
      </c>
      <c r="B2765" s="29" t="s">
        <v>975</v>
      </c>
    </row>
    <row r="2766" spans="1:2" x14ac:dyDescent="0.25">
      <c r="A2766">
        <v>990836</v>
      </c>
      <c r="B2766" s="29" t="s">
        <v>975</v>
      </c>
    </row>
    <row r="2767" spans="1:2" x14ac:dyDescent="0.25">
      <c r="A2767">
        <v>990836</v>
      </c>
      <c r="B2767" s="29" t="s">
        <v>975</v>
      </c>
    </row>
    <row r="2768" spans="1:2" x14ac:dyDescent="0.25">
      <c r="A2768">
        <v>990836</v>
      </c>
      <c r="B2768" s="29" t="s">
        <v>975</v>
      </c>
    </row>
    <row r="2769" spans="1:2" x14ac:dyDescent="0.25">
      <c r="A2769">
        <v>990807</v>
      </c>
      <c r="B2769" s="29" t="s">
        <v>976</v>
      </c>
    </row>
    <row r="2770" spans="1:2" x14ac:dyDescent="0.25">
      <c r="A2770">
        <v>990807</v>
      </c>
      <c r="B2770" s="29" t="s">
        <v>976</v>
      </c>
    </row>
    <row r="2771" spans="1:2" x14ac:dyDescent="0.25">
      <c r="A2771">
        <v>990807</v>
      </c>
      <c r="B2771" s="29" t="s">
        <v>976</v>
      </c>
    </row>
    <row r="2772" spans="1:2" x14ac:dyDescent="0.25">
      <c r="A2772">
        <v>990807</v>
      </c>
      <c r="B2772" s="29" t="s">
        <v>976</v>
      </c>
    </row>
    <row r="2773" spans="1:2" x14ac:dyDescent="0.25">
      <c r="A2773">
        <v>990807</v>
      </c>
      <c r="B2773" s="29" t="s">
        <v>976</v>
      </c>
    </row>
    <row r="2774" spans="1:2" x14ac:dyDescent="0.25">
      <c r="A2774">
        <v>990807</v>
      </c>
      <c r="B2774" s="29" t="s">
        <v>976</v>
      </c>
    </row>
    <row r="2775" spans="1:2" x14ac:dyDescent="0.25">
      <c r="A2775">
        <v>990807</v>
      </c>
      <c r="B2775" s="29" t="s">
        <v>976</v>
      </c>
    </row>
    <row r="2776" spans="1:2" x14ac:dyDescent="0.25">
      <c r="A2776">
        <v>990807</v>
      </c>
      <c r="B2776" s="29" t="s">
        <v>976</v>
      </c>
    </row>
    <row r="2777" spans="1:2" x14ac:dyDescent="0.25">
      <c r="A2777">
        <v>990807</v>
      </c>
      <c r="B2777" s="29" t="s">
        <v>976</v>
      </c>
    </row>
    <row r="2778" spans="1:2" x14ac:dyDescent="0.25">
      <c r="A2778">
        <v>990807</v>
      </c>
      <c r="B2778" s="29" t="s">
        <v>976</v>
      </c>
    </row>
    <row r="2779" spans="1:2" x14ac:dyDescent="0.25">
      <c r="A2779">
        <v>990807</v>
      </c>
      <c r="B2779" s="29" t="s">
        <v>976</v>
      </c>
    </row>
    <row r="2780" spans="1:2" x14ac:dyDescent="0.25">
      <c r="A2780">
        <v>990807</v>
      </c>
      <c r="B2780" s="29" t="s">
        <v>976</v>
      </c>
    </row>
    <row r="2781" spans="1:2" x14ac:dyDescent="0.25">
      <c r="A2781">
        <v>990827</v>
      </c>
      <c r="B2781" s="29" t="s">
        <v>977</v>
      </c>
    </row>
    <row r="2782" spans="1:2" x14ac:dyDescent="0.25">
      <c r="A2782">
        <v>990827</v>
      </c>
      <c r="B2782" s="29" t="s">
        <v>977</v>
      </c>
    </row>
    <row r="2783" spans="1:2" x14ac:dyDescent="0.25">
      <c r="A2783">
        <v>990827</v>
      </c>
      <c r="B2783" s="29" t="s">
        <v>977</v>
      </c>
    </row>
    <row r="2784" spans="1:2" x14ac:dyDescent="0.25">
      <c r="A2784">
        <v>990827</v>
      </c>
      <c r="B2784" s="29" t="s">
        <v>977</v>
      </c>
    </row>
    <row r="2785" spans="1:2" x14ac:dyDescent="0.25">
      <c r="A2785">
        <v>990827</v>
      </c>
      <c r="B2785" s="29" t="s">
        <v>977</v>
      </c>
    </row>
    <row r="2786" spans="1:2" x14ac:dyDescent="0.25">
      <c r="A2786">
        <v>990827</v>
      </c>
      <c r="B2786" s="29" t="s">
        <v>977</v>
      </c>
    </row>
    <row r="2787" spans="1:2" x14ac:dyDescent="0.25">
      <c r="A2787">
        <v>990827</v>
      </c>
      <c r="B2787" s="29" t="s">
        <v>977</v>
      </c>
    </row>
    <row r="2788" spans="1:2" x14ac:dyDescent="0.25">
      <c r="A2788">
        <v>990827</v>
      </c>
      <c r="B2788" s="29" t="s">
        <v>977</v>
      </c>
    </row>
    <row r="2789" spans="1:2" x14ac:dyDescent="0.25">
      <c r="A2789">
        <v>990827</v>
      </c>
      <c r="B2789" s="29" t="s">
        <v>977</v>
      </c>
    </row>
    <row r="2790" spans="1:2" x14ac:dyDescent="0.25">
      <c r="A2790">
        <v>990827</v>
      </c>
      <c r="B2790" s="29" t="s">
        <v>977</v>
      </c>
    </row>
    <row r="2791" spans="1:2" x14ac:dyDescent="0.25">
      <c r="A2791">
        <v>990827</v>
      </c>
      <c r="B2791" s="29" t="s">
        <v>977</v>
      </c>
    </row>
    <row r="2792" spans="1:2" x14ac:dyDescent="0.25">
      <c r="A2792">
        <v>990827</v>
      </c>
      <c r="B2792" s="29" t="s">
        <v>977</v>
      </c>
    </row>
    <row r="2793" spans="1:2" x14ac:dyDescent="0.25">
      <c r="A2793">
        <v>993974</v>
      </c>
      <c r="B2793" s="29" t="s">
        <v>978</v>
      </c>
    </row>
    <row r="2794" spans="1:2" x14ac:dyDescent="0.25">
      <c r="A2794">
        <v>993974</v>
      </c>
      <c r="B2794" s="29" t="s">
        <v>978</v>
      </c>
    </row>
    <row r="2795" spans="1:2" x14ac:dyDescent="0.25">
      <c r="A2795">
        <v>993974</v>
      </c>
      <c r="B2795" s="29" t="s">
        <v>978</v>
      </c>
    </row>
    <row r="2796" spans="1:2" x14ac:dyDescent="0.25">
      <c r="A2796">
        <v>993974</v>
      </c>
      <c r="B2796" s="29" t="s">
        <v>978</v>
      </c>
    </row>
    <row r="2797" spans="1:2" x14ac:dyDescent="0.25">
      <c r="A2797">
        <v>993974</v>
      </c>
      <c r="B2797" s="29" t="s">
        <v>978</v>
      </c>
    </row>
    <row r="2798" spans="1:2" x14ac:dyDescent="0.25">
      <c r="A2798">
        <v>993974</v>
      </c>
      <c r="B2798" s="29" t="s">
        <v>978</v>
      </c>
    </row>
    <row r="2799" spans="1:2" x14ac:dyDescent="0.25">
      <c r="A2799">
        <v>993974</v>
      </c>
      <c r="B2799" s="29" t="s">
        <v>978</v>
      </c>
    </row>
    <row r="2800" spans="1:2" x14ac:dyDescent="0.25">
      <c r="A2800">
        <v>993974</v>
      </c>
      <c r="B2800" s="29" t="s">
        <v>978</v>
      </c>
    </row>
    <row r="2801" spans="1:2" x14ac:dyDescent="0.25">
      <c r="A2801">
        <v>993974</v>
      </c>
      <c r="B2801" s="29" t="s">
        <v>978</v>
      </c>
    </row>
    <row r="2802" spans="1:2" x14ac:dyDescent="0.25">
      <c r="A2802">
        <v>993974</v>
      </c>
      <c r="B2802" s="29" t="s">
        <v>978</v>
      </c>
    </row>
    <row r="2803" spans="1:2" x14ac:dyDescent="0.25">
      <c r="A2803">
        <v>993974</v>
      </c>
      <c r="B2803" s="29" t="s">
        <v>978</v>
      </c>
    </row>
    <row r="2804" spans="1:2" x14ac:dyDescent="0.25">
      <c r="A2804">
        <v>993974</v>
      </c>
      <c r="B2804" s="29" t="s">
        <v>978</v>
      </c>
    </row>
    <row r="2805" spans="1:2" x14ac:dyDescent="0.25">
      <c r="A2805">
        <v>992979</v>
      </c>
      <c r="B2805" s="29" t="s">
        <v>979</v>
      </c>
    </row>
    <row r="2806" spans="1:2" x14ac:dyDescent="0.25">
      <c r="A2806">
        <v>992979</v>
      </c>
      <c r="B2806" s="29" t="s">
        <v>979</v>
      </c>
    </row>
    <row r="2807" spans="1:2" x14ac:dyDescent="0.25">
      <c r="A2807">
        <v>992979</v>
      </c>
      <c r="B2807" s="29" t="s">
        <v>979</v>
      </c>
    </row>
    <row r="2808" spans="1:2" x14ac:dyDescent="0.25">
      <c r="A2808">
        <v>992979</v>
      </c>
      <c r="B2808" s="29" t="s">
        <v>979</v>
      </c>
    </row>
    <row r="2809" spans="1:2" x14ac:dyDescent="0.25">
      <c r="A2809">
        <v>992979</v>
      </c>
      <c r="B2809" s="29" t="s">
        <v>979</v>
      </c>
    </row>
    <row r="2810" spans="1:2" x14ac:dyDescent="0.25">
      <c r="A2810">
        <v>992979</v>
      </c>
      <c r="B2810" s="29" t="s">
        <v>979</v>
      </c>
    </row>
    <row r="2811" spans="1:2" x14ac:dyDescent="0.25">
      <c r="A2811">
        <v>992979</v>
      </c>
      <c r="B2811" s="29" t="s">
        <v>979</v>
      </c>
    </row>
    <row r="2812" spans="1:2" x14ac:dyDescent="0.25">
      <c r="A2812">
        <v>992979</v>
      </c>
      <c r="B2812" s="29" t="s">
        <v>979</v>
      </c>
    </row>
    <row r="2813" spans="1:2" x14ac:dyDescent="0.25">
      <c r="A2813">
        <v>992979</v>
      </c>
      <c r="B2813" s="29" t="s">
        <v>979</v>
      </c>
    </row>
    <row r="2814" spans="1:2" x14ac:dyDescent="0.25">
      <c r="A2814">
        <v>992979</v>
      </c>
      <c r="B2814" s="29" t="s">
        <v>979</v>
      </c>
    </row>
    <row r="2815" spans="1:2" x14ac:dyDescent="0.25">
      <c r="A2815">
        <v>992979</v>
      </c>
      <c r="B2815" s="29" t="s">
        <v>979</v>
      </c>
    </row>
    <row r="2816" spans="1:2" x14ac:dyDescent="0.25">
      <c r="A2816">
        <v>992979</v>
      </c>
      <c r="B2816" s="29" t="s">
        <v>979</v>
      </c>
    </row>
    <row r="2817" spans="1:2" x14ac:dyDescent="0.25">
      <c r="A2817">
        <v>992979</v>
      </c>
      <c r="B2817" s="29" t="s">
        <v>979</v>
      </c>
    </row>
    <row r="2818" spans="1:2" x14ac:dyDescent="0.25">
      <c r="A2818">
        <v>992979</v>
      </c>
      <c r="B2818" s="29" t="s">
        <v>979</v>
      </c>
    </row>
    <row r="2819" spans="1:2" x14ac:dyDescent="0.25">
      <c r="A2819">
        <v>992979</v>
      </c>
      <c r="B2819" s="29" t="s">
        <v>979</v>
      </c>
    </row>
    <row r="2820" spans="1:2" x14ac:dyDescent="0.25">
      <c r="A2820">
        <v>992979</v>
      </c>
      <c r="B2820" s="29" t="s">
        <v>979</v>
      </c>
    </row>
    <row r="2821" spans="1:2" x14ac:dyDescent="0.25">
      <c r="A2821">
        <v>992979</v>
      </c>
      <c r="B2821" s="29" t="s">
        <v>979</v>
      </c>
    </row>
    <row r="2822" spans="1:2" x14ac:dyDescent="0.25">
      <c r="A2822">
        <v>992979</v>
      </c>
      <c r="B2822" s="29" t="s">
        <v>979</v>
      </c>
    </row>
    <row r="2823" spans="1:2" x14ac:dyDescent="0.25">
      <c r="A2823">
        <v>992979</v>
      </c>
      <c r="B2823" s="29" t="s">
        <v>979</v>
      </c>
    </row>
    <row r="2824" spans="1:2" x14ac:dyDescent="0.25">
      <c r="A2824">
        <v>992979</v>
      </c>
      <c r="B2824" s="29" t="s">
        <v>979</v>
      </c>
    </row>
    <row r="2825" spans="1:2" x14ac:dyDescent="0.25">
      <c r="A2825">
        <v>992979</v>
      </c>
      <c r="B2825" s="29" t="s">
        <v>979</v>
      </c>
    </row>
    <row r="2826" spans="1:2" x14ac:dyDescent="0.25">
      <c r="A2826">
        <v>992979</v>
      </c>
      <c r="B2826" s="29" t="s">
        <v>979</v>
      </c>
    </row>
    <row r="2827" spans="1:2" x14ac:dyDescent="0.25">
      <c r="A2827">
        <v>992979</v>
      </c>
      <c r="B2827" s="29" t="s">
        <v>979</v>
      </c>
    </row>
    <row r="2828" spans="1:2" x14ac:dyDescent="0.25">
      <c r="A2828">
        <v>992979</v>
      </c>
      <c r="B2828" s="29" t="s">
        <v>979</v>
      </c>
    </row>
    <row r="2829" spans="1:2" x14ac:dyDescent="0.25">
      <c r="A2829">
        <v>992979</v>
      </c>
      <c r="B2829" s="29" t="s">
        <v>979</v>
      </c>
    </row>
    <row r="2830" spans="1:2" x14ac:dyDescent="0.25">
      <c r="A2830">
        <v>992979</v>
      </c>
      <c r="B2830" s="29" t="s">
        <v>979</v>
      </c>
    </row>
    <row r="2831" spans="1:2" x14ac:dyDescent="0.25">
      <c r="A2831">
        <v>992979</v>
      </c>
      <c r="B2831" s="29" t="s">
        <v>979</v>
      </c>
    </row>
    <row r="2832" spans="1:2" x14ac:dyDescent="0.25">
      <c r="A2832">
        <v>992979</v>
      </c>
      <c r="B2832" s="29" t="s">
        <v>979</v>
      </c>
    </row>
    <row r="2833" spans="1:2" x14ac:dyDescent="0.25">
      <c r="A2833">
        <v>992979</v>
      </c>
      <c r="B2833" s="29" t="s">
        <v>979</v>
      </c>
    </row>
    <row r="2834" spans="1:2" x14ac:dyDescent="0.25">
      <c r="A2834">
        <v>992979</v>
      </c>
      <c r="B2834" s="29" t="s">
        <v>979</v>
      </c>
    </row>
    <row r="2835" spans="1:2" x14ac:dyDescent="0.25">
      <c r="A2835">
        <v>992979</v>
      </c>
      <c r="B2835" s="29" t="s">
        <v>979</v>
      </c>
    </row>
    <row r="2836" spans="1:2" x14ac:dyDescent="0.25">
      <c r="A2836">
        <v>992979</v>
      </c>
      <c r="B2836" s="29" t="s">
        <v>979</v>
      </c>
    </row>
    <row r="2837" spans="1:2" x14ac:dyDescent="0.25">
      <c r="A2837">
        <v>992979</v>
      </c>
      <c r="B2837" s="29" t="s">
        <v>979</v>
      </c>
    </row>
    <row r="2838" spans="1:2" x14ac:dyDescent="0.25">
      <c r="A2838">
        <v>992979</v>
      </c>
      <c r="B2838" s="29" t="s">
        <v>979</v>
      </c>
    </row>
    <row r="2839" spans="1:2" x14ac:dyDescent="0.25">
      <c r="A2839">
        <v>992979</v>
      </c>
      <c r="B2839" s="29" t="s">
        <v>979</v>
      </c>
    </row>
    <row r="2840" spans="1:2" x14ac:dyDescent="0.25">
      <c r="A2840">
        <v>992979</v>
      </c>
      <c r="B2840" s="29" t="s">
        <v>979</v>
      </c>
    </row>
    <row r="2841" spans="1:2" x14ac:dyDescent="0.25">
      <c r="A2841">
        <v>992979</v>
      </c>
      <c r="B2841" s="29" t="s">
        <v>979</v>
      </c>
    </row>
    <row r="2842" spans="1:2" x14ac:dyDescent="0.25">
      <c r="A2842">
        <v>992979</v>
      </c>
      <c r="B2842" s="29" t="s">
        <v>979</v>
      </c>
    </row>
    <row r="2843" spans="1:2" x14ac:dyDescent="0.25">
      <c r="A2843">
        <v>992979</v>
      </c>
      <c r="B2843" s="29" t="s">
        <v>979</v>
      </c>
    </row>
    <row r="2844" spans="1:2" x14ac:dyDescent="0.25">
      <c r="A2844">
        <v>992979</v>
      </c>
      <c r="B2844" s="29" t="s">
        <v>979</v>
      </c>
    </row>
    <row r="2845" spans="1:2" x14ac:dyDescent="0.25">
      <c r="A2845">
        <v>992979</v>
      </c>
      <c r="B2845" s="29" t="s">
        <v>979</v>
      </c>
    </row>
    <row r="2846" spans="1:2" x14ac:dyDescent="0.25">
      <c r="A2846">
        <v>992979</v>
      </c>
      <c r="B2846" s="29" t="s">
        <v>979</v>
      </c>
    </row>
    <row r="2847" spans="1:2" x14ac:dyDescent="0.25">
      <c r="A2847">
        <v>992979</v>
      </c>
      <c r="B2847" s="29" t="s">
        <v>979</v>
      </c>
    </row>
    <row r="2848" spans="1:2" x14ac:dyDescent="0.25">
      <c r="A2848">
        <v>992979</v>
      </c>
      <c r="B2848" s="29" t="s">
        <v>979</v>
      </c>
    </row>
    <row r="2849" spans="1:2" x14ac:dyDescent="0.25">
      <c r="A2849">
        <v>992979</v>
      </c>
      <c r="B2849" s="29" t="s">
        <v>979</v>
      </c>
    </row>
    <row r="2850" spans="1:2" x14ac:dyDescent="0.25">
      <c r="A2850">
        <v>992979</v>
      </c>
      <c r="B2850" s="29" t="s">
        <v>979</v>
      </c>
    </row>
    <row r="2851" spans="1:2" x14ac:dyDescent="0.25">
      <c r="A2851">
        <v>992979</v>
      </c>
      <c r="B2851" s="29" t="s">
        <v>979</v>
      </c>
    </row>
    <row r="2852" spans="1:2" x14ac:dyDescent="0.25">
      <c r="A2852">
        <v>992979</v>
      </c>
      <c r="B2852" s="29" t="s">
        <v>979</v>
      </c>
    </row>
    <row r="2853" spans="1:2" x14ac:dyDescent="0.25">
      <c r="A2853">
        <v>994451</v>
      </c>
      <c r="B2853" s="29" t="s">
        <v>980</v>
      </c>
    </row>
    <row r="2854" spans="1:2" x14ac:dyDescent="0.25">
      <c r="A2854">
        <v>994451</v>
      </c>
      <c r="B2854" s="29" t="s">
        <v>980</v>
      </c>
    </row>
    <row r="2855" spans="1:2" x14ac:dyDescent="0.25">
      <c r="A2855">
        <v>994451</v>
      </c>
      <c r="B2855" s="29" t="s">
        <v>980</v>
      </c>
    </row>
    <row r="2856" spans="1:2" x14ac:dyDescent="0.25">
      <c r="A2856">
        <v>994451</v>
      </c>
      <c r="B2856" s="29" t="s">
        <v>980</v>
      </c>
    </row>
    <row r="2857" spans="1:2" x14ac:dyDescent="0.25">
      <c r="A2857">
        <v>994451</v>
      </c>
      <c r="B2857" s="29" t="s">
        <v>980</v>
      </c>
    </row>
    <row r="2858" spans="1:2" x14ac:dyDescent="0.25">
      <c r="A2858">
        <v>994451</v>
      </c>
      <c r="B2858" s="29" t="s">
        <v>980</v>
      </c>
    </row>
    <row r="2859" spans="1:2" x14ac:dyDescent="0.25">
      <c r="A2859">
        <v>994451</v>
      </c>
      <c r="B2859" s="29" t="s">
        <v>980</v>
      </c>
    </row>
    <row r="2860" spans="1:2" x14ac:dyDescent="0.25">
      <c r="A2860">
        <v>994451</v>
      </c>
      <c r="B2860" s="29" t="s">
        <v>980</v>
      </c>
    </row>
    <row r="2861" spans="1:2" x14ac:dyDescent="0.25">
      <c r="A2861">
        <v>994451</v>
      </c>
      <c r="B2861" s="29" t="s">
        <v>980</v>
      </c>
    </row>
    <row r="2862" spans="1:2" x14ac:dyDescent="0.25">
      <c r="A2862">
        <v>994451</v>
      </c>
      <c r="B2862" s="29" t="s">
        <v>980</v>
      </c>
    </row>
    <row r="2863" spans="1:2" x14ac:dyDescent="0.25">
      <c r="A2863">
        <v>994451</v>
      </c>
      <c r="B2863" s="29" t="s">
        <v>980</v>
      </c>
    </row>
    <row r="2864" spans="1:2" x14ac:dyDescent="0.25">
      <c r="A2864">
        <v>994451</v>
      </c>
      <c r="B2864" s="29" t="s">
        <v>980</v>
      </c>
    </row>
    <row r="2865" spans="1:2" x14ac:dyDescent="0.25">
      <c r="A2865">
        <v>994451</v>
      </c>
      <c r="B2865" s="29" t="s">
        <v>980</v>
      </c>
    </row>
    <row r="2866" spans="1:2" x14ac:dyDescent="0.25">
      <c r="A2866">
        <v>994451</v>
      </c>
      <c r="B2866" s="29" t="s">
        <v>980</v>
      </c>
    </row>
    <row r="2867" spans="1:2" x14ac:dyDescent="0.25">
      <c r="A2867">
        <v>994451</v>
      </c>
      <c r="B2867" s="29" t="s">
        <v>980</v>
      </c>
    </row>
    <row r="2868" spans="1:2" x14ac:dyDescent="0.25">
      <c r="A2868">
        <v>991250</v>
      </c>
      <c r="B2868" s="29" t="s">
        <v>981</v>
      </c>
    </row>
    <row r="2869" spans="1:2" x14ac:dyDescent="0.25">
      <c r="A2869">
        <v>991250</v>
      </c>
      <c r="B2869" s="29" t="s">
        <v>981</v>
      </c>
    </row>
    <row r="2870" spans="1:2" x14ac:dyDescent="0.25">
      <c r="A2870">
        <v>991250</v>
      </c>
      <c r="B2870" s="29" t="s">
        <v>981</v>
      </c>
    </row>
    <row r="2871" spans="1:2" x14ac:dyDescent="0.25">
      <c r="A2871">
        <v>991250</v>
      </c>
      <c r="B2871" s="29" t="s">
        <v>981</v>
      </c>
    </row>
    <row r="2872" spans="1:2" x14ac:dyDescent="0.25">
      <c r="A2872">
        <v>991250</v>
      </c>
      <c r="B2872" s="29" t="s">
        <v>981</v>
      </c>
    </row>
    <row r="2873" spans="1:2" x14ac:dyDescent="0.25">
      <c r="A2873">
        <v>991250</v>
      </c>
      <c r="B2873" s="29" t="s">
        <v>981</v>
      </c>
    </row>
    <row r="2874" spans="1:2" x14ac:dyDescent="0.25">
      <c r="A2874">
        <v>991250</v>
      </c>
      <c r="B2874" s="29" t="s">
        <v>981</v>
      </c>
    </row>
    <row r="2875" spans="1:2" x14ac:dyDescent="0.25">
      <c r="A2875">
        <v>991250</v>
      </c>
      <c r="B2875" s="29" t="s">
        <v>981</v>
      </c>
    </row>
    <row r="2876" spans="1:2" x14ac:dyDescent="0.25">
      <c r="A2876">
        <v>991250</v>
      </c>
      <c r="B2876" s="29" t="s">
        <v>981</v>
      </c>
    </row>
    <row r="2877" spans="1:2" x14ac:dyDescent="0.25">
      <c r="A2877">
        <v>991250</v>
      </c>
      <c r="B2877" s="29" t="s">
        <v>981</v>
      </c>
    </row>
    <row r="2878" spans="1:2" x14ac:dyDescent="0.25">
      <c r="A2878">
        <v>991250</v>
      </c>
      <c r="B2878" s="29" t="s">
        <v>981</v>
      </c>
    </row>
    <row r="2879" spans="1:2" x14ac:dyDescent="0.25">
      <c r="A2879">
        <v>991250</v>
      </c>
      <c r="B2879" s="29" t="s">
        <v>981</v>
      </c>
    </row>
    <row r="2880" spans="1:2" x14ac:dyDescent="0.25">
      <c r="A2880">
        <v>991222</v>
      </c>
      <c r="B2880" s="29" t="s">
        <v>982</v>
      </c>
    </row>
    <row r="2881" spans="1:2" x14ac:dyDescent="0.25">
      <c r="A2881">
        <v>991222</v>
      </c>
      <c r="B2881" s="29" t="s">
        <v>982</v>
      </c>
    </row>
    <row r="2882" spans="1:2" x14ac:dyDescent="0.25">
      <c r="A2882">
        <v>991222</v>
      </c>
      <c r="B2882" s="29" t="s">
        <v>982</v>
      </c>
    </row>
    <row r="2883" spans="1:2" x14ac:dyDescent="0.25">
      <c r="A2883">
        <v>991222</v>
      </c>
      <c r="B2883" s="29" t="s">
        <v>982</v>
      </c>
    </row>
    <row r="2884" spans="1:2" x14ac:dyDescent="0.25">
      <c r="A2884">
        <v>991222</v>
      </c>
      <c r="B2884" s="29" t="s">
        <v>982</v>
      </c>
    </row>
    <row r="2885" spans="1:2" x14ac:dyDescent="0.25">
      <c r="A2885">
        <v>991222</v>
      </c>
      <c r="B2885" s="29" t="s">
        <v>982</v>
      </c>
    </row>
    <row r="2886" spans="1:2" x14ac:dyDescent="0.25">
      <c r="A2886">
        <v>991222</v>
      </c>
      <c r="B2886" s="29" t="s">
        <v>982</v>
      </c>
    </row>
    <row r="2887" spans="1:2" x14ac:dyDescent="0.25">
      <c r="A2887">
        <v>991222</v>
      </c>
      <c r="B2887" s="29" t="s">
        <v>982</v>
      </c>
    </row>
    <row r="2888" spans="1:2" x14ac:dyDescent="0.25">
      <c r="A2888">
        <v>991222</v>
      </c>
      <c r="B2888" s="29" t="s">
        <v>982</v>
      </c>
    </row>
    <row r="2889" spans="1:2" x14ac:dyDescent="0.25">
      <c r="A2889">
        <v>991222</v>
      </c>
      <c r="B2889" s="29" t="s">
        <v>982</v>
      </c>
    </row>
    <row r="2890" spans="1:2" x14ac:dyDescent="0.25">
      <c r="A2890">
        <v>991222</v>
      </c>
      <c r="B2890" s="29" t="s">
        <v>982</v>
      </c>
    </row>
    <row r="2891" spans="1:2" x14ac:dyDescent="0.25">
      <c r="A2891">
        <v>991222</v>
      </c>
      <c r="B2891" s="29" t="s">
        <v>982</v>
      </c>
    </row>
    <row r="2892" spans="1:2" x14ac:dyDescent="0.25">
      <c r="A2892">
        <v>991222</v>
      </c>
      <c r="B2892" s="29" t="s">
        <v>982</v>
      </c>
    </row>
    <row r="2893" spans="1:2" x14ac:dyDescent="0.25">
      <c r="A2893">
        <v>991222</v>
      </c>
      <c r="B2893" s="29" t="s">
        <v>982</v>
      </c>
    </row>
    <row r="2894" spans="1:2" x14ac:dyDescent="0.25">
      <c r="A2894">
        <v>991222</v>
      </c>
      <c r="B2894" s="29" t="s">
        <v>982</v>
      </c>
    </row>
    <row r="2895" spans="1:2" x14ac:dyDescent="0.25">
      <c r="A2895">
        <v>993973</v>
      </c>
      <c r="B2895" s="29" t="s">
        <v>983</v>
      </c>
    </row>
    <row r="2896" spans="1:2" x14ac:dyDescent="0.25">
      <c r="A2896">
        <v>993973</v>
      </c>
      <c r="B2896" s="29" t="s">
        <v>983</v>
      </c>
    </row>
    <row r="2897" spans="1:2" x14ac:dyDescent="0.25">
      <c r="A2897">
        <v>993973</v>
      </c>
      <c r="B2897" s="29" t="s">
        <v>983</v>
      </c>
    </row>
    <row r="2898" spans="1:2" x14ac:dyDescent="0.25">
      <c r="A2898">
        <v>993973</v>
      </c>
      <c r="B2898" s="29" t="s">
        <v>983</v>
      </c>
    </row>
    <row r="2899" spans="1:2" x14ac:dyDescent="0.25">
      <c r="A2899">
        <v>993973</v>
      </c>
      <c r="B2899" s="29" t="s">
        <v>983</v>
      </c>
    </row>
    <row r="2900" spans="1:2" x14ac:dyDescent="0.25">
      <c r="A2900">
        <v>993973</v>
      </c>
      <c r="B2900" s="29" t="s">
        <v>983</v>
      </c>
    </row>
    <row r="2901" spans="1:2" x14ac:dyDescent="0.25">
      <c r="A2901">
        <v>993973</v>
      </c>
      <c r="B2901" s="29" t="s">
        <v>983</v>
      </c>
    </row>
    <row r="2902" spans="1:2" x14ac:dyDescent="0.25">
      <c r="A2902">
        <v>993973</v>
      </c>
      <c r="B2902" s="29" t="s">
        <v>983</v>
      </c>
    </row>
    <row r="2903" spans="1:2" x14ac:dyDescent="0.25">
      <c r="A2903">
        <v>993973</v>
      </c>
      <c r="B2903" s="29" t="s">
        <v>983</v>
      </c>
    </row>
    <row r="2904" spans="1:2" x14ac:dyDescent="0.25">
      <c r="A2904">
        <v>993973</v>
      </c>
      <c r="B2904" s="29" t="s">
        <v>983</v>
      </c>
    </row>
    <row r="2905" spans="1:2" x14ac:dyDescent="0.25">
      <c r="A2905">
        <v>993973</v>
      </c>
      <c r="B2905" s="29" t="s">
        <v>983</v>
      </c>
    </row>
    <row r="2906" spans="1:2" x14ac:dyDescent="0.25">
      <c r="A2906">
        <v>993973</v>
      </c>
      <c r="B2906" s="29" t="s">
        <v>983</v>
      </c>
    </row>
    <row r="2907" spans="1:2" x14ac:dyDescent="0.25">
      <c r="A2907">
        <v>990804</v>
      </c>
      <c r="B2907" s="29" t="s">
        <v>984</v>
      </c>
    </row>
    <row r="2908" spans="1:2" x14ac:dyDescent="0.25">
      <c r="A2908">
        <v>990804</v>
      </c>
      <c r="B2908" s="29" t="s">
        <v>984</v>
      </c>
    </row>
    <row r="2909" spans="1:2" x14ac:dyDescent="0.25">
      <c r="A2909">
        <v>990804</v>
      </c>
      <c r="B2909" s="29" t="s">
        <v>984</v>
      </c>
    </row>
    <row r="2910" spans="1:2" x14ac:dyDescent="0.25">
      <c r="A2910">
        <v>990804</v>
      </c>
      <c r="B2910" s="29" t="s">
        <v>984</v>
      </c>
    </row>
    <row r="2911" spans="1:2" x14ac:dyDescent="0.25">
      <c r="A2911">
        <v>990804</v>
      </c>
      <c r="B2911" s="29" t="s">
        <v>984</v>
      </c>
    </row>
    <row r="2912" spans="1:2" x14ac:dyDescent="0.25">
      <c r="A2912">
        <v>990804</v>
      </c>
      <c r="B2912" s="29" t="s">
        <v>984</v>
      </c>
    </row>
    <row r="2913" spans="1:2" x14ac:dyDescent="0.25">
      <c r="A2913">
        <v>990804</v>
      </c>
      <c r="B2913" s="29" t="s">
        <v>984</v>
      </c>
    </row>
    <row r="2914" spans="1:2" x14ac:dyDescent="0.25">
      <c r="A2914">
        <v>990804</v>
      </c>
      <c r="B2914" s="29" t="s">
        <v>984</v>
      </c>
    </row>
    <row r="2915" spans="1:2" x14ac:dyDescent="0.25">
      <c r="A2915">
        <v>990804</v>
      </c>
      <c r="B2915" s="29" t="s">
        <v>984</v>
      </c>
    </row>
    <row r="2916" spans="1:2" x14ac:dyDescent="0.25">
      <c r="A2916">
        <v>990804</v>
      </c>
      <c r="B2916" s="29" t="s">
        <v>984</v>
      </c>
    </row>
    <row r="2917" spans="1:2" x14ac:dyDescent="0.25">
      <c r="A2917">
        <v>990804</v>
      </c>
      <c r="B2917" s="29" t="s">
        <v>984</v>
      </c>
    </row>
    <row r="2918" spans="1:2" x14ac:dyDescent="0.25">
      <c r="A2918">
        <v>990804</v>
      </c>
      <c r="B2918" s="29" t="s">
        <v>984</v>
      </c>
    </row>
    <row r="2919" spans="1:2" x14ac:dyDescent="0.25">
      <c r="A2919">
        <v>990804</v>
      </c>
      <c r="B2919" s="29" t="s">
        <v>984</v>
      </c>
    </row>
    <row r="2920" spans="1:2" x14ac:dyDescent="0.25">
      <c r="A2920">
        <v>990804</v>
      </c>
      <c r="B2920" s="29" t="s">
        <v>984</v>
      </c>
    </row>
    <row r="2921" spans="1:2" x14ac:dyDescent="0.25">
      <c r="A2921">
        <v>990804</v>
      </c>
      <c r="B2921" s="29" t="s">
        <v>984</v>
      </c>
    </row>
    <row r="2922" spans="1:2" x14ac:dyDescent="0.25">
      <c r="A2922">
        <v>990804</v>
      </c>
      <c r="B2922" s="29" t="s">
        <v>984</v>
      </c>
    </row>
    <row r="2923" spans="1:2" x14ac:dyDescent="0.25">
      <c r="A2923">
        <v>990804</v>
      </c>
      <c r="B2923" s="29" t="s">
        <v>984</v>
      </c>
    </row>
    <row r="2924" spans="1:2" x14ac:dyDescent="0.25">
      <c r="A2924">
        <v>990804</v>
      </c>
      <c r="B2924" s="29" t="s">
        <v>984</v>
      </c>
    </row>
    <row r="2925" spans="1:2" x14ac:dyDescent="0.25">
      <c r="A2925">
        <v>992951</v>
      </c>
      <c r="B2925" s="29" t="s">
        <v>985</v>
      </c>
    </row>
    <row r="2926" spans="1:2" x14ac:dyDescent="0.25">
      <c r="A2926">
        <v>992951</v>
      </c>
      <c r="B2926" s="29" t="s">
        <v>985</v>
      </c>
    </row>
    <row r="2927" spans="1:2" x14ac:dyDescent="0.25">
      <c r="A2927">
        <v>992951</v>
      </c>
      <c r="B2927" s="29" t="s">
        <v>985</v>
      </c>
    </row>
    <row r="2928" spans="1:2" x14ac:dyDescent="0.25">
      <c r="A2928">
        <v>992951</v>
      </c>
      <c r="B2928" s="29" t="s">
        <v>985</v>
      </c>
    </row>
    <row r="2929" spans="1:2" x14ac:dyDescent="0.25">
      <c r="A2929">
        <v>992951</v>
      </c>
      <c r="B2929" s="29" t="s">
        <v>985</v>
      </c>
    </row>
    <row r="2930" spans="1:2" x14ac:dyDescent="0.25">
      <c r="A2930">
        <v>992951</v>
      </c>
      <c r="B2930" s="29" t="s">
        <v>985</v>
      </c>
    </row>
    <row r="2931" spans="1:2" x14ac:dyDescent="0.25">
      <c r="A2931">
        <v>992951</v>
      </c>
      <c r="B2931" s="29" t="s">
        <v>985</v>
      </c>
    </row>
    <row r="2932" spans="1:2" x14ac:dyDescent="0.25">
      <c r="A2932">
        <v>992951</v>
      </c>
      <c r="B2932" s="29" t="s">
        <v>985</v>
      </c>
    </row>
    <row r="2933" spans="1:2" x14ac:dyDescent="0.25">
      <c r="A2933">
        <v>992951</v>
      </c>
      <c r="B2933" s="29" t="s">
        <v>985</v>
      </c>
    </row>
    <row r="2934" spans="1:2" x14ac:dyDescent="0.25">
      <c r="A2934">
        <v>992951</v>
      </c>
      <c r="B2934" s="29" t="s">
        <v>985</v>
      </c>
    </row>
    <row r="2935" spans="1:2" x14ac:dyDescent="0.25">
      <c r="A2935">
        <v>992951</v>
      </c>
      <c r="B2935" s="29" t="s">
        <v>985</v>
      </c>
    </row>
    <row r="2936" spans="1:2" x14ac:dyDescent="0.25">
      <c r="A2936">
        <v>992951</v>
      </c>
      <c r="B2936" s="29" t="s">
        <v>985</v>
      </c>
    </row>
    <row r="2937" spans="1:2" x14ac:dyDescent="0.25">
      <c r="A2937">
        <v>992951</v>
      </c>
      <c r="B2937" s="29" t="s">
        <v>985</v>
      </c>
    </row>
    <row r="2938" spans="1:2" x14ac:dyDescent="0.25">
      <c r="A2938">
        <v>992951</v>
      </c>
      <c r="B2938" s="29" t="s">
        <v>985</v>
      </c>
    </row>
    <row r="2939" spans="1:2" x14ac:dyDescent="0.25">
      <c r="A2939">
        <v>992951</v>
      </c>
      <c r="B2939" s="29" t="s">
        <v>985</v>
      </c>
    </row>
    <row r="2940" spans="1:2" x14ac:dyDescent="0.25">
      <c r="A2940">
        <v>994159</v>
      </c>
      <c r="B2940" s="29" t="s">
        <v>986</v>
      </c>
    </row>
    <row r="2941" spans="1:2" x14ac:dyDescent="0.25">
      <c r="A2941">
        <v>994159</v>
      </c>
      <c r="B2941" s="29" t="s">
        <v>986</v>
      </c>
    </row>
    <row r="2942" spans="1:2" x14ac:dyDescent="0.25">
      <c r="A2942">
        <v>994159</v>
      </c>
      <c r="B2942" s="29" t="s">
        <v>986</v>
      </c>
    </row>
    <row r="2943" spans="1:2" x14ac:dyDescent="0.25">
      <c r="A2943">
        <v>994159</v>
      </c>
      <c r="B2943" s="29" t="s">
        <v>986</v>
      </c>
    </row>
    <row r="2944" spans="1:2" x14ac:dyDescent="0.25">
      <c r="A2944">
        <v>994159</v>
      </c>
      <c r="B2944" s="29" t="s">
        <v>986</v>
      </c>
    </row>
    <row r="2945" spans="1:2" x14ac:dyDescent="0.25">
      <c r="A2945">
        <v>994159</v>
      </c>
      <c r="B2945" s="29" t="s">
        <v>986</v>
      </c>
    </row>
    <row r="2946" spans="1:2" x14ac:dyDescent="0.25">
      <c r="A2946">
        <v>994159</v>
      </c>
      <c r="B2946" s="29" t="s">
        <v>986</v>
      </c>
    </row>
    <row r="2947" spans="1:2" x14ac:dyDescent="0.25">
      <c r="A2947">
        <v>994159</v>
      </c>
      <c r="B2947" s="29" t="s">
        <v>986</v>
      </c>
    </row>
    <row r="2948" spans="1:2" x14ac:dyDescent="0.25">
      <c r="A2948">
        <v>994159</v>
      </c>
      <c r="B2948" s="29" t="s">
        <v>986</v>
      </c>
    </row>
    <row r="2949" spans="1:2" x14ac:dyDescent="0.25">
      <c r="A2949">
        <v>994159</v>
      </c>
      <c r="B2949" s="29" t="s">
        <v>986</v>
      </c>
    </row>
    <row r="2950" spans="1:2" x14ac:dyDescent="0.25">
      <c r="A2950">
        <v>994159</v>
      </c>
      <c r="B2950" s="29" t="s">
        <v>986</v>
      </c>
    </row>
    <row r="2951" spans="1:2" x14ac:dyDescent="0.25">
      <c r="A2951">
        <v>994159</v>
      </c>
      <c r="B2951" s="29" t="s">
        <v>986</v>
      </c>
    </row>
    <row r="2952" spans="1:2" x14ac:dyDescent="0.25">
      <c r="A2952">
        <v>991236</v>
      </c>
      <c r="B2952" s="29" t="s">
        <v>987</v>
      </c>
    </row>
    <row r="2953" spans="1:2" x14ac:dyDescent="0.25">
      <c r="A2953">
        <v>991236</v>
      </c>
      <c r="B2953" s="29" t="s">
        <v>987</v>
      </c>
    </row>
    <row r="2954" spans="1:2" x14ac:dyDescent="0.25">
      <c r="A2954">
        <v>991236</v>
      </c>
      <c r="B2954" s="29" t="s">
        <v>987</v>
      </c>
    </row>
    <row r="2955" spans="1:2" x14ac:dyDescent="0.25">
      <c r="A2955">
        <v>991236</v>
      </c>
      <c r="B2955" s="29" t="s">
        <v>987</v>
      </c>
    </row>
    <row r="2956" spans="1:2" x14ac:dyDescent="0.25">
      <c r="A2956">
        <v>991236</v>
      </c>
      <c r="B2956" s="29" t="s">
        <v>987</v>
      </c>
    </row>
    <row r="2957" spans="1:2" x14ac:dyDescent="0.25">
      <c r="A2957">
        <v>991236</v>
      </c>
      <c r="B2957" s="29" t="s">
        <v>987</v>
      </c>
    </row>
    <row r="2958" spans="1:2" x14ac:dyDescent="0.25">
      <c r="A2958">
        <v>991236</v>
      </c>
      <c r="B2958" s="29" t="s">
        <v>987</v>
      </c>
    </row>
    <row r="2959" spans="1:2" x14ac:dyDescent="0.25">
      <c r="A2959">
        <v>991236</v>
      </c>
      <c r="B2959" s="29" t="s">
        <v>987</v>
      </c>
    </row>
    <row r="2960" spans="1:2" x14ac:dyDescent="0.25">
      <c r="A2960">
        <v>991236</v>
      </c>
      <c r="B2960" s="29" t="s">
        <v>987</v>
      </c>
    </row>
    <row r="2961" spans="1:2" x14ac:dyDescent="0.25">
      <c r="A2961">
        <v>991236</v>
      </c>
      <c r="B2961" s="29" t="s">
        <v>987</v>
      </c>
    </row>
    <row r="2962" spans="1:2" x14ac:dyDescent="0.25">
      <c r="A2962">
        <v>991236</v>
      </c>
      <c r="B2962" s="29" t="s">
        <v>987</v>
      </c>
    </row>
    <row r="2963" spans="1:2" x14ac:dyDescent="0.25">
      <c r="A2963">
        <v>991236</v>
      </c>
      <c r="B2963" s="29" t="s">
        <v>987</v>
      </c>
    </row>
    <row r="2964" spans="1:2" x14ac:dyDescent="0.25">
      <c r="A2964">
        <v>990812</v>
      </c>
      <c r="B2964" s="29" t="s">
        <v>988</v>
      </c>
    </row>
    <row r="2965" spans="1:2" x14ac:dyDescent="0.25">
      <c r="A2965">
        <v>990812</v>
      </c>
      <c r="B2965" s="29" t="s">
        <v>988</v>
      </c>
    </row>
    <row r="2966" spans="1:2" x14ac:dyDescent="0.25">
      <c r="A2966">
        <v>990812</v>
      </c>
      <c r="B2966" s="29" t="s">
        <v>988</v>
      </c>
    </row>
    <row r="2967" spans="1:2" x14ac:dyDescent="0.25">
      <c r="A2967">
        <v>990812</v>
      </c>
      <c r="B2967" s="29" t="s">
        <v>988</v>
      </c>
    </row>
    <row r="2968" spans="1:2" x14ac:dyDescent="0.25">
      <c r="A2968">
        <v>990812</v>
      </c>
      <c r="B2968" s="29" t="s">
        <v>988</v>
      </c>
    </row>
    <row r="2969" spans="1:2" x14ac:dyDescent="0.25">
      <c r="A2969">
        <v>990812</v>
      </c>
      <c r="B2969" s="29" t="s">
        <v>988</v>
      </c>
    </row>
    <row r="2970" spans="1:2" x14ac:dyDescent="0.25">
      <c r="A2970">
        <v>990812</v>
      </c>
      <c r="B2970" s="29" t="s">
        <v>988</v>
      </c>
    </row>
    <row r="2971" spans="1:2" x14ac:dyDescent="0.25">
      <c r="A2971">
        <v>990812</v>
      </c>
      <c r="B2971" s="29" t="s">
        <v>988</v>
      </c>
    </row>
    <row r="2972" spans="1:2" x14ac:dyDescent="0.25">
      <c r="A2972">
        <v>990812</v>
      </c>
      <c r="B2972" s="29" t="s">
        <v>988</v>
      </c>
    </row>
    <row r="2973" spans="1:2" x14ac:dyDescent="0.25">
      <c r="A2973">
        <v>990812</v>
      </c>
      <c r="B2973" s="29" t="s">
        <v>988</v>
      </c>
    </row>
    <row r="2974" spans="1:2" x14ac:dyDescent="0.25">
      <c r="A2974">
        <v>990812</v>
      </c>
      <c r="B2974" s="29" t="s">
        <v>988</v>
      </c>
    </row>
    <row r="2975" spans="1:2" x14ac:dyDescent="0.25">
      <c r="A2975">
        <v>990812</v>
      </c>
      <c r="B2975" s="29" t="s">
        <v>988</v>
      </c>
    </row>
    <row r="2976" spans="1:2" x14ac:dyDescent="0.25">
      <c r="A2976">
        <v>990812</v>
      </c>
      <c r="B2976" s="29" t="s">
        <v>988</v>
      </c>
    </row>
    <row r="2977" spans="1:2" x14ac:dyDescent="0.25">
      <c r="A2977">
        <v>990812</v>
      </c>
      <c r="B2977" s="29" t="s">
        <v>988</v>
      </c>
    </row>
    <row r="2978" spans="1:2" x14ac:dyDescent="0.25">
      <c r="A2978">
        <v>990812</v>
      </c>
      <c r="B2978" s="29" t="s">
        <v>988</v>
      </c>
    </row>
    <row r="2979" spans="1:2" x14ac:dyDescent="0.25">
      <c r="A2979">
        <v>992969</v>
      </c>
      <c r="B2979" s="29" t="s">
        <v>989</v>
      </c>
    </row>
    <row r="2980" spans="1:2" x14ac:dyDescent="0.25">
      <c r="A2980">
        <v>992969</v>
      </c>
      <c r="B2980" s="29" t="s">
        <v>989</v>
      </c>
    </row>
    <row r="2981" spans="1:2" x14ac:dyDescent="0.25">
      <c r="A2981">
        <v>992969</v>
      </c>
      <c r="B2981" s="29" t="s">
        <v>989</v>
      </c>
    </row>
    <row r="2982" spans="1:2" x14ac:dyDescent="0.25">
      <c r="A2982">
        <v>992969</v>
      </c>
      <c r="B2982" s="29" t="s">
        <v>989</v>
      </c>
    </row>
    <row r="2983" spans="1:2" x14ac:dyDescent="0.25">
      <c r="A2983">
        <v>992969</v>
      </c>
      <c r="B2983" s="29" t="s">
        <v>989</v>
      </c>
    </row>
    <row r="2984" spans="1:2" x14ac:dyDescent="0.25">
      <c r="A2984">
        <v>992969</v>
      </c>
      <c r="B2984" s="29" t="s">
        <v>989</v>
      </c>
    </row>
    <row r="2985" spans="1:2" x14ac:dyDescent="0.25">
      <c r="A2985">
        <v>992969</v>
      </c>
      <c r="B2985" s="29" t="s">
        <v>989</v>
      </c>
    </row>
    <row r="2986" spans="1:2" x14ac:dyDescent="0.25">
      <c r="A2986">
        <v>992969</v>
      </c>
      <c r="B2986" s="29" t="s">
        <v>989</v>
      </c>
    </row>
    <row r="2987" spans="1:2" x14ac:dyDescent="0.25">
      <c r="A2987">
        <v>992969</v>
      </c>
      <c r="B2987" s="29" t="s">
        <v>989</v>
      </c>
    </row>
    <row r="2988" spans="1:2" x14ac:dyDescent="0.25">
      <c r="A2988">
        <v>992969</v>
      </c>
      <c r="B2988" s="29" t="s">
        <v>989</v>
      </c>
    </row>
    <row r="2989" spans="1:2" x14ac:dyDescent="0.25">
      <c r="A2989">
        <v>992969</v>
      </c>
      <c r="B2989" s="29" t="s">
        <v>989</v>
      </c>
    </row>
    <row r="2990" spans="1:2" x14ac:dyDescent="0.25">
      <c r="A2990">
        <v>992969</v>
      </c>
      <c r="B2990" s="29" t="s">
        <v>989</v>
      </c>
    </row>
    <row r="2991" spans="1:2" x14ac:dyDescent="0.25">
      <c r="A2991">
        <v>992969</v>
      </c>
      <c r="B2991" s="29" t="s">
        <v>989</v>
      </c>
    </row>
    <row r="2992" spans="1:2" x14ac:dyDescent="0.25">
      <c r="A2992">
        <v>992969</v>
      </c>
      <c r="B2992" s="29" t="s">
        <v>989</v>
      </c>
    </row>
    <row r="2993" spans="1:2" x14ac:dyDescent="0.25">
      <c r="A2993">
        <v>992969</v>
      </c>
      <c r="B2993" s="29" t="s">
        <v>989</v>
      </c>
    </row>
    <row r="2994" spans="1:2" x14ac:dyDescent="0.25">
      <c r="A2994">
        <v>992988</v>
      </c>
      <c r="B2994" s="29" t="s">
        <v>581</v>
      </c>
    </row>
    <row r="2995" spans="1:2" x14ac:dyDescent="0.25">
      <c r="A2995">
        <v>992988</v>
      </c>
      <c r="B2995" s="29" t="s">
        <v>581</v>
      </c>
    </row>
    <row r="2996" spans="1:2" x14ac:dyDescent="0.25">
      <c r="A2996">
        <v>992988</v>
      </c>
      <c r="B2996" s="29" t="s">
        <v>581</v>
      </c>
    </row>
    <row r="2997" spans="1:2" x14ac:dyDescent="0.25">
      <c r="A2997">
        <v>992988</v>
      </c>
      <c r="B2997" s="29" t="s">
        <v>581</v>
      </c>
    </row>
    <row r="2998" spans="1:2" x14ac:dyDescent="0.25">
      <c r="A2998">
        <v>990800</v>
      </c>
      <c r="B2998" s="29" t="s">
        <v>990</v>
      </c>
    </row>
    <row r="2999" spans="1:2" x14ac:dyDescent="0.25">
      <c r="A2999">
        <v>990800</v>
      </c>
      <c r="B2999" s="29" t="s">
        <v>990</v>
      </c>
    </row>
    <row r="3000" spans="1:2" x14ac:dyDescent="0.25">
      <c r="A3000">
        <v>990800</v>
      </c>
      <c r="B3000" s="29" t="s">
        <v>990</v>
      </c>
    </row>
    <row r="3001" spans="1:2" x14ac:dyDescent="0.25">
      <c r="A3001">
        <v>990800</v>
      </c>
      <c r="B3001" s="29" t="s">
        <v>990</v>
      </c>
    </row>
    <row r="3002" spans="1:2" x14ac:dyDescent="0.25">
      <c r="A3002">
        <v>990800</v>
      </c>
      <c r="B3002" s="29" t="s">
        <v>990</v>
      </c>
    </row>
    <row r="3003" spans="1:2" x14ac:dyDescent="0.25">
      <c r="A3003">
        <v>990800</v>
      </c>
      <c r="B3003" s="29" t="s">
        <v>990</v>
      </c>
    </row>
    <row r="3004" spans="1:2" x14ac:dyDescent="0.25">
      <c r="A3004">
        <v>990800</v>
      </c>
      <c r="B3004" s="29" t="s">
        <v>990</v>
      </c>
    </row>
    <row r="3005" spans="1:2" x14ac:dyDescent="0.25">
      <c r="A3005">
        <v>990800</v>
      </c>
      <c r="B3005" s="29" t="s">
        <v>990</v>
      </c>
    </row>
    <row r="3006" spans="1:2" x14ac:dyDescent="0.25">
      <c r="A3006">
        <v>990800</v>
      </c>
      <c r="B3006" s="29" t="s">
        <v>990</v>
      </c>
    </row>
    <row r="3007" spans="1:2" x14ac:dyDescent="0.25">
      <c r="A3007">
        <v>990800</v>
      </c>
      <c r="B3007" s="29" t="s">
        <v>990</v>
      </c>
    </row>
    <row r="3008" spans="1:2" x14ac:dyDescent="0.25">
      <c r="A3008">
        <v>990800</v>
      </c>
      <c r="B3008" s="29" t="s">
        <v>990</v>
      </c>
    </row>
    <row r="3009" spans="1:2" x14ac:dyDescent="0.25">
      <c r="A3009">
        <v>990800</v>
      </c>
      <c r="B3009" s="29" t="s">
        <v>990</v>
      </c>
    </row>
    <row r="3010" spans="1:2" x14ac:dyDescent="0.25">
      <c r="A3010">
        <v>990800</v>
      </c>
      <c r="B3010" s="29" t="s">
        <v>990</v>
      </c>
    </row>
    <row r="3011" spans="1:2" x14ac:dyDescent="0.25">
      <c r="A3011">
        <v>990800</v>
      </c>
      <c r="B3011" s="29" t="s">
        <v>990</v>
      </c>
    </row>
    <row r="3012" spans="1:2" x14ac:dyDescent="0.25">
      <c r="A3012">
        <v>990800</v>
      </c>
      <c r="B3012" s="29" t="s">
        <v>990</v>
      </c>
    </row>
    <row r="3013" spans="1:2" x14ac:dyDescent="0.25">
      <c r="A3013">
        <v>990800</v>
      </c>
      <c r="B3013" s="29" t="s">
        <v>990</v>
      </c>
    </row>
    <row r="3014" spans="1:2" x14ac:dyDescent="0.25">
      <c r="A3014">
        <v>990800</v>
      </c>
      <c r="B3014" s="29" t="s">
        <v>990</v>
      </c>
    </row>
    <row r="3015" spans="1:2" x14ac:dyDescent="0.25">
      <c r="A3015">
        <v>990800</v>
      </c>
      <c r="B3015" s="29" t="s">
        <v>990</v>
      </c>
    </row>
    <row r="3016" spans="1:2" x14ac:dyDescent="0.25">
      <c r="A3016">
        <v>990800</v>
      </c>
      <c r="B3016" s="29" t="s">
        <v>990</v>
      </c>
    </row>
    <row r="3017" spans="1:2" x14ac:dyDescent="0.25">
      <c r="A3017">
        <v>990800</v>
      </c>
      <c r="B3017" s="29" t="s">
        <v>990</v>
      </c>
    </row>
    <row r="3018" spans="1:2" x14ac:dyDescent="0.25">
      <c r="A3018">
        <v>990800</v>
      </c>
      <c r="B3018" s="29" t="s">
        <v>990</v>
      </c>
    </row>
    <row r="3019" spans="1:2" x14ac:dyDescent="0.25">
      <c r="A3019">
        <v>990800</v>
      </c>
      <c r="B3019" s="29" t="s">
        <v>990</v>
      </c>
    </row>
    <row r="3020" spans="1:2" x14ac:dyDescent="0.25">
      <c r="A3020">
        <v>990800</v>
      </c>
      <c r="B3020" s="29" t="s">
        <v>990</v>
      </c>
    </row>
    <row r="3021" spans="1:2" x14ac:dyDescent="0.25">
      <c r="A3021">
        <v>990800</v>
      </c>
      <c r="B3021" s="29" t="s">
        <v>990</v>
      </c>
    </row>
    <row r="3022" spans="1:2" x14ac:dyDescent="0.25">
      <c r="A3022">
        <v>990800</v>
      </c>
      <c r="B3022" s="29" t="s">
        <v>990</v>
      </c>
    </row>
    <row r="3023" spans="1:2" x14ac:dyDescent="0.25">
      <c r="A3023">
        <v>990800</v>
      </c>
      <c r="B3023" s="29" t="s">
        <v>990</v>
      </c>
    </row>
    <row r="3024" spans="1:2" x14ac:dyDescent="0.25">
      <c r="A3024">
        <v>990800</v>
      </c>
      <c r="B3024" s="29" t="s">
        <v>990</v>
      </c>
    </row>
    <row r="3025" spans="1:2" x14ac:dyDescent="0.25">
      <c r="A3025">
        <v>990800</v>
      </c>
      <c r="B3025" s="29" t="s">
        <v>990</v>
      </c>
    </row>
    <row r="3026" spans="1:2" x14ac:dyDescent="0.25">
      <c r="A3026">
        <v>990800</v>
      </c>
      <c r="B3026" s="29" t="s">
        <v>990</v>
      </c>
    </row>
    <row r="3027" spans="1:2" x14ac:dyDescent="0.25">
      <c r="A3027">
        <v>990800</v>
      </c>
      <c r="B3027" s="29" t="s">
        <v>990</v>
      </c>
    </row>
    <row r="3028" spans="1:2" x14ac:dyDescent="0.25">
      <c r="A3028">
        <v>990800</v>
      </c>
      <c r="B3028" s="29" t="s">
        <v>990</v>
      </c>
    </row>
    <row r="3029" spans="1:2" x14ac:dyDescent="0.25">
      <c r="A3029">
        <v>990800</v>
      </c>
      <c r="B3029" s="29" t="s">
        <v>990</v>
      </c>
    </row>
    <row r="3030" spans="1:2" x14ac:dyDescent="0.25">
      <c r="A3030">
        <v>990800</v>
      </c>
      <c r="B3030" s="29" t="s">
        <v>990</v>
      </c>
    </row>
    <row r="3031" spans="1:2" x14ac:dyDescent="0.25">
      <c r="A3031">
        <v>990800</v>
      </c>
      <c r="B3031" s="29" t="s">
        <v>990</v>
      </c>
    </row>
    <row r="3032" spans="1:2" x14ac:dyDescent="0.25">
      <c r="A3032">
        <v>990800</v>
      </c>
      <c r="B3032" s="29" t="s">
        <v>990</v>
      </c>
    </row>
    <row r="3033" spans="1:2" x14ac:dyDescent="0.25">
      <c r="A3033">
        <v>990800</v>
      </c>
      <c r="B3033" s="29" t="s">
        <v>990</v>
      </c>
    </row>
    <row r="3034" spans="1:2" x14ac:dyDescent="0.25">
      <c r="A3034">
        <v>990800</v>
      </c>
      <c r="B3034" s="29" t="s">
        <v>990</v>
      </c>
    </row>
    <row r="3035" spans="1:2" x14ac:dyDescent="0.25">
      <c r="A3035">
        <v>990800</v>
      </c>
      <c r="B3035" s="29" t="s">
        <v>990</v>
      </c>
    </row>
    <row r="3036" spans="1:2" x14ac:dyDescent="0.25">
      <c r="A3036">
        <v>990800</v>
      </c>
      <c r="B3036" s="29" t="s">
        <v>990</v>
      </c>
    </row>
    <row r="3037" spans="1:2" x14ac:dyDescent="0.25">
      <c r="A3037">
        <v>990800</v>
      </c>
      <c r="B3037" s="29" t="s">
        <v>990</v>
      </c>
    </row>
    <row r="3038" spans="1:2" x14ac:dyDescent="0.25">
      <c r="A3038">
        <v>990800</v>
      </c>
      <c r="B3038" s="29" t="s">
        <v>990</v>
      </c>
    </row>
    <row r="3039" spans="1:2" x14ac:dyDescent="0.25">
      <c r="A3039">
        <v>990800</v>
      </c>
      <c r="B3039" s="29" t="s">
        <v>990</v>
      </c>
    </row>
    <row r="3040" spans="1:2" x14ac:dyDescent="0.25">
      <c r="A3040">
        <v>990800</v>
      </c>
      <c r="B3040" s="29" t="s">
        <v>990</v>
      </c>
    </row>
    <row r="3041" spans="1:2" x14ac:dyDescent="0.25">
      <c r="A3041">
        <v>990800</v>
      </c>
      <c r="B3041" s="29" t="s">
        <v>990</v>
      </c>
    </row>
    <row r="3042" spans="1:2" x14ac:dyDescent="0.25">
      <c r="A3042">
        <v>990800</v>
      </c>
      <c r="B3042" s="29" t="s">
        <v>990</v>
      </c>
    </row>
    <row r="3043" spans="1:2" x14ac:dyDescent="0.25">
      <c r="A3043">
        <v>990800</v>
      </c>
      <c r="B3043" s="29" t="s">
        <v>990</v>
      </c>
    </row>
    <row r="3044" spans="1:2" x14ac:dyDescent="0.25">
      <c r="A3044">
        <v>990800</v>
      </c>
      <c r="B3044" s="29" t="s">
        <v>990</v>
      </c>
    </row>
    <row r="3045" spans="1:2" x14ac:dyDescent="0.25">
      <c r="A3045">
        <v>990800</v>
      </c>
      <c r="B3045" s="29" t="s">
        <v>990</v>
      </c>
    </row>
    <row r="3046" spans="1:2" x14ac:dyDescent="0.25">
      <c r="A3046">
        <v>991204</v>
      </c>
      <c r="B3046" s="29" t="s">
        <v>517</v>
      </c>
    </row>
    <row r="3047" spans="1:2" x14ac:dyDescent="0.25">
      <c r="A3047">
        <v>991204</v>
      </c>
      <c r="B3047" s="29" t="s">
        <v>517</v>
      </c>
    </row>
    <row r="3048" spans="1:2" x14ac:dyDescent="0.25">
      <c r="A3048">
        <v>991204</v>
      </c>
      <c r="B3048" s="29" t="s">
        <v>517</v>
      </c>
    </row>
    <row r="3049" spans="1:2" x14ac:dyDescent="0.25">
      <c r="A3049">
        <v>991204</v>
      </c>
      <c r="B3049" s="29" t="s">
        <v>517</v>
      </c>
    </row>
    <row r="3050" spans="1:2" x14ac:dyDescent="0.25">
      <c r="A3050">
        <v>991204</v>
      </c>
      <c r="B3050" s="29" t="s">
        <v>517</v>
      </c>
    </row>
    <row r="3051" spans="1:2" x14ac:dyDescent="0.25">
      <c r="A3051">
        <v>991204</v>
      </c>
      <c r="B3051" s="29" t="s">
        <v>517</v>
      </c>
    </row>
    <row r="3052" spans="1:2" x14ac:dyDescent="0.25">
      <c r="A3052">
        <v>991204</v>
      </c>
      <c r="B3052" s="29" t="s">
        <v>517</v>
      </c>
    </row>
    <row r="3053" spans="1:2" x14ac:dyDescent="0.25">
      <c r="A3053">
        <v>991204</v>
      </c>
      <c r="B3053" s="29" t="s">
        <v>517</v>
      </c>
    </row>
    <row r="3054" spans="1:2" x14ac:dyDescent="0.25">
      <c r="A3054">
        <v>991204</v>
      </c>
      <c r="B3054" s="29" t="s">
        <v>517</v>
      </c>
    </row>
    <row r="3055" spans="1:2" x14ac:dyDescent="0.25">
      <c r="A3055">
        <v>991204</v>
      </c>
      <c r="B3055" s="29" t="s">
        <v>517</v>
      </c>
    </row>
    <row r="3056" spans="1:2" x14ac:dyDescent="0.25">
      <c r="A3056">
        <v>991204</v>
      </c>
      <c r="B3056" s="29" t="s">
        <v>517</v>
      </c>
    </row>
    <row r="3057" spans="1:2" x14ac:dyDescent="0.25">
      <c r="A3057">
        <v>991204</v>
      </c>
      <c r="B3057" s="29" t="s">
        <v>517</v>
      </c>
    </row>
    <row r="3058" spans="1:2" x14ac:dyDescent="0.25">
      <c r="A3058">
        <v>993976</v>
      </c>
      <c r="B3058" s="29" t="s">
        <v>991</v>
      </c>
    </row>
    <row r="3059" spans="1:2" x14ac:dyDescent="0.25">
      <c r="A3059">
        <v>993976</v>
      </c>
      <c r="B3059" s="29" t="s">
        <v>991</v>
      </c>
    </row>
    <row r="3060" spans="1:2" x14ac:dyDescent="0.25">
      <c r="A3060">
        <v>993976</v>
      </c>
      <c r="B3060" s="29" t="s">
        <v>991</v>
      </c>
    </row>
    <row r="3061" spans="1:2" x14ac:dyDescent="0.25">
      <c r="A3061">
        <v>993976</v>
      </c>
      <c r="B3061" s="29" t="s">
        <v>991</v>
      </c>
    </row>
    <row r="3062" spans="1:2" x14ac:dyDescent="0.25">
      <c r="A3062">
        <v>993976</v>
      </c>
      <c r="B3062" s="29" t="s">
        <v>991</v>
      </c>
    </row>
    <row r="3063" spans="1:2" x14ac:dyDescent="0.25">
      <c r="A3063">
        <v>993976</v>
      </c>
      <c r="B3063" s="29" t="s">
        <v>991</v>
      </c>
    </row>
    <row r="3064" spans="1:2" x14ac:dyDescent="0.25">
      <c r="A3064">
        <v>993976</v>
      </c>
      <c r="B3064" s="29" t="s">
        <v>991</v>
      </c>
    </row>
    <row r="3065" spans="1:2" x14ac:dyDescent="0.25">
      <c r="A3065">
        <v>993976</v>
      </c>
      <c r="B3065" s="29" t="s">
        <v>991</v>
      </c>
    </row>
    <row r="3066" spans="1:2" x14ac:dyDescent="0.25">
      <c r="A3066">
        <v>993976</v>
      </c>
      <c r="B3066" s="29" t="s">
        <v>991</v>
      </c>
    </row>
    <row r="3067" spans="1:2" x14ac:dyDescent="0.25">
      <c r="A3067">
        <v>993976</v>
      </c>
      <c r="B3067" s="29" t="s">
        <v>991</v>
      </c>
    </row>
    <row r="3068" spans="1:2" x14ac:dyDescent="0.25">
      <c r="A3068">
        <v>993976</v>
      </c>
      <c r="B3068" s="29" t="s">
        <v>991</v>
      </c>
    </row>
    <row r="3069" spans="1:2" x14ac:dyDescent="0.25">
      <c r="A3069">
        <v>993976</v>
      </c>
      <c r="B3069" s="29" t="s">
        <v>991</v>
      </c>
    </row>
    <row r="3070" spans="1:2" x14ac:dyDescent="0.25">
      <c r="A3070">
        <v>994452</v>
      </c>
      <c r="B3070" s="29" t="s">
        <v>992</v>
      </c>
    </row>
    <row r="3071" spans="1:2" x14ac:dyDescent="0.25">
      <c r="A3071">
        <v>994452</v>
      </c>
      <c r="B3071" s="29" t="s">
        <v>992</v>
      </c>
    </row>
    <row r="3072" spans="1:2" x14ac:dyDescent="0.25">
      <c r="A3072">
        <v>994452</v>
      </c>
      <c r="B3072" s="29" t="s">
        <v>992</v>
      </c>
    </row>
    <row r="3073" spans="1:2" x14ac:dyDescent="0.25">
      <c r="A3073">
        <v>994452</v>
      </c>
      <c r="B3073" s="29" t="s">
        <v>992</v>
      </c>
    </row>
    <row r="3074" spans="1:2" x14ac:dyDescent="0.25">
      <c r="A3074">
        <v>994452</v>
      </c>
      <c r="B3074" s="29" t="s">
        <v>992</v>
      </c>
    </row>
    <row r="3075" spans="1:2" x14ac:dyDescent="0.25">
      <c r="A3075">
        <v>994452</v>
      </c>
      <c r="B3075" s="29" t="s">
        <v>992</v>
      </c>
    </row>
    <row r="3076" spans="1:2" x14ac:dyDescent="0.25">
      <c r="A3076">
        <v>994452</v>
      </c>
      <c r="B3076" s="29" t="s">
        <v>992</v>
      </c>
    </row>
    <row r="3077" spans="1:2" x14ac:dyDescent="0.25">
      <c r="A3077">
        <v>994452</v>
      </c>
      <c r="B3077" s="29" t="s">
        <v>992</v>
      </c>
    </row>
    <row r="3078" spans="1:2" x14ac:dyDescent="0.25">
      <c r="A3078">
        <v>994452</v>
      </c>
      <c r="B3078" s="29" t="s">
        <v>992</v>
      </c>
    </row>
    <row r="3079" spans="1:2" x14ac:dyDescent="0.25">
      <c r="A3079">
        <v>994452</v>
      </c>
      <c r="B3079" s="29" t="s">
        <v>992</v>
      </c>
    </row>
    <row r="3080" spans="1:2" x14ac:dyDescent="0.25">
      <c r="A3080">
        <v>994452</v>
      </c>
      <c r="B3080" s="29" t="s">
        <v>992</v>
      </c>
    </row>
    <row r="3081" spans="1:2" x14ac:dyDescent="0.25">
      <c r="A3081">
        <v>994452</v>
      </c>
      <c r="B3081" s="29" t="s">
        <v>992</v>
      </c>
    </row>
    <row r="3082" spans="1:2" x14ac:dyDescent="0.25">
      <c r="A3082">
        <v>994452</v>
      </c>
      <c r="B3082" s="29" t="s">
        <v>992</v>
      </c>
    </row>
    <row r="3083" spans="1:2" x14ac:dyDescent="0.25">
      <c r="A3083">
        <v>994452</v>
      </c>
      <c r="B3083" s="29" t="s">
        <v>992</v>
      </c>
    </row>
    <row r="3084" spans="1:2" x14ac:dyDescent="0.25">
      <c r="A3084">
        <v>994452</v>
      </c>
      <c r="B3084" s="29" t="s">
        <v>992</v>
      </c>
    </row>
    <row r="3085" spans="1:2" x14ac:dyDescent="0.25">
      <c r="A3085">
        <v>994452</v>
      </c>
      <c r="B3085" s="29" t="s">
        <v>992</v>
      </c>
    </row>
    <row r="3086" spans="1:2" x14ac:dyDescent="0.25">
      <c r="A3086">
        <v>994452</v>
      </c>
      <c r="B3086" s="29" t="s">
        <v>992</v>
      </c>
    </row>
    <row r="3087" spans="1:2" x14ac:dyDescent="0.25">
      <c r="A3087">
        <v>994452</v>
      </c>
      <c r="B3087" s="29" t="s">
        <v>992</v>
      </c>
    </row>
    <row r="3088" spans="1:2" x14ac:dyDescent="0.25">
      <c r="A3088">
        <v>994452</v>
      </c>
      <c r="B3088" s="29" t="s">
        <v>992</v>
      </c>
    </row>
    <row r="3089" spans="1:2" x14ac:dyDescent="0.25">
      <c r="A3089">
        <v>994452</v>
      </c>
      <c r="B3089" s="29" t="s">
        <v>992</v>
      </c>
    </row>
    <row r="3090" spans="1:2" x14ac:dyDescent="0.25">
      <c r="A3090">
        <v>994452</v>
      </c>
      <c r="B3090" s="29" t="s">
        <v>992</v>
      </c>
    </row>
    <row r="3091" spans="1:2" x14ac:dyDescent="0.25">
      <c r="A3091">
        <v>990808</v>
      </c>
      <c r="B3091" s="29" t="s">
        <v>993</v>
      </c>
    </row>
    <row r="3092" spans="1:2" x14ac:dyDescent="0.25">
      <c r="A3092">
        <v>990808</v>
      </c>
      <c r="B3092" s="29" t="s">
        <v>993</v>
      </c>
    </row>
    <row r="3093" spans="1:2" x14ac:dyDescent="0.25">
      <c r="A3093">
        <v>990808</v>
      </c>
      <c r="B3093" s="29" t="s">
        <v>993</v>
      </c>
    </row>
    <row r="3094" spans="1:2" x14ac:dyDescent="0.25">
      <c r="A3094">
        <v>990808</v>
      </c>
      <c r="B3094" s="29" t="s">
        <v>993</v>
      </c>
    </row>
    <row r="3095" spans="1:2" x14ac:dyDescent="0.25">
      <c r="A3095">
        <v>990808</v>
      </c>
      <c r="B3095" s="29" t="s">
        <v>993</v>
      </c>
    </row>
    <row r="3096" spans="1:2" x14ac:dyDescent="0.25">
      <c r="A3096">
        <v>990808</v>
      </c>
      <c r="B3096" s="29" t="s">
        <v>993</v>
      </c>
    </row>
    <row r="3097" spans="1:2" x14ac:dyDescent="0.25">
      <c r="A3097">
        <v>990808</v>
      </c>
      <c r="B3097" s="29" t="s">
        <v>993</v>
      </c>
    </row>
    <row r="3098" spans="1:2" x14ac:dyDescent="0.25">
      <c r="A3098">
        <v>990808</v>
      </c>
      <c r="B3098" s="29" t="s">
        <v>993</v>
      </c>
    </row>
    <row r="3099" spans="1:2" x14ac:dyDescent="0.25">
      <c r="A3099">
        <v>990808</v>
      </c>
      <c r="B3099" s="29" t="s">
        <v>993</v>
      </c>
    </row>
    <row r="3100" spans="1:2" x14ac:dyDescent="0.25">
      <c r="A3100">
        <v>990808</v>
      </c>
      <c r="B3100" s="29" t="s">
        <v>993</v>
      </c>
    </row>
    <row r="3101" spans="1:2" x14ac:dyDescent="0.25">
      <c r="A3101">
        <v>990808</v>
      </c>
      <c r="B3101" s="29" t="s">
        <v>993</v>
      </c>
    </row>
    <row r="3102" spans="1:2" x14ac:dyDescent="0.25">
      <c r="A3102">
        <v>990808</v>
      </c>
      <c r="B3102" s="29" t="s">
        <v>993</v>
      </c>
    </row>
    <row r="3103" spans="1:2" x14ac:dyDescent="0.25">
      <c r="A3103">
        <v>990062</v>
      </c>
      <c r="B3103" s="29" t="s">
        <v>994</v>
      </c>
    </row>
    <row r="3104" spans="1:2" x14ac:dyDescent="0.25">
      <c r="A3104">
        <v>990062</v>
      </c>
      <c r="B3104" s="29" t="s">
        <v>994</v>
      </c>
    </row>
    <row r="3105" spans="1:2" x14ac:dyDescent="0.25">
      <c r="A3105">
        <v>990062</v>
      </c>
      <c r="B3105" s="29" t="s">
        <v>994</v>
      </c>
    </row>
    <row r="3106" spans="1:2" x14ac:dyDescent="0.25">
      <c r="A3106">
        <v>990062</v>
      </c>
      <c r="B3106" s="29" t="s">
        <v>994</v>
      </c>
    </row>
    <row r="3107" spans="1:2" x14ac:dyDescent="0.25">
      <c r="A3107">
        <v>990062</v>
      </c>
      <c r="B3107" s="29" t="s">
        <v>994</v>
      </c>
    </row>
    <row r="3108" spans="1:2" x14ac:dyDescent="0.25">
      <c r="A3108">
        <v>990062</v>
      </c>
      <c r="B3108" s="29" t="s">
        <v>994</v>
      </c>
    </row>
    <row r="3109" spans="1:2" x14ac:dyDescent="0.25">
      <c r="A3109">
        <v>990062</v>
      </c>
      <c r="B3109" s="29" t="s">
        <v>994</v>
      </c>
    </row>
    <row r="3110" spans="1:2" x14ac:dyDescent="0.25">
      <c r="A3110">
        <v>990062</v>
      </c>
      <c r="B3110" s="29" t="s">
        <v>994</v>
      </c>
    </row>
    <row r="3111" spans="1:2" x14ac:dyDescent="0.25">
      <c r="A3111">
        <v>990062</v>
      </c>
      <c r="B3111" s="29" t="s">
        <v>994</v>
      </c>
    </row>
    <row r="3112" spans="1:2" x14ac:dyDescent="0.25">
      <c r="A3112">
        <v>990062</v>
      </c>
      <c r="B3112" s="29" t="s">
        <v>994</v>
      </c>
    </row>
    <row r="3113" spans="1:2" x14ac:dyDescent="0.25">
      <c r="A3113">
        <v>990062</v>
      </c>
      <c r="B3113" s="29" t="s">
        <v>994</v>
      </c>
    </row>
    <row r="3114" spans="1:2" x14ac:dyDescent="0.25">
      <c r="A3114">
        <v>990062</v>
      </c>
      <c r="B3114" s="29" t="s">
        <v>994</v>
      </c>
    </row>
    <row r="3115" spans="1:2" x14ac:dyDescent="0.25">
      <c r="A3115">
        <v>990062</v>
      </c>
      <c r="B3115" s="29" t="s">
        <v>994</v>
      </c>
    </row>
    <row r="3116" spans="1:2" x14ac:dyDescent="0.25">
      <c r="A3116">
        <v>990062</v>
      </c>
      <c r="B3116" s="29" t="s">
        <v>994</v>
      </c>
    </row>
    <row r="3117" spans="1:2" x14ac:dyDescent="0.25">
      <c r="A3117">
        <v>990062</v>
      </c>
      <c r="B3117" s="29" t="s">
        <v>994</v>
      </c>
    </row>
    <row r="3118" spans="1:2" x14ac:dyDescent="0.25">
      <c r="A3118">
        <v>990062</v>
      </c>
      <c r="B3118" s="29" t="s">
        <v>994</v>
      </c>
    </row>
    <row r="3119" spans="1:2" x14ac:dyDescent="0.25">
      <c r="A3119">
        <v>990062</v>
      </c>
      <c r="B3119" s="29" t="s">
        <v>994</v>
      </c>
    </row>
    <row r="3120" spans="1:2" x14ac:dyDescent="0.25">
      <c r="A3120">
        <v>990062</v>
      </c>
      <c r="B3120" s="29" t="s">
        <v>994</v>
      </c>
    </row>
    <row r="3121" spans="1:2" x14ac:dyDescent="0.25">
      <c r="A3121">
        <v>991205</v>
      </c>
      <c r="B3121" s="29" t="s">
        <v>518</v>
      </c>
    </row>
    <row r="3122" spans="1:2" x14ac:dyDescent="0.25">
      <c r="A3122">
        <v>991205</v>
      </c>
      <c r="B3122" s="29" t="s">
        <v>518</v>
      </c>
    </row>
    <row r="3123" spans="1:2" x14ac:dyDescent="0.25">
      <c r="A3123">
        <v>991205</v>
      </c>
      <c r="B3123" s="29" t="s">
        <v>518</v>
      </c>
    </row>
    <row r="3124" spans="1:2" x14ac:dyDescent="0.25">
      <c r="A3124">
        <v>991205</v>
      </c>
      <c r="B3124" s="29" t="s">
        <v>518</v>
      </c>
    </row>
    <row r="3125" spans="1:2" x14ac:dyDescent="0.25">
      <c r="A3125">
        <v>991205</v>
      </c>
      <c r="B3125" s="29" t="s">
        <v>518</v>
      </c>
    </row>
    <row r="3126" spans="1:2" x14ac:dyDescent="0.25">
      <c r="A3126">
        <v>991205</v>
      </c>
      <c r="B3126" s="29" t="s">
        <v>518</v>
      </c>
    </row>
    <row r="3127" spans="1:2" x14ac:dyDescent="0.25">
      <c r="A3127">
        <v>991205</v>
      </c>
      <c r="B3127" s="29" t="s">
        <v>518</v>
      </c>
    </row>
    <row r="3128" spans="1:2" x14ac:dyDescent="0.25">
      <c r="A3128">
        <v>991205</v>
      </c>
      <c r="B3128" s="29" t="s">
        <v>518</v>
      </c>
    </row>
    <row r="3129" spans="1:2" x14ac:dyDescent="0.25">
      <c r="A3129">
        <v>991205</v>
      </c>
      <c r="B3129" s="29" t="s">
        <v>518</v>
      </c>
    </row>
    <row r="3130" spans="1:2" x14ac:dyDescent="0.25">
      <c r="A3130">
        <v>991205</v>
      </c>
      <c r="B3130" s="29" t="s">
        <v>518</v>
      </c>
    </row>
    <row r="3131" spans="1:2" x14ac:dyDescent="0.25">
      <c r="A3131">
        <v>991205</v>
      </c>
      <c r="B3131" s="29" t="s">
        <v>518</v>
      </c>
    </row>
    <row r="3132" spans="1:2" x14ac:dyDescent="0.25">
      <c r="A3132">
        <v>991205</v>
      </c>
      <c r="B3132" s="29" t="s">
        <v>518</v>
      </c>
    </row>
    <row r="3133" spans="1:2" x14ac:dyDescent="0.25">
      <c r="A3133">
        <v>991209</v>
      </c>
      <c r="B3133" s="29" t="s">
        <v>995</v>
      </c>
    </row>
    <row r="3134" spans="1:2" x14ac:dyDescent="0.25">
      <c r="A3134">
        <v>991209</v>
      </c>
      <c r="B3134" s="29" t="s">
        <v>995</v>
      </c>
    </row>
    <row r="3135" spans="1:2" x14ac:dyDescent="0.25">
      <c r="A3135">
        <v>991209</v>
      </c>
      <c r="B3135" s="29" t="s">
        <v>995</v>
      </c>
    </row>
    <row r="3136" spans="1:2" x14ac:dyDescent="0.25">
      <c r="A3136">
        <v>991209</v>
      </c>
      <c r="B3136" s="29" t="s">
        <v>995</v>
      </c>
    </row>
    <row r="3137" spans="1:2" x14ac:dyDescent="0.25">
      <c r="A3137">
        <v>991209</v>
      </c>
      <c r="B3137" s="29" t="s">
        <v>995</v>
      </c>
    </row>
    <row r="3138" spans="1:2" x14ac:dyDescent="0.25">
      <c r="A3138">
        <v>991209</v>
      </c>
      <c r="B3138" s="29" t="s">
        <v>995</v>
      </c>
    </row>
    <row r="3139" spans="1:2" x14ac:dyDescent="0.25">
      <c r="A3139">
        <v>991209</v>
      </c>
      <c r="B3139" s="29" t="s">
        <v>995</v>
      </c>
    </row>
    <row r="3140" spans="1:2" x14ac:dyDescent="0.25">
      <c r="A3140">
        <v>991209</v>
      </c>
      <c r="B3140" s="29" t="s">
        <v>995</v>
      </c>
    </row>
    <row r="3141" spans="1:2" x14ac:dyDescent="0.25">
      <c r="A3141">
        <v>991209</v>
      </c>
      <c r="B3141" s="29" t="s">
        <v>995</v>
      </c>
    </row>
    <row r="3142" spans="1:2" x14ac:dyDescent="0.25">
      <c r="A3142">
        <v>991227</v>
      </c>
      <c r="B3142" s="29" t="s">
        <v>540</v>
      </c>
    </row>
    <row r="3143" spans="1:2" x14ac:dyDescent="0.25">
      <c r="A3143">
        <v>991227</v>
      </c>
      <c r="B3143" s="29" t="s">
        <v>540</v>
      </c>
    </row>
    <row r="3144" spans="1:2" x14ac:dyDescent="0.25">
      <c r="A3144">
        <v>991227</v>
      </c>
      <c r="B3144" s="29" t="s">
        <v>540</v>
      </c>
    </row>
    <row r="3145" spans="1:2" x14ac:dyDescent="0.25">
      <c r="A3145">
        <v>991227</v>
      </c>
      <c r="B3145" s="29" t="s">
        <v>540</v>
      </c>
    </row>
    <row r="3146" spans="1:2" x14ac:dyDescent="0.25">
      <c r="A3146">
        <v>991227</v>
      </c>
      <c r="B3146" s="29" t="s">
        <v>540</v>
      </c>
    </row>
    <row r="3147" spans="1:2" x14ac:dyDescent="0.25">
      <c r="A3147">
        <v>991227</v>
      </c>
      <c r="B3147" s="29" t="s">
        <v>540</v>
      </c>
    </row>
    <row r="3148" spans="1:2" x14ac:dyDescent="0.25">
      <c r="A3148">
        <v>991227</v>
      </c>
      <c r="B3148" s="29" t="s">
        <v>540</v>
      </c>
    </row>
    <row r="3149" spans="1:2" x14ac:dyDescent="0.25">
      <c r="A3149">
        <v>991227</v>
      </c>
      <c r="B3149" s="29" t="s">
        <v>540</v>
      </c>
    </row>
    <row r="3150" spans="1:2" x14ac:dyDescent="0.25">
      <c r="A3150">
        <v>991227</v>
      </c>
      <c r="B3150" s="29" t="s">
        <v>540</v>
      </c>
    </row>
    <row r="3151" spans="1:2" x14ac:dyDescent="0.25">
      <c r="A3151">
        <v>991227</v>
      </c>
      <c r="B3151" s="29" t="s">
        <v>540</v>
      </c>
    </row>
    <row r="3152" spans="1:2" x14ac:dyDescent="0.25">
      <c r="A3152">
        <v>991227</v>
      </c>
      <c r="B3152" s="29" t="s">
        <v>540</v>
      </c>
    </row>
    <row r="3153" spans="1:2" x14ac:dyDescent="0.25">
      <c r="A3153">
        <v>991227</v>
      </c>
      <c r="B3153" s="29" t="s">
        <v>540</v>
      </c>
    </row>
    <row r="3154" spans="1:2" x14ac:dyDescent="0.25">
      <c r="A3154">
        <v>993001</v>
      </c>
      <c r="B3154" s="29" t="s">
        <v>996</v>
      </c>
    </row>
    <row r="3155" spans="1:2" x14ac:dyDescent="0.25">
      <c r="A3155">
        <v>993001</v>
      </c>
      <c r="B3155" s="29" t="s">
        <v>996</v>
      </c>
    </row>
    <row r="3156" spans="1:2" x14ac:dyDescent="0.25">
      <c r="A3156">
        <v>993001</v>
      </c>
      <c r="B3156" s="29" t="s">
        <v>996</v>
      </c>
    </row>
    <row r="3157" spans="1:2" x14ac:dyDescent="0.25">
      <c r="A3157">
        <v>993001</v>
      </c>
      <c r="B3157" s="29" t="s">
        <v>996</v>
      </c>
    </row>
    <row r="3158" spans="1:2" x14ac:dyDescent="0.25">
      <c r="A3158">
        <v>993001</v>
      </c>
      <c r="B3158" s="29" t="s">
        <v>996</v>
      </c>
    </row>
    <row r="3159" spans="1:2" x14ac:dyDescent="0.25">
      <c r="A3159">
        <v>993001</v>
      </c>
      <c r="B3159" s="29" t="s">
        <v>996</v>
      </c>
    </row>
    <row r="3160" spans="1:2" x14ac:dyDescent="0.25">
      <c r="A3160">
        <v>993001</v>
      </c>
      <c r="B3160" s="29" t="s">
        <v>996</v>
      </c>
    </row>
    <row r="3161" spans="1:2" x14ac:dyDescent="0.25">
      <c r="A3161">
        <v>993001</v>
      </c>
      <c r="B3161" s="29" t="s">
        <v>996</v>
      </c>
    </row>
    <row r="3162" spans="1:2" x14ac:dyDescent="0.25">
      <c r="A3162">
        <v>993001</v>
      </c>
      <c r="B3162" s="29" t="s">
        <v>996</v>
      </c>
    </row>
    <row r="3163" spans="1:2" x14ac:dyDescent="0.25">
      <c r="A3163">
        <v>993001</v>
      </c>
      <c r="B3163" s="29" t="s">
        <v>996</v>
      </c>
    </row>
    <row r="3164" spans="1:2" x14ac:dyDescent="0.25">
      <c r="A3164">
        <v>993001</v>
      </c>
      <c r="B3164" s="29" t="s">
        <v>996</v>
      </c>
    </row>
    <row r="3165" spans="1:2" x14ac:dyDescent="0.25">
      <c r="A3165">
        <v>993001</v>
      </c>
      <c r="B3165" s="29" t="s">
        <v>996</v>
      </c>
    </row>
    <row r="3166" spans="1:2" x14ac:dyDescent="0.25">
      <c r="A3166">
        <v>993975</v>
      </c>
      <c r="B3166" s="29" t="s">
        <v>997</v>
      </c>
    </row>
    <row r="3167" spans="1:2" x14ac:dyDescent="0.25">
      <c r="A3167">
        <v>993975</v>
      </c>
      <c r="B3167" s="29" t="s">
        <v>997</v>
      </c>
    </row>
    <row r="3168" spans="1:2" x14ac:dyDescent="0.25">
      <c r="A3168">
        <v>993975</v>
      </c>
      <c r="B3168" s="29" t="s">
        <v>997</v>
      </c>
    </row>
    <row r="3169" spans="1:2" x14ac:dyDescent="0.25">
      <c r="A3169">
        <v>993975</v>
      </c>
      <c r="B3169" s="29" t="s">
        <v>997</v>
      </c>
    </row>
    <row r="3170" spans="1:2" x14ac:dyDescent="0.25">
      <c r="A3170">
        <v>993975</v>
      </c>
      <c r="B3170" s="29" t="s">
        <v>997</v>
      </c>
    </row>
    <row r="3171" spans="1:2" x14ac:dyDescent="0.25">
      <c r="A3171">
        <v>993975</v>
      </c>
      <c r="B3171" s="29" t="s">
        <v>997</v>
      </c>
    </row>
    <row r="3172" spans="1:2" x14ac:dyDescent="0.25">
      <c r="A3172">
        <v>993975</v>
      </c>
      <c r="B3172" s="29" t="s">
        <v>997</v>
      </c>
    </row>
    <row r="3173" spans="1:2" x14ac:dyDescent="0.25">
      <c r="A3173">
        <v>993975</v>
      </c>
      <c r="B3173" s="29" t="s">
        <v>997</v>
      </c>
    </row>
    <row r="3174" spans="1:2" x14ac:dyDescent="0.25">
      <c r="A3174">
        <v>993975</v>
      </c>
      <c r="B3174" s="29" t="s">
        <v>997</v>
      </c>
    </row>
    <row r="3175" spans="1:2" x14ac:dyDescent="0.25">
      <c r="A3175">
        <v>993975</v>
      </c>
      <c r="B3175" s="29" t="s">
        <v>997</v>
      </c>
    </row>
    <row r="3176" spans="1:2" x14ac:dyDescent="0.25">
      <c r="A3176">
        <v>993975</v>
      </c>
      <c r="B3176" s="29" t="s">
        <v>997</v>
      </c>
    </row>
    <row r="3177" spans="1:2" x14ac:dyDescent="0.25">
      <c r="A3177">
        <v>993975</v>
      </c>
      <c r="B3177" s="29" t="s">
        <v>997</v>
      </c>
    </row>
    <row r="3178" spans="1:2" x14ac:dyDescent="0.25">
      <c r="A3178">
        <v>990000</v>
      </c>
      <c r="B3178" s="29" t="s">
        <v>998</v>
      </c>
    </row>
    <row r="3179" spans="1:2" x14ac:dyDescent="0.25">
      <c r="A3179">
        <v>990000</v>
      </c>
      <c r="B3179" s="29" t="s">
        <v>998</v>
      </c>
    </row>
    <row r="3180" spans="1:2" x14ac:dyDescent="0.25">
      <c r="A3180">
        <v>990000</v>
      </c>
      <c r="B3180" s="29" t="s">
        <v>998</v>
      </c>
    </row>
    <row r="3181" spans="1:2" x14ac:dyDescent="0.25">
      <c r="A3181">
        <v>990000</v>
      </c>
      <c r="B3181" s="29" t="s">
        <v>998</v>
      </c>
    </row>
    <row r="3182" spans="1:2" x14ac:dyDescent="0.25">
      <c r="A3182">
        <v>990000</v>
      </c>
      <c r="B3182" s="29" t="s">
        <v>998</v>
      </c>
    </row>
    <row r="3183" spans="1:2" x14ac:dyDescent="0.25">
      <c r="A3183">
        <v>990000</v>
      </c>
      <c r="B3183" s="29" t="s">
        <v>998</v>
      </c>
    </row>
    <row r="3184" spans="1:2" x14ac:dyDescent="0.25">
      <c r="A3184">
        <v>990000</v>
      </c>
      <c r="B3184" s="29" t="s">
        <v>998</v>
      </c>
    </row>
    <row r="3185" spans="1:2" x14ac:dyDescent="0.25">
      <c r="A3185">
        <v>990000</v>
      </c>
      <c r="B3185" s="29" t="s">
        <v>998</v>
      </c>
    </row>
    <row r="3186" spans="1:2" x14ac:dyDescent="0.25">
      <c r="A3186">
        <v>990000</v>
      </c>
      <c r="B3186" s="29" t="s">
        <v>998</v>
      </c>
    </row>
    <row r="3187" spans="1:2" x14ac:dyDescent="0.25">
      <c r="A3187">
        <v>990000</v>
      </c>
      <c r="B3187" s="29" t="s">
        <v>998</v>
      </c>
    </row>
    <row r="3188" spans="1:2" x14ac:dyDescent="0.25">
      <c r="A3188">
        <v>990000</v>
      </c>
      <c r="B3188" s="29" t="s">
        <v>998</v>
      </c>
    </row>
    <row r="3189" spans="1:2" x14ac:dyDescent="0.25">
      <c r="A3189">
        <v>990000</v>
      </c>
      <c r="B3189" s="29" t="s">
        <v>998</v>
      </c>
    </row>
    <row r="3190" spans="1:2" x14ac:dyDescent="0.25">
      <c r="A3190">
        <v>990000</v>
      </c>
      <c r="B3190" s="29" t="s">
        <v>998</v>
      </c>
    </row>
    <row r="3191" spans="1:2" x14ac:dyDescent="0.25">
      <c r="A3191">
        <v>990000</v>
      </c>
      <c r="B3191" s="29" t="s">
        <v>998</v>
      </c>
    </row>
    <row r="3192" spans="1:2" x14ac:dyDescent="0.25">
      <c r="A3192">
        <v>990000</v>
      </c>
      <c r="B3192" s="29" t="s">
        <v>998</v>
      </c>
    </row>
    <row r="3193" spans="1:2" x14ac:dyDescent="0.25">
      <c r="A3193">
        <v>990000</v>
      </c>
      <c r="B3193" s="29" t="s">
        <v>998</v>
      </c>
    </row>
    <row r="3194" spans="1:2" x14ac:dyDescent="0.25">
      <c r="A3194">
        <v>990000</v>
      </c>
      <c r="B3194" s="29" t="s">
        <v>998</v>
      </c>
    </row>
    <row r="3195" spans="1:2" x14ac:dyDescent="0.25">
      <c r="A3195">
        <v>990000</v>
      </c>
      <c r="B3195" s="29" t="s">
        <v>998</v>
      </c>
    </row>
    <row r="3196" spans="1:2" x14ac:dyDescent="0.25">
      <c r="A3196">
        <v>990000</v>
      </c>
      <c r="B3196" s="29" t="s">
        <v>998</v>
      </c>
    </row>
    <row r="3197" spans="1:2" x14ac:dyDescent="0.25">
      <c r="A3197">
        <v>990000</v>
      </c>
      <c r="B3197" s="29" t="s">
        <v>998</v>
      </c>
    </row>
    <row r="3198" spans="1:2" x14ac:dyDescent="0.25">
      <c r="A3198">
        <v>990000</v>
      </c>
      <c r="B3198" s="29" t="s">
        <v>998</v>
      </c>
    </row>
    <row r="3199" spans="1:2" x14ac:dyDescent="0.25">
      <c r="A3199">
        <v>990000</v>
      </c>
      <c r="B3199" s="29" t="s">
        <v>998</v>
      </c>
    </row>
    <row r="3200" spans="1:2" x14ac:dyDescent="0.25">
      <c r="A3200">
        <v>990000</v>
      </c>
      <c r="B3200" s="29" t="s">
        <v>998</v>
      </c>
    </row>
    <row r="3201" spans="1:2" x14ac:dyDescent="0.25">
      <c r="A3201">
        <v>990000</v>
      </c>
      <c r="B3201" s="29" t="s">
        <v>998</v>
      </c>
    </row>
    <row r="3202" spans="1:2" x14ac:dyDescent="0.25">
      <c r="A3202">
        <v>990000</v>
      </c>
      <c r="B3202" s="29" t="s">
        <v>998</v>
      </c>
    </row>
    <row r="3203" spans="1:2" x14ac:dyDescent="0.25">
      <c r="A3203">
        <v>990000</v>
      </c>
      <c r="B3203" s="29" t="s">
        <v>998</v>
      </c>
    </row>
    <row r="3204" spans="1:2" x14ac:dyDescent="0.25">
      <c r="A3204">
        <v>990000</v>
      </c>
      <c r="B3204" s="29" t="s">
        <v>998</v>
      </c>
    </row>
    <row r="3205" spans="1:2" x14ac:dyDescent="0.25">
      <c r="A3205">
        <v>990000</v>
      </c>
      <c r="B3205" s="29" t="s">
        <v>998</v>
      </c>
    </row>
    <row r="3206" spans="1:2" x14ac:dyDescent="0.25">
      <c r="A3206">
        <v>990000</v>
      </c>
      <c r="B3206" s="29" t="s">
        <v>998</v>
      </c>
    </row>
    <row r="3207" spans="1:2" x14ac:dyDescent="0.25">
      <c r="A3207">
        <v>990000</v>
      </c>
      <c r="B3207" s="29" t="s">
        <v>998</v>
      </c>
    </row>
    <row r="3208" spans="1:2" x14ac:dyDescent="0.25">
      <c r="A3208">
        <v>990000</v>
      </c>
      <c r="B3208" s="29" t="s">
        <v>998</v>
      </c>
    </row>
    <row r="3209" spans="1:2" x14ac:dyDescent="0.25">
      <c r="A3209">
        <v>990000</v>
      </c>
      <c r="B3209" s="29" t="s">
        <v>998</v>
      </c>
    </row>
    <row r="3210" spans="1:2" x14ac:dyDescent="0.25">
      <c r="A3210">
        <v>990000</v>
      </c>
      <c r="B3210" s="29" t="s">
        <v>998</v>
      </c>
    </row>
    <row r="3211" spans="1:2" x14ac:dyDescent="0.25">
      <c r="A3211">
        <v>990000</v>
      </c>
      <c r="B3211" s="29" t="s">
        <v>998</v>
      </c>
    </row>
    <row r="3212" spans="1:2" x14ac:dyDescent="0.25">
      <c r="A3212">
        <v>990000</v>
      </c>
      <c r="B3212" s="29" t="s">
        <v>998</v>
      </c>
    </row>
    <row r="3213" spans="1:2" x14ac:dyDescent="0.25">
      <c r="A3213">
        <v>990000</v>
      </c>
      <c r="B3213" s="29" t="s">
        <v>998</v>
      </c>
    </row>
    <row r="3214" spans="1:2" x14ac:dyDescent="0.25">
      <c r="A3214">
        <v>990000</v>
      </c>
      <c r="B3214" s="29" t="s">
        <v>998</v>
      </c>
    </row>
    <row r="3215" spans="1:2" x14ac:dyDescent="0.25">
      <c r="A3215">
        <v>990000</v>
      </c>
      <c r="B3215" s="29" t="s">
        <v>998</v>
      </c>
    </row>
    <row r="3216" spans="1:2" x14ac:dyDescent="0.25">
      <c r="A3216">
        <v>990000</v>
      </c>
      <c r="B3216" s="29" t="s">
        <v>998</v>
      </c>
    </row>
    <row r="3217" spans="1:2" x14ac:dyDescent="0.25">
      <c r="A3217">
        <v>990000</v>
      </c>
      <c r="B3217" s="29" t="s">
        <v>998</v>
      </c>
    </row>
    <row r="3218" spans="1:2" x14ac:dyDescent="0.25">
      <c r="A3218">
        <v>990000</v>
      </c>
      <c r="B3218" s="29" t="s">
        <v>998</v>
      </c>
    </row>
    <row r="3219" spans="1:2" x14ac:dyDescent="0.25">
      <c r="A3219">
        <v>990000</v>
      </c>
      <c r="B3219" s="29" t="s">
        <v>998</v>
      </c>
    </row>
    <row r="3220" spans="1:2" x14ac:dyDescent="0.25">
      <c r="A3220">
        <v>990000</v>
      </c>
      <c r="B3220" s="29" t="s">
        <v>998</v>
      </c>
    </row>
    <row r="3221" spans="1:2" x14ac:dyDescent="0.25">
      <c r="A3221">
        <v>990000</v>
      </c>
      <c r="B3221" s="29" t="s">
        <v>998</v>
      </c>
    </row>
    <row r="3222" spans="1:2" x14ac:dyDescent="0.25">
      <c r="A3222">
        <v>990000</v>
      </c>
      <c r="B3222" s="29" t="s">
        <v>998</v>
      </c>
    </row>
    <row r="3223" spans="1:2" x14ac:dyDescent="0.25">
      <c r="A3223">
        <v>990000</v>
      </c>
      <c r="B3223" s="29" t="s">
        <v>998</v>
      </c>
    </row>
    <row r="3224" spans="1:2" x14ac:dyDescent="0.25">
      <c r="A3224">
        <v>990000</v>
      </c>
      <c r="B3224" s="29" t="s">
        <v>998</v>
      </c>
    </row>
    <row r="3225" spans="1:2" x14ac:dyDescent="0.25">
      <c r="A3225">
        <v>990000</v>
      </c>
      <c r="B3225" s="29" t="s">
        <v>998</v>
      </c>
    </row>
    <row r="3226" spans="1:2" x14ac:dyDescent="0.25">
      <c r="A3226">
        <v>990000</v>
      </c>
      <c r="B3226" s="29" t="s">
        <v>998</v>
      </c>
    </row>
    <row r="3227" spans="1:2" x14ac:dyDescent="0.25">
      <c r="A3227">
        <v>990000</v>
      </c>
      <c r="B3227" s="29" t="s">
        <v>998</v>
      </c>
    </row>
    <row r="3228" spans="1:2" x14ac:dyDescent="0.25">
      <c r="A3228">
        <v>990000</v>
      </c>
      <c r="B3228" s="29" t="s">
        <v>998</v>
      </c>
    </row>
    <row r="3229" spans="1:2" x14ac:dyDescent="0.25">
      <c r="A3229">
        <v>990000</v>
      </c>
      <c r="B3229" s="29" t="s">
        <v>998</v>
      </c>
    </row>
    <row r="3230" spans="1:2" x14ac:dyDescent="0.25">
      <c r="A3230">
        <v>990000</v>
      </c>
      <c r="B3230" s="29" t="s">
        <v>998</v>
      </c>
    </row>
    <row r="3231" spans="1:2" x14ac:dyDescent="0.25">
      <c r="A3231">
        <v>990000</v>
      </c>
      <c r="B3231" s="29" t="s">
        <v>998</v>
      </c>
    </row>
    <row r="3232" spans="1:2" x14ac:dyDescent="0.25">
      <c r="A3232">
        <v>990000</v>
      </c>
      <c r="B3232" s="29" t="s">
        <v>998</v>
      </c>
    </row>
    <row r="3233" spans="1:2" x14ac:dyDescent="0.25">
      <c r="A3233">
        <v>990000</v>
      </c>
      <c r="B3233" s="29" t="s">
        <v>998</v>
      </c>
    </row>
    <row r="3234" spans="1:2" x14ac:dyDescent="0.25">
      <c r="A3234">
        <v>990000</v>
      </c>
      <c r="B3234" s="29" t="s">
        <v>998</v>
      </c>
    </row>
    <row r="3235" spans="1:2" x14ac:dyDescent="0.25">
      <c r="A3235">
        <v>990000</v>
      </c>
      <c r="B3235" s="29" t="s">
        <v>998</v>
      </c>
    </row>
    <row r="3236" spans="1:2" x14ac:dyDescent="0.25">
      <c r="A3236">
        <v>990000</v>
      </c>
      <c r="B3236" s="29" t="s">
        <v>998</v>
      </c>
    </row>
    <row r="3237" spans="1:2" x14ac:dyDescent="0.25">
      <c r="A3237">
        <v>990000</v>
      </c>
      <c r="B3237" s="29" t="s">
        <v>998</v>
      </c>
    </row>
    <row r="3238" spans="1:2" x14ac:dyDescent="0.25">
      <c r="A3238">
        <v>990000</v>
      </c>
      <c r="B3238" s="29" t="s">
        <v>998</v>
      </c>
    </row>
    <row r="3239" spans="1:2" x14ac:dyDescent="0.25">
      <c r="A3239">
        <v>990000</v>
      </c>
      <c r="B3239" s="29" t="s">
        <v>998</v>
      </c>
    </row>
    <row r="3240" spans="1:2" x14ac:dyDescent="0.25">
      <c r="A3240">
        <v>990000</v>
      </c>
      <c r="B3240" s="29" t="s">
        <v>998</v>
      </c>
    </row>
    <row r="3241" spans="1:2" x14ac:dyDescent="0.25">
      <c r="A3241">
        <v>990000</v>
      </c>
      <c r="B3241" s="29" t="s">
        <v>998</v>
      </c>
    </row>
    <row r="3242" spans="1:2" x14ac:dyDescent="0.25">
      <c r="A3242">
        <v>990000</v>
      </c>
      <c r="B3242" s="29" t="s">
        <v>998</v>
      </c>
    </row>
    <row r="3243" spans="1:2" x14ac:dyDescent="0.25">
      <c r="A3243">
        <v>990000</v>
      </c>
      <c r="B3243" s="29" t="s">
        <v>998</v>
      </c>
    </row>
    <row r="3244" spans="1:2" x14ac:dyDescent="0.25">
      <c r="A3244">
        <v>990000</v>
      </c>
      <c r="B3244" s="29" t="s">
        <v>998</v>
      </c>
    </row>
    <row r="3245" spans="1:2" x14ac:dyDescent="0.25">
      <c r="A3245">
        <v>990000</v>
      </c>
      <c r="B3245" s="29" t="s">
        <v>998</v>
      </c>
    </row>
    <row r="3246" spans="1:2" x14ac:dyDescent="0.25">
      <c r="A3246">
        <v>990000</v>
      </c>
      <c r="B3246" s="29" t="s">
        <v>998</v>
      </c>
    </row>
    <row r="3247" spans="1:2" x14ac:dyDescent="0.25">
      <c r="A3247">
        <v>990000</v>
      </c>
      <c r="B3247" s="29" t="s">
        <v>998</v>
      </c>
    </row>
    <row r="3248" spans="1:2" x14ac:dyDescent="0.25">
      <c r="A3248">
        <v>990000</v>
      </c>
      <c r="B3248" s="29" t="s">
        <v>998</v>
      </c>
    </row>
    <row r="3249" spans="1:2" x14ac:dyDescent="0.25">
      <c r="A3249">
        <v>990000</v>
      </c>
      <c r="B3249" s="29" t="s">
        <v>998</v>
      </c>
    </row>
    <row r="3250" spans="1:2" x14ac:dyDescent="0.25">
      <c r="A3250">
        <v>990000</v>
      </c>
      <c r="B3250" s="29" t="s">
        <v>998</v>
      </c>
    </row>
    <row r="3251" spans="1:2" x14ac:dyDescent="0.25">
      <c r="A3251">
        <v>990000</v>
      </c>
      <c r="B3251" s="29" t="s">
        <v>998</v>
      </c>
    </row>
    <row r="3252" spans="1:2" x14ac:dyDescent="0.25">
      <c r="A3252">
        <v>990000</v>
      </c>
      <c r="B3252" s="29" t="s">
        <v>998</v>
      </c>
    </row>
    <row r="3253" spans="1:2" x14ac:dyDescent="0.25">
      <c r="A3253">
        <v>990000</v>
      </c>
      <c r="B3253" s="29" t="s">
        <v>998</v>
      </c>
    </row>
    <row r="3254" spans="1:2" x14ac:dyDescent="0.25">
      <c r="A3254">
        <v>990000</v>
      </c>
      <c r="B3254" s="29" t="s">
        <v>998</v>
      </c>
    </row>
    <row r="3255" spans="1:2" x14ac:dyDescent="0.25">
      <c r="A3255">
        <v>990000</v>
      </c>
      <c r="B3255" s="29" t="s">
        <v>998</v>
      </c>
    </row>
    <row r="3256" spans="1:2" x14ac:dyDescent="0.25">
      <c r="A3256">
        <v>990000</v>
      </c>
      <c r="B3256" s="29" t="s">
        <v>998</v>
      </c>
    </row>
    <row r="3257" spans="1:2" x14ac:dyDescent="0.25">
      <c r="A3257">
        <v>990000</v>
      </c>
      <c r="B3257" s="29" t="s">
        <v>998</v>
      </c>
    </row>
    <row r="3258" spans="1:2" x14ac:dyDescent="0.25">
      <c r="A3258">
        <v>990000</v>
      </c>
      <c r="B3258" s="29" t="s">
        <v>998</v>
      </c>
    </row>
    <row r="3259" spans="1:2" x14ac:dyDescent="0.25">
      <c r="A3259">
        <v>990000</v>
      </c>
      <c r="B3259" s="29" t="s">
        <v>998</v>
      </c>
    </row>
    <row r="3260" spans="1:2" x14ac:dyDescent="0.25">
      <c r="A3260">
        <v>990000</v>
      </c>
      <c r="B3260" s="29" t="s">
        <v>998</v>
      </c>
    </row>
    <row r="3261" spans="1:2" x14ac:dyDescent="0.25">
      <c r="A3261">
        <v>990000</v>
      </c>
      <c r="B3261" s="29" t="s">
        <v>998</v>
      </c>
    </row>
    <row r="3262" spans="1:2" x14ac:dyDescent="0.25">
      <c r="A3262">
        <v>990000</v>
      </c>
      <c r="B3262" s="29" t="s">
        <v>998</v>
      </c>
    </row>
    <row r="3263" spans="1:2" x14ac:dyDescent="0.25">
      <c r="A3263">
        <v>990000</v>
      </c>
      <c r="B3263" s="29" t="s">
        <v>998</v>
      </c>
    </row>
    <row r="3264" spans="1:2" x14ac:dyDescent="0.25">
      <c r="A3264">
        <v>990000</v>
      </c>
      <c r="B3264" s="29" t="s">
        <v>998</v>
      </c>
    </row>
    <row r="3265" spans="1:2" x14ac:dyDescent="0.25">
      <c r="A3265">
        <v>990000</v>
      </c>
      <c r="B3265" s="29" t="s">
        <v>998</v>
      </c>
    </row>
    <row r="3266" spans="1:2" x14ac:dyDescent="0.25">
      <c r="A3266">
        <v>990000</v>
      </c>
      <c r="B3266" s="29" t="s">
        <v>998</v>
      </c>
    </row>
    <row r="3267" spans="1:2" x14ac:dyDescent="0.25">
      <c r="A3267">
        <v>990000</v>
      </c>
      <c r="B3267" s="29" t="s">
        <v>998</v>
      </c>
    </row>
    <row r="3268" spans="1:2" x14ac:dyDescent="0.25">
      <c r="A3268">
        <v>992974</v>
      </c>
      <c r="B3268" s="29" t="s">
        <v>999</v>
      </c>
    </row>
    <row r="3269" spans="1:2" x14ac:dyDescent="0.25">
      <c r="A3269">
        <v>992974</v>
      </c>
      <c r="B3269" s="29" t="s">
        <v>999</v>
      </c>
    </row>
    <row r="3270" spans="1:2" x14ac:dyDescent="0.25">
      <c r="A3270">
        <v>992974</v>
      </c>
      <c r="B3270" s="29" t="s">
        <v>999</v>
      </c>
    </row>
    <row r="3271" spans="1:2" x14ac:dyDescent="0.25">
      <c r="A3271">
        <v>992974</v>
      </c>
      <c r="B3271" s="29" t="s">
        <v>999</v>
      </c>
    </row>
    <row r="3272" spans="1:2" x14ac:dyDescent="0.25">
      <c r="A3272">
        <v>992974</v>
      </c>
      <c r="B3272" s="29" t="s">
        <v>999</v>
      </c>
    </row>
    <row r="3273" spans="1:2" x14ac:dyDescent="0.25">
      <c r="A3273">
        <v>992974</v>
      </c>
      <c r="B3273" s="29" t="s">
        <v>999</v>
      </c>
    </row>
    <row r="3274" spans="1:2" x14ac:dyDescent="0.25">
      <c r="A3274">
        <v>992974</v>
      </c>
      <c r="B3274" s="29" t="s">
        <v>999</v>
      </c>
    </row>
    <row r="3275" spans="1:2" x14ac:dyDescent="0.25">
      <c r="A3275">
        <v>992974</v>
      </c>
      <c r="B3275" s="29" t="s">
        <v>999</v>
      </c>
    </row>
    <row r="3276" spans="1:2" x14ac:dyDescent="0.25">
      <c r="A3276">
        <v>992974</v>
      </c>
      <c r="B3276" s="29" t="s">
        <v>999</v>
      </c>
    </row>
    <row r="3277" spans="1:2" x14ac:dyDescent="0.25">
      <c r="A3277">
        <v>992974</v>
      </c>
      <c r="B3277" s="29" t="s">
        <v>999</v>
      </c>
    </row>
    <row r="3278" spans="1:2" x14ac:dyDescent="0.25">
      <c r="A3278">
        <v>992974</v>
      </c>
      <c r="B3278" s="29" t="s">
        <v>999</v>
      </c>
    </row>
    <row r="3279" spans="1:2" x14ac:dyDescent="0.25">
      <c r="A3279">
        <v>992974</v>
      </c>
      <c r="B3279" s="29" t="s">
        <v>999</v>
      </c>
    </row>
    <row r="3280" spans="1:2" x14ac:dyDescent="0.25">
      <c r="A3280">
        <v>992974</v>
      </c>
      <c r="B3280" s="29" t="s">
        <v>999</v>
      </c>
    </row>
    <row r="3281" spans="1:2" x14ac:dyDescent="0.25">
      <c r="A3281">
        <v>992974</v>
      </c>
      <c r="B3281" s="29" t="s">
        <v>999</v>
      </c>
    </row>
    <row r="3282" spans="1:2" x14ac:dyDescent="0.25">
      <c r="A3282">
        <v>992974</v>
      </c>
      <c r="B3282" s="29" t="s">
        <v>999</v>
      </c>
    </row>
    <row r="3283" spans="1:2" x14ac:dyDescent="0.25">
      <c r="A3283">
        <v>991248</v>
      </c>
      <c r="B3283" s="29" t="s">
        <v>1000</v>
      </c>
    </row>
    <row r="3284" spans="1:2" x14ac:dyDescent="0.25">
      <c r="A3284">
        <v>991248</v>
      </c>
      <c r="B3284" s="29" t="s">
        <v>1000</v>
      </c>
    </row>
    <row r="3285" spans="1:2" x14ac:dyDescent="0.25">
      <c r="A3285">
        <v>991248</v>
      </c>
      <c r="B3285" s="29" t="s">
        <v>1000</v>
      </c>
    </row>
    <row r="3286" spans="1:2" x14ac:dyDescent="0.25">
      <c r="A3286">
        <v>991248</v>
      </c>
      <c r="B3286" s="29" t="s">
        <v>1000</v>
      </c>
    </row>
    <row r="3287" spans="1:2" x14ac:dyDescent="0.25">
      <c r="A3287">
        <v>991248</v>
      </c>
      <c r="B3287" s="29" t="s">
        <v>1000</v>
      </c>
    </row>
    <row r="3288" spans="1:2" x14ac:dyDescent="0.25">
      <c r="A3288">
        <v>991248</v>
      </c>
      <c r="B3288" s="29" t="s">
        <v>1000</v>
      </c>
    </row>
    <row r="3289" spans="1:2" x14ac:dyDescent="0.25">
      <c r="A3289">
        <v>991248</v>
      </c>
      <c r="B3289" s="29" t="s">
        <v>1000</v>
      </c>
    </row>
    <row r="3290" spans="1:2" x14ac:dyDescent="0.25">
      <c r="A3290">
        <v>991248</v>
      </c>
      <c r="B3290" s="29" t="s">
        <v>1000</v>
      </c>
    </row>
    <row r="3291" spans="1:2" x14ac:dyDescent="0.25">
      <c r="A3291">
        <v>991248</v>
      </c>
      <c r="B3291" s="29" t="s">
        <v>1000</v>
      </c>
    </row>
    <row r="3292" spans="1:2" x14ac:dyDescent="0.25">
      <c r="A3292">
        <v>992975</v>
      </c>
      <c r="B3292" s="29" t="s">
        <v>1001</v>
      </c>
    </row>
    <row r="3293" spans="1:2" x14ac:dyDescent="0.25">
      <c r="A3293">
        <v>992975</v>
      </c>
      <c r="B3293" s="29" t="s">
        <v>1001</v>
      </c>
    </row>
    <row r="3294" spans="1:2" x14ac:dyDescent="0.25">
      <c r="A3294">
        <v>992975</v>
      </c>
      <c r="B3294" s="29" t="s">
        <v>1001</v>
      </c>
    </row>
    <row r="3295" spans="1:2" x14ac:dyDescent="0.25">
      <c r="A3295">
        <v>992975</v>
      </c>
      <c r="B3295" s="29" t="s">
        <v>1001</v>
      </c>
    </row>
    <row r="3296" spans="1:2" x14ac:dyDescent="0.25">
      <c r="A3296">
        <v>992975</v>
      </c>
      <c r="B3296" s="29" t="s">
        <v>1001</v>
      </c>
    </row>
    <row r="3297" spans="1:2" x14ac:dyDescent="0.25">
      <c r="A3297">
        <v>992975</v>
      </c>
      <c r="B3297" s="29" t="s">
        <v>1001</v>
      </c>
    </row>
    <row r="3298" spans="1:2" x14ac:dyDescent="0.25">
      <c r="A3298">
        <v>992975</v>
      </c>
      <c r="B3298" s="29" t="s">
        <v>1001</v>
      </c>
    </row>
    <row r="3299" spans="1:2" x14ac:dyDescent="0.25">
      <c r="A3299">
        <v>992975</v>
      </c>
      <c r="B3299" s="29" t="s">
        <v>1001</v>
      </c>
    </row>
    <row r="3300" spans="1:2" x14ac:dyDescent="0.25">
      <c r="A3300">
        <v>992975</v>
      </c>
      <c r="B3300" s="29" t="s">
        <v>1001</v>
      </c>
    </row>
    <row r="3301" spans="1:2" x14ac:dyDescent="0.25">
      <c r="A3301">
        <v>992975</v>
      </c>
      <c r="B3301" s="29" t="s">
        <v>1001</v>
      </c>
    </row>
    <row r="3302" spans="1:2" x14ac:dyDescent="0.25">
      <c r="A3302">
        <v>992975</v>
      </c>
      <c r="B3302" s="29" t="s">
        <v>1001</v>
      </c>
    </row>
    <row r="3303" spans="1:2" x14ac:dyDescent="0.25">
      <c r="A3303">
        <v>992975</v>
      </c>
      <c r="B3303" s="29" t="s">
        <v>1001</v>
      </c>
    </row>
    <row r="3304" spans="1:2" x14ac:dyDescent="0.25">
      <c r="A3304">
        <v>990805</v>
      </c>
      <c r="B3304" s="29" t="s">
        <v>1002</v>
      </c>
    </row>
    <row r="3305" spans="1:2" x14ac:dyDescent="0.25">
      <c r="A3305">
        <v>990805</v>
      </c>
      <c r="B3305" s="29" t="s">
        <v>1002</v>
      </c>
    </row>
    <row r="3306" spans="1:2" x14ac:dyDescent="0.25">
      <c r="A3306">
        <v>990805</v>
      </c>
      <c r="B3306" s="29" t="s">
        <v>1002</v>
      </c>
    </row>
    <row r="3307" spans="1:2" x14ac:dyDescent="0.25">
      <c r="A3307">
        <v>990805</v>
      </c>
      <c r="B3307" s="29" t="s">
        <v>1002</v>
      </c>
    </row>
    <row r="3308" spans="1:2" x14ac:dyDescent="0.25">
      <c r="A3308">
        <v>990805</v>
      </c>
      <c r="B3308" s="29" t="s">
        <v>1002</v>
      </c>
    </row>
    <row r="3309" spans="1:2" x14ac:dyDescent="0.25">
      <c r="A3309">
        <v>990805</v>
      </c>
      <c r="B3309" s="29" t="s">
        <v>1002</v>
      </c>
    </row>
    <row r="3310" spans="1:2" x14ac:dyDescent="0.25">
      <c r="A3310">
        <v>990805</v>
      </c>
      <c r="B3310" s="29" t="s">
        <v>1002</v>
      </c>
    </row>
    <row r="3311" spans="1:2" x14ac:dyDescent="0.25">
      <c r="A3311">
        <v>990805</v>
      </c>
      <c r="B3311" s="29" t="s">
        <v>1002</v>
      </c>
    </row>
    <row r="3312" spans="1:2" x14ac:dyDescent="0.25">
      <c r="A3312">
        <v>990805</v>
      </c>
      <c r="B3312" s="29" t="s">
        <v>1002</v>
      </c>
    </row>
    <row r="3313" spans="1:2" x14ac:dyDescent="0.25">
      <c r="A3313">
        <v>990805</v>
      </c>
      <c r="B3313" s="29" t="s">
        <v>1002</v>
      </c>
    </row>
    <row r="3314" spans="1:2" x14ac:dyDescent="0.25">
      <c r="A3314">
        <v>990805</v>
      </c>
      <c r="B3314" s="29" t="s">
        <v>1002</v>
      </c>
    </row>
    <row r="3315" spans="1:2" x14ac:dyDescent="0.25">
      <c r="A3315">
        <v>990805</v>
      </c>
      <c r="B3315" s="29" t="s">
        <v>1002</v>
      </c>
    </row>
    <row r="3316" spans="1:2" x14ac:dyDescent="0.25">
      <c r="A3316">
        <v>990805</v>
      </c>
      <c r="B3316" s="29" t="s">
        <v>1002</v>
      </c>
    </row>
    <row r="3317" spans="1:2" x14ac:dyDescent="0.25">
      <c r="A3317">
        <v>990805</v>
      </c>
      <c r="B3317" s="29" t="s">
        <v>1002</v>
      </c>
    </row>
    <row r="3318" spans="1:2" x14ac:dyDescent="0.25">
      <c r="A3318">
        <v>990805</v>
      </c>
      <c r="B3318" s="29" t="s">
        <v>1002</v>
      </c>
    </row>
    <row r="3319" spans="1:2" x14ac:dyDescent="0.25">
      <c r="A3319">
        <v>990805</v>
      </c>
      <c r="B3319" s="29" t="s">
        <v>1002</v>
      </c>
    </row>
    <row r="3320" spans="1:2" x14ac:dyDescent="0.25">
      <c r="A3320">
        <v>990805</v>
      </c>
      <c r="B3320" s="29" t="s">
        <v>1002</v>
      </c>
    </row>
    <row r="3321" spans="1:2" x14ac:dyDescent="0.25">
      <c r="A3321">
        <v>990805</v>
      </c>
      <c r="B3321" s="29" t="s">
        <v>1002</v>
      </c>
    </row>
    <row r="3322" spans="1:2" x14ac:dyDescent="0.25">
      <c r="A3322">
        <v>990824</v>
      </c>
      <c r="B3322" s="29" t="s">
        <v>1003</v>
      </c>
    </row>
    <row r="3323" spans="1:2" x14ac:dyDescent="0.25">
      <c r="A3323">
        <v>990824</v>
      </c>
      <c r="B3323" s="29" t="s">
        <v>1003</v>
      </c>
    </row>
    <row r="3324" spans="1:2" x14ac:dyDescent="0.25">
      <c r="A3324">
        <v>990824</v>
      </c>
      <c r="B3324" s="29" t="s">
        <v>1003</v>
      </c>
    </row>
    <row r="3325" spans="1:2" x14ac:dyDescent="0.25">
      <c r="A3325">
        <v>990824</v>
      </c>
      <c r="B3325" s="29" t="s">
        <v>1003</v>
      </c>
    </row>
    <row r="3326" spans="1:2" x14ac:dyDescent="0.25">
      <c r="A3326">
        <v>990824</v>
      </c>
      <c r="B3326" s="29" t="s">
        <v>1003</v>
      </c>
    </row>
    <row r="3327" spans="1:2" x14ac:dyDescent="0.25">
      <c r="A3327">
        <v>990824</v>
      </c>
      <c r="B3327" s="29" t="s">
        <v>1003</v>
      </c>
    </row>
    <row r="3328" spans="1:2" x14ac:dyDescent="0.25">
      <c r="A3328">
        <v>990824</v>
      </c>
      <c r="B3328" s="29" t="s">
        <v>1003</v>
      </c>
    </row>
    <row r="3329" spans="1:2" x14ac:dyDescent="0.25">
      <c r="A3329">
        <v>990824</v>
      </c>
      <c r="B3329" s="29" t="s">
        <v>1003</v>
      </c>
    </row>
    <row r="3330" spans="1:2" x14ac:dyDescent="0.25">
      <c r="A3330">
        <v>990824</v>
      </c>
      <c r="B3330" s="29" t="s">
        <v>1003</v>
      </c>
    </row>
    <row r="3331" spans="1:2" x14ac:dyDescent="0.25">
      <c r="A3331">
        <v>990824</v>
      </c>
      <c r="B3331" s="29" t="s">
        <v>1003</v>
      </c>
    </row>
    <row r="3332" spans="1:2" x14ac:dyDescent="0.25">
      <c r="A3332">
        <v>990824</v>
      </c>
      <c r="B3332" s="29" t="s">
        <v>1003</v>
      </c>
    </row>
    <row r="3333" spans="1:2" x14ac:dyDescent="0.25">
      <c r="A3333">
        <v>990824</v>
      </c>
      <c r="B3333" s="29" t="s">
        <v>1003</v>
      </c>
    </row>
    <row r="3334" spans="1:2" x14ac:dyDescent="0.25">
      <c r="A3334">
        <v>990824</v>
      </c>
      <c r="B3334" s="29" t="s">
        <v>1003</v>
      </c>
    </row>
    <row r="3335" spans="1:2" x14ac:dyDescent="0.25">
      <c r="A3335">
        <v>990824</v>
      </c>
      <c r="B3335" s="29" t="s">
        <v>1003</v>
      </c>
    </row>
    <row r="3336" spans="1:2" x14ac:dyDescent="0.25">
      <c r="A3336">
        <v>990824</v>
      </c>
      <c r="B3336" s="29" t="s">
        <v>1003</v>
      </c>
    </row>
    <row r="3337" spans="1:2" x14ac:dyDescent="0.25">
      <c r="A3337">
        <v>993954</v>
      </c>
      <c r="B3337" s="29" t="s">
        <v>1004</v>
      </c>
    </row>
    <row r="3338" spans="1:2" x14ac:dyDescent="0.25">
      <c r="A3338">
        <v>993954</v>
      </c>
      <c r="B3338" s="29" t="s">
        <v>1004</v>
      </c>
    </row>
    <row r="3339" spans="1:2" x14ac:dyDescent="0.25">
      <c r="A3339">
        <v>993954</v>
      </c>
      <c r="B3339" s="29" t="s">
        <v>1004</v>
      </c>
    </row>
    <row r="3340" spans="1:2" x14ac:dyDescent="0.25">
      <c r="A3340">
        <v>993954</v>
      </c>
      <c r="B3340" s="29" t="s">
        <v>1004</v>
      </c>
    </row>
    <row r="3341" spans="1:2" x14ac:dyDescent="0.25">
      <c r="A3341">
        <v>993954</v>
      </c>
      <c r="B3341" s="29" t="s">
        <v>1004</v>
      </c>
    </row>
    <row r="3342" spans="1:2" x14ac:dyDescent="0.25">
      <c r="A3342">
        <v>993954</v>
      </c>
      <c r="B3342" s="29" t="s">
        <v>1004</v>
      </c>
    </row>
    <row r="3343" spans="1:2" x14ac:dyDescent="0.25">
      <c r="A3343">
        <v>993954</v>
      </c>
      <c r="B3343" s="29" t="s">
        <v>1004</v>
      </c>
    </row>
    <row r="3344" spans="1:2" x14ac:dyDescent="0.25">
      <c r="A3344">
        <v>993954</v>
      </c>
      <c r="B3344" s="29" t="s">
        <v>1004</v>
      </c>
    </row>
    <row r="3345" spans="1:2" x14ac:dyDescent="0.25">
      <c r="A3345">
        <v>993954</v>
      </c>
      <c r="B3345" s="29" t="s">
        <v>1004</v>
      </c>
    </row>
    <row r="3346" spans="1:2" x14ac:dyDescent="0.25">
      <c r="A3346">
        <v>993954</v>
      </c>
      <c r="B3346" s="29" t="s">
        <v>1004</v>
      </c>
    </row>
    <row r="3347" spans="1:2" x14ac:dyDescent="0.25">
      <c r="A3347">
        <v>993954</v>
      </c>
      <c r="B3347" s="29" t="s">
        <v>1004</v>
      </c>
    </row>
    <row r="3348" spans="1:2" x14ac:dyDescent="0.25">
      <c r="A3348">
        <v>993954</v>
      </c>
      <c r="B3348" s="29" t="s">
        <v>1004</v>
      </c>
    </row>
    <row r="3349" spans="1:2" x14ac:dyDescent="0.25">
      <c r="A3349">
        <v>993954</v>
      </c>
      <c r="B3349" s="29" t="s">
        <v>1004</v>
      </c>
    </row>
    <row r="3350" spans="1:2" x14ac:dyDescent="0.25">
      <c r="A3350">
        <v>993954</v>
      </c>
      <c r="B3350" s="29" t="s">
        <v>1004</v>
      </c>
    </row>
    <row r="3351" spans="1:2" x14ac:dyDescent="0.25">
      <c r="A3351">
        <v>993954</v>
      </c>
      <c r="B3351" s="29" t="s">
        <v>1004</v>
      </c>
    </row>
    <row r="3352" spans="1:2" x14ac:dyDescent="0.25">
      <c r="A3352">
        <v>993958</v>
      </c>
      <c r="B3352" s="29" t="s">
        <v>1005</v>
      </c>
    </row>
    <row r="3353" spans="1:2" x14ac:dyDescent="0.25">
      <c r="A3353">
        <v>993958</v>
      </c>
      <c r="B3353" s="29" t="s">
        <v>1005</v>
      </c>
    </row>
    <row r="3354" spans="1:2" x14ac:dyDescent="0.25">
      <c r="A3354">
        <v>993958</v>
      </c>
      <c r="B3354" s="29" t="s">
        <v>1005</v>
      </c>
    </row>
    <row r="3355" spans="1:2" x14ac:dyDescent="0.25">
      <c r="A3355">
        <v>993958</v>
      </c>
      <c r="B3355" s="29" t="s">
        <v>1005</v>
      </c>
    </row>
    <row r="3356" spans="1:2" x14ac:dyDescent="0.25">
      <c r="A3356">
        <v>993958</v>
      </c>
      <c r="B3356" s="29" t="s">
        <v>1005</v>
      </c>
    </row>
    <row r="3357" spans="1:2" x14ac:dyDescent="0.25">
      <c r="A3357">
        <v>993958</v>
      </c>
      <c r="B3357" s="29" t="s">
        <v>1005</v>
      </c>
    </row>
    <row r="3358" spans="1:2" x14ac:dyDescent="0.25">
      <c r="A3358">
        <v>993958</v>
      </c>
      <c r="B3358" s="29" t="s">
        <v>1005</v>
      </c>
    </row>
    <row r="3359" spans="1:2" x14ac:dyDescent="0.25">
      <c r="A3359">
        <v>993958</v>
      </c>
      <c r="B3359" s="29" t="s">
        <v>1005</v>
      </c>
    </row>
    <row r="3360" spans="1:2" x14ac:dyDescent="0.25">
      <c r="A3360">
        <v>993958</v>
      </c>
      <c r="B3360" s="29" t="s">
        <v>1005</v>
      </c>
    </row>
    <row r="3361" spans="1:2" x14ac:dyDescent="0.25">
      <c r="A3361">
        <v>993958</v>
      </c>
      <c r="B3361" s="29" t="s">
        <v>1005</v>
      </c>
    </row>
    <row r="3362" spans="1:2" x14ac:dyDescent="0.25">
      <c r="A3362">
        <v>993958</v>
      </c>
      <c r="B3362" s="29" t="s">
        <v>1005</v>
      </c>
    </row>
    <row r="3363" spans="1:2" x14ac:dyDescent="0.25">
      <c r="A3363">
        <v>993958</v>
      </c>
      <c r="B3363" s="29" t="s">
        <v>1005</v>
      </c>
    </row>
    <row r="3364" spans="1:2" x14ac:dyDescent="0.25">
      <c r="A3364">
        <v>993958</v>
      </c>
      <c r="B3364" s="29" t="s">
        <v>1005</v>
      </c>
    </row>
    <row r="3365" spans="1:2" x14ac:dyDescent="0.25">
      <c r="A3365">
        <v>993958</v>
      </c>
      <c r="B3365" s="29" t="s">
        <v>1005</v>
      </c>
    </row>
    <row r="3366" spans="1:2" x14ac:dyDescent="0.25">
      <c r="A3366">
        <v>993958</v>
      </c>
      <c r="B3366" s="29" t="s">
        <v>1005</v>
      </c>
    </row>
    <row r="3367" spans="1:2" x14ac:dyDescent="0.25">
      <c r="A3367">
        <v>994152</v>
      </c>
      <c r="B3367" s="29" t="s">
        <v>1006</v>
      </c>
    </row>
    <row r="3368" spans="1:2" x14ac:dyDescent="0.25">
      <c r="A3368">
        <v>994152</v>
      </c>
      <c r="B3368" s="29" t="s">
        <v>1006</v>
      </c>
    </row>
    <row r="3369" spans="1:2" x14ac:dyDescent="0.25">
      <c r="A3369">
        <v>994152</v>
      </c>
      <c r="B3369" s="29" t="s">
        <v>1006</v>
      </c>
    </row>
    <row r="3370" spans="1:2" x14ac:dyDescent="0.25">
      <c r="A3370">
        <v>994152</v>
      </c>
      <c r="B3370" s="29" t="s">
        <v>1006</v>
      </c>
    </row>
    <row r="3371" spans="1:2" x14ac:dyDescent="0.25">
      <c r="A3371">
        <v>994152</v>
      </c>
      <c r="B3371" s="29" t="s">
        <v>1006</v>
      </c>
    </row>
    <row r="3372" spans="1:2" x14ac:dyDescent="0.25">
      <c r="A3372">
        <v>994152</v>
      </c>
      <c r="B3372" s="29" t="s">
        <v>1006</v>
      </c>
    </row>
    <row r="3373" spans="1:2" x14ac:dyDescent="0.25">
      <c r="A3373">
        <v>994152</v>
      </c>
      <c r="B3373" s="29" t="s">
        <v>1006</v>
      </c>
    </row>
    <row r="3374" spans="1:2" x14ac:dyDescent="0.25">
      <c r="A3374">
        <v>994152</v>
      </c>
      <c r="B3374" s="29" t="s">
        <v>1006</v>
      </c>
    </row>
    <row r="3375" spans="1:2" x14ac:dyDescent="0.25">
      <c r="A3375">
        <v>994152</v>
      </c>
      <c r="B3375" s="29" t="s">
        <v>1006</v>
      </c>
    </row>
    <row r="3376" spans="1:2" x14ac:dyDescent="0.25">
      <c r="A3376">
        <v>994152</v>
      </c>
      <c r="B3376" s="29" t="s">
        <v>1006</v>
      </c>
    </row>
    <row r="3377" spans="1:2" x14ac:dyDescent="0.25">
      <c r="A3377">
        <v>994152</v>
      </c>
      <c r="B3377" s="29" t="s">
        <v>1006</v>
      </c>
    </row>
    <row r="3378" spans="1:2" x14ac:dyDescent="0.25">
      <c r="A3378">
        <v>994152</v>
      </c>
      <c r="B3378" s="29" t="s">
        <v>1006</v>
      </c>
    </row>
    <row r="3379" spans="1:2" x14ac:dyDescent="0.25">
      <c r="A3379">
        <v>990820</v>
      </c>
      <c r="B3379" s="29" t="s">
        <v>1007</v>
      </c>
    </row>
    <row r="3380" spans="1:2" x14ac:dyDescent="0.25">
      <c r="A3380">
        <v>990820</v>
      </c>
      <c r="B3380" s="29" t="s">
        <v>1007</v>
      </c>
    </row>
    <row r="3381" spans="1:2" x14ac:dyDescent="0.25">
      <c r="A3381">
        <v>990820</v>
      </c>
      <c r="B3381" s="29" t="s">
        <v>1007</v>
      </c>
    </row>
    <row r="3382" spans="1:2" x14ac:dyDescent="0.25">
      <c r="A3382">
        <v>990820</v>
      </c>
      <c r="B3382" s="29" t="s">
        <v>1007</v>
      </c>
    </row>
    <row r="3383" spans="1:2" x14ac:dyDescent="0.25">
      <c r="A3383">
        <v>990820</v>
      </c>
      <c r="B3383" s="29" t="s">
        <v>1007</v>
      </c>
    </row>
    <row r="3384" spans="1:2" x14ac:dyDescent="0.25">
      <c r="A3384">
        <v>990820</v>
      </c>
      <c r="B3384" s="29" t="s">
        <v>1007</v>
      </c>
    </row>
    <row r="3385" spans="1:2" x14ac:dyDescent="0.25">
      <c r="A3385">
        <v>990820</v>
      </c>
      <c r="B3385" s="29" t="s">
        <v>1007</v>
      </c>
    </row>
    <row r="3386" spans="1:2" x14ac:dyDescent="0.25">
      <c r="A3386">
        <v>990820</v>
      </c>
      <c r="B3386" s="29" t="s">
        <v>1007</v>
      </c>
    </row>
    <row r="3387" spans="1:2" x14ac:dyDescent="0.25">
      <c r="A3387">
        <v>990820</v>
      </c>
      <c r="B3387" s="29" t="s">
        <v>1007</v>
      </c>
    </row>
    <row r="3388" spans="1:2" x14ac:dyDescent="0.25">
      <c r="A3388">
        <v>990820</v>
      </c>
      <c r="B3388" s="29" t="s">
        <v>1007</v>
      </c>
    </row>
    <row r="3389" spans="1:2" x14ac:dyDescent="0.25">
      <c r="A3389">
        <v>990820</v>
      </c>
      <c r="B3389" s="29" t="s">
        <v>1007</v>
      </c>
    </row>
    <row r="3390" spans="1:2" x14ac:dyDescent="0.25">
      <c r="A3390">
        <v>990820</v>
      </c>
      <c r="B3390" s="29" t="s">
        <v>1007</v>
      </c>
    </row>
    <row r="3391" spans="1:2" x14ac:dyDescent="0.25">
      <c r="A3391">
        <v>990820</v>
      </c>
      <c r="B3391" s="29" t="s">
        <v>1007</v>
      </c>
    </row>
    <row r="3392" spans="1:2" x14ac:dyDescent="0.25">
      <c r="A3392">
        <v>990820</v>
      </c>
      <c r="B3392" s="29" t="s">
        <v>1007</v>
      </c>
    </row>
    <row r="3393" spans="1:2" x14ac:dyDescent="0.25">
      <c r="A3393">
        <v>990820</v>
      </c>
      <c r="B3393" s="29" t="s">
        <v>1007</v>
      </c>
    </row>
    <row r="3394" spans="1:2" x14ac:dyDescent="0.25">
      <c r="A3394">
        <v>991235</v>
      </c>
      <c r="B3394" s="29" t="s">
        <v>1008</v>
      </c>
    </row>
    <row r="3395" spans="1:2" x14ac:dyDescent="0.25">
      <c r="A3395">
        <v>991235</v>
      </c>
      <c r="B3395" s="29" t="s">
        <v>1008</v>
      </c>
    </row>
    <row r="3396" spans="1:2" x14ac:dyDescent="0.25">
      <c r="A3396">
        <v>991235</v>
      </c>
      <c r="B3396" s="29" t="s">
        <v>1008</v>
      </c>
    </row>
    <row r="3397" spans="1:2" x14ac:dyDescent="0.25">
      <c r="A3397">
        <v>991235</v>
      </c>
      <c r="B3397" s="29" t="s">
        <v>1008</v>
      </c>
    </row>
    <row r="3398" spans="1:2" x14ac:dyDescent="0.25">
      <c r="A3398">
        <v>991235</v>
      </c>
      <c r="B3398" s="29" t="s">
        <v>1008</v>
      </c>
    </row>
    <row r="3399" spans="1:2" x14ac:dyDescent="0.25">
      <c r="A3399">
        <v>991235</v>
      </c>
      <c r="B3399" s="29" t="s">
        <v>1008</v>
      </c>
    </row>
    <row r="3400" spans="1:2" x14ac:dyDescent="0.25">
      <c r="A3400">
        <v>991235</v>
      </c>
      <c r="B3400" s="29" t="s">
        <v>1008</v>
      </c>
    </row>
    <row r="3401" spans="1:2" x14ac:dyDescent="0.25">
      <c r="A3401">
        <v>991235</v>
      </c>
      <c r="B3401" s="29" t="s">
        <v>1008</v>
      </c>
    </row>
    <row r="3402" spans="1:2" x14ac:dyDescent="0.25">
      <c r="A3402">
        <v>991235</v>
      </c>
      <c r="B3402" s="29" t="s">
        <v>1008</v>
      </c>
    </row>
    <row r="3403" spans="1:2" x14ac:dyDescent="0.25">
      <c r="A3403">
        <v>991235</v>
      </c>
      <c r="B3403" s="29" t="s">
        <v>1008</v>
      </c>
    </row>
    <row r="3404" spans="1:2" x14ac:dyDescent="0.25">
      <c r="A3404">
        <v>991235</v>
      </c>
      <c r="B3404" s="29" t="s">
        <v>1008</v>
      </c>
    </row>
    <row r="3405" spans="1:2" x14ac:dyDescent="0.25">
      <c r="A3405">
        <v>991235</v>
      </c>
      <c r="B3405" s="29" t="s">
        <v>1008</v>
      </c>
    </row>
    <row r="3406" spans="1:2" x14ac:dyDescent="0.25">
      <c r="A3406">
        <v>991252</v>
      </c>
      <c r="B3406" s="29" t="s">
        <v>1009</v>
      </c>
    </row>
    <row r="3407" spans="1:2" x14ac:dyDescent="0.25">
      <c r="A3407">
        <v>991251</v>
      </c>
      <c r="B3407" s="29" t="s">
        <v>1010</v>
      </c>
    </row>
    <row r="3408" spans="1:2" x14ac:dyDescent="0.25">
      <c r="A3408">
        <v>995134</v>
      </c>
      <c r="B3408" s="29" t="s">
        <v>1011</v>
      </c>
    </row>
    <row r="3409" spans="1:2" x14ac:dyDescent="0.25">
      <c r="A3409">
        <v>995131</v>
      </c>
      <c r="B3409" s="29" t="s">
        <v>1012</v>
      </c>
    </row>
    <row r="3410" spans="1:2" x14ac:dyDescent="0.25">
      <c r="A3410">
        <v>995133</v>
      </c>
      <c r="B3410" s="29" t="s">
        <v>1013</v>
      </c>
    </row>
    <row r="3411" spans="1:2" x14ac:dyDescent="0.25">
      <c r="A3411">
        <v>995135</v>
      </c>
      <c r="B3411" s="29" t="s">
        <v>1014</v>
      </c>
    </row>
    <row r="3412" spans="1:2" x14ac:dyDescent="0.25">
      <c r="A3412">
        <v>995123</v>
      </c>
      <c r="B3412" s="29" t="s">
        <v>1015</v>
      </c>
    </row>
    <row r="3413" spans="1:2" x14ac:dyDescent="0.25">
      <c r="A3413">
        <v>995129</v>
      </c>
      <c r="B3413" s="29" t="s">
        <v>1016</v>
      </c>
    </row>
    <row r="3414" spans="1:2" x14ac:dyDescent="0.25">
      <c r="A3414">
        <v>995130</v>
      </c>
      <c r="B3414" s="29" t="s">
        <v>1017</v>
      </c>
    </row>
    <row r="3415" spans="1:2" x14ac:dyDescent="0.25">
      <c r="A3415">
        <v>989623</v>
      </c>
      <c r="B3415" s="29" t="s">
        <v>1036</v>
      </c>
    </row>
    <row r="3416" spans="1:2" x14ac:dyDescent="0.25">
      <c r="A3416">
        <v>989722</v>
      </c>
      <c r="B3416" s="29" t="s">
        <v>1037</v>
      </c>
    </row>
    <row r="3417" spans="1:2" x14ac:dyDescent="0.25">
      <c r="A3417">
        <v>989361</v>
      </c>
      <c r="B3417" s="29" t="s">
        <v>417</v>
      </c>
    </row>
    <row r="3418" spans="1:2" x14ac:dyDescent="0.25">
      <c r="A3418">
        <v>987611</v>
      </c>
      <c r="B3418" s="29" t="s">
        <v>1038</v>
      </c>
    </row>
    <row r="3419" spans="1:2" x14ac:dyDescent="0.25">
      <c r="A3419">
        <v>995141</v>
      </c>
      <c r="B3419" s="29" t="s">
        <v>1039</v>
      </c>
    </row>
    <row r="3420" spans="1:2" x14ac:dyDescent="0.25">
      <c r="A3420">
        <v>995119</v>
      </c>
      <c r="B3420" s="29" t="s">
        <v>1043</v>
      </c>
    </row>
    <row r="3421" spans="1:2" x14ac:dyDescent="0.25">
      <c r="A3421">
        <v>983106</v>
      </c>
      <c r="B3421" s="29" t="s">
        <v>1045</v>
      </c>
    </row>
    <row r="3422" spans="1:2" x14ac:dyDescent="0.25">
      <c r="A3422">
        <v>983151</v>
      </c>
      <c r="B3422" s="29" t="s">
        <v>1046</v>
      </c>
    </row>
    <row r="3423" spans="1:2" x14ac:dyDescent="0.25">
      <c r="A3423">
        <v>989489</v>
      </c>
      <c r="B3423" s="29" t="s">
        <v>1047</v>
      </c>
    </row>
    <row r="3424" spans="1:2" x14ac:dyDescent="0.25">
      <c r="A3424">
        <v>982330</v>
      </c>
      <c r="B3424" s="29" t="s">
        <v>145</v>
      </c>
    </row>
    <row r="3425" spans="1:2" x14ac:dyDescent="0.25">
      <c r="A3425">
        <v>982430</v>
      </c>
      <c r="B3425" s="29" t="s">
        <v>149</v>
      </c>
    </row>
    <row r="3426" spans="1:2" x14ac:dyDescent="0.25">
      <c r="A3426">
        <v>982250</v>
      </c>
      <c r="B3426" s="29" t="s">
        <v>142</v>
      </c>
    </row>
    <row r="3427" spans="1:2" x14ac:dyDescent="0.25">
      <c r="A3427">
        <v>982400</v>
      </c>
      <c r="B3427" s="29" t="s">
        <v>147</v>
      </c>
    </row>
    <row r="3428" spans="1:2" x14ac:dyDescent="0.25">
      <c r="A3428">
        <v>985728</v>
      </c>
      <c r="B3428" s="29" t="s">
        <v>268</v>
      </c>
    </row>
    <row r="3429" spans="1:2" x14ac:dyDescent="0.25">
      <c r="A3429">
        <v>982031</v>
      </c>
      <c r="B3429" s="29" t="s">
        <v>129</v>
      </c>
    </row>
    <row r="3430" spans="1:2" x14ac:dyDescent="0.25">
      <c r="A3430">
        <v>982232</v>
      </c>
      <c r="B3430" s="29" t="s">
        <v>141</v>
      </c>
    </row>
    <row r="3431" spans="1:2" x14ac:dyDescent="0.25">
      <c r="A3431">
        <v>983631</v>
      </c>
      <c r="B3431" s="29" t="s">
        <v>209</v>
      </c>
    </row>
    <row r="3432" spans="1:2" x14ac:dyDescent="0.25">
      <c r="A3432">
        <v>995144</v>
      </c>
      <c r="B3432" s="29" t="s">
        <v>1048</v>
      </c>
    </row>
    <row r="3433" spans="1:2" x14ac:dyDescent="0.25">
      <c r="A3433">
        <v>995142</v>
      </c>
      <c r="B3433" s="29" t="s">
        <v>1049</v>
      </c>
    </row>
    <row r="3434" spans="1:2" x14ac:dyDescent="0.25">
      <c r="A3434">
        <v>995145</v>
      </c>
      <c r="B3434" s="29" t="s">
        <v>1050</v>
      </c>
    </row>
    <row r="3435" spans="1:2" x14ac:dyDescent="0.25">
      <c r="A3435">
        <v>995147</v>
      </c>
      <c r="B3435" s="29" t="s">
        <v>1051</v>
      </c>
    </row>
    <row r="3436" spans="1:2" x14ac:dyDescent="0.25">
      <c r="A3436">
        <v>995139</v>
      </c>
      <c r="B3436" s="29" t="s">
        <v>1052</v>
      </c>
    </row>
    <row r="3437" spans="1:2" x14ac:dyDescent="0.25">
      <c r="A3437">
        <v>995124</v>
      </c>
      <c r="B3437" s="29" t="s">
        <v>1053</v>
      </c>
    </row>
    <row r="3438" spans="1:2" x14ac:dyDescent="0.25">
      <c r="A3438">
        <v>995136</v>
      </c>
      <c r="B3438" s="29" t="s">
        <v>1054</v>
      </c>
    </row>
    <row r="3439" spans="1:2" x14ac:dyDescent="0.25">
      <c r="A3439">
        <v>995137</v>
      </c>
      <c r="B3439" s="29" t="s">
        <v>1055</v>
      </c>
    </row>
    <row r="3440" spans="1:2" x14ac:dyDescent="0.25">
      <c r="A3440">
        <v>995138</v>
      </c>
      <c r="B3440" s="29" t="s">
        <v>1056</v>
      </c>
    </row>
    <row r="3441" spans="1:2" x14ac:dyDescent="0.25">
      <c r="A3441">
        <v>995148</v>
      </c>
      <c r="B3441" s="29" t="s">
        <v>1058</v>
      </c>
    </row>
    <row r="3442" spans="1:2" x14ac:dyDescent="0.25">
      <c r="A3442">
        <v>995109</v>
      </c>
      <c r="B3442" s="29" t="s">
        <v>1059</v>
      </c>
    </row>
    <row r="3443" spans="1:2" x14ac:dyDescent="0.25">
      <c r="A3443">
        <v>995179</v>
      </c>
      <c r="B3443" s="29" t="s">
        <v>1085</v>
      </c>
    </row>
    <row r="3444" spans="1:2" x14ac:dyDescent="0.25">
      <c r="A3444">
        <v>995180</v>
      </c>
      <c r="B3444" s="29" t="s">
        <v>1086</v>
      </c>
    </row>
    <row r="3445" spans="1:2" x14ac:dyDescent="0.25">
      <c r="A3445">
        <v>995188</v>
      </c>
      <c r="B3445" s="29" t="s">
        <v>1099</v>
      </c>
    </row>
    <row r="3446" spans="1:2" x14ac:dyDescent="0.25">
      <c r="A3446">
        <v>995189</v>
      </c>
      <c r="B3446" s="29" t="s">
        <v>1100</v>
      </c>
    </row>
    <row r="3447" spans="1:2" x14ac:dyDescent="0.25">
      <c r="A3447">
        <v>995185</v>
      </c>
      <c r="B3447" s="29" t="s">
        <v>1096</v>
      </c>
    </row>
    <row r="3448" spans="1:2" x14ac:dyDescent="0.25">
      <c r="A3448">
        <v>995186</v>
      </c>
      <c r="B3448" s="29" t="s">
        <v>1089</v>
      </c>
    </row>
    <row r="3449" spans="1:2" x14ac:dyDescent="0.25">
      <c r="A3449">
        <v>995187</v>
      </c>
      <c r="B3449" s="29" t="s">
        <v>1090</v>
      </c>
    </row>
    <row r="3450" spans="1:2" x14ac:dyDescent="0.25">
      <c r="A3450">
        <v>995181</v>
      </c>
      <c r="B3450" s="29" t="s">
        <v>1087</v>
      </c>
    </row>
    <row r="3451" spans="1:2" x14ac:dyDescent="0.25">
      <c r="A3451">
        <v>995108</v>
      </c>
      <c r="B3451" s="29" t="s">
        <v>1088</v>
      </c>
    </row>
    <row r="3452" spans="1:2" x14ac:dyDescent="0.25">
      <c r="A3452">
        <v>985861</v>
      </c>
      <c r="B3452" s="29" t="s">
        <v>1094</v>
      </c>
    </row>
    <row r="3453" spans="1:2" x14ac:dyDescent="0.25">
      <c r="A3453">
        <v>989084</v>
      </c>
      <c r="B3453" s="29" t="s">
        <v>1097</v>
      </c>
    </row>
  </sheetData>
  <mergeCells count="1">
    <mergeCell ref="E3:J6"/>
  </mergeCells>
  <conditionalFormatting sqref="A1:A1048576">
    <cfRule type="duplicateValues" dxfId="1" priority="1"/>
  </conditionalFormatting>
  <pageMargins left="0.7" right="0.7" top="0.75" bottom="0.75" header="0.3" footer="0.3"/>
  <pageSetup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7101680-FD33-43BB-B6BD-4A581C5F53F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Dropdowns</vt:lpstr>
      <vt:lpstr>Validations</vt:lpstr>
      <vt:lpstr>FM Changes</vt:lpstr>
      <vt:lpstr>VLOOKUPS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Tushar</dc:creator>
  <cp:lastModifiedBy>Albano, Max</cp:lastModifiedBy>
  <dcterms:created xsi:type="dcterms:W3CDTF">2021-04-12T20:24:13Z</dcterms:created>
  <dcterms:modified xsi:type="dcterms:W3CDTF">2022-09-14T11:44:58Z</dcterms:modified>
</cp:coreProperties>
</file>