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Update\"/>
    </mc:Choice>
  </mc:AlternateContent>
  <xr:revisionPtr revIDLastSave="0" documentId="13_ncr:1_{C0441608-1E5C-4961-906B-9266FD075901}" xr6:coauthVersionLast="47" xr6:coauthVersionMax="47" xr10:uidLastSave="{00000000-0000-0000-0000-000000000000}"/>
  <bookViews>
    <workbookView xWindow="-110" yWindow="-110" windowWidth="25820" windowHeight="15500" activeTab="2" xr2:uid="{E800A081-0BA6-4D51-A90A-688EA6BAE6AC}"/>
  </bookViews>
  <sheets>
    <sheet name="Dashboard" sheetId="4" r:id="rId1"/>
    <sheet name="Pull" sheetId="6" state="hidden" r:id="rId2"/>
    <sheet name="FM Changes" sheetId="28" r:id="rId3"/>
    <sheet name="VLOOKUPS" sheetId="2" r:id="rId4"/>
    <sheet name="Dropdowns" sheetId="9" state="hidden" r:id="rId5"/>
    <sheet name="Validations" sheetId="10" state="hidden" r:id="rId6"/>
  </sheets>
  <functionGroups builtInGroupCount="19"/>
  <externalReferences>
    <externalReference r:id="rId7"/>
  </externalReferences>
  <definedNames>
    <definedName name="_xlnm._FilterDatabase" localSheetId="2" hidden="1">'FM Changes'!$A$1:$N$859</definedName>
    <definedName name="_xlnm._FilterDatabase" localSheetId="1" hidden="1">Pull!$A$2:$K$860</definedName>
    <definedName name="ExternalData_1" localSheetId="3" hidden="1">VLOOKUPS!$A$1:$B$754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3" i="28" l="1"/>
  <c r="N54" i="28"/>
  <c r="N55" i="28"/>
  <c r="N98" i="28"/>
  <c r="N99" i="28"/>
  <c r="N100" i="28"/>
  <c r="N110" i="28"/>
  <c r="N120" i="28"/>
  <c r="N142" i="28"/>
  <c r="N143" i="28"/>
  <c r="N144" i="28"/>
  <c r="N298" i="28"/>
  <c r="N809" i="28"/>
  <c r="N810" i="28"/>
  <c r="N811" i="28"/>
  <c r="N821" i="28"/>
  <c r="Q26" i="4" l="1"/>
  <c r="B859" i="28"/>
  <c r="B858" i="28"/>
  <c r="B857" i="28"/>
  <c r="B856" i="28"/>
  <c r="B855" i="28"/>
  <c r="B854" i="28"/>
  <c r="B853" i="28"/>
  <c r="B852" i="28"/>
  <c r="B851" i="28"/>
  <c r="B850" i="28"/>
  <c r="B849" i="28"/>
  <c r="B848" i="28"/>
  <c r="B847" i="28"/>
  <c r="B846" i="28"/>
  <c r="B845" i="28"/>
  <c r="B844" i="28"/>
  <c r="B843" i="28"/>
  <c r="B842" i="28"/>
  <c r="B841" i="28"/>
  <c r="B840" i="28"/>
  <c r="B839" i="28"/>
  <c r="B838" i="28"/>
  <c r="B837" i="28"/>
  <c r="B836" i="28"/>
  <c r="B835" i="28"/>
  <c r="B834" i="28"/>
  <c r="B833" i="28"/>
  <c r="B832" i="28"/>
  <c r="B831" i="28"/>
  <c r="B830" i="28"/>
  <c r="B829" i="28"/>
  <c r="B828" i="28"/>
  <c r="B827" i="28"/>
  <c r="B826" i="28"/>
  <c r="B825" i="28"/>
  <c r="B824" i="28"/>
  <c r="B823" i="28"/>
  <c r="B822" i="28"/>
  <c r="B821" i="28"/>
  <c r="B820" i="28"/>
  <c r="B819" i="28"/>
  <c r="B818" i="28"/>
  <c r="B817" i="28"/>
  <c r="B816" i="28"/>
  <c r="B815" i="28"/>
  <c r="B814" i="28"/>
  <c r="B813" i="28"/>
  <c r="B812" i="28"/>
  <c r="B811" i="28"/>
  <c r="B810" i="28"/>
  <c r="B809" i="28"/>
  <c r="B808" i="28"/>
  <c r="B807" i="28"/>
  <c r="B806" i="28"/>
  <c r="B805" i="28"/>
  <c r="B804" i="28"/>
  <c r="B803" i="28"/>
  <c r="B802" i="28"/>
  <c r="B801" i="28"/>
  <c r="B800" i="28"/>
  <c r="B799" i="28"/>
  <c r="B798" i="28"/>
  <c r="B797" i="28"/>
  <c r="B796" i="28"/>
  <c r="B795" i="28"/>
  <c r="B794" i="28"/>
  <c r="B793" i="28"/>
  <c r="B792" i="28"/>
  <c r="B791" i="28"/>
  <c r="B790" i="28"/>
  <c r="B789" i="28"/>
  <c r="B788" i="28"/>
  <c r="B787" i="28"/>
  <c r="B786" i="28"/>
  <c r="B785" i="28"/>
  <c r="B784" i="28"/>
  <c r="B783" i="28"/>
  <c r="B782" i="28"/>
  <c r="B781" i="28"/>
  <c r="B780" i="28"/>
  <c r="B779" i="28"/>
  <c r="B778" i="28"/>
  <c r="B777" i="28"/>
  <c r="B776" i="28"/>
  <c r="B775" i="28"/>
  <c r="B774" i="28"/>
  <c r="B773" i="28"/>
  <c r="B772" i="28"/>
  <c r="B771" i="28"/>
  <c r="B770" i="28"/>
  <c r="B769" i="28"/>
  <c r="B768" i="28"/>
  <c r="B767" i="28"/>
  <c r="B766" i="28"/>
  <c r="B765" i="28"/>
  <c r="B764" i="28"/>
  <c r="B763" i="28"/>
  <c r="B762" i="28"/>
  <c r="B761" i="28"/>
  <c r="B760" i="28"/>
  <c r="B759" i="28"/>
  <c r="B758" i="28"/>
  <c r="B757" i="28"/>
  <c r="B756" i="28"/>
  <c r="B755" i="28"/>
  <c r="B754" i="28"/>
  <c r="B753" i="28"/>
  <c r="B752" i="28"/>
  <c r="B751" i="28"/>
  <c r="B750" i="28"/>
  <c r="B749" i="28"/>
  <c r="B748" i="28"/>
  <c r="B747" i="28"/>
  <c r="B746" i="28"/>
  <c r="B745" i="28"/>
  <c r="B744" i="28"/>
  <c r="B743" i="28"/>
  <c r="B742" i="28"/>
  <c r="B741" i="28"/>
  <c r="B740" i="28"/>
  <c r="B739" i="28"/>
  <c r="B738" i="28"/>
  <c r="B737" i="28"/>
  <c r="B736" i="28"/>
  <c r="B735" i="28"/>
  <c r="B734" i="28"/>
  <c r="B733" i="28"/>
  <c r="B732" i="28"/>
  <c r="B731" i="28"/>
  <c r="B730" i="28"/>
  <c r="B729" i="28"/>
  <c r="B728" i="28"/>
  <c r="B727" i="28"/>
  <c r="B726" i="28"/>
  <c r="B725" i="28"/>
  <c r="B724" i="28"/>
  <c r="B723" i="28"/>
  <c r="B722" i="28"/>
  <c r="B721" i="28"/>
  <c r="B720" i="28"/>
  <c r="B719" i="28"/>
  <c r="B718" i="28"/>
  <c r="B717" i="28"/>
  <c r="B716" i="28"/>
  <c r="B715" i="28"/>
  <c r="B714" i="28"/>
  <c r="B713" i="28"/>
  <c r="B712" i="28"/>
  <c r="B711" i="28"/>
  <c r="B710" i="28"/>
  <c r="B709" i="28"/>
  <c r="B708" i="28"/>
  <c r="B707" i="28"/>
  <c r="B706" i="28"/>
  <c r="B705" i="28"/>
  <c r="B704" i="28"/>
  <c r="B703" i="28"/>
  <c r="B702" i="28"/>
  <c r="B701" i="28"/>
  <c r="B700" i="28"/>
  <c r="B699" i="28"/>
  <c r="B698" i="28"/>
  <c r="B697" i="28"/>
  <c r="B696" i="28"/>
  <c r="B695" i="28"/>
  <c r="B694" i="28"/>
  <c r="B693" i="28"/>
  <c r="B692" i="28"/>
  <c r="B691" i="28"/>
  <c r="B690" i="28"/>
  <c r="B689" i="28"/>
  <c r="B688" i="28"/>
  <c r="B687" i="28"/>
  <c r="B686" i="28"/>
  <c r="B685" i="28"/>
  <c r="B684" i="28"/>
  <c r="B683" i="28"/>
  <c r="B682" i="28"/>
  <c r="B681" i="28"/>
  <c r="B680" i="28"/>
  <c r="B679" i="28"/>
  <c r="B678" i="28"/>
  <c r="B677" i="28"/>
  <c r="B676" i="28"/>
  <c r="B675" i="28"/>
  <c r="B674" i="28"/>
  <c r="B673" i="28"/>
  <c r="B672" i="28"/>
  <c r="B671" i="28"/>
  <c r="B670" i="28"/>
  <c r="B669" i="28"/>
  <c r="B668" i="28"/>
  <c r="B667" i="28"/>
  <c r="B666" i="28"/>
  <c r="B665" i="28"/>
  <c r="B664" i="28"/>
  <c r="B663" i="28"/>
  <c r="B662" i="28"/>
  <c r="B661" i="28"/>
  <c r="B660" i="28"/>
  <c r="B659" i="28"/>
  <c r="B658" i="28"/>
  <c r="B657" i="28"/>
  <c r="B656" i="28"/>
  <c r="B655" i="28"/>
  <c r="B654" i="28"/>
  <c r="B653" i="28"/>
  <c r="B652" i="28"/>
  <c r="B651" i="28"/>
  <c r="B650" i="28"/>
  <c r="B649" i="28"/>
  <c r="B648" i="28"/>
  <c r="B647" i="28"/>
  <c r="B646" i="28"/>
  <c r="B645" i="28"/>
  <c r="B644" i="28"/>
  <c r="B643" i="28"/>
  <c r="B642" i="28"/>
  <c r="B641" i="28"/>
  <c r="B640" i="28"/>
  <c r="B639" i="28"/>
  <c r="B638" i="28"/>
  <c r="B637" i="28"/>
  <c r="B636" i="28"/>
  <c r="B635" i="28"/>
  <c r="B634" i="28"/>
  <c r="B633" i="28"/>
  <c r="B632" i="28"/>
  <c r="B631" i="28"/>
  <c r="B630" i="28"/>
  <c r="B629" i="28"/>
  <c r="B628" i="28"/>
  <c r="B627" i="28"/>
  <c r="B626" i="28"/>
  <c r="B625" i="28"/>
  <c r="B624" i="28"/>
  <c r="B623" i="28"/>
  <c r="B622" i="28"/>
  <c r="B621" i="28"/>
  <c r="B620" i="28"/>
  <c r="B619" i="28"/>
  <c r="B618" i="28"/>
  <c r="B617" i="28"/>
  <c r="B616" i="28"/>
  <c r="B615" i="28"/>
  <c r="B614" i="28"/>
  <c r="B613" i="28"/>
  <c r="B612" i="28"/>
  <c r="B611" i="28"/>
  <c r="B610" i="28"/>
  <c r="B609" i="28"/>
  <c r="B608" i="28"/>
  <c r="B607" i="28"/>
  <c r="B606" i="28"/>
  <c r="B605" i="28"/>
  <c r="B604" i="28"/>
  <c r="B603" i="28"/>
  <c r="B602" i="28"/>
  <c r="B601" i="28"/>
  <c r="B600" i="28"/>
  <c r="B599" i="28"/>
  <c r="B598" i="28"/>
  <c r="B597" i="28"/>
  <c r="B596" i="28"/>
  <c r="B595" i="28"/>
  <c r="B594" i="28"/>
  <c r="B593" i="28"/>
  <c r="B592" i="28"/>
  <c r="B591" i="28"/>
  <c r="B590" i="28"/>
  <c r="B589" i="28"/>
  <c r="B588" i="28"/>
  <c r="B587" i="28"/>
  <c r="B586" i="28"/>
  <c r="B585" i="28"/>
  <c r="B584" i="28"/>
  <c r="B583" i="28"/>
  <c r="B582" i="28"/>
  <c r="B581" i="28"/>
  <c r="B580" i="28"/>
  <c r="B579" i="28"/>
  <c r="B578" i="28"/>
  <c r="B577" i="28"/>
  <c r="B576" i="28"/>
  <c r="B575" i="28"/>
  <c r="B574" i="28"/>
  <c r="B573" i="28"/>
  <c r="B572" i="28"/>
  <c r="B571" i="28"/>
  <c r="B570" i="28"/>
  <c r="B569" i="28"/>
  <c r="B568" i="28"/>
  <c r="B567" i="28"/>
  <c r="B566" i="28"/>
  <c r="B565" i="28"/>
  <c r="B564" i="28"/>
  <c r="B563" i="28"/>
  <c r="B562" i="28"/>
  <c r="B561" i="28"/>
  <c r="B560" i="28"/>
  <c r="B559" i="28"/>
  <c r="B558" i="28"/>
  <c r="B557" i="28"/>
  <c r="B556" i="28"/>
  <c r="B555" i="28"/>
  <c r="B554" i="28"/>
  <c r="B553" i="28"/>
  <c r="B552" i="28"/>
  <c r="B551" i="28"/>
  <c r="B550" i="28"/>
  <c r="B549" i="28"/>
  <c r="B548" i="28"/>
  <c r="B547" i="28"/>
  <c r="B546" i="28"/>
  <c r="B545" i="28"/>
  <c r="B544" i="28"/>
  <c r="B543" i="28"/>
  <c r="B542" i="28"/>
  <c r="B541" i="28"/>
  <c r="B540" i="28"/>
  <c r="B539" i="28"/>
  <c r="B538" i="28"/>
  <c r="B537" i="28"/>
  <c r="B536" i="28"/>
  <c r="B535" i="28"/>
  <c r="B534" i="28"/>
  <c r="B533" i="28"/>
  <c r="B532" i="28"/>
  <c r="B531" i="28"/>
  <c r="B530" i="28"/>
  <c r="B529" i="28"/>
  <c r="B528" i="28"/>
  <c r="B527" i="28"/>
  <c r="B526" i="28"/>
  <c r="B525" i="28"/>
  <c r="B524" i="28"/>
  <c r="B523" i="28"/>
  <c r="B522" i="28"/>
  <c r="B521" i="28"/>
  <c r="B520" i="28"/>
  <c r="B519" i="28"/>
  <c r="B518" i="28"/>
  <c r="B517" i="28"/>
  <c r="B516" i="28"/>
  <c r="B515" i="28"/>
  <c r="B514" i="28"/>
  <c r="B513" i="28"/>
  <c r="B512" i="28"/>
  <c r="B511" i="28"/>
  <c r="B510" i="28"/>
  <c r="B509" i="28"/>
  <c r="B508" i="28"/>
  <c r="B507" i="28"/>
  <c r="B506" i="28"/>
  <c r="B505" i="28"/>
  <c r="B504" i="28"/>
  <c r="B503" i="28"/>
  <c r="B502" i="28"/>
  <c r="B501" i="28"/>
  <c r="B500" i="28"/>
  <c r="B499" i="28"/>
  <c r="B498" i="28"/>
  <c r="B497" i="28"/>
  <c r="B496" i="28"/>
  <c r="B495" i="28"/>
  <c r="B494" i="28"/>
  <c r="B493" i="28"/>
  <c r="B492" i="28"/>
  <c r="B491" i="28"/>
  <c r="B490" i="28"/>
  <c r="B489" i="28"/>
  <c r="B488" i="28"/>
  <c r="B487" i="28"/>
  <c r="B486" i="28"/>
  <c r="B485" i="28"/>
  <c r="B484" i="28"/>
  <c r="B483" i="28"/>
  <c r="B482" i="28"/>
  <c r="B481" i="28"/>
  <c r="B480" i="28"/>
  <c r="B479" i="28"/>
  <c r="B478" i="28"/>
  <c r="B477" i="28"/>
  <c r="B476" i="28"/>
  <c r="B475" i="28"/>
  <c r="B474" i="28"/>
  <c r="B473" i="28"/>
  <c r="B472" i="28"/>
  <c r="B471" i="28"/>
  <c r="B470" i="28"/>
  <c r="B469" i="28"/>
  <c r="B468" i="28"/>
  <c r="B467" i="28"/>
  <c r="B466" i="28"/>
  <c r="B465" i="28"/>
  <c r="B464" i="28"/>
  <c r="B463" i="28"/>
  <c r="B462" i="28"/>
  <c r="B461" i="28"/>
  <c r="B460" i="28"/>
  <c r="B459" i="28"/>
  <c r="B458" i="28"/>
  <c r="B457" i="28"/>
  <c r="B456" i="28"/>
  <c r="B455" i="28"/>
  <c r="B454" i="28"/>
  <c r="B453" i="28"/>
  <c r="B452" i="28"/>
  <c r="B451" i="28"/>
  <c r="B450" i="28"/>
  <c r="B449" i="28"/>
  <c r="B448" i="28"/>
  <c r="B447" i="28"/>
  <c r="B446" i="28"/>
  <c r="B445" i="28"/>
  <c r="B444" i="28"/>
  <c r="B443" i="28"/>
  <c r="B442" i="28"/>
  <c r="B441" i="28"/>
  <c r="B440" i="28"/>
  <c r="B439" i="28"/>
  <c r="B438" i="28"/>
  <c r="B437" i="28"/>
  <c r="B436" i="28"/>
  <c r="B435" i="28"/>
  <c r="B434" i="28"/>
  <c r="B433" i="28"/>
  <c r="B432" i="28"/>
  <c r="B431" i="28"/>
  <c r="B430" i="28"/>
  <c r="B429" i="28"/>
  <c r="B428" i="28"/>
  <c r="B427" i="28"/>
  <c r="B426" i="28"/>
  <c r="B425" i="28"/>
  <c r="B424" i="28"/>
  <c r="B423" i="28"/>
  <c r="B422" i="28"/>
  <c r="B421" i="28"/>
  <c r="B420" i="28"/>
  <c r="B419" i="28"/>
  <c r="B418" i="28"/>
  <c r="B417" i="28"/>
  <c r="B416" i="28"/>
  <c r="B415" i="28"/>
  <c r="B414" i="28"/>
  <c r="B413" i="28"/>
  <c r="B412" i="28"/>
  <c r="B411" i="28"/>
  <c r="B410" i="28"/>
  <c r="B409" i="28"/>
  <c r="B408" i="28"/>
  <c r="B407" i="28"/>
  <c r="B406" i="28"/>
  <c r="B405" i="28"/>
  <c r="B404" i="28"/>
  <c r="B403" i="28"/>
  <c r="B402" i="28"/>
  <c r="B401" i="28"/>
  <c r="B400" i="28"/>
  <c r="B399" i="28"/>
  <c r="B398" i="28"/>
  <c r="B397" i="28"/>
  <c r="B396" i="28"/>
  <c r="B395" i="28"/>
  <c r="B394" i="28"/>
  <c r="B393" i="28"/>
  <c r="B392" i="28"/>
  <c r="B391" i="28"/>
  <c r="B390" i="28"/>
  <c r="B389" i="28"/>
  <c r="B388" i="28"/>
  <c r="B387" i="28"/>
  <c r="B386" i="28"/>
  <c r="B385" i="28"/>
  <c r="B384" i="28"/>
  <c r="B383" i="28"/>
  <c r="B382" i="28"/>
  <c r="B381" i="28"/>
  <c r="B380" i="28"/>
  <c r="B379" i="28"/>
  <c r="B378" i="28"/>
  <c r="B377" i="28"/>
  <c r="B376" i="28"/>
  <c r="B375" i="28"/>
  <c r="B374" i="28"/>
  <c r="B373" i="28"/>
  <c r="B372" i="28"/>
  <c r="B371" i="28"/>
  <c r="B370" i="28"/>
  <c r="B369" i="28"/>
  <c r="B368" i="28"/>
  <c r="B367" i="28"/>
  <c r="B366" i="28"/>
  <c r="B365" i="28"/>
  <c r="B364" i="28"/>
  <c r="B363" i="28"/>
  <c r="B362" i="28"/>
  <c r="B361" i="28"/>
  <c r="B360" i="28"/>
  <c r="B359" i="28"/>
  <c r="B358" i="28"/>
  <c r="B357" i="28"/>
  <c r="B356" i="28"/>
  <c r="B355" i="28"/>
  <c r="B354" i="28"/>
  <c r="B353" i="28"/>
  <c r="B352" i="28"/>
  <c r="B351" i="28"/>
  <c r="B350" i="28"/>
  <c r="B349" i="28"/>
  <c r="B348" i="28"/>
  <c r="B347" i="28"/>
  <c r="B346" i="28"/>
  <c r="B345" i="28"/>
  <c r="B344" i="28"/>
  <c r="B343" i="28"/>
  <c r="B342" i="28"/>
  <c r="B341" i="28"/>
  <c r="B340" i="28"/>
  <c r="B339" i="28"/>
  <c r="B338" i="28"/>
  <c r="B337" i="28"/>
  <c r="B336" i="28"/>
  <c r="B335" i="28"/>
  <c r="B334" i="28"/>
  <c r="B333" i="28"/>
  <c r="B332" i="28"/>
  <c r="B331" i="28"/>
  <c r="B330" i="28"/>
  <c r="B329" i="28"/>
  <c r="B328" i="28"/>
  <c r="B327" i="28"/>
  <c r="B326" i="28"/>
  <c r="B325" i="28"/>
  <c r="B324" i="28"/>
  <c r="B323" i="28"/>
  <c r="B322" i="28"/>
  <c r="B321" i="28"/>
  <c r="B320" i="28"/>
  <c r="B319" i="28"/>
  <c r="B318" i="28"/>
  <c r="B317" i="28"/>
  <c r="B316" i="28"/>
  <c r="B315" i="28"/>
  <c r="B314" i="28"/>
  <c r="B313" i="28"/>
  <c r="B312" i="28"/>
  <c r="B311" i="28"/>
  <c r="B310" i="28"/>
  <c r="B309" i="28"/>
  <c r="B308" i="28"/>
  <c r="B307" i="28"/>
  <c r="B306" i="28"/>
  <c r="B305" i="28"/>
  <c r="B304" i="28"/>
  <c r="B303" i="28"/>
  <c r="B302" i="28"/>
  <c r="B301" i="28"/>
  <c r="B300" i="28"/>
  <c r="B299" i="28"/>
  <c r="B298" i="28"/>
  <c r="B297" i="28"/>
  <c r="B296" i="28"/>
  <c r="B295" i="28"/>
  <c r="B294" i="28"/>
  <c r="B293" i="28"/>
  <c r="B292" i="28"/>
  <c r="B291" i="28"/>
  <c r="B290" i="28"/>
  <c r="B289" i="28"/>
  <c r="B288" i="28"/>
  <c r="B287" i="28"/>
  <c r="B286" i="28"/>
  <c r="B285" i="28"/>
  <c r="B284" i="28"/>
  <c r="B283" i="28"/>
  <c r="B282" i="28"/>
  <c r="B281" i="28"/>
  <c r="B280" i="28"/>
  <c r="B279" i="28"/>
  <c r="B278" i="28"/>
  <c r="B277" i="28"/>
  <c r="B276" i="28"/>
  <c r="B275" i="28"/>
  <c r="B274" i="28"/>
  <c r="B273" i="28"/>
  <c r="B272" i="28"/>
  <c r="B271" i="28"/>
  <c r="B270" i="28"/>
  <c r="B269" i="28"/>
  <c r="B268" i="28"/>
  <c r="B267" i="28"/>
  <c r="B266" i="28"/>
  <c r="B265" i="28"/>
  <c r="B264" i="28"/>
  <c r="B263" i="28"/>
  <c r="B262" i="28"/>
  <c r="B261" i="28"/>
  <c r="B260" i="28"/>
  <c r="B259" i="28"/>
  <c r="B258" i="28"/>
  <c r="B257" i="28"/>
  <c r="B256" i="28"/>
  <c r="B255" i="28"/>
  <c r="B254" i="28"/>
  <c r="B253" i="28"/>
  <c r="B252" i="28"/>
  <c r="B251" i="28"/>
  <c r="B250" i="28"/>
  <c r="B249" i="28"/>
  <c r="B248" i="28"/>
  <c r="B247" i="28"/>
  <c r="B246" i="28"/>
  <c r="B245" i="28"/>
  <c r="B244" i="28"/>
  <c r="B243" i="28"/>
  <c r="B242" i="28"/>
  <c r="B241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B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tc={AB044814-BEB1-4698-97C1-2D7290AD9198}</author>
  </authors>
  <commentList>
    <comment ref="V4" authorId="0" shapeId="0" xr:uid="{AB044814-BEB1-4698-97C1-2D7290AD9198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tc={3412106E-58FE-41C2-9418-71B0F18B6BE2}</author>
  </authors>
  <commentList>
    <comment ref="F2" authorId="0" shapeId="0" xr:uid="{3412106E-58FE-41C2-9418-71B0F18B6BE2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tc={21146961-D8C8-4F7C-AE50-38AB2684DC5F}</author>
  </authors>
  <commentList>
    <comment ref="F1" authorId="0" shapeId="0" xr:uid="{21146961-D8C8-4F7C-AE50-38AB2684DC5F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880D9C-BCDA-4B98-951B-4A6FAD24C4C4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1416AD62-11B6-43DD-90C7-59B1BF0486E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906C7A55-DDB7-458D-80A6-36A8A31DD96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B5CC940B-9028-4945-800C-F650DD397271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2D2FAA1A-BA30-4F88-8B56-6894850B1ECB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<sst xmlns="http://schemas.openxmlformats.org/spreadsheetml/2006/main" count="7666" uniqueCount="792">
  <si>
    <t>Item Number</t>
  </si>
  <si>
    <t>Item Description</t>
  </si>
  <si>
    <t>Valid From</t>
  </si>
  <si>
    <t>Comments</t>
  </si>
  <si>
    <t>FRG</t>
  </si>
  <si>
    <t>GRM</t>
  </si>
  <si>
    <t>PYE</t>
  </si>
  <si>
    <t>Express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</si>
  <si>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</si>
  <si>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</si>
  <si>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</si>
  <si>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</si>
  <si>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</si>
  <si>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</si>
  <si>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</si>
  <si>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</si>
  <si>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</si>
  <si>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</si>
  <si>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</si>
  <si>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</si>
  <si>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</si>
  <si>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</si>
  <si>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</si>
  <si>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</si>
  <si>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</si>
  <si>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</si>
  <si>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</si>
  <si>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</si>
  <si>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</si>
  <si>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</si>
  <si>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</si>
  <si>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</si>
  <si>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</si>
  <si>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</si>
  <si>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</si>
  <si>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</si>
  <si>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</si>
  <si>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</si>
  <si>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</si>
  <si>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</si>
  <si>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</si>
  <si>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</si>
  <si>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</si>
  <si>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</si>
  <si>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</si>
  <si>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</si>
  <si>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</si>
  <si>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</si>
  <si>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</si>
  <si>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</si>
  <si>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</si>
  <si>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</si>
  <si>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</si>
  <si>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</si>
  <si>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</si>
  <si>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</si>
  <si>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</si>
  <si>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</si>
  <si>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</si>
  <si>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</si>
  <si>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</si>
  <si>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</si>
  <si>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</si>
  <si>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</si>
  <si>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</si>
  <si>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</si>
  <si>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</si>
  <si>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</si>
  <si>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</si>
  <si>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</si>
  <si>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</si>
  <si>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</si>
  <si>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Orchids Phalaenopsis 5 inch - 1ct POT</t>
  </si>
  <si>
    <t>Orchids 2.5 inch - 1ct POT</t>
  </si>
  <si>
    <t>Indoor Floral Mix 4.25 inch - 1ct POT</t>
  </si>
  <si>
    <t>Fleurette Mum 5 inch - 1ct POT</t>
  </si>
  <si>
    <t>Belita Orchid 4 inch - 1ct POT</t>
  </si>
  <si>
    <t>Orchid Sweet Heart 5 inch - 1ct POT</t>
  </si>
  <si>
    <t>Pixie Lilies 7 inch - 1ct POT</t>
  </si>
  <si>
    <t>Bulb Garden 11 inch - 1ct POT</t>
  </si>
  <si>
    <t>Begonia 6 inch - 1ct POT</t>
  </si>
  <si>
    <t>Succulents - 1ct POT</t>
  </si>
  <si>
    <t>Ornamental Pepper 6 inch - 1ct POT</t>
  </si>
  <si>
    <t>Celosia 6 inch - 1ct POT</t>
  </si>
  <si>
    <t>Italian Stone Pine 6 inch - 1ct POT</t>
  </si>
  <si>
    <t>Rainbow Cacti 4 inch - 1ct POT</t>
  </si>
  <si>
    <t>Rosemary Tree 6 inch - 1ct POT</t>
  </si>
  <si>
    <t>Calandiva 6inch - 1ct POT</t>
  </si>
  <si>
    <t>Cactus Christmas Hanging Basket 8 inch - 1ct POT</t>
  </si>
  <si>
    <t>Cactus Christmas 6inch - 1ct POT</t>
  </si>
  <si>
    <t>Helleborus 6inch - 1ct POT</t>
  </si>
  <si>
    <t>Pine Norfolk 4 inch - 1ct POT</t>
  </si>
  <si>
    <t>Tulips 4inch - 1ct POT</t>
  </si>
  <si>
    <t>Bromeliad 4 inch - 1ct POT</t>
  </si>
  <si>
    <t>Roses 50cm - 1ct bunch</t>
  </si>
  <si>
    <t>Chrysanthemums Mono 55cm - 1ct bunch</t>
  </si>
  <si>
    <t>Mixed Bouquet 48cm - 1ct bunch</t>
  </si>
  <si>
    <t>Mixed Bouquet Premium 48cm - 1ct bunch</t>
  </si>
  <si>
    <t>Mixed Bouquet Premium Seasonal - 1ct bunch</t>
  </si>
  <si>
    <t>Sunflowers 60cm - 1ct bunch</t>
  </si>
  <si>
    <t>Tulips 36cm - 1ct bunch</t>
  </si>
  <si>
    <t>Roses Red Dozen 50cm - 1ct bunch</t>
  </si>
  <si>
    <t>Roses Colored Dozen 50cm - 1ct bunch</t>
  </si>
  <si>
    <t>Roses Colored 65cm - 1ct bunch</t>
  </si>
  <si>
    <t>Bouquet Premium Valentine 48cm - 1ct bunch</t>
  </si>
  <si>
    <t>Tulips Premium 36cm - 1ct bunch</t>
  </si>
  <si>
    <t>Lilies Asiatic 60cm - 1ct bunch</t>
  </si>
  <si>
    <t>Daffodils 30cm - 1ct bunch</t>
  </si>
  <si>
    <t>Peonies 50cm - 1ct bunch</t>
  </si>
  <si>
    <t>Mixed Bouquet Medium 48cm - 1ct bunch</t>
  </si>
  <si>
    <t>Premium Rose Bouquet 50cm - 1ct bunch</t>
  </si>
  <si>
    <t>Tulips Gift Bag - 1ct bunch</t>
  </si>
  <si>
    <t>Rose &amp; Lily Bouquet 50cm - 1ct bunch</t>
  </si>
  <si>
    <t>Chrysanthemums Dyed 48cm - 1ct bunch</t>
  </si>
  <si>
    <t>Bouquet Premium Mother's Day 48cm - 1ct bunch</t>
  </si>
  <si>
    <t>Roses Solitaire - 1ct bunch</t>
  </si>
  <si>
    <t>Lilies Oriental 68 cm - 1ct bunch</t>
  </si>
  <si>
    <t>Roses Freedom 65cm - 1ct bunch</t>
  </si>
  <si>
    <t>Roses Vase Arrangement 50cm - 1ct bunch</t>
  </si>
  <si>
    <t>Gypsophila 48cm - 1ct bunch</t>
  </si>
  <si>
    <t>Lilies Cala 6 inch - 1ct POT</t>
  </si>
  <si>
    <t>Fruit Bareroot - 1ct PK</t>
  </si>
  <si>
    <t>Succulent Garden 6 inch - 1ct POT</t>
  </si>
  <si>
    <t>Exotic Angel Mix 3.8 inch - 1ct POT</t>
  </si>
  <si>
    <t>Mini Roses 4 inch - 1ct POT</t>
  </si>
  <si>
    <t>Money Tree 5 inch - 1ct POT</t>
  </si>
  <si>
    <t>Tropical Foliage Mix 4 inch - 1ct POT</t>
  </si>
  <si>
    <t>Aloe Vera in Clay 4 inch - 1ct POT</t>
  </si>
  <si>
    <t>Succulents in Clay 4 inch - 1ct POT</t>
  </si>
  <si>
    <t>Croton 6 inch - 1ct POT</t>
  </si>
  <si>
    <t>Halloween Mum 4 inch - 1ct POT</t>
  </si>
  <si>
    <t>Cyclamen 4.25 inch - 1ct POT</t>
  </si>
  <si>
    <t>Christmas Cactus 4 inch - 1ct POT</t>
  </si>
  <si>
    <t>Tulips 6 inch - 1ct POT</t>
  </si>
  <si>
    <t>Bulbs Assorted 4 inch - 1ct POT</t>
  </si>
  <si>
    <t>Primroses 4 inch - 1ct POT</t>
  </si>
  <si>
    <t>Tropical Foliage 6 inch - 1ct POT</t>
  </si>
  <si>
    <t>Mini Roses 6 inch - 1ct POT</t>
  </si>
  <si>
    <t>Bulbs Assorted 6 inch - 1ct POT</t>
  </si>
  <si>
    <t>Shamrock 4 inch - 1ct POT</t>
  </si>
  <si>
    <t>Tulips in Vase - 1ct POT</t>
  </si>
  <si>
    <t>Floral Mums 6 inch - 1ct POT</t>
  </si>
  <si>
    <t>Hydrangeas 6 inch - 1ct POT</t>
  </si>
  <si>
    <t>Azaleas 4.5 inch - 1ct POT</t>
  </si>
  <si>
    <t>Kalanchoes 4 inch - 1ct POT</t>
  </si>
  <si>
    <t>Violets African 4 inch - 1ct POT</t>
  </si>
  <si>
    <t>Anthurium Mini 3 inch - 1ct POT</t>
  </si>
  <si>
    <t>Cacti Desert Gems 4 inch - 1ct POT</t>
  </si>
  <si>
    <t>Daisies Gerbera 6 inch - 1ct POT</t>
  </si>
  <si>
    <t>Tropical Foliage 10 inch - 1ct POT</t>
  </si>
  <si>
    <t>Kalanchoes 6 inch - 1ct POT</t>
  </si>
  <si>
    <t>Ivy 4 inch - 1ct POT</t>
  </si>
  <si>
    <t>Fleursettia 5 inch - 1ct POT</t>
  </si>
  <si>
    <t>Point Pelee Mum 6 inch - 1ct POT</t>
  </si>
  <si>
    <t>Snowball Mum 6 inch - 1ct POT</t>
  </si>
  <si>
    <t>Lavender English 5 inch - 1ct POT</t>
  </si>
  <si>
    <t>Amaryllis in Mylar 6 inch - 1ct POT</t>
  </si>
  <si>
    <t>Amaryllis in Vase with Moss 5 inch - 1ct POT</t>
  </si>
  <si>
    <t>Fern Frosty 4 inch - 1ct POT</t>
  </si>
  <si>
    <t>Paperwhites in Vase 4 inch - 1ct POT</t>
  </si>
  <si>
    <t>Hyacinth in Vase 4 inch - 1ct POT</t>
  </si>
  <si>
    <t>Mini Succulents 2.5 inch - 1ct POT</t>
  </si>
  <si>
    <t>Planted Polka Dot 4 inch - 1ct POT</t>
  </si>
  <si>
    <t>Hyacinths in Vase 5.5 inch - 1ct POT</t>
  </si>
  <si>
    <t>Amaryllis in Clay 6 inch - 1ct POT</t>
  </si>
  <si>
    <t>Planted Love Bug 2.5 inch - 1ct POT</t>
  </si>
  <si>
    <t>Plants of Steel 6 inch - 1ct POT</t>
  </si>
  <si>
    <t>Kalanchoes Bicolor 4 inch - 1ct POT</t>
  </si>
  <si>
    <t>Centerpiece Arrangement 6.5 inch - 1ct POT</t>
  </si>
  <si>
    <t>Poinsettia Santa 2.5 inch - 1ct POT</t>
  </si>
  <si>
    <t>Tree Ellwoodii Flocked 4 inch - 1ct POT</t>
  </si>
  <si>
    <t>Tree Christmas - 1ct LOOSE</t>
  </si>
  <si>
    <t>Bug &amp; Butterfly Bulbs - 1ct PK</t>
  </si>
  <si>
    <t>Premium Fall Bulbs - 1ct PK</t>
  </si>
  <si>
    <t>Amaryllis Growing Kit - 1ct PK</t>
  </si>
  <si>
    <t>Amaryllis Waxed - 1ct PK</t>
  </si>
  <si>
    <t>Spring Bulbs - 1ct PK</t>
  </si>
  <si>
    <t>Premium Spring Bulbs - 1ct PK</t>
  </si>
  <si>
    <t>Bulbs Perennial - 1ct PK</t>
  </si>
  <si>
    <t>Vegetable Bareroot - 1ct PK</t>
  </si>
  <si>
    <t>Bulbs Extra Large Daffodil - 1ct PK</t>
  </si>
  <si>
    <t>Bulbs Extra Large Tulip - 1ct PK</t>
  </si>
  <si>
    <t>Bulbs Specialty - 1ct PK</t>
  </si>
  <si>
    <t>Blubs Landscaping - 1ct PK</t>
  </si>
  <si>
    <t>Bulbs Lovely Combinations - 1ct PK</t>
  </si>
  <si>
    <t>Bulbs Color Collection - 1ct PK</t>
  </si>
  <si>
    <t>Bulbs Gladioli - 1ct PK</t>
  </si>
  <si>
    <t>Bulbs Dahlia - 1ct PK</t>
  </si>
  <si>
    <t>Scented Pine Cones - 1ct PK</t>
  </si>
  <si>
    <t>Fraser Fir Table Top Tree - 1ct LOOSE</t>
  </si>
  <si>
    <t>Fraser Fir Wreath with Bow 22 inch - 1ct LOOSE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</si>
  <si>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</si>
  <si>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</si>
  <si>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</si>
  <si>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</si>
  <si>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</si>
  <si>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</si>
  <si>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</si>
  <si>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Blooming Willow 50cm - 1ct bunch</t>
  </si>
  <si>
    <t>Organic Potting Mix 16 qt - 1ct SACK</t>
  </si>
  <si>
    <t>Mulch Brown 2 Cubic Foot - 1ct SACK</t>
  </si>
  <si>
    <t>Organic Garden Soil 1 Cubic Foot - 1ct SACK</t>
  </si>
  <si>
    <t>Case Size</t>
  </si>
  <si>
    <t>FMC Availability Interface</t>
  </si>
  <si>
    <t>Date Selected:</t>
  </si>
  <si>
    <t>Changes Pulled:</t>
  </si>
  <si>
    <t>Pears 3lb-standard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</si>
  <si>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</si>
  <si>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</si>
  <si>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</si>
  <si>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</si>
  <si>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</si>
  <si>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</si>
  <si>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</si>
  <si>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</si>
  <si>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</si>
  <si>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</si>
  <si>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Knock Out Roses 8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</si>
  <si>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</si>
  <si>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</si>
  <si>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</si>
  <si>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</si>
  <si>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</si>
  <si>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</si>
  <si>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</si>
  <si>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</si>
  <si>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</si>
  <si>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</si>
  <si>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</si>
  <si>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Hanging Basket 10 inch 1ct-POT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</si>
  <si>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</si>
  <si>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</si>
  <si>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</si>
  <si>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</si>
  <si>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</si>
  <si>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</si>
  <si>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</si>
  <si>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</si>
  <si>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</si>
  <si>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</si>
  <si>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</si>
  <si>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</si>
  <si>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Annuals Premium 6.5 inch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</si>
  <si>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</si>
  <si>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</si>
  <si>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</si>
  <si>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</si>
  <si>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</si>
  <si>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</si>
  <si>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</si>
  <si>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</si>
  <si>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Hydrangeas Large 2.5qt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</si>
  <si>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</si>
  <si>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</si>
  <si>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</si>
  <si>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</si>
  <si>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</si>
  <si>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</si>
  <si>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</si>
  <si>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</si>
  <si>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</si>
  <si>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</si>
  <si>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</si>
  <si>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</si>
  <si>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</si>
  <si>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</si>
  <si>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</si>
  <si>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</si>
  <si>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`</t>
  </si>
  <si>
    <t>Plums 2lb-standard</t>
  </si>
  <si>
    <t>Bok Choy Baby 5ct-standard</t>
  </si>
  <si>
    <t>Peppers Shishito 12oz-standard</t>
  </si>
  <si>
    <t>Onions Yellow Sweet 3lb-standard</t>
  </si>
  <si>
    <t>Oranges Navel 3lb-standard</t>
  </si>
  <si>
    <t>Minneolas 3lb-standard</t>
  </si>
  <si>
    <t>Grapes Specialty 2lb-standard</t>
  </si>
  <si>
    <t>Grapes Specialty 1lb-standard</t>
  </si>
  <si>
    <t>Strawberries 2lb-standard</t>
  </si>
  <si>
    <t>Organic Zucchini 2ct-standard</t>
  </si>
  <si>
    <t>Peppers Sweet Long 14oz-standard</t>
  </si>
  <si>
    <t>Apples Ginger Gold 5lb-standard</t>
  </si>
  <si>
    <t>Apples Caramel 3ct-standard</t>
  </si>
  <si>
    <t>Organic Pears Bartlett 2lb-standard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</si>
  <si>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</si>
  <si>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</si>
  <si>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</si>
  <si>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</si>
  <si>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</si>
  <si>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</si>
  <si>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Mushrooms Sliced White 16oz-standard</t>
  </si>
  <si>
    <t>RTE Large Cobb Salad 14.2oz-standard</t>
  </si>
  <si>
    <t>RTE Large Santa Fe Salad 14oz-standard</t>
  </si>
  <si>
    <t>Chopped Sunflower Crunch Kit 12.2oz-standard</t>
  </si>
  <si>
    <t>Asian Vegetables Stir Fry 18oz-standard</t>
  </si>
  <si>
    <t>Veg Tray with Ranch Dress 16oz-standard</t>
  </si>
  <si>
    <t>Bacon Brussels Sprouts 12oz-standard</t>
  </si>
  <si>
    <t>Grapes 3lb-standard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</si>
  <si>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</si>
  <si>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</si>
  <si>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</si>
  <si>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</si>
  <si>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</si>
  <si>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Fruit Cup BA 5oz-standard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</si>
  <si>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</si>
  <si>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</si>
  <si>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</si>
  <si>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</si>
  <si>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</si>
  <si>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</si>
  <si>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</si>
  <si>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Parsley Curly 1ct-bunch</t>
  </si>
  <si>
    <t>Change Level</t>
  </si>
  <si>
    <t>RDC(s)</t>
  </si>
  <si>
    <t>Zone(s)</t>
  </si>
  <si>
    <t>RDC(s) and Zone(s);RDC(s) only</t>
  </si>
  <si>
    <t>Zone(s) only</t>
  </si>
  <si>
    <t>ALL;PYE;PYE, FRG;PYE, GRM</t>
  </si>
  <si>
    <t>FRG;FRG, GRM</t>
  </si>
  <si>
    <t>RDC(s) and Zone(s)</t>
  </si>
  <si>
    <t>ALL</t>
  </si>
  <si>
    <t>PYE, FRG</t>
  </si>
  <si>
    <t>PYE, GRM</t>
  </si>
  <si>
    <t>FRG, GRM</t>
  </si>
  <si>
    <t>*RDC(s) and Zone(s)</t>
  </si>
  <si>
    <t>Yellow?</t>
  </si>
  <si>
    <t>Pushed to FM</t>
  </si>
  <si>
    <t>Lim. Assortment</t>
  </si>
  <si>
    <t>Change</t>
  </si>
  <si>
    <t xml:space="preserve">
</t>
  </si>
  <si>
    <t>Refresh Dropdowns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</si>
  <si>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</si>
  <si>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</si>
  <si>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</si>
  <si>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</si>
  <si>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</si>
  <si>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</si>
  <si>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</si>
  <si>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</si>
  <si>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</si>
  <si>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</si>
  <si>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</si>
  <si>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</si>
  <si>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</si>
  <si>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</si>
  <si>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</si>
  <si>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</si>
  <si>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</si>
  <si>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</si>
  <si>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</si>
  <si>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</si>
  <si>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</si>
  <si>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</si>
  <si>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</si>
  <si>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</si>
  <si>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</si>
  <si>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</si>
  <si>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</si>
  <si>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</si>
  <si>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</si>
  <si>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</si>
  <si>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</si>
  <si>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</si>
  <si>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</si>
  <si>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Organic Lemons 1lb-standard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</si>
  <si>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</si>
  <si>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</si>
  <si>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</si>
  <si>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</si>
  <si>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</si>
  <si>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</si>
  <si>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</si>
  <si>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</si>
  <si>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</si>
  <si>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</si>
  <si>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</si>
  <si>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</si>
  <si>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</si>
  <si>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</si>
  <si>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</si>
  <si>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</si>
  <si>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</si>
  <si>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</si>
  <si>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</si>
  <si>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</si>
  <si>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</si>
  <si>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</si>
  <si>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</si>
  <si>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</si>
  <si>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</si>
  <si>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</si>
  <si>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</si>
  <si>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</si>
  <si>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</si>
  <si>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</si>
  <si>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</si>
  <si>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</si>
  <si>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</si>
  <si>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Crimson Crisp Tote 1lb-loose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</si>
  <si>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</si>
  <si>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</si>
  <si>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</si>
  <si>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</si>
  <si>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</si>
  <si>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</si>
  <si>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</si>
  <si>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</si>
  <si>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</si>
  <si>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</si>
  <si>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</si>
  <si>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</si>
  <si>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</si>
  <si>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</si>
  <si>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</si>
  <si>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</si>
  <si>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Organic Pears D'Anjou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</si>
  <si>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</si>
  <si>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</si>
  <si>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</si>
  <si>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</si>
  <si>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</si>
  <si>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</si>
  <si>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</si>
  <si>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</si>
  <si>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</si>
  <si>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</si>
  <si>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</si>
  <si>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</si>
  <si>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</si>
  <si>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</si>
  <si>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</si>
  <si>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</si>
  <si>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</si>
  <si>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</si>
  <si>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</si>
  <si>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</si>
  <si>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</si>
  <si>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</si>
  <si>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</si>
  <si>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</si>
  <si>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</si>
  <si>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</si>
  <si>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</si>
  <si>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</si>
  <si>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</si>
  <si>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</si>
  <si>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</si>
  <si>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</si>
  <si>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</si>
  <si>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</si>
  <si>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</si>
  <si>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</si>
  <si>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</si>
  <si>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</si>
  <si>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</si>
  <si>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</si>
  <si>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 Tri-Color 3lb-standard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</si>
  <si>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</si>
  <si>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</si>
  <si>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</si>
  <si>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</si>
  <si>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</si>
  <si>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</si>
  <si>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</si>
  <si>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</si>
  <si>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</si>
  <si>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</si>
  <si>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</si>
  <si>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</si>
  <si>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</si>
  <si>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</si>
  <si>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</si>
  <si>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</si>
  <si>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</si>
  <si>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</si>
  <si>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</si>
  <si>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</si>
  <si>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</si>
  <si>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</si>
  <si>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</si>
  <si>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</si>
  <si>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</si>
  <si>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</si>
  <si>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</si>
  <si>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</si>
  <si>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</si>
  <si>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</si>
  <si>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</si>
  <si>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</si>
  <si>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</si>
  <si>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</si>
  <si>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</si>
  <si>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</si>
  <si>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</si>
  <si>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</si>
  <si>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</si>
  <si>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</si>
  <si>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</si>
  <si>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</si>
  <si>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</si>
  <si>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</si>
  <si>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</si>
  <si>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</si>
  <si>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</si>
  <si>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</si>
  <si>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</si>
  <si>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</si>
  <si>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</si>
  <si>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</si>
  <si>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</si>
  <si>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</si>
  <si>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</si>
  <si>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Blackberries 12oz-standard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</si>
  <si>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</si>
  <si>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</si>
  <si>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</si>
  <si>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</si>
  <si>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</si>
  <si>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</si>
  <si>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</si>
  <si>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</si>
  <si>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</si>
  <si>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</si>
  <si>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</si>
  <si>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</si>
  <si>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</si>
  <si>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</si>
  <si>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</si>
  <si>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</si>
  <si>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</si>
  <si>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</si>
  <si>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</si>
  <si>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</si>
  <si>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</si>
  <si>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</si>
  <si>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</si>
  <si>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</si>
  <si>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</si>
  <si>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</si>
  <si>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</si>
  <si>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</si>
  <si>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</si>
  <si>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</si>
  <si>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</si>
  <si>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</si>
  <si>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</si>
  <si>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</si>
  <si>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</si>
  <si>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</si>
  <si>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</si>
  <si>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</si>
  <si>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</si>
  <si>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</si>
  <si>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</si>
  <si>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</si>
  <si>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</si>
  <si>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</si>
  <si>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</si>
  <si>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</si>
  <si>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</si>
  <si>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</si>
  <si>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</si>
  <si>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</si>
  <si>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</si>
  <si>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</si>
  <si>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</si>
  <si>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</si>
  <si>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</si>
  <si>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</si>
  <si>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</si>
  <si>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</si>
  <si>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</si>
  <si>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</si>
  <si>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</si>
  <si>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</si>
  <si>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</si>
  <si>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</si>
  <si>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</si>
  <si>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</si>
  <si>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</si>
  <si>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</si>
  <si>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</si>
  <si>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Chips 16oz-standard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</si>
  <si>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</si>
  <si>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</si>
  <si>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</si>
  <si>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</si>
  <si>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</si>
  <si>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</si>
  <si>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</si>
  <si>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</si>
  <si>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</si>
  <si>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</si>
  <si>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</si>
  <si>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</si>
  <si>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</si>
  <si>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</si>
  <si>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</si>
  <si>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</si>
  <si>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</si>
  <si>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</si>
  <si>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</si>
  <si>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</si>
  <si>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</si>
  <si>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</si>
  <si>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</si>
  <si>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</si>
  <si>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</si>
  <si>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</si>
  <si>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</si>
  <si>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</si>
  <si>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</si>
  <si>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</si>
  <si>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</si>
  <si>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</si>
  <si>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</si>
  <si>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</si>
  <si>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</si>
  <si>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</si>
  <si>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</si>
  <si>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</si>
  <si>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</si>
  <si>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</si>
  <si>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</si>
  <si>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</si>
  <si>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</si>
  <si>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</si>
  <si>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</si>
  <si>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</si>
  <si>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</si>
  <si>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</si>
  <si>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</si>
  <si>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</si>
  <si>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</si>
  <si>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</si>
  <si>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</si>
  <si>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</si>
  <si>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</si>
  <si>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</si>
  <si>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</si>
  <si>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</si>
  <si>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</si>
  <si>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</si>
  <si>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</si>
  <si>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</si>
  <si>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</si>
  <si>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</si>
  <si>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</si>
  <si>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</si>
  <si>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Potatoes Russet 10lb-standard</t>
  </si>
  <si>
    <t>Organic Potatoes Russet 3lb-standard</t>
  </si>
  <si>
    <t>Potatoes Golden Baby 2lb-standard</t>
  </si>
  <si>
    <t>Organic Potatoes Yellow 3lb-standard</t>
  </si>
  <si>
    <t>Organic Potatoes Red 3lb-standard</t>
  </si>
  <si>
    <t>Potatoes Mixed Baby 1,5lb-standard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</si>
  <si>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</si>
  <si>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</si>
  <si>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</si>
  <si>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</si>
  <si>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</si>
  <si>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</si>
  <si>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</si>
  <si>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</si>
  <si>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</si>
  <si>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</si>
  <si>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</si>
  <si>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</si>
  <si>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</si>
  <si>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</si>
  <si>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</si>
  <si>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</si>
  <si>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</si>
  <si>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</si>
  <si>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</si>
  <si>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</si>
  <si>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</si>
  <si>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</si>
  <si>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</si>
  <si>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</si>
  <si>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</si>
  <si>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</si>
  <si>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</si>
  <si>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</si>
  <si>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</si>
  <si>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</si>
  <si>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</si>
  <si>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</si>
  <si>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</si>
  <si>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</si>
  <si>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</si>
  <si>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</si>
  <si>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</si>
  <si>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</si>
  <si>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</si>
  <si>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</si>
  <si>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</si>
  <si>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</si>
  <si>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</si>
  <si>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</si>
  <si>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</si>
  <si>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</si>
  <si>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</si>
  <si>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</si>
  <si>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</si>
  <si>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</si>
  <si>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</si>
  <si>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</si>
  <si>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</si>
  <si>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</si>
  <si>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</si>
  <si>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</si>
  <si>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</si>
  <si>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</si>
  <si>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</si>
  <si>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</si>
  <si>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</si>
  <si>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</si>
  <si>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</si>
  <si>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</si>
  <si>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</si>
  <si>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</si>
  <si>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</si>
  <si>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</si>
  <si>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</si>
  <si>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</si>
  <si>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</si>
  <si>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</si>
  <si>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</si>
  <si>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</si>
  <si>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</si>
  <si>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</si>
  <si>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</si>
  <si>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</si>
  <si>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</si>
  <si>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</si>
  <si>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</si>
  <si>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</si>
  <si>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</si>
  <si>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</si>
  <si>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</si>
  <si>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</si>
  <si>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</si>
  <si>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</si>
  <si>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</si>
  <si>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</si>
  <si>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</si>
  <si>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</si>
  <si>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</si>
  <si>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</si>
  <si>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</si>
  <si>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</si>
  <si>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</si>
  <si>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</si>
  <si>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</si>
  <si>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</si>
  <si>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</si>
  <si>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</si>
  <si>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</si>
  <si>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</si>
  <si>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</si>
  <si>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</si>
  <si>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</si>
  <si>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</si>
  <si>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</si>
  <si>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</si>
  <si>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A</t>
  </si>
  <si>
    <t>- Press the "Update Master" button to pull in all changes from the selected day.                                                                                                                                                                                                                                                                                                                                                                                    - Please push pricing changes before pushing availability changes (!!).</t>
  </si>
  <si>
    <t>Apples Cosmic Crisp 2lb-standard</t>
  </si>
  <si>
    <t>Basil 2oz-standard</t>
  </si>
  <si>
    <t>Organic Crisp Romaine 4oz-standard</t>
  </si>
  <si>
    <t>Green Beans 32oz-standard</t>
  </si>
  <si>
    <t>Organic Green Beans 12oz-standard</t>
  </si>
  <si>
    <t>Tomatoes Grape 1.5lb-standard</t>
  </si>
  <si>
    <t>Mirepoix 10oz-standard</t>
  </si>
  <si>
    <t>Coconut Curry Stir Friy Kit 12.5oz-standard</t>
  </si>
  <si>
    <t>ZZ Plant 5 inch 1ct-POT</t>
  </si>
  <si>
    <t>Fiddle Leaf Fig 5 inch 1ct-POT</t>
  </si>
  <si>
    <t xml:space="preserve"> </t>
  </si>
  <si>
    <t>XL Mild Fresh Salsa 30oz-standard</t>
  </si>
  <si>
    <t>Halved Brussels Sprouts 12oz-standard</t>
  </si>
  <si>
    <t>Mango Spears 32oz-standard</t>
  </si>
  <si>
    <t>Baby Spinach 11oz-standard</t>
  </si>
  <si>
    <t>Pineapple Rings 10oz-standard</t>
  </si>
  <si>
    <t>Dragonfruits 3ct-standard</t>
  </si>
  <si>
    <t>Lemon Parmesan Sheet Pan Meal 21.1oz-standard</t>
  </si>
  <si>
    <t>Tomatoes Beefsteak XL 3ct-standard</t>
  </si>
  <si>
    <t>Country Cobb Salad Bowl 7.25oz-standard</t>
  </si>
  <si>
    <t>Guava 1lb-PK</t>
  </si>
  <si>
    <t>Organic Brussels Sprouts 1lb-standard</t>
  </si>
  <si>
    <t>Celery and Hummus 5.5oz-standard</t>
  </si>
  <si>
    <t>Melons Santa Claus 1ct-LOOSE</t>
  </si>
  <si>
    <t>X</t>
  </si>
  <si>
    <t>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</si>
</sst>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1" fillId="7" borderId="6" applyNumberFormat="0" applyAlignment="0" applyProtection="0"/>
    <xf numFmtId="0" fontId="12" fillId="0" borderId="0"/>
    <xf numFmtId="0" fontId="12" fillId="0" borderId="0"/>
  </cellStyleXfs>
  <cellXfs count="34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>
      <alignment horizontal="center" vertical="center"/>
    </xf>
    <xf numFmtId="14" fontId="3" fillId="0" borderId="2" xfId="2" applyNumberFormat="1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 applyProtection="1">
      <alignment horizontal="center" vertical="center"/>
      <protection locked="0"/>
    </xf>
    <xf numFmtId="44" fontId="3" fillId="0" borderId="2" xfId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6" fillId="5" borderId="0" xfId="0" applyFont="1" applyFill="1" applyAlignment="1">
      <alignment vertical="top" wrapText="1"/>
    </xf>
    <xf numFmtId="0" fontId="7" fillId="5" borderId="4" xfId="0" applyFont="1" applyFill="1" applyBorder="1"/>
    <xf numFmtId="0" fontId="7" fillId="5" borderId="0" xfId="0" applyFont="1" applyFill="1"/>
    <xf numFmtId="14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2" borderId="3" xfId="0" applyFill="1" applyBorder="1" applyAlignment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/>
    <xf numFmtId="0" fontId="0" fillId="4" borderId="0" xfId="0" applyFill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6" borderId="5" xfId="0" applyFill="1" applyBorder="1" applyAlignment="1">
      <alignment horizontal="center"/>
    </xf>
    <xf numFmtId="0" fontId="11" fillId="7" borderId="6" xfId="3"/>
    <xf numFmtId="0" fontId="0" fillId="6" borderId="5" xfId="0" applyFill="1" applyBorder="1"/>
    <xf numFmtId="0" fontId="0" fillId="8" borderId="0" xfId="0" applyFill="1"/>
    <xf numFmtId="0" fontId="12" fillId="0" borderId="0" xfId="5" applyAlignment="1">
      <alignment horizontal="left"/>
    </xf>
    <xf numFmtId="0" fontId="12" fillId="0" borderId="0" xfId="5"/>
    <xf numFmtId="0" fontId="5" fillId="3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top" wrapText="1"/>
    </xf>
    <xf numFmtId="0" fontId="6" fillId="5" borderId="0" xfId="0" applyFont="1" applyFill="1" applyAlignment="1">
      <alignment horizontal="center" vertical="top" wrapText="1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</cellXfs>
  <cellStyles count="6">
    <cellStyle name="Calculation" xfId="3" builtinId="22"/>
    <cellStyle name="Currency" xfId="1" builtinId="4"/>
    <cellStyle name="Heading 3" xfId="2" builtinId="18"/>
    <cellStyle name="Normal" xfId="0" builtinId="0"/>
    <cellStyle name="Normal 2" xfId="4" xr:uid="{94980B01-D803-45D4-9719-26FF8EE1B13D}"/>
    <cellStyle name="Normal 2 3" xfId="5" xr:uid="{1BBCF3E3-4063-48B2-8C45-765EC311ACEC}"/>
  </cellStyles>
  <dxfs count="20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B2BAE5B4-45A5-4439-ADD7-961D29A23F43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374650</xdr:colOff>
      <xdr:row>4</xdr:row>
      <xdr:rowOff>95250</xdr:rowOff>
    </xdr:from>
    <xdr:to>
      <xdr:col>21</xdr:col>
      <xdr:colOff>831850</xdr:colOff>
      <xdr:row>7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DF4F880E-1189-4A3A-ACCB-F2AD863F161F}"/>
            </a:ext>
          </a:extLst>
        </xdr:cNvPr>
        <xdr:cNvGrpSpPr/>
      </xdr:nvGrpSpPr>
      <xdr:grpSpPr>
        <a:xfrm>
          <a:off x="12585700" y="831850"/>
          <a:ext cx="457200" cy="457200"/>
          <a:chOff x="10953750" y="850900"/>
          <a:chExt cx="457200" cy="457200"/>
        </a:xfrm>
      </xdr:grpSpPr>
      <xdr:sp macro="[0]!BtnEnableEvents" textlink="">
        <xdr:nvSpPr>
          <xdr:cNvPr id="3" name="Rectangle 2">
            <a:extLst>
              <a:ext uri="{FF2B5EF4-FFF2-40B4-BE49-F238E27FC236}">
                <a16:creationId xmlns:a16="http://schemas.microsoft.com/office/drawing/2014/main" id="{0877CB9C-5FBF-4C1C-AEE5-5DEF5A512571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A06D5F3F-7C7A-4940-B713-04995C3865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434975</xdr:colOff>
      <xdr:row>1</xdr:row>
      <xdr:rowOff>1589</xdr:rowOff>
    </xdr:from>
    <xdr:to>
      <xdr:col>18</xdr:col>
      <xdr:colOff>350838</xdr:colOff>
      <xdr:row>3</xdr:row>
      <xdr:rowOff>127001</xdr:rowOff>
    </xdr:to>
    <xdr:sp macro="[0]!PushReq" textlink="">
      <xdr:nvSpPr>
        <xdr:cNvPr id="2" name="Rectangle 1">
          <a:extLst>
            <a:ext uri="{FF2B5EF4-FFF2-40B4-BE49-F238E27FC236}">
              <a16:creationId xmlns:a16="http://schemas.microsoft.com/office/drawing/2014/main" id="{B4306A89-C2BF-4FC9-A518-F8EF67AD6792}"/>
            </a:ext>
          </a:extLst>
        </xdr:cNvPr>
        <xdr:cNvSpPr/>
      </xdr:nvSpPr>
      <xdr:spPr>
        <a:xfrm>
          <a:off x="15611475" y="184152"/>
          <a:ext cx="2424113" cy="490537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Changes`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V%20Special%20Offer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"/>
      <sheetName val="Store Specific Prices"/>
      <sheetName val="US"/>
      <sheetName val="FRG Master"/>
      <sheetName val="Dashboard"/>
      <sheetName val="S.O. ALL"/>
      <sheetName val="P01 PYE"/>
      <sheetName val="P02 PYE"/>
      <sheetName val="P03 PYE"/>
      <sheetName val="P04 PYE"/>
      <sheetName val="P08 PYE"/>
      <sheetName val="SS - PYE"/>
      <sheetName val="P02 FRG"/>
      <sheetName val="P04 FRG"/>
      <sheetName val="P05 FRG"/>
      <sheetName val="EXPRESS"/>
      <sheetName val="SS - FRG"/>
      <sheetName val="P05 GRM"/>
      <sheetName val="P06 GRM"/>
      <sheetName val="P07 GRM"/>
      <sheetName val="SS - GRM"/>
      <sheetName val="Return"/>
      <sheetName val="P08 PYE Master"/>
      <sheetName val="GRM Master"/>
      <sheetName val="PYE Master"/>
      <sheetName val="P01 PYE Master"/>
      <sheetName val="P02 PYE Master"/>
      <sheetName val="P02 FRG Master"/>
      <sheetName val="LIMITED"/>
    </sheetNames>
    <sheetDataSet>
      <sheetData sheetId="0" refreshError="1"/>
      <sheetData sheetId="1" refreshError="1"/>
      <sheetData sheetId="2">
        <row r="2">
          <cell r="A2" t="str">
            <v>Item Number</v>
          </cell>
        </row>
        <row r="5">
          <cell r="A5">
            <v>995076</v>
          </cell>
        </row>
        <row r="6">
          <cell r="A6">
            <v>995165</v>
          </cell>
        </row>
        <row r="7">
          <cell r="A7">
            <v>995035</v>
          </cell>
        </row>
        <row r="8">
          <cell r="A8">
            <v>988703</v>
          </cell>
        </row>
        <row r="9">
          <cell r="A9">
            <v>995006</v>
          </cell>
        </row>
        <row r="10">
          <cell r="A10">
            <v>995154</v>
          </cell>
        </row>
        <row r="11">
          <cell r="A11">
            <v>987820</v>
          </cell>
        </row>
        <row r="12">
          <cell r="A12">
            <v>995022</v>
          </cell>
        </row>
        <row r="13">
          <cell r="A13">
            <v>995211</v>
          </cell>
        </row>
        <row r="14">
          <cell r="A14">
            <v>995195</v>
          </cell>
        </row>
        <row r="15">
          <cell r="A15">
            <v>995197</v>
          </cell>
        </row>
        <row r="16">
          <cell r="A16">
            <v>995198</v>
          </cell>
        </row>
        <row r="17">
          <cell r="A17">
            <v>995032</v>
          </cell>
        </row>
        <row r="18">
          <cell r="A18">
            <v>995070</v>
          </cell>
        </row>
        <row r="19">
          <cell r="A19">
            <v>995138</v>
          </cell>
        </row>
        <row r="20">
          <cell r="A20">
            <v>995000</v>
          </cell>
        </row>
        <row r="21">
          <cell r="A21">
            <v>995005</v>
          </cell>
        </row>
        <row r="22">
          <cell r="A22">
            <v>995210</v>
          </cell>
        </row>
        <row r="23">
          <cell r="A23">
            <v>995100</v>
          </cell>
        </row>
        <row r="24">
          <cell r="A24">
            <v>995180</v>
          </cell>
        </row>
        <row r="25">
          <cell r="A25">
            <v>995021</v>
          </cell>
        </row>
        <row r="26">
          <cell r="A26">
            <v>995101</v>
          </cell>
        </row>
        <row r="27">
          <cell r="A27">
            <v>995207</v>
          </cell>
        </row>
        <row r="28">
          <cell r="A28">
            <v>995108</v>
          </cell>
        </row>
        <row r="29">
          <cell r="A29">
            <v>995111</v>
          </cell>
        </row>
        <row r="30">
          <cell r="A30">
            <v>995015</v>
          </cell>
        </row>
        <row r="31">
          <cell r="A31">
            <v>995012</v>
          </cell>
        </row>
        <row r="32">
          <cell r="A32">
            <v>995067</v>
          </cell>
        </row>
        <row r="33">
          <cell r="A33">
            <v>995068</v>
          </cell>
        </row>
        <row r="34">
          <cell r="A34">
            <v>995140</v>
          </cell>
        </row>
        <row r="35">
          <cell r="A35">
            <v>995137</v>
          </cell>
        </row>
        <row r="36">
          <cell r="A36">
            <v>995026</v>
          </cell>
        </row>
        <row r="37">
          <cell r="A37">
            <v>995008</v>
          </cell>
        </row>
        <row r="38">
          <cell r="A38">
            <v>995004</v>
          </cell>
        </row>
        <row r="39">
          <cell r="A39">
            <v>995018</v>
          </cell>
        </row>
        <row r="40">
          <cell r="A40">
            <v>995011</v>
          </cell>
        </row>
        <row r="41">
          <cell r="A41">
            <v>995019</v>
          </cell>
        </row>
        <row r="42">
          <cell r="A42">
            <v>995212</v>
          </cell>
        </row>
        <row r="43">
          <cell r="A43">
            <v>995181</v>
          </cell>
        </row>
        <row r="44">
          <cell r="A44">
            <v>995179</v>
          </cell>
        </row>
        <row r="45">
          <cell r="A45">
            <v>995069</v>
          </cell>
        </row>
        <row r="46">
          <cell r="A46">
            <v>995131</v>
          </cell>
        </row>
        <row r="47">
          <cell r="A47">
            <v>995133</v>
          </cell>
        </row>
        <row r="48">
          <cell r="A48">
            <v>995027</v>
          </cell>
        </row>
        <row r="49">
          <cell r="A49">
            <v>995001</v>
          </cell>
        </row>
        <row r="50">
          <cell r="A50">
            <v>995164</v>
          </cell>
        </row>
        <row r="51">
          <cell r="A51">
            <v>995014</v>
          </cell>
        </row>
        <row r="52">
          <cell r="A52">
            <v>995077</v>
          </cell>
        </row>
        <row r="53">
          <cell r="A53">
            <v>995078</v>
          </cell>
        </row>
        <row r="54">
          <cell r="A54">
            <v>985160</v>
          </cell>
        </row>
        <row r="55">
          <cell r="A55">
            <v>985190</v>
          </cell>
        </row>
        <row r="56">
          <cell r="A56">
            <v>985060</v>
          </cell>
        </row>
        <row r="57">
          <cell r="A57">
            <v>985011</v>
          </cell>
        </row>
        <row r="58">
          <cell r="A58">
            <v>985111</v>
          </cell>
        </row>
        <row r="59">
          <cell r="A59">
            <v>995147</v>
          </cell>
        </row>
        <row r="60">
          <cell r="A60">
            <v>987592</v>
          </cell>
        </row>
        <row r="61">
          <cell r="A61">
            <v>987594</v>
          </cell>
        </row>
        <row r="62">
          <cell r="A62">
            <v>987591</v>
          </cell>
        </row>
        <row r="63">
          <cell r="A63">
            <v>987614</v>
          </cell>
        </row>
        <row r="64">
          <cell r="A64">
            <v>995045</v>
          </cell>
        </row>
        <row r="65">
          <cell r="A65">
            <v>995051</v>
          </cell>
        </row>
        <row r="66">
          <cell r="A66">
            <v>995053</v>
          </cell>
        </row>
        <row r="67">
          <cell r="A67">
            <v>995158</v>
          </cell>
        </row>
        <row r="68">
          <cell r="A68">
            <v>989088</v>
          </cell>
        </row>
        <row r="69">
          <cell r="A69">
            <v>989089</v>
          </cell>
        </row>
        <row r="70">
          <cell r="A70">
            <v>995106</v>
          </cell>
        </row>
        <row r="71">
          <cell r="A71">
            <v>995084</v>
          </cell>
        </row>
        <row r="72">
          <cell r="A72">
            <v>995192</v>
          </cell>
        </row>
        <row r="73">
          <cell r="A73">
            <v>995046</v>
          </cell>
        </row>
        <row r="74">
          <cell r="A74">
            <v>995177</v>
          </cell>
        </row>
        <row r="75">
          <cell r="A75">
            <v>995194</v>
          </cell>
        </row>
        <row r="76">
          <cell r="A76">
            <v>995123</v>
          </cell>
        </row>
        <row r="77">
          <cell r="A77">
            <v>995097</v>
          </cell>
        </row>
        <row r="78">
          <cell r="A78">
            <v>987691</v>
          </cell>
        </row>
        <row r="79">
          <cell r="A79">
            <v>987690</v>
          </cell>
        </row>
        <row r="80">
          <cell r="A80">
            <v>995085</v>
          </cell>
        </row>
        <row r="81">
          <cell r="A81">
            <v>995166</v>
          </cell>
        </row>
        <row r="82">
          <cell r="A82">
            <v>995184</v>
          </cell>
        </row>
        <row r="83">
          <cell r="A83">
            <v>986250</v>
          </cell>
        </row>
        <row r="84">
          <cell r="A84">
            <v>986270</v>
          </cell>
        </row>
        <row r="85">
          <cell r="A85">
            <v>995200</v>
          </cell>
        </row>
        <row r="86">
          <cell r="A86">
            <v>995201</v>
          </cell>
        </row>
        <row r="87">
          <cell r="A87">
            <v>995104</v>
          </cell>
        </row>
        <row r="88">
          <cell r="A88">
            <v>995103</v>
          </cell>
        </row>
        <row r="89">
          <cell r="A89">
            <v>995009</v>
          </cell>
        </row>
        <row r="90">
          <cell r="A90">
            <v>995072</v>
          </cell>
        </row>
        <row r="91">
          <cell r="A91">
            <v>995071</v>
          </cell>
        </row>
        <row r="92">
          <cell r="A92">
            <v>988545</v>
          </cell>
        </row>
        <row r="93">
          <cell r="A93">
            <v>995086</v>
          </cell>
        </row>
        <row r="94">
          <cell r="A94">
            <v>985861</v>
          </cell>
        </row>
        <row r="95">
          <cell r="A95">
            <v>988020</v>
          </cell>
        </row>
        <row r="96">
          <cell r="A96">
            <v>988760</v>
          </cell>
        </row>
        <row r="97">
          <cell r="A97">
            <v>986293</v>
          </cell>
        </row>
        <row r="98">
          <cell r="A98">
            <v>986231</v>
          </cell>
        </row>
        <row r="99">
          <cell r="A99">
            <v>987692</v>
          </cell>
        </row>
        <row r="100">
          <cell r="A100">
            <v>995176</v>
          </cell>
        </row>
        <row r="101">
          <cell r="A101">
            <v>995178</v>
          </cell>
        </row>
        <row r="102">
          <cell r="A102">
            <v>995152</v>
          </cell>
        </row>
        <row r="103">
          <cell r="A103">
            <v>988970</v>
          </cell>
        </row>
        <row r="104">
          <cell r="A104">
            <v>988810</v>
          </cell>
        </row>
        <row r="105">
          <cell r="A105">
            <v>988850</v>
          </cell>
        </row>
        <row r="106">
          <cell r="A106">
            <v>988890</v>
          </cell>
        </row>
        <row r="107">
          <cell r="A107">
            <v>988930</v>
          </cell>
        </row>
        <row r="108">
          <cell r="A108">
            <v>989007</v>
          </cell>
        </row>
        <row r="109">
          <cell r="A109">
            <v>985760</v>
          </cell>
        </row>
        <row r="110">
          <cell r="A110">
            <v>995144</v>
          </cell>
        </row>
        <row r="111">
          <cell r="A111">
            <v>988532</v>
          </cell>
        </row>
        <row r="112">
          <cell r="A112">
            <v>984831</v>
          </cell>
        </row>
        <row r="113">
          <cell r="A113">
            <v>983810</v>
          </cell>
        </row>
        <row r="114">
          <cell r="A114">
            <v>984080</v>
          </cell>
        </row>
        <row r="115">
          <cell r="A115">
            <v>985997</v>
          </cell>
        </row>
        <row r="116">
          <cell r="A116">
            <v>995042</v>
          </cell>
        </row>
        <row r="117">
          <cell r="A117">
            <v>995116</v>
          </cell>
        </row>
        <row r="118">
          <cell r="A118">
            <v>995102</v>
          </cell>
        </row>
        <row r="119">
          <cell r="A119">
            <v>995043</v>
          </cell>
        </row>
        <row r="120">
          <cell r="A120">
            <v>995041</v>
          </cell>
        </row>
        <row r="121">
          <cell r="A121">
            <v>995115</v>
          </cell>
        </row>
        <row r="122">
          <cell r="A122">
            <v>995150</v>
          </cell>
        </row>
        <row r="123">
          <cell r="A123">
            <v>983762</v>
          </cell>
        </row>
        <row r="124">
          <cell r="A124">
            <v>984582</v>
          </cell>
        </row>
        <row r="125">
          <cell r="A125">
            <v>984541</v>
          </cell>
        </row>
        <row r="126">
          <cell r="A126">
            <v>984542</v>
          </cell>
        </row>
        <row r="127">
          <cell r="A127">
            <v>984500</v>
          </cell>
        </row>
        <row r="128">
          <cell r="A128">
            <v>984461</v>
          </cell>
        </row>
        <row r="129">
          <cell r="A129">
            <v>984460</v>
          </cell>
        </row>
        <row r="130">
          <cell r="A130">
            <v>984620</v>
          </cell>
        </row>
        <row r="131">
          <cell r="A131">
            <v>984621</v>
          </cell>
        </row>
        <row r="132">
          <cell r="A132">
            <v>984700</v>
          </cell>
        </row>
        <row r="133">
          <cell r="A133">
            <v>984702</v>
          </cell>
        </row>
        <row r="134">
          <cell r="A134">
            <v>982960</v>
          </cell>
        </row>
        <row r="135">
          <cell r="A135">
            <v>982830</v>
          </cell>
        </row>
        <row r="136">
          <cell r="A136">
            <v>982800</v>
          </cell>
        </row>
        <row r="137">
          <cell r="A137">
            <v>982740</v>
          </cell>
        </row>
        <row r="138">
          <cell r="A138">
            <v>982710</v>
          </cell>
        </row>
        <row r="139">
          <cell r="A139">
            <v>982650</v>
          </cell>
        </row>
        <row r="140">
          <cell r="A140">
            <v>986170</v>
          </cell>
        </row>
        <row r="141">
          <cell r="A141">
            <v>986050</v>
          </cell>
        </row>
        <row r="142">
          <cell r="A142">
            <v>980211</v>
          </cell>
        </row>
        <row r="143">
          <cell r="A143">
            <v>980220</v>
          </cell>
        </row>
        <row r="144">
          <cell r="A144">
            <v>980500</v>
          </cell>
        </row>
        <row r="145">
          <cell r="A145">
            <v>980730</v>
          </cell>
        </row>
        <row r="146">
          <cell r="A146">
            <v>980821</v>
          </cell>
        </row>
        <row r="147">
          <cell r="A147">
            <v>980831</v>
          </cell>
        </row>
        <row r="148">
          <cell r="A148">
            <v>980833</v>
          </cell>
        </row>
        <row r="149">
          <cell r="A149">
            <v>980921</v>
          </cell>
        </row>
        <row r="150">
          <cell r="A150">
            <v>980990</v>
          </cell>
        </row>
        <row r="151">
          <cell r="A151">
            <v>983101</v>
          </cell>
        </row>
        <row r="152">
          <cell r="A152">
            <v>983201</v>
          </cell>
        </row>
        <row r="153">
          <cell r="A153">
            <v>983301</v>
          </cell>
        </row>
        <row r="154">
          <cell r="A154">
            <v>995082</v>
          </cell>
        </row>
        <row r="155">
          <cell r="A155">
            <v>982102</v>
          </cell>
        </row>
        <row r="156">
          <cell r="A156">
            <v>982130</v>
          </cell>
        </row>
        <row r="157">
          <cell r="A157">
            <v>982202</v>
          </cell>
        </row>
        <row r="158">
          <cell r="A158">
            <v>982230</v>
          </cell>
        </row>
        <row r="159">
          <cell r="A159">
            <v>982400</v>
          </cell>
        </row>
        <row r="160">
          <cell r="A160">
            <v>982430</v>
          </cell>
        </row>
        <row r="161">
          <cell r="A161">
            <v>981699</v>
          </cell>
        </row>
        <row r="162">
          <cell r="A162">
            <v>981700</v>
          </cell>
        </row>
        <row r="163">
          <cell r="A163">
            <v>981101</v>
          </cell>
        </row>
        <row r="164">
          <cell r="A164">
            <v>981340</v>
          </cell>
        </row>
        <row r="165">
          <cell r="A165">
            <v>981200</v>
          </cell>
        </row>
        <row r="166">
          <cell r="A166">
            <v>981130</v>
          </cell>
        </row>
        <row r="167">
          <cell r="A167">
            <v>981131</v>
          </cell>
        </row>
        <row r="168">
          <cell r="A168">
            <v>981168</v>
          </cell>
        </row>
        <row r="169">
          <cell r="A169">
            <v>981187</v>
          </cell>
        </row>
        <row r="170">
          <cell r="A170">
            <v>981202</v>
          </cell>
        </row>
        <row r="171">
          <cell r="A171">
            <v>981203</v>
          </cell>
        </row>
        <row r="172">
          <cell r="A172">
            <v>981207</v>
          </cell>
        </row>
        <row r="173">
          <cell r="A173">
            <v>981220</v>
          </cell>
        </row>
        <row r="174">
          <cell r="A174">
            <v>981240</v>
          </cell>
        </row>
        <row r="175">
          <cell r="A175">
            <v>981260</v>
          </cell>
        </row>
        <row r="176">
          <cell r="A176">
            <v>981280</v>
          </cell>
        </row>
        <row r="177">
          <cell r="A177">
            <v>981300</v>
          </cell>
        </row>
        <row r="178">
          <cell r="A178">
            <v>981370</v>
          </cell>
        </row>
        <row r="179">
          <cell r="A179">
            <v>981400</v>
          </cell>
        </row>
        <row r="180">
          <cell r="A180">
            <v>981640</v>
          </cell>
        </row>
        <row r="181">
          <cell r="A181">
            <v>980000</v>
          </cell>
        </row>
        <row r="182">
          <cell r="A182">
            <v>980091</v>
          </cell>
        </row>
        <row r="183">
          <cell r="A183">
            <v>980100</v>
          </cell>
        </row>
        <row r="184">
          <cell r="A184">
            <v>983513</v>
          </cell>
        </row>
        <row r="185">
          <cell r="A185">
            <v>983531</v>
          </cell>
        </row>
        <row r="186">
          <cell r="A186">
            <v>983610</v>
          </cell>
        </row>
        <row r="187">
          <cell r="A187">
            <v>983651</v>
          </cell>
        </row>
        <row r="188">
          <cell r="A188">
            <v>983671</v>
          </cell>
        </row>
        <row r="189">
          <cell r="A189">
            <v>983672</v>
          </cell>
        </row>
        <row r="190">
          <cell r="A190">
            <v>983721</v>
          </cell>
        </row>
        <row r="191">
          <cell r="A191">
            <v>983725</v>
          </cell>
        </row>
        <row r="192">
          <cell r="A192">
            <v>983763</v>
          </cell>
        </row>
        <row r="193">
          <cell r="A193">
            <v>984005</v>
          </cell>
        </row>
        <row r="194">
          <cell r="A194">
            <v>984032</v>
          </cell>
        </row>
        <row r="195">
          <cell r="A195">
            <v>984050</v>
          </cell>
        </row>
        <row r="196">
          <cell r="A196">
            <v>984071</v>
          </cell>
        </row>
        <row r="197">
          <cell r="A197">
            <v>984161</v>
          </cell>
        </row>
        <row r="198">
          <cell r="A198">
            <v>984910</v>
          </cell>
        </row>
        <row r="199">
          <cell r="A199">
            <v>984911</v>
          </cell>
        </row>
        <row r="200">
          <cell r="A200">
            <v>984912</v>
          </cell>
        </row>
        <row r="201">
          <cell r="A201">
            <v>985601</v>
          </cell>
        </row>
        <row r="202">
          <cell r="A202">
            <v>985605</v>
          </cell>
        </row>
        <row r="203">
          <cell r="A203">
            <v>985612</v>
          </cell>
        </row>
        <row r="204">
          <cell r="A204">
            <v>985613</v>
          </cell>
        </row>
        <row r="205">
          <cell r="A205">
            <v>985614</v>
          </cell>
        </row>
        <row r="206">
          <cell r="A206">
            <v>985630</v>
          </cell>
        </row>
        <row r="207">
          <cell r="A207">
            <v>985701</v>
          </cell>
        </row>
        <row r="208">
          <cell r="A208">
            <v>985702</v>
          </cell>
        </row>
        <row r="209">
          <cell r="A209">
            <v>987560</v>
          </cell>
        </row>
        <row r="210">
          <cell r="A210">
            <v>987900</v>
          </cell>
        </row>
        <row r="211">
          <cell r="A211">
            <v>988490</v>
          </cell>
        </row>
        <row r="212">
          <cell r="A212">
            <v>988571</v>
          </cell>
        </row>
        <row r="213">
          <cell r="A213">
            <v>988620</v>
          </cell>
        </row>
        <row r="214">
          <cell r="A214">
            <v>988650</v>
          </cell>
        </row>
        <row r="215">
          <cell r="A215">
            <v>987590</v>
          </cell>
        </row>
        <row r="216">
          <cell r="A216">
            <v>987593</v>
          </cell>
        </row>
        <row r="217">
          <cell r="A217">
            <v>987822</v>
          </cell>
        </row>
        <row r="218">
          <cell r="A218">
            <v>986211</v>
          </cell>
        </row>
        <row r="219">
          <cell r="A219">
            <v>986140</v>
          </cell>
        </row>
        <row r="220">
          <cell r="A220">
            <v>986120</v>
          </cell>
        </row>
        <row r="221">
          <cell r="A221">
            <v>986090</v>
          </cell>
        </row>
        <row r="222">
          <cell r="A222">
            <v>985650</v>
          </cell>
        </row>
        <row r="223">
          <cell r="A223">
            <v>987730</v>
          </cell>
        </row>
        <row r="224">
          <cell r="A224">
            <v>987760</v>
          </cell>
        </row>
        <row r="225">
          <cell r="A225">
            <v>987790</v>
          </cell>
        </row>
        <row r="226">
          <cell r="A226">
            <v>986400</v>
          </cell>
        </row>
        <row r="227">
          <cell r="A227">
            <v>986405</v>
          </cell>
        </row>
        <row r="228">
          <cell r="A228">
            <v>986480</v>
          </cell>
        </row>
        <row r="229">
          <cell r="A229">
            <v>986650</v>
          </cell>
        </row>
        <row r="230">
          <cell r="A230">
            <v>986678</v>
          </cell>
        </row>
        <row r="231">
          <cell r="A231">
            <v>986730</v>
          </cell>
        </row>
        <row r="232">
          <cell r="A232">
            <v>986785</v>
          </cell>
        </row>
        <row r="233">
          <cell r="A233">
            <v>986810</v>
          </cell>
        </row>
        <row r="234">
          <cell r="A234">
            <v>986811</v>
          </cell>
        </row>
        <row r="235">
          <cell r="A235">
            <v>986890</v>
          </cell>
        </row>
        <row r="236">
          <cell r="A236">
            <v>986915</v>
          </cell>
        </row>
        <row r="237">
          <cell r="A237">
            <v>986973</v>
          </cell>
        </row>
        <row r="238">
          <cell r="A238">
            <v>986974</v>
          </cell>
        </row>
        <row r="239">
          <cell r="A239">
            <v>986975</v>
          </cell>
        </row>
        <row r="240">
          <cell r="A240">
            <v>987060</v>
          </cell>
        </row>
        <row r="241">
          <cell r="A241">
            <v>983451</v>
          </cell>
        </row>
        <row r="242">
          <cell r="A242">
            <v>983470</v>
          </cell>
        </row>
        <row r="243">
          <cell r="A243">
            <v>983501</v>
          </cell>
        </row>
        <row r="244">
          <cell r="A244">
            <v>987110</v>
          </cell>
        </row>
        <row r="245">
          <cell r="A245">
            <v>987211</v>
          </cell>
        </row>
        <row r="246">
          <cell r="A246">
            <v>987260</v>
          </cell>
        </row>
        <row r="247">
          <cell r="A247">
            <v>987261</v>
          </cell>
        </row>
        <row r="248">
          <cell r="A248">
            <v>987268</v>
          </cell>
        </row>
        <row r="249">
          <cell r="A249">
            <v>987290</v>
          </cell>
        </row>
        <row r="250">
          <cell r="A250">
            <v>987310</v>
          </cell>
        </row>
        <row r="251">
          <cell r="A251">
            <v>987345</v>
          </cell>
        </row>
        <row r="252">
          <cell r="A252">
            <v>987360</v>
          </cell>
        </row>
        <row r="253">
          <cell r="A253">
            <v>987361</v>
          </cell>
        </row>
        <row r="254">
          <cell r="A254">
            <v>995186</v>
          </cell>
        </row>
        <row r="255">
          <cell r="A255">
            <v>995188</v>
          </cell>
        </row>
        <row r="256">
          <cell r="A256">
            <v>995202</v>
          </cell>
        </row>
        <row r="257">
          <cell r="A257">
            <v>995203</v>
          </cell>
        </row>
        <row r="258">
          <cell r="A258">
            <v>995206</v>
          </cell>
        </row>
        <row r="259">
          <cell r="A259">
            <v>995208</v>
          </cell>
        </row>
        <row r="260">
          <cell r="A260">
            <v>995209</v>
          </cell>
        </row>
        <row r="261">
          <cell r="A261">
            <v>985950</v>
          </cell>
        </row>
        <row r="262">
          <cell r="A262">
            <v>985990</v>
          </cell>
        </row>
        <row r="263">
          <cell r="A263">
            <v>989461</v>
          </cell>
        </row>
        <row r="264">
          <cell r="A264">
            <v>989330</v>
          </cell>
        </row>
        <row r="265">
          <cell r="A265">
            <v>989301</v>
          </cell>
        </row>
        <row r="266">
          <cell r="A266">
            <v>989260</v>
          </cell>
        </row>
        <row r="267">
          <cell r="A267">
            <v>989280</v>
          </cell>
        </row>
        <row r="268">
          <cell r="A268">
            <v>989360</v>
          </cell>
        </row>
        <row r="269">
          <cell r="A269">
            <v>989489</v>
          </cell>
        </row>
        <row r="270">
          <cell r="A270">
            <v>989560</v>
          </cell>
        </row>
        <row r="271">
          <cell r="A271">
            <v>989562</v>
          </cell>
        </row>
        <row r="272">
          <cell r="A272">
            <v>989623</v>
          </cell>
        </row>
        <row r="273">
          <cell r="A273">
            <v>989660</v>
          </cell>
        </row>
        <row r="274">
          <cell r="A274">
            <v>989680</v>
          </cell>
        </row>
        <row r="275">
          <cell r="A275">
            <v>989710</v>
          </cell>
        </row>
        <row r="276">
          <cell r="A276">
            <v>989722</v>
          </cell>
        </row>
        <row r="277">
          <cell r="A277">
            <v>989760</v>
          </cell>
        </row>
        <row r="278">
          <cell r="A278">
            <v>989765</v>
          </cell>
        </row>
        <row r="279">
          <cell r="A279">
            <v>989800</v>
          </cell>
        </row>
        <row r="280">
          <cell r="A280">
            <v>989810</v>
          </cell>
        </row>
        <row r="281">
          <cell r="A281">
            <v>989813</v>
          </cell>
        </row>
        <row r="282">
          <cell r="A282">
            <v>989830</v>
          </cell>
        </row>
        <row r="283">
          <cell r="A283">
            <v>989086</v>
          </cell>
        </row>
        <row r="284">
          <cell r="A284">
            <v>989210</v>
          </cell>
        </row>
        <row r="285">
          <cell r="A285">
            <v>989211</v>
          </cell>
        </row>
        <row r="286">
          <cell r="A286">
            <v>989212</v>
          </cell>
        </row>
        <row r="287">
          <cell r="A287">
            <v>264409</v>
          </cell>
        </row>
        <row r="288">
          <cell r="A288">
            <v>990083</v>
          </cell>
        </row>
        <row r="289">
          <cell r="A289">
            <v>992951</v>
          </cell>
        </row>
        <row r="290">
          <cell r="A290">
            <v>992956</v>
          </cell>
        </row>
        <row r="291">
          <cell r="A291">
            <v>992994</v>
          </cell>
        </row>
        <row r="292">
          <cell r="A292">
            <v>992992</v>
          </cell>
        </row>
        <row r="293">
          <cell r="A293">
            <v>994161</v>
          </cell>
        </row>
        <row r="294">
          <cell r="A294">
            <v>994163</v>
          </cell>
        </row>
        <row r="295">
          <cell r="A295">
            <v>994155</v>
          </cell>
        </row>
        <row r="296">
          <cell r="A296">
            <v>994156</v>
          </cell>
        </row>
        <row r="297">
          <cell r="A297">
            <v>994154</v>
          </cell>
        </row>
        <row r="298">
          <cell r="A298">
            <v>994153</v>
          </cell>
        </row>
        <row r="299">
          <cell r="A299">
            <v>994150</v>
          </cell>
        </row>
        <row r="300">
          <cell r="A300">
            <v>992973</v>
          </cell>
        </row>
        <row r="301">
          <cell r="A301">
            <v>990840</v>
          </cell>
        </row>
        <row r="302">
          <cell r="A302">
            <v>248459</v>
          </cell>
        </row>
        <row r="303">
          <cell r="A303">
            <v>990000</v>
          </cell>
        </row>
        <row r="304">
          <cell r="A304">
            <v>990003</v>
          </cell>
        </row>
        <row r="305">
          <cell r="A305">
            <v>990062</v>
          </cell>
        </row>
        <row r="306">
          <cell r="A306">
            <v>990066</v>
          </cell>
        </row>
        <row r="307">
          <cell r="A307">
            <v>990800</v>
          </cell>
        </row>
        <row r="308">
          <cell r="A308">
            <v>990802</v>
          </cell>
        </row>
        <row r="309">
          <cell r="A309">
            <v>990804</v>
          </cell>
        </row>
        <row r="310">
          <cell r="A310">
            <v>990805</v>
          </cell>
        </row>
        <row r="311">
          <cell r="A311">
            <v>990807</v>
          </cell>
        </row>
        <row r="312">
          <cell r="A312">
            <v>990808</v>
          </cell>
        </row>
        <row r="313">
          <cell r="A313">
            <v>990810</v>
          </cell>
        </row>
        <row r="314">
          <cell r="A314">
            <v>990820</v>
          </cell>
        </row>
        <row r="315">
          <cell r="A315">
            <v>990822</v>
          </cell>
        </row>
        <row r="316">
          <cell r="A316">
            <v>990823</v>
          </cell>
        </row>
        <row r="317">
          <cell r="A317">
            <v>990824</v>
          </cell>
        </row>
        <row r="318">
          <cell r="A318">
            <v>990827</v>
          </cell>
        </row>
        <row r="319">
          <cell r="A319">
            <v>990834</v>
          </cell>
        </row>
        <row r="320">
          <cell r="A320">
            <v>991204</v>
          </cell>
        </row>
        <row r="321">
          <cell r="A321">
            <v>991248</v>
          </cell>
        </row>
        <row r="322">
          <cell r="A322">
            <v>992961</v>
          </cell>
        </row>
        <row r="323">
          <cell r="A323">
            <v>992978</v>
          </cell>
        </row>
        <row r="324">
          <cell r="A324">
            <v>992987</v>
          </cell>
        </row>
        <row r="325">
          <cell r="A325">
            <v>993001</v>
          </cell>
        </row>
        <row r="326">
          <cell r="A326">
            <v>993015</v>
          </cell>
        </row>
        <row r="327">
          <cell r="A327">
            <v>993031</v>
          </cell>
        </row>
        <row r="328">
          <cell r="A328">
            <v>994159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E8AEAD79-37F5-44AD-BB1B-020CFA4D637D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722A65-8996-4612-B207-A7B24C3A3200}" autoFormatId="16" applyNumberFormats="0" applyBorderFormats="0" applyFontFormats="0" applyPatternFormats="0" applyAlignmentFormats="0" applyWidthHeightFormats="0">
  <queryTableRefresh nextId="3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D4E414-A491-4771-A373-56EF2C413216}" name="VLookups" displayName="VLookups" ref="A1:B754" tableType="queryTable" totalsRowShown="0">
  <autoFilter ref="A1:B754" xr:uid="{4BC1521E-4549-475E-AD5B-3CDA98C0365B}"/>
  <tableColumns count="2">
    <tableColumn id="1" xr3:uid="{78A29294-BE61-49B9-A66D-8B4879741256}" uniqueName="1" name="Item" queryTableFieldId="1"/>
    <tableColumn id="2" xr3:uid="{8973E7EF-FC23-4F02-8311-587AA7B0EECC}" uniqueName="2" name="Item Desc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6:09.72" personId="{E8AEAD79-37F5-44AD-BB1B-020CFA4D637D}" id="{AB044814-BEB1-4698-97C1-2D7290AD9198}">
    <text>Press this button to refresh the VLookups query and to refresh dropdowns/formulas on the FM Changes worksheet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" dT="2021-04-15T13:52:11.04" personId="{E8AEAD79-37F5-44AD-BB1B-020CFA4D637D}" id="{3412106E-58FE-41C2-9418-71B0F18B6BE2}">
    <text>A = Available
X = Unavailable
N = New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1" dT="2021-04-15T14:55:06.70" personId="{E8AEAD79-37F5-44AD-BB1B-020CFA4D637D}" id="{21146961-D8C8-4F7C-AE50-38AB2684DC5F}">
    <text>A = Available
X = Unavailable
N = New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BC7-7663-4B75-A7EE-6831913D4714}">
  <sheetPr codeName="Sheet1"/>
  <dimension ref="C4:V29"/>
  <sheetViews>
    <sheetView showGridLines="0" topLeftCell="B1" workbookViewId="0">
      <selection activeCell="F17" sqref="F17"/>
    </sheetView>
  </sheetViews>
  <sheetFormatPr defaultColWidth="9" defaultRowHeight="14.5" x14ac:dyDescent="0.35"/>
  <cols>
    <col min="1" max="1" width="0" style="8" hidden="1" customWidth="1"/>
    <col min="2" max="20" width="9" style="8"/>
    <col min="21" max="21" width="3.81640625" style="8" customWidth="1"/>
    <col min="22" max="22" width="17.6328125" style="8" bestFit="1" customWidth="1"/>
    <col min="23" max="16384" width="9" style="8"/>
  </cols>
  <sheetData>
    <row r="4" spans="3:22" x14ac:dyDescent="0.35">
      <c r="C4" s="28" t="s">
        <v>203</v>
      </c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V4" s="18" t="s">
        <v>329</v>
      </c>
    </row>
    <row r="5" spans="3:22" x14ac:dyDescent="0.35"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</row>
    <row r="6" spans="3:22" x14ac:dyDescent="0.35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</row>
    <row r="7" spans="3:22" x14ac:dyDescent="0.35"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</row>
    <row r="8" spans="3:22" x14ac:dyDescent="0.35"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</row>
    <row r="9" spans="3:22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2" x14ac:dyDescent="0.35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2" x14ac:dyDescent="0.35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2" ht="15" customHeight="1" x14ac:dyDescent="0.35">
      <c r="C12" s="9"/>
      <c r="D12" s="9"/>
      <c r="E12" s="9"/>
      <c r="F12" s="9"/>
      <c r="G12" s="9"/>
      <c r="H12" s="9"/>
      <c r="I12" s="9"/>
      <c r="J12" s="9"/>
      <c r="K12" s="29" t="s">
        <v>765</v>
      </c>
      <c r="L12" s="30"/>
      <c r="M12" s="30"/>
      <c r="N12" s="30"/>
      <c r="O12" s="30"/>
      <c r="P12" s="30"/>
      <c r="Q12" s="30"/>
      <c r="R12" s="30"/>
      <c r="S12" s="30"/>
      <c r="T12" s="9"/>
    </row>
    <row r="13" spans="3:22" ht="15" customHeight="1" x14ac:dyDescent="0.35">
      <c r="C13" s="9"/>
      <c r="D13" s="9"/>
      <c r="E13" s="9"/>
      <c r="F13" s="9"/>
      <c r="G13" s="9"/>
      <c r="H13" s="9"/>
      <c r="I13" s="9"/>
      <c r="J13" s="9"/>
      <c r="K13" s="30"/>
      <c r="L13" s="30"/>
      <c r="M13" s="30"/>
      <c r="N13" s="30"/>
      <c r="O13" s="30"/>
      <c r="P13" s="30"/>
      <c r="Q13" s="30"/>
      <c r="R13" s="30"/>
      <c r="S13" s="30"/>
      <c r="T13" s="9"/>
    </row>
    <row r="14" spans="3:22" ht="15" customHeight="1" x14ac:dyDescent="0.35">
      <c r="C14" s="9"/>
      <c r="D14" s="9"/>
      <c r="E14" s="9"/>
      <c r="F14" s="9"/>
      <c r="G14" s="9"/>
      <c r="H14" s="9"/>
      <c r="I14" s="9"/>
      <c r="J14" s="9"/>
      <c r="K14" s="30"/>
      <c r="L14" s="30"/>
      <c r="M14" s="30"/>
      <c r="N14" s="30"/>
      <c r="O14" s="30"/>
      <c r="P14" s="30"/>
      <c r="Q14" s="30"/>
      <c r="R14" s="30"/>
      <c r="S14" s="30"/>
      <c r="T14" s="9"/>
    </row>
    <row r="15" spans="3:22" ht="15" customHeight="1" x14ac:dyDescent="0.35">
      <c r="C15" s="9"/>
      <c r="D15" s="9"/>
      <c r="E15" s="9"/>
      <c r="F15" s="9"/>
      <c r="G15" s="9"/>
      <c r="H15" s="9"/>
      <c r="I15" s="9"/>
      <c r="J15" s="9"/>
      <c r="K15" s="30"/>
      <c r="L15" s="30"/>
      <c r="M15" s="30"/>
      <c r="N15" s="30"/>
      <c r="O15" s="30"/>
      <c r="P15" s="30"/>
      <c r="Q15" s="30"/>
      <c r="R15" s="30"/>
      <c r="S15" s="30"/>
      <c r="T15" s="9"/>
    </row>
    <row r="16" spans="3:22" ht="15" customHeight="1" x14ac:dyDescent="0.35">
      <c r="C16" s="9"/>
      <c r="D16" s="9"/>
      <c r="E16" s="9"/>
      <c r="F16" s="9"/>
      <c r="G16" s="9"/>
      <c r="H16" s="9"/>
      <c r="I16" s="9"/>
      <c r="J16" s="9"/>
      <c r="K16" s="30"/>
      <c r="L16" s="30"/>
      <c r="M16" s="30"/>
      <c r="N16" s="30"/>
      <c r="O16" s="30"/>
      <c r="P16" s="30"/>
      <c r="Q16" s="30"/>
      <c r="R16" s="30"/>
      <c r="S16" s="30"/>
      <c r="T16" s="9"/>
    </row>
    <row r="17" spans="3:20" ht="15" customHeight="1" x14ac:dyDescent="0.35">
      <c r="C17" s="9"/>
      <c r="D17" s="9"/>
      <c r="E17" s="9"/>
      <c r="F17" s="9"/>
      <c r="G17" s="9"/>
      <c r="H17" s="9"/>
      <c r="I17" s="9"/>
      <c r="J17" s="9"/>
      <c r="K17" s="30"/>
      <c r="L17" s="30"/>
      <c r="M17" s="30"/>
      <c r="N17" s="30"/>
      <c r="O17" s="30"/>
      <c r="P17" s="30"/>
      <c r="Q17" s="30"/>
      <c r="R17" s="30"/>
      <c r="S17" s="30"/>
      <c r="T17" s="9"/>
    </row>
    <row r="18" spans="3:20" ht="15" customHeight="1" x14ac:dyDescent="0.35">
      <c r="C18" s="9"/>
      <c r="D18" s="9"/>
      <c r="E18" s="9"/>
      <c r="F18" s="9"/>
      <c r="G18" s="9"/>
      <c r="H18" s="9"/>
      <c r="I18" s="9"/>
      <c r="J18" s="9"/>
      <c r="K18" s="10" t="s">
        <v>328</v>
      </c>
      <c r="L18" s="10"/>
      <c r="M18" s="10"/>
      <c r="N18" s="10"/>
      <c r="O18" s="10"/>
      <c r="P18" s="10"/>
      <c r="Q18" s="10"/>
      <c r="R18" s="10"/>
      <c r="S18" s="10"/>
      <c r="T18" s="9"/>
    </row>
    <row r="19" spans="3:20" ht="15" customHeight="1" x14ac:dyDescent="0.35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  <c r="P19" s="10"/>
      <c r="Q19" s="10"/>
      <c r="R19" s="10"/>
      <c r="S19" s="10"/>
      <c r="T19" s="9"/>
    </row>
    <row r="20" spans="3:20" ht="15" customHeight="1" x14ac:dyDescent="0.35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  <c r="P20" s="10"/>
      <c r="Q20" s="10"/>
      <c r="R20" s="10"/>
      <c r="S20" s="10"/>
      <c r="T20" s="9"/>
    </row>
    <row r="21" spans="3:20" x14ac:dyDescent="0.3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 x14ac:dyDescent="0.35">
      <c r="C22" s="9"/>
      <c r="D22" s="9"/>
      <c r="E22" s="9"/>
      <c r="F22" s="9" t="s">
        <v>268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 x14ac:dyDescent="0.35">
      <c r="C23" s="9"/>
      <c r="D23" s="9"/>
      <c r="E23" s="9"/>
      <c r="F23" s="31" t="s">
        <v>204</v>
      </c>
      <c r="G23" s="31"/>
      <c r="H23" s="11"/>
      <c r="I23" s="11"/>
      <c r="J23" s="11"/>
      <c r="K23" s="11"/>
      <c r="L23" s="11"/>
      <c r="M23" s="11"/>
      <c r="N23" s="11"/>
      <c r="O23" s="11"/>
      <c r="P23" s="11"/>
      <c r="Q23" s="32">
        <v>44819</v>
      </c>
      <c r="R23" s="32"/>
      <c r="S23" s="9"/>
      <c r="T23" s="9"/>
    </row>
    <row r="24" spans="3:20" x14ac:dyDescent="0.35">
      <c r="C24" s="9"/>
      <c r="D24" s="9"/>
      <c r="E24" s="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9"/>
      <c r="T24" s="9"/>
    </row>
    <row r="25" spans="3:20" x14ac:dyDescent="0.35">
      <c r="C25" s="9"/>
      <c r="D25" s="9"/>
      <c r="E25" s="9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9"/>
      <c r="T25" s="9"/>
    </row>
    <row r="26" spans="3:20" x14ac:dyDescent="0.35">
      <c r="C26" s="9"/>
      <c r="D26" s="9"/>
      <c r="E26" s="9"/>
      <c r="F26" s="31" t="s">
        <v>205</v>
      </c>
      <c r="G26" s="31"/>
      <c r="H26" s="11"/>
      <c r="I26" s="11"/>
      <c r="J26" s="11"/>
      <c r="K26" s="11"/>
      <c r="L26" s="11"/>
      <c r="M26" s="11"/>
      <c r="N26" s="11"/>
      <c r="O26" s="11"/>
      <c r="P26" s="11"/>
      <c r="Q26" s="33">
        <f>COUNTA('FM Changes'!A:A) - 1</f>
        <v>858</v>
      </c>
      <c r="R26" s="33"/>
      <c r="S26" s="9"/>
      <c r="T26" s="9"/>
    </row>
    <row r="27" spans="3:20" x14ac:dyDescent="0.35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3:20" x14ac:dyDescent="0.35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3:20" x14ac:dyDescent="0.35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</sheetData>
  <mergeCells count="6">
    <mergeCell ref="C4:T8"/>
    <mergeCell ref="K12:S17"/>
    <mergeCell ref="F23:G23"/>
    <mergeCell ref="Q23:R23"/>
    <mergeCell ref="F26:G26"/>
    <mergeCell ref="Q26:R26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5F1E-BCDD-41E5-9F3C-EFD63A135916}">
  <sheetPr codeName="Sheet5" filterMode="1"/>
  <dimension ref="A1:AG860"/>
  <sheetViews>
    <sheetView topLeftCell="A2" workbookViewId="0">
      <selection activeCell="A3" sqref="A3:K860"/>
    </sheetView>
  </sheetViews>
  <sheetFormatPr defaultRowHeight="14.5" x14ac:dyDescent="0.35"/>
  <cols>
    <col min="1" max="1" width="16.6328125" bestFit="1" customWidth="1"/>
    <col min="2" max="2" width="41.1796875" bestFit="1" customWidth="1"/>
    <col min="3" max="3" width="12.81640625" bestFit="1" customWidth="1"/>
    <col min="4" max="4" width="21.81640625" style="13" customWidth="1"/>
    <col min="5" max="5" width="15.81640625" bestFit="1" customWidth="1"/>
    <col min="6" max="6" width="15.81640625" customWidth="1"/>
    <col min="7" max="7" width="17.6328125" bestFit="1" customWidth="1"/>
    <col min="8" max="8" width="12" bestFit="1" customWidth="1"/>
    <col min="9" max="9" width="12.81640625" bestFit="1" customWidth="1"/>
    <col min="10" max="10" width="20.1796875" bestFit="1" customWidth="1"/>
    <col min="11" max="11" width="11.81640625" bestFit="1" customWidth="1"/>
    <col min="12" max="12" width="17.81640625" bestFit="1" customWidth="1"/>
    <col min="13" max="13" width="13.1796875" bestFit="1" customWidth="1"/>
    <col min="14" max="14" width="4" bestFit="1" customWidth="1"/>
  </cols>
  <sheetData>
    <row r="1" spans="1:33" s="6" customFormat="1" hidden="1" x14ac:dyDescent="0.35">
      <c r="A1" s="14"/>
      <c r="B1" s="15" t="str">
        <f>IFERROR(VLOOKUP(A1,VLOOKUPS!$A:$B,2,FALSE), "")</f>
        <v/>
      </c>
      <c r="C1" s="14"/>
      <c r="D1" s="16"/>
      <c r="E1" s="14"/>
      <c r="F1" s="14"/>
      <c r="G1" s="14"/>
      <c r="H1" s="14"/>
      <c r="I1" s="14"/>
      <c r="J1" s="14"/>
      <c r="K1" s="14"/>
      <c r="N1" s="14"/>
    </row>
    <row r="2" spans="1:33" s="7" customFormat="1" ht="16.5" customHeight="1" x14ac:dyDescent="0.35">
      <c r="A2" s="1" t="s">
        <v>0</v>
      </c>
      <c r="B2" s="2" t="s">
        <v>1</v>
      </c>
      <c r="C2" s="3" t="s">
        <v>202</v>
      </c>
      <c r="D2" s="3" t="s">
        <v>2</v>
      </c>
      <c r="E2" s="5" t="s">
        <v>3</v>
      </c>
      <c r="F2" s="5" t="s">
        <v>327</v>
      </c>
      <c r="G2" s="5" t="s">
        <v>311</v>
      </c>
      <c r="H2" s="5" t="s">
        <v>312</v>
      </c>
      <c r="I2" s="5" t="s">
        <v>313</v>
      </c>
      <c r="J2" s="5" t="s">
        <v>326</v>
      </c>
      <c r="K2" s="4" t="s">
        <v>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23">
        <v>980000</v>
      </c>
      <c r="B3" s="24"/>
      <c r="D3" s="13">
        <v>44819</v>
      </c>
      <c r="F3" s="23" t="s">
        <v>764</v>
      </c>
      <c r="G3" s="23" t="s">
        <v>318</v>
      </c>
      <c r="H3" s="23" t="s">
        <v>4</v>
      </c>
      <c r="I3" s="23"/>
    </row>
    <row r="4" spans="1:33" x14ac:dyDescent="0.35">
      <c r="A4" s="23">
        <v>980000</v>
      </c>
      <c r="B4" s="24"/>
      <c r="D4" s="13">
        <v>44819</v>
      </c>
      <c r="F4" s="23" t="s">
        <v>764</v>
      </c>
      <c r="G4" s="23" t="s">
        <v>318</v>
      </c>
      <c r="H4" s="23" t="s">
        <v>5</v>
      </c>
      <c r="I4" s="23"/>
    </row>
    <row r="5" spans="1:33" x14ac:dyDescent="0.35">
      <c r="A5" s="23">
        <v>980091</v>
      </c>
      <c r="B5" s="24"/>
      <c r="D5" s="13">
        <v>44819</v>
      </c>
      <c r="F5" s="23" t="s">
        <v>764</v>
      </c>
      <c r="G5" s="23" t="s">
        <v>318</v>
      </c>
      <c r="H5" s="23" t="s">
        <v>6</v>
      </c>
      <c r="I5" s="23"/>
    </row>
    <row r="6" spans="1:33" x14ac:dyDescent="0.35">
      <c r="A6" s="23">
        <v>980091</v>
      </c>
      <c r="B6" s="24"/>
      <c r="D6" s="13">
        <v>44819</v>
      </c>
      <c r="F6" s="23" t="s">
        <v>764</v>
      </c>
      <c r="G6" s="23" t="s">
        <v>318</v>
      </c>
      <c r="H6" s="23" t="s">
        <v>4</v>
      </c>
      <c r="I6" s="23"/>
    </row>
    <row r="7" spans="1:33" x14ac:dyDescent="0.35">
      <c r="A7" s="23">
        <v>980091</v>
      </c>
      <c r="B7" s="24"/>
      <c r="D7" s="13">
        <v>44819</v>
      </c>
      <c r="F7" s="23" t="s">
        <v>764</v>
      </c>
      <c r="G7" s="23" t="s">
        <v>318</v>
      </c>
      <c r="H7" s="23" t="s">
        <v>5</v>
      </c>
      <c r="I7" s="23"/>
    </row>
    <row r="8" spans="1:33" x14ac:dyDescent="0.35">
      <c r="A8" s="23">
        <v>980100</v>
      </c>
      <c r="B8" s="24"/>
      <c r="D8" s="13">
        <v>44819</v>
      </c>
      <c r="F8" s="23" t="s">
        <v>764</v>
      </c>
      <c r="G8" s="23" t="s">
        <v>318</v>
      </c>
      <c r="H8" s="23" t="s">
        <v>6</v>
      </c>
      <c r="I8" s="23"/>
    </row>
    <row r="9" spans="1:33" x14ac:dyDescent="0.35">
      <c r="A9" s="23">
        <v>980100</v>
      </c>
      <c r="B9" s="24"/>
      <c r="D9" s="13">
        <v>44819</v>
      </c>
      <c r="F9" s="23" t="s">
        <v>764</v>
      </c>
      <c r="G9" s="23" t="s">
        <v>318</v>
      </c>
      <c r="H9" s="23" t="s">
        <v>4</v>
      </c>
      <c r="I9" s="23"/>
    </row>
    <row r="10" spans="1:33" x14ac:dyDescent="0.35">
      <c r="A10" s="23">
        <v>980100</v>
      </c>
      <c r="B10" s="24"/>
      <c r="D10" s="13">
        <v>44819</v>
      </c>
      <c r="F10" s="23" t="s">
        <v>764</v>
      </c>
      <c r="G10" s="23" t="s">
        <v>318</v>
      </c>
      <c r="H10" s="23" t="s">
        <v>5</v>
      </c>
      <c r="I10" s="23"/>
    </row>
    <row r="11" spans="1:33" x14ac:dyDescent="0.35">
      <c r="A11" s="23">
        <v>980211</v>
      </c>
      <c r="B11" s="24"/>
      <c r="D11" s="13">
        <v>44819</v>
      </c>
      <c r="F11" s="23" t="s">
        <v>764</v>
      </c>
      <c r="G11" s="23" t="s">
        <v>318</v>
      </c>
      <c r="H11" s="23" t="s">
        <v>6</v>
      </c>
      <c r="I11" s="23"/>
    </row>
    <row r="12" spans="1:33" x14ac:dyDescent="0.35">
      <c r="A12" s="23">
        <v>980211</v>
      </c>
      <c r="B12" s="24"/>
      <c r="D12" s="13">
        <v>44819</v>
      </c>
      <c r="F12" s="23" t="s">
        <v>764</v>
      </c>
      <c r="G12" s="23" t="s">
        <v>318</v>
      </c>
      <c r="H12" s="23" t="s">
        <v>4</v>
      </c>
      <c r="I12" s="23"/>
    </row>
    <row r="13" spans="1:33" x14ac:dyDescent="0.35">
      <c r="A13" s="23">
        <v>980211</v>
      </c>
      <c r="B13" s="24"/>
      <c r="D13" s="13">
        <v>44819</v>
      </c>
      <c r="F13" s="23" t="s">
        <v>764</v>
      </c>
      <c r="G13" s="23" t="s">
        <v>318</v>
      </c>
      <c r="H13" s="23" t="s">
        <v>5</v>
      </c>
      <c r="I13" s="23"/>
    </row>
    <row r="14" spans="1:33" x14ac:dyDescent="0.35">
      <c r="A14" s="23">
        <v>980220</v>
      </c>
      <c r="B14" s="24"/>
      <c r="D14" s="13">
        <v>44819</v>
      </c>
      <c r="F14" s="23" t="s">
        <v>790</v>
      </c>
      <c r="G14" s="23" t="s">
        <v>318</v>
      </c>
      <c r="H14" s="23" t="s">
        <v>6</v>
      </c>
      <c r="I14" s="23"/>
    </row>
    <row r="15" spans="1:33" x14ac:dyDescent="0.35">
      <c r="A15" s="23">
        <v>980220</v>
      </c>
      <c r="B15" s="24"/>
      <c r="D15" s="13">
        <v>44819</v>
      </c>
      <c r="F15" s="23" t="s">
        <v>764</v>
      </c>
      <c r="G15" s="23" t="s">
        <v>318</v>
      </c>
      <c r="H15" s="23" t="s">
        <v>4</v>
      </c>
      <c r="I15" s="23"/>
    </row>
    <row r="16" spans="1:33" x14ac:dyDescent="0.35">
      <c r="A16" s="23">
        <v>980220</v>
      </c>
      <c r="B16" s="24"/>
      <c r="D16" s="13">
        <v>44819</v>
      </c>
      <c r="F16" s="23" t="s">
        <v>764</v>
      </c>
      <c r="G16" s="23" t="s">
        <v>318</v>
      </c>
      <c r="H16" s="23" t="s">
        <v>5</v>
      </c>
      <c r="I16" s="23"/>
    </row>
    <row r="17" spans="1:9" x14ac:dyDescent="0.35">
      <c r="A17" s="23">
        <v>980500</v>
      </c>
      <c r="B17" s="24"/>
      <c r="D17" s="13">
        <v>44819</v>
      </c>
      <c r="F17" s="23" t="s">
        <v>764</v>
      </c>
      <c r="G17" s="23" t="s">
        <v>318</v>
      </c>
      <c r="H17" s="23" t="s">
        <v>6</v>
      </c>
      <c r="I17" s="23"/>
    </row>
    <row r="18" spans="1:9" x14ac:dyDescent="0.35">
      <c r="A18" s="23">
        <v>980500</v>
      </c>
      <c r="B18" s="24"/>
      <c r="D18" s="13">
        <v>44819</v>
      </c>
      <c r="F18" s="23" t="s">
        <v>764</v>
      </c>
      <c r="G18" s="23" t="s">
        <v>318</v>
      </c>
      <c r="H18" s="23" t="s">
        <v>4</v>
      </c>
      <c r="I18" s="23"/>
    </row>
    <row r="19" spans="1:9" x14ac:dyDescent="0.35">
      <c r="A19" s="23">
        <v>980500</v>
      </c>
      <c r="B19" s="24"/>
      <c r="D19" s="13">
        <v>44819</v>
      </c>
      <c r="F19" s="23" t="s">
        <v>764</v>
      </c>
      <c r="G19" s="23" t="s">
        <v>318</v>
      </c>
      <c r="H19" s="23" t="s">
        <v>5</v>
      </c>
      <c r="I19" s="23"/>
    </row>
    <row r="20" spans="1:9" x14ac:dyDescent="0.35">
      <c r="A20" s="23">
        <v>980730</v>
      </c>
      <c r="B20" s="24"/>
      <c r="D20" s="13">
        <v>44819</v>
      </c>
      <c r="F20" s="23" t="s">
        <v>764</v>
      </c>
      <c r="G20" s="23" t="s">
        <v>318</v>
      </c>
      <c r="H20" s="23" t="s">
        <v>6</v>
      </c>
      <c r="I20" s="23"/>
    </row>
    <row r="21" spans="1:9" x14ac:dyDescent="0.35">
      <c r="A21" s="23">
        <v>980730</v>
      </c>
      <c r="B21" s="24"/>
      <c r="D21" s="13">
        <v>44819</v>
      </c>
      <c r="F21" s="23" t="s">
        <v>764</v>
      </c>
      <c r="G21" s="23" t="s">
        <v>318</v>
      </c>
      <c r="H21" s="23" t="s">
        <v>4</v>
      </c>
      <c r="I21" s="23"/>
    </row>
    <row r="22" spans="1:9" x14ac:dyDescent="0.35">
      <c r="A22" s="23">
        <v>980730</v>
      </c>
      <c r="B22" s="24"/>
      <c r="D22" s="13">
        <v>44819</v>
      </c>
      <c r="F22" s="23" t="s">
        <v>764</v>
      </c>
      <c r="G22" s="23" t="s">
        <v>318</v>
      </c>
      <c r="H22" s="23" t="s">
        <v>5</v>
      </c>
      <c r="I22" s="23"/>
    </row>
    <row r="23" spans="1:9" x14ac:dyDescent="0.35">
      <c r="A23" s="23">
        <v>980821</v>
      </c>
      <c r="B23" s="24"/>
      <c r="D23" s="13">
        <v>44819</v>
      </c>
      <c r="F23" s="23" t="s">
        <v>764</v>
      </c>
      <c r="G23" s="23" t="s">
        <v>318</v>
      </c>
      <c r="H23" s="23" t="s">
        <v>6</v>
      </c>
      <c r="I23" s="23"/>
    </row>
    <row r="24" spans="1:9" x14ac:dyDescent="0.35">
      <c r="A24" s="23">
        <v>980821</v>
      </c>
      <c r="B24" s="24"/>
      <c r="D24" s="13">
        <v>44819</v>
      </c>
      <c r="F24" s="23" t="s">
        <v>764</v>
      </c>
      <c r="G24" s="23" t="s">
        <v>318</v>
      </c>
      <c r="H24" s="23" t="s">
        <v>4</v>
      </c>
      <c r="I24" s="23"/>
    </row>
    <row r="25" spans="1:9" x14ac:dyDescent="0.35">
      <c r="A25" s="23">
        <v>980821</v>
      </c>
      <c r="B25" s="24"/>
      <c r="D25" s="13">
        <v>44819</v>
      </c>
      <c r="F25" s="23" t="s">
        <v>764</v>
      </c>
      <c r="G25" s="23" t="s">
        <v>318</v>
      </c>
      <c r="H25" s="23" t="s">
        <v>5</v>
      </c>
      <c r="I25" s="23"/>
    </row>
    <row r="26" spans="1:9" x14ac:dyDescent="0.35">
      <c r="A26" s="23">
        <v>980831</v>
      </c>
      <c r="B26" s="24"/>
      <c r="D26" s="13">
        <v>44819</v>
      </c>
      <c r="F26" s="23" t="s">
        <v>791</v>
      </c>
      <c r="G26" s="23" t="s">
        <v>318</v>
      </c>
      <c r="H26" s="23" t="s">
        <v>6</v>
      </c>
      <c r="I26" s="23"/>
    </row>
    <row r="27" spans="1:9" x14ac:dyDescent="0.35">
      <c r="A27" s="23">
        <v>980831</v>
      </c>
      <c r="B27" s="24"/>
      <c r="D27" s="13">
        <v>44819</v>
      </c>
      <c r="F27" s="23" t="s">
        <v>764</v>
      </c>
      <c r="G27" s="23" t="s">
        <v>318</v>
      </c>
      <c r="H27" s="23" t="s">
        <v>4</v>
      </c>
      <c r="I27" s="23"/>
    </row>
    <row r="28" spans="1:9" x14ac:dyDescent="0.35">
      <c r="A28" s="23">
        <v>980831</v>
      </c>
      <c r="B28" s="24"/>
      <c r="D28" s="13">
        <v>44819</v>
      </c>
      <c r="F28" s="23" t="s">
        <v>764</v>
      </c>
      <c r="G28" s="23" t="s">
        <v>318</v>
      </c>
      <c r="H28" s="23" t="s">
        <v>5</v>
      </c>
      <c r="I28" s="23"/>
    </row>
    <row r="29" spans="1:9" x14ac:dyDescent="0.35">
      <c r="A29" s="23">
        <v>980833</v>
      </c>
      <c r="B29" s="24"/>
      <c r="D29" s="13">
        <v>44819</v>
      </c>
      <c r="F29" s="23" t="s">
        <v>764</v>
      </c>
      <c r="G29" s="23" t="s">
        <v>318</v>
      </c>
      <c r="H29" s="23" t="s">
        <v>6</v>
      </c>
      <c r="I29" s="23"/>
    </row>
    <row r="30" spans="1:9" x14ac:dyDescent="0.35">
      <c r="A30" s="23">
        <v>980833</v>
      </c>
      <c r="B30" s="24"/>
      <c r="D30" s="13">
        <v>44819</v>
      </c>
      <c r="F30" s="23" t="s">
        <v>764</v>
      </c>
      <c r="G30" s="23" t="s">
        <v>318</v>
      </c>
      <c r="H30" s="23" t="s">
        <v>4</v>
      </c>
      <c r="I30" s="23"/>
    </row>
    <row r="31" spans="1:9" x14ac:dyDescent="0.35">
      <c r="A31" s="23">
        <v>980833</v>
      </c>
      <c r="B31" s="24"/>
      <c r="D31" s="13">
        <v>44819</v>
      </c>
      <c r="F31" s="23" t="s">
        <v>764</v>
      </c>
      <c r="G31" s="23" t="s">
        <v>318</v>
      </c>
      <c r="H31" s="23" t="s">
        <v>5</v>
      </c>
      <c r="I31" s="23"/>
    </row>
    <row r="32" spans="1:9" x14ac:dyDescent="0.35">
      <c r="A32" s="23">
        <v>980921</v>
      </c>
      <c r="B32" s="24"/>
      <c r="D32" s="13">
        <v>44819</v>
      </c>
      <c r="F32" s="23" t="s">
        <v>764</v>
      </c>
      <c r="G32" s="23" t="s">
        <v>318</v>
      </c>
      <c r="H32" s="23" t="s">
        <v>6</v>
      </c>
      <c r="I32" s="23"/>
    </row>
    <row r="33" spans="1:9" x14ac:dyDescent="0.35">
      <c r="A33" s="23">
        <v>980921</v>
      </c>
      <c r="B33" s="24"/>
      <c r="D33" s="13">
        <v>44819</v>
      </c>
      <c r="F33" s="23" t="s">
        <v>764</v>
      </c>
      <c r="G33" s="23" t="s">
        <v>318</v>
      </c>
      <c r="H33" s="23" t="s">
        <v>4</v>
      </c>
      <c r="I33" s="23"/>
    </row>
    <row r="34" spans="1:9" x14ac:dyDescent="0.35">
      <c r="A34" s="23">
        <v>980921</v>
      </c>
      <c r="B34" s="24"/>
      <c r="D34" s="13">
        <v>44819</v>
      </c>
      <c r="F34" s="23" t="s">
        <v>764</v>
      </c>
      <c r="G34" s="23" t="s">
        <v>318</v>
      </c>
      <c r="H34" s="23" t="s">
        <v>5</v>
      </c>
      <c r="I34" s="23"/>
    </row>
    <row r="35" spans="1:9" x14ac:dyDescent="0.35">
      <c r="A35" s="23">
        <v>980990</v>
      </c>
      <c r="B35" s="24"/>
      <c r="D35" s="13">
        <v>44819</v>
      </c>
      <c r="F35" s="23" t="s">
        <v>764</v>
      </c>
      <c r="G35" s="23" t="s">
        <v>318</v>
      </c>
      <c r="H35" s="23" t="s">
        <v>6</v>
      </c>
      <c r="I35" s="23"/>
    </row>
    <row r="36" spans="1:9" x14ac:dyDescent="0.35">
      <c r="A36" s="23">
        <v>980990</v>
      </c>
      <c r="B36" s="24"/>
      <c r="D36" s="13">
        <v>44819</v>
      </c>
      <c r="F36" s="23" t="s">
        <v>764</v>
      </c>
      <c r="G36" s="23" t="s">
        <v>318</v>
      </c>
      <c r="H36" s="23" t="s">
        <v>4</v>
      </c>
      <c r="I36" s="23"/>
    </row>
    <row r="37" spans="1:9" x14ac:dyDescent="0.35">
      <c r="A37" s="23">
        <v>980990</v>
      </c>
      <c r="B37" s="24"/>
      <c r="D37" s="13">
        <v>44819</v>
      </c>
      <c r="F37" s="23" t="s">
        <v>764</v>
      </c>
      <c r="G37" s="23" t="s">
        <v>318</v>
      </c>
      <c r="H37" s="23" t="s">
        <v>5</v>
      </c>
      <c r="I37" s="23"/>
    </row>
    <row r="38" spans="1:9" x14ac:dyDescent="0.35">
      <c r="A38" s="23">
        <v>981101</v>
      </c>
      <c r="B38" s="24"/>
      <c r="D38" s="13">
        <v>44819</v>
      </c>
      <c r="F38" s="23" t="s">
        <v>764</v>
      </c>
      <c r="G38" s="23" t="s">
        <v>318</v>
      </c>
      <c r="H38" s="23" t="s">
        <v>6</v>
      </c>
      <c r="I38" s="23"/>
    </row>
    <row r="39" spans="1:9" x14ac:dyDescent="0.35">
      <c r="A39" s="23">
        <v>981130</v>
      </c>
      <c r="B39" s="24"/>
      <c r="D39" s="13">
        <v>44819</v>
      </c>
      <c r="F39" s="23" t="s">
        <v>764</v>
      </c>
      <c r="G39" s="23" t="s">
        <v>318</v>
      </c>
      <c r="H39" s="23" t="s">
        <v>6</v>
      </c>
      <c r="I39" s="23"/>
    </row>
    <row r="40" spans="1:9" x14ac:dyDescent="0.35">
      <c r="A40" s="23">
        <v>981130</v>
      </c>
      <c r="B40" s="24"/>
      <c r="D40" s="13">
        <v>44819</v>
      </c>
      <c r="F40" s="23" t="s">
        <v>764</v>
      </c>
      <c r="G40" s="23" t="s">
        <v>318</v>
      </c>
      <c r="H40" s="23" t="s">
        <v>4</v>
      </c>
      <c r="I40" s="23"/>
    </row>
    <row r="41" spans="1:9" x14ac:dyDescent="0.35">
      <c r="A41" s="23">
        <v>981130</v>
      </c>
      <c r="B41" s="24"/>
      <c r="D41" s="13">
        <v>44819</v>
      </c>
      <c r="F41" s="23" t="s">
        <v>764</v>
      </c>
      <c r="G41" s="23" t="s">
        <v>318</v>
      </c>
      <c r="H41" s="23" t="s">
        <v>5</v>
      </c>
      <c r="I41" s="23"/>
    </row>
    <row r="42" spans="1:9" x14ac:dyDescent="0.35">
      <c r="A42" s="23">
        <v>981131</v>
      </c>
      <c r="B42" s="24"/>
      <c r="D42" s="13">
        <v>44819</v>
      </c>
      <c r="F42" s="23" t="s">
        <v>764</v>
      </c>
      <c r="G42" s="23" t="s">
        <v>318</v>
      </c>
      <c r="H42" s="23" t="s">
        <v>6</v>
      </c>
      <c r="I42" s="23"/>
    </row>
    <row r="43" spans="1:9" x14ac:dyDescent="0.35">
      <c r="A43" s="23">
        <v>981131</v>
      </c>
      <c r="B43" s="24"/>
      <c r="D43" s="13">
        <v>44819</v>
      </c>
      <c r="F43" s="23" t="s">
        <v>764</v>
      </c>
      <c r="G43" s="23" t="s">
        <v>318</v>
      </c>
      <c r="H43" s="23" t="s">
        <v>4</v>
      </c>
      <c r="I43" s="23"/>
    </row>
    <row r="44" spans="1:9" x14ac:dyDescent="0.35">
      <c r="A44" s="23">
        <v>981131</v>
      </c>
      <c r="B44" s="24"/>
      <c r="D44" s="13">
        <v>44819</v>
      </c>
      <c r="F44" s="23" t="s">
        <v>764</v>
      </c>
      <c r="G44" s="23" t="s">
        <v>318</v>
      </c>
      <c r="H44" s="23" t="s">
        <v>5</v>
      </c>
      <c r="I44" s="23"/>
    </row>
    <row r="45" spans="1:9" x14ac:dyDescent="0.35">
      <c r="A45" s="23">
        <v>981168</v>
      </c>
      <c r="B45" s="24"/>
      <c r="D45" s="13">
        <v>44819</v>
      </c>
      <c r="F45" s="23" t="s">
        <v>764</v>
      </c>
      <c r="G45" s="23" t="s">
        <v>318</v>
      </c>
      <c r="H45" s="23" t="s">
        <v>6</v>
      </c>
      <c r="I45" s="23"/>
    </row>
    <row r="46" spans="1:9" x14ac:dyDescent="0.35">
      <c r="A46" s="23">
        <v>981168</v>
      </c>
      <c r="B46" s="24"/>
      <c r="D46" s="13">
        <v>44819</v>
      </c>
      <c r="F46" s="23" t="s">
        <v>764</v>
      </c>
      <c r="G46" s="23" t="s">
        <v>318</v>
      </c>
      <c r="H46" s="23" t="s">
        <v>4</v>
      </c>
      <c r="I46" s="23"/>
    </row>
    <row r="47" spans="1:9" x14ac:dyDescent="0.35">
      <c r="A47" s="23">
        <v>981168</v>
      </c>
      <c r="B47" s="24"/>
      <c r="D47" s="13">
        <v>44819</v>
      </c>
      <c r="F47" s="23" t="s">
        <v>764</v>
      </c>
      <c r="G47" s="23" t="s">
        <v>318</v>
      </c>
      <c r="H47" s="23" t="s">
        <v>5</v>
      </c>
      <c r="I47" s="23"/>
    </row>
    <row r="48" spans="1:9" x14ac:dyDescent="0.35">
      <c r="A48" s="23">
        <v>981187</v>
      </c>
      <c r="B48" s="24"/>
      <c r="D48" s="13">
        <v>44819</v>
      </c>
      <c r="F48" s="23" t="s">
        <v>764</v>
      </c>
      <c r="G48" s="23" t="s">
        <v>318</v>
      </c>
      <c r="H48" s="23" t="s">
        <v>6</v>
      </c>
      <c r="I48" s="23"/>
    </row>
    <row r="49" spans="1:9" x14ac:dyDescent="0.35">
      <c r="A49" s="23">
        <v>981187</v>
      </c>
      <c r="B49" s="24"/>
      <c r="D49" s="13">
        <v>44819</v>
      </c>
      <c r="F49" s="23" t="s">
        <v>764</v>
      </c>
      <c r="G49" s="23" t="s">
        <v>318</v>
      </c>
      <c r="H49" s="23" t="s">
        <v>4</v>
      </c>
      <c r="I49" s="23"/>
    </row>
    <row r="50" spans="1:9" x14ac:dyDescent="0.35">
      <c r="A50" s="23">
        <v>981187</v>
      </c>
      <c r="B50" s="24"/>
      <c r="D50" s="13">
        <v>44819</v>
      </c>
      <c r="F50" s="23" t="s">
        <v>764</v>
      </c>
      <c r="G50" s="23" t="s">
        <v>318</v>
      </c>
      <c r="H50" s="23" t="s">
        <v>5</v>
      </c>
      <c r="I50" s="23"/>
    </row>
    <row r="51" spans="1:9" x14ac:dyDescent="0.35">
      <c r="A51" s="23">
        <v>981200</v>
      </c>
      <c r="B51" s="24"/>
      <c r="D51" s="13">
        <v>44819</v>
      </c>
      <c r="F51" s="23" t="s">
        <v>764</v>
      </c>
      <c r="G51" s="23" t="s">
        <v>318</v>
      </c>
      <c r="H51" s="23" t="s">
        <v>6</v>
      </c>
      <c r="I51" s="23"/>
    </row>
    <row r="52" spans="1:9" x14ac:dyDescent="0.35">
      <c r="A52" s="23">
        <v>981200</v>
      </c>
      <c r="B52" s="24"/>
      <c r="D52" s="13">
        <v>44819</v>
      </c>
      <c r="F52" s="23" t="s">
        <v>764</v>
      </c>
      <c r="G52" s="23" t="s">
        <v>318</v>
      </c>
      <c r="H52" s="23" t="s">
        <v>4</v>
      </c>
      <c r="I52" s="23"/>
    </row>
    <row r="53" spans="1:9" x14ac:dyDescent="0.35">
      <c r="A53" s="23">
        <v>981200</v>
      </c>
      <c r="B53" s="24"/>
      <c r="D53" s="13">
        <v>44819</v>
      </c>
      <c r="F53" s="23" t="s">
        <v>764</v>
      </c>
      <c r="G53" s="23" t="s">
        <v>318</v>
      </c>
      <c r="H53" s="23" t="s">
        <v>5</v>
      </c>
      <c r="I53" s="23"/>
    </row>
    <row r="54" spans="1:9" x14ac:dyDescent="0.35">
      <c r="A54" s="23">
        <v>981201</v>
      </c>
      <c r="B54" s="24"/>
      <c r="D54" s="13">
        <v>44819</v>
      </c>
      <c r="F54" s="23" t="s">
        <v>764</v>
      </c>
      <c r="G54" s="23" t="s">
        <v>318</v>
      </c>
      <c r="H54" s="23" t="s">
        <v>6</v>
      </c>
      <c r="I54" s="23"/>
    </row>
    <row r="55" spans="1:9" x14ac:dyDescent="0.35">
      <c r="A55" s="23">
        <v>981201</v>
      </c>
      <c r="B55" s="24"/>
      <c r="D55" s="13">
        <v>44819</v>
      </c>
      <c r="F55" s="23" t="s">
        <v>764</v>
      </c>
      <c r="G55" s="23" t="s">
        <v>318</v>
      </c>
      <c r="H55" s="23" t="s">
        <v>4</v>
      </c>
      <c r="I55" s="23"/>
    </row>
    <row r="56" spans="1:9" x14ac:dyDescent="0.35">
      <c r="A56" s="23">
        <v>981201</v>
      </c>
      <c r="B56" s="24"/>
      <c r="D56" s="13">
        <v>44819</v>
      </c>
      <c r="F56" s="23" t="s">
        <v>764</v>
      </c>
      <c r="G56" s="23" t="s">
        <v>318</v>
      </c>
      <c r="H56" s="23" t="s">
        <v>5</v>
      </c>
      <c r="I56" s="23"/>
    </row>
    <row r="57" spans="1:9" x14ac:dyDescent="0.35">
      <c r="A57" s="23">
        <v>981202</v>
      </c>
      <c r="B57" s="24"/>
      <c r="D57" s="13">
        <v>44819</v>
      </c>
      <c r="F57" s="23" t="s">
        <v>764</v>
      </c>
      <c r="G57" s="23" t="s">
        <v>318</v>
      </c>
      <c r="H57" s="23" t="s">
        <v>6</v>
      </c>
      <c r="I57" s="23"/>
    </row>
    <row r="58" spans="1:9" x14ac:dyDescent="0.35">
      <c r="A58" s="23">
        <v>981202</v>
      </c>
      <c r="B58" s="24"/>
      <c r="D58" s="13">
        <v>44819</v>
      </c>
      <c r="F58" s="23" t="s">
        <v>764</v>
      </c>
      <c r="G58" s="23" t="s">
        <v>318</v>
      </c>
      <c r="H58" s="23" t="s">
        <v>4</v>
      </c>
      <c r="I58" s="23"/>
    </row>
    <row r="59" spans="1:9" x14ac:dyDescent="0.35">
      <c r="A59" s="23">
        <v>981202</v>
      </c>
      <c r="B59" s="24"/>
      <c r="D59" s="13">
        <v>44819</v>
      </c>
      <c r="F59" s="23" t="s">
        <v>764</v>
      </c>
      <c r="G59" s="23" t="s">
        <v>318</v>
      </c>
      <c r="H59" s="23" t="s">
        <v>5</v>
      </c>
      <c r="I59" s="23"/>
    </row>
    <row r="60" spans="1:9" x14ac:dyDescent="0.35">
      <c r="A60" s="23">
        <v>981203</v>
      </c>
      <c r="B60" s="24"/>
      <c r="D60" s="13">
        <v>44819</v>
      </c>
      <c r="F60" s="23" t="s">
        <v>764</v>
      </c>
      <c r="G60" s="23" t="s">
        <v>318</v>
      </c>
      <c r="H60" s="23" t="s">
        <v>6</v>
      </c>
      <c r="I60" s="23"/>
    </row>
    <row r="61" spans="1:9" x14ac:dyDescent="0.35">
      <c r="A61" s="23">
        <v>981203</v>
      </c>
      <c r="B61" s="24"/>
      <c r="D61" s="13">
        <v>44819</v>
      </c>
      <c r="F61" s="23" t="s">
        <v>790</v>
      </c>
      <c r="G61" s="23" t="s">
        <v>318</v>
      </c>
      <c r="H61" s="23" t="s">
        <v>4</v>
      </c>
      <c r="I61" s="23"/>
    </row>
    <row r="62" spans="1:9" x14ac:dyDescent="0.35">
      <c r="A62" s="23">
        <v>981203</v>
      </c>
      <c r="B62" s="24"/>
      <c r="D62" s="13">
        <v>44819</v>
      </c>
      <c r="F62" s="23" t="s">
        <v>764</v>
      </c>
      <c r="G62" s="23" t="s">
        <v>318</v>
      </c>
      <c r="H62" s="23" t="s">
        <v>5</v>
      </c>
      <c r="I62" s="23"/>
    </row>
    <row r="63" spans="1:9" x14ac:dyDescent="0.35">
      <c r="A63" s="23">
        <v>981207</v>
      </c>
      <c r="B63" s="24"/>
      <c r="D63" s="13">
        <v>44819</v>
      </c>
      <c r="F63" s="23" t="s">
        <v>764</v>
      </c>
      <c r="G63" s="23" t="s">
        <v>318</v>
      </c>
      <c r="H63" s="23" t="s">
        <v>6</v>
      </c>
      <c r="I63" s="23"/>
    </row>
    <row r="64" spans="1:9" x14ac:dyDescent="0.35">
      <c r="A64" s="23">
        <v>981207</v>
      </c>
      <c r="B64" s="24"/>
      <c r="D64" s="13">
        <v>44819</v>
      </c>
      <c r="F64" s="23" t="s">
        <v>764</v>
      </c>
      <c r="G64" s="23" t="s">
        <v>318</v>
      </c>
      <c r="H64" s="23" t="s">
        <v>4</v>
      </c>
      <c r="I64" s="23"/>
    </row>
    <row r="65" spans="1:9" x14ac:dyDescent="0.35">
      <c r="A65" s="23">
        <v>981207</v>
      </c>
      <c r="B65" s="24"/>
      <c r="D65" s="13">
        <v>44819</v>
      </c>
      <c r="F65" s="23" t="s">
        <v>764</v>
      </c>
      <c r="G65" s="23" t="s">
        <v>318</v>
      </c>
      <c r="H65" s="23" t="s">
        <v>5</v>
      </c>
      <c r="I65" s="23"/>
    </row>
    <row r="66" spans="1:9" x14ac:dyDescent="0.35">
      <c r="A66" s="23">
        <v>981220</v>
      </c>
      <c r="B66" s="24"/>
      <c r="D66" s="13">
        <v>44819</v>
      </c>
      <c r="F66" s="23" t="s">
        <v>764</v>
      </c>
      <c r="G66" s="23" t="s">
        <v>318</v>
      </c>
      <c r="H66" s="23" t="s">
        <v>6</v>
      </c>
      <c r="I66" s="23"/>
    </row>
    <row r="67" spans="1:9" x14ac:dyDescent="0.35">
      <c r="A67" s="23">
        <v>981220</v>
      </c>
      <c r="B67" s="24"/>
      <c r="D67" s="13">
        <v>44819</v>
      </c>
      <c r="F67" s="23" t="s">
        <v>764</v>
      </c>
      <c r="G67" s="23" t="s">
        <v>318</v>
      </c>
      <c r="H67" s="23" t="s">
        <v>4</v>
      </c>
      <c r="I67" s="23"/>
    </row>
    <row r="68" spans="1:9" x14ac:dyDescent="0.35">
      <c r="A68" s="23">
        <v>981220</v>
      </c>
      <c r="B68" s="24"/>
      <c r="D68" s="13">
        <v>44819</v>
      </c>
      <c r="F68" s="23" t="s">
        <v>764</v>
      </c>
      <c r="G68" s="23" t="s">
        <v>318</v>
      </c>
      <c r="H68" s="23" t="s">
        <v>5</v>
      </c>
      <c r="I68" s="23"/>
    </row>
    <row r="69" spans="1:9" x14ac:dyDescent="0.35">
      <c r="A69" s="23">
        <v>981240</v>
      </c>
      <c r="B69" s="24"/>
      <c r="D69" s="13">
        <v>44819</v>
      </c>
      <c r="F69" s="23" t="s">
        <v>764</v>
      </c>
      <c r="G69" s="23" t="s">
        <v>318</v>
      </c>
      <c r="H69" s="23" t="s">
        <v>6</v>
      </c>
      <c r="I69" s="23"/>
    </row>
    <row r="70" spans="1:9" x14ac:dyDescent="0.35">
      <c r="A70" s="23">
        <v>981240</v>
      </c>
      <c r="B70" s="24"/>
      <c r="D70" s="13">
        <v>44819</v>
      </c>
      <c r="F70" s="23" t="s">
        <v>764</v>
      </c>
      <c r="G70" s="23" t="s">
        <v>318</v>
      </c>
      <c r="H70" s="23" t="s">
        <v>4</v>
      </c>
      <c r="I70" s="23"/>
    </row>
    <row r="71" spans="1:9" x14ac:dyDescent="0.35">
      <c r="A71" s="23">
        <v>981240</v>
      </c>
      <c r="B71" s="24"/>
      <c r="D71" s="13">
        <v>44819</v>
      </c>
      <c r="F71" s="23" t="s">
        <v>764</v>
      </c>
      <c r="G71" s="23" t="s">
        <v>318</v>
      </c>
      <c r="H71" s="23" t="s">
        <v>5</v>
      </c>
      <c r="I71" s="23"/>
    </row>
    <row r="72" spans="1:9" x14ac:dyDescent="0.35">
      <c r="A72" s="23">
        <v>981260</v>
      </c>
      <c r="B72" s="24"/>
      <c r="D72" s="13">
        <v>44819</v>
      </c>
      <c r="F72" s="23" t="s">
        <v>764</v>
      </c>
      <c r="G72" s="23" t="s">
        <v>318</v>
      </c>
      <c r="H72" s="23" t="s">
        <v>6</v>
      </c>
      <c r="I72" s="23"/>
    </row>
    <row r="73" spans="1:9" x14ac:dyDescent="0.35">
      <c r="A73" s="23">
        <v>981260</v>
      </c>
      <c r="B73" s="24"/>
      <c r="D73" s="13">
        <v>44819</v>
      </c>
      <c r="F73" s="23" t="s">
        <v>764</v>
      </c>
      <c r="G73" s="23" t="s">
        <v>318</v>
      </c>
      <c r="H73" s="23" t="s">
        <v>4</v>
      </c>
      <c r="I73" s="23"/>
    </row>
    <row r="74" spans="1:9" x14ac:dyDescent="0.35">
      <c r="A74" s="23">
        <v>981260</v>
      </c>
      <c r="B74" s="24"/>
      <c r="D74" s="13">
        <v>44819</v>
      </c>
      <c r="F74" s="23" t="s">
        <v>764</v>
      </c>
      <c r="G74" s="23" t="s">
        <v>318</v>
      </c>
      <c r="H74" s="23" t="s">
        <v>5</v>
      </c>
      <c r="I74" s="23"/>
    </row>
    <row r="75" spans="1:9" x14ac:dyDescent="0.35">
      <c r="A75" s="23">
        <v>981280</v>
      </c>
      <c r="B75" s="24"/>
      <c r="D75" s="13">
        <v>44819</v>
      </c>
      <c r="F75" s="23" t="s">
        <v>764</v>
      </c>
      <c r="G75" s="23" t="s">
        <v>318</v>
      </c>
      <c r="H75" s="23" t="s">
        <v>6</v>
      </c>
      <c r="I75" s="23"/>
    </row>
    <row r="76" spans="1:9" x14ac:dyDescent="0.35">
      <c r="A76" s="23">
        <v>981280</v>
      </c>
      <c r="B76" s="24"/>
      <c r="D76" s="13">
        <v>44819</v>
      </c>
      <c r="F76" s="23" t="s">
        <v>764</v>
      </c>
      <c r="G76" s="23" t="s">
        <v>318</v>
      </c>
      <c r="H76" s="23" t="s">
        <v>4</v>
      </c>
      <c r="I76" s="23"/>
    </row>
    <row r="77" spans="1:9" x14ac:dyDescent="0.35">
      <c r="A77" s="23">
        <v>981280</v>
      </c>
      <c r="B77" s="24"/>
      <c r="D77" s="13">
        <v>44819</v>
      </c>
      <c r="F77" s="23" t="s">
        <v>764</v>
      </c>
      <c r="G77" s="23" t="s">
        <v>318</v>
      </c>
      <c r="H77" s="23" t="s">
        <v>5</v>
      </c>
      <c r="I77" s="23"/>
    </row>
    <row r="78" spans="1:9" x14ac:dyDescent="0.35">
      <c r="A78" s="23">
        <v>981300</v>
      </c>
      <c r="B78" s="24"/>
      <c r="D78" s="13">
        <v>44819</v>
      </c>
      <c r="F78" s="23" t="s">
        <v>764</v>
      </c>
      <c r="G78" s="23" t="s">
        <v>318</v>
      </c>
      <c r="H78" s="23" t="s">
        <v>6</v>
      </c>
      <c r="I78" s="23"/>
    </row>
    <row r="79" spans="1:9" x14ac:dyDescent="0.35">
      <c r="A79" s="23">
        <v>981300</v>
      </c>
      <c r="B79" s="24"/>
      <c r="D79" s="13">
        <v>44819</v>
      </c>
      <c r="F79" s="23" t="s">
        <v>764</v>
      </c>
      <c r="G79" s="23" t="s">
        <v>318</v>
      </c>
      <c r="H79" s="23" t="s">
        <v>4</v>
      </c>
      <c r="I79" s="23"/>
    </row>
    <row r="80" spans="1:9" x14ac:dyDescent="0.35">
      <c r="A80" s="23">
        <v>981300</v>
      </c>
      <c r="B80" s="24"/>
      <c r="D80" s="13">
        <v>44819</v>
      </c>
      <c r="F80" s="23" t="s">
        <v>764</v>
      </c>
      <c r="G80" s="23" t="s">
        <v>318</v>
      </c>
      <c r="H80" s="23" t="s">
        <v>5</v>
      </c>
      <c r="I80" s="23"/>
    </row>
    <row r="81" spans="1:9" x14ac:dyDescent="0.35">
      <c r="A81" s="23">
        <v>981340</v>
      </c>
      <c r="B81" s="24"/>
      <c r="D81" s="13">
        <v>44819</v>
      </c>
      <c r="F81" s="23" t="s">
        <v>764</v>
      </c>
      <c r="G81" s="23" t="s">
        <v>318</v>
      </c>
      <c r="H81" s="23" t="s">
        <v>6</v>
      </c>
      <c r="I81" s="23"/>
    </row>
    <row r="82" spans="1:9" x14ac:dyDescent="0.35">
      <c r="A82" s="23">
        <v>981340</v>
      </c>
      <c r="B82" s="24"/>
      <c r="D82" s="13">
        <v>44819</v>
      </c>
      <c r="F82" s="23" t="s">
        <v>764</v>
      </c>
      <c r="G82" s="23" t="s">
        <v>318</v>
      </c>
      <c r="H82" s="23" t="s">
        <v>4</v>
      </c>
      <c r="I82" s="23"/>
    </row>
    <row r="83" spans="1:9" x14ac:dyDescent="0.35">
      <c r="A83" s="23">
        <v>981340</v>
      </c>
      <c r="B83" s="24"/>
      <c r="D83" s="13">
        <v>44819</v>
      </c>
      <c r="F83" s="23" t="s">
        <v>764</v>
      </c>
      <c r="G83" s="23" t="s">
        <v>318</v>
      </c>
      <c r="H83" s="23" t="s">
        <v>5</v>
      </c>
      <c r="I83" s="23"/>
    </row>
    <row r="84" spans="1:9" x14ac:dyDescent="0.35">
      <c r="A84" s="23">
        <v>981370</v>
      </c>
      <c r="B84" s="24"/>
      <c r="D84" s="13">
        <v>44819</v>
      </c>
      <c r="F84" s="23" t="s">
        <v>764</v>
      </c>
      <c r="G84" s="23" t="s">
        <v>318</v>
      </c>
      <c r="H84" s="23" t="s">
        <v>6</v>
      </c>
      <c r="I84" s="23"/>
    </row>
    <row r="85" spans="1:9" x14ac:dyDescent="0.35">
      <c r="A85" s="23">
        <v>981370</v>
      </c>
      <c r="B85" s="24"/>
      <c r="D85" s="13">
        <v>44819</v>
      </c>
      <c r="F85" s="23" t="s">
        <v>764</v>
      </c>
      <c r="G85" s="23" t="s">
        <v>318</v>
      </c>
      <c r="H85" s="23" t="s">
        <v>4</v>
      </c>
      <c r="I85" s="23"/>
    </row>
    <row r="86" spans="1:9" x14ac:dyDescent="0.35">
      <c r="A86" s="23">
        <v>981370</v>
      </c>
      <c r="B86" s="24"/>
      <c r="D86" s="13">
        <v>44819</v>
      </c>
      <c r="F86" s="23" t="s">
        <v>764</v>
      </c>
      <c r="G86" s="23" t="s">
        <v>318</v>
      </c>
      <c r="H86" s="23" t="s">
        <v>5</v>
      </c>
      <c r="I86" s="23"/>
    </row>
    <row r="87" spans="1:9" x14ac:dyDescent="0.35">
      <c r="A87" s="23">
        <v>981400</v>
      </c>
      <c r="B87" s="24"/>
      <c r="D87" s="13">
        <v>44819</v>
      </c>
      <c r="F87" s="23" t="s">
        <v>764</v>
      </c>
      <c r="G87" s="23" t="s">
        <v>318</v>
      </c>
      <c r="H87" s="23" t="s">
        <v>6</v>
      </c>
      <c r="I87" s="23"/>
    </row>
    <row r="88" spans="1:9" x14ac:dyDescent="0.35">
      <c r="A88" s="23">
        <v>981400</v>
      </c>
      <c r="B88" s="24"/>
      <c r="D88" s="13">
        <v>44819</v>
      </c>
      <c r="F88" s="23" t="s">
        <v>764</v>
      </c>
      <c r="G88" s="23" t="s">
        <v>318</v>
      </c>
      <c r="H88" s="23" t="s">
        <v>4</v>
      </c>
      <c r="I88" s="23"/>
    </row>
    <row r="89" spans="1:9" x14ac:dyDescent="0.35">
      <c r="A89" s="23">
        <v>981400</v>
      </c>
      <c r="B89" s="24"/>
      <c r="D89" s="13">
        <v>44819</v>
      </c>
      <c r="F89" s="23" t="s">
        <v>764</v>
      </c>
      <c r="G89" s="23" t="s">
        <v>318</v>
      </c>
      <c r="H89" s="23" t="s">
        <v>5</v>
      </c>
      <c r="I89" s="23"/>
    </row>
    <row r="90" spans="1:9" x14ac:dyDescent="0.35">
      <c r="A90" s="23">
        <v>981640</v>
      </c>
      <c r="B90" s="24"/>
      <c r="D90" s="13">
        <v>44819</v>
      </c>
      <c r="F90" s="23" t="s">
        <v>764</v>
      </c>
      <c r="G90" s="23" t="s">
        <v>318</v>
      </c>
      <c r="H90" s="23" t="s">
        <v>6</v>
      </c>
      <c r="I90" s="23"/>
    </row>
    <row r="91" spans="1:9" x14ac:dyDescent="0.35">
      <c r="A91" s="23">
        <v>981640</v>
      </c>
      <c r="B91" s="24"/>
      <c r="D91" s="13">
        <v>44819</v>
      </c>
      <c r="F91" s="23" t="s">
        <v>764</v>
      </c>
      <c r="G91" s="23" t="s">
        <v>318</v>
      </c>
      <c r="H91" s="23" t="s">
        <v>4</v>
      </c>
      <c r="I91" s="23"/>
    </row>
    <row r="92" spans="1:9" x14ac:dyDescent="0.35">
      <c r="A92" s="23">
        <v>981640</v>
      </c>
      <c r="B92" s="24"/>
      <c r="D92" s="13">
        <v>44819</v>
      </c>
      <c r="F92" s="23" t="s">
        <v>764</v>
      </c>
      <c r="G92" s="23" t="s">
        <v>318</v>
      </c>
      <c r="H92" s="23" t="s">
        <v>5</v>
      </c>
      <c r="I92" s="23"/>
    </row>
    <row r="93" spans="1:9" x14ac:dyDescent="0.35">
      <c r="A93" s="23">
        <v>981699</v>
      </c>
      <c r="B93" s="24"/>
      <c r="D93" s="13">
        <v>44819</v>
      </c>
      <c r="F93" s="23" t="s">
        <v>764</v>
      </c>
      <c r="G93" s="23" t="s">
        <v>318</v>
      </c>
      <c r="H93" s="23" t="s">
        <v>6</v>
      </c>
      <c r="I93" s="23"/>
    </row>
    <row r="94" spans="1:9" x14ac:dyDescent="0.35">
      <c r="A94" s="23">
        <v>981699</v>
      </c>
      <c r="B94" s="24"/>
      <c r="D94" s="13">
        <v>44819</v>
      </c>
      <c r="F94" s="23" t="s">
        <v>764</v>
      </c>
      <c r="G94" s="23" t="s">
        <v>318</v>
      </c>
      <c r="H94" s="23" t="s">
        <v>4</v>
      </c>
      <c r="I94" s="23"/>
    </row>
    <row r="95" spans="1:9" x14ac:dyDescent="0.35">
      <c r="A95" s="23">
        <v>981699</v>
      </c>
      <c r="B95" s="24"/>
      <c r="D95" s="13">
        <v>44819</v>
      </c>
      <c r="F95" s="23" t="s">
        <v>764</v>
      </c>
      <c r="G95" s="23" t="s">
        <v>318</v>
      </c>
      <c r="H95" s="23" t="s">
        <v>5</v>
      </c>
      <c r="I95" s="23"/>
    </row>
    <row r="96" spans="1:9" x14ac:dyDescent="0.35">
      <c r="A96" s="23">
        <v>981700</v>
      </c>
      <c r="B96" s="24"/>
      <c r="D96" s="13">
        <v>44819</v>
      </c>
      <c r="F96" s="23" t="s">
        <v>764</v>
      </c>
      <c r="G96" s="23" t="s">
        <v>318</v>
      </c>
      <c r="H96" s="23" t="s">
        <v>6</v>
      </c>
      <c r="I96" s="23"/>
    </row>
    <row r="97" spans="1:9" x14ac:dyDescent="0.35">
      <c r="A97" s="23">
        <v>981700</v>
      </c>
      <c r="B97" s="24"/>
      <c r="D97" s="13">
        <v>44819</v>
      </c>
      <c r="F97" s="23" t="s">
        <v>764</v>
      </c>
      <c r="G97" s="23" t="s">
        <v>318</v>
      </c>
      <c r="H97" s="23" t="s">
        <v>4</v>
      </c>
      <c r="I97" s="23"/>
    </row>
    <row r="98" spans="1:9" x14ac:dyDescent="0.35">
      <c r="A98" s="23">
        <v>981700</v>
      </c>
      <c r="B98" s="24"/>
      <c r="D98" s="13">
        <v>44819</v>
      </c>
      <c r="F98" s="23" t="s">
        <v>764</v>
      </c>
      <c r="G98" s="23" t="s">
        <v>318</v>
      </c>
      <c r="H98" s="23" t="s">
        <v>5</v>
      </c>
      <c r="I98" s="23"/>
    </row>
    <row r="99" spans="1:9" x14ac:dyDescent="0.35">
      <c r="A99" s="23">
        <v>981902</v>
      </c>
      <c r="B99" s="24"/>
      <c r="D99" s="13">
        <v>44819</v>
      </c>
      <c r="F99" s="23" t="s">
        <v>764</v>
      </c>
      <c r="G99" s="23" t="s">
        <v>318</v>
      </c>
      <c r="H99" s="23" t="s">
        <v>6</v>
      </c>
      <c r="I99" s="23"/>
    </row>
    <row r="100" spans="1:9" x14ac:dyDescent="0.35">
      <c r="A100" s="23">
        <v>981902</v>
      </c>
      <c r="B100" s="24"/>
      <c r="D100" s="13">
        <v>44819</v>
      </c>
      <c r="F100" s="23" t="s">
        <v>764</v>
      </c>
      <c r="G100" s="23" t="s">
        <v>318</v>
      </c>
      <c r="H100" s="23" t="s">
        <v>4</v>
      </c>
      <c r="I100" s="23"/>
    </row>
    <row r="101" spans="1:9" x14ac:dyDescent="0.35">
      <c r="A101" s="23">
        <v>981902</v>
      </c>
      <c r="B101" s="24"/>
      <c r="D101" s="13">
        <v>44819</v>
      </c>
      <c r="F101" s="23" t="s">
        <v>764</v>
      </c>
      <c r="G101" s="23" t="s">
        <v>318</v>
      </c>
      <c r="H101" s="23" t="s">
        <v>5</v>
      </c>
      <c r="I101" s="23"/>
    </row>
    <row r="102" spans="1:9" x14ac:dyDescent="0.35">
      <c r="A102" s="23">
        <v>982102</v>
      </c>
      <c r="B102" s="24"/>
      <c r="D102" s="13">
        <v>44819</v>
      </c>
      <c r="F102" s="23" t="s">
        <v>764</v>
      </c>
      <c r="G102" s="23" t="s">
        <v>318</v>
      </c>
      <c r="H102" s="23" t="s">
        <v>6</v>
      </c>
      <c r="I102" s="23"/>
    </row>
    <row r="103" spans="1:9" x14ac:dyDescent="0.35">
      <c r="A103" s="23">
        <v>982102</v>
      </c>
      <c r="B103" s="24"/>
      <c r="D103" s="13">
        <v>44819</v>
      </c>
      <c r="F103" s="23" t="s">
        <v>764</v>
      </c>
      <c r="G103" s="23" t="s">
        <v>318</v>
      </c>
      <c r="H103" s="23" t="s">
        <v>4</v>
      </c>
      <c r="I103" s="23"/>
    </row>
    <row r="104" spans="1:9" x14ac:dyDescent="0.35">
      <c r="A104" s="23">
        <v>982102</v>
      </c>
      <c r="B104" s="24"/>
      <c r="D104" s="13">
        <v>44819</v>
      </c>
      <c r="F104" s="23" t="s">
        <v>764</v>
      </c>
      <c r="G104" s="23" t="s">
        <v>318</v>
      </c>
      <c r="H104" s="23" t="s">
        <v>5</v>
      </c>
      <c r="I104" s="23"/>
    </row>
    <row r="105" spans="1:9" x14ac:dyDescent="0.35">
      <c r="A105" s="23">
        <v>982130</v>
      </c>
      <c r="B105" s="24"/>
      <c r="D105" s="13">
        <v>44819</v>
      </c>
      <c r="F105" s="23" t="s">
        <v>764</v>
      </c>
      <c r="G105" s="23" t="s">
        <v>318</v>
      </c>
      <c r="H105" s="23" t="s">
        <v>6</v>
      </c>
      <c r="I105" s="23"/>
    </row>
    <row r="106" spans="1:9" x14ac:dyDescent="0.35">
      <c r="A106" s="23">
        <v>982130</v>
      </c>
      <c r="B106" s="24"/>
      <c r="D106" s="13">
        <v>44819</v>
      </c>
      <c r="F106" s="23" t="s">
        <v>764</v>
      </c>
      <c r="G106" s="23" t="s">
        <v>318</v>
      </c>
      <c r="H106" s="23" t="s">
        <v>4</v>
      </c>
      <c r="I106" s="23"/>
    </row>
    <row r="107" spans="1:9" x14ac:dyDescent="0.35">
      <c r="A107" s="23">
        <v>982130</v>
      </c>
      <c r="B107" s="24"/>
      <c r="D107" s="13">
        <v>44819</v>
      </c>
      <c r="F107" s="23" t="s">
        <v>764</v>
      </c>
      <c r="G107" s="23" t="s">
        <v>318</v>
      </c>
      <c r="H107" s="23" t="s">
        <v>5</v>
      </c>
      <c r="I107" s="23"/>
    </row>
    <row r="108" spans="1:9" x14ac:dyDescent="0.35">
      <c r="A108" s="23">
        <v>982202</v>
      </c>
      <c r="B108" s="24"/>
      <c r="D108" s="13">
        <v>44819</v>
      </c>
      <c r="F108" s="23" t="s">
        <v>764</v>
      </c>
      <c r="G108" s="23" t="s">
        <v>318</v>
      </c>
      <c r="H108" s="23" t="s">
        <v>6</v>
      </c>
      <c r="I108" s="23"/>
    </row>
    <row r="109" spans="1:9" x14ac:dyDescent="0.35">
      <c r="A109" s="23">
        <v>982202</v>
      </c>
      <c r="B109" s="24"/>
      <c r="D109" s="13">
        <v>44819</v>
      </c>
      <c r="F109" s="23" t="s">
        <v>764</v>
      </c>
      <c r="G109" s="23" t="s">
        <v>318</v>
      </c>
      <c r="H109" s="23" t="s">
        <v>4</v>
      </c>
      <c r="I109" s="23"/>
    </row>
    <row r="110" spans="1:9" x14ac:dyDescent="0.35">
      <c r="A110" s="23">
        <v>982202</v>
      </c>
      <c r="B110" s="24"/>
      <c r="D110" s="13">
        <v>44819</v>
      </c>
      <c r="F110" s="23" t="s">
        <v>764</v>
      </c>
      <c r="G110" s="23" t="s">
        <v>318</v>
      </c>
      <c r="H110" s="23" t="s">
        <v>5</v>
      </c>
      <c r="I110" s="23"/>
    </row>
    <row r="111" spans="1:9" x14ac:dyDescent="0.35">
      <c r="A111" s="23">
        <v>982205</v>
      </c>
      <c r="B111" s="24"/>
      <c r="D111" s="13">
        <v>44819</v>
      </c>
      <c r="F111" s="23" t="s">
        <v>764</v>
      </c>
      <c r="G111" s="23" t="s">
        <v>318</v>
      </c>
      <c r="H111" s="23" t="s">
        <v>5</v>
      </c>
      <c r="I111" s="23"/>
    </row>
    <row r="112" spans="1:9" x14ac:dyDescent="0.35">
      <c r="A112" s="23">
        <v>982230</v>
      </c>
      <c r="B112" s="24"/>
      <c r="D112" s="13">
        <v>44819</v>
      </c>
      <c r="F112" s="23" t="s">
        <v>764</v>
      </c>
      <c r="G112" s="23" t="s">
        <v>318</v>
      </c>
      <c r="H112" s="23" t="s">
        <v>6</v>
      </c>
      <c r="I112" s="23"/>
    </row>
    <row r="113" spans="1:9" x14ac:dyDescent="0.35">
      <c r="A113" s="23">
        <v>982230</v>
      </c>
      <c r="B113" s="24"/>
      <c r="D113" s="13">
        <v>44819</v>
      </c>
      <c r="F113" s="23" t="s">
        <v>764</v>
      </c>
      <c r="G113" s="23" t="s">
        <v>318</v>
      </c>
      <c r="H113" s="23" t="s">
        <v>4</v>
      </c>
      <c r="I113" s="23"/>
    </row>
    <row r="114" spans="1:9" x14ac:dyDescent="0.35">
      <c r="A114" s="23">
        <v>982230</v>
      </c>
      <c r="B114" s="24"/>
      <c r="D114" s="13">
        <v>44819</v>
      </c>
      <c r="F114" s="23" t="s">
        <v>764</v>
      </c>
      <c r="G114" s="23" t="s">
        <v>318</v>
      </c>
      <c r="H114" s="23" t="s">
        <v>5</v>
      </c>
      <c r="I114" s="23"/>
    </row>
    <row r="115" spans="1:9" x14ac:dyDescent="0.35">
      <c r="A115" s="23">
        <v>982400</v>
      </c>
      <c r="B115" s="24"/>
      <c r="D115" s="13">
        <v>44819</v>
      </c>
      <c r="F115" s="23" t="s">
        <v>764</v>
      </c>
      <c r="G115" s="23" t="s">
        <v>318</v>
      </c>
      <c r="H115" s="23" t="s">
        <v>6</v>
      </c>
      <c r="I115" s="23"/>
    </row>
    <row r="116" spans="1:9" x14ac:dyDescent="0.35">
      <c r="A116" s="23">
        <v>982400</v>
      </c>
      <c r="B116" s="24"/>
      <c r="D116" s="13">
        <v>44819</v>
      </c>
      <c r="F116" s="23" t="s">
        <v>764</v>
      </c>
      <c r="G116" s="23" t="s">
        <v>318</v>
      </c>
      <c r="H116" s="23" t="s">
        <v>4</v>
      </c>
      <c r="I116" s="23"/>
    </row>
    <row r="117" spans="1:9" x14ac:dyDescent="0.35">
      <c r="A117" s="23">
        <v>982400</v>
      </c>
      <c r="B117" s="24"/>
      <c r="D117" s="13">
        <v>44819</v>
      </c>
      <c r="F117" s="23" t="s">
        <v>764</v>
      </c>
      <c r="G117" s="23" t="s">
        <v>318</v>
      </c>
      <c r="H117" s="23" t="s">
        <v>5</v>
      </c>
      <c r="I117" s="23"/>
    </row>
    <row r="118" spans="1:9" x14ac:dyDescent="0.35">
      <c r="A118" s="23">
        <v>982430</v>
      </c>
      <c r="B118" s="24"/>
      <c r="D118" s="13">
        <v>44819</v>
      </c>
      <c r="F118" s="23" t="s">
        <v>764</v>
      </c>
      <c r="G118" s="23" t="s">
        <v>318</v>
      </c>
      <c r="H118" s="23" t="s">
        <v>6</v>
      </c>
      <c r="I118" s="23"/>
    </row>
    <row r="119" spans="1:9" x14ac:dyDescent="0.35">
      <c r="A119" s="23">
        <v>982430</v>
      </c>
      <c r="B119" s="24"/>
      <c r="D119" s="13">
        <v>44819</v>
      </c>
      <c r="F119" s="23" t="s">
        <v>764</v>
      </c>
      <c r="G119" s="23" t="s">
        <v>318</v>
      </c>
      <c r="H119" s="23" t="s">
        <v>4</v>
      </c>
      <c r="I119" s="23"/>
    </row>
    <row r="120" spans="1:9" x14ac:dyDescent="0.35">
      <c r="A120" s="23">
        <v>982430</v>
      </c>
      <c r="B120" s="24"/>
      <c r="D120" s="13">
        <v>44819</v>
      </c>
      <c r="F120" s="23" t="s">
        <v>764</v>
      </c>
      <c r="G120" s="23" t="s">
        <v>318</v>
      </c>
      <c r="H120" s="23" t="s">
        <v>5</v>
      </c>
      <c r="I120" s="23"/>
    </row>
    <row r="121" spans="1:9" x14ac:dyDescent="0.35">
      <c r="A121" s="23">
        <v>982637</v>
      </c>
      <c r="B121" s="24"/>
      <c r="D121" s="13">
        <v>44819</v>
      </c>
      <c r="F121" s="23" t="s">
        <v>764</v>
      </c>
      <c r="G121" s="23" t="s">
        <v>318</v>
      </c>
      <c r="H121" s="23" t="s">
        <v>4</v>
      </c>
      <c r="I121" s="23"/>
    </row>
    <row r="122" spans="1:9" x14ac:dyDescent="0.35">
      <c r="A122" s="23">
        <v>982650</v>
      </c>
      <c r="B122" s="24"/>
      <c r="D122" s="13">
        <v>44819</v>
      </c>
      <c r="F122" s="23" t="s">
        <v>764</v>
      </c>
      <c r="G122" s="23" t="s">
        <v>318</v>
      </c>
      <c r="H122" s="23" t="s">
        <v>6</v>
      </c>
      <c r="I122" s="23"/>
    </row>
    <row r="123" spans="1:9" x14ac:dyDescent="0.35">
      <c r="A123" s="23">
        <v>982650</v>
      </c>
      <c r="B123" s="24"/>
      <c r="D123" s="13">
        <v>44819</v>
      </c>
      <c r="F123" s="23" t="s">
        <v>764</v>
      </c>
      <c r="G123" s="23" t="s">
        <v>318</v>
      </c>
      <c r="H123" s="23" t="s">
        <v>4</v>
      </c>
      <c r="I123" s="23"/>
    </row>
    <row r="124" spans="1:9" x14ac:dyDescent="0.35">
      <c r="A124" s="23">
        <v>982650</v>
      </c>
      <c r="B124" s="24"/>
      <c r="D124" s="13">
        <v>44819</v>
      </c>
      <c r="F124" s="23" t="s">
        <v>764</v>
      </c>
      <c r="G124" s="23" t="s">
        <v>318</v>
      </c>
      <c r="H124" s="23" t="s">
        <v>5</v>
      </c>
      <c r="I124" s="23"/>
    </row>
    <row r="125" spans="1:9" x14ac:dyDescent="0.35">
      <c r="A125" s="23">
        <v>982710</v>
      </c>
      <c r="B125" s="24"/>
      <c r="D125" s="13">
        <v>44819</v>
      </c>
      <c r="F125" s="23" t="s">
        <v>790</v>
      </c>
      <c r="G125" s="23" t="s">
        <v>318</v>
      </c>
      <c r="H125" s="23" t="s">
        <v>6</v>
      </c>
      <c r="I125" s="23"/>
    </row>
    <row r="126" spans="1:9" x14ac:dyDescent="0.35">
      <c r="A126" s="23">
        <v>982710</v>
      </c>
      <c r="B126" s="24"/>
      <c r="D126" s="13">
        <v>44819</v>
      </c>
      <c r="F126" s="23" t="s">
        <v>764</v>
      </c>
      <c r="G126" s="23" t="s">
        <v>318</v>
      </c>
      <c r="H126" s="23" t="s">
        <v>4</v>
      </c>
      <c r="I126" s="23"/>
    </row>
    <row r="127" spans="1:9" x14ac:dyDescent="0.35">
      <c r="A127" s="23">
        <v>982710</v>
      </c>
      <c r="B127" s="24"/>
      <c r="D127" s="13">
        <v>44819</v>
      </c>
      <c r="F127" s="23" t="s">
        <v>764</v>
      </c>
      <c r="G127" s="23" t="s">
        <v>318</v>
      </c>
      <c r="H127" s="23" t="s">
        <v>5</v>
      </c>
      <c r="I127" s="23"/>
    </row>
    <row r="128" spans="1:9" x14ac:dyDescent="0.35">
      <c r="A128" s="23">
        <v>982740</v>
      </c>
      <c r="B128" s="24"/>
      <c r="D128" s="13">
        <v>44819</v>
      </c>
      <c r="F128" s="23" t="s">
        <v>764</v>
      </c>
      <c r="G128" s="23" t="s">
        <v>318</v>
      </c>
      <c r="H128" s="23" t="s">
        <v>6</v>
      </c>
      <c r="I128" s="23"/>
    </row>
    <row r="129" spans="1:9" x14ac:dyDescent="0.35">
      <c r="A129" s="23">
        <v>982740</v>
      </c>
      <c r="B129" s="24"/>
      <c r="D129" s="13">
        <v>44819</v>
      </c>
      <c r="F129" s="23" t="s">
        <v>764</v>
      </c>
      <c r="G129" s="23" t="s">
        <v>318</v>
      </c>
      <c r="H129" s="23" t="s">
        <v>4</v>
      </c>
      <c r="I129" s="23"/>
    </row>
    <row r="130" spans="1:9" x14ac:dyDescent="0.35">
      <c r="A130" s="23">
        <v>982740</v>
      </c>
      <c r="B130" s="24"/>
      <c r="D130" s="13">
        <v>44819</v>
      </c>
      <c r="F130" s="23" t="s">
        <v>764</v>
      </c>
      <c r="G130" s="23" t="s">
        <v>318</v>
      </c>
      <c r="H130" s="23" t="s">
        <v>5</v>
      </c>
      <c r="I130" s="23"/>
    </row>
    <row r="131" spans="1:9" x14ac:dyDescent="0.35">
      <c r="A131" s="23">
        <v>982800</v>
      </c>
      <c r="B131" s="24"/>
      <c r="D131" s="13">
        <v>44819</v>
      </c>
      <c r="F131" s="23" t="s">
        <v>764</v>
      </c>
      <c r="G131" s="23" t="s">
        <v>318</v>
      </c>
      <c r="H131" s="23" t="s">
        <v>6</v>
      </c>
      <c r="I131" s="23"/>
    </row>
    <row r="132" spans="1:9" x14ac:dyDescent="0.35">
      <c r="A132" s="23">
        <v>982800</v>
      </c>
      <c r="B132" s="24"/>
      <c r="D132" s="13">
        <v>44819</v>
      </c>
      <c r="F132" s="23" t="s">
        <v>764</v>
      </c>
      <c r="G132" s="23" t="s">
        <v>318</v>
      </c>
      <c r="H132" s="23" t="s">
        <v>4</v>
      </c>
      <c r="I132" s="23"/>
    </row>
    <row r="133" spans="1:9" x14ac:dyDescent="0.35">
      <c r="A133" s="23">
        <v>982800</v>
      </c>
      <c r="B133" s="24"/>
      <c r="D133" s="13">
        <v>44819</v>
      </c>
      <c r="F133" s="23" t="s">
        <v>764</v>
      </c>
      <c r="G133" s="23" t="s">
        <v>318</v>
      </c>
      <c r="H133" s="23" t="s">
        <v>5</v>
      </c>
      <c r="I133" s="23"/>
    </row>
    <row r="134" spans="1:9" x14ac:dyDescent="0.35">
      <c r="A134" s="23">
        <v>982830</v>
      </c>
      <c r="B134" s="24"/>
      <c r="D134" s="13">
        <v>44819</v>
      </c>
      <c r="F134" s="23" t="s">
        <v>764</v>
      </c>
      <c r="G134" s="23" t="s">
        <v>318</v>
      </c>
      <c r="H134" s="23" t="s">
        <v>6</v>
      </c>
      <c r="I134" s="23"/>
    </row>
    <row r="135" spans="1:9" x14ac:dyDescent="0.35">
      <c r="A135" s="23">
        <v>982830</v>
      </c>
      <c r="B135" s="24"/>
      <c r="D135" s="13">
        <v>44819</v>
      </c>
      <c r="F135" s="23" t="s">
        <v>764</v>
      </c>
      <c r="G135" s="23" t="s">
        <v>318</v>
      </c>
      <c r="H135" s="23" t="s">
        <v>4</v>
      </c>
      <c r="I135" s="23"/>
    </row>
    <row r="136" spans="1:9" x14ac:dyDescent="0.35">
      <c r="A136" s="23">
        <v>982830</v>
      </c>
      <c r="B136" s="24"/>
      <c r="D136" s="13">
        <v>44819</v>
      </c>
      <c r="F136" s="23" t="s">
        <v>764</v>
      </c>
      <c r="G136" s="23" t="s">
        <v>318</v>
      </c>
      <c r="H136" s="23" t="s">
        <v>5</v>
      </c>
      <c r="I136" s="23"/>
    </row>
    <row r="137" spans="1:9" x14ac:dyDescent="0.35">
      <c r="A137" s="23">
        <v>982960</v>
      </c>
      <c r="B137" s="24"/>
      <c r="D137" s="13">
        <v>44819</v>
      </c>
      <c r="F137" s="23" t="s">
        <v>764</v>
      </c>
      <c r="G137" s="23" t="s">
        <v>318</v>
      </c>
      <c r="H137" s="23" t="s">
        <v>6</v>
      </c>
      <c r="I137" s="23"/>
    </row>
    <row r="138" spans="1:9" x14ac:dyDescent="0.35">
      <c r="A138" s="23">
        <v>982960</v>
      </c>
      <c r="B138" s="24"/>
      <c r="D138" s="13">
        <v>44819</v>
      </c>
      <c r="F138" s="23" t="s">
        <v>764</v>
      </c>
      <c r="G138" s="23" t="s">
        <v>318</v>
      </c>
      <c r="H138" s="23" t="s">
        <v>4</v>
      </c>
      <c r="I138" s="23"/>
    </row>
    <row r="139" spans="1:9" x14ac:dyDescent="0.35">
      <c r="A139" s="23">
        <v>982960</v>
      </c>
      <c r="B139" s="24"/>
      <c r="D139" s="13">
        <v>44819</v>
      </c>
      <c r="F139" s="23" t="s">
        <v>764</v>
      </c>
      <c r="G139" s="23" t="s">
        <v>318</v>
      </c>
      <c r="H139" s="23" t="s">
        <v>5</v>
      </c>
      <c r="I139" s="23"/>
    </row>
    <row r="140" spans="1:9" x14ac:dyDescent="0.35">
      <c r="A140" s="23">
        <v>983101</v>
      </c>
      <c r="B140" s="24"/>
      <c r="D140" s="13">
        <v>44819</v>
      </c>
      <c r="F140" s="23" t="s">
        <v>764</v>
      </c>
      <c r="G140" s="23" t="s">
        <v>318</v>
      </c>
      <c r="H140" s="23" t="s">
        <v>6</v>
      </c>
      <c r="I140" s="23"/>
    </row>
    <row r="141" spans="1:9" x14ac:dyDescent="0.35">
      <c r="A141" s="23">
        <v>983101</v>
      </c>
      <c r="B141" s="24"/>
      <c r="D141" s="13">
        <v>44819</v>
      </c>
      <c r="F141" s="23" t="s">
        <v>764</v>
      </c>
      <c r="G141" s="23" t="s">
        <v>318</v>
      </c>
      <c r="H141" s="23" t="s">
        <v>4</v>
      </c>
      <c r="I141" s="23"/>
    </row>
    <row r="142" spans="1:9" x14ac:dyDescent="0.35">
      <c r="A142" s="23">
        <v>983101</v>
      </c>
      <c r="B142" s="24"/>
      <c r="D142" s="13">
        <v>44819</v>
      </c>
      <c r="F142" s="23" t="s">
        <v>764</v>
      </c>
      <c r="G142" s="23" t="s">
        <v>318</v>
      </c>
      <c r="H142" s="23" t="s">
        <v>5</v>
      </c>
      <c r="I142" s="23"/>
    </row>
    <row r="143" spans="1:9" x14ac:dyDescent="0.35">
      <c r="A143" s="23">
        <v>983151</v>
      </c>
      <c r="B143" s="24"/>
      <c r="D143" s="13">
        <v>44819</v>
      </c>
      <c r="F143" s="23" t="s">
        <v>764</v>
      </c>
      <c r="G143" s="23" t="s">
        <v>318</v>
      </c>
      <c r="H143" s="23" t="s">
        <v>6</v>
      </c>
      <c r="I143" s="23"/>
    </row>
    <row r="144" spans="1:9" x14ac:dyDescent="0.35">
      <c r="A144" s="23">
        <v>983151</v>
      </c>
      <c r="B144" s="24"/>
      <c r="D144" s="13">
        <v>44819</v>
      </c>
      <c r="F144" s="23" t="s">
        <v>764</v>
      </c>
      <c r="G144" s="23" t="s">
        <v>318</v>
      </c>
      <c r="H144" s="23" t="s">
        <v>4</v>
      </c>
      <c r="I144" s="23"/>
    </row>
    <row r="145" spans="1:9" x14ac:dyDescent="0.35">
      <c r="A145" s="23">
        <v>983151</v>
      </c>
      <c r="B145" s="24"/>
      <c r="D145" s="13">
        <v>44819</v>
      </c>
      <c r="F145" s="23" t="s">
        <v>764</v>
      </c>
      <c r="G145" s="23" t="s">
        <v>318</v>
      </c>
      <c r="H145" s="23" t="s">
        <v>5</v>
      </c>
      <c r="I145" s="23"/>
    </row>
    <row r="146" spans="1:9" x14ac:dyDescent="0.35">
      <c r="A146" s="23">
        <v>983201</v>
      </c>
      <c r="B146" s="24"/>
      <c r="D146" s="13">
        <v>44819</v>
      </c>
      <c r="F146" s="23" t="s">
        <v>764</v>
      </c>
      <c r="G146" s="23" t="s">
        <v>318</v>
      </c>
      <c r="H146" s="23" t="s">
        <v>6</v>
      </c>
      <c r="I146" s="23"/>
    </row>
    <row r="147" spans="1:9" x14ac:dyDescent="0.35">
      <c r="A147" s="23">
        <v>983201</v>
      </c>
      <c r="B147" s="24"/>
      <c r="D147" s="13">
        <v>44819</v>
      </c>
      <c r="F147" s="23" t="s">
        <v>764</v>
      </c>
      <c r="G147" s="23" t="s">
        <v>318</v>
      </c>
      <c r="H147" s="23" t="s">
        <v>4</v>
      </c>
      <c r="I147" s="23"/>
    </row>
    <row r="148" spans="1:9" x14ac:dyDescent="0.35">
      <c r="A148" s="23">
        <v>983201</v>
      </c>
      <c r="B148" s="24"/>
      <c r="D148" s="13">
        <v>44819</v>
      </c>
      <c r="F148" s="23" t="s">
        <v>764</v>
      </c>
      <c r="G148" s="23" t="s">
        <v>318</v>
      </c>
      <c r="H148" s="23" t="s">
        <v>5</v>
      </c>
      <c r="I148" s="23"/>
    </row>
    <row r="149" spans="1:9" x14ac:dyDescent="0.35">
      <c r="A149" s="23">
        <v>983301</v>
      </c>
      <c r="B149" s="24"/>
      <c r="D149" s="13">
        <v>44819</v>
      </c>
      <c r="F149" s="23" t="s">
        <v>764</v>
      </c>
      <c r="G149" s="23" t="s">
        <v>318</v>
      </c>
      <c r="H149" s="23" t="s">
        <v>6</v>
      </c>
      <c r="I149" s="23"/>
    </row>
    <row r="150" spans="1:9" x14ac:dyDescent="0.35">
      <c r="A150" s="23">
        <v>983301</v>
      </c>
      <c r="B150" s="24"/>
      <c r="D150" s="13">
        <v>44819</v>
      </c>
      <c r="F150" s="23" t="s">
        <v>764</v>
      </c>
      <c r="G150" s="23" t="s">
        <v>318</v>
      </c>
      <c r="H150" s="23" t="s">
        <v>4</v>
      </c>
      <c r="I150" s="23"/>
    </row>
    <row r="151" spans="1:9" x14ac:dyDescent="0.35">
      <c r="A151" s="23">
        <v>983301</v>
      </c>
      <c r="B151" s="24"/>
      <c r="D151" s="13">
        <v>44819</v>
      </c>
      <c r="F151" s="23" t="s">
        <v>764</v>
      </c>
      <c r="G151" s="23" t="s">
        <v>318</v>
      </c>
      <c r="H151" s="23" t="s">
        <v>5</v>
      </c>
      <c r="I151" s="23"/>
    </row>
    <row r="152" spans="1:9" x14ac:dyDescent="0.35">
      <c r="A152" s="23">
        <v>983451</v>
      </c>
      <c r="B152" s="24"/>
      <c r="D152" s="13">
        <v>44819</v>
      </c>
      <c r="F152" s="23" t="s">
        <v>764</v>
      </c>
      <c r="G152" s="23" t="s">
        <v>318</v>
      </c>
      <c r="H152" s="23" t="s">
        <v>6</v>
      </c>
      <c r="I152" s="23"/>
    </row>
    <row r="153" spans="1:9" x14ac:dyDescent="0.35">
      <c r="A153" s="23">
        <v>983451</v>
      </c>
      <c r="B153" s="24"/>
      <c r="D153" s="13">
        <v>44819</v>
      </c>
      <c r="F153" s="23" t="s">
        <v>764</v>
      </c>
      <c r="G153" s="23" t="s">
        <v>318</v>
      </c>
      <c r="H153" s="23" t="s">
        <v>4</v>
      </c>
      <c r="I153" s="23"/>
    </row>
    <row r="154" spans="1:9" x14ac:dyDescent="0.35">
      <c r="A154" s="23">
        <v>983451</v>
      </c>
      <c r="B154" s="24"/>
      <c r="D154" s="13">
        <v>44819</v>
      </c>
      <c r="F154" s="23" t="s">
        <v>764</v>
      </c>
      <c r="G154" s="23" t="s">
        <v>318</v>
      </c>
      <c r="H154" s="23" t="s">
        <v>5</v>
      </c>
      <c r="I154" s="23"/>
    </row>
    <row r="155" spans="1:9" x14ac:dyDescent="0.35">
      <c r="A155" s="23">
        <v>983470</v>
      </c>
      <c r="B155" s="24"/>
      <c r="D155" s="13">
        <v>44819</v>
      </c>
      <c r="F155" s="23" t="s">
        <v>764</v>
      </c>
      <c r="G155" s="23" t="s">
        <v>318</v>
      </c>
      <c r="H155" s="23" t="s">
        <v>6</v>
      </c>
      <c r="I155" s="23"/>
    </row>
    <row r="156" spans="1:9" x14ac:dyDescent="0.35">
      <c r="A156" s="23">
        <v>983470</v>
      </c>
      <c r="B156" s="24"/>
      <c r="D156" s="13">
        <v>44819</v>
      </c>
      <c r="F156" s="23" t="s">
        <v>764</v>
      </c>
      <c r="G156" s="23" t="s">
        <v>318</v>
      </c>
      <c r="H156" s="23" t="s">
        <v>4</v>
      </c>
      <c r="I156" s="23"/>
    </row>
    <row r="157" spans="1:9" x14ac:dyDescent="0.35">
      <c r="A157" s="23">
        <v>983470</v>
      </c>
      <c r="B157" s="24"/>
      <c r="D157" s="13">
        <v>44819</v>
      </c>
      <c r="F157" s="23" t="s">
        <v>764</v>
      </c>
      <c r="G157" s="23" t="s">
        <v>318</v>
      </c>
      <c r="H157" s="23" t="s">
        <v>5</v>
      </c>
      <c r="I157" s="23"/>
    </row>
    <row r="158" spans="1:9" x14ac:dyDescent="0.35">
      <c r="A158" s="23">
        <v>983501</v>
      </c>
      <c r="B158" s="24"/>
      <c r="D158" s="13">
        <v>44819</v>
      </c>
      <c r="F158" s="23" t="s">
        <v>764</v>
      </c>
      <c r="G158" s="23" t="s">
        <v>318</v>
      </c>
      <c r="H158" s="23" t="s">
        <v>6</v>
      </c>
      <c r="I158" s="23"/>
    </row>
    <row r="159" spans="1:9" x14ac:dyDescent="0.35">
      <c r="A159" s="23">
        <v>983501</v>
      </c>
      <c r="B159" s="24"/>
      <c r="D159" s="13">
        <v>44819</v>
      </c>
      <c r="F159" s="23" t="s">
        <v>764</v>
      </c>
      <c r="G159" s="23" t="s">
        <v>318</v>
      </c>
      <c r="H159" s="23" t="s">
        <v>4</v>
      </c>
      <c r="I159" s="23"/>
    </row>
    <row r="160" spans="1:9" x14ac:dyDescent="0.35">
      <c r="A160" s="23">
        <v>983501</v>
      </c>
      <c r="B160" s="24"/>
      <c r="D160" s="13">
        <v>44819</v>
      </c>
      <c r="F160" s="23" t="s">
        <v>764</v>
      </c>
      <c r="G160" s="23" t="s">
        <v>318</v>
      </c>
      <c r="H160" s="23" t="s">
        <v>5</v>
      </c>
      <c r="I160" s="23"/>
    </row>
    <row r="161" spans="1:9" x14ac:dyDescent="0.35">
      <c r="A161" s="23">
        <v>983513</v>
      </c>
      <c r="B161" s="24"/>
      <c r="D161" s="13">
        <v>44819</v>
      </c>
      <c r="F161" s="23" t="s">
        <v>764</v>
      </c>
      <c r="G161" s="23" t="s">
        <v>318</v>
      </c>
      <c r="H161" s="23" t="s">
        <v>6</v>
      </c>
      <c r="I161" s="23"/>
    </row>
    <row r="162" spans="1:9" x14ac:dyDescent="0.35">
      <c r="A162" s="23">
        <v>983513</v>
      </c>
      <c r="B162" s="24"/>
      <c r="D162" s="13">
        <v>44819</v>
      </c>
      <c r="F162" s="23" t="s">
        <v>764</v>
      </c>
      <c r="G162" s="23" t="s">
        <v>318</v>
      </c>
      <c r="H162" s="23" t="s">
        <v>4</v>
      </c>
      <c r="I162" s="23"/>
    </row>
    <row r="163" spans="1:9" x14ac:dyDescent="0.35">
      <c r="A163" s="23">
        <v>983513</v>
      </c>
      <c r="B163" s="24"/>
      <c r="D163" s="13">
        <v>44819</v>
      </c>
      <c r="F163" s="23" t="s">
        <v>764</v>
      </c>
      <c r="G163" s="23" t="s">
        <v>318</v>
      </c>
      <c r="H163" s="23" t="s">
        <v>5</v>
      </c>
      <c r="I163" s="23"/>
    </row>
    <row r="164" spans="1:9" x14ac:dyDescent="0.35">
      <c r="A164" s="23">
        <v>983531</v>
      </c>
      <c r="B164" s="24"/>
      <c r="D164" s="13">
        <v>44819</v>
      </c>
      <c r="F164" s="23" t="s">
        <v>790</v>
      </c>
      <c r="G164" s="23" t="s">
        <v>318</v>
      </c>
      <c r="H164" s="23" t="s">
        <v>6</v>
      </c>
      <c r="I164" s="23"/>
    </row>
    <row r="165" spans="1:9" x14ac:dyDescent="0.35">
      <c r="A165" s="23">
        <v>983531</v>
      </c>
      <c r="B165" s="24"/>
      <c r="D165" s="13">
        <v>44819</v>
      </c>
      <c r="F165" s="23" t="s">
        <v>764</v>
      </c>
      <c r="G165" s="23" t="s">
        <v>318</v>
      </c>
      <c r="H165" s="23" t="s">
        <v>4</v>
      </c>
      <c r="I165" s="23"/>
    </row>
    <row r="166" spans="1:9" x14ac:dyDescent="0.35">
      <c r="A166" s="23">
        <v>983531</v>
      </c>
      <c r="B166" s="24"/>
      <c r="D166" s="13">
        <v>44819</v>
      </c>
      <c r="F166" s="23" t="s">
        <v>764</v>
      </c>
      <c r="G166" s="23" t="s">
        <v>318</v>
      </c>
      <c r="H166" s="23" t="s">
        <v>5</v>
      </c>
      <c r="I166" s="23"/>
    </row>
    <row r="167" spans="1:9" x14ac:dyDescent="0.35">
      <c r="A167" s="23">
        <v>983610</v>
      </c>
      <c r="B167" s="24"/>
      <c r="D167" s="13">
        <v>44819</v>
      </c>
      <c r="F167" s="23" t="s">
        <v>764</v>
      </c>
      <c r="G167" s="23" t="s">
        <v>318</v>
      </c>
      <c r="H167" s="23" t="s">
        <v>6</v>
      </c>
      <c r="I167" s="23"/>
    </row>
    <row r="168" spans="1:9" x14ac:dyDescent="0.35">
      <c r="A168" s="23">
        <v>983610</v>
      </c>
      <c r="B168" s="24"/>
      <c r="D168" s="13">
        <v>44819</v>
      </c>
      <c r="F168" s="23" t="s">
        <v>764</v>
      </c>
      <c r="G168" s="23" t="s">
        <v>318</v>
      </c>
      <c r="H168" s="23" t="s">
        <v>4</v>
      </c>
      <c r="I168" s="23"/>
    </row>
    <row r="169" spans="1:9" x14ac:dyDescent="0.35">
      <c r="A169" s="23">
        <v>983610</v>
      </c>
      <c r="B169" s="24"/>
      <c r="D169" s="13">
        <v>44819</v>
      </c>
      <c r="F169" s="23" t="s">
        <v>764</v>
      </c>
      <c r="G169" s="23" t="s">
        <v>318</v>
      </c>
      <c r="H169" s="23" t="s">
        <v>5</v>
      </c>
      <c r="I169" s="23"/>
    </row>
    <row r="170" spans="1:9" x14ac:dyDescent="0.35">
      <c r="A170" s="23">
        <v>983651</v>
      </c>
      <c r="B170" s="24"/>
      <c r="D170" s="13">
        <v>44819</v>
      </c>
      <c r="F170" s="23" t="s">
        <v>764</v>
      </c>
      <c r="G170" s="23" t="s">
        <v>318</v>
      </c>
      <c r="H170" s="23" t="s">
        <v>6</v>
      </c>
      <c r="I170" s="23"/>
    </row>
    <row r="171" spans="1:9" x14ac:dyDescent="0.35">
      <c r="A171" s="23">
        <v>983651</v>
      </c>
      <c r="B171" s="24"/>
      <c r="D171" s="13">
        <v>44819</v>
      </c>
      <c r="F171" s="23" t="s">
        <v>764</v>
      </c>
      <c r="G171" s="23" t="s">
        <v>318</v>
      </c>
      <c r="H171" s="23" t="s">
        <v>4</v>
      </c>
      <c r="I171" s="23"/>
    </row>
    <row r="172" spans="1:9" x14ac:dyDescent="0.35">
      <c r="A172" s="23">
        <v>983651</v>
      </c>
      <c r="B172" s="24"/>
      <c r="D172" s="13">
        <v>44819</v>
      </c>
      <c r="F172" s="23" t="s">
        <v>790</v>
      </c>
      <c r="G172" s="23" t="s">
        <v>318</v>
      </c>
      <c r="H172" s="23" t="s">
        <v>5</v>
      </c>
      <c r="I172" s="23"/>
    </row>
    <row r="173" spans="1:9" x14ac:dyDescent="0.35">
      <c r="A173" s="23">
        <v>983671</v>
      </c>
      <c r="B173" s="24"/>
      <c r="D173" s="13">
        <v>44819</v>
      </c>
      <c r="F173" s="23" t="s">
        <v>764</v>
      </c>
      <c r="G173" s="23" t="s">
        <v>318</v>
      </c>
      <c r="H173" s="23" t="s">
        <v>6</v>
      </c>
      <c r="I173" s="23"/>
    </row>
    <row r="174" spans="1:9" x14ac:dyDescent="0.35">
      <c r="A174" s="23">
        <v>983671</v>
      </c>
      <c r="B174" s="24"/>
      <c r="D174" s="13">
        <v>44819</v>
      </c>
      <c r="F174" s="23" t="s">
        <v>764</v>
      </c>
      <c r="G174" s="23" t="s">
        <v>318</v>
      </c>
      <c r="H174" s="23" t="s">
        <v>4</v>
      </c>
      <c r="I174" s="23"/>
    </row>
    <row r="175" spans="1:9" x14ac:dyDescent="0.35">
      <c r="A175" s="23">
        <v>983671</v>
      </c>
      <c r="B175" s="24"/>
      <c r="D175" s="13">
        <v>44819</v>
      </c>
      <c r="F175" s="23" t="s">
        <v>764</v>
      </c>
      <c r="G175" s="23" t="s">
        <v>318</v>
      </c>
      <c r="H175" s="23" t="s">
        <v>5</v>
      </c>
      <c r="I175" s="23"/>
    </row>
    <row r="176" spans="1:9" x14ac:dyDescent="0.35">
      <c r="A176" s="23">
        <v>983672</v>
      </c>
      <c r="B176" s="24"/>
      <c r="D176" s="13">
        <v>44819</v>
      </c>
      <c r="F176" s="23" t="s">
        <v>764</v>
      </c>
      <c r="G176" s="23" t="s">
        <v>318</v>
      </c>
      <c r="H176" s="23" t="s">
        <v>6</v>
      </c>
      <c r="I176" s="23"/>
    </row>
    <row r="177" spans="1:9" x14ac:dyDescent="0.35">
      <c r="A177" s="23">
        <v>983672</v>
      </c>
      <c r="B177" s="24"/>
      <c r="D177" s="13">
        <v>44819</v>
      </c>
      <c r="F177" s="23" t="s">
        <v>790</v>
      </c>
      <c r="G177" s="23" t="s">
        <v>318</v>
      </c>
      <c r="H177" s="23" t="s">
        <v>4</v>
      </c>
      <c r="I177" s="23"/>
    </row>
    <row r="178" spans="1:9" x14ac:dyDescent="0.35">
      <c r="A178" s="23">
        <v>983672</v>
      </c>
      <c r="B178" s="24"/>
      <c r="D178" s="13">
        <v>44819</v>
      </c>
      <c r="F178" s="23" t="s">
        <v>764</v>
      </c>
      <c r="G178" s="23" t="s">
        <v>318</v>
      </c>
      <c r="H178" s="23" t="s">
        <v>5</v>
      </c>
      <c r="I178" s="23"/>
    </row>
    <row r="179" spans="1:9" x14ac:dyDescent="0.35">
      <c r="A179" s="23">
        <v>983721</v>
      </c>
      <c r="B179" s="24"/>
      <c r="D179" s="13">
        <v>44819</v>
      </c>
      <c r="F179" s="23" t="s">
        <v>764</v>
      </c>
      <c r="G179" s="23" t="s">
        <v>318</v>
      </c>
      <c r="H179" s="23" t="s">
        <v>6</v>
      </c>
      <c r="I179" s="23"/>
    </row>
    <row r="180" spans="1:9" x14ac:dyDescent="0.35">
      <c r="A180" s="23">
        <v>983721</v>
      </c>
      <c r="B180" s="24"/>
      <c r="D180" s="13">
        <v>44819</v>
      </c>
      <c r="F180" s="23" t="s">
        <v>764</v>
      </c>
      <c r="G180" s="23" t="s">
        <v>318</v>
      </c>
      <c r="H180" s="23" t="s">
        <v>4</v>
      </c>
      <c r="I180" s="23"/>
    </row>
    <row r="181" spans="1:9" x14ac:dyDescent="0.35">
      <c r="A181" s="23">
        <v>983721</v>
      </c>
      <c r="B181" s="24"/>
      <c r="D181" s="13">
        <v>44819</v>
      </c>
      <c r="F181" s="23" t="s">
        <v>764</v>
      </c>
      <c r="G181" s="23" t="s">
        <v>318</v>
      </c>
      <c r="H181" s="23" t="s">
        <v>5</v>
      </c>
      <c r="I181" s="23"/>
    </row>
    <row r="182" spans="1:9" x14ac:dyDescent="0.35">
      <c r="A182" s="23">
        <v>983725</v>
      </c>
      <c r="B182" s="24"/>
      <c r="D182" s="13">
        <v>44819</v>
      </c>
      <c r="F182" s="23" t="s">
        <v>764</v>
      </c>
      <c r="G182" s="23" t="s">
        <v>318</v>
      </c>
      <c r="H182" s="23" t="s">
        <v>6</v>
      </c>
      <c r="I182" s="23"/>
    </row>
    <row r="183" spans="1:9" x14ac:dyDescent="0.35">
      <c r="A183" s="23">
        <v>983725</v>
      </c>
      <c r="B183" s="24"/>
      <c r="D183" s="13">
        <v>44819</v>
      </c>
      <c r="F183" s="23" t="s">
        <v>764</v>
      </c>
      <c r="G183" s="23" t="s">
        <v>318</v>
      </c>
      <c r="H183" s="23" t="s">
        <v>4</v>
      </c>
      <c r="I183" s="23"/>
    </row>
    <row r="184" spans="1:9" x14ac:dyDescent="0.35">
      <c r="A184" s="23">
        <v>983725</v>
      </c>
      <c r="B184" s="24"/>
      <c r="D184" s="13">
        <v>44819</v>
      </c>
      <c r="F184" s="23" t="s">
        <v>764</v>
      </c>
      <c r="G184" s="23" t="s">
        <v>318</v>
      </c>
      <c r="H184" s="23" t="s">
        <v>5</v>
      </c>
      <c r="I184" s="23"/>
    </row>
    <row r="185" spans="1:9" x14ac:dyDescent="0.35">
      <c r="A185" s="23">
        <v>983762</v>
      </c>
      <c r="B185" s="24"/>
      <c r="D185" s="13">
        <v>44819</v>
      </c>
      <c r="F185" s="23" t="s">
        <v>764</v>
      </c>
      <c r="G185" s="23" t="s">
        <v>318</v>
      </c>
      <c r="H185" s="23" t="s">
        <v>6</v>
      </c>
      <c r="I185" s="23"/>
    </row>
    <row r="186" spans="1:9" x14ac:dyDescent="0.35">
      <c r="A186" s="23">
        <v>983762</v>
      </c>
      <c r="B186" s="24"/>
      <c r="D186" s="13">
        <v>44819</v>
      </c>
      <c r="F186" s="23" t="s">
        <v>764</v>
      </c>
      <c r="G186" s="23" t="s">
        <v>318</v>
      </c>
      <c r="H186" s="23" t="s">
        <v>4</v>
      </c>
      <c r="I186" s="23"/>
    </row>
    <row r="187" spans="1:9" x14ac:dyDescent="0.35">
      <c r="A187" s="23">
        <v>983762</v>
      </c>
      <c r="B187" s="24"/>
      <c r="D187" s="13">
        <v>44819</v>
      </c>
      <c r="F187" s="23" t="s">
        <v>764</v>
      </c>
      <c r="G187" s="23" t="s">
        <v>318</v>
      </c>
      <c r="H187" s="23" t="s">
        <v>5</v>
      </c>
      <c r="I187" s="23"/>
    </row>
    <row r="188" spans="1:9" x14ac:dyDescent="0.35">
      <c r="A188" s="23">
        <v>983763</v>
      </c>
      <c r="B188" s="24"/>
      <c r="D188" s="13">
        <v>44819</v>
      </c>
      <c r="F188" s="23" t="s">
        <v>764</v>
      </c>
      <c r="G188" s="23" t="s">
        <v>318</v>
      </c>
      <c r="H188" s="23" t="s">
        <v>6</v>
      </c>
      <c r="I188" s="23"/>
    </row>
    <row r="189" spans="1:9" x14ac:dyDescent="0.35">
      <c r="A189" s="23">
        <v>983763</v>
      </c>
      <c r="B189" s="24"/>
      <c r="D189" s="13">
        <v>44819</v>
      </c>
      <c r="F189" s="23" t="s">
        <v>764</v>
      </c>
      <c r="G189" s="23" t="s">
        <v>318</v>
      </c>
      <c r="H189" s="23" t="s">
        <v>4</v>
      </c>
      <c r="I189" s="23"/>
    </row>
    <row r="190" spans="1:9" x14ac:dyDescent="0.35">
      <c r="A190" s="23">
        <v>983763</v>
      </c>
      <c r="B190" s="24"/>
      <c r="D190" s="13">
        <v>44819</v>
      </c>
      <c r="F190" s="23" t="s">
        <v>764</v>
      </c>
      <c r="G190" s="23" t="s">
        <v>318</v>
      </c>
      <c r="H190" s="23" t="s">
        <v>5</v>
      </c>
      <c r="I190" s="23"/>
    </row>
    <row r="191" spans="1:9" x14ac:dyDescent="0.35">
      <c r="A191" s="23">
        <v>983810</v>
      </c>
      <c r="B191" s="24"/>
      <c r="D191" s="13">
        <v>44819</v>
      </c>
      <c r="F191" s="23" t="s">
        <v>764</v>
      </c>
      <c r="G191" s="23" t="s">
        <v>318</v>
      </c>
      <c r="H191" s="23" t="s">
        <v>6</v>
      </c>
      <c r="I191" s="23"/>
    </row>
    <row r="192" spans="1:9" x14ac:dyDescent="0.35">
      <c r="A192" s="23">
        <v>983810</v>
      </c>
      <c r="B192" s="24"/>
      <c r="D192" s="13">
        <v>44819</v>
      </c>
      <c r="F192" s="23" t="s">
        <v>764</v>
      </c>
      <c r="G192" s="23" t="s">
        <v>318</v>
      </c>
      <c r="H192" s="23" t="s">
        <v>4</v>
      </c>
      <c r="I192" s="23"/>
    </row>
    <row r="193" spans="1:9" x14ac:dyDescent="0.35">
      <c r="A193" s="23">
        <v>983810</v>
      </c>
      <c r="B193" s="24"/>
      <c r="D193" s="13">
        <v>44819</v>
      </c>
      <c r="F193" s="23" t="s">
        <v>764</v>
      </c>
      <c r="G193" s="23" t="s">
        <v>318</v>
      </c>
      <c r="H193" s="23" t="s">
        <v>5</v>
      </c>
      <c r="I193" s="23"/>
    </row>
    <row r="194" spans="1:9" x14ac:dyDescent="0.35">
      <c r="A194" s="23">
        <v>984005</v>
      </c>
      <c r="B194" s="24"/>
      <c r="D194" s="13">
        <v>44819</v>
      </c>
      <c r="F194" s="23" t="s">
        <v>764</v>
      </c>
      <c r="G194" s="23" t="s">
        <v>318</v>
      </c>
      <c r="H194" s="23" t="s">
        <v>6</v>
      </c>
      <c r="I194" s="23"/>
    </row>
    <row r="195" spans="1:9" x14ac:dyDescent="0.35">
      <c r="A195" s="23">
        <v>984005</v>
      </c>
      <c r="B195" s="24"/>
      <c r="D195" s="13">
        <v>44819</v>
      </c>
      <c r="F195" s="23" t="s">
        <v>764</v>
      </c>
      <c r="G195" s="23" t="s">
        <v>318</v>
      </c>
      <c r="H195" s="23" t="s">
        <v>4</v>
      </c>
      <c r="I195" s="23"/>
    </row>
    <row r="196" spans="1:9" x14ac:dyDescent="0.35">
      <c r="A196" s="23">
        <v>984005</v>
      </c>
      <c r="B196" s="24"/>
      <c r="D196" s="13">
        <v>44819</v>
      </c>
      <c r="F196" s="23" t="s">
        <v>764</v>
      </c>
      <c r="G196" s="23" t="s">
        <v>318</v>
      </c>
      <c r="H196" s="23" t="s">
        <v>5</v>
      </c>
      <c r="I196" s="23"/>
    </row>
    <row r="197" spans="1:9" x14ac:dyDescent="0.35">
      <c r="A197" s="23">
        <v>984032</v>
      </c>
      <c r="B197" s="24"/>
      <c r="D197" s="13">
        <v>44819</v>
      </c>
      <c r="F197" s="23" t="s">
        <v>764</v>
      </c>
      <c r="G197" s="23" t="s">
        <v>318</v>
      </c>
      <c r="H197" s="23" t="s">
        <v>6</v>
      </c>
      <c r="I197" s="23"/>
    </row>
    <row r="198" spans="1:9" x14ac:dyDescent="0.35">
      <c r="A198" s="23">
        <v>984032</v>
      </c>
      <c r="B198" s="24"/>
      <c r="D198" s="13">
        <v>44819</v>
      </c>
      <c r="F198" s="23" t="s">
        <v>764</v>
      </c>
      <c r="G198" s="23" t="s">
        <v>318</v>
      </c>
      <c r="H198" s="23" t="s">
        <v>4</v>
      </c>
      <c r="I198" s="23"/>
    </row>
    <row r="199" spans="1:9" x14ac:dyDescent="0.35">
      <c r="A199" s="23">
        <v>984032</v>
      </c>
      <c r="B199" s="24"/>
      <c r="D199" s="13">
        <v>44819</v>
      </c>
      <c r="F199" s="23" t="s">
        <v>764</v>
      </c>
      <c r="G199" s="23" t="s">
        <v>318</v>
      </c>
      <c r="H199" s="23" t="s">
        <v>5</v>
      </c>
      <c r="I199" s="23"/>
    </row>
    <row r="200" spans="1:9" x14ac:dyDescent="0.35">
      <c r="A200" s="23">
        <v>984050</v>
      </c>
      <c r="B200" s="24"/>
      <c r="D200" s="13">
        <v>44819</v>
      </c>
      <c r="F200" s="23" t="s">
        <v>764</v>
      </c>
      <c r="G200" s="23" t="s">
        <v>318</v>
      </c>
      <c r="H200" s="23" t="s">
        <v>6</v>
      </c>
      <c r="I200" s="23"/>
    </row>
    <row r="201" spans="1:9" x14ac:dyDescent="0.35">
      <c r="A201" s="23">
        <v>984050</v>
      </c>
      <c r="B201" s="24"/>
      <c r="D201" s="13">
        <v>44819</v>
      </c>
      <c r="F201" s="23" t="s">
        <v>764</v>
      </c>
      <c r="G201" s="23" t="s">
        <v>318</v>
      </c>
      <c r="H201" s="23" t="s">
        <v>4</v>
      </c>
      <c r="I201" s="23"/>
    </row>
    <row r="202" spans="1:9" x14ac:dyDescent="0.35">
      <c r="A202" s="23">
        <v>984050</v>
      </c>
      <c r="B202" s="24"/>
      <c r="D202" s="13">
        <v>44819</v>
      </c>
      <c r="F202" s="23" t="s">
        <v>764</v>
      </c>
      <c r="G202" s="23" t="s">
        <v>318</v>
      </c>
      <c r="H202" s="23" t="s">
        <v>5</v>
      </c>
      <c r="I202" s="23"/>
    </row>
    <row r="203" spans="1:9" x14ac:dyDescent="0.35">
      <c r="A203" s="23">
        <v>984071</v>
      </c>
      <c r="B203" s="24"/>
      <c r="D203" s="13">
        <v>44819</v>
      </c>
      <c r="F203" s="23" t="s">
        <v>764</v>
      </c>
      <c r="G203" s="23" t="s">
        <v>318</v>
      </c>
      <c r="H203" s="23" t="s">
        <v>6</v>
      </c>
      <c r="I203" s="23"/>
    </row>
    <row r="204" spans="1:9" x14ac:dyDescent="0.35">
      <c r="A204" s="23">
        <v>984071</v>
      </c>
      <c r="B204" s="24"/>
      <c r="D204" s="13">
        <v>44819</v>
      </c>
      <c r="F204" s="23" t="s">
        <v>764</v>
      </c>
      <c r="G204" s="23" t="s">
        <v>318</v>
      </c>
      <c r="H204" s="23" t="s">
        <v>4</v>
      </c>
      <c r="I204" s="23"/>
    </row>
    <row r="205" spans="1:9" x14ac:dyDescent="0.35">
      <c r="A205" s="23">
        <v>984071</v>
      </c>
      <c r="B205" s="24"/>
      <c r="D205" s="13">
        <v>44819</v>
      </c>
      <c r="F205" s="23" t="s">
        <v>764</v>
      </c>
      <c r="G205" s="23" t="s">
        <v>318</v>
      </c>
      <c r="H205" s="23" t="s">
        <v>5</v>
      </c>
      <c r="I205" s="23"/>
    </row>
    <row r="206" spans="1:9" x14ac:dyDescent="0.35">
      <c r="A206" s="23">
        <v>984080</v>
      </c>
      <c r="B206" s="24"/>
      <c r="D206" s="13">
        <v>44819</v>
      </c>
      <c r="F206" s="23" t="s">
        <v>764</v>
      </c>
      <c r="G206" s="23" t="s">
        <v>318</v>
      </c>
      <c r="H206" s="23" t="s">
        <v>6</v>
      </c>
      <c r="I206" s="23"/>
    </row>
    <row r="207" spans="1:9" x14ac:dyDescent="0.35">
      <c r="A207" s="23">
        <v>984080</v>
      </c>
      <c r="B207" s="24"/>
      <c r="D207" s="13">
        <v>44819</v>
      </c>
      <c r="F207" s="23" t="s">
        <v>764</v>
      </c>
      <c r="G207" s="23" t="s">
        <v>318</v>
      </c>
      <c r="H207" s="23" t="s">
        <v>4</v>
      </c>
      <c r="I207" s="23"/>
    </row>
    <row r="208" spans="1:9" x14ac:dyDescent="0.35">
      <c r="A208" s="23">
        <v>984080</v>
      </c>
      <c r="B208" s="24"/>
      <c r="D208" s="13">
        <v>44819</v>
      </c>
      <c r="F208" s="23" t="s">
        <v>764</v>
      </c>
      <c r="G208" s="23" t="s">
        <v>318</v>
      </c>
      <c r="H208" s="23" t="s">
        <v>5</v>
      </c>
      <c r="I208" s="23"/>
    </row>
    <row r="209" spans="1:9" x14ac:dyDescent="0.35">
      <c r="A209" s="23">
        <v>984161</v>
      </c>
      <c r="B209" s="24"/>
      <c r="D209" s="13">
        <v>44819</v>
      </c>
      <c r="F209" s="23" t="s">
        <v>764</v>
      </c>
      <c r="G209" s="23" t="s">
        <v>318</v>
      </c>
      <c r="H209" s="23" t="s">
        <v>6</v>
      </c>
      <c r="I209" s="23"/>
    </row>
    <row r="210" spans="1:9" x14ac:dyDescent="0.35">
      <c r="A210" s="23">
        <v>984161</v>
      </c>
      <c r="B210" s="24"/>
      <c r="D210" s="13">
        <v>44819</v>
      </c>
      <c r="F210" s="23" t="s">
        <v>764</v>
      </c>
      <c r="G210" s="23" t="s">
        <v>318</v>
      </c>
      <c r="H210" s="23" t="s">
        <v>4</v>
      </c>
      <c r="I210" s="23"/>
    </row>
    <row r="211" spans="1:9" x14ac:dyDescent="0.35">
      <c r="A211" s="23">
        <v>984161</v>
      </c>
      <c r="B211" s="24"/>
      <c r="D211" s="13">
        <v>44819</v>
      </c>
      <c r="F211" s="23" t="s">
        <v>764</v>
      </c>
      <c r="G211" s="23" t="s">
        <v>318</v>
      </c>
      <c r="H211" s="23" t="s">
        <v>5</v>
      </c>
      <c r="I211" s="23"/>
    </row>
    <row r="212" spans="1:9" x14ac:dyDescent="0.35">
      <c r="A212" s="23">
        <v>984460</v>
      </c>
      <c r="B212" s="24"/>
      <c r="D212" s="13">
        <v>44819</v>
      </c>
      <c r="F212" s="23" t="s">
        <v>764</v>
      </c>
      <c r="G212" s="23" t="s">
        <v>318</v>
      </c>
      <c r="H212" s="23" t="s">
        <v>6</v>
      </c>
      <c r="I212" s="23"/>
    </row>
    <row r="213" spans="1:9" x14ac:dyDescent="0.35">
      <c r="A213" s="23">
        <v>984460</v>
      </c>
      <c r="B213" s="24"/>
      <c r="D213" s="13">
        <v>44819</v>
      </c>
      <c r="F213" s="23" t="s">
        <v>764</v>
      </c>
      <c r="G213" s="23" t="s">
        <v>318</v>
      </c>
      <c r="H213" s="23" t="s">
        <v>4</v>
      </c>
      <c r="I213" s="23"/>
    </row>
    <row r="214" spans="1:9" x14ac:dyDescent="0.35">
      <c r="A214" s="23">
        <v>984460</v>
      </c>
      <c r="B214" s="24"/>
      <c r="D214" s="13">
        <v>44819</v>
      </c>
      <c r="F214" s="23" t="s">
        <v>764</v>
      </c>
      <c r="G214" s="23" t="s">
        <v>318</v>
      </c>
      <c r="H214" s="23" t="s">
        <v>5</v>
      </c>
      <c r="I214" s="23"/>
    </row>
    <row r="215" spans="1:9" x14ac:dyDescent="0.35">
      <c r="A215" s="23">
        <v>984461</v>
      </c>
      <c r="B215" s="24"/>
      <c r="D215" s="13">
        <v>44819</v>
      </c>
      <c r="F215" s="23" t="s">
        <v>764</v>
      </c>
      <c r="G215" s="23" t="s">
        <v>318</v>
      </c>
      <c r="H215" s="23" t="s">
        <v>6</v>
      </c>
      <c r="I215" s="23"/>
    </row>
    <row r="216" spans="1:9" x14ac:dyDescent="0.35">
      <c r="A216" s="23">
        <v>984461</v>
      </c>
      <c r="B216" s="24"/>
      <c r="D216" s="13">
        <v>44819</v>
      </c>
      <c r="F216" s="23" t="s">
        <v>764</v>
      </c>
      <c r="G216" s="23" t="s">
        <v>318</v>
      </c>
      <c r="H216" s="23" t="s">
        <v>4</v>
      </c>
      <c r="I216" s="23"/>
    </row>
    <row r="217" spans="1:9" x14ac:dyDescent="0.35">
      <c r="A217" s="23">
        <v>984461</v>
      </c>
      <c r="B217" s="24"/>
      <c r="D217" s="13">
        <v>44819</v>
      </c>
      <c r="F217" s="23" t="s">
        <v>764</v>
      </c>
      <c r="G217" s="23" t="s">
        <v>318</v>
      </c>
      <c r="H217" s="23" t="s">
        <v>5</v>
      </c>
      <c r="I217" s="23"/>
    </row>
    <row r="218" spans="1:9" x14ac:dyDescent="0.35">
      <c r="A218" s="23">
        <v>984500</v>
      </c>
      <c r="B218" s="24"/>
      <c r="D218" s="13">
        <v>44819</v>
      </c>
      <c r="F218" s="23" t="s">
        <v>764</v>
      </c>
      <c r="G218" s="23" t="s">
        <v>318</v>
      </c>
      <c r="H218" s="23" t="s">
        <v>6</v>
      </c>
      <c r="I218" s="23"/>
    </row>
    <row r="219" spans="1:9" x14ac:dyDescent="0.35">
      <c r="A219" s="23">
        <v>984500</v>
      </c>
      <c r="B219" s="24"/>
      <c r="D219" s="13">
        <v>44819</v>
      </c>
      <c r="F219" s="23" t="s">
        <v>764</v>
      </c>
      <c r="G219" s="23" t="s">
        <v>318</v>
      </c>
      <c r="H219" s="23" t="s">
        <v>4</v>
      </c>
      <c r="I219" s="23"/>
    </row>
    <row r="220" spans="1:9" x14ac:dyDescent="0.35">
      <c r="A220" s="23">
        <v>984500</v>
      </c>
      <c r="B220" s="24"/>
      <c r="D220" s="13">
        <v>44819</v>
      </c>
      <c r="F220" s="23" t="s">
        <v>764</v>
      </c>
      <c r="G220" s="23" t="s">
        <v>318</v>
      </c>
      <c r="H220" s="23" t="s">
        <v>5</v>
      </c>
      <c r="I220" s="23"/>
    </row>
    <row r="221" spans="1:9" x14ac:dyDescent="0.35">
      <c r="A221" s="23">
        <v>984541</v>
      </c>
      <c r="B221" s="24"/>
      <c r="D221" s="13">
        <v>44819</v>
      </c>
      <c r="F221" s="23" t="s">
        <v>764</v>
      </c>
      <c r="G221" s="23" t="s">
        <v>318</v>
      </c>
      <c r="H221" s="23" t="s">
        <v>6</v>
      </c>
      <c r="I221" s="23"/>
    </row>
    <row r="222" spans="1:9" x14ac:dyDescent="0.35">
      <c r="A222" s="23">
        <v>984541</v>
      </c>
      <c r="B222" s="24"/>
      <c r="D222" s="13">
        <v>44819</v>
      </c>
      <c r="F222" s="23" t="s">
        <v>764</v>
      </c>
      <c r="G222" s="23" t="s">
        <v>318</v>
      </c>
      <c r="H222" s="23" t="s">
        <v>4</v>
      </c>
      <c r="I222" s="23"/>
    </row>
    <row r="223" spans="1:9" x14ac:dyDescent="0.35">
      <c r="A223" s="23">
        <v>984541</v>
      </c>
      <c r="B223" s="24"/>
      <c r="D223" s="13">
        <v>44819</v>
      </c>
      <c r="F223" s="23" t="s">
        <v>764</v>
      </c>
      <c r="G223" s="23" t="s">
        <v>318</v>
      </c>
      <c r="H223" s="23" t="s">
        <v>5</v>
      </c>
      <c r="I223" s="23"/>
    </row>
    <row r="224" spans="1:9" x14ac:dyDescent="0.35">
      <c r="A224" s="23">
        <v>984542</v>
      </c>
      <c r="B224" s="24"/>
      <c r="D224" s="13">
        <v>44819</v>
      </c>
      <c r="F224" s="23" t="s">
        <v>764</v>
      </c>
      <c r="G224" s="23" t="s">
        <v>318</v>
      </c>
      <c r="H224" s="23" t="s">
        <v>6</v>
      </c>
      <c r="I224" s="23"/>
    </row>
    <row r="225" spans="1:9" x14ac:dyDescent="0.35">
      <c r="A225" s="23">
        <v>984542</v>
      </c>
      <c r="B225" s="24"/>
      <c r="D225" s="13">
        <v>44819</v>
      </c>
      <c r="F225" s="23" t="s">
        <v>764</v>
      </c>
      <c r="G225" s="23" t="s">
        <v>318</v>
      </c>
      <c r="H225" s="23" t="s">
        <v>4</v>
      </c>
      <c r="I225" s="23"/>
    </row>
    <row r="226" spans="1:9" x14ac:dyDescent="0.35">
      <c r="A226" s="23">
        <v>984542</v>
      </c>
      <c r="B226" s="24"/>
      <c r="D226" s="13">
        <v>44819</v>
      </c>
      <c r="F226" s="23" t="s">
        <v>764</v>
      </c>
      <c r="G226" s="23" t="s">
        <v>318</v>
      </c>
      <c r="H226" s="23" t="s">
        <v>5</v>
      </c>
      <c r="I226" s="23"/>
    </row>
    <row r="227" spans="1:9" x14ac:dyDescent="0.35">
      <c r="A227" s="23">
        <v>984582</v>
      </c>
      <c r="B227" s="24"/>
      <c r="D227" s="13">
        <v>44819</v>
      </c>
      <c r="F227" s="23" t="s">
        <v>764</v>
      </c>
      <c r="G227" s="23" t="s">
        <v>318</v>
      </c>
      <c r="H227" s="23" t="s">
        <v>6</v>
      </c>
      <c r="I227" s="23"/>
    </row>
    <row r="228" spans="1:9" x14ac:dyDescent="0.35">
      <c r="A228" s="23">
        <v>984582</v>
      </c>
      <c r="B228" s="24"/>
      <c r="D228" s="13">
        <v>44819</v>
      </c>
      <c r="F228" s="23" t="s">
        <v>764</v>
      </c>
      <c r="G228" s="23" t="s">
        <v>318</v>
      </c>
      <c r="H228" s="23" t="s">
        <v>4</v>
      </c>
      <c r="I228" s="23"/>
    </row>
    <row r="229" spans="1:9" x14ac:dyDescent="0.35">
      <c r="A229" s="23">
        <v>984582</v>
      </c>
      <c r="B229" s="24"/>
      <c r="D229" s="13">
        <v>44819</v>
      </c>
      <c r="F229" s="23" t="s">
        <v>764</v>
      </c>
      <c r="G229" s="23" t="s">
        <v>318</v>
      </c>
      <c r="H229" s="23" t="s">
        <v>5</v>
      </c>
      <c r="I229" s="23"/>
    </row>
    <row r="230" spans="1:9" x14ac:dyDescent="0.35">
      <c r="A230" s="23">
        <v>984620</v>
      </c>
      <c r="B230" s="24"/>
      <c r="D230" s="13">
        <v>44819</v>
      </c>
      <c r="F230" s="23" t="s">
        <v>764</v>
      </c>
      <c r="G230" s="23" t="s">
        <v>318</v>
      </c>
      <c r="H230" s="23" t="s">
        <v>6</v>
      </c>
      <c r="I230" s="23"/>
    </row>
    <row r="231" spans="1:9" x14ac:dyDescent="0.35">
      <c r="A231" s="23">
        <v>984620</v>
      </c>
      <c r="B231" s="24"/>
      <c r="D231" s="13">
        <v>44819</v>
      </c>
      <c r="F231" s="23" t="s">
        <v>764</v>
      </c>
      <c r="G231" s="23" t="s">
        <v>318</v>
      </c>
      <c r="H231" s="23" t="s">
        <v>4</v>
      </c>
      <c r="I231" s="23"/>
    </row>
    <row r="232" spans="1:9" x14ac:dyDescent="0.35">
      <c r="A232" s="23">
        <v>984620</v>
      </c>
      <c r="B232" s="24"/>
      <c r="D232" s="13">
        <v>44819</v>
      </c>
      <c r="F232" s="23" t="s">
        <v>764</v>
      </c>
      <c r="G232" s="23" t="s">
        <v>318</v>
      </c>
      <c r="H232" s="23" t="s">
        <v>5</v>
      </c>
      <c r="I232" s="23"/>
    </row>
    <row r="233" spans="1:9" x14ac:dyDescent="0.35">
      <c r="A233" s="23">
        <v>984621</v>
      </c>
      <c r="B233" s="24"/>
      <c r="D233" s="13">
        <v>44819</v>
      </c>
      <c r="F233" s="23" t="s">
        <v>764</v>
      </c>
      <c r="G233" s="23" t="s">
        <v>318</v>
      </c>
      <c r="H233" s="23" t="s">
        <v>6</v>
      </c>
      <c r="I233" s="23"/>
    </row>
    <row r="234" spans="1:9" x14ac:dyDescent="0.35">
      <c r="A234" s="23">
        <v>984621</v>
      </c>
      <c r="B234" s="24"/>
      <c r="D234" s="13">
        <v>44819</v>
      </c>
      <c r="F234" s="23" t="s">
        <v>764</v>
      </c>
      <c r="G234" s="23" t="s">
        <v>318</v>
      </c>
      <c r="H234" s="23" t="s">
        <v>4</v>
      </c>
      <c r="I234" s="23"/>
    </row>
    <row r="235" spans="1:9" x14ac:dyDescent="0.35">
      <c r="A235" s="23">
        <v>984621</v>
      </c>
      <c r="B235" s="24"/>
      <c r="D235" s="13">
        <v>44819</v>
      </c>
      <c r="F235" s="23" t="s">
        <v>764</v>
      </c>
      <c r="G235" s="23" t="s">
        <v>318</v>
      </c>
      <c r="H235" s="23" t="s">
        <v>5</v>
      </c>
      <c r="I235" s="23"/>
    </row>
    <row r="236" spans="1:9" x14ac:dyDescent="0.35">
      <c r="A236" s="23">
        <v>984700</v>
      </c>
      <c r="B236" s="24"/>
      <c r="D236" s="13">
        <v>44819</v>
      </c>
      <c r="F236" s="23" t="s">
        <v>764</v>
      </c>
      <c r="G236" s="23" t="s">
        <v>318</v>
      </c>
      <c r="H236" s="23" t="s">
        <v>6</v>
      </c>
      <c r="I236" s="23"/>
    </row>
    <row r="237" spans="1:9" x14ac:dyDescent="0.35">
      <c r="A237" s="23">
        <v>984700</v>
      </c>
      <c r="B237" s="24"/>
      <c r="D237" s="13">
        <v>44819</v>
      </c>
      <c r="F237" s="23" t="s">
        <v>764</v>
      </c>
      <c r="G237" s="23" t="s">
        <v>318</v>
      </c>
      <c r="H237" s="23" t="s">
        <v>4</v>
      </c>
      <c r="I237" s="23"/>
    </row>
    <row r="238" spans="1:9" x14ac:dyDescent="0.35">
      <c r="A238" s="23">
        <v>984700</v>
      </c>
      <c r="B238" s="24"/>
      <c r="D238" s="13">
        <v>44819</v>
      </c>
      <c r="F238" s="23" t="s">
        <v>764</v>
      </c>
      <c r="G238" s="23" t="s">
        <v>318</v>
      </c>
      <c r="H238" s="23" t="s">
        <v>5</v>
      </c>
      <c r="I238" s="23"/>
    </row>
    <row r="239" spans="1:9" x14ac:dyDescent="0.35">
      <c r="A239" s="23">
        <v>984702</v>
      </c>
      <c r="B239" s="24"/>
      <c r="D239" s="13">
        <v>44819</v>
      </c>
      <c r="F239" s="23" t="s">
        <v>764</v>
      </c>
      <c r="G239" s="23" t="s">
        <v>318</v>
      </c>
      <c r="H239" s="23" t="s">
        <v>6</v>
      </c>
      <c r="I239" s="23"/>
    </row>
    <row r="240" spans="1:9" x14ac:dyDescent="0.35">
      <c r="A240" s="23">
        <v>984702</v>
      </c>
      <c r="B240" s="24"/>
      <c r="D240" s="13">
        <v>44819</v>
      </c>
      <c r="F240" s="23" t="s">
        <v>764</v>
      </c>
      <c r="G240" s="23" t="s">
        <v>318</v>
      </c>
      <c r="H240" s="23" t="s">
        <v>4</v>
      </c>
      <c r="I240" s="23"/>
    </row>
    <row r="241" spans="1:9" x14ac:dyDescent="0.35">
      <c r="A241" s="23">
        <v>984702</v>
      </c>
      <c r="B241" s="24"/>
      <c r="D241" s="13">
        <v>44819</v>
      </c>
      <c r="F241" s="23" t="s">
        <v>764</v>
      </c>
      <c r="G241" s="23" t="s">
        <v>318</v>
      </c>
      <c r="H241" s="23" t="s">
        <v>5</v>
      </c>
      <c r="I241" s="23"/>
    </row>
    <row r="242" spans="1:9" x14ac:dyDescent="0.35">
      <c r="A242" s="23">
        <v>984831</v>
      </c>
      <c r="B242" s="24"/>
      <c r="D242" s="13">
        <v>44819</v>
      </c>
      <c r="F242" s="23" t="s">
        <v>764</v>
      </c>
      <c r="G242" s="23" t="s">
        <v>318</v>
      </c>
      <c r="H242" s="23" t="s">
        <v>6</v>
      </c>
      <c r="I242" s="23"/>
    </row>
    <row r="243" spans="1:9" x14ac:dyDescent="0.35">
      <c r="A243" s="23">
        <v>984831</v>
      </c>
      <c r="B243" s="24"/>
      <c r="D243" s="13">
        <v>44819</v>
      </c>
      <c r="F243" s="23" t="s">
        <v>764</v>
      </c>
      <c r="G243" s="23" t="s">
        <v>318</v>
      </c>
      <c r="H243" s="23" t="s">
        <v>4</v>
      </c>
      <c r="I243" s="23"/>
    </row>
    <row r="244" spans="1:9" x14ac:dyDescent="0.35">
      <c r="A244" s="23">
        <v>984831</v>
      </c>
      <c r="B244" s="24"/>
      <c r="D244" s="13">
        <v>44819</v>
      </c>
      <c r="F244" s="23" t="s">
        <v>764</v>
      </c>
      <c r="G244" s="23" t="s">
        <v>318</v>
      </c>
      <c r="H244" s="23" t="s">
        <v>5</v>
      </c>
      <c r="I244" s="23"/>
    </row>
    <row r="245" spans="1:9" x14ac:dyDescent="0.35">
      <c r="A245" s="23">
        <v>984910</v>
      </c>
      <c r="B245" s="24"/>
      <c r="D245" s="13">
        <v>44819</v>
      </c>
      <c r="F245" s="23" t="s">
        <v>764</v>
      </c>
      <c r="G245" s="23" t="s">
        <v>318</v>
      </c>
      <c r="H245" s="23" t="s">
        <v>6</v>
      </c>
      <c r="I245" s="23"/>
    </row>
    <row r="246" spans="1:9" x14ac:dyDescent="0.35">
      <c r="A246" s="23">
        <v>984910</v>
      </c>
      <c r="B246" s="24"/>
      <c r="D246" s="13">
        <v>44819</v>
      </c>
      <c r="F246" s="23" t="s">
        <v>764</v>
      </c>
      <c r="G246" s="23" t="s">
        <v>318</v>
      </c>
      <c r="H246" s="23" t="s">
        <v>4</v>
      </c>
      <c r="I246" s="23"/>
    </row>
    <row r="247" spans="1:9" x14ac:dyDescent="0.35">
      <c r="A247" s="23">
        <v>984910</v>
      </c>
      <c r="B247" s="24"/>
      <c r="D247" s="13">
        <v>44819</v>
      </c>
      <c r="F247" s="23" t="s">
        <v>764</v>
      </c>
      <c r="G247" s="23" t="s">
        <v>318</v>
      </c>
      <c r="H247" s="23" t="s">
        <v>5</v>
      </c>
      <c r="I247" s="23"/>
    </row>
    <row r="248" spans="1:9" x14ac:dyDescent="0.35">
      <c r="A248" s="23">
        <v>984911</v>
      </c>
      <c r="B248" s="24"/>
      <c r="D248" s="13">
        <v>44819</v>
      </c>
      <c r="F248" s="23" t="s">
        <v>764</v>
      </c>
      <c r="G248" s="23" t="s">
        <v>318</v>
      </c>
      <c r="H248" s="23" t="s">
        <v>6</v>
      </c>
      <c r="I248" s="23"/>
    </row>
    <row r="249" spans="1:9" x14ac:dyDescent="0.35">
      <c r="A249" s="23">
        <v>984911</v>
      </c>
      <c r="B249" s="24"/>
      <c r="D249" s="13">
        <v>44819</v>
      </c>
      <c r="F249" s="23" t="s">
        <v>764</v>
      </c>
      <c r="G249" s="23" t="s">
        <v>318</v>
      </c>
      <c r="H249" s="23" t="s">
        <v>4</v>
      </c>
      <c r="I249" s="23"/>
    </row>
    <row r="250" spans="1:9" x14ac:dyDescent="0.35">
      <c r="A250" s="23">
        <v>984911</v>
      </c>
      <c r="B250" s="24"/>
      <c r="D250" s="13">
        <v>44819</v>
      </c>
      <c r="F250" s="23" t="s">
        <v>764</v>
      </c>
      <c r="G250" s="23" t="s">
        <v>318</v>
      </c>
      <c r="H250" s="23" t="s">
        <v>5</v>
      </c>
      <c r="I250" s="23"/>
    </row>
    <row r="251" spans="1:9" x14ac:dyDescent="0.35">
      <c r="A251" s="23">
        <v>984912</v>
      </c>
      <c r="B251" s="24"/>
      <c r="D251" s="13">
        <v>44819</v>
      </c>
      <c r="F251" s="23" t="s">
        <v>764</v>
      </c>
      <c r="G251" s="23" t="s">
        <v>318</v>
      </c>
      <c r="H251" s="23" t="s">
        <v>6</v>
      </c>
      <c r="I251" s="23"/>
    </row>
    <row r="252" spans="1:9" x14ac:dyDescent="0.35">
      <c r="A252" s="23">
        <v>984912</v>
      </c>
      <c r="B252" s="24"/>
      <c r="D252" s="13">
        <v>44819</v>
      </c>
      <c r="F252" s="23" t="s">
        <v>764</v>
      </c>
      <c r="G252" s="23" t="s">
        <v>318</v>
      </c>
      <c r="H252" s="23" t="s">
        <v>4</v>
      </c>
      <c r="I252" s="23"/>
    </row>
    <row r="253" spans="1:9" x14ac:dyDescent="0.35">
      <c r="A253" s="23">
        <v>984912</v>
      </c>
      <c r="B253" s="24"/>
      <c r="D253" s="13">
        <v>44819</v>
      </c>
      <c r="F253" s="23" t="s">
        <v>764</v>
      </c>
      <c r="G253" s="23" t="s">
        <v>318</v>
      </c>
      <c r="H253" s="23" t="s">
        <v>5</v>
      </c>
      <c r="I253" s="23"/>
    </row>
    <row r="254" spans="1:9" x14ac:dyDescent="0.35">
      <c r="A254" s="23">
        <v>985011</v>
      </c>
      <c r="B254" s="24"/>
      <c r="D254" s="13">
        <v>44819</v>
      </c>
      <c r="F254" s="23" t="s">
        <v>764</v>
      </c>
      <c r="G254" s="23" t="s">
        <v>318</v>
      </c>
      <c r="H254" s="23" t="s">
        <v>6</v>
      </c>
      <c r="I254" s="23"/>
    </row>
    <row r="255" spans="1:9" x14ac:dyDescent="0.35">
      <c r="A255" s="23">
        <v>985011</v>
      </c>
      <c r="B255" s="24"/>
      <c r="D255" s="13">
        <v>44819</v>
      </c>
      <c r="F255" s="23" t="s">
        <v>764</v>
      </c>
      <c r="G255" s="23" t="s">
        <v>318</v>
      </c>
      <c r="H255" s="23" t="s">
        <v>4</v>
      </c>
      <c r="I255" s="23"/>
    </row>
    <row r="256" spans="1:9" x14ac:dyDescent="0.35">
      <c r="A256" s="23">
        <v>985011</v>
      </c>
      <c r="B256" s="24"/>
      <c r="D256" s="13">
        <v>44819</v>
      </c>
      <c r="F256" s="23" t="s">
        <v>764</v>
      </c>
      <c r="G256" s="23" t="s">
        <v>318</v>
      </c>
      <c r="H256" s="23" t="s">
        <v>5</v>
      </c>
      <c r="I256" s="23"/>
    </row>
    <row r="257" spans="1:9" x14ac:dyDescent="0.35">
      <c r="A257" s="23">
        <v>985060</v>
      </c>
      <c r="B257" s="24"/>
      <c r="D257" s="13">
        <v>44819</v>
      </c>
      <c r="F257" s="23" t="s">
        <v>764</v>
      </c>
      <c r="G257" s="23" t="s">
        <v>318</v>
      </c>
      <c r="H257" s="23" t="s">
        <v>6</v>
      </c>
      <c r="I257" s="23"/>
    </row>
    <row r="258" spans="1:9" x14ac:dyDescent="0.35">
      <c r="A258" s="23">
        <v>985060</v>
      </c>
      <c r="B258" s="24"/>
      <c r="D258" s="13">
        <v>44819</v>
      </c>
      <c r="F258" s="23" t="s">
        <v>764</v>
      </c>
      <c r="G258" s="23" t="s">
        <v>318</v>
      </c>
      <c r="H258" s="23" t="s">
        <v>4</v>
      </c>
      <c r="I258" s="23"/>
    </row>
    <row r="259" spans="1:9" x14ac:dyDescent="0.35">
      <c r="A259" s="23">
        <v>985060</v>
      </c>
      <c r="B259" s="24"/>
      <c r="D259" s="13">
        <v>44819</v>
      </c>
      <c r="F259" s="23" t="s">
        <v>764</v>
      </c>
      <c r="G259" s="23" t="s">
        <v>318</v>
      </c>
      <c r="H259" s="23" t="s">
        <v>5</v>
      </c>
      <c r="I259" s="23"/>
    </row>
    <row r="260" spans="1:9" x14ac:dyDescent="0.35">
      <c r="A260" s="23">
        <v>985111</v>
      </c>
      <c r="B260" s="24"/>
      <c r="D260" s="13">
        <v>44819</v>
      </c>
      <c r="F260" s="23" t="s">
        <v>764</v>
      </c>
      <c r="G260" s="23" t="s">
        <v>318</v>
      </c>
      <c r="H260" s="23" t="s">
        <v>6</v>
      </c>
      <c r="I260" s="23"/>
    </row>
    <row r="261" spans="1:9" x14ac:dyDescent="0.35">
      <c r="A261" s="23">
        <v>985111</v>
      </c>
      <c r="B261" s="24"/>
      <c r="D261" s="13">
        <v>44819</v>
      </c>
      <c r="F261" s="23" t="s">
        <v>764</v>
      </c>
      <c r="G261" s="23" t="s">
        <v>318</v>
      </c>
      <c r="H261" s="23" t="s">
        <v>4</v>
      </c>
      <c r="I261" s="23"/>
    </row>
    <row r="262" spans="1:9" x14ac:dyDescent="0.35">
      <c r="A262" s="23">
        <v>985111</v>
      </c>
      <c r="B262" s="24"/>
      <c r="D262" s="13">
        <v>44819</v>
      </c>
      <c r="F262" s="23" t="s">
        <v>764</v>
      </c>
      <c r="G262" s="23" t="s">
        <v>318</v>
      </c>
      <c r="H262" s="23" t="s">
        <v>5</v>
      </c>
      <c r="I262" s="23"/>
    </row>
    <row r="263" spans="1:9" x14ac:dyDescent="0.35">
      <c r="A263" s="23">
        <v>985160</v>
      </c>
      <c r="B263" s="24"/>
      <c r="D263" s="13">
        <v>44819</v>
      </c>
      <c r="F263" s="23" t="s">
        <v>764</v>
      </c>
      <c r="G263" s="23" t="s">
        <v>318</v>
      </c>
      <c r="H263" s="23" t="s">
        <v>6</v>
      </c>
      <c r="I263" s="23"/>
    </row>
    <row r="264" spans="1:9" x14ac:dyDescent="0.35">
      <c r="A264" s="23">
        <v>985160</v>
      </c>
      <c r="B264" s="24"/>
      <c r="D264" s="13">
        <v>44819</v>
      </c>
      <c r="F264" s="23" t="s">
        <v>764</v>
      </c>
      <c r="G264" s="23" t="s">
        <v>318</v>
      </c>
      <c r="H264" s="23" t="s">
        <v>4</v>
      </c>
      <c r="I264" s="23"/>
    </row>
    <row r="265" spans="1:9" x14ac:dyDescent="0.35">
      <c r="A265" s="23">
        <v>985160</v>
      </c>
      <c r="B265" s="24"/>
      <c r="D265" s="13">
        <v>44819</v>
      </c>
      <c r="F265" s="23" t="s">
        <v>764</v>
      </c>
      <c r="G265" s="23" t="s">
        <v>318</v>
      </c>
      <c r="H265" s="23" t="s">
        <v>5</v>
      </c>
      <c r="I265" s="23"/>
    </row>
    <row r="266" spans="1:9" x14ac:dyDescent="0.35">
      <c r="A266" s="23">
        <v>985190</v>
      </c>
      <c r="B266" s="24"/>
      <c r="D266" s="13">
        <v>44819</v>
      </c>
      <c r="F266" s="23" t="s">
        <v>764</v>
      </c>
      <c r="G266" s="23" t="s">
        <v>318</v>
      </c>
      <c r="H266" s="23" t="s">
        <v>6</v>
      </c>
      <c r="I266" s="23"/>
    </row>
    <row r="267" spans="1:9" x14ac:dyDescent="0.35">
      <c r="A267" s="23">
        <v>985190</v>
      </c>
      <c r="B267" s="24"/>
      <c r="D267" s="13">
        <v>44819</v>
      </c>
      <c r="F267" s="23" t="s">
        <v>764</v>
      </c>
      <c r="G267" s="23" t="s">
        <v>318</v>
      </c>
      <c r="H267" s="23" t="s">
        <v>4</v>
      </c>
      <c r="I267" s="23"/>
    </row>
    <row r="268" spans="1:9" x14ac:dyDescent="0.35">
      <c r="A268" s="23">
        <v>985190</v>
      </c>
      <c r="B268" s="24"/>
      <c r="D268" s="13">
        <v>44819</v>
      </c>
      <c r="F268" s="23" t="s">
        <v>764</v>
      </c>
      <c r="G268" s="23" t="s">
        <v>318</v>
      </c>
      <c r="H268" s="23" t="s">
        <v>5</v>
      </c>
      <c r="I268" s="23"/>
    </row>
    <row r="269" spans="1:9" x14ac:dyDescent="0.35">
      <c r="A269" s="23">
        <v>985601</v>
      </c>
      <c r="B269" s="24"/>
      <c r="D269" s="13">
        <v>44819</v>
      </c>
      <c r="F269" s="23" t="s">
        <v>764</v>
      </c>
      <c r="G269" s="23" t="s">
        <v>318</v>
      </c>
      <c r="H269" s="23" t="s">
        <v>6</v>
      </c>
      <c r="I269" s="23"/>
    </row>
    <row r="270" spans="1:9" x14ac:dyDescent="0.35">
      <c r="A270" s="23">
        <v>985601</v>
      </c>
      <c r="B270" s="24"/>
      <c r="D270" s="13">
        <v>44819</v>
      </c>
      <c r="F270" s="23" t="s">
        <v>764</v>
      </c>
      <c r="G270" s="23" t="s">
        <v>318</v>
      </c>
      <c r="H270" s="23" t="s">
        <v>4</v>
      </c>
      <c r="I270" s="23"/>
    </row>
    <row r="271" spans="1:9" x14ac:dyDescent="0.35">
      <c r="A271" s="23">
        <v>985601</v>
      </c>
      <c r="B271" s="24"/>
      <c r="D271" s="13">
        <v>44819</v>
      </c>
      <c r="F271" s="23" t="s">
        <v>764</v>
      </c>
      <c r="G271" s="23" t="s">
        <v>318</v>
      </c>
      <c r="H271" s="23" t="s">
        <v>5</v>
      </c>
      <c r="I271" s="23"/>
    </row>
    <row r="272" spans="1:9" x14ac:dyDescent="0.35">
      <c r="A272" s="23">
        <v>985605</v>
      </c>
      <c r="B272" s="24"/>
      <c r="D272" s="13">
        <v>44819</v>
      </c>
      <c r="F272" s="23" t="s">
        <v>764</v>
      </c>
      <c r="G272" s="23" t="s">
        <v>318</v>
      </c>
      <c r="H272" s="23" t="s">
        <v>6</v>
      </c>
      <c r="I272" s="23"/>
    </row>
    <row r="273" spans="1:9" x14ac:dyDescent="0.35">
      <c r="A273" s="23">
        <v>985605</v>
      </c>
      <c r="B273" s="24"/>
      <c r="D273" s="13">
        <v>44819</v>
      </c>
      <c r="F273" s="23" t="s">
        <v>764</v>
      </c>
      <c r="G273" s="23" t="s">
        <v>318</v>
      </c>
      <c r="H273" s="23" t="s">
        <v>4</v>
      </c>
      <c r="I273" s="23"/>
    </row>
    <row r="274" spans="1:9" x14ac:dyDescent="0.35">
      <c r="A274" s="23">
        <v>985605</v>
      </c>
      <c r="B274" s="24"/>
      <c r="D274" s="13">
        <v>44819</v>
      </c>
      <c r="F274" s="23" t="s">
        <v>764</v>
      </c>
      <c r="G274" s="23" t="s">
        <v>318</v>
      </c>
      <c r="H274" s="23" t="s">
        <v>5</v>
      </c>
      <c r="I274" s="23"/>
    </row>
    <row r="275" spans="1:9" x14ac:dyDescent="0.35">
      <c r="A275" s="23">
        <v>985612</v>
      </c>
      <c r="B275" s="24"/>
      <c r="D275" s="13">
        <v>44819</v>
      </c>
      <c r="F275" s="23" t="s">
        <v>764</v>
      </c>
      <c r="G275" s="23" t="s">
        <v>318</v>
      </c>
      <c r="H275" s="23" t="s">
        <v>6</v>
      </c>
      <c r="I275" s="23"/>
    </row>
    <row r="276" spans="1:9" x14ac:dyDescent="0.35">
      <c r="A276" s="23">
        <v>985612</v>
      </c>
      <c r="B276" s="24"/>
      <c r="D276" s="13">
        <v>44819</v>
      </c>
      <c r="F276" s="23" t="s">
        <v>764</v>
      </c>
      <c r="G276" s="23" t="s">
        <v>318</v>
      </c>
      <c r="H276" s="23" t="s">
        <v>4</v>
      </c>
      <c r="I276" s="23"/>
    </row>
    <row r="277" spans="1:9" x14ac:dyDescent="0.35">
      <c r="A277" s="23">
        <v>985612</v>
      </c>
      <c r="B277" s="24"/>
      <c r="D277" s="13">
        <v>44819</v>
      </c>
      <c r="F277" s="23" t="s">
        <v>764</v>
      </c>
      <c r="G277" s="23" t="s">
        <v>318</v>
      </c>
      <c r="H277" s="23" t="s">
        <v>5</v>
      </c>
      <c r="I277" s="23"/>
    </row>
    <row r="278" spans="1:9" x14ac:dyDescent="0.35">
      <c r="A278" s="23">
        <v>985613</v>
      </c>
      <c r="B278" s="24"/>
      <c r="D278" s="13">
        <v>44819</v>
      </c>
      <c r="F278" s="23" t="s">
        <v>764</v>
      </c>
      <c r="G278" s="23" t="s">
        <v>318</v>
      </c>
      <c r="H278" s="23" t="s">
        <v>6</v>
      </c>
      <c r="I278" s="23"/>
    </row>
    <row r="279" spans="1:9" x14ac:dyDescent="0.35">
      <c r="A279" s="23">
        <v>985613</v>
      </c>
      <c r="B279" s="24"/>
      <c r="D279" s="13">
        <v>44819</v>
      </c>
      <c r="F279" s="23" t="s">
        <v>764</v>
      </c>
      <c r="G279" s="23" t="s">
        <v>318</v>
      </c>
      <c r="H279" s="23" t="s">
        <v>4</v>
      </c>
      <c r="I279" s="23"/>
    </row>
    <row r="280" spans="1:9" x14ac:dyDescent="0.35">
      <c r="A280" s="23">
        <v>985613</v>
      </c>
      <c r="B280" s="24"/>
      <c r="D280" s="13">
        <v>44819</v>
      </c>
      <c r="F280" s="23" t="s">
        <v>764</v>
      </c>
      <c r="G280" s="23" t="s">
        <v>318</v>
      </c>
      <c r="H280" s="23" t="s">
        <v>5</v>
      </c>
      <c r="I280" s="23"/>
    </row>
    <row r="281" spans="1:9" x14ac:dyDescent="0.35">
      <c r="A281" s="23">
        <v>985614</v>
      </c>
      <c r="B281" s="24"/>
      <c r="D281" s="13">
        <v>44819</v>
      </c>
      <c r="F281" s="23" t="s">
        <v>764</v>
      </c>
      <c r="G281" s="23" t="s">
        <v>318</v>
      </c>
      <c r="H281" s="23" t="s">
        <v>6</v>
      </c>
      <c r="I281" s="23"/>
    </row>
    <row r="282" spans="1:9" x14ac:dyDescent="0.35">
      <c r="A282" s="23">
        <v>985614</v>
      </c>
      <c r="B282" s="24"/>
      <c r="D282" s="13">
        <v>44819</v>
      </c>
      <c r="F282" s="23" t="s">
        <v>764</v>
      </c>
      <c r="G282" s="23" t="s">
        <v>318</v>
      </c>
      <c r="H282" s="23" t="s">
        <v>4</v>
      </c>
      <c r="I282" s="23"/>
    </row>
    <row r="283" spans="1:9" x14ac:dyDescent="0.35">
      <c r="A283" s="23">
        <v>985614</v>
      </c>
      <c r="B283" s="24"/>
      <c r="D283" s="13">
        <v>44819</v>
      </c>
      <c r="F283" s="23" t="s">
        <v>764</v>
      </c>
      <c r="G283" s="23" t="s">
        <v>318</v>
      </c>
      <c r="H283" s="23" t="s">
        <v>5</v>
      </c>
      <c r="I283" s="23"/>
    </row>
    <row r="284" spans="1:9" x14ac:dyDescent="0.35">
      <c r="A284" s="23">
        <v>985630</v>
      </c>
      <c r="B284" s="24"/>
      <c r="D284" s="13">
        <v>44819</v>
      </c>
      <c r="F284" s="23" t="s">
        <v>764</v>
      </c>
      <c r="G284" s="23" t="s">
        <v>318</v>
      </c>
      <c r="H284" s="23" t="s">
        <v>6</v>
      </c>
      <c r="I284" s="23"/>
    </row>
    <row r="285" spans="1:9" x14ac:dyDescent="0.35">
      <c r="A285" s="23">
        <v>985630</v>
      </c>
      <c r="B285" s="24"/>
      <c r="D285" s="13">
        <v>44819</v>
      </c>
      <c r="F285" s="23" t="s">
        <v>764</v>
      </c>
      <c r="G285" s="23" t="s">
        <v>318</v>
      </c>
      <c r="H285" s="23" t="s">
        <v>4</v>
      </c>
      <c r="I285" s="23"/>
    </row>
    <row r="286" spans="1:9" x14ac:dyDescent="0.35">
      <c r="A286" s="23">
        <v>985630</v>
      </c>
      <c r="B286" s="24"/>
      <c r="D286" s="13">
        <v>44819</v>
      </c>
      <c r="F286" s="23" t="s">
        <v>764</v>
      </c>
      <c r="G286" s="23" t="s">
        <v>318</v>
      </c>
      <c r="H286" s="23" t="s">
        <v>5</v>
      </c>
      <c r="I286" s="23"/>
    </row>
    <row r="287" spans="1:9" x14ac:dyDescent="0.35">
      <c r="A287" s="23">
        <v>985650</v>
      </c>
      <c r="B287" s="24"/>
      <c r="D287" s="13">
        <v>44819</v>
      </c>
      <c r="F287" s="23" t="s">
        <v>764</v>
      </c>
      <c r="G287" s="23" t="s">
        <v>318</v>
      </c>
      <c r="H287" s="23" t="s">
        <v>6</v>
      </c>
      <c r="I287" s="23"/>
    </row>
    <row r="288" spans="1:9" x14ac:dyDescent="0.35">
      <c r="A288" s="23">
        <v>985650</v>
      </c>
      <c r="B288" s="24"/>
      <c r="D288" s="13">
        <v>44819</v>
      </c>
      <c r="F288" s="23" t="s">
        <v>764</v>
      </c>
      <c r="G288" s="23" t="s">
        <v>318</v>
      </c>
      <c r="H288" s="23" t="s">
        <v>4</v>
      </c>
      <c r="I288" s="23"/>
    </row>
    <row r="289" spans="1:9" x14ac:dyDescent="0.35">
      <c r="A289" s="23">
        <v>985650</v>
      </c>
      <c r="B289" s="24"/>
      <c r="D289" s="13">
        <v>44819</v>
      </c>
      <c r="F289" s="23" t="s">
        <v>764</v>
      </c>
      <c r="G289" s="23" t="s">
        <v>318</v>
      </c>
      <c r="H289" s="23" t="s">
        <v>5</v>
      </c>
      <c r="I289" s="23"/>
    </row>
    <row r="290" spans="1:9" x14ac:dyDescent="0.35">
      <c r="A290" s="23">
        <v>985701</v>
      </c>
      <c r="B290" s="24"/>
      <c r="D290" s="13">
        <v>44819</v>
      </c>
      <c r="F290" s="23" t="s">
        <v>764</v>
      </c>
      <c r="G290" s="23" t="s">
        <v>318</v>
      </c>
      <c r="H290" s="23" t="s">
        <v>6</v>
      </c>
      <c r="I290" s="23"/>
    </row>
    <row r="291" spans="1:9" x14ac:dyDescent="0.35">
      <c r="A291" s="23">
        <v>985701</v>
      </c>
      <c r="B291" s="24"/>
      <c r="D291" s="13">
        <v>44819</v>
      </c>
      <c r="F291" s="23" t="s">
        <v>764</v>
      </c>
      <c r="G291" s="23" t="s">
        <v>318</v>
      </c>
      <c r="H291" s="23" t="s">
        <v>4</v>
      </c>
      <c r="I291" s="23"/>
    </row>
    <row r="292" spans="1:9" x14ac:dyDescent="0.35">
      <c r="A292" s="23">
        <v>985701</v>
      </c>
      <c r="B292" s="24"/>
      <c r="D292" s="13">
        <v>44819</v>
      </c>
      <c r="F292" s="23" t="s">
        <v>764</v>
      </c>
      <c r="G292" s="23" t="s">
        <v>318</v>
      </c>
      <c r="H292" s="23" t="s">
        <v>5</v>
      </c>
      <c r="I292" s="23"/>
    </row>
    <row r="293" spans="1:9" x14ac:dyDescent="0.35">
      <c r="A293" s="23">
        <v>985702</v>
      </c>
      <c r="B293" s="24"/>
      <c r="D293" s="13">
        <v>44819</v>
      </c>
      <c r="F293" s="23" t="s">
        <v>764</v>
      </c>
      <c r="G293" s="23" t="s">
        <v>318</v>
      </c>
      <c r="H293" s="23" t="s">
        <v>6</v>
      </c>
      <c r="I293" s="23"/>
    </row>
    <row r="294" spans="1:9" x14ac:dyDescent="0.35">
      <c r="A294" s="23">
        <v>985702</v>
      </c>
      <c r="B294" s="24"/>
      <c r="D294" s="13">
        <v>44819</v>
      </c>
      <c r="F294" s="23" t="s">
        <v>764</v>
      </c>
      <c r="G294" s="23" t="s">
        <v>318</v>
      </c>
      <c r="H294" s="23" t="s">
        <v>4</v>
      </c>
      <c r="I294" s="23"/>
    </row>
    <row r="295" spans="1:9" x14ac:dyDescent="0.35">
      <c r="A295" s="23">
        <v>985702</v>
      </c>
      <c r="B295" s="24"/>
      <c r="D295" s="13">
        <v>44819</v>
      </c>
      <c r="F295" s="23" t="s">
        <v>764</v>
      </c>
      <c r="G295" s="23" t="s">
        <v>318</v>
      </c>
      <c r="H295" s="23" t="s">
        <v>5</v>
      </c>
      <c r="I295" s="23"/>
    </row>
    <row r="296" spans="1:9" x14ac:dyDescent="0.35">
      <c r="A296" s="23">
        <v>985760</v>
      </c>
      <c r="B296" s="24"/>
      <c r="D296" s="13">
        <v>44819</v>
      </c>
      <c r="F296" s="23" t="s">
        <v>764</v>
      </c>
      <c r="G296" s="23" t="s">
        <v>318</v>
      </c>
      <c r="H296" s="23" t="s">
        <v>6</v>
      </c>
      <c r="I296" s="23"/>
    </row>
    <row r="297" spans="1:9" x14ac:dyDescent="0.35">
      <c r="A297" s="23">
        <v>985760</v>
      </c>
      <c r="B297" s="24"/>
      <c r="D297" s="13">
        <v>44819</v>
      </c>
      <c r="F297" s="23" t="s">
        <v>764</v>
      </c>
      <c r="G297" s="23" t="s">
        <v>318</v>
      </c>
      <c r="H297" s="23" t="s">
        <v>4</v>
      </c>
      <c r="I297" s="23"/>
    </row>
    <row r="298" spans="1:9" x14ac:dyDescent="0.35">
      <c r="A298" s="23">
        <v>985760</v>
      </c>
      <c r="B298" s="24"/>
      <c r="D298" s="13">
        <v>44819</v>
      </c>
      <c r="F298" s="23" t="s">
        <v>764</v>
      </c>
      <c r="G298" s="23" t="s">
        <v>318</v>
      </c>
      <c r="H298" s="23" t="s">
        <v>5</v>
      </c>
      <c r="I298" s="23"/>
    </row>
    <row r="299" spans="1:9" x14ac:dyDescent="0.35">
      <c r="A299" s="23">
        <v>985780</v>
      </c>
      <c r="B299" s="24"/>
      <c r="D299" s="13">
        <v>44819</v>
      </c>
      <c r="F299" s="23" t="s">
        <v>764</v>
      </c>
      <c r="G299" s="23" t="s">
        <v>318</v>
      </c>
      <c r="H299" s="23" t="s">
        <v>5</v>
      </c>
      <c r="I299" s="23"/>
    </row>
    <row r="300" spans="1:9" x14ac:dyDescent="0.35">
      <c r="A300" s="23">
        <v>985861</v>
      </c>
      <c r="B300" s="24"/>
      <c r="D300" s="13">
        <v>44819</v>
      </c>
      <c r="F300" s="23" t="s">
        <v>764</v>
      </c>
      <c r="G300" s="23" t="s">
        <v>318</v>
      </c>
      <c r="H300" s="23" t="s">
        <v>6</v>
      </c>
      <c r="I300" s="23"/>
    </row>
    <row r="301" spans="1:9" x14ac:dyDescent="0.35">
      <c r="A301" s="23">
        <v>985861</v>
      </c>
      <c r="B301" s="24"/>
      <c r="D301" s="13">
        <v>44819</v>
      </c>
      <c r="F301" s="23" t="s">
        <v>764</v>
      </c>
      <c r="G301" s="23" t="s">
        <v>318</v>
      </c>
      <c r="H301" s="23" t="s">
        <v>4</v>
      </c>
      <c r="I301" s="23"/>
    </row>
    <row r="302" spans="1:9" x14ac:dyDescent="0.35">
      <c r="A302" s="23">
        <v>985861</v>
      </c>
      <c r="B302" s="24"/>
      <c r="D302" s="13">
        <v>44819</v>
      </c>
      <c r="F302" s="23" t="s">
        <v>764</v>
      </c>
      <c r="G302" s="23" t="s">
        <v>318</v>
      </c>
      <c r="H302" s="23" t="s">
        <v>5</v>
      </c>
      <c r="I302" s="23"/>
    </row>
    <row r="303" spans="1:9" x14ac:dyDescent="0.35">
      <c r="A303" s="23">
        <v>985950</v>
      </c>
      <c r="B303" s="24"/>
      <c r="D303" s="13">
        <v>44819</v>
      </c>
      <c r="F303" s="23" t="s">
        <v>764</v>
      </c>
      <c r="G303" s="23" t="s">
        <v>318</v>
      </c>
      <c r="H303" s="23" t="s">
        <v>6</v>
      </c>
      <c r="I303" s="23"/>
    </row>
    <row r="304" spans="1:9" x14ac:dyDescent="0.35">
      <c r="A304" s="23">
        <v>985950</v>
      </c>
      <c r="B304" s="24"/>
      <c r="D304" s="13">
        <v>44819</v>
      </c>
      <c r="F304" s="23" t="s">
        <v>764</v>
      </c>
      <c r="G304" s="23" t="s">
        <v>318</v>
      </c>
      <c r="H304" s="23" t="s">
        <v>4</v>
      </c>
      <c r="I304" s="23"/>
    </row>
    <row r="305" spans="1:9" x14ac:dyDescent="0.35">
      <c r="A305" s="23">
        <v>985950</v>
      </c>
      <c r="B305" s="24"/>
      <c r="D305" s="13">
        <v>44819</v>
      </c>
      <c r="F305" s="23" t="s">
        <v>764</v>
      </c>
      <c r="G305" s="23" t="s">
        <v>318</v>
      </c>
      <c r="H305" s="23" t="s">
        <v>5</v>
      </c>
      <c r="I305" s="23"/>
    </row>
    <row r="306" spans="1:9" x14ac:dyDescent="0.35">
      <c r="A306" s="23">
        <v>985990</v>
      </c>
      <c r="B306" s="24"/>
      <c r="D306" s="13">
        <v>44819</v>
      </c>
      <c r="F306" s="23" t="s">
        <v>764</v>
      </c>
      <c r="G306" s="23" t="s">
        <v>318</v>
      </c>
      <c r="H306" s="23" t="s">
        <v>6</v>
      </c>
      <c r="I306" s="23"/>
    </row>
    <row r="307" spans="1:9" x14ac:dyDescent="0.35">
      <c r="A307" s="23">
        <v>985990</v>
      </c>
      <c r="B307" s="24"/>
      <c r="D307" s="13">
        <v>44819</v>
      </c>
      <c r="F307" s="23" t="s">
        <v>764</v>
      </c>
      <c r="G307" s="23" t="s">
        <v>318</v>
      </c>
      <c r="H307" s="23" t="s">
        <v>4</v>
      </c>
      <c r="I307" s="23"/>
    </row>
    <row r="308" spans="1:9" x14ac:dyDescent="0.35">
      <c r="A308" s="23">
        <v>985990</v>
      </c>
      <c r="B308" s="24"/>
      <c r="D308" s="13">
        <v>44819</v>
      </c>
      <c r="F308" s="23" t="s">
        <v>790</v>
      </c>
      <c r="G308" s="23" t="s">
        <v>318</v>
      </c>
      <c r="H308" s="23" t="s">
        <v>5</v>
      </c>
      <c r="I308" s="23"/>
    </row>
    <row r="309" spans="1:9" x14ac:dyDescent="0.35">
      <c r="A309" s="23">
        <v>985997</v>
      </c>
      <c r="B309" s="24"/>
      <c r="D309" s="13">
        <v>44819</v>
      </c>
      <c r="F309" s="23" t="s">
        <v>764</v>
      </c>
      <c r="G309" s="23" t="s">
        <v>318</v>
      </c>
      <c r="H309" s="23" t="s">
        <v>6</v>
      </c>
      <c r="I309" s="23"/>
    </row>
    <row r="310" spans="1:9" x14ac:dyDescent="0.35">
      <c r="A310" s="23">
        <v>985997</v>
      </c>
      <c r="B310" s="24"/>
      <c r="D310" s="13">
        <v>44819</v>
      </c>
      <c r="F310" s="23" t="s">
        <v>764</v>
      </c>
      <c r="G310" s="23" t="s">
        <v>318</v>
      </c>
      <c r="H310" s="23" t="s">
        <v>4</v>
      </c>
      <c r="I310" s="23"/>
    </row>
    <row r="311" spans="1:9" x14ac:dyDescent="0.35">
      <c r="A311" s="23">
        <v>985997</v>
      </c>
      <c r="B311" s="24"/>
      <c r="D311" s="13">
        <v>44819</v>
      </c>
      <c r="F311" s="23" t="s">
        <v>764</v>
      </c>
      <c r="G311" s="23" t="s">
        <v>318</v>
      </c>
      <c r="H311" s="23" t="s">
        <v>5</v>
      </c>
      <c r="I311" s="23"/>
    </row>
    <row r="312" spans="1:9" x14ac:dyDescent="0.35">
      <c r="A312" s="23">
        <v>986050</v>
      </c>
      <c r="B312" s="24"/>
      <c r="D312" s="13">
        <v>44819</v>
      </c>
      <c r="F312" s="23" t="s">
        <v>764</v>
      </c>
      <c r="G312" s="23" t="s">
        <v>318</v>
      </c>
      <c r="H312" s="23" t="s">
        <v>6</v>
      </c>
      <c r="I312" s="23"/>
    </row>
    <row r="313" spans="1:9" x14ac:dyDescent="0.35">
      <c r="A313" s="23">
        <v>986050</v>
      </c>
      <c r="B313" s="24"/>
      <c r="D313" s="13">
        <v>44819</v>
      </c>
      <c r="F313" s="23" t="s">
        <v>764</v>
      </c>
      <c r="G313" s="23" t="s">
        <v>318</v>
      </c>
      <c r="H313" s="23" t="s">
        <v>4</v>
      </c>
      <c r="I313" s="23"/>
    </row>
    <row r="314" spans="1:9" x14ac:dyDescent="0.35">
      <c r="A314" s="23">
        <v>986050</v>
      </c>
      <c r="B314" s="24"/>
      <c r="D314" s="13">
        <v>44819</v>
      </c>
      <c r="F314" s="23" t="s">
        <v>764</v>
      </c>
      <c r="G314" s="23" t="s">
        <v>318</v>
      </c>
      <c r="H314" s="23" t="s">
        <v>5</v>
      </c>
      <c r="I314" s="23"/>
    </row>
    <row r="315" spans="1:9" x14ac:dyDescent="0.35">
      <c r="A315" s="23">
        <v>986090</v>
      </c>
      <c r="B315" s="24"/>
      <c r="D315" s="13">
        <v>44819</v>
      </c>
      <c r="F315" s="23" t="s">
        <v>764</v>
      </c>
      <c r="G315" s="23" t="s">
        <v>318</v>
      </c>
      <c r="H315" s="23" t="s">
        <v>6</v>
      </c>
      <c r="I315" s="23"/>
    </row>
    <row r="316" spans="1:9" x14ac:dyDescent="0.35">
      <c r="A316" s="23">
        <v>986090</v>
      </c>
      <c r="B316" s="24"/>
      <c r="D316" s="13">
        <v>44819</v>
      </c>
      <c r="F316" s="23" t="s">
        <v>764</v>
      </c>
      <c r="G316" s="23" t="s">
        <v>318</v>
      </c>
      <c r="H316" s="23" t="s">
        <v>4</v>
      </c>
      <c r="I316" s="23"/>
    </row>
    <row r="317" spans="1:9" x14ac:dyDescent="0.35">
      <c r="A317" s="23">
        <v>986090</v>
      </c>
      <c r="B317" s="24"/>
      <c r="D317" s="13">
        <v>44819</v>
      </c>
      <c r="F317" s="23" t="s">
        <v>764</v>
      </c>
      <c r="G317" s="23" t="s">
        <v>318</v>
      </c>
      <c r="H317" s="23" t="s">
        <v>5</v>
      </c>
      <c r="I317" s="23"/>
    </row>
    <row r="318" spans="1:9" x14ac:dyDescent="0.35">
      <c r="A318" s="23">
        <v>986120</v>
      </c>
      <c r="B318" s="24"/>
      <c r="D318" s="13">
        <v>44819</v>
      </c>
      <c r="F318" s="23" t="s">
        <v>764</v>
      </c>
      <c r="G318" s="23" t="s">
        <v>318</v>
      </c>
      <c r="H318" s="23" t="s">
        <v>6</v>
      </c>
      <c r="I318" s="23"/>
    </row>
    <row r="319" spans="1:9" x14ac:dyDescent="0.35">
      <c r="A319" s="23">
        <v>986120</v>
      </c>
      <c r="B319" s="24"/>
      <c r="D319" s="13">
        <v>44819</v>
      </c>
      <c r="F319" s="23" t="s">
        <v>764</v>
      </c>
      <c r="G319" s="23" t="s">
        <v>318</v>
      </c>
      <c r="H319" s="23" t="s">
        <v>4</v>
      </c>
      <c r="I319" s="23"/>
    </row>
    <row r="320" spans="1:9" x14ac:dyDescent="0.35">
      <c r="A320" s="23">
        <v>986120</v>
      </c>
      <c r="B320" s="24"/>
      <c r="D320" s="13">
        <v>44819</v>
      </c>
      <c r="F320" s="23" t="s">
        <v>764</v>
      </c>
      <c r="G320" s="23" t="s">
        <v>318</v>
      </c>
      <c r="H320" s="23" t="s">
        <v>5</v>
      </c>
      <c r="I320" s="23"/>
    </row>
    <row r="321" spans="1:9" x14ac:dyDescent="0.35">
      <c r="A321" s="23">
        <v>986140</v>
      </c>
      <c r="B321" s="24"/>
      <c r="D321" s="13">
        <v>44819</v>
      </c>
      <c r="F321" s="23" t="s">
        <v>764</v>
      </c>
      <c r="G321" s="23" t="s">
        <v>318</v>
      </c>
      <c r="H321" s="23" t="s">
        <v>6</v>
      </c>
      <c r="I321" s="23"/>
    </row>
    <row r="322" spans="1:9" x14ac:dyDescent="0.35">
      <c r="A322" s="23">
        <v>986140</v>
      </c>
      <c r="B322" s="24"/>
      <c r="D322" s="13">
        <v>44819</v>
      </c>
      <c r="F322" s="23" t="s">
        <v>764</v>
      </c>
      <c r="G322" s="23" t="s">
        <v>318</v>
      </c>
      <c r="H322" s="23" t="s">
        <v>4</v>
      </c>
      <c r="I322" s="23"/>
    </row>
    <row r="323" spans="1:9" x14ac:dyDescent="0.35">
      <c r="A323" s="23">
        <v>986140</v>
      </c>
      <c r="B323" s="24"/>
      <c r="D323" s="13">
        <v>44819</v>
      </c>
      <c r="F323" s="23" t="s">
        <v>764</v>
      </c>
      <c r="G323" s="23" t="s">
        <v>318</v>
      </c>
      <c r="H323" s="23" t="s">
        <v>5</v>
      </c>
      <c r="I323" s="23"/>
    </row>
    <row r="324" spans="1:9" x14ac:dyDescent="0.35">
      <c r="A324" s="23">
        <v>986170</v>
      </c>
      <c r="B324" s="24"/>
      <c r="D324" s="13">
        <v>44819</v>
      </c>
      <c r="F324" s="23" t="s">
        <v>764</v>
      </c>
      <c r="G324" s="23" t="s">
        <v>318</v>
      </c>
      <c r="H324" s="23" t="s">
        <v>6</v>
      </c>
      <c r="I324" s="23"/>
    </row>
    <row r="325" spans="1:9" x14ac:dyDescent="0.35">
      <c r="A325" s="23">
        <v>986170</v>
      </c>
      <c r="B325" s="24"/>
      <c r="D325" s="13">
        <v>44819</v>
      </c>
      <c r="F325" s="23" t="s">
        <v>764</v>
      </c>
      <c r="G325" s="23" t="s">
        <v>318</v>
      </c>
      <c r="H325" s="23" t="s">
        <v>4</v>
      </c>
      <c r="I325" s="23"/>
    </row>
    <row r="326" spans="1:9" x14ac:dyDescent="0.35">
      <c r="A326" s="23">
        <v>986170</v>
      </c>
      <c r="B326" s="24"/>
      <c r="D326" s="13">
        <v>44819</v>
      </c>
      <c r="F326" s="23" t="s">
        <v>764</v>
      </c>
      <c r="G326" s="23" t="s">
        <v>318</v>
      </c>
      <c r="H326" s="23" t="s">
        <v>5</v>
      </c>
      <c r="I326" s="23"/>
    </row>
    <row r="327" spans="1:9" x14ac:dyDescent="0.35">
      <c r="A327" s="23">
        <v>986211</v>
      </c>
      <c r="B327" s="24"/>
      <c r="D327" s="13">
        <v>44819</v>
      </c>
      <c r="F327" s="23" t="s">
        <v>764</v>
      </c>
      <c r="G327" s="23" t="s">
        <v>318</v>
      </c>
      <c r="H327" s="23" t="s">
        <v>6</v>
      </c>
      <c r="I327" s="23"/>
    </row>
    <row r="328" spans="1:9" x14ac:dyDescent="0.35">
      <c r="A328" s="23">
        <v>986211</v>
      </c>
      <c r="B328" s="24"/>
      <c r="D328" s="13">
        <v>44819</v>
      </c>
      <c r="F328" s="23" t="s">
        <v>764</v>
      </c>
      <c r="G328" s="23" t="s">
        <v>318</v>
      </c>
      <c r="H328" s="23" t="s">
        <v>4</v>
      </c>
      <c r="I328" s="23"/>
    </row>
    <row r="329" spans="1:9" x14ac:dyDescent="0.35">
      <c r="A329" s="23">
        <v>986211</v>
      </c>
      <c r="B329" s="24"/>
      <c r="D329" s="13">
        <v>44819</v>
      </c>
      <c r="F329" s="23" t="s">
        <v>764</v>
      </c>
      <c r="G329" s="23" t="s">
        <v>318</v>
      </c>
      <c r="H329" s="23" t="s">
        <v>5</v>
      </c>
      <c r="I329" s="23"/>
    </row>
    <row r="330" spans="1:9" x14ac:dyDescent="0.35">
      <c r="A330" s="23">
        <v>986231</v>
      </c>
      <c r="B330" s="24"/>
      <c r="D330" s="13">
        <v>44819</v>
      </c>
      <c r="F330" s="23" t="s">
        <v>764</v>
      </c>
      <c r="G330" s="23" t="s">
        <v>318</v>
      </c>
      <c r="H330" s="23" t="s">
        <v>6</v>
      </c>
      <c r="I330" s="23"/>
    </row>
    <row r="331" spans="1:9" x14ac:dyDescent="0.35">
      <c r="A331" s="23">
        <v>986231</v>
      </c>
      <c r="B331" s="24"/>
      <c r="D331" s="13">
        <v>44819</v>
      </c>
      <c r="F331" s="23" t="s">
        <v>764</v>
      </c>
      <c r="G331" s="23" t="s">
        <v>318</v>
      </c>
      <c r="H331" s="23" t="s">
        <v>4</v>
      </c>
      <c r="I331" s="23"/>
    </row>
    <row r="332" spans="1:9" x14ac:dyDescent="0.35">
      <c r="A332" s="23">
        <v>986231</v>
      </c>
      <c r="B332" s="24"/>
      <c r="D332" s="13">
        <v>44819</v>
      </c>
      <c r="F332" s="23" t="s">
        <v>764</v>
      </c>
      <c r="G332" s="23" t="s">
        <v>318</v>
      </c>
      <c r="H332" s="23" t="s">
        <v>5</v>
      </c>
      <c r="I332" s="23"/>
    </row>
    <row r="333" spans="1:9" x14ac:dyDescent="0.35">
      <c r="A333" s="23">
        <v>986250</v>
      </c>
      <c r="B333" s="24"/>
      <c r="D333" s="13">
        <v>44819</v>
      </c>
      <c r="F333" s="23" t="s">
        <v>764</v>
      </c>
      <c r="G333" s="23" t="s">
        <v>318</v>
      </c>
      <c r="H333" s="23" t="s">
        <v>6</v>
      </c>
      <c r="I333" s="23"/>
    </row>
    <row r="334" spans="1:9" x14ac:dyDescent="0.35">
      <c r="A334" s="23">
        <v>986250</v>
      </c>
      <c r="B334" s="24"/>
      <c r="D334" s="13">
        <v>44819</v>
      </c>
      <c r="F334" s="23" t="s">
        <v>764</v>
      </c>
      <c r="G334" s="23" t="s">
        <v>318</v>
      </c>
      <c r="H334" s="23" t="s">
        <v>4</v>
      </c>
      <c r="I334" s="23"/>
    </row>
    <row r="335" spans="1:9" x14ac:dyDescent="0.35">
      <c r="A335" s="23">
        <v>986250</v>
      </c>
      <c r="B335" s="24"/>
      <c r="D335" s="13">
        <v>44819</v>
      </c>
      <c r="F335" s="23" t="s">
        <v>764</v>
      </c>
      <c r="G335" s="23" t="s">
        <v>318</v>
      </c>
      <c r="H335" s="23" t="s">
        <v>5</v>
      </c>
      <c r="I335" s="23"/>
    </row>
    <row r="336" spans="1:9" x14ac:dyDescent="0.35">
      <c r="A336" s="23">
        <v>986270</v>
      </c>
      <c r="B336" s="24"/>
      <c r="D336" s="13">
        <v>44819</v>
      </c>
      <c r="F336" s="23" t="s">
        <v>764</v>
      </c>
      <c r="G336" s="23" t="s">
        <v>318</v>
      </c>
      <c r="H336" s="23" t="s">
        <v>6</v>
      </c>
      <c r="I336" s="23"/>
    </row>
    <row r="337" spans="1:9" x14ac:dyDescent="0.35">
      <c r="A337" s="23">
        <v>986270</v>
      </c>
      <c r="B337" s="24"/>
      <c r="D337" s="13">
        <v>44819</v>
      </c>
      <c r="F337" s="23" t="s">
        <v>764</v>
      </c>
      <c r="G337" s="23" t="s">
        <v>318</v>
      </c>
      <c r="H337" s="23" t="s">
        <v>4</v>
      </c>
      <c r="I337" s="23"/>
    </row>
    <row r="338" spans="1:9" x14ac:dyDescent="0.35">
      <c r="A338" s="23">
        <v>986270</v>
      </c>
      <c r="B338" s="24"/>
      <c r="D338" s="13">
        <v>44819</v>
      </c>
      <c r="F338" s="23" t="s">
        <v>764</v>
      </c>
      <c r="G338" s="23" t="s">
        <v>318</v>
      </c>
      <c r="H338" s="23" t="s">
        <v>5</v>
      </c>
      <c r="I338" s="23"/>
    </row>
    <row r="339" spans="1:9" x14ac:dyDescent="0.35">
      <c r="A339" s="23">
        <v>986293</v>
      </c>
      <c r="B339" s="24"/>
      <c r="D339" s="13">
        <v>44819</v>
      </c>
      <c r="F339" s="23" t="s">
        <v>764</v>
      </c>
      <c r="G339" s="23" t="s">
        <v>318</v>
      </c>
      <c r="H339" s="23" t="s">
        <v>6</v>
      </c>
      <c r="I339" s="23"/>
    </row>
    <row r="340" spans="1:9" x14ac:dyDescent="0.35">
      <c r="A340" s="23">
        <v>986293</v>
      </c>
      <c r="B340" s="24"/>
      <c r="D340" s="13">
        <v>44819</v>
      </c>
      <c r="F340" s="23" t="s">
        <v>764</v>
      </c>
      <c r="G340" s="23" t="s">
        <v>318</v>
      </c>
      <c r="H340" s="23" t="s">
        <v>4</v>
      </c>
      <c r="I340" s="23"/>
    </row>
    <row r="341" spans="1:9" x14ac:dyDescent="0.35">
      <c r="A341" s="23">
        <v>986293</v>
      </c>
      <c r="B341" s="24"/>
      <c r="D341" s="13">
        <v>44819</v>
      </c>
      <c r="F341" s="23" t="s">
        <v>764</v>
      </c>
      <c r="G341" s="23" t="s">
        <v>318</v>
      </c>
      <c r="H341" s="23" t="s">
        <v>5</v>
      </c>
      <c r="I341" s="23"/>
    </row>
    <row r="342" spans="1:9" x14ac:dyDescent="0.35">
      <c r="A342" s="23">
        <v>986400</v>
      </c>
      <c r="B342" s="24"/>
      <c r="D342" s="13">
        <v>44819</v>
      </c>
      <c r="F342" s="23" t="s">
        <v>764</v>
      </c>
      <c r="G342" s="23" t="s">
        <v>318</v>
      </c>
      <c r="H342" s="23" t="s">
        <v>6</v>
      </c>
      <c r="I342" s="23"/>
    </row>
    <row r="343" spans="1:9" x14ac:dyDescent="0.35">
      <c r="A343" s="23">
        <v>986400</v>
      </c>
      <c r="B343" s="24"/>
      <c r="D343" s="13">
        <v>44819</v>
      </c>
      <c r="F343" s="23" t="s">
        <v>764</v>
      </c>
      <c r="G343" s="23" t="s">
        <v>318</v>
      </c>
      <c r="H343" s="23" t="s">
        <v>4</v>
      </c>
      <c r="I343" s="23"/>
    </row>
    <row r="344" spans="1:9" x14ac:dyDescent="0.35">
      <c r="A344" s="23">
        <v>986400</v>
      </c>
      <c r="B344" s="24"/>
      <c r="D344" s="13">
        <v>44819</v>
      </c>
      <c r="F344" s="23" t="s">
        <v>764</v>
      </c>
      <c r="G344" s="23" t="s">
        <v>318</v>
      </c>
      <c r="H344" s="23" t="s">
        <v>5</v>
      </c>
      <c r="I344" s="23"/>
    </row>
    <row r="345" spans="1:9" x14ac:dyDescent="0.35">
      <c r="A345" s="23">
        <v>986405</v>
      </c>
      <c r="B345" s="24"/>
      <c r="D345" s="13">
        <v>44819</v>
      </c>
      <c r="F345" s="23" t="s">
        <v>764</v>
      </c>
      <c r="G345" s="23" t="s">
        <v>318</v>
      </c>
      <c r="H345" s="23" t="s">
        <v>6</v>
      </c>
      <c r="I345" s="23"/>
    </row>
    <row r="346" spans="1:9" x14ac:dyDescent="0.35">
      <c r="A346" s="23">
        <v>986405</v>
      </c>
      <c r="B346" s="24"/>
      <c r="D346" s="13">
        <v>44819</v>
      </c>
      <c r="F346" s="23" t="s">
        <v>764</v>
      </c>
      <c r="G346" s="23" t="s">
        <v>318</v>
      </c>
      <c r="H346" s="23" t="s">
        <v>4</v>
      </c>
      <c r="I346" s="23"/>
    </row>
    <row r="347" spans="1:9" x14ac:dyDescent="0.35">
      <c r="A347" s="23">
        <v>986405</v>
      </c>
      <c r="B347" s="24"/>
      <c r="D347" s="13">
        <v>44819</v>
      </c>
      <c r="F347" s="23" t="s">
        <v>764</v>
      </c>
      <c r="G347" s="23" t="s">
        <v>318</v>
      </c>
      <c r="H347" s="23" t="s">
        <v>5</v>
      </c>
      <c r="I347" s="23"/>
    </row>
    <row r="348" spans="1:9" x14ac:dyDescent="0.35">
      <c r="A348" s="23">
        <v>986480</v>
      </c>
      <c r="B348" s="24"/>
      <c r="D348" s="13">
        <v>44819</v>
      </c>
      <c r="F348" s="23" t="s">
        <v>764</v>
      </c>
      <c r="G348" s="23" t="s">
        <v>318</v>
      </c>
      <c r="H348" s="23" t="s">
        <v>6</v>
      </c>
      <c r="I348" s="23"/>
    </row>
    <row r="349" spans="1:9" x14ac:dyDescent="0.35">
      <c r="A349" s="23">
        <v>986480</v>
      </c>
      <c r="B349" s="24"/>
      <c r="D349" s="13">
        <v>44819</v>
      </c>
      <c r="F349" s="23" t="s">
        <v>764</v>
      </c>
      <c r="G349" s="23" t="s">
        <v>318</v>
      </c>
      <c r="H349" s="23" t="s">
        <v>4</v>
      </c>
      <c r="I349" s="23"/>
    </row>
    <row r="350" spans="1:9" x14ac:dyDescent="0.35">
      <c r="A350" s="23">
        <v>986480</v>
      </c>
      <c r="B350" s="24"/>
      <c r="D350" s="13">
        <v>44819</v>
      </c>
      <c r="F350" s="23" t="s">
        <v>764</v>
      </c>
      <c r="G350" s="23" t="s">
        <v>318</v>
      </c>
      <c r="H350" s="23" t="s">
        <v>5</v>
      </c>
      <c r="I350" s="23"/>
    </row>
    <row r="351" spans="1:9" x14ac:dyDescent="0.35">
      <c r="A351" s="23">
        <v>986650</v>
      </c>
      <c r="B351" s="24"/>
      <c r="D351" s="13">
        <v>44819</v>
      </c>
      <c r="F351" s="23" t="s">
        <v>764</v>
      </c>
      <c r="G351" s="23" t="s">
        <v>318</v>
      </c>
      <c r="H351" s="23" t="s">
        <v>6</v>
      </c>
      <c r="I351" s="23"/>
    </row>
    <row r="352" spans="1:9" x14ac:dyDescent="0.35">
      <c r="A352" s="23">
        <v>986650</v>
      </c>
      <c r="B352" s="24"/>
      <c r="D352" s="13">
        <v>44819</v>
      </c>
      <c r="F352" s="23" t="s">
        <v>764</v>
      </c>
      <c r="G352" s="23" t="s">
        <v>318</v>
      </c>
      <c r="H352" s="23" t="s">
        <v>4</v>
      </c>
      <c r="I352" s="23"/>
    </row>
    <row r="353" spans="1:9" x14ac:dyDescent="0.35">
      <c r="A353" s="23">
        <v>986650</v>
      </c>
      <c r="B353" s="24"/>
      <c r="D353" s="13">
        <v>44819</v>
      </c>
      <c r="F353" s="23" t="s">
        <v>764</v>
      </c>
      <c r="G353" s="23" t="s">
        <v>318</v>
      </c>
      <c r="H353" s="23" t="s">
        <v>5</v>
      </c>
      <c r="I353" s="23"/>
    </row>
    <row r="354" spans="1:9" x14ac:dyDescent="0.35">
      <c r="A354" s="23">
        <v>986678</v>
      </c>
      <c r="B354" s="24"/>
      <c r="D354" s="13">
        <v>44819</v>
      </c>
      <c r="F354" s="23" t="s">
        <v>764</v>
      </c>
      <c r="G354" s="23" t="s">
        <v>318</v>
      </c>
      <c r="H354" s="23" t="s">
        <v>6</v>
      </c>
      <c r="I354" s="23"/>
    </row>
    <row r="355" spans="1:9" x14ac:dyDescent="0.35">
      <c r="A355" s="23">
        <v>986678</v>
      </c>
      <c r="B355" s="24"/>
      <c r="D355" s="13">
        <v>44819</v>
      </c>
      <c r="F355" s="23" t="s">
        <v>764</v>
      </c>
      <c r="G355" s="23" t="s">
        <v>318</v>
      </c>
      <c r="H355" s="23" t="s">
        <v>4</v>
      </c>
      <c r="I355" s="23"/>
    </row>
    <row r="356" spans="1:9" x14ac:dyDescent="0.35">
      <c r="A356" s="23">
        <v>986678</v>
      </c>
      <c r="B356" s="24"/>
      <c r="D356" s="13">
        <v>44819</v>
      </c>
      <c r="F356" s="23" t="s">
        <v>764</v>
      </c>
      <c r="G356" s="23" t="s">
        <v>318</v>
      </c>
      <c r="H356" s="23" t="s">
        <v>5</v>
      </c>
      <c r="I356" s="23"/>
    </row>
    <row r="357" spans="1:9" x14ac:dyDescent="0.35">
      <c r="A357" s="23">
        <v>986730</v>
      </c>
      <c r="B357" s="24"/>
      <c r="D357" s="13">
        <v>44819</v>
      </c>
      <c r="F357" s="23" t="s">
        <v>764</v>
      </c>
      <c r="G357" s="23" t="s">
        <v>318</v>
      </c>
      <c r="H357" s="23" t="s">
        <v>6</v>
      </c>
      <c r="I357" s="23"/>
    </row>
    <row r="358" spans="1:9" x14ac:dyDescent="0.35">
      <c r="A358" s="23">
        <v>986730</v>
      </c>
      <c r="B358" s="24"/>
      <c r="D358" s="13">
        <v>44819</v>
      </c>
      <c r="F358" s="23" t="s">
        <v>764</v>
      </c>
      <c r="G358" s="23" t="s">
        <v>318</v>
      </c>
      <c r="H358" s="23" t="s">
        <v>4</v>
      </c>
      <c r="I358" s="23"/>
    </row>
    <row r="359" spans="1:9" x14ac:dyDescent="0.35">
      <c r="A359" s="23">
        <v>986730</v>
      </c>
      <c r="B359" s="24"/>
      <c r="D359" s="13">
        <v>44819</v>
      </c>
      <c r="F359" s="23" t="s">
        <v>764</v>
      </c>
      <c r="G359" s="23" t="s">
        <v>318</v>
      </c>
      <c r="H359" s="23" t="s">
        <v>5</v>
      </c>
      <c r="I359" s="23"/>
    </row>
    <row r="360" spans="1:9" x14ac:dyDescent="0.35">
      <c r="A360" s="23">
        <v>986785</v>
      </c>
      <c r="B360" s="24"/>
      <c r="D360" s="13">
        <v>44819</v>
      </c>
      <c r="F360" s="23" t="s">
        <v>764</v>
      </c>
      <c r="G360" s="23" t="s">
        <v>318</v>
      </c>
      <c r="H360" s="23" t="s">
        <v>6</v>
      </c>
      <c r="I360" s="23"/>
    </row>
    <row r="361" spans="1:9" x14ac:dyDescent="0.35">
      <c r="A361" s="23">
        <v>986785</v>
      </c>
      <c r="B361" s="24"/>
      <c r="D361" s="13">
        <v>44819</v>
      </c>
      <c r="F361" s="23" t="s">
        <v>764</v>
      </c>
      <c r="G361" s="23" t="s">
        <v>318</v>
      </c>
      <c r="H361" s="23" t="s">
        <v>4</v>
      </c>
      <c r="I361" s="23"/>
    </row>
    <row r="362" spans="1:9" x14ac:dyDescent="0.35">
      <c r="A362" s="23">
        <v>986785</v>
      </c>
      <c r="B362" s="24"/>
      <c r="D362" s="13">
        <v>44819</v>
      </c>
      <c r="F362" s="23" t="s">
        <v>764</v>
      </c>
      <c r="G362" s="23" t="s">
        <v>318</v>
      </c>
      <c r="H362" s="23" t="s">
        <v>5</v>
      </c>
      <c r="I362" s="23"/>
    </row>
    <row r="363" spans="1:9" x14ac:dyDescent="0.35">
      <c r="A363" s="23">
        <v>986810</v>
      </c>
      <c r="B363" s="24"/>
      <c r="D363" s="13">
        <v>44819</v>
      </c>
      <c r="F363" s="23" t="s">
        <v>764</v>
      </c>
      <c r="G363" s="23" t="s">
        <v>318</v>
      </c>
      <c r="H363" s="23" t="s">
        <v>6</v>
      </c>
      <c r="I363" s="23"/>
    </row>
    <row r="364" spans="1:9" x14ac:dyDescent="0.35">
      <c r="A364" s="23">
        <v>986810</v>
      </c>
      <c r="B364" s="24"/>
      <c r="D364" s="13">
        <v>44819</v>
      </c>
      <c r="F364" s="23" t="s">
        <v>764</v>
      </c>
      <c r="G364" s="23" t="s">
        <v>318</v>
      </c>
      <c r="H364" s="23" t="s">
        <v>4</v>
      </c>
      <c r="I364" s="23"/>
    </row>
    <row r="365" spans="1:9" x14ac:dyDescent="0.35">
      <c r="A365" s="23">
        <v>986810</v>
      </c>
      <c r="B365" s="24"/>
      <c r="D365" s="13">
        <v>44819</v>
      </c>
      <c r="F365" s="23" t="s">
        <v>764</v>
      </c>
      <c r="G365" s="23" t="s">
        <v>318</v>
      </c>
      <c r="H365" s="23" t="s">
        <v>5</v>
      </c>
      <c r="I365" s="23"/>
    </row>
    <row r="366" spans="1:9" x14ac:dyDescent="0.35">
      <c r="A366" s="23">
        <v>986811</v>
      </c>
      <c r="B366" s="24"/>
      <c r="D366" s="13">
        <v>44819</v>
      </c>
      <c r="F366" s="23" t="s">
        <v>764</v>
      </c>
      <c r="G366" s="23" t="s">
        <v>318</v>
      </c>
      <c r="H366" s="23" t="s">
        <v>6</v>
      </c>
      <c r="I366" s="23"/>
    </row>
    <row r="367" spans="1:9" x14ac:dyDescent="0.35">
      <c r="A367" s="23">
        <v>986811</v>
      </c>
      <c r="B367" s="24"/>
      <c r="D367" s="13">
        <v>44819</v>
      </c>
      <c r="F367" s="23" t="s">
        <v>764</v>
      </c>
      <c r="G367" s="23" t="s">
        <v>318</v>
      </c>
      <c r="H367" s="23" t="s">
        <v>4</v>
      </c>
      <c r="I367" s="23"/>
    </row>
    <row r="368" spans="1:9" x14ac:dyDescent="0.35">
      <c r="A368" s="23">
        <v>986811</v>
      </c>
      <c r="B368" s="24"/>
      <c r="D368" s="13">
        <v>44819</v>
      </c>
      <c r="F368" s="23" t="s">
        <v>764</v>
      </c>
      <c r="G368" s="23" t="s">
        <v>318</v>
      </c>
      <c r="H368" s="23" t="s">
        <v>5</v>
      </c>
      <c r="I368" s="23"/>
    </row>
    <row r="369" spans="1:9" x14ac:dyDescent="0.35">
      <c r="A369" s="23">
        <v>986890</v>
      </c>
      <c r="B369" s="24"/>
      <c r="D369" s="13">
        <v>44819</v>
      </c>
      <c r="F369" s="23" t="s">
        <v>764</v>
      </c>
      <c r="G369" s="23" t="s">
        <v>318</v>
      </c>
      <c r="H369" s="23" t="s">
        <v>6</v>
      </c>
      <c r="I369" s="23"/>
    </row>
    <row r="370" spans="1:9" x14ac:dyDescent="0.35">
      <c r="A370" s="23">
        <v>986890</v>
      </c>
      <c r="B370" s="24"/>
      <c r="D370" s="13">
        <v>44819</v>
      </c>
      <c r="F370" s="23" t="s">
        <v>764</v>
      </c>
      <c r="G370" s="23" t="s">
        <v>318</v>
      </c>
      <c r="H370" s="23" t="s">
        <v>4</v>
      </c>
      <c r="I370" s="23"/>
    </row>
    <row r="371" spans="1:9" x14ac:dyDescent="0.35">
      <c r="A371" s="23">
        <v>986890</v>
      </c>
      <c r="B371" s="24"/>
      <c r="D371" s="13">
        <v>44819</v>
      </c>
      <c r="F371" s="23" t="s">
        <v>764</v>
      </c>
      <c r="G371" s="23" t="s">
        <v>318</v>
      </c>
      <c r="H371" s="23" t="s">
        <v>5</v>
      </c>
      <c r="I371" s="23"/>
    </row>
    <row r="372" spans="1:9" x14ac:dyDescent="0.35">
      <c r="A372" s="23">
        <v>986915</v>
      </c>
      <c r="B372" s="24"/>
      <c r="D372" s="13">
        <v>44819</v>
      </c>
      <c r="F372" s="23" t="s">
        <v>764</v>
      </c>
      <c r="G372" s="23" t="s">
        <v>318</v>
      </c>
      <c r="H372" s="23" t="s">
        <v>6</v>
      </c>
      <c r="I372" s="23"/>
    </row>
    <row r="373" spans="1:9" x14ac:dyDescent="0.35">
      <c r="A373" s="23">
        <v>986915</v>
      </c>
      <c r="B373" s="24"/>
      <c r="D373" s="13">
        <v>44819</v>
      </c>
      <c r="F373" s="23" t="s">
        <v>764</v>
      </c>
      <c r="G373" s="23" t="s">
        <v>318</v>
      </c>
      <c r="H373" s="23" t="s">
        <v>4</v>
      </c>
      <c r="I373" s="23"/>
    </row>
    <row r="374" spans="1:9" x14ac:dyDescent="0.35">
      <c r="A374" s="23">
        <v>986915</v>
      </c>
      <c r="B374" s="24"/>
      <c r="D374" s="13">
        <v>44819</v>
      </c>
      <c r="F374" s="23" t="s">
        <v>764</v>
      </c>
      <c r="G374" s="23" t="s">
        <v>318</v>
      </c>
      <c r="H374" s="23" t="s">
        <v>5</v>
      </c>
      <c r="I374" s="23"/>
    </row>
    <row r="375" spans="1:9" x14ac:dyDescent="0.35">
      <c r="A375" s="23">
        <v>986973</v>
      </c>
      <c r="B375" s="24"/>
      <c r="D375" s="13">
        <v>44819</v>
      </c>
      <c r="F375" s="23" t="s">
        <v>764</v>
      </c>
      <c r="G375" s="23" t="s">
        <v>318</v>
      </c>
      <c r="H375" s="23" t="s">
        <v>6</v>
      </c>
      <c r="I375" s="23"/>
    </row>
    <row r="376" spans="1:9" x14ac:dyDescent="0.35">
      <c r="A376" s="23">
        <v>986973</v>
      </c>
      <c r="B376" s="24"/>
      <c r="D376" s="13">
        <v>44819</v>
      </c>
      <c r="F376" s="23" t="s">
        <v>764</v>
      </c>
      <c r="G376" s="23" t="s">
        <v>318</v>
      </c>
      <c r="H376" s="23" t="s">
        <v>4</v>
      </c>
      <c r="I376" s="23"/>
    </row>
    <row r="377" spans="1:9" x14ac:dyDescent="0.35">
      <c r="A377" s="23">
        <v>986973</v>
      </c>
      <c r="B377" s="24"/>
      <c r="D377" s="13">
        <v>44819</v>
      </c>
      <c r="F377" s="23" t="s">
        <v>764</v>
      </c>
      <c r="G377" s="23" t="s">
        <v>318</v>
      </c>
      <c r="H377" s="23" t="s">
        <v>5</v>
      </c>
      <c r="I377" s="23"/>
    </row>
    <row r="378" spans="1:9" x14ac:dyDescent="0.35">
      <c r="A378" s="23">
        <v>986974</v>
      </c>
      <c r="B378" s="24"/>
      <c r="D378" s="13">
        <v>44819</v>
      </c>
      <c r="F378" s="23" t="s">
        <v>764</v>
      </c>
      <c r="G378" s="23" t="s">
        <v>318</v>
      </c>
      <c r="H378" s="23" t="s">
        <v>6</v>
      </c>
      <c r="I378" s="23"/>
    </row>
    <row r="379" spans="1:9" x14ac:dyDescent="0.35">
      <c r="A379" s="23">
        <v>986974</v>
      </c>
      <c r="B379" s="24"/>
      <c r="D379" s="13">
        <v>44819</v>
      </c>
      <c r="F379" s="23" t="s">
        <v>764</v>
      </c>
      <c r="G379" s="23" t="s">
        <v>318</v>
      </c>
      <c r="H379" s="23" t="s">
        <v>4</v>
      </c>
      <c r="I379" s="23"/>
    </row>
    <row r="380" spans="1:9" x14ac:dyDescent="0.35">
      <c r="A380" s="23">
        <v>986974</v>
      </c>
      <c r="B380" s="24"/>
      <c r="D380" s="13">
        <v>44819</v>
      </c>
      <c r="F380" s="23" t="s">
        <v>764</v>
      </c>
      <c r="G380" s="23" t="s">
        <v>318</v>
      </c>
      <c r="H380" s="23" t="s">
        <v>5</v>
      </c>
      <c r="I380" s="23"/>
    </row>
    <row r="381" spans="1:9" x14ac:dyDescent="0.35">
      <c r="A381" s="23">
        <v>986975</v>
      </c>
      <c r="B381" s="24"/>
      <c r="D381" s="13">
        <v>44819</v>
      </c>
      <c r="F381" s="23" t="s">
        <v>764</v>
      </c>
      <c r="G381" s="23" t="s">
        <v>318</v>
      </c>
      <c r="H381" s="23" t="s">
        <v>6</v>
      </c>
      <c r="I381" s="23"/>
    </row>
    <row r="382" spans="1:9" x14ac:dyDescent="0.35">
      <c r="A382" s="23">
        <v>986975</v>
      </c>
      <c r="B382" s="24"/>
      <c r="D382" s="13">
        <v>44819</v>
      </c>
      <c r="F382" s="23" t="s">
        <v>764</v>
      </c>
      <c r="G382" s="23" t="s">
        <v>318</v>
      </c>
      <c r="H382" s="23" t="s">
        <v>4</v>
      </c>
      <c r="I382" s="23"/>
    </row>
    <row r="383" spans="1:9" x14ac:dyDescent="0.35">
      <c r="A383" s="23">
        <v>986975</v>
      </c>
      <c r="B383" s="24"/>
      <c r="D383" s="13">
        <v>44819</v>
      </c>
      <c r="F383" s="23" t="s">
        <v>764</v>
      </c>
      <c r="G383" s="23" t="s">
        <v>318</v>
      </c>
      <c r="H383" s="23" t="s">
        <v>5</v>
      </c>
      <c r="I383" s="23"/>
    </row>
    <row r="384" spans="1:9" x14ac:dyDescent="0.35">
      <c r="A384" s="23">
        <v>987060</v>
      </c>
      <c r="B384" s="24"/>
      <c r="D384" s="13">
        <v>44819</v>
      </c>
      <c r="F384" s="23" t="s">
        <v>764</v>
      </c>
      <c r="G384" s="23" t="s">
        <v>318</v>
      </c>
      <c r="H384" s="23" t="s">
        <v>6</v>
      </c>
      <c r="I384" s="23"/>
    </row>
    <row r="385" spans="1:9" x14ac:dyDescent="0.35">
      <c r="A385" s="23">
        <v>987060</v>
      </c>
      <c r="B385" s="24"/>
      <c r="D385" s="13">
        <v>44819</v>
      </c>
      <c r="F385" s="23" t="s">
        <v>764</v>
      </c>
      <c r="G385" s="23" t="s">
        <v>318</v>
      </c>
      <c r="H385" s="23" t="s">
        <v>4</v>
      </c>
      <c r="I385" s="23"/>
    </row>
    <row r="386" spans="1:9" x14ac:dyDescent="0.35">
      <c r="A386" s="23">
        <v>987060</v>
      </c>
      <c r="B386" s="24"/>
      <c r="D386" s="13">
        <v>44819</v>
      </c>
      <c r="F386" s="23" t="s">
        <v>764</v>
      </c>
      <c r="G386" s="23" t="s">
        <v>318</v>
      </c>
      <c r="H386" s="23" t="s">
        <v>5</v>
      </c>
      <c r="I386" s="23"/>
    </row>
    <row r="387" spans="1:9" x14ac:dyDescent="0.35">
      <c r="A387" s="23">
        <v>987110</v>
      </c>
      <c r="B387" s="24"/>
      <c r="D387" s="13">
        <v>44819</v>
      </c>
      <c r="F387" s="23" t="s">
        <v>764</v>
      </c>
      <c r="G387" s="23" t="s">
        <v>318</v>
      </c>
      <c r="H387" s="23" t="s">
        <v>6</v>
      </c>
      <c r="I387" s="23"/>
    </row>
    <row r="388" spans="1:9" x14ac:dyDescent="0.35">
      <c r="A388" s="23">
        <v>987110</v>
      </c>
      <c r="B388" s="24"/>
      <c r="D388" s="13">
        <v>44819</v>
      </c>
      <c r="F388" s="23" t="s">
        <v>764</v>
      </c>
      <c r="G388" s="23" t="s">
        <v>318</v>
      </c>
      <c r="H388" s="23" t="s">
        <v>4</v>
      </c>
      <c r="I388" s="23"/>
    </row>
    <row r="389" spans="1:9" x14ac:dyDescent="0.35">
      <c r="A389" s="23">
        <v>987110</v>
      </c>
      <c r="B389" s="24"/>
      <c r="D389" s="13">
        <v>44819</v>
      </c>
      <c r="F389" s="23" t="s">
        <v>764</v>
      </c>
      <c r="G389" s="23" t="s">
        <v>318</v>
      </c>
      <c r="H389" s="23" t="s">
        <v>5</v>
      </c>
      <c r="I389" s="23"/>
    </row>
    <row r="390" spans="1:9" x14ac:dyDescent="0.35">
      <c r="A390" s="23">
        <v>987211</v>
      </c>
      <c r="B390" s="24"/>
      <c r="D390" s="13">
        <v>44819</v>
      </c>
      <c r="F390" s="23" t="s">
        <v>764</v>
      </c>
      <c r="G390" s="23" t="s">
        <v>318</v>
      </c>
      <c r="H390" s="23" t="s">
        <v>6</v>
      </c>
      <c r="I390" s="23"/>
    </row>
    <row r="391" spans="1:9" x14ac:dyDescent="0.35">
      <c r="A391" s="23">
        <v>987211</v>
      </c>
      <c r="B391" s="24"/>
      <c r="D391" s="13">
        <v>44819</v>
      </c>
      <c r="F391" s="23" t="s">
        <v>764</v>
      </c>
      <c r="G391" s="23" t="s">
        <v>318</v>
      </c>
      <c r="H391" s="23" t="s">
        <v>4</v>
      </c>
      <c r="I391" s="23"/>
    </row>
    <row r="392" spans="1:9" x14ac:dyDescent="0.35">
      <c r="A392" s="23">
        <v>987211</v>
      </c>
      <c r="B392" s="24"/>
      <c r="D392" s="13">
        <v>44819</v>
      </c>
      <c r="F392" s="23" t="s">
        <v>764</v>
      </c>
      <c r="G392" s="23" t="s">
        <v>318</v>
      </c>
      <c r="H392" s="23" t="s">
        <v>5</v>
      </c>
      <c r="I392" s="23"/>
    </row>
    <row r="393" spans="1:9" x14ac:dyDescent="0.35">
      <c r="A393" s="23">
        <v>987260</v>
      </c>
      <c r="B393" s="24"/>
      <c r="D393" s="13">
        <v>44819</v>
      </c>
      <c r="F393" s="23" t="s">
        <v>764</v>
      </c>
      <c r="G393" s="23" t="s">
        <v>318</v>
      </c>
      <c r="H393" s="23" t="s">
        <v>6</v>
      </c>
      <c r="I393" s="23"/>
    </row>
    <row r="394" spans="1:9" x14ac:dyDescent="0.35">
      <c r="A394" s="23">
        <v>987260</v>
      </c>
      <c r="B394" s="24"/>
      <c r="D394" s="13">
        <v>44819</v>
      </c>
      <c r="F394" s="23" t="s">
        <v>764</v>
      </c>
      <c r="G394" s="23" t="s">
        <v>318</v>
      </c>
      <c r="H394" s="23" t="s">
        <v>4</v>
      </c>
      <c r="I394" s="23"/>
    </row>
    <row r="395" spans="1:9" x14ac:dyDescent="0.35">
      <c r="A395" s="23">
        <v>987260</v>
      </c>
      <c r="B395" s="24"/>
      <c r="D395" s="13">
        <v>44819</v>
      </c>
      <c r="F395" s="23" t="s">
        <v>764</v>
      </c>
      <c r="G395" s="23" t="s">
        <v>318</v>
      </c>
      <c r="H395" s="23" t="s">
        <v>5</v>
      </c>
      <c r="I395" s="23"/>
    </row>
    <row r="396" spans="1:9" x14ac:dyDescent="0.35">
      <c r="A396" s="23">
        <v>987261</v>
      </c>
      <c r="B396" s="24"/>
      <c r="D396" s="13">
        <v>44819</v>
      </c>
      <c r="F396" s="23" t="s">
        <v>764</v>
      </c>
      <c r="G396" s="23" t="s">
        <v>318</v>
      </c>
      <c r="H396" s="23" t="s">
        <v>6</v>
      </c>
      <c r="I396" s="23"/>
    </row>
    <row r="397" spans="1:9" x14ac:dyDescent="0.35">
      <c r="A397" s="23">
        <v>987261</v>
      </c>
      <c r="B397" s="24"/>
      <c r="D397" s="13">
        <v>44819</v>
      </c>
      <c r="F397" s="23" t="s">
        <v>764</v>
      </c>
      <c r="G397" s="23" t="s">
        <v>318</v>
      </c>
      <c r="H397" s="23" t="s">
        <v>4</v>
      </c>
      <c r="I397" s="23"/>
    </row>
    <row r="398" spans="1:9" x14ac:dyDescent="0.35">
      <c r="A398" s="23">
        <v>987261</v>
      </c>
      <c r="B398" s="24"/>
      <c r="D398" s="13">
        <v>44819</v>
      </c>
      <c r="F398" s="23" t="s">
        <v>764</v>
      </c>
      <c r="G398" s="23" t="s">
        <v>318</v>
      </c>
      <c r="H398" s="23" t="s">
        <v>5</v>
      </c>
      <c r="I398" s="23"/>
    </row>
    <row r="399" spans="1:9" x14ac:dyDescent="0.35">
      <c r="A399" s="23">
        <v>987268</v>
      </c>
      <c r="B399" s="24"/>
      <c r="D399" s="13">
        <v>44819</v>
      </c>
      <c r="F399" s="23" t="s">
        <v>764</v>
      </c>
      <c r="G399" s="23" t="s">
        <v>318</v>
      </c>
      <c r="H399" s="23" t="s">
        <v>6</v>
      </c>
      <c r="I399" s="23"/>
    </row>
    <row r="400" spans="1:9" x14ac:dyDescent="0.35">
      <c r="A400" s="23">
        <v>987268</v>
      </c>
      <c r="B400" s="24"/>
      <c r="D400" s="13">
        <v>44819</v>
      </c>
      <c r="F400" s="23" t="s">
        <v>764</v>
      </c>
      <c r="G400" s="23" t="s">
        <v>318</v>
      </c>
      <c r="H400" s="23" t="s">
        <v>4</v>
      </c>
      <c r="I400" s="23"/>
    </row>
    <row r="401" spans="1:9" x14ac:dyDescent="0.35">
      <c r="A401" s="23">
        <v>987268</v>
      </c>
      <c r="B401" s="24"/>
      <c r="D401" s="13">
        <v>44819</v>
      </c>
      <c r="F401" s="23" t="s">
        <v>764</v>
      </c>
      <c r="G401" s="23" t="s">
        <v>318</v>
      </c>
      <c r="H401" s="23" t="s">
        <v>5</v>
      </c>
      <c r="I401" s="23"/>
    </row>
    <row r="402" spans="1:9" x14ac:dyDescent="0.35">
      <c r="A402" s="23">
        <v>987290</v>
      </c>
      <c r="B402" s="24"/>
      <c r="D402" s="13">
        <v>44819</v>
      </c>
      <c r="F402" s="23" t="s">
        <v>764</v>
      </c>
      <c r="G402" s="23" t="s">
        <v>318</v>
      </c>
      <c r="H402" s="23" t="s">
        <v>6</v>
      </c>
      <c r="I402" s="23"/>
    </row>
    <row r="403" spans="1:9" x14ac:dyDescent="0.35">
      <c r="A403" s="23">
        <v>987290</v>
      </c>
      <c r="B403" s="24"/>
      <c r="D403" s="13">
        <v>44819</v>
      </c>
      <c r="F403" s="23" t="s">
        <v>764</v>
      </c>
      <c r="G403" s="23" t="s">
        <v>318</v>
      </c>
      <c r="H403" s="23" t="s">
        <v>4</v>
      </c>
      <c r="I403" s="23"/>
    </row>
    <row r="404" spans="1:9" x14ac:dyDescent="0.35">
      <c r="A404" s="23">
        <v>987290</v>
      </c>
      <c r="B404" s="24"/>
      <c r="D404" s="13">
        <v>44819</v>
      </c>
      <c r="F404" s="23" t="s">
        <v>764</v>
      </c>
      <c r="G404" s="23" t="s">
        <v>318</v>
      </c>
      <c r="H404" s="23" t="s">
        <v>5</v>
      </c>
      <c r="I404" s="23"/>
    </row>
    <row r="405" spans="1:9" x14ac:dyDescent="0.35">
      <c r="A405" s="23">
        <v>987310</v>
      </c>
      <c r="B405" s="24"/>
      <c r="D405" s="13">
        <v>44819</v>
      </c>
      <c r="F405" s="23" t="s">
        <v>764</v>
      </c>
      <c r="G405" s="23" t="s">
        <v>318</v>
      </c>
      <c r="H405" s="23" t="s">
        <v>6</v>
      </c>
      <c r="I405" s="23"/>
    </row>
    <row r="406" spans="1:9" x14ac:dyDescent="0.35">
      <c r="A406" s="23">
        <v>987310</v>
      </c>
      <c r="B406" s="24"/>
      <c r="D406" s="13">
        <v>44819</v>
      </c>
      <c r="F406" s="23" t="s">
        <v>764</v>
      </c>
      <c r="G406" s="23" t="s">
        <v>318</v>
      </c>
      <c r="H406" s="23" t="s">
        <v>4</v>
      </c>
      <c r="I406" s="23"/>
    </row>
    <row r="407" spans="1:9" x14ac:dyDescent="0.35">
      <c r="A407" s="23">
        <v>987310</v>
      </c>
      <c r="B407" s="24"/>
      <c r="D407" s="13">
        <v>44819</v>
      </c>
      <c r="F407" s="23" t="s">
        <v>764</v>
      </c>
      <c r="G407" s="23" t="s">
        <v>318</v>
      </c>
      <c r="H407" s="23" t="s">
        <v>5</v>
      </c>
      <c r="I407" s="23"/>
    </row>
    <row r="408" spans="1:9" x14ac:dyDescent="0.35">
      <c r="A408" s="23">
        <v>987345</v>
      </c>
      <c r="B408" s="24"/>
      <c r="D408" s="13">
        <v>44819</v>
      </c>
      <c r="F408" s="23" t="s">
        <v>764</v>
      </c>
      <c r="G408" s="23" t="s">
        <v>318</v>
      </c>
      <c r="H408" s="23" t="s">
        <v>6</v>
      </c>
      <c r="I408" s="23"/>
    </row>
    <row r="409" spans="1:9" x14ac:dyDescent="0.35">
      <c r="A409" s="23">
        <v>987345</v>
      </c>
      <c r="B409" s="24"/>
      <c r="D409" s="13">
        <v>44819</v>
      </c>
      <c r="F409" s="23" t="s">
        <v>764</v>
      </c>
      <c r="G409" s="23" t="s">
        <v>318</v>
      </c>
      <c r="H409" s="23" t="s">
        <v>4</v>
      </c>
      <c r="I409" s="23"/>
    </row>
    <row r="410" spans="1:9" x14ac:dyDescent="0.35">
      <c r="A410" s="23">
        <v>987345</v>
      </c>
      <c r="B410" s="24"/>
      <c r="D410" s="13">
        <v>44819</v>
      </c>
      <c r="F410" s="23" t="s">
        <v>764</v>
      </c>
      <c r="G410" s="23" t="s">
        <v>318</v>
      </c>
      <c r="H410" s="23" t="s">
        <v>5</v>
      </c>
      <c r="I410" s="23"/>
    </row>
    <row r="411" spans="1:9" x14ac:dyDescent="0.35">
      <c r="A411" s="23">
        <v>987360</v>
      </c>
      <c r="B411" s="24"/>
      <c r="D411" s="13">
        <v>44819</v>
      </c>
      <c r="F411" s="23" t="s">
        <v>764</v>
      </c>
      <c r="G411" s="23" t="s">
        <v>318</v>
      </c>
      <c r="H411" s="23" t="s">
        <v>6</v>
      </c>
      <c r="I411" s="23"/>
    </row>
    <row r="412" spans="1:9" x14ac:dyDescent="0.35">
      <c r="A412" s="23">
        <v>987360</v>
      </c>
      <c r="B412" s="24"/>
      <c r="D412" s="13">
        <v>44819</v>
      </c>
      <c r="F412" s="23" t="s">
        <v>764</v>
      </c>
      <c r="G412" s="23" t="s">
        <v>318</v>
      </c>
      <c r="H412" s="23" t="s">
        <v>4</v>
      </c>
      <c r="I412" s="23"/>
    </row>
    <row r="413" spans="1:9" x14ac:dyDescent="0.35">
      <c r="A413" s="23">
        <v>987360</v>
      </c>
      <c r="B413" s="24"/>
      <c r="D413" s="13">
        <v>44819</v>
      </c>
      <c r="F413" s="23" t="s">
        <v>764</v>
      </c>
      <c r="G413" s="23" t="s">
        <v>318</v>
      </c>
      <c r="H413" s="23" t="s">
        <v>5</v>
      </c>
      <c r="I413" s="23"/>
    </row>
    <row r="414" spans="1:9" x14ac:dyDescent="0.35">
      <c r="A414" s="23">
        <v>987361</v>
      </c>
      <c r="B414" s="24"/>
      <c r="D414" s="13">
        <v>44819</v>
      </c>
      <c r="F414" s="23" t="s">
        <v>764</v>
      </c>
      <c r="G414" s="23" t="s">
        <v>318</v>
      </c>
      <c r="H414" s="23" t="s">
        <v>6</v>
      </c>
      <c r="I414" s="23"/>
    </row>
    <row r="415" spans="1:9" x14ac:dyDescent="0.35">
      <c r="A415" s="23">
        <v>987361</v>
      </c>
      <c r="B415" s="24"/>
      <c r="D415" s="13">
        <v>44819</v>
      </c>
      <c r="F415" s="23" t="s">
        <v>764</v>
      </c>
      <c r="G415" s="23" t="s">
        <v>318</v>
      </c>
      <c r="H415" s="23" t="s">
        <v>4</v>
      </c>
      <c r="I415" s="23"/>
    </row>
    <row r="416" spans="1:9" x14ac:dyDescent="0.35">
      <c r="A416" s="23">
        <v>987361</v>
      </c>
      <c r="B416" s="24"/>
      <c r="D416" s="13">
        <v>44819</v>
      </c>
      <c r="F416" s="23" t="s">
        <v>764</v>
      </c>
      <c r="G416" s="23" t="s">
        <v>318</v>
      </c>
      <c r="H416" s="23" t="s">
        <v>5</v>
      </c>
      <c r="I416" s="23"/>
    </row>
    <row r="417" spans="1:9" x14ac:dyDescent="0.35">
      <c r="A417" s="23">
        <v>987560</v>
      </c>
      <c r="B417" s="24"/>
      <c r="D417" s="13">
        <v>44819</v>
      </c>
      <c r="F417" s="23" t="s">
        <v>764</v>
      </c>
      <c r="G417" s="23" t="s">
        <v>318</v>
      </c>
      <c r="H417" s="23" t="s">
        <v>6</v>
      </c>
      <c r="I417" s="23"/>
    </row>
    <row r="418" spans="1:9" x14ac:dyDescent="0.35">
      <c r="A418" s="23">
        <v>987560</v>
      </c>
      <c r="B418" s="24"/>
      <c r="D418" s="13">
        <v>44819</v>
      </c>
      <c r="F418" s="23" t="s">
        <v>764</v>
      </c>
      <c r="G418" s="23" t="s">
        <v>318</v>
      </c>
      <c r="H418" s="23" t="s">
        <v>4</v>
      </c>
      <c r="I418" s="23"/>
    </row>
    <row r="419" spans="1:9" x14ac:dyDescent="0.35">
      <c r="A419" s="23">
        <v>987560</v>
      </c>
      <c r="B419" s="24"/>
      <c r="D419" s="13">
        <v>44819</v>
      </c>
      <c r="F419" s="23" t="s">
        <v>764</v>
      </c>
      <c r="G419" s="23" t="s">
        <v>318</v>
      </c>
      <c r="H419" s="23" t="s">
        <v>5</v>
      </c>
      <c r="I419" s="23"/>
    </row>
    <row r="420" spans="1:9" x14ac:dyDescent="0.35">
      <c r="A420" s="23">
        <v>987590</v>
      </c>
      <c r="B420" s="24"/>
      <c r="D420" s="13">
        <v>44819</v>
      </c>
      <c r="F420" s="23" t="s">
        <v>764</v>
      </c>
      <c r="G420" s="23" t="s">
        <v>318</v>
      </c>
      <c r="H420" s="23" t="s">
        <v>6</v>
      </c>
      <c r="I420" s="23"/>
    </row>
    <row r="421" spans="1:9" x14ac:dyDescent="0.35">
      <c r="A421" s="23">
        <v>987590</v>
      </c>
      <c r="B421" s="24"/>
      <c r="D421" s="13">
        <v>44819</v>
      </c>
      <c r="F421" s="23" t="s">
        <v>764</v>
      </c>
      <c r="G421" s="23" t="s">
        <v>318</v>
      </c>
      <c r="H421" s="23" t="s">
        <v>4</v>
      </c>
      <c r="I421" s="23"/>
    </row>
    <row r="422" spans="1:9" x14ac:dyDescent="0.35">
      <c r="A422" s="23">
        <v>987590</v>
      </c>
      <c r="B422" s="24"/>
      <c r="D422" s="13">
        <v>44819</v>
      </c>
      <c r="F422" s="23" t="s">
        <v>764</v>
      </c>
      <c r="G422" s="23" t="s">
        <v>318</v>
      </c>
      <c r="H422" s="23" t="s">
        <v>5</v>
      </c>
      <c r="I422" s="23"/>
    </row>
    <row r="423" spans="1:9" x14ac:dyDescent="0.35">
      <c r="A423" s="23">
        <v>987591</v>
      </c>
      <c r="B423" s="24"/>
      <c r="D423" s="13">
        <v>44819</v>
      </c>
      <c r="F423" s="23" t="s">
        <v>764</v>
      </c>
      <c r="G423" s="23" t="s">
        <v>318</v>
      </c>
      <c r="H423" s="23" t="s">
        <v>6</v>
      </c>
      <c r="I423" s="23"/>
    </row>
    <row r="424" spans="1:9" x14ac:dyDescent="0.35">
      <c r="A424" s="23">
        <v>987591</v>
      </c>
      <c r="B424" s="24"/>
      <c r="D424" s="13">
        <v>44819</v>
      </c>
      <c r="F424" s="23" t="s">
        <v>764</v>
      </c>
      <c r="G424" s="23" t="s">
        <v>318</v>
      </c>
      <c r="H424" s="23" t="s">
        <v>4</v>
      </c>
      <c r="I424" s="23"/>
    </row>
    <row r="425" spans="1:9" x14ac:dyDescent="0.35">
      <c r="A425" s="23">
        <v>987591</v>
      </c>
      <c r="B425" s="24"/>
      <c r="D425" s="13">
        <v>44819</v>
      </c>
      <c r="F425" s="23" t="s">
        <v>764</v>
      </c>
      <c r="G425" s="23" t="s">
        <v>318</v>
      </c>
      <c r="H425" s="23" t="s">
        <v>5</v>
      </c>
      <c r="I425" s="23"/>
    </row>
    <row r="426" spans="1:9" x14ac:dyDescent="0.35">
      <c r="A426" s="23">
        <v>987592</v>
      </c>
      <c r="B426" s="24"/>
      <c r="D426" s="13">
        <v>44819</v>
      </c>
      <c r="F426" s="23" t="s">
        <v>764</v>
      </c>
      <c r="G426" s="23" t="s">
        <v>318</v>
      </c>
      <c r="H426" s="23" t="s">
        <v>6</v>
      </c>
      <c r="I426" s="23"/>
    </row>
    <row r="427" spans="1:9" x14ac:dyDescent="0.35">
      <c r="A427" s="23">
        <v>987592</v>
      </c>
      <c r="B427" s="24"/>
      <c r="D427" s="13">
        <v>44819</v>
      </c>
      <c r="F427" s="23" t="s">
        <v>764</v>
      </c>
      <c r="G427" s="23" t="s">
        <v>318</v>
      </c>
      <c r="H427" s="23" t="s">
        <v>4</v>
      </c>
      <c r="I427" s="23"/>
    </row>
    <row r="428" spans="1:9" x14ac:dyDescent="0.35">
      <c r="A428" s="23">
        <v>987592</v>
      </c>
      <c r="B428" s="24"/>
      <c r="D428" s="13">
        <v>44819</v>
      </c>
      <c r="F428" s="23" t="s">
        <v>764</v>
      </c>
      <c r="G428" s="23" t="s">
        <v>318</v>
      </c>
      <c r="H428" s="23" t="s">
        <v>5</v>
      </c>
      <c r="I428" s="23"/>
    </row>
    <row r="429" spans="1:9" x14ac:dyDescent="0.35">
      <c r="A429" s="23">
        <v>987593</v>
      </c>
      <c r="B429" s="24"/>
      <c r="D429" s="13">
        <v>44819</v>
      </c>
      <c r="F429" s="23" t="s">
        <v>764</v>
      </c>
      <c r="G429" s="23" t="s">
        <v>318</v>
      </c>
      <c r="H429" s="23" t="s">
        <v>6</v>
      </c>
      <c r="I429" s="23"/>
    </row>
    <row r="430" spans="1:9" x14ac:dyDescent="0.35">
      <c r="A430" s="23">
        <v>987593</v>
      </c>
      <c r="B430" s="24"/>
      <c r="D430" s="13">
        <v>44819</v>
      </c>
      <c r="F430" s="23" t="s">
        <v>764</v>
      </c>
      <c r="G430" s="23" t="s">
        <v>318</v>
      </c>
      <c r="H430" s="23" t="s">
        <v>4</v>
      </c>
      <c r="I430" s="23"/>
    </row>
    <row r="431" spans="1:9" x14ac:dyDescent="0.35">
      <c r="A431" s="23">
        <v>987593</v>
      </c>
      <c r="B431" s="24"/>
      <c r="D431" s="13">
        <v>44819</v>
      </c>
      <c r="F431" s="23" t="s">
        <v>764</v>
      </c>
      <c r="G431" s="23" t="s">
        <v>318</v>
      </c>
      <c r="H431" s="23" t="s">
        <v>5</v>
      </c>
      <c r="I431" s="23"/>
    </row>
    <row r="432" spans="1:9" x14ac:dyDescent="0.35">
      <c r="A432" s="23">
        <v>987594</v>
      </c>
      <c r="B432" s="24"/>
      <c r="D432" s="13">
        <v>44819</v>
      </c>
      <c r="F432" s="23" t="s">
        <v>764</v>
      </c>
      <c r="G432" s="23" t="s">
        <v>318</v>
      </c>
      <c r="H432" s="23" t="s">
        <v>6</v>
      </c>
      <c r="I432" s="23"/>
    </row>
    <row r="433" spans="1:9" x14ac:dyDescent="0.35">
      <c r="A433" s="23">
        <v>987594</v>
      </c>
      <c r="B433" s="24"/>
      <c r="D433" s="13">
        <v>44819</v>
      </c>
      <c r="F433" s="23" t="s">
        <v>764</v>
      </c>
      <c r="G433" s="23" t="s">
        <v>318</v>
      </c>
      <c r="H433" s="23" t="s">
        <v>4</v>
      </c>
      <c r="I433" s="23"/>
    </row>
    <row r="434" spans="1:9" x14ac:dyDescent="0.35">
      <c r="A434" s="23">
        <v>987594</v>
      </c>
      <c r="B434" s="24"/>
      <c r="D434" s="13">
        <v>44819</v>
      </c>
      <c r="F434" s="23" t="s">
        <v>764</v>
      </c>
      <c r="G434" s="23" t="s">
        <v>318</v>
      </c>
      <c r="H434" s="23" t="s">
        <v>5</v>
      </c>
      <c r="I434" s="23"/>
    </row>
    <row r="435" spans="1:9" x14ac:dyDescent="0.35">
      <c r="A435" s="23">
        <v>987614</v>
      </c>
      <c r="B435" s="24"/>
      <c r="D435" s="13">
        <v>44819</v>
      </c>
      <c r="F435" s="23" t="s">
        <v>764</v>
      </c>
      <c r="G435" s="23" t="s">
        <v>318</v>
      </c>
      <c r="H435" s="23" t="s">
        <v>6</v>
      </c>
      <c r="I435" s="23"/>
    </row>
    <row r="436" spans="1:9" x14ac:dyDescent="0.35">
      <c r="A436" s="23">
        <v>987614</v>
      </c>
      <c r="B436" s="24"/>
      <c r="D436" s="13">
        <v>44819</v>
      </c>
      <c r="F436" s="23" t="s">
        <v>764</v>
      </c>
      <c r="G436" s="23" t="s">
        <v>318</v>
      </c>
      <c r="H436" s="23" t="s">
        <v>4</v>
      </c>
      <c r="I436" s="23"/>
    </row>
    <row r="437" spans="1:9" x14ac:dyDescent="0.35">
      <c r="A437" s="23">
        <v>987614</v>
      </c>
      <c r="B437" s="24"/>
      <c r="D437" s="13">
        <v>44819</v>
      </c>
      <c r="F437" s="23" t="s">
        <v>764</v>
      </c>
      <c r="G437" s="23" t="s">
        <v>318</v>
      </c>
      <c r="H437" s="23" t="s">
        <v>5</v>
      </c>
      <c r="I437" s="23"/>
    </row>
    <row r="438" spans="1:9" x14ac:dyDescent="0.35">
      <c r="A438" s="23">
        <v>987690</v>
      </c>
      <c r="B438" s="24"/>
      <c r="D438" s="13">
        <v>44819</v>
      </c>
      <c r="F438" s="23" t="s">
        <v>764</v>
      </c>
      <c r="G438" s="23" t="s">
        <v>318</v>
      </c>
      <c r="H438" s="23" t="s">
        <v>6</v>
      </c>
      <c r="I438" s="23"/>
    </row>
    <row r="439" spans="1:9" x14ac:dyDescent="0.35">
      <c r="A439" s="23">
        <v>987690</v>
      </c>
      <c r="B439" s="24"/>
      <c r="D439" s="13">
        <v>44819</v>
      </c>
      <c r="F439" s="23" t="s">
        <v>764</v>
      </c>
      <c r="G439" s="23" t="s">
        <v>318</v>
      </c>
      <c r="H439" s="23" t="s">
        <v>4</v>
      </c>
      <c r="I439" s="23"/>
    </row>
    <row r="440" spans="1:9" x14ac:dyDescent="0.35">
      <c r="A440" s="23">
        <v>987690</v>
      </c>
      <c r="B440" s="24"/>
      <c r="D440" s="13">
        <v>44819</v>
      </c>
      <c r="F440" s="23" t="s">
        <v>764</v>
      </c>
      <c r="G440" s="23" t="s">
        <v>318</v>
      </c>
      <c r="H440" s="23" t="s">
        <v>5</v>
      </c>
      <c r="I440" s="23"/>
    </row>
    <row r="441" spans="1:9" x14ac:dyDescent="0.35">
      <c r="A441" s="23">
        <v>987691</v>
      </c>
      <c r="B441" s="24"/>
      <c r="D441" s="13">
        <v>44819</v>
      </c>
      <c r="F441" s="23" t="s">
        <v>764</v>
      </c>
      <c r="G441" s="23" t="s">
        <v>318</v>
      </c>
      <c r="H441" s="23" t="s">
        <v>6</v>
      </c>
      <c r="I441" s="23"/>
    </row>
    <row r="442" spans="1:9" x14ac:dyDescent="0.35">
      <c r="A442" s="23">
        <v>987691</v>
      </c>
      <c r="B442" s="24"/>
      <c r="D442" s="13">
        <v>44819</v>
      </c>
      <c r="F442" s="23" t="s">
        <v>764</v>
      </c>
      <c r="G442" s="23" t="s">
        <v>318</v>
      </c>
      <c r="H442" s="23" t="s">
        <v>4</v>
      </c>
      <c r="I442" s="23"/>
    </row>
    <row r="443" spans="1:9" x14ac:dyDescent="0.35">
      <c r="A443" s="23">
        <v>987691</v>
      </c>
      <c r="B443" s="24"/>
      <c r="D443" s="13">
        <v>44819</v>
      </c>
      <c r="F443" s="23" t="s">
        <v>764</v>
      </c>
      <c r="G443" s="23" t="s">
        <v>318</v>
      </c>
      <c r="H443" s="23" t="s">
        <v>5</v>
      </c>
      <c r="I443" s="23"/>
    </row>
    <row r="444" spans="1:9" x14ac:dyDescent="0.35">
      <c r="A444" s="23">
        <v>987692</v>
      </c>
      <c r="B444" s="24"/>
      <c r="D444" s="13">
        <v>44819</v>
      </c>
      <c r="F444" s="23" t="s">
        <v>764</v>
      </c>
      <c r="G444" s="23" t="s">
        <v>318</v>
      </c>
      <c r="H444" s="23" t="s">
        <v>6</v>
      </c>
      <c r="I444" s="23"/>
    </row>
    <row r="445" spans="1:9" x14ac:dyDescent="0.35">
      <c r="A445" s="23">
        <v>987692</v>
      </c>
      <c r="B445" s="24"/>
      <c r="D445" s="13">
        <v>44819</v>
      </c>
      <c r="F445" s="23" t="s">
        <v>764</v>
      </c>
      <c r="G445" s="23" t="s">
        <v>318</v>
      </c>
      <c r="H445" s="23" t="s">
        <v>4</v>
      </c>
      <c r="I445" s="23"/>
    </row>
    <row r="446" spans="1:9" x14ac:dyDescent="0.35">
      <c r="A446" s="23">
        <v>987692</v>
      </c>
      <c r="B446" s="24"/>
      <c r="D446" s="13">
        <v>44819</v>
      </c>
      <c r="F446" s="23" t="s">
        <v>764</v>
      </c>
      <c r="G446" s="23" t="s">
        <v>318</v>
      </c>
      <c r="H446" s="23" t="s">
        <v>5</v>
      </c>
      <c r="I446" s="23"/>
    </row>
    <row r="447" spans="1:9" x14ac:dyDescent="0.35">
      <c r="A447" s="23">
        <v>987730</v>
      </c>
      <c r="B447" s="24"/>
      <c r="D447" s="13">
        <v>44819</v>
      </c>
      <c r="F447" s="23" t="s">
        <v>764</v>
      </c>
      <c r="G447" s="23" t="s">
        <v>318</v>
      </c>
      <c r="H447" s="23" t="s">
        <v>6</v>
      </c>
      <c r="I447" s="23"/>
    </row>
    <row r="448" spans="1:9" x14ac:dyDescent="0.35">
      <c r="A448" s="23">
        <v>987730</v>
      </c>
      <c r="B448" s="24"/>
      <c r="D448" s="13">
        <v>44819</v>
      </c>
      <c r="F448" s="23" t="s">
        <v>764</v>
      </c>
      <c r="G448" s="23" t="s">
        <v>318</v>
      </c>
      <c r="H448" s="23" t="s">
        <v>4</v>
      </c>
      <c r="I448" s="23"/>
    </row>
    <row r="449" spans="1:9" x14ac:dyDescent="0.35">
      <c r="A449" s="23">
        <v>987730</v>
      </c>
      <c r="B449" s="24"/>
      <c r="D449" s="13">
        <v>44819</v>
      </c>
      <c r="F449" s="23" t="s">
        <v>764</v>
      </c>
      <c r="G449" s="23" t="s">
        <v>318</v>
      </c>
      <c r="H449" s="23" t="s">
        <v>5</v>
      </c>
      <c r="I449" s="23"/>
    </row>
    <row r="450" spans="1:9" x14ac:dyDescent="0.35">
      <c r="A450" s="23">
        <v>987760</v>
      </c>
      <c r="B450" s="24"/>
      <c r="D450" s="13">
        <v>44819</v>
      </c>
      <c r="F450" s="23" t="s">
        <v>764</v>
      </c>
      <c r="G450" s="23" t="s">
        <v>318</v>
      </c>
      <c r="H450" s="23" t="s">
        <v>6</v>
      </c>
      <c r="I450" s="23"/>
    </row>
    <row r="451" spans="1:9" x14ac:dyDescent="0.35">
      <c r="A451" s="23">
        <v>987760</v>
      </c>
      <c r="B451" s="24"/>
      <c r="D451" s="13">
        <v>44819</v>
      </c>
      <c r="F451" s="23" t="s">
        <v>764</v>
      </c>
      <c r="G451" s="23" t="s">
        <v>318</v>
      </c>
      <c r="H451" s="23" t="s">
        <v>4</v>
      </c>
      <c r="I451" s="23"/>
    </row>
    <row r="452" spans="1:9" x14ac:dyDescent="0.35">
      <c r="A452" s="23">
        <v>987760</v>
      </c>
      <c r="B452" s="24"/>
      <c r="D452" s="13">
        <v>44819</v>
      </c>
      <c r="F452" s="23" t="s">
        <v>764</v>
      </c>
      <c r="G452" s="23" t="s">
        <v>318</v>
      </c>
      <c r="H452" s="23" t="s">
        <v>5</v>
      </c>
      <c r="I452" s="23"/>
    </row>
    <row r="453" spans="1:9" x14ac:dyDescent="0.35">
      <c r="A453" s="23">
        <v>987790</v>
      </c>
      <c r="B453" s="24"/>
      <c r="D453" s="13">
        <v>44819</v>
      </c>
      <c r="F453" s="23" t="s">
        <v>764</v>
      </c>
      <c r="G453" s="23" t="s">
        <v>318</v>
      </c>
      <c r="H453" s="23" t="s">
        <v>6</v>
      </c>
      <c r="I453" s="23"/>
    </row>
    <row r="454" spans="1:9" x14ac:dyDescent="0.35">
      <c r="A454" s="23">
        <v>987790</v>
      </c>
      <c r="B454" s="24"/>
      <c r="D454" s="13">
        <v>44819</v>
      </c>
      <c r="F454" s="23" t="s">
        <v>764</v>
      </c>
      <c r="G454" s="23" t="s">
        <v>318</v>
      </c>
      <c r="H454" s="23" t="s">
        <v>4</v>
      </c>
      <c r="I454" s="23"/>
    </row>
    <row r="455" spans="1:9" x14ac:dyDescent="0.35">
      <c r="A455" s="23">
        <v>987790</v>
      </c>
      <c r="B455" s="24"/>
      <c r="D455" s="13">
        <v>44819</v>
      </c>
      <c r="F455" s="23" t="s">
        <v>764</v>
      </c>
      <c r="G455" s="23" t="s">
        <v>318</v>
      </c>
      <c r="H455" s="23" t="s">
        <v>5</v>
      </c>
      <c r="I455" s="23"/>
    </row>
    <row r="456" spans="1:9" x14ac:dyDescent="0.35">
      <c r="A456" s="23">
        <v>987820</v>
      </c>
      <c r="B456" s="24"/>
      <c r="D456" s="13">
        <v>44819</v>
      </c>
      <c r="F456" s="23" t="s">
        <v>764</v>
      </c>
      <c r="G456" s="23" t="s">
        <v>318</v>
      </c>
      <c r="H456" s="23" t="s">
        <v>6</v>
      </c>
      <c r="I456" s="23"/>
    </row>
    <row r="457" spans="1:9" x14ac:dyDescent="0.35">
      <c r="A457" s="23">
        <v>987820</v>
      </c>
      <c r="B457" s="24"/>
      <c r="D457" s="13">
        <v>44819</v>
      </c>
      <c r="F457" s="23" t="s">
        <v>764</v>
      </c>
      <c r="G457" s="23" t="s">
        <v>318</v>
      </c>
      <c r="H457" s="23" t="s">
        <v>4</v>
      </c>
      <c r="I457" s="23"/>
    </row>
    <row r="458" spans="1:9" x14ac:dyDescent="0.35">
      <c r="A458" s="23">
        <v>987820</v>
      </c>
      <c r="B458" s="24"/>
      <c r="D458" s="13">
        <v>44819</v>
      </c>
      <c r="F458" s="23" t="s">
        <v>764</v>
      </c>
      <c r="G458" s="23" t="s">
        <v>318</v>
      </c>
      <c r="H458" s="23" t="s">
        <v>5</v>
      </c>
      <c r="I458" s="23"/>
    </row>
    <row r="459" spans="1:9" x14ac:dyDescent="0.35">
      <c r="A459" s="23">
        <v>987822</v>
      </c>
      <c r="B459" s="24"/>
      <c r="D459" s="13">
        <v>44819</v>
      </c>
      <c r="F459" s="23" t="s">
        <v>764</v>
      </c>
      <c r="G459" s="23" t="s">
        <v>318</v>
      </c>
      <c r="H459" s="23" t="s">
        <v>6</v>
      </c>
      <c r="I459" s="23"/>
    </row>
    <row r="460" spans="1:9" x14ac:dyDescent="0.35">
      <c r="A460" s="23">
        <v>987822</v>
      </c>
      <c r="B460" s="24"/>
      <c r="D460" s="13">
        <v>44819</v>
      </c>
      <c r="F460" s="23" t="s">
        <v>764</v>
      </c>
      <c r="G460" s="23" t="s">
        <v>318</v>
      </c>
      <c r="H460" s="23" t="s">
        <v>4</v>
      </c>
      <c r="I460" s="23"/>
    </row>
    <row r="461" spans="1:9" x14ac:dyDescent="0.35">
      <c r="A461" s="23">
        <v>987822</v>
      </c>
      <c r="B461" s="24"/>
      <c r="D461" s="13">
        <v>44819</v>
      </c>
      <c r="F461" s="23" t="s">
        <v>764</v>
      </c>
      <c r="G461" s="23" t="s">
        <v>318</v>
      </c>
      <c r="H461" s="23" t="s">
        <v>5</v>
      </c>
      <c r="I461" s="23"/>
    </row>
    <row r="462" spans="1:9" x14ac:dyDescent="0.35">
      <c r="A462" s="23">
        <v>987900</v>
      </c>
      <c r="B462" s="24"/>
      <c r="D462" s="13">
        <v>44819</v>
      </c>
      <c r="F462" s="23" t="s">
        <v>764</v>
      </c>
      <c r="G462" s="23" t="s">
        <v>318</v>
      </c>
      <c r="H462" s="23" t="s">
        <v>6</v>
      </c>
      <c r="I462" s="23"/>
    </row>
    <row r="463" spans="1:9" x14ac:dyDescent="0.35">
      <c r="A463" s="23">
        <v>987900</v>
      </c>
      <c r="B463" s="24"/>
      <c r="D463" s="13">
        <v>44819</v>
      </c>
      <c r="F463" s="23" t="s">
        <v>764</v>
      </c>
      <c r="G463" s="23" t="s">
        <v>318</v>
      </c>
      <c r="H463" s="23" t="s">
        <v>4</v>
      </c>
      <c r="I463" s="23"/>
    </row>
    <row r="464" spans="1:9" x14ac:dyDescent="0.35">
      <c r="A464" s="23">
        <v>987900</v>
      </c>
      <c r="B464" s="24"/>
      <c r="D464" s="13">
        <v>44819</v>
      </c>
      <c r="F464" s="23" t="s">
        <v>764</v>
      </c>
      <c r="G464" s="23" t="s">
        <v>318</v>
      </c>
      <c r="H464" s="23" t="s">
        <v>5</v>
      </c>
      <c r="I464" s="23"/>
    </row>
    <row r="465" spans="1:9" x14ac:dyDescent="0.35">
      <c r="A465" s="23">
        <v>988020</v>
      </c>
      <c r="B465" s="24"/>
      <c r="D465" s="13">
        <v>44819</v>
      </c>
      <c r="F465" s="23" t="s">
        <v>764</v>
      </c>
      <c r="G465" s="23" t="s">
        <v>318</v>
      </c>
      <c r="H465" s="23" t="s">
        <v>6</v>
      </c>
      <c r="I465" s="23"/>
    </row>
    <row r="466" spans="1:9" x14ac:dyDescent="0.35">
      <c r="A466" s="23">
        <v>988020</v>
      </c>
      <c r="B466" s="24"/>
      <c r="D466" s="13">
        <v>44819</v>
      </c>
      <c r="F466" s="23" t="s">
        <v>764</v>
      </c>
      <c r="G466" s="23" t="s">
        <v>318</v>
      </c>
      <c r="H466" s="23" t="s">
        <v>4</v>
      </c>
      <c r="I466" s="23"/>
    </row>
    <row r="467" spans="1:9" x14ac:dyDescent="0.35">
      <c r="A467" s="23">
        <v>988020</v>
      </c>
      <c r="B467" s="24"/>
      <c r="D467" s="13">
        <v>44819</v>
      </c>
      <c r="F467" s="23" t="s">
        <v>764</v>
      </c>
      <c r="G467" s="23" t="s">
        <v>318</v>
      </c>
      <c r="H467" s="23" t="s">
        <v>5</v>
      </c>
      <c r="I467" s="23"/>
    </row>
    <row r="468" spans="1:9" x14ac:dyDescent="0.35">
      <c r="A468" s="23">
        <v>988490</v>
      </c>
      <c r="B468" s="24"/>
      <c r="D468" s="13">
        <v>44819</v>
      </c>
      <c r="F468" s="23" t="s">
        <v>764</v>
      </c>
      <c r="G468" s="23" t="s">
        <v>318</v>
      </c>
      <c r="H468" s="23" t="s">
        <v>6</v>
      </c>
      <c r="I468" s="23"/>
    </row>
    <row r="469" spans="1:9" x14ac:dyDescent="0.35">
      <c r="A469" s="23">
        <v>988490</v>
      </c>
      <c r="B469" s="24"/>
      <c r="D469" s="13">
        <v>44819</v>
      </c>
      <c r="F469" s="23" t="s">
        <v>764</v>
      </c>
      <c r="G469" s="23" t="s">
        <v>318</v>
      </c>
      <c r="H469" s="23" t="s">
        <v>4</v>
      </c>
      <c r="I469" s="23"/>
    </row>
    <row r="470" spans="1:9" x14ac:dyDescent="0.35">
      <c r="A470" s="23">
        <v>988490</v>
      </c>
      <c r="B470" s="24"/>
      <c r="D470" s="13">
        <v>44819</v>
      </c>
      <c r="F470" s="23" t="s">
        <v>764</v>
      </c>
      <c r="G470" s="23" t="s">
        <v>318</v>
      </c>
      <c r="H470" s="23" t="s">
        <v>5</v>
      </c>
      <c r="I470" s="23"/>
    </row>
    <row r="471" spans="1:9" x14ac:dyDescent="0.35">
      <c r="A471" s="23">
        <v>988532</v>
      </c>
      <c r="B471" s="24"/>
      <c r="D471" s="13">
        <v>44819</v>
      </c>
      <c r="F471" s="23" t="s">
        <v>764</v>
      </c>
      <c r="G471" s="23" t="s">
        <v>318</v>
      </c>
      <c r="H471" s="23" t="s">
        <v>6</v>
      </c>
      <c r="I471" s="23"/>
    </row>
    <row r="472" spans="1:9" x14ac:dyDescent="0.35">
      <c r="A472" s="23">
        <v>988532</v>
      </c>
      <c r="B472" s="24"/>
      <c r="D472" s="13">
        <v>44819</v>
      </c>
      <c r="F472" s="23" t="s">
        <v>764</v>
      </c>
      <c r="G472" s="23" t="s">
        <v>318</v>
      </c>
      <c r="H472" s="23" t="s">
        <v>4</v>
      </c>
      <c r="I472" s="23"/>
    </row>
    <row r="473" spans="1:9" x14ac:dyDescent="0.35">
      <c r="A473" s="23">
        <v>988532</v>
      </c>
      <c r="B473" s="24"/>
      <c r="D473" s="13">
        <v>44819</v>
      </c>
      <c r="F473" s="23" t="s">
        <v>764</v>
      </c>
      <c r="G473" s="23" t="s">
        <v>318</v>
      </c>
      <c r="H473" s="23" t="s">
        <v>5</v>
      </c>
      <c r="I473" s="23"/>
    </row>
    <row r="474" spans="1:9" x14ac:dyDescent="0.35">
      <c r="A474" s="23">
        <v>988545</v>
      </c>
      <c r="B474" s="24"/>
      <c r="D474" s="13">
        <v>44819</v>
      </c>
      <c r="F474" s="23" t="s">
        <v>764</v>
      </c>
      <c r="G474" s="23" t="s">
        <v>318</v>
      </c>
      <c r="H474" s="23" t="s">
        <v>6</v>
      </c>
      <c r="I474" s="23"/>
    </row>
    <row r="475" spans="1:9" x14ac:dyDescent="0.35">
      <c r="A475" s="23">
        <v>988545</v>
      </c>
      <c r="B475" s="24"/>
      <c r="D475" s="13">
        <v>44819</v>
      </c>
      <c r="F475" s="23" t="s">
        <v>764</v>
      </c>
      <c r="G475" s="23" t="s">
        <v>318</v>
      </c>
      <c r="H475" s="23" t="s">
        <v>4</v>
      </c>
      <c r="I475" s="23"/>
    </row>
    <row r="476" spans="1:9" x14ac:dyDescent="0.35">
      <c r="A476" s="23">
        <v>988545</v>
      </c>
      <c r="B476" s="24"/>
      <c r="D476" s="13">
        <v>44819</v>
      </c>
      <c r="F476" s="23" t="s">
        <v>764</v>
      </c>
      <c r="G476" s="23" t="s">
        <v>318</v>
      </c>
      <c r="H476" s="23" t="s">
        <v>5</v>
      </c>
      <c r="I476" s="23"/>
    </row>
    <row r="477" spans="1:9" x14ac:dyDescent="0.35">
      <c r="A477" s="23">
        <v>988571</v>
      </c>
      <c r="B477" s="24"/>
      <c r="D477" s="13">
        <v>44819</v>
      </c>
      <c r="F477" s="23" t="s">
        <v>764</v>
      </c>
      <c r="G477" s="23" t="s">
        <v>318</v>
      </c>
      <c r="H477" s="23" t="s">
        <v>6</v>
      </c>
      <c r="I477" s="23"/>
    </row>
    <row r="478" spans="1:9" x14ac:dyDescent="0.35">
      <c r="A478" s="23">
        <v>988571</v>
      </c>
      <c r="B478" s="24"/>
      <c r="D478" s="13">
        <v>44819</v>
      </c>
      <c r="F478" s="23" t="s">
        <v>764</v>
      </c>
      <c r="G478" s="23" t="s">
        <v>318</v>
      </c>
      <c r="H478" s="23" t="s">
        <v>4</v>
      </c>
      <c r="I478" s="23"/>
    </row>
    <row r="479" spans="1:9" x14ac:dyDescent="0.35">
      <c r="A479" s="23">
        <v>988571</v>
      </c>
      <c r="B479" s="24"/>
      <c r="D479" s="13">
        <v>44819</v>
      </c>
      <c r="F479" s="23" t="s">
        <v>764</v>
      </c>
      <c r="G479" s="23" t="s">
        <v>318</v>
      </c>
      <c r="H479" s="23" t="s">
        <v>5</v>
      </c>
      <c r="I479" s="23"/>
    </row>
    <row r="480" spans="1:9" x14ac:dyDescent="0.35">
      <c r="A480" s="23">
        <v>988620</v>
      </c>
      <c r="B480" s="24"/>
      <c r="D480" s="13">
        <v>44819</v>
      </c>
      <c r="F480" s="23" t="s">
        <v>764</v>
      </c>
      <c r="G480" s="23" t="s">
        <v>318</v>
      </c>
      <c r="H480" s="23" t="s">
        <v>6</v>
      </c>
      <c r="I480" s="23"/>
    </row>
    <row r="481" spans="1:9" x14ac:dyDescent="0.35">
      <c r="A481" s="23">
        <v>988620</v>
      </c>
      <c r="B481" s="24"/>
      <c r="D481" s="13">
        <v>44819</v>
      </c>
      <c r="F481" s="23" t="s">
        <v>764</v>
      </c>
      <c r="G481" s="23" t="s">
        <v>318</v>
      </c>
      <c r="H481" s="23" t="s">
        <v>4</v>
      </c>
      <c r="I481" s="23"/>
    </row>
    <row r="482" spans="1:9" x14ac:dyDescent="0.35">
      <c r="A482" s="23">
        <v>988620</v>
      </c>
      <c r="B482" s="24"/>
      <c r="D482" s="13">
        <v>44819</v>
      </c>
      <c r="F482" s="23" t="s">
        <v>764</v>
      </c>
      <c r="G482" s="23" t="s">
        <v>318</v>
      </c>
      <c r="H482" s="23" t="s">
        <v>5</v>
      </c>
      <c r="I482" s="23"/>
    </row>
    <row r="483" spans="1:9" x14ac:dyDescent="0.35">
      <c r="A483" s="23">
        <v>988650</v>
      </c>
      <c r="B483" s="24"/>
      <c r="D483" s="13">
        <v>44819</v>
      </c>
      <c r="F483" s="23" t="s">
        <v>764</v>
      </c>
      <c r="G483" s="23" t="s">
        <v>318</v>
      </c>
      <c r="H483" s="23" t="s">
        <v>6</v>
      </c>
      <c r="I483" s="23"/>
    </row>
    <row r="484" spans="1:9" x14ac:dyDescent="0.35">
      <c r="A484" s="23">
        <v>988650</v>
      </c>
      <c r="B484" s="24"/>
      <c r="D484" s="13">
        <v>44819</v>
      </c>
      <c r="F484" s="23" t="s">
        <v>764</v>
      </c>
      <c r="G484" s="23" t="s">
        <v>318</v>
      </c>
      <c r="H484" s="23" t="s">
        <v>4</v>
      </c>
      <c r="I484" s="23"/>
    </row>
    <row r="485" spans="1:9" x14ac:dyDescent="0.35">
      <c r="A485" s="23">
        <v>988650</v>
      </c>
      <c r="B485" s="24"/>
      <c r="D485" s="13">
        <v>44819</v>
      </c>
      <c r="F485" s="23" t="s">
        <v>764</v>
      </c>
      <c r="G485" s="23" t="s">
        <v>318</v>
      </c>
      <c r="H485" s="23" t="s">
        <v>5</v>
      </c>
      <c r="I485" s="23"/>
    </row>
    <row r="486" spans="1:9" x14ac:dyDescent="0.35">
      <c r="A486" s="23">
        <v>988703</v>
      </c>
      <c r="B486" s="24"/>
      <c r="D486" s="13">
        <v>44819</v>
      </c>
      <c r="F486" s="23" t="s">
        <v>764</v>
      </c>
      <c r="G486" s="23" t="s">
        <v>318</v>
      </c>
      <c r="H486" s="23" t="s">
        <v>6</v>
      </c>
      <c r="I486" s="23"/>
    </row>
    <row r="487" spans="1:9" x14ac:dyDescent="0.35">
      <c r="A487" s="23">
        <v>988703</v>
      </c>
      <c r="B487" s="24"/>
      <c r="D487" s="13">
        <v>44819</v>
      </c>
      <c r="F487" s="23" t="s">
        <v>764</v>
      </c>
      <c r="G487" s="23" t="s">
        <v>318</v>
      </c>
      <c r="H487" s="23" t="s">
        <v>4</v>
      </c>
      <c r="I487" s="23"/>
    </row>
    <row r="488" spans="1:9" x14ac:dyDescent="0.35">
      <c r="A488" s="23">
        <v>988703</v>
      </c>
      <c r="B488" s="24"/>
      <c r="D488" s="13">
        <v>44819</v>
      </c>
      <c r="F488" s="23" t="s">
        <v>764</v>
      </c>
      <c r="G488" s="23" t="s">
        <v>318</v>
      </c>
      <c r="H488" s="23" t="s">
        <v>5</v>
      </c>
      <c r="I488" s="23"/>
    </row>
    <row r="489" spans="1:9" x14ac:dyDescent="0.35">
      <c r="A489" s="23">
        <v>988760</v>
      </c>
      <c r="B489" s="24"/>
      <c r="D489" s="13">
        <v>44819</v>
      </c>
      <c r="F489" s="23" t="s">
        <v>764</v>
      </c>
      <c r="G489" s="23" t="s">
        <v>318</v>
      </c>
      <c r="H489" s="23" t="s">
        <v>6</v>
      </c>
      <c r="I489" s="23"/>
    </row>
    <row r="490" spans="1:9" x14ac:dyDescent="0.35">
      <c r="A490" s="23">
        <v>988760</v>
      </c>
      <c r="B490" s="24"/>
      <c r="D490" s="13">
        <v>44819</v>
      </c>
      <c r="F490" s="23" t="s">
        <v>764</v>
      </c>
      <c r="G490" s="23" t="s">
        <v>318</v>
      </c>
      <c r="H490" s="23" t="s">
        <v>4</v>
      </c>
      <c r="I490" s="23"/>
    </row>
    <row r="491" spans="1:9" x14ac:dyDescent="0.35">
      <c r="A491" s="23">
        <v>988760</v>
      </c>
      <c r="B491" s="24"/>
      <c r="D491" s="13">
        <v>44819</v>
      </c>
      <c r="F491" s="23" t="s">
        <v>764</v>
      </c>
      <c r="G491" s="23" t="s">
        <v>318</v>
      </c>
      <c r="H491" s="23" t="s">
        <v>5</v>
      </c>
      <c r="I491" s="23"/>
    </row>
    <row r="492" spans="1:9" x14ac:dyDescent="0.35">
      <c r="A492" s="23">
        <v>988810</v>
      </c>
      <c r="B492" s="24"/>
      <c r="D492" s="13">
        <v>44819</v>
      </c>
      <c r="F492" s="23" t="s">
        <v>764</v>
      </c>
      <c r="G492" s="23" t="s">
        <v>318</v>
      </c>
      <c r="H492" s="23" t="s">
        <v>6</v>
      </c>
      <c r="I492" s="23"/>
    </row>
    <row r="493" spans="1:9" x14ac:dyDescent="0.35">
      <c r="A493" s="23">
        <v>988810</v>
      </c>
      <c r="B493" s="24"/>
      <c r="D493" s="13">
        <v>44819</v>
      </c>
      <c r="F493" s="23" t="s">
        <v>764</v>
      </c>
      <c r="G493" s="23" t="s">
        <v>318</v>
      </c>
      <c r="H493" s="23" t="s">
        <v>4</v>
      </c>
      <c r="I493" s="23"/>
    </row>
    <row r="494" spans="1:9" x14ac:dyDescent="0.35">
      <c r="A494" s="23">
        <v>988810</v>
      </c>
      <c r="B494" s="24"/>
      <c r="D494" s="13">
        <v>44819</v>
      </c>
      <c r="F494" s="23" t="s">
        <v>764</v>
      </c>
      <c r="G494" s="23" t="s">
        <v>318</v>
      </c>
      <c r="H494" s="23" t="s">
        <v>5</v>
      </c>
      <c r="I494" s="23"/>
    </row>
    <row r="495" spans="1:9" x14ac:dyDescent="0.35">
      <c r="A495" s="23">
        <v>988850</v>
      </c>
      <c r="B495" s="24"/>
      <c r="D495" s="13">
        <v>44819</v>
      </c>
      <c r="F495" s="23" t="s">
        <v>764</v>
      </c>
      <c r="G495" s="23" t="s">
        <v>318</v>
      </c>
      <c r="H495" s="23" t="s">
        <v>6</v>
      </c>
      <c r="I495" s="23"/>
    </row>
    <row r="496" spans="1:9" x14ac:dyDescent="0.35">
      <c r="A496" s="23">
        <v>988850</v>
      </c>
      <c r="B496" s="24"/>
      <c r="D496" s="13">
        <v>44819</v>
      </c>
      <c r="F496" s="23" t="s">
        <v>764</v>
      </c>
      <c r="G496" s="23" t="s">
        <v>318</v>
      </c>
      <c r="H496" s="23" t="s">
        <v>4</v>
      </c>
      <c r="I496" s="23"/>
    </row>
    <row r="497" spans="1:9" x14ac:dyDescent="0.35">
      <c r="A497" s="23">
        <v>988850</v>
      </c>
      <c r="B497" s="24"/>
      <c r="D497" s="13">
        <v>44819</v>
      </c>
      <c r="F497" s="23" t="s">
        <v>764</v>
      </c>
      <c r="G497" s="23" t="s">
        <v>318</v>
      </c>
      <c r="H497" s="23" t="s">
        <v>5</v>
      </c>
      <c r="I497" s="23"/>
    </row>
    <row r="498" spans="1:9" x14ac:dyDescent="0.35">
      <c r="A498" s="23">
        <v>988890</v>
      </c>
      <c r="B498" s="24"/>
      <c r="D498" s="13">
        <v>44819</v>
      </c>
      <c r="F498" s="23" t="s">
        <v>764</v>
      </c>
      <c r="G498" s="23" t="s">
        <v>318</v>
      </c>
      <c r="H498" s="23" t="s">
        <v>6</v>
      </c>
      <c r="I498" s="23"/>
    </row>
    <row r="499" spans="1:9" x14ac:dyDescent="0.35">
      <c r="A499" s="23">
        <v>988890</v>
      </c>
      <c r="B499" s="24"/>
      <c r="D499" s="13">
        <v>44819</v>
      </c>
      <c r="F499" s="23" t="s">
        <v>764</v>
      </c>
      <c r="G499" s="23" t="s">
        <v>318</v>
      </c>
      <c r="H499" s="23" t="s">
        <v>4</v>
      </c>
      <c r="I499" s="23"/>
    </row>
    <row r="500" spans="1:9" x14ac:dyDescent="0.35">
      <c r="A500" s="23">
        <v>988890</v>
      </c>
      <c r="B500" s="24"/>
      <c r="D500" s="13">
        <v>44819</v>
      </c>
      <c r="F500" s="23" t="s">
        <v>764</v>
      </c>
      <c r="G500" s="23" t="s">
        <v>318</v>
      </c>
      <c r="H500" s="23" t="s">
        <v>5</v>
      </c>
      <c r="I500" s="23"/>
    </row>
    <row r="501" spans="1:9" x14ac:dyDescent="0.35">
      <c r="A501" s="23">
        <v>988930</v>
      </c>
      <c r="B501" s="24"/>
      <c r="D501" s="13">
        <v>44819</v>
      </c>
      <c r="F501" s="23" t="s">
        <v>764</v>
      </c>
      <c r="G501" s="23" t="s">
        <v>318</v>
      </c>
      <c r="H501" s="23" t="s">
        <v>6</v>
      </c>
      <c r="I501" s="23"/>
    </row>
    <row r="502" spans="1:9" x14ac:dyDescent="0.35">
      <c r="A502" s="23">
        <v>988930</v>
      </c>
      <c r="B502" s="24"/>
      <c r="D502" s="13">
        <v>44819</v>
      </c>
      <c r="F502" s="23" t="s">
        <v>764</v>
      </c>
      <c r="G502" s="23" t="s">
        <v>318</v>
      </c>
      <c r="H502" s="23" t="s">
        <v>4</v>
      </c>
      <c r="I502" s="23"/>
    </row>
    <row r="503" spans="1:9" x14ac:dyDescent="0.35">
      <c r="A503" s="23">
        <v>988930</v>
      </c>
      <c r="B503" s="24"/>
      <c r="D503" s="13">
        <v>44819</v>
      </c>
      <c r="F503" s="23" t="s">
        <v>764</v>
      </c>
      <c r="G503" s="23" t="s">
        <v>318</v>
      </c>
      <c r="H503" s="23" t="s">
        <v>5</v>
      </c>
      <c r="I503" s="23"/>
    </row>
    <row r="504" spans="1:9" x14ac:dyDescent="0.35">
      <c r="A504" s="23">
        <v>988970</v>
      </c>
      <c r="B504" s="24"/>
      <c r="D504" s="13">
        <v>44819</v>
      </c>
      <c r="F504" s="23" t="s">
        <v>764</v>
      </c>
      <c r="G504" s="23" t="s">
        <v>318</v>
      </c>
      <c r="H504" s="23" t="s">
        <v>6</v>
      </c>
      <c r="I504" s="23"/>
    </row>
    <row r="505" spans="1:9" x14ac:dyDescent="0.35">
      <c r="A505" s="23">
        <v>988970</v>
      </c>
      <c r="B505" s="24"/>
      <c r="D505" s="13">
        <v>44819</v>
      </c>
      <c r="F505" s="23" t="s">
        <v>764</v>
      </c>
      <c r="G505" s="23" t="s">
        <v>318</v>
      </c>
      <c r="H505" s="23" t="s">
        <v>4</v>
      </c>
      <c r="I505" s="23"/>
    </row>
    <row r="506" spans="1:9" x14ac:dyDescent="0.35">
      <c r="A506" s="23">
        <v>988970</v>
      </c>
      <c r="B506" s="24"/>
      <c r="D506" s="13">
        <v>44819</v>
      </c>
      <c r="F506" s="23" t="s">
        <v>764</v>
      </c>
      <c r="G506" s="23" t="s">
        <v>318</v>
      </c>
      <c r="H506" s="23" t="s">
        <v>5</v>
      </c>
      <c r="I506" s="23"/>
    </row>
    <row r="507" spans="1:9" x14ac:dyDescent="0.35">
      <c r="A507" s="23">
        <v>989007</v>
      </c>
      <c r="B507" s="24"/>
      <c r="D507" s="13">
        <v>44819</v>
      </c>
      <c r="F507" s="23" t="s">
        <v>764</v>
      </c>
      <c r="G507" s="23" t="s">
        <v>318</v>
      </c>
      <c r="H507" s="23" t="s">
        <v>6</v>
      </c>
      <c r="I507" s="23"/>
    </row>
    <row r="508" spans="1:9" x14ac:dyDescent="0.35">
      <c r="A508" s="23">
        <v>989007</v>
      </c>
      <c r="B508" s="24"/>
      <c r="D508" s="13">
        <v>44819</v>
      </c>
      <c r="F508" s="23" t="s">
        <v>764</v>
      </c>
      <c r="G508" s="23" t="s">
        <v>318</v>
      </c>
      <c r="H508" s="23" t="s">
        <v>4</v>
      </c>
      <c r="I508" s="23"/>
    </row>
    <row r="509" spans="1:9" x14ac:dyDescent="0.35">
      <c r="A509" s="23">
        <v>989007</v>
      </c>
      <c r="B509" s="24"/>
      <c r="D509" s="13">
        <v>44819</v>
      </c>
      <c r="F509" s="23" t="s">
        <v>764</v>
      </c>
      <c r="G509" s="23" t="s">
        <v>318</v>
      </c>
      <c r="H509" s="23" t="s">
        <v>5</v>
      </c>
      <c r="I509" s="23"/>
    </row>
    <row r="510" spans="1:9" x14ac:dyDescent="0.35">
      <c r="A510" s="23">
        <v>989086</v>
      </c>
      <c r="B510" s="24"/>
      <c r="D510" s="13">
        <v>44819</v>
      </c>
      <c r="F510" s="23" t="s">
        <v>764</v>
      </c>
      <c r="G510" s="23" t="s">
        <v>318</v>
      </c>
      <c r="H510" s="23" t="s">
        <v>6</v>
      </c>
      <c r="I510" s="23"/>
    </row>
    <row r="511" spans="1:9" x14ac:dyDescent="0.35">
      <c r="A511" s="23">
        <v>989086</v>
      </c>
      <c r="B511" s="24"/>
      <c r="D511" s="13">
        <v>44819</v>
      </c>
      <c r="F511" s="23" t="s">
        <v>764</v>
      </c>
      <c r="G511" s="23" t="s">
        <v>318</v>
      </c>
      <c r="H511" s="23" t="s">
        <v>4</v>
      </c>
      <c r="I511" s="23"/>
    </row>
    <row r="512" spans="1:9" x14ac:dyDescent="0.35">
      <c r="A512" s="23">
        <v>989086</v>
      </c>
      <c r="B512" s="24"/>
      <c r="D512" s="13">
        <v>44819</v>
      </c>
      <c r="F512" s="23" t="s">
        <v>764</v>
      </c>
      <c r="G512" s="23" t="s">
        <v>318</v>
      </c>
      <c r="H512" s="23" t="s">
        <v>5</v>
      </c>
      <c r="I512" s="23"/>
    </row>
    <row r="513" spans="1:9" x14ac:dyDescent="0.35">
      <c r="A513" s="23">
        <v>989088</v>
      </c>
      <c r="B513" s="24"/>
      <c r="D513" s="13">
        <v>44819</v>
      </c>
      <c r="F513" s="23" t="s">
        <v>764</v>
      </c>
      <c r="G513" s="23" t="s">
        <v>318</v>
      </c>
      <c r="H513" s="23" t="s">
        <v>6</v>
      </c>
      <c r="I513" s="23"/>
    </row>
    <row r="514" spans="1:9" x14ac:dyDescent="0.35">
      <c r="A514" s="23">
        <v>989088</v>
      </c>
      <c r="B514" s="24"/>
      <c r="D514" s="13">
        <v>44819</v>
      </c>
      <c r="F514" s="23" t="s">
        <v>764</v>
      </c>
      <c r="G514" s="23" t="s">
        <v>318</v>
      </c>
      <c r="H514" s="23" t="s">
        <v>4</v>
      </c>
      <c r="I514" s="23"/>
    </row>
    <row r="515" spans="1:9" x14ac:dyDescent="0.35">
      <c r="A515" s="23">
        <v>989088</v>
      </c>
      <c r="B515" s="24"/>
      <c r="D515" s="13">
        <v>44819</v>
      </c>
      <c r="F515" s="23" t="s">
        <v>764</v>
      </c>
      <c r="G515" s="23" t="s">
        <v>318</v>
      </c>
      <c r="H515" s="23" t="s">
        <v>5</v>
      </c>
      <c r="I515" s="23"/>
    </row>
    <row r="516" spans="1:9" x14ac:dyDescent="0.35">
      <c r="A516" s="23">
        <v>989089</v>
      </c>
      <c r="B516" s="24"/>
      <c r="D516" s="13">
        <v>44819</v>
      </c>
      <c r="F516" s="23" t="s">
        <v>764</v>
      </c>
      <c r="G516" s="23" t="s">
        <v>318</v>
      </c>
      <c r="H516" s="23" t="s">
        <v>6</v>
      </c>
      <c r="I516" s="23"/>
    </row>
    <row r="517" spans="1:9" x14ac:dyDescent="0.35">
      <c r="A517" s="23">
        <v>989089</v>
      </c>
      <c r="B517" s="24"/>
      <c r="D517" s="13">
        <v>44819</v>
      </c>
      <c r="F517" s="23" t="s">
        <v>764</v>
      </c>
      <c r="G517" s="23" t="s">
        <v>318</v>
      </c>
      <c r="H517" s="23" t="s">
        <v>4</v>
      </c>
      <c r="I517" s="23"/>
    </row>
    <row r="518" spans="1:9" x14ac:dyDescent="0.35">
      <c r="A518" s="23">
        <v>989089</v>
      </c>
      <c r="B518" s="24"/>
      <c r="D518" s="13">
        <v>44819</v>
      </c>
      <c r="F518" s="23" t="s">
        <v>764</v>
      </c>
      <c r="G518" s="23" t="s">
        <v>318</v>
      </c>
      <c r="H518" s="23" t="s">
        <v>5</v>
      </c>
      <c r="I518" s="23"/>
    </row>
    <row r="519" spans="1:9" x14ac:dyDescent="0.35">
      <c r="A519" s="23">
        <v>989210</v>
      </c>
      <c r="B519" s="24"/>
      <c r="D519" s="13">
        <v>44819</v>
      </c>
      <c r="F519" s="23" t="s">
        <v>764</v>
      </c>
      <c r="G519" s="23" t="s">
        <v>318</v>
      </c>
      <c r="H519" s="23" t="s">
        <v>6</v>
      </c>
      <c r="I519" s="23"/>
    </row>
    <row r="520" spans="1:9" x14ac:dyDescent="0.35">
      <c r="A520" s="23">
        <v>989210</v>
      </c>
      <c r="B520" s="24"/>
      <c r="D520" s="13">
        <v>44819</v>
      </c>
      <c r="F520" s="23" t="s">
        <v>764</v>
      </c>
      <c r="G520" s="23" t="s">
        <v>318</v>
      </c>
      <c r="H520" s="23" t="s">
        <v>4</v>
      </c>
      <c r="I520" s="23"/>
    </row>
    <row r="521" spans="1:9" x14ac:dyDescent="0.35">
      <c r="A521" s="23">
        <v>989210</v>
      </c>
      <c r="B521" s="24"/>
      <c r="D521" s="13">
        <v>44819</v>
      </c>
      <c r="F521" s="23" t="s">
        <v>764</v>
      </c>
      <c r="G521" s="23" t="s">
        <v>318</v>
      </c>
      <c r="H521" s="23" t="s">
        <v>5</v>
      </c>
      <c r="I521" s="23"/>
    </row>
    <row r="522" spans="1:9" x14ac:dyDescent="0.35">
      <c r="A522" s="23">
        <v>989211</v>
      </c>
      <c r="B522" s="24"/>
      <c r="D522" s="13">
        <v>44819</v>
      </c>
      <c r="F522" s="23" t="s">
        <v>764</v>
      </c>
      <c r="G522" s="23" t="s">
        <v>318</v>
      </c>
      <c r="H522" s="23" t="s">
        <v>6</v>
      </c>
      <c r="I522" s="23"/>
    </row>
    <row r="523" spans="1:9" x14ac:dyDescent="0.35">
      <c r="A523" s="23">
        <v>989211</v>
      </c>
      <c r="B523" s="24"/>
      <c r="D523" s="13">
        <v>44819</v>
      </c>
      <c r="F523" s="23" t="s">
        <v>764</v>
      </c>
      <c r="G523" s="23" t="s">
        <v>318</v>
      </c>
      <c r="H523" s="23" t="s">
        <v>4</v>
      </c>
      <c r="I523" s="23"/>
    </row>
    <row r="524" spans="1:9" x14ac:dyDescent="0.35">
      <c r="A524" s="23">
        <v>989211</v>
      </c>
      <c r="B524" s="24"/>
      <c r="D524" s="13">
        <v>44819</v>
      </c>
      <c r="F524" s="23" t="s">
        <v>764</v>
      </c>
      <c r="G524" s="23" t="s">
        <v>318</v>
      </c>
      <c r="H524" s="23" t="s">
        <v>5</v>
      </c>
      <c r="I524" s="23"/>
    </row>
    <row r="525" spans="1:9" x14ac:dyDescent="0.35">
      <c r="A525" s="23">
        <v>989212</v>
      </c>
      <c r="B525" s="24"/>
      <c r="D525" s="13">
        <v>44819</v>
      </c>
      <c r="F525" s="23" t="s">
        <v>764</v>
      </c>
      <c r="G525" s="23" t="s">
        <v>318</v>
      </c>
      <c r="H525" s="23" t="s">
        <v>6</v>
      </c>
      <c r="I525" s="23"/>
    </row>
    <row r="526" spans="1:9" x14ac:dyDescent="0.35">
      <c r="A526" s="23">
        <v>989212</v>
      </c>
      <c r="B526" s="24"/>
      <c r="D526" s="13">
        <v>44819</v>
      </c>
      <c r="F526" s="23" t="s">
        <v>764</v>
      </c>
      <c r="G526" s="23" t="s">
        <v>318</v>
      </c>
      <c r="H526" s="23" t="s">
        <v>4</v>
      </c>
      <c r="I526" s="23"/>
    </row>
    <row r="527" spans="1:9" x14ac:dyDescent="0.35">
      <c r="A527" s="23">
        <v>989212</v>
      </c>
      <c r="B527" s="24"/>
      <c r="D527" s="13">
        <v>44819</v>
      </c>
      <c r="F527" s="23" t="s">
        <v>764</v>
      </c>
      <c r="G527" s="23" t="s">
        <v>318</v>
      </c>
      <c r="H527" s="23" t="s">
        <v>5</v>
      </c>
      <c r="I527" s="23"/>
    </row>
    <row r="528" spans="1:9" x14ac:dyDescent="0.35">
      <c r="A528" s="23">
        <v>989260</v>
      </c>
      <c r="B528" s="24"/>
      <c r="D528" s="13">
        <v>44819</v>
      </c>
      <c r="F528" s="23" t="s">
        <v>764</v>
      </c>
      <c r="G528" s="23" t="s">
        <v>318</v>
      </c>
      <c r="H528" s="23" t="s">
        <v>6</v>
      </c>
      <c r="I528" s="23"/>
    </row>
    <row r="529" spans="1:9" x14ac:dyDescent="0.35">
      <c r="A529" s="23">
        <v>989260</v>
      </c>
      <c r="B529" s="24"/>
      <c r="D529" s="13">
        <v>44819</v>
      </c>
      <c r="F529" s="23" t="s">
        <v>764</v>
      </c>
      <c r="G529" s="23" t="s">
        <v>318</v>
      </c>
      <c r="H529" s="23" t="s">
        <v>4</v>
      </c>
      <c r="I529" s="23"/>
    </row>
    <row r="530" spans="1:9" x14ac:dyDescent="0.35">
      <c r="A530" s="23">
        <v>989260</v>
      </c>
      <c r="B530" s="24"/>
      <c r="D530" s="13">
        <v>44819</v>
      </c>
      <c r="F530" s="23" t="s">
        <v>764</v>
      </c>
      <c r="G530" s="23" t="s">
        <v>318</v>
      </c>
      <c r="H530" s="23" t="s">
        <v>5</v>
      </c>
      <c r="I530" s="23"/>
    </row>
    <row r="531" spans="1:9" x14ac:dyDescent="0.35">
      <c r="A531" s="23">
        <v>989280</v>
      </c>
      <c r="B531" s="24"/>
      <c r="D531" s="13">
        <v>44819</v>
      </c>
      <c r="F531" s="23" t="s">
        <v>764</v>
      </c>
      <c r="G531" s="23" t="s">
        <v>318</v>
      </c>
      <c r="H531" s="23" t="s">
        <v>6</v>
      </c>
      <c r="I531" s="23"/>
    </row>
    <row r="532" spans="1:9" x14ac:dyDescent="0.35">
      <c r="A532" s="23">
        <v>989280</v>
      </c>
      <c r="B532" s="24"/>
      <c r="D532" s="13">
        <v>44819</v>
      </c>
      <c r="F532" s="23" t="s">
        <v>764</v>
      </c>
      <c r="G532" s="23" t="s">
        <v>318</v>
      </c>
      <c r="H532" s="23" t="s">
        <v>4</v>
      </c>
      <c r="I532" s="23"/>
    </row>
    <row r="533" spans="1:9" x14ac:dyDescent="0.35">
      <c r="A533" s="23">
        <v>989280</v>
      </c>
      <c r="B533" s="24"/>
      <c r="D533" s="13">
        <v>44819</v>
      </c>
      <c r="F533" s="23" t="s">
        <v>764</v>
      </c>
      <c r="G533" s="23" t="s">
        <v>318</v>
      </c>
      <c r="H533" s="23" t="s">
        <v>5</v>
      </c>
      <c r="I533" s="23"/>
    </row>
    <row r="534" spans="1:9" x14ac:dyDescent="0.35">
      <c r="A534" s="23">
        <v>989301</v>
      </c>
      <c r="B534" s="24"/>
      <c r="D534" s="13">
        <v>44819</v>
      </c>
      <c r="F534" s="23" t="s">
        <v>764</v>
      </c>
      <c r="G534" s="23" t="s">
        <v>318</v>
      </c>
      <c r="H534" s="23" t="s">
        <v>6</v>
      </c>
      <c r="I534" s="23"/>
    </row>
    <row r="535" spans="1:9" x14ac:dyDescent="0.35">
      <c r="A535" s="23">
        <v>989301</v>
      </c>
      <c r="B535" s="24"/>
      <c r="D535" s="13">
        <v>44819</v>
      </c>
      <c r="F535" s="23" t="s">
        <v>764</v>
      </c>
      <c r="G535" s="23" t="s">
        <v>318</v>
      </c>
      <c r="H535" s="23" t="s">
        <v>4</v>
      </c>
      <c r="I535" s="23"/>
    </row>
    <row r="536" spans="1:9" x14ac:dyDescent="0.35">
      <c r="A536" s="23">
        <v>989301</v>
      </c>
      <c r="B536" s="24"/>
      <c r="D536" s="13">
        <v>44819</v>
      </c>
      <c r="F536" s="23" t="s">
        <v>764</v>
      </c>
      <c r="G536" s="23" t="s">
        <v>318</v>
      </c>
      <c r="H536" s="23" t="s">
        <v>5</v>
      </c>
      <c r="I536" s="23"/>
    </row>
    <row r="537" spans="1:9" x14ac:dyDescent="0.35">
      <c r="A537" s="23">
        <v>989330</v>
      </c>
      <c r="B537" s="24"/>
      <c r="D537" s="13">
        <v>44819</v>
      </c>
      <c r="F537" s="23" t="s">
        <v>764</v>
      </c>
      <c r="G537" s="23" t="s">
        <v>318</v>
      </c>
      <c r="H537" s="23" t="s">
        <v>6</v>
      </c>
      <c r="I537" s="23"/>
    </row>
    <row r="538" spans="1:9" x14ac:dyDescent="0.35">
      <c r="A538" s="23">
        <v>989330</v>
      </c>
      <c r="B538" s="24"/>
      <c r="D538" s="13">
        <v>44819</v>
      </c>
      <c r="F538" s="23" t="s">
        <v>764</v>
      </c>
      <c r="G538" s="23" t="s">
        <v>318</v>
      </c>
      <c r="H538" s="23" t="s">
        <v>4</v>
      </c>
      <c r="I538" s="23"/>
    </row>
    <row r="539" spans="1:9" x14ac:dyDescent="0.35">
      <c r="A539" s="23">
        <v>989330</v>
      </c>
      <c r="B539" s="24"/>
      <c r="D539" s="13">
        <v>44819</v>
      </c>
      <c r="F539" s="23" t="s">
        <v>764</v>
      </c>
      <c r="G539" s="23" t="s">
        <v>318</v>
      </c>
      <c r="H539" s="23" t="s">
        <v>5</v>
      </c>
      <c r="I539" s="23"/>
    </row>
    <row r="540" spans="1:9" x14ac:dyDescent="0.35">
      <c r="A540" s="23">
        <v>989360</v>
      </c>
      <c r="B540" s="24"/>
      <c r="D540" s="13">
        <v>44819</v>
      </c>
      <c r="F540" s="23" t="s">
        <v>764</v>
      </c>
      <c r="G540" s="23" t="s">
        <v>318</v>
      </c>
      <c r="H540" s="23" t="s">
        <v>6</v>
      </c>
      <c r="I540" s="23"/>
    </row>
    <row r="541" spans="1:9" x14ac:dyDescent="0.35">
      <c r="A541" s="23">
        <v>989360</v>
      </c>
      <c r="B541" s="24"/>
      <c r="D541" s="13">
        <v>44819</v>
      </c>
      <c r="F541" s="23" t="s">
        <v>764</v>
      </c>
      <c r="G541" s="23" t="s">
        <v>318</v>
      </c>
      <c r="H541" s="23" t="s">
        <v>4</v>
      </c>
      <c r="I541" s="23"/>
    </row>
    <row r="542" spans="1:9" x14ac:dyDescent="0.35">
      <c r="A542" s="23">
        <v>989360</v>
      </c>
      <c r="B542" s="24"/>
      <c r="D542" s="13">
        <v>44819</v>
      </c>
      <c r="F542" s="23" t="s">
        <v>764</v>
      </c>
      <c r="G542" s="23" t="s">
        <v>318</v>
      </c>
      <c r="H542" s="23" t="s">
        <v>5</v>
      </c>
      <c r="I542" s="23"/>
    </row>
    <row r="543" spans="1:9" x14ac:dyDescent="0.35">
      <c r="A543" s="23">
        <v>989461</v>
      </c>
      <c r="B543" s="24"/>
      <c r="D543" s="13">
        <v>44819</v>
      </c>
      <c r="F543" s="23" t="s">
        <v>764</v>
      </c>
      <c r="G543" s="23" t="s">
        <v>318</v>
      </c>
      <c r="H543" s="23" t="s">
        <v>6</v>
      </c>
      <c r="I543" s="23"/>
    </row>
    <row r="544" spans="1:9" x14ac:dyDescent="0.35">
      <c r="A544" s="23">
        <v>989461</v>
      </c>
      <c r="B544" s="24"/>
      <c r="D544" s="13">
        <v>44819</v>
      </c>
      <c r="F544" s="23" t="s">
        <v>764</v>
      </c>
      <c r="G544" s="23" t="s">
        <v>318</v>
      </c>
      <c r="H544" s="23" t="s">
        <v>4</v>
      </c>
      <c r="I544" s="23"/>
    </row>
    <row r="545" spans="1:9" x14ac:dyDescent="0.35">
      <c r="A545" s="23">
        <v>989461</v>
      </c>
      <c r="B545" s="24"/>
      <c r="D545" s="13">
        <v>44819</v>
      </c>
      <c r="F545" s="23" t="s">
        <v>764</v>
      </c>
      <c r="G545" s="23" t="s">
        <v>318</v>
      </c>
      <c r="H545" s="23" t="s">
        <v>5</v>
      </c>
      <c r="I545" s="23"/>
    </row>
    <row r="546" spans="1:9" x14ac:dyDescent="0.35">
      <c r="A546" s="23">
        <v>989489</v>
      </c>
      <c r="B546" s="24"/>
      <c r="D546" s="13">
        <v>44819</v>
      </c>
      <c r="F546" s="23" t="s">
        <v>764</v>
      </c>
      <c r="G546" s="23" t="s">
        <v>318</v>
      </c>
      <c r="H546" s="23" t="s">
        <v>6</v>
      </c>
      <c r="I546" s="23"/>
    </row>
    <row r="547" spans="1:9" x14ac:dyDescent="0.35">
      <c r="A547" s="23">
        <v>989489</v>
      </c>
      <c r="B547" s="24"/>
      <c r="D547" s="13">
        <v>44819</v>
      </c>
      <c r="F547" s="23" t="s">
        <v>764</v>
      </c>
      <c r="G547" s="23" t="s">
        <v>318</v>
      </c>
      <c r="H547" s="23" t="s">
        <v>4</v>
      </c>
      <c r="I547" s="23"/>
    </row>
    <row r="548" spans="1:9" x14ac:dyDescent="0.35">
      <c r="A548" s="23">
        <v>989489</v>
      </c>
      <c r="B548" s="24"/>
      <c r="D548" s="13">
        <v>44819</v>
      </c>
      <c r="F548" s="23" t="s">
        <v>764</v>
      </c>
      <c r="G548" s="23" t="s">
        <v>318</v>
      </c>
      <c r="H548" s="23" t="s">
        <v>5</v>
      </c>
      <c r="I548" s="23"/>
    </row>
    <row r="549" spans="1:9" x14ac:dyDescent="0.35">
      <c r="A549" s="23">
        <v>989560</v>
      </c>
      <c r="B549" s="24"/>
      <c r="D549" s="13">
        <v>44819</v>
      </c>
      <c r="F549" s="23" t="s">
        <v>764</v>
      </c>
      <c r="G549" s="23" t="s">
        <v>318</v>
      </c>
      <c r="H549" s="23" t="s">
        <v>6</v>
      </c>
      <c r="I549" s="23"/>
    </row>
    <row r="550" spans="1:9" x14ac:dyDescent="0.35">
      <c r="A550" s="23">
        <v>989560</v>
      </c>
      <c r="B550" s="24"/>
      <c r="D550" s="13">
        <v>44819</v>
      </c>
      <c r="F550" s="23" t="s">
        <v>764</v>
      </c>
      <c r="G550" s="23" t="s">
        <v>318</v>
      </c>
      <c r="H550" s="23" t="s">
        <v>4</v>
      </c>
      <c r="I550" s="23"/>
    </row>
    <row r="551" spans="1:9" x14ac:dyDescent="0.35">
      <c r="A551" s="23">
        <v>989560</v>
      </c>
      <c r="B551" s="24"/>
      <c r="D551" s="13">
        <v>44819</v>
      </c>
      <c r="F551" s="23" t="s">
        <v>764</v>
      </c>
      <c r="G551" s="23" t="s">
        <v>318</v>
      </c>
      <c r="H551" s="23" t="s">
        <v>5</v>
      </c>
      <c r="I551" s="23"/>
    </row>
    <row r="552" spans="1:9" x14ac:dyDescent="0.35">
      <c r="A552" s="23">
        <v>989562</v>
      </c>
      <c r="B552" s="24"/>
      <c r="D552" s="13">
        <v>44819</v>
      </c>
      <c r="F552" s="23" t="s">
        <v>764</v>
      </c>
      <c r="G552" s="23" t="s">
        <v>318</v>
      </c>
      <c r="H552" s="23" t="s">
        <v>6</v>
      </c>
      <c r="I552" s="23"/>
    </row>
    <row r="553" spans="1:9" x14ac:dyDescent="0.35">
      <c r="A553" s="23">
        <v>989562</v>
      </c>
      <c r="B553" s="24"/>
      <c r="D553" s="13">
        <v>44819</v>
      </c>
      <c r="F553" s="23" t="s">
        <v>764</v>
      </c>
      <c r="G553" s="23" t="s">
        <v>318</v>
      </c>
      <c r="H553" s="23" t="s">
        <v>4</v>
      </c>
      <c r="I553" s="23"/>
    </row>
    <row r="554" spans="1:9" x14ac:dyDescent="0.35">
      <c r="A554" s="23">
        <v>989562</v>
      </c>
      <c r="B554" s="24"/>
      <c r="D554" s="13">
        <v>44819</v>
      </c>
      <c r="F554" s="23" t="s">
        <v>764</v>
      </c>
      <c r="G554" s="23" t="s">
        <v>318</v>
      </c>
      <c r="H554" s="23" t="s">
        <v>5</v>
      </c>
      <c r="I554" s="23"/>
    </row>
    <row r="555" spans="1:9" x14ac:dyDescent="0.35">
      <c r="A555" s="23">
        <v>989623</v>
      </c>
      <c r="B555" s="24"/>
      <c r="D555" s="13">
        <v>44819</v>
      </c>
      <c r="F555" s="23" t="s">
        <v>764</v>
      </c>
      <c r="G555" s="23" t="s">
        <v>318</v>
      </c>
      <c r="H555" s="23" t="s">
        <v>6</v>
      </c>
      <c r="I555" s="23"/>
    </row>
    <row r="556" spans="1:9" x14ac:dyDescent="0.35">
      <c r="A556" s="23">
        <v>989623</v>
      </c>
      <c r="B556" s="24"/>
      <c r="D556" s="13">
        <v>44819</v>
      </c>
      <c r="F556" s="23" t="s">
        <v>764</v>
      </c>
      <c r="G556" s="23" t="s">
        <v>318</v>
      </c>
      <c r="H556" s="23" t="s">
        <v>4</v>
      </c>
      <c r="I556" s="23"/>
    </row>
    <row r="557" spans="1:9" x14ac:dyDescent="0.35">
      <c r="A557" s="23">
        <v>989623</v>
      </c>
      <c r="B557" s="24"/>
      <c r="D557" s="13">
        <v>44819</v>
      </c>
      <c r="F557" s="23" t="s">
        <v>764</v>
      </c>
      <c r="G557" s="23" t="s">
        <v>318</v>
      </c>
      <c r="H557" s="23" t="s">
        <v>5</v>
      </c>
      <c r="I557" s="23"/>
    </row>
    <row r="558" spans="1:9" x14ac:dyDescent="0.35">
      <c r="A558" s="23">
        <v>989660</v>
      </c>
      <c r="B558" s="24"/>
      <c r="D558" s="13">
        <v>44819</v>
      </c>
      <c r="F558" s="23" t="s">
        <v>764</v>
      </c>
      <c r="G558" s="23" t="s">
        <v>318</v>
      </c>
      <c r="H558" s="23" t="s">
        <v>6</v>
      </c>
      <c r="I558" s="23"/>
    </row>
    <row r="559" spans="1:9" x14ac:dyDescent="0.35">
      <c r="A559" s="23">
        <v>989660</v>
      </c>
      <c r="B559" s="24"/>
      <c r="D559" s="13">
        <v>44819</v>
      </c>
      <c r="F559" s="23" t="s">
        <v>764</v>
      </c>
      <c r="G559" s="23" t="s">
        <v>318</v>
      </c>
      <c r="H559" s="23" t="s">
        <v>4</v>
      </c>
      <c r="I559" s="23"/>
    </row>
    <row r="560" spans="1:9" x14ac:dyDescent="0.35">
      <c r="A560" s="23">
        <v>989660</v>
      </c>
      <c r="B560" s="24"/>
      <c r="D560" s="13">
        <v>44819</v>
      </c>
      <c r="F560" s="23" t="s">
        <v>764</v>
      </c>
      <c r="G560" s="23" t="s">
        <v>318</v>
      </c>
      <c r="H560" s="23" t="s">
        <v>5</v>
      </c>
      <c r="I560" s="23"/>
    </row>
    <row r="561" spans="1:9" x14ac:dyDescent="0.35">
      <c r="A561" s="23">
        <v>989680</v>
      </c>
      <c r="B561" s="24"/>
      <c r="D561" s="13">
        <v>44819</v>
      </c>
      <c r="F561" s="23" t="s">
        <v>764</v>
      </c>
      <c r="G561" s="23" t="s">
        <v>318</v>
      </c>
      <c r="H561" s="23" t="s">
        <v>6</v>
      </c>
      <c r="I561" s="23"/>
    </row>
    <row r="562" spans="1:9" x14ac:dyDescent="0.35">
      <c r="A562" s="23">
        <v>989680</v>
      </c>
      <c r="B562" s="24"/>
      <c r="D562" s="13">
        <v>44819</v>
      </c>
      <c r="F562" s="23" t="s">
        <v>764</v>
      </c>
      <c r="G562" s="23" t="s">
        <v>318</v>
      </c>
      <c r="H562" s="23" t="s">
        <v>4</v>
      </c>
      <c r="I562" s="23"/>
    </row>
    <row r="563" spans="1:9" x14ac:dyDescent="0.35">
      <c r="A563" s="23">
        <v>989680</v>
      </c>
      <c r="B563" s="24"/>
      <c r="D563" s="13">
        <v>44819</v>
      </c>
      <c r="F563" s="23" t="s">
        <v>764</v>
      </c>
      <c r="G563" s="23" t="s">
        <v>318</v>
      </c>
      <c r="H563" s="23" t="s">
        <v>5</v>
      </c>
      <c r="I563" s="23"/>
    </row>
    <row r="564" spans="1:9" x14ac:dyDescent="0.35">
      <c r="A564" s="23">
        <v>989710</v>
      </c>
      <c r="B564" s="24"/>
      <c r="D564" s="13">
        <v>44819</v>
      </c>
      <c r="F564" s="23" t="s">
        <v>764</v>
      </c>
      <c r="G564" s="23" t="s">
        <v>318</v>
      </c>
      <c r="H564" s="23" t="s">
        <v>6</v>
      </c>
      <c r="I564" s="23"/>
    </row>
    <row r="565" spans="1:9" x14ac:dyDescent="0.35">
      <c r="A565" s="23">
        <v>989710</v>
      </c>
      <c r="B565" s="24"/>
      <c r="D565" s="13">
        <v>44819</v>
      </c>
      <c r="F565" s="23" t="s">
        <v>764</v>
      </c>
      <c r="G565" s="23" t="s">
        <v>318</v>
      </c>
      <c r="H565" s="23" t="s">
        <v>4</v>
      </c>
      <c r="I565" s="23"/>
    </row>
    <row r="566" spans="1:9" x14ac:dyDescent="0.35">
      <c r="A566" s="23">
        <v>989710</v>
      </c>
      <c r="B566" s="24"/>
      <c r="D566" s="13">
        <v>44819</v>
      </c>
      <c r="F566" s="23" t="s">
        <v>764</v>
      </c>
      <c r="G566" s="23" t="s">
        <v>318</v>
      </c>
      <c r="H566" s="23" t="s">
        <v>5</v>
      </c>
      <c r="I566" s="23"/>
    </row>
    <row r="567" spans="1:9" x14ac:dyDescent="0.35">
      <c r="A567" s="23">
        <v>989722</v>
      </c>
      <c r="B567" s="24"/>
      <c r="D567" s="13">
        <v>44819</v>
      </c>
      <c r="F567" s="23" t="s">
        <v>764</v>
      </c>
      <c r="G567" s="23" t="s">
        <v>318</v>
      </c>
      <c r="H567" s="23" t="s">
        <v>6</v>
      </c>
      <c r="I567" s="23"/>
    </row>
    <row r="568" spans="1:9" x14ac:dyDescent="0.35">
      <c r="A568" s="23">
        <v>989722</v>
      </c>
      <c r="B568" s="24"/>
      <c r="D568" s="13">
        <v>44819</v>
      </c>
      <c r="F568" s="23" t="s">
        <v>764</v>
      </c>
      <c r="G568" s="23" t="s">
        <v>318</v>
      </c>
      <c r="H568" s="23" t="s">
        <v>4</v>
      </c>
      <c r="I568" s="23"/>
    </row>
    <row r="569" spans="1:9" x14ac:dyDescent="0.35">
      <c r="A569" s="23">
        <v>989722</v>
      </c>
      <c r="B569" s="24"/>
      <c r="D569" s="13">
        <v>44819</v>
      </c>
      <c r="F569" s="23" t="s">
        <v>764</v>
      </c>
      <c r="G569" s="23" t="s">
        <v>318</v>
      </c>
      <c r="H569" s="23" t="s">
        <v>5</v>
      </c>
      <c r="I569" s="23"/>
    </row>
    <row r="570" spans="1:9" x14ac:dyDescent="0.35">
      <c r="A570" s="23">
        <v>989760</v>
      </c>
      <c r="B570" s="24"/>
      <c r="D570" s="13">
        <v>44819</v>
      </c>
      <c r="F570" s="23" t="s">
        <v>764</v>
      </c>
      <c r="G570" s="23" t="s">
        <v>318</v>
      </c>
      <c r="H570" s="23" t="s">
        <v>6</v>
      </c>
      <c r="I570" s="23"/>
    </row>
    <row r="571" spans="1:9" x14ac:dyDescent="0.35">
      <c r="A571" s="23">
        <v>989760</v>
      </c>
      <c r="B571" s="24"/>
      <c r="D571" s="13">
        <v>44819</v>
      </c>
      <c r="F571" s="23" t="s">
        <v>764</v>
      </c>
      <c r="G571" s="23" t="s">
        <v>318</v>
      </c>
      <c r="H571" s="23" t="s">
        <v>4</v>
      </c>
      <c r="I571" s="23"/>
    </row>
    <row r="572" spans="1:9" x14ac:dyDescent="0.35">
      <c r="A572" s="23">
        <v>989760</v>
      </c>
      <c r="B572" s="24"/>
      <c r="D572" s="13">
        <v>44819</v>
      </c>
      <c r="F572" s="23" t="s">
        <v>764</v>
      </c>
      <c r="G572" s="23" t="s">
        <v>318</v>
      </c>
      <c r="H572" s="23" t="s">
        <v>5</v>
      </c>
      <c r="I572" s="23"/>
    </row>
    <row r="573" spans="1:9" x14ac:dyDescent="0.35">
      <c r="A573" s="23">
        <v>989765</v>
      </c>
      <c r="B573" s="24"/>
      <c r="D573" s="13">
        <v>44819</v>
      </c>
      <c r="F573" s="23" t="s">
        <v>764</v>
      </c>
      <c r="G573" s="23" t="s">
        <v>318</v>
      </c>
      <c r="H573" s="23" t="s">
        <v>6</v>
      </c>
      <c r="I573" s="23"/>
    </row>
    <row r="574" spans="1:9" x14ac:dyDescent="0.35">
      <c r="A574" s="23">
        <v>989765</v>
      </c>
      <c r="B574" s="24"/>
      <c r="D574" s="13">
        <v>44819</v>
      </c>
      <c r="F574" s="23" t="s">
        <v>764</v>
      </c>
      <c r="G574" s="23" t="s">
        <v>318</v>
      </c>
      <c r="H574" s="23" t="s">
        <v>4</v>
      </c>
      <c r="I574" s="23"/>
    </row>
    <row r="575" spans="1:9" x14ac:dyDescent="0.35">
      <c r="A575" s="23">
        <v>989765</v>
      </c>
      <c r="B575" s="24"/>
      <c r="D575" s="13">
        <v>44819</v>
      </c>
      <c r="F575" s="23" t="s">
        <v>764</v>
      </c>
      <c r="G575" s="23" t="s">
        <v>318</v>
      </c>
      <c r="H575" s="23" t="s">
        <v>5</v>
      </c>
      <c r="I575" s="23"/>
    </row>
    <row r="576" spans="1:9" x14ac:dyDescent="0.35">
      <c r="A576" s="23">
        <v>989800</v>
      </c>
      <c r="B576" s="24"/>
      <c r="D576" s="13">
        <v>44819</v>
      </c>
      <c r="F576" s="23" t="s">
        <v>764</v>
      </c>
      <c r="G576" s="23" t="s">
        <v>318</v>
      </c>
      <c r="H576" s="23" t="s">
        <v>6</v>
      </c>
      <c r="I576" s="23"/>
    </row>
    <row r="577" spans="1:9" x14ac:dyDescent="0.35">
      <c r="A577" s="23">
        <v>989800</v>
      </c>
      <c r="B577" s="24"/>
      <c r="D577" s="13">
        <v>44819</v>
      </c>
      <c r="F577" s="23" t="s">
        <v>764</v>
      </c>
      <c r="G577" s="23" t="s">
        <v>318</v>
      </c>
      <c r="H577" s="23" t="s">
        <v>4</v>
      </c>
      <c r="I577" s="23"/>
    </row>
    <row r="578" spans="1:9" x14ac:dyDescent="0.35">
      <c r="A578" s="23">
        <v>989800</v>
      </c>
      <c r="B578" s="24"/>
      <c r="D578" s="13">
        <v>44819</v>
      </c>
      <c r="F578" s="23" t="s">
        <v>764</v>
      </c>
      <c r="G578" s="23" t="s">
        <v>318</v>
      </c>
      <c r="H578" s="23" t="s">
        <v>5</v>
      </c>
      <c r="I578" s="23"/>
    </row>
    <row r="579" spans="1:9" x14ac:dyDescent="0.35">
      <c r="A579" s="23">
        <v>989810</v>
      </c>
      <c r="B579" s="24"/>
      <c r="D579" s="13">
        <v>44819</v>
      </c>
      <c r="F579" s="23" t="s">
        <v>764</v>
      </c>
      <c r="G579" s="23" t="s">
        <v>318</v>
      </c>
      <c r="H579" s="23" t="s">
        <v>6</v>
      </c>
      <c r="I579" s="23"/>
    </row>
    <row r="580" spans="1:9" x14ac:dyDescent="0.35">
      <c r="A580" s="23">
        <v>989810</v>
      </c>
      <c r="B580" s="24"/>
      <c r="D580" s="13">
        <v>44819</v>
      </c>
      <c r="F580" s="23" t="s">
        <v>764</v>
      </c>
      <c r="G580" s="23" t="s">
        <v>318</v>
      </c>
      <c r="H580" s="23" t="s">
        <v>4</v>
      </c>
      <c r="I580" s="23"/>
    </row>
    <row r="581" spans="1:9" x14ac:dyDescent="0.35">
      <c r="A581" s="23">
        <v>989810</v>
      </c>
      <c r="B581" s="24"/>
      <c r="D581" s="13">
        <v>44819</v>
      </c>
      <c r="F581" s="23" t="s">
        <v>764</v>
      </c>
      <c r="G581" s="23" t="s">
        <v>318</v>
      </c>
      <c r="H581" s="23" t="s">
        <v>5</v>
      </c>
      <c r="I581" s="23"/>
    </row>
    <row r="582" spans="1:9" x14ac:dyDescent="0.35">
      <c r="A582" s="23">
        <v>989813</v>
      </c>
      <c r="B582" s="24"/>
      <c r="D582" s="13">
        <v>44819</v>
      </c>
      <c r="F582" s="23" t="s">
        <v>764</v>
      </c>
      <c r="G582" s="23" t="s">
        <v>318</v>
      </c>
      <c r="H582" s="23" t="s">
        <v>6</v>
      </c>
      <c r="I582" s="23"/>
    </row>
    <row r="583" spans="1:9" x14ac:dyDescent="0.35">
      <c r="A583" s="23">
        <v>989813</v>
      </c>
      <c r="B583" s="24"/>
      <c r="D583" s="13">
        <v>44819</v>
      </c>
      <c r="F583" s="23" t="s">
        <v>764</v>
      </c>
      <c r="G583" s="23" t="s">
        <v>318</v>
      </c>
      <c r="H583" s="23" t="s">
        <v>4</v>
      </c>
      <c r="I583" s="23"/>
    </row>
    <row r="584" spans="1:9" x14ac:dyDescent="0.35">
      <c r="A584" s="23">
        <v>989813</v>
      </c>
      <c r="B584" s="24"/>
      <c r="D584" s="13">
        <v>44819</v>
      </c>
      <c r="F584" s="23" t="s">
        <v>764</v>
      </c>
      <c r="G584" s="23" t="s">
        <v>318</v>
      </c>
      <c r="H584" s="23" t="s">
        <v>5</v>
      </c>
      <c r="I584" s="23"/>
    </row>
    <row r="585" spans="1:9" x14ac:dyDescent="0.35">
      <c r="A585" s="23">
        <v>989830</v>
      </c>
      <c r="B585" s="24"/>
      <c r="D585" s="13">
        <v>44819</v>
      </c>
      <c r="F585" s="23" t="s">
        <v>764</v>
      </c>
      <c r="G585" s="23" t="s">
        <v>318</v>
      </c>
      <c r="H585" s="23" t="s">
        <v>6</v>
      </c>
      <c r="I585" s="23"/>
    </row>
    <row r="586" spans="1:9" x14ac:dyDescent="0.35">
      <c r="A586" s="23">
        <v>989830</v>
      </c>
      <c r="B586" s="24"/>
      <c r="D586" s="13">
        <v>44819</v>
      </c>
      <c r="F586" s="23" t="s">
        <v>764</v>
      </c>
      <c r="G586" s="23" t="s">
        <v>318</v>
      </c>
      <c r="H586" s="23" t="s">
        <v>4</v>
      </c>
      <c r="I586" s="23"/>
    </row>
    <row r="587" spans="1:9" x14ac:dyDescent="0.35">
      <c r="A587" s="23">
        <v>989830</v>
      </c>
      <c r="B587" s="24"/>
      <c r="D587" s="13">
        <v>44819</v>
      </c>
      <c r="F587" s="23" t="s">
        <v>764</v>
      </c>
      <c r="G587" s="23" t="s">
        <v>318</v>
      </c>
      <c r="H587" s="23" t="s">
        <v>5</v>
      </c>
      <c r="I587" s="23"/>
    </row>
    <row r="588" spans="1:9" x14ac:dyDescent="0.35">
      <c r="A588" s="23">
        <v>995000</v>
      </c>
      <c r="B588" s="24"/>
      <c r="D588" s="13">
        <v>44819</v>
      </c>
      <c r="F588" s="23" t="s">
        <v>764</v>
      </c>
      <c r="G588" s="23" t="s">
        <v>318</v>
      </c>
      <c r="H588" s="23" t="s">
        <v>6</v>
      </c>
      <c r="I588" s="23"/>
    </row>
    <row r="589" spans="1:9" x14ac:dyDescent="0.35">
      <c r="A589" s="23">
        <v>995000</v>
      </c>
      <c r="B589" s="24"/>
      <c r="D589" s="13">
        <v>44819</v>
      </c>
      <c r="F589" s="23" t="s">
        <v>764</v>
      </c>
      <c r="G589" s="23" t="s">
        <v>318</v>
      </c>
      <c r="H589" s="23" t="s">
        <v>4</v>
      </c>
      <c r="I589" s="23"/>
    </row>
    <row r="590" spans="1:9" x14ac:dyDescent="0.35">
      <c r="A590" s="23">
        <v>995000</v>
      </c>
      <c r="B590" s="24"/>
      <c r="D590" s="13">
        <v>44819</v>
      </c>
      <c r="F590" s="23" t="s">
        <v>764</v>
      </c>
      <c r="G590" s="23" t="s">
        <v>318</v>
      </c>
      <c r="H590" s="23" t="s">
        <v>5</v>
      </c>
      <c r="I590" s="23"/>
    </row>
    <row r="591" spans="1:9" x14ac:dyDescent="0.35">
      <c r="A591" s="23">
        <v>995001</v>
      </c>
      <c r="B591" s="24"/>
      <c r="D591" s="13">
        <v>44819</v>
      </c>
      <c r="F591" s="23" t="s">
        <v>764</v>
      </c>
      <c r="G591" s="23" t="s">
        <v>318</v>
      </c>
      <c r="H591" s="23" t="s">
        <v>6</v>
      </c>
      <c r="I591" s="23"/>
    </row>
    <row r="592" spans="1:9" x14ac:dyDescent="0.35">
      <c r="A592" s="23">
        <v>995001</v>
      </c>
      <c r="B592" s="24"/>
      <c r="D592" s="13">
        <v>44819</v>
      </c>
      <c r="F592" s="23" t="s">
        <v>764</v>
      </c>
      <c r="G592" s="23" t="s">
        <v>318</v>
      </c>
      <c r="H592" s="23" t="s">
        <v>4</v>
      </c>
      <c r="I592" s="23"/>
    </row>
    <row r="593" spans="1:9" x14ac:dyDescent="0.35">
      <c r="A593" s="23">
        <v>995001</v>
      </c>
      <c r="B593" s="24"/>
      <c r="D593" s="13">
        <v>44819</v>
      </c>
      <c r="F593" s="23" t="s">
        <v>764</v>
      </c>
      <c r="G593" s="23" t="s">
        <v>318</v>
      </c>
      <c r="H593" s="23" t="s">
        <v>5</v>
      </c>
      <c r="I593" s="23"/>
    </row>
    <row r="594" spans="1:9" x14ac:dyDescent="0.35">
      <c r="A594" s="23">
        <v>995004</v>
      </c>
      <c r="B594" s="24"/>
      <c r="D594" s="13">
        <v>44819</v>
      </c>
      <c r="F594" s="23" t="s">
        <v>764</v>
      </c>
      <c r="G594" s="23" t="s">
        <v>318</v>
      </c>
      <c r="H594" s="23" t="s">
        <v>6</v>
      </c>
      <c r="I594" s="23"/>
    </row>
    <row r="595" spans="1:9" x14ac:dyDescent="0.35">
      <c r="A595" s="23">
        <v>995004</v>
      </c>
      <c r="B595" s="24"/>
      <c r="D595" s="13">
        <v>44819</v>
      </c>
      <c r="F595" s="23" t="s">
        <v>764</v>
      </c>
      <c r="G595" s="23" t="s">
        <v>318</v>
      </c>
      <c r="H595" s="23" t="s">
        <v>4</v>
      </c>
      <c r="I595" s="23"/>
    </row>
    <row r="596" spans="1:9" x14ac:dyDescent="0.35">
      <c r="A596" s="23">
        <v>995004</v>
      </c>
      <c r="B596" s="24"/>
      <c r="D596" s="13">
        <v>44819</v>
      </c>
      <c r="F596" s="23" t="s">
        <v>764</v>
      </c>
      <c r="G596" s="23" t="s">
        <v>318</v>
      </c>
      <c r="H596" s="23" t="s">
        <v>5</v>
      </c>
      <c r="I596" s="23"/>
    </row>
    <row r="597" spans="1:9" x14ac:dyDescent="0.35">
      <c r="A597" s="23">
        <v>995005</v>
      </c>
      <c r="B597" s="24"/>
      <c r="D597" s="13">
        <v>44819</v>
      </c>
      <c r="F597" s="23" t="s">
        <v>764</v>
      </c>
      <c r="G597" s="23" t="s">
        <v>318</v>
      </c>
      <c r="H597" s="23" t="s">
        <v>6</v>
      </c>
      <c r="I597" s="23"/>
    </row>
    <row r="598" spans="1:9" x14ac:dyDescent="0.35">
      <c r="A598" s="23">
        <v>995005</v>
      </c>
      <c r="B598" s="24"/>
      <c r="D598" s="13">
        <v>44819</v>
      </c>
      <c r="F598" s="23" t="s">
        <v>764</v>
      </c>
      <c r="G598" s="23" t="s">
        <v>318</v>
      </c>
      <c r="H598" s="23" t="s">
        <v>4</v>
      </c>
      <c r="I598" s="23"/>
    </row>
    <row r="599" spans="1:9" x14ac:dyDescent="0.35">
      <c r="A599" s="23">
        <v>995005</v>
      </c>
      <c r="B599" s="24"/>
      <c r="D599" s="13">
        <v>44819</v>
      </c>
      <c r="F599" s="23" t="s">
        <v>764</v>
      </c>
      <c r="G599" s="23" t="s">
        <v>318</v>
      </c>
      <c r="H599" s="23" t="s">
        <v>5</v>
      </c>
      <c r="I599" s="23"/>
    </row>
    <row r="600" spans="1:9" x14ac:dyDescent="0.35">
      <c r="A600" s="23">
        <v>995006</v>
      </c>
      <c r="B600" s="24"/>
      <c r="D600" s="13">
        <v>44819</v>
      </c>
      <c r="F600" s="23" t="s">
        <v>764</v>
      </c>
      <c r="G600" s="23" t="s">
        <v>318</v>
      </c>
      <c r="H600" s="23" t="s">
        <v>6</v>
      </c>
      <c r="I600" s="23"/>
    </row>
    <row r="601" spans="1:9" x14ac:dyDescent="0.35">
      <c r="A601" s="23">
        <v>995006</v>
      </c>
      <c r="B601" s="24"/>
      <c r="D601" s="13">
        <v>44819</v>
      </c>
      <c r="F601" s="23" t="s">
        <v>764</v>
      </c>
      <c r="G601" s="23" t="s">
        <v>318</v>
      </c>
      <c r="H601" s="23" t="s">
        <v>4</v>
      </c>
      <c r="I601" s="23"/>
    </row>
    <row r="602" spans="1:9" x14ac:dyDescent="0.35">
      <c r="A602" s="23">
        <v>995006</v>
      </c>
      <c r="B602" s="24"/>
      <c r="D602" s="13">
        <v>44819</v>
      </c>
      <c r="F602" s="23" t="s">
        <v>764</v>
      </c>
      <c r="G602" s="23" t="s">
        <v>318</v>
      </c>
      <c r="H602" s="23" t="s">
        <v>5</v>
      </c>
      <c r="I602" s="23"/>
    </row>
    <row r="603" spans="1:9" x14ac:dyDescent="0.35">
      <c r="A603" s="23">
        <v>995008</v>
      </c>
      <c r="B603" s="24"/>
      <c r="D603" s="13">
        <v>44819</v>
      </c>
      <c r="F603" s="23" t="s">
        <v>764</v>
      </c>
      <c r="G603" s="23" t="s">
        <v>318</v>
      </c>
      <c r="H603" s="23" t="s">
        <v>6</v>
      </c>
      <c r="I603" s="23"/>
    </row>
    <row r="604" spans="1:9" x14ac:dyDescent="0.35">
      <c r="A604" s="23">
        <v>995008</v>
      </c>
      <c r="B604" s="24"/>
      <c r="D604" s="13">
        <v>44819</v>
      </c>
      <c r="F604" s="23" t="s">
        <v>764</v>
      </c>
      <c r="G604" s="23" t="s">
        <v>318</v>
      </c>
      <c r="H604" s="23" t="s">
        <v>4</v>
      </c>
      <c r="I604" s="23"/>
    </row>
    <row r="605" spans="1:9" x14ac:dyDescent="0.35">
      <c r="A605" s="23">
        <v>995008</v>
      </c>
      <c r="B605" s="24"/>
      <c r="D605" s="13">
        <v>44819</v>
      </c>
      <c r="F605" s="23" t="s">
        <v>764</v>
      </c>
      <c r="G605" s="23" t="s">
        <v>318</v>
      </c>
      <c r="H605" s="23" t="s">
        <v>5</v>
      </c>
      <c r="I605" s="23"/>
    </row>
    <row r="606" spans="1:9" x14ac:dyDescent="0.35">
      <c r="A606" s="23">
        <v>995009</v>
      </c>
      <c r="B606" s="24"/>
      <c r="D606" s="13">
        <v>44819</v>
      </c>
      <c r="F606" s="23" t="s">
        <v>764</v>
      </c>
      <c r="G606" s="23" t="s">
        <v>318</v>
      </c>
      <c r="H606" s="23" t="s">
        <v>6</v>
      </c>
      <c r="I606" s="23"/>
    </row>
    <row r="607" spans="1:9" x14ac:dyDescent="0.35">
      <c r="A607" s="23">
        <v>995009</v>
      </c>
      <c r="B607" s="24"/>
      <c r="D607" s="13">
        <v>44819</v>
      </c>
      <c r="F607" s="23" t="s">
        <v>764</v>
      </c>
      <c r="G607" s="23" t="s">
        <v>318</v>
      </c>
      <c r="H607" s="23" t="s">
        <v>4</v>
      </c>
      <c r="I607" s="23"/>
    </row>
    <row r="608" spans="1:9" x14ac:dyDescent="0.35">
      <c r="A608" s="23">
        <v>995009</v>
      </c>
      <c r="B608" s="24"/>
      <c r="D608" s="13">
        <v>44819</v>
      </c>
      <c r="F608" s="23" t="s">
        <v>764</v>
      </c>
      <c r="G608" s="23" t="s">
        <v>318</v>
      </c>
      <c r="H608" s="23" t="s">
        <v>5</v>
      </c>
      <c r="I608" s="23"/>
    </row>
    <row r="609" spans="1:9" x14ac:dyDescent="0.35">
      <c r="A609" s="23">
        <v>995011</v>
      </c>
      <c r="B609" s="24"/>
      <c r="D609" s="13">
        <v>44819</v>
      </c>
      <c r="F609" s="23" t="s">
        <v>764</v>
      </c>
      <c r="G609" s="23" t="s">
        <v>318</v>
      </c>
      <c r="H609" s="23" t="s">
        <v>6</v>
      </c>
      <c r="I609" s="23"/>
    </row>
    <row r="610" spans="1:9" x14ac:dyDescent="0.35">
      <c r="A610" s="23">
        <v>995011</v>
      </c>
      <c r="B610" s="24"/>
      <c r="D610" s="13">
        <v>44819</v>
      </c>
      <c r="F610" s="23" t="s">
        <v>764</v>
      </c>
      <c r="G610" s="23" t="s">
        <v>318</v>
      </c>
      <c r="H610" s="23" t="s">
        <v>4</v>
      </c>
      <c r="I610" s="23"/>
    </row>
    <row r="611" spans="1:9" x14ac:dyDescent="0.35">
      <c r="A611" s="23">
        <v>995011</v>
      </c>
      <c r="B611" s="24"/>
      <c r="D611" s="13">
        <v>44819</v>
      </c>
      <c r="F611" s="23" t="s">
        <v>764</v>
      </c>
      <c r="G611" s="23" t="s">
        <v>318</v>
      </c>
      <c r="H611" s="23" t="s">
        <v>5</v>
      </c>
      <c r="I611" s="23"/>
    </row>
    <row r="612" spans="1:9" x14ac:dyDescent="0.35">
      <c r="A612" s="23">
        <v>995012</v>
      </c>
      <c r="B612" s="24"/>
      <c r="D612" s="13">
        <v>44819</v>
      </c>
      <c r="F612" s="23" t="s">
        <v>764</v>
      </c>
      <c r="G612" s="23" t="s">
        <v>318</v>
      </c>
      <c r="H612" s="23" t="s">
        <v>6</v>
      </c>
      <c r="I612" s="23"/>
    </row>
    <row r="613" spans="1:9" x14ac:dyDescent="0.35">
      <c r="A613" s="23">
        <v>995012</v>
      </c>
      <c r="B613" s="24"/>
      <c r="D613" s="13">
        <v>44819</v>
      </c>
      <c r="F613" s="23" t="s">
        <v>764</v>
      </c>
      <c r="G613" s="23" t="s">
        <v>318</v>
      </c>
      <c r="H613" s="23" t="s">
        <v>4</v>
      </c>
      <c r="I613" s="23"/>
    </row>
    <row r="614" spans="1:9" x14ac:dyDescent="0.35">
      <c r="A614" s="23">
        <v>995012</v>
      </c>
      <c r="B614" s="24"/>
      <c r="D614" s="13">
        <v>44819</v>
      </c>
      <c r="F614" s="23" t="s">
        <v>764</v>
      </c>
      <c r="G614" s="23" t="s">
        <v>318</v>
      </c>
      <c r="H614" s="23" t="s">
        <v>5</v>
      </c>
      <c r="I614" s="23"/>
    </row>
    <row r="615" spans="1:9" x14ac:dyDescent="0.35">
      <c r="A615" s="23">
        <v>995014</v>
      </c>
      <c r="B615" s="24"/>
      <c r="D615" s="13">
        <v>44819</v>
      </c>
      <c r="F615" s="23" t="s">
        <v>764</v>
      </c>
      <c r="G615" s="23" t="s">
        <v>318</v>
      </c>
      <c r="H615" s="23" t="s">
        <v>6</v>
      </c>
      <c r="I615" s="23"/>
    </row>
    <row r="616" spans="1:9" x14ac:dyDescent="0.35">
      <c r="A616" s="23">
        <v>995014</v>
      </c>
      <c r="B616" s="24"/>
      <c r="D616" s="13">
        <v>44819</v>
      </c>
      <c r="F616" s="23" t="s">
        <v>764</v>
      </c>
      <c r="G616" s="23" t="s">
        <v>318</v>
      </c>
      <c r="H616" s="23" t="s">
        <v>4</v>
      </c>
      <c r="I616" s="23"/>
    </row>
    <row r="617" spans="1:9" x14ac:dyDescent="0.35">
      <c r="A617" s="23">
        <v>995014</v>
      </c>
      <c r="B617" s="24"/>
      <c r="D617" s="13">
        <v>44819</v>
      </c>
      <c r="F617" s="23" t="s">
        <v>764</v>
      </c>
      <c r="G617" s="23" t="s">
        <v>318</v>
      </c>
      <c r="H617" s="23" t="s">
        <v>5</v>
      </c>
      <c r="I617" s="23"/>
    </row>
    <row r="618" spans="1:9" x14ac:dyDescent="0.35">
      <c r="A618" s="23">
        <v>995015</v>
      </c>
      <c r="B618" s="24"/>
      <c r="D618" s="13">
        <v>44819</v>
      </c>
      <c r="F618" s="23" t="s">
        <v>764</v>
      </c>
      <c r="G618" s="23" t="s">
        <v>318</v>
      </c>
      <c r="H618" s="23" t="s">
        <v>6</v>
      </c>
      <c r="I618" s="23"/>
    </row>
    <row r="619" spans="1:9" x14ac:dyDescent="0.35">
      <c r="A619" s="23">
        <v>995015</v>
      </c>
      <c r="B619" s="24"/>
      <c r="D619" s="13">
        <v>44819</v>
      </c>
      <c r="F619" s="23" t="s">
        <v>764</v>
      </c>
      <c r="G619" s="23" t="s">
        <v>318</v>
      </c>
      <c r="H619" s="23" t="s">
        <v>4</v>
      </c>
      <c r="I619" s="23"/>
    </row>
    <row r="620" spans="1:9" x14ac:dyDescent="0.35">
      <c r="A620" s="23">
        <v>995015</v>
      </c>
      <c r="B620" s="24"/>
      <c r="D620" s="13">
        <v>44819</v>
      </c>
      <c r="F620" s="23" t="s">
        <v>764</v>
      </c>
      <c r="G620" s="23" t="s">
        <v>318</v>
      </c>
      <c r="H620" s="23" t="s">
        <v>5</v>
      </c>
      <c r="I620" s="23"/>
    </row>
    <row r="621" spans="1:9" x14ac:dyDescent="0.35">
      <c r="A621" s="23">
        <v>995018</v>
      </c>
      <c r="B621" s="24"/>
      <c r="D621" s="13">
        <v>44819</v>
      </c>
      <c r="F621" s="23" t="s">
        <v>764</v>
      </c>
      <c r="G621" s="23" t="s">
        <v>318</v>
      </c>
      <c r="H621" s="23" t="s">
        <v>6</v>
      </c>
      <c r="I621" s="23"/>
    </row>
    <row r="622" spans="1:9" x14ac:dyDescent="0.35">
      <c r="A622" s="23">
        <v>995018</v>
      </c>
      <c r="B622" s="24"/>
      <c r="D622" s="13">
        <v>44819</v>
      </c>
      <c r="F622" s="23" t="s">
        <v>764</v>
      </c>
      <c r="G622" s="23" t="s">
        <v>318</v>
      </c>
      <c r="H622" s="23" t="s">
        <v>4</v>
      </c>
      <c r="I622" s="23"/>
    </row>
    <row r="623" spans="1:9" x14ac:dyDescent="0.35">
      <c r="A623" s="23">
        <v>995018</v>
      </c>
      <c r="B623" s="24"/>
      <c r="D623" s="13">
        <v>44819</v>
      </c>
      <c r="F623" s="23" t="s">
        <v>790</v>
      </c>
      <c r="G623" s="23" t="s">
        <v>318</v>
      </c>
      <c r="H623" s="23" t="s">
        <v>5</v>
      </c>
      <c r="I623" s="23"/>
    </row>
    <row r="624" spans="1:9" x14ac:dyDescent="0.35">
      <c r="A624" s="23">
        <v>995019</v>
      </c>
      <c r="B624" s="24"/>
      <c r="D624" s="13">
        <v>44819</v>
      </c>
      <c r="F624" s="23" t="s">
        <v>764</v>
      </c>
      <c r="G624" s="23" t="s">
        <v>318</v>
      </c>
      <c r="H624" s="23" t="s">
        <v>6</v>
      </c>
      <c r="I624" s="23"/>
    </row>
    <row r="625" spans="1:9" x14ac:dyDescent="0.35">
      <c r="A625" s="23">
        <v>995019</v>
      </c>
      <c r="B625" s="24"/>
      <c r="D625" s="13">
        <v>44819</v>
      </c>
      <c r="F625" s="23" t="s">
        <v>764</v>
      </c>
      <c r="G625" s="23" t="s">
        <v>318</v>
      </c>
      <c r="H625" s="23" t="s">
        <v>4</v>
      </c>
      <c r="I625" s="23"/>
    </row>
    <row r="626" spans="1:9" x14ac:dyDescent="0.35">
      <c r="A626" s="23">
        <v>995019</v>
      </c>
      <c r="B626" s="24"/>
      <c r="D626" s="13">
        <v>44819</v>
      </c>
      <c r="F626" s="23" t="s">
        <v>764</v>
      </c>
      <c r="G626" s="23" t="s">
        <v>318</v>
      </c>
      <c r="H626" s="23" t="s">
        <v>5</v>
      </c>
      <c r="I626" s="23"/>
    </row>
    <row r="627" spans="1:9" x14ac:dyDescent="0.35">
      <c r="A627" s="23">
        <v>995021</v>
      </c>
      <c r="B627" s="24"/>
      <c r="D627" s="13">
        <v>44819</v>
      </c>
      <c r="F627" s="23" t="s">
        <v>764</v>
      </c>
      <c r="G627" s="23" t="s">
        <v>318</v>
      </c>
      <c r="H627" s="23" t="s">
        <v>6</v>
      </c>
      <c r="I627" s="23"/>
    </row>
    <row r="628" spans="1:9" x14ac:dyDescent="0.35">
      <c r="A628" s="23">
        <v>995021</v>
      </c>
      <c r="B628" s="24"/>
      <c r="D628" s="13">
        <v>44819</v>
      </c>
      <c r="F628" s="23" t="s">
        <v>764</v>
      </c>
      <c r="G628" s="23" t="s">
        <v>318</v>
      </c>
      <c r="H628" s="23" t="s">
        <v>4</v>
      </c>
      <c r="I628" s="23"/>
    </row>
    <row r="629" spans="1:9" x14ac:dyDescent="0.35">
      <c r="A629" s="23">
        <v>995021</v>
      </c>
      <c r="B629" s="24"/>
      <c r="D629" s="13">
        <v>44819</v>
      </c>
      <c r="F629" s="23" t="s">
        <v>764</v>
      </c>
      <c r="G629" s="23" t="s">
        <v>318</v>
      </c>
      <c r="H629" s="23" t="s">
        <v>5</v>
      </c>
      <c r="I629" s="23"/>
    </row>
    <row r="630" spans="1:9" x14ac:dyDescent="0.35">
      <c r="A630" s="23">
        <v>995022</v>
      </c>
      <c r="B630" s="24"/>
      <c r="D630" s="13">
        <v>44819</v>
      </c>
      <c r="F630" s="23" t="s">
        <v>764</v>
      </c>
      <c r="G630" s="23" t="s">
        <v>318</v>
      </c>
      <c r="H630" s="23" t="s">
        <v>6</v>
      </c>
      <c r="I630" s="23"/>
    </row>
    <row r="631" spans="1:9" x14ac:dyDescent="0.35">
      <c r="A631" s="23">
        <v>995022</v>
      </c>
      <c r="B631" s="24"/>
      <c r="D631" s="13">
        <v>44819</v>
      </c>
      <c r="F631" s="23" t="s">
        <v>764</v>
      </c>
      <c r="G631" s="23" t="s">
        <v>318</v>
      </c>
      <c r="H631" s="23" t="s">
        <v>4</v>
      </c>
      <c r="I631" s="23"/>
    </row>
    <row r="632" spans="1:9" x14ac:dyDescent="0.35">
      <c r="A632" s="23">
        <v>995022</v>
      </c>
      <c r="B632" s="24"/>
      <c r="D632" s="13">
        <v>44819</v>
      </c>
      <c r="F632" s="23" t="s">
        <v>764</v>
      </c>
      <c r="G632" s="23" t="s">
        <v>318</v>
      </c>
      <c r="H632" s="23" t="s">
        <v>5</v>
      </c>
      <c r="I632" s="23"/>
    </row>
    <row r="633" spans="1:9" x14ac:dyDescent="0.35">
      <c r="A633" s="23">
        <v>995026</v>
      </c>
      <c r="B633" s="24"/>
      <c r="D633" s="13">
        <v>44819</v>
      </c>
      <c r="F633" s="23" t="s">
        <v>764</v>
      </c>
      <c r="G633" s="23" t="s">
        <v>318</v>
      </c>
      <c r="H633" s="23" t="s">
        <v>6</v>
      </c>
      <c r="I633" s="23"/>
    </row>
    <row r="634" spans="1:9" x14ac:dyDescent="0.35">
      <c r="A634" s="23">
        <v>995026</v>
      </c>
      <c r="B634" s="24"/>
      <c r="D634" s="13">
        <v>44819</v>
      </c>
      <c r="F634" s="23" t="s">
        <v>764</v>
      </c>
      <c r="G634" s="23" t="s">
        <v>318</v>
      </c>
      <c r="H634" s="23" t="s">
        <v>4</v>
      </c>
      <c r="I634" s="23"/>
    </row>
    <row r="635" spans="1:9" x14ac:dyDescent="0.35">
      <c r="A635" s="23">
        <v>995026</v>
      </c>
      <c r="B635" s="24"/>
      <c r="D635" s="13">
        <v>44819</v>
      </c>
      <c r="F635" s="23" t="s">
        <v>764</v>
      </c>
      <c r="G635" s="23" t="s">
        <v>318</v>
      </c>
      <c r="H635" s="23" t="s">
        <v>5</v>
      </c>
      <c r="I635" s="23"/>
    </row>
    <row r="636" spans="1:9" x14ac:dyDescent="0.35">
      <c r="A636" s="23">
        <v>995027</v>
      </c>
      <c r="B636" s="24"/>
      <c r="D636" s="13">
        <v>44819</v>
      </c>
      <c r="F636" s="23" t="s">
        <v>764</v>
      </c>
      <c r="G636" s="23" t="s">
        <v>318</v>
      </c>
      <c r="H636" s="23" t="s">
        <v>6</v>
      </c>
      <c r="I636" s="23"/>
    </row>
    <row r="637" spans="1:9" x14ac:dyDescent="0.35">
      <c r="A637" s="23">
        <v>995027</v>
      </c>
      <c r="B637" s="24"/>
      <c r="D637" s="13">
        <v>44819</v>
      </c>
      <c r="F637" s="23" t="s">
        <v>764</v>
      </c>
      <c r="G637" s="23" t="s">
        <v>318</v>
      </c>
      <c r="H637" s="23" t="s">
        <v>4</v>
      </c>
      <c r="I637" s="23"/>
    </row>
    <row r="638" spans="1:9" x14ac:dyDescent="0.35">
      <c r="A638" s="23">
        <v>995027</v>
      </c>
      <c r="B638" s="24"/>
      <c r="D638" s="13">
        <v>44819</v>
      </c>
      <c r="F638" s="23" t="s">
        <v>764</v>
      </c>
      <c r="G638" s="23" t="s">
        <v>318</v>
      </c>
      <c r="H638" s="23" t="s">
        <v>5</v>
      </c>
      <c r="I638" s="23"/>
    </row>
    <row r="639" spans="1:9" x14ac:dyDescent="0.35">
      <c r="A639" s="23">
        <v>995032</v>
      </c>
      <c r="B639" s="24"/>
      <c r="D639" s="13">
        <v>44819</v>
      </c>
      <c r="F639" s="23" t="s">
        <v>764</v>
      </c>
      <c r="G639" s="23" t="s">
        <v>318</v>
      </c>
      <c r="H639" s="23" t="s">
        <v>6</v>
      </c>
      <c r="I639" s="23"/>
    </row>
    <row r="640" spans="1:9" x14ac:dyDescent="0.35">
      <c r="A640" s="23">
        <v>995032</v>
      </c>
      <c r="B640" s="24"/>
      <c r="D640" s="13">
        <v>44819</v>
      </c>
      <c r="F640" s="23" t="s">
        <v>764</v>
      </c>
      <c r="G640" s="23" t="s">
        <v>318</v>
      </c>
      <c r="H640" s="23" t="s">
        <v>4</v>
      </c>
      <c r="I640" s="23"/>
    </row>
    <row r="641" spans="1:9" x14ac:dyDescent="0.35">
      <c r="A641" s="23">
        <v>995032</v>
      </c>
      <c r="B641" s="24"/>
      <c r="D641" s="13">
        <v>44819</v>
      </c>
      <c r="F641" s="23" t="s">
        <v>764</v>
      </c>
      <c r="G641" s="23" t="s">
        <v>318</v>
      </c>
      <c r="H641" s="23" t="s">
        <v>5</v>
      </c>
      <c r="I641" s="23"/>
    </row>
    <row r="642" spans="1:9" x14ac:dyDescent="0.35">
      <c r="A642" s="23">
        <v>995035</v>
      </c>
      <c r="B642" s="24"/>
      <c r="D642" s="13">
        <v>44819</v>
      </c>
      <c r="F642" s="23" t="s">
        <v>764</v>
      </c>
      <c r="G642" s="23" t="s">
        <v>318</v>
      </c>
      <c r="H642" s="23" t="s">
        <v>6</v>
      </c>
      <c r="I642" s="23"/>
    </row>
    <row r="643" spans="1:9" x14ac:dyDescent="0.35">
      <c r="A643" s="23">
        <v>995035</v>
      </c>
      <c r="B643" s="24"/>
      <c r="D643" s="13">
        <v>44819</v>
      </c>
      <c r="F643" s="23" t="s">
        <v>764</v>
      </c>
      <c r="G643" s="23" t="s">
        <v>318</v>
      </c>
      <c r="H643" s="23" t="s">
        <v>4</v>
      </c>
      <c r="I643" s="23"/>
    </row>
    <row r="644" spans="1:9" x14ac:dyDescent="0.35">
      <c r="A644" s="23">
        <v>995035</v>
      </c>
      <c r="B644" s="24"/>
      <c r="D644" s="13">
        <v>44819</v>
      </c>
      <c r="F644" s="23" t="s">
        <v>764</v>
      </c>
      <c r="G644" s="23" t="s">
        <v>318</v>
      </c>
      <c r="H644" s="23" t="s">
        <v>5</v>
      </c>
      <c r="I644" s="23"/>
    </row>
    <row r="645" spans="1:9" x14ac:dyDescent="0.35">
      <c r="A645" s="23">
        <v>995041</v>
      </c>
      <c r="B645" s="24"/>
      <c r="D645" s="13">
        <v>44819</v>
      </c>
      <c r="F645" s="23" t="s">
        <v>764</v>
      </c>
      <c r="G645" s="23" t="s">
        <v>318</v>
      </c>
      <c r="H645" s="23" t="s">
        <v>6</v>
      </c>
      <c r="I645" s="23"/>
    </row>
    <row r="646" spans="1:9" x14ac:dyDescent="0.35">
      <c r="A646" s="23">
        <v>995041</v>
      </c>
      <c r="B646" s="24"/>
      <c r="D646" s="13">
        <v>44819</v>
      </c>
      <c r="F646" s="23" t="s">
        <v>764</v>
      </c>
      <c r="G646" s="23" t="s">
        <v>318</v>
      </c>
      <c r="H646" s="23" t="s">
        <v>4</v>
      </c>
      <c r="I646" s="23"/>
    </row>
    <row r="647" spans="1:9" x14ac:dyDescent="0.35">
      <c r="A647" s="23">
        <v>995041</v>
      </c>
      <c r="B647" s="24"/>
      <c r="D647" s="13">
        <v>44819</v>
      </c>
      <c r="F647" s="23" t="s">
        <v>764</v>
      </c>
      <c r="G647" s="23" t="s">
        <v>318</v>
      </c>
      <c r="H647" s="23" t="s">
        <v>5</v>
      </c>
      <c r="I647" s="23"/>
    </row>
    <row r="648" spans="1:9" x14ac:dyDescent="0.35">
      <c r="A648" s="23">
        <v>995042</v>
      </c>
      <c r="B648" s="24"/>
      <c r="D648" s="13">
        <v>44819</v>
      </c>
      <c r="F648" s="23" t="s">
        <v>764</v>
      </c>
      <c r="G648" s="23" t="s">
        <v>318</v>
      </c>
      <c r="H648" s="23" t="s">
        <v>6</v>
      </c>
      <c r="I648" s="23"/>
    </row>
    <row r="649" spans="1:9" x14ac:dyDescent="0.35">
      <c r="A649" s="23">
        <v>995042</v>
      </c>
      <c r="B649" s="24"/>
      <c r="D649" s="13">
        <v>44819</v>
      </c>
      <c r="F649" s="23" t="s">
        <v>764</v>
      </c>
      <c r="G649" s="23" t="s">
        <v>318</v>
      </c>
      <c r="H649" s="23" t="s">
        <v>4</v>
      </c>
      <c r="I649" s="23"/>
    </row>
    <row r="650" spans="1:9" x14ac:dyDescent="0.35">
      <c r="A650" s="23">
        <v>995042</v>
      </c>
      <c r="B650" s="24"/>
      <c r="D650" s="13">
        <v>44819</v>
      </c>
      <c r="F650" s="23" t="s">
        <v>764</v>
      </c>
      <c r="G650" s="23" t="s">
        <v>318</v>
      </c>
      <c r="H650" s="23" t="s">
        <v>5</v>
      </c>
      <c r="I650" s="23"/>
    </row>
    <row r="651" spans="1:9" x14ac:dyDescent="0.35">
      <c r="A651" s="23">
        <v>995043</v>
      </c>
      <c r="B651" s="24"/>
      <c r="D651" s="13">
        <v>44819</v>
      </c>
      <c r="F651" s="23" t="s">
        <v>764</v>
      </c>
      <c r="G651" s="23" t="s">
        <v>318</v>
      </c>
      <c r="H651" s="23" t="s">
        <v>6</v>
      </c>
      <c r="I651" s="23"/>
    </row>
    <row r="652" spans="1:9" x14ac:dyDescent="0.35">
      <c r="A652" s="23">
        <v>995043</v>
      </c>
      <c r="B652" s="24"/>
      <c r="D652" s="13">
        <v>44819</v>
      </c>
      <c r="F652" s="23" t="s">
        <v>764</v>
      </c>
      <c r="G652" s="23" t="s">
        <v>318</v>
      </c>
      <c r="H652" s="23" t="s">
        <v>4</v>
      </c>
      <c r="I652" s="23"/>
    </row>
    <row r="653" spans="1:9" x14ac:dyDescent="0.35">
      <c r="A653" s="23">
        <v>995043</v>
      </c>
      <c r="B653" s="24"/>
      <c r="D653" s="13">
        <v>44819</v>
      </c>
      <c r="F653" s="23" t="s">
        <v>764</v>
      </c>
      <c r="G653" s="23" t="s">
        <v>318</v>
      </c>
      <c r="H653" s="23" t="s">
        <v>5</v>
      </c>
      <c r="I653" s="23"/>
    </row>
    <row r="654" spans="1:9" x14ac:dyDescent="0.35">
      <c r="A654" s="23">
        <v>995045</v>
      </c>
      <c r="B654" s="24"/>
      <c r="D654" s="13">
        <v>44819</v>
      </c>
      <c r="F654" s="23" t="s">
        <v>764</v>
      </c>
      <c r="G654" s="23" t="s">
        <v>318</v>
      </c>
      <c r="H654" s="23" t="s">
        <v>6</v>
      </c>
      <c r="I654" s="23"/>
    </row>
    <row r="655" spans="1:9" x14ac:dyDescent="0.35">
      <c r="A655" s="23">
        <v>995045</v>
      </c>
      <c r="B655" s="24"/>
      <c r="D655" s="13">
        <v>44819</v>
      </c>
      <c r="F655" s="23" t="s">
        <v>764</v>
      </c>
      <c r="G655" s="23" t="s">
        <v>318</v>
      </c>
      <c r="H655" s="23" t="s">
        <v>4</v>
      </c>
      <c r="I655" s="23"/>
    </row>
    <row r="656" spans="1:9" x14ac:dyDescent="0.35">
      <c r="A656" s="23">
        <v>995045</v>
      </c>
      <c r="B656" s="24"/>
      <c r="D656" s="13">
        <v>44819</v>
      </c>
      <c r="F656" s="23" t="s">
        <v>764</v>
      </c>
      <c r="G656" s="23" t="s">
        <v>318</v>
      </c>
      <c r="H656" s="23" t="s">
        <v>5</v>
      </c>
      <c r="I656" s="23"/>
    </row>
    <row r="657" spans="1:9" x14ac:dyDescent="0.35">
      <c r="A657" s="23">
        <v>995046</v>
      </c>
      <c r="B657" s="24"/>
      <c r="D657" s="13">
        <v>44819</v>
      </c>
      <c r="F657" s="23" t="s">
        <v>764</v>
      </c>
      <c r="G657" s="23" t="s">
        <v>318</v>
      </c>
      <c r="H657" s="23" t="s">
        <v>6</v>
      </c>
      <c r="I657" s="23"/>
    </row>
    <row r="658" spans="1:9" x14ac:dyDescent="0.35">
      <c r="A658" s="23">
        <v>995046</v>
      </c>
      <c r="B658" s="24"/>
      <c r="D658" s="13">
        <v>44819</v>
      </c>
      <c r="F658" s="23" t="s">
        <v>764</v>
      </c>
      <c r="G658" s="23" t="s">
        <v>318</v>
      </c>
      <c r="H658" s="23" t="s">
        <v>4</v>
      </c>
      <c r="I658" s="23"/>
    </row>
    <row r="659" spans="1:9" x14ac:dyDescent="0.35">
      <c r="A659" s="23">
        <v>995046</v>
      </c>
      <c r="B659" s="24"/>
      <c r="D659" s="13">
        <v>44819</v>
      </c>
      <c r="F659" s="23" t="s">
        <v>764</v>
      </c>
      <c r="G659" s="23" t="s">
        <v>318</v>
      </c>
      <c r="H659" s="23" t="s">
        <v>5</v>
      </c>
      <c r="I659" s="23"/>
    </row>
    <row r="660" spans="1:9" x14ac:dyDescent="0.35">
      <c r="A660" s="23">
        <v>995051</v>
      </c>
      <c r="B660" s="24"/>
      <c r="D660" s="13">
        <v>44819</v>
      </c>
      <c r="F660" s="23" t="s">
        <v>764</v>
      </c>
      <c r="G660" s="23" t="s">
        <v>318</v>
      </c>
      <c r="H660" s="23" t="s">
        <v>6</v>
      </c>
      <c r="I660" s="23"/>
    </row>
    <row r="661" spans="1:9" x14ac:dyDescent="0.35">
      <c r="A661" s="23">
        <v>995051</v>
      </c>
      <c r="B661" s="24"/>
      <c r="D661" s="13">
        <v>44819</v>
      </c>
      <c r="F661" s="23" t="s">
        <v>764</v>
      </c>
      <c r="G661" s="23" t="s">
        <v>318</v>
      </c>
      <c r="H661" s="23" t="s">
        <v>4</v>
      </c>
      <c r="I661" s="23"/>
    </row>
    <row r="662" spans="1:9" x14ac:dyDescent="0.35">
      <c r="A662" s="23">
        <v>995051</v>
      </c>
      <c r="B662" s="24"/>
      <c r="D662" s="13">
        <v>44819</v>
      </c>
      <c r="F662" s="23" t="s">
        <v>764</v>
      </c>
      <c r="G662" s="23" t="s">
        <v>318</v>
      </c>
      <c r="H662" s="23" t="s">
        <v>5</v>
      </c>
      <c r="I662" s="23"/>
    </row>
    <row r="663" spans="1:9" x14ac:dyDescent="0.35">
      <c r="A663" s="23">
        <v>995053</v>
      </c>
      <c r="B663" s="24"/>
      <c r="D663" s="13">
        <v>44819</v>
      </c>
      <c r="F663" s="23" t="s">
        <v>764</v>
      </c>
      <c r="G663" s="23" t="s">
        <v>318</v>
      </c>
      <c r="H663" s="23" t="s">
        <v>6</v>
      </c>
      <c r="I663" s="23"/>
    </row>
    <row r="664" spans="1:9" x14ac:dyDescent="0.35">
      <c r="A664" s="23">
        <v>995053</v>
      </c>
      <c r="B664" s="24"/>
      <c r="D664" s="13">
        <v>44819</v>
      </c>
      <c r="F664" s="23" t="s">
        <v>764</v>
      </c>
      <c r="G664" s="23" t="s">
        <v>318</v>
      </c>
      <c r="H664" s="23" t="s">
        <v>4</v>
      </c>
      <c r="I664" s="23"/>
    </row>
    <row r="665" spans="1:9" x14ac:dyDescent="0.35">
      <c r="A665" s="23">
        <v>995053</v>
      </c>
      <c r="B665" s="24"/>
      <c r="D665" s="13">
        <v>44819</v>
      </c>
      <c r="F665" s="23" t="s">
        <v>764</v>
      </c>
      <c r="G665" s="23" t="s">
        <v>318</v>
      </c>
      <c r="H665" s="23" t="s">
        <v>5</v>
      </c>
      <c r="I665" s="23"/>
    </row>
    <row r="666" spans="1:9" x14ac:dyDescent="0.35">
      <c r="A666" s="23">
        <v>995067</v>
      </c>
      <c r="B666" s="24"/>
      <c r="D666" s="13">
        <v>44819</v>
      </c>
      <c r="F666" s="23" t="s">
        <v>764</v>
      </c>
      <c r="G666" s="23" t="s">
        <v>318</v>
      </c>
      <c r="H666" s="23" t="s">
        <v>6</v>
      </c>
      <c r="I666" s="23"/>
    </row>
    <row r="667" spans="1:9" x14ac:dyDescent="0.35">
      <c r="A667" s="23">
        <v>995067</v>
      </c>
      <c r="B667" s="24"/>
      <c r="D667" s="13">
        <v>44819</v>
      </c>
      <c r="F667" s="23" t="s">
        <v>764</v>
      </c>
      <c r="G667" s="23" t="s">
        <v>318</v>
      </c>
      <c r="H667" s="23" t="s">
        <v>4</v>
      </c>
      <c r="I667" s="23"/>
    </row>
    <row r="668" spans="1:9" x14ac:dyDescent="0.35">
      <c r="A668" s="23">
        <v>995067</v>
      </c>
      <c r="B668" s="24"/>
      <c r="D668" s="13">
        <v>44819</v>
      </c>
      <c r="F668" s="23" t="s">
        <v>764</v>
      </c>
      <c r="G668" s="23" t="s">
        <v>318</v>
      </c>
      <c r="H668" s="23" t="s">
        <v>5</v>
      </c>
      <c r="I668" s="23"/>
    </row>
    <row r="669" spans="1:9" x14ac:dyDescent="0.35">
      <c r="A669" s="23">
        <v>995068</v>
      </c>
      <c r="B669" s="24"/>
      <c r="D669" s="13">
        <v>44819</v>
      </c>
      <c r="F669" s="23" t="s">
        <v>764</v>
      </c>
      <c r="G669" s="23" t="s">
        <v>318</v>
      </c>
      <c r="H669" s="23" t="s">
        <v>6</v>
      </c>
      <c r="I669" s="23"/>
    </row>
    <row r="670" spans="1:9" x14ac:dyDescent="0.35">
      <c r="A670" s="23">
        <v>995068</v>
      </c>
      <c r="B670" s="24"/>
      <c r="D670" s="13">
        <v>44819</v>
      </c>
      <c r="F670" s="23" t="s">
        <v>764</v>
      </c>
      <c r="G670" s="23" t="s">
        <v>318</v>
      </c>
      <c r="H670" s="23" t="s">
        <v>4</v>
      </c>
      <c r="I670" s="23"/>
    </row>
    <row r="671" spans="1:9" x14ac:dyDescent="0.35">
      <c r="A671" s="23">
        <v>995068</v>
      </c>
      <c r="B671" s="24"/>
      <c r="D671" s="13">
        <v>44819</v>
      </c>
      <c r="F671" s="23" t="s">
        <v>764</v>
      </c>
      <c r="G671" s="23" t="s">
        <v>318</v>
      </c>
      <c r="H671" s="23" t="s">
        <v>5</v>
      </c>
      <c r="I671" s="23"/>
    </row>
    <row r="672" spans="1:9" x14ac:dyDescent="0.35">
      <c r="A672" s="23">
        <v>995069</v>
      </c>
      <c r="B672" s="24"/>
      <c r="D672" s="13">
        <v>44819</v>
      </c>
      <c r="F672" s="23" t="s">
        <v>764</v>
      </c>
      <c r="G672" s="23" t="s">
        <v>318</v>
      </c>
      <c r="H672" s="23" t="s">
        <v>6</v>
      </c>
      <c r="I672" s="23"/>
    </row>
    <row r="673" spans="1:9" x14ac:dyDescent="0.35">
      <c r="A673" s="23">
        <v>995069</v>
      </c>
      <c r="B673" s="24"/>
      <c r="D673" s="13">
        <v>44819</v>
      </c>
      <c r="F673" s="23" t="s">
        <v>764</v>
      </c>
      <c r="G673" s="23" t="s">
        <v>318</v>
      </c>
      <c r="H673" s="23" t="s">
        <v>4</v>
      </c>
      <c r="I673" s="23"/>
    </row>
    <row r="674" spans="1:9" x14ac:dyDescent="0.35">
      <c r="A674" s="23">
        <v>995069</v>
      </c>
      <c r="B674" s="24"/>
      <c r="D674" s="13">
        <v>44819</v>
      </c>
      <c r="F674" s="23" t="s">
        <v>764</v>
      </c>
      <c r="G674" s="23" t="s">
        <v>318</v>
      </c>
      <c r="H674" s="23" t="s">
        <v>5</v>
      </c>
      <c r="I674" s="23"/>
    </row>
    <row r="675" spans="1:9" x14ac:dyDescent="0.35">
      <c r="A675" s="23">
        <v>995070</v>
      </c>
      <c r="B675" s="24"/>
      <c r="D675" s="13">
        <v>44819</v>
      </c>
      <c r="F675" s="23" t="s">
        <v>764</v>
      </c>
      <c r="G675" s="23" t="s">
        <v>318</v>
      </c>
      <c r="H675" s="23" t="s">
        <v>6</v>
      </c>
      <c r="I675" s="23"/>
    </row>
    <row r="676" spans="1:9" x14ac:dyDescent="0.35">
      <c r="A676" s="23">
        <v>995070</v>
      </c>
      <c r="B676" s="24"/>
      <c r="D676" s="13">
        <v>44819</v>
      </c>
      <c r="F676" s="23" t="s">
        <v>764</v>
      </c>
      <c r="G676" s="23" t="s">
        <v>318</v>
      </c>
      <c r="H676" s="23" t="s">
        <v>4</v>
      </c>
      <c r="I676" s="23"/>
    </row>
    <row r="677" spans="1:9" x14ac:dyDescent="0.35">
      <c r="A677" s="23">
        <v>995070</v>
      </c>
      <c r="B677" s="24"/>
      <c r="D677" s="13">
        <v>44819</v>
      </c>
      <c r="F677" s="23" t="s">
        <v>764</v>
      </c>
      <c r="G677" s="23" t="s">
        <v>318</v>
      </c>
      <c r="H677" s="23" t="s">
        <v>5</v>
      </c>
      <c r="I677" s="23"/>
    </row>
    <row r="678" spans="1:9" x14ac:dyDescent="0.35">
      <c r="A678" s="23">
        <v>995071</v>
      </c>
      <c r="B678" s="24"/>
      <c r="D678" s="13">
        <v>44819</v>
      </c>
      <c r="F678" s="23" t="s">
        <v>764</v>
      </c>
      <c r="G678" s="23" t="s">
        <v>318</v>
      </c>
      <c r="H678" s="23" t="s">
        <v>6</v>
      </c>
      <c r="I678" s="23"/>
    </row>
    <row r="679" spans="1:9" x14ac:dyDescent="0.35">
      <c r="A679" s="23">
        <v>995071</v>
      </c>
      <c r="B679" s="24"/>
      <c r="D679" s="13">
        <v>44819</v>
      </c>
      <c r="F679" s="23" t="s">
        <v>764</v>
      </c>
      <c r="G679" s="23" t="s">
        <v>318</v>
      </c>
      <c r="H679" s="23" t="s">
        <v>4</v>
      </c>
      <c r="I679" s="23"/>
    </row>
    <row r="680" spans="1:9" x14ac:dyDescent="0.35">
      <c r="A680" s="23">
        <v>995071</v>
      </c>
      <c r="B680" s="24"/>
      <c r="D680" s="13">
        <v>44819</v>
      </c>
      <c r="F680" s="23" t="s">
        <v>764</v>
      </c>
      <c r="G680" s="23" t="s">
        <v>318</v>
      </c>
      <c r="H680" s="23" t="s">
        <v>5</v>
      </c>
      <c r="I680" s="23"/>
    </row>
    <row r="681" spans="1:9" x14ac:dyDescent="0.35">
      <c r="A681" s="23">
        <v>995072</v>
      </c>
      <c r="B681" s="24"/>
      <c r="D681" s="13">
        <v>44819</v>
      </c>
      <c r="F681" s="23" t="s">
        <v>764</v>
      </c>
      <c r="G681" s="23" t="s">
        <v>318</v>
      </c>
      <c r="H681" s="23" t="s">
        <v>6</v>
      </c>
      <c r="I681" s="23"/>
    </row>
    <row r="682" spans="1:9" x14ac:dyDescent="0.35">
      <c r="A682" s="23">
        <v>995072</v>
      </c>
      <c r="B682" s="24"/>
      <c r="D682" s="13">
        <v>44819</v>
      </c>
      <c r="F682" s="23" t="s">
        <v>764</v>
      </c>
      <c r="G682" s="23" t="s">
        <v>318</v>
      </c>
      <c r="H682" s="23" t="s">
        <v>4</v>
      </c>
      <c r="I682" s="23"/>
    </row>
    <row r="683" spans="1:9" x14ac:dyDescent="0.35">
      <c r="A683" s="23">
        <v>995072</v>
      </c>
      <c r="B683" s="24"/>
      <c r="D683" s="13">
        <v>44819</v>
      </c>
      <c r="F683" s="23" t="s">
        <v>764</v>
      </c>
      <c r="G683" s="23" t="s">
        <v>318</v>
      </c>
      <c r="H683" s="23" t="s">
        <v>5</v>
      </c>
      <c r="I683" s="23"/>
    </row>
    <row r="684" spans="1:9" x14ac:dyDescent="0.35">
      <c r="A684" s="23">
        <v>995076</v>
      </c>
      <c r="B684" s="24"/>
      <c r="D684" s="13">
        <v>44819</v>
      </c>
      <c r="F684" s="23" t="s">
        <v>764</v>
      </c>
      <c r="G684" s="23" t="s">
        <v>318</v>
      </c>
      <c r="H684" s="23" t="s">
        <v>6</v>
      </c>
      <c r="I684" s="23"/>
    </row>
    <row r="685" spans="1:9" x14ac:dyDescent="0.35">
      <c r="A685" s="23">
        <v>995076</v>
      </c>
      <c r="B685" s="24"/>
      <c r="D685" s="13">
        <v>44819</v>
      </c>
      <c r="F685" s="23" t="s">
        <v>764</v>
      </c>
      <c r="G685" s="23" t="s">
        <v>318</v>
      </c>
      <c r="H685" s="23" t="s">
        <v>4</v>
      </c>
      <c r="I685" s="23"/>
    </row>
    <row r="686" spans="1:9" x14ac:dyDescent="0.35">
      <c r="A686" s="23">
        <v>995076</v>
      </c>
      <c r="B686" s="24"/>
      <c r="D686" s="13">
        <v>44819</v>
      </c>
      <c r="F686" s="23" t="s">
        <v>764</v>
      </c>
      <c r="G686" s="23" t="s">
        <v>318</v>
      </c>
      <c r="H686" s="23" t="s">
        <v>5</v>
      </c>
      <c r="I686" s="23"/>
    </row>
    <row r="687" spans="1:9" x14ac:dyDescent="0.35">
      <c r="A687" s="23">
        <v>995077</v>
      </c>
      <c r="B687" s="24"/>
      <c r="D687" s="13">
        <v>44819</v>
      </c>
      <c r="F687" s="23" t="s">
        <v>764</v>
      </c>
      <c r="G687" s="23" t="s">
        <v>318</v>
      </c>
      <c r="H687" s="23" t="s">
        <v>6</v>
      </c>
      <c r="I687" s="23"/>
    </row>
    <row r="688" spans="1:9" x14ac:dyDescent="0.35">
      <c r="A688" s="23">
        <v>995077</v>
      </c>
      <c r="B688" s="24"/>
      <c r="D688" s="13">
        <v>44819</v>
      </c>
      <c r="F688" s="23" t="s">
        <v>764</v>
      </c>
      <c r="G688" s="23" t="s">
        <v>318</v>
      </c>
      <c r="H688" s="23" t="s">
        <v>4</v>
      </c>
      <c r="I688" s="23"/>
    </row>
    <row r="689" spans="1:9" x14ac:dyDescent="0.35">
      <c r="A689" s="23">
        <v>995077</v>
      </c>
      <c r="B689" s="24"/>
      <c r="D689" s="13">
        <v>44819</v>
      </c>
      <c r="F689" s="23" t="s">
        <v>764</v>
      </c>
      <c r="G689" s="23" t="s">
        <v>318</v>
      </c>
      <c r="H689" s="23" t="s">
        <v>5</v>
      </c>
      <c r="I689" s="23"/>
    </row>
    <row r="690" spans="1:9" x14ac:dyDescent="0.35">
      <c r="A690" s="23">
        <v>995078</v>
      </c>
      <c r="B690" s="24"/>
      <c r="D690" s="13">
        <v>44819</v>
      </c>
      <c r="F690" s="23" t="s">
        <v>764</v>
      </c>
      <c r="G690" s="23" t="s">
        <v>318</v>
      </c>
      <c r="H690" s="23" t="s">
        <v>6</v>
      </c>
      <c r="I690" s="23"/>
    </row>
    <row r="691" spans="1:9" x14ac:dyDescent="0.35">
      <c r="A691" s="23">
        <v>995078</v>
      </c>
      <c r="B691" s="24"/>
      <c r="D691" s="13">
        <v>44819</v>
      </c>
      <c r="F691" s="23" t="s">
        <v>764</v>
      </c>
      <c r="G691" s="23" t="s">
        <v>318</v>
      </c>
      <c r="H691" s="23" t="s">
        <v>4</v>
      </c>
      <c r="I691" s="23"/>
    </row>
    <row r="692" spans="1:9" x14ac:dyDescent="0.35">
      <c r="A692" s="23">
        <v>995078</v>
      </c>
      <c r="B692" s="24"/>
      <c r="D692" s="13">
        <v>44819</v>
      </c>
      <c r="F692" s="23" t="s">
        <v>764</v>
      </c>
      <c r="G692" s="23" t="s">
        <v>318</v>
      </c>
      <c r="H692" s="23" t="s">
        <v>5</v>
      </c>
      <c r="I692" s="23"/>
    </row>
    <row r="693" spans="1:9" x14ac:dyDescent="0.35">
      <c r="A693" s="23">
        <v>995082</v>
      </c>
      <c r="B693" s="24"/>
      <c r="D693" s="13">
        <v>44819</v>
      </c>
      <c r="F693" s="23" t="s">
        <v>764</v>
      </c>
      <c r="G693" s="23" t="s">
        <v>318</v>
      </c>
      <c r="H693" s="23" t="s">
        <v>6</v>
      </c>
      <c r="I693" s="23"/>
    </row>
    <row r="694" spans="1:9" x14ac:dyDescent="0.35">
      <c r="A694" s="23">
        <v>995082</v>
      </c>
      <c r="B694" s="24"/>
      <c r="D694" s="13">
        <v>44819</v>
      </c>
      <c r="F694" s="23" t="s">
        <v>764</v>
      </c>
      <c r="G694" s="23" t="s">
        <v>318</v>
      </c>
      <c r="H694" s="23" t="s">
        <v>4</v>
      </c>
      <c r="I694" s="23"/>
    </row>
    <row r="695" spans="1:9" x14ac:dyDescent="0.35">
      <c r="A695" s="23">
        <v>995082</v>
      </c>
      <c r="B695" s="24"/>
      <c r="D695" s="13">
        <v>44819</v>
      </c>
      <c r="F695" s="23" t="s">
        <v>764</v>
      </c>
      <c r="G695" s="23" t="s">
        <v>318</v>
      </c>
      <c r="H695" s="23" t="s">
        <v>5</v>
      </c>
      <c r="I695" s="23"/>
    </row>
    <row r="696" spans="1:9" x14ac:dyDescent="0.35">
      <c r="A696" s="23">
        <v>995084</v>
      </c>
      <c r="B696" s="24"/>
      <c r="D696" s="13">
        <v>44819</v>
      </c>
      <c r="F696" s="23" t="s">
        <v>764</v>
      </c>
      <c r="G696" s="23" t="s">
        <v>318</v>
      </c>
      <c r="H696" s="23" t="s">
        <v>6</v>
      </c>
      <c r="I696" s="23"/>
    </row>
    <row r="697" spans="1:9" x14ac:dyDescent="0.35">
      <c r="A697" s="23">
        <v>995084</v>
      </c>
      <c r="B697" s="24"/>
      <c r="D697" s="13">
        <v>44819</v>
      </c>
      <c r="F697" s="23" t="s">
        <v>764</v>
      </c>
      <c r="G697" s="23" t="s">
        <v>318</v>
      </c>
      <c r="H697" s="23" t="s">
        <v>4</v>
      </c>
      <c r="I697" s="23"/>
    </row>
    <row r="698" spans="1:9" x14ac:dyDescent="0.35">
      <c r="A698" s="23">
        <v>995084</v>
      </c>
      <c r="B698" s="24"/>
      <c r="D698" s="13">
        <v>44819</v>
      </c>
      <c r="F698" s="23" t="s">
        <v>764</v>
      </c>
      <c r="G698" s="23" t="s">
        <v>318</v>
      </c>
      <c r="H698" s="23" t="s">
        <v>5</v>
      </c>
      <c r="I698" s="23"/>
    </row>
    <row r="699" spans="1:9" x14ac:dyDescent="0.35">
      <c r="A699" s="23">
        <v>995085</v>
      </c>
      <c r="B699" s="24"/>
      <c r="D699" s="13">
        <v>44819</v>
      </c>
      <c r="F699" s="23" t="s">
        <v>764</v>
      </c>
      <c r="G699" s="23" t="s">
        <v>318</v>
      </c>
      <c r="H699" s="23" t="s">
        <v>6</v>
      </c>
      <c r="I699" s="23"/>
    </row>
    <row r="700" spans="1:9" x14ac:dyDescent="0.35">
      <c r="A700" s="23">
        <v>995085</v>
      </c>
      <c r="B700" s="24"/>
      <c r="D700" s="13">
        <v>44819</v>
      </c>
      <c r="F700" s="23" t="s">
        <v>764</v>
      </c>
      <c r="G700" s="23" t="s">
        <v>318</v>
      </c>
      <c r="H700" s="23" t="s">
        <v>4</v>
      </c>
      <c r="I700" s="23"/>
    </row>
    <row r="701" spans="1:9" x14ac:dyDescent="0.35">
      <c r="A701" s="23">
        <v>995085</v>
      </c>
      <c r="B701" s="24"/>
      <c r="D701" s="13">
        <v>44819</v>
      </c>
      <c r="F701" s="23" t="s">
        <v>764</v>
      </c>
      <c r="G701" s="23" t="s">
        <v>318</v>
      </c>
      <c r="H701" s="23" t="s">
        <v>5</v>
      </c>
      <c r="I701" s="23"/>
    </row>
    <row r="702" spans="1:9" x14ac:dyDescent="0.35">
      <c r="A702" s="23">
        <v>995086</v>
      </c>
      <c r="B702" s="24"/>
      <c r="D702" s="13">
        <v>44819</v>
      </c>
      <c r="F702" s="23" t="s">
        <v>764</v>
      </c>
      <c r="G702" s="23" t="s">
        <v>318</v>
      </c>
      <c r="H702" s="23" t="s">
        <v>6</v>
      </c>
      <c r="I702" s="23"/>
    </row>
    <row r="703" spans="1:9" x14ac:dyDescent="0.35">
      <c r="A703" s="23">
        <v>995086</v>
      </c>
      <c r="B703" s="24"/>
      <c r="D703" s="13">
        <v>44819</v>
      </c>
      <c r="F703" s="23" t="s">
        <v>764</v>
      </c>
      <c r="G703" s="23" t="s">
        <v>318</v>
      </c>
      <c r="H703" s="23" t="s">
        <v>4</v>
      </c>
      <c r="I703" s="23"/>
    </row>
    <row r="704" spans="1:9" x14ac:dyDescent="0.35">
      <c r="A704" s="23">
        <v>995086</v>
      </c>
      <c r="B704" s="24"/>
      <c r="D704" s="13">
        <v>44819</v>
      </c>
      <c r="F704" s="23" t="s">
        <v>764</v>
      </c>
      <c r="G704" s="23" t="s">
        <v>318</v>
      </c>
      <c r="H704" s="23" t="s">
        <v>5</v>
      </c>
      <c r="I704" s="23"/>
    </row>
    <row r="705" spans="1:9" x14ac:dyDescent="0.35">
      <c r="A705" s="23">
        <v>995097</v>
      </c>
      <c r="B705" s="24"/>
      <c r="D705" s="13">
        <v>44819</v>
      </c>
      <c r="F705" s="23" t="s">
        <v>764</v>
      </c>
      <c r="G705" s="23" t="s">
        <v>318</v>
      </c>
      <c r="H705" s="23" t="s">
        <v>6</v>
      </c>
      <c r="I705" s="23"/>
    </row>
    <row r="706" spans="1:9" x14ac:dyDescent="0.35">
      <c r="A706" s="23">
        <v>995097</v>
      </c>
      <c r="B706" s="24"/>
      <c r="D706" s="13">
        <v>44819</v>
      </c>
      <c r="F706" s="23" t="s">
        <v>764</v>
      </c>
      <c r="G706" s="23" t="s">
        <v>318</v>
      </c>
      <c r="H706" s="23" t="s">
        <v>4</v>
      </c>
      <c r="I706" s="23"/>
    </row>
    <row r="707" spans="1:9" x14ac:dyDescent="0.35">
      <c r="A707" s="23">
        <v>995097</v>
      </c>
      <c r="B707" s="24"/>
      <c r="D707" s="13">
        <v>44819</v>
      </c>
      <c r="F707" s="23" t="s">
        <v>764</v>
      </c>
      <c r="G707" s="23" t="s">
        <v>318</v>
      </c>
      <c r="H707" s="23" t="s">
        <v>5</v>
      </c>
      <c r="I707" s="23"/>
    </row>
    <row r="708" spans="1:9" x14ac:dyDescent="0.35">
      <c r="A708" s="23">
        <v>995100</v>
      </c>
      <c r="B708" s="24"/>
      <c r="D708" s="13">
        <v>44819</v>
      </c>
      <c r="F708" s="23" t="s">
        <v>764</v>
      </c>
      <c r="G708" s="23" t="s">
        <v>318</v>
      </c>
      <c r="H708" s="23" t="s">
        <v>6</v>
      </c>
      <c r="I708" s="23"/>
    </row>
    <row r="709" spans="1:9" x14ac:dyDescent="0.35">
      <c r="A709" s="23">
        <v>995100</v>
      </c>
      <c r="B709" s="24"/>
      <c r="D709" s="13">
        <v>44819</v>
      </c>
      <c r="F709" s="23" t="s">
        <v>764</v>
      </c>
      <c r="G709" s="23" t="s">
        <v>318</v>
      </c>
      <c r="H709" s="23" t="s">
        <v>4</v>
      </c>
      <c r="I709" s="23"/>
    </row>
    <row r="710" spans="1:9" x14ac:dyDescent="0.35">
      <c r="A710" s="23">
        <v>995100</v>
      </c>
      <c r="B710" s="24"/>
      <c r="D710" s="13">
        <v>44819</v>
      </c>
      <c r="F710" s="23" t="s">
        <v>764</v>
      </c>
      <c r="G710" s="23" t="s">
        <v>318</v>
      </c>
      <c r="H710" s="23" t="s">
        <v>5</v>
      </c>
      <c r="I710" s="23"/>
    </row>
    <row r="711" spans="1:9" x14ac:dyDescent="0.35">
      <c r="A711" s="23">
        <v>995101</v>
      </c>
      <c r="B711" s="24"/>
      <c r="D711" s="13">
        <v>44819</v>
      </c>
      <c r="F711" s="23" t="s">
        <v>764</v>
      </c>
      <c r="G711" s="23" t="s">
        <v>318</v>
      </c>
      <c r="H711" s="23" t="s">
        <v>6</v>
      </c>
      <c r="I711" s="23"/>
    </row>
    <row r="712" spans="1:9" x14ac:dyDescent="0.35">
      <c r="A712" s="23">
        <v>995101</v>
      </c>
      <c r="B712" s="24"/>
      <c r="D712" s="13">
        <v>44819</v>
      </c>
      <c r="F712" s="23" t="s">
        <v>764</v>
      </c>
      <c r="G712" s="23" t="s">
        <v>318</v>
      </c>
      <c r="H712" s="23" t="s">
        <v>4</v>
      </c>
      <c r="I712" s="23"/>
    </row>
    <row r="713" spans="1:9" x14ac:dyDescent="0.35">
      <c r="A713" s="23">
        <v>995101</v>
      </c>
      <c r="B713" s="24"/>
      <c r="D713" s="13">
        <v>44819</v>
      </c>
      <c r="F713" s="23" t="s">
        <v>764</v>
      </c>
      <c r="G713" s="23" t="s">
        <v>318</v>
      </c>
      <c r="H713" s="23" t="s">
        <v>5</v>
      </c>
      <c r="I713" s="23"/>
    </row>
    <row r="714" spans="1:9" x14ac:dyDescent="0.35">
      <c r="A714" s="23">
        <v>995102</v>
      </c>
      <c r="B714" s="24"/>
      <c r="D714" s="13">
        <v>44819</v>
      </c>
      <c r="F714" s="23" t="s">
        <v>764</v>
      </c>
      <c r="G714" s="23" t="s">
        <v>318</v>
      </c>
      <c r="H714" s="23" t="s">
        <v>6</v>
      </c>
      <c r="I714" s="23"/>
    </row>
    <row r="715" spans="1:9" x14ac:dyDescent="0.35">
      <c r="A715" s="23">
        <v>995102</v>
      </c>
      <c r="B715" s="24"/>
      <c r="D715" s="13">
        <v>44819</v>
      </c>
      <c r="F715" s="23" t="s">
        <v>764</v>
      </c>
      <c r="G715" s="23" t="s">
        <v>318</v>
      </c>
      <c r="H715" s="23" t="s">
        <v>4</v>
      </c>
      <c r="I715" s="23"/>
    </row>
    <row r="716" spans="1:9" x14ac:dyDescent="0.35">
      <c r="A716" s="23">
        <v>995102</v>
      </c>
      <c r="B716" s="24"/>
      <c r="D716" s="13">
        <v>44819</v>
      </c>
      <c r="F716" s="23" t="s">
        <v>764</v>
      </c>
      <c r="G716" s="23" t="s">
        <v>318</v>
      </c>
      <c r="H716" s="23" t="s">
        <v>5</v>
      </c>
      <c r="I716" s="23"/>
    </row>
    <row r="717" spans="1:9" x14ac:dyDescent="0.35">
      <c r="A717" s="23">
        <v>995103</v>
      </c>
      <c r="B717" s="24"/>
      <c r="D717" s="13">
        <v>44819</v>
      </c>
      <c r="F717" s="23" t="s">
        <v>764</v>
      </c>
      <c r="G717" s="23" t="s">
        <v>318</v>
      </c>
      <c r="H717" s="23" t="s">
        <v>6</v>
      </c>
      <c r="I717" s="23"/>
    </row>
    <row r="718" spans="1:9" x14ac:dyDescent="0.35">
      <c r="A718" s="23">
        <v>995103</v>
      </c>
      <c r="B718" s="24"/>
      <c r="D718" s="13">
        <v>44819</v>
      </c>
      <c r="F718" s="23" t="s">
        <v>764</v>
      </c>
      <c r="G718" s="23" t="s">
        <v>318</v>
      </c>
      <c r="H718" s="23" t="s">
        <v>4</v>
      </c>
      <c r="I718" s="23"/>
    </row>
    <row r="719" spans="1:9" x14ac:dyDescent="0.35">
      <c r="A719" s="23">
        <v>995103</v>
      </c>
      <c r="B719" s="24"/>
      <c r="D719" s="13">
        <v>44819</v>
      </c>
      <c r="F719" s="23" t="s">
        <v>764</v>
      </c>
      <c r="G719" s="23" t="s">
        <v>318</v>
      </c>
      <c r="H719" s="23" t="s">
        <v>5</v>
      </c>
      <c r="I719" s="23"/>
    </row>
    <row r="720" spans="1:9" x14ac:dyDescent="0.35">
      <c r="A720" s="23">
        <v>995104</v>
      </c>
      <c r="B720" s="24"/>
      <c r="D720" s="13">
        <v>44819</v>
      </c>
      <c r="F720" s="23" t="s">
        <v>764</v>
      </c>
      <c r="G720" s="23" t="s">
        <v>318</v>
      </c>
      <c r="H720" s="23" t="s">
        <v>6</v>
      </c>
      <c r="I720" s="23"/>
    </row>
    <row r="721" spans="1:9" x14ac:dyDescent="0.35">
      <c r="A721" s="23">
        <v>995104</v>
      </c>
      <c r="B721" s="24"/>
      <c r="D721" s="13">
        <v>44819</v>
      </c>
      <c r="F721" s="23" t="s">
        <v>764</v>
      </c>
      <c r="G721" s="23" t="s">
        <v>318</v>
      </c>
      <c r="H721" s="23" t="s">
        <v>4</v>
      </c>
      <c r="I721" s="23"/>
    </row>
    <row r="722" spans="1:9" x14ac:dyDescent="0.35">
      <c r="A722" s="23">
        <v>995104</v>
      </c>
      <c r="B722" s="24"/>
      <c r="D722" s="13">
        <v>44819</v>
      </c>
      <c r="F722" s="23" t="s">
        <v>764</v>
      </c>
      <c r="G722" s="23" t="s">
        <v>318</v>
      </c>
      <c r="H722" s="23" t="s">
        <v>5</v>
      </c>
      <c r="I722" s="23"/>
    </row>
    <row r="723" spans="1:9" x14ac:dyDescent="0.35">
      <c r="A723" s="23">
        <v>995106</v>
      </c>
      <c r="B723" s="24"/>
      <c r="D723" s="13">
        <v>44819</v>
      </c>
      <c r="F723" s="23" t="s">
        <v>764</v>
      </c>
      <c r="G723" s="23" t="s">
        <v>318</v>
      </c>
      <c r="H723" s="23" t="s">
        <v>6</v>
      </c>
      <c r="I723" s="23"/>
    </row>
    <row r="724" spans="1:9" x14ac:dyDescent="0.35">
      <c r="A724" s="23">
        <v>995106</v>
      </c>
      <c r="B724" s="24"/>
      <c r="D724" s="13">
        <v>44819</v>
      </c>
      <c r="F724" s="23" t="s">
        <v>764</v>
      </c>
      <c r="G724" s="23" t="s">
        <v>318</v>
      </c>
      <c r="H724" s="23" t="s">
        <v>4</v>
      </c>
      <c r="I724" s="23"/>
    </row>
    <row r="725" spans="1:9" x14ac:dyDescent="0.35">
      <c r="A725" s="23">
        <v>995106</v>
      </c>
      <c r="B725" s="24"/>
      <c r="D725" s="13">
        <v>44819</v>
      </c>
      <c r="F725" s="23" t="s">
        <v>764</v>
      </c>
      <c r="G725" s="23" t="s">
        <v>318</v>
      </c>
      <c r="H725" s="23" t="s">
        <v>5</v>
      </c>
      <c r="I725" s="23"/>
    </row>
    <row r="726" spans="1:9" x14ac:dyDescent="0.35">
      <c r="A726" s="23">
        <v>995108</v>
      </c>
      <c r="B726" s="24"/>
      <c r="D726" s="13">
        <v>44819</v>
      </c>
      <c r="F726" s="23" t="s">
        <v>764</v>
      </c>
      <c r="G726" s="23" t="s">
        <v>318</v>
      </c>
      <c r="H726" s="23" t="s">
        <v>6</v>
      </c>
      <c r="I726" s="23"/>
    </row>
    <row r="727" spans="1:9" x14ac:dyDescent="0.35">
      <c r="A727" s="23">
        <v>995108</v>
      </c>
      <c r="B727" s="24"/>
      <c r="D727" s="13">
        <v>44819</v>
      </c>
      <c r="F727" s="23" t="s">
        <v>764</v>
      </c>
      <c r="G727" s="23" t="s">
        <v>318</v>
      </c>
      <c r="H727" s="23" t="s">
        <v>4</v>
      </c>
      <c r="I727" s="23"/>
    </row>
    <row r="728" spans="1:9" x14ac:dyDescent="0.35">
      <c r="A728" s="23">
        <v>995108</v>
      </c>
      <c r="B728" s="24"/>
      <c r="D728" s="13">
        <v>44819</v>
      </c>
      <c r="F728" s="23" t="s">
        <v>764</v>
      </c>
      <c r="G728" s="23" t="s">
        <v>318</v>
      </c>
      <c r="H728" s="23" t="s">
        <v>5</v>
      </c>
      <c r="I728" s="23"/>
    </row>
    <row r="729" spans="1:9" x14ac:dyDescent="0.35">
      <c r="A729" s="23">
        <v>995111</v>
      </c>
      <c r="B729" s="24"/>
      <c r="D729" s="13">
        <v>44819</v>
      </c>
      <c r="F729" s="23" t="s">
        <v>764</v>
      </c>
      <c r="G729" s="23" t="s">
        <v>318</v>
      </c>
      <c r="H729" s="23" t="s">
        <v>6</v>
      </c>
      <c r="I729" s="23"/>
    </row>
    <row r="730" spans="1:9" x14ac:dyDescent="0.35">
      <c r="A730" s="23">
        <v>995111</v>
      </c>
      <c r="B730" s="24"/>
      <c r="D730" s="13">
        <v>44819</v>
      </c>
      <c r="F730" s="23" t="s">
        <v>764</v>
      </c>
      <c r="G730" s="23" t="s">
        <v>318</v>
      </c>
      <c r="H730" s="23" t="s">
        <v>4</v>
      </c>
      <c r="I730" s="23"/>
    </row>
    <row r="731" spans="1:9" x14ac:dyDescent="0.35">
      <c r="A731" s="23">
        <v>995111</v>
      </c>
      <c r="B731" s="24"/>
      <c r="D731" s="13">
        <v>44819</v>
      </c>
      <c r="F731" s="23" t="s">
        <v>764</v>
      </c>
      <c r="G731" s="23" t="s">
        <v>318</v>
      </c>
      <c r="H731" s="23" t="s">
        <v>5</v>
      </c>
      <c r="I731" s="23"/>
    </row>
    <row r="732" spans="1:9" x14ac:dyDescent="0.35">
      <c r="A732" s="23">
        <v>995115</v>
      </c>
      <c r="B732" s="24"/>
      <c r="D732" s="13">
        <v>44819</v>
      </c>
      <c r="F732" s="23" t="s">
        <v>764</v>
      </c>
      <c r="G732" s="23" t="s">
        <v>318</v>
      </c>
      <c r="H732" s="23" t="s">
        <v>6</v>
      </c>
      <c r="I732" s="23"/>
    </row>
    <row r="733" spans="1:9" x14ac:dyDescent="0.35">
      <c r="A733" s="23">
        <v>995115</v>
      </c>
      <c r="B733" s="24"/>
      <c r="D733" s="13">
        <v>44819</v>
      </c>
      <c r="F733" s="23" t="s">
        <v>764</v>
      </c>
      <c r="G733" s="23" t="s">
        <v>318</v>
      </c>
      <c r="H733" s="23" t="s">
        <v>4</v>
      </c>
      <c r="I733" s="23"/>
    </row>
    <row r="734" spans="1:9" x14ac:dyDescent="0.35">
      <c r="A734" s="23">
        <v>995115</v>
      </c>
      <c r="B734" s="24"/>
      <c r="D734" s="13">
        <v>44819</v>
      </c>
      <c r="F734" s="23" t="s">
        <v>764</v>
      </c>
      <c r="G734" s="23" t="s">
        <v>318</v>
      </c>
      <c r="H734" s="23" t="s">
        <v>5</v>
      </c>
      <c r="I734" s="23"/>
    </row>
    <row r="735" spans="1:9" x14ac:dyDescent="0.35">
      <c r="A735" s="23">
        <v>995116</v>
      </c>
      <c r="B735" s="24"/>
      <c r="D735" s="13">
        <v>44819</v>
      </c>
      <c r="F735" s="23" t="s">
        <v>764</v>
      </c>
      <c r="G735" s="23" t="s">
        <v>318</v>
      </c>
      <c r="H735" s="23" t="s">
        <v>6</v>
      </c>
      <c r="I735" s="23"/>
    </row>
    <row r="736" spans="1:9" x14ac:dyDescent="0.35">
      <c r="A736" s="23">
        <v>995116</v>
      </c>
      <c r="B736" s="24"/>
      <c r="D736" s="13">
        <v>44819</v>
      </c>
      <c r="F736" s="23" t="s">
        <v>764</v>
      </c>
      <c r="G736" s="23" t="s">
        <v>318</v>
      </c>
      <c r="H736" s="23" t="s">
        <v>4</v>
      </c>
      <c r="I736" s="23"/>
    </row>
    <row r="737" spans="1:9" x14ac:dyDescent="0.35">
      <c r="A737" s="23">
        <v>995116</v>
      </c>
      <c r="B737" s="24"/>
      <c r="D737" s="13">
        <v>44819</v>
      </c>
      <c r="F737" s="23" t="s">
        <v>764</v>
      </c>
      <c r="G737" s="23" t="s">
        <v>318</v>
      </c>
      <c r="H737" s="23" t="s">
        <v>5</v>
      </c>
      <c r="I737" s="23"/>
    </row>
    <row r="738" spans="1:9" x14ac:dyDescent="0.35">
      <c r="A738" s="23">
        <v>995123</v>
      </c>
      <c r="B738" s="24"/>
      <c r="D738" s="13">
        <v>44819</v>
      </c>
      <c r="F738" s="23" t="s">
        <v>764</v>
      </c>
      <c r="G738" s="23" t="s">
        <v>318</v>
      </c>
      <c r="H738" s="23" t="s">
        <v>6</v>
      </c>
      <c r="I738" s="23"/>
    </row>
    <row r="739" spans="1:9" x14ac:dyDescent="0.35">
      <c r="A739" s="23">
        <v>995123</v>
      </c>
      <c r="B739" s="24"/>
      <c r="D739" s="13">
        <v>44819</v>
      </c>
      <c r="F739" s="23" t="s">
        <v>764</v>
      </c>
      <c r="G739" s="23" t="s">
        <v>318</v>
      </c>
      <c r="H739" s="23" t="s">
        <v>4</v>
      </c>
      <c r="I739" s="23"/>
    </row>
    <row r="740" spans="1:9" x14ac:dyDescent="0.35">
      <c r="A740" s="23">
        <v>995123</v>
      </c>
      <c r="B740" s="24"/>
      <c r="D740" s="13">
        <v>44819</v>
      </c>
      <c r="F740" s="23" t="s">
        <v>790</v>
      </c>
      <c r="G740" s="23" t="s">
        <v>318</v>
      </c>
      <c r="H740" s="23" t="s">
        <v>5</v>
      </c>
      <c r="I740" s="23"/>
    </row>
    <row r="741" spans="1:9" x14ac:dyDescent="0.35">
      <c r="A741" s="23">
        <v>995131</v>
      </c>
      <c r="B741" s="24"/>
      <c r="D741" s="13">
        <v>44819</v>
      </c>
      <c r="F741" s="23" t="s">
        <v>764</v>
      </c>
      <c r="G741" s="23" t="s">
        <v>318</v>
      </c>
      <c r="H741" s="23" t="s">
        <v>6</v>
      </c>
      <c r="I741" s="23"/>
    </row>
    <row r="742" spans="1:9" x14ac:dyDescent="0.35">
      <c r="A742" s="23">
        <v>995131</v>
      </c>
      <c r="B742" s="24"/>
      <c r="D742" s="13">
        <v>44819</v>
      </c>
      <c r="F742" s="23" t="s">
        <v>764</v>
      </c>
      <c r="G742" s="23" t="s">
        <v>318</v>
      </c>
      <c r="H742" s="23" t="s">
        <v>4</v>
      </c>
      <c r="I742" s="23"/>
    </row>
    <row r="743" spans="1:9" x14ac:dyDescent="0.35">
      <c r="A743" s="23">
        <v>995131</v>
      </c>
      <c r="B743" s="24"/>
      <c r="D743" s="13">
        <v>44819</v>
      </c>
      <c r="F743" s="23" t="s">
        <v>764</v>
      </c>
      <c r="G743" s="23" t="s">
        <v>318</v>
      </c>
      <c r="H743" s="23" t="s">
        <v>5</v>
      </c>
      <c r="I743" s="23"/>
    </row>
    <row r="744" spans="1:9" x14ac:dyDescent="0.35">
      <c r="A744" s="23">
        <v>995133</v>
      </c>
      <c r="B744" s="24"/>
      <c r="D744" s="13">
        <v>44819</v>
      </c>
      <c r="F744" s="23" t="s">
        <v>764</v>
      </c>
      <c r="G744" s="23" t="s">
        <v>318</v>
      </c>
      <c r="H744" s="23" t="s">
        <v>6</v>
      </c>
      <c r="I744" s="23"/>
    </row>
    <row r="745" spans="1:9" x14ac:dyDescent="0.35">
      <c r="A745" s="23">
        <v>995133</v>
      </c>
      <c r="B745" s="24"/>
      <c r="D745" s="13">
        <v>44819</v>
      </c>
      <c r="F745" s="23" t="s">
        <v>764</v>
      </c>
      <c r="G745" s="23" t="s">
        <v>318</v>
      </c>
      <c r="H745" s="23" t="s">
        <v>4</v>
      </c>
      <c r="I745" s="23"/>
    </row>
    <row r="746" spans="1:9" x14ac:dyDescent="0.35">
      <c r="A746" s="23">
        <v>995133</v>
      </c>
      <c r="B746" s="24"/>
      <c r="D746" s="13">
        <v>44819</v>
      </c>
      <c r="F746" s="23" t="s">
        <v>764</v>
      </c>
      <c r="G746" s="23" t="s">
        <v>318</v>
      </c>
      <c r="H746" s="23" t="s">
        <v>5</v>
      </c>
      <c r="I746" s="23"/>
    </row>
    <row r="747" spans="1:9" x14ac:dyDescent="0.35">
      <c r="A747" s="23">
        <v>995137</v>
      </c>
      <c r="B747" s="24"/>
      <c r="D747" s="13">
        <v>44819</v>
      </c>
      <c r="F747" s="23" t="s">
        <v>764</v>
      </c>
      <c r="G747" s="23" t="s">
        <v>318</v>
      </c>
      <c r="H747" s="23" t="s">
        <v>6</v>
      </c>
      <c r="I747" s="23"/>
    </row>
    <row r="748" spans="1:9" x14ac:dyDescent="0.35">
      <c r="A748" s="23">
        <v>995137</v>
      </c>
      <c r="B748" s="24"/>
      <c r="D748" s="13">
        <v>44819</v>
      </c>
      <c r="F748" s="23" t="s">
        <v>764</v>
      </c>
      <c r="G748" s="23" t="s">
        <v>318</v>
      </c>
      <c r="H748" s="23" t="s">
        <v>4</v>
      </c>
      <c r="I748" s="23"/>
    </row>
    <row r="749" spans="1:9" x14ac:dyDescent="0.35">
      <c r="A749" s="23">
        <v>995137</v>
      </c>
      <c r="B749" s="24"/>
      <c r="D749" s="13">
        <v>44819</v>
      </c>
      <c r="F749" s="23" t="s">
        <v>764</v>
      </c>
      <c r="G749" s="23" t="s">
        <v>318</v>
      </c>
      <c r="H749" s="23" t="s">
        <v>5</v>
      </c>
      <c r="I749" s="23"/>
    </row>
    <row r="750" spans="1:9" x14ac:dyDescent="0.35">
      <c r="A750" s="23">
        <v>995138</v>
      </c>
      <c r="B750" s="24"/>
      <c r="D750" s="13">
        <v>44819</v>
      </c>
      <c r="F750" s="23" t="s">
        <v>764</v>
      </c>
      <c r="G750" s="23" t="s">
        <v>318</v>
      </c>
      <c r="H750" s="23" t="s">
        <v>6</v>
      </c>
      <c r="I750" s="23"/>
    </row>
    <row r="751" spans="1:9" x14ac:dyDescent="0.35">
      <c r="A751" s="23">
        <v>995138</v>
      </c>
      <c r="B751" s="24"/>
      <c r="D751" s="13">
        <v>44819</v>
      </c>
      <c r="F751" s="23" t="s">
        <v>764</v>
      </c>
      <c r="G751" s="23" t="s">
        <v>318</v>
      </c>
      <c r="H751" s="23" t="s">
        <v>4</v>
      </c>
      <c r="I751" s="23"/>
    </row>
    <row r="752" spans="1:9" x14ac:dyDescent="0.35">
      <c r="A752" s="23">
        <v>995138</v>
      </c>
      <c r="B752" s="24"/>
      <c r="D752" s="13">
        <v>44819</v>
      </c>
      <c r="F752" s="23" t="s">
        <v>764</v>
      </c>
      <c r="G752" s="23" t="s">
        <v>318</v>
      </c>
      <c r="H752" s="23" t="s">
        <v>5</v>
      </c>
      <c r="I752" s="23"/>
    </row>
    <row r="753" spans="1:9" x14ac:dyDescent="0.35">
      <c r="A753" s="23">
        <v>995140</v>
      </c>
      <c r="B753" s="24"/>
      <c r="D753" s="13">
        <v>44819</v>
      </c>
      <c r="F753" s="23" t="s">
        <v>764</v>
      </c>
      <c r="G753" s="23" t="s">
        <v>318</v>
      </c>
      <c r="H753" s="23" t="s">
        <v>6</v>
      </c>
      <c r="I753" s="23"/>
    </row>
    <row r="754" spans="1:9" x14ac:dyDescent="0.35">
      <c r="A754" s="23">
        <v>995140</v>
      </c>
      <c r="B754" s="24"/>
      <c r="D754" s="13">
        <v>44819</v>
      </c>
      <c r="F754" s="23" t="s">
        <v>764</v>
      </c>
      <c r="G754" s="23" t="s">
        <v>318</v>
      </c>
      <c r="H754" s="23" t="s">
        <v>4</v>
      </c>
      <c r="I754" s="23"/>
    </row>
    <row r="755" spans="1:9" x14ac:dyDescent="0.35">
      <c r="A755" s="23">
        <v>995140</v>
      </c>
      <c r="B755" s="24"/>
      <c r="D755" s="13">
        <v>44819</v>
      </c>
      <c r="F755" s="23" t="s">
        <v>764</v>
      </c>
      <c r="G755" s="23" t="s">
        <v>318</v>
      </c>
      <c r="H755" s="23" t="s">
        <v>5</v>
      </c>
      <c r="I755" s="23"/>
    </row>
    <row r="756" spans="1:9" x14ac:dyDescent="0.35">
      <c r="A756" s="23">
        <v>995144</v>
      </c>
      <c r="B756" s="24"/>
      <c r="D756" s="13">
        <v>44819</v>
      </c>
      <c r="F756" s="23" t="s">
        <v>764</v>
      </c>
      <c r="G756" s="23" t="s">
        <v>318</v>
      </c>
      <c r="H756" s="23" t="s">
        <v>6</v>
      </c>
      <c r="I756" s="23"/>
    </row>
    <row r="757" spans="1:9" x14ac:dyDescent="0.35">
      <c r="A757" s="23">
        <v>995144</v>
      </c>
      <c r="B757" s="24"/>
      <c r="D757" s="13">
        <v>44819</v>
      </c>
      <c r="F757" s="23" t="s">
        <v>764</v>
      </c>
      <c r="G757" s="23" t="s">
        <v>318</v>
      </c>
      <c r="H757" s="23" t="s">
        <v>4</v>
      </c>
      <c r="I757" s="23"/>
    </row>
    <row r="758" spans="1:9" x14ac:dyDescent="0.35">
      <c r="A758" s="23">
        <v>995144</v>
      </c>
      <c r="B758" s="24"/>
      <c r="D758" s="13">
        <v>44819</v>
      </c>
      <c r="F758" s="23" t="s">
        <v>764</v>
      </c>
      <c r="G758" s="23" t="s">
        <v>318</v>
      </c>
      <c r="H758" s="23" t="s">
        <v>5</v>
      </c>
      <c r="I758" s="23"/>
    </row>
    <row r="759" spans="1:9" x14ac:dyDescent="0.35">
      <c r="A759" s="23">
        <v>995147</v>
      </c>
      <c r="B759" s="24"/>
      <c r="D759" s="13">
        <v>44819</v>
      </c>
      <c r="F759" s="23" t="s">
        <v>764</v>
      </c>
      <c r="G759" s="23" t="s">
        <v>318</v>
      </c>
      <c r="H759" s="23" t="s">
        <v>6</v>
      </c>
      <c r="I759" s="23"/>
    </row>
    <row r="760" spans="1:9" x14ac:dyDescent="0.35">
      <c r="A760" s="23">
        <v>995147</v>
      </c>
      <c r="B760" s="24"/>
      <c r="D760" s="13">
        <v>44819</v>
      </c>
      <c r="F760" s="23" t="s">
        <v>764</v>
      </c>
      <c r="G760" s="23" t="s">
        <v>318</v>
      </c>
      <c r="H760" s="23" t="s">
        <v>4</v>
      </c>
      <c r="I760" s="23"/>
    </row>
    <row r="761" spans="1:9" x14ac:dyDescent="0.35">
      <c r="A761" s="23">
        <v>995147</v>
      </c>
      <c r="B761" s="24"/>
      <c r="D761" s="13">
        <v>44819</v>
      </c>
      <c r="F761" s="23" t="s">
        <v>764</v>
      </c>
      <c r="G761" s="23" t="s">
        <v>318</v>
      </c>
      <c r="H761" s="23" t="s">
        <v>5</v>
      </c>
      <c r="I761" s="23"/>
    </row>
    <row r="762" spans="1:9" x14ac:dyDescent="0.35">
      <c r="A762" s="23">
        <v>995150</v>
      </c>
      <c r="B762" s="24"/>
      <c r="D762" s="13">
        <v>44819</v>
      </c>
      <c r="F762" s="23" t="s">
        <v>764</v>
      </c>
      <c r="G762" s="23" t="s">
        <v>318</v>
      </c>
      <c r="H762" s="23" t="s">
        <v>6</v>
      </c>
      <c r="I762" s="23"/>
    </row>
    <row r="763" spans="1:9" x14ac:dyDescent="0.35">
      <c r="A763" s="23">
        <v>995150</v>
      </c>
      <c r="B763" s="24"/>
      <c r="D763" s="13">
        <v>44819</v>
      </c>
      <c r="F763" s="23" t="s">
        <v>764</v>
      </c>
      <c r="G763" s="23" t="s">
        <v>318</v>
      </c>
      <c r="H763" s="23" t="s">
        <v>4</v>
      </c>
      <c r="I763" s="23"/>
    </row>
    <row r="764" spans="1:9" x14ac:dyDescent="0.35">
      <c r="A764" s="23">
        <v>995150</v>
      </c>
      <c r="B764" s="24"/>
      <c r="D764" s="13">
        <v>44819</v>
      </c>
      <c r="F764" s="23" t="s">
        <v>764</v>
      </c>
      <c r="G764" s="23" t="s">
        <v>318</v>
      </c>
      <c r="H764" s="23" t="s">
        <v>5</v>
      </c>
      <c r="I764" s="23"/>
    </row>
    <row r="765" spans="1:9" x14ac:dyDescent="0.35">
      <c r="A765" s="23">
        <v>995152</v>
      </c>
      <c r="B765" s="24"/>
      <c r="D765" s="13">
        <v>44819</v>
      </c>
      <c r="F765" s="23" t="s">
        <v>764</v>
      </c>
      <c r="G765" s="23" t="s">
        <v>318</v>
      </c>
      <c r="H765" s="23" t="s">
        <v>6</v>
      </c>
      <c r="I765" s="23"/>
    </row>
    <row r="766" spans="1:9" x14ac:dyDescent="0.35">
      <c r="A766" s="23">
        <v>995152</v>
      </c>
      <c r="B766" s="24"/>
      <c r="D766" s="13">
        <v>44819</v>
      </c>
      <c r="F766" s="23" t="s">
        <v>764</v>
      </c>
      <c r="G766" s="23" t="s">
        <v>318</v>
      </c>
      <c r="H766" s="23" t="s">
        <v>4</v>
      </c>
      <c r="I766" s="23"/>
    </row>
    <row r="767" spans="1:9" x14ac:dyDescent="0.35">
      <c r="A767" s="23">
        <v>995152</v>
      </c>
      <c r="B767" s="24"/>
      <c r="D767" s="13">
        <v>44819</v>
      </c>
      <c r="F767" s="23" t="s">
        <v>764</v>
      </c>
      <c r="G767" s="23" t="s">
        <v>318</v>
      </c>
      <c r="H767" s="23" t="s">
        <v>5</v>
      </c>
      <c r="I767" s="23"/>
    </row>
    <row r="768" spans="1:9" x14ac:dyDescent="0.35">
      <c r="A768" s="23">
        <v>995154</v>
      </c>
      <c r="B768" s="24"/>
      <c r="D768" s="13">
        <v>44819</v>
      </c>
      <c r="F768" s="23" t="s">
        <v>764</v>
      </c>
      <c r="G768" s="23" t="s">
        <v>318</v>
      </c>
      <c r="H768" s="23" t="s">
        <v>6</v>
      </c>
      <c r="I768" s="23"/>
    </row>
    <row r="769" spans="1:9" x14ac:dyDescent="0.35">
      <c r="A769" s="23">
        <v>995154</v>
      </c>
      <c r="B769" s="24"/>
      <c r="D769" s="13">
        <v>44819</v>
      </c>
      <c r="F769" s="23" t="s">
        <v>764</v>
      </c>
      <c r="G769" s="23" t="s">
        <v>318</v>
      </c>
      <c r="H769" s="23" t="s">
        <v>4</v>
      </c>
      <c r="I769" s="23"/>
    </row>
    <row r="770" spans="1:9" x14ac:dyDescent="0.35">
      <c r="A770" s="23">
        <v>995154</v>
      </c>
      <c r="B770" s="24"/>
      <c r="D770" s="13">
        <v>44819</v>
      </c>
      <c r="F770" s="23" t="s">
        <v>764</v>
      </c>
      <c r="G770" s="23" t="s">
        <v>318</v>
      </c>
      <c r="H770" s="23" t="s">
        <v>5</v>
      </c>
      <c r="I770" s="23"/>
    </row>
    <row r="771" spans="1:9" x14ac:dyDescent="0.35">
      <c r="A771" s="23">
        <v>995158</v>
      </c>
      <c r="B771" s="24"/>
      <c r="D771" s="13">
        <v>44819</v>
      </c>
      <c r="F771" s="23" t="s">
        <v>764</v>
      </c>
      <c r="G771" s="23" t="s">
        <v>318</v>
      </c>
      <c r="H771" s="23" t="s">
        <v>6</v>
      </c>
      <c r="I771" s="23"/>
    </row>
    <row r="772" spans="1:9" x14ac:dyDescent="0.35">
      <c r="A772" s="23">
        <v>995158</v>
      </c>
      <c r="B772" s="24"/>
      <c r="D772" s="13">
        <v>44819</v>
      </c>
      <c r="F772" s="23" t="s">
        <v>764</v>
      </c>
      <c r="G772" s="23" t="s">
        <v>318</v>
      </c>
      <c r="H772" s="23" t="s">
        <v>4</v>
      </c>
      <c r="I772" s="23"/>
    </row>
    <row r="773" spans="1:9" x14ac:dyDescent="0.35">
      <c r="A773" s="23">
        <v>995158</v>
      </c>
      <c r="B773" s="24"/>
      <c r="D773" s="13">
        <v>44819</v>
      </c>
      <c r="F773" s="23" t="s">
        <v>764</v>
      </c>
      <c r="G773" s="23" t="s">
        <v>318</v>
      </c>
      <c r="H773" s="23" t="s">
        <v>5</v>
      </c>
      <c r="I773" s="23"/>
    </row>
    <row r="774" spans="1:9" x14ac:dyDescent="0.35">
      <c r="A774" s="23">
        <v>995164</v>
      </c>
      <c r="B774" s="24"/>
      <c r="D774" s="13">
        <v>44819</v>
      </c>
      <c r="F774" s="23" t="s">
        <v>764</v>
      </c>
      <c r="G774" s="23" t="s">
        <v>318</v>
      </c>
      <c r="H774" s="23" t="s">
        <v>6</v>
      </c>
      <c r="I774" s="23"/>
    </row>
    <row r="775" spans="1:9" x14ac:dyDescent="0.35">
      <c r="A775" s="23">
        <v>995164</v>
      </c>
      <c r="B775" s="24"/>
      <c r="D775" s="13">
        <v>44819</v>
      </c>
      <c r="F775" s="23" t="s">
        <v>764</v>
      </c>
      <c r="G775" s="23" t="s">
        <v>318</v>
      </c>
      <c r="H775" s="23" t="s">
        <v>4</v>
      </c>
      <c r="I775" s="23"/>
    </row>
    <row r="776" spans="1:9" x14ac:dyDescent="0.35">
      <c r="A776" s="23">
        <v>995164</v>
      </c>
      <c r="B776" s="24"/>
      <c r="D776" s="13">
        <v>44819</v>
      </c>
      <c r="F776" s="23" t="s">
        <v>764</v>
      </c>
      <c r="G776" s="23" t="s">
        <v>318</v>
      </c>
      <c r="H776" s="23" t="s">
        <v>5</v>
      </c>
      <c r="I776" s="23"/>
    </row>
    <row r="777" spans="1:9" x14ac:dyDescent="0.35">
      <c r="A777" s="23">
        <v>995165</v>
      </c>
      <c r="B777" s="24"/>
      <c r="D777" s="13">
        <v>44819</v>
      </c>
      <c r="F777" s="23" t="s">
        <v>764</v>
      </c>
      <c r="G777" s="23" t="s">
        <v>318</v>
      </c>
      <c r="H777" s="23" t="s">
        <v>6</v>
      </c>
      <c r="I777" s="23"/>
    </row>
    <row r="778" spans="1:9" x14ac:dyDescent="0.35">
      <c r="A778" s="23">
        <v>995165</v>
      </c>
      <c r="B778" s="24"/>
      <c r="D778" s="13">
        <v>44819</v>
      </c>
      <c r="F778" s="23" t="s">
        <v>764</v>
      </c>
      <c r="G778" s="23" t="s">
        <v>318</v>
      </c>
      <c r="H778" s="23" t="s">
        <v>4</v>
      </c>
      <c r="I778" s="23"/>
    </row>
    <row r="779" spans="1:9" x14ac:dyDescent="0.35">
      <c r="A779" s="23">
        <v>995165</v>
      </c>
      <c r="B779" s="24"/>
      <c r="D779" s="13">
        <v>44819</v>
      </c>
      <c r="F779" s="23" t="s">
        <v>764</v>
      </c>
      <c r="G779" s="23" t="s">
        <v>318</v>
      </c>
      <c r="H779" s="23" t="s">
        <v>5</v>
      </c>
      <c r="I779" s="23"/>
    </row>
    <row r="780" spans="1:9" x14ac:dyDescent="0.35">
      <c r="A780" s="23">
        <v>995166</v>
      </c>
      <c r="B780" s="24"/>
      <c r="D780" s="13">
        <v>44819</v>
      </c>
      <c r="F780" s="23" t="s">
        <v>764</v>
      </c>
      <c r="G780" s="23" t="s">
        <v>318</v>
      </c>
      <c r="H780" s="23" t="s">
        <v>6</v>
      </c>
      <c r="I780" s="23"/>
    </row>
    <row r="781" spans="1:9" x14ac:dyDescent="0.35">
      <c r="A781" s="23">
        <v>995166</v>
      </c>
      <c r="B781" s="24"/>
      <c r="D781" s="13">
        <v>44819</v>
      </c>
      <c r="F781" s="23" t="s">
        <v>764</v>
      </c>
      <c r="G781" s="23" t="s">
        <v>318</v>
      </c>
      <c r="H781" s="23" t="s">
        <v>4</v>
      </c>
      <c r="I781" s="23"/>
    </row>
    <row r="782" spans="1:9" x14ac:dyDescent="0.35">
      <c r="A782" s="23">
        <v>995166</v>
      </c>
      <c r="B782" s="24"/>
      <c r="D782" s="13">
        <v>44819</v>
      </c>
      <c r="F782" s="23" t="s">
        <v>764</v>
      </c>
      <c r="G782" s="23" t="s">
        <v>318</v>
      </c>
      <c r="H782" s="23" t="s">
        <v>5</v>
      </c>
      <c r="I782" s="23"/>
    </row>
    <row r="783" spans="1:9" x14ac:dyDescent="0.35">
      <c r="A783" s="23">
        <v>995176</v>
      </c>
      <c r="B783" s="24"/>
      <c r="D783" s="13">
        <v>44819</v>
      </c>
      <c r="F783" s="23" t="s">
        <v>764</v>
      </c>
      <c r="G783" s="23" t="s">
        <v>318</v>
      </c>
      <c r="H783" s="23" t="s">
        <v>6</v>
      </c>
      <c r="I783" s="23"/>
    </row>
    <row r="784" spans="1:9" x14ac:dyDescent="0.35">
      <c r="A784" s="23">
        <v>995176</v>
      </c>
      <c r="B784" s="24"/>
      <c r="D784" s="13">
        <v>44819</v>
      </c>
      <c r="F784" s="23" t="s">
        <v>764</v>
      </c>
      <c r="G784" s="23" t="s">
        <v>318</v>
      </c>
      <c r="H784" s="23" t="s">
        <v>4</v>
      </c>
      <c r="I784" s="23"/>
    </row>
    <row r="785" spans="1:9" x14ac:dyDescent="0.35">
      <c r="A785" s="23">
        <v>995176</v>
      </c>
      <c r="B785" s="24"/>
      <c r="D785" s="13">
        <v>44819</v>
      </c>
      <c r="F785" s="23" t="s">
        <v>764</v>
      </c>
      <c r="G785" s="23" t="s">
        <v>318</v>
      </c>
      <c r="H785" s="23" t="s">
        <v>5</v>
      </c>
      <c r="I785" s="23"/>
    </row>
    <row r="786" spans="1:9" x14ac:dyDescent="0.35">
      <c r="A786" s="23">
        <v>995177</v>
      </c>
      <c r="B786" s="24"/>
      <c r="D786" s="13">
        <v>44819</v>
      </c>
      <c r="F786" s="23" t="s">
        <v>764</v>
      </c>
      <c r="G786" s="23" t="s">
        <v>318</v>
      </c>
      <c r="H786" s="23" t="s">
        <v>6</v>
      </c>
      <c r="I786" s="23"/>
    </row>
    <row r="787" spans="1:9" x14ac:dyDescent="0.35">
      <c r="A787" s="23">
        <v>995177</v>
      </c>
      <c r="B787" s="24"/>
      <c r="D787" s="13">
        <v>44819</v>
      </c>
      <c r="F787" s="23" t="s">
        <v>764</v>
      </c>
      <c r="G787" s="23" t="s">
        <v>318</v>
      </c>
      <c r="H787" s="23" t="s">
        <v>4</v>
      </c>
      <c r="I787" s="23"/>
    </row>
    <row r="788" spans="1:9" x14ac:dyDescent="0.35">
      <c r="A788" s="23">
        <v>995177</v>
      </c>
      <c r="B788" s="24"/>
      <c r="D788" s="13">
        <v>44819</v>
      </c>
      <c r="F788" s="23" t="s">
        <v>764</v>
      </c>
      <c r="G788" s="23" t="s">
        <v>318</v>
      </c>
      <c r="H788" s="23" t="s">
        <v>5</v>
      </c>
      <c r="I788" s="23"/>
    </row>
    <row r="789" spans="1:9" x14ac:dyDescent="0.35">
      <c r="A789" s="23">
        <v>995178</v>
      </c>
      <c r="B789" s="24"/>
      <c r="D789" s="13">
        <v>44819</v>
      </c>
      <c r="F789" s="23" t="s">
        <v>764</v>
      </c>
      <c r="G789" s="23" t="s">
        <v>318</v>
      </c>
      <c r="H789" s="23" t="s">
        <v>6</v>
      </c>
      <c r="I789" s="23"/>
    </row>
    <row r="790" spans="1:9" x14ac:dyDescent="0.35">
      <c r="A790" s="23">
        <v>995178</v>
      </c>
      <c r="B790" s="24"/>
      <c r="D790" s="13">
        <v>44819</v>
      </c>
      <c r="F790" s="23" t="s">
        <v>764</v>
      </c>
      <c r="G790" s="23" t="s">
        <v>318</v>
      </c>
      <c r="H790" s="23" t="s">
        <v>4</v>
      </c>
      <c r="I790" s="23"/>
    </row>
    <row r="791" spans="1:9" x14ac:dyDescent="0.35">
      <c r="A791" s="23">
        <v>995178</v>
      </c>
      <c r="B791" s="24"/>
      <c r="D791" s="13">
        <v>44819</v>
      </c>
      <c r="F791" s="23" t="s">
        <v>764</v>
      </c>
      <c r="G791" s="23" t="s">
        <v>318</v>
      </c>
      <c r="H791" s="23" t="s">
        <v>5</v>
      </c>
      <c r="I791" s="23"/>
    </row>
    <row r="792" spans="1:9" x14ac:dyDescent="0.35">
      <c r="A792" s="23">
        <v>995179</v>
      </c>
      <c r="B792" s="24"/>
      <c r="D792" s="13">
        <v>44819</v>
      </c>
      <c r="F792" s="23" t="s">
        <v>764</v>
      </c>
      <c r="G792" s="23" t="s">
        <v>318</v>
      </c>
      <c r="H792" s="23" t="s">
        <v>6</v>
      </c>
      <c r="I792" s="23"/>
    </row>
    <row r="793" spans="1:9" x14ac:dyDescent="0.35">
      <c r="A793" s="23">
        <v>995179</v>
      </c>
      <c r="B793" s="24"/>
      <c r="D793" s="13">
        <v>44819</v>
      </c>
      <c r="F793" s="23" t="s">
        <v>764</v>
      </c>
      <c r="G793" s="23" t="s">
        <v>318</v>
      </c>
      <c r="H793" s="23" t="s">
        <v>4</v>
      </c>
      <c r="I793" s="23"/>
    </row>
    <row r="794" spans="1:9" x14ac:dyDescent="0.35">
      <c r="A794" s="23">
        <v>995179</v>
      </c>
      <c r="B794" s="24"/>
      <c r="D794" s="13">
        <v>44819</v>
      </c>
      <c r="F794" s="23" t="s">
        <v>764</v>
      </c>
      <c r="G794" s="23" t="s">
        <v>318</v>
      </c>
      <c r="H794" s="23" t="s">
        <v>5</v>
      </c>
      <c r="I794" s="23"/>
    </row>
    <row r="795" spans="1:9" x14ac:dyDescent="0.35">
      <c r="A795" s="23">
        <v>995180</v>
      </c>
      <c r="B795" s="24"/>
      <c r="D795" s="13">
        <v>44819</v>
      </c>
      <c r="F795" s="23" t="s">
        <v>790</v>
      </c>
      <c r="G795" s="23" t="s">
        <v>318</v>
      </c>
      <c r="H795" s="23" t="s">
        <v>6</v>
      </c>
      <c r="I795" s="23"/>
    </row>
    <row r="796" spans="1:9" x14ac:dyDescent="0.35">
      <c r="A796" s="23">
        <v>995180</v>
      </c>
      <c r="B796" s="24"/>
      <c r="D796" s="13">
        <v>44819</v>
      </c>
      <c r="F796" s="23" t="s">
        <v>764</v>
      </c>
      <c r="G796" s="23" t="s">
        <v>318</v>
      </c>
      <c r="H796" s="23" t="s">
        <v>4</v>
      </c>
      <c r="I796" s="23"/>
    </row>
    <row r="797" spans="1:9" x14ac:dyDescent="0.35">
      <c r="A797" s="23">
        <v>995180</v>
      </c>
      <c r="B797" s="24"/>
      <c r="D797" s="13">
        <v>44819</v>
      </c>
      <c r="F797" s="23" t="s">
        <v>764</v>
      </c>
      <c r="G797" s="23" t="s">
        <v>318</v>
      </c>
      <c r="H797" s="23" t="s">
        <v>5</v>
      </c>
      <c r="I797" s="23"/>
    </row>
    <row r="798" spans="1:9" x14ac:dyDescent="0.35">
      <c r="A798" s="23">
        <v>995181</v>
      </c>
      <c r="B798" s="24"/>
      <c r="D798" s="13">
        <v>44819</v>
      </c>
      <c r="F798" s="23" t="s">
        <v>790</v>
      </c>
      <c r="G798" s="23" t="s">
        <v>318</v>
      </c>
      <c r="H798" s="23" t="s">
        <v>6</v>
      </c>
      <c r="I798" s="23"/>
    </row>
    <row r="799" spans="1:9" x14ac:dyDescent="0.35">
      <c r="A799" s="23">
        <v>995181</v>
      </c>
      <c r="B799" s="24"/>
      <c r="D799" s="13">
        <v>44819</v>
      </c>
      <c r="F799" s="23" t="s">
        <v>764</v>
      </c>
      <c r="G799" s="23" t="s">
        <v>318</v>
      </c>
      <c r="H799" s="23" t="s">
        <v>4</v>
      </c>
      <c r="I799" s="23"/>
    </row>
    <row r="800" spans="1:9" x14ac:dyDescent="0.35">
      <c r="A800" s="23">
        <v>995181</v>
      </c>
      <c r="B800" s="24"/>
      <c r="D800" s="13">
        <v>44819</v>
      </c>
      <c r="F800" s="23" t="s">
        <v>790</v>
      </c>
      <c r="G800" s="23" t="s">
        <v>318</v>
      </c>
      <c r="H800" s="23" t="s">
        <v>5</v>
      </c>
      <c r="I800" s="23"/>
    </row>
    <row r="801" spans="1:9" x14ac:dyDescent="0.35">
      <c r="A801" s="23">
        <v>995184</v>
      </c>
      <c r="B801" s="24"/>
      <c r="D801" s="13">
        <v>44819</v>
      </c>
      <c r="F801" s="23" t="s">
        <v>790</v>
      </c>
      <c r="G801" s="23" t="s">
        <v>318</v>
      </c>
      <c r="H801" s="23" t="s">
        <v>6</v>
      </c>
      <c r="I801" s="23"/>
    </row>
    <row r="802" spans="1:9" x14ac:dyDescent="0.35">
      <c r="A802" s="23">
        <v>995184</v>
      </c>
      <c r="B802" s="24"/>
      <c r="D802" s="13">
        <v>44819</v>
      </c>
      <c r="F802" s="23" t="s">
        <v>764</v>
      </c>
      <c r="G802" s="23" t="s">
        <v>318</v>
      </c>
      <c r="H802" s="23" t="s">
        <v>4</v>
      </c>
      <c r="I802" s="23"/>
    </row>
    <row r="803" spans="1:9" x14ac:dyDescent="0.35">
      <c r="A803" s="23">
        <v>995184</v>
      </c>
      <c r="B803" s="24"/>
      <c r="D803" s="13">
        <v>44819</v>
      </c>
      <c r="F803" s="23" t="s">
        <v>790</v>
      </c>
      <c r="G803" s="23" t="s">
        <v>318</v>
      </c>
      <c r="H803" s="23" t="s">
        <v>5</v>
      </c>
      <c r="I803" s="23"/>
    </row>
    <row r="804" spans="1:9" x14ac:dyDescent="0.35">
      <c r="A804" s="23">
        <v>995186</v>
      </c>
      <c r="B804" s="24"/>
      <c r="D804" s="13">
        <v>44819</v>
      </c>
      <c r="F804" s="23" t="s">
        <v>764</v>
      </c>
      <c r="G804" s="23" t="s">
        <v>318</v>
      </c>
      <c r="H804" s="23" t="s">
        <v>6</v>
      </c>
      <c r="I804" s="23"/>
    </row>
    <row r="805" spans="1:9" x14ac:dyDescent="0.35">
      <c r="A805" s="23">
        <v>995186</v>
      </c>
      <c r="B805" s="24"/>
      <c r="D805" s="13">
        <v>44819</v>
      </c>
      <c r="F805" s="23" t="s">
        <v>764</v>
      </c>
      <c r="G805" s="23" t="s">
        <v>318</v>
      </c>
      <c r="H805" s="23" t="s">
        <v>4</v>
      </c>
      <c r="I805" s="23"/>
    </row>
    <row r="806" spans="1:9" x14ac:dyDescent="0.35">
      <c r="A806" s="23">
        <v>995186</v>
      </c>
      <c r="B806" s="24"/>
      <c r="D806" s="13">
        <v>44819</v>
      </c>
      <c r="F806" s="23" t="s">
        <v>764</v>
      </c>
      <c r="G806" s="23" t="s">
        <v>318</v>
      </c>
      <c r="H806" s="23" t="s">
        <v>5</v>
      </c>
      <c r="I806" s="23"/>
    </row>
    <row r="807" spans="1:9" x14ac:dyDescent="0.35">
      <c r="A807" s="23">
        <v>995188</v>
      </c>
      <c r="B807" s="24"/>
      <c r="D807" s="13">
        <v>44819</v>
      </c>
      <c r="F807" s="23" t="s">
        <v>790</v>
      </c>
      <c r="G807" s="23" t="s">
        <v>318</v>
      </c>
      <c r="H807" s="23" t="s">
        <v>6</v>
      </c>
      <c r="I807" s="23"/>
    </row>
    <row r="808" spans="1:9" x14ac:dyDescent="0.35">
      <c r="A808" s="23">
        <v>995188</v>
      </c>
      <c r="B808" s="24"/>
      <c r="D808" s="13">
        <v>44819</v>
      </c>
      <c r="F808" s="23" t="s">
        <v>764</v>
      </c>
      <c r="G808" s="23" t="s">
        <v>318</v>
      </c>
      <c r="H808" s="23" t="s">
        <v>4</v>
      </c>
      <c r="I808" s="23"/>
    </row>
    <row r="809" spans="1:9" x14ac:dyDescent="0.35">
      <c r="A809" s="23">
        <v>995188</v>
      </c>
      <c r="B809" s="24"/>
      <c r="D809" s="13">
        <v>44819</v>
      </c>
      <c r="F809" s="23" t="s">
        <v>790</v>
      </c>
      <c r="G809" s="23" t="s">
        <v>318</v>
      </c>
      <c r="H809" s="23" t="s">
        <v>5</v>
      </c>
      <c r="I809" s="23"/>
    </row>
    <row r="810" spans="1:9" x14ac:dyDescent="0.35">
      <c r="A810" s="23">
        <v>995190</v>
      </c>
      <c r="B810" s="24"/>
      <c r="D810" s="13">
        <v>44819</v>
      </c>
      <c r="F810" s="23" t="s">
        <v>764</v>
      </c>
      <c r="G810" s="23" t="s">
        <v>318</v>
      </c>
      <c r="H810" s="23" t="s">
        <v>6</v>
      </c>
      <c r="I810" s="23"/>
    </row>
    <row r="811" spans="1:9" x14ac:dyDescent="0.35">
      <c r="A811" s="23">
        <v>995190</v>
      </c>
      <c r="B811" s="24"/>
      <c r="D811" s="13">
        <v>44819</v>
      </c>
      <c r="F811" s="23" t="s">
        <v>764</v>
      </c>
      <c r="G811" s="23" t="s">
        <v>318</v>
      </c>
      <c r="H811" s="23" t="s">
        <v>4</v>
      </c>
      <c r="I811" s="23"/>
    </row>
    <row r="812" spans="1:9" x14ac:dyDescent="0.35">
      <c r="A812" s="23">
        <v>995190</v>
      </c>
      <c r="B812" s="24"/>
      <c r="D812" s="13">
        <v>44819</v>
      </c>
      <c r="F812" s="23" t="s">
        <v>764</v>
      </c>
      <c r="G812" s="23" t="s">
        <v>318</v>
      </c>
      <c r="H812" s="23" t="s">
        <v>5</v>
      </c>
      <c r="I812" s="23"/>
    </row>
    <row r="813" spans="1:9" x14ac:dyDescent="0.35">
      <c r="A813" s="23">
        <v>995192</v>
      </c>
      <c r="B813" s="24"/>
      <c r="D813" s="13">
        <v>44819</v>
      </c>
      <c r="F813" s="23" t="s">
        <v>764</v>
      </c>
      <c r="G813" s="23" t="s">
        <v>318</v>
      </c>
      <c r="H813" s="23" t="s">
        <v>6</v>
      </c>
      <c r="I813" s="23"/>
    </row>
    <row r="814" spans="1:9" x14ac:dyDescent="0.35">
      <c r="A814" s="23">
        <v>995192</v>
      </c>
      <c r="B814" s="24"/>
      <c r="D814" s="13">
        <v>44819</v>
      </c>
      <c r="F814" s="23" t="s">
        <v>764</v>
      </c>
      <c r="G814" s="23" t="s">
        <v>318</v>
      </c>
      <c r="H814" s="23" t="s">
        <v>4</v>
      </c>
      <c r="I814" s="23"/>
    </row>
    <row r="815" spans="1:9" x14ac:dyDescent="0.35">
      <c r="A815" s="23">
        <v>995192</v>
      </c>
      <c r="B815" s="24"/>
      <c r="D815" s="13">
        <v>44819</v>
      </c>
      <c r="F815" s="23" t="s">
        <v>764</v>
      </c>
      <c r="G815" s="23" t="s">
        <v>318</v>
      </c>
      <c r="H815" s="23" t="s">
        <v>5</v>
      </c>
      <c r="I815" s="23"/>
    </row>
    <row r="816" spans="1:9" x14ac:dyDescent="0.35">
      <c r="A816" s="23">
        <v>995194</v>
      </c>
      <c r="B816" s="24"/>
      <c r="D816" s="13">
        <v>44819</v>
      </c>
      <c r="F816" s="23" t="s">
        <v>764</v>
      </c>
      <c r="G816" s="23" t="s">
        <v>318</v>
      </c>
      <c r="H816" s="23" t="s">
        <v>6</v>
      </c>
      <c r="I816" s="23"/>
    </row>
    <row r="817" spans="1:9" x14ac:dyDescent="0.35">
      <c r="A817" s="23">
        <v>995194</v>
      </c>
      <c r="B817" s="24"/>
      <c r="D817" s="13">
        <v>44819</v>
      </c>
      <c r="F817" s="23" t="s">
        <v>764</v>
      </c>
      <c r="G817" s="23" t="s">
        <v>318</v>
      </c>
      <c r="H817" s="23" t="s">
        <v>4</v>
      </c>
      <c r="I817" s="23"/>
    </row>
    <row r="818" spans="1:9" x14ac:dyDescent="0.35">
      <c r="A818" s="23">
        <v>995194</v>
      </c>
      <c r="B818" s="24"/>
      <c r="D818" s="13">
        <v>44819</v>
      </c>
      <c r="F818" s="23" t="s">
        <v>764</v>
      </c>
      <c r="G818" s="23" t="s">
        <v>318</v>
      </c>
      <c r="H818" s="23" t="s">
        <v>5</v>
      </c>
      <c r="I818" s="23"/>
    </row>
    <row r="819" spans="1:9" x14ac:dyDescent="0.35">
      <c r="A819" s="23">
        <v>995195</v>
      </c>
      <c r="B819" s="24"/>
      <c r="D819" s="13">
        <v>44819</v>
      </c>
      <c r="F819" s="23" t="s">
        <v>764</v>
      </c>
      <c r="G819" s="23" t="s">
        <v>318</v>
      </c>
      <c r="H819" s="23" t="s">
        <v>6</v>
      </c>
      <c r="I819" s="23"/>
    </row>
    <row r="820" spans="1:9" x14ac:dyDescent="0.35">
      <c r="A820" s="23">
        <v>995195</v>
      </c>
      <c r="B820" s="24"/>
      <c r="D820" s="13">
        <v>44819</v>
      </c>
      <c r="F820" s="23" t="s">
        <v>764</v>
      </c>
      <c r="G820" s="23" t="s">
        <v>318</v>
      </c>
      <c r="H820" s="23" t="s">
        <v>4</v>
      </c>
      <c r="I820" s="23"/>
    </row>
    <row r="821" spans="1:9" x14ac:dyDescent="0.35">
      <c r="A821" s="23">
        <v>995195</v>
      </c>
      <c r="B821" s="24"/>
      <c r="D821" s="13">
        <v>44819</v>
      </c>
      <c r="F821" s="23" t="s">
        <v>764</v>
      </c>
      <c r="G821" s="23" t="s">
        <v>318</v>
      </c>
      <c r="H821" s="23" t="s">
        <v>5</v>
      </c>
      <c r="I821" s="23"/>
    </row>
    <row r="822" spans="1:9" x14ac:dyDescent="0.35">
      <c r="A822" s="23">
        <v>995196</v>
      </c>
      <c r="B822" s="24"/>
      <c r="D822" s="13">
        <v>44819</v>
      </c>
      <c r="F822" s="23" t="s">
        <v>764</v>
      </c>
      <c r="G822" s="23" t="s">
        <v>318</v>
      </c>
      <c r="H822" s="23" t="s">
        <v>6</v>
      </c>
      <c r="I822" s="23"/>
    </row>
    <row r="823" spans="1:9" x14ac:dyDescent="0.35">
      <c r="A823" s="23">
        <v>995197</v>
      </c>
      <c r="B823" s="24"/>
      <c r="D823" s="13">
        <v>44819</v>
      </c>
      <c r="F823" s="23" t="s">
        <v>764</v>
      </c>
      <c r="G823" s="23" t="s">
        <v>318</v>
      </c>
      <c r="H823" s="23" t="s">
        <v>6</v>
      </c>
      <c r="I823" s="23"/>
    </row>
    <row r="824" spans="1:9" x14ac:dyDescent="0.35">
      <c r="A824" s="23">
        <v>995197</v>
      </c>
      <c r="B824" s="24"/>
      <c r="D824" s="13">
        <v>44819</v>
      </c>
      <c r="F824" s="23" t="s">
        <v>764</v>
      </c>
      <c r="G824" s="23" t="s">
        <v>318</v>
      </c>
      <c r="H824" s="23" t="s">
        <v>4</v>
      </c>
      <c r="I824" s="23"/>
    </row>
    <row r="825" spans="1:9" x14ac:dyDescent="0.35">
      <c r="A825" s="23">
        <v>995197</v>
      </c>
      <c r="B825" s="24"/>
      <c r="D825" s="13">
        <v>44819</v>
      </c>
      <c r="F825" s="23" t="s">
        <v>764</v>
      </c>
      <c r="G825" s="23" t="s">
        <v>318</v>
      </c>
      <c r="H825" s="23" t="s">
        <v>5</v>
      </c>
      <c r="I825" s="23"/>
    </row>
    <row r="826" spans="1:9" x14ac:dyDescent="0.35">
      <c r="A826" s="23">
        <v>995198</v>
      </c>
      <c r="B826" s="24"/>
      <c r="D826" s="13">
        <v>44819</v>
      </c>
      <c r="F826" s="23" t="s">
        <v>764</v>
      </c>
      <c r="G826" s="23" t="s">
        <v>318</v>
      </c>
      <c r="H826" s="23" t="s">
        <v>6</v>
      </c>
      <c r="I826" s="23"/>
    </row>
    <row r="827" spans="1:9" x14ac:dyDescent="0.35">
      <c r="A827" s="23">
        <v>995198</v>
      </c>
      <c r="B827" s="24"/>
      <c r="D827" s="13">
        <v>44819</v>
      </c>
      <c r="F827" s="23" t="s">
        <v>764</v>
      </c>
      <c r="G827" s="23" t="s">
        <v>318</v>
      </c>
      <c r="H827" s="23" t="s">
        <v>4</v>
      </c>
      <c r="I827" s="23"/>
    </row>
    <row r="828" spans="1:9" x14ac:dyDescent="0.35">
      <c r="A828" s="23">
        <v>995198</v>
      </c>
      <c r="B828" s="24"/>
      <c r="D828" s="13">
        <v>44819</v>
      </c>
      <c r="F828" s="23" t="s">
        <v>764</v>
      </c>
      <c r="G828" s="23" t="s">
        <v>318</v>
      </c>
      <c r="H828" s="23" t="s">
        <v>5</v>
      </c>
      <c r="I828" s="23"/>
    </row>
    <row r="829" spans="1:9" x14ac:dyDescent="0.35">
      <c r="A829" s="23">
        <v>995200</v>
      </c>
      <c r="B829" s="24"/>
      <c r="D829" s="13">
        <v>44819</v>
      </c>
      <c r="F829" s="23" t="s">
        <v>764</v>
      </c>
      <c r="G829" s="23" t="s">
        <v>318</v>
      </c>
      <c r="H829" s="23" t="s">
        <v>6</v>
      </c>
      <c r="I829" s="23"/>
    </row>
    <row r="830" spans="1:9" x14ac:dyDescent="0.35">
      <c r="A830" s="23">
        <v>995200</v>
      </c>
      <c r="B830" s="24"/>
      <c r="D830" s="13">
        <v>44819</v>
      </c>
      <c r="F830" s="23" t="s">
        <v>764</v>
      </c>
      <c r="G830" s="23" t="s">
        <v>318</v>
      </c>
      <c r="H830" s="23" t="s">
        <v>4</v>
      </c>
      <c r="I830" s="23"/>
    </row>
    <row r="831" spans="1:9" x14ac:dyDescent="0.35">
      <c r="A831" s="23">
        <v>995200</v>
      </c>
      <c r="B831" s="24"/>
      <c r="D831" s="13">
        <v>44819</v>
      </c>
      <c r="F831" s="23" t="s">
        <v>764</v>
      </c>
      <c r="G831" s="23" t="s">
        <v>318</v>
      </c>
      <c r="H831" s="23" t="s">
        <v>5</v>
      </c>
      <c r="I831" s="23"/>
    </row>
    <row r="832" spans="1:9" x14ac:dyDescent="0.35">
      <c r="A832" s="23">
        <v>995201</v>
      </c>
      <c r="B832" s="24"/>
      <c r="D832" s="13">
        <v>44819</v>
      </c>
      <c r="F832" s="23" t="s">
        <v>764</v>
      </c>
      <c r="G832" s="23" t="s">
        <v>318</v>
      </c>
      <c r="H832" s="23" t="s">
        <v>6</v>
      </c>
      <c r="I832" s="23"/>
    </row>
    <row r="833" spans="1:9" x14ac:dyDescent="0.35">
      <c r="A833" s="23">
        <v>995201</v>
      </c>
      <c r="B833" s="24"/>
      <c r="D833" s="13">
        <v>44819</v>
      </c>
      <c r="F833" s="23" t="s">
        <v>764</v>
      </c>
      <c r="G833" s="23" t="s">
        <v>318</v>
      </c>
      <c r="H833" s="23" t="s">
        <v>4</v>
      </c>
      <c r="I833" s="23"/>
    </row>
    <row r="834" spans="1:9" x14ac:dyDescent="0.35">
      <c r="A834" s="23">
        <v>995201</v>
      </c>
      <c r="B834" s="24"/>
      <c r="D834" s="13">
        <v>44819</v>
      </c>
      <c r="F834" s="23" t="s">
        <v>764</v>
      </c>
      <c r="G834" s="23" t="s">
        <v>318</v>
      </c>
      <c r="H834" s="23" t="s">
        <v>5</v>
      </c>
      <c r="I834" s="23"/>
    </row>
    <row r="835" spans="1:9" x14ac:dyDescent="0.35">
      <c r="A835" s="23">
        <v>995202</v>
      </c>
      <c r="B835" s="24"/>
      <c r="D835" s="13">
        <v>44819</v>
      </c>
      <c r="F835" s="23" t="s">
        <v>764</v>
      </c>
      <c r="G835" s="23" t="s">
        <v>318</v>
      </c>
      <c r="H835" s="23" t="s">
        <v>6</v>
      </c>
      <c r="I835" s="23"/>
    </row>
    <row r="836" spans="1:9" x14ac:dyDescent="0.35">
      <c r="A836" s="23">
        <v>995202</v>
      </c>
      <c r="B836" s="24"/>
      <c r="D836" s="13">
        <v>44819</v>
      </c>
      <c r="F836" s="23" t="s">
        <v>764</v>
      </c>
      <c r="G836" s="23" t="s">
        <v>318</v>
      </c>
      <c r="H836" s="23" t="s">
        <v>4</v>
      </c>
      <c r="I836" s="23"/>
    </row>
    <row r="837" spans="1:9" x14ac:dyDescent="0.35">
      <c r="A837" s="23">
        <v>995202</v>
      </c>
      <c r="B837" s="24"/>
      <c r="D837" s="13">
        <v>44819</v>
      </c>
      <c r="F837" s="23" t="s">
        <v>764</v>
      </c>
      <c r="G837" s="23" t="s">
        <v>318</v>
      </c>
      <c r="H837" s="23" t="s">
        <v>5</v>
      </c>
      <c r="I837" s="23"/>
    </row>
    <row r="838" spans="1:9" x14ac:dyDescent="0.35">
      <c r="A838" s="23">
        <v>995203</v>
      </c>
      <c r="B838" s="24"/>
      <c r="D838" s="13">
        <v>44819</v>
      </c>
      <c r="F838" s="23" t="s">
        <v>764</v>
      </c>
      <c r="G838" s="23" t="s">
        <v>318</v>
      </c>
      <c r="H838" s="23" t="s">
        <v>6</v>
      </c>
      <c r="I838" s="23"/>
    </row>
    <row r="839" spans="1:9" x14ac:dyDescent="0.35">
      <c r="A839" s="23">
        <v>995203</v>
      </c>
      <c r="B839" s="24"/>
      <c r="D839" s="13">
        <v>44819</v>
      </c>
      <c r="F839" s="23" t="s">
        <v>764</v>
      </c>
      <c r="G839" s="23" t="s">
        <v>318</v>
      </c>
      <c r="H839" s="23" t="s">
        <v>4</v>
      </c>
      <c r="I839" s="23"/>
    </row>
    <row r="840" spans="1:9" x14ac:dyDescent="0.35">
      <c r="A840" s="23">
        <v>995203</v>
      </c>
      <c r="B840" s="24"/>
      <c r="D840" s="13">
        <v>44819</v>
      </c>
      <c r="F840" s="23" t="s">
        <v>764</v>
      </c>
      <c r="G840" s="23" t="s">
        <v>318</v>
      </c>
      <c r="H840" s="23" t="s">
        <v>5</v>
      </c>
      <c r="I840" s="23"/>
    </row>
    <row r="841" spans="1:9" x14ac:dyDescent="0.35">
      <c r="A841" s="23">
        <v>995206</v>
      </c>
      <c r="B841" s="24"/>
      <c r="D841" s="13">
        <v>44819</v>
      </c>
      <c r="F841" s="23" t="s">
        <v>764</v>
      </c>
      <c r="G841" s="23" t="s">
        <v>318</v>
      </c>
      <c r="H841" s="23" t="s">
        <v>6</v>
      </c>
      <c r="I841" s="23"/>
    </row>
    <row r="842" spans="1:9" x14ac:dyDescent="0.35">
      <c r="A842" s="23">
        <v>995206</v>
      </c>
      <c r="B842" s="24"/>
      <c r="D842" s="13">
        <v>44819</v>
      </c>
      <c r="F842" s="23" t="s">
        <v>764</v>
      </c>
      <c r="G842" s="23" t="s">
        <v>318</v>
      </c>
      <c r="H842" s="23" t="s">
        <v>4</v>
      </c>
      <c r="I842" s="23"/>
    </row>
    <row r="843" spans="1:9" x14ac:dyDescent="0.35">
      <c r="A843" s="23">
        <v>995207</v>
      </c>
      <c r="B843" s="24"/>
      <c r="D843" s="13">
        <v>44819</v>
      </c>
      <c r="F843" s="23" t="s">
        <v>764</v>
      </c>
      <c r="G843" s="23" t="s">
        <v>318</v>
      </c>
      <c r="H843" s="23" t="s">
        <v>6</v>
      </c>
      <c r="I843" s="23"/>
    </row>
    <row r="844" spans="1:9" x14ac:dyDescent="0.35">
      <c r="A844" s="23">
        <v>995207</v>
      </c>
      <c r="B844" s="24"/>
      <c r="D844" s="13">
        <v>44819</v>
      </c>
      <c r="F844" s="23" t="s">
        <v>764</v>
      </c>
      <c r="G844" s="23" t="s">
        <v>318</v>
      </c>
      <c r="H844" s="23" t="s">
        <v>4</v>
      </c>
      <c r="I844" s="23"/>
    </row>
    <row r="845" spans="1:9" x14ac:dyDescent="0.35">
      <c r="A845" s="23">
        <v>995207</v>
      </c>
      <c r="B845" s="24"/>
      <c r="D845" s="13">
        <v>44819</v>
      </c>
      <c r="F845" s="23" t="s">
        <v>764</v>
      </c>
      <c r="G845" s="23" t="s">
        <v>318</v>
      </c>
      <c r="H845" s="23" t="s">
        <v>5</v>
      </c>
      <c r="I845" s="23"/>
    </row>
    <row r="846" spans="1:9" x14ac:dyDescent="0.35">
      <c r="A846" s="23">
        <v>995208</v>
      </c>
      <c r="B846" s="24"/>
      <c r="D846" s="13">
        <v>44819</v>
      </c>
      <c r="F846" s="23" t="s">
        <v>764</v>
      </c>
      <c r="G846" s="23" t="s">
        <v>318</v>
      </c>
      <c r="H846" s="23" t="s">
        <v>6</v>
      </c>
      <c r="I846" s="23"/>
    </row>
    <row r="847" spans="1:9" x14ac:dyDescent="0.35">
      <c r="A847" s="23">
        <v>995208</v>
      </c>
      <c r="B847" s="24"/>
      <c r="D847" s="13">
        <v>44819</v>
      </c>
      <c r="F847" s="23" t="s">
        <v>764</v>
      </c>
      <c r="G847" s="23" t="s">
        <v>318</v>
      </c>
      <c r="H847" s="23" t="s">
        <v>4</v>
      </c>
      <c r="I847" s="23"/>
    </row>
    <row r="848" spans="1:9" x14ac:dyDescent="0.35">
      <c r="A848" s="23">
        <v>995208</v>
      </c>
      <c r="B848" s="24"/>
      <c r="D848" s="13">
        <v>44819</v>
      </c>
      <c r="F848" s="23" t="s">
        <v>764</v>
      </c>
      <c r="G848" s="23" t="s">
        <v>318</v>
      </c>
      <c r="H848" s="23" t="s">
        <v>5</v>
      </c>
      <c r="I848" s="23"/>
    </row>
    <row r="849" spans="1:9" x14ac:dyDescent="0.35">
      <c r="A849" s="23">
        <v>995209</v>
      </c>
      <c r="B849" s="24"/>
      <c r="D849" s="13">
        <v>44819</v>
      </c>
      <c r="F849" s="23" t="s">
        <v>764</v>
      </c>
      <c r="G849" s="23" t="s">
        <v>318</v>
      </c>
      <c r="H849" s="23" t="s">
        <v>6</v>
      </c>
      <c r="I849" s="23"/>
    </row>
    <row r="850" spans="1:9" x14ac:dyDescent="0.35">
      <c r="A850" s="23">
        <v>995209</v>
      </c>
      <c r="B850" s="24"/>
      <c r="D850" s="13">
        <v>44819</v>
      </c>
      <c r="F850" s="23" t="s">
        <v>764</v>
      </c>
      <c r="G850" s="23" t="s">
        <v>318</v>
      </c>
      <c r="H850" s="23" t="s">
        <v>4</v>
      </c>
      <c r="I850" s="23"/>
    </row>
    <row r="851" spans="1:9" x14ac:dyDescent="0.35">
      <c r="A851" s="23">
        <v>995209</v>
      </c>
      <c r="B851" s="24"/>
      <c r="D851" s="13">
        <v>44819</v>
      </c>
      <c r="F851" s="23" t="s">
        <v>764</v>
      </c>
      <c r="G851" s="23" t="s">
        <v>318</v>
      </c>
      <c r="H851" s="23" t="s">
        <v>5</v>
      </c>
      <c r="I851" s="23"/>
    </row>
    <row r="852" spans="1:9" x14ac:dyDescent="0.35">
      <c r="A852" s="23">
        <v>995210</v>
      </c>
      <c r="B852" s="24"/>
      <c r="D852" s="13">
        <v>44819</v>
      </c>
      <c r="F852" s="23" t="s">
        <v>764</v>
      </c>
      <c r="G852" s="23" t="s">
        <v>318</v>
      </c>
      <c r="H852" s="23" t="s">
        <v>6</v>
      </c>
      <c r="I852" s="23"/>
    </row>
    <row r="853" spans="1:9" x14ac:dyDescent="0.35">
      <c r="A853" s="23">
        <v>995210</v>
      </c>
      <c r="B853" s="24"/>
      <c r="D853" s="13">
        <v>44819</v>
      </c>
      <c r="F853" s="23" t="s">
        <v>764</v>
      </c>
      <c r="G853" s="23" t="s">
        <v>318</v>
      </c>
      <c r="H853" s="23" t="s">
        <v>4</v>
      </c>
      <c r="I853" s="23"/>
    </row>
    <row r="854" spans="1:9" x14ac:dyDescent="0.35">
      <c r="A854" s="23">
        <v>995210</v>
      </c>
      <c r="B854" s="24"/>
      <c r="D854" s="13">
        <v>44819</v>
      </c>
      <c r="F854" s="23" t="s">
        <v>764</v>
      </c>
      <c r="G854" s="23" t="s">
        <v>318</v>
      </c>
      <c r="H854" s="23" t="s">
        <v>5</v>
      </c>
      <c r="I854" s="23"/>
    </row>
    <row r="855" spans="1:9" x14ac:dyDescent="0.35">
      <c r="A855" s="23">
        <v>995211</v>
      </c>
      <c r="B855" s="24"/>
      <c r="D855" s="13">
        <v>44819</v>
      </c>
      <c r="F855" s="23" t="s">
        <v>764</v>
      </c>
      <c r="G855" s="23" t="s">
        <v>318</v>
      </c>
      <c r="H855" s="23" t="s">
        <v>6</v>
      </c>
      <c r="I855" s="23"/>
    </row>
    <row r="856" spans="1:9" x14ac:dyDescent="0.35">
      <c r="A856" s="23">
        <v>995211</v>
      </c>
      <c r="B856" s="24"/>
      <c r="D856" s="13">
        <v>44819</v>
      </c>
      <c r="F856" s="23" t="s">
        <v>764</v>
      </c>
      <c r="G856" s="23" t="s">
        <v>318</v>
      </c>
      <c r="H856" s="23" t="s">
        <v>4</v>
      </c>
      <c r="I856" s="23"/>
    </row>
    <row r="857" spans="1:9" x14ac:dyDescent="0.35">
      <c r="A857" s="23">
        <v>995211</v>
      </c>
      <c r="B857" s="24"/>
      <c r="D857" s="13">
        <v>44819</v>
      </c>
      <c r="F857" s="23" t="s">
        <v>764</v>
      </c>
      <c r="G857" s="23" t="s">
        <v>318</v>
      </c>
      <c r="H857" s="23" t="s">
        <v>5</v>
      </c>
      <c r="I857" s="23"/>
    </row>
    <row r="858" spans="1:9" x14ac:dyDescent="0.35">
      <c r="A858" s="23">
        <v>995212</v>
      </c>
      <c r="B858" s="24"/>
      <c r="D858" s="13">
        <v>44819</v>
      </c>
      <c r="F858" s="23" t="s">
        <v>764</v>
      </c>
      <c r="G858" s="23" t="s">
        <v>318</v>
      </c>
      <c r="H858" s="23" t="s">
        <v>6</v>
      </c>
      <c r="I858" s="23"/>
    </row>
    <row r="859" spans="1:9" x14ac:dyDescent="0.35">
      <c r="A859" s="23">
        <v>995212</v>
      </c>
      <c r="B859" s="24"/>
      <c r="D859" s="13">
        <v>44819</v>
      </c>
      <c r="F859" s="23" t="s">
        <v>764</v>
      </c>
      <c r="G859" s="23" t="s">
        <v>318</v>
      </c>
      <c r="H859" s="23" t="s">
        <v>4</v>
      </c>
      <c r="I859" s="23"/>
    </row>
    <row r="860" spans="1:9" x14ac:dyDescent="0.35">
      <c r="A860" s="23">
        <v>995212</v>
      </c>
      <c r="B860" s="24"/>
      <c r="D860" s="13">
        <v>44819</v>
      </c>
      <c r="F860" s="23" t="s">
        <v>764</v>
      </c>
      <c r="G860" s="23" t="s">
        <v>318</v>
      </c>
      <c r="H860" s="23" t="s">
        <v>5</v>
      </c>
      <c r="I860" s="23"/>
    </row>
  </sheetData>
  <autoFilter ref="A2:K860" xr:uid="{CB285F1E-BCDD-41E5-9F3C-EFD63A135916}">
    <filterColumn colId="3">
      <filters>
        <filter val="9/15/2022"/>
      </filters>
    </filterColumn>
  </autoFilter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2858-765C-44D0-B06C-3E075609DEEF}">
  <sheetPr codeName="Sheet16"/>
  <dimension ref="A1:AG859"/>
  <sheetViews>
    <sheetView tabSelected="1" zoomScale="80" zoomScaleNormal="80" workbookViewId="0">
      <selection activeCell="B25" sqref="B25"/>
    </sheetView>
  </sheetViews>
  <sheetFormatPr defaultColWidth="9" defaultRowHeight="14.5" x14ac:dyDescent="0.35"/>
  <cols>
    <col min="1" max="1" width="18" bestFit="1" customWidth="1"/>
    <col min="2" max="2" width="48.81640625" bestFit="1" customWidth="1"/>
    <col min="3" max="3" width="14.1796875" bestFit="1" customWidth="1"/>
    <col min="4" max="4" width="15.81640625" style="13" bestFit="1" customWidth="1"/>
    <col min="5" max="5" width="17.1796875" bestFit="1" customWidth="1"/>
    <col min="6" max="6" width="14.6328125" bestFit="1" customWidth="1"/>
    <col min="7" max="7" width="17" customWidth="1"/>
    <col min="8" max="8" width="13.81640625" bestFit="1" customWidth="1"/>
    <col min="9" max="9" width="14.6328125" bestFit="1" customWidth="1"/>
    <col min="10" max="10" width="22" hidden="1" customWidth="1"/>
    <col min="11" max="11" width="13" bestFit="1" customWidth="1"/>
    <col min="13" max="13" width="12.1796875" customWidth="1"/>
    <col min="14" max="16384" width="9" style="6"/>
  </cols>
  <sheetData>
    <row r="1" spans="1:33" s="7" customFormat="1" x14ac:dyDescent="0.35">
      <c r="A1" s="1" t="s">
        <v>0</v>
      </c>
      <c r="B1" s="1" t="s">
        <v>1</v>
      </c>
      <c r="C1" s="3" t="s">
        <v>202</v>
      </c>
      <c r="D1" s="3" t="s">
        <v>2</v>
      </c>
      <c r="E1" s="5" t="s">
        <v>3</v>
      </c>
      <c r="F1" s="5" t="s">
        <v>327</v>
      </c>
      <c r="G1" s="5" t="s">
        <v>311</v>
      </c>
      <c r="H1" s="5" t="s">
        <v>312</v>
      </c>
      <c r="I1" s="5" t="s">
        <v>313</v>
      </c>
      <c r="J1" s="5" t="s">
        <v>326</v>
      </c>
      <c r="K1" s="4" t="s">
        <v>7</v>
      </c>
      <c r="L1" s="4" t="s">
        <v>324</v>
      </c>
      <c r="M1" s="4" t="s">
        <v>325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>
        <v>980000</v>
      </c>
      <c r="B2" s="22" t="str">
        <f>IFERROR(VLOOKUP(A2,VLOOKUPS!$A:$B,2,FALSE), "")</f>
        <v>Bananas* 1lb-LOOSE</v>
      </c>
      <c r="D2" s="13">
        <v>44819</v>
      </c>
      <c r="F2" t="s">
        <v>764</v>
      </c>
      <c r="G2" t="s">
        <v>318</v>
      </c>
      <c r="H2" t="s">
        <v>4</v>
      </c>
      <c r="I2" s="25" t="s">
        <v>319</v>
      </c>
      <c r="M2" t="s">
        <v>790</v>
      </c>
    </row>
    <row r="3" spans="1:33" x14ac:dyDescent="0.35">
      <c r="A3">
        <v>980000</v>
      </c>
      <c r="B3" s="22" t="str">
        <f>IFERROR(VLOOKUP(A3,VLOOKUPS!$A:$B,2,FALSE), "")</f>
        <v>Bananas* 1lb-LOOSE</v>
      </c>
      <c r="D3" s="13">
        <v>44819</v>
      </c>
      <c r="F3" t="s">
        <v>764</v>
      </c>
      <c r="G3" t="s">
        <v>318</v>
      </c>
      <c r="H3" t="s">
        <v>5</v>
      </c>
      <c r="I3" s="25" t="s">
        <v>319</v>
      </c>
      <c r="M3" t="s">
        <v>790</v>
      </c>
    </row>
    <row r="4" spans="1:33" x14ac:dyDescent="0.35">
      <c r="A4">
        <v>980091</v>
      </c>
      <c r="B4" s="22" t="str">
        <f>IFERROR(VLOOKUP(A4,VLOOKUPS!$A:$B,2,FALSE), "")</f>
        <v>Plantains 1ct-LOOSE</v>
      </c>
      <c r="D4" s="13">
        <v>44819</v>
      </c>
      <c r="F4" t="s">
        <v>764</v>
      </c>
      <c r="G4" t="s">
        <v>318</v>
      </c>
      <c r="H4" t="s">
        <v>6</v>
      </c>
      <c r="I4" s="25" t="s">
        <v>319</v>
      </c>
      <c r="M4" t="s">
        <v>790</v>
      </c>
    </row>
    <row r="5" spans="1:33" x14ac:dyDescent="0.35">
      <c r="A5">
        <v>980091</v>
      </c>
      <c r="B5" s="22" t="str">
        <f>IFERROR(VLOOKUP(A5,VLOOKUPS!$A:$B,2,FALSE), "")</f>
        <v>Plantains 1ct-LOOSE</v>
      </c>
      <c r="D5" s="13">
        <v>44819</v>
      </c>
      <c r="F5" t="s">
        <v>764</v>
      </c>
      <c r="G5" t="s">
        <v>318</v>
      </c>
      <c r="H5" t="s">
        <v>4</v>
      </c>
      <c r="I5" s="25" t="s">
        <v>319</v>
      </c>
      <c r="M5" t="s">
        <v>790</v>
      </c>
    </row>
    <row r="6" spans="1:33" x14ac:dyDescent="0.35">
      <c r="A6">
        <v>980091</v>
      </c>
      <c r="B6" s="22" t="str">
        <f>IFERROR(VLOOKUP(A6,VLOOKUPS!$A:$B,2,FALSE), "")</f>
        <v>Plantains 1ct-LOOSE</v>
      </c>
      <c r="D6" s="13">
        <v>44819</v>
      </c>
      <c r="F6" t="s">
        <v>764</v>
      </c>
      <c r="G6" t="s">
        <v>318</v>
      </c>
      <c r="H6" t="s">
        <v>5</v>
      </c>
      <c r="I6" s="25" t="s">
        <v>319</v>
      </c>
      <c r="M6" t="s">
        <v>790</v>
      </c>
    </row>
    <row r="7" spans="1:33" x14ac:dyDescent="0.35">
      <c r="A7">
        <v>980100</v>
      </c>
      <c r="B7" s="22" t="str">
        <f>IFERROR(VLOOKUP(A7,VLOOKUPS!$A:$B,2,FALSE), "")</f>
        <v>Organic* Bananas 1lb-LOOSE</v>
      </c>
      <c r="D7" s="13">
        <v>44819</v>
      </c>
      <c r="F7" t="s">
        <v>764</v>
      </c>
      <c r="G7" t="s">
        <v>318</v>
      </c>
      <c r="H7" t="s">
        <v>6</v>
      </c>
      <c r="I7" s="25" t="s">
        <v>319</v>
      </c>
      <c r="M7" t="s">
        <v>790</v>
      </c>
    </row>
    <row r="8" spans="1:33" x14ac:dyDescent="0.35">
      <c r="A8">
        <v>980100</v>
      </c>
      <c r="B8" s="22" t="str">
        <f>IFERROR(VLOOKUP(A8,VLOOKUPS!$A:$B,2,FALSE), "")</f>
        <v>Organic* Bananas 1lb-LOOSE</v>
      </c>
      <c r="D8" s="13">
        <v>44819</v>
      </c>
      <c r="F8" t="s">
        <v>764</v>
      </c>
      <c r="G8" t="s">
        <v>318</v>
      </c>
      <c r="H8" t="s">
        <v>4</v>
      </c>
      <c r="I8" s="25" t="s">
        <v>319</v>
      </c>
      <c r="M8" t="s">
        <v>790</v>
      </c>
    </row>
    <row r="9" spans="1:33" x14ac:dyDescent="0.35">
      <c r="A9">
        <v>980100</v>
      </c>
      <c r="B9" s="22" t="str">
        <f>IFERROR(VLOOKUP(A9,VLOOKUPS!$A:$B,2,FALSE), "")</f>
        <v>Organic* Bananas 1lb-LOOSE</v>
      </c>
      <c r="D9" s="13">
        <v>44819</v>
      </c>
      <c r="F9" t="s">
        <v>764</v>
      </c>
      <c r="G9" t="s">
        <v>318</v>
      </c>
      <c r="H9" t="s">
        <v>5</v>
      </c>
      <c r="I9" s="25" t="s">
        <v>319</v>
      </c>
      <c r="M9" t="s">
        <v>790</v>
      </c>
    </row>
    <row r="10" spans="1:33" x14ac:dyDescent="0.35">
      <c r="A10">
        <v>980211</v>
      </c>
      <c r="B10" s="22" t="str">
        <f>IFERROR(VLOOKUP(A10,VLOOKUPS!$A:$B,2,FALSE), "")</f>
        <v>Oranges Navel 3lb-standard</v>
      </c>
      <c r="D10" s="13">
        <v>44819</v>
      </c>
      <c r="F10" t="s">
        <v>764</v>
      </c>
      <c r="G10" t="s">
        <v>318</v>
      </c>
      <c r="H10" t="s">
        <v>6</v>
      </c>
      <c r="I10" s="25" t="s">
        <v>319</v>
      </c>
      <c r="M10" t="s">
        <v>790</v>
      </c>
    </row>
    <row r="11" spans="1:33" x14ac:dyDescent="0.35">
      <c r="A11">
        <v>980211</v>
      </c>
      <c r="B11" s="22" t="str">
        <f>IFERROR(VLOOKUP(A11,VLOOKUPS!$A:$B,2,FALSE), "")</f>
        <v>Oranges Navel 3lb-standard</v>
      </c>
      <c r="D11" s="13">
        <v>44819</v>
      </c>
      <c r="F11" t="s">
        <v>764</v>
      </c>
      <c r="G11" t="s">
        <v>318</v>
      </c>
      <c r="H11" t="s">
        <v>4</v>
      </c>
      <c r="I11" s="25" t="s">
        <v>319</v>
      </c>
      <c r="M11" t="s">
        <v>790</v>
      </c>
    </row>
    <row r="12" spans="1:33" x14ac:dyDescent="0.35">
      <c r="A12">
        <v>980211</v>
      </c>
      <c r="B12" s="22" t="str">
        <f>IFERROR(VLOOKUP(A12,VLOOKUPS!$A:$B,2,FALSE), "")</f>
        <v>Oranges Navel 3lb-standard</v>
      </c>
      <c r="D12" s="13">
        <v>44819</v>
      </c>
      <c r="F12" t="s">
        <v>764</v>
      </c>
      <c r="G12" t="s">
        <v>318</v>
      </c>
      <c r="H12" t="s">
        <v>5</v>
      </c>
      <c r="I12" s="25" t="s">
        <v>319</v>
      </c>
      <c r="M12" t="s">
        <v>790</v>
      </c>
    </row>
    <row r="13" spans="1:33" x14ac:dyDescent="0.35">
      <c r="A13">
        <v>980220</v>
      </c>
      <c r="B13" s="22" t="str">
        <f>IFERROR(VLOOKUP(A13,VLOOKUPS!$A:$B,2,FALSE), "")</f>
        <v>Oranges Cara Cara 3lb-standard</v>
      </c>
      <c r="D13" s="13">
        <v>44819</v>
      </c>
      <c r="F13" t="s">
        <v>790</v>
      </c>
      <c r="G13" t="s">
        <v>318</v>
      </c>
      <c r="H13" t="s">
        <v>6</v>
      </c>
      <c r="I13" s="25" t="s">
        <v>319</v>
      </c>
      <c r="M13" t="s">
        <v>790</v>
      </c>
    </row>
    <row r="14" spans="1:33" x14ac:dyDescent="0.35">
      <c r="A14">
        <v>980220</v>
      </c>
      <c r="B14" s="22" t="str">
        <f>IFERROR(VLOOKUP(A14,VLOOKUPS!$A:$B,2,FALSE), "")</f>
        <v>Oranges Cara Cara 3lb-standard</v>
      </c>
      <c r="D14" s="13">
        <v>44819</v>
      </c>
      <c r="F14" t="s">
        <v>764</v>
      </c>
      <c r="G14" t="s">
        <v>318</v>
      </c>
      <c r="H14" t="s">
        <v>4</v>
      </c>
      <c r="I14" s="25" t="s">
        <v>319</v>
      </c>
      <c r="M14" t="s">
        <v>790</v>
      </c>
    </row>
    <row r="15" spans="1:33" x14ac:dyDescent="0.35">
      <c r="A15">
        <v>980220</v>
      </c>
      <c r="B15" s="22" t="str">
        <f>IFERROR(VLOOKUP(A15,VLOOKUPS!$A:$B,2,FALSE), "")</f>
        <v>Oranges Cara Cara 3lb-standard</v>
      </c>
      <c r="D15" s="13">
        <v>44819</v>
      </c>
      <c r="F15" t="s">
        <v>764</v>
      </c>
      <c r="G15" t="s">
        <v>318</v>
      </c>
      <c r="H15" t="s">
        <v>5</v>
      </c>
      <c r="I15" s="25" t="s">
        <v>319</v>
      </c>
      <c r="M15" t="s">
        <v>790</v>
      </c>
    </row>
    <row r="16" spans="1:33" x14ac:dyDescent="0.35">
      <c r="A16">
        <v>980500</v>
      </c>
      <c r="B16" s="22" t="str">
        <f>IFERROR(VLOOKUP(A16,VLOOKUPS!$A:$B,2,FALSE), "")</f>
        <v>Mandarins 3lb-standard</v>
      </c>
      <c r="D16" s="13">
        <v>44819</v>
      </c>
      <c r="F16" t="s">
        <v>764</v>
      </c>
      <c r="G16" t="s">
        <v>318</v>
      </c>
      <c r="H16" t="s">
        <v>6</v>
      </c>
      <c r="I16" s="25" t="s">
        <v>319</v>
      </c>
      <c r="M16" t="s">
        <v>790</v>
      </c>
    </row>
    <row r="17" spans="1:13" x14ac:dyDescent="0.35">
      <c r="A17">
        <v>980500</v>
      </c>
      <c r="B17" s="22" t="str">
        <f>IFERROR(VLOOKUP(A17,VLOOKUPS!$A:$B,2,FALSE), "")</f>
        <v>Mandarins 3lb-standard</v>
      </c>
      <c r="D17" s="13">
        <v>44819</v>
      </c>
      <c r="F17" t="s">
        <v>764</v>
      </c>
      <c r="G17" t="s">
        <v>318</v>
      </c>
      <c r="H17" t="s">
        <v>4</v>
      </c>
      <c r="I17" s="25" t="s">
        <v>319</v>
      </c>
      <c r="M17" t="s">
        <v>790</v>
      </c>
    </row>
    <row r="18" spans="1:13" x14ac:dyDescent="0.35">
      <c r="A18">
        <v>980500</v>
      </c>
      <c r="B18" s="22" t="str">
        <f>IFERROR(VLOOKUP(A18,VLOOKUPS!$A:$B,2,FALSE), "")</f>
        <v>Mandarins 3lb-standard</v>
      </c>
      <c r="D18" s="13">
        <v>44819</v>
      </c>
      <c r="F18" t="s">
        <v>764</v>
      </c>
      <c r="G18" t="s">
        <v>318</v>
      </c>
      <c r="H18" t="s">
        <v>5</v>
      </c>
      <c r="I18" s="25" t="s">
        <v>319</v>
      </c>
      <c r="M18" t="s">
        <v>790</v>
      </c>
    </row>
    <row r="19" spans="1:13" x14ac:dyDescent="0.35">
      <c r="A19">
        <v>980730</v>
      </c>
      <c r="B19" s="22" t="str">
        <f>IFERROR(VLOOKUP(A19,VLOOKUPS!$A:$B,2,FALSE), "")</f>
        <v>Grapefruit 3lb-standard</v>
      </c>
      <c r="D19" s="13">
        <v>44819</v>
      </c>
      <c r="F19" t="s">
        <v>764</v>
      </c>
      <c r="G19" t="s">
        <v>318</v>
      </c>
      <c r="H19" t="s">
        <v>6</v>
      </c>
      <c r="I19" s="25" t="s">
        <v>319</v>
      </c>
      <c r="M19" t="s">
        <v>790</v>
      </c>
    </row>
    <row r="20" spans="1:13" x14ac:dyDescent="0.35">
      <c r="A20">
        <v>980730</v>
      </c>
      <c r="B20" s="22" t="str">
        <f>IFERROR(VLOOKUP(A20,VLOOKUPS!$A:$B,2,FALSE), "")</f>
        <v>Grapefruit 3lb-standard</v>
      </c>
      <c r="D20" s="13">
        <v>44819</v>
      </c>
      <c r="F20" t="s">
        <v>764</v>
      </c>
      <c r="G20" t="s">
        <v>318</v>
      </c>
      <c r="H20" t="s">
        <v>4</v>
      </c>
      <c r="I20" s="25" t="s">
        <v>319</v>
      </c>
      <c r="M20" t="s">
        <v>790</v>
      </c>
    </row>
    <row r="21" spans="1:13" x14ac:dyDescent="0.35">
      <c r="A21">
        <v>980730</v>
      </c>
      <c r="B21" s="22" t="str">
        <f>IFERROR(VLOOKUP(A21,VLOOKUPS!$A:$B,2,FALSE), "")</f>
        <v>Grapefruit 3lb-standard</v>
      </c>
      <c r="D21" s="13">
        <v>44819</v>
      </c>
      <c r="F21" t="s">
        <v>764</v>
      </c>
      <c r="G21" t="s">
        <v>318</v>
      </c>
      <c r="H21" t="s">
        <v>5</v>
      </c>
      <c r="I21" s="25" t="s">
        <v>319</v>
      </c>
      <c r="M21" t="s">
        <v>790</v>
      </c>
    </row>
    <row r="22" spans="1:13" x14ac:dyDescent="0.35">
      <c r="A22">
        <v>980821</v>
      </c>
      <c r="B22" s="22" t="str">
        <f>IFERROR(VLOOKUP(A22,VLOOKUPS!$A:$B,2,FALSE), "")</f>
        <v>Lemons* 1ct-LOOSE</v>
      </c>
      <c r="D22" s="13">
        <v>44819</v>
      </c>
      <c r="F22" t="s">
        <v>764</v>
      </c>
      <c r="G22" t="s">
        <v>318</v>
      </c>
      <c r="H22" t="s">
        <v>6</v>
      </c>
      <c r="I22" s="25" t="s">
        <v>319</v>
      </c>
      <c r="M22" t="s">
        <v>790</v>
      </c>
    </row>
    <row r="23" spans="1:13" x14ac:dyDescent="0.35">
      <c r="A23">
        <v>980821</v>
      </c>
      <c r="B23" s="22" t="str">
        <f>IFERROR(VLOOKUP(A23,VLOOKUPS!$A:$B,2,FALSE), "")</f>
        <v>Lemons* 1ct-LOOSE</v>
      </c>
      <c r="D23" s="13">
        <v>44819</v>
      </c>
      <c r="F23" t="s">
        <v>764</v>
      </c>
      <c r="G23" t="s">
        <v>318</v>
      </c>
      <c r="H23" t="s">
        <v>4</v>
      </c>
      <c r="I23" s="25" t="s">
        <v>319</v>
      </c>
      <c r="M23" t="s">
        <v>790</v>
      </c>
    </row>
    <row r="24" spans="1:13" x14ac:dyDescent="0.35">
      <c r="A24">
        <v>980821</v>
      </c>
      <c r="B24" s="22" t="str">
        <f>IFERROR(VLOOKUP(A24,VLOOKUPS!$A:$B,2,FALSE), "")</f>
        <v>Lemons* 1ct-LOOSE</v>
      </c>
      <c r="D24" s="13">
        <v>44819</v>
      </c>
      <c r="F24" t="s">
        <v>764</v>
      </c>
      <c r="G24" t="s">
        <v>318</v>
      </c>
      <c r="H24" t="s">
        <v>5</v>
      </c>
      <c r="I24" s="25" t="s">
        <v>319</v>
      </c>
      <c r="M24" t="s">
        <v>790</v>
      </c>
    </row>
    <row r="25" spans="1:13" x14ac:dyDescent="0.35">
      <c r="A25">
        <v>980831</v>
      </c>
      <c r="B25" s="22" t="str">
        <f>IFERROR(VLOOKUP(A25,VLOOKUPS!$A:$B,2,FALSE), "")</f>
        <v>Lemons 2lb-standard</v>
      </c>
      <c r="D25" s="13">
        <v>44819</v>
      </c>
      <c r="F25" t="s">
        <v>790</v>
      </c>
      <c r="G25" t="s">
        <v>318</v>
      </c>
      <c r="H25" t="s">
        <v>6</v>
      </c>
      <c r="I25" s="25" t="s">
        <v>319</v>
      </c>
      <c r="M25" t="s">
        <v>790</v>
      </c>
    </row>
    <row r="26" spans="1:13" x14ac:dyDescent="0.35">
      <c r="A26">
        <v>980831</v>
      </c>
      <c r="B26" s="22" t="str">
        <f>IFERROR(VLOOKUP(A26,VLOOKUPS!$A:$B,2,FALSE), "")</f>
        <v>Lemons 2lb-standard</v>
      </c>
      <c r="D26" s="13">
        <v>44819</v>
      </c>
      <c r="F26" t="s">
        <v>764</v>
      </c>
      <c r="G26" t="s">
        <v>318</v>
      </c>
      <c r="H26" t="s">
        <v>4</v>
      </c>
      <c r="I26" s="25" t="s">
        <v>319</v>
      </c>
      <c r="M26" t="s">
        <v>790</v>
      </c>
    </row>
    <row r="27" spans="1:13" x14ac:dyDescent="0.35">
      <c r="A27">
        <v>980831</v>
      </c>
      <c r="B27" s="22" t="str">
        <f>IFERROR(VLOOKUP(A27,VLOOKUPS!$A:$B,2,FALSE), "")</f>
        <v>Lemons 2lb-standard</v>
      </c>
      <c r="D27" s="13">
        <v>44819</v>
      </c>
      <c r="F27" t="s">
        <v>764</v>
      </c>
      <c r="G27" t="s">
        <v>318</v>
      </c>
      <c r="H27" t="s">
        <v>5</v>
      </c>
      <c r="I27" s="25" t="s">
        <v>319</v>
      </c>
      <c r="M27" t="s">
        <v>790</v>
      </c>
    </row>
    <row r="28" spans="1:13" x14ac:dyDescent="0.35">
      <c r="A28">
        <v>980833</v>
      </c>
      <c r="B28" s="22" t="str">
        <f>IFERROR(VLOOKUP(A28,VLOOKUPS!$A:$B,2,FALSE), "")</f>
        <v>Lemon &amp; Lime Mix 2lb-standard</v>
      </c>
      <c r="D28" s="13">
        <v>44819</v>
      </c>
      <c r="F28" t="s">
        <v>764</v>
      </c>
      <c r="G28" t="s">
        <v>318</v>
      </c>
      <c r="H28" t="s">
        <v>6</v>
      </c>
      <c r="I28" s="25" t="s">
        <v>319</v>
      </c>
      <c r="M28" t="s">
        <v>790</v>
      </c>
    </row>
    <row r="29" spans="1:13" x14ac:dyDescent="0.35">
      <c r="A29">
        <v>980833</v>
      </c>
      <c r="B29" s="22" t="str">
        <f>IFERROR(VLOOKUP(A29,VLOOKUPS!$A:$B,2,FALSE), "")</f>
        <v>Lemon &amp; Lime Mix 2lb-standard</v>
      </c>
      <c r="D29" s="13">
        <v>44819</v>
      </c>
      <c r="F29" t="s">
        <v>764</v>
      </c>
      <c r="G29" t="s">
        <v>318</v>
      </c>
      <c r="H29" t="s">
        <v>4</v>
      </c>
      <c r="I29" s="25" t="s">
        <v>319</v>
      </c>
      <c r="M29" t="s">
        <v>790</v>
      </c>
    </row>
    <row r="30" spans="1:13" x14ac:dyDescent="0.35">
      <c r="A30">
        <v>980833</v>
      </c>
      <c r="B30" s="22" t="str">
        <f>IFERROR(VLOOKUP(A30,VLOOKUPS!$A:$B,2,FALSE), "")</f>
        <v>Lemon &amp; Lime Mix 2lb-standard</v>
      </c>
      <c r="D30" s="13">
        <v>44819</v>
      </c>
      <c r="F30" t="s">
        <v>764</v>
      </c>
      <c r="G30" t="s">
        <v>318</v>
      </c>
      <c r="H30" t="s">
        <v>5</v>
      </c>
      <c r="I30" s="25" t="s">
        <v>319</v>
      </c>
      <c r="M30" t="s">
        <v>790</v>
      </c>
    </row>
    <row r="31" spans="1:13" x14ac:dyDescent="0.35">
      <c r="A31">
        <v>980921</v>
      </c>
      <c r="B31" s="22" t="str">
        <f>IFERROR(VLOOKUP(A31,VLOOKUPS!$A:$B,2,FALSE), "")</f>
        <v>Limes* 1ct-LOOSE</v>
      </c>
      <c r="D31" s="13">
        <v>44819</v>
      </c>
      <c r="F31" t="s">
        <v>764</v>
      </c>
      <c r="G31" t="s">
        <v>318</v>
      </c>
      <c r="H31" t="s">
        <v>6</v>
      </c>
      <c r="I31" s="25" t="s">
        <v>319</v>
      </c>
      <c r="M31" t="s">
        <v>790</v>
      </c>
    </row>
    <row r="32" spans="1:13" x14ac:dyDescent="0.35">
      <c r="A32">
        <v>980921</v>
      </c>
      <c r="B32" s="22" t="str">
        <f>IFERROR(VLOOKUP(A32,VLOOKUPS!$A:$B,2,FALSE), "")</f>
        <v>Limes* 1ct-LOOSE</v>
      </c>
      <c r="D32" s="13">
        <v>44819</v>
      </c>
      <c r="F32" t="s">
        <v>764</v>
      </c>
      <c r="G32" t="s">
        <v>318</v>
      </c>
      <c r="H32" t="s">
        <v>4</v>
      </c>
      <c r="I32" s="25" t="s">
        <v>319</v>
      </c>
      <c r="M32" t="s">
        <v>790</v>
      </c>
    </row>
    <row r="33" spans="1:13" x14ac:dyDescent="0.35">
      <c r="A33">
        <v>980921</v>
      </c>
      <c r="B33" s="22" t="str">
        <f>IFERROR(VLOOKUP(A33,VLOOKUPS!$A:$B,2,FALSE), "")</f>
        <v>Limes* 1ct-LOOSE</v>
      </c>
      <c r="D33" s="13">
        <v>44819</v>
      </c>
      <c r="F33" t="s">
        <v>764</v>
      </c>
      <c r="G33" t="s">
        <v>318</v>
      </c>
      <c r="H33" t="s">
        <v>5</v>
      </c>
      <c r="I33" s="25" t="s">
        <v>319</v>
      </c>
      <c r="M33" t="s">
        <v>790</v>
      </c>
    </row>
    <row r="34" spans="1:13" x14ac:dyDescent="0.35">
      <c r="A34">
        <v>980990</v>
      </c>
      <c r="B34" s="22" t="str">
        <f>IFERROR(VLOOKUP(A34,VLOOKUPS!$A:$B,2,FALSE), "")</f>
        <v>Organic Limes 1lb-standard</v>
      </c>
      <c r="D34" s="13">
        <v>44819</v>
      </c>
      <c r="F34" t="s">
        <v>764</v>
      </c>
      <c r="G34" t="s">
        <v>318</v>
      </c>
      <c r="H34" t="s">
        <v>6</v>
      </c>
      <c r="I34" s="25" t="s">
        <v>319</v>
      </c>
      <c r="M34" t="s">
        <v>790</v>
      </c>
    </row>
    <row r="35" spans="1:13" x14ac:dyDescent="0.35">
      <c r="A35">
        <v>980990</v>
      </c>
      <c r="B35" s="22" t="str">
        <f>IFERROR(VLOOKUP(A35,VLOOKUPS!$A:$B,2,FALSE), "")</f>
        <v>Organic Limes 1lb-standard</v>
      </c>
      <c r="D35" s="13">
        <v>44819</v>
      </c>
      <c r="F35" t="s">
        <v>764</v>
      </c>
      <c r="G35" t="s">
        <v>318</v>
      </c>
      <c r="H35" t="s">
        <v>4</v>
      </c>
      <c r="I35" s="25" t="s">
        <v>319</v>
      </c>
      <c r="M35" t="s">
        <v>790</v>
      </c>
    </row>
    <row r="36" spans="1:13" x14ac:dyDescent="0.35">
      <c r="A36">
        <v>980990</v>
      </c>
      <c r="B36" s="22" t="str">
        <f>IFERROR(VLOOKUP(A36,VLOOKUPS!$A:$B,2,FALSE), "")</f>
        <v>Organic Limes 1lb-standard</v>
      </c>
      <c r="D36" s="13">
        <v>44819</v>
      </c>
      <c r="F36" t="s">
        <v>764</v>
      </c>
      <c r="G36" t="s">
        <v>318</v>
      </c>
      <c r="H36" t="s">
        <v>5</v>
      </c>
      <c r="I36" s="25" t="s">
        <v>319</v>
      </c>
      <c r="M36" t="s">
        <v>790</v>
      </c>
    </row>
    <row r="37" spans="1:13" x14ac:dyDescent="0.35">
      <c r="A37">
        <v>981101</v>
      </c>
      <c r="B37" s="22" t="str">
        <f>IFERROR(VLOOKUP(A37,VLOOKUPS!$A:$B,2,FALSE), "")</f>
        <v/>
      </c>
      <c r="D37" s="13">
        <v>44819</v>
      </c>
      <c r="F37" t="s">
        <v>764</v>
      </c>
      <c r="G37" t="s">
        <v>318</v>
      </c>
      <c r="H37" t="s">
        <v>6</v>
      </c>
      <c r="I37" s="25" t="s">
        <v>319</v>
      </c>
      <c r="M37" t="s">
        <v>790</v>
      </c>
    </row>
    <row r="38" spans="1:13" x14ac:dyDescent="0.35">
      <c r="A38">
        <v>981130</v>
      </c>
      <c r="B38" s="22" t="str">
        <f>IFERROR(VLOOKUP(A38,VLOOKUPS!$A:$B,2,FALSE), "")</f>
        <v>Apples* Honeycrisp 1lb-LOOSE</v>
      </c>
      <c r="D38" s="13">
        <v>44819</v>
      </c>
      <c r="F38" t="s">
        <v>764</v>
      </c>
      <c r="G38" t="s">
        <v>318</v>
      </c>
      <c r="H38" t="s">
        <v>6</v>
      </c>
      <c r="I38" s="25" t="s">
        <v>319</v>
      </c>
      <c r="M38" t="s">
        <v>790</v>
      </c>
    </row>
    <row r="39" spans="1:13" x14ac:dyDescent="0.35">
      <c r="A39">
        <v>981130</v>
      </c>
      <c r="B39" s="22" t="str">
        <f>IFERROR(VLOOKUP(A39,VLOOKUPS!$A:$B,2,FALSE), "")</f>
        <v>Apples* Honeycrisp 1lb-LOOSE</v>
      </c>
      <c r="D39" s="13">
        <v>44819</v>
      </c>
      <c r="F39" t="s">
        <v>764</v>
      </c>
      <c r="G39" t="s">
        <v>318</v>
      </c>
      <c r="H39" t="s">
        <v>4</v>
      </c>
      <c r="I39" s="25" t="s">
        <v>319</v>
      </c>
      <c r="M39" t="s">
        <v>790</v>
      </c>
    </row>
    <row r="40" spans="1:13" x14ac:dyDescent="0.35">
      <c r="A40">
        <v>981130</v>
      </c>
      <c r="B40" s="22" t="str">
        <f>IFERROR(VLOOKUP(A40,VLOOKUPS!$A:$B,2,FALSE), "")</f>
        <v>Apples* Honeycrisp 1lb-LOOSE</v>
      </c>
      <c r="D40" s="13">
        <v>44819</v>
      </c>
      <c r="F40" t="s">
        <v>764</v>
      </c>
      <c r="G40" t="s">
        <v>318</v>
      </c>
      <c r="H40" t="s">
        <v>5</v>
      </c>
      <c r="I40" s="25" t="s">
        <v>319</v>
      </c>
      <c r="M40" t="s">
        <v>790</v>
      </c>
    </row>
    <row r="41" spans="1:13" x14ac:dyDescent="0.35">
      <c r="A41">
        <v>981131</v>
      </c>
      <c r="B41" s="22" t="str">
        <f>IFERROR(VLOOKUP(A41,VLOOKUPS!$A:$B,2,FALSE), "")</f>
        <v>Apples Honeycrisp Tote* 1lb-LOOSE</v>
      </c>
      <c r="D41" s="13">
        <v>44819</v>
      </c>
      <c r="F41" t="s">
        <v>764</v>
      </c>
      <c r="G41" t="s">
        <v>318</v>
      </c>
      <c r="H41" t="s">
        <v>6</v>
      </c>
      <c r="I41" s="25" t="s">
        <v>319</v>
      </c>
      <c r="M41" t="s">
        <v>790</v>
      </c>
    </row>
    <row r="42" spans="1:13" x14ac:dyDescent="0.35">
      <c r="A42">
        <v>981131</v>
      </c>
      <c r="B42" s="22" t="str">
        <f>IFERROR(VLOOKUP(A42,VLOOKUPS!$A:$B,2,FALSE), "")</f>
        <v>Apples Honeycrisp Tote* 1lb-LOOSE</v>
      </c>
      <c r="D42" s="13">
        <v>44819</v>
      </c>
      <c r="F42" t="s">
        <v>764</v>
      </c>
      <c r="G42" t="s">
        <v>318</v>
      </c>
      <c r="H42" t="s">
        <v>4</v>
      </c>
      <c r="I42" s="25" t="s">
        <v>319</v>
      </c>
      <c r="M42" t="s">
        <v>790</v>
      </c>
    </row>
    <row r="43" spans="1:13" x14ac:dyDescent="0.35">
      <c r="A43">
        <v>981131</v>
      </c>
      <c r="B43" s="22" t="str">
        <f>IFERROR(VLOOKUP(A43,VLOOKUPS!$A:$B,2,FALSE), "")</f>
        <v>Apples Honeycrisp Tote* 1lb-LOOSE</v>
      </c>
      <c r="D43" s="13">
        <v>44819</v>
      </c>
      <c r="F43" t="s">
        <v>764</v>
      </c>
      <c r="G43" t="s">
        <v>318</v>
      </c>
      <c r="H43" t="s">
        <v>5</v>
      </c>
      <c r="I43" s="25" t="s">
        <v>319</v>
      </c>
      <c r="M43" t="s">
        <v>790</v>
      </c>
    </row>
    <row r="44" spans="1:13" x14ac:dyDescent="0.35">
      <c r="A44">
        <v>981168</v>
      </c>
      <c r="B44" s="22" t="str">
        <f>IFERROR(VLOOKUP(A44,VLOOKUPS!$A:$B,2,FALSE), "")</f>
        <v>Apples Cosmic Crisp 2lb-standard</v>
      </c>
      <c r="D44" s="13">
        <v>44819</v>
      </c>
      <c r="F44" t="s">
        <v>764</v>
      </c>
      <c r="G44" t="s">
        <v>318</v>
      </c>
      <c r="H44" t="s">
        <v>6</v>
      </c>
      <c r="I44" s="25" t="s">
        <v>319</v>
      </c>
      <c r="M44" t="s">
        <v>790</v>
      </c>
    </row>
    <row r="45" spans="1:13" x14ac:dyDescent="0.35">
      <c r="A45">
        <v>981168</v>
      </c>
      <c r="B45" s="22" t="str">
        <f>IFERROR(VLOOKUP(A45,VLOOKUPS!$A:$B,2,FALSE), "")</f>
        <v>Apples Cosmic Crisp 2lb-standard</v>
      </c>
      <c r="D45" s="13">
        <v>44819</v>
      </c>
      <c r="F45" t="s">
        <v>764</v>
      </c>
      <c r="G45" t="s">
        <v>318</v>
      </c>
      <c r="H45" t="s">
        <v>4</v>
      </c>
      <c r="I45" s="25" t="s">
        <v>319</v>
      </c>
      <c r="M45" t="s">
        <v>790</v>
      </c>
    </row>
    <row r="46" spans="1:13" x14ac:dyDescent="0.35">
      <c r="A46">
        <v>981168</v>
      </c>
      <c r="B46" s="22" t="str">
        <f>IFERROR(VLOOKUP(A46,VLOOKUPS!$A:$B,2,FALSE), "")</f>
        <v>Apples Cosmic Crisp 2lb-standard</v>
      </c>
      <c r="D46" s="13">
        <v>44819</v>
      </c>
      <c r="F46" t="s">
        <v>764</v>
      </c>
      <c r="G46" t="s">
        <v>318</v>
      </c>
      <c r="H46" t="s">
        <v>5</v>
      </c>
      <c r="I46" s="25" t="s">
        <v>319</v>
      </c>
      <c r="M46" t="s">
        <v>790</v>
      </c>
    </row>
    <row r="47" spans="1:13" x14ac:dyDescent="0.35">
      <c r="A47">
        <v>981187</v>
      </c>
      <c r="B47" s="22" t="str">
        <f>IFERROR(VLOOKUP(A47,VLOOKUPS!$A:$B,2,FALSE), "")</f>
        <v>Apples Ginger Gold 5lb-standard</v>
      </c>
      <c r="D47" s="13">
        <v>44819</v>
      </c>
      <c r="F47" t="s">
        <v>764</v>
      </c>
      <c r="G47" t="s">
        <v>318</v>
      </c>
      <c r="H47" t="s">
        <v>6</v>
      </c>
      <c r="I47" s="25" t="s">
        <v>319</v>
      </c>
      <c r="M47" t="s">
        <v>790</v>
      </c>
    </row>
    <row r="48" spans="1:13" x14ac:dyDescent="0.35">
      <c r="A48">
        <v>981187</v>
      </c>
      <c r="B48" s="22" t="str">
        <f>IFERROR(VLOOKUP(A48,VLOOKUPS!$A:$B,2,FALSE), "")</f>
        <v>Apples Ginger Gold 5lb-standard</v>
      </c>
      <c r="D48" s="13">
        <v>44819</v>
      </c>
      <c r="F48" t="s">
        <v>764</v>
      </c>
      <c r="G48" t="s">
        <v>318</v>
      </c>
      <c r="H48" t="s">
        <v>4</v>
      </c>
      <c r="I48" s="25" t="s">
        <v>319</v>
      </c>
      <c r="M48" t="s">
        <v>790</v>
      </c>
    </row>
    <row r="49" spans="1:14" x14ac:dyDescent="0.35">
      <c r="A49">
        <v>981187</v>
      </c>
      <c r="B49" s="22" t="str">
        <f>IFERROR(VLOOKUP(A49,VLOOKUPS!$A:$B,2,FALSE), "")</f>
        <v>Apples Ginger Gold 5lb-standard</v>
      </c>
      <c r="D49" s="13">
        <v>44819</v>
      </c>
      <c r="F49" t="s">
        <v>764</v>
      </c>
      <c r="G49" t="s">
        <v>318</v>
      </c>
      <c r="H49" t="s">
        <v>5</v>
      </c>
      <c r="I49" s="25" t="s">
        <v>319</v>
      </c>
      <c r="M49" t="s">
        <v>790</v>
      </c>
    </row>
    <row r="50" spans="1:14" x14ac:dyDescent="0.35">
      <c r="A50">
        <v>981200</v>
      </c>
      <c r="B50" s="22" t="str">
        <f>IFERROR(VLOOKUP(A50,VLOOKUPS!$A:$B,2,FALSE), "")</f>
        <v>Apples* Ginger Gold 1lb-LOOSE</v>
      </c>
      <c r="D50" s="13">
        <v>44819</v>
      </c>
      <c r="F50" t="s">
        <v>764</v>
      </c>
      <c r="G50" t="s">
        <v>318</v>
      </c>
      <c r="H50" t="s">
        <v>6</v>
      </c>
      <c r="I50" s="25" t="s">
        <v>319</v>
      </c>
      <c r="M50" t="s">
        <v>790</v>
      </c>
    </row>
    <row r="51" spans="1:14" x14ac:dyDescent="0.35">
      <c r="A51">
        <v>981200</v>
      </c>
      <c r="B51" s="22" t="str">
        <f>IFERROR(VLOOKUP(A51,VLOOKUPS!$A:$B,2,FALSE), "")</f>
        <v>Apples* Ginger Gold 1lb-LOOSE</v>
      </c>
      <c r="D51" s="13">
        <v>44819</v>
      </c>
      <c r="F51" t="s">
        <v>764</v>
      </c>
      <c r="G51" t="s">
        <v>318</v>
      </c>
      <c r="H51" t="s">
        <v>4</v>
      </c>
      <c r="I51" s="25" t="s">
        <v>319</v>
      </c>
      <c r="M51" t="s">
        <v>790</v>
      </c>
    </row>
    <row r="52" spans="1:14" x14ac:dyDescent="0.35">
      <c r="A52">
        <v>981200</v>
      </c>
      <c r="B52" s="22" t="str">
        <f>IFERROR(VLOOKUP(A52,VLOOKUPS!$A:$B,2,FALSE), "")</f>
        <v>Apples* Ginger Gold 1lb-LOOSE</v>
      </c>
      <c r="D52" s="13">
        <v>44819</v>
      </c>
      <c r="F52" t="s">
        <v>764</v>
      </c>
      <c r="G52" t="s">
        <v>318</v>
      </c>
      <c r="H52" t="s">
        <v>5</v>
      </c>
      <c r="I52" s="25" t="s">
        <v>319</v>
      </c>
      <c r="M52" t="s">
        <v>790</v>
      </c>
    </row>
    <row r="53" spans="1:14" x14ac:dyDescent="0.35">
      <c r="A53">
        <v>981201</v>
      </c>
      <c r="B53" s="22" t="str">
        <f>IFERROR(VLOOKUP(A53,VLOOKUPS!$A:$B,2,FALSE), "")</f>
        <v>Apples* McIntosh 1lb-LOOSE</v>
      </c>
      <c r="D53" s="13">
        <v>44819</v>
      </c>
      <c r="F53" t="s">
        <v>764</v>
      </c>
      <c r="G53" t="s">
        <v>318</v>
      </c>
      <c r="H53" t="s">
        <v>6</v>
      </c>
      <c r="I53" s="25" t="s">
        <v>319</v>
      </c>
      <c r="N53" s="6" t="b">
        <f>ISNA(MATCH(A53, [1]US!$A:$A, 0))</f>
        <v>1</v>
      </c>
    </row>
    <row r="54" spans="1:14" x14ac:dyDescent="0.35">
      <c r="A54">
        <v>981201</v>
      </c>
      <c r="B54" s="22" t="str">
        <f>IFERROR(VLOOKUP(A54,VLOOKUPS!$A:$B,2,FALSE), "")</f>
        <v>Apples* McIntosh 1lb-LOOSE</v>
      </c>
      <c r="D54" s="13">
        <v>44819</v>
      </c>
      <c r="F54" t="s">
        <v>764</v>
      </c>
      <c r="G54" t="s">
        <v>318</v>
      </c>
      <c r="H54" t="s">
        <v>4</v>
      </c>
      <c r="I54" s="25" t="s">
        <v>319</v>
      </c>
      <c r="N54" s="6" t="b">
        <f>ISNA(MATCH(A54, [1]US!$A:$A, 0))</f>
        <v>1</v>
      </c>
    </row>
    <row r="55" spans="1:14" x14ac:dyDescent="0.35">
      <c r="A55">
        <v>981201</v>
      </c>
      <c r="B55" s="22" t="str">
        <f>IFERROR(VLOOKUP(A55,VLOOKUPS!$A:$B,2,FALSE), "")</f>
        <v>Apples* McIntosh 1lb-LOOSE</v>
      </c>
      <c r="D55" s="13">
        <v>44819</v>
      </c>
      <c r="F55" t="s">
        <v>764</v>
      </c>
      <c r="G55" t="s">
        <v>318</v>
      </c>
      <c r="H55" t="s">
        <v>5</v>
      </c>
      <c r="I55" s="25" t="s">
        <v>319</v>
      </c>
      <c r="N55" s="6" t="b">
        <f>ISNA(MATCH(A55, [1]US!$A:$A, 0))</f>
        <v>1</v>
      </c>
    </row>
    <row r="56" spans="1:14" x14ac:dyDescent="0.35">
      <c r="A56">
        <v>981202</v>
      </c>
      <c r="B56" s="22" t="str">
        <f>IFERROR(VLOOKUP(A56,VLOOKUPS!$A:$B,2,FALSE), "")</f>
        <v>Apples* Seasonal 1lb-LOOSE</v>
      </c>
      <c r="D56" s="13">
        <v>44819</v>
      </c>
      <c r="F56" t="s">
        <v>764</v>
      </c>
      <c r="G56" t="s">
        <v>318</v>
      </c>
      <c r="H56" t="s">
        <v>6</v>
      </c>
      <c r="I56" s="25" t="s">
        <v>319</v>
      </c>
      <c r="M56" t="s">
        <v>790</v>
      </c>
    </row>
    <row r="57" spans="1:14" x14ac:dyDescent="0.35">
      <c r="A57">
        <v>981202</v>
      </c>
      <c r="B57" s="22" t="str">
        <f>IFERROR(VLOOKUP(A57,VLOOKUPS!$A:$B,2,FALSE), "")</f>
        <v>Apples* Seasonal 1lb-LOOSE</v>
      </c>
      <c r="D57" s="13">
        <v>44819</v>
      </c>
      <c r="F57" t="s">
        <v>764</v>
      </c>
      <c r="G57" t="s">
        <v>318</v>
      </c>
      <c r="H57" t="s">
        <v>4</v>
      </c>
      <c r="I57" s="25" t="s">
        <v>319</v>
      </c>
      <c r="M57" t="s">
        <v>790</v>
      </c>
    </row>
    <row r="58" spans="1:14" x14ac:dyDescent="0.35">
      <c r="A58">
        <v>981202</v>
      </c>
      <c r="B58" s="22" t="str">
        <f>IFERROR(VLOOKUP(A58,VLOOKUPS!$A:$B,2,FALSE), "")</f>
        <v>Apples* Seasonal 1lb-LOOSE</v>
      </c>
      <c r="D58" s="13">
        <v>44819</v>
      </c>
      <c r="F58" t="s">
        <v>764</v>
      </c>
      <c r="G58" t="s">
        <v>318</v>
      </c>
      <c r="H58" t="s">
        <v>5</v>
      </c>
      <c r="I58" s="25" t="s">
        <v>319</v>
      </c>
      <c r="M58" t="s">
        <v>790</v>
      </c>
    </row>
    <row r="59" spans="1:14" x14ac:dyDescent="0.35">
      <c r="A59">
        <v>981203</v>
      </c>
      <c r="B59" s="22" t="str">
        <f>IFERROR(VLOOKUP(A59,VLOOKUPS!$A:$B,2,FALSE), "")</f>
        <v>Apples* Tote 1lb-LOOSE</v>
      </c>
      <c r="D59" s="13">
        <v>44819</v>
      </c>
      <c r="F59" t="s">
        <v>764</v>
      </c>
      <c r="G59" t="s">
        <v>318</v>
      </c>
      <c r="H59" t="s">
        <v>6</v>
      </c>
      <c r="I59" s="25" t="s">
        <v>319</v>
      </c>
      <c r="M59" t="s">
        <v>790</v>
      </c>
    </row>
    <row r="60" spans="1:14" x14ac:dyDescent="0.35">
      <c r="A60">
        <v>981203</v>
      </c>
      <c r="B60" s="22" t="str">
        <f>IFERROR(VLOOKUP(A60,VLOOKUPS!$A:$B,2,FALSE), "")</f>
        <v>Apples* Tote 1lb-LOOSE</v>
      </c>
      <c r="D60" s="13">
        <v>44819</v>
      </c>
      <c r="F60" t="s">
        <v>790</v>
      </c>
      <c r="G60" t="s">
        <v>318</v>
      </c>
      <c r="H60" t="s">
        <v>4</v>
      </c>
      <c r="I60" s="25" t="s">
        <v>319</v>
      </c>
      <c r="M60" t="s">
        <v>790</v>
      </c>
    </row>
    <row r="61" spans="1:14" x14ac:dyDescent="0.35">
      <c r="A61">
        <v>981203</v>
      </c>
      <c r="B61" s="22" t="str">
        <f>IFERROR(VLOOKUP(A61,VLOOKUPS!$A:$B,2,FALSE), "")</f>
        <v>Apples* Tote 1lb-LOOSE</v>
      </c>
      <c r="D61" s="13">
        <v>44819</v>
      </c>
      <c r="F61" t="s">
        <v>764</v>
      </c>
      <c r="G61" t="s">
        <v>318</v>
      </c>
      <c r="H61" t="s">
        <v>5</v>
      </c>
      <c r="I61" s="25" t="s">
        <v>319</v>
      </c>
      <c r="M61" t="s">
        <v>790</v>
      </c>
    </row>
    <row r="62" spans="1:14" x14ac:dyDescent="0.35">
      <c r="A62">
        <v>981207</v>
      </c>
      <c r="B62" s="22" t="str">
        <f>IFERROR(VLOOKUP(A62,VLOOKUPS!$A:$B,2,FALSE), "")</f>
        <v>Apples Specialty 2lb-standard</v>
      </c>
      <c r="D62" s="13">
        <v>44819</v>
      </c>
      <c r="F62" t="s">
        <v>764</v>
      </c>
      <c r="G62" t="s">
        <v>318</v>
      </c>
      <c r="H62" t="s">
        <v>6</v>
      </c>
      <c r="I62" s="25" t="s">
        <v>319</v>
      </c>
      <c r="M62" t="s">
        <v>790</v>
      </c>
    </row>
    <row r="63" spans="1:14" x14ac:dyDescent="0.35">
      <c r="A63">
        <v>981207</v>
      </c>
      <c r="B63" s="22" t="str">
        <f>IFERROR(VLOOKUP(A63,VLOOKUPS!$A:$B,2,FALSE), "")</f>
        <v>Apples Specialty 2lb-standard</v>
      </c>
      <c r="D63" s="13">
        <v>44819</v>
      </c>
      <c r="F63" t="s">
        <v>764</v>
      </c>
      <c r="G63" t="s">
        <v>318</v>
      </c>
      <c r="H63" t="s">
        <v>4</v>
      </c>
      <c r="I63" s="25" t="s">
        <v>319</v>
      </c>
      <c r="M63" t="s">
        <v>790</v>
      </c>
    </row>
    <row r="64" spans="1:14" x14ac:dyDescent="0.35">
      <c r="A64">
        <v>981207</v>
      </c>
      <c r="B64" s="22" t="str">
        <f>IFERROR(VLOOKUP(A64,VLOOKUPS!$A:$B,2,FALSE), "")</f>
        <v>Apples Specialty 2lb-standard</v>
      </c>
      <c r="D64" s="13">
        <v>44819</v>
      </c>
      <c r="F64" t="s">
        <v>764</v>
      </c>
      <c r="G64" t="s">
        <v>318</v>
      </c>
      <c r="H64" t="s">
        <v>5</v>
      </c>
      <c r="I64" s="25" t="s">
        <v>319</v>
      </c>
      <c r="M64" t="s">
        <v>790</v>
      </c>
    </row>
    <row r="65" spans="1:13" x14ac:dyDescent="0.35">
      <c r="A65">
        <v>981220</v>
      </c>
      <c r="B65" s="22" t="str">
        <f>IFERROR(VLOOKUP(A65,VLOOKUPS!$A:$B,2,FALSE), "")</f>
        <v>Apples Gala 3lb-standard</v>
      </c>
      <c r="D65" s="13">
        <v>44819</v>
      </c>
      <c r="F65" t="s">
        <v>764</v>
      </c>
      <c r="G65" t="s">
        <v>318</v>
      </c>
      <c r="H65" t="s">
        <v>6</v>
      </c>
      <c r="I65" s="25" t="s">
        <v>319</v>
      </c>
      <c r="M65" t="s">
        <v>790</v>
      </c>
    </row>
    <row r="66" spans="1:13" x14ac:dyDescent="0.35">
      <c r="A66">
        <v>981220</v>
      </c>
      <c r="B66" s="22" t="str">
        <f>IFERROR(VLOOKUP(A66,VLOOKUPS!$A:$B,2,FALSE), "")</f>
        <v>Apples Gala 3lb-standard</v>
      </c>
      <c r="D66" s="13">
        <v>44819</v>
      </c>
      <c r="F66" t="s">
        <v>764</v>
      </c>
      <c r="G66" t="s">
        <v>318</v>
      </c>
      <c r="H66" t="s">
        <v>4</v>
      </c>
      <c r="I66" s="25" t="s">
        <v>319</v>
      </c>
      <c r="M66" t="s">
        <v>790</v>
      </c>
    </row>
    <row r="67" spans="1:13" x14ac:dyDescent="0.35">
      <c r="A67">
        <v>981220</v>
      </c>
      <c r="B67" s="22" t="str">
        <f>IFERROR(VLOOKUP(A67,VLOOKUPS!$A:$B,2,FALSE), "")</f>
        <v>Apples Gala 3lb-standard</v>
      </c>
      <c r="D67" s="13">
        <v>44819</v>
      </c>
      <c r="F67" t="s">
        <v>764</v>
      </c>
      <c r="G67" t="s">
        <v>318</v>
      </c>
      <c r="H67" t="s">
        <v>5</v>
      </c>
      <c r="I67" s="25" t="s">
        <v>319</v>
      </c>
      <c r="M67" t="s">
        <v>790</v>
      </c>
    </row>
    <row r="68" spans="1:13" x14ac:dyDescent="0.35">
      <c r="A68">
        <v>981240</v>
      </c>
      <c r="B68" s="22" t="str">
        <f>IFERROR(VLOOKUP(A68,VLOOKUPS!$A:$B,2,FALSE), "")</f>
        <v>Apples Fuji 3lb-standard</v>
      </c>
      <c r="D68" s="13">
        <v>44819</v>
      </c>
      <c r="F68" t="s">
        <v>764</v>
      </c>
      <c r="G68" t="s">
        <v>318</v>
      </c>
      <c r="H68" t="s">
        <v>6</v>
      </c>
      <c r="I68" s="25" t="s">
        <v>319</v>
      </c>
      <c r="M68" t="s">
        <v>790</v>
      </c>
    </row>
    <row r="69" spans="1:13" x14ac:dyDescent="0.35">
      <c r="A69">
        <v>981240</v>
      </c>
      <c r="B69" s="22" t="str">
        <f>IFERROR(VLOOKUP(A69,VLOOKUPS!$A:$B,2,FALSE), "")</f>
        <v>Apples Fuji 3lb-standard</v>
      </c>
      <c r="D69" s="13">
        <v>44819</v>
      </c>
      <c r="F69" t="s">
        <v>764</v>
      </c>
      <c r="G69" t="s">
        <v>318</v>
      </c>
      <c r="H69" t="s">
        <v>4</v>
      </c>
      <c r="I69" s="25" t="s">
        <v>319</v>
      </c>
      <c r="M69" t="s">
        <v>790</v>
      </c>
    </row>
    <row r="70" spans="1:13" x14ac:dyDescent="0.35">
      <c r="A70">
        <v>981240</v>
      </c>
      <c r="B70" s="22" t="str">
        <f>IFERROR(VLOOKUP(A70,VLOOKUPS!$A:$B,2,FALSE), "")</f>
        <v>Apples Fuji 3lb-standard</v>
      </c>
      <c r="D70" s="13">
        <v>44819</v>
      </c>
      <c r="F70" t="s">
        <v>764</v>
      </c>
      <c r="G70" t="s">
        <v>318</v>
      </c>
      <c r="H70" t="s">
        <v>5</v>
      </c>
      <c r="I70" s="25" t="s">
        <v>319</v>
      </c>
      <c r="M70" t="s">
        <v>790</v>
      </c>
    </row>
    <row r="71" spans="1:13" x14ac:dyDescent="0.35">
      <c r="A71">
        <v>981260</v>
      </c>
      <c r="B71" s="22" t="str">
        <f>IFERROR(VLOOKUP(A71,VLOOKUPS!$A:$B,2,FALSE), "")</f>
        <v>Apples Pink Lady 3lb-standard</v>
      </c>
      <c r="D71" s="13">
        <v>44819</v>
      </c>
      <c r="F71" t="s">
        <v>764</v>
      </c>
      <c r="G71" t="s">
        <v>318</v>
      </c>
      <c r="H71" t="s">
        <v>6</v>
      </c>
      <c r="I71" s="25" t="s">
        <v>319</v>
      </c>
      <c r="M71" t="s">
        <v>790</v>
      </c>
    </row>
    <row r="72" spans="1:13" x14ac:dyDescent="0.35">
      <c r="A72">
        <v>981260</v>
      </c>
      <c r="B72" s="22" t="str">
        <f>IFERROR(VLOOKUP(A72,VLOOKUPS!$A:$B,2,FALSE), "")</f>
        <v>Apples Pink Lady 3lb-standard</v>
      </c>
      <c r="D72" s="13">
        <v>44819</v>
      </c>
      <c r="F72" t="s">
        <v>764</v>
      </c>
      <c r="G72" t="s">
        <v>318</v>
      </c>
      <c r="H72" t="s">
        <v>4</v>
      </c>
      <c r="I72" s="25" t="s">
        <v>319</v>
      </c>
      <c r="M72" t="s">
        <v>790</v>
      </c>
    </row>
    <row r="73" spans="1:13" x14ac:dyDescent="0.35">
      <c r="A73">
        <v>981260</v>
      </c>
      <c r="B73" s="22" t="str">
        <f>IFERROR(VLOOKUP(A73,VLOOKUPS!$A:$B,2,FALSE), "")</f>
        <v>Apples Pink Lady 3lb-standard</v>
      </c>
      <c r="D73" s="13">
        <v>44819</v>
      </c>
      <c r="F73" t="s">
        <v>764</v>
      </c>
      <c r="G73" t="s">
        <v>318</v>
      </c>
      <c r="H73" t="s">
        <v>5</v>
      </c>
      <c r="I73" s="25" t="s">
        <v>319</v>
      </c>
      <c r="M73" t="s">
        <v>790</v>
      </c>
    </row>
    <row r="74" spans="1:13" x14ac:dyDescent="0.35">
      <c r="A74">
        <v>981280</v>
      </c>
      <c r="B74" s="22" t="str">
        <f>IFERROR(VLOOKUP(A74,VLOOKUPS!$A:$B,2,FALSE), "")</f>
        <v>Apples Honeycrisp 2lb-standard</v>
      </c>
      <c r="D74" s="13">
        <v>44819</v>
      </c>
      <c r="F74" t="s">
        <v>764</v>
      </c>
      <c r="G74" t="s">
        <v>318</v>
      </c>
      <c r="H74" t="s">
        <v>6</v>
      </c>
      <c r="I74" s="25" t="s">
        <v>319</v>
      </c>
      <c r="M74" t="s">
        <v>790</v>
      </c>
    </row>
    <row r="75" spans="1:13" x14ac:dyDescent="0.35">
      <c r="A75">
        <v>981280</v>
      </c>
      <c r="B75" s="22" t="str">
        <f>IFERROR(VLOOKUP(A75,VLOOKUPS!$A:$B,2,FALSE), "")</f>
        <v>Apples Honeycrisp 2lb-standard</v>
      </c>
      <c r="D75" s="13">
        <v>44819</v>
      </c>
      <c r="F75" t="s">
        <v>764</v>
      </c>
      <c r="G75" t="s">
        <v>318</v>
      </c>
      <c r="H75" t="s">
        <v>4</v>
      </c>
      <c r="I75" s="25" t="s">
        <v>319</v>
      </c>
      <c r="M75" t="s">
        <v>790</v>
      </c>
    </row>
    <row r="76" spans="1:13" x14ac:dyDescent="0.35">
      <c r="A76">
        <v>981280</v>
      </c>
      <c r="B76" s="22" t="str">
        <f>IFERROR(VLOOKUP(A76,VLOOKUPS!$A:$B,2,FALSE), "")</f>
        <v>Apples Honeycrisp 2lb-standard</v>
      </c>
      <c r="D76" s="13">
        <v>44819</v>
      </c>
      <c r="F76" t="s">
        <v>764</v>
      </c>
      <c r="G76" t="s">
        <v>318</v>
      </c>
      <c r="H76" t="s">
        <v>5</v>
      </c>
      <c r="I76" s="25" t="s">
        <v>319</v>
      </c>
      <c r="M76" t="s">
        <v>790</v>
      </c>
    </row>
    <row r="77" spans="1:13" x14ac:dyDescent="0.35">
      <c r="A77">
        <v>981300</v>
      </c>
      <c r="B77" s="22" t="str">
        <f>IFERROR(VLOOKUP(A77,VLOOKUPS!$A:$B,2,FALSE), "")</f>
        <v>Apples Red Delicious 3lb-standard</v>
      </c>
      <c r="D77" s="13">
        <v>44819</v>
      </c>
      <c r="F77" t="s">
        <v>764</v>
      </c>
      <c r="G77" t="s">
        <v>318</v>
      </c>
      <c r="H77" t="s">
        <v>6</v>
      </c>
      <c r="I77" s="25" t="s">
        <v>319</v>
      </c>
      <c r="M77" t="s">
        <v>790</v>
      </c>
    </row>
    <row r="78" spans="1:13" x14ac:dyDescent="0.35">
      <c r="A78">
        <v>981300</v>
      </c>
      <c r="B78" s="22" t="str">
        <f>IFERROR(VLOOKUP(A78,VLOOKUPS!$A:$B,2,FALSE), "")</f>
        <v>Apples Red Delicious 3lb-standard</v>
      </c>
      <c r="D78" s="13">
        <v>44819</v>
      </c>
      <c r="F78" t="s">
        <v>764</v>
      </c>
      <c r="G78" t="s">
        <v>318</v>
      </c>
      <c r="H78" t="s">
        <v>4</v>
      </c>
      <c r="I78" s="25" t="s">
        <v>319</v>
      </c>
      <c r="M78" t="s">
        <v>790</v>
      </c>
    </row>
    <row r="79" spans="1:13" x14ac:dyDescent="0.35">
      <c r="A79">
        <v>981300</v>
      </c>
      <c r="B79" s="22" t="str">
        <f>IFERROR(VLOOKUP(A79,VLOOKUPS!$A:$B,2,FALSE), "")</f>
        <v>Apples Red Delicious 3lb-standard</v>
      </c>
      <c r="D79" s="13">
        <v>44819</v>
      </c>
      <c r="F79" t="s">
        <v>764</v>
      </c>
      <c r="G79" t="s">
        <v>318</v>
      </c>
      <c r="H79" t="s">
        <v>5</v>
      </c>
      <c r="I79" s="25" t="s">
        <v>319</v>
      </c>
      <c r="M79" t="s">
        <v>790</v>
      </c>
    </row>
    <row r="80" spans="1:13" x14ac:dyDescent="0.35">
      <c r="A80">
        <v>981340</v>
      </c>
      <c r="B80" s="22" t="str">
        <f>IFERROR(VLOOKUP(A80,VLOOKUPS!$A:$B,2,FALSE), "")</f>
        <v>Apples Caramel 3ct-standard</v>
      </c>
      <c r="D80" s="13">
        <v>44819</v>
      </c>
      <c r="F80" t="s">
        <v>764</v>
      </c>
      <c r="G80" t="s">
        <v>318</v>
      </c>
      <c r="H80" t="s">
        <v>6</v>
      </c>
      <c r="I80" s="25" t="s">
        <v>319</v>
      </c>
      <c r="M80" t="s">
        <v>790</v>
      </c>
    </row>
    <row r="81" spans="1:13" x14ac:dyDescent="0.35">
      <c r="A81">
        <v>981340</v>
      </c>
      <c r="B81" s="22" t="str">
        <f>IFERROR(VLOOKUP(A81,VLOOKUPS!$A:$B,2,FALSE), "")</f>
        <v>Apples Caramel 3ct-standard</v>
      </c>
      <c r="D81" s="13">
        <v>44819</v>
      </c>
      <c r="F81" t="s">
        <v>764</v>
      </c>
      <c r="G81" t="s">
        <v>318</v>
      </c>
      <c r="H81" t="s">
        <v>4</v>
      </c>
      <c r="I81" s="25" t="s">
        <v>319</v>
      </c>
      <c r="M81" t="s">
        <v>790</v>
      </c>
    </row>
    <row r="82" spans="1:13" x14ac:dyDescent="0.35">
      <c r="A82">
        <v>981340</v>
      </c>
      <c r="B82" s="22" t="str">
        <f>IFERROR(VLOOKUP(A82,VLOOKUPS!$A:$B,2,FALSE), "")</f>
        <v>Apples Caramel 3ct-standard</v>
      </c>
      <c r="D82" s="13">
        <v>44819</v>
      </c>
      <c r="F82" t="s">
        <v>764</v>
      </c>
      <c r="G82" t="s">
        <v>318</v>
      </c>
      <c r="H82" t="s">
        <v>5</v>
      </c>
      <c r="I82" s="25" t="s">
        <v>319</v>
      </c>
      <c r="M82" t="s">
        <v>790</v>
      </c>
    </row>
    <row r="83" spans="1:13" x14ac:dyDescent="0.35">
      <c r="A83">
        <v>981370</v>
      </c>
      <c r="B83" s="22" t="str">
        <f>IFERROR(VLOOKUP(A83,VLOOKUPS!$A:$B,2,FALSE), "")</f>
        <v>Apples Fun Size 2lb-standard</v>
      </c>
      <c r="D83" s="13">
        <v>44819</v>
      </c>
      <c r="F83" t="s">
        <v>764</v>
      </c>
      <c r="G83" t="s">
        <v>318</v>
      </c>
      <c r="H83" t="s">
        <v>6</v>
      </c>
      <c r="I83" s="25" t="s">
        <v>319</v>
      </c>
      <c r="M83" t="s">
        <v>790</v>
      </c>
    </row>
    <row r="84" spans="1:13" x14ac:dyDescent="0.35">
      <c r="A84">
        <v>981370</v>
      </c>
      <c r="B84" s="22" t="str">
        <f>IFERROR(VLOOKUP(A84,VLOOKUPS!$A:$B,2,FALSE), "")</f>
        <v>Apples Fun Size 2lb-standard</v>
      </c>
      <c r="D84" s="13">
        <v>44819</v>
      </c>
      <c r="F84" t="s">
        <v>764</v>
      </c>
      <c r="G84" t="s">
        <v>318</v>
      </c>
      <c r="H84" t="s">
        <v>4</v>
      </c>
      <c r="I84" s="25" t="s">
        <v>319</v>
      </c>
      <c r="M84" t="s">
        <v>790</v>
      </c>
    </row>
    <row r="85" spans="1:13" x14ac:dyDescent="0.35">
      <c r="A85">
        <v>981370</v>
      </c>
      <c r="B85" s="22" t="str">
        <f>IFERROR(VLOOKUP(A85,VLOOKUPS!$A:$B,2,FALSE), "")</f>
        <v>Apples Fun Size 2lb-standard</v>
      </c>
      <c r="D85" s="13">
        <v>44819</v>
      </c>
      <c r="F85" t="s">
        <v>764</v>
      </c>
      <c r="G85" t="s">
        <v>318</v>
      </c>
      <c r="H85" t="s">
        <v>5</v>
      </c>
      <c r="I85" s="25" t="s">
        <v>319</v>
      </c>
      <c r="M85" t="s">
        <v>790</v>
      </c>
    </row>
    <row r="86" spans="1:13" x14ac:dyDescent="0.35">
      <c r="A86">
        <v>981400</v>
      </c>
      <c r="B86" s="22" t="str">
        <f>IFERROR(VLOOKUP(A86,VLOOKUPS!$A:$B,2,FALSE), "")</f>
        <v>Apples Granny Smith 3lb-standard</v>
      </c>
      <c r="D86" s="13">
        <v>44819</v>
      </c>
      <c r="F86" t="s">
        <v>764</v>
      </c>
      <c r="G86" t="s">
        <v>318</v>
      </c>
      <c r="H86" t="s">
        <v>6</v>
      </c>
      <c r="I86" s="25" t="s">
        <v>319</v>
      </c>
      <c r="M86" t="s">
        <v>790</v>
      </c>
    </row>
    <row r="87" spans="1:13" x14ac:dyDescent="0.35">
      <c r="A87">
        <v>981400</v>
      </c>
      <c r="B87" s="22" t="str">
        <f>IFERROR(VLOOKUP(A87,VLOOKUPS!$A:$B,2,FALSE), "")</f>
        <v>Apples Granny Smith 3lb-standard</v>
      </c>
      <c r="D87" s="13">
        <v>44819</v>
      </c>
      <c r="F87" t="s">
        <v>764</v>
      </c>
      <c r="G87" t="s">
        <v>318</v>
      </c>
      <c r="H87" t="s">
        <v>4</v>
      </c>
      <c r="I87" s="25" t="s">
        <v>319</v>
      </c>
      <c r="M87" t="s">
        <v>790</v>
      </c>
    </row>
    <row r="88" spans="1:13" x14ac:dyDescent="0.35">
      <c r="A88">
        <v>981400</v>
      </c>
      <c r="B88" s="22" t="str">
        <f>IFERROR(VLOOKUP(A88,VLOOKUPS!$A:$B,2,FALSE), "")</f>
        <v>Apples Granny Smith 3lb-standard</v>
      </c>
      <c r="D88" s="13">
        <v>44819</v>
      </c>
      <c r="F88" t="s">
        <v>764</v>
      </c>
      <c r="G88" t="s">
        <v>318</v>
      </c>
      <c r="H88" t="s">
        <v>5</v>
      </c>
      <c r="I88" s="25" t="s">
        <v>319</v>
      </c>
      <c r="M88" t="s">
        <v>790</v>
      </c>
    </row>
    <row r="89" spans="1:13" x14ac:dyDescent="0.35">
      <c r="A89">
        <v>981640</v>
      </c>
      <c r="B89" s="22" t="str">
        <f>IFERROR(VLOOKUP(A89,VLOOKUPS!$A:$B,2,FALSE), "")</f>
        <v>Organic Apples Gala 2lb-standard</v>
      </c>
      <c r="D89" s="13">
        <v>44819</v>
      </c>
      <c r="F89" t="s">
        <v>764</v>
      </c>
      <c r="G89" t="s">
        <v>318</v>
      </c>
      <c r="H89" t="s">
        <v>6</v>
      </c>
      <c r="I89" s="25" t="s">
        <v>319</v>
      </c>
      <c r="M89" t="s">
        <v>790</v>
      </c>
    </row>
    <row r="90" spans="1:13" x14ac:dyDescent="0.35">
      <c r="A90">
        <v>981640</v>
      </c>
      <c r="B90" s="22" t="str">
        <f>IFERROR(VLOOKUP(A90,VLOOKUPS!$A:$B,2,FALSE), "")</f>
        <v>Organic Apples Gala 2lb-standard</v>
      </c>
      <c r="D90" s="13">
        <v>44819</v>
      </c>
      <c r="F90" t="s">
        <v>764</v>
      </c>
      <c r="G90" t="s">
        <v>318</v>
      </c>
      <c r="H90" t="s">
        <v>4</v>
      </c>
      <c r="I90" s="25" t="s">
        <v>319</v>
      </c>
      <c r="M90" t="s">
        <v>790</v>
      </c>
    </row>
    <row r="91" spans="1:13" x14ac:dyDescent="0.35">
      <c r="A91">
        <v>981640</v>
      </c>
      <c r="B91" s="22" t="str">
        <f>IFERROR(VLOOKUP(A91,VLOOKUPS!$A:$B,2,FALSE), "")</f>
        <v>Organic Apples Gala 2lb-standard</v>
      </c>
      <c r="D91" s="13">
        <v>44819</v>
      </c>
      <c r="F91" t="s">
        <v>764</v>
      </c>
      <c r="G91" t="s">
        <v>318</v>
      </c>
      <c r="H91" t="s">
        <v>5</v>
      </c>
      <c r="I91" s="25" t="s">
        <v>319</v>
      </c>
      <c r="M91" t="s">
        <v>790</v>
      </c>
    </row>
    <row r="92" spans="1:13" x14ac:dyDescent="0.35">
      <c r="A92">
        <v>981699</v>
      </c>
      <c r="B92" s="22" t="str">
        <f>IFERROR(VLOOKUP(A92,VLOOKUPS!$A:$B,2,FALSE), "")</f>
        <v>Pears 3lb-standard</v>
      </c>
      <c r="D92" s="13">
        <v>44819</v>
      </c>
      <c r="F92" t="s">
        <v>764</v>
      </c>
      <c r="G92" t="s">
        <v>318</v>
      </c>
      <c r="H92" t="s">
        <v>6</v>
      </c>
      <c r="I92" s="25" t="s">
        <v>319</v>
      </c>
      <c r="M92" t="s">
        <v>790</v>
      </c>
    </row>
    <row r="93" spans="1:13" x14ac:dyDescent="0.35">
      <c r="A93">
        <v>981699</v>
      </c>
      <c r="B93" s="22" t="str">
        <f>IFERROR(VLOOKUP(A93,VLOOKUPS!$A:$B,2,FALSE), "")</f>
        <v>Pears 3lb-standard</v>
      </c>
      <c r="D93" s="13">
        <v>44819</v>
      </c>
      <c r="F93" t="s">
        <v>764</v>
      </c>
      <c r="G93" t="s">
        <v>318</v>
      </c>
      <c r="H93" t="s">
        <v>4</v>
      </c>
      <c r="I93" s="25" t="s">
        <v>319</v>
      </c>
      <c r="M93" t="s">
        <v>790</v>
      </c>
    </row>
    <row r="94" spans="1:13" x14ac:dyDescent="0.35">
      <c r="A94">
        <v>981699</v>
      </c>
      <c r="B94" s="22" t="str">
        <f>IFERROR(VLOOKUP(A94,VLOOKUPS!$A:$B,2,FALSE), "")</f>
        <v>Pears 3lb-standard</v>
      </c>
      <c r="D94" s="13">
        <v>44819</v>
      </c>
      <c r="F94" t="s">
        <v>764</v>
      </c>
      <c r="G94" t="s">
        <v>318</v>
      </c>
      <c r="H94" t="s">
        <v>5</v>
      </c>
      <c r="I94" s="25" t="s">
        <v>319</v>
      </c>
      <c r="M94" t="s">
        <v>790</v>
      </c>
    </row>
    <row r="95" spans="1:13" x14ac:dyDescent="0.35">
      <c r="A95">
        <v>981700</v>
      </c>
      <c r="B95" s="22" t="str">
        <f>IFERROR(VLOOKUP(A95,VLOOKUPS!$A:$B,2,FALSE), "")</f>
        <v>Pears* Bartlett 1lb-LOOSE</v>
      </c>
      <c r="D95" s="13">
        <v>44819</v>
      </c>
      <c r="F95" t="s">
        <v>764</v>
      </c>
      <c r="G95" t="s">
        <v>318</v>
      </c>
      <c r="H95" t="s">
        <v>6</v>
      </c>
      <c r="I95" s="25" t="s">
        <v>319</v>
      </c>
      <c r="M95" t="s">
        <v>790</v>
      </c>
    </row>
    <row r="96" spans="1:13" x14ac:dyDescent="0.35">
      <c r="A96">
        <v>981700</v>
      </c>
      <c r="B96" s="22" t="str">
        <f>IFERROR(VLOOKUP(A96,VLOOKUPS!$A:$B,2,FALSE), "")</f>
        <v>Pears* Bartlett 1lb-LOOSE</v>
      </c>
      <c r="D96" s="13">
        <v>44819</v>
      </c>
      <c r="F96" t="s">
        <v>764</v>
      </c>
      <c r="G96" t="s">
        <v>318</v>
      </c>
      <c r="H96" t="s">
        <v>4</v>
      </c>
      <c r="I96" s="25" t="s">
        <v>319</v>
      </c>
      <c r="M96" t="s">
        <v>790</v>
      </c>
    </row>
    <row r="97" spans="1:14" x14ac:dyDescent="0.35">
      <c r="A97">
        <v>981700</v>
      </c>
      <c r="B97" s="22" t="str">
        <f>IFERROR(VLOOKUP(A97,VLOOKUPS!$A:$B,2,FALSE), "")</f>
        <v>Pears* Bartlett 1lb-LOOSE</v>
      </c>
      <c r="D97" s="13">
        <v>44819</v>
      </c>
      <c r="F97" t="s">
        <v>764</v>
      </c>
      <c r="G97" t="s">
        <v>318</v>
      </c>
      <c r="H97" t="s">
        <v>5</v>
      </c>
      <c r="I97" s="25" t="s">
        <v>319</v>
      </c>
      <c r="M97" t="s">
        <v>790</v>
      </c>
    </row>
    <row r="98" spans="1:14" x14ac:dyDescent="0.35">
      <c r="A98">
        <v>981902</v>
      </c>
      <c r="B98" s="22" t="str">
        <f>IFERROR(VLOOKUP(A98,VLOOKUPS!$A:$B,2,FALSE), "")</f>
        <v>Organic Pears Bartlett 2lb-standard</v>
      </c>
      <c r="D98" s="13">
        <v>44819</v>
      </c>
      <c r="F98" t="s">
        <v>764</v>
      </c>
      <c r="G98" t="s">
        <v>318</v>
      </c>
      <c r="H98" t="s">
        <v>6</v>
      </c>
      <c r="I98" s="25" t="s">
        <v>319</v>
      </c>
      <c r="N98" s="6" t="b">
        <f>ISNA(MATCH(A98, [1]US!$A:$A, 0))</f>
        <v>1</v>
      </c>
    </row>
    <row r="99" spans="1:14" x14ac:dyDescent="0.35">
      <c r="A99">
        <v>981902</v>
      </c>
      <c r="B99" s="22" t="str">
        <f>IFERROR(VLOOKUP(A99,VLOOKUPS!$A:$B,2,FALSE), "")</f>
        <v>Organic Pears Bartlett 2lb-standard</v>
      </c>
      <c r="D99" s="13">
        <v>44819</v>
      </c>
      <c r="F99" t="s">
        <v>764</v>
      </c>
      <c r="G99" t="s">
        <v>318</v>
      </c>
      <c r="H99" t="s">
        <v>4</v>
      </c>
      <c r="I99" s="25" t="s">
        <v>319</v>
      </c>
      <c r="N99" s="6" t="b">
        <f>ISNA(MATCH(A99, [1]US!$A:$A, 0))</f>
        <v>1</v>
      </c>
    </row>
    <row r="100" spans="1:14" x14ac:dyDescent="0.35">
      <c r="A100">
        <v>981902</v>
      </c>
      <c r="B100" s="22" t="str">
        <f>IFERROR(VLOOKUP(A100,VLOOKUPS!$A:$B,2,FALSE), "")</f>
        <v>Organic Pears Bartlett 2lb-standard</v>
      </c>
      <c r="D100" s="13">
        <v>44819</v>
      </c>
      <c r="F100" t="s">
        <v>764</v>
      </c>
      <c r="G100" t="s">
        <v>318</v>
      </c>
      <c r="H100" t="s">
        <v>5</v>
      </c>
      <c r="I100" s="25" t="s">
        <v>319</v>
      </c>
      <c r="N100" s="6" t="b">
        <f>ISNA(MATCH(A100, [1]US!$A:$A, 0))</f>
        <v>1</v>
      </c>
    </row>
    <row r="101" spans="1:14" x14ac:dyDescent="0.35">
      <c r="A101">
        <v>982102</v>
      </c>
      <c r="B101" s="22" t="str">
        <f>IFERROR(VLOOKUP(A101,VLOOKUPS!$A:$B,2,FALSE), "")</f>
        <v>Nectarines 1lb-LOOSE</v>
      </c>
      <c r="D101" s="13">
        <v>44819</v>
      </c>
      <c r="F101" t="s">
        <v>764</v>
      </c>
      <c r="G101" t="s">
        <v>318</v>
      </c>
      <c r="H101" t="s">
        <v>6</v>
      </c>
      <c r="I101" s="25" t="s">
        <v>319</v>
      </c>
      <c r="M101" t="s">
        <v>790</v>
      </c>
    </row>
    <row r="102" spans="1:14" x14ac:dyDescent="0.35">
      <c r="A102">
        <v>982102</v>
      </c>
      <c r="B102" s="22" t="str">
        <f>IFERROR(VLOOKUP(A102,VLOOKUPS!$A:$B,2,FALSE), "")</f>
        <v>Nectarines 1lb-LOOSE</v>
      </c>
      <c r="D102" s="13">
        <v>44819</v>
      </c>
      <c r="F102" t="s">
        <v>764</v>
      </c>
      <c r="G102" t="s">
        <v>318</v>
      </c>
      <c r="H102" t="s">
        <v>4</v>
      </c>
      <c r="I102" s="25" t="s">
        <v>319</v>
      </c>
      <c r="M102" t="s">
        <v>790</v>
      </c>
    </row>
    <row r="103" spans="1:14" x14ac:dyDescent="0.35">
      <c r="A103">
        <v>982102</v>
      </c>
      <c r="B103" s="22" t="str">
        <f>IFERROR(VLOOKUP(A103,VLOOKUPS!$A:$B,2,FALSE), "")</f>
        <v>Nectarines 1lb-LOOSE</v>
      </c>
      <c r="D103" s="13">
        <v>44819</v>
      </c>
      <c r="F103" t="s">
        <v>764</v>
      </c>
      <c r="G103" t="s">
        <v>318</v>
      </c>
      <c r="H103" t="s">
        <v>5</v>
      </c>
      <c r="I103" s="25" t="s">
        <v>319</v>
      </c>
      <c r="M103" t="s">
        <v>790</v>
      </c>
    </row>
    <row r="104" spans="1:14" x14ac:dyDescent="0.35">
      <c r="A104">
        <v>982130</v>
      </c>
      <c r="B104" s="22" t="str">
        <f>IFERROR(VLOOKUP(A104,VLOOKUPS!$A:$B,2,FALSE), "")</f>
        <v>Nectarines 2lb-standard</v>
      </c>
      <c r="D104" s="13">
        <v>44819</v>
      </c>
      <c r="F104" t="s">
        <v>764</v>
      </c>
      <c r="G104" t="s">
        <v>318</v>
      </c>
      <c r="H104" t="s">
        <v>6</v>
      </c>
      <c r="I104" s="25" t="s">
        <v>319</v>
      </c>
      <c r="M104" t="s">
        <v>790</v>
      </c>
    </row>
    <row r="105" spans="1:14" x14ac:dyDescent="0.35">
      <c r="A105">
        <v>982130</v>
      </c>
      <c r="B105" s="22" t="str">
        <f>IFERROR(VLOOKUP(A105,VLOOKUPS!$A:$B,2,FALSE), "")</f>
        <v>Nectarines 2lb-standard</v>
      </c>
      <c r="D105" s="13">
        <v>44819</v>
      </c>
      <c r="F105" t="s">
        <v>764</v>
      </c>
      <c r="G105" t="s">
        <v>318</v>
      </c>
      <c r="H105" t="s">
        <v>4</v>
      </c>
      <c r="I105" s="25" t="s">
        <v>319</v>
      </c>
      <c r="M105" t="s">
        <v>790</v>
      </c>
    </row>
    <row r="106" spans="1:14" x14ac:dyDescent="0.35">
      <c r="A106">
        <v>982130</v>
      </c>
      <c r="B106" s="22" t="str">
        <f>IFERROR(VLOOKUP(A106,VLOOKUPS!$A:$B,2,FALSE), "")</f>
        <v>Nectarines 2lb-standard</v>
      </c>
      <c r="D106" s="13">
        <v>44819</v>
      </c>
      <c r="F106" t="s">
        <v>764</v>
      </c>
      <c r="G106" t="s">
        <v>318</v>
      </c>
      <c r="H106" t="s">
        <v>5</v>
      </c>
      <c r="I106" s="25" t="s">
        <v>319</v>
      </c>
      <c r="M106" t="s">
        <v>790</v>
      </c>
    </row>
    <row r="107" spans="1:14" x14ac:dyDescent="0.35">
      <c r="A107">
        <v>982202</v>
      </c>
      <c r="B107" s="22" t="str">
        <f>IFERROR(VLOOKUP(A107,VLOOKUPS!$A:$B,2,FALSE), "")</f>
        <v>Peaches* 1lb-LOOSE</v>
      </c>
      <c r="D107" s="13">
        <v>44819</v>
      </c>
      <c r="F107" t="s">
        <v>764</v>
      </c>
      <c r="G107" t="s">
        <v>318</v>
      </c>
      <c r="H107" t="s">
        <v>6</v>
      </c>
      <c r="I107" s="25" t="s">
        <v>319</v>
      </c>
      <c r="M107" t="s">
        <v>790</v>
      </c>
    </row>
    <row r="108" spans="1:14" x14ac:dyDescent="0.35">
      <c r="A108">
        <v>982202</v>
      </c>
      <c r="B108" s="22" t="str">
        <f>IFERROR(VLOOKUP(A108,VLOOKUPS!$A:$B,2,FALSE), "")</f>
        <v>Peaches* 1lb-LOOSE</v>
      </c>
      <c r="D108" s="13">
        <v>44819</v>
      </c>
      <c r="F108" t="s">
        <v>764</v>
      </c>
      <c r="G108" t="s">
        <v>318</v>
      </c>
      <c r="H108" t="s">
        <v>4</v>
      </c>
      <c r="I108" s="25" t="s">
        <v>319</v>
      </c>
      <c r="M108" t="s">
        <v>790</v>
      </c>
    </row>
    <row r="109" spans="1:14" x14ac:dyDescent="0.35">
      <c r="A109">
        <v>982202</v>
      </c>
      <c r="B109" s="22" t="str">
        <f>IFERROR(VLOOKUP(A109,VLOOKUPS!$A:$B,2,FALSE), "")</f>
        <v>Peaches* 1lb-LOOSE</v>
      </c>
      <c r="D109" s="13">
        <v>44819</v>
      </c>
      <c r="F109" t="s">
        <v>764</v>
      </c>
      <c r="G109" t="s">
        <v>318</v>
      </c>
      <c r="H109" t="s">
        <v>5</v>
      </c>
      <c r="I109" s="25" t="s">
        <v>319</v>
      </c>
      <c r="M109" t="s">
        <v>790</v>
      </c>
    </row>
    <row r="110" spans="1:14" x14ac:dyDescent="0.35">
      <c r="A110">
        <v>982205</v>
      </c>
      <c r="B110" s="22" t="str">
        <f>IFERROR(VLOOKUP(A110,VLOOKUPS!$A:$B,2,FALSE), "")</f>
        <v/>
      </c>
      <c r="D110" s="13">
        <v>44819</v>
      </c>
      <c r="F110" t="s">
        <v>764</v>
      </c>
      <c r="G110" t="s">
        <v>318</v>
      </c>
      <c r="H110" t="s">
        <v>5</v>
      </c>
      <c r="I110" s="25" t="s">
        <v>319</v>
      </c>
      <c r="N110" s="6" t="b">
        <f>ISNA(MATCH(A110, [1]US!$A:$A, 0))</f>
        <v>1</v>
      </c>
    </row>
    <row r="111" spans="1:14" x14ac:dyDescent="0.35">
      <c r="A111">
        <v>982230</v>
      </c>
      <c r="B111" s="22" t="str">
        <f>IFERROR(VLOOKUP(A111,VLOOKUPS!$A:$B,2,FALSE), "")</f>
        <v>Peaches 2lb-standard</v>
      </c>
      <c r="D111" s="13">
        <v>44819</v>
      </c>
      <c r="F111" t="s">
        <v>764</v>
      </c>
      <c r="G111" t="s">
        <v>318</v>
      </c>
      <c r="H111" t="s">
        <v>6</v>
      </c>
      <c r="I111" s="25" t="s">
        <v>319</v>
      </c>
      <c r="M111" t="s">
        <v>790</v>
      </c>
    </row>
    <row r="112" spans="1:14" x14ac:dyDescent="0.35">
      <c r="A112">
        <v>982230</v>
      </c>
      <c r="B112" s="22" t="str">
        <f>IFERROR(VLOOKUP(A112,VLOOKUPS!$A:$B,2,FALSE), "")</f>
        <v>Peaches 2lb-standard</v>
      </c>
      <c r="D112" s="13">
        <v>44819</v>
      </c>
      <c r="F112" t="s">
        <v>764</v>
      </c>
      <c r="G112" t="s">
        <v>318</v>
      </c>
      <c r="H112" t="s">
        <v>4</v>
      </c>
      <c r="I112" s="25" t="s">
        <v>319</v>
      </c>
      <c r="M112" t="s">
        <v>790</v>
      </c>
    </row>
    <row r="113" spans="1:14" x14ac:dyDescent="0.35">
      <c r="A113">
        <v>982230</v>
      </c>
      <c r="B113" s="22" t="str">
        <f>IFERROR(VLOOKUP(A113,VLOOKUPS!$A:$B,2,FALSE), "")</f>
        <v>Peaches 2lb-standard</v>
      </c>
      <c r="D113" s="13">
        <v>44819</v>
      </c>
      <c r="F113" t="s">
        <v>764</v>
      </c>
      <c r="G113" t="s">
        <v>318</v>
      </c>
      <c r="H113" t="s">
        <v>5</v>
      </c>
      <c r="I113" s="25" t="s">
        <v>319</v>
      </c>
      <c r="M113" t="s">
        <v>790</v>
      </c>
    </row>
    <row r="114" spans="1:14" x14ac:dyDescent="0.35">
      <c r="A114">
        <v>982400</v>
      </c>
      <c r="B114" s="22" t="str">
        <f>IFERROR(VLOOKUP(A114,VLOOKUPS!$A:$B,2,FALSE), "")</f>
        <v>Plums 1lb-LOOSE</v>
      </c>
      <c r="D114" s="13">
        <v>44819</v>
      </c>
      <c r="F114" t="s">
        <v>764</v>
      </c>
      <c r="G114" t="s">
        <v>318</v>
      </c>
      <c r="H114" t="s">
        <v>6</v>
      </c>
      <c r="I114" s="25" t="s">
        <v>319</v>
      </c>
      <c r="M114" t="s">
        <v>790</v>
      </c>
    </row>
    <row r="115" spans="1:14" x14ac:dyDescent="0.35">
      <c r="A115">
        <v>982400</v>
      </c>
      <c r="B115" s="22" t="str">
        <f>IFERROR(VLOOKUP(A115,VLOOKUPS!$A:$B,2,FALSE), "")</f>
        <v>Plums 1lb-LOOSE</v>
      </c>
      <c r="D115" s="13">
        <v>44819</v>
      </c>
      <c r="F115" t="s">
        <v>764</v>
      </c>
      <c r="G115" t="s">
        <v>318</v>
      </c>
      <c r="H115" t="s">
        <v>4</v>
      </c>
      <c r="I115" s="25" t="s">
        <v>319</v>
      </c>
      <c r="M115" t="s">
        <v>790</v>
      </c>
    </row>
    <row r="116" spans="1:14" x14ac:dyDescent="0.35">
      <c r="A116">
        <v>982400</v>
      </c>
      <c r="B116" s="22" t="str">
        <f>IFERROR(VLOOKUP(A116,VLOOKUPS!$A:$B,2,FALSE), "")</f>
        <v>Plums 1lb-LOOSE</v>
      </c>
      <c r="D116" s="13">
        <v>44819</v>
      </c>
      <c r="F116" t="s">
        <v>764</v>
      </c>
      <c r="G116" t="s">
        <v>318</v>
      </c>
      <c r="H116" t="s">
        <v>5</v>
      </c>
      <c r="I116" s="25" t="s">
        <v>319</v>
      </c>
      <c r="M116" t="s">
        <v>790</v>
      </c>
    </row>
    <row r="117" spans="1:14" x14ac:dyDescent="0.35">
      <c r="A117">
        <v>982430</v>
      </c>
      <c r="B117" s="22" t="str">
        <f>IFERROR(VLOOKUP(A117,VLOOKUPS!$A:$B,2,FALSE), "")</f>
        <v>Plums 2lb-standard</v>
      </c>
      <c r="D117" s="13">
        <v>44819</v>
      </c>
      <c r="F117" t="s">
        <v>764</v>
      </c>
      <c r="G117" t="s">
        <v>318</v>
      </c>
      <c r="H117" t="s">
        <v>6</v>
      </c>
      <c r="I117" s="25" t="s">
        <v>319</v>
      </c>
      <c r="M117" t="s">
        <v>790</v>
      </c>
    </row>
    <row r="118" spans="1:14" x14ac:dyDescent="0.35">
      <c r="A118">
        <v>982430</v>
      </c>
      <c r="B118" s="22" t="str">
        <f>IFERROR(VLOOKUP(A118,VLOOKUPS!$A:$B,2,FALSE), "")</f>
        <v>Plums 2lb-standard</v>
      </c>
      <c r="D118" s="13">
        <v>44819</v>
      </c>
      <c r="F118" t="s">
        <v>764</v>
      </c>
      <c r="G118" t="s">
        <v>318</v>
      </c>
      <c r="H118" t="s">
        <v>4</v>
      </c>
      <c r="I118" s="25" t="s">
        <v>319</v>
      </c>
      <c r="M118" t="s">
        <v>790</v>
      </c>
    </row>
    <row r="119" spans="1:14" x14ac:dyDescent="0.35">
      <c r="A119">
        <v>982430</v>
      </c>
      <c r="B119" s="22" t="str">
        <f>IFERROR(VLOOKUP(A119,VLOOKUPS!$A:$B,2,FALSE), "")</f>
        <v>Plums 2lb-standard</v>
      </c>
      <c r="D119" s="13">
        <v>44819</v>
      </c>
      <c r="F119" t="s">
        <v>764</v>
      </c>
      <c r="G119" t="s">
        <v>318</v>
      </c>
      <c r="H119" t="s">
        <v>5</v>
      </c>
      <c r="I119" s="25" t="s">
        <v>319</v>
      </c>
      <c r="M119" t="s">
        <v>790</v>
      </c>
    </row>
    <row r="120" spans="1:14" x14ac:dyDescent="0.35">
      <c r="A120">
        <v>982637</v>
      </c>
      <c r="B120" s="22" t="str">
        <f>IFERROR(VLOOKUP(A120,VLOOKUPS!$A:$B,2,FALSE), "")</f>
        <v>Plumcots 2lb-standard</v>
      </c>
      <c r="D120" s="13">
        <v>44819</v>
      </c>
      <c r="F120" t="s">
        <v>764</v>
      </c>
      <c r="G120" t="s">
        <v>318</v>
      </c>
      <c r="H120" t="s">
        <v>4</v>
      </c>
      <c r="I120" s="25" t="s">
        <v>319</v>
      </c>
      <c r="N120" s="6" t="b">
        <f>ISNA(MATCH(A120, [1]US!$A:$A, 0))</f>
        <v>1</v>
      </c>
    </row>
    <row r="121" spans="1:14" x14ac:dyDescent="0.35">
      <c r="A121">
        <v>982650</v>
      </c>
      <c r="B121" s="22" t="str">
        <f>IFERROR(VLOOKUP(A121,VLOOKUPS!$A:$B,2,FALSE), "")</f>
        <v>Grapes* Green Seedless 1lb-LOOSE</v>
      </c>
      <c r="D121" s="13">
        <v>44819</v>
      </c>
      <c r="F121" t="s">
        <v>764</v>
      </c>
      <c r="G121" t="s">
        <v>318</v>
      </c>
      <c r="H121" t="s">
        <v>6</v>
      </c>
      <c r="I121" s="25" t="s">
        <v>319</v>
      </c>
      <c r="M121" t="s">
        <v>790</v>
      </c>
    </row>
    <row r="122" spans="1:14" x14ac:dyDescent="0.35">
      <c r="A122">
        <v>982650</v>
      </c>
      <c r="B122" s="22" t="str">
        <f>IFERROR(VLOOKUP(A122,VLOOKUPS!$A:$B,2,FALSE), "")</f>
        <v>Grapes* Green Seedless 1lb-LOOSE</v>
      </c>
      <c r="D122" s="13">
        <v>44819</v>
      </c>
      <c r="F122" t="s">
        <v>764</v>
      </c>
      <c r="G122" t="s">
        <v>318</v>
      </c>
      <c r="H122" t="s">
        <v>4</v>
      </c>
      <c r="I122" s="25" t="s">
        <v>319</v>
      </c>
      <c r="M122" t="s">
        <v>790</v>
      </c>
    </row>
    <row r="123" spans="1:14" x14ac:dyDescent="0.35">
      <c r="A123">
        <v>982650</v>
      </c>
      <c r="B123" s="22" t="str">
        <f>IFERROR(VLOOKUP(A123,VLOOKUPS!$A:$B,2,FALSE), "")</f>
        <v>Grapes* Green Seedless 1lb-LOOSE</v>
      </c>
      <c r="D123" s="13">
        <v>44819</v>
      </c>
      <c r="F123" t="s">
        <v>764</v>
      </c>
      <c r="G123" t="s">
        <v>318</v>
      </c>
      <c r="H123" t="s">
        <v>5</v>
      </c>
      <c r="I123" s="25" t="s">
        <v>319</v>
      </c>
      <c r="M123" t="s">
        <v>790</v>
      </c>
    </row>
    <row r="124" spans="1:14" x14ac:dyDescent="0.35">
      <c r="A124">
        <v>982710</v>
      </c>
      <c r="B124" s="22" t="str">
        <f>IFERROR(VLOOKUP(A124,VLOOKUPS!$A:$B,2,FALSE), "")</f>
        <v>Organic* Grapes Green Seedless 2lb-standard</v>
      </c>
      <c r="D124" s="13">
        <v>44819</v>
      </c>
      <c r="F124" t="s">
        <v>790</v>
      </c>
      <c r="G124" t="s">
        <v>318</v>
      </c>
      <c r="H124" t="s">
        <v>6</v>
      </c>
      <c r="I124" s="25" t="s">
        <v>319</v>
      </c>
      <c r="M124" t="s">
        <v>790</v>
      </c>
    </row>
    <row r="125" spans="1:14" x14ac:dyDescent="0.35">
      <c r="A125">
        <v>982710</v>
      </c>
      <c r="B125" s="22" t="str">
        <f>IFERROR(VLOOKUP(A125,VLOOKUPS!$A:$B,2,FALSE), "")</f>
        <v>Organic* Grapes Green Seedless 2lb-standard</v>
      </c>
      <c r="D125" s="13">
        <v>44819</v>
      </c>
      <c r="F125" t="s">
        <v>764</v>
      </c>
      <c r="G125" t="s">
        <v>318</v>
      </c>
      <c r="H125" t="s">
        <v>4</v>
      </c>
      <c r="I125" s="25" t="s">
        <v>319</v>
      </c>
      <c r="M125" t="s">
        <v>790</v>
      </c>
    </row>
    <row r="126" spans="1:14" x14ac:dyDescent="0.35">
      <c r="A126">
        <v>982710</v>
      </c>
      <c r="B126" s="22" t="str">
        <f>IFERROR(VLOOKUP(A126,VLOOKUPS!$A:$B,2,FALSE), "")</f>
        <v>Organic* Grapes Green Seedless 2lb-standard</v>
      </c>
      <c r="D126" s="13">
        <v>44819</v>
      </c>
      <c r="F126" t="s">
        <v>764</v>
      </c>
      <c r="G126" t="s">
        <v>318</v>
      </c>
      <c r="H126" t="s">
        <v>5</v>
      </c>
      <c r="I126" s="25" t="s">
        <v>319</v>
      </c>
      <c r="M126" t="s">
        <v>790</v>
      </c>
    </row>
    <row r="127" spans="1:14" x14ac:dyDescent="0.35">
      <c r="A127">
        <v>982740</v>
      </c>
      <c r="B127" s="22" t="str">
        <f>IFERROR(VLOOKUP(A127,VLOOKUPS!$A:$B,2,FALSE), "")</f>
        <v>Grapes* Red Seedless 1lb-LOOSE</v>
      </c>
      <c r="D127" s="13">
        <v>44819</v>
      </c>
      <c r="F127" t="s">
        <v>764</v>
      </c>
      <c r="G127" t="s">
        <v>318</v>
      </c>
      <c r="H127" t="s">
        <v>6</v>
      </c>
      <c r="I127" s="25" t="s">
        <v>319</v>
      </c>
      <c r="M127" t="s">
        <v>790</v>
      </c>
    </row>
    <row r="128" spans="1:14" x14ac:dyDescent="0.35">
      <c r="A128">
        <v>982740</v>
      </c>
      <c r="B128" s="22" t="str">
        <f>IFERROR(VLOOKUP(A128,VLOOKUPS!$A:$B,2,FALSE), "")</f>
        <v>Grapes* Red Seedless 1lb-LOOSE</v>
      </c>
      <c r="D128" s="13">
        <v>44819</v>
      </c>
      <c r="F128" t="s">
        <v>764</v>
      </c>
      <c r="G128" t="s">
        <v>318</v>
      </c>
      <c r="H128" t="s">
        <v>4</v>
      </c>
      <c r="I128" s="25" t="s">
        <v>319</v>
      </c>
      <c r="M128" t="s">
        <v>790</v>
      </c>
    </row>
    <row r="129" spans="1:14" x14ac:dyDescent="0.35">
      <c r="A129">
        <v>982740</v>
      </c>
      <c r="B129" s="22" t="str">
        <f>IFERROR(VLOOKUP(A129,VLOOKUPS!$A:$B,2,FALSE), "")</f>
        <v>Grapes* Red Seedless 1lb-LOOSE</v>
      </c>
      <c r="D129" s="13">
        <v>44819</v>
      </c>
      <c r="F129" t="s">
        <v>764</v>
      </c>
      <c r="G129" t="s">
        <v>318</v>
      </c>
      <c r="H129" t="s">
        <v>5</v>
      </c>
      <c r="I129" s="25" t="s">
        <v>319</v>
      </c>
      <c r="M129" t="s">
        <v>790</v>
      </c>
    </row>
    <row r="130" spans="1:14" x14ac:dyDescent="0.35">
      <c r="A130">
        <v>982800</v>
      </c>
      <c r="B130" s="22" t="str">
        <f>IFERROR(VLOOKUP(A130,VLOOKUPS!$A:$B,2,FALSE), "")</f>
        <v>Organic* Grapes Red Seedless 2lb-standard</v>
      </c>
      <c r="D130" s="13">
        <v>44819</v>
      </c>
      <c r="F130" t="s">
        <v>764</v>
      </c>
      <c r="G130" t="s">
        <v>318</v>
      </c>
      <c r="H130" t="s">
        <v>6</v>
      </c>
      <c r="I130" s="25" t="s">
        <v>319</v>
      </c>
      <c r="M130" t="s">
        <v>790</v>
      </c>
    </row>
    <row r="131" spans="1:14" x14ac:dyDescent="0.35">
      <c r="A131">
        <v>982800</v>
      </c>
      <c r="B131" s="22" t="str">
        <f>IFERROR(VLOOKUP(A131,VLOOKUPS!$A:$B,2,FALSE), "")</f>
        <v>Organic* Grapes Red Seedless 2lb-standard</v>
      </c>
      <c r="D131" s="13">
        <v>44819</v>
      </c>
      <c r="F131" t="s">
        <v>764</v>
      </c>
      <c r="G131" t="s">
        <v>318</v>
      </c>
      <c r="H131" t="s">
        <v>4</v>
      </c>
      <c r="I131" s="25" t="s">
        <v>319</v>
      </c>
      <c r="M131" t="s">
        <v>790</v>
      </c>
    </row>
    <row r="132" spans="1:14" x14ac:dyDescent="0.35">
      <c r="A132">
        <v>982800</v>
      </c>
      <c r="B132" s="22" t="str">
        <f>IFERROR(VLOOKUP(A132,VLOOKUPS!$A:$B,2,FALSE), "")</f>
        <v>Organic* Grapes Red Seedless 2lb-standard</v>
      </c>
      <c r="D132" s="13">
        <v>44819</v>
      </c>
      <c r="F132" t="s">
        <v>764</v>
      </c>
      <c r="G132" t="s">
        <v>318</v>
      </c>
      <c r="H132" t="s">
        <v>5</v>
      </c>
      <c r="I132" s="25" t="s">
        <v>319</v>
      </c>
      <c r="M132" t="s">
        <v>790</v>
      </c>
    </row>
    <row r="133" spans="1:14" x14ac:dyDescent="0.35">
      <c r="A133">
        <v>982830</v>
      </c>
      <c r="B133" s="22" t="str">
        <f>IFERROR(VLOOKUP(A133,VLOOKUPS!$A:$B,2,FALSE), "")</f>
        <v>Grapes* Black Seedless 1lb-LOOSE</v>
      </c>
      <c r="D133" s="13">
        <v>44819</v>
      </c>
      <c r="F133" t="s">
        <v>764</v>
      </c>
      <c r="G133" t="s">
        <v>318</v>
      </c>
      <c r="H133" t="s">
        <v>6</v>
      </c>
      <c r="I133" s="25" t="s">
        <v>319</v>
      </c>
      <c r="M133" t="s">
        <v>790</v>
      </c>
    </row>
    <row r="134" spans="1:14" x14ac:dyDescent="0.35">
      <c r="A134">
        <v>982830</v>
      </c>
      <c r="B134" s="22" t="str">
        <f>IFERROR(VLOOKUP(A134,VLOOKUPS!$A:$B,2,FALSE), "")</f>
        <v>Grapes* Black Seedless 1lb-LOOSE</v>
      </c>
      <c r="D134" s="13">
        <v>44819</v>
      </c>
      <c r="F134" t="s">
        <v>764</v>
      </c>
      <c r="G134" t="s">
        <v>318</v>
      </c>
      <c r="H134" t="s">
        <v>4</v>
      </c>
      <c r="I134" s="25" t="s">
        <v>319</v>
      </c>
      <c r="M134" t="s">
        <v>790</v>
      </c>
    </row>
    <row r="135" spans="1:14" x14ac:dyDescent="0.35">
      <c r="A135">
        <v>982830</v>
      </c>
      <c r="B135" s="22" t="str">
        <f>IFERROR(VLOOKUP(A135,VLOOKUPS!$A:$B,2,FALSE), "")</f>
        <v>Grapes* Black Seedless 1lb-LOOSE</v>
      </c>
      <c r="D135" s="13">
        <v>44819</v>
      </c>
      <c r="F135" t="s">
        <v>764</v>
      </c>
      <c r="G135" t="s">
        <v>318</v>
      </c>
      <c r="H135" t="s">
        <v>5</v>
      </c>
      <c r="I135" s="25" t="s">
        <v>319</v>
      </c>
      <c r="M135" t="s">
        <v>790</v>
      </c>
    </row>
    <row r="136" spans="1:14" x14ac:dyDescent="0.35">
      <c r="A136">
        <v>982960</v>
      </c>
      <c r="B136" s="22" t="str">
        <f>IFERROR(VLOOKUP(A136,VLOOKUPS!$A:$B,2,FALSE), "")</f>
        <v>Grapes Specialty* 1lb-LOOSE</v>
      </c>
      <c r="D136" s="13">
        <v>44819</v>
      </c>
      <c r="F136" t="s">
        <v>764</v>
      </c>
      <c r="G136" t="s">
        <v>318</v>
      </c>
      <c r="H136" t="s">
        <v>6</v>
      </c>
      <c r="I136" s="25" t="s">
        <v>319</v>
      </c>
      <c r="M136" t="s">
        <v>790</v>
      </c>
    </row>
    <row r="137" spans="1:14" x14ac:dyDescent="0.35">
      <c r="A137">
        <v>982960</v>
      </c>
      <c r="B137" s="22" t="str">
        <f>IFERROR(VLOOKUP(A137,VLOOKUPS!$A:$B,2,FALSE), "")</f>
        <v>Grapes Specialty* 1lb-LOOSE</v>
      </c>
      <c r="D137" s="13">
        <v>44819</v>
      </c>
      <c r="F137" t="s">
        <v>764</v>
      </c>
      <c r="G137" t="s">
        <v>318</v>
      </c>
      <c r="H137" t="s">
        <v>4</v>
      </c>
      <c r="I137" s="25" t="s">
        <v>319</v>
      </c>
      <c r="M137" t="s">
        <v>790</v>
      </c>
    </row>
    <row r="138" spans="1:14" x14ac:dyDescent="0.35">
      <c r="A138">
        <v>982960</v>
      </c>
      <c r="B138" s="22" t="str">
        <f>IFERROR(VLOOKUP(A138,VLOOKUPS!$A:$B,2,FALSE), "")</f>
        <v>Grapes Specialty* 1lb-LOOSE</v>
      </c>
      <c r="D138" s="13">
        <v>44819</v>
      </c>
      <c r="F138" t="s">
        <v>764</v>
      </c>
      <c r="G138" t="s">
        <v>318</v>
      </c>
      <c r="H138" t="s">
        <v>5</v>
      </c>
      <c r="I138" s="25" t="s">
        <v>319</v>
      </c>
      <c r="M138" t="s">
        <v>790</v>
      </c>
    </row>
    <row r="139" spans="1:14" x14ac:dyDescent="0.35">
      <c r="A139">
        <v>983101</v>
      </c>
      <c r="B139" s="22" t="str">
        <f>IFERROR(VLOOKUP(A139,VLOOKUPS!$A:$B,2,FALSE), "")</f>
        <v>Melons Cantaloupes 1ct-LOOSE</v>
      </c>
      <c r="D139" s="13">
        <v>44819</v>
      </c>
      <c r="F139" t="s">
        <v>764</v>
      </c>
      <c r="G139" t="s">
        <v>318</v>
      </c>
      <c r="H139" t="s">
        <v>6</v>
      </c>
      <c r="I139" s="25" t="s">
        <v>319</v>
      </c>
      <c r="M139" t="s">
        <v>790</v>
      </c>
    </row>
    <row r="140" spans="1:14" x14ac:dyDescent="0.35">
      <c r="A140">
        <v>983101</v>
      </c>
      <c r="B140" s="22" t="str">
        <f>IFERROR(VLOOKUP(A140,VLOOKUPS!$A:$B,2,FALSE), "")</f>
        <v>Melons Cantaloupes 1ct-LOOSE</v>
      </c>
      <c r="D140" s="13">
        <v>44819</v>
      </c>
      <c r="F140" t="s">
        <v>764</v>
      </c>
      <c r="G140" t="s">
        <v>318</v>
      </c>
      <c r="H140" t="s">
        <v>4</v>
      </c>
      <c r="I140" s="25" t="s">
        <v>319</v>
      </c>
      <c r="M140" t="s">
        <v>790</v>
      </c>
    </row>
    <row r="141" spans="1:14" x14ac:dyDescent="0.35">
      <c r="A141">
        <v>983101</v>
      </c>
      <c r="B141" s="22" t="str">
        <f>IFERROR(VLOOKUP(A141,VLOOKUPS!$A:$B,2,FALSE), "")</f>
        <v>Melons Cantaloupes 1ct-LOOSE</v>
      </c>
      <c r="D141" s="13">
        <v>44819</v>
      </c>
      <c r="F141" t="s">
        <v>764</v>
      </c>
      <c r="G141" t="s">
        <v>318</v>
      </c>
      <c r="H141" t="s">
        <v>5</v>
      </c>
      <c r="I141" s="25" t="s">
        <v>319</v>
      </c>
      <c r="M141" t="s">
        <v>790</v>
      </c>
    </row>
    <row r="142" spans="1:14" x14ac:dyDescent="0.35">
      <c r="A142">
        <v>983151</v>
      </c>
      <c r="B142" s="22" t="str">
        <f>IFERROR(VLOOKUP(A142,VLOOKUPS!$A:$B,2,FALSE), "")</f>
        <v>Melons* Golden Honeydew 1ct-LOOSE</v>
      </c>
      <c r="D142" s="13">
        <v>44819</v>
      </c>
      <c r="F142" t="s">
        <v>764</v>
      </c>
      <c r="G142" t="s">
        <v>318</v>
      </c>
      <c r="H142" t="s">
        <v>6</v>
      </c>
      <c r="I142" s="25" t="s">
        <v>319</v>
      </c>
      <c r="N142" s="6" t="b">
        <f>ISNA(MATCH(A142, [1]US!$A:$A, 0))</f>
        <v>1</v>
      </c>
    </row>
    <row r="143" spans="1:14" x14ac:dyDescent="0.35">
      <c r="A143">
        <v>983151</v>
      </c>
      <c r="B143" s="22" t="str">
        <f>IFERROR(VLOOKUP(A143,VLOOKUPS!$A:$B,2,FALSE), "")</f>
        <v>Melons* Golden Honeydew 1ct-LOOSE</v>
      </c>
      <c r="D143" s="13">
        <v>44819</v>
      </c>
      <c r="F143" t="s">
        <v>764</v>
      </c>
      <c r="G143" t="s">
        <v>318</v>
      </c>
      <c r="H143" t="s">
        <v>4</v>
      </c>
      <c r="I143" s="25" t="s">
        <v>319</v>
      </c>
      <c r="N143" s="6" t="b">
        <f>ISNA(MATCH(A143, [1]US!$A:$A, 0))</f>
        <v>1</v>
      </c>
    </row>
    <row r="144" spans="1:14" x14ac:dyDescent="0.35">
      <c r="A144">
        <v>983151</v>
      </c>
      <c r="B144" s="22" t="str">
        <f>IFERROR(VLOOKUP(A144,VLOOKUPS!$A:$B,2,FALSE), "")</f>
        <v>Melons* Golden Honeydew 1ct-LOOSE</v>
      </c>
      <c r="D144" s="13">
        <v>44819</v>
      </c>
      <c r="F144" t="s">
        <v>764</v>
      </c>
      <c r="G144" t="s">
        <v>318</v>
      </c>
      <c r="H144" t="s">
        <v>5</v>
      </c>
      <c r="I144" s="25" t="s">
        <v>319</v>
      </c>
      <c r="N144" s="6" t="b">
        <f>ISNA(MATCH(A144, [1]US!$A:$A, 0))</f>
        <v>1</v>
      </c>
    </row>
    <row r="145" spans="1:13" x14ac:dyDescent="0.35">
      <c r="A145">
        <v>983201</v>
      </c>
      <c r="B145" s="22" t="str">
        <f>IFERROR(VLOOKUP(A145,VLOOKUPS!$A:$B,2,FALSE), "")</f>
        <v>Melons* Honeydew 1ct-LOOSE</v>
      </c>
      <c r="D145" s="13">
        <v>44819</v>
      </c>
      <c r="F145" t="s">
        <v>764</v>
      </c>
      <c r="G145" t="s">
        <v>318</v>
      </c>
      <c r="H145" t="s">
        <v>6</v>
      </c>
      <c r="I145" s="25" t="s">
        <v>319</v>
      </c>
      <c r="M145" t="s">
        <v>790</v>
      </c>
    </row>
    <row r="146" spans="1:13" x14ac:dyDescent="0.35">
      <c r="A146">
        <v>983201</v>
      </c>
      <c r="B146" s="22" t="str">
        <f>IFERROR(VLOOKUP(A146,VLOOKUPS!$A:$B,2,FALSE), "")</f>
        <v>Melons* Honeydew 1ct-LOOSE</v>
      </c>
      <c r="D146" s="13">
        <v>44819</v>
      </c>
      <c r="F146" t="s">
        <v>764</v>
      </c>
      <c r="G146" t="s">
        <v>318</v>
      </c>
      <c r="H146" t="s">
        <v>4</v>
      </c>
      <c r="I146" s="25" t="s">
        <v>319</v>
      </c>
      <c r="M146" t="s">
        <v>790</v>
      </c>
    </row>
    <row r="147" spans="1:13" x14ac:dyDescent="0.35">
      <c r="A147">
        <v>983201</v>
      </c>
      <c r="B147" s="22" t="str">
        <f>IFERROR(VLOOKUP(A147,VLOOKUPS!$A:$B,2,FALSE), "")</f>
        <v>Melons* Honeydew 1ct-LOOSE</v>
      </c>
      <c r="D147" s="13">
        <v>44819</v>
      </c>
      <c r="F147" t="s">
        <v>764</v>
      </c>
      <c r="G147" t="s">
        <v>318</v>
      </c>
      <c r="H147" t="s">
        <v>5</v>
      </c>
      <c r="I147" s="25" t="s">
        <v>319</v>
      </c>
      <c r="M147" t="s">
        <v>790</v>
      </c>
    </row>
    <row r="148" spans="1:13" x14ac:dyDescent="0.35">
      <c r="A148">
        <v>983301</v>
      </c>
      <c r="B148" s="22" t="str">
        <f>IFERROR(VLOOKUP(A148,VLOOKUPS!$A:$B,2,FALSE), "")</f>
        <v>Watermelons* Mini Seedless 1ct-LOOSE</v>
      </c>
      <c r="D148" s="13">
        <v>44819</v>
      </c>
      <c r="F148" t="s">
        <v>764</v>
      </c>
      <c r="G148" t="s">
        <v>318</v>
      </c>
      <c r="H148" t="s">
        <v>6</v>
      </c>
      <c r="I148" s="25" t="s">
        <v>319</v>
      </c>
      <c r="M148" t="s">
        <v>790</v>
      </c>
    </row>
    <row r="149" spans="1:13" x14ac:dyDescent="0.35">
      <c r="A149">
        <v>983301</v>
      </c>
      <c r="B149" s="22" t="str">
        <f>IFERROR(VLOOKUP(A149,VLOOKUPS!$A:$B,2,FALSE), "")</f>
        <v>Watermelons* Mini Seedless 1ct-LOOSE</v>
      </c>
      <c r="D149" s="13">
        <v>44819</v>
      </c>
      <c r="F149" t="s">
        <v>764</v>
      </c>
      <c r="G149" t="s">
        <v>318</v>
      </c>
      <c r="H149" t="s">
        <v>4</v>
      </c>
      <c r="I149" s="25" t="s">
        <v>319</v>
      </c>
      <c r="M149" t="s">
        <v>790</v>
      </c>
    </row>
    <row r="150" spans="1:13" x14ac:dyDescent="0.35">
      <c r="A150">
        <v>983301</v>
      </c>
      <c r="B150" s="22" t="str">
        <f>IFERROR(VLOOKUP(A150,VLOOKUPS!$A:$B,2,FALSE), "")</f>
        <v>Watermelons* Mini Seedless 1ct-LOOSE</v>
      </c>
      <c r="D150" s="13">
        <v>44819</v>
      </c>
      <c r="F150" t="s">
        <v>764</v>
      </c>
      <c r="G150" t="s">
        <v>318</v>
      </c>
      <c r="H150" t="s">
        <v>5</v>
      </c>
      <c r="I150" s="25" t="s">
        <v>319</v>
      </c>
      <c r="M150" t="s">
        <v>790</v>
      </c>
    </row>
    <row r="151" spans="1:13" x14ac:dyDescent="0.35">
      <c r="A151">
        <v>983451</v>
      </c>
      <c r="B151" s="22" t="str">
        <f>IFERROR(VLOOKUP(A151,VLOOKUPS!$A:$B,2,FALSE), "")</f>
        <v>Avocados* 1ct-LOOSE</v>
      </c>
      <c r="D151" s="13">
        <v>44819</v>
      </c>
      <c r="F151" t="s">
        <v>764</v>
      </c>
      <c r="G151" t="s">
        <v>318</v>
      </c>
      <c r="H151" t="s">
        <v>6</v>
      </c>
      <c r="I151" s="25" t="s">
        <v>319</v>
      </c>
      <c r="M151" t="s">
        <v>790</v>
      </c>
    </row>
    <row r="152" spans="1:13" x14ac:dyDescent="0.35">
      <c r="A152">
        <v>983451</v>
      </c>
      <c r="B152" s="22" t="str">
        <f>IFERROR(VLOOKUP(A152,VLOOKUPS!$A:$B,2,FALSE), "")</f>
        <v>Avocados* 1ct-LOOSE</v>
      </c>
      <c r="D152" s="13">
        <v>44819</v>
      </c>
      <c r="F152" t="s">
        <v>764</v>
      </c>
      <c r="G152" t="s">
        <v>318</v>
      </c>
      <c r="H152" t="s">
        <v>4</v>
      </c>
      <c r="I152" s="25" t="s">
        <v>319</v>
      </c>
      <c r="M152" t="s">
        <v>790</v>
      </c>
    </row>
    <row r="153" spans="1:13" x14ac:dyDescent="0.35">
      <c r="A153">
        <v>983451</v>
      </c>
      <c r="B153" s="22" t="str">
        <f>IFERROR(VLOOKUP(A153,VLOOKUPS!$A:$B,2,FALSE), "")</f>
        <v>Avocados* 1ct-LOOSE</v>
      </c>
      <c r="D153" s="13">
        <v>44819</v>
      </c>
      <c r="F153" t="s">
        <v>764</v>
      </c>
      <c r="G153" t="s">
        <v>318</v>
      </c>
      <c r="H153" t="s">
        <v>5</v>
      </c>
      <c r="I153" s="25" t="s">
        <v>319</v>
      </c>
      <c r="M153" t="s">
        <v>790</v>
      </c>
    </row>
    <row r="154" spans="1:13" x14ac:dyDescent="0.35">
      <c r="A154">
        <v>983470</v>
      </c>
      <c r="B154" s="22" t="str">
        <f>IFERROR(VLOOKUP(A154,VLOOKUPS!$A:$B,2,FALSE), "")</f>
        <v>Avocados 4ct-standard</v>
      </c>
      <c r="D154" s="13">
        <v>44819</v>
      </c>
      <c r="F154" t="s">
        <v>764</v>
      </c>
      <c r="G154" t="s">
        <v>318</v>
      </c>
      <c r="H154" t="s">
        <v>6</v>
      </c>
      <c r="I154" s="25" t="s">
        <v>319</v>
      </c>
      <c r="M154" t="s">
        <v>790</v>
      </c>
    </row>
    <row r="155" spans="1:13" x14ac:dyDescent="0.35">
      <c r="A155">
        <v>983470</v>
      </c>
      <c r="B155" s="22" t="str">
        <f>IFERROR(VLOOKUP(A155,VLOOKUPS!$A:$B,2,FALSE), "")</f>
        <v>Avocados 4ct-standard</v>
      </c>
      <c r="D155" s="13">
        <v>44819</v>
      </c>
      <c r="F155" t="s">
        <v>764</v>
      </c>
      <c r="G155" t="s">
        <v>318</v>
      </c>
      <c r="H155" t="s">
        <v>4</v>
      </c>
      <c r="I155" s="25" t="s">
        <v>319</v>
      </c>
      <c r="M155" t="s">
        <v>790</v>
      </c>
    </row>
    <row r="156" spans="1:13" x14ac:dyDescent="0.35">
      <c r="A156">
        <v>983470</v>
      </c>
      <c r="B156" s="22" t="str">
        <f>IFERROR(VLOOKUP(A156,VLOOKUPS!$A:$B,2,FALSE), "")</f>
        <v>Avocados 4ct-standard</v>
      </c>
      <c r="D156" s="13">
        <v>44819</v>
      </c>
      <c r="F156" t="s">
        <v>764</v>
      </c>
      <c r="G156" t="s">
        <v>318</v>
      </c>
      <c r="H156" t="s">
        <v>5</v>
      </c>
      <c r="I156" s="25" t="s">
        <v>319</v>
      </c>
      <c r="M156" t="s">
        <v>790</v>
      </c>
    </row>
    <row r="157" spans="1:13" x14ac:dyDescent="0.35">
      <c r="A157">
        <v>983501</v>
      </c>
      <c r="B157" s="22" t="str">
        <f>IFERROR(VLOOKUP(A157,VLOOKUPS!$A:$B,2,FALSE), "")</f>
        <v>Organic Avocados 4ct-standard</v>
      </c>
      <c r="D157" s="13">
        <v>44819</v>
      </c>
      <c r="F157" t="s">
        <v>764</v>
      </c>
      <c r="G157" t="s">
        <v>318</v>
      </c>
      <c r="H157" t="s">
        <v>6</v>
      </c>
      <c r="I157" s="25" t="s">
        <v>319</v>
      </c>
      <c r="M157" t="s">
        <v>790</v>
      </c>
    </row>
    <row r="158" spans="1:13" x14ac:dyDescent="0.35">
      <c r="A158">
        <v>983501</v>
      </c>
      <c r="B158" s="22" t="str">
        <f>IFERROR(VLOOKUP(A158,VLOOKUPS!$A:$B,2,FALSE), "")</f>
        <v>Organic Avocados 4ct-standard</v>
      </c>
      <c r="D158" s="13">
        <v>44819</v>
      </c>
      <c r="F158" t="s">
        <v>764</v>
      </c>
      <c r="G158" t="s">
        <v>318</v>
      </c>
      <c r="H158" t="s">
        <v>4</v>
      </c>
      <c r="I158" s="25" t="s">
        <v>319</v>
      </c>
      <c r="M158" t="s">
        <v>790</v>
      </c>
    </row>
    <row r="159" spans="1:13" x14ac:dyDescent="0.35">
      <c r="A159">
        <v>983501</v>
      </c>
      <c r="B159" s="22" t="str">
        <f>IFERROR(VLOOKUP(A159,VLOOKUPS!$A:$B,2,FALSE), "")</f>
        <v>Organic Avocados 4ct-standard</v>
      </c>
      <c r="D159" s="13">
        <v>44819</v>
      </c>
      <c r="F159" t="s">
        <v>764</v>
      </c>
      <c r="G159" t="s">
        <v>318</v>
      </c>
      <c r="H159" t="s">
        <v>5</v>
      </c>
      <c r="I159" s="25" t="s">
        <v>319</v>
      </c>
      <c r="M159" t="s">
        <v>790</v>
      </c>
    </row>
    <row r="160" spans="1:13" x14ac:dyDescent="0.35">
      <c r="A160">
        <v>983513</v>
      </c>
      <c r="B160" s="22" t="str">
        <f>IFERROR(VLOOKUP(A160,VLOOKUPS!$A:$B,2,FALSE), "")</f>
        <v>Avocado Green Skin 1ct-Loose</v>
      </c>
      <c r="D160" s="13">
        <v>44819</v>
      </c>
      <c r="F160" t="s">
        <v>764</v>
      </c>
      <c r="G160" t="s">
        <v>318</v>
      </c>
      <c r="H160" t="s">
        <v>6</v>
      </c>
      <c r="I160" s="25" t="s">
        <v>319</v>
      </c>
      <c r="M160" t="s">
        <v>790</v>
      </c>
    </row>
    <row r="161" spans="1:13" x14ac:dyDescent="0.35">
      <c r="A161">
        <v>983513</v>
      </c>
      <c r="B161" s="22" t="str">
        <f>IFERROR(VLOOKUP(A161,VLOOKUPS!$A:$B,2,FALSE), "")</f>
        <v>Avocado Green Skin 1ct-Loose</v>
      </c>
      <c r="D161" s="13">
        <v>44819</v>
      </c>
      <c r="F161" t="s">
        <v>764</v>
      </c>
      <c r="G161" t="s">
        <v>318</v>
      </c>
      <c r="H161" t="s">
        <v>4</v>
      </c>
      <c r="I161" s="25" t="s">
        <v>319</v>
      </c>
      <c r="M161" t="s">
        <v>790</v>
      </c>
    </row>
    <row r="162" spans="1:13" x14ac:dyDescent="0.35">
      <c r="A162">
        <v>983513</v>
      </c>
      <c r="B162" s="22" t="str">
        <f>IFERROR(VLOOKUP(A162,VLOOKUPS!$A:$B,2,FALSE), "")</f>
        <v>Avocado Green Skin 1ct-Loose</v>
      </c>
      <c r="D162" s="13">
        <v>44819</v>
      </c>
      <c r="F162" t="s">
        <v>764</v>
      </c>
      <c r="G162" t="s">
        <v>318</v>
      </c>
      <c r="H162" t="s">
        <v>5</v>
      </c>
      <c r="I162" s="25" t="s">
        <v>319</v>
      </c>
      <c r="M162" t="s">
        <v>790</v>
      </c>
    </row>
    <row r="163" spans="1:13" x14ac:dyDescent="0.35">
      <c r="A163">
        <v>983531</v>
      </c>
      <c r="B163" s="22" t="str">
        <f>IFERROR(VLOOKUP(A163,VLOOKUPS!$A:$B,2,FALSE), "")</f>
        <v>Mangos* 1ct-LOOSE</v>
      </c>
      <c r="D163" s="13">
        <v>44819</v>
      </c>
      <c r="F163" t="s">
        <v>790</v>
      </c>
      <c r="G163" t="s">
        <v>318</v>
      </c>
      <c r="H163" t="s">
        <v>6</v>
      </c>
      <c r="I163" s="25" t="s">
        <v>319</v>
      </c>
      <c r="M163" t="s">
        <v>790</v>
      </c>
    </row>
    <row r="164" spans="1:13" x14ac:dyDescent="0.35">
      <c r="A164">
        <v>983531</v>
      </c>
      <c r="B164" s="22" t="str">
        <f>IFERROR(VLOOKUP(A164,VLOOKUPS!$A:$B,2,FALSE), "")</f>
        <v>Mangos* 1ct-LOOSE</v>
      </c>
      <c r="D164" s="13">
        <v>44819</v>
      </c>
      <c r="F164" t="s">
        <v>764</v>
      </c>
      <c r="G164" t="s">
        <v>318</v>
      </c>
      <c r="H164" t="s">
        <v>4</v>
      </c>
      <c r="I164" s="25" t="s">
        <v>319</v>
      </c>
      <c r="M164" t="s">
        <v>790</v>
      </c>
    </row>
    <row r="165" spans="1:13" x14ac:dyDescent="0.35">
      <c r="A165">
        <v>983531</v>
      </c>
      <c r="B165" s="22" t="str">
        <f>IFERROR(VLOOKUP(A165,VLOOKUPS!$A:$B,2,FALSE), "")</f>
        <v>Mangos* 1ct-LOOSE</v>
      </c>
      <c r="D165" s="13">
        <v>44819</v>
      </c>
      <c r="F165" t="s">
        <v>764</v>
      </c>
      <c r="G165" t="s">
        <v>318</v>
      </c>
      <c r="H165" t="s">
        <v>5</v>
      </c>
      <c r="I165" s="25" t="s">
        <v>319</v>
      </c>
      <c r="M165" t="s">
        <v>790</v>
      </c>
    </row>
    <row r="166" spans="1:13" x14ac:dyDescent="0.35">
      <c r="A166">
        <v>983610</v>
      </c>
      <c r="B166" s="22" t="str">
        <f>IFERROR(VLOOKUP(A166,VLOOKUPS!$A:$B,2,FALSE), "")</f>
        <v>Papayas 1lb-Loose</v>
      </c>
      <c r="D166" s="13">
        <v>44819</v>
      </c>
      <c r="F166" t="s">
        <v>764</v>
      </c>
      <c r="G166" t="s">
        <v>318</v>
      </c>
      <c r="H166" t="s">
        <v>6</v>
      </c>
      <c r="I166" s="25" t="s">
        <v>319</v>
      </c>
      <c r="M166" t="s">
        <v>790</v>
      </c>
    </row>
    <row r="167" spans="1:13" x14ac:dyDescent="0.35">
      <c r="A167">
        <v>983610</v>
      </c>
      <c r="B167" s="22" t="str">
        <f>IFERROR(VLOOKUP(A167,VLOOKUPS!$A:$B,2,FALSE), "")</f>
        <v>Papayas 1lb-Loose</v>
      </c>
      <c r="D167" s="13">
        <v>44819</v>
      </c>
      <c r="F167" t="s">
        <v>764</v>
      </c>
      <c r="G167" t="s">
        <v>318</v>
      </c>
      <c r="H167" t="s">
        <v>4</v>
      </c>
      <c r="I167" s="25" t="s">
        <v>319</v>
      </c>
      <c r="M167" t="s">
        <v>790</v>
      </c>
    </row>
    <row r="168" spans="1:13" x14ac:dyDescent="0.35">
      <c r="A168">
        <v>983610</v>
      </c>
      <c r="B168" s="22" t="str">
        <f>IFERROR(VLOOKUP(A168,VLOOKUPS!$A:$B,2,FALSE), "")</f>
        <v>Papayas 1lb-Loose</v>
      </c>
      <c r="D168" s="13">
        <v>44819</v>
      </c>
      <c r="F168" t="s">
        <v>764</v>
      </c>
      <c r="G168" t="s">
        <v>318</v>
      </c>
      <c r="H168" t="s">
        <v>5</v>
      </c>
      <c r="I168" s="25" t="s">
        <v>319</v>
      </c>
      <c r="M168" t="s">
        <v>790</v>
      </c>
    </row>
    <row r="169" spans="1:13" x14ac:dyDescent="0.35">
      <c r="A169">
        <v>983651</v>
      </c>
      <c r="B169" s="22" t="str">
        <f>IFERROR(VLOOKUP(A169,VLOOKUPS!$A:$B,2,FALSE), "")</f>
        <v>Kiwis Gold 1ct-LOOSE</v>
      </c>
      <c r="D169" s="13">
        <v>44819</v>
      </c>
      <c r="F169" t="s">
        <v>764</v>
      </c>
      <c r="G169" t="s">
        <v>318</v>
      </c>
      <c r="H169" t="s">
        <v>6</v>
      </c>
      <c r="I169" s="25" t="s">
        <v>319</v>
      </c>
      <c r="M169" t="s">
        <v>790</v>
      </c>
    </row>
    <row r="170" spans="1:13" x14ac:dyDescent="0.35">
      <c r="A170">
        <v>983651</v>
      </c>
      <c r="B170" s="22" t="str">
        <f>IFERROR(VLOOKUP(A170,VLOOKUPS!$A:$B,2,FALSE), "")</f>
        <v>Kiwis Gold 1ct-LOOSE</v>
      </c>
      <c r="D170" s="13">
        <v>44819</v>
      </c>
      <c r="F170" t="s">
        <v>764</v>
      </c>
      <c r="G170" t="s">
        <v>318</v>
      </c>
      <c r="H170" t="s">
        <v>4</v>
      </c>
      <c r="I170" s="25" t="s">
        <v>319</v>
      </c>
      <c r="M170" t="s">
        <v>790</v>
      </c>
    </row>
    <row r="171" spans="1:13" x14ac:dyDescent="0.35">
      <c r="A171">
        <v>983651</v>
      </c>
      <c r="B171" s="22" t="str">
        <f>IFERROR(VLOOKUP(A171,VLOOKUPS!$A:$B,2,FALSE), "")</f>
        <v>Kiwis Gold 1ct-LOOSE</v>
      </c>
      <c r="D171" s="13">
        <v>44819</v>
      </c>
      <c r="F171" t="s">
        <v>790</v>
      </c>
      <c r="G171" t="s">
        <v>318</v>
      </c>
      <c r="H171" t="s">
        <v>5</v>
      </c>
      <c r="I171" s="25" t="s">
        <v>319</v>
      </c>
      <c r="M171" t="s">
        <v>790</v>
      </c>
    </row>
    <row r="172" spans="1:13" x14ac:dyDescent="0.35">
      <c r="A172">
        <v>983671</v>
      </c>
      <c r="B172" s="22" t="str">
        <f>IFERROR(VLOOKUP(A172,VLOOKUPS!$A:$B,2,FALSE), "")</f>
        <v>Kiwis Gold 1lb-standard</v>
      </c>
      <c r="D172" s="13">
        <v>44819</v>
      </c>
      <c r="F172" t="s">
        <v>764</v>
      </c>
      <c r="G172" t="s">
        <v>318</v>
      </c>
      <c r="H172" t="s">
        <v>6</v>
      </c>
      <c r="I172" s="25" t="s">
        <v>319</v>
      </c>
      <c r="M172" t="s">
        <v>790</v>
      </c>
    </row>
    <row r="173" spans="1:13" x14ac:dyDescent="0.35">
      <c r="A173">
        <v>983671</v>
      </c>
      <c r="B173" s="22" t="str">
        <f>IFERROR(VLOOKUP(A173,VLOOKUPS!$A:$B,2,FALSE), "")</f>
        <v>Kiwis Gold 1lb-standard</v>
      </c>
      <c r="D173" s="13">
        <v>44819</v>
      </c>
      <c r="F173" t="s">
        <v>764</v>
      </c>
      <c r="G173" t="s">
        <v>318</v>
      </c>
      <c r="H173" t="s">
        <v>4</v>
      </c>
      <c r="I173" s="25" t="s">
        <v>319</v>
      </c>
      <c r="M173" t="s">
        <v>790</v>
      </c>
    </row>
    <row r="174" spans="1:13" x14ac:dyDescent="0.35">
      <c r="A174">
        <v>983671</v>
      </c>
      <c r="B174" s="22" t="str">
        <f>IFERROR(VLOOKUP(A174,VLOOKUPS!$A:$B,2,FALSE), "")</f>
        <v>Kiwis Gold 1lb-standard</v>
      </c>
      <c r="D174" s="13">
        <v>44819</v>
      </c>
      <c r="F174" t="s">
        <v>764</v>
      </c>
      <c r="G174" t="s">
        <v>318</v>
      </c>
      <c r="H174" t="s">
        <v>5</v>
      </c>
      <c r="I174" s="25" t="s">
        <v>319</v>
      </c>
      <c r="M174" t="s">
        <v>790</v>
      </c>
    </row>
    <row r="175" spans="1:13" x14ac:dyDescent="0.35">
      <c r="A175">
        <v>983672</v>
      </c>
      <c r="B175" s="22" t="str">
        <f>IFERROR(VLOOKUP(A175,VLOOKUPS!$A:$B,2,FALSE), "")</f>
        <v>Kiwis Green 2lb-standard</v>
      </c>
      <c r="D175" s="13">
        <v>44819</v>
      </c>
      <c r="F175" t="s">
        <v>764</v>
      </c>
      <c r="G175" t="s">
        <v>318</v>
      </c>
      <c r="H175" t="s">
        <v>6</v>
      </c>
      <c r="I175" s="25" t="s">
        <v>319</v>
      </c>
      <c r="M175" t="s">
        <v>790</v>
      </c>
    </row>
    <row r="176" spans="1:13" x14ac:dyDescent="0.35">
      <c r="A176">
        <v>983672</v>
      </c>
      <c r="B176" s="22" t="str">
        <f>IFERROR(VLOOKUP(A176,VLOOKUPS!$A:$B,2,FALSE), "")</f>
        <v>Kiwis Green 2lb-standard</v>
      </c>
      <c r="D176" s="13">
        <v>44819</v>
      </c>
      <c r="F176" t="s">
        <v>790</v>
      </c>
      <c r="G176" t="s">
        <v>318</v>
      </c>
      <c r="H176" t="s">
        <v>4</v>
      </c>
      <c r="I176" s="25" t="s">
        <v>319</v>
      </c>
      <c r="M176" t="s">
        <v>790</v>
      </c>
    </row>
    <row r="177" spans="1:13" x14ac:dyDescent="0.35">
      <c r="A177">
        <v>983672</v>
      </c>
      <c r="B177" s="22" t="str">
        <f>IFERROR(VLOOKUP(A177,VLOOKUPS!$A:$B,2,FALSE), "")</f>
        <v>Kiwis Green 2lb-standard</v>
      </c>
      <c r="D177" s="13">
        <v>44819</v>
      </c>
      <c r="F177" t="s">
        <v>764</v>
      </c>
      <c r="G177" t="s">
        <v>318</v>
      </c>
      <c r="H177" t="s">
        <v>5</v>
      </c>
      <c r="I177" s="25" t="s">
        <v>319</v>
      </c>
      <c r="M177" t="s">
        <v>790</v>
      </c>
    </row>
    <row r="178" spans="1:13" x14ac:dyDescent="0.35">
      <c r="A178">
        <v>983721</v>
      </c>
      <c r="B178" s="22" t="str">
        <f>IFERROR(VLOOKUP(A178,VLOOKUPS!$A:$B,2,FALSE), "")</f>
        <v>Pineapples 1ct-LOOSE</v>
      </c>
      <c r="D178" s="13">
        <v>44819</v>
      </c>
      <c r="F178" t="s">
        <v>764</v>
      </c>
      <c r="G178" t="s">
        <v>318</v>
      </c>
      <c r="H178" t="s">
        <v>6</v>
      </c>
      <c r="I178" s="25" t="s">
        <v>319</v>
      </c>
      <c r="M178" t="s">
        <v>790</v>
      </c>
    </row>
    <row r="179" spans="1:13" x14ac:dyDescent="0.35">
      <c r="A179">
        <v>983721</v>
      </c>
      <c r="B179" s="22" t="str">
        <f>IFERROR(VLOOKUP(A179,VLOOKUPS!$A:$B,2,FALSE), "")</f>
        <v>Pineapples 1ct-LOOSE</v>
      </c>
      <c r="D179" s="13">
        <v>44819</v>
      </c>
      <c r="F179" t="s">
        <v>764</v>
      </c>
      <c r="G179" t="s">
        <v>318</v>
      </c>
      <c r="H179" t="s">
        <v>4</v>
      </c>
      <c r="I179" s="25" t="s">
        <v>319</v>
      </c>
      <c r="M179" t="s">
        <v>790</v>
      </c>
    </row>
    <row r="180" spans="1:13" x14ac:dyDescent="0.35">
      <c r="A180">
        <v>983721</v>
      </c>
      <c r="B180" s="22" t="str">
        <f>IFERROR(VLOOKUP(A180,VLOOKUPS!$A:$B,2,FALSE), "")</f>
        <v>Pineapples 1ct-LOOSE</v>
      </c>
      <c r="D180" s="13">
        <v>44819</v>
      </c>
      <c r="F180" t="s">
        <v>764</v>
      </c>
      <c r="G180" t="s">
        <v>318</v>
      </c>
      <c r="H180" t="s">
        <v>5</v>
      </c>
      <c r="I180" s="25" t="s">
        <v>319</v>
      </c>
      <c r="M180" t="s">
        <v>790</v>
      </c>
    </row>
    <row r="181" spans="1:13" x14ac:dyDescent="0.35">
      <c r="A181">
        <v>983725</v>
      </c>
      <c r="B181" s="22" t="str">
        <f>IFERROR(VLOOKUP(A181,VLOOKUPS!$A:$B,2,FALSE), "")</f>
        <v/>
      </c>
      <c r="D181" s="13">
        <v>44819</v>
      </c>
      <c r="F181" t="s">
        <v>764</v>
      </c>
      <c r="G181" t="s">
        <v>318</v>
      </c>
      <c r="H181" t="s">
        <v>6</v>
      </c>
      <c r="I181" s="25" t="s">
        <v>319</v>
      </c>
      <c r="M181" t="s">
        <v>790</v>
      </c>
    </row>
    <row r="182" spans="1:13" x14ac:dyDescent="0.35">
      <c r="A182">
        <v>983725</v>
      </c>
      <c r="B182" s="22" t="str">
        <f>IFERROR(VLOOKUP(A182,VLOOKUPS!$A:$B,2,FALSE), "")</f>
        <v/>
      </c>
      <c r="D182" s="13">
        <v>44819</v>
      </c>
      <c r="F182" t="s">
        <v>764</v>
      </c>
      <c r="G182" t="s">
        <v>318</v>
      </c>
      <c r="H182" t="s">
        <v>4</v>
      </c>
      <c r="I182" s="25" t="s">
        <v>319</v>
      </c>
      <c r="M182" t="s">
        <v>790</v>
      </c>
    </row>
    <row r="183" spans="1:13" x14ac:dyDescent="0.35">
      <c r="A183">
        <v>983725</v>
      </c>
      <c r="B183" s="22" t="str">
        <f>IFERROR(VLOOKUP(A183,VLOOKUPS!$A:$B,2,FALSE), "")</f>
        <v/>
      </c>
      <c r="D183" s="13">
        <v>44819</v>
      </c>
      <c r="F183" t="s">
        <v>764</v>
      </c>
      <c r="G183" t="s">
        <v>318</v>
      </c>
      <c r="H183" t="s">
        <v>5</v>
      </c>
      <c r="I183" s="25" t="s">
        <v>319</v>
      </c>
      <c r="M183" t="s">
        <v>790</v>
      </c>
    </row>
    <row r="184" spans="1:13" x14ac:dyDescent="0.35">
      <c r="A184">
        <v>983762</v>
      </c>
      <c r="B184" s="22" t="str">
        <f>IFERROR(VLOOKUP(A184,VLOOKUPS!$A:$B,2,FALSE), "")</f>
        <v>Coconuts Young 1ct-loose</v>
      </c>
      <c r="D184" s="13">
        <v>44819</v>
      </c>
      <c r="F184" t="s">
        <v>764</v>
      </c>
      <c r="G184" t="s">
        <v>318</v>
      </c>
      <c r="H184" t="s">
        <v>6</v>
      </c>
      <c r="I184" s="25" t="s">
        <v>319</v>
      </c>
      <c r="M184" t="s">
        <v>790</v>
      </c>
    </row>
    <row r="185" spans="1:13" x14ac:dyDescent="0.35">
      <c r="A185">
        <v>983762</v>
      </c>
      <c r="B185" s="22" t="str">
        <f>IFERROR(VLOOKUP(A185,VLOOKUPS!$A:$B,2,FALSE), "")</f>
        <v>Coconuts Young 1ct-loose</v>
      </c>
      <c r="D185" s="13">
        <v>44819</v>
      </c>
      <c r="F185" t="s">
        <v>764</v>
      </c>
      <c r="G185" t="s">
        <v>318</v>
      </c>
      <c r="H185" t="s">
        <v>4</v>
      </c>
      <c r="I185" s="25" t="s">
        <v>319</v>
      </c>
      <c r="M185" t="s">
        <v>790</v>
      </c>
    </row>
    <row r="186" spans="1:13" x14ac:dyDescent="0.35">
      <c r="A186">
        <v>983762</v>
      </c>
      <c r="B186" s="22" t="str">
        <f>IFERROR(VLOOKUP(A186,VLOOKUPS!$A:$B,2,FALSE), "")</f>
        <v>Coconuts Young 1ct-loose</v>
      </c>
      <c r="D186" s="13">
        <v>44819</v>
      </c>
      <c r="F186" t="s">
        <v>764</v>
      </c>
      <c r="G186" t="s">
        <v>318</v>
      </c>
      <c r="H186" t="s">
        <v>5</v>
      </c>
      <c r="I186" s="25" t="s">
        <v>319</v>
      </c>
      <c r="M186" t="s">
        <v>790</v>
      </c>
    </row>
    <row r="187" spans="1:13" x14ac:dyDescent="0.35">
      <c r="A187">
        <v>983763</v>
      </c>
      <c r="B187" s="22" t="str">
        <f>IFERROR(VLOOKUP(A187,VLOOKUPS!$A:$B,2,FALSE), "")</f>
        <v>Coconuts Dry 1ct-loose</v>
      </c>
      <c r="D187" s="13">
        <v>44819</v>
      </c>
      <c r="F187" t="s">
        <v>764</v>
      </c>
      <c r="G187" t="s">
        <v>318</v>
      </c>
      <c r="H187" t="s">
        <v>6</v>
      </c>
      <c r="I187" s="25" t="s">
        <v>319</v>
      </c>
      <c r="M187" t="s">
        <v>790</v>
      </c>
    </row>
    <row r="188" spans="1:13" x14ac:dyDescent="0.35">
      <c r="A188">
        <v>983763</v>
      </c>
      <c r="B188" s="22" t="str">
        <f>IFERROR(VLOOKUP(A188,VLOOKUPS!$A:$B,2,FALSE), "")</f>
        <v>Coconuts Dry 1ct-loose</v>
      </c>
      <c r="D188" s="13">
        <v>44819</v>
      </c>
      <c r="F188" t="s">
        <v>764</v>
      </c>
      <c r="G188" t="s">
        <v>318</v>
      </c>
      <c r="H188" t="s">
        <v>4</v>
      </c>
      <c r="I188" s="25" t="s">
        <v>319</v>
      </c>
      <c r="M188" t="s">
        <v>790</v>
      </c>
    </row>
    <row r="189" spans="1:13" x14ac:dyDescent="0.35">
      <c r="A189">
        <v>983763</v>
      </c>
      <c r="B189" s="22" t="str">
        <f>IFERROR(VLOOKUP(A189,VLOOKUPS!$A:$B,2,FALSE), "")</f>
        <v>Coconuts Dry 1ct-loose</v>
      </c>
      <c r="D189" s="13">
        <v>44819</v>
      </c>
      <c r="F189" t="s">
        <v>764</v>
      </c>
      <c r="G189" t="s">
        <v>318</v>
      </c>
      <c r="H189" t="s">
        <v>5</v>
      </c>
      <c r="I189" s="25" t="s">
        <v>319</v>
      </c>
      <c r="M189" t="s">
        <v>790</v>
      </c>
    </row>
    <row r="190" spans="1:13" x14ac:dyDescent="0.35">
      <c r="A190">
        <v>983810</v>
      </c>
      <c r="B190" s="22" t="str">
        <f>IFERROR(VLOOKUP(A190,VLOOKUPS!$A:$B,2,FALSE), "")</f>
        <v>Figs 8oz-standard</v>
      </c>
      <c r="D190" s="13">
        <v>44819</v>
      </c>
      <c r="F190" t="s">
        <v>764</v>
      </c>
      <c r="G190" t="s">
        <v>318</v>
      </c>
      <c r="H190" t="s">
        <v>6</v>
      </c>
      <c r="I190" s="25" t="s">
        <v>319</v>
      </c>
      <c r="M190" t="s">
        <v>790</v>
      </c>
    </row>
    <row r="191" spans="1:13" x14ac:dyDescent="0.35">
      <c r="A191">
        <v>983810</v>
      </c>
      <c r="B191" s="22" t="str">
        <f>IFERROR(VLOOKUP(A191,VLOOKUPS!$A:$B,2,FALSE), "")</f>
        <v>Figs 8oz-standard</v>
      </c>
      <c r="D191" s="13">
        <v>44819</v>
      </c>
      <c r="F191" t="s">
        <v>764</v>
      </c>
      <c r="G191" t="s">
        <v>318</v>
      </c>
      <c r="H191" t="s">
        <v>4</v>
      </c>
      <c r="I191" s="25" t="s">
        <v>319</v>
      </c>
      <c r="M191" t="s">
        <v>790</v>
      </c>
    </row>
    <row r="192" spans="1:13" x14ac:dyDescent="0.35">
      <c r="A192">
        <v>983810</v>
      </c>
      <c r="B192" s="22" t="str">
        <f>IFERROR(VLOOKUP(A192,VLOOKUPS!$A:$B,2,FALSE), "")</f>
        <v>Figs 8oz-standard</v>
      </c>
      <c r="D192" s="13">
        <v>44819</v>
      </c>
      <c r="F192" t="s">
        <v>764</v>
      </c>
      <c r="G192" t="s">
        <v>318</v>
      </c>
      <c r="H192" t="s">
        <v>5</v>
      </c>
      <c r="I192" s="25" t="s">
        <v>319</v>
      </c>
      <c r="M192" t="s">
        <v>790</v>
      </c>
    </row>
    <row r="193" spans="1:13" x14ac:dyDescent="0.35">
      <c r="A193">
        <v>984005</v>
      </c>
      <c r="B193" s="22" t="str">
        <f>IFERROR(VLOOKUP(A193,VLOOKUPS!$A:$B,2,FALSE), "")</f>
        <v>Guava 1lb-loose</v>
      </c>
      <c r="D193" s="13">
        <v>44819</v>
      </c>
      <c r="F193" t="s">
        <v>764</v>
      </c>
      <c r="G193" t="s">
        <v>318</v>
      </c>
      <c r="H193" t="s">
        <v>6</v>
      </c>
      <c r="I193" s="25" t="s">
        <v>319</v>
      </c>
      <c r="M193" t="s">
        <v>790</v>
      </c>
    </row>
    <row r="194" spans="1:13" x14ac:dyDescent="0.35">
      <c r="A194">
        <v>984005</v>
      </c>
      <c r="B194" s="22" t="str">
        <f>IFERROR(VLOOKUP(A194,VLOOKUPS!$A:$B,2,FALSE), "")</f>
        <v>Guava 1lb-loose</v>
      </c>
      <c r="D194" s="13">
        <v>44819</v>
      </c>
      <c r="F194" t="s">
        <v>764</v>
      </c>
      <c r="G194" t="s">
        <v>318</v>
      </c>
      <c r="H194" t="s">
        <v>4</v>
      </c>
      <c r="I194" s="25" t="s">
        <v>319</v>
      </c>
      <c r="M194" t="s">
        <v>790</v>
      </c>
    </row>
    <row r="195" spans="1:13" x14ac:dyDescent="0.35">
      <c r="A195">
        <v>984005</v>
      </c>
      <c r="B195" s="22" t="str">
        <f>IFERROR(VLOOKUP(A195,VLOOKUPS!$A:$B,2,FALSE), "")</f>
        <v>Guava 1lb-loose</v>
      </c>
      <c r="D195" s="13">
        <v>44819</v>
      </c>
      <c r="F195" t="s">
        <v>764</v>
      </c>
      <c r="G195" t="s">
        <v>318</v>
      </c>
      <c r="H195" t="s">
        <v>5</v>
      </c>
      <c r="I195" s="25" t="s">
        <v>319</v>
      </c>
      <c r="M195" t="s">
        <v>790</v>
      </c>
    </row>
    <row r="196" spans="1:13" x14ac:dyDescent="0.35">
      <c r="A196">
        <v>984032</v>
      </c>
      <c r="B196" s="22" t="str">
        <f>IFERROR(VLOOKUP(A196,VLOOKUPS!$A:$B,2,FALSE), "")</f>
        <v>Yuca Root 1lb-loose</v>
      </c>
      <c r="D196" s="13">
        <v>44819</v>
      </c>
      <c r="F196" t="s">
        <v>764</v>
      </c>
      <c r="G196" t="s">
        <v>318</v>
      </c>
      <c r="H196" t="s">
        <v>6</v>
      </c>
      <c r="I196" s="25" t="s">
        <v>319</v>
      </c>
      <c r="M196" t="s">
        <v>790</v>
      </c>
    </row>
    <row r="197" spans="1:13" x14ac:dyDescent="0.35">
      <c r="A197">
        <v>984032</v>
      </c>
      <c r="B197" s="22" t="str">
        <f>IFERROR(VLOOKUP(A197,VLOOKUPS!$A:$B,2,FALSE), "")</f>
        <v>Yuca Root 1lb-loose</v>
      </c>
      <c r="D197" s="13">
        <v>44819</v>
      </c>
      <c r="F197" t="s">
        <v>764</v>
      </c>
      <c r="G197" t="s">
        <v>318</v>
      </c>
      <c r="H197" t="s">
        <v>4</v>
      </c>
      <c r="I197" s="25" t="s">
        <v>319</v>
      </c>
      <c r="M197" t="s">
        <v>790</v>
      </c>
    </row>
    <row r="198" spans="1:13" x14ac:dyDescent="0.35">
      <c r="A198">
        <v>984032</v>
      </c>
      <c r="B198" s="22" t="str">
        <f>IFERROR(VLOOKUP(A198,VLOOKUPS!$A:$B,2,FALSE), "")</f>
        <v>Yuca Root 1lb-loose</v>
      </c>
      <c r="D198" s="13">
        <v>44819</v>
      </c>
      <c r="F198" t="s">
        <v>764</v>
      </c>
      <c r="G198" t="s">
        <v>318</v>
      </c>
      <c r="H198" t="s">
        <v>5</v>
      </c>
      <c r="I198" s="25" t="s">
        <v>319</v>
      </c>
      <c r="M198" t="s">
        <v>790</v>
      </c>
    </row>
    <row r="199" spans="1:13" x14ac:dyDescent="0.35">
      <c r="A199">
        <v>984050</v>
      </c>
      <c r="B199" s="22" t="str">
        <f>IFERROR(VLOOKUP(A199,VLOOKUPS!$A:$B,2,FALSE), "")</f>
        <v>Chayote Squash 1ct-loose</v>
      </c>
      <c r="D199" s="13">
        <v>44819</v>
      </c>
      <c r="F199" t="s">
        <v>764</v>
      </c>
      <c r="G199" t="s">
        <v>318</v>
      </c>
      <c r="H199" t="s">
        <v>6</v>
      </c>
      <c r="I199" s="25" t="s">
        <v>319</v>
      </c>
      <c r="M199" t="s">
        <v>790</v>
      </c>
    </row>
    <row r="200" spans="1:13" x14ac:dyDescent="0.35">
      <c r="A200">
        <v>984050</v>
      </c>
      <c r="B200" s="22" t="str">
        <f>IFERROR(VLOOKUP(A200,VLOOKUPS!$A:$B,2,FALSE), "")</f>
        <v>Chayote Squash 1ct-loose</v>
      </c>
      <c r="D200" s="13">
        <v>44819</v>
      </c>
      <c r="F200" t="s">
        <v>764</v>
      </c>
      <c r="G200" t="s">
        <v>318</v>
      </c>
      <c r="H200" t="s">
        <v>4</v>
      </c>
      <c r="I200" s="25" t="s">
        <v>319</v>
      </c>
      <c r="M200" t="s">
        <v>790</v>
      </c>
    </row>
    <row r="201" spans="1:13" x14ac:dyDescent="0.35">
      <c r="A201">
        <v>984050</v>
      </c>
      <c r="B201" s="22" t="str">
        <f>IFERROR(VLOOKUP(A201,VLOOKUPS!$A:$B,2,FALSE), "")</f>
        <v>Chayote Squash 1ct-loose</v>
      </c>
      <c r="D201" s="13">
        <v>44819</v>
      </c>
      <c r="F201" t="s">
        <v>764</v>
      </c>
      <c r="G201" t="s">
        <v>318</v>
      </c>
      <c r="H201" t="s">
        <v>5</v>
      </c>
      <c r="I201" s="25" t="s">
        <v>319</v>
      </c>
      <c r="M201" t="s">
        <v>790</v>
      </c>
    </row>
    <row r="202" spans="1:13" x14ac:dyDescent="0.35">
      <c r="A202">
        <v>984071</v>
      </c>
      <c r="B202" s="22" t="str">
        <f>IFERROR(VLOOKUP(A202,VLOOKUPS!$A:$B,2,FALSE), "")</f>
        <v>Dragonfruits 3ct-standard</v>
      </c>
      <c r="D202" s="13">
        <v>44819</v>
      </c>
      <c r="F202" t="s">
        <v>764</v>
      </c>
      <c r="G202" t="s">
        <v>318</v>
      </c>
      <c r="H202" t="s">
        <v>6</v>
      </c>
      <c r="I202" s="25" t="s">
        <v>319</v>
      </c>
      <c r="M202" t="s">
        <v>790</v>
      </c>
    </row>
    <row r="203" spans="1:13" x14ac:dyDescent="0.35">
      <c r="A203">
        <v>984071</v>
      </c>
      <c r="B203" s="22" t="str">
        <f>IFERROR(VLOOKUP(A203,VLOOKUPS!$A:$B,2,FALSE), "")</f>
        <v>Dragonfruits 3ct-standard</v>
      </c>
      <c r="D203" s="13">
        <v>44819</v>
      </c>
      <c r="F203" t="s">
        <v>764</v>
      </c>
      <c r="G203" t="s">
        <v>318</v>
      </c>
      <c r="H203" t="s">
        <v>4</v>
      </c>
      <c r="I203" s="25" t="s">
        <v>319</v>
      </c>
      <c r="M203" t="s">
        <v>790</v>
      </c>
    </row>
    <row r="204" spans="1:13" x14ac:dyDescent="0.35">
      <c r="A204">
        <v>984071</v>
      </c>
      <c r="B204" s="22" t="str">
        <f>IFERROR(VLOOKUP(A204,VLOOKUPS!$A:$B,2,FALSE), "")</f>
        <v>Dragonfruits 3ct-standard</v>
      </c>
      <c r="D204" s="13">
        <v>44819</v>
      </c>
      <c r="F204" t="s">
        <v>764</v>
      </c>
      <c r="G204" t="s">
        <v>318</v>
      </c>
      <c r="H204" t="s">
        <v>5</v>
      </c>
      <c r="I204" s="25" t="s">
        <v>319</v>
      </c>
      <c r="M204" t="s">
        <v>790</v>
      </c>
    </row>
    <row r="205" spans="1:13" x14ac:dyDescent="0.35">
      <c r="A205">
        <v>984080</v>
      </c>
      <c r="B205" s="22" t="str">
        <f>IFERROR(VLOOKUP(A205,VLOOKUPS!$A:$B,2,FALSE), "")</f>
        <v>Rambutan 12oz-standard</v>
      </c>
      <c r="D205" s="13">
        <v>44819</v>
      </c>
      <c r="F205" t="s">
        <v>764</v>
      </c>
      <c r="G205" t="s">
        <v>318</v>
      </c>
      <c r="H205" t="s">
        <v>6</v>
      </c>
      <c r="I205" s="25" t="s">
        <v>319</v>
      </c>
      <c r="M205" t="s">
        <v>790</v>
      </c>
    </row>
    <row r="206" spans="1:13" x14ac:dyDescent="0.35">
      <c r="A206">
        <v>984080</v>
      </c>
      <c r="B206" s="22" t="str">
        <f>IFERROR(VLOOKUP(A206,VLOOKUPS!$A:$B,2,FALSE), "")</f>
        <v>Rambutan 12oz-standard</v>
      </c>
      <c r="D206" s="13">
        <v>44819</v>
      </c>
      <c r="F206" t="s">
        <v>764</v>
      </c>
      <c r="G206" t="s">
        <v>318</v>
      </c>
      <c r="H206" t="s">
        <v>4</v>
      </c>
      <c r="I206" s="25" t="s">
        <v>319</v>
      </c>
      <c r="M206" t="s">
        <v>790</v>
      </c>
    </row>
    <row r="207" spans="1:13" x14ac:dyDescent="0.35">
      <c r="A207">
        <v>984080</v>
      </c>
      <c r="B207" s="22" t="str">
        <f>IFERROR(VLOOKUP(A207,VLOOKUPS!$A:$B,2,FALSE), "")</f>
        <v>Rambutan 12oz-standard</v>
      </c>
      <c r="D207" s="13">
        <v>44819</v>
      </c>
      <c r="F207" t="s">
        <v>764</v>
      </c>
      <c r="G207" t="s">
        <v>318</v>
      </c>
      <c r="H207" t="s">
        <v>5</v>
      </c>
      <c r="I207" s="25" t="s">
        <v>319</v>
      </c>
      <c r="M207" t="s">
        <v>790</v>
      </c>
    </row>
    <row r="208" spans="1:13" x14ac:dyDescent="0.35">
      <c r="A208">
        <v>984161</v>
      </c>
      <c r="B208" s="22" t="str">
        <f>IFERROR(VLOOKUP(A208,VLOOKUPS!$A:$B,2,FALSE), "")</f>
        <v>Aloe Leaves* 1ct-LOOSE</v>
      </c>
      <c r="D208" s="13">
        <v>44819</v>
      </c>
      <c r="F208" t="s">
        <v>764</v>
      </c>
      <c r="G208" t="s">
        <v>318</v>
      </c>
      <c r="H208" t="s">
        <v>6</v>
      </c>
      <c r="I208" s="25" t="s">
        <v>319</v>
      </c>
      <c r="M208" t="s">
        <v>790</v>
      </c>
    </row>
    <row r="209" spans="1:13" x14ac:dyDescent="0.35">
      <c r="A209">
        <v>984161</v>
      </c>
      <c r="B209" s="22" t="str">
        <f>IFERROR(VLOOKUP(A209,VLOOKUPS!$A:$B,2,FALSE), "")</f>
        <v>Aloe Leaves* 1ct-LOOSE</v>
      </c>
      <c r="D209" s="13">
        <v>44819</v>
      </c>
      <c r="F209" t="s">
        <v>764</v>
      </c>
      <c r="G209" t="s">
        <v>318</v>
      </c>
      <c r="H209" t="s">
        <v>4</v>
      </c>
      <c r="I209" s="25" t="s">
        <v>319</v>
      </c>
      <c r="M209" t="s">
        <v>790</v>
      </c>
    </row>
    <row r="210" spans="1:13" x14ac:dyDescent="0.35">
      <c r="A210">
        <v>984161</v>
      </c>
      <c r="B210" s="22" t="str">
        <f>IFERROR(VLOOKUP(A210,VLOOKUPS!$A:$B,2,FALSE), "")</f>
        <v>Aloe Leaves* 1ct-LOOSE</v>
      </c>
      <c r="D210" s="13">
        <v>44819</v>
      </c>
      <c r="F210" t="s">
        <v>764</v>
      </c>
      <c r="G210" t="s">
        <v>318</v>
      </c>
      <c r="H210" t="s">
        <v>5</v>
      </c>
      <c r="I210" s="25" t="s">
        <v>319</v>
      </c>
      <c r="M210" t="s">
        <v>790</v>
      </c>
    </row>
    <row r="211" spans="1:13" x14ac:dyDescent="0.35">
      <c r="A211">
        <v>984460</v>
      </c>
      <c r="B211" s="22" t="str">
        <f>IFERROR(VLOOKUP(A211,VLOOKUPS!$A:$B,2,FALSE), "")</f>
        <v>Strawberries 1lb-standard</v>
      </c>
      <c r="D211" s="13">
        <v>44819</v>
      </c>
      <c r="F211" t="s">
        <v>764</v>
      </c>
      <c r="G211" t="s">
        <v>318</v>
      </c>
      <c r="H211" t="s">
        <v>6</v>
      </c>
      <c r="I211" s="25" t="s">
        <v>319</v>
      </c>
      <c r="M211" t="s">
        <v>790</v>
      </c>
    </row>
    <row r="212" spans="1:13" x14ac:dyDescent="0.35">
      <c r="A212">
        <v>984460</v>
      </c>
      <c r="B212" s="22" t="str">
        <f>IFERROR(VLOOKUP(A212,VLOOKUPS!$A:$B,2,FALSE), "")</f>
        <v>Strawberries 1lb-standard</v>
      </c>
      <c r="D212" s="13">
        <v>44819</v>
      </c>
      <c r="F212" t="s">
        <v>764</v>
      </c>
      <c r="G212" t="s">
        <v>318</v>
      </c>
      <c r="H212" t="s">
        <v>4</v>
      </c>
      <c r="I212" s="25" t="s">
        <v>319</v>
      </c>
      <c r="M212" t="s">
        <v>790</v>
      </c>
    </row>
    <row r="213" spans="1:13" x14ac:dyDescent="0.35">
      <c r="A213">
        <v>984460</v>
      </c>
      <c r="B213" s="22" t="str">
        <f>IFERROR(VLOOKUP(A213,VLOOKUPS!$A:$B,2,FALSE), "")</f>
        <v>Strawberries 1lb-standard</v>
      </c>
      <c r="D213" s="13">
        <v>44819</v>
      </c>
      <c r="F213" t="s">
        <v>764</v>
      </c>
      <c r="G213" t="s">
        <v>318</v>
      </c>
      <c r="H213" t="s">
        <v>5</v>
      </c>
      <c r="I213" s="25" t="s">
        <v>319</v>
      </c>
      <c r="M213" t="s">
        <v>790</v>
      </c>
    </row>
    <row r="214" spans="1:13" x14ac:dyDescent="0.35">
      <c r="A214">
        <v>984461</v>
      </c>
      <c r="B214" s="22" t="str">
        <f>IFERROR(VLOOKUP(A214,VLOOKUPS!$A:$B,2,FALSE), "")</f>
        <v>Strawberries 2lb-standard</v>
      </c>
      <c r="D214" s="13">
        <v>44819</v>
      </c>
      <c r="F214" t="s">
        <v>764</v>
      </c>
      <c r="G214" t="s">
        <v>318</v>
      </c>
      <c r="H214" t="s">
        <v>6</v>
      </c>
      <c r="I214" s="25" t="s">
        <v>319</v>
      </c>
      <c r="M214" t="s">
        <v>790</v>
      </c>
    </row>
    <row r="215" spans="1:13" x14ac:dyDescent="0.35">
      <c r="A215">
        <v>984461</v>
      </c>
      <c r="B215" s="22" t="str">
        <f>IFERROR(VLOOKUP(A215,VLOOKUPS!$A:$B,2,FALSE), "")</f>
        <v>Strawberries 2lb-standard</v>
      </c>
      <c r="D215" s="13">
        <v>44819</v>
      </c>
      <c r="F215" t="s">
        <v>764</v>
      </c>
      <c r="G215" t="s">
        <v>318</v>
      </c>
      <c r="H215" t="s">
        <v>4</v>
      </c>
      <c r="I215" s="25" t="s">
        <v>319</v>
      </c>
      <c r="M215" t="s">
        <v>790</v>
      </c>
    </row>
    <row r="216" spans="1:13" x14ac:dyDescent="0.35">
      <c r="A216">
        <v>984461</v>
      </c>
      <c r="B216" s="22" t="str">
        <f>IFERROR(VLOOKUP(A216,VLOOKUPS!$A:$B,2,FALSE), "")</f>
        <v>Strawberries 2lb-standard</v>
      </c>
      <c r="D216" s="13">
        <v>44819</v>
      </c>
      <c r="F216" t="s">
        <v>764</v>
      </c>
      <c r="G216" t="s">
        <v>318</v>
      </c>
      <c r="H216" t="s">
        <v>5</v>
      </c>
      <c r="I216" s="25" t="s">
        <v>319</v>
      </c>
      <c r="M216" t="s">
        <v>790</v>
      </c>
    </row>
    <row r="217" spans="1:13" x14ac:dyDescent="0.35">
      <c r="A217">
        <v>984500</v>
      </c>
      <c r="B217" s="22" t="str">
        <f>IFERROR(VLOOKUP(A217,VLOOKUPS!$A:$B,2,FALSE), "")</f>
        <v>Organic Strawberries 1lb-standard</v>
      </c>
      <c r="D217" s="13">
        <v>44819</v>
      </c>
      <c r="F217" t="s">
        <v>764</v>
      </c>
      <c r="G217" t="s">
        <v>318</v>
      </c>
      <c r="H217" t="s">
        <v>6</v>
      </c>
      <c r="I217" s="25" t="s">
        <v>319</v>
      </c>
      <c r="M217" t="s">
        <v>790</v>
      </c>
    </row>
    <row r="218" spans="1:13" x14ac:dyDescent="0.35">
      <c r="A218">
        <v>984500</v>
      </c>
      <c r="B218" s="22" t="str">
        <f>IFERROR(VLOOKUP(A218,VLOOKUPS!$A:$B,2,FALSE), "")</f>
        <v>Organic Strawberries 1lb-standard</v>
      </c>
      <c r="D218" s="13">
        <v>44819</v>
      </c>
      <c r="F218" t="s">
        <v>764</v>
      </c>
      <c r="G218" t="s">
        <v>318</v>
      </c>
      <c r="H218" t="s">
        <v>4</v>
      </c>
      <c r="I218" s="25" t="s">
        <v>319</v>
      </c>
      <c r="M218" t="s">
        <v>790</v>
      </c>
    </row>
    <row r="219" spans="1:13" x14ac:dyDescent="0.35">
      <c r="A219">
        <v>984500</v>
      </c>
      <c r="B219" s="22" t="str">
        <f>IFERROR(VLOOKUP(A219,VLOOKUPS!$A:$B,2,FALSE), "")</f>
        <v>Organic Strawberries 1lb-standard</v>
      </c>
      <c r="D219" s="13">
        <v>44819</v>
      </c>
      <c r="F219" t="s">
        <v>764</v>
      </c>
      <c r="G219" t="s">
        <v>318</v>
      </c>
      <c r="H219" t="s">
        <v>5</v>
      </c>
      <c r="I219" s="25" t="s">
        <v>319</v>
      </c>
      <c r="M219" t="s">
        <v>790</v>
      </c>
    </row>
    <row r="220" spans="1:13" x14ac:dyDescent="0.35">
      <c r="A220">
        <v>984541</v>
      </c>
      <c r="B220" s="22" t="str">
        <f>IFERROR(VLOOKUP(A220,VLOOKUPS!$A:$B,2,FALSE), "")</f>
        <v>Blueberries 1pt-standard</v>
      </c>
      <c r="D220" s="13">
        <v>44819</v>
      </c>
      <c r="F220" t="s">
        <v>764</v>
      </c>
      <c r="G220" t="s">
        <v>318</v>
      </c>
      <c r="H220" t="s">
        <v>6</v>
      </c>
      <c r="I220" s="25" t="s">
        <v>319</v>
      </c>
      <c r="M220" t="s">
        <v>790</v>
      </c>
    </row>
    <row r="221" spans="1:13" x14ac:dyDescent="0.35">
      <c r="A221">
        <v>984541</v>
      </c>
      <c r="B221" s="22" t="str">
        <f>IFERROR(VLOOKUP(A221,VLOOKUPS!$A:$B,2,FALSE), "")</f>
        <v>Blueberries 1pt-standard</v>
      </c>
      <c r="D221" s="13">
        <v>44819</v>
      </c>
      <c r="F221" t="s">
        <v>764</v>
      </c>
      <c r="G221" t="s">
        <v>318</v>
      </c>
      <c r="H221" t="s">
        <v>4</v>
      </c>
      <c r="I221" s="25" t="s">
        <v>319</v>
      </c>
      <c r="M221" t="s">
        <v>790</v>
      </c>
    </row>
    <row r="222" spans="1:13" x14ac:dyDescent="0.35">
      <c r="A222">
        <v>984541</v>
      </c>
      <c r="B222" s="22" t="str">
        <f>IFERROR(VLOOKUP(A222,VLOOKUPS!$A:$B,2,FALSE), "")</f>
        <v>Blueberries 1pt-standard</v>
      </c>
      <c r="D222" s="13">
        <v>44819</v>
      </c>
      <c r="F222" t="s">
        <v>764</v>
      </c>
      <c r="G222" t="s">
        <v>318</v>
      </c>
      <c r="H222" t="s">
        <v>5</v>
      </c>
      <c r="I222" s="25" t="s">
        <v>319</v>
      </c>
      <c r="M222" t="s">
        <v>790</v>
      </c>
    </row>
    <row r="223" spans="1:13" x14ac:dyDescent="0.35">
      <c r="A223">
        <v>984542</v>
      </c>
      <c r="B223" s="22" t="str">
        <f>IFERROR(VLOOKUP(A223,VLOOKUPS!$A:$B,2,FALSE), "")</f>
        <v>Blueberries 18oz-standard</v>
      </c>
      <c r="D223" s="13">
        <v>44819</v>
      </c>
      <c r="F223" t="s">
        <v>764</v>
      </c>
      <c r="G223" t="s">
        <v>318</v>
      </c>
      <c r="H223" t="s">
        <v>6</v>
      </c>
      <c r="I223" s="25" t="s">
        <v>319</v>
      </c>
      <c r="M223" t="s">
        <v>790</v>
      </c>
    </row>
    <row r="224" spans="1:13" x14ac:dyDescent="0.35">
      <c r="A224">
        <v>984542</v>
      </c>
      <c r="B224" s="22" t="str">
        <f>IFERROR(VLOOKUP(A224,VLOOKUPS!$A:$B,2,FALSE), "")</f>
        <v>Blueberries 18oz-standard</v>
      </c>
      <c r="D224" s="13">
        <v>44819</v>
      </c>
      <c r="F224" t="s">
        <v>764</v>
      </c>
      <c r="G224" t="s">
        <v>318</v>
      </c>
      <c r="H224" t="s">
        <v>4</v>
      </c>
      <c r="I224" s="25" t="s">
        <v>319</v>
      </c>
      <c r="M224" t="s">
        <v>790</v>
      </c>
    </row>
    <row r="225" spans="1:13" x14ac:dyDescent="0.35">
      <c r="A225">
        <v>984542</v>
      </c>
      <c r="B225" s="22" t="str">
        <f>IFERROR(VLOOKUP(A225,VLOOKUPS!$A:$B,2,FALSE), "")</f>
        <v>Blueberries 18oz-standard</v>
      </c>
      <c r="D225" s="13">
        <v>44819</v>
      </c>
      <c r="F225" t="s">
        <v>764</v>
      </c>
      <c r="G225" t="s">
        <v>318</v>
      </c>
      <c r="H225" t="s">
        <v>5</v>
      </c>
      <c r="I225" s="25" t="s">
        <v>319</v>
      </c>
      <c r="M225" t="s">
        <v>790</v>
      </c>
    </row>
    <row r="226" spans="1:13" x14ac:dyDescent="0.35">
      <c r="A226">
        <v>984582</v>
      </c>
      <c r="B226" s="22" t="str">
        <f>IFERROR(VLOOKUP(A226,VLOOKUPS!$A:$B,2,FALSE), "")</f>
        <v/>
      </c>
      <c r="D226" s="13">
        <v>44819</v>
      </c>
      <c r="F226" t="s">
        <v>764</v>
      </c>
      <c r="G226" t="s">
        <v>318</v>
      </c>
      <c r="H226" t="s">
        <v>6</v>
      </c>
      <c r="I226" s="25" t="s">
        <v>319</v>
      </c>
      <c r="M226" t="s">
        <v>790</v>
      </c>
    </row>
    <row r="227" spans="1:13" x14ac:dyDescent="0.35">
      <c r="A227">
        <v>984582</v>
      </c>
      <c r="B227" s="22" t="str">
        <f>IFERROR(VLOOKUP(A227,VLOOKUPS!$A:$B,2,FALSE), "")</f>
        <v/>
      </c>
      <c r="D227" s="13">
        <v>44819</v>
      </c>
      <c r="F227" t="s">
        <v>764</v>
      </c>
      <c r="G227" t="s">
        <v>318</v>
      </c>
      <c r="H227" t="s">
        <v>4</v>
      </c>
      <c r="I227" s="25" t="s">
        <v>319</v>
      </c>
      <c r="M227" t="s">
        <v>790</v>
      </c>
    </row>
    <row r="228" spans="1:13" x14ac:dyDescent="0.35">
      <c r="A228">
        <v>984582</v>
      </c>
      <c r="B228" s="22" t="str">
        <f>IFERROR(VLOOKUP(A228,VLOOKUPS!$A:$B,2,FALSE), "")</f>
        <v/>
      </c>
      <c r="D228" s="13">
        <v>44819</v>
      </c>
      <c r="F228" t="s">
        <v>764</v>
      </c>
      <c r="G228" t="s">
        <v>318</v>
      </c>
      <c r="H228" t="s">
        <v>5</v>
      </c>
      <c r="I228" s="25" t="s">
        <v>319</v>
      </c>
      <c r="M228" t="s">
        <v>790</v>
      </c>
    </row>
    <row r="229" spans="1:13" x14ac:dyDescent="0.35">
      <c r="A229">
        <v>984620</v>
      </c>
      <c r="B229" s="22" t="str">
        <f>IFERROR(VLOOKUP(A229,VLOOKUPS!$A:$B,2,FALSE), "")</f>
        <v>Raspberries 6oz-standard</v>
      </c>
      <c r="D229" s="13">
        <v>44819</v>
      </c>
      <c r="F229" t="s">
        <v>764</v>
      </c>
      <c r="G229" t="s">
        <v>318</v>
      </c>
      <c r="H229" t="s">
        <v>6</v>
      </c>
      <c r="I229" s="25" t="s">
        <v>319</v>
      </c>
      <c r="M229" t="s">
        <v>790</v>
      </c>
    </row>
    <row r="230" spans="1:13" x14ac:dyDescent="0.35">
      <c r="A230">
        <v>984620</v>
      </c>
      <c r="B230" s="22" t="str">
        <f>IFERROR(VLOOKUP(A230,VLOOKUPS!$A:$B,2,FALSE), "")</f>
        <v>Raspberries 6oz-standard</v>
      </c>
      <c r="D230" s="13">
        <v>44819</v>
      </c>
      <c r="F230" t="s">
        <v>764</v>
      </c>
      <c r="G230" t="s">
        <v>318</v>
      </c>
      <c r="H230" t="s">
        <v>4</v>
      </c>
      <c r="I230" s="25" t="s">
        <v>319</v>
      </c>
      <c r="M230" t="s">
        <v>790</v>
      </c>
    </row>
    <row r="231" spans="1:13" x14ac:dyDescent="0.35">
      <c r="A231">
        <v>984620</v>
      </c>
      <c r="B231" s="22" t="str">
        <f>IFERROR(VLOOKUP(A231,VLOOKUPS!$A:$B,2,FALSE), "")</f>
        <v>Raspberries 6oz-standard</v>
      </c>
      <c r="D231" s="13">
        <v>44819</v>
      </c>
      <c r="F231" t="s">
        <v>764</v>
      </c>
      <c r="G231" t="s">
        <v>318</v>
      </c>
      <c r="H231" t="s">
        <v>5</v>
      </c>
      <c r="I231" s="25" t="s">
        <v>319</v>
      </c>
      <c r="M231" t="s">
        <v>790</v>
      </c>
    </row>
    <row r="232" spans="1:13" x14ac:dyDescent="0.35">
      <c r="A232">
        <v>984621</v>
      </c>
      <c r="B232" s="22" t="str">
        <f>IFERROR(VLOOKUP(A232,VLOOKUPS!$A:$B,2,FALSE), "")</f>
        <v>Raspberries 12oz-standard</v>
      </c>
      <c r="D232" s="13">
        <v>44819</v>
      </c>
      <c r="F232" t="s">
        <v>764</v>
      </c>
      <c r="G232" t="s">
        <v>318</v>
      </c>
      <c r="H232" t="s">
        <v>6</v>
      </c>
      <c r="I232" s="25" t="s">
        <v>319</v>
      </c>
      <c r="M232" t="s">
        <v>790</v>
      </c>
    </row>
    <row r="233" spans="1:13" x14ac:dyDescent="0.35">
      <c r="A233">
        <v>984621</v>
      </c>
      <c r="B233" s="22" t="str">
        <f>IFERROR(VLOOKUP(A233,VLOOKUPS!$A:$B,2,FALSE), "")</f>
        <v>Raspberries 12oz-standard</v>
      </c>
      <c r="D233" s="13">
        <v>44819</v>
      </c>
      <c r="F233" t="s">
        <v>764</v>
      </c>
      <c r="G233" t="s">
        <v>318</v>
      </c>
      <c r="H233" t="s">
        <v>4</v>
      </c>
      <c r="I233" s="25" t="s">
        <v>319</v>
      </c>
      <c r="M233" t="s">
        <v>790</v>
      </c>
    </row>
    <row r="234" spans="1:13" x14ac:dyDescent="0.35">
      <c r="A234">
        <v>984621</v>
      </c>
      <c r="B234" s="22" t="str">
        <f>IFERROR(VLOOKUP(A234,VLOOKUPS!$A:$B,2,FALSE), "")</f>
        <v>Raspberries 12oz-standard</v>
      </c>
      <c r="D234" s="13">
        <v>44819</v>
      </c>
      <c r="F234" t="s">
        <v>764</v>
      </c>
      <c r="G234" t="s">
        <v>318</v>
      </c>
      <c r="H234" t="s">
        <v>5</v>
      </c>
      <c r="I234" s="25" t="s">
        <v>319</v>
      </c>
      <c r="M234" t="s">
        <v>790</v>
      </c>
    </row>
    <row r="235" spans="1:13" x14ac:dyDescent="0.35">
      <c r="A235">
        <v>984700</v>
      </c>
      <c r="B235" s="22" t="str">
        <f>IFERROR(VLOOKUP(A235,VLOOKUPS!$A:$B,2,FALSE), "")</f>
        <v>Blackberries 6oz-standard</v>
      </c>
      <c r="D235" s="13">
        <v>44819</v>
      </c>
      <c r="F235" t="s">
        <v>764</v>
      </c>
      <c r="G235" t="s">
        <v>318</v>
      </c>
      <c r="H235" t="s">
        <v>6</v>
      </c>
      <c r="I235" s="25" t="s">
        <v>319</v>
      </c>
      <c r="M235" t="s">
        <v>790</v>
      </c>
    </row>
    <row r="236" spans="1:13" x14ac:dyDescent="0.35">
      <c r="A236">
        <v>984700</v>
      </c>
      <c r="B236" s="22" t="str">
        <f>IFERROR(VLOOKUP(A236,VLOOKUPS!$A:$B,2,FALSE), "")</f>
        <v>Blackberries 6oz-standard</v>
      </c>
      <c r="D236" s="13">
        <v>44819</v>
      </c>
      <c r="F236" t="s">
        <v>764</v>
      </c>
      <c r="G236" t="s">
        <v>318</v>
      </c>
      <c r="H236" t="s">
        <v>4</v>
      </c>
      <c r="I236" s="25" t="s">
        <v>319</v>
      </c>
      <c r="M236" t="s">
        <v>790</v>
      </c>
    </row>
    <row r="237" spans="1:13" x14ac:dyDescent="0.35">
      <c r="A237">
        <v>984700</v>
      </c>
      <c r="B237" s="22" t="str">
        <f>IFERROR(VLOOKUP(A237,VLOOKUPS!$A:$B,2,FALSE), "")</f>
        <v>Blackberries 6oz-standard</v>
      </c>
      <c r="D237" s="13">
        <v>44819</v>
      </c>
      <c r="F237" t="s">
        <v>764</v>
      </c>
      <c r="G237" t="s">
        <v>318</v>
      </c>
      <c r="H237" t="s">
        <v>5</v>
      </c>
      <c r="I237" s="25" t="s">
        <v>319</v>
      </c>
      <c r="M237" t="s">
        <v>790</v>
      </c>
    </row>
    <row r="238" spans="1:13" x14ac:dyDescent="0.35">
      <c r="A238">
        <v>984702</v>
      </c>
      <c r="B238" s="22" t="str">
        <f>IFERROR(VLOOKUP(A238,VLOOKUPS!$A:$B,2,FALSE), "")</f>
        <v>Blackberries 12oz-standard</v>
      </c>
      <c r="D238" s="13">
        <v>44819</v>
      </c>
      <c r="F238" t="s">
        <v>764</v>
      </c>
      <c r="G238" t="s">
        <v>318</v>
      </c>
      <c r="H238" t="s">
        <v>6</v>
      </c>
      <c r="I238" s="25" t="s">
        <v>319</v>
      </c>
      <c r="M238" t="s">
        <v>790</v>
      </c>
    </row>
    <row r="239" spans="1:13" x14ac:dyDescent="0.35">
      <c r="A239">
        <v>984702</v>
      </c>
      <c r="B239" s="22" t="str">
        <f>IFERROR(VLOOKUP(A239,VLOOKUPS!$A:$B,2,FALSE), "")</f>
        <v>Blackberries 12oz-standard</v>
      </c>
      <c r="D239" s="13">
        <v>44819</v>
      </c>
      <c r="F239" t="s">
        <v>764</v>
      </c>
      <c r="G239" t="s">
        <v>318</v>
      </c>
      <c r="H239" t="s">
        <v>4</v>
      </c>
      <c r="I239" s="25" t="s">
        <v>319</v>
      </c>
      <c r="M239" t="s">
        <v>790</v>
      </c>
    </row>
    <row r="240" spans="1:13" x14ac:dyDescent="0.35">
      <c r="A240">
        <v>984702</v>
      </c>
      <c r="B240" s="22" t="str">
        <f>IFERROR(VLOOKUP(A240,VLOOKUPS!$A:$B,2,FALSE), "")</f>
        <v>Blackberries 12oz-standard</v>
      </c>
      <c r="D240" s="13">
        <v>44819</v>
      </c>
      <c r="F240" t="s">
        <v>764</v>
      </c>
      <c r="G240" t="s">
        <v>318</v>
      </c>
      <c r="H240" t="s">
        <v>5</v>
      </c>
      <c r="I240" s="25" t="s">
        <v>319</v>
      </c>
      <c r="M240" t="s">
        <v>790</v>
      </c>
    </row>
    <row r="241" spans="1:13" x14ac:dyDescent="0.35">
      <c r="A241">
        <v>984831</v>
      </c>
      <c r="B241" s="22" t="str">
        <f>IFERROR(VLOOKUP(A241,VLOOKUPS!$A:$B,2,FALSE), "")</f>
        <v>Berries Golden 4.4oz-standard</v>
      </c>
      <c r="D241" s="13">
        <v>44819</v>
      </c>
      <c r="F241" t="s">
        <v>764</v>
      </c>
      <c r="G241" t="s">
        <v>318</v>
      </c>
      <c r="H241" t="s">
        <v>6</v>
      </c>
      <c r="I241" s="25" t="s">
        <v>319</v>
      </c>
      <c r="M241" t="s">
        <v>790</v>
      </c>
    </row>
    <row r="242" spans="1:13" x14ac:dyDescent="0.35">
      <c r="A242">
        <v>984831</v>
      </c>
      <c r="B242" s="22" t="str">
        <f>IFERROR(VLOOKUP(A242,VLOOKUPS!$A:$B,2,FALSE), "")</f>
        <v>Berries Golden 4.4oz-standard</v>
      </c>
      <c r="D242" s="13">
        <v>44819</v>
      </c>
      <c r="F242" t="s">
        <v>764</v>
      </c>
      <c r="G242" t="s">
        <v>318</v>
      </c>
      <c r="H242" t="s">
        <v>4</v>
      </c>
      <c r="I242" s="25" t="s">
        <v>319</v>
      </c>
      <c r="M242" t="s">
        <v>790</v>
      </c>
    </row>
    <row r="243" spans="1:13" x14ac:dyDescent="0.35">
      <c r="A243">
        <v>984831</v>
      </c>
      <c r="B243" s="22" t="str">
        <f>IFERROR(VLOOKUP(A243,VLOOKUPS!$A:$B,2,FALSE), "")</f>
        <v>Berries Golden 4.4oz-standard</v>
      </c>
      <c r="D243" s="13">
        <v>44819</v>
      </c>
      <c r="F243" t="s">
        <v>764</v>
      </c>
      <c r="G243" t="s">
        <v>318</v>
      </c>
      <c r="H243" t="s">
        <v>5</v>
      </c>
      <c r="I243" s="25" t="s">
        <v>319</v>
      </c>
      <c r="M243" t="s">
        <v>790</v>
      </c>
    </row>
    <row r="244" spans="1:13" x14ac:dyDescent="0.35">
      <c r="A244">
        <v>984910</v>
      </c>
      <c r="B244" s="22" t="str">
        <f>IFERROR(VLOOKUP(A244,VLOOKUPS!$A:$B,2,FALSE), "")</f>
        <v>Dates Medjool 1lb-standard</v>
      </c>
      <c r="D244" s="13">
        <v>44819</v>
      </c>
      <c r="F244" t="s">
        <v>764</v>
      </c>
      <c r="G244" t="s">
        <v>318</v>
      </c>
      <c r="H244" t="s">
        <v>6</v>
      </c>
      <c r="I244" s="25" t="s">
        <v>319</v>
      </c>
      <c r="M244" t="s">
        <v>790</v>
      </c>
    </row>
    <row r="245" spans="1:13" x14ac:dyDescent="0.35">
      <c r="A245">
        <v>984910</v>
      </c>
      <c r="B245" s="22" t="str">
        <f>IFERROR(VLOOKUP(A245,VLOOKUPS!$A:$B,2,FALSE), "")</f>
        <v>Dates Medjool 1lb-standard</v>
      </c>
      <c r="D245" s="13">
        <v>44819</v>
      </c>
      <c r="F245" t="s">
        <v>764</v>
      </c>
      <c r="G245" t="s">
        <v>318</v>
      </c>
      <c r="H245" t="s">
        <v>4</v>
      </c>
      <c r="I245" s="25" t="s">
        <v>319</v>
      </c>
      <c r="M245" t="s">
        <v>790</v>
      </c>
    </row>
    <row r="246" spans="1:13" x14ac:dyDescent="0.35">
      <c r="A246">
        <v>984910</v>
      </c>
      <c r="B246" s="22" t="str">
        <f>IFERROR(VLOOKUP(A246,VLOOKUPS!$A:$B,2,FALSE), "")</f>
        <v>Dates Medjool 1lb-standard</v>
      </c>
      <c r="D246" s="13">
        <v>44819</v>
      </c>
      <c r="F246" t="s">
        <v>764</v>
      </c>
      <c r="G246" t="s">
        <v>318</v>
      </c>
      <c r="H246" t="s">
        <v>5</v>
      </c>
      <c r="I246" s="25" t="s">
        <v>319</v>
      </c>
      <c r="M246" t="s">
        <v>790</v>
      </c>
    </row>
    <row r="247" spans="1:13" x14ac:dyDescent="0.35">
      <c r="A247">
        <v>984911</v>
      </c>
      <c r="B247" s="22" t="str">
        <f>IFERROR(VLOOKUP(A247,VLOOKUPS!$A:$B,2,FALSE), "")</f>
        <v>Dates Almond 12oz-standard</v>
      </c>
      <c r="D247" s="13">
        <v>44819</v>
      </c>
      <c r="F247" t="s">
        <v>764</v>
      </c>
      <c r="G247" t="s">
        <v>318</v>
      </c>
      <c r="H247" t="s">
        <v>6</v>
      </c>
      <c r="I247" s="25" t="s">
        <v>319</v>
      </c>
      <c r="M247" t="s">
        <v>790</v>
      </c>
    </row>
    <row r="248" spans="1:13" x14ac:dyDescent="0.35">
      <c r="A248">
        <v>984911</v>
      </c>
      <c r="B248" s="22" t="str">
        <f>IFERROR(VLOOKUP(A248,VLOOKUPS!$A:$B,2,FALSE), "")</f>
        <v>Dates Almond 12oz-standard</v>
      </c>
      <c r="D248" s="13">
        <v>44819</v>
      </c>
      <c r="F248" t="s">
        <v>764</v>
      </c>
      <c r="G248" t="s">
        <v>318</v>
      </c>
      <c r="H248" t="s">
        <v>4</v>
      </c>
      <c r="I248" s="25" t="s">
        <v>319</v>
      </c>
      <c r="M248" t="s">
        <v>790</v>
      </c>
    </row>
    <row r="249" spans="1:13" x14ac:dyDescent="0.35">
      <c r="A249">
        <v>984911</v>
      </c>
      <c r="B249" s="22" t="str">
        <f>IFERROR(VLOOKUP(A249,VLOOKUPS!$A:$B,2,FALSE), "")</f>
        <v>Dates Almond 12oz-standard</v>
      </c>
      <c r="D249" s="13">
        <v>44819</v>
      </c>
      <c r="F249" t="s">
        <v>764</v>
      </c>
      <c r="G249" t="s">
        <v>318</v>
      </c>
      <c r="H249" t="s">
        <v>5</v>
      </c>
      <c r="I249" s="25" t="s">
        <v>319</v>
      </c>
      <c r="M249" t="s">
        <v>790</v>
      </c>
    </row>
    <row r="250" spans="1:13" x14ac:dyDescent="0.35">
      <c r="A250">
        <v>984912</v>
      </c>
      <c r="B250" s="22" t="str">
        <f>IFERROR(VLOOKUP(A250,VLOOKUPS!$A:$B,2,FALSE), "")</f>
        <v>Dates Coconut 12oz-standard</v>
      </c>
      <c r="D250" s="13">
        <v>44819</v>
      </c>
      <c r="F250" t="s">
        <v>764</v>
      </c>
      <c r="G250" t="s">
        <v>318</v>
      </c>
      <c r="H250" t="s">
        <v>6</v>
      </c>
      <c r="I250" s="25" t="s">
        <v>319</v>
      </c>
      <c r="M250" t="s">
        <v>790</v>
      </c>
    </row>
    <row r="251" spans="1:13" x14ac:dyDescent="0.35">
      <c r="A251">
        <v>984912</v>
      </c>
      <c r="B251" s="22" t="str">
        <f>IFERROR(VLOOKUP(A251,VLOOKUPS!$A:$B,2,FALSE), "")</f>
        <v>Dates Coconut 12oz-standard</v>
      </c>
      <c r="D251" s="13">
        <v>44819</v>
      </c>
      <c r="F251" t="s">
        <v>764</v>
      </c>
      <c r="G251" t="s">
        <v>318</v>
      </c>
      <c r="H251" t="s">
        <v>4</v>
      </c>
      <c r="I251" s="25" t="s">
        <v>319</v>
      </c>
      <c r="M251" t="s">
        <v>790</v>
      </c>
    </row>
    <row r="252" spans="1:13" x14ac:dyDescent="0.35">
      <c r="A252">
        <v>984912</v>
      </c>
      <c r="B252" s="22" t="str">
        <f>IFERROR(VLOOKUP(A252,VLOOKUPS!$A:$B,2,FALSE), "")</f>
        <v>Dates Coconut 12oz-standard</v>
      </c>
      <c r="D252" s="13">
        <v>44819</v>
      </c>
      <c r="F252" t="s">
        <v>764</v>
      </c>
      <c r="G252" t="s">
        <v>318</v>
      </c>
      <c r="H252" t="s">
        <v>5</v>
      </c>
      <c r="I252" s="25" t="s">
        <v>319</v>
      </c>
      <c r="M252" t="s">
        <v>790</v>
      </c>
    </row>
    <row r="253" spans="1:13" x14ac:dyDescent="0.35">
      <c r="A253">
        <v>985011</v>
      </c>
      <c r="B253" s="22" t="str">
        <f>IFERROR(VLOOKUP(A253,VLOOKUPS!$A:$B,2,FALSE), "")</f>
        <v>Lettuce Butter 1ct-standard</v>
      </c>
      <c r="D253" s="13">
        <v>44819</v>
      </c>
      <c r="F253" t="s">
        <v>764</v>
      </c>
      <c r="G253" t="s">
        <v>318</v>
      </c>
      <c r="H253" t="s">
        <v>6</v>
      </c>
      <c r="I253" s="25" t="s">
        <v>319</v>
      </c>
      <c r="M253" t="s">
        <v>790</v>
      </c>
    </row>
    <row r="254" spans="1:13" x14ac:dyDescent="0.35">
      <c r="A254">
        <v>985011</v>
      </c>
      <c r="B254" s="22" t="str">
        <f>IFERROR(VLOOKUP(A254,VLOOKUPS!$A:$B,2,FALSE), "")</f>
        <v>Lettuce Butter 1ct-standard</v>
      </c>
      <c r="D254" s="13">
        <v>44819</v>
      </c>
      <c r="F254" t="s">
        <v>764</v>
      </c>
      <c r="G254" t="s">
        <v>318</v>
      </c>
      <c r="H254" t="s">
        <v>4</v>
      </c>
      <c r="I254" s="25" t="s">
        <v>319</v>
      </c>
      <c r="M254" t="s">
        <v>790</v>
      </c>
    </row>
    <row r="255" spans="1:13" x14ac:dyDescent="0.35">
      <c r="A255">
        <v>985011</v>
      </c>
      <c r="B255" s="22" t="str">
        <f>IFERROR(VLOOKUP(A255,VLOOKUPS!$A:$B,2,FALSE), "")</f>
        <v>Lettuce Butter 1ct-standard</v>
      </c>
      <c r="D255" s="13">
        <v>44819</v>
      </c>
      <c r="F255" t="s">
        <v>764</v>
      </c>
      <c r="G255" t="s">
        <v>318</v>
      </c>
      <c r="H255" t="s">
        <v>5</v>
      </c>
      <c r="I255" s="25" t="s">
        <v>319</v>
      </c>
      <c r="M255" t="s">
        <v>790</v>
      </c>
    </row>
    <row r="256" spans="1:13" x14ac:dyDescent="0.35">
      <c r="A256">
        <v>985060</v>
      </c>
      <c r="B256" s="22" t="str">
        <f>IFERROR(VLOOKUP(A256,VLOOKUPS!$A:$B,2,FALSE), "")</f>
        <v>Lettuce* Iceberg 1ct-standard</v>
      </c>
      <c r="D256" s="13">
        <v>44819</v>
      </c>
      <c r="F256" t="s">
        <v>764</v>
      </c>
      <c r="G256" t="s">
        <v>318</v>
      </c>
      <c r="H256" t="s">
        <v>6</v>
      </c>
      <c r="I256" s="25" t="s">
        <v>319</v>
      </c>
      <c r="M256" t="s">
        <v>790</v>
      </c>
    </row>
    <row r="257" spans="1:13" x14ac:dyDescent="0.35">
      <c r="A257">
        <v>985060</v>
      </c>
      <c r="B257" s="22" t="str">
        <f>IFERROR(VLOOKUP(A257,VLOOKUPS!$A:$B,2,FALSE), "")</f>
        <v>Lettuce* Iceberg 1ct-standard</v>
      </c>
      <c r="D257" s="13">
        <v>44819</v>
      </c>
      <c r="F257" t="s">
        <v>764</v>
      </c>
      <c r="G257" t="s">
        <v>318</v>
      </c>
      <c r="H257" t="s">
        <v>4</v>
      </c>
      <c r="I257" s="25" t="s">
        <v>319</v>
      </c>
      <c r="M257" t="s">
        <v>790</v>
      </c>
    </row>
    <row r="258" spans="1:13" x14ac:dyDescent="0.35">
      <c r="A258">
        <v>985060</v>
      </c>
      <c r="B258" s="22" t="str">
        <f>IFERROR(VLOOKUP(A258,VLOOKUPS!$A:$B,2,FALSE), "")</f>
        <v>Lettuce* Iceberg 1ct-standard</v>
      </c>
      <c r="D258" s="13">
        <v>44819</v>
      </c>
      <c r="F258" t="s">
        <v>764</v>
      </c>
      <c r="G258" t="s">
        <v>318</v>
      </c>
      <c r="H258" t="s">
        <v>5</v>
      </c>
      <c r="I258" s="25" t="s">
        <v>319</v>
      </c>
      <c r="M258" t="s">
        <v>790</v>
      </c>
    </row>
    <row r="259" spans="1:13" x14ac:dyDescent="0.35">
      <c r="A259">
        <v>985111</v>
      </c>
      <c r="B259" s="22" t="str">
        <f>IFERROR(VLOOKUP(A259,VLOOKUPS!$A:$B,2,FALSE), "")</f>
        <v>Lettuce Mixed 1ct-standard</v>
      </c>
      <c r="D259" s="13">
        <v>44819</v>
      </c>
      <c r="F259" t="s">
        <v>764</v>
      </c>
      <c r="G259" t="s">
        <v>318</v>
      </c>
      <c r="H259" t="s">
        <v>6</v>
      </c>
      <c r="I259" s="25" t="s">
        <v>319</v>
      </c>
      <c r="M259" t="s">
        <v>790</v>
      </c>
    </row>
    <row r="260" spans="1:13" x14ac:dyDescent="0.35">
      <c r="A260">
        <v>985111</v>
      </c>
      <c r="B260" s="22" t="str">
        <f>IFERROR(VLOOKUP(A260,VLOOKUPS!$A:$B,2,FALSE), "")</f>
        <v>Lettuce Mixed 1ct-standard</v>
      </c>
      <c r="D260" s="13">
        <v>44819</v>
      </c>
      <c r="F260" t="s">
        <v>764</v>
      </c>
      <c r="G260" t="s">
        <v>318</v>
      </c>
      <c r="H260" t="s">
        <v>4</v>
      </c>
      <c r="I260" s="25" t="s">
        <v>319</v>
      </c>
      <c r="M260" t="s">
        <v>790</v>
      </c>
    </row>
    <row r="261" spans="1:13" x14ac:dyDescent="0.35">
      <c r="A261">
        <v>985111</v>
      </c>
      <c r="B261" s="22" t="str">
        <f>IFERROR(VLOOKUP(A261,VLOOKUPS!$A:$B,2,FALSE), "")</f>
        <v>Lettuce Mixed 1ct-standard</v>
      </c>
      <c r="D261" s="13">
        <v>44819</v>
      </c>
      <c r="F261" t="s">
        <v>764</v>
      </c>
      <c r="G261" t="s">
        <v>318</v>
      </c>
      <c r="H261" t="s">
        <v>5</v>
      </c>
      <c r="I261" s="25" t="s">
        <v>319</v>
      </c>
      <c r="M261" t="s">
        <v>790</v>
      </c>
    </row>
    <row r="262" spans="1:13" x14ac:dyDescent="0.35">
      <c r="A262">
        <v>985160</v>
      </c>
      <c r="B262" s="22" t="str">
        <f>IFERROR(VLOOKUP(A262,VLOOKUPS!$A:$B,2,FALSE), "")</f>
        <v>Romaine Hearts 3ct-standard</v>
      </c>
      <c r="D262" s="13">
        <v>44819</v>
      </c>
      <c r="F262" t="s">
        <v>764</v>
      </c>
      <c r="G262" t="s">
        <v>318</v>
      </c>
      <c r="H262" t="s">
        <v>6</v>
      </c>
      <c r="I262" s="25" t="s">
        <v>319</v>
      </c>
      <c r="M262" t="s">
        <v>790</v>
      </c>
    </row>
    <row r="263" spans="1:13" x14ac:dyDescent="0.35">
      <c r="A263">
        <v>985160</v>
      </c>
      <c r="B263" s="22" t="str">
        <f>IFERROR(VLOOKUP(A263,VLOOKUPS!$A:$B,2,FALSE), "")</f>
        <v>Romaine Hearts 3ct-standard</v>
      </c>
      <c r="D263" s="13">
        <v>44819</v>
      </c>
      <c r="F263" t="s">
        <v>764</v>
      </c>
      <c r="G263" t="s">
        <v>318</v>
      </c>
      <c r="H263" t="s">
        <v>4</v>
      </c>
      <c r="I263" s="25" t="s">
        <v>319</v>
      </c>
      <c r="M263" t="s">
        <v>790</v>
      </c>
    </row>
    <row r="264" spans="1:13" x14ac:dyDescent="0.35">
      <c r="A264">
        <v>985160</v>
      </c>
      <c r="B264" s="22" t="str">
        <f>IFERROR(VLOOKUP(A264,VLOOKUPS!$A:$B,2,FALSE), "")</f>
        <v>Romaine Hearts 3ct-standard</v>
      </c>
      <c r="D264" s="13">
        <v>44819</v>
      </c>
      <c r="F264" t="s">
        <v>764</v>
      </c>
      <c r="G264" t="s">
        <v>318</v>
      </c>
      <c r="H264" t="s">
        <v>5</v>
      </c>
      <c r="I264" s="25" t="s">
        <v>319</v>
      </c>
      <c r="M264" t="s">
        <v>790</v>
      </c>
    </row>
    <row r="265" spans="1:13" x14ac:dyDescent="0.35">
      <c r="A265">
        <v>985190</v>
      </c>
      <c r="B265" s="22" t="str">
        <f>IFERROR(VLOOKUP(A265,VLOOKUPS!$A:$B,2,FALSE), "")</f>
        <v>Organic Romaine Hearts 3ct-standard</v>
      </c>
      <c r="D265" s="13">
        <v>44819</v>
      </c>
      <c r="F265" t="s">
        <v>764</v>
      </c>
      <c r="G265" t="s">
        <v>318</v>
      </c>
      <c r="H265" t="s">
        <v>6</v>
      </c>
      <c r="I265" s="25" t="s">
        <v>319</v>
      </c>
      <c r="M265" t="s">
        <v>790</v>
      </c>
    </row>
    <row r="266" spans="1:13" x14ac:dyDescent="0.35">
      <c r="A266">
        <v>985190</v>
      </c>
      <c r="B266" s="22" t="str">
        <f>IFERROR(VLOOKUP(A266,VLOOKUPS!$A:$B,2,FALSE), "")</f>
        <v>Organic Romaine Hearts 3ct-standard</v>
      </c>
      <c r="D266" s="13">
        <v>44819</v>
      </c>
      <c r="F266" t="s">
        <v>764</v>
      </c>
      <c r="G266" t="s">
        <v>318</v>
      </c>
      <c r="H266" t="s">
        <v>4</v>
      </c>
      <c r="I266" s="25" t="s">
        <v>319</v>
      </c>
      <c r="M266" t="s">
        <v>790</v>
      </c>
    </row>
    <row r="267" spans="1:13" x14ac:dyDescent="0.35">
      <c r="A267">
        <v>985190</v>
      </c>
      <c r="B267" s="22" t="str">
        <f>IFERROR(VLOOKUP(A267,VLOOKUPS!$A:$B,2,FALSE), "")</f>
        <v>Organic Romaine Hearts 3ct-standard</v>
      </c>
      <c r="D267" s="13">
        <v>44819</v>
      </c>
      <c r="F267" t="s">
        <v>764</v>
      </c>
      <c r="G267" t="s">
        <v>318</v>
      </c>
      <c r="H267" t="s">
        <v>5</v>
      </c>
      <c r="I267" s="25" t="s">
        <v>319</v>
      </c>
      <c r="M267" t="s">
        <v>790</v>
      </c>
    </row>
    <row r="268" spans="1:13" x14ac:dyDescent="0.35">
      <c r="A268">
        <v>985601</v>
      </c>
      <c r="B268" s="22" t="str">
        <f>IFERROR(VLOOKUP(A268,VLOOKUPS!$A:$B,2,FALSE), "")</f>
        <v>Cucumbers* 1ct-LOOSE</v>
      </c>
      <c r="D268" s="13">
        <v>44819</v>
      </c>
      <c r="F268" t="s">
        <v>764</v>
      </c>
      <c r="G268" t="s">
        <v>318</v>
      </c>
      <c r="H268" t="s">
        <v>6</v>
      </c>
      <c r="I268" s="25" t="s">
        <v>319</v>
      </c>
      <c r="M268" t="s">
        <v>790</v>
      </c>
    </row>
    <row r="269" spans="1:13" x14ac:dyDescent="0.35">
      <c r="A269">
        <v>985601</v>
      </c>
      <c r="B269" s="22" t="str">
        <f>IFERROR(VLOOKUP(A269,VLOOKUPS!$A:$B,2,FALSE), "")</f>
        <v>Cucumbers* 1ct-LOOSE</v>
      </c>
      <c r="D269" s="13">
        <v>44819</v>
      </c>
      <c r="F269" t="s">
        <v>764</v>
      </c>
      <c r="G269" t="s">
        <v>318</v>
      </c>
      <c r="H269" t="s">
        <v>4</v>
      </c>
      <c r="I269" s="25" t="s">
        <v>319</v>
      </c>
      <c r="M269" t="s">
        <v>790</v>
      </c>
    </row>
    <row r="270" spans="1:13" x14ac:dyDescent="0.35">
      <c r="A270">
        <v>985601</v>
      </c>
      <c r="B270" s="22" t="str">
        <f>IFERROR(VLOOKUP(A270,VLOOKUPS!$A:$B,2,FALSE), "")</f>
        <v>Cucumbers* 1ct-LOOSE</v>
      </c>
      <c r="D270" s="13">
        <v>44819</v>
      </c>
      <c r="F270" t="s">
        <v>764</v>
      </c>
      <c r="G270" t="s">
        <v>318</v>
      </c>
      <c r="H270" t="s">
        <v>5</v>
      </c>
      <c r="I270" s="25" t="s">
        <v>319</v>
      </c>
      <c r="M270" t="s">
        <v>790</v>
      </c>
    </row>
    <row r="271" spans="1:13" x14ac:dyDescent="0.35">
      <c r="A271">
        <v>985605</v>
      </c>
      <c r="B271" s="22" t="str">
        <f>IFERROR(VLOOKUP(A271,VLOOKUPS!$A:$B,2,FALSE), "")</f>
        <v>Cucumbers* Long English 1ct-LOOSE</v>
      </c>
      <c r="D271" s="13">
        <v>44819</v>
      </c>
      <c r="F271" t="s">
        <v>764</v>
      </c>
      <c r="G271" t="s">
        <v>318</v>
      </c>
      <c r="H271" t="s">
        <v>6</v>
      </c>
      <c r="I271" s="25" t="s">
        <v>319</v>
      </c>
      <c r="M271" t="s">
        <v>790</v>
      </c>
    </row>
    <row r="272" spans="1:13" x14ac:dyDescent="0.35">
      <c r="A272">
        <v>985605</v>
      </c>
      <c r="B272" s="22" t="str">
        <f>IFERROR(VLOOKUP(A272,VLOOKUPS!$A:$B,2,FALSE), "")</f>
        <v>Cucumbers* Long English 1ct-LOOSE</v>
      </c>
      <c r="D272" s="13">
        <v>44819</v>
      </c>
      <c r="F272" t="s">
        <v>764</v>
      </c>
      <c r="G272" t="s">
        <v>318</v>
      </c>
      <c r="H272" t="s">
        <v>4</v>
      </c>
      <c r="I272" s="25" t="s">
        <v>319</v>
      </c>
      <c r="M272" t="s">
        <v>790</v>
      </c>
    </row>
    <row r="273" spans="1:13" x14ac:dyDescent="0.35">
      <c r="A273">
        <v>985605</v>
      </c>
      <c r="B273" s="22" t="str">
        <f>IFERROR(VLOOKUP(A273,VLOOKUPS!$A:$B,2,FALSE), "")</f>
        <v>Cucumbers* Long English 1ct-LOOSE</v>
      </c>
      <c r="D273" s="13">
        <v>44819</v>
      </c>
      <c r="F273" t="s">
        <v>764</v>
      </c>
      <c r="G273" t="s">
        <v>318</v>
      </c>
      <c r="H273" t="s">
        <v>5</v>
      </c>
      <c r="I273" s="25" t="s">
        <v>319</v>
      </c>
      <c r="M273" t="s">
        <v>790</v>
      </c>
    </row>
    <row r="274" spans="1:13" x14ac:dyDescent="0.35">
      <c r="A274">
        <v>985612</v>
      </c>
      <c r="B274" s="22" t="str">
        <f>IFERROR(VLOOKUP(A274,VLOOKUPS!$A:$B,2,FALSE), "")</f>
        <v>Cucumbers Mini 14oz-standard</v>
      </c>
      <c r="D274" s="13">
        <v>44819</v>
      </c>
      <c r="F274" t="s">
        <v>764</v>
      </c>
      <c r="G274" t="s">
        <v>318</v>
      </c>
      <c r="H274" t="s">
        <v>6</v>
      </c>
      <c r="I274" s="25" t="s">
        <v>319</v>
      </c>
      <c r="M274" t="s">
        <v>790</v>
      </c>
    </row>
    <row r="275" spans="1:13" x14ac:dyDescent="0.35">
      <c r="A275">
        <v>985612</v>
      </c>
      <c r="B275" s="22" t="str">
        <f>IFERROR(VLOOKUP(A275,VLOOKUPS!$A:$B,2,FALSE), "")</f>
        <v>Cucumbers Mini 14oz-standard</v>
      </c>
      <c r="D275" s="13">
        <v>44819</v>
      </c>
      <c r="F275" t="s">
        <v>764</v>
      </c>
      <c r="G275" t="s">
        <v>318</v>
      </c>
      <c r="H275" t="s">
        <v>4</v>
      </c>
      <c r="I275" s="25" t="s">
        <v>319</v>
      </c>
      <c r="M275" t="s">
        <v>790</v>
      </c>
    </row>
    <row r="276" spans="1:13" x14ac:dyDescent="0.35">
      <c r="A276">
        <v>985612</v>
      </c>
      <c r="B276" s="22" t="str">
        <f>IFERROR(VLOOKUP(A276,VLOOKUPS!$A:$B,2,FALSE), "")</f>
        <v>Cucumbers Mini 14oz-standard</v>
      </c>
      <c r="D276" s="13">
        <v>44819</v>
      </c>
      <c r="F276" t="s">
        <v>764</v>
      </c>
      <c r="G276" t="s">
        <v>318</v>
      </c>
      <c r="H276" t="s">
        <v>5</v>
      </c>
      <c r="I276" s="25" t="s">
        <v>319</v>
      </c>
      <c r="M276" t="s">
        <v>790</v>
      </c>
    </row>
    <row r="277" spans="1:13" x14ac:dyDescent="0.35">
      <c r="A277">
        <v>985613</v>
      </c>
      <c r="B277" s="22" t="str">
        <f>IFERROR(VLOOKUP(A277,VLOOKUPS!$A:$B,2,FALSE), "")</f>
        <v>Cucumbers Baby 9oz-standard</v>
      </c>
      <c r="D277" s="13">
        <v>44819</v>
      </c>
      <c r="F277" t="s">
        <v>764</v>
      </c>
      <c r="G277" t="s">
        <v>318</v>
      </c>
      <c r="H277" t="s">
        <v>6</v>
      </c>
      <c r="I277" s="25" t="s">
        <v>319</v>
      </c>
      <c r="M277" t="s">
        <v>790</v>
      </c>
    </row>
    <row r="278" spans="1:13" x14ac:dyDescent="0.35">
      <c r="A278">
        <v>985613</v>
      </c>
      <c r="B278" s="22" t="str">
        <f>IFERROR(VLOOKUP(A278,VLOOKUPS!$A:$B,2,FALSE), "")</f>
        <v>Cucumbers Baby 9oz-standard</v>
      </c>
      <c r="D278" s="13">
        <v>44819</v>
      </c>
      <c r="F278" t="s">
        <v>764</v>
      </c>
      <c r="G278" t="s">
        <v>318</v>
      </c>
      <c r="H278" t="s">
        <v>4</v>
      </c>
      <c r="I278" s="25" t="s">
        <v>319</v>
      </c>
      <c r="M278" t="s">
        <v>790</v>
      </c>
    </row>
    <row r="279" spans="1:13" x14ac:dyDescent="0.35">
      <c r="A279">
        <v>985613</v>
      </c>
      <c r="B279" s="22" t="str">
        <f>IFERROR(VLOOKUP(A279,VLOOKUPS!$A:$B,2,FALSE), "")</f>
        <v>Cucumbers Baby 9oz-standard</v>
      </c>
      <c r="D279" s="13">
        <v>44819</v>
      </c>
      <c r="F279" t="s">
        <v>764</v>
      </c>
      <c r="G279" t="s">
        <v>318</v>
      </c>
      <c r="H279" t="s">
        <v>5</v>
      </c>
      <c r="I279" s="25" t="s">
        <v>319</v>
      </c>
      <c r="M279" t="s">
        <v>790</v>
      </c>
    </row>
    <row r="280" spans="1:13" x14ac:dyDescent="0.35">
      <c r="A280">
        <v>985614</v>
      </c>
      <c r="B280" s="22" t="str">
        <f>IFERROR(VLOOKUP(A280,VLOOKUPS!$A:$B,2,FALSE), "")</f>
        <v/>
      </c>
      <c r="D280" s="13">
        <v>44819</v>
      </c>
      <c r="F280" t="s">
        <v>764</v>
      </c>
      <c r="G280" t="s">
        <v>318</v>
      </c>
      <c r="H280" t="s">
        <v>6</v>
      </c>
      <c r="I280" s="25" t="s">
        <v>319</v>
      </c>
      <c r="M280" t="s">
        <v>790</v>
      </c>
    </row>
    <row r="281" spans="1:13" x14ac:dyDescent="0.35">
      <c r="A281">
        <v>985614</v>
      </c>
      <c r="B281" s="22" t="str">
        <f>IFERROR(VLOOKUP(A281,VLOOKUPS!$A:$B,2,FALSE), "")</f>
        <v/>
      </c>
      <c r="D281" s="13">
        <v>44819</v>
      </c>
      <c r="F281" t="s">
        <v>764</v>
      </c>
      <c r="G281" t="s">
        <v>318</v>
      </c>
      <c r="H281" t="s">
        <v>4</v>
      </c>
      <c r="I281" s="25" t="s">
        <v>319</v>
      </c>
      <c r="M281" t="s">
        <v>790</v>
      </c>
    </row>
    <row r="282" spans="1:13" x14ac:dyDescent="0.35">
      <c r="A282">
        <v>985614</v>
      </c>
      <c r="B282" s="22" t="str">
        <f>IFERROR(VLOOKUP(A282,VLOOKUPS!$A:$B,2,FALSE), "")</f>
        <v/>
      </c>
      <c r="D282" s="13">
        <v>44819</v>
      </c>
      <c r="F282" t="s">
        <v>764</v>
      </c>
      <c r="G282" t="s">
        <v>318</v>
      </c>
      <c r="H282" t="s">
        <v>5</v>
      </c>
      <c r="I282" s="25" t="s">
        <v>319</v>
      </c>
      <c r="M282" t="s">
        <v>790</v>
      </c>
    </row>
    <row r="283" spans="1:13" x14ac:dyDescent="0.35">
      <c r="A283">
        <v>985630</v>
      </c>
      <c r="B283" s="22" t="str">
        <f>IFERROR(VLOOKUP(A283,VLOOKUPS!$A:$B,2,FALSE), "")</f>
        <v>Organic Cucumbers Long English 1ct-LOOSE</v>
      </c>
      <c r="D283" s="13">
        <v>44819</v>
      </c>
      <c r="F283" t="s">
        <v>764</v>
      </c>
      <c r="G283" t="s">
        <v>318</v>
      </c>
      <c r="H283" t="s">
        <v>6</v>
      </c>
      <c r="I283" s="25" t="s">
        <v>319</v>
      </c>
      <c r="M283" t="s">
        <v>790</v>
      </c>
    </row>
    <row r="284" spans="1:13" x14ac:dyDescent="0.35">
      <c r="A284">
        <v>985630</v>
      </c>
      <c r="B284" s="22" t="str">
        <f>IFERROR(VLOOKUP(A284,VLOOKUPS!$A:$B,2,FALSE), "")</f>
        <v>Organic Cucumbers Long English 1ct-LOOSE</v>
      </c>
      <c r="D284" s="13">
        <v>44819</v>
      </c>
      <c r="F284" t="s">
        <v>764</v>
      </c>
      <c r="G284" t="s">
        <v>318</v>
      </c>
      <c r="H284" t="s">
        <v>4</v>
      </c>
      <c r="I284" s="25" t="s">
        <v>319</v>
      </c>
      <c r="M284" t="s">
        <v>790</v>
      </c>
    </row>
    <row r="285" spans="1:13" x14ac:dyDescent="0.35">
      <c r="A285">
        <v>985630</v>
      </c>
      <c r="B285" s="22" t="str">
        <f>IFERROR(VLOOKUP(A285,VLOOKUPS!$A:$B,2,FALSE), "")</f>
        <v>Organic Cucumbers Long English 1ct-LOOSE</v>
      </c>
      <c r="D285" s="13">
        <v>44819</v>
      </c>
      <c r="F285" t="s">
        <v>764</v>
      </c>
      <c r="G285" t="s">
        <v>318</v>
      </c>
      <c r="H285" t="s">
        <v>5</v>
      </c>
      <c r="I285" s="25" t="s">
        <v>319</v>
      </c>
      <c r="M285" t="s">
        <v>790</v>
      </c>
    </row>
    <row r="286" spans="1:13" x14ac:dyDescent="0.35">
      <c r="A286">
        <v>985650</v>
      </c>
      <c r="B286" s="22" t="str">
        <f>IFERROR(VLOOKUP(A286,VLOOKUPS!$A:$B,2,FALSE), "")</f>
        <v>Zucchini* 1lb-LOOSE</v>
      </c>
      <c r="D286" s="13">
        <v>44819</v>
      </c>
      <c r="F286" t="s">
        <v>764</v>
      </c>
      <c r="G286" t="s">
        <v>318</v>
      </c>
      <c r="H286" t="s">
        <v>6</v>
      </c>
      <c r="I286" s="25" t="s">
        <v>319</v>
      </c>
      <c r="M286" t="s">
        <v>790</v>
      </c>
    </row>
    <row r="287" spans="1:13" x14ac:dyDescent="0.35">
      <c r="A287">
        <v>985650</v>
      </c>
      <c r="B287" s="22" t="str">
        <f>IFERROR(VLOOKUP(A287,VLOOKUPS!$A:$B,2,FALSE), "")</f>
        <v>Zucchini* 1lb-LOOSE</v>
      </c>
      <c r="D287" s="13">
        <v>44819</v>
      </c>
      <c r="F287" t="s">
        <v>764</v>
      </c>
      <c r="G287" t="s">
        <v>318</v>
      </c>
      <c r="H287" t="s">
        <v>4</v>
      </c>
      <c r="I287" s="25" t="s">
        <v>319</v>
      </c>
      <c r="M287" t="s">
        <v>790</v>
      </c>
    </row>
    <row r="288" spans="1:13" x14ac:dyDescent="0.35">
      <c r="A288">
        <v>985650</v>
      </c>
      <c r="B288" s="22" t="str">
        <f>IFERROR(VLOOKUP(A288,VLOOKUPS!$A:$B,2,FALSE), "")</f>
        <v>Zucchini* 1lb-LOOSE</v>
      </c>
      <c r="D288" s="13">
        <v>44819</v>
      </c>
      <c r="F288" t="s">
        <v>764</v>
      </c>
      <c r="G288" t="s">
        <v>318</v>
      </c>
      <c r="H288" t="s">
        <v>5</v>
      </c>
      <c r="I288" s="25" t="s">
        <v>319</v>
      </c>
      <c r="M288" t="s">
        <v>790</v>
      </c>
    </row>
    <row r="289" spans="1:14" x14ac:dyDescent="0.35">
      <c r="A289">
        <v>985701</v>
      </c>
      <c r="B289" s="22" t="str">
        <f>IFERROR(VLOOKUP(A289,VLOOKUPS!$A:$B,2,FALSE), "")</f>
        <v>Eggplants* 1ct-LOOSE</v>
      </c>
      <c r="D289" s="13">
        <v>44819</v>
      </c>
      <c r="F289" t="s">
        <v>764</v>
      </c>
      <c r="G289" t="s">
        <v>318</v>
      </c>
      <c r="H289" t="s">
        <v>6</v>
      </c>
      <c r="I289" s="25" t="s">
        <v>319</v>
      </c>
      <c r="M289" t="s">
        <v>790</v>
      </c>
    </row>
    <row r="290" spans="1:14" x14ac:dyDescent="0.35">
      <c r="A290">
        <v>985701</v>
      </c>
      <c r="B290" s="22" t="str">
        <f>IFERROR(VLOOKUP(A290,VLOOKUPS!$A:$B,2,FALSE), "")</f>
        <v>Eggplants* 1ct-LOOSE</v>
      </c>
      <c r="D290" s="13">
        <v>44819</v>
      </c>
      <c r="F290" t="s">
        <v>764</v>
      </c>
      <c r="G290" t="s">
        <v>318</v>
      </c>
      <c r="H290" t="s">
        <v>4</v>
      </c>
      <c r="I290" s="25" t="s">
        <v>319</v>
      </c>
      <c r="M290" t="s">
        <v>790</v>
      </c>
    </row>
    <row r="291" spans="1:14" x14ac:dyDescent="0.35">
      <c r="A291">
        <v>985701</v>
      </c>
      <c r="B291" s="22" t="str">
        <f>IFERROR(VLOOKUP(A291,VLOOKUPS!$A:$B,2,FALSE), "")</f>
        <v>Eggplants* 1ct-LOOSE</v>
      </c>
      <c r="D291" s="13">
        <v>44819</v>
      </c>
      <c r="F291" t="s">
        <v>764</v>
      </c>
      <c r="G291" t="s">
        <v>318</v>
      </c>
      <c r="H291" t="s">
        <v>5</v>
      </c>
      <c r="I291" s="25" t="s">
        <v>319</v>
      </c>
      <c r="M291" t="s">
        <v>790</v>
      </c>
    </row>
    <row r="292" spans="1:14" x14ac:dyDescent="0.35">
      <c r="A292">
        <v>985702</v>
      </c>
      <c r="B292" s="22" t="str">
        <f>IFERROR(VLOOKUP(A292,VLOOKUPS!$A:$B,2,FALSE), "")</f>
        <v/>
      </c>
      <c r="D292" s="13">
        <v>44819</v>
      </c>
      <c r="F292" t="s">
        <v>764</v>
      </c>
      <c r="G292" t="s">
        <v>318</v>
      </c>
      <c r="H292" t="s">
        <v>6</v>
      </c>
      <c r="I292" s="25" t="s">
        <v>319</v>
      </c>
      <c r="M292" t="s">
        <v>790</v>
      </c>
    </row>
    <row r="293" spans="1:14" x14ac:dyDescent="0.35">
      <c r="A293">
        <v>985702</v>
      </c>
      <c r="B293" s="22" t="str">
        <f>IFERROR(VLOOKUP(A293,VLOOKUPS!$A:$B,2,FALSE), "")</f>
        <v/>
      </c>
      <c r="D293" s="13">
        <v>44819</v>
      </c>
      <c r="F293" t="s">
        <v>764</v>
      </c>
      <c r="G293" t="s">
        <v>318</v>
      </c>
      <c r="H293" t="s">
        <v>4</v>
      </c>
      <c r="I293" s="25" t="s">
        <v>319</v>
      </c>
      <c r="M293" t="s">
        <v>790</v>
      </c>
    </row>
    <row r="294" spans="1:14" x14ac:dyDescent="0.35">
      <c r="A294">
        <v>985702</v>
      </c>
      <c r="B294" s="22" t="str">
        <f>IFERROR(VLOOKUP(A294,VLOOKUPS!$A:$B,2,FALSE), "")</f>
        <v/>
      </c>
      <c r="D294" s="13">
        <v>44819</v>
      </c>
      <c r="F294" t="s">
        <v>764</v>
      </c>
      <c r="G294" t="s">
        <v>318</v>
      </c>
      <c r="H294" t="s">
        <v>5</v>
      </c>
      <c r="I294" s="25" t="s">
        <v>319</v>
      </c>
      <c r="M294" t="s">
        <v>790</v>
      </c>
    </row>
    <row r="295" spans="1:14" x14ac:dyDescent="0.35">
      <c r="A295">
        <v>985760</v>
      </c>
      <c r="B295" s="22" t="str">
        <f>IFERROR(VLOOKUP(A295,VLOOKUPS!$A:$B,2,FALSE), "")</f>
        <v>Asparagus 1lb-standard</v>
      </c>
      <c r="D295" s="13">
        <v>44819</v>
      </c>
      <c r="F295" t="s">
        <v>764</v>
      </c>
      <c r="G295" t="s">
        <v>318</v>
      </c>
      <c r="H295" t="s">
        <v>6</v>
      </c>
      <c r="I295" s="25" t="s">
        <v>319</v>
      </c>
      <c r="M295" t="s">
        <v>790</v>
      </c>
    </row>
    <row r="296" spans="1:14" x14ac:dyDescent="0.35">
      <c r="A296">
        <v>985760</v>
      </c>
      <c r="B296" s="22" t="str">
        <f>IFERROR(VLOOKUP(A296,VLOOKUPS!$A:$B,2,FALSE), "")</f>
        <v>Asparagus 1lb-standard</v>
      </c>
      <c r="D296" s="13">
        <v>44819</v>
      </c>
      <c r="F296" t="s">
        <v>764</v>
      </c>
      <c r="G296" t="s">
        <v>318</v>
      </c>
      <c r="H296" t="s">
        <v>4</v>
      </c>
      <c r="I296" s="25" t="s">
        <v>319</v>
      </c>
      <c r="M296" t="s">
        <v>790</v>
      </c>
    </row>
    <row r="297" spans="1:14" x14ac:dyDescent="0.35">
      <c r="A297">
        <v>985760</v>
      </c>
      <c r="B297" s="22" t="str">
        <f>IFERROR(VLOOKUP(A297,VLOOKUPS!$A:$B,2,FALSE), "")</f>
        <v>Asparagus 1lb-standard</v>
      </c>
      <c r="D297" s="13">
        <v>44819</v>
      </c>
      <c r="F297" t="s">
        <v>764</v>
      </c>
      <c r="G297" t="s">
        <v>318</v>
      </c>
      <c r="H297" t="s">
        <v>5</v>
      </c>
      <c r="I297" s="25" t="s">
        <v>319</v>
      </c>
      <c r="M297" t="s">
        <v>790</v>
      </c>
    </row>
    <row r="298" spans="1:14" x14ac:dyDescent="0.35">
      <c r="A298">
        <v>985780</v>
      </c>
      <c r="B298" s="22" t="str">
        <f>IFERROR(VLOOKUP(A298,VLOOKUPS!$A:$B,2,FALSE), "")</f>
        <v>Organic Asparagus 12oz-standard</v>
      </c>
      <c r="D298" s="13">
        <v>44819</v>
      </c>
      <c r="F298" t="s">
        <v>764</v>
      </c>
      <c r="G298" t="s">
        <v>318</v>
      </c>
      <c r="H298" t="s">
        <v>5</v>
      </c>
      <c r="I298" s="25" t="s">
        <v>319</v>
      </c>
      <c r="N298" s="6" t="b">
        <f>ISNA(MATCH(A298, [1]US!$A:$A, 0))</f>
        <v>1</v>
      </c>
    </row>
    <row r="299" spans="1:14" x14ac:dyDescent="0.35">
      <c r="A299">
        <v>985861</v>
      </c>
      <c r="B299" s="22" t="str">
        <f>IFERROR(VLOOKUP(A299,VLOOKUPS!$A:$B,2,FALSE), "")</f>
        <v/>
      </c>
      <c r="D299" s="13">
        <v>44819</v>
      </c>
      <c r="F299" t="s">
        <v>764</v>
      </c>
      <c r="G299" t="s">
        <v>318</v>
      </c>
      <c r="H299" t="s">
        <v>6</v>
      </c>
      <c r="I299" s="25" t="s">
        <v>319</v>
      </c>
      <c r="M299" t="s">
        <v>790</v>
      </c>
    </row>
    <row r="300" spans="1:14" x14ac:dyDescent="0.35">
      <c r="A300">
        <v>985861</v>
      </c>
      <c r="B300" s="22" t="str">
        <f>IFERROR(VLOOKUP(A300,VLOOKUPS!$A:$B,2,FALSE), "")</f>
        <v/>
      </c>
      <c r="D300" s="13">
        <v>44819</v>
      </c>
      <c r="F300" t="s">
        <v>764</v>
      </c>
      <c r="G300" t="s">
        <v>318</v>
      </c>
      <c r="H300" t="s">
        <v>4</v>
      </c>
      <c r="I300" s="25" t="s">
        <v>319</v>
      </c>
      <c r="M300" t="s">
        <v>790</v>
      </c>
    </row>
    <row r="301" spans="1:14" x14ac:dyDescent="0.35">
      <c r="A301">
        <v>985861</v>
      </c>
      <c r="B301" s="22" t="str">
        <f>IFERROR(VLOOKUP(A301,VLOOKUPS!$A:$B,2,FALSE), "")</f>
        <v/>
      </c>
      <c r="D301" s="13">
        <v>44819</v>
      </c>
      <c r="F301" t="s">
        <v>764</v>
      </c>
      <c r="G301" t="s">
        <v>318</v>
      </c>
      <c r="H301" t="s">
        <v>5</v>
      </c>
      <c r="I301" s="25" t="s">
        <v>319</v>
      </c>
      <c r="M301" t="s">
        <v>790</v>
      </c>
    </row>
    <row r="302" spans="1:14" x14ac:dyDescent="0.35">
      <c r="A302">
        <v>985950</v>
      </c>
      <c r="B302" s="22" t="str">
        <f>IFERROR(VLOOKUP(A302,VLOOKUPS!$A:$B,2,FALSE), "")</f>
        <v>Garlic 3ct-standard</v>
      </c>
      <c r="D302" s="13">
        <v>44819</v>
      </c>
      <c r="F302" t="s">
        <v>764</v>
      </c>
      <c r="G302" t="s">
        <v>318</v>
      </c>
      <c r="H302" t="s">
        <v>6</v>
      </c>
      <c r="I302" s="25" t="s">
        <v>319</v>
      </c>
      <c r="M302" t="s">
        <v>790</v>
      </c>
    </row>
    <row r="303" spans="1:14" x14ac:dyDescent="0.35">
      <c r="A303">
        <v>985950</v>
      </c>
      <c r="B303" s="22" t="str">
        <f>IFERROR(VLOOKUP(A303,VLOOKUPS!$A:$B,2,FALSE), "")</f>
        <v>Garlic 3ct-standard</v>
      </c>
      <c r="D303" s="13">
        <v>44819</v>
      </c>
      <c r="F303" t="s">
        <v>764</v>
      </c>
      <c r="G303" t="s">
        <v>318</v>
      </c>
      <c r="H303" t="s">
        <v>4</v>
      </c>
      <c r="I303" s="25" t="s">
        <v>319</v>
      </c>
      <c r="M303" t="s">
        <v>790</v>
      </c>
    </row>
    <row r="304" spans="1:14" x14ac:dyDescent="0.35">
      <c r="A304">
        <v>985950</v>
      </c>
      <c r="B304" s="22" t="str">
        <f>IFERROR(VLOOKUP(A304,VLOOKUPS!$A:$B,2,FALSE), "")</f>
        <v>Garlic 3ct-standard</v>
      </c>
      <c r="D304" s="13">
        <v>44819</v>
      </c>
      <c r="F304" t="s">
        <v>764</v>
      </c>
      <c r="G304" t="s">
        <v>318</v>
      </c>
      <c r="H304" t="s">
        <v>5</v>
      </c>
      <c r="I304" s="25" t="s">
        <v>319</v>
      </c>
      <c r="M304" t="s">
        <v>790</v>
      </c>
    </row>
    <row r="305" spans="1:13" x14ac:dyDescent="0.35">
      <c r="A305">
        <v>985990</v>
      </c>
      <c r="B305" s="22" t="str">
        <f>IFERROR(VLOOKUP(A305,VLOOKUPS!$A:$B,2,FALSE), "")</f>
        <v>Ginger* 1lb-LOOSE</v>
      </c>
      <c r="D305" s="13">
        <v>44819</v>
      </c>
      <c r="F305" t="s">
        <v>764</v>
      </c>
      <c r="G305" t="s">
        <v>318</v>
      </c>
      <c r="H305" t="s">
        <v>6</v>
      </c>
      <c r="I305" s="25" t="s">
        <v>319</v>
      </c>
      <c r="M305" t="s">
        <v>790</v>
      </c>
    </row>
    <row r="306" spans="1:13" x14ac:dyDescent="0.35">
      <c r="A306">
        <v>985990</v>
      </c>
      <c r="B306" s="22" t="str">
        <f>IFERROR(VLOOKUP(A306,VLOOKUPS!$A:$B,2,FALSE), "")</f>
        <v>Ginger* 1lb-LOOSE</v>
      </c>
      <c r="D306" s="13">
        <v>44819</v>
      </c>
      <c r="F306" t="s">
        <v>764</v>
      </c>
      <c r="G306" t="s">
        <v>318</v>
      </c>
      <c r="H306" t="s">
        <v>4</v>
      </c>
      <c r="I306" s="25" t="s">
        <v>319</v>
      </c>
      <c r="M306" t="s">
        <v>790</v>
      </c>
    </row>
    <row r="307" spans="1:13" x14ac:dyDescent="0.35">
      <c r="A307">
        <v>985990</v>
      </c>
      <c r="B307" s="22" t="str">
        <f>IFERROR(VLOOKUP(A307,VLOOKUPS!$A:$B,2,FALSE), "")</f>
        <v>Ginger* 1lb-LOOSE</v>
      </c>
      <c r="D307" s="13">
        <v>44819</v>
      </c>
      <c r="F307" t="s">
        <v>790</v>
      </c>
      <c r="G307" t="s">
        <v>318</v>
      </c>
      <c r="H307" t="s">
        <v>5</v>
      </c>
      <c r="I307" s="25" t="s">
        <v>319</v>
      </c>
      <c r="M307" t="s">
        <v>790</v>
      </c>
    </row>
    <row r="308" spans="1:13" x14ac:dyDescent="0.35">
      <c r="A308">
        <v>985997</v>
      </c>
      <c r="B308" s="22" t="str">
        <f>IFERROR(VLOOKUP(A308,VLOOKUPS!$A:$B,2,FALSE), "")</f>
        <v/>
      </c>
      <c r="D308" s="13">
        <v>44819</v>
      </c>
      <c r="F308" t="s">
        <v>764</v>
      </c>
      <c r="G308" t="s">
        <v>318</v>
      </c>
      <c r="H308" t="s">
        <v>6</v>
      </c>
      <c r="I308" s="25" t="s">
        <v>319</v>
      </c>
      <c r="M308" t="s">
        <v>790</v>
      </c>
    </row>
    <row r="309" spans="1:13" x14ac:dyDescent="0.35">
      <c r="A309">
        <v>985997</v>
      </c>
      <c r="B309" s="22" t="str">
        <f>IFERROR(VLOOKUP(A309,VLOOKUPS!$A:$B,2,FALSE), "")</f>
        <v/>
      </c>
      <c r="D309" s="13">
        <v>44819</v>
      </c>
      <c r="F309" t="s">
        <v>764</v>
      </c>
      <c r="G309" t="s">
        <v>318</v>
      </c>
      <c r="H309" t="s">
        <v>4</v>
      </c>
      <c r="I309" s="25" t="s">
        <v>319</v>
      </c>
      <c r="M309" t="s">
        <v>790</v>
      </c>
    </row>
    <row r="310" spans="1:13" x14ac:dyDescent="0.35">
      <c r="A310">
        <v>985997</v>
      </c>
      <c r="B310" s="22" t="str">
        <f>IFERROR(VLOOKUP(A310,VLOOKUPS!$A:$B,2,FALSE), "")</f>
        <v/>
      </c>
      <c r="D310" s="13">
        <v>44819</v>
      </c>
      <c r="F310" t="s">
        <v>764</v>
      </c>
      <c r="G310" t="s">
        <v>318</v>
      </c>
      <c r="H310" t="s">
        <v>5</v>
      </c>
      <c r="I310" s="25" t="s">
        <v>319</v>
      </c>
      <c r="M310" t="s">
        <v>790</v>
      </c>
    </row>
    <row r="311" spans="1:13" x14ac:dyDescent="0.35">
      <c r="A311">
        <v>986050</v>
      </c>
      <c r="B311" s="22" t="str">
        <f>IFERROR(VLOOKUP(A311,VLOOKUPS!$A:$B,2,FALSE), "")</f>
        <v>Pumpkins* Carving 1ct-LOOSE</v>
      </c>
      <c r="D311" s="13">
        <v>44819</v>
      </c>
      <c r="F311" t="s">
        <v>764</v>
      </c>
      <c r="G311" t="s">
        <v>318</v>
      </c>
      <c r="H311" t="s">
        <v>6</v>
      </c>
      <c r="I311" s="25" t="s">
        <v>319</v>
      </c>
      <c r="M311" t="s">
        <v>790</v>
      </c>
    </row>
    <row r="312" spans="1:13" x14ac:dyDescent="0.35">
      <c r="A312">
        <v>986050</v>
      </c>
      <c r="B312" s="22" t="str">
        <f>IFERROR(VLOOKUP(A312,VLOOKUPS!$A:$B,2,FALSE), "")</f>
        <v>Pumpkins* Carving 1ct-LOOSE</v>
      </c>
      <c r="D312" s="13">
        <v>44819</v>
      </c>
      <c r="F312" t="s">
        <v>764</v>
      </c>
      <c r="G312" t="s">
        <v>318</v>
      </c>
      <c r="H312" t="s">
        <v>4</v>
      </c>
      <c r="I312" s="25" t="s">
        <v>319</v>
      </c>
      <c r="M312" t="s">
        <v>790</v>
      </c>
    </row>
    <row r="313" spans="1:13" x14ac:dyDescent="0.35">
      <c r="A313">
        <v>986050</v>
      </c>
      <c r="B313" s="22" t="str">
        <f>IFERROR(VLOOKUP(A313,VLOOKUPS!$A:$B,2,FALSE), "")</f>
        <v>Pumpkins* Carving 1ct-LOOSE</v>
      </c>
      <c r="D313" s="13">
        <v>44819</v>
      </c>
      <c r="F313" t="s">
        <v>764</v>
      </c>
      <c r="G313" t="s">
        <v>318</v>
      </c>
      <c r="H313" t="s">
        <v>5</v>
      </c>
      <c r="I313" s="25" t="s">
        <v>319</v>
      </c>
      <c r="M313" t="s">
        <v>790</v>
      </c>
    </row>
    <row r="314" spans="1:13" x14ac:dyDescent="0.35">
      <c r="A314">
        <v>986090</v>
      </c>
      <c r="B314" s="22" t="str">
        <f>IFERROR(VLOOKUP(A314,VLOOKUPS!$A:$B,2,FALSE), "")</f>
        <v>Pumpkins Mini 5ct-standard</v>
      </c>
      <c r="D314" s="13">
        <v>44819</v>
      </c>
      <c r="F314" t="s">
        <v>764</v>
      </c>
      <c r="G314" t="s">
        <v>318</v>
      </c>
      <c r="H314" t="s">
        <v>6</v>
      </c>
      <c r="I314" s="25" t="s">
        <v>319</v>
      </c>
      <c r="M314" t="s">
        <v>790</v>
      </c>
    </row>
    <row r="315" spans="1:13" x14ac:dyDescent="0.35">
      <c r="A315">
        <v>986090</v>
      </c>
      <c r="B315" s="22" t="str">
        <f>IFERROR(VLOOKUP(A315,VLOOKUPS!$A:$B,2,FALSE), "")</f>
        <v>Pumpkins Mini 5ct-standard</v>
      </c>
      <c r="D315" s="13">
        <v>44819</v>
      </c>
      <c r="F315" t="s">
        <v>764</v>
      </c>
      <c r="G315" t="s">
        <v>318</v>
      </c>
      <c r="H315" t="s">
        <v>4</v>
      </c>
      <c r="I315" s="25" t="s">
        <v>319</v>
      </c>
      <c r="M315" t="s">
        <v>790</v>
      </c>
    </row>
    <row r="316" spans="1:13" x14ac:dyDescent="0.35">
      <c r="A316">
        <v>986090</v>
      </c>
      <c r="B316" s="22" t="str">
        <f>IFERROR(VLOOKUP(A316,VLOOKUPS!$A:$B,2,FALSE), "")</f>
        <v>Pumpkins Mini 5ct-standard</v>
      </c>
      <c r="D316" s="13">
        <v>44819</v>
      </c>
      <c r="F316" t="s">
        <v>764</v>
      </c>
      <c r="G316" t="s">
        <v>318</v>
      </c>
      <c r="H316" t="s">
        <v>5</v>
      </c>
      <c r="I316" s="25" t="s">
        <v>319</v>
      </c>
      <c r="M316" t="s">
        <v>790</v>
      </c>
    </row>
    <row r="317" spans="1:13" x14ac:dyDescent="0.35">
      <c r="A317">
        <v>986120</v>
      </c>
      <c r="B317" s="22" t="str">
        <f>IFERROR(VLOOKUP(A317,VLOOKUPS!$A:$B,2,FALSE), "")</f>
        <v>Pumpkins Tiger Stripe 3ct-standard</v>
      </c>
      <c r="D317" s="13">
        <v>44819</v>
      </c>
      <c r="F317" t="s">
        <v>764</v>
      </c>
      <c r="G317" t="s">
        <v>318</v>
      </c>
      <c r="H317" t="s">
        <v>6</v>
      </c>
      <c r="I317" s="25" t="s">
        <v>319</v>
      </c>
      <c r="M317" t="s">
        <v>790</v>
      </c>
    </row>
    <row r="318" spans="1:13" x14ac:dyDescent="0.35">
      <c r="A318">
        <v>986120</v>
      </c>
      <c r="B318" s="22" t="str">
        <f>IFERROR(VLOOKUP(A318,VLOOKUPS!$A:$B,2,FALSE), "")</f>
        <v>Pumpkins Tiger Stripe 3ct-standard</v>
      </c>
      <c r="D318" s="13">
        <v>44819</v>
      </c>
      <c r="F318" t="s">
        <v>764</v>
      </c>
      <c r="G318" t="s">
        <v>318</v>
      </c>
      <c r="H318" t="s">
        <v>4</v>
      </c>
      <c r="I318" s="25" t="s">
        <v>319</v>
      </c>
      <c r="M318" t="s">
        <v>790</v>
      </c>
    </row>
    <row r="319" spans="1:13" x14ac:dyDescent="0.35">
      <c r="A319">
        <v>986120</v>
      </c>
      <c r="B319" s="22" t="str">
        <f>IFERROR(VLOOKUP(A319,VLOOKUPS!$A:$B,2,FALSE), "")</f>
        <v>Pumpkins Tiger Stripe 3ct-standard</v>
      </c>
      <c r="D319" s="13">
        <v>44819</v>
      </c>
      <c r="F319" t="s">
        <v>764</v>
      </c>
      <c r="G319" t="s">
        <v>318</v>
      </c>
      <c r="H319" t="s">
        <v>5</v>
      </c>
      <c r="I319" s="25" t="s">
        <v>319</v>
      </c>
      <c r="M319" t="s">
        <v>790</v>
      </c>
    </row>
    <row r="320" spans="1:13" x14ac:dyDescent="0.35">
      <c r="A320">
        <v>986140</v>
      </c>
      <c r="B320" s="22" t="str">
        <f>IFERROR(VLOOKUP(A320,VLOOKUPS!$A:$B,2,FALSE), "")</f>
        <v>Pumpkins* Pie 1ct-LOOSE</v>
      </c>
      <c r="D320" s="13">
        <v>44819</v>
      </c>
      <c r="F320" t="s">
        <v>764</v>
      </c>
      <c r="G320" t="s">
        <v>318</v>
      </c>
      <c r="H320" t="s">
        <v>6</v>
      </c>
      <c r="I320" s="25" t="s">
        <v>319</v>
      </c>
      <c r="M320" t="s">
        <v>790</v>
      </c>
    </row>
    <row r="321" spans="1:13" x14ac:dyDescent="0.35">
      <c r="A321">
        <v>986140</v>
      </c>
      <c r="B321" s="22" t="str">
        <f>IFERROR(VLOOKUP(A321,VLOOKUPS!$A:$B,2,FALSE), "")</f>
        <v>Pumpkins* Pie 1ct-LOOSE</v>
      </c>
      <c r="D321" s="13">
        <v>44819</v>
      </c>
      <c r="F321" t="s">
        <v>764</v>
      </c>
      <c r="G321" t="s">
        <v>318</v>
      </c>
      <c r="H321" t="s">
        <v>4</v>
      </c>
      <c r="I321" s="25" t="s">
        <v>319</v>
      </c>
      <c r="M321" t="s">
        <v>790</v>
      </c>
    </row>
    <row r="322" spans="1:13" x14ac:dyDescent="0.35">
      <c r="A322">
        <v>986140</v>
      </c>
      <c r="B322" s="22" t="str">
        <f>IFERROR(VLOOKUP(A322,VLOOKUPS!$A:$B,2,FALSE), "")</f>
        <v>Pumpkins* Pie 1ct-LOOSE</v>
      </c>
      <c r="D322" s="13">
        <v>44819</v>
      </c>
      <c r="F322" t="s">
        <v>764</v>
      </c>
      <c r="G322" t="s">
        <v>318</v>
      </c>
      <c r="H322" t="s">
        <v>5</v>
      </c>
      <c r="I322" s="25" t="s">
        <v>319</v>
      </c>
      <c r="M322" t="s">
        <v>790</v>
      </c>
    </row>
    <row r="323" spans="1:13" x14ac:dyDescent="0.35">
      <c r="A323">
        <v>986170</v>
      </c>
      <c r="B323" s="22" t="str">
        <f>IFERROR(VLOOKUP(A323,VLOOKUPS!$A:$B,2,FALSE), "")</f>
        <v>Pumpkins* Heirloom 1ct-LOOSE</v>
      </c>
      <c r="D323" s="13">
        <v>44819</v>
      </c>
      <c r="F323" t="s">
        <v>764</v>
      </c>
      <c r="G323" t="s">
        <v>318</v>
      </c>
      <c r="H323" t="s">
        <v>6</v>
      </c>
      <c r="I323" s="25" t="s">
        <v>319</v>
      </c>
      <c r="M323" t="s">
        <v>790</v>
      </c>
    </row>
    <row r="324" spans="1:13" x14ac:dyDescent="0.35">
      <c r="A324">
        <v>986170</v>
      </c>
      <c r="B324" s="22" t="str">
        <f>IFERROR(VLOOKUP(A324,VLOOKUPS!$A:$B,2,FALSE), "")</f>
        <v>Pumpkins* Heirloom 1ct-LOOSE</v>
      </c>
      <c r="D324" s="13">
        <v>44819</v>
      </c>
      <c r="F324" t="s">
        <v>764</v>
      </c>
      <c r="G324" t="s">
        <v>318</v>
      </c>
      <c r="H324" t="s">
        <v>4</v>
      </c>
      <c r="I324" s="25" t="s">
        <v>319</v>
      </c>
      <c r="M324" t="s">
        <v>790</v>
      </c>
    </row>
    <row r="325" spans="1:13" x14ac:dyDescent="0.35">
      <c r="A325">
        <v>986170</v>
      </c>
      <c r="B325" s="22" t="str">
        <f>IFERROR(VLOOKUP(A325,VLOOKUPS!$A:$B,2,FALSE), "")</f>
        <v>Pumpkins* Heirloom 1ct-LOOSE</v>
      </c>
      <c r="D325" s="13">
        <v>44819</v>
      </c>
      <c r="F325" t="s">
        <v>764</v>
      </c>
      <c r="G325" t="s">
        <v>318</v>
      </c>
      <c r="H325" t="s">
        <v>5</v>
      </c>
      <c r="I325" s="25" t="s">
        <v>319</v>
      </c>
      <c r="M325" t="s">
        <v>790</v>
      </c>
    </row>
    <row r="326" spans="1:13" x14ac:dyDescent="0.35">
      <c r="A326">
        <v>986211</v>
      </c>
      <c r="B326" s="22" t="str">
        <f>IFERROR(VLOOKUP(A326,VLOOKUPS!$A:$B,2,FALSE), "")</f>
        <v>Gourds 5ct-standard</v>
      </c>
      <c r="D326" s="13">
        <v>44819</v>
      </c>
      <c r="F326" t="s">
        <v>764</v>
      </c>
      <c r="G326" t="s">
        <v>318</v>
      </c>
      <c r="H326" t="s">
        <v>6</v>
      </c>
      <c r="I326" s="25" t="s">
        <v>319</v>
      </c>
      <c r="M326" t="s">
        <v>790</v>
      </c>
    </row>
    <row r="327" spans="1:13" x14ac:dyDescent="0.35">
      <c r="A327">
        <v>986211</v>
      </c>
      <c r="B327" s="22" t="str">
        <f>IFERROR(VLOOKUP(A327,VLOOKUPS!$A:$B,2,FALSE), "")</f>
        <v>Gourds 5ct-standard</v>
      </c>
      <c r="D327" s="13">
        <v>44819</v>
      </c>
      <c r="F327" t="s">
        <v>764</v>
      </c>
      <c r="G327" t="s">
        <v>318</v>
      </c>
      <c r="H327" t="s">
        <v>4</v>
      </c>
      <c r="I327" s="25" t="s">
        <v>319</v>
      </c>
      <c r="M327" t="s">
        <v>790</v>
      </c>
    </row>
    <row r="328" spans="1:13" x14ac:dyDescent="0.35">
      <c r="A328">
        <v>986211</v>
      </c>
      <c r="B328" s="22" t="str">
        <f>IFERROR(VLOOKUP(A328,VLOOKUPS!$A:$B,2,FALSE), "")</f>
        <v>Gourds 5ct-standard</v>
      </c>
      <c r="D328" s="13">
        <v>44819</v>
      </c>
      <c r="F328" t="s">
        <v>764</v>
      </c>
      <c r="G328" t="s">
        <v>318</v>
      </c>
      <c r="H328" t="s">
        <v>5</v>
      </c>
      <c r="I328" s="25" t="s">
        <v>319</v>
      </c>
      <c r="M328" t="s">
        <v>790</v>
      </c>
    </row>
    <row r="329" spans="1:13" x14ac:dyDescent="0.35">
      <c r="A329">
        <v>986231</v>
      </c>
      <c r="B329" s="22" t="str">
        <f>IFERROR(VLOOKUP(A329,VLOOKUPS!$A:$B,2,FALSE), "")</f>
        <v>Artichokes 2ct-standard</v>
      </c>
      <c r="D329" s="13">
        <v>44819</v>
      </c>
      <c r="F329" t="s">
        <v>764</v>
      </c>
      <c r="G329" t="s">
        <v>318</v>
      </c>
      <c r="H329" t="s">
        <v>6</v>
      </c>
      <c r="I329" s="25" t="s">
        <v>319</v>
      </c>
      <c r="M329" t="s">
        <v>790</v>
      </c>
    </row>
    <row r="330" spans="1:13" x14ac:dyDescent="0.35">
      <c r="A330">
        <v>986231</v>
      </c>
      <c r="B330" s="22" t="str">
        <f>IFERROR(VLOOKUP(A330,VLOOKUPS!$A:$B,2,FALSE), "")</f>
        <v>Artichokes 2ct-standard</v>
      </c>
      <c r="D330" s="13">
        <v>44819</v>
      </c>
      <c r="F330" t="s">
        <v>764</v>
      </c>
      <c r="G330" t="s">
        <v>318</v>
      </c>
      <c r="H330" t="s">
        <v>4</v>
      </c>
      <c r="I330" s="25" t="s">
        <v>319</v>
      </c>
      <c r="M330" t="s">
        <v>790</v>
      </c>
    </row>
    <row r="331" spans="1:13" x14ac:dyDescent="0.35">
      <c r="A331">
        <v>986231</v>
      </c>
      <c r="B331" s="22" t="str">
        <f>IFERROR(VLOOKUP(A331,VLOOKUPS!$A:$B,2,FALSE), "")</f>
        <v>Artichokes 2ct-standard</v>
      </c>
      <c r="D331" s="13">
        <v>44819</v>
      </c>
      <c r="F331" t="s">
        <v>764</v>
      </c>
      <c r="G331" t="s">
        <v>318</v>
      </c>
      <c r="H331" t="s">
        <v>5</v>
      </c>
      <c r="I331" s="25" t="s">
        <v>319</v>
      </c>
      <c r="M331" t="s">
        <v>790</v>
      </c>
    </row>
    <row r="332" spans="1:13" x14ac:dyDescent="0.35">
      <c r="A332">
        <v>986250</v>
      </c>
      <c r="B332" s="22" t="str">
        <f>IFERROR(VLOOKUP(A332,VLOOKUPS!$A:$B,2,FALSE), "")</f>
        <v>French Beans 1lb-standard</v>
      </c>
      <c r="D332" s="13">
        <v>44819</v>
      </c>
      <c r="F332" t="s">
        <v>764</v>
      </c>
      <c r="G332" t="s">
        <v>318</v>
      </c>
      <c r="H332" t="s">
        <v>6</v>
      </c>
      <c r="I332" s="25" t="s">
        <v>319</v>
      </c>
      <c r="M332" t="s">
        <v>790</v>
      </c>
    </row>
    <row r="333" spans="1:13" x14ac:dyDescent="0.35">
      <c r="A333">
        <v>986250</v>
      </c>
      <c r="B333" s="22" t="str">
        <f>IFERROR(VLOOKUP(A333,VLOOKUPS!$A:$B,2,FALSE), "")</f>
        <v>French Beans 1lb-standard</v>
      </c>
      <c r="D333" s="13">
        <v>44819</v>
      </c>
      <c r="F333" t="s">
        <v>764</v>
      </c>
      <c r="G333" t="s">
        <v>318</v>
      </c>
      <c r="H333" t="s">
        <v>4</v>
      </c>
      <c r="I333" s="25" t="s">
        <v>319</v>
      </c>
      <c r="M333" t="s">
        <v>790</v>
      </c>
    </row>
    <row r="334" spans="1:13" x14ac:dyDescent="0.35">
      <c r="A334">
        <v>986250</v>
      </c>
      <c r="B334" s="22" t="str">
        <f>IFERROR(VLOOKUP(A334,VLOOKUPS!$A:$B,2,FALSE), "")</f>
        <v>French Beans 1lb-standard</v>
      </c>
      <c r="D334" s="13">
        <v>44819</v>
      </c>
      <c r="F334" t="s">
        <v>764</v>
      </c>
      <c r="G334" t="s">
        <v>318</v>
      </c>
      <c r="H334" t="s">
        <v>5</v>
      </c>
      <c r="I334" s="25" t="s">
        <v>319</v>
      </c>
      <c r="M334" t="s">
        <v>790</v>
      </c>
    </row>
    <row r="335" spans="1:13" x14ac:dyDescent="0.35">
      <c r="A335">
        <v>986270</v>
      </c>
      <c r="B335" s="22" t="str">
        <f>IFERROR(VLOOKUP(A335,VLOOKUPS!$A:$B,2,FALSE), "")</f>
        <v>Organic French Beans 1lb-standard</v>
      </c>
      <c r="D335" s="13">
        <v>44819</v>
      </c>
      <c r="F335" t="s">
        <v>764</v>
      </c>
      <c r="G335" t="s">
        <v>318</v>
      </c>
      <c r="H335" t="s">
        <v>6</v>
      </c>
      <c r="I335" s="25" t="s">
        <v>319</v>
      </c>
      <c r="M335" t="s">
        <v>790</v>
      </c>
    </row>
    <row r="336" spans="1:13" x14ac:dyDescent="0.35">
      <c r="A336">
        <v>986270</v>
      </c>
      <c r="B336" s="22" t="str">
        <f>IFERROR(VLOOKUP(A336,VLOOKUPS!$A:$B,2,FALSE), "")</f>
        <v>Organic French Beans 1lb-standard</v>
      </c>
      <c r="D336" s="13">
        <v>44819</v>
      </c>
      <c r="F336" t="s">
        <v>764</v>
      </c>
      <c r="G336" t="s">
        <v>318</v>
      </c>
      <c r="H336" t="s">
        <v>4</v>
      </c>
      <c r="I336" s="25" t="s">
        <v>319</v>
      </c>
      <c r="M336" t="s">
        <v>790</v>
      </c>
    </row>
    <row r="337" spans="1:13" x14ac:dyDescent="0.35">
      <c r="A337">
        <v>986270</v>
      </c>
      <c r="B337" s="22" t="str">
        <f>IFERROR(VLOOKUP(A337,VLOOKUPS!$A:$B,2,FALSE), "")</f>
        <v>Organic French Beans 1lb-standard</v>
      </c>
      <c r="D337" s="13">
        <v>44819</v>
      </c>
      <c r="F337" t="s">
        <v>764</v>
      </c>
      <c r="G337" t="s">
        <v>318</v>
      </c>
      <c r="H337" t="s">
        <v>5</v>
      </c>
      <c r="I337" s="25" t="s">
        <v>319</v>
      </c>
      <c r="M337" t="s">
        <v>790</v>
      </c>
    </row>
    <row r="338" spans="1:13" x14ac:dyDescent="0.35">
      <c r="A338">
        <v>986293</v>
      </c>
      <c r="B338" s="22" t="str">
        <f>IFERROR(VLOOKUP(A338,VLOOKUPS!$A:$B,2,FALSE), "")</f>
        <v>Leeks* 3ct-BUNCH</v>
      </c>
      <c r="D338" s="13">
        <v>44819</v>
      </c>
      <c r="F338" t="s">
        <v>764</v>
      </c>
      <c r="G338" t="s">
        <v>318</v>
      </c>
      <c r="H338" t="s">
        <v>6</v>
      </c>
      <c r="I338" s="25" t="s">
        <v>319</v>
      </c>
      <c r="M338" t="s">
        <v>790</v>
      </c>
    </row>
    <row r="339" spans="1:13" x14ac:dyDescent="0.35">
      <c r="A339">
        <v>986293</v>
      </c>
      <c r="B339" s="22" t="str">
        <f>IFERROR(VLOOKUP(A339,VLOOKUPS!$A:$B,2,FALSE), "")</f>
        <v>Leeks* 3ct-BUNCH</v>
      </c>
      <c r="D339" s="13">
        <v>44819</v>
      </c>
      <c r="F339" t="s">
        <v>764</v>
      </c>
      <c r="G339" t="s">
        <v>318</v>
      </c>
      <c r="H339" t="s">
        <v>4</v>
      </c>
      <c r="I339" s="25" t="s">
        <v>319</v>
      </c>
      <c r="M339" t="s">
        <v>790</v>
      </c>
    </row>
    <row r="340" spans="1:13" x14ac:dyDescent="0.35">
      <c r="A340">
        <v>986293</v>
      </c>
      <c r="B340" s="22" t="str">
        <f>IFERROR(VLOOKUP(A340,VLOOKUPS!$A:$B,2,FALSE), "")</f>
        <v>Leeks* 3ct-BUNCH</v>
      </c>
      <c r="D340" s="13">
        <v>44819</v>
      </c>
      <c r="F340" t="s">
        <v>764</v>
      </c>
      <c r="G340" t="s">
        <v>318</v>
      </c>
      <c r="H340" t="s">
        <v>5</v>
      </c>
      <c r="I340" s="25" t="s">
        <v>319</v>
      </c>
      <c r="M340" t="s">
        <v>790</v>
      </c>
    </row>
    <row r="341" spans="1:13" x14ac:dyDescent="0.35">
      <c r="A341">
        <v>986400</v>
      </c>
      <c r="B341" s="22" t="str">
        <f>IFERROR(VLOOKUP(A341,VLOOKUPS!$A:$B,2,FALSE), "")</f>
        <v>Tomatoes* on the Vine 1lb-LOOSE</v>
      </c>
      <c r="D341" s="13">
        <v>44819</v>
      </c>
      <c r="F341" t="s">
        <v>764</v>
      </c>
      <c r="G341" t="s">
        <v>318</v>
      </c>
      <c r="H341" t="s">
        <v>6</v>
      </c>
      <c r="I341" s="25" t="s">
        <v>319</v>
      </c>
      <c r="M341" t="s">
        <v>790</v>
      </c>
    </row>
    <row r="342" spans="1:13" x14ac:dyDescent="0.35">
      <c r="A342">
        <v>986400</v>
      </c>
      <c r="B342" s="22" t="str">
        <f>IFERROR(VLOOKUP(A342,VLOOKUPS!$A:$B,2,FALSE), "")</f>
        <v>Tomatoes* on the Vine 1lb-LOOSE</v>
      </c>
      <c r="D342" s="13">
        <v>44819</v>
      </c>
      <c r="F342" t="s">
        <v>764</v>
      </c>
      <c r="G342" t="s">
        <v>318</v>
      </c>
      <c r="H342" t="s">
        <v>4</v>
      </c>
      <c r="I342" s="25" t="s">
        <v>319</v>
      </c>
      <c r="M342" t="s">
        <v>790</v>
      </c>
    </row>
    <row r="343" spans="1:13" x14ac:dyDescent="0.35">
      <c r="A343">
        <v>986400</v>
      </c>
      <c r="B343" s="22" t="str">
        <f>IFERROR(VLOOKUP(A343,VLOOKUPS!$A:$B,2,FALSE), "")</f>
        <v>Tomatoes* on the Vine 1lb-LOOSE</v>
      </c>
      <c r="D343" s="13">
        <v>44819</v>
      </c>
      <c r="F343" t="s">
        <v>764</v>
      </c>
      <c r="G343" t="s">
        <v>318</v>
      </c>
      <c r="H343" t="s">
        <v>5</v>
      </c>
      <c r="I343" s="25" t="s">
        <v>319</v>
      </c>
      <c r="M343" t="s">
        <v>790</v>
      </c>
    </row>
    <row r="344" spans="1:13" x14ac:dyDescent="0.35">
      <c r="A344">
        <v>986405</v>
      </c>
      <c r="B344" s="22" t="str">
        <f>IFERROR(VLOOKUP(A344,VLOOKUPS!$A:$B,2,FALSE), "")</f>
        <v>Tomatoes Grape 1.5lb-standard</v>
      </c>
      <c r="D344" s="13">
        <v>44819</v>
      </c>
      <c r="F344" t="s">
        <v>764</v>
      </c>
      <c r="G344" t="s">
        <v>318</v>
      </c>
      <c r="H344" t="s">
        <v>6</v>
      </c>
      <c r="I344" s="25" t="s">
        <v>319</v>
      </c>
      <c r="M344" t="s">
        <v>790</v>
      </c>
    </row>
    <row r="345" spans="1:13" x14ac:dyDescent="0.35">
      <c r="A345">
        <v>986405</v>
      </c>
      <c r="B345" s="22" t="str">
        <f>IFERROR(VLOOKUP(A345,VLOOKUPS!$A:$B,2,FALSE), "")</f>
        <v>Tomatoes Grape 1.5lb-standard</v>
      </c>
      <c r="D345" s="13">
        <v>44819</v>
      </c>
      <c r="F345" t="s">
        <v>764</v>
      </c>
      <c r="G345" t="s">
        <v>318</v>
      </c>
      <c r="H345" t="s">
        <v>4</v>
      </c>
      <c r="I345" s="25" t="s">
        <v>319</v>
      </c>
      <c r="M345" t="s">
        <v>790</v>
      </c>
    </row>
    <row r="346" spans="1:13" x14ac:dyDescent="0.35">
      <c r="A346">
        <v>986405</v>
      </c>
      <c r="B346" s="22" t="str">
        <f>IFERROR(VLOOKUP(A346,VLOOKUPS!$A:$B,2,FALSE), "")</f>
        <v>Tomatoes Grape 1.5lb-standard</v>
      </c>
      <c r="D346" s="13">
        <v>44819</v>
      </c>
      <c r="F346" t="s">
        <v>764</v>
      </c>
      <c r="G346" t="s">
        <v>318</v>
      </c>
      <c r="H346" t="s">
        <v>5</v>
      </c>
      <c r="I346" s="25" t="s">
        <v>319</v>
      </c>
      <c r="M346" t="s">
        <v>790</v>
      </c>
    </row>
    <row r="347" spans="1:13" x14ac:dyDescent="0.35">
      <c r="A347">
        <v>986480</v>
      </c>
      <c r="B347" s="22" t="str">
        <f>IFERROR(VLOOKUP(A347,VLOOKUPS!$A:$B,2,FALSE), "")</f>
        <v>Tomatoes* Beefsteak 1lb-LOOSE</v>
      </c>
      <c r="D347" s="13">
        <v>44819</v>
      </c>
      <c r="F347" t="s">
        <v>764</v>
      </c>
      <c r="G347" t="s">
        <v>318</v>
      </c>
      <c r="H347" t="s">
        <v>6</v>
      </c>
      <c r="I347" s="25" t="s">
        <v>319</v>
      </c>
      <c r="M347" t="s">
        <v>790</v>
      </c>
    </row>
    <row r="348" spans="1:13" x14ac:dyDescent="0.35">
      <c r="A348">
        <v>986480</v>
      </c>
      <c r="B348" s="22" t="str">
        <f>IFERROR(VLOOKUP(A348,VLOOKUPS!$A:$B,2,FALSE), "")</f>
        <v>Tomatoes* Beefsteak 1lb-LOOSE</v>
      </c>
      <c r="D348" s="13">
        <v>44819</v>
      </c>
      <c r="F348" t="s">
        <v>764</v>
      </c>
      <c r="G348" t="s">
        <v>318</v>
      </c>
      <c r="H348" t="s">
        <v>4</v>
      </c>
      <c r="I348" s="25" t="s">
        <v>319</v>
      </c>
      <c r="M348" t="s">
        <v>790</v>
      </c>
    </row>
    <row r="349" spans="1:13" x14ac:dyDescent="0.35">
      <c r="A349">
        <v>986480</v>
      </c>
      <c r="B349" s="22" t="str">
        <f>IFERROR(VLOOKUP(A349,VLOOKUPS!$A:$B,2,FALSE), "")</f>
        <v>Tomatoes* Beefsteak 1lb-LOOSE</v>
      </c>
      <c r="D349" s="13">
        <v>44819</v>
      </c>
      <c r="F349" t="s">
        <v>764</v>
      </c>
      <c r="G349" t="s">
        <v>318</v>
      </c>
      <c r="H349" t="s">
        <v>5</v>
      </c>
      <c r="I349" s="25" t="s">
        <v>319</v>
      </c>
      <c r="M349" t="s">
        <v>790</v>
      </c>
    </row>
    <row r="350" spans="1:13" x14ac:dyDescent="0.35">
      <c r="A350">
        <v>986650</v>
      </c>
      <c r="B350" s="22" t="str">
        <f>IFERROR(VLOOKUP(A350,VLOOKUPS!$A:$B,2,FALSE), "")</f>
        <v>Tomatoes Roma 1lb-standard</v>
      </c>
      <c r="D350" s="13">
        <v>44819</v>
      </c>
      <c r="F350" t="s">
        <v>764</v>
      </c>
      <c r="G350" t="s">
        <v>318</v>
      </c>
      <c r="H350" t="s">
        <v>6</v>
      </c>
      <c r="I350" s="25" t="s">
        <v>319</v>
      </c>
      <c r="M350" t="s">
        <v>790</v>
      </c>
    </row>
    <row r="351" spans="1:13" x14ac:dyDescent="0.35">
      <c r="A351">
        <v>986650</v>
      </c>
      <c r="B351" s="22" t="str">
        <f>IFERROR(VLOOKUP(A351,VLOOKUPS!$A:$B,2,FALSE), "")</f>
        <v>Tomatoes Roma 1lb-standard</v>
      </c>
      <c r="D351" s="13">
        <v>44819</v>
      </c>
      <c r="F351" t="s">
        <v>764</v>
      </c>
      <c r="G351" t="s">
        <v>318</v>
      </c>
      <c r="H351" t="s">
        <v>4</v>
      </c>
      <c r="I351" s="25" t="s">
        <v>319</v>
      </c>
      <c r="M351" t="s">
        <v>790</v>
      </c>
    </row>
    <row r="352" spans="1:13" x14ac:dyDescent="0.35">
      <c r="A352">
        <v>986650</v>
      </c>
      <c r="B352" s="22" t="str">
        <f>IFERROR(VLOOKUP(A352,VLOOKUPS!$A:$B,2,FALSE), "")</f>
        <v>Tomatoes Roma 1lb-standard</v>
      </c>
      <c r="D352" s="13">
        <v>44819</v>
      </c>
      <c r="F352" t="s">
        <v>764</v>
      </c>
      <c r="G352" t="s">
        <v>318</v>
      </c>
      <c r="H352" t="s">
        <v>5</v>
      </c>
      <c r="I352" s="25" t="s">
        <v>319</v>
      </c>
      <c r="M352" t="s">
        <v>790</v>
      </c>
    </row>
    <row r="353" spans="1:13" x14ac:dyDescent="0.35">
      <c r="A353">
        <v>986678</v>
      </c>
      <c r="B353" s="22" t="str">
        <f>IFERROR(VLOOKUP(A353,VLOOKUPS!$A:$B,2,FALSE), "")</f>
        <v>Organic Roma Tomatoes 1lb-standard</v>
      </c>
      <c r="D353" s="13">
        <v>44819</v>
      </c>
      <c r="F353" t="s">
        <v>764</v>
      </c>
      <c r="G353" t="s">
        <v>318</v>
      </c>
      <c r="H353" t="s">
        <v>6</v>
      </c>
      <c r="I353" s="25" t="s">
        <v>319</v>
      </c>
      <c r="M353" t="s">
        <v>790</v>
      </c>
    </row>
    <row r="354" spans="1:13" x14ac:dyDescent="0.35">
      <c r="A354">
        <v>986678</v>
      </c>
      <c r="B354" s="22" t="str">
        <f>IFERROR(VLOOKUP(A354,VLOOKUPS!$A:$B,2,FALSE), "")</f>
        <v>Organic Roma Tomatoes 1lb-standard</v>
      </c>
      <c r="D354" s="13">
        <v>44819</v>
      </c>
      <c r="F354" t="s">
        <v>764</v>
      </c>
      <c r="G354" t="s">
        <v>318</v>
      </c>
      <c r="H354" t="s">
        <v>4</v>
      </c>
      <c r="I354" s="25" t="s">
        <v>319</v>
      </c>
      <c r="M354" t="s">
        <v>790</v>
      </c>
    </row>
    <row r="355" spans="1:13" x14ac:dyDescent="0.35">
      <c r="A355">
        <v>986678</v>
      </c>
      <c r="B355" s="22" t="str">
        <f>IFERROR(VLOOKUP(A355,VLOOKUPS!$A:$B,2,FALSE), "")</f>
        <v>Organic Roma Tomatoes 1lb-standard</v>
      </c>
      <c r="D355" s="13">
        <v>44819</v>
      </c>
      <c r="F355" t="s">
        <v>764</v>
      </c>
      <c r="G355" t="s">
        <v>318</v>
      </c>
      <c r="H355" t="s">
        <v>5</v>
      </c>
      <c r="I355" s="25" t="s">
        <v>319</v>
      </c>
      <c r="M355" t="s">
        <v>790</v>
      </c>
    </row>
    <row r="356" spans="1:13" x14ac:dyDescent="0.35">
      <c r="A356">
        <v>986730</v>
      </c>
      <c r="B356" s="22" t="str">
        <f>IFERROR(VLOOKUP(A356,VLOOKUPS!$A:$B,2,FALSE), "")</f>
        <v>Tomatoes Grape 1pt-standard</v>
      </c>
      <c r="D356" s="13">
        <v>44819</v>
      </c>
      <c r="F356" t="s">
        <v>764</v>
      </c>
      <c r="G356" t="s">
        <v>318</v>
      </c>
      <c r="H356" t="s">
        <v>6</v>
      </c>
      <c r="I356" s="25" t="s">
        <v>319</v>
      </c>
      <c r="M356" t="s">
        <v>790</v>
      </c>
    </row>
    <row r="357" spans="1:13" x14ac:dyDescent="0.35">
      <c r="A357">
        <v>986730</v>
      </c>
      <c r="B357" s="22" t="str">
        <f>IFERROR(VLOOKUP(A357,VLOOKUPS!$A:$B,2,FALSE), "")</f>
        <v>Tomatoes Grape 1pt-standard</v>
      </c>
      <c r="D357" s="13">
        <v>44819</v>
      </c>
      <c r="F357" t="s">
        <v>764</v>
      </c>
      <c r="G357" t="s">
        <v>318</v>
      </c>
      <c r="H357" t="s">
        <v>4</v>
      </c>
      <c r="I357" s="25" t="s">
        <v>319</v>
      </c>
      <c r="M357" t="s">
        <v>790</v>
      </c>
    </row>
    <row r="358" spans="1:13" x14ac:dyDescent="0.35">
      <c r="A358">
        <v>986730</v>
      </c>
      <c r="B358" s="22" t="str">
        <f>IFERROR(VLOOKUP(A358,VLOOKUPS!$A:$B,2,FALSE), "")</f>
        <v>Tomatoes Grape 1pt-standard</v>
      </c>
      <c r="D358" s="13">
        <v>44819</v>
      </c>
      <c r="F358" t="s">
        <v>764</v>
      </c>
      <c r="G358" t="s">
        <v>318</v>
      </c>
      <c r="H358" t="s">
        <v>5</v>
      </c>
      <c r="I358" s="25" t="s">
        <v>319</v>
      </c>
      <c r="M358" t="s">
        <v>790</v>
      </c>
    </row>
    <row r="359" spans="1:13" x14ac:dyDescent="0.35">
      <c r="A359">
        <v>986785</v>
      </c>
      <c r="B359" s="22" t="str">
        <f>IFERROR(VLOOKUP(A359,VLOOKUPS!$A:$B,2,FALSE), "")</f>
        <v>Organic Tomatoes Grape 1pt-standard</v>
      </c>
      <c r="D359" s="13">
        <v>44819</v>
      </c>
      <c r="F359" t="s">
        <v>764</v>
      </c>
      <c r="G359" t="s">
        <v>318</v>
      </c>
      <c r="H359" t="s">
        <v>6</v>
      </c>
      <c r="I359" s="25" t="s">
        <v>319</v>
      </c>
      <c r="M359" t="s">
        <v>790</v>
      </c>
    </row>
    <row r="360" spans="1:13" x14ac:dyDescent="0.35">
      <c r="A360">
        <v>986785</v>
      </c>
      <c r="B360" s="22" t="str">
        <f>IFERROR(VLOOKUP(A360,VLOOKUPS!$A:$B,2,FALSE), "")</f>
        <v>Organic Tomatoes Grape 1pt-standard</v>
      </c>
      <c r="D360" s="13">
        <v>44819</v>
      </c>
      <c r="F360" t="s">
        <v>764</v>
      </c>
      <c r="G360" t="s">
        <v>318</v>
      </c>
      <c r="H360" t="s">
        <v>4</v>
      </c>
      <c r="I360" s="25" t="s">
        <v>319</v>
      </c>
      <c r="M360" t="s">
        <v>790</v>
      </c>
    </row>
    <row r="361" spans="1:13" x14ac:dyDescent="0.35">
      <c r="A361">
        <v>986785</v>
      </c>
      <c r="B361" s="22" t="str">
        <f>IFERROR(VLOOKUP(A361,VLOOKUPS!$A:$B,2,FALSE), "")</f>
        <v>Organic Tomatoes Grape 1pt-standard</v>
      </c>
      <c r="D361" s="13">
        <v>44819</v>
      </c>
      <c r="F361" t="s">
        <v>764</v>
      </c>
      <c r="G361" t="s">
        <v>318</v>
      </c>
      <c r="H361" t="s">
        <v>5</v>
      </c>
      <c r="I361" s="25" t="s">
        <v>319</v>
      </c>
      <c r="M361" t="s">
        <v>790</v>
      </c>
    </row>
    <row r="362" spans="1:13" x14ac:dyDescent="0.35">
      <c r="A362">
        <v>986810</v>
      </c>
      <c r="B362" s="22" t="str">
        <f>IFERROR(VLOOKUP(A362,VLOOKUPS!$A:$B,2,FALSE), "")</f>
        <v>Tomatoes Cherry on the Vine 9oz-standard</v>
      </c>
      <c r="D362" s="13">
        <v>44819</v>
      </c>
      <c r="F362" t="s">
        <v>764</v>
      </c>
      <c r="G362" t="s">
        <v>318</v>
      </c>
      <c r="H362" t="s">
        <v>6</v>
      </c>
      <c r="I362" s="25" t="s">
        <v>319</v>
      </c>
      <c r="M362" t="s">
        <v>790</v>
      </c>
    </row>
    <row r="363" spans="1:13" x14ac:dyDescent="0.35">
      <c r="A363">
        <v>986810</v>
      </c>
      <c r="B363" s="22" t="str">
        <f>IFERROR(VLOOKUP(A363,VLOOKUPS!$A:$B,2,FALSE), "")</f>
        <v>Tomatoes Cherry on the Vine 9oz-standard</v>
      </c>
      <c r="D363" s="13">
        <v>44819</v>
      </c>
      <c r="F363" t="s">
        <v>764</v>
      </c>
      <c r="G363" t="s">
        <v>318</v>
      </c>
      <c r="H363" t="s">
        <v>4</v>
      </c>
      <c r="I363" s="25" t="s">
        <v>319</v>
      </c>
      <c r="M363" t="s">
        <v>790</v>
      </c>
    </row>
    <row r="364" spans="1:13" x14ac:dyDescent="0.35">
      <c r="A364">
        <v>986810</v>
      </c>
      <c r="B364" s="22" t="str">
        <f>IFERROR(VLOOKUP(A364,VLOOKUPS!$A:$B,2,FALSE), "")</f>
        <v>Tomatoes Cherry on the Vine 9oz-standard</v>
      </c>
      <c r="D364" s="13">
        <v>44819</v>
      </c>
      <c r="F364" t="s">
        <v>764</v>
      </c>
      <c r="G364" t="s">
        <v>318</v>
      </c>
      <c r="H364" t="s">
        <v>5</v>
      </c>
      <c r="I364" s="25" t="s">
        <v>319</v>
      </c>
      <c r="M364" t="s">
        <v>790</v>
      </c>
    </row>
    <row r="365" spans="1:13" x14ac:dyDescent="0.35">
      <c r="A365">
        <v>986811</v>
      </c>
      <c r="B365" s="22" t="str">
        <f>IFERROR(VLOOKUP(A365,VLOOKUPS!$A:$B,2,FALSE), "")</f>
        <v/>
      </c>
      <c r="D365" s="13">
        <v>44819</v>
      </c>
      <c r="F365" t="s">
        <v>764</v>
      </c>
      <c r="G365" t="s">
        <v>318</v>
      </c>
      <c r="H365" t="s">
        <v>6</v>
      </c>
      <c r="I365" s="25" t="s">
        <v>319</v>
      </c>
      <c r="M365" t="s">
        <v>790</v>
      </c>
    </row>
    <row r="366" spans="1:13" x14ac:dyDescent="0.35">
      <c r="A366">
        <v>986811</v>
      </c>
      <c r="B366" s="22" t="str">
        <f>IFERROR(VLOOKUP(A366,VLOOKUPS!$A:$B,2,FALSE), "")</f>
        <v/>
      </c>
      <c r="D366" s="13">
        <v>44819</v>
      </c>
      <c r="F366" t="s">
        <v>764</v>
      </c>
      <c r="G366" t="s">
        <v>318</v>
      </c>
      <c r="H366" t="s">
        <v>4</v>
      </c>
      <c r="I366" s="25" t="s">
        <v>319</v>
      </c>
      <c r="M366" t="s">
        <v>790</v>
      </c>
    </row>
    <row r="367" spans="1:13" x14ac:dyDescent="0.35">
      <c r="A367">
        <v>986811</v>
      </c>
      <c r="B367" s="22" t="str">
        <f>IFERROR(VLOOKUP(A367,VLOOKUPS!$A:$B,2,FALSE), "")</f>
        <v/>
      </c>
      <c r="D367" s="13">
        <v>44819</v>
      </c>
      <c r="F367" t="s">
        <v>764</v>
      </c>
      <c r="G367" t="s">
        <v>318</v>
      </c>
      <c r="H367" t="s">
        <v>5</v>
      </c>
      <c r="I367" s="25" t="s">
        <v>319</v>
      </c>
      <c r="M367" t="s">
        <v>790</v>
      </c>
    </row>
    <row r="368" spans="1:13" x14ac:dyDescent="0.35">
      <c r="A368">
        <v>986890</v>
      </c>
      <c r="B368" s="22" t="str">
        <f>IFERROR(VLOOKUP(A368,VLOOKUPS!$A:$B,2,FALSE), "")</f>
        <v>Tomatoes Mix 12oz-standard</v>
      </c>
      <c r="D368" s="13">
        <v>44819</v>
      </c>
      <c r="F368" t="s">
        <v>764</v>
      </c>
      <c r="G368" t="s">
        <v>318</v>
      </c>
      <c r="H368" t="s">
        <v>6</v>
      </c>
      <c r="I368" s="25" t="s">
        <v>319</v>
      </c>
      <c r="M368" t="s">
        <v>790</v>
      </c>
    </row>
    <row r="369" spans="1:13" x14ac:dyDescent="0.35">
      <c r="A369">
        <v>986890</v>
      </c>
      <c r="B369" s="22" t="str">
        <f>IFERROR(VLOOKUP(A369,VLOOKUPS!$A:$B,2,FALSE), "")</f>
        <v>Tomatoes Mix 12oz-standard</v>
      </c>
      <c r="D369" s="13">
        <v>44819</v>
      </c>
      <c r="F369" t="s">
        <v>764</v>
      </c>
      <c r="G369" t="s">
        <v>318</v>
      </c>
      <c r="H369" t="s">
        <v>4</v>
      </c>
      <c r="I369" s="25" t="s">
        <v>319</v>
      </c>
      <c r="M369" t="s">
        <v>790</v>
      </c>
    </row>
    <row r="370" spans="1:13" x14ac:dyDescent="0.35">
      <c r="A370">
        <v>986890</v>
      </c>
      <c r="B370" s="22" t="str">
        <f>IFERROR(VLOOKUP(A370,VLOOKUPS!$A:$B,2,FALSE), "")</f>
        <v>Tomatoes Mix 12oz-standard</v>
      </c>
      <c r="D370" s="13">
        <v>44819</v>
      </c>
      <c r="F370" t="s">
        <v>764</v>
      </c>
      <c r="G370" t="s">
        <v>318</v>
      </c>
      <c r="H370" t="s">
        <v>5</v>
      </c>
      <c r="I370" s="25" t="s">
        <v>319</v>
      </c>
      <c r="M370" t="s">
        <v>790</v>
      </c>
    </row>
    <row r="371" spans="1:13" x14ac:dyDescent="0.35">
      <c r="A371">
        <v>986915</v>
      </c>
      <c r="B371" s="22" t="str">
        <f>IFERROR(VLOOKUP(A371,VLOOKUPS!$A:$B,2,FALSE), "")</f>
        <v>Tomatoes Cocktail on the Vine 1lb-standard</v>
      </c>
      <c r="D371" s="13">
        <v>44819</v>
      </c>
      <c r="F371" t="s">
        <v>764</v>
      </c>
      <c r="G371" t="s">
        <v>318</v>
      </c>
      <c r="H371" t="s">
        <v>6</v>
      </c>
      <c r="I371" s="25" t="s">
        <v>319</v>
      </c>
      <c r="M371" t="s">
        <v>790</v>
      </c>
    </row>
    <row r="372" spans="1:13" x14ac:dyDescent="0.35">
      <c r="A372">
        <v>986915</v>
      </c>
      <c r="B372" s="22" t="str">
        <f>IFERROR(VLOOKUP(A372,VLOOKUPS!$A:$B,2,FALSE), "")</f>
        <v>Tomatoes Cocktail on the Vine 1lb-standard</v>
      </c>
      <c r="D372" s="13">
        <v>44819</v>
      </c>
      <c r="F372" t="s">
        <v>764</v>
      </c>
      <c r="G372" t="s">
        <v>318</v>
      </c>
      <c r="H372" t="s">
        <v>4</v>
      </c>
      <c r="I372" s="25" t="s">
        <v>319</v>
      </c>
      <c r="M372" t="s">
        <v>790</v>
      </c>
    </row>
    <row r="373" spans="1:13" x14ac:dyDescent="0.35">
      <c r="A373">
        <v>986915</v>
      </c>
      <c r="B373" s="22" t="str">
        <f>IFERROR(VLOOKUP(A373,VLOOKUPS!$A:$B,2,FALSE), "")</f>
        <v>Tomatoes Cocktail on the Vine 1lb-standard</v>
      </c>
      <c r="D373" s="13">
        <v>44819</v>
      </c>
      <c r="F373" t="s">
        <v>764</v>
      </c>
      <c r="G373" t="s">
        <v>318</v>
      </c>
      <c r="H373" t="s">
        <v>5</v>
      </c>
      <c r="I373" s="25" t="s">
        <v>319</v>
      </c>
      <c r="M373" t="s">
        <v>790</v>
      </c>
    </row>
    <row r="374" spans="1:13" x14ac:dyDescent="0.35">
      <c r="A374">
        <v>986973</v>
      </c>
      <c r="B374" s="22" t="str">
        <f>IFERROR(VLOOKUP(A374,VLOOKUPS!$A:$B,2,FALSE), "")</f>
        <v>Tomatoes Sweet Pops 10oz-standard</v>
      </c>
      <c r="D374" s="13">
        <v>44819</v>
      </c>
      <c r="F374" t="s">
        <v>764</v>
      </c>
      <c r="G374" t="s">
        <v>318</v>
      </c>
      <c r="H374" t="s">
        <v>6</v>
      </c>
      <c r="I374" s="25" t="s">
        <v>319</v>
      </c>
      <c r="M374" t="s">
        <v>790</v>
      </c>
    </row>
    <row r="375" spans="1:13" x14ac:dyDescent="0.35">
      <c r="A375">
        <v>986973</v>
      </c>
      <c r="B375" s="22" t="str">
        <f>IFERROR(VLOOKUP(A375,VLOOKUPS!$A:$B,2,FALSE), "")</f>
        <v>Tomatoes Sweet Pops 10oz-standard</v>
      </c>
      <c r="D375" s="13">
        <v>44819</v>
      </c>
      <c r="F375" t="s">
        <v>764</v>
      </c>
      <c r="G375" t="s">
        <v>318</v>
      </c>
      <c r="H375" t="s">
        <v>4</v>
      </c>
      <c r="I375" s="25" t="s">
        <v>319</v>
      </c>
      <c r="M375" t="s">
        <v>790</v>
      </c>
    </row>
    <row r="376" spans="1:13" x14ac:dyDescent="0.35">
      <c r="A376">
        <v>986973</v>
      </c>
      <c r="B376" s="22" t="str">
        <f>IFERROR(VLOOKUP(A376,VLOOKUPS!$A:$B,2,FALSE), "")</f>
        <v>Tomatoes Sweet Pops 10oz-standard</v>
      </c>
      <c r="D376" s="13">
        <v>44819</v>
      </c>
      <c r="F376" t="s">
        <v>764</v>
      </c>
      <c r="G376" t="s">
        <v>318</v>
      </c>
      <c r="H376" t="s">
        <v>5</v>
      </c>
      <c r="I376" s="25" t="s">
        <v>319</v>
      </c>
      <c r="M376" t="s">
        <v>790</v>
      </c>
    </row>
    <row r="377" spans="1:13" x14ac:dyDescent="0.35">
      <c r="A377">
        <v>986974</v>
      </c>
      <c r="B377" s="22" t="str">
        <f>IFERROR(VLOOKUP(A377,VLOOKUPS!$A:$B,2,FALSE), "")</f>
        <v>Tomatoes Crimson 2ct-standard</v>
      </c>
      <c r="D377" s="13">
        <v>44819</v>
      </c>
      <c r="F377" t="s">
        <v>764</v>
      </c>
      <c r="G377" t="s">
        <v>318</v>
      </c>
      <c r="H377" t="s">
        <v>6</v>
      </c>
      <c r="I377" s="25" t="s">
        <v>319</v>
      </c>
      <c r="M377" t="s">
        <v>790</v>
      </c>
    </row>
    <row r="378" spans="1:13" x14ac:dyDescent="0.35">
      <c r="A378">
        <v>986974</v>
      </c>
      <c r="B378" s="22" t="str">
        <f>IFERROR(VLOOKUP(A378,VLOOKUPS!$A:$B,2,FALSE), "")</f>
        <v>Tomatoes Crimson 2ct-standard</v>
      </c>
      <c r="D378" s="13">
        <v>44819</v>
      </c>
      <c r="F378" t="s">
        <v>764</v>
      </c>
      <c r="G378" t="s">
        <v>318</v>
      </c>
      <c r="H378" t="s">
        <v>4</v>
      </c>
      <c r="I378" s="25" t="s">
        <v>319</v>
      </c>
      <c r="M378" t="s">
        <v>790</v>
      </c>
    </row>
    <row r="379" spans="1:13" x14ac:dyDescent="0.35">
      <c r="A379">
        <v>986974</v>
      </c>
      <c r="B379" s="22" t="str">
        <f>IFERROR(VLOOKUP(A379,VLOOKUPS!$A:$B,2,FALSE), "")</f>
        <v>Tomatoes Crimson 2ct-standard</v>
      </c>
      <c r="D379" s="13">
        <v>44819</v>
      </c>
      <c r="F379" t="s">
        <v>764</v>
      </c>
      <c r="G379" t="s">
        <v>318</v>
      </c>
      <c r="H379" t="s">
        <v>5</v>
      </c>
      <c r="I379" s="25" t="s">
        <v>319</v>
      </c>
      <c r="M379" t="s">
        <v>790</v>
      </c>
    </row>
    <row r="380" spans="1:13" x14ac:dyDescent="0.35">
      <c r="A380">
        <v>986975</v>
      </c>
      <c r="B380" s="22" t="str">
        <f>IFERROR(VLOOKUP(A380,VLOOKUPS!$A:$B,2,FALSE), "")</f>
        <v>Tomatoes Sweet Pops 1.5lb-standard</v>
      </c>
      <c r="D380" s="13">
        <v>44819</v>
      </c>
      <c r="F380" t="s">
        <v>764</v>
      </c>
      <c r="G380" t="s">
        <v>318</v>
      </c>
      <c r="H380" t="s">
        <v>6</v>
      </c>
      <c r="I380" s="25" t="s">
        <v>319</v>
      </c>
      <c r="M380" t="s">
        <v>790</v>
      </c>
    </row>
    <row r="381" spans="1:13" x14ac:dyDescent="0.35">
      <c r="A381">
        <v>986975</v>
      </c>
      <c r="B381" s="22" t="str">
        <f>IFERROR(VLOOKUP(A381,VLOOKUPS!$A:$B,2,FALSE), "")</f>
        <v>Tomatoes Sweet Pops 1.5lb-standard</v>
      </c>
      <c r="D381" s="13">
        <v>44819</v>
      </c>
      <c r="F381" t="s">
        <v>764</v>
      </c>
      <c r="G381" t="s">
        <v>318</v>
      </c>
      <c r="H381" t="s">
        <v>4</v>
      </c>
      <c r="I381" s="25" t="s">
        <v>319</v>
      </c>
      <c r="M381" t="s">
        <v>790</v>
      </c>
    </row>
    <row r="382" spans="1:13" x14ac:dyDescent="0.35">
      <c r="A382">
        <v>986975</v>
      </c>
      <c r="B382" s="22" t="str">
        <f>IFERROR(VLOOKUP(A382,VLOOKUPS!$A:$B,2,FALSE), "")</f>
        <v>Tomatoes Sweet Pops 1.5lb-standard</v>
      </c>
      <c r="D382" s="13">
        <v>44819</v>
      </c>
      <c r="F382" t="s">
        <v>764</v>
      </c>
      <c r="G382" t="s">
        <v>318</v>
      </c>
      <c r="H382" t="s">
        <v>5</v>
      </c>
      <c r="I382" s="25" t="s">
        <v>319</v>
      </c>
      <c r="M382" t="s">
        <v>790</v>
      </c>
    </row>
    <row r="383" spans="1:13" x14ac:dyDescent="0.35">
      <c r="A383">
        <v>987060</v>
      </c>
      <c r="B383" s="22" t="str">
        <f>IFERROR(VLOOKUP(A383,VLOOKUPS!$A:$B,2,FALSE), "")</f>
        <v>Tomatillos 1lb-loose</v>
      </c>
      <c r="D383" s="13">
        <v>44819</v>
      </c>
      <c r="F383" t="s">
        <v>764</v>
      </c>
      <c r="G383" t="s">
        <v>318</v>
      </c>
      <c r="H383" t="s">
        <v>6</v>
      </c>
      <c r="I383" s="25" t="s">
        <v>319</v>
      </c>
      <c r="M383" t="s">
        <v>790</v>
      </c>
    </row>
    <row r="384" spans="1:13" x14ac:dyDescent="0.35">
      <c r="A384">
        <v>987060</v>
      </c>
      <c r="B384" s="22" t="str">
        <f>IFERROR(VLOOKUP(A384,VLOOKUPS!$A:$B,2,FALSE), "")</f>
        <v>Tomatillos 1lb-loose</v>
      </c>
      <c r="D384" s="13">
        <v>44819</v>
      </c>
      <c r="F384" t="s">
        <v>764</v>
      </c>
      <c r="G384" t="s">
        <v>318</v>
      </c>
      <c r="H384" t="s">
        <v>4</v>
      </c>
      <c r="I384" s="25" t="s">
        <v>319</v>
      </c>
      <c r="M384" t="s">
        <v>790</v>
      </c>
    </row>
    <row r="385" spans="1:13" x14ac:dyDescent="0.35">
      <c r="A385">
        <v>987060</v>
      </c>
      <c r="B385" s="22" t="str">
        <f>IFERROR(VLOOKUP(A385,VLOOKUPS!$A:$B,2,FALSE), "")</f>
        <v>Tomatillos 1lb-loose</v>
      </c>
      <c r="D385" s="13">
        <v>44819</v>
      </c>
      <c r="F385" t="s">
        <v>764</v>
      </c>
      <c r="G385" t="s">
        <v>318</v>
      </c>
      <c r="H385" t="s">
        <v>5</v>
      </c>
      <c r="I385" s="25" t="s">
        <v>319</v>
      </c>
      <c r="M385" t="s">
        <v>790</v>
      </c>
    </row>
    <row r="386" spans="1:13" x14ac:dyDescent="0.35">
      <c r="A386">
        <v>987110</v>
      </c>
      <c r="B386" s="22" t="str">
        <f>IFERROR(VLOOKUP(A386,VLOOKUPS!$A:$B,2,FALSE), "")</f>
        <v>Peppers Red Sweet Bell 2ct-standard</v>
      </c>
      <c r="D386" s="13">
        <v>44819</v>
      </c>
      <c r="F386" t="s">
        <v>764</v>
      </c>
      <c r="G386" t="s">
        <v>318</v>
      </c>
      <c r="H386" t="s">
        <v>6</v>
      </c>
      <c r="I386" s="25" t="s">
        <v>319</v>
      </c>
      <c r="M386" t="s">
        <v>790</v>
      </c>
    </row>
    <row r="387" spans="1:13" x14ac:dyDescent="0.35">
      <c r="A387">
        <v>987110</v>
      </c>
      <c r="B387" s="22" t="str">
        <f>IFERROR(VLOOKUP(A387,VLOOKUPS!$A:$B,2,FALSE), "")</f>
        <v>Peppers Red Sweet Bell 2ct-standard</v>
      </c>
      <c r="D387" s="13">
        <v>44819</v>
      </c>
      <c r="F387" t="s">
        <v>764</v>
      </c>
      <c r="G387" t="s">
        <v>318</v>
      </c>
      <c r="H387" t="s">
        <v>4</v>
      </c>
      <c r="I387" s="25" t="s">
        <v>319</v>
      </c>
      <c r="M387" t="s">
        <v>790</v>
      </c>
    </row>
    <row r="388" spans="1:13" x14ac:dyDescent="0.35">
      <c r="A388">
        <v>987110</v>
      </c>
      <c r="B388" s="22" t="str">
        <f>IFERROR(VLOOKUP(A388,VLOOKUPS!$A:$B,2,FALSE), "")</f>
        <v>Peppers Red Sweet Bell 2ct-standard</v>
      </c>
      <c r="D388" s="13">
        <v>44819</v>
      </c>
      <c r="F388" t="s">
        <v>764</v>
      </c>
      <c r="G388" t="s">
        <v>318</v>
      </c>
      <c r="H388" t="s">
        <v>5</v>
      </c>
      <c r="I388" s="25" t="s">
        <v>319</v>
      </c>
      <c r="M388" t="s">
        <v>790</v>
      </c>
    </row>
    <row r="389" spans="1:13" x14ac:dyDescent="0.35">
      <c r="A389">
        <v>987211</v>
      </c>
      <c r="B389" s="22" t="str">
        <f>IFERROR(VLOOKUP(A389,VLOOKUPS!$A:$B,2,FALSE), "")</f>
        <v>Peppers Green Bell 3ct-standard</v>
      </c>
      <c r="D389" s="13">
        <v>44819</v>
      </c>
      <c r="F389" t="s">
        <v>764</v>
      </c>
      <c r="G389" t="s">
        <v>318</v>
      </c>
      <c r="H389" t="s">
        <v>6</v>
      </c>
      <c r="I389" s="25" t="s">
        <v>319</v>
      </c>
      <c r="M389" t="s">
        <v>790</v>
      </c>
    </row>
    <row r="390" spans="1:13" x14ac:dyDescent="0.35">
      <c r="A390">
        <v>987211</v>
      </c>
      <c r="B390" s="22" t="str">
        <f>IFERROR(VLOOKUP(A390,VLOOKUPS!$A:$B,2,FALSE), "")</f>
        <v>Peppers Green Bell 3ct-standard</v>
      </c>
      <c r="D390" s="13">
        <v>44819</v>
      </c>
      <c r="F390" t="s">
        <v>764</v>
      </c>
      <c r="G390" t="s">
        <v>318</v>
      </c>
      <c r="H390" t="s">
        <v>4</v>
      </c>
      <c r="I390" s="25" t="s">
        <v>319</v>
      </c>
      <c r="M390" t="s">
        <v>790</v>
      </c>
    </row>
    <row r="391" spans="1:13" x14ac:dyDescent="0.35">
      <c r="A391">
        <v>987211</v>
      </c>
      <c r="B391" s="22" t="str">
        <f>IFERROR(VLOOKUP(A391,VLOOKUPS!$A:$B,2,FALSE), "")</f>
        <v>Peppers Green Bell 3ct-standard</v>
      </c>
      <c r="D391" s="13">
        <v>44819</v>
      </c>
      <c r="F391" t="s">
        <v>764</v>
      </c>
      <c r="G391" t="s">
        <v>318</v>
      </c>
      <c r="H391" t="s">
        <v>5</v>
      </c>
      <c r="I391" s="25" t="s">
        <v>319</v>
      </c>
      <c r="M391" t="s">
        <v>790</v>
      </c>
    </row>
    <row r="392" spans="1:13" x14ac:dyDescent="0.35">
      <c r="A392">
        <v>987260</v>
      </c>
      <c r="B392" s="22" t="str">
        <f>IFERROR(VLOOKUP(A392,VLOOKUPS!$A:$B,2,FALSE), "")</f>
        <v>Peppers Sweet Bell 3ct-standard</v>
      </c>
      <c r="D392" s="13">
        <v>44819</v>
      </c>
      <c r="F392" t="s">
        <v>764</v>
      </c>
      <c r="G392" t="s">
        <v>318</v>
      </c>
      <c r="H392" t="s">
        <v>6</v>
      </c>
      <c r="I392" s="25" t="s">
        <v>319</v>
      </c>
      <c r="M392" t="s">
        <v>790</v>
      </c>
    </row>
    <row r="393" spans="1:13" x14ac:dyDescent="0.35">
      <c r="A393">
        <v>987260</v>
      </c>
      <c r="B393" s="22" t="str">
        <f>IFERROR(VLOOKUP(A393,VLOOKUPS!$A:$B,2,FALSE), "")</f>
        <v>Peppers Sweet Bell 3ct-standard</v>
      </c>
      <c r="D393" s="13">
        <v>44819</v>
      </c>
      <c r="F393" t="s">
        <v>764</v>
      </c>
      <c r="G393" t="s">
        <v>318</v>
      </c>
      <c r="H393" t="s">
        <v>4</v>
      </c>
      <c r="I393" s="25" t="s">
        <v>319</v>
      </c>
      <c r="M393" t="s">
        <v>790</v>
      </c>
    </row>
    <row r="394" spans="1:13" x14ac:dyDescent="0.35">
      <c r="A394">
        <v>987260</v>
      </c>
      <c r="B394" s="22" t="str">
        <f>IFERROR(VLOOKUP(A394,VLOOKUPS!$A:$B,2,FALSE), "")</f>
        <v>Peppers Sweet Bell 3ct-standard</v>
      </c>
      <c r="D394" s="13">
        <v>44819</v>
      </c>
      <c r="F394" t="s">
        <v>764</v>
      </c>
      <c r="G394" t="s">
        <v>318</v>
      </c>
      <c r="H394" t="s">
        <v>5</v>
      </c>
      <c r="I394" s="25" t="s">
        <v>319</v>
      </c>
      <c r="M394" t="s">
        <v>790</v>
      </c>
    </row>
    <row r="395" spans="1:13" x14ac:dyDescent="0.35">
      <c r="A395">
        <v>987261</v>
      </c>
      <c r="B395" s="22" t="str">
        <f>IFERROR(VLOOKUP(A395,VLOOKUPS!$A:$B,2,FALSE), "")</f>
        <v>Peppers Sweet Long 14oz-standard</v>
      </c>
      <c r="D395" s="13">
        <v>44819</v>
      </c>
      <c r="F395" t="s">
        <v>764</v>
      </c>
      <c r="G395" t="s">
        <v>318</v>
      </c>
      <c r="H395" t="s">
        <v>6</v>
      </c>
      <c r="I395" s="25" t="s">
        <v>319</v>
      </c>
      <c r="M395" t="s">
        <v>790</v>
      </c>
    </row>
    <row r="396" spans="1:13" x14ac:dyDescent="0.35">
      <c r="A396">
        <v>987261</v>
      </c>
      <c r="B396" s="22" t="str">
        <f>IFERROR(VLOOKUP(A396,VLOOKUPS!$A:$B,2,FALSE), "")</f>
        <v>Peppers Sweet Long 14oz-standard</v>
      </c>
      <c r="D396" s="13">
        <v>44819</v>
      </c>
      <c r="F396" t="s">
        <v>764</v>
      </c>
      <c r="G396" t="s">
        <v>318</v>
      </c>
      <c r="H396" t="s">
        <v>4</v>
      </c>
      <c r="I396" s="25" t="s">
        <v>319</v>
      </c>
      <c r="M396" t="s">
        <v>790</v>
      </c>
    </row>
    <row r="397" spans="1:13" x14ac:dyDescent="0.35">
      <c r="A397">
        <v>987261</v>
      </c>
      <c r="B397" s="22" t="str">
        <f>IFERROR(VLOOKUP(A397,VLOOKUPS!$A:$B,2,FALSE), "")</f>
        <v>Peppers Sweet Long 14oz-standard</v>
      </c>
      <c r="D397" s="13">
        <v>44819</v>
      </c>
      <c r="F397" t="s">
        <v>764</v>
      </c>
      <c r="G397" t="s">
        <v>318</v>
      </c>
      <c r="H397" t="s">
        <v>5</v>
      </c>
      <c r="I397" s="25" t="s">
        <v>319</v>
      </c>
      <c r="M397" t="s">
        <v>790</v>
      </c>
    </row>
    <row r="398" spans="1:13" x14ac:dyDescent="0.35">
      <c r="A398">
        <v>987268</v>
      </c>
      <c r="B398" s="22" t="str">
        <f>IFERROR(VLOOKUP(A398,VLOOKUPS!$A:$B,2,FALSE), "")</f>
        <v>Peppers Mini Sweet Bell 8oz-standard</v>
      </c>
      <c r="D398" s="13">
        <v>44819</v>
      </c>
      <c r="F398" t="s">
        <v>764</v>
      </c>
      <c r="G398" t="s">
        <v>318</v>
      </c>
      <c r="H398" t="s">
        <v>6</v>
      </c>
      <c r="I398" s="25" t="s">
        <v>319</v>
      </c>
      <c r="M398" t="s">
        <v>790</v>
      </c>
    </row>
    <row r="399" spans="1:13" x14ac:dyDescent="0.35">
      <c r="A399">
        <v>987268</v>
      </c>
      <c r="B399" s="22" t="str">
        <f>IFERROR(VLOOKUP(A399,VLOOKUPS!$A:$B,2,FALSE), "")</f>
        <v>Peppers Mini Sweet Bell 8oz-standard</v>
      </c>
      <c r="D399" s="13">
        <v>44819</v>
      </c>
      <c r="F399" t="s">
        <v>764</v>
      </c>
      <c r="G399" t="s">
        <v>318</v>
      </c>
      <c r="H399" t="s">
        <v>4</v>
      </c>
      <c r="I399" s="25" t="s">
        <v>319</v>
      </c>
      <c r="M399" t="s">
        <v>790</v>
      </c>
    </row>
    <row r="400" spans="1:13" x14ac:dyDescent="0.35">
      <c r="A400">
        <v>987268</v>
      </c>
      <c r="B400" s="22" t="str">
        <f>IFERROR(VLOOKUP(A400,VLOOKUPS!$A:$B,2,FALSE), "")</f>
        <v>Peppers Mini Sweet Bell 8oz-standard</v>
      </c>
      <c r="D400" s="13">
        <v>44819</v>
      </c>
      <c r="F400" t="s">
        <v>764</v>
      </c>
      <c r="G400" t="s">
        <v>318</v>
      </c>
      <c r="H400" t="s">
        <v>5</v>
      </c>
      <c r="I400" s="25" t="s">
        <v>319</v>
      </c>
      <c r="M400" t="s">
        <v>790</v>
      </c>
    </row>
    <row r="401" spans="1:13" x14ac:dyDescent="0.35">
      <c r="A401">
        <v>987290</v>
      </c>
      <c r="B401" s="22" t="str">
        <f>IFERROR(VLOOKUP(A401,VLOOKUPS!$A:$B,2,FALSE), "")</f>
        <v>Organic Peppers Sweet Bell 2ct-standard</v>
      </c>
      <c r="D401" s="13">
        <v>44819</v>
      </c>
      <c r="F401" t="s">
        <v>764</v>
      </c>
      <c r="G401" t="s">
        <v>318</v>
      </c>
      <c r="H401" t="s">
        <v>6</v>
      </c>
      <c r="I401" s="25" t="s">
        <v>319</v>
      </c>
      <c r="M401" t="s">
        <v>790</v>
      </c>
    </row>
    <row r="402" spans="1:13" x14ac:dyDescent="0.35">
      <c r="A402">
        <v>987290</v>
      </c>
      <c r="B402" s="22" t="str">
        <f>IFERROR(VLOOKUP(A402,VLOOKUPS!$A:$B,2,FALSE), "")</f>
        <v>Organic Peppers Sweet Bell 2ct-standard</v>
      </c>
      <c r="D402" s="13">
        <v>44819</v>
      </c>
      <c r="F402" t="s">
        <v>764</v>
      </c>
      <c r="G402" t="s">
        <v>318</v>
      </c>
      <c r="H402" t="s">
        <v>4</v>
      </c>
      <c r="I402" s="25" t="s">
        <v>319</v>
      </c>
      <c r="M402" t="s">
        <v>790</v>
      </c>
    </row>
    <row r="403" spans="1:13" x14ac:dyDescent="0.35">
      <c r="A403">
        <v>987290</v>
      </c>
      <c r="B403" s="22" t="str">
        <f>IFERROR(VLOOKUP(A403,VLOOKUPS!$A:$B,2,FALSE), "")</f>
        <v>Organic Peppers Sweet Bell 2ct-standard</v>
      </c>
      <c r="D403" s="13">
        <v>44819</v>
      </c>
      <c r="F403" t="s">
        <v>764</v>
      </c>
      <c r="G403" t="s">
        <v>318</v>
      </c>
      <c r="H403" t="s">
        <v>5</v>
      </c>
      <c r="I403" s="25" t="s">
        <v>319</v>
      </c>
      <c r="M403" t="s">
        <v>790</v>
      </c>
    </row>
    <row r="404" spans="1:13" x14ac:dyDescent="0.35">
      <c r="A404">
        <v>987310</v>
      </c>
      <c r="B404" s="22" t="str">
        <f>IFERROR(VLOOKUP(A404,VLOOKUPS!$A:$B,2,FALSE), "")</f>
        <v>Peppers Mini Sweet Bell 1lb-standard</v>
      </c>
      <c r="D404" s="13">
        <v>44819</v>
      </c>
      <c r="F404" t="s">
        <v>764</v>
      </c>
      <c r="G404" t="s">
        <v>318</v>
      </c>
      <c r="H404" t="s">
        <v>6</v>
      </c>
      <c r="I404" s="25" t="s">
        <v>319</v>
      </c>
      <c r="M404" t="s">
        <v>790</v>
      </c>
    </row>
    <row r="405" spans="1:13" x14ac:dyDescent="0.35">
      <c r="A405">
        <v>987310</v>
      </c>
      <c r="B405" s="22" t="str">
        <f>IFERROR(VLOOKUP(A405,VLOOKUPS!$A:$B,2,FALSE), "")</f>
        <v>Peppers Mini Sweet Bell 1lb-standard</v>
      </c>
      <c r="D405" s="13">
        <v>44819</v>
      </c>
      <c r="F405" t="s">
        <v>764</v>
      </c>
      <c r="G405" t="s">
        <v>318</v>
      </c>
      <c r="H405" t="s">
        <v>4</v>
      </c>
      <c r="I405" s="25" t="s">
        <v>319</v>
      </c>
      <c r="M405" t="s">
        <v>790</v>
      </c>
    </row>
    <row r="406" spans="1:13" x14ac:dyDescent="0.35">
      <c r="A406">
        <v>987310</v>
      </c>
      <c r="B406" s="22" t="str">
        <f>IFERROR(VLOOKUP(A406,VLOOKUPS!$A:$B,2,FALSE), "")</f>
        <v>Peppers Mini Sweet Bell 1lb-standard</v>
      </c>
      <c r="D406" s="13">
        <v>44819</v>
      </c>
      <c r="F406" t="s">
        <v>764</v>
      </c>
      <c r="G406" t="s">
        <v>318</v>
      </c>
      <c r="H406" t="s">
        <v>5</v>
      </c>
      <c r="I406" s="25" t="s">
        <v>319</v>
      </c>
      <c r="M406" t="s">
        <v>790</v>
      </c>
    </row>
    <row r="407" spans="1:13" x14ac:dyDescent="0.35">
      <c r="A407">
        <v>987345</v>
      </c>
      <c r="B407" s="22" t="str">
        <f>IFERROR(VLOOKUP(A407,VLOOKUPS!$A:$B,2,FALSE), "")</f>
        <v/>
      </c>
      <c r="D407" s="13">
        <v>44819</v>
      </c>
      <c r="F407" t="s">
        <v>764</v>
      </c>
      <c r="G407" t="s">
        <v>318</v>
      </c>
      <c r="H407" t="s">
        <v>6</v>
      </c>
      <c r="I407" s="25" t="s">
        <v>319</v>
      </c>
      <c r="M407" t="s">
        <v>790</v>
      </c>
    </row>
    <row r="408" spans="1:13" x14ac:dyDescent="0.35">
      <c r="A408">
        <v>987345</v>
      </c>
      <c r="B408" s="22" t="str">
        <f>IFERROR(VLOOKUP(A408,VLOOKUPS!$A:$B,2,FALSE), "")</f>
        <v/>
      </c>
      <c r="D408" s="13">
        <v>44819</v>
      </c>
      <c r="F408" t="s">
        <v>764</v>
      </c>
      <c r="G408" t="s">
        <v>318</v>
      </c>
      <c r="H408" t="s">
        <v>4</v>
      </c>
      <c r="I408" s="25" t="s">
        <v>319</v>
      </c>
      <c r="M408" t="s">
        <v>790</v>
      </c>
    </row>
    <row r="409" spans="1:13" x14ac:dyDescent="0.35">
      <c r="A409">
        <v>987345</v>
      </c>
      <c r="B409" s="22" t="str">
        <f>IFERROR(VLOOKUP(A409,VLOOKUPS!$A:$B,2,FALSE), "")</f>
        <v/>
      </c>
      <c r="D409" s="13">
        <v>44819</v>
      </c>
      <c r="F409" t="s">
        <v>764</v>
      </c>
      <c r="G409" t="s">
        <v>318</v>
      </c>
      <c r="H409" t="s">
        <v>5</v>
      </c>
      <c r="I409" s="25" t="s">
        <v>319</v>
      </c>
      <c r="M409" t="s">
        <v>790</v>
      </c>
    </row>
    <row r="410" spans="1:13" x14ac:dyDescent="0.35">
      <c r="A410">
        <v>987360</v>
      </c>
      <c r="B410" s="22" t="str">
        <f>IFERROR(VLOOKUP(A410,VLOOKUPS!$A:$B,2,FALSE), "")</f>
        <v>Peppers Jalapeno 8oz-standard</v>
      </c>
      <c r="D410" s="13">
        <v>44819</v>
      </c>
      <c r="F410" t="s">
        <v>764</v>
      </c>
      <c r="G410" t="s">
        <v>318</v>
      </c>
      <c r="H410" t="s">
        <v>6</v>
      </c>
      <c r="I410" s="25" t="s">
        <v>319</v>
      </c>
      <c r="M410" t="s">
        <v>790</v>
      </c>
    </row>
    <row r="411" spans="1:13" x14ac:dyDescent="0.35">
      <c r="A411">
        <v>987360</v>
      </c>
      <c r="B411" s="22" t="str">
        <f>IFERROR(VLOOKUP(A411,VLOOKUPS!$A:$B,2,FALSE), "")</f>
        <v>Peppers Jalapeno 8oz-standard</v>
      </c>
      <c r="D411" s="13">
        <v>44819</v>
      </c>
      <c r="F411" t="s">
        <v>764</v>
      </c>
      <c r="G411" t="s">
        <v>318</v>
      </c>
      <c r="H411" t="s">
        <v>4</v>
      </c>
      <c r="I411" s="25" t="s">
        <v>319</v>
      </c>
      <c r="M411" t="s">
        <v>790</v>
      </c>
    </row>
    <row r="412" spans="1:13" x14ac:dyDescent="0.35">
      <c r="A412">
        <v>987360</v>
      </c>
      <c r="B412" s="22" t="str">
        <f>IFERROR(VLOOKUP(A412,VLOOKUPS!$A:$B,2,FALSE), "")</f>
        <v>Peppers Jalapeno 8oz-standard</v>
      </c>
      <c r="D412" s="13">
        <v>44819</v>
      </c>
      <c r="F412" t="s">
        <v>764</v>
      </c>
      <c r="G412" t="s">
        <v>318</v>
      </c>
      <c r="H412" t="s">
        <v>5</v>
      </c>
      <c r="I412" s="25" t="s">
        <v>319</v>
      </c>
      <c r="M412" t="s">
        <v>790</v>
      </c>
    </row>
    <row r="413" spans="1:13" x14ac:dyDescent="0.35">
      <c r="A413">
        <v>987361</v>
      </c>
      <c r="B413" s="22" t="str">
        <f>IFERROR(VLOOKUP(A413,VLOOKUPS!$A:$B,2,FALSE), "")</f>
        <v>Peppers Shishito 12oz-standard</v>
      </c>
      <c r="D413" s="13">
        <v>44819</v>
      </c>
      <c r="F413" t="s">
        <v>764</v>
      </c>
      <c r="G413" t="s">
        <v>318</v>
      </c>
      <c r="H413" t="s">
        <v>6</v>
      </c>
      <c r="I413" s="25" t="s">
        <v>319</v>
      </c>
      <c r="M413" t="s">
        <v>790</v>
      </c>
    </row>
    <row r="414" spans="1:13" x14ac:dyDescent="0.35">
      <c r="A414">
        <v>987361</v>
      </c>
      <c r="B414" s="22" t="str">
        <f>IFERROR(VLOOKUP(A414,VLOOKUPS!$A:$B,2,FALSE), "")</f>
        <v>Peppers Shishito 12oz-standard</v>
      </c>
      <c r="D414" s="13">
        <v>44819</v>
      </c>
      <c r="F414" t="s">
        <v>764</v>
      </c>
      <c r="G414" t="s">
        <v>318</v>
      </c>
      <c r="H414" t="s">
        <v>4</v>
      </c>
      <c r="I414" s="25" t="s">
        <v>319</v>
      </c>
      <c r="M414" t="s">
        <v>790</v>
      </c>
    </row>
    <row r="415" spans="1:13" x14ac:dyDescent="0.35">
      <c r="A415">
        <v>987361</v>
      </c>
      <c r="B415" s="22" t="str">
        <f>IFERROR(VLOOKUP(A415,VLOOKUPS!$A:$B,2,FALSE), "")</f>
        <v>Peppers Shishito 12oz-standard</v>
      </c>
      <c r="D415" s="13">
        <v>44819</v>
      </c>
      <c r="F415" t="s">
        <v>764</v>
      </c>
      <c r="G415" t="s">
        <v>318</v>
      </c>
      <c r="H415" t="s">
        <v>5</v>
      </c>
      <c r="I415" s="25" t="s">
        <v>319</v>
      </c>
      <c r="M415" t="s">
        <v>790</v>
      </c>
    </row>
    <row r="416" spans="1:13" x14ac:dyDescent="0.35">
      <c r="A416">
        <v>987560</v>
      </c>
      <c r="B416" s="22" t="str">
        <f>IFERROR(VLOOKUP(A416,VLOOKUPS!$A:$B,2,FALSE), "")</f>
        <v>Celery 1ct-standard</v>
      </c>
      <c r="D416" s="13">
        <v>44819</v>
      </c>
      <c r="F416" t="s">
        <v>764</v>
      </c>
      <c r="G416" t="s">
        <v>318</v>
      </c>
      <c r="H416" t="s">
        <v>6</v>
      </c>
      <c r="I416" s="25" t="s">
        <v>319</v>
      </c>
      <c r="M416" t="s">
        <v>790</v>
      </c>
    </row>
    <row r="417" spans="1:13" x14ac:dyDescent="0.35">
      <c r="A417">
        <v>987560</v>
      </c>
      <c r="B417" s="22" t="str">
        <f>IFERROR(VLOOKUP(A417,VLOOKUPS!$A:$B,2,FALSE), "")</f>
        <v>Celery 1ct-standard</v>
      </c>
      <c r="D417" s="13">
        <v>44819</v>
      </c>
      <c r="F417" t="s">
        <v>764</v>
      </c>
      <c r="G417" t="s">
        <v>318</v>
      </c>
      <c r="H417" t="s">
        <v>4</v>
      </c>
      <c r="I417" s="25" t="s">
        <v>319</v>
      </c>
      <c r="M417" t="s">
        <v>790</v>
      </c>
    </row>
    <row r="418" spans="1:13" x14ac:dyDescent="0.35">
      <c r="A418">
        <v>987560</v>
      </c>
      <c r="B418" s="22" t="str">
        <f>IFERROR(VLOOKUP(A418,VLOOKUPS!$A:$B,2,FALSE), "")</f>
        <v>Celery 1ct-standard</v>
      </c>
      <c r="D418" s="13">
        <v>44819</v>
      </c>
      <c r="F418" t="s">
        <v>764</v>
      </c>
      <c r="G418" t="s">
        <v>318</v>
      </c>
      <c r="H418" t="s">
        <v>5</v>
      </c>
      <c r="I418" s="25" t="s">
        <v>319</v>
      </c>
      <c r="M418" t="s">
        <v>790</v>
      </c>
    </row>
    <row r="419" spans="1:13" x14ac:dyDescent="0.35">
      <c r="A419">
        <v>987590</v>
      </c>
      <c r="B419" s="22" t="str">
        <f>IFERROR(VLOOKUP(A419,VLOOKUPS!$A:$B,2,FALSE), "")</f>
        <v>Carrots 2lb-standard</v>
      </c>
      <c r="D419" s="13">
        <v>44819</v>
      </c>
      <c r="F419" t="s">
        <v>764</v>
      </c>
      <c r="G419" t="s">
        <v>318</v>
      </c>
      <c r="H419" t="s">
        <v>6</v>
      </c>
      <c r="I419" s="25" t="s">
        <v>319</v>
      </c>
      <c r="M419" t="s">
        <v>790</v>
      </c>
    </row>
    <row r="420" spans="1:13" x14ac:dyDescent="0.35">
      <c r="A420">
        <v>987590</v>
      </c>
      <c r="B420" s="22" t="str">
        <f>IFERROR(VLOOKUP(A420,VLOOKUPS!$A:$B,2,FALSE), "")</f>
        <v>Carrots 2lb-standard</v>
      </c>
      <c r="D420" s="13">
        <v>44819</v>
      </c>
      <c r="F420" t="s">
        <v>764</v>
      </c>
      <c r="G420" t="s">
        <v>318</v>
      </c>
      <c r="H420" t="s">
        <v>4</v>
      </c>
      <c r="I420" s="25" t="s">
        <v>319</v>
      </c>
      <c r="M420" t="s">
        <v>790</v>
      </c>
    </row>
    <row r="421" spans="1:13" x14ac:dyDescent="0.35">
      <c r="A421">
        <v>987590</v>
      </c>
      <c r="B421" s="22" t="str">
        <f>IFERROR(VLOOKUP(A421,VLOOKUPS!$A:$B,2,FALSE), "")</f>
        <v>Carrots 2lb-standard</v>
      </c>
      <c r="D421" s="13">
        <v>44819</v>
      </c>
      <c r="F421" t="s">
        <v>764</v>
      </c>
      <c r="G421" t="s">
        <v>318</v>
      </c>
      <c r="H421" t="s">
        <v>5</v>
      </c>
      <c r="I421" s="25" t="s">
        <v>319</v>
      </c>
      <c r="M421" t="s">
        <v>790</v>
      </c>
    </row>
    <row r="422" spans="1:13" x14ac:dyDescent="0.35">
      <c r="A422">
        <v>987591</v>
      </c>
      <c r="B422" s="22" t="str">
        <f>IFERROR(VLOOKUP(A422,VLOOKUPS!$A:$B,2,FALSE), "")</f>
        <v>Carrots Baby 2lb-standard</v>
      </c>
      <c r="D422" s="13">
        <v>44819</v>
      </c>
      <c r="F422" t="s">
        <v>764</v>
      </c>
      <c r="G422" t="s">
        <v>318</v>
      </c>
      <c r="H422" t="s">
        <v>6</v>
      </c>
      <c r="I422" s="25" t="s">
        <v>319</v>
      </c>
      <c r="M422" t="s">
        <v>790</v>
      </c>
    </row>
    <row r="423" spans="1:13" x14ac:dyDescent="0.35">
      <c r="A423">
        <v>987591</v>
      </c>
      <c r="B423" s="22" t="str">
        <f>IFERROR(VLOOKUP(A423,VLOOKUPS!$A:$B,2,FALSE), "")</f>
        <v>Carrots Baby 2lb-standard</v>
      </c>
      <c r="D423" s="13">
        <v>44819</v>
      </c>
      <c r="F423" t="s">
        <v>764</v>
      </c>
      <c r="G423" t="s">
        <v>318</v>
      </c>
      <c r="H423" t="s">
        <v>4</v>
      </c>
      <c r="I423" s="25" t="s">
        <v>319</v>
      </c>
      <c r="M423" t="s">
        <v>790</v>
      </c>
    </row>
    <row r="424" spans="1:13" x14ac:dyDescent="0.35">
      <c r="A424">
        <v>987591</v>
      </c>
      <c r="B424" s="22" t="str">
        <f>IFERROR(VLOOKUP(A424,VLOOKUPS!$A:$B,2,FALSE), "")</f>
        <v>Carrots Baby 2lb-standard</v>
      </c>
      <c r="D424" s="13">
        <v>44819</v>
      </c>
      <c r="F424" t="s">
        <v>764</v>
      </c>
      <c r="G424" t="s">
        <v>318</v>
      </c>
      <c r="H424" t="s">
        <v>5</v>
      </c>
      <c r="I424" s="25" t="s">
        <v>319</v>
      </c>
      <c r="M424" t="s">
        <v>790</v>
      </c>
    </row>
    <row r="425" spans="1:13" x14ac:dyDescent="0.35">
      <c r="A425">
        <v>987592</v>
      </c>
      <c r="B425" s="22" t="str">
        <f>IFERROR(VLOOKUP(A425,VLOOKUPS!$A:$B,2,FALSE), "")</f>
        <v>Carrots Chips 16oz-standard</v>
      </c>
      <c r="D425" s="13">
        <v>44819</v>
      </c>
      <c r="F425" t="s">
        <v>764</v>
      </c>
      <c r="G425" t="s">
        <v>318</v>
      </c>
      <c r="H425" t="s">
        <v>6</v>
      </c>
      <c r="I425" s="25" t="s">
        <v>319</v>
      </c>
      <c r="M425" t="s">
        <v>790</v>
      </c>
    </row>
    <row r="426" spans="1:13" x14ac:dyDescent="0.35">
      <c r="A426">
        <v>987592</v>
      </c>
      <c r="B426" s="22" t="str">
        <f>IFERROR(VLOOKUP(A426,VLOOKUPS!$A:$B,2,FALSE), "")</f>
        <v>Carrots Chips 16oz-standard</v>
      </c>
      <c r="D426" s="13">
        <v>44819</v>
      </c>
      <c r="F426" t="s">
        <v>764</v>
      </c>
      <c r="G426" t="s">
        <v>318</v>
      </c>
      <c r="H426" t="s">
        <v>4</v>
      </c>
      <c r="I426" s="25" t="s">
        <v>319</v>
      </c>
      <c r="M426" t="s">
        <v>790</v>
      </c>
    </row>
    <row r="427" spans="1:13" x14ac:dyDescent="0.35">
      <c r="A427">
        <v>987592</v>
      </c>
      <c r="B427" s="22" t="str">
        <f>IFERROR(VLOOKUP(A427,VLOOKUPS!$A:$B,2,FALSE), "")</f>
        <v>Carrots Chips 16oz-standard</v>
      </c>
      <c r="D427" s="13">
        <v>44819</v>
      </c>
      <c r="F427" t="s">
        <v>764</v>
      </c>
      <c r="G427" t="s">
        <v>318</v>
      </c>
      <c r="H427" t="s">
        <v>5</v>
      </c>
      <c r="I427" s="25" t="s">
        <v>319</v>
      </c>
      <c r="M427" t="s">
        <v>790</v>
      </c>
    </row>
    <row r="428" spans="1:13" x14ac:dyDescent="0.35">
      <c r="A428">
        <v>987593</v>
      </c>
      <c r="B428" s="22" t="str">
        <f>IFERROR(VLOOKUP(A428,VLOOKUPS!$A:$B,2,FALSE), "")</f>
        <v>Carrots Shredded 10oz-standard</v>
      </c>
      <c r="D428" s="13">
        <v>44819</v>
      </c>
      <c r="F428" t="s">
        <v>764</v>
      </c>
      <c r="G428" t="s">
        <v>318</v>
      </c>
      <c r="H428" t="s">
        <v>6</v>
      </c>
      <c r="I428" s="25" t="s">
        <v>319</v>
      </c>
      <c r="M428" t="s">
        <v>790</v>
      </c>
    </row>
    <row r="429" spans="1:13" x14ac:dyDescent="0.35">
      <c r="A429">
        <v>987593</v>
      </c>
      <c r="B429" s="22" t="str">
        <f>IFERROR(VLOOKUP(A429,VLOOKUPS!$A:$B,2,FALSE), "")</f>
        <v>Carrots Shredded 10oz-standard</v>
      </c>
      <c r="D429" s="13">
        <v>44819</v>
      </c>
      <c r="F429" t="s">
        <v>764</v>
      </c>
      <c r="G429" t="s">
        <v>318</v>
      </c>
      <c r="H429" t="s">
        <v>4</v>
      </c>
      <c r="I429" s="25" t="s">
        <v>319</v>
      </c>
      <c r="M429" t="s">
        <v>790</v>
      </c>
    </row>
    <row r="430" spans="1:13" x14ac:dyDescent="0.35">
      <c r="A430">
        <v>987593</v>
      </c>
      <c r="B430" s="22" t="str">
        <f>IFERROR(VLOOKUP(A430,VLOOKUPS!$A:$B,2,FALSE), "")</f>
        <v>Carrots Shredded 10oz-standard</v>
      </c>
      <c r="D430" s="13">
        <v>44819</v>
      </c>
      <c r="F430" t="s">
        <v>764</v>
      </c>
      <c r="G430" t="s">
        <v>318</v>
      </c>
      <c r="H430" t="s">
        <v>5</v>
      </c>
      <c r="I430" s="25" t="s">
        <v>319</v>
      </c>
      <c r="M430" t="s">
        <v>790</v>
      </c>
    </row>
    <row r="431" spans="1:13" x14ac:dyDescent="0.35">
      <c r="A431">
        <v>987594</v>
      </c>
      <c r="B431" s="22" t="str">
        <f>IFERROR(VLOOKUP(A431,VLOOKUPS!$A:$B,2,FALSE), "")</f>
        <v>Carrots Baby 16oz-standard</v>
      </c>
      <c r="D431" s="13">
        <v>44819</v>
      </c>
      <c r="F431" t="s">
        <v>764</v>
      </c>
      <c r="G431" t="s">
        <v>318</v>
      </c>
      <c r="H431" t="s">
        <v>6</v>
      </c>
      <c r="I431" s="25" t="s">
        <v>319</v>
      </c>
      <c r="M431" t="s">
        <v>790</v>
      </c>
    </row>
    <row r="432" spans="1:13" x14ac:dyDescent="0.35">
      <c r="A432">
        <v>987594</v>
      </c>
      <c r="B432" s="22" t="str">
        <f>IFERROR(VLOOKUP(A432,VLOOKUPS!$A:$B,2,FALSE), "")</f>
        <v>Carrots Baby 16oz-standard</v>
      </c>
      <c r="D432" s="13">
        <v>44819</v>
      </c>
      <c r="F432" t="s">
        <v>764</v>
      </c>
      <c r="G432" t="s">
        <v>318</v>
      </c>
      <c r="H432" t="s">
        <v>4</v>
      </c>
      <c r="I432" s="25" t="s">
        <v>319</v>
      </c>
      <c r="M432" t="s">
        <v>790</v>
      </c>
    </row>
    <row r="433" spans="1:13" x14ac:dyDescent="0.35">
      <c r="A433">
        <v>987594</v>
      </c>
      <c r="B433" s="22" t="str">
        <f>IFERROR(VLOOKUP(A433,VLOOKUPS!$A:$B,2,FALSE), "")</f>
        <v>Carrots Baby 16oz-standard</v>
      </c>
      <c r="D433" s="13">
        <v>44819</v>
      </c>
      <c r="F433" t="s">
        <v>764</v>
      </c>
      <c r="G433" t="s">
        <v>318</v>
      </c>
      <c r="H433" t="s">
        <v>5</v>
      </c>
      <c r="I433" s="25" t="s">
        <v>319</v>
      </c>
      <c r="M433" t="s">
        <v>790</v>
      </c>
    </row>
    <row r="434" spans="1:13" x14ac:dyDescent="0.35">
      <c r="A434">
        <v>987614</v>
      </c>
      <c r="B434" s="22" t="str">
        <f>IFERROR(VLOOKUP(A434,VLOOKUPS!$A:$B,2,FALSE), "")</f>
        <v>Organic Carrots Baby 16oz-standard</v>
      </c>
      <c r="D434" s="13">
        <v>44819</v>
      </c>
      <c r="F434" t="s">
        <v>764</v>
      </c>
      <c r="G434" t="s">
        <v>318</v>
      </c>
      <c r="H434" t="s">
        <v>6</v>
      </c>
      <c r="I434" s="25" t="s">
        <v>319</v>
      </c>
      <c r="M434" t="s">
        <v>790</v>
      </c>
    </row>
    <row r="435" spans="1:13" x14ac:dyDescent="0.35">
      <c r="A435">
        <v>987614</v>
      </c>
      <c r="B435" s="22" t="str">
        <f>IFERROR(VLOOKUP(A435,VLOOKUPS!$A:$B,2,FALSE), "")</f>
        <v>Organic Carrots Baby 16oz-standard</v>
      </c>
      <c r="D435" s="13">
        <v>44819</v>
      </c>
      <c r="F435" t="s">
        <v>764</v>
      </c>
      <c r="G435" t="s">
        <v>318</v>
      </c>
      <c r="H435" t="s">
        <v>4</v>
      </c>
      <c r="I435" s="25" t="s">
        <v>319</v>
      </c>
      <c r="M435" t="s">
        <v>790</v>
      </c>
    </row>
    <row r="436" spans="1:13" x14ac:dyDescent="0.35">
      <c r="A436">
        <v>987614</v>
      </c>
      <c r="B436" s="22" t="str">
        <f>IFERROR(VLOOKUP(A436,VLOOKUPS!$A:$B,2,FALSE), "")</f>
        <v>Organic Carrots Baby 16oz-standard</v>
      </c>
      <c r="D436" s="13">
        <v>44819</v>
      </c>
      <c r="F436" t="s">
        <v>764</v>
      </c>
      <c r="G436" t="s">
        <v>318</v>
      </c>
      <c r="H436" t="s">
        <v>5</v>
      </c>
      <c r="I436" s="25" t="s">
        <v>319</v>
      </c>
      <c r="M436" t="s">
        <v>790</v>
      </c>
    </row>
    <row r="437" spans="1:13" x14ac:dyDescent="0.35">
      <c r="A437">
        <v>987690</v>
      </c>
      <c r="B437" s="22" t="str">
        <f>IFERROR(VLOOKUP(A437,VLOOKUPS!$A:$B,2,FALSE), "")</f>
        <v>Beets Cooked 8.8oz-standard</v>
      </c>
      <c r="D437" s="13">
        <v>44819</v>
      </c>
      <c r="F437" t="s">
        <v>764</v>
      </c>
      <c r="G437" t="s">
        <v>318</v>
      </c>
      <c r="H437" t="s">
        <v>6</v>
      </c>
      <c r="I437" s="25" t="s">
        <v>319</v>
      </c>
      <c r="M437" t="s">
        <v>790</v>
      </c>
    </row>
    <row r="438" spans="1:13" x14ac:dyDescent="0.35">
      <c r="A438">
        <v>987690</v>
      </c>
      <c r="B438" s="22" t="str">
        <f>IFERROR(VLOOKUP(A438,VLOOKUPS!$A:$B,2,FALSE), "")</f>
        <v>Beets Cooked 8.8oz-standard</v>
      </c>
      <c r="D438" s="13">
        <v>44819</v>
      </c>
      <c r="F438" t="s">
        <v>764</v>
      </c>
      <c r="G438" t="s">
        <v>318</v>
      </c>
      <c r="H438" t="s">
        <v>4</v>
      </c>
      <c r="I438" s="25" t="s">
        <v>319</v>
      </c>
      <c r="M438" t="s">
        <v>790</v>
      </c>
    </row>
    <row r="439" spans="1:13" x14ac:dyDescent="0.35">
      <c r="A439">
        <v>987690</v>
      </c>
      <c r="B439" s="22" t="str">
        <f>IFERROR(VLOOKUP(A439,VLOOKUPS!$A:$B,2,FALSE), "")</f>
        <v>Beets Cooked 8.8oz-standard</v>
      </c>
      <c r="D439" s="13">
        <v>44819</v>
      </c>
      <c r="F439" t="s">
        <v>764</v>
      </c>
      <c r="G439" t="s">
        <v>318</v>
      </c>
      <c r="H439" t="s">
        <v>5</v>
      </c>
      <c r="I439" s="25" t="s">
        <v>319</v>
      </c>
      <c r="M439" t="s">
        <v>790</v>
      </c>
    </row>
    <row r="440" spans="1:13" x14ac:dyDescent="0.35">
      <c r="A440">
        <v>987691</v>
      </c>
      <c r="B440" s="22" t="str">
        <f>IFERROR(VLOOKUP(A440,VLOOKUPS!$A:$B,2,FALSE), "")</f>
        <v>Beets Baby Marinated 6.5oz-standard</v>
      </c>
      <c r="D440" s="13">
        <v>44819</v>
      </c>
      <c r="F440" t="s">
        <v>764</v>
      </c>
      <c r="G440" t="s">
        <v>318</v>
      </c>
      <c r="H440" t="s">
        <v>6</v>
      </c>
      <c r="I440" s="25" t="s">
        <v>319</v>
      </c>
      <c r="M440" t="s">
        <v>790</v>
      </c>
    </row>
    <row r="441" spans="1:13" x14ac:dyDescent="0.35">
      <c r="A441">
        <v>987691</v>
      </c>
      <c r="B441" s="22" t="str">
        <f>IFERROR(VLOOKUP(A441,VLOOKUPS!$A:$B,2,FALSE), "")</f>
        <v>Beets Baby Marinated 6.5oz-standard</v>
      </c>
      <c r="D441" s="13">
        <v>44819</v>
      </c>
      <c r="F441" t="s">
        <v>764</v>
      </c>
      <c r="G441" t="s">
        <v>318</v>
      </c>
      <c r="H441" t="s">
        <v>4</v>
      </c>
      <c r="I441" s="25" t="s">
        <v>319</v>
      </c>
      <c r="M441" t="s">
        <v>790</v>
      </c>
    </row>
    <row r="442" spans="1:13" x14ac:dyDescent="0.35">
      <c r="A442">
        <v>987691</v>
      </c>
      <c r="B442" s="22" t="str">
        <f>IFERROR(VLOOKUP(A442,VLOOKUPS!$A:$B,2,FALSE), "")</f>
        <v>Beets Baby Marinated 6.5oz-standard</v>
      </c>
      <c r="D442" s="13">
        <v>44819</v>
      </c>
      <c r="F442" t="s">
        <v>764</v>
      </c>
      <c r="G442" t="s">
        <v>318</v>
      </c>
      <c r="H442" t="s">
        <v>5</v>
      </c>
      <c r="I442" s="25" t="s">
        <v>319</v>
      </c>
      <c r="M442" t="s">
        <v>790</v>
      </c>
    </row>
    <row r="443" spans="1:13" x14ac:dyDescent="0.35">
      <c r="A443">
        <v>987692</v>
      </c>
      <c r="B443" s="22" t="str">
        <f>IFERROR(VLOOKUP(A443,VLOOKUPS!$A:$B,2,FALSE), "")</f>
        <v>Beets 3ct-bunch</v>
      </c>
      <c r="D443" s="13">
        <v>44819</v>
      </c>
      <c r="F443" t="s">
        <v>764</v>
      </c>
      <c r="G443" t="s">
        <v>318</v>
      </c>
      <c r="H443" t="s">
        <v>6</v>
      </c>
      <c r="I443" s="25" t="s">
        <v>319</v>
      </c>
      <c r="M443" t="s">
        <v>790</v>
      </c>
    </row>
    <row r="444" spans="1:13" x14ac:dyDescent="0.35">
      <c r="A444">
        <v>987692</v>
      </c>
      <c r="B444" s="22" t="str">
        <f>IFERROR(VLOOKUP(A444,VLOOKUPS!$A:$B,2,FALSE), "")</f>
        <v>Beets 3ct-bunch</v>
      </c>
      <c r="D444" s="13">
        <v>44819</v>
      </c>
      <c r="F444" t="s">
        <v>764</v>
      </c>
      <c r="G444" t="s">
        <v>318</v>
      </c>
      <c r="H444" t="s">
        <v>4</v>
      </c>
      <c r="I444" s="25" t="s">
        <v>319</v>
      </c>
      <c r="M444" t="s">
        <v>790</v>
      </c>
    </row>
    <row r="445" spans="1:13" x14ac:dyDescent="0.35">
      <c r="A445">
        <v>987692</v>
      </c>
      <c r="B445" s="22" t="str">
        <f>IFERROR(VLOOKUP(A445,VLOOKUPS!$A:$B,2,FALSE), "")</f>
        <v>Beets 3ct-bunch</v>
      </c>
      <c r="D445" s="13">
        <v>44819</v>
      </c>
      <c r="F445" t="s">
        <v>764</v>
      </c>
      <c r="G445" t="s">
        <v>318</v>
      </c>
      <c r="H445" t="s">
        <v>5</v>
      </c>
      <c r="I445" s="25" t="s">
        <v>319</v>
      </c>
      <c r="M445" t="s">
        <v>790</v>
      </c>
    </row>
    <row r="446" spans="1:13" x14ac:dyDescent="0.35">
      <c r="A446">
        <v>987730</v>
      </c>
      <c r="B446" s="22" t="str">
        <f>IFERROR(VLOOKUP(A446,VLOOKUPS!$A:$B,2,FALSE), "")</f>
        <v>Squash* Butternut 1lb-LOOSE</v>
      </c>
      <c r="D446" s="13">
        <v>44819</v>
      </c>
      <c r="F446" t="s">
        <v>764</v>
      </c>
      <c r="G446" t="s">
        <v>318</v>
      </c>
      <c r="H446" t="s">
        <v>6</v>
      </c>
      <c r="I446" s="25" t="s">
        <v>319</v>
      </c>
      <c r="M446" t="s">
        <v>790</v>
      </c>
    </row>
    <row r="447" spans="1:13" x14ac:dyDescent="0.35">
      <c r="A447">
        <v>987730</v>
      </c>
      <c r="B447" s="22" t="str">
        <f>IFERROR(VLOOKUP(A447,VLOOKUPS!$A:$B,2,FALSE), "")</f>
        <v>Squash* Butternut 1lb-LOOSE</v>
      </c>
      <c r="D447" s="13">
        <v>44819</v>
      </c>
      <c r="F447" t="s">
        <v>764</v>
      </c>
      <c r="G447" t="s">
        <v>318</v>
      </c>
      <c r="H447" t="s">
        <v>4</v>
      </c>
      <c r="I447" s="25" t="s">
        <v>319</v>
      </c>
      <c r="M447" t="s">
        <v>790</v>
      </c>
    </row>
    <row r="448" spans="1:13" x14ac:dyDescent="0.35">
      <c r="A448">
        <v>987730</v>
      </c>
      <c r="B448" s="22" t="str">
        <f>IFERROR(VLOOKUP(A448,VLOOKUPS!$A:$B,2,FALSE), "")</f>
        <v>Squash* Butternut 1lb-LOOSE</v>
      </c>
      <c r="D448" s="13">
        <v>44819</v>
      </c>
      <c r="F448" t="s">
        <v>764</v>
      </c>
      <c r="G448" t="s">
        <v>318</v>
      </c>
      <c r="H448" t="s">
        <v>5</v>
      </c>
      <c r="I448" s="25" t="s">
        <v>319</v>
      </c>
      <c r="M448" t="s">
        <v>790</v>
      </c>
    </row>
    <row r="449" spans="1:13" x14ac:dyDescent="0.35">
      <c r="A449">
        <v>987760</v>
      </c>
      <c r="B449" s="22" t="str">
        <f>IFERROR(VLOOKUP(A449,VLOOKUPS!$A:$B,2,FALSE), "")</f>
        <v>Squash* Spaghetti 1lb-LOOSE</v>
      </c>
      <c r="D449" s="13">
        <v>44819</v>
      </c>
      <c r="F449" t="s">
        <v>764</v>
      </c>
      <c r="G449" t="s">
        <v>318</v>
      </c>
      <c r="H449" t="s">
        <v>6</v>
      </c>
      <c r="I449" s="25" t="s">
        <v>319</v>
      </c>
      <c r="M449" t="s">
        <v>790</v>
      </c>
    </row>
    <row r="450" spans="1:13" x14ac:dyDescent="0.35">
      <c r="A450">
        <v>987760</v>
      </c>
      <c r="B450" s="22" t="str">
        <f>IFERROR(VLOOKUP(A450,VLOOKUPS!$A:$B,2,FALSE), "")</f>
        <v>Squash* Spaghetti 1lb-LOOSE</v>
      </c>
      <c r="D450" s="13">
        <v>44819</v>
      </c>
      <c r="F450" t="s">
        <v>764</v>
      </c>
      <c r="G450" t="s">
        <v>318</v>
      </c>
      <c r="H450" t="s">
        <v>4</v>
      </c>
      <c r="I450" s="25" t="s">
        <v>319</v>
      </c>
      <c r="M450" t="s">
        <v>790</v>
      </c>
    </row>
    <row r="451" spans="1:13" x14ac:dyDescent="0.35">
      <c r="A451">
        <v>987760</v>
      </c>
      <c r="B451" s="22" t="str">
        <f>IFERROR(VLOOKUP(A451,VLOOKUPS!$A:$B,2,FALSE), "")</f>
        <v>Squash* Spaghetti 1lb-LOOSE</v>
      </c>
      <c r="D451" s="13">
        <v>44819</v>
      </c>
      <c r="F451" t="s">
        <v>764</v>
      </c>
      <c r="G451" t="s">
        <v>318</v>
      </c>
      <c r="H451" t="s">
        <v>5</v>
      </c>
      <c r="I451" s="25" t="s">
        <v>319</v>
      </c>
      <c r="M451" t="s">
        <v>790</v>
      </c>
    </row>
    <row r="452" spans="1:13" x14ac:dyDescent="0.35">
      <c r="A452">
        <v>987790</v>
      </c>
      <c r="B452" s="22" t="str">
        <f>IFERROR(VLOOKUP(A452,VLOOKUPS!$A:$B,2,FALSE), "")</f>
        <v>Squash* Yellow 1lb-LOOSE</v>
      </c>
      <c r="D452" s="13">
        <v>44819</v>
      </c>
      <c r="F452" t="s">
        <v>764</v>
      </c>
      <c r="G452" t="s">
        <v>318</v>
      </c>
      <c r="H452" t="s">
        <v>6</v>
      </c>
      <c r="I452" s="25" t="s">
        <v>319</v>
      </c>
      <c r="M452" t="s">
        <v>790</v>
      </c>
    </row>
    <row r="453" spans="1:13" x14ac:dyDescent="0.35">
      <c r="A453">
        <v>987790</v>
      </c>
      <c r="B453" s="22" t="str">
        <f>IFERROR(VLOOKUP(A453,VLOOKUPS!$A:$B,2,FALSE), "")</f>
        <v>Squash* Yellow 1lb-LOOSE</v>
      </c>
      <c r="D453" s="13">
        <v>44819</v>
      </c>
      <c r="F453" t="s">
        <v>764</v>
      </c>
      <c r="G453" t="s">
        <v>318</v>
      </c>
      <c r="H453" t="s">
        <v>4</v>
      </c>
      <c r="I453" s="25" t="s">
        <v>319</v>
      </c>
      <c r="M453" t="s">
        <v>790</v>
      </c>
    </row>
    <row r="454" spans="1:13" x14ac:dyDescent="0.35">
      <c r="A454">
        <v>987790</v>
      </c>
      <c r="B454" s="22" t="str">
        <f>IFERROR(VLOOKUP(A454,VLOOKUPS!$A:$B,2,FALSE), "")</f>
        <v>Squash* Yellow 1lb-LOOSE</v>
      </c>
      <c r="D454" s="13">
        <v>44819</v>
      </c>
      <c r="F454" t="s">
        <v>764</v>
      </c>
      <c r="G454" t="s">
        <v>318</v>
      </c>
      <c r="H454" t="s">
        <v>5</v>
      </c>
      <c r="I454" s="25" t="s">
        <v>319</v>
      </c>
      <c r="M454" t="s">
        <v>790</v>
      </c>
    </row>
    <row r="455" spans="1:13" x14ac:dyDescent="0.35">
      <c r="A455">
        <v>987820</v>
      </c>
      <c r="B455" s="22" t="str">
        <f>IFERROR(VLOOKUP(A455,VLOOKUPS!$A:$B,2,FALSE), "")</f>
        <v>Squash* Acorn 1lb-LOOSE</v>
      </c>
      <c r="D455" s="13">
        <v>44819</v>
      </c>
      <c r="F455" t="s">
        <v>764</v>
      </c>
      <c r="G455" t="s">
        <v>318</v>
      </c>
      <c r="H455" t="s">
        <v>6</v>
      </c>
      <c r="I455" s="25" t="s">
        <v>319</v>
      </c>
      <c r="M455" t="s">
        <v>790</v>
      </c>
    </row>
    <row r="456" spans="1:13" x14ac:dyDescent="0.35">
      <c r="A456">
        <v>987820</v>
      </c>
      <c r="B456" s="22" t="str">
        <f>IFERROR(VLOOKUP(A456,VLOOKUPS!$A:$B,2,FALSE), "")</f>
        <v>Squash* Acorn 1lb-LOOSE</v>
      </c>
      <c r="D456" s="13">
        <v>44819</v>
      </c>
      <c r="F456" t="s">
        <v>764</v>
      </c>
      <c r="G456" t="s">
        <v>318</v>
      </c>
      <c r="H456" t="s">
        <v>4</v>
      </c>
      <c r="I456" s="25" t="s">
        <v>319</v>
      </c>
      <c r="M456" t="s">
        <v>790</v>
      </c>
    </row>
    <row r="457" spans="1:13" x14ac:dyDescent="0.35">
      <c r="A457">
        <v>987820</v>
      </c>
      <c r="B457" s="22" t="str">
        <f>IFERROR(VLOOKUP(A457,VLOOKUPS!$A:$B,2,FALSE), "")</f>
        <v>Squash* Acorn 1lb-LOOSE</v>
      </c>
      <c r="D457" s="13">
        <v>44819</v>
      </c>
      <c r="F457" t="s">
        <v>764</v>
      </c>
      <c r="G457" t="s">
        <v>318</v>
      </c>
      <c r="H457" t="s">
        <v>5</v>
      </c>
      <c r="I457" s="25" t="s">
        <v>319</v>
      </c>
      <c r="M457" t="s">
        <v>790</v>
      </c>
    </row>
    <row r="458" spans="1:13" x14ac:dyDescent="0.35">
      <c r="A458">
        <v>987822</v>
      </c>
      <c r="B458" s="22" t="str">
        <f>IFERROR(VLOOKUP(A458,VLOOKUPS!$A:$B,2,FALSE), "")</f>
        <v>Squash Kabocha* 1lb-LOOSE</v>
      </c>
      <c r="D458" s="13">
        <v>44819</v>
      </c>
      <c r="F458" t="s">
        <v>764</v>
      </c>
      <c r="G458" t="s">
        <v>318</v>
      </c>
      <c r="H458" t="s">
        <v>6</v>
      </c>
      <c r="I458" s="25" t="s">
        <v>319</v>
      </c>
      <c r="M458" t="s">
        <v>790</v>
      </c>
    </row>
    <row r="459" spans="1:13" x14ac:dyDescent="0.35">
      <c r="A459">
        <v>987822</v>
      </c>
      <c r="B459" s="22" t="str">
        <f>IFERROR(VLOOKUP(A459,VLOOKUPS!$A:$B,2,FALSE), "")</f>
        <v>Squash Kabocha* 1lb-LOOSE</v>
      </c>
      <c r="D459" s="13">
        <v>44819</v>
      </c>
      <c r="F459" t="s">
        <v>764</v>
      </c>
      <c r="G459" t="s">
        <v>318</v>
      </c>
      <c r="H459" t="s">
        <v>4</v>
      </c>
      <c r="I459" s="25" t="s">
        <v>319</v>
      </c>
      <c r="M459" t="s">
        <v>790</v>
      </c>
    </row>
    <row r="460" spans="1:13" x14ac:dyDescent="0.35">
      <c r="A460">
        <v>987822</v>
      </c>
      <c r="B460" s="22" t="str">
        <f>IFERROR(VLOOKUP(A460,VLOOKUPS!$A:$B,2,FALSE), "")</f>
        <v>Squash Kabocha* 1lb-LOOSE</v>
      </c>
      <c r="D460" s="13">
        <v>44819</v>
      </c>
      <c r="F460" t="s">
        <v>764</v>
      </c>
      <c r="G460" t="s">
        <v>318</v>
      </c>
      <c r="H460" t="s">
        <v>5</v>
      </c>
      <c r="I460" s="25" t="s">
        <v>319</v>
      </c>
      <c r="M460" t="s">
        <v>790</v>
      </c>
    </row>
    <row r="461" spans="1:13" x14ac:dyDescent="0.35">
      <c r="A461">
        <v>987900</v>
      </c>
      <c r="B461" s="22" t="str">
        <f>IFERROR(VLOOKUP(A461,VLOOKUPS!$A:$B,2,FALSE), "")</f>
        <v>Radish 1lb-standard</v>
      </c>
      <c r="D461" s="13">
        <v>44819</v>
      </c>
      <c r="F461" t="s">
        <v>764</v>
      </c>
      <c r="G461" t="s">
        <v>318</v>
      </c>
      <c r="H461" t="s">
        <v>6</v>
      </c>
      <c r="I461" s="25" t="s">
        <v>319</v>
      </c>
      <c r="M461" t="s">
        <v>790</v>
      </c>
    </row>
    <row r="462" spans="1:13" x14ac:dyDescent="0.35">
      <c r="A462">
        <v>987900</v>
      </c>
      <c r="B462" s="22" t="str">
        <f>IFERROR(VLOOKUP(A462,VLOOKUPS!$A:$B,2,FALSE), "")</f>
        <v>Radish 1lb-standard</v>
      </c>
      <c r="D462" s="13">
        <v>44819</v>
      </c>
      <c r="F462" t="s">
        <v>764</v>
      </c>
      <c r="G462" t="s">
        <v>318</v>
      </c>
      <c r="H462" t="s">
        <v>4</v>
      </c>
      <c r="I462" s="25" t="s">
        <v>319</v>
      </c>
      <c r="M462" t="s">
        <v>790</v>
      </c>
    </row>
    <row r="463" spans="1:13" x14ac:dyDescent="0.35">
      <c r="A463">
        <v>987900</v>
      </c>
      <c r="B463" s="22" t="str">
        <f>IFERROR(VLOOKUP(A463,VLOOKUPS!$A:$B,2,FALSE), "")</f>
        <v>Radish 1lb-standard</v>
      </c>
      <c r="D463" s="13">
        <v>44819</v>
      </c>
      <c r="F463" t="s">
        <v>764</v>
      </c>
      <c r="G463" t="s">
        <v>318</v>
      </c>
      <c r="H463" t="s">
        <v>5</v>
      </c>
      <c r="I463" s="25" t="s">
        <v>319</v>
      </c>
      <c r="M463" t="s">
        <v>790</v>
      </c>
    </row>
    <row r="464" spans="1:13" x14ac:dyDescent="0.35">
      <c r="A464">
        <v>988020</v>
      </c>
      <c r="B464" s="22" t="str">
        <f>IFERROR(VLOOKUP(A464,VLOOKUPS!$A:$B,2,FALSE), "")</f>
        <v>Corn 4ct-standard</v>
      </c>
      <c r="D464" s="13">
        <v>44819</v>
      </c>
      <c r="F464" t="s">
        <v>764</v>
      </c>
      <c r="G464" t="s">
        <v>318</v>
      </c>
      <c r="H464" t="s">
        <v>6</v>
      </c>
      <c r="I464" s="25" t="s">
        <v>319</v>
      </c>
      <c r="M464" t="s">
        <v>790</v>
      </c>
    </row>
    <row r="465" spans="1:13" x14ac:dyDescent="0.35">
      <c r="A465">
        <v>988020</v>
      </c>
      <c r="B465" s="22" t="str">
        <f>IFERROR(VLOOKUP(A465,VLOOKUPS!$A:$B,2,FALSE), "")</f>
        <v>Corn 4ct-standard</v>
      </c>
      <c r="D465" s="13">
        <v>44819</v>
      </c>
      <c r="F465" t="s">
        <v>764</v>
      </c>
      <c r="G465" t="s">
        <v>318</v>
      </c>
      <c r="H465" t="s">
        <v>4</v>
      </c>
      <c r="I465" s="25" t="s">
        <v>319</v>
      </c>
      <c r="M465" t="s">
        <v>790</v>
      </c>
    </row>
    <row r="466" spans="1:13" x14ac:dyDescent="0.35">
      <c r="A466">
        <v>988020</v>
      </c>
      <c r="B466" s="22" t="str">
        <f>IFERROR(VLOOKUP(A466,VLOOKUPS!$A:$B,2,FALSE), "")</f>
        <v>Corn 4ct-standard</v>
      </c>
      <c r="D466" s="13">
        <v>44819</v>
      </c>
      <c r="F466" t="s">
        <v>764</v>
      </c>
      <c r="G466" t="s">
        <v>318</v>
      </c>
      <c r="H466" t="s">
        <v>5</v>
      </c>
      <c r="I466" s="25" t="s">
        <v>319</v>
      </c>
      <c r="M466" t="s">
        <v>790</v>
      </c>
    </row>
    <row r="467" spans="1:13" x14ac:dyDescent="0.35">
      <c r="A467">
        <v>988490</v>
      </c>
      <c r="B467" s="22" t="str">
        <f>IFERROR(VLOOKUP(A467,VLOOKUPS!$A:$B,2,FALSE), "")</f>
        <v>Cabbage* 1lb-LOOSE</v>
      </c>
      <c r="D467" s="13">
        <v>44819</v>
      </c>
      <c r="F467" t="s">
        <v>764</v>
      </c>
      <c r="G467" t="s">
        <v>318</v>
      </c>
      <c r="H467" t="s">
        <v>6</v>
      </c>
      <c r="I467" s="25" t="s">
        <v>319</v>
      </c>
      <c r="M467" t="s">
        <v>790</v>
      </c>
    </row>
    <row r="468" spans="1:13" x14ac:dyDescent="0.35">
      <c r="A468">
        <v>988490</v>
      </c>
      <c r="B468" s="22" t="str">
        <f>IFERROR(VLOOKUP(A468,VLOOKUPS!$A:$B,2,FALSE), "")</f>
        <v>Cabbage* 1lb-LOOSE</v>
      </c>
      <c r="D468" s="13">
        <v>44819</v>
      </c>
      <c r="F468" t="s">
        <v>764</v>
      </c>
      <c r="G468" t="s">
        <v>318</v>
      </c>
      <c r="H468" t="s">
        <v>4</v>
      </c>
      <c r="I468" s="25" t="s">
        <v>319</v>
      </c>
      <c r="M468" t="s">
        <v>790</v>
      </c>
    </row>
    <row r="469" spans="1:13" x14ac:dyDescent="0.35">
      <c r="A469">
        <v>988490</v>
      </c>
      <c r="B469" s="22" t="str">
        <f>IFERROR(VLOOKUP(A469,VLOOKUPS!$A:$B,2,FALSE), "")</f>
        <v>Cabbage* 1lb-LOOSE</v>
      </c>
      <c r="D469" s="13">
        <v>44819</v>
      </c>
      <c r="F469" t="s">
        <v>764</v>
      </c>
      <c r="G469" t="s">
        <v>318</v>
      </c>
      <c r="H469" t="s">
        <v>5</v>
      </c>
      <c r="I469" s="25" t="s">
        <v>319</v>
      </c>
      <c r="M469" t="s">
        <v>790</v>
      </c>
    </row>
    <row r="470" spans="1:13" x14ac:dyDescent="0.35">
      <c r="A470">
        <v>988532</v>
      </c>
      <c r="B470" s="22" t="str">
        <f>IFERROR(VLOOKUP(A470,VLOOKUPS!$A:$B,2,FALSE), "")</f>
        <v>Broccoli* Crown 1lb-LOOSE</v>
      </c>
      <c r="D470" s="13">
        <v>44819</v>
      </c>
      <c r="F470" t="s">
        <v>764</v>
      </c>
      <c r="G470" t="s">
        <v>318</v>
      </c>
      <c r="H470" t="s">
        <v>6</v>
      </c>
      <c r="I470" s="25" t="s">
        <v>319</v>
      </c>
      <c r="M470" t="s">
        <v>790</v>
      </c>
    </row>
    <row r="471" spans="1:13" x14ac:dyDescent="0.35">
      <c r="A471">
        <v>988532</v>
      </c>
      <c r="B471" s="22" t="str">
        <f>IFERROR(VLOOKUP(A471,VLOOKUPS!$A:$B,2,FALSE), "")</f>
        <v>Broccoli* Crown 1lb-LOOSE</v>
      </c>
      <c r="D471" s="13">
        <v>44819</v>
      </c>
      <c r="F471" t="s">
        <v>764</v>
      </c>
      <c r="G471" t="s">
        <v>318</v>
      </c>
      <c r="H471" t="s">
        <v>4</v>
      </c>
      <c r="I471" s="25" t="s">
        <v>319</v>
      </c>
      <c r="M471" t="s">
        <v>790</v>
      </c>
    </row>
    <row r="472" spans="1:13" x14ac:dyDescent="0.35">
      <c r="A472">
        <v>988532</v>
      </c>
      <c r="B472" s="22" t="str">
        <f>IFERROR(VLOOKUP(A472,VLOOKUPS!$A:$B,2,FALSE), "")</f>
        <v>Broccoli* Crown 1lb-LOOSE</v>
      </c>
      <c r="D472" s="13">
        <v>44819</v>
      </c>
      <c r="F472" t="s">
        <v>764</v>
      </c>
      <c r="G472" t="s">
        <v>318</v>
      </c>
      <c r="H472" t="s">
        <v>5</v>
      </c>
      <c r="I472" s="25" t="s">
        <v>319</v>
      </c>
      <c r="M472" t="s">
        <v>790</v>
      </c>
    </row>
    <row r="473" spans="1:13" x14ac:dyDescent="0.35">
      <c r="A473">
        <v>988545</v>
      </c>
      <c r="B473" s="22" t="str">
        <f>IFERROR(VLOOKUP(A473,VLOOKUPS!$A:$B,2,FALSE), "")</f>
        <v/>
      </c>
      <c r="D473" s="13">
        <v>44819</v>
      </c>
      <c r="F473" t="s">
        <v>764</v>
      </c>
      <c r="G473" t="s">
        <v>318</v>
      </c>
      <c r="H473" t="s">
        <v>6</v>
      </c>
      <c r="I473" s="25" t="s">
        <v>319</v>
      </c>
      <c r="M473" t="s">
        <v>790</v>
      </c>
    </row>
    <row r="474" spans="1:13" x14ac:dyDescent="0.35">
      <c r="A474">
        <v>988545</v>
      </c>
      <c r="B474" s="22" t="str">
        <f>IFERROR(VLOOKUP(A474,VLOOKUPS!$A:$B,2,FALSE), "")</f>
        <v/>
      </c>
      <c r="D474" s="13">
        <v>44819</v>
      </c>
      <c r="F474" t="s">
        <v>764</v>
      </c>
      <c r="G474" t="s">
        <v>318</v>
      </c>
      <c r="H474" t="s">
        <v>4</v>
      </c>
      <c r="I474" s="25" t="s">
        <v>319</v>
      </c>
      <c r="M474" t="s">
        <v>790</v>
      </c>
    </row>
    <row r="475" spans="1:13" x14ac:dyDescent="0.35">
      <c r="A475">
        <v>988545</v>
      </c>
      <c r="B475" s="22" t="str">
        <f>IFERROR(VLOOKUP(A475,VLOOKUPS!$A:$B,2,FALSE), "")</f>
        <v/>
      </c>
      <c r="D475" s="13">
        <v>44819</v>
      </c>
      <c r="F475" t="s">
        <v>764</v>
      </c>
      <c r="G475" t="s">
        <v>318</v>
      </c>
      <c r="H475" t="s">
        <v>5</v>
      </c>
      <c r="I475" s="25" t="s">
        <v>319</v>
      </c>
      <c r="M475" t="s">
        <v>790</v>
      </c>
    </row>
    <row r="476" spans="1:13" x14ac:dyDescent="0.35">
      <c r="A476">
        <v>988571</v>
      </c>
      <c r="B476" s="22" t="str">
        <f>IFERROR(VLOOKUP(A476,VLOOKUPS!$A:$B,2,FALSE), "")</f>
        <v>Cauliflower* 1ct-LOOSE</v>
      </c>
      <c r="D476" s="13">
        <v>44819</v>
      </c>
      <c r="F476" t="s">
        <v>764</v>
      </c>
      <c r="G476" t="s">
        <v>318</v>
      </c>
      <c r="H476" t="s">
        <v>6</v>
      </c>
      <c r="I476" s="25" t="s">
        <v>319</v>
      </c>
      <c r="M476" t="s">
        <v>790</v>
      </c>
    </row>
    <row r="477" spans="1:13" x14ac:dyDescent="0.35">
      <c r="A477">
        <v>988571</v>
      </c>
      <c r="B477" s="22" t="str">
        <f>IFERROR(VLOOKUP(A477,VLOOKUPS!$A:$B,2,FALSE), "")</f>
        <v>Cauliflower* 1ct-LOOSE</v>
      </c>
      <c r="D477" s="13">
        <v>44819</v>
      </c>
      <c r="F477" t="s">
        <v>764</v>
      </c>
      <c r="G477" t="s">
        <v>318</v>
      </c>
      <c r="H477" t="s">
        <v>4</v>
      </c>
      <c r="I477" s="25" t="s">
        <v>319</v>
      </c>
      <c r="M477" t="s">
        <v>790</v>
      </c>
    </row>
    <row r="478" spans="1:13" x14ac:dyDescent="0.35">
      <c r="A478">
        <v>988571</v>
      </c>
      <c r="B478" s="22" t="str">
        <f>IFERROR(VLOOKUP(A478,VLOOKUPS!$A:$B,2,FALSE), "")</f>
        <v>Cauliflower* 1ct-LOOSE</v>
      </c>
      <c r="D478" s="13">
        <v>44819</v>
      </c>
      <c r="F478" t="s">
        <v>764</v>
      </c>
      <c r="G478" t="s">
        <v>318</v>
      </c>
      <c r="H478" t="s">
        <v>5</v>
      </c>
      <c r="I478" s="25" t="s">
        <v>319</v>
      </c>
      <c r="M478" t="s">
        <v>790</v>
      </c>
    </row>
    <row r="479" spans="1:13" x14ac:dyDescent="0.35">
      <c r="A479">
        <v>988620</v>
      </c>
      <c r="B479" s="22" t="str">
        <f>IFERROR(VLOOKUP(A479,VLOOKUPS!$A:$B,2,FALSE), "")</f>
        <v>Brussels Sprouts 1lb-standard</v>
      </c>
      <c r="D479" s="13">
        <v>44819</v>
      </c>
      <c r="F479" t="s">
        <v>764</v>
      </c>
      <c r="G479" t="s">
        <v>318</v>
      </c>
      <c r="H479" t="s">
        <v>6</v>
      </c>
      <c r="I479" s="25" t="s">
        <v>319</v>
      </c>
      <c r="M479" t="s">
        <v>790</v>
      </c>
    </row>
    <row r="480" spans="1:13" x14ac:dyDescent="0.35">
      <c r="A480">
        <v>988620</v>
      </c>
      <c r="B480" s="22" t="str">
        <f>IFERROR(VLOOKUP(A480,VLOOKUPS!$A:$B,2,FALSE), "")</f>
        <v>Brussels Sprouts 1lb-standard</v>
      </c>
      <c r="D480" s="13">
        <v>44819</v>
      </c>
      <c r="F480" t="s">
        <v>764</v>
      </c>
      <c r="G480" t="s">
        <v>318</v>
      </c>
      <c r="H480" t="s">
        <v>4</v>
      </c>
      <c r="I480" s="25" t="s">
        <v>319</v>
      </c>
      <c r="M480" t="s">
        <v>790</v>
      </c>
    </row>
    <row r="481" spans="1:13" x14ac:dyDescent="0.35">
      <c r="A481">
        <v>988620</v>
      </c>
      <c r="B481" s="22" t="str">
        <f>IFERROR(VLOOKUP(A481,VLOOKUPS!$A:$B,2,FALSE), "")</f>
        <v>Brussels Sprouts 1lb-standard</v>
      </c>
      <c r="D481" s="13">
        <v>44819</v>
      </c>
      <c r="F481" t="s">
        <v>764</v>
      </c>
      <c r="G481" t="s">
        <v>318</v>
      </c>
      <c r="H481" t="s">
        <v>5</v>
      </c>
      <c r="I481" s="25" t="s">
        <v>319</v>
      </c>
      <c r="M481" t="s">
        <v>790</v>
      </c>
    </row>
    <row r="482" spans="1:13" x14ac:dyDescent="0.35">
      <c r="A482">
        <v>988650</v>
      </c>
      <c r="B482" s="22" t="str">
        <f>IFERROR(VLOOKUP(A482,VLOOKUPS!$A:$B,2,FALSE), "")</f>
        <v>Cabbage Red 1lb-LOOSE</v>
      </c>
      <c r="D482" s="13">
        <v>44819</v>
      </c>
      <c r="F482" t="s">
        <v>764</v>
      </c>
      <c r="G482" t="s">
        <v>318</v>
      </c>
      <c r="H482" t="s">
        <v>6</v>
      </c>
      <c r="I482" s="25" t="s">
        <v>319</v>
      </c>
      <c r="M482" t="s">
        <v>790</v>
      </c>
    </row>
    <row r="483" spans="1:13" x14ac:dyDescent="0.35">
      <c r="A483">
        <v>988650</v>
      </c>
      <c r="B483" s="22" t="str">
        <f>IFERROR(VLOOKUP(A483,VLOOKUPS!$A:$B,2,FALSE), "")</f>
        <v>Cabbage Red 1lb-LOOSE</v>
      </c>
      <c r="D483" s="13">
        <v>44819</v>
      </c>
      <c r="F483" t="s">
        <v>764</v>
      </c>
      <c r="G483" t="s">
        <v>318</v>
      </c>
      <c r="H483" t="s">
        <v>4</v>
      </c>
      <c r="I483" s="25" t="s">
        <v>319</v>
      </c>
      <c r="M483" t="s">
        <v>790</v>
      </c>
    </row>
    <row r="484" spans="1:13" x14ac:dyDescent="0.35">
      <c r="A484">
        <v>988650</v>
      </c>
      <c r="B484" s="22" t="str">
        <f>IFERROR(VLOOKUP(A484,VLOOKUPS!$A:$B,2,FALSE), "")</f>
        <v>Cabbage Red 1lb-LOOSE</v>
      </c>
      <c r="D484" s="13">
        <v>44819</v>
      </c>
      <c r="F484" t="s">
        <v>764</v>
      </c>
      <c r="G484" t="s">
        <v>318</v>
      </c>
      <c r="H484" t="s">
        <v>5</v>
      </c>
      <c r="I484" s="25" t="s">
        <v>319</v>
      </c>
      <c r="M484" t="s">
        <v>790</v>
      </c>
    </row>
    <row r="485" spans="1:13" x14ac:dyDescent="0.35">
      <c r="A485">
        <v>988703</v>
      </c>
      <c r="B485" s="22" t="str">
        <f>IFERROR(VLOOKUP(A485,VLOOKUPS!$A:$B,2,FALSE), "")</f>
        <v>Collard Greens 16oz-standard</v>
      </c>
      <c r="D485" s="13">
        <v>44819</v>
      </c>
      <c r="F485" t="s">
        <v>764</v>
      </c>
      <c r="G485" t="s">
        <v>318</v>
      </c>
      <c r="H485" t="s">
        <v>6</v>
      </c>
      <c r="I485" s="25" t="s">
        <v>319</v>
      </c>
      <c r="M485" t="s">
        <v>790</v>
      </c>
    </row>
    <row r="486" spans="1:13" x14ac:dyDescent="0.35">
      <c r="A486">
        <v>988703</v>
      </c>
      <c r="B486" s="22" t="str">
        <f>IFERROR(VLOOKUP(A486,VLOOKUPS!$A:$B,2,FALSE), "")</f>
        <v>Collard Greens 16oz-standard</v>
      </c>
      <c r="D486" s="13">
        <v>44819</v>
      </c>
      <c r="F486" t="s">
        <v>764</v>
      </c>
      <c r="G486" t="s">
        <v>318</v>
      </c>
      <c r="H486" t="s">
        <v>4</v>
      </c>
      <c r="I486" s="25" t="s">
        <v>319</v>
      </c>
      <c r="M486" t="s">
        <v>790</v>
      </c>
    </row>
    <row r="487" spans="1:13" x14ac:dyDescent="0.35">
      <c r="A487">
        <v>988703</v>
      </c>
      <c r="B487" s="22" t="str">
        <f>IFERROR(VLOOKUP(A487,VLOOKUPS!$A:$B,2,FALSE), "")</f>
        <v>Collard Greens 16oz-standard</v>
      </c>
      <c r="D487" s="13">
        <v>44819</v>
      </c>
      <c r="F487" t="s">
        <v>764</v>
      </c>
      <c r="G487" t="s">
        <v>318</v>
      </c>
      <c r="H487" t="s">
        <v>5</v>
      </c>
      <c r="I487" s="25" t="s">
        <v>319</v>
      </c>
      <c r="M487" t="s">
        <v>790</v>
      </c>
    </row>
    <row r="488" spans="1:13" x14ac:dyDescent="0.35">
      <c r="A488">
        <v>988760</v>
      </c>
      <c r="B488" s="22" t="str">
        <f>IFERROR(VLOOKUP(A488,VLOOKUPS!$A:$B,2,FALSE), "")</f>
        <v>Fennel 20oz-standard</v>
      </c>
      <c r="D488" s="13">
        <v>44819</v>
      </c>
      <c r="F488" t="s">
        <v>764</v>
      </c>
      <c r="G488" t="s">
        <v>318</v>
      </c>
      <c r="H488" t="s">
        <v>6</v>
      </c>
      <c r="I488" s="25" t="s">
        <v>319</v>
      </c>
      <c r="M488" t="s">
        <v>790</v>
      </c>
    </row>
    <row r="489" spans="1:13" x14ac:dyDescent="0.35">
      <c r="A489">
        <v>988760</v>
      </c>
      <c r="B489" s="22" t="str">
        <f>IFERROR(VLOOKUP(A489,VLOOKUPS!$A:$B,2,FALSE), "")</f>
        <v>Fennel 20oz-standard</v>
      </c>
      <c r="D489" s="13">
        <v>44819</v>
      </c>
      <c r="F489" t="s">
        <v>764</v>
      </c>
      <c r="G489" t="s">
        <v>318</v>
      </c>
      <c r="H489" t="s">
        <v>4</v>
      </c>
      <c r="I489" s="25" t="s">
        <v>319</v>
      </c>
      <c r="M489" t="s">
        <v>790</v>
      </c>
    </row>
    <row r="490" spans="1:13" x14ac:dyDescent="0.35">
      <c r="A490">
        <v>988760</v>
      </c>
      <c r="B490" s="22" t="str">
        <f>IFERROR(VLOOKUP(A490,VLOOKUPS!$A:$B,2,FALSE), "")</f>
        <v>Fennel 20oz-standard</v>
      </c>
      <c r="D490" s="13">
        <v>44819</v>
      </c>
      <c r="F490" t="s">
        <v>764</v>
      </c>
      <c r="G490" t="s">
        <v>318</v>
      </c>
      <c r="H490" t="s">
        <v>5</v>
      </c>
      <c r="I490" s="25" t="s">
        <v>319</v>
      </c>
      <c r="M490" t="s">
        <v>790</v>
      </c>
    </row>
    <row r="491" spans="1:13" x14ac:dyDescent="0.35">
      <c r="A491">
        <v>988810</v>
      </c>
      <c r="B491" s="22" t="str">
        <f>IFERROR(VLOOKUP(A491,VLOOKUPS!$A:$B,2,FALSE), "")</f>
        <v>Mushrooms Whole White 8oz-standard</v>
      </c>
      <c r="D491" s="13">
        <v>44819</v>
      </c>
      <c r="F491" t="s">
        <v>764</v>
      </c>
      <c r="G491" t="s">
        <v>318</v>
      </c>
      <c r="H491" t="s">
        <v>6</v>
      </c>
      <c r="I491" s="25" t="s">
        <v>319</v>
      </c>
      <c r="M491" t="s">
        <v>790</v>
      </c>
    </row>
    <row r="492" spans="1:13" x14ac:dyDescent="0.35">
      <c r="A492">
        <v>988810</v>
      </c>
      <c r="B492" s="22" t="str">
        <f>IFERROR(VLOOKUP(A492,VLOOKUPS!$A:$B,2,FALSE), "")</f>
        <v>Mushrooms Whole White 8oz-standard</v>
      </c>
      <c r="D492" s="13">
        <v>44819</v>
      </c>
      <c r="F492" t="s">
        <v>764</v>
      </c>
      <c r="G492" t="s">
        <v>318</v>
      </c>
      <c r="H492" t="s">
        <v>4</v>
      </c>
      <c r="I492" s="25" t="s">
        <v>319</v>
      </c>
      <c r="M492" t="s">
        <v>790</v>
      </c>
    </row>
    <row r="493" spans="1:13" x14ac:dyDescent="0.35">
      <c r="A493">
        <v>988810</v>
      </c>
      <c r="B493" s="22" t="str">
        <f>IFERROR(VLOOKUP(A493,VLOOKUPS!$A:$B,2,FALSE), "")</f>
        <v>Mushrooms Whole White 8oz-standard</v>
      </c>
      <c r="D493" s="13">
        <v>44819</v>
      </c>
      <c r="F493" t="s">
        <v>764</v>
      </c>
      <c r="G493" t="s">
        <v>318</v>
      </c>
      <c r="H493" t="s">
        <v>5</v>
      </c>
      <c r="I493" s="25" t="s">
        <v>319</v>
      </c>
      <c r="M493" t="s">
        <v>790</v>
      </c>
    </row>
    <row r="494" spans="1:13" x14ac:dyDescent="0.35">
      <c r="A494">
        <v>988850</v>
      </c>
      <c r="B494" s="22" t="str">
        <f>IFERROR(VLOOKUP(A494,VLOOKUPS!$A:$B,2,FALSE), "")</f>
        <v>Mushrooms Sliced White 8oz-standard</v>
      </c>
      <c r="D494" s="13">
        <v>44819</v>
      </c>
      <c r="F494" t="s">
        <v>764</v>
      </c>
      <c r="G494" t="s">
        <v>318</v>
      </c>
      <c r="H494" t="s">
        <v>6</v>
      </c>
      <c r="I494" s="25" t="s">
        <v>319</v>
      </c>
      <c r="M494" t="s">
        <v>790</v>
      </c>
    </row>
    <row r="495" spans="1:13" x14ac:dyDescent="0.35">
      <c r="A495">
        <v>988850</v>
      </c>
      <c r="B495" s="22" t="str">
        <f>IFERROR(VLOOKUP(A495,VLOOKUPS!$A:$B,2,FALSE), "")</f>
        <v>Mushrooms Sliced White 8oz-standard</v>
      </c>
      <c r="D495" s="13">
        <v>44819</v>
      </c>
      <c r="F495" t="s">
        <v>764</v>
      </c>
      <c r="G495" t="s">
        <v>318</v>
      </c>
      <c r="H495" t="s">
        <v>4</v>
      </c>
      <c r="I495" s="25" t="s">
        <v>319</v>
      </c>
      <c r="M495" t="s">
        <v>790</v>
      </c>
    </row>
    <row r="496" spans="1:13" x14ac:dyDescent="0.35">
      <c r="A496">
        <v>988850</v>
      </c>
      <c r="B496" s="22" t="str">
        <f>IFERROR(VLOOKUP(A496,VLOOKUPS!$A:$B,2,FALSE), "")</f>
        <v>Mushrooms Sliced White 8oz-standard</v>
      </c>
      <c r="D496" s="13">
        <v>44819</v>
      </c>
      <c r="F496" t="s">
        <v>764</v>
      </c>
      <c r="G496" t="s">
        <v>318</v>
      </c>
      <c r="H496" t="s">
        <v>5</v>
      </c>
      <c r="I496" s="25" t="s">
        <v>319</v>
      </c>
      <c r="M496" t="s">
        <v>790</v>
      </c>
    </row>
    <row r="497" spans="1:13" x14ac:dyDescent="0.35">
      <c r="A497">
        <v>988890</v>
      </c>
      <c r="B497" s="22" t="str">
        <f>IFERROR(VLOOKUP(A497,VLOOKUPS!$A:$B,2,FALSE), "")</f>
        <v>Mushrooms Whole Baby Bella 8oz-standard</v>
      </c>
      <c r="D497" s="13">
        <v>44819</v>
      </c>
      <c r="F497" t="s">
        <v>764</v>
      </c>
      <c r="G497" t="s">
        <v>318</v>
      </c>
      <c r="H497" t="s">
        <v>6</v>
      </c>
      <c r="I497" s="25" t="s">
        <v>319</v>
      </c>
      <c r="M497" t="s">
        <v>790</v>
      </c>
    </row>
    <row r="498" spans="1:13" x14ac:dyDescent="0.35">
      <c r="A498">
        <v>988890</v>
      </c>
      <c r="B498" s="22" t="str">
        <f>IFERROR(VLOOKUP(A498,VLOOKUPS!$A:$B,2,FALSE), "")</f>
        <v>Mushrooms Whole Baby Bella 8oz-standard</v>
      </c>
      <c r="D498" s="13">
        <v>44819</v>
      </c>
      <c r="F498" t="s">
        <v>764</v>
      </c>
      <c r="G498" t="s">
        <v>318</v>
      </c>
      <c r="H498" t="s">
        <v>4</v>
      </c>
      <c r="I498" s="25" t="s">
        <v>319</v>
      </c>
      <c r="M498" t="s">
        <v>790</v>
      </c>
    </row>
    <row r="499" spans="1:13" x14ac:dyDescent="0.35">
      <c r="A499">
        <v>988890</v>
      </c>
      <c r="B499" s="22" t="str">
        <f>IFERROR(VLOOKUP(A499,VLOOKUPS!$A:$B,2,FALSE), "")</f>
        <v>Mushrooms Whole Baby Bella 8oz-standard</v>
      </c>
      <c r="D499" s="13">
        <v>44819</v>
      </c>
      <c r="F499" t="s">
        <v>764</v>
      </c>
      <c r="G499" t="s">
        <v>318</v>
      </c>
      <c r="H499" t="s">
        <v>5</v>
      </c>
      <c r="I499" s="25" t="s">
        <v>319</v>
      </c>
      <c r="M499" t="s">
        <v>790</v>
      </c>
    </row>
    <row r="500" spans="1:13" x14ac:dyDescent="0.35">
      <c r="A500">
        <v>988930</v>
      </c>
      <c r="B500" s="22" t="str">
        <f>IFERROR(VLOOKUP(A500,VLOOKUPS!$A:$B,2,FALSE), "")</f>
        <v>Mushrooms Sliced Baby Bella 8oz-standard</v>
      </c>
      <c r="D500" s="13">
        <v>44819</v>
      </c>
      <c r="F500" t="s">
        <v>764</v>
      </c>
      <c r="G500" t="s">
        <v>318</v>
      </c>
      <c r="H500" t="s">
        <v>6</v>
      </c>
      <c r="I500" s="25" t="s">
        <v>319</v>
      </c>
      <c r="M500" t="s">
        <v>790</v>
      </c>
    </row>
    <row r="501" spans="1:13" x14ac:dyDescent="0.35">
      <c r="A501">
        <v>988930</v>
      </c>
      <c r="B501" s="22" t="str">
        <f>IFERROR(VLOOKUP(A501,VLOOKUPS!$A:$B,2,FALSE), "")</f>
        <v>Mushrooms Sliced Baby Bella 8oz-standard</v>
      </c>
      <c r="D501" s="13">
        <v>44819</v>
      </c>
      <c r="F501" t="s">
        <v>764</v>
      </c>
      <c r="G501" t="s">
        <v>318</v>
      </c>
      <c r="H501" t="s">
        <v>4</v>
      </c>
      <c r="I501" s="25" t="s">
        <v>319</v>
      </c>
      <c r="M501" t="s">
        <v>790</v>
      </c>
    </row>
    <row r="502" spans="1:13" x14ac:dyDescent="0.35">
      <c r="A502">
        <v>988930</v>
      </c>
      <c r="B502" s="22" t="str">
        <f>IFERROR(VLOOKUP(A502,VLOOKUPS!$A:$B,2,FALSE), "")</f>
        <v>Mushrooms Sliced Baby Bella 8oz-standard</v>
      </c>
      <c r="D502" s="13">
        <v>44819</v>
      </c>
      <c r="F502" t="s">
        <v>764</v>
      </c>
      <c r="G502" t="s">
        <v>318</v>
      </c>
      <c r="H502" t="s">
        <v>5</v>
      </c>
      <c r="I502" s="25" t="s">
        <v>319</v>
      </c>
      <c r="M502" t="s">
        <v>790</v>
      </c>
    </row>
    <row r="503" spans="1:13" x14ac:dyDescent="0.35">
      <c r="A503">
        <v>988970</v>
      </c>
      <c r="B503" s="22" t="str">
        <f>IFERROR(VLOOKUP(A503,VLOOKUPS!$A:$B,2,FALSE), "")</f>
        <v>Mushrooms Portabella Caps 6oz-standard</v>
      </c>
      <c r="D503" s="13">
        <v>44819</v>
      </c>
      <c r="F503" t="s">
        <v>764</v>
      </c>
      <c r="G503" t="s">
        <v>318</v>
      </c>
      <c r="H503" t="s">
        <v>6</v>
      </c>
      <c r="I503" s="25" t="s">
        <v>319</v>
      </c>
      <c r="M503" t="s">
        <v>790</v>
      </c>
    </row>
    <row r="504" spans="1:13" x14ac:dyDescent="0.35">
      <c r="A504">
        <v>988970</v>
      </c>
      <c r="B504" s="22" t="str">
        <f>IFERROR(VLOOKUP(A504,VLOOKUPS!$A:$B,2,FALSE), "")</f>
        <v>Mushrooms Portabella Caps 6oz-standard</v>
      </c>
      <c r="D504" s="13">
        <v>44819</v>
      </c>
      <c r="F504" t="s">
        <v>764</v>
      </c>
      <c r="G504" t="s">
        <v>318</v>
      </c>
      <c r="H504" t="s">
        <v>4</v>
      </c>
      <c r="I504" s="25" t="s">
        <v>319</v>
      </c>
      <c r="M504" t="s">
        <v>790</v>
      </c>
    </row>
    <row r="505" spans="1:13" x14ac:dyDescent="0.35">
      <c r="A505">
        <v>988970</v>
      </c>
      <c r="B505" s="22" t="str">
        <f>IFERROR(VLOOKUP(A505,VLOOKUPS!$A:$B,2,FALSE), "")</f>
        <v>Mushrooms Portabella Caps 6oz-standard</v>
      </c>
      <c r="D505" s="13">
        <v>44819</v>
      </c>
      <c r="F505" t="s">
        <v>764</v>
      </c>
      <c r="G505" t="s">
        <v>318</v>
      </c>
      <c r="H505" t="s">
        <v>5</v>
      </c>
      <c r="I505" s="25" t="s">
        <v>319</v>
      </c>
      <c r="M505" t="s">
        <v>790</v>
      </c>
    </row>
    <row r="506" spans="1:13" x14ac:dyDescent="0.35">
      <c r="A506">
        <v>989007</v>
      </c>
      <c r="B506" s="22" t="str">
        <f>IFERROR(VLOOKUP(A506,VLOOKUPS!$A:$B,2,FALSE), "")</f>
        <v>Mushrooms Sliced Shiitake 5oz-standard</v>
      </c>
      <c r="D506" s="13">
        <v>44819</v>
      </c>
      <c r="F506" t="s">
        <v>764</v>
      </c>
      <c r="G506" t="s">
        <v>318</v>
      </c>
      <c r="H506" t="s">
        <v>6</v>
      </c>
      <c r="I506" s="25" t="s">
        <v>319</v>
      </c>
      <c r="M506" t="s">
        <v>790</v>
      </c>
    </row>
    <row r="507" spans="1:13" x14ac:dyDescent="0.35">
      <c r="A507">
        <v>989007</v>
      </c>
      <c r="B507" s="22" t="str">
        <f>IFERROR(VLOOKUP(A507,VLOOKUPS!$A:$B,2,FALSE), "")</f>
        <v>Mushrooms Sliced Shiitake 5oz-standard</v>
      </c>
      <c r="D507" s="13">
        <v>44819</v>
      </c>
      <c r="F507" t="s">
        <v>764</v>
      </c>
      <c r="G507" t="s">
        <v>318</v>
      </c>
      <c r="H507" t="s">
        <v>4</v>
      </c>
      <c r="I507" s="25" t="s">
        <v>319</v>
      </c>
      <c r="M507" t="s">
        <v>790</v>
      </c>
    </row>
    <row r="508" spans="1:13" x14ac:dyDescent="0.35">
      <c r="A508">
        <v>989007</v>
      </c>
      <c r="B508" s="22" t="str">
        <f>IFERROR(VLOOKUP(A508,VLOOKUPS!$A:$B,2,FALSE), "")</f>
        <v>Mushrooms Sliced Shiitake 5oz-standard</v>
      </c>
      <c r="D508" s="13">
        <v>44819</v>
      </c>
      <c r="F508" t="s">
        <v>764</v>
      </c>
      <c r="G508" t="s">
        <v>318</v>
      </c>
      <c r="H508" t="s">
        <v>5</v>
      </c>
      <c r="I508" s="25" t="s">
        <v>319</v>
      </c>
      <c r="M508" t="s">
        <v>790</v>
      </c>
    </row>
    <row r="509" spans="1:13" x14ac:dyDescent="0.35">
      <c r="A509">
        <v>989086</v>
      </c>
      <c r="B509" s="22" t="str">
        <f>IFERROR(VLOOKUP(A509,VLOOKUPS!$A:$B,2,FALSE), "")</f>
        <v>Basil 0.5oz-standard</v>
      </c>
      <c r="D509" s="13">
        <v>44819</v>
      </c>
      <c r="F509" t="s">
        <v>764</v>
      </c>
      <c r="G509" t="s">
        <v>318</v>
      </c>
      <c r="H509" t="s">
        <v>6</v>
      </c>
      <c r="I509" s="25" t="s">
        <v>319</v>
      </c>
      <c r="M509" t="s">
        <v>790</v>
      </c>
    </row>
    <row r="510" spans="1:13" x14ac:dyDescent="0.35">
      <c r="A510">
        <v>989086</v>
      </c>
      <c r="B510" s="22" t="str">
        <f>IFERROR(VLOOKUP(A510,VLOOKUPS!$A:$B,2,FALSE), "")</f>
        <v>Basil 0.5oz-standard</v>
      </c>
      <c r="D510" s="13">
        <v>44819</v>
      </c>
      <c r="F510" t="s">
        <v>764</v>
      </c>
      <c r="G510" t="s">
        <v>318</v>
      </c>
      <c r="H510" t="s">
        <v>4</v>
      </c>
      <c r="I510" s="25" t="s">
        <v>319</v>
      </c>
      <c r="M510" t="s">
        <v>790</v>
      </c>
    </row>
    <row r="511" spans="1:13" x14ac:dyDescent="0.35">
      <c r="A511">
        <v>989086</v>
      </c>
      <c r="B511" s="22" t="str">
        <f>IFERROR(VLOOKUP(A511,VLOOKUPS!$A:$B,2,FALSE), "")</f>
        <v>Basil 0.5oz-standard</v>
      </c>
      <c r="D511" s="13">
        <v>44819</v>
      </c>
      <c r="F511" t="s">
        <v>764</v>
      </c>
      <c r="G511" t="s">
        <v>318</v>
      </c>
      <c r="H511" t="s">
        <v>5</v>
      </c>
      <c r="I511" s="25" t="s">
        <v>319</v>
      </c>
      <c r="M511" t="s">
        <v>790</v>
      </c>
    </row>
    <row r="512" spans="1:13" x14ac:dyDescent="0.35">
      <c r="A512">
        <v>989088</v>
      </c>
      <c r="B512" s="22" t="str">
        <f>IFERROR(VLOOKUP(A512,VLOOKUPS!$A:$B,2,FALSE), "")</f>
        <v>Parsley Italian 1ct-bunch</v>
      </c>
      <c r="D512" s="13">
        <v>44819</v>
      </c>
      <c r="F512" t="s">
        <v>764</v>
      </c>
      <c r="G512" t="s">
        <v>318</v>
      </c>
      <c r="H512" t="s">
        <v>6</v>
      </c>
      <c r="I512" s="25" t="s">
        <v>319</v>
      </c>
      <c r="M512" t="s">
        <v>790</v>
      </c>
    </row>
    <row r="513" spans="1:13" x14ac:dyDescent="0.35">
      <c r="A513">
        <v>989088</v>
      </c>
      <c r="B513" s="22" t="str">
        <f>IFERROR(VLOOKUP(A513,VLOOKUPS!$A:$B,2,FALSE), "")</f>
        <v>Parsley Italian 1ct-bunch</v>
      </c>
      <c r="D513" s="13">
        <v>44819</v>
      </c>
      <c r="F513" t="s">
        <v>764</v>
      </c>
      <c r="G513" t="s">
        <v>318</v>
      </c>
      <c r="H513" t="s">
        <v>4</v>
      </c>
      <c r="I513" s="25" t="s">
        <v>319</v>
      </c>
      <c r="M513" t="s">
        <v>790</v>
      </c>
    </row>
    <row r="514" spans="1:13" x14ac:dyDescent="0.35">
      <c r="A514">
        <v>989088</v>
      </c>
      <c r="B514" s="22" t="str">
        <f>IFERROR(VLOOKUP(A514,VLOOKUPS!$A:$B,2,FALSE), "")</f>
        <v>Parsley Italian 1ct-bunch</v>
      </c>
      <c r="D514" s="13">
        <v>44819</v>
      </c>
      <c r="F514" t="s">
        <v>764</v>
      </c>
      <c r="G514" t="s">
        <v>318</v>
      </c>
      <c r="H514" t="s">
        <v>5</v>
      </c>
      <c r="I514" s="25" t="s">
        <v>319</v>
      </c>
      <c r="M514" t="s">
        <v>790</v>
      </c>
    </row>
    <row r="515" spans="1:13" x14ac:dyDescent="0.35">
      <c r="A515">
        <v>989089</v>
      </c>
      <c r="B515" s="22" t="str">
        <f>IFERROR(VLOOKUP(A515,VLOOKUPS!$A:$B,2,FALSE), "")</f>
        <v>Cilantro 1ct-bunch</v>
      </c>
      <c r="D515" s="13">
        <v>44819</v>
      </c>
      <c r="F515" t="s">
        <v>764</v>
      </c>
      <c r="G515" t="s">
        <v>318</v>
      </c>
      <c r="H515" t="s">
        <v>6</v>
      </c>
      <c r="I515" s="25" t="s">
        <v>319</v>
      </c>
      <c r="M515" t="s">
        <v>790</v>
      </c>
    </row>
    <row r="516" spans="1:13" x14ac:dyDescent="0.35">
      <c r="A516">
        <v>989089</v>
      </c>
      <c r="B516" s="22" t="str">
        <f>IFERROR(VLOOKUP(A516,VLOOKUPS!$A:$B,2,FALSE), "")</f>
        <v>Cilantro 1ct-bunch</v>
      </c>
      <c r="D516" s="13">
        <v>44819</v>
      </c>
      <c r="F516" t="s">
        <v>764</v>
      </c>
      <c r="G516" t="s">
        <v>318</v>
      </c>
      <c r="H516" t="s">
        <v>4</v>
      </c>
      <c r="I516" s="25" t="s">
        <v>319</v>
      </c>
      <c r="M516" t="s">
        <v>790</v>
      </c>
    </row>
    <row r="517" spans="1:13" x14ac:dyDescent="0.35">
      <c r="A517">
        <v>989089</v>
      </c>
      <c r="B517" s="22" t="str">
        <f>IFERROR(VLOOKUP(A517,VLOOKUPS!$A:$B,2,FALSE), "")</f>
        <v>Cilantro 1ct-bunch</v>
      </c>
      <c r="D517" s="13">
        <v>44819</v>
      </c>
      <c r="F517" t="s">
        <v>764</v>
      </c>
      <c r="G517" t="s">
        <v>318</v>
      </c>
      <c r="H517" t="s">
        <v>5</v>
      </c>
      <c r="I517" s="25" t="s">
        <v>319</v>
      </c>
      <c r="M517" t="s">
        <v>790</v>
      </c>
    </row>
    <row r="518" spans="1:13" x14ac:dyDescent="0.35">
      <c r="A518">
        <v>989210</v>
      </c>
      <c r="B518" s="22" t="str">
        <f>IFERROR(VLOOKUP(A518,VLOOKUPS!$A:$B,2,FALSE), "")</f>
        <v>Organic Potted Basil 1ct-POT</v>
      </c>
      <c r="D518" s="13">
        <v>44819</v>
      </c>
      <c r="F518" t="s">
        <v>764</v>
      </c>
      <c r="G518" t="s">
        <v>318</v>
      </c>
      <c r="H518" t="s">
        <v>6</v>
      </c>
      <c r="I518" s="25" t="s">
        <v>319</v>
      </c>
      <c r="M518" t="s">
        <v>790</v>
      </c>
    </row>
    <row r="519" spans="1:13" x14ac:dyDescent="0.35">
      <c r="A519">
        <v>989210</v>
      </c>
      <c r="B519" s="22" t="str">
        <f>IFERROR(VLOOKUP(A519,VLOOKUPS!$A:$B,2,FALSE), "")</f>
        <v>Organic Potted Basil 1ct-POT</v>
      </c>
      <c r="D519" s="13">
        <v>44819</v>
      </c>
      <c r="F519" t="s">
        <v>764</v>
      </c>
      <c r="G519" t="s">
        <v>318</v>
      </c>
      <c r="H519" t="s">
        <v>4</v>
      </c>
      <c r="I519" s="25" t="s">
        <v>319</v>
      </c>
      <c r="M519" t="s">
        <v>790</v>
      </c>
    </row>
    <row r="520" spans="1:13" x14ac:dyDescent="0.35">
      <c r="A520">
        <v>989210</v>
      </c>
      <c r="B520" s="22" t="str">
        <f>IFERROR(VLOOKUP(A520,VLOOKUPS!$A:$B,2,FALSE), "")</f>
        <v>Organic Potted Basil 1ct-POT</v>
      </c>
      <c r="D520" s="13">
        <v>44819</v>
      </c>
      <c r="F520" t="s">
        <v>764</v>
      </c>
      <c r="G520" t="s">
        <v>318</v>
      </c>
      <c r="H520" t="s">
        <v>5</v>
      </c>
      <c r="I520" s="25" t="s">
        <v>319</v>
      </c>
      <c r="M520" t="s">
        <v>790</v>
      </c>
    </row>
    <row r="521" spans="1:13" x14ac:dyDescent="0.35">
      <c r="A521">
        <v>989211</v>
      </c>
      <c r="B521" s="22" t="str">
        <f>IFERROR(VLOOKUP(A521,VLOOKUPS!$A:$B,2,FALSE), "")</f>
        <v>Organic Potted Mint 1ct-POT</v>
      </c>
      <c r="D521" s="13">
        <v>44819</v>
      </c>
      <c r="F521" t="s">
        <v>764</v>
      </c>
      <c r="G521" t="s">
        <v>318</v>
      </c>
      <c r="H521" t="s">
        <v>6</v>
      </c>
      <c r="I521" s="25" t="s">
        <v>319</v>
      </c>
      <c r="M521" t="s">
        <v>790</v>
      </c>
    </row>
    <row r="522" spans="1:13" x14ac:dyDescent="0.35">
      <c r="A522">
        <v>989211</v>
      </c>
      <c r="B522" s="22" t="str">
        <f>IFERROR(VLOOKUP(A522,VLOOKUPS!$A:$B,2,FALSE), "")</f>
        <v>Organic Potted Mint 1ct-POT</v>
      </c>
      <c r="D522" s="13">
        <v>44819</v>
      </c>
      <c r="F522" t="s">
        <v>764</v>
      </c>
      <c r="G522" t="s">
        <v>318</v>
      </c>
      <c r="H522" t="s">
        <v>4</v>
      </c>
      <c r="I522" s="25" t="s">
        <v>319</v>
      </c>
      <c r="M522" t="s">
        <v>790</v>
      </c>
    </row>
    <row r="523" spans="1:13" x14ac:dyDescent="0.35">
      <c r="A523">
        <v>989211</v>
      </c>
      <c r="B523" s="22" t="str">
        <f>IFERROR(VLOOKUP(A523,VLOOKUPS!$A:$B,2,FALSE), "")</f>
        <v>Organic Potted Mint 1ct-POT</v>
      </c>
      <c r="D523" s="13">
        <v>44819</v>
      </c>
      <c r="F523" t="s">
        <v>764</v>
      </c>
      <c r="G523" t="s">
        <v>318</v>
      </c>
      <c r="H523" t="s">
        <v>5</v>
      </c>
      <c r="I523" s="25" t="s">
        <v>319</v>
      </c>
      <c r="M523" t="s">
        <v>790</v>
      </c>
    </row>
    <row r="524" spans="1:13" x14ac:dyDescent="0.35">
      <c r="A524">
        <v>989212</v>
      </c>
      <c r="B524" s="22" t="str">
        <f>IFERROR(VLOOKUP(A524,VLOOKUPS!$A:$B,2,FALSE), "")</f>
        <v>Organic Potted Parsley 1ct-POT</v>
      </c>
      <c r="D524" s="13">
        <v>44819</v>
      </c>
      <c r="F524" t="s">
        <v>764</v>
      </c>
      <c r="G524" t="s">
        <v>318</v>
      </c>
      <c r="H524" t="s">
        <v>6</v>
      </c>
      <c r="I524" s="25" t="s">
        <v>319</v>
      </c>
      <c r="M524" t="s">
        <v>790</v>
      </c>
    </row>
    <row r="525" spans="1:13" x14ac:dyDescent="0.35">
      <c r="A525">
        <v>989212</v>
      </c>
      <c r="B525" s="22" t="str">
        <f>IFERROR(VLOOKUP(A525,VLOOKUPS!$A:$B,2,FALSE), "")</f>
        <v>Organic Potted Parsley 1ct-POT</v>
      </c>
      <c r="D525" s="13">
        <v>44819</v>
      </c>
      <c r="F525" t="s">
        <v>764</v>
      </c>
      <c r="G525" t="s">
        <v>318</v>
      </c>
      <c r="H525" t="s">
        <v>4</v>
      </c>
      <c r="I525" s="25" t="s">
        <v>319</v>
      </c>
      <c r="M525" t="s">
        <v>790</v>
      </c>
    </row>
    <row r="526" spans="1:13" x14ac:dyDescent="0.35">
      <c r="A526">
        <v>989212</v>
      </c>
      <c r="B526" s="22" t="str">
        <f>IFERROR(VLOOKUP(A526,VLOOKUPS!$A:$B,2,FALSE), "")</f>
        <v>Organic Potted Parsley 1ct-POT</v>
      </c>
      <c r="D526" s="13">
        <v>44819</v>
      </c>
      <c r="F526" t="s">
        <v>764</v>
      </c>
      <c r="G526" t="s">
        <v>318</v>
      </c>
      <c r="H526" t="s">
        <v>5</v>
      </c>
      <c r="I526" s="25" t="s">
        <v>319</v>
      </c>
      <c r="M526" t="s">
        <v>790</v>
      </c>
    </row>
    <row r="527" spans="1:13" x14ac:dyDescent="0.35">
      <c r="A527">
        <v>989260</v>
      </c>
      <c r="B527" s="22" t="str">
        <f>IFERROR(VLOOKUP(A527,VLOOKUPS!$A:$B,2,FALSE), "")</f>
        <v>Onions Yellow 3lb-standard</v>
      </c>
      <c r="D527" s="13">
        <v>44819</v>
      </c>
      <c r="F527" t="s">
        <v>764</v>
      </c>
      <c r="G527" t="s">
        <v>318</v>
      </c>
      <c r="H527" t="s">
        <v>6</v>
      </c>
      <c r="I527" s="25" t="s">
        <v>319</v>
      </c>
      <c r="M527" t="s">
        <v>790</v>
      </c>
    </row>
    <row r="528" spans="1:13" x14ac:dyDescent="0.35">
      <c r="A528">
        <v>989260</v>
      </c>
      <c r="B528" s="22" t="str">
        <f>IFERROR(VLOOKUP(A528,VLOOKUPS!$A:$B,2,FALSE), "")</f>
        <v>Onions Yellow 3lb-standard</v>
      </c>
      <c r="D528" s="13">
        <v>44819</v>
      </c>
      <c r="F528" t="s">
        <v>764</v>
      </c>
      <c r="G528" t="s">
        <v>318</v>
      </c>
      <c r="H528" t="s">
        <v>4</v>
      </c>
      <c r="I528" s="25" t="s">
        <v>319</v>
      </c>
      <c r="M528" t="s">
        <v>790</v>
      </c>
    </row>
    <row r="529" spans="1:13" x14ac:dyDescent="0.35">
      <c r="A529">
        <v>989260</v>
      </c>
      <c r="B529" s="22" t="str">
        <f>IFERROR(VLOOKUP(A529,VLOOKUPS!$A:$B,2,FALSE), "")</f>
        <v>Onions Yellow 3lb-standard</v>
      </c>
      <c r="D529" s="13">
        <v>44819</v>
      </c>
      <c r="F529" t="s">
        <v>764</v>
      </c>
      <c r="G529" t="s">
        <v>318</v>
      </c>
      <c r="H529" t="s">
        <v>5</v>
      </c>
      <c r="I529" s="25" t="s">
        <v>319</v>
      </c>
      <c r="M529" t="s">
        <v>790</v>
      </c>
    </row>
    <row r="530" spans="1:13" x14ac:dyDescent="0.35">
      <c r="A530">
        <v>989280</v>
      </c>
      <c r="B530" s="22" t="str">
        <f>IFERROR(VLOOKUP(A530,VLOOKUPS!$A:$B,2,FALSE), "")</f>
        <v>Organic Onions Yellow 2lb-standard</v>
      </c>
      <c r="D530" s="13">
        <v>44819</v>
      </c>
      <c r="F530" t="s">
        <v>764</v>
      </c>
      <c r="G530" t="s">
        <v>318</v>
      </c>
      <c r="H530" t="s">
        <v>6</v>
      </c>
      <c r="I530" s="25" t="s">
        <v>319</v>
      </c>
      <c r="M530" t="s">
        <v>790</v>
      </c>
    </row>
    <row r="531" spans="1:13" x14ac:dyDescent="0.35">
      <c r="A531">
        <v>989280</v>
      </c>
      <c r="B531" s="22" t="str">
        <f>IFERROR(VLOOKUP(A531,VLOOKUPS!$A:$B,2,FALSE), "")</f>
        <v>Organic Onions Yellow 2lb-standard</v>
      </c>
      <c r="D531" s="13">
        <v>44819</v>
      </c>
      <c r="F531" t="s">
        <v>764</v>
      </c>
      <c r="G531" t="s">
        <v>318</v>
      </c>
      <c r="H531" t="s">
        <v>4</v>
      </c>
      <c r="I531" s="25" t="s">
        <v>319</v>
      </c>
      <c r="M531" t="s">
        <v>790</v>
      </c>
    </row>
    <row r="532" spans="1:13" x14ac:dyDescent="0.35">
      <c r="A532">
        <v>989280</v>
      </c>
      <c r="B532" s="22" t="str">
        <f>IFERROR(VLOOKUP(A532,VLOOKUPS!$A:$B,2,FALSE), "")</f>
        <v>Organic Onions Yellow 2lb-standard</v>
      </c>
      <c r="D532" s="13">
        <v>44819</v>
      </c>
      <c r="F532" t="s">
        <v>764</v>
      </c>
      <c r="G532" t="s">
        <v>318</v>
      </c>
      <c r="H532" t="s">
        <v>5</v>
      </c>
      <c r="I532" s="25" t="s">
        <v>319</v>
      </c>
      <c r="M532" t="s">
        <v>790</v>
      </c>
    </row>
    <row r="533" spans="1:13" x14ac:dyDescent="0.35">
      <c r="A533">
        <v>989301</v>
      </c>
      <c r="B533" s="22" t="str">
        <f>IFERROR(VLOOKUP(A533,VLOOKUPS!$A:$B,2,FALSE), "")</f>
        <v>Onions Yellow Sweet 3lb-standard</v>
      </c>
      <c r="D533" s="13">
        <v>44819</v>
      </c>
      <c r="F533" t="s">
        <v>764</v>
      </c>
      <c r="G533" t="s">
        <v>318</v>
      </c>
      <c r="H533" t="s">
        <v>6</v>
      </c>
      <c r="I533" s="25" t="s">
        <v>319</v>
      </c>
      <c r="M533" t="s">
        <v>790</v>
      </c>
    </row>
    <row r="534" spans="1:13" x14ac:dyDescent="0.35">
      <c r="A534">
        <v>989301</v>
      </c>
      <c r="B534" s="22" t="str">
        <f>IFERROR(VLOOKUP(A534,VLOOKUPS!$A:$B,2,FALSE), "")</f>
        <v>Onions Yellow Sweet 3lb-standard</v>
      </c>
      <c r="D534" s="13">
        <v>44819</v>
      </c>
      <c r="F534" t="s">
        <v>764</v>
      </c>
      <c r="G534" t="s">
        <v>318</v>
      </c>
      <c r="H534" t="s">
        <v>4</v>
      </c>
      <c r="I534" s="25" t="s">
        <v>319</v>
      </c>
      <c r="M534" t="s">
        <v>790</v>
      </c>
    </row>
    <row r="535" spans="1:13" x14ac:dyDescent="0.35">
      <c r="A535">
        <v>989301</v>
      </c>
      <c r="B535" s="22" t="str">
        <f>IFERROR(VLOOKUP(A535,VLOOKUPS!$A:$B,2,FALSE), "")</f>
        <v>Onions Yellow Sweet 3lb-standard</v>
      </c>
      <c r="D535" s="13">
        <v>44819</v>
      </c>
      <c r="F535" t="s">
        <v>764</v>
      </c>
      <c r="G535" t="s">
        <v>318</v>
      </c>
      <c r="H535" t="s">
        <v>5</v>
      </c>
      <c r="I535" s="25" t="s">
        <v>319</v>
      </c>
      <c r="M535" t="s">
        <v>790</v>
      </c>
    </row>
    <row r="536" spans="1:13" x14ac:dyDescent="0.35">
      <c r="A536">
        <v>989330</v>
      </c>
      <c r="B536" s="22" t="str">
        <f>IFERROR(VLOOKUP(A536,VLOOKUPS!$A:$B,2,FALSE), "")</f>
        <v>Organic Onions Yellow Sweet 2lb-standard</v>
      </c>
      <c r="D536" s="13">
        <v>44819</v>
      </c>
      <c r="F536" t="s">
        <v>764</v>
      </c>
      <c r="G536" t="s">
        <v>318</v>
      </c>
      <c r="H536" t="s">
        <v>6</v>
      </c>
      <c r="I536" s="25" t="s">
        <v>319</v>
      </c>
      <c r="M536" t="s">
        <v>790</v>
      </c>
    </row>
    <row r="537" spans="1:13" x14ac:dyDescent="0.35">
      <c r="A537">
        <v>989330</v>
      </c>
      <c r="B537" s="22" t="str">
        <f>IFERROR(VLOOKUP(A537,VLOOKUPS!$A:$B,2,FALSE), "")</f>
        <v>Organic Onions Yellow Sweet 2lb-standard</v>
      </c>
      <c r="D537" s="13">
        <v>44819</v>
      </c>
      <c r="F537" t="s">
        <v>764</v>
      </c>
      <c r="G537" t="s">
        <v>318</v>
      </c>
      <c r="H537" t="s">
        <v>4</v>
      </c>
      <c r="I537" s="25" t="s">
        <v>319</v>
      </c>
      <c r="M537" t="s">
        <v>790</v>
      </c>
    </row>
    <row r="538" spans="1:13" x14ac:dyDescent="0.35">
      <c r="A538">
        <v>989330</v>
      </c>
      <c r="B538" s="22" t="str">
        <f>IFERROR(VLOOKUP(A538,VLOOKUPS!$A:$B,2,FALSE), "")</f>
        <v>Organic Onions Yellow Sweet 2lb-standard</v>
      </c>
      <c r="D538" s="13">
        <v>44819</v>
      </c>
      <c r="F538" t="s">
        <v>764</v>
      </c>
      <c r="G538" t="s">
        <v>318</v>
      </c>
      <c r="H538" t="s">
        <v>5</v>
      </c>
      <c r="I538" s="25" t="s">
        <v>319</v>
      </c>
      <c r="M538" t="s">
        <v>790</v>
      </c>
    </row>
    <row r="539" spans="1:13" x14ac:dyDescent="0.35">
      <c r="A539">
        <v>989360</v>
      </c>
      <c r="B539" s="22" t="str">
        <f>IFERROR(VLOOKUP(A539,VLOOKUPS!$A:$B,2,FALSE), "")</f>
        <v>Onions Red 2lb-standard</v>
      </c>
      <c r="D539" s="13">
        <v>44819</v>
      </c>
      <c r="F539" t="s">
        <v>764</v>
      </c>
      <c r="G539" t="s">
        <v>318</v>
      </c>
      <c r="H539" t="s">
        <v>6</v>
      </c>
      <c r="I539" s="25" t="s">
        <v>319</v>
      </c>
      <c r="M539" t="s">
        <v>790</v>
      </c>
    </row>
    <row r="540" spans="1:13" x14ac:dyDescent="0.35">
      <c r="A540">
        <v>989360</v>
      </c>
      <c r="B540" s="22" t="str">
        <f>IFERROR(VLOOKUP(A540,VLOOKUPS!$A:$B,2,FALSE), "")</f>
        <v>Onions Red 2lb-standard</v>
      </c>
      <c r="D540" s="13">
        <v>44819</v>
      </c>
      <c r="F540" t="s">
        <v>764</v>
      </c>
      <c r="G540" t="s">
        <v>318</v>
      </c>
      <c r="H540" t="s">
        <v>4</v>
      </c>
      <c r="I540" s="25" t="s">
        <v>319</v>
      </c>
      <c r="M540" t="s">
        <v>790</v>
      </c>
    </row>
    <row r="541" spans="1:13" x14ac:dyDescent="0.35">
      <c r="A541">
        <v>989360</v>
      </c>
      <c r="B541" s="22" t="str">
        <f>IFERROR(VLOOKUP(A541,VLOOKUPS!$A:$B,2,FALSE), "")</f>
        <v>Onions Red 2lb-standard</v>
      </c>
      <c r="D541" s="13">
        <v>44819</v>
      </c>
      <c r="F541" t="s">
        <v>764</v>
      </c>
      <c r="G541" t="s">
        <v>318</v>
      </c>
      <c r="H541" t="s">
        <v>5</v>
      </c>
      <c r="I541" s="25" t="s">
        <v>319</v>
      </c>
      <c r="M541" t="s">
        <v>790</v>
      </c>
    </row>
    <row r="542" spans="1:13" x14ac:dyDescent="0.35">
      <c r="A542">
        <v>989461</v>
      </c>
      <c r="B542" s="22" t="str">
        <f>IFERROR(VLOOKUP(A542,VLOOKUPS!$A:$B,2,FALSE), "")</f>
        <v>Shallots 1lb-standard</v>
      </c>
      <c r="D542" s="13">
        <v>44819</v>
      </c>
      <c r="F542" t="s">
        <v>764</v>
      </c>
      <c r="G542" t="s">
        <v>318</v>
      </c>
      <c r="H542" t="s">
        <v>6</v>
      </c>
      <c r="I542" s="25" t="s">
        <v>319</v>
      </c>
      <c r="M542" t="s">
        <v>790</v>
      </c>
    </row>
    <row r="543" spans="1:13" x14ac:dyDescent="0.35">
      <c r="A543">
        <v>989461</v>
      </c>
      <c r="B543" s="22" t="str">
        <f>IFERROR(VLOOKUP(A543,VLOOKUPS!$A:$B,2,FALSE), "")</f>
        <v>Shallots 1lb-standard</v>
      </c>
      <c r="D543" s="13">
        <v>44819</v>
      </c>
      <c r="F543" t="s">
        <v>764</v>
      </c>
      <c r="G543" t="s">
        <v>318</v>
      </c>
      <c r="H543" t="s">
        <v>4</v>
      </c>
      <c r="I543" s="25" t="s">
        <v>319</v>
      </c>
      <c r="M543" t="s">
        <v>790</v>
      </c>
    </row>
    <row r="544" spans="1:13" x14ac:dyDescent="0.35">
      <c r="A544">
        <v>989461</v>
      </c>
      <c r="B544" s="22" t="str">
        <f>IFERROR(VLOOKUP(A544,VLOOKUPS!$A:$B,2,FALSE), "")</f>
        <v>Shallots 1lb-standard</v>
      </c>
      <c r="D544" s="13">
        <v>44819</v>
      </c>
      <c r="F544" t="s">
        <v>764</v>
      </c>
      <c r="G544" t="s">
        <v>318</v>
      </c>
      <c r="H544" t="s">
        <v>5</v>
      </c>
      <c r="I544" s="25" t="s">
        <v>319</v>
      </c>
      <c r="M544" t="s">
        <v>790</v>
      </c>
    </row>
    <row r="545" spans="1:13" x14ac:dyDescent="0.35">
      <c r="A545">
        <v>989489</v>
      </c>
      <c r="B545" s="22" t="str">
        <f>IFERROR(VLOOKUP(A545,VLOOKUPS!$A:$B,2,FALSE), "")</f>
        <v/>
      </c>
      <c r="D545" s="13">
        <v>44819</v>
      </c>
      <c r="F545" t="s">
        <v>764</v>
      </c>
      <c r="G545" t="s">
        <v>318</v>
      </c>
      <c r="H545" t="s">
        <v>6</v>
      </c>
      <c r="I545" s="25" t="s">
        <v>319</v>
      </c>
      <c r="M545" t="s">
        <v>790</v>
      </c>
    </row>
    <row r="546" spans="1:13" x14ac:dyDescent="0.35">
      <c r="A546">
        <v>989489</v>
      </c>
      <c r="B546" s="22" t="str">
        <f>IFERROR(VLOOKUP(A546,VLOOKUPS!$A:$B,2,FALSE), "")</f>
        <v/>
      </c>
      <c r="D546" s="13">
        <v>44819</v>
      </c>
      <c r="F546" t="s">
        <v>764</v>
      </c>
      <c r="G546" t="s">
        <v>318</v>
      </c>
      <c r="H546" t="s">
        <v>4</v>
      </c>
      <c r="I546" s="25" t="s">
        <v>319</v>
      </c>
      <c r="M546" t="s">
        <v>790</v>
      </c>
    </row>
    <row r="547" spans="1:13" x14ac:dyDescent="0.35">
      <c r="A547">
        <v>989489</v>
      </c>
      <c r="B547" s="22" t="str">
        <f>IFERROR(VLOOKUP(A547,VLOOKUPS!$A:$B,2,FALSE), "")</f>
        <v/>
      </c>
      <c r="D547" s="13">
        <v>44819</v>
      </c>
      <c r="F547" t="s">
        <v>764</v>
      </c>
      <c r="G547" t="s">
        <v>318</v>
      </c>
      <c r="H547" t="s">
        <v>5</v>
      </c>
      <c r="I547" s="25" t="s">
        <v>319</v>
      </c>
      <c r="M547" t="s">
        <v>790</v>
      </c>
    </row>
    <row r="548" spans="1:13" x14ac:dyDescent="0.35">
      <c r="A548">
        <v>989560</v>
      </c>
      <c r="B548" s="22" t="str">
        <f>IFERROR(VLOOKUP(A548,VLOOKUPS!$A:$B,2,FALSE), "")</f>
        <v>Potatoes Russet 5lb-standard</v>
      </c>
      <c r="D548" s="13">
        <v>44819</v>
      </c>
      <c r="F548" t="s">
        <v>764</v>
      </c>
      <c r="G548" t="s">
        <v>318</v>
      </c>
      <c r="H548" t="s">
        <v>6</v>
      </c>
      <c r="I548" s="25" t="s">
        <v>319</v>
      </c>
      <c r="M548" t="s">
        <v>790</v>
      </c>
    </row>
    <row r="549" spans="1:13" x14ac:dyDescent="0.35">
      <c r="A549">
        <v>989560</v>
      </c>
      <c r="B549" s="22" t="str">
        <f>IFERROR(VLOOKUP(A549,VLOOKUPS!$A:$B,2,FALSE), "")</f>
        <v>Potatoes Russet 5lb-standard</v>
      </c>
      <c r="D549" s="13">
        <v>44819</v>
      </c>
      <c r="F549" t="s">
        <v>764</v>
      </c>
      <c r="G549" t="s">
        <v>318</v>
      </c>
      <c r="H549" t="s">
        <v>4</v>
      </c>
      <c r="I549" s="25" t="s">
        <v>319</v>
      </c>
      <c r="M549" t="s">
        <v>790</v>
      </c>
    </row>
    <row r="550" spans="1:13" x14ac:dyDescent="0.35">
      <c r="A550">
        <v>989560</v>
      </c>
      <c r="B550" s="22" t="str">
        <f>IFERROR(VLOOKUP(A550,VLOOKUPS!$A:$B,2,FALSE), "")</f>
        <v>Potatoes Russet 5lb-standard</v>
      </c>
      <c r="D550" s="13">
        <v>44819</v>
      </c>
      <c r="F550" t="s">
        <v>764</v>
      </c>
      <c r="G550" t="s">
        <v>318</v>
      </c>
      <c r="H550" t="s">
        <v>5</v>
      </c>
      <c r="I550" s="25" t="s">
        <v>319</v>
      </c>
      <c r="M550" t="s">
        <v>790</v>
      </c>
    </row>
    <row r="551" spans="1:13" x14ac:dyDescent="0.35">
      <c r="A551">
        <v>989562</v>
      </c>
      <c r="B551" s="22" t="str">
        <f>IFERROR(VLOOKUP(A551,VLOOKUPS!$A:$B,2,FALSE), "")</f>
        <v>Potatoes White 5lb-standard</v>
      </c>
      <c r="D551" s="13">
        <v>44819</v>
      </c>
      <c r="F551" t="s">
        <v>764</v>
      </c>
      <c r="G551" t="s">
        <v>318</v>
      </c>
      <c r="H551" t="s">
        <v>6</v>
      </c>
      <c r="I551" s="25" t="s">
        <v>319</v>
      </c>
      <c r="M551" t="s">
        <v>790</v>
      </c>
    </row>
    <row r="552" spans="1:13" x14ac:dyDescent="0.35">
      <c r="A552">
        <v>989562</v>
      </c>
      <c r="B552" s="22" t="str">
        <f>IFERROR(VLOOKUP(A552,VLOOKUPS!$A:$B,2,FALSE), "")</f>
        <v>Potatoes White 5lb-standard</v>
      </c>
      <c r="D552" s="13">
        <v>44819</v>
      </c>
      <c r="F552" t="s">
        <v>764</v>
      </c>
      <c r="G552" t="s">
        <v>318</v>
      </c>
      <c r="H552" t="s">
        <v>4</v>
      </c>
      <c r="I552" s="25" t="s">
        <v>319</v>
      </c>
      <c r="M552" t="s">
        <v>790</v>
      </c>
    </row>
    <row r="553" spans="1:13" x14ac:dyDescent="0.35">
      <c r="A553">
        <v>989562</v>
      </c>
      <c r="B553" s="22" t="str">
        <f>IFERROR(VLOOKUP(A553,VLOOKUPS!$A:$B,2,FALSE), "")</f>
        <v>Potatoes White 5lb-standard</v>
      </c>
      <c r="D553" s="13">
        <v>44819</v>
      </c>
      <c r="F553" t="s">
        <v>764</v>
      </c>
      <c r="G553" t="s">
        <v>318</v>
      </c>
      <c r="H553" t="s">
        <v>5</v>
      </c>
      <c r="I553" s="25" t="s">
        <v>319</v>
      </c>
      <c r="M553" t="s">
        <v>790</v>
      </c>
    </row>
    <row r="554" spans="1:13" x14ac:dyDescent="0.35">
      <c r="A554">
        <v>989623</v>
      </c>
      <c r="B554" s="22" t="str">
        <f>IFERROR(VLOOKUP(A554,VLOOKUPS!$A:$B,2,FALSE), "")</f>
        <v/>
      </c>
      <c r="D554" s="13">
        <v>44819</v>
      </c>
      <c r="F554" t="s">
        <v>764</v>
      </c>
      <c r="G554" t="s">
        <v>318</v>
      </c>
      <c r="H554" t="s">
        <v>6</v>
      </c>
      <c r="I554" s="25" t="s">
        <v>319</v>
      </c>
      <c r="M554" t="s">
        <v>790</v>
      </c>
    </row>
    <row r="555" spans="1:13" x14ac:dyDescent="0.35">
      <c r="A555">
        <v>989623</v>
      </c>
      <c r="B555" s="22" t="str">
        <f>IFERROR(VLOOKUP(A555,VLOOKUPS!$A:$B,2,FALSE), "")</f>
        <v/>
      </c>
      <c r="D555" s="13">
        <v>44819</v>
      </c>
      <c r="F555" t="s">
        <v>764</v>
      </c>
      <c r="G555" t="s">
        <v>318</v>
      </c>
      <c r="H555" t="s">
        <v>4</v>
      </c>
      <c r="I555" s="25" t="s">
        <v>319</v>
      </c>
      <c r="M555" t="s">
        <v>790</v>
      </c>
    </row>
    <row r="556" spans="1:13" x14ac:dyDescent="0.35">
      <c r="A556">
        <v>989623</v>
      </c>
      <c r="B556" s="22" t="str">
        <f>IFERROR(VLOOKUP(A556,VLOOKUPS!$A:$B,2,FALSE), "")</f>
        <v/>
      </c>
      <c r="D556" s="13">
        <v>44819</v>
      </c>
      <c r="F556" t="s">
        <v>764</v>
      </c>
      <c r="G556" t="s">
        <v>318</v>
      </c>
      <c r="H556" t="s">
        <v>5</v>
      </c>
      <c r="I556" s="25" t="s">
        <v>319</v>
      </c>
      <c r="M556" t="s">
        <v>790</v>
      </c>
    </row>
    <row r="557" spans="1:13" x14ac:dyDescent="0.35">
      <c r="A557">
        <v>989660</v>
      </c>
      <c r="B557" s="22" t="str">
        <f>IFERROR(VLOOKUP(A557,VLOOKUPS!$A:$B,2,FALSE), "")</f>
        <v>Potatoes Yellow 5lb-standard</v>
      </c>
      <c r="D557" s="13">
        <v>44819</v>
      </c>
      <c r="F557" t="s">
        <v>764</v>
      </c>
      <c r="G557" t="s">
        <v>318</v>
      </c>
      <c r="H557" t="s">
        <v>6</v>
      </c>
      <c r="I557" s="25" t="s">
        <v>319</v>
      </c>
      <c r="M557" t="s">
        <v>790</v>
      </c>
    </row>
    <row r="558" spans="1:13" x14ac:dyDescent="0.35">
      <c r="A558">
        <v>989660</v>
      </c>
      <c r="B558" s="22" t="str">
        <f>IFERROR(VLOOKUP(A558,VLOOKUPS!$A:$B,2,FALSE), "")</f>
        <v>Potatoes Yellow 5lb-standard</v>
      </c>
      <c r="D558" s="13">
        <v>44819</v>
      </c>
      <c r="F558" t="s">
        <v>764</v>
      </c>
      <c r="G558" t="s">
        <v>318</v>
      </c>
      <c r="H558" t="s">
        <v>4</v>
      </c>
      <c r="I558" s="25" t="s">
        <v>319</v>
      </c>
      <c r="M558" t="s">
        <v>790</v>
      </c>
    </row>
    <row r="559" spans="1:13" x14ac:dyDescent="0.35">
      <c r="A559">
        <v>989660</v>
      </c>
      <c r="B559" s="22" t="str">
        <f>IFERROR(VLOOKUP(A559,VLOOKUPS!$A:$B,2,FALSE), "")</f>
        <v>Potatoes Yellow 5lb-standard</v>
      </c>
      <c r="D559" s="13">
        <v>44819</v>
      </c>
      <c r="F559" t="s">
        <v>764</v>
      </c>
      <c r="G559" t="s">
        <v>318</v>
      </c>
      <c r="H559" t="s">
        <v>5</v>
      </c>
      <c r="I559" s="25" t="s">
        <v>319</v>
      </c>
      <c r="M559" t="s">
        <v>790</v>
      </c>
    </row>
    <row r="560" spans="1:13" x14ac:dyDescent="0.35">
      <c r="A560">
        <v>989680</v>
      </c>
      <c r="B560" s="22" t="str">
        <f>IFERROR(VLOOKUP(A560,VLOOKUPS!$A:$B,2,FALSE), "")</f>
        <v>Organic Potatoes Yellow 3lb-standard</v>
      </c>
      <c r="D560" s="13">
        <v>44819</v>
      </c>
      <c r="F560" t="s">
        <v>764</v>
      </c>
      <c r="G560" t="s">
        <v>318</v>
      </c>
      <c r="H560" t="s">
        <v>6</v>
      </c>
      <c r="I560" s="25" t="s">
        <v>319</v>
      </c>
      <c r="M560" t="s">
        <v>790</v>
      </c>
    </row>
    <row r="561" spans="1:13" x14ac:dyDescent="0.35">
      <c r="A561">
        <v>989680</v>
      </c>
      <c r="B561" s="22" t="str">
        <f>IFERROR(VLOOKUP(A561,VLOOKUPS!$A:$B,2,FALSE), "")</f>
        <v>Organic Potatoes Yellow 3lb-standard</v>
      </c>
      <c r="D561" s="13">
        <v>44819</v>
      </c>
      <c r="F561" t="s">
        <v>764</v>
      </c>
      <c r="G561" t="s">
        <v>318</v>
      </c>
      <c r="H561" t="s">
        <v>4</v>
      </c>
      <c r="I561" s="25" t="s">
        <v>319</v>
      </c>
      <c r="M561" t="s">
        <v>790</v>
      </c>
    </row>
    <row r="562" spans="1:13" x14ac:dyDescent="0.35">
      <c r="A562">
        <v>989680</v>
      </c>
      <c r="B562" s="22" t="str">
        <f>IFERROR(VLOOKUP(A562,VLOOKUPS!$A:$B,2,FALSE), "")</f>
        <v>Organic Potatoes Yellow 3lb-standard</v>
      </c>
      <c r="D562" s="13">
        <v>44819</v>
      </c>
      <c r="F562" t="s">
        <v>764</v>
      </c>
      <c r="G562" t="s">
        <v>318</v>
      </c>
      <c r="H562" t="s">
        <v>5</v>
      </c>
      <c r="I562" s="25" t="s">
        <v>319</v>
      </c>
      <c r="M562" t="s">
        <v>790</v>
      </c>
    </row>
    <row r="563" spans="1:13" x14ac:dyDescent="0.35">
      <c r="A563">
        <v>989710</v>
      </c>
      <c r="B563" s="22" t="str">
        <f>IFERROR(VLOOKUP(A563,VLOOKUPS!$A:$B,2,FALSE), "")</f>
        <v>Potatoes Red 5lb-standard</v>
      </c>
      <c r="D563" s="13">
        <v>44819</v>
      </c>
      <c r="F563" t="s">
        <v>764</v>
      </c>
      <c r="G563" t="s">
        <v>318</v>
      </c>
      <c r="H563" t="s">
        <v>6</v>
      </c>
      <c r="I563" s="25" t="s">
        <v>319</v>
      </c>
      <c r="M563" t="s">
        <v>790</v>
      </c>
    </row>
    <row r="564" spans="1:13" x14ac:dyDescent="0.35">
      <c r="A564">
        <v>989710</v>
      </c>
      <c r="B564" s="22" t="str">
        <f>IFERROR(VLOOKUP(A564,VLOOKUPS!$A:$B,2,FALSE), "")</f>
        <v>Potatoes Red 5lb-standard</v>
      </c>
      <c r="D564" s="13">
        <v>44819</v>
      </c>
      <c r="F564" t="s">
        <v>764</v>
      </c>
      <c r="G564" t="s">
        <v>318</v>
      </c>
      <c r="H564" t="s">
        <v>4</v>
      </c>
      <c r="I564" s="25" t="s">
        <v>319</v>
      </c>
      <c r="M564" t="s">
        <v>790</v>
      </c>
    </row>
    <row r="565" spans="1:13" x14ac:dyDescent="0.35">
      <c r="A565">
        <v>989710</v>
      </c>
      <c r="B565" s="22" t="str">
        <f>IFERROR(VLOOKUP(A565,VLOOKUPS!$A:$B,2,FALSE), "")</f>
        <v>Potatoes Red 5lb-standard</v>
      </c>
      <c r="D565" s="13">
        <v>44819</v>
      </c>
      <c r="F565" t="s">
        <v>764</v>
      </c>
      <c r="G565" t="s">
        <v>318</v>
      </c>
      <c r="H565" t="s">
        <v>5</v>
      </c>
      <c r="I565" s="25" t="s">
        <v>319</v>
      </c>
      <c r="M565" t="s">
        <v>790</v>
      </c>
    </row>
    <row r="566" spans="1:13" x14ac:dyDescent="0.35">
      <c r="A566">
        <v>989722</v>
      </c>
      <c r="B566" s="22" t="str">
        <f>IFERROR(VLOOKUP(A566,VLOOKUPS!$A:$B,2,FALSE), "")</f>
        <v/>
      </c>
      <c r="D566" s="13">
        <v>44819</v>
      </c>
      <c r="F566" t="s">
        <v>764</v>
      </c>
      <c r="G566" t="s">
        <v>318</v>
      </c>
      <c r="H566" t="s">
        <v>6</v>
      </c>
      <c r="I566" s="25" t="s">
        <v>319</v>
      </c>
      <c r="M566" t="s">
        <v>790</v>
      </c>
    </row>
    <row r="567" spans="1:13" x14ac:dyDescent="0.35">
      <c r="A567">
        <v>989722</v>
      </c>
      <c r="B567" s="22" t="str">
        <f>IFERROR(VLOOKUP(A567,VLOOKUPS!$A:$B,2,FALSE), "")</f>
        <v/>
      </c>
      <c r="D567" s="13">
        <v>44819</v>
      </c>
      <c r="F567" t="s">
        <v>764</v>
      </c>
      <c r="G567" t="s">
        <v>318</v>
      </c>
      <c r="H567" t="s">
        <v>4</v>
      </c>
      <c r="I567" s="25" t="s">
        <v>319</v>
      </c>
      <c r="M567" t="s">
        <v>790</v>
      </c>
    </row>
    <row r="568" spans="1:13" x14ac:dyDescent="0.35">
      <c r="A568">
        <v>989722</v>
      </c>
      <c r="B568" s="22" t="str">
        <f>IFERROR(VLOOKUP(A568,VLOOKUPS!$A:$B,2,FALSE), "")</f>
        <v/>
      </c>
      <c r="D568" s="13">
        <v>44819</v>
      </c>
      <c r="F568" t="s">
        <v>764</v>
      </c>
      <c r="G568" t="s">
        <v>318</v>
      </c>
      <c r="H568" t="s">
        <v>5</v>
      </c>
      <c r="I568" s="25" t="s">
        <v>319</v>
      </c>
      <c r="M568" t="s">
        <v>790</v>
      </c>
    </row>
    <row r="569" spans="1:13" x14ac:dyDescent="0.35">
      <c r="A569">
        <v>989760</v>
      </c>
      <c r="B569" s="22" t="str">
        <f>IFERROR(VLOOKUP(A569,VLOOKUPS!$A:$B,2,FALSE), "")</f>
        <v>Potatoes Mixed Baby 1,5lb-standard</v>
      </c>
      <c r="D569" s="13">
        <v>44819</v>
      </c>
      <c r="F569" t="s">
        <v>764</v>
      </c>
      <c r="G569" t="s">
        <v>318</v>
      </c>
      <c r="H569" t="s">
        <v>6</v>
      </c>
      <c r="I569" s="25" t="s">
        <v>319</v>
      </c>
      <c r="M569" t="s">
        <v>790</v>
      </c>
    </row>
    <row r="570" spans="1:13" x14ac:dyDescent="0.35">
      <c r="A570">
        <v>989760</v>
      </c>
      <c r="B570" s="22" t="str">
        <f>IFERROR(VLOOKUP(A570,VLOOKUPS!$A:$B,2,FALSE), "")</f>
        <v>Potatoes Mixed Baby 1,5lb-standard</v>
      </c>
      <c r="D570" s="13">
        <v>44819</v>
      </c>
      <c r="F570" t="s">
        <v>764</v>
      </c>
      <c r="G570" t="s">
        <v>318</v>
      </c>
      <c r="H570" t="s">
        <v>4</v>
      </c>
      <c r="I570" s="25" t="s">
        <v>319</v>
      </c>
      <c r="M570" t="s">
        <v>790</v>
      </c>
    </row>
    <row r="571" spans="1:13" x14ac:dyDescent="0.35">
      <c r="A571">
        <v>989760</v>
      </c>
      <c r="B571" s="22" t="str">
        <f>IFERROR(VLOOKUP(A571,VLOOKUPS!$A:$B,2,FALSE), "")</f>
        <v>Potatoes Mixed Baby 1,5lb-standard</v>
      </c>
      <c r="D571" s="13">
        <v>44819</v>
      </c>
      <c r="F571" t="s">
        <v>764</v>
      </c>
      <c r="G571" t="s">
        <v>318</v>
      </c>
      <c r="H571" t="s">
        <v>5</v>
      </c>
      <c r="I571" s="25" t="s">
        <v>319</v>
      </c>
      <c r="M571" t="s">
        <v>790</v>
      </c>
    </row>
    <row r="572" spans="1:13" x14ac:dyDescent="0.35">
      <c r="A572">
        <v>989765</v>
      </c>
      <c r="B572" s="22" t="str">
        <f>IFERROR(VLOOKUP(A572,VLOOKUPS!$A:$B,2,FALSE), "")</f>
        <v>Potatoes Medley Bite Size 3lb-Standard</v>
      </c>
      <c r="D572" s="13">
        <v>44819</v>
      </c>
      <c r="F572" t="s">
        <v>764</v>
      </c>
      <c r="G572" t="s">
        <v>318</v>
      </c>
      <c r="H572" t="s">
        <v>6</v>
      </c>
      <c r="I572" s="25" t="s">
        <v>319</v>
      </c>
      <c r="M572" t="s">
        <v>790</v>
      </c>
    </row>
    <row r="573" spans="1:13" x14ac:dyDescent="0.35">
      <c r="A573">
        <v>989765</v>
      </c>
      <c r="B573" s="22" t="str">
        <f>IFERROR(VLOOKUP(A573,VLOOKUPS!$A:$B,2,FALSE), "")</f>
        <v>Potatoes Medley Bite Size 3lb-Standard</v>
      </c>
      <c r="D573" s="13">
        <v>44819</v>
      </c>
      <c r="F573" t="s">
        <v>764</v>
      </c>
      <c r="G573" t="s">
        <v>318</v>
      </c>
      <c r="H573" t="s">
        <v>4</v>
      </c>
      <c r="I573" s="25" t="s">
        <v>319</v>
      </c>
      <c r="M573" t="s">
        <v>790</v>
      </c>
    </row>
    <row r="574" spans="1:13" x14ac:dyDescent="0.35">
      <c r="A574">
        <v>989765</v>
      </c>
      <c r="B574" s="22" t="str">
        <f>IFERROR(VLOOKUP(A574,VLOOKUPS!$A:$B,2,FALSE), "")</f>
        <v>Potatoes Medley Bite Size 3lb-Standard</v>
      </c>
      <c r="D574" s="13">
        <v>44819</v>
      </c>
      <c r="F574" t="s">
        <v>764</v>
      </c>
      <c r="G574" t="s">
        <v>318</v>
      </c>
      <c r="H574" t="s">
        <v>5</v>
      </c>
      <c r="I574" s="25" t="s">
        <v>319</v>
      </c>
      <c r="M574" t="s">
        <v>790</v>
      </c>
    </row>
    <row r="575" spans="1:13" x14ac:dyDescent="0.35">
      <c r="A575">
        <v>989800</v>
      </c>
      <c r="B575" s="22" t="str">
        <f>IFERROR(VLOOKUP(A575,VLOOKUPS!$A:$B,2,FALSE), "")</f>
        <v>Sweet* Potatoes 1lb-LOOSE</v>
      </c>
      <c r="D575" s="13">
        <v>44819</v>
      </c>
      <c r="F575" t="s">
        <v>764</v>
      </c>
      <c r="G575" t="s">
        <v>318</v>
      </c>
      <c r="H575" t="s">
        <v>6</v>
      </c>
      <c r="I575" s="25" t="s">
        <v>319</v>
      </c>
      <c r="M575" t="s">
        <v>790</v>
      </c>
    </row>
    <row r="576" spans="1:13" x14ac:dyDescent="0.35">
      <c r="A576">
        <v>989800</v>
      </c>
      <c r="B576" s="22" t="str">
        <f>IFERROR(VLOOKUP(A576,VLOOKUPS!$A:$B,2,FALSE), "")</f>
        <v>Sweet* Potatoes 1lb-LOOSE</v>
      </c>
      <c r="D576" s="13">
        <v>44819</v>
      </c>
      <c r="F576" t="s">
        <v>764</v>
      </c>
      <c r="G576" t="s">
        <v>318</v>
      </c>
      <c r="H576" t="s">
        <v>4</v>
      </c>
      <c r="I576" s="25" t="s">
        <v>319</v>
      </c>
      <c r="M576" t="s">
        <v>790</v>
      </c>
    </row>
    <row r="577" spans="1:13" x14ac:dyDescent="0.35">
      <c r="A577">
        <v>989800</v>
      </c>
      <c r="B577" s="22" t="str">
        <f>IFERROR(VLOOKUP(A577,VLOOKUPS!$A:$B,2,FALSE), "")</f>
        <v>Sweet* Potatoes 1lb-LOOSE</v>
      </c>
      <c r="D577" s="13">
        <v>44819</v>
      </c>
      <c r="F577" t="s">
        <v>764</v>
      </c>
      <c r="G577" t="s">
        <v>318</v>
      </c>
      <c r="H577" t="s">
        <v>5</v>
      </c>
      <c r="I577" s="25" t="s">
        <v>319</v>
      </c>
      <c r="M577" t="s">
        <v>790</v>
      </c>
    </row>
    <row r="578" spans="1:13" x14ac:dyDescent="0.35">
      <c r="A578">
        <v>989810</v>
      </c>
      <c r="B578" s="22" t="str">
        <f>IFERROR(VLOOKUP(A578,VLOOKUPS!$A:$B,2,FALSE), "")</f>
        <v>Sweet Potatoes 3lb-standard</v>
      </c>
      <c r="D578" s="13">
        <v>44819</v>
      </c>
      <c r="F578" t="s">
        <v>764</v>
      </c>
      <c r="G578" t="s">
        <v>318</v>
      </c>
      <c r="H578" t="s">
        <v>6</v>
      </c>
      <c r="I578" s="25" t="s">
        <v>319</v>
      </c>
      <c r="M578" t="s">
        <v>790</v>
      </c>
    </row>
    <row r="579" spans="1:13" x14ac:dyDescent="0.35">
      <c r="A579">
        <v>989810</v>
      </c>
      <c r="B579" s="22" t="str">
        <f>IFERROR(VLOOKUP(A579,VLOOKUPS!$A:$B,2,FALSE), "")</f>
        <v>Sweet Potatoes 3lb-standard</v>
      </c>
      <c r="D579" s="13">
        <v>44819</v>
      </c>
      <c r="F579" t="s">
        <v>764</v>
      </c>
      <c r="G579" t="s">
        <v>318</v>
      </c>
      <c r="H579" t="s">
        <v>4</v>
      </c>
      <c r="I579" s="25" t="s">
        <v>319</v>
      </c>
      <c r="M579" t="s">
        <v>790</v>
      </c>
    </row>
    <row r="580" spans="1:13" x14ac:dyDescent="0.35">
      <c r="A580">
        <v>989810</v>
      </c>
      <c r="B580" s="22" t="str">
        <f>IFERROR(VLOOKUP(A580,VLOOKUPS!$A:$B,2,FALSE), "")</f>
        <v>Sweet Potatoes 3lb-standard</v>
      </c>
      <c r="D580" s="13">
        <v>44819</v>
      </c>
      <c r="F580" t="s">
        <v>764</v>
      </c>
      <c r="G580" t="s">
        <v>318</v>
      </c>
      <c r="H580" t="s">
        <v>5</v>
      </c>
      <c r="I580" s="25" t="s">
        <v>319</v>
      </c>
      <c r="M580" t="s">
        <v>790</v>
      </c>
    </row>
    <row r="581" spans="1:13" x14ac:dyDescent="0.35">
      <c r="A581">
        <v>989813</v>
      </c>
      <c r="B581" s="22" t="str">
        <f>IFERROR(VLOOKUP(A581,VLOOKUPS!$A:$B,2,FALSE), "")</f>
        <v/>
      </c>
      <c r="D581" s="13">
        <v>44819</v>
      </c>
      <c r="F581" t="s">
        <v>764</v>
      </c>
      <c r="G581" t="s">
        <v>318</v>
      </c>
      <c r="H581" t="s">
        <v>6</v>
      </c>
      <c r="I581" s="25" t="s">
        <v>319</v>
      </c>
      <c r="M581" t="s">
        <v>790</v>
      </c>
    </row>
    <row r="582" spans="1:13" x14ac:dyDescent="0.35">
      <c r="A582">
        <v>989813</v>
      </c>
      <c r="B582" s="22" t="str">
        <f>IFERROR(VLOOKUP(A582,VLOOKUPS!$A:$B,2,FALSE), "")</f>
        <v/>
      </c>
      <c r="D582" s="13">
        <v>44819</v>
      </c>
      <c r="F582" t="s">
        <v>764</v>
      </c>
      <c r="G582" t="s">
        <v>318</v>
      </c>
      <c r="H582" t="s">
        <v>4</v>
      </c>
      <c r="I582" s="25" t="s">
        <v>319</v>
      </c>
      <c r="M582" t="s">
        <v>790</v>
      </c>
    </row>
    <row r="583" spans="1:13" x14ac:dyDescent="0.35">
      <c r="A583">
        <v>989813</v>
      </c>
      <c r="B583" s="22" t="str">
        <f>IFERROR(VLOOKUP(A583,VLOOKUPS!$A:$B,2,FALSE), "")</f>
        <v/>
      </c>
      <c r="D583" s="13">
        <v>44819</v>
      </c>
      <c r="F583" t="s">
        <v>764</v>
      </c>
      <c r="G583" t="s">
        <v>318</v>
      </c>
      <c r="H583" t="s">
        <v>5</v>
      </c>
      <c r="I583" s="25" t="s">
        <v>319</v>
      </c>
      <c r="M583" t="s">
        <v>790</v>
      </c>
    </row>
    <row r="584" spans="1:13" x14ac:dyDescent="0.35">
      <c r="A584">
        <v>989830</v>
      </c>
      <c r="B584" s="22" t="str">
        <f>IFERROR(VLOOKUP(A584,VLOOKUPS!$A:$B,2,FALSE), "")</f>
        <v>Organic Sweet Potatoes 3lb-standard</v>
      </c>
      <c r="D584" s="13">
        <v>44819</v>
      </c>
      <c r="F584" t="s">
        <v>764</v>
      </c>
      <c r="G584" t="s">
        <v>318</v>
      </c>
      <c r="H584" t="s">
        <v>6</v>
      </c>
      <c r="I584" s="25" t="s">
        <v>319</v>
      </c>
      <c r="M584" t="s">
        <v>790</v>
      </c>
    </row>
    <row r="585" spans="1:13" x14ac:dyDescent="0.35">
      <c r="A585">
        <v>989830</v>
      </c>
      <c r="B585" s="22" t="str">
        <f>IFERROR(VLOOKUP(A585,VLOOKUPS!$A:$B,2,FALSE), "")</f>
        <v>Organic Sweet Potatoes 3lb-standard</v>
      </c>
      <c r="D585" s="13">
        <v>44819</v>
      </c>
      <c r="F585" t="s">
        <v>764</v>
      </c>
      <c r="G585" t="s">
        <v>318</v>
      </c>
      <c r="H585" t="s">
        <v>4</v>
      </c>
      <c r="I585" s="25" t="s">
        <v>319</v>
      </c>
      <c r="M585" t="s">
        <v>790</v>
      </c>
    </row>
    <row r="586" spans="1:13" x14ac:dyDescent="0.35">
      <c r="A586">
        <v>989830</v>
      </c>
      <c r="B586" s="22" t="str">
        <f>IFERROR(VLOOKUP(A586,VLOOKUPS!$A:$B,2,FALSE), "")</f>
        <v>Organic Sweet Potatoes 3lb-standard</v>
      </c>
      <c r="D586" s="13">
        <v>44819</v>
      </c>
      <c r="F586" t="s">
        <v>764</v>
      </c>
      <c r="G586" t="s">
        <v>318</v>
      </c>
      <c r="H586" t="s">
        <v>5</v>
      </c>
      <c r="I586" s="25" t="s">
        <v>319</v>
      </c>
      <c r="M586" t="s">
        <v>790</v>
      </c>
    </row>
    <row r="587" spans="1:13" x14ac:dyDescent="0.35">
      <c r="A587">
        <v>995000</v>
      </c>
      <c r="B587" s="22" t="str">
        <f>IFERROR(VLOOKUP(A587,VLOOKUPS!$A:$B,2,FALSE), "")</f>
        <v>Spring Mix 5oz-standard</v>
      </c>
      <c r="D587" s="13">
        <v>44819</v>
      </c>
      <c r="F587" t="s">
        <v>764</v>
      </c>
      <c r="G587" t="s">
        <v>318</v>
      </c>
      <c r="H587" t="s">
        <v>6</v>
      </c>
      <c r="I587" s="25" t="s">
        <v>319</v>
      </c>
      <c r="M587" t="s">
        <v>790</v>
      </c>
    </row>
    <row r="588" spans="1:13" x14ac:dyDescent="0.35">
      <c r="A588">
        <v>995000</v>
      </c>
      <c r="B588" s="22" t="str">
        <f>IFERROR(VLOOKUP(A588,VLOOKUPS!$A:$B,2,FALSE), "")</f>
        <v>Spring Mix 5oz-standard</v>
      </c>
      <c r="D588" s="13">
        <v>44819</v>
      </c>
      <c r="F588" t="s">
        <v>764</v>
      </c>
      <c r="G588" t="s">
        <v>318</v>
      </c>
      <c r="H588" t="s">
        <v>4</v>
      </c>
      <c r="I588" s="25" t="s">
        <v>319</v>
      </c>
      <c r="M588" t="s">
        <v>790</v>
      </c>
    </row>
    <row r="589" spans="1:13" x14ac:dyDescent="0.35">
      <c r="A589">
        <v>995000</v>
      </c>
      <c r="B589" s="22" t="str">
        <f>IFERROR(VLOOKUP(A589,VLOOKUPS!$A:$B,2,FALSE), "")</f>
        <v>Spring Mix 5oz-standard</v>
      </c>
      <c r="D589" s="13">
        <v>44819</v>
      </c>
      <c r="F589" t="s">
        <v>764</v>
      </c>
      <c r="G589" t="s">
        <v>318</v>
      </c>
      <c r="H589" t="s">
        <v>5</v>
      </c>
      <c r="I589" s="25" t="s">
        <v>319</v>
      </c>
      <c r="M589" t="s">
        <v>790</v>
      </c>
    </row>
    <row r="590" spans="1:13" x14ac:dyDescent="0.35">
      <c r="A590">
        <v>995001</v>
      </c>
      <c r="B590" s="22" t="str">
        <f>IFERROR(VLOOKUP(A590,VLOOKUPS!$A:$B,2,FALSE), "")</f>
        <v>Spinach Baby 6oz-standard</v>
      </c>
      <c r="D590" s="13">
        <v>44819</v>
      </c>
      <c r="F590" t="s">
        <v>764</v>
      </c>
      <c r="G590" t="s">
        <v>318</v>
      </c>
      <c r="H590" t="s">
        <v>6</v>
      </c>
      <c r="I590" s="25" t="s">
        <v>319</v>
      </c>
      <c r="M590" t="s">
        <v>790</v>
      </c>
    </row>
    <row r="591" spans="1:13" x14ac:dyDescent="0.35">
      <c r="A591">
        <v>995001</v>
      </c>
      <c r="B591" s="22" t="str">
        <f>IFERROR(VLOOKUP(A591,VLOOKUPS!$A:$B,2,FALSE), "")</f>
        <v>Spinach Baby 6oz-standard</v>
      </c>
      <c r="D591" s="13">
        <v>44819</v>
      </c>
      <c r="F591" t="s">
        <v>764</v>
      </c>
      <c r="G591" t="s">
        <v>318</v>
      </c>
      <c r="H591" t="s">
        <v>4</v>
      </c>
      <c r="I591" s="25" t="s">
        <v>319</v>
      </c>
      <c r="M591" t="s">
        <v>790</v>
      </c>
    </row>
    <row r="592" spans="1:13" x14ac:dyDescent="0.35">
      <c r="A592">
        <v>995001</v>
      </c>
      <c r="B592" s="22" t="str">
        <f>IFERROR(VLOOKUP(A592,VLOOKUPS!$A:$B,2,FALSE), "")</f>
        <v>Spinach Baby 6oz-standard</v>
      </c>
      <c r="D592" s="13">
        <v>44819</v>
      </c>
      <c r="F592" t="s">
        <v>764</v>
      </c>
      <c r="G592" t="s">
        <v>318</v>
      </c>
      <c r="H592" t="s">
        <v>5</v>
      </c>
      <c r="I592" s="25" t="s">
        <v>319</v>
      </c>
      <c r="M592" t="s">
        <v>790</v>
      </c>
    </row>
    <row r="593" spans="1:13" x14ac:dyDescent="0.35">
      <c r="A593">
        <v>995004</v>
      </c>
      <c r="B593" s="22" t="str">
        <f>IFERROR(VLOOKUP(A593,VLOOKUPS!$A:$B,2,FALSE), "")</f>
        <v>Chicken Caesar Salad 6.25oz-standard</v>
      </c>
      <c r="D593" s="13">
        <v>44819</v>
      </c>
      <c r="F593" t="s">
        <v>764</v>
      </c>
      <c r="G593" t="s">
        <v>318</v>
      </c>
      <c r="H593" t="s">
        <v>6</v>
      </c>
      <c r="I593" s="25" t="s">
        <v>319</v>
      </c>
      <c r="M593" t="s">
        <v>790</v>
      </c>
    </row>
    <row r="594" spans="1:13" x14ac:dyDescent="0.35">
      <c r="A594">
        <v>995004</v>
      </c>
      <c r="B594" s="22" t="str">
        <f>IFERROR(VLOOKUP(A594,VLOOKUPS!$A:$B,2,FALSE), "")</f>
        <v>Chicken Caesar Salad 6.25oz-standard</v>
      </c>
      <c r="D594" s="13">
        <v>44819</v>
      </c>
      <c r="F594" t="s">
        <v>764</v>
      </c>
      <c r="G594" t="s">
        <v>318</v>
      </c>
      <c r="H594" t="s">
        <v>4</v>
      </c>
      <c r="I594" s="25" t="s">
        <v>319</v>
      </c>
      <c r="M594" t="s">
        <v>790</v>
      </c>
    </row>
    <row r="595" spans="1:13" x14ac:dyDescent="0.35">
      <c r="A595">
        <v>995004</v>
      </c>
      <c r="B595" s="22" t="str">
        <f>IFERROR(VLOOKUP(A595,VLOOKUPS!$A:$B,2,FALSE), "")</f>
        <v>Chicken Caesar Salad 6.25oz-standard</v>
      </c>
      <c r="D595" s="13">
        <v>44819</v>
      </c>
      <c r="F595" t="s">
        <v>764</v>
      </c>
      <c r="G595" t="s">
        <v>318</v>
      </c>
      <c r="H595" t="s">
        <v>5</v>
      </c>
      <c r="I595" s="25" t="s">
        <v>319</v>
      </c>
      <c r="M595" t="s">
        <v>790</v>
      </c>
    </row>
    <row r="596" spans="1:13" x14ac:dyDescent="0.35">
      <c r="A596">
        <v>995005</v>
      </c>
      <c r="B596" s="22" t="str">
        <f>IFERROR(VLOOKUP(A596,VLOOKUPS!$A:$B,2,FALSE), "")</f>
        <v>Garden Salad 12oz-standard</v>
      </c>
      <c r="D596" s="13">
        <v>44819</v>
      </c>
      <c r="F596" t="s">
        <v>764</v>
      </c>
      <c r="G596" t="s">
        <v>318</v>
      </c>
      <c r="H596" t="s">
        <v>6</v>
      </c>
      <c r="I596" s="25" t="s">
        <v>319</v>
      </c>
      <c r="M596" t="s">
        <v>790</v>
      </c>
    </row>
    <row r="597" spans="1:13" x14ac:dyDescent="0.35">
      <c r="A597">
        <v>995005</v>
      </c>
      <c r="B597" s="22" t="str">
        <f>IFERROR(VLOOKUP(A597,VLOOKUPS!$A:$B,2,FALSE), "")</f>
        <v>Garden Salad 12oz-standard</v>
      </c>
      <c r="D597" s="13">
        <v>44819</v>
      </c>
      <c r="F597" t="s">
        <v>764</v>
      </c>
      <c r="G597" t="s">
        <v>318</v>
      </c>
      <c r="H597" t="s">
        <v>4</v>
      </c>
      <c r="I597" s="25" t="s">
        <v>319</v>
      </c>
      <c r="M597" t="s">
        <v>790</v>
      </c>
    </row>
    <row r="598" spans="1:13" x14ac:dyDescent="0.35">
      <c r="A598">
        <v>995005</v>
      </c>
      <c r="B598" s="22" t="str">
        <f>IFERROR(VLOOKUP(A598,VLOOKUPS!$A:$B,2,FALSE), "")</f>
        <v>Garden Salad 12oz-standard</v>
      </c>
      <c r="D598" s="13">
        <v>44819</v>
      </c>
      <c r="F598" t="s">
        <v>764</v>
      </c>
      <c r="G598" t="s">
        <v>318</v>
      </c>
      <c r="H598" t="s">
        <v>5</v>
      </c>
      <c r="I598" s="25" t="s">
        <v>319</v>
      </c>
      <c r="M598" t="s">
        <v>790</v>
      </c>
    </row>
    <row r="599" spans="1:13" x14ac:dyDescent="0.35">
      <c r="A599">
        <v>995006</v>
      </c>
      <c r="B599" s="22" t="str">
        <f>IFERROR(VLOOKUP(A599,VLOOKUPS!$A:$B,2,FALSE), "")</f>
        <v>Italian Salad 9oz-standard</v>
      </c>
      <c r="D599" s="13">
        <v>44819</v>
      </c>
      <c r="F599" t="s">
        <v>764</v>
      </c>
      <c r="G599" t="s">
        <v>318</v>
      </c>
      <c r="H599" t="s">
        <v>6</v>
      </c>
      <c r="I599" s="25" t="s">
        <v>319</v>
      </c>
      <c r="M599" t="s">
        <v>790</v>
      </c>
    </row>
    <row r="600" spans="1:13" x14ac:dyDescent="0.35">
      <c r="A600">
        <v>995006</v>
      </c>
      <c r="B600" s="22" t="str">
        <f>IFERROR(VLOOKUP(A600,VLOOKUPS!$A:$B,2,FALSE), "")</f>
        <v>Italian Salad 9oz-standard</v>
      </c>
      <c r="D600" s="13">
        <v>44819</v>
      </c>
      <c r="F600" t="s">
        <v>764</v>
      </c>
      <c r="G600" t="s">
        <v>318</v>
      </c>
      <c r="H600" t="s">
        <v>4</v>
      </c>
      <c r="I600" s="25" t="s">
        <v>319</v>
      </c>
      <c r="M600" t="s">
        <v>790</v>
      </c>
    </row>
    <row r="601" spans="1:13" x14ac:dyDescent="0.35">
      <c r="A601">
        <v>995006</v>
      </c>
      <c r="B601" s="22" t="str">
        <f>IFERROR(VLOOKUP(A601,VLOOKUPS!$A:$B,2,FALSE), "")</f>
        <v>Italian Salad 9oz-standard</v>
      </c>
      <c r="D601" s="13">
        <v>44819</v>
      </c>
      <c r="F601" t="s">
        <v>764</v>
      </c>
      <c r="G601" t="s">
        <v>318</v>
      </c>
      <c r="H601" t="s">
        <v>5</v>
      </c>
      <c r="I601" s="25" t="s">
        <v>319</v>
      </c>
      <c r="M601" t="s">
        <v>790</v>
      </c>
    </row>
    <row r="602" spans="1:13" x14ac:dyDescent="0.35">
      <c r="A602">
        <v>995008</v>
      </c>
      <c r="B602" s="22" t="str">
        <f>IFERROR(VLOOKUP(A602,VLOOKUPS!$A:$B,2,FALSE), "")</f>
        <v>Shredded Lettuce 8oz-standard</v>
      </c>
      <c r="D602" s="13">
        <v>44819</v>
      </c>
      <c r="F602" t="s">
        <v>764</v>
      </c>
      <c r="G602" t="s">
        <v>318</v>
      </c>
      <c r="H602" t="s">
        <v>6</v>
      </c>
      <c r="I602" s="25" t="s">
        <v>319</v>
      </c>
      <c r="M602" t="s">
        <v>790</v>
      </c>
    </row>
    <row r="603" spans="1:13" x14ac:dyDescent="0.35">
      <c r="A603">
        <v>995008</v>
      </c>
      <c r="B603" s="22" t="str">
        <f>IFERROR(VLOOKUP(A603,VLOOKUPS!$A:$B,2,FALSE), "")</f>
        <v>Shredded Lettuce 8oz-standard</v>
      </c>
      <c r="D603" s="13">
        <v>44819</v>
      </c>
      <c r="F603" t="s">
        <v>764</v>
      </c>
      <c r="G603" t="s">
        <v>318</v>
      </c>
      <c r="H603" t="s">
        <v>4</v>
      </c>
      <c r="I603" s="25" t="s">
        <v>319</v>
      </c>
      <c r="M603" t="s">
        <v>790</v>
      </c>
    </row>
    <row r="604" spans="1:13" x14ac:dyDescent="0.35">
      <c r="A604">
        <v>995008</v>
      </c>
      <c r="B604" s="22" t="str">
        <f>IFERROR(VLOOKUP(A604,VLOOKUPS!$A:$B,2,FALSE), "")</f>
        <v>Shredded Lettuce 8oz-standard</v>
      </c>
      <c r="D604" s="13">
        <v>44819</v>
      </c>
      <c r="F604" t="s">
        <v>764</v>
      </c>
      <c r="G604" t="s">
        <v>318</v>
      </c>
      <c r="H604" t="s">
        <v>5</v>
      </c>
      <c r="I604" s="25" t="s">
        <v>319</v>
      </c>
      <c r="M604" t="s">
        <v>790</v>
      </c>
    </row>
    <row r="605" spans="1:13" x14ac:dyDescent="0.35">
      <c r="A605">
        <v>995009</v>
      </c>
      <c r="B605" s="22" t="str">
        <f>IFERROR(VLOOKUP(A605,VLOOKUPS!$A:$B,2,FALSE), "")</f>
        <v>Classic Coleslaw 14oz-standard</v>
      </c>
      <c r="D605" s="13">
        <v>44819</v>
      </c>
      <c r="F605" t="s">
        <v>764</v>
      </c>
      <c r="G605" t="s">
        <v>318</v>
      </c>
      <c r="H605" t="s">
        <v>6</v>
      </c>
      <c r="I605" s="25" t="s">
        <v>319</v>
      </c>
      <c r="M605" t="s">
        <v>790</v>
      </c>
    </row>
    <row r="606" spans="1:13" x14ac:dyDescent="0.35">
      <c r="A606">
        <v>995009</v>
      </c>
      <c r="B606" s="22" t="str">
        <f>IFERROR(VLOOKUP(A606,VLOOKUPS!$A:$B,2,FALSE), "")</f>
        <v>Classic Coleslaw 14oz-standard</v>
      </c>
      <c r="D606" s="13">
        <v>44819</v>
      </c>
      <c r="F606" t="s">
        <v>764</v>
      </c>
      <c r="G606" t="s">
        <v>318</v>
      </c>
      <c r="H606" t="s">
        <v>4</v>
      </c>
      <c r="I606" s="25" t="s">
        <v>319</v>
      </c>
      <c r="M606" t="s">
        <v>790</v>
      </c>
    </row>
    <row r="607" spans="1:13" x14ac:dyDescent="0.35">
      <c r="A607">
        <v>995009</v>
      </c>
      <c r="B607" s="22" t="str">
        <f>IFERROR(VLOOKUP(A607,VLOOKUPS!$A:$B,2,FALSE), "")</f>
        <v>Classic Coleslaw 14oz-standard</v>
      </c>
      <c r="D607" s="13">
        <v>44819</v>
      </c>
      <c r="F607" t="s">
        <v>764</v>
      </c>
      <c r="G607" t="s">
        <v>318</v>
      </c>
      <c r="H607" t="s">
        <v>5</v>
      </c>
      <c r="I607" s="25" t="s">
        <v>319</v>
      </c>
      <c r="M607" t="s">
        <v>790</v>
      </c>
    </row>
    <row r="608" spans="1:13" x14ac:dyDescent="0.35">
      <c r="A608">
        <v>995011</v>
      </c>
      <c r="B608" s="22" t="str">
        <f>IFERROR(VLOOKUP(A608,VLOOKUPS!$A:$B,2,FALSE), "")</f>
        <v>RTE Santa Fe Salad 6.25oz-standard</v>
      </c>
      <c r="D608" s="13">
        <v>44819</v>
      </c>
      <c r="F608" t="s">
        <v>764</v>
      </c>
      <c r="G608" t="s">
        <v>318</v>
      </c>
      <c r="H608" t="s">
        <v>6</v>
      </c>
      <c r="I608" s="25" t="s">
        <v>319</v>
      </c>
      <c r="M608" t="s">
        <v>790</v>
      </c>
    </row>
    <row r="609" spans="1:13" x14ac:dyDescent="0.35">
      <c r="A609">
        <v>995011</v>
      </c>
      <c r="B609" s="22" t="str">
        <f>IFERROR(VLOOKUP(A609,VLOOKUPS!$A:$B,2,FALSE), "")</f>
        <v>RTE Santa Fe Salad 6.25oz-standard</v>
      </c>
      <c r="D609" s="13">
        <v>44819</v>
      </c>
      <c r="F609" t="s">
        <v>764</v>
      </c>
      <c r="G609" t="s">
        <v>318</v>
      </c>
      <c r="H609" t="s">
        <v>4</v>
      </c>
      <c r="I609" s="25" t="s">
        <v>319</v>
      </c>
      <c r="M609" t="s">
        <v>790</v>
      </c>
    </row>
    <row r="610" spans="1:13" x14ac:dyDescent="0.35">
      <c r="A610">
        <v>995011</v>
      </c>
      <c r="B610" s="22" t="str">
        <f>IFERROR(VLOOKUP(A610,VLOOKUPS!$A:$B,2,FALSE), "")</f>
        <v>RTE Santa Fe Salad 6.25oz-standard</v>
      </c>
      <c r="D610" s="13">
        <v>44819</v>
      </c>
      <c r="F610" t="s">
        <v>764</v>
      </c>
      <c r="G610" t="s">
        <v>318</v>
      </c>
      <c r="H610" t="s">
        <v>5</v>
      </c>
      <c r="I610" s="25" t="s">
        <v>319</v>
      </c>
      <c r="M610" t="s">
        <v>790</v>
      </c>
    </row>
    <row r="611" spans="1:13" x14ac:dyDescent="0.35">
      <c r="A611">
        <v>995012</v>
      </c>
      <c r="B611" s="22" t="str">
        <f>IFERROR(VLOOKUP(A611,VLOOKUPS!$A:$B,2,FALSE), "")</f>
        <v>RTE Cranberry Walnut Salad 4.5oz-standard</v>
      </c>
      <c r="D611" s="13">
        <v>44819</v>
      </c>
      <c r="F611" t="s">
        <v>764</v>
      </c>
      <c r="G611" t="s">
        <v>318</v>
      </c>
      <c r="H611" t="s">
        <v>6</v>
      </c>
      <c r="I611" s="25" t="s">
        <v>319</v>
      </c>
      <c r="M611" t="s">
        <v>790</v>
      </c>
    </row>
    <row r="612" spans="1:13" x14ac:dyDescent="0.35">
      <c r="A612">
        <v>995012</v>
      </c>
      <c r="B612" s="22" t="str">
        <f>IFERROR(VLOOKUP(A612,VLOOKUPS!$A:$B,2,FALSE), "")</f>
        <v>RTE Cranberry Walnut Salad 4.5oz-standard</v>
      </c>
      <c r="D612" s="13">
        <v>44819</v>
      </c>
      <c r="F612" t="s">
        <v>764</v>
      </c>
      <c r="G612" t="s">
        <v>318</v>
      </c>
      <c r="H612" t="s">
        <v>4</v>
      </c>
      <c r="I612" s="25" t="s">
        <v>319</v>
      </c>
      <c r="M612" t="s">
        <v>790</v>
      </c>
    </row>
    <row r="613" spans="1:13" x14ac:dyDescent="0.35">
      <c r="A613">
        <v>995012</v>
      </c>
      <c r="B613" s="22" t="str">
        <f>IFERROR(VLOOKUP(A613,VLOOKUPS!$A:$B,2,FALSE), "")</f>
        <v>RTE Cranberry Walnut Salad 4.5oz-standard</v>
      </c>
      <c r="D613" s="13">
        <v>44819</v>
      </c>
      <c r="F613" t="s">
        <v>764</v>
      </c>
      <c r="G613" t="s">
        <v>318</v>
      </c>
      <c r="H613" t="s">
        <v>5</v>
      </c>
      <c r="I613" s="25" t="s">
        <v>319</v>
      </c>
      <c r="M613" t="s">
        <v>790</v>
      </c>
    </row>
    <row r="614" spans="1:13" x14ac:dyDescent="0.35">
      <c r="A614">
        <v>995014</v>
      </c>
      <c r="B614" s="22" t="str">
        <f>IFERROR(VLOOKUP(A614,VLOOKUPS!$A:$B,2,FALSE), "")</f>
        <v>RTE Café Style Chef Salad 7.65oz-standard</v>
      </c>
      <c r="D614" s="13">
        <v>44819</v>
      </c>
      <c r="F614" t="s">
        <v>764</v>
      </c>
      <c r="G614" t="s">
        <v>318</v>
      </c>
      <c r="H614" t="s">
        <v>6</v>
      </c>
      <c r="I614" s="25" t="s">
        <v>319</v>
      </c>
      <c r="M614" t="s">
        <v>790</v>
      </c>
    </row>
    <row r="615" spans="1:13" x14ac:dyDescent="0.35">
      <c r="A615">
        <v>995014</v>
      </c>
      <c r="B615" s="22" t="str">
        <f>IFERROR(VLOOKUP(A615,VLOOKUPS!$A:$B,2,FALSE), "")</f>
        <v>RTE Café Style Chef Salad 7.65oz-standard</v>
      </c>
      <c r="D615" s="13">
        <v>44819</v>
      </c>
      <c r="F615" t="s">
        <v>764</v>
      </c>
      <c r="G615" t="s">
        <v>318</v>
      </c>
      <c r="H615" t="s">
        <v>4</v>
      </c>
      <c r="I615" s="25" t="s">
        <v>319</v>
      </c>
      <c r="M615" t="s">
        <v>790</v>
      </c>
    </row>
    <row r="616" spans="1:13" x14ac:dyDescent="0.35">
      <c r="A616">
        <v>995014</v>
      </c>
      <c r="B616" s="22" t="str">
        <f>IFERROR(VLOOKUP(A616,VLOOKUPS!$A:$B,2,FALSE), "")</f>
        <v>RTE Café Style Chef Salad 7.65oz-standard</v>
      </c>
      <c r="D616" s="13">
        <v>44819</v>
      </c>
      <c r="F616" t="s">
        <v>764</v>
      </c>
      <c r="G616" t="s">
        <v>318</v>
      </c>
      <c r="H616" t="s">
        <v>5</v>
      </c>
      <c r="I616" s="25" t="s">
        <v>319</v>
      </c>
      <c r="M616" t="s">
        <v>790</v>
      </c>
    </row>
    <row r="617" spans="1:13" x14ac:dyDescent="0.35">
      <c r="A617">
        <v>995015</v>
      </c>
      <c r="B617" s="22" t="str">
        <f>IFERROR(VLOOKUP(A617,VLOOKUPS!$A:$B,2,FALSE), "")</f>
        <v>Savory Spinach Dijon Salad 4.9oz-standard</v>
      </c>
      <c r="D617" s="13">
        <v>44819</v>
      </c>
      <c r="F617" t="s">
        <v>764</v>
      </c>
      <c r="G617" t="s">
        <v>318</v>
      </c>
      <c r="H617" t="s">
        <v>6</v>
      </c>
      <c r="I617" s="25" t="s">
        <v>319</v>
      </c>
      <c r="M617" t="s">
        <v>790</v>
      </c>
    </row>
    <row r="618" spans="1:13" x14ac:dyDescent="0.35">
      <c r="A618">
        <v>995015</v>
      </c>
      <c r="B618" s="22" t="str">
        <f>IFERROR(VLOOKUP(A618,VLOOKUPS!$A:$B,2,FALSE), "")</f>
        <v>Savory Spinach Dijon Salad 4.9oz-standard</v>
      </c>
      <c r="D618" s="13">
        <v>44819</v>
      </c>
      <c r="F618" t="s">
        <v>764</v>
      </c>
      <c r="G618" t="s">
        <v>318</v>
      </c>
      <c r="H618" t="s">
        <v>4</v>
      </c>
      <c r="I618" s="25" t="s">
        <v>319</v>
      </c>
      <c r="M618" t="s">
        <v>790</v>
      </c>
    </row>
    <row r="619" spans="1:13" x14ac:dyDescent="0.35">
      <c r="A619">
        <v>995015</v>
      </c>
      <c r="B619" s="22" t="str">
        <f>IFERROR(VLOOKUP(A619,VLOOKUPS!$A:$B,2,FALSE), "")</f>
        <v>Savory Spinach Dijon Salad 4.9oz-standard</v>
      </c>
      <c r="D619" s="13">
        <v>44819</v>
      </c>
      <c r="F619" t="s">
        <v>764</v>
      </c>
      <c r="G619" t="s">
        <v>318</v>
      </c>
      <c r="H619" t="s">
        <v>5</v>
      </c>
      <c r="I619" s="25" t="s">
        <v>319</v>
      </c>
      <c r="M619" t="s">
        <v>790</v>
      </c>
    </row>
    <row r="620" spans="1:13" x14ac:dyDescent="0.35">
      <c r="A620">
        <v>995018</v>
      </c>
      <c r="B620" s="22" t="str">
        <f>IFERROR(VLOOKUP(A620,VLOOKUPS!$A:$B,2,FALSE), "")</f>
        <v>RTE Large Chicken Caesar Salad 13.1oz-standard</v>
      </c>
      <c r="D620" s="13">
        <v>44819</v>
      </c>
      <c r="F620" t="s">
        <v>764</v>
      </c>
      <c r="G620" t="s">
        <v>318</v>
      </c>
      <c r="H620" t="s">
        <v>6</v>
      </c>
      <c r="I620" s="25" t="s">
        <v>319</v>
      </c>
      <c r="M620" t="s">
        <v>790</v>
      </c>
    </row>
    <row r="621" spans="1:13" x14ac:dyDescent="0.35">
      <c r="A621">
        <v>995018</v>
      </c>
      <c r="B621" s="22" t="str">
        <f>IFERROR(VLOOKUP(A621,VLOOKUPS!$A:$B,2,FALSE), "")</f>
        <v>RTE Large Chicken Caesar Salad 13.1oz-standard</v>
      </c>
      <c r="D621" s="13">
        <v>44819</v>
      </c>
      <c r="F621" t="s">
        <v>764</v>
      </c>
      <c r="G621" t="s">
        <v>318</v>
      </c>
      <c r="H621" t="s">
        <v>4</v>
      </c>
      <c r="I621" s="25" t="s">
        <v>319</v>
      </c>
      <c r="M621" t="s">
        <v>790</v>
      </c>
    </row>
    <row r="622" spans="1:13" x14ac:dyDescent="0.35">
      <c r="A622">
        <v>995018</v>
      </c>
      <c r="B622" s="22" t="str">
        <f>IFERROR(VLOOKUP(A622,VLOOKUPS!$A:$B,2,FALSE), "")</f>
        <v>RTE Large Chicken Caesar Salad 13.1oz-standard</v>
      </c>
      <c r="D622" s="13">
        <v>44819</v>
      </c>
      <c r="F622" t="s">
        <v>790</v>
      </c>
      <c r="G622" t="s">
        <v>318</v>
      </c>
      <c r="H622" t="s">
        <v>5</v>
      </c>
      <c r="I622" s="25" t="s">
        <v>319</v>
      </c>
      <c r="M622" t="s">
        <v>790</v>
      </c>
    </row>
    <row r="623" spans="1:13" x14ac:dyDescent="0.35">
      <c r="A623">
        <v>995019</v>
      </c>
      <c r="B623" s="22" t="str">
        <f>IFERROR(VLOOKUP(A623,VLOOKUPS!$A:$B,2,FALSE), "")</f>
        <v>RTE Large Santa Fe Salad 14oz-standard</v>
      </c>
      <c r="D623" s="13">
        <v>44819</v>
      </c>
      <c r="F623" t="s">
        <v>764</v>
      </c>
      <c r="G623" t="s">
        <v>318</v>
      </c>
      <c r="H623" t="s">
        <v>6</v>
      </c>
      <c r="I623" s="25" t="s">
        <v>319</v>
      </c>
      <c r="M623" t="s">
        <v>790</v>
      </c>
    </row>
    <row r="624" spans="1:13" x14ac:dyDescent="0.35">
      <c r="A624">
        <v>995019</v>
      </c>
      <c r="B624" s="22" t="str">
        <f>IFERROR(VLOOKUP(A624,VLOOKUPS!$A:$B,2,FALSE), "")</f>
        <v>RTE Large Santa Fe Salad 14oz-standard</v>
      </c>
      <c r="D624" s="13">
        <v>44819</v>
      </c>
      <c r="F624" t="s">
        <v>764</v>
      </c>
      <c r="G624" t="s">
        <v>318</v>
      </c>
      <c r="H624" t="s">
        <v>4</v>
      </c>
      <c r="I624" s="25" t="s">
        <v>319</v>
      </c>
      <c r="M624" t="s">
        <v>790</v>
      </c>
    </row>
    <row r="625" spans="1:13" x14ac:dyDescent="0.35">
      <c r="A625">
        <v>995019</v>
      </c>
      <c r="B625" s="22" t="str">
        <f>IFERROR(VLOOKUP(A625,VLOOKUPS!$A:$B,2,FALSE), "")</f>
        <v>RTE Large Santa Fe Salad 14oz-standard</v>
      </c>
      <c r="D625" s="13">
        <v>44819</v>
      </c>
      <c r="F625" t="s">
        <v>764</v>
      </c>
      <c r="G625" t="s">
        <v>318</v>
      </c>
      <c r="H625" t="s">
        <v>5</v>
      </c>
      <c r="I625" s="25" t="s">
        <v>319</v>
      </c>
      <c r="M625" t="s">
        <v>790</v>
      </c>
    </row>
    <row r="626" spans="1:13" x14ac:dyDescent="0.35">
      <c r="A626">
        <v>995021</v>
      </c>
      <c r="B626" s="22" t="str">
        <f>IFERROR(VLOOKUP(A626,VLOOKUPS!$A:$B,2,FALSE), "")</f>
        <v>Chopped Bacon Caesar Kit 10.2oz-standard</v>
      </c>
      <c r="D626" s="13">
        <v>44819</v>
      </c>
      <c r="F626" t="s">
        <v>764</v>
      </c>
      <c r="G626" t="s">
        <v>318</v>
      </c>
      <c r="H626" t="s">
        <v>6</v>
      </c>
      <c r="I626" s="25" t="s">
        <v>319</v>
      </c>
      <c r="M626" t="s">
        <v>790</v>
      </c>
    </row>
    <row r="627" spans="1:13" x14ac:dyDescent="0.35">
      <c r="A627">
        <v>995021</v>
      </c>
      <c r="B627" s="22" t="str">
        <f>IFERROR(VLOOKUP(A627,VLOOKUPS!$A:$B,2,FALSE), "")</f>
        <v>Chopped Bacon Caesar Kit 10.2oz-standard</v>
      </c>
      <c r="D627" s="13">
        <v>44819</v>
      </c>
      <c r="F627" t="s">
        <v>764</v>
      </c>
      <c r="G627" t="s">
        <v>318</v>
      </c>
      <c r="H627" t="s">
        <v>4</v>
      </c>
      <c r="I627" s="25" t="s">
        <v>319</v>
      </c>
      <c r="M627" t="s">
        <v>790</v>
      </c>
    </row>
    <row r="628" spans="1:13" x14ac:dyDescent="0.35">
      <c r="A628">
        <v>995021</v>
      </c>
      <c r="B628" s="22" t="str">
        <f>IFERROR(VLOOKUP(A628,VLOOKUPS!$A:$B,2,FALSE), "")</f>
        <v>Chopped Bacon Caesar Kit 10.2oz-standard</v>
      </c>
      <c r="D628" s="13">
        <v>44819</v>
      </c>
      <c r="F628" t="s">
        <v>764</v>
      </c>
      <c r="G628" t="s">
        <v>318</v>
      </c>
      <c r="H628" t="s">
        <v>5</v>
      </c>
      <c r="I628" s="25" t="s">
        <v>319</v>
      </c>
      <c r="M628" t="s">
        <v>790</v>
      </c>
    </row>
    <row r="629" spans="1:13" x14ac:dyDescent="0.35">
      <c r="A629">
        <v>995022</v>
      </c>
      <c r="B629" s="22" t="str">
        <f>IFERROR(VLOOKUP(A629,VLOOKUPS!$A:$B,2,FALSE), "")</f>
        <v>American Blend 12oz-standard</v>
      </c>
      <c r="D629" s="13">
        <v>44819</v>
      </c>
      <c r="F629" t="s">
        <v>764</v>
      </c>
      <c r="G629" t="s">
        <v>318</v>
      </c>
      <c r="H629" t="s">
        <v>6</v>
      </c>
      <c r="I629" s="25" t="s">
        <v>319</v>
      </c>
      <c r="M629" t="s">
        <v>790</v>
      </c>
    </row>
    <row r="630" spans="1:13" x14ac:dyDescent="0.35">
      <c r="A630">
        <v>995022</v>
      </c>
      <c r="B630" s="22" t="str">
        <f>IFERROR(VLOOKUP(A630,VLOOKUPS!$A:$B,2,FALSE), "")</f>
        <v>American Blend 12oz-standard</v>
      </c>
      <c r="D630" s="13">
        <v>44819</v>
      </c>
      <c r="F630" t="s">
        <v>764</v>
      </c>
      <c r="G630" t="s">
        <v>318</v>
      </c>
      <c r="H630" t="s">
        <v>4</v>
      </c>
      <c r="I630" s="25" t="s">
        <v>319</v>
      </c>
      <c r="M630" t="s">
        <v>790</v>
      </c>
    </row>
    <row r="631" spans="1:13" x14ac:dyDescent="0.35">
      <c r="A631">
        <v>995022</v>
      </c>
      <c r="B631" s="22" t="str">
        <f>IFERROR(VLOOKUP(A631,VLOOKUPS!$A:$B,2,FALSE), "")</f>
        <v>American Blend 12oz-standard</v>
      </c>
      <c r="D631" s="13">
        <v>44819</v>
      </c>
      <c r="F631" t="s">
        <v>764</v>
      </c>
      <c r="G631" t="s">
        <v>318</v>
      </c>
      <c r="H631" t="s">
        <v>5</v>
      </c>
      <c r="I631" s="25" t="s">
        <v>319</v>
      </c>
      <c r="M631" t="s">
        <v>790</v>
      </c>
    </row>
    <row r="632" spans="1:13" x14ac:dyDescent="0.35">
      <c r="A632">
        <v>995026</v>
      </c>
      <c r="B632" s="22" t="str">
        <f>IFERROR(VLOOKUP(A632,VLOOKUPS!$A:$B,2,FALSE), "")</f>
        <v>Baby Arugula 5oz-standard</v>
      </c>
      <c r="D632" s="13">
        <v>44819</v>
      </c>
      <c r="F632" t="s">
        <v>764</v>
      </c>
      <c r="G632" t="s">
        <v>318</v>
      </c>
      <c r="H632" t="s">
        <v>6</v>
      </c>
      <c r="I632" s="25" t="s">
        <v>319</v>
      </c>
      <c r="M632" t="s">
        <v>790</v>
      </c>
    </row>
    <row r="633" spans="1:13" x14ac:dyDescent="0.35">
      <c r="A633">
        <v>995026</v>
      </c>
      <c r="B633" s="22" t="str">
        <f>IFERROR(VLOOKUP(A633,VLOOKUPS!$A:$B,2,FALSE), "")</f>
        <v>Baby Arugula 5oz-standard</v>
      </c>
      <c r="D633" s="13">
        <v>44819</v>
      </c>
      <c r="F633" t="s">
        <v>764</v>
      </c>
      <c r="G633" t="s">
        <v>318</v>
      </c>
      <c r="H633" t="s">
        <v>4</v>
      </c>
      <c r="I633" s="25" t="s">
        <v>319</v>
      </c>
      <c r="M633" t="s">
        <v>790</v>
      </c>
    </row>
    <row r="634" spans="1:13" x14ac:dyDescent="0.35">
      <c r="A634">
        <v>995026</v>
      </c>
      <c r="B634" s="22" t="str">
        <f>IFERROR(VLOOKUP(A634,VLOOKUPS!$A:$B,2,FALSE), "")</f>
        <v>Baby Arugula 5oz-standard</v>
      </c>
      <c r="D634" s="13">
        <v>44819</v>
      </c>
      <c r="F634" t="s">
        <v>764</v>
      </c>
      <c r="G634" t="s">
        <v>318</v>
      </c>
      <c r="H634" t="s">
        <v>5</v>
      </c>
      <c r="I634" s="25" t="s">
        <v>319</v>
      </c>
      <c r="M634" t="s">
        <v>790</v>
      </c>
    </row>
    <row r="635" spans="1:13" x14ac:dyDescent="0.35">
      <c r="A635">
        <v>995027</v>
      </c>
      <c r="B635" s="22" t="str">
        <f>IFERROR(VLOOKUP(A635,VLOOKUPS!$A:$B,2,FALSE), "")</f>
        <v>XL Baby Spinach 16oz-standard</v>
      </c>
      <c r="D635" s="13">
        <v>44819</v>
      </c>
      <c r="F635" t="s">
        <v>764</v>
      </c>
      <c r="G635" t="s">
        <v>318</v>
      </c>
      <c r="H635" t="s">
        <v>6</v>
      </c>
      <c r="I635" s="25" t="s">
        <v>319</v>
      </c>
      <c r="M635" t="s">
        <v>790</v>
      </c>
    </row>
    <row r="636" spans="1:13" x14ac:dyDescent="0.35">
      <c r="A636">
        <v>995027</v>
      </c>
      <c r="B636" s="22" t="str">
        <f>IFERROR(VLOOKUP(A636,VLOOKUPS!$A:$B,2,FALSE), "")</f>
        <v>XL Baby Spinach 16oz-standard</v>
      </c>
      <c r="D636" s="13">
        <v>44819</v>
      </c>
      <c r="F636" t="s">
        <v>764</v>
      </c>
      <c r="G636" t="s">
        <v>318</v>
      </c>
      <c r="H636" t="s">
        <v>4</v>
      </c>
      <c r="I636" s="25" t="s">
        <v>319</v>
      </c>
      <c r="M636" t="s">
        <v>790</v>
      </c>
    </row>
    <row r="637" spans="1:13" x14ac:dyDescent="0.35">
      <c r="A637">
        <v>995027</v>
      </c>
      <c r="B637" s="22" t="str">
        <f>IFERROR(VLOOKUP(A637,VLOOKUPS!$A:$B,2,FALSE), "")</f>
        <v>XL Baby Spinach 16oz-standard</v>
      </c>
      <c r="D637" s="13">
        <v>44819</v>
      </c>
      <c r="F637" t="s">
        <v>764</v>
      </c>
      <c r="G637" t="s">
        <v>318</v>
      </c>
      <c r="H637" t="s">
        <v>5</v>
      </c>
      <c r="I637" s="25" t="s">
        <v>319</v>
      </c>
      <c r="M637" t="s">
        <v>790</v>
      </c>
    </row>
    <row r="638" spans="1:13" x14ac:dyDescent="0.35">
      <c r="A638">
        <v>995032</v>
      </c>
      <c r="B638" s="22" t="str">
        <f>IFERROR(VLOOKUP(A638,VLOOKUPS!$A:$B,2,FALSE), "")</f>
        <v>Chopped Sunflower Crunch Kit 12.2oz-standard</v>
      </c>
      <c r="D638" s="13">
        <v>44819</v>
      </c>
      <c r="F638" t="s">
        <v>764</v>
      </c>
      <c r="G638" t="s">
        <v>318</v>
      </c>
      <c r="H638" t="s">
        <v>6</v>
      </c>
      <c r="I638" s="25" t="s">
        <v>319</v>
      </c>
      <c r="M638" t="s">
        <v>790</v>
      </c>
    </row>
    <row r="639" spans="1:13" x14ac:dyDescent="0.35">
      <c r="A639">
        <v>995032</v>
      </c>
      <c r="B639" s="22" t="str">
        <f>IFERROR(VLOOKUP(A639,VLOOKUPS!$A:$B,2,FALSE), "")</f>
        <v>Chopped Sunflower Crunch Kit 12.2oz-standard</v>
      </c>
      <c r="D639" s="13">
        <v>44819</v>
      </c>
      <c r="F639" t="s">
        <v>764</v>
      </c>
      <c r="G639" t="s">
        <v>318</v>
      </c>
      <c r="H639" t="s">
        <v>4</v>
      </c>
      <c r="I639" s="25" t="s">
        <v>319</v>
      </c>
      <c r="M639" t="s">
        <v>790</v>
      </c>
    </row>
    <row r="640" spans="1:13" x14ac:dyDescent="0.35">
      <c r="A640">
        <v>995032</v>
      </c>
      <c r="B640" s="22" t="str">
        <f>IFERROR(VLOOKUP(A640,VLOOKUPS!$A:$B,2,FALSE), "")</f>
        <v>Chopped Sunflower Crunch Kit 12.2oz-standard</v>
      </c>
      <c r="D640" s="13">
        <v>44819</v>
      </c>
      <c r="F640" t="s">
        <v>764</v>
      </c>
      <c r="G640" t="s">
        <v>318</v>
      </c>
      <c r="H640" t="s">
        <v>5</v>
      </c>
      <c r="I640" s="25" t="s">
        <v>319</v>
      </c>
      <c r="M640" t="s">
        <v>790</v>
      </c>
    </row>
    <row r="641" spans="1:13" x14ac:dyDescent="0.35">
      <c r="A641">
        <v>995035</v>
      </c>
      <c r="B641" s="22" t="str">
        <f>IFERROR(VLOOKUP(A641,VLOOKUPS!$A:$B,2,FALSE), "")</f>
        <v>Kale Greens 16oz-standard</v>
      </c>
      <c r="D641" s="13">
        <v>44819</v>
      </c>
      <c r="F641" t="s">
        <v>764</v>
      </c>
      <c r="G641" t="s">
        <v>318</v>
      </c>
      <c r="H641" t="s">
        <v>6</v>
      </c>
      <c r="I641" s="25" t="s">
        <v>319</v>
      </c>
      <c r="M641" t="s">
        <v>790</v>
      </c>
    </row>
    <row r="642" spans="1:13" x14ac:dyDescent="0.35">
      <c r="A642">
        <v>995035</v>
      </c>
      <c r="B642" s="22" t="str">
        <f>IFERROR(VLOOKUP(A642,VLOOKUPS!$A:$B,2,FALSE), "")</f>
        <v>Kale Greens 16oz-standard</v>
      </c>
      <c r="D642" s="13">
        <v>44819</v>
      </c>
      <c r="F642" t="s">
        <v>764</v>
      </c>
      <c r="G642" t="s">
        <v>318</v>
      </c>
      <c r="H642" t="s">
        <v>4</v>
      </c>
      <c r="I642" s="25" t="s">
        <v>319</v>
      </c>
      <c r="M642" t="s">
        <v>790</v>
      </c>
    </row>
    <row r="643" spans="1:13" x14ac:dyDescent="0.35">
      <c r="A643">
        <v>995035</v>
      </c>
      <c r="B643" s="22" t="str">
        <f>IFERROR(VLOOKUP(A643,VLOOKUPS!$A:$B,2,FALSE), "")</f>
        <v>Kale Greens 16oz-standard</v>
      </c>
      <c r="D643" s="13">
        <v>44819</v>
      </c>
      <c r="F643" t="s">
        <v>764</v>
      </c>
      <c r="G643" t="s">
        <v>318</v>
      </c>
      <c r="H643" t="s">
        <v>5</v>
      </c>
      <c r="I643" s="25" t="s">
        <v>319</v>
      </c>
      <c r="M643" t="s">
        <v>790</v>
      </c>
    </row>
    <row r="644" spans="1:13" x14ac:dyDescent="0.35">
      <c r="A644">
        <v>995041</v>
      </c>
      <c r="B644" s="22" t="str">
        <f>IFERROR(VLOOKUP(A644,VLOOKUPS!$A:$B,2,FALSE), "")</f>
        <v>Pineapple Spears 16oz-standard</v>
      </c>
      <c r="D644" s="13">
        <v>44819</v>
      </c>
      <c r="F644" t="s">
        <v>764</v>
      </c>
      <c r="G644" t="s">
        <v>318</v>
      </c>
      <c r="H644" t="s">
        <v>6</v>
      </c>
      <c r="I644" s="25" t="s">
        <v>319</v>
      </c>
      <c r="M644" t="s">
        <v>790</v>
      </c>
    </row>
    <row r="645" spans="1:13" x14ac:dyDescent="0.35">
      <c r="A645">
        <v>995041</v>
      </c>
      <c r="B645" s="22" t="str">
        <f>IFERROR(VLOOKUP(A645,VLOOKUPS!$A:$B,2,FALSE), "")</f>
        <v>Pineapple Spears 16oz-standard</v>
      </c>
      <c r="D645" s="13">
        <v>44819</v>
      </c>
      <c r="F645" t="s">
        <v>764</v>
      </c>
      <c r="G645" t="s">
        <v>318</v>
      </c>
      <c r="H645" t="s">
        <v>4</v>
      </c>
      <c r="I645" s="25" t="s">
        <v>319</v>
      </c>
      <c r="M645" t="s">
        <v>790</v>
      </c>
    </row>
    <row r="646" spans="1:13" x14ac:dyDescent="0.35">
      <c r="A646">
        <v>995041</v>
      </c>
      <c r="B646" s="22" t="str">
        <f>IFERROR(VLOOKUP(A646,VLOOKUPS!$A:$B,2,FALSE), "")</f>
        <v>Pineapple Spears 16oz-standard</v>
      </c>
      <c r="D646" s="13">
        <v>44819</v>
      </c>
      <c r="F646" t="s">
        <v>764</v>
      </c>
      <c r="G646" t="s">
        <v>318</v>
      </c>
      <c r="H646" t="s">
        <v>5</v>
      </c>
      <c r="I646" s="25" t="s">
        <v>319</v>
      </c>
      <c r="M646" t="s">
        <v>790</v>
      </c>
    </row>
    <row r="647" spans="1:13" x14ac:dyDescent="0.35">
      <c r="A647">
        <v>995042</v>
      </c>
      <c r="B647" s="22" t="str">
        <f>IFERROR(VLOOKUP(A647,VLOOKUPS!$A:$B,2,FALSE), "")</f>
        <v>Mango Chunks 16oz-standard</v>
      </c>
      <c r="D647" s="13">
        <v>44819</v>
      </c>
      <c r="F647" t="s">
        <v>764</v>
      </c>
      <c r="G647" t="s">
        <v>318</v>
      </c>
      <c r="H647" t="s">
        <v>6</v>
      </c>
      <c r="I647" s="25" t="s">
        <v>319</v>
      </c>
      <c r="M647" t="s">
        <v>790</v>
      </c>
    </row>
    <row r="648" spans="1:13" x14ac:dyDescent="0.35">
      <c r="A648">
        <v>995042</v>
      </c>
      <c r="B648" s="22" t="str">
        <f>IFERROR(VLOOKUP(A648,VLOOKUPS!$A:$B,2,FALSE), "")</f>
        <v>Mango Chunks 16oz-standard</v>
      </c>
      <c r="D648" s="13">
        <v>44819</v>
      </c>
      <c r="F648" t="s">
        <v>764</v>
      </c>
      <c r="G648" t="s">
        <v>318</v>
      </c>
      <c r="H648" t="s">
        <v>4</v>
      </c>
      <c r="I648" s="25" t="s">
        <v>319</v>
      </c>
      <c r="M648" t="s">
        <v>790</v>
      </c>
    </row>
    <row r="649" spans="1:13" x14ac:dyDescent="0.35">
      <c r="A649">
        <v>995042</v>
      </c>
      <c r="B649" s="22" t="str">
        <f>IFERROR(VLOOKUP(A649,VLOOKUPS!$A:$B,2,FALSE), "")</f>
        <v>Mango Chunks 16oz-standard</v>
      </c>
      <c r="D649" s="13">
        <v>44819</v>
      </c>
      <c r="F649" t="s">
        <v>764</v>
      </c>
      <c r="G649" t="s">
        <v>318</v>
      </c>
      <c r="H649" t="s">
        <v>5</v>
      </c>
      <c r="I649" s="25" t="s">
        <v>319</v>
      </c>
      <c r="M649" t="s">
        <v>790</v>
      </c>
    </row>
    <row r="650" spans="1:13" x14ac:dyDescent="0.35">
      <c r="A650">
        <v>995043</v>
      </c>
      <c r="B650" s="22" t="str">
        <f>IFERROR(VLOOKUP(A650,VLOOKUPS!$A:$B,2,FALSE), "")</f>
        <v>Watermelon Chunks 16oz-standard</v>
      </c>
      <c r="D650" s="13">
        <v>44819</v>
      </c>
      <c r="F650" t="s">
        <v>764</v>
      </c>
      <c r="G650" t="s">
        <v>318</v>
      </c>
      <c r="H650" t="s">
        <v>6</v>
      </c>
      <c r="I650" s="25" t="s">
        <v>319</v>
      </c>
      <c r="M650" t="s">
        <v>790</v>
      </c>
    </row>
    <row r="651" spans="1:13" x14ac:dyDescent="0.35">
      <c r="A651">
        <v>995043</v>
      </c>
      <c r="B651" s="22" t="str">
        <f>IFERROR(VLOOKUP(A651,VLOOKUPS!$A:$B,2,FALSE), "")</f>
        <v>Watermelon Chunks 16oz-standard</v>
      </c>
      <c r="D651" s="13">
        <v>44819</v>
      </c>
      <c r="F651" t="s">
        <v>764</v>
      </c>
      <c r="G651" t="s">
        <v>318</v>
      </c>
      <c r="H651" t="s">
        <v>4</v>
      </c>
      <c r="I651" s="25" t="s">
        <v>319</v>
      </c>
      <c r="M651" t="s">
        <v>790</v>
      </c>
    </row>
    <row r="652" spans="1:13" x14ac:dyDescent="0.35">
      <c r="A652">
        <v>995043</v>
      </c>
      <c r="B652" s="22" t="str">
        <f>IFERROR(VLOOKUP(A652,VLOOKUPS!$A:$B,2,FALSE), "")</f>
        <v>Watermelon Chunks 16oz-standard</v>
      </c>
      <c r="D652" s="13">
        <v>44819</v>
      </c>
      <c r="F652" t="s">
        <v>764</v>
      </c>
      <c r="G652" t="s">
        <v>318</v>
      </c>
      <c r="H652" t="s">
        <v>5</v>
      </c>
      <c r="I652" s="25" t="s">
        <v>319</v>
      </c>
      <c r="M652" t="s">
        <v>790</v>
      </c>
    </row>
    <row r="653" spans="1:13" x14ac:dyDescent="0.35">
      <c r="A653">
        <v>995045</v>
      </c>
      <c r="B653" s="22" t="str">
        <f>IFERROR(VLOOKUP(A653,VLOOKUPS!$A:$B,2,FALSE), "")</f>
        <v>Fajita Blend 12oz-standard</v>
      </c>
      <c r="D653" s="13">
        <v>44819</v>
      </c>
      <c r="F653" t="s">
        <v>764</v>
      </c>
      <c r="G653" t="s">
        <v>318</v>
      </c>
      <c r="H653" t="s">
        <v>6</v>
      </c>
      <c r="I653" s="25" t="s">
        <v>319</v>
      </c>
      <c r="M653" t="s">
        <v>790</v>
      </c>
    </row>
    <row r="654" spans="1:13" x14ac:dyDescent="0.35">
      <c r="A654">
        <v>995045</v>
      </c>
      <c r="B654" s="22" t="str">
        <f>IFERROR(VLOOKUP(A654,VLOOKUPS!$A:$B,2,FALSE), "")</f>
        <v>Fajita Blend 12oz-standard</v>
      </c>
      <c r="D654" s="13">
        <v>44819</v>
      </c>
      <c r="F654" t="s">
        <v>764</v>
      </c>
      <c r="G654" t="s">
        <v>318</v>
      </c>
      <c r="H654" t="s">
        <v>4</v>
      </c>
      <c r="I654" s="25" t="s">
        <v>319</v>
      </c>
      <c r="M654" t="s">
        <v>790</v>
      </c>
    </row>
    <row r="655" spans="1:13" x14ac:dyDescent="0.35">
      <c r="A655">
        <v>995045</v>
      </c>
      <c r="B655" s="22" t="str">
        <f>IFERROR(VLOOKUP(A655,VLOOKUPS!$A:$B,2,FALSE), "")</f>
        <v>Fajita Blend 12oz-standard</v>
      </c>
      <c r="D655" s="13">
        <v>44819</v>
      </c>
      <c r="F655" t="s">
        <v>764</v>
      </c>
      <c r="G655" t="s">
        <v>318</v>
      </c>
      <c r="H655" t="s">
        <v>5</v>
      </c>
      <c r="I655" s="25" t="s">
        <v>319</v>
      </c>
      <c r="M655" t="s">
        <v>790</v>
      </c>
    </row>
    <row r="656" spans="1:13" x14ac:dyDescent="0.35">
      <c r="A656">
        <v>995046</v>
      </c>
      <c r="B656" s="22" t="str">
        <f>IFERROR(VLOOKUP(A656,VLOOKUPS!$A:$B,2,FALSE), "")</f>
        <v>Diced Onion 8oz-standard</v>
      </c>
      <c r="D656" s="13">
        <v>44819</v>
      </c>
      <c r="F656" t="s">
        <v>764</v>
      </c>
      <c r="G656" t="s">
        <v>318</v>
      </c>
      <c r="H656" t="s">
        <v>6</v>
      </c>
      <c r="I656" s="25" t="s">
        <v>319</v>
      </c>
      <c r="M656" t="s">
        <v>790</v>
      </c>
    </row>
    <row r="657" spans="1:13" x14ac:dyDescent="0.35">
      <c r="A657">
        <v>995046</v>
      </c>
      <c r="B657" s="22" t="str">
        <f>IFERROR(VLOOKUP(A657,VLOOKUPS!$A:$B,2,FALSE), "")</f>
        <v>Diced Onion 8oz-standard</v>
      </c>
      <c r="D657" s="13">
        <v>44819</v>
      </c>
      <c r="F657" t="s">
        <v>764</v>
      </c>
      <c r="G657" t="s">
        <v>318</v>
      </c>
      <c r="H657" t="s">
        <v>4</v>
      </c>
      <c r="I657" s="25" t="s">
        <v>319</v>
      </c>
      <c r="M657" t="s">
        <v>790</v>
      </c>
    </row>
    <row r="658" spans="1:13" x14ac:dyDescent="0.35">
      <c r="A658">
        <v>995046</v>
      </c>
      <c r="B658" s="22" t="str">
        <f>IFERROR(VLOOKUP(A658,VLOOKUPS!$A:$B,2,FALSE), "")</f>
        <v>Diced Onion 8oz-standard</v>
      </c>
      <c r="D658" s="13">
        <v>44819</v>
      </c>
      <c r="F658" t="s">
        <v>764</v>
      </c>
      <c r="G658" t="s">
        <v>318</v>
      </c>
      <c r="H658" t="s">
        <v>5</v>
      </c>
      <c r="I658" s="25" t="s">
        <v>319</v>
      </c>
      <c r="M658" t="s">
        <v>790</v>
      </c>
    </row>
    <row r="659" spans="1:13" x14ac:dyDescent="0.35">
      <c r="A659">
        <v>995051</v>
      </c>
      <c r="B659" s="22" t="str">
        <f>IFERROR(VLOOKUP(A659,VLOOKUPS!$A:$B,2,FALSE), "")</f>
        <v>Mild Fresh Chopped Salsa 16oz-standard</v>
      </c>
      <c r="D659" s="13">
        <v>44819</v>
      </c>
      <c r="F659" t="s">
        <v>764</v>
      </c>
      <c r="G659" t="s">
        <v>318</v>
      </c>
      <c r="H659" t="s">
        <v>6</v>
      </c>
      <c r="I659" s="25" t="s">
        <v>319</v>
      </c>
      <c r="M659" t="s">
        <v>790</v>
      </c>
    </row>
    <row r="660" spans="1:13" x14ac:dyDescent="0.35">
      <c r="A660">
        <v>995051</v>
      </c>
      <c r="B660" s="22" t="str">
        <f>IFERROR(VLOOKUP(A660,VLOOKUPS!$A:$B,2,FALSE), "")</f>
        <v>Mild Fresh Chopped Salsa 16oz-standard</v>
      </c>
      <c r="D660" s="13">
        <v>44819</v>
      </c>
      <c r="F660" t="s">
        <v>764</v>
      </c>
      <c r="G660" t="s">
        <v>318</v>
      </c>
      <c r="H660" t="s">
        <v>4</v>
      </c>
      <c r="I660" s="25" t="s">
        <v>319</v>
      </c>
      <c r="M660" t="s">
        <v>790</v>
      </c>
    </row>
    <row r="661" spans="1:13" x14ac:dyDescent="0.35">
      <c r="A661">
        <v>995051</v>
      </c>
      <c r="B661" s="22" t="str">
        <f>IFERROR(VLOOKUP(A661,VLOOKUPS!$A:$B,2,FALSE), "")</f>
        <v>Mild Fresh Chopped Salsa 16oz-standard</v>
      </c>
      <c r="D661" s="13">
        <v>44819</v>
      </c>
      <c r="F661" t="s">
        <v>764</v>
      </c>
      <c r="G661" t="s">
        <v>318</v>
      </c>
      <c r="H661" t="s">
        <v>5</v>
      </c>
      <c r="I661" s="25" t="s">
        <v>319</v>
      </c>
      <c r="M661" t="s">
        <v>790</v>
      </c>
    </row>
    <row r="662" spans="1:13" x14ac:dyDescent="0.35">
      <c r="A662">
        <v>995053</v>
      </c>
      <c r="B662" s="22" t="str">
        <f>IFERROR(VLOOKUP(A662,VLOOKUPS!$A:$B,2,FALSE), "")</f>
        <v>Fresh Chopped Salsa Pico 16oz-standard</v>
      </c>
      <c r="D662" s="13">
        <v>44819</v>
      </c>
      <c r="F662" t="s">
        <v>764</v>
      </c>
      <c r="G662" t="s">
        <v>318</v>
      </c>
      <c r="H662" t="s">
        <v>6</v>
      </c>
      <c r="I662" s="25" t="s">
        <v>319</v>
      </c>
      <c r="M662" t="s">
        <v>790</v>
      </c>
    </row>
    <row r="663" spans="1:13" x14ac:dyDescent="0.35">
      <c r="A663">
        <v>995053</v>
      </c>
      <c r="B663" s="22" t="str">
        <f>IFERROR(VLOOKUP(A663,VLOOKUPS!$A:$B,2,FALSE), "")</f>
        <v>Fresh Chopped Salsa Pico 16oz-standard</v>
      </c>
      <c r="D663" s="13">
        <v>44819</v>
      </c>
      <c r="F663" t="s">
        <v>764</v>
      </c>
      <c r="G663" t="s">
        <v>318</v>
      </c>
      <c r="H663" t="s">
        <v>4</v>
      </c>
      <c r="I663" s="25" t="s">
        <v>319</v>
      </c>
      <c r="M663" t="s">
        <v>790</v>
      </c>
    </row>
    <row r="664" spans="1:13" x14ac:dyDescent="0.35">
      <c r="A664">
        <v>995053</v>
      </c>
      <c r="B664" s="22" t="str">
        <f>IFERROR(VLOOKUP(A664,VLOOKUPS!$A:$B,2,FALSE), "")</f>
        <v>Fresh Chopped Salsa Pico 16oz-standard</v>
      </c>
      <c r="D664" s="13">
        <v>44819</v>
      </c>
      <c r="F664" t="s">
        <v>764</v>
      </c>
      <c r="G664" t="s">
        <v>318</v>
      </c>
      <c r="H664" t="s">
        <v>5</v>
      </c>
      <c r="I664" s="25" t="s">
        <v>319</v>
      </c>
      <c r="M664" t="s">
        <v>790</v>
      </c>
    </row>
    <row r="665" spans="1:13" x14ac:dyDescent="0.35">
      <c r="A665">
        <v>995067</v>
      </c>
      <c r="B665" s="22" t="str">
        <f>IFERROR(VLOOKUP(A665,VLOOKUPS!$A:$B,2,FALSE), "")</f>
        <v>Organic Baby Arugula 5oz-standard</v>
      </c>
      <c r="D665" s="13">
        <v>44819</v>
      </c>
      <c r="F665" t="s">
        <v>764</v>
      </c>
      <c r="G665" t="s">
        <v>318</v>
      </c>
      <c r="H665" t="s">
        <v>6</v>
      </c>
      <c r="I665" s="25" t="s">
        <v>319</v>
      </c>
      <c r="M665" t="s">
        <v>790</v>
      </c>
    </row>
    <row r="666" spans="1:13" x14ac:dyDescent="0.35">
      <c r="A666">
        <v>995067</v>
      </c>
      <c r="B666" s="22" t="str">
        <f>IFERROR(VLOOKUP(A666,VLOOKUPS!$A:$B,2,FALSE), "")</f>
        <v>Organic Baby Arugula 5oz-standard</v>
      </c>
      <c r="D666" s="13">
        <v>44819</v>
      </c>
      <c r="F666" t="s">
        <v>764</v>
      </c>
      <c r="G666" t="s">
        <v>318</v>
      </c>
      <c r="H666" t="s">
        <v>4</v>
      </c>
      <c r="I666" s="25" t="s">
        <v>319</v>
      </c>
      <c r="M666" t="s">
        <v>790</v>
      </c>
    </row>
    <row r="667" spans="1:13" x14ac:dyDescent="0.35">
      <c r="A667">
        <v>995067</v>
      </c>
      <c r="B667" s="22" t="str">
        <f>IFERROR(VLOOKUP(A667,VLOOKUPS!$A:$B,2,FALSE), "")</f>
        <v>Organic Baby Arugula 5oz-standard</v>
      </c>
      <c r="D667" s="13">
        <v>44819</v>
      </c>
      <c r="F667" t="s">
        <v>764</v>
      </c>
      <c r="G667" t="s">
        <v>318</v>
      </c>
      <c r="H667" t="s">
        <v>5</v>
      </c>
      <c r="I667" s="25" t="s">
        <v>319</v>
      </c>
      <c r="M667" t="s">
        <v>790</v>
      </c>
    </row>
    <row r="668" spans="1:13" x14ac:dyDescent="0.35">
      <c r="A668">
        <v>995068</v>
      </c>
      <c r="B668" s="22" t="str">
        <f>IFERROR(VLOOKUP(A668,VLOOKUPS!$A:$B,2,FALSE), "")</f>
        <v>Organic Half and Half 5oz-standard</v>
      </c>
      <c r="D668" s="13">
        <v>44819</v>
      </c>
      <c r="F668" t="s">
        <v>764</v>
      </c>
      <c r="G668" t="s">
        <v>318</v>
      </c>
      <c r="H668" t="s">
        <v>6</v>
      </c>
      <c r="I668" s="25" t="s">
        <v>319</v>
      </c>
      <c r="M668" t="s">
        <v>790</v>
      </c>
    </row>
    <row r="669" spans="1:13" x14ac:dyDescent="0.35">
      <c r="A669">
        <v>995068</v>
      </c>
      <c r="B669" s="22" t="str">
        <f>IFERROR(VLOOKUP(A669,VLOOKUPS!$A:$B,2,FALSE), "")</f>
        <v>Organic Half and Half 5oz-standard</v>
      </c>
      <c r="D669" s="13">
        <v>44819</v>
      </c>
      <c r="F669" t="s">
        <v>764</v>
      </c>
      <c r="G669" t="s">
        <v>318</v>
      </c>
      <c r="H669" t="s">
        <v>4</v>
      </c>
      <c r="I669" s="25" t="s">
        <v>319</v>
      </c>
      <c r="M669" t="s">
        <v>790</v>
      </c>
    </row>
    <row r="670" spans="1:13" x14ac:dyDescent="0.35">
      <c r="A670">
        <v>995068</v>
      </c>
      <c r="B670" s="22" t="str">
        <f>IFERROR(VLOOKUP(A670,VLOOKUPS!$A:$B,2,FALSE), "")</f>
        <v>Organic Half and Half 5oz-standard</v>
      </c>
      <c r="D670" s="13">
        <v>44819</v>
      </c>
      <c r="F670" t="s">
        <v>764</v>
      </c>
      <c r="G670" t="s">
        <v>318</v>
      </c>
      <c r="H670" t="s">
        <v>5</v>
      </c>
      <c r="I670" s="25" t="s">
        <v>319</v>
      </c>
      <c r="M670" t="s">
        <v>790</v>
      </c>
    </row>
    <row r="671" spans="1:13" x14ac:dyDescent="0.35">
      <c r="A671">
        <v>995069</v>
      </c>
      <c r="B671" s="22" t="str">
        <f>IFERROR(VLOOKUP(A671,VLOOKUPS!$A:$B,2,FALSE), "")</f>
        <v>Organic Baby Spinach 5oz-standard</v>
      </c>
      <c r="D671" s="13">
        <v>44819</v>
      </c>
      <c r="F671" t="s">
        <v>764</v>
      </c>
      <c r="G671" t="s">
        <v>318</v>
      </c>
      <c r="H671" t="s">
        <v>6</v>
      </c>
      <c r="I671" s="25" t="s">
        <v>319</v>
      </c>
      <c r="M671" t="s">
        <v>790</v>
      </c>
    </row>
    <row r="672" spans="1:13" x14ac:dyDescent="0.35">
      <c r="A672">
        <v>995069</v>
      </c>
      <c r="B672" s="22" t="str">
        <f>IFERROR(VLOOKUP(A672,VLOOKUPS!$A:$B,2,FALSE), "")</f>
        <v>Organic Baby Spinach 5oz-standard</v>
      </c>
      <c r="D672" s="13">
        <v>44819</v>
      </c>
      <c r="F672" t="s">
        <v>764</v>
      </c>
      <c r="G672" t="s">
        <v>318</v>
      </c>
      <c r="H672" t="s">
        <v>4</v>
      </c>
      <c r="I672" s="25" t="s">
        <v>319</v>
      </c>
      <c r="M672" t="s">
        <v>790</v>
      </c>
    </row>
    <row r="673" spans="1:13" x14ac:dyDescent="0.35">
      <c r="A673">
        <v>995069</v>
      </c>
      <c r="B673" s="22" t="str">
        <f>IFERROR(VLOOKUP(A673,VLOOKUPS!$A:$B,2,FALSE), "")</f>
        <v>Organic Baby Spinach 5oz-standard</v>
      </c>
      <c r="D673" s="13">
        <v>44819</v>
      </c>
      <c r="F673" t="s">
        <v>764</v>
      </c>
      <c r="G673" t="s">
        <v>318</v>
      </c>
      <c r="H673" t="s">
        <v>5</v>
      </c>
      <c r="I673" s="25" t="s">
        <v>319</v>
      </c>
      <c r="M673" t="s">
        <v>790</v>
      </c>
    </row>
    <row r="674" spans="1:13" x14ac:dyDescent="0.35">
      <c r="A674">
        <v>995070</v>
      </c>
      <c r="B674" s="22" t="str">
        <f>IFERROR(VLOOKUP(A674,VLOOKUPS!$A:$B,2,FALSE), "")</f>
        <v>Organic Baby Spring Mix 5oz-standard</v>
      </c>
      <c r="D674" s="13">
        <v>44819</v>
      </c>
      <c r="F674" t="s">
        <v>764</v>
      </c>
      <c r="G674" t="s">
        <v>318</v>
      </c>
      <c r="H674" t="s">
        <v>6</v>
      </c>
      <c r="I674" s="25" t="s">
        <v>319</v>
      </c>
      <c r="M674" t="s">
        <v>790</v>
      </c>
    </row>
    <row r="675" spans="1:13" x14ac:dyDescent="0.35">
      <c r="A675">
        <v>995070</v>
      </c>
      <c r="B675" s="22" t="str">
        <f>IFERROR(VLOOKUP(A675,VLOOKUPS!$A:$B,2,FALSE), "")</f>
        <v>Organic Baby Spring Mix 5oz-standard</v>
      </c>
      <c r="D675" s="13">
        <v>44819</v>
      </c>
      <c r="F675" t="s">
        <v>764</v>
      </c>
      <c r="G675" t="s">
        <v>318</v>
      </c>
      <c r="H675" t="s">
        <v>4</v>
      </c>
      <c r="I675" s="25" t="s">
        <v>319</v>
      </c>
      <c r="M675" t="s">
        <v>790</v>
      </c>
    </row>
    <row r="676" spans="1:13" x14ac:dyDescent="0.35">
      <c r="A676">
        <v>995070</v>
      </c>
      <c r="B676" s="22" t="str">
        <f>IFERROR(VLOOKUP(A676,VLOOKUPS!$A:$B,2,FALSE), "")</f>
        <v>Organic Baby Spring Mix 5oz-standard</v>
      </c>
      <c r="D676" s="13">
        <v>44819</v>
      </c>
      <c r="F676" t="s">
        <v>764</v>
      </c>
      <c r="G676" t="s">
        <v>318</v>
      </c>
      <c r="H676" t="s">
        <v>5</v>
      </c>
      <c r="I676" s="25" t="s">
        <v>319</v>
      </c>
      <c r="M676" t="s">
        <v>790</v>
      </c>
    </row>
    <row r="677" spans="1:13" x14ac:dyDescent="0.35">
      <c r="A677">
        <v>995071</v>
      </c>
      <c r="B677" s="22" t="str">
        <f>IFERROR(VLOOKUP(A677,VLOOKUPS!$A:$B,2,FALSE), "")</f>
        <v>Broccoli Florets 12oz-standard</v>
      </c>
      <c r="D677" s="13">
        <v>44819</v>
      </c>
      <c r="F677" t="s">
        <v>764</v>
      </c>
      <c r="G677" t="s">
        <v>318</v>
      </c>
      <c r="H677" t="s">
        <v>6</v>
      </c>
      <c r="I677" s="25" t="s">
        <v>319</v>
      </c>
      <c r="M677" t="s">
        <v>790</v>
      </c>
    </row>
    <row r="678" spans="1:13" x14ac:dyDescent="0.35">
      <c r="A678">
        <v>995071</v>
      </c>
      <c r="B678" s="22" t="str">
        <f>IFERROR(VLOOKUP(A678,VLOOKUPS!$A:$B,2,FALSE), "")</f>
        <v>Broccoli Florets 12oz-standard</v>
      </c>
      <c r="D678" s="13">
        <v>44819</v>
      </c>
      <c r="F678" t="s">
        <v>764</v>
      </c>
      <c r="G678" t="s">
        <v>318</v>
      </c>
      <c r="H678" t="s">
        <v>4</v>
      </c>
      <c r="I678" s="25" t="s">
        <v>319</v>
      </c>
      <c r="M678" t="s">
        <v>790</v>
      </c>
    </row>
    <row r="679" spans="1:13" x14ac:dyDescent="0.35">
      <c r="A679">
        <v>995071</v>
      </c>
      <c r="B679" s="22" t="str">
        <f>IFERROR(VLOOKUP(A679,VLOOKUPS!$A:$B,2,FALSE), "")</f>
        <v>Broccoli Florets 12oz-standard</v>
      </c>
      <c r="D679" s="13">
        <v>44819</v>
      </c>
      <c r="F679" t="s">
        <v>764</v>
      </c>
      <c r="G679" t="s">
        <v>318</v>
      </c>
      <c r="H679" t="s">
        <v>5</v>
      </c>
      <c r="I679" s="25" t="s">
        <v>319</v>
      </c>
      <c r="M679" t="s">
        <v>790</v>
      </c>
    </row>
    <row r="680" spans="1:13" x14ac:dyDescent="0.35">
      <c r="A680">
        <v>995072</v>
      </c>
      <c r="B680" s="22" t="str">
        <f>IFERROR(VLOOKUP(A680,VLOOKUPS!$A:$B,2,FALSE), "")</f>
        <v>Broccoli Coleslaw 12oz-standard</v>
      </c>
      <c r="D680" s="13">
        <v>44819</v>
      </c>
      <c r="F680" t="s">
        <v>764</v>
      </c>
      <c r="G680" t="s">
        <v>318</v>
      </c>
      <c r="H680" t="s">
        <v>6</v>
      </c>
      <c r="I680" s="25" t="s">
        <v>319</v>
      </c>
      <c r="M680" t="s">
        <v>790</v>
      </c>
    </row>
    <row r="681" spans="1:13" x14ac:dyDescent="0.35">
      <c r="A681">
        <v>995072</v>
      </c>
      <c r="B681" s="22" t="str">
        <f>IFERROR(VLOOKUP(A681,VLOOKUPS!$A:$B,2,FALSE), "")</f>
        <v>Broccoli Coleslaw 12oz-standard</v>
      </c>
      <c r="D681" s="13">
        <v>44819</v>
      </c>
      <c r="F681" t="s">
        <v>764</v>
      </c>
      <c r="G681" t="s">
        <v>318</v>
      </c>
      <c r="H681" t="s">
        <v>4</v>
      </c>
      <c r="I681" s="25" t="s">
        <v>319</v>
      </c>
      <c r="M681" t="s">
        <v>790</v>
      </c>
    </row>
    <row r="682" spans="1:13" x14ac:dyDescent="0.35">
      <c r="A682">
        <v>995072</v>
      </c>
      <c r="B682" s="22" t="str">
        <f>IFERROR(VLOOKUP(A682,VLOOKUPS!$A:$B,2,FALSE), "")</f>
        <v>Broccoli Coleslaw 12oz-standard</v>
      </c>
      <c r="D682" s="13">
        <v>44819</v>
      </c>
      <c r="F682" t="s">
        <v>764</v>
      </c>
      <c r="G682" t="s">
        <v>318</v>
      </c>
      <c r="H682" t="s">
        <v>5</v>
      </c>
      <c r="I682" s="25" t="s">
        <v>319</v>
      </c>
      <c r="M682" t="s">
        <v>790</v>
      </c>
    </row>
    <row r="683" spans="1:13" x14ac:dyDescent="0.35">
      <c r="A683">
        <v>995076</v>
      </c>
      <c r="B683" s="22" t="str">
        <f>IFERROR(VLOOKUP(A683,VLOOKUPS!$A:$B,2,FALSE), "")</f>
        <v>Organic Power Greens 5oz-standard</v>
      </c>
      <c r="D683" s="13">
        <v>44819</v>
      </c>
      <c r="F683" t="s">
        <v>764</v>
      </c>
      <c r="G683" t="s">
        <v>318</v>
      </c>
      <c r="H683" t="s">
        <v>6</v>
      </c>
      <c r="I683" s="25" t="s">
        <v>319</v>
      </c>
      <c r="M683" t="s">
        <v>790</v>
      </c>
    </row>
    <row r="684" spans="1:13" x14ac:dyDescent="0.35">
      <c r="A684">
        <v>995076</v>
      </c>
      <c r="B684" s="22" t="str">
        <f>IFERROR(VLOOKUP(A684,VLOOKUPS!$A:$B,2,FALSE), "")</f>
        <v>Organic Power Greens 5oz-standard</v>
      </c>
      <c r="D684" s="13">
        <v>44819</v>
      </c>
      <c r="F684" t="s">
        <v>764</v>
      </c>
      <c r="G684" t="s">
        <v>318</v>
      </c>
      <c r="H684" t="s">
        <v>4</v>
      </c>
      <c r="I684" s="25" t="s">
        <v>319</v>
      </c>
      <c r="M684" t="s">
        <v>790</v>
      </c>
    </row>
    <row r="685" spans="1:13" x14ac:dyDescent="0.35">
      <c r="A685">
        <v>995076</v>
      </c>
      <c r="B685" s="22" t="str">
        <f>IFERROR(VLOOKUP(A685,VLOOKUPS!$A:$B,2,FALSE), "")</f>
        <v>Organic Power Greens 5oz-standard</v>
      </c>
      <c r="D685" s="13">
        <v>44819</v>
      </c>
      <c r="F685" t="s">
        <v>764</v>
      </c>
      <c r="G685" t="s">
        <v>318</v>
      </c>
      <c r="H685" t="s">
        <v>5</v>
      </c>
      <c r="I685" s="25" t="s">
        <v>319</v>
      </c>
      <c r="M685" t="s">
        <v>790</v>
      </c>
    </row>
    <row r="686" spans="1:13" x14ac:dyDescent="0.35">
      <c r="A686">
        <v>995077</v>
      </c>
      <c r="B686" s="22" t="str">
        <f>IFERROR(VLOOKUP(A686,VLOOKUPS!$A:$B,2,FALSE), "")</f>
        <v>Organic Baby Spring Mix 16oz-standard</v>
      </c>
      <c r="D686" s="13">
        <v>44819</v>
      </c>
      <c r="F686" t="s">
        <v>764</v>
      </c>
      <c r="G686" t="s">
        <v>318</v>
      </c>
      <c r="H686" t="s">
        <v>6</v>
      </c>
      <c r="I686" s="25" t="s">
        <v>319</v>
      </c>
      <c r="M686" t="s">
        <v>790</v>
      </c>
    </row>
    <row r="687" spans="1:13" x14ac:dyDescent="0.35">
      <c r="A687">
        <v>995077</v>
      </c>
      <c r="B687" s="22" t="str">
        <f>IFERROR(VLOOKUP(A687,VLOOKUPS!$A:$B,2,FALSE), "")</f>
        <v>Organic Baby Spring Mix 16oz-standard</v>
      </c>
      <c r="D687" s="13">
        <v>44819</v>
      </c>
      <c r="F687" t="s">
        <v>764</v>
      </c>
      <c r="G687" t="s">
        <v>318</v>
      </c>
      <c r="H687" t="s">
        <v>4</v>
      </c>
      <c r="I687" s="25" t="s">
        <v>319</v>
      </c>
      <c r="M687" t="s">
        <v>790</v>
      </c>
    </row>
    <row r="688" spans="1:13" x14ac:dyDescent="0.35">
      <c r="A688">
        <v>995077</v>
      </c>
      <c r="B688" s="22" t="str">
        <f>IFERROR(VLOOKUP(A688,VLOOKUPS!$A:$B,2,FALSE), "")</f>
        <v>Organic Baby Spring Mix 16oz-standard</v>
      </c>
      <c r="D688" s="13">
        <v>44819</v>
      </c>
      <c r="F688" t="s">
        <v>764</v>
      </c>
      <c r="G688" t="s">
        <v>318</v>
      </c>
      <c r="H688" t="s">
        <v>5</v>
      </c>
      <c r="I688" s="25" t="s">
        <v>319</v>
      </c>
      <c r="M688" t="s">
        <v>790</v>
      </c>
    </row>
    <row r="689" spans="1:13" x14ac:dyDescent="0.35">
      <c r="A689">
        <v>995078</v>
      </c>
      <c r="B689" s="22" t="str">
        <f>IFERROR(VLOOKUP(A689,VLOOKUPS!$A:$B,2,FALSE), "")</f>
        <v>Organic Baby Spinach 16oz-standard</v>
      </c>
      <c r="D689" s="13">
        <v>44819</v>
      </c>
      <c r="F689" t="s">
        <v>764</v>
      </c>
      <c r="G689" t="s">
        <v>318</v>
      </c>
      <c r="H689" t="s">
        <v>6</v>
      </c>
      <c r="I689" s="25" t="s">
        <v>319</v>
      </c>
      <c r="M689" t="s">
        <v>790</v>
      </c>
    </row>
    <row r="690" spans="1:13" x14ac:dyDescent="0.35">
      <c r="A690">
        <v>995078</v>
      </c>
      <c r="B690" s="22" t="str">
        <f>IFERROR(VLOOKUP(A690,VLOOKUPS!$A:$B,2,FALSE), "")</f>
        <v>Organic Baby Spinach 16oz-standard</v>
      </c>
      <c r="D690" s="13">
        <v>44819</v>
      </c>
      <c r="F690" t="s">
        <v>764</v>
      </c>
      <c r="G690" t="s">
        <v>318</v>
      </c>
      <c r="H690" t="s">
        <v>4</v>
      </c>
      <c r="I690" s="25" t="s">
        <v>319</v>
      </c>
      <c r="M690" t="s">
        <v>790</v>
      </c>
    </row>
    <row r="691" spans="1:13" x14ac:dyDescent="0.35">
      <c r="A691">
        <v>995078</v>
      </c>
      <c r="B691" s="22" t="str">
        <f>IFERROR(VLOOKUP(A691,VLOOKUPS!$A:$B,2,FALSE), "")</f>
        <v>Organic Baby Spinach 16oz-standard</v>
      </c>
      <c r="D691" s="13">
        <v>44819</v>
      </c>
      <c r="F691" t="s">
        <v>764</v>
      </c>
      <c r="G691" t="s">
        <v>318</v>
      </c>
      <c r="H691" t="s">
        <v>5</v>
      </c>
      <c r="I691" s="25" t="s">
        <v>319</v>
      </c>
      <c r="M691" t="s">
        <v>790</v>
      </c>
    </row>
    <row r="692" spans="1:13" x14ac:dyDescent="0.35">
      <c r="A692">
        <v>995082</v>
      </c>
      <c r="B692" s="22" t="str">
        <f>IFERROR(VLOOKUP(A692,VLOOKUPS!$A:$B,2,FALSE), "")</f>
        <v>Melon Trio 16oz-standard</v>
      </c>
      <c r="D692" s="13">
        <v>44819</v>
      </c>
      <c r="F692" t="s">
        <v>764</v>
      </c>
      <c r="G692" t="s">
        <v>318</v>
      </c>
      <c r="H692" t="s">
        <v>6</v>
      </c>
      <c r="I692" s="25" t="s">
        <v>319</v>
      </c>
      <c r="M692" t="s">
        <v>790</v>
      </c>
    </row>
    <row r="693" spans="1:13" x14ac:dyDescent="0.35">
      <c r="A693">
        <v>995082</v>
      </c>
      <c r="B693" s="22" t="str">
        <f>IFERROR(VLOOKUP(A693,VLOOKUPS!$A:$B,2,FALSE), "")</f>
        <v>Melon Trio 16oz-standard</v>
      </c>
      <c r="D693" s="13">
        <v>44819</v>
      </c>
      <c r="F693" t="s">
        <v>764</v>
      </c>
      <c r="G693" t="s">
        <v>318</v>
      </c>
      <c r="H693" t="s">
        <v>4</v>
      </c>
      <c r="I693" s="25" t="s">
        <v>319</v>
      </c>
      <c r="M693" t="s">
        <v>790</v>
      </c>
    </row>
    <row r="694" spans="1:13" x14ac:dyDescent="0.35">
      <c r="A694">
        <v>995082</v>
      </c>
      <c r="B694" s="22" t="str">
        <f>IFERROR(VLOOKUP(A694,VLOOKUPS!$A:$B,2,FALSE), "")</f>
        <v>Melon Trio 16oz-standard</v>
      </c>
      <c r="D694" s="13">
        <v>44819</v>
      </c>
      <c r="F694" t="s">
        <v>764</v>
      </c>
      <c r="G694" t="s">
        <v>318</v>
      </c>
      <c r="H694" t="s">
        <v>5</v>
      </c>
      <c r="I694" s="25" t="s">
        <v>319</v>
      </c>
      <c r="M694" t="s">
        <v>790</v>
      </c>
    </row>
    <row r="695" spans="1:13" x14ac:dyDescent="0.35">
      <c r="A695">
        <v>995084</v>
      </c>
      <c r="B695" s="22" t="str">
        <f>IFERROR(VLOOKUP(A695,VLOOKUPS!$A:$B,2,FALSE), "")</f>
        <v>Eat Smart Green Beans 12oz-standard</v>
      </c>
      <c r="D695" s="13">
        <v>44819</v>
      </c>
      <c r="F695" t="s">
        <v>764</v>
      </c>
      <c r="G695" t="s">
        <v>318</v>
      </c>
      <c r="H695" t="s">
        <v>6</v>
      </c>
      <c r="I695" s="25" t="s">
        <v>319</v>
      </c>
      <c r="M695" t="s">
        <v>790</v>
      </c>
    </row>
    <row r="696" spans="1:13" x14ac:dyDescent="0.35">
      <c r="A696">
        <v>995084</v>
      </c>
      <c r="B696" s="22" t="str">
        <f>IFERROR(VLOOKUP(A696,VLOOKUPS!$A:$B,2,FALSE), "")</f>
        <v>Eat Smart Green Beans 12oz-standard</v>
      </c>
      <c r="D696" s="13">
        <v>44819</v>
      </c>
      <c r="F696" t="s">
        <v>764</v>
      </c>
      <c r="G696" t="s">
        <v>318</v>
      </c>
      <c r="H696" t="s">
        <v>4</v>
      </c>
      <c r="I696" s="25" t="s">
        <v>319</v>
      </c>
      <c r="M696" t="s">
        <v>790</v>
      </c>
    </row>
    <row r="697" spans="1:13" x14ac:dyDescent="0.35">
      <c r="A697">
        <v>995084</v>
      </c>
      <c r="B697" s="22" t="str">
        <f>IFERROR(VLOOKUP(A697,VLOOKUPS!$A:$B,2,FALSE), "")</f>
        <v>Eat Smart Green Beans 12oz-standard</v>
      </c>
      <c r="D697" s="13">
        <v>44819</v>
      </c>
      <c r="F697" t="s">
        <v>764</v>
      </c>
      <c r="G697" t="s">
        <v>318</v>
      </c>
      <c r="H697" t="s">
        <v>5</v>
      </c>
      <c r="I697" s="25" t="s">
        <v>319</v>
      </c>
      <c r="M697" t="s">
        <v>790</v>
      </c>
    </row>
    <row r="698" spans="1:13" x14ac:dyDescent="0.35">
      <c r="A698">
        <v>995085</v>
      </c>
      <c r="B698" s="22" t="str">
        <f>IFERROR(VLOOKUP(A698,VLOOKUPS!$A:$B,2,FALSE), "")</f>
        <v>Eat Smart Sugar Snap Peas 8oz-standard</v>
      </c>
      <c r="D698" s="13">
        <v>44819</v>
      </c>
      <c r="F698" t="s">
        <v>764</v>
      </c>
      <c r="G698" t="s">
        <v>318</v>
      </c>
      <c r="H698" t="s">
        <v>6</v>
      </c>
      <c r="I698" s="25" t="s">
        <v>319</v>
      </c>
      <c r="M698" t="s">
        <v>790</v>
      </c>
    </row>
    <row r="699" spans="1:13" x14ac:dyDescent="0.35">
      <c r="A699">
        <v>995085</v>
      </c>
      <c r="B699" s="22" t="str">
        <f>IFERROR(VLOOKUP(A699,VLOOKUPS!$A:$B,2,FALSE), "")</f>
        <v>Eat Smart Sugar Snap Peas 8oz-standard</v>
      </c>
      <c r="D699" s="13">
        <v>44819</v>
      </c>
      <c r="F699" t="s">
        <v>764</v>
      </c>
      <c r="G699" t="s">
        <v>318</v>
      </c>
      <c r="H699" t="s">
        <v>4</v>
      </c>
      <c r="I699" s="25" t="s">
        <v>319</v>
      </c>
      <c r="M699" t="s">
        <v>790</v>
      </c>
    </row>
    <row r="700" spans="1:13" x14ac:dyDescent="0.35">
      <c r="A700">
        <v>995085</v>
      </c>
      <c r="B700" s="22" t="str">
        <f>IFERROR(VLOOKUP(A700,VLOOKUPS!$A:$B,2,FALSE), "")</f>
        <v>Eat Smart Sugar Snap Peas 8oz-standard</v>
      </c>
      <c r="D700" s="13">
        <v>44819</v>
      </c>
      <c r="F700" t="s">
        <v>764</v>
      </c>
      <c r="G700" t="s">
        <v>318</v>
      </c>
      <c r="H700" t="s">
        <v>5</v>
      </c>
      <c r="I700" s="25" t="s">
        <v>319</v>
      </c>
      <c r="M700" t="s">
        <v>790</v>
      </c>
    </row>
    <row r="701" spans="1:13" x14ac:dyDescent="0.35">
      <c r="A701">
        <v>995086</v>
      </c>
      <c r="B701" s="22" t="str">
        <f>IFERROR(VLOOKUP(A701,VLOOKUPS!$A:$B,2,FALSE), "")</f>
        <v>Eat Smart Broccoli Florets 2lbs-standard</v>
      </c>
      <c r="D701" s="13">
        <v>44819</v>
      </c>
      <c r="F701" t="s">
        <v>764</v>
      </c>
      <c r="G701" t="s">
        <v>318</v>
      </c>
      <c r="H701" t="s">
        <v>6</v>
      </c>
      <c r="I701" s="25" t="s">
        <v>319</v>
      </c>
      <c r="M701" t="s">
        <v>790</v>
      </c>
    </row>
    <row r="702" spans="1:13" x14ac:dyDescent="0.35">
      <c r="A702">
        <v>995086</v>
      </c>
      <c r="B702" s="22" t="str">
        <f>IFERROR(VLOOKUP(A702,VLOOKUPS!$A:$B,2,FALSE), "")</f>
        <v>Eat Smart Broccoli Florets 2lbs-standard</v>
      </c>
      <c r="D702" s="13">
        <v>44819</v>
      </c>
      <c r="F702" t="s">
        <v>764</v>
      </c>
      <c r="G702" t="s">
        <v>318</v>
      </c>
      <c r="H702" t="s">
        <v>4</v>
      </c>
      <c r="I702" s="25" t="s">
        <v>319</v>
      </c>
      <c r="M702" t="s">
        <v>790</v>
      </c>
    </row>
    <row r="703" spans="1:13" x14ac:dyDescent="0.35">
      <c r="A703">
        <v>995086</v>
      </c>
      <c r="B703" s="22" t="str">
        <f>IFERROR(VLOOKUP(A703,VLOOKUPS!$A:$B,2,FALSE), "")</f>
        <v>Eat Smart Broccoli Florets 2lbs-standard</v>
      </c>
      <c r="D703" s="13">
        <v>44819</v>
      </c>
      <c r="F703" t="s">
        <v>764</v>
      </c>
      <c r="G703" t="s">
        <v>318</v>
      </c>
      <c r="H703" t="s">
        <v>5</v>
      </c>
      <c r="I703" s="25" t="s">
        <v>319</v>
      </c>
      <c r="M703" t="s">
        <v>790</v>
      </c>
    </row>
    <row r="704" spans="1:13" x14ac:dyDescent="0.35">
      <c r="A704">
        <v>995097</v>
      </c>
      <c r="B704" s="22" t="str">
        <f>IFERROR(VLOOKUP(A704,VLOOKUPS!$A:$B,2,FALSE), "")</f>
        <v>Butternut Diced 12oz-standard</v>
      </c>
      <c r="D704" s="13">
        <v>44819</v>
      </c>
      <c r="F704" t="s">
        <v>764</v>
      </c>
      <c r="G704" t="s">
        <v>318</v>
      </c>
      <c r="H704" t="s">
        <v>6</v>
      </c>
      <c r="I704" s="25" t="s">
        <v>319</v>
      </c>
      <c r="M704" t="s">
        <v>790</v>
      </c>
    </row>
    <row r="705" spans="1:13" x14ac:dyDescent="0.35">
      <c r="A705">
        <v>995097</v>
      </c>
      <c r="B705" s="22" t="str">
        <f>IFERROR(VLOOKUP(A705,VLOOKUPS!$A:$B,2,FALSE), "")</f>
        <v>Butternut Diced 12oz-standard</v>
      </c>
      <c r="D705" s="13">
        <v>44819</v>
      </c>
      <c r="F705" t="s">
        <v>764</v>
      </c>
      <c r="G705" t="s">
        <v>318</v>
      </c>
      <c r="H705" t="s">
        <v>4</v>
      </c>
      <c r="I705" s="25" t="s">
        <v>319</v>
      </c>
      <c r="M705" t="s">
        <v>790</v>
      </c>
    </row>
    <row r="706" spans="1:13" x14ac:dyDescent="0.35">
      <c r="A706">
        <v>995097</v>
      </c>
      <c r="B706" s="22" t="str">
        <f>IFERROR(VLOOKUP(A706,VLOOKUPS!$A:$B,2,FALSE), "")</f>
        <v>Butternut Diced 12oz-standard</v>
      </c>
      <c r="D706" s="13">
        <v>44819</v>
      </c>
      <c r="F706" t="s">
        <v>764</v>
      </c>
      <c r="G706" t="s">
        <v>318</v>
      </c>
      <c r="H706" t="s">
        <v>5</v>
      </c>
      <c r="I706" s="25" t="s">
        <v>319</v>
      </c>
      <c r="M706" t="s">
        <v>790</v>
      </c>
    </row>
    <row r="707" spans="1:13" x14ac:dyDescent="0.35">
      <c r="A707">
        <v>995100</v>
      </c>
      <c r="B707" s="22" t="str">
        <f>IFERROR(VLOOKUP(A707,VLOOKUPS!$A:$B,2,FALSE), "")</f>
        <v>Asian Chopped Salad Kit 12oz-standard</v>
      </c>
      <c r="D707" s="13">
        <v>44819</v>
      </c>
      <c r="F707" t="s">
        <v>764</v>
      </c>
      <c r="G707" t="s">
        <v>318</v>
      </c>
      <c r="H707" t="s">
        <v>6</v>
      </c>
      <c r="I707" s="25" t="s">
        <v>319</v>
      </c>
      <c r="M707" t="s">
        <v>790</v>
      </c>
    </row>
    <row r="708" spans="1:13" x14ac:dyDescent="0.35">
      <c r="A708">
        <v>995100</v>
      </c>
      <c r="B708" s="22" t="str">
        <f>IFERROR(VLOOKUP(A708,VLOOKUPS!$A:$B,2,FALSE), "")</f>
        <v>Asian Chopped Salad Kit 12oz-standard</v>
      </c>
      <c r="D708" s="13">
        <v>44819</v>
      </c>
      <c r="F708" t="s">
        <v>764</v>
      </c>
      <c r="G708" t="s">
        <v>318</v>
      </c>
      <c r="H708" t="s">
        <v>4</v>
      </c>
      <c r="I708" s="25" t="s">
        <v>319</v>
      </c>
      <c r="M708" t="s">
        <v>790</v>
      </c>
    </row>
    <row r="709" spans="1:13" x14ac:dyDescent="0.35">
      <c r="A709">
        <v>995100</v>
      </c>
      <c r="B709" s="22" t="str">
        <f>IFERROR(VLOOKUP(A709,VLOOKUPS!$A:$B,2,FALSE), "")</f>
        <v>Asian Chopped Salad Kit 12oz-standard</v>
      </c>
      <c r="D709" s="13">
        <v>44819</v>
      </c>
      <c r="F709" t="s">
        <v>764</v>
      </c>
      <c r="G709" t="s">
        <v>318</v>
      </c>
      <c r="H709" t="s">
        <v>5</v>
      </c>
      <c r="I709" s="25" t="s">
        <v>319</v>
      </c>
      <c r="M709" t="s">
        <v>790</v>
      </c>
    </row>
    <row r="710" spans="1:13" x14ac:dyDescent="0.35">
      <c r="A710">
        <v>995101</v>
      </c>
      <c r="B710" s="22" t="str">
        <f>IFERROR(VLOOKUP(A710,VLOOKUPS!$A:$B,2,FALSE), "")</f>
        <v>Avocado Ranch Salad Kit 11.3oz-standard</v>
      </c>
      <c r="D710" s="13">
        <v>44819</v>
      </c>
      <c r="F710" t="s">
        <v>764</v>
      </c>
      <c r="G710" t="s">
        <v>318</v>
      </c>
      <c r="H710" t="s">
        <v>6</v>
      </c>
      <c r="I710" s="25" t="s">
        <v>319</v>
      </c>
      <c r="M710" t="s">
        <v>790</v>
      </c>
    </row>
    <row r="711" spans="1:13" x14ac:dyDescent="0.35">
      <c r="A711">
        <v>995101</v>
      </c>
      <c r="B711" s="22" t="str">
        <f>IFERROR(VLOOKUP(A711,VLOOKUPS!$A:$B,2,FALSE), "")</f>
        <v>Avocado Ranch Salad Kit 11.3oz-standard</v>
      </c>
      <c r="D711" s="13">
        <v>44819</v>
      </c>
      <c r="F711" t="s">
        <v>764</v>
      </c>
      <c r="G711" t="s">
        <v>318</v>
      </c>
      <c r="H711" t="s">
        <v>4</v>
      </c>
      <c r="I711" s="25" t="s">
        <v>319</v>
      </c>
      <c r="M711" t="s">
        <v>790</v>
      </c>
    </row>
    <row r="712" spans="1:13" x14ac:dyDescent="0.35">
      <c r="A712">
        <v>995101</v>
      </c>
      <c r="B712" s="22" t="str">
        <f>IFERROR(VLOOKUP(A712,VLOOKUPS!$A:$B,2,FALSE), "")</f>
        <v>Avocado Ranch Salad Kit 11.3oz-standard</v>
      </c>
      <c r="D712" s="13">
        <v>44819</v>
      </c>
      <c r="F712" t="s">
        <v>764</v>
      </c>
      <c r="G712" t="s">
        <v>318</v>
      </c>
      <c r="H712" t="s">
        <v>5</v>
      </c>
      <c r="I712" s="25" t="s">
        <v>319</v>
      </c>
      <c r="M712" t="s">
        <v>790</v>
      </c>
    </row>
    <row r="713" spans="1:13" x14ac:dyDescent="0.35">
      <c r="A713">
        <v>995102</v>
      </c>
      <c r="B713" s="22" t="str">
        <f>IFERROR(VLOOKUP(A713,VLOOKUPS!$A:$B,2,FALSE), "")</f>
        <v>Cantaloupe Chunks 16oz-standard</v>
      </c>
      <c r="D713" s="13">
        <v>44819</v>
      </c>
      <c r="F713" t="s">
        <v>764</v>
      </c>
      <c r="G713" t="s">
        <v>318</v>
      </c>
      <c r="H713" t="s">
        <v>6</v>
      </c>
      <c r="I713" s="25" t="s">
        <v>319</v>
      </c>
      <c r="M713" t="s">
        <v>790</v>
      </c>
    </row>
    <row r="714" spans="1:13" x14ac:dyDescent="0.35">
      <c r="A714">
        <v>995102</v>
      </c>
      <c r="B714" s="22" t="str">
        <f>IFERROR(VLOOKUP(A714,VLOOKUPS!$A:$B,2,FALSE), "")</f>
        <v>Cantaloupe Chunks 16oz-standard</v>
      </c>
      <c r="D714" s="13">
        <v>44819</v>
      </c>
      <c r="F714" t="s">
        <v>764</v>
      </c>
      <c r="G714" t="s">
        <v>318</v>
      </c>
      <c r="H714" t="s">
        <v>4</v>
      </c>
      <c r="I714" s="25" t="s">
        <v>319</v>
      </c>
      <c r="M714" t="s">
        <v>790</v>
      </c>
    </row>
    <row r="715" spans="1:13" x14ac:dyDescent="0.35">
      <c r="A715">
        <v>995102</v>
      </c>
      <c r="B715" s="22" t="str">
        <f>IFERROR(VLOOKUP(A715,VLOOKUPS!$A:$B,2,FALSE), "")</f>
        <v>Cantaloupe Chunks 16oz-standard</v>
      </c>
      <c r="D715" s="13">
        <v>44819</v>
      </c>
      <c r="F715" t="s">
        <v>764</v>
      </c>
      <c r="G715" t="s">
        <v>318</v>
      </c>
      <c r="H715" t="s">
        <v>5</v>
      </c>
      <c r="I715" s="25" t="s">
        <v>319</v>
      </c>
      <c r="M715" t="s">
        <v>790</v>
      </c>
    </row>
    <row r="716" spans="1:13" x14ac:dyDescent="0.35">
      <c r="A716">
        <v>995103</v>
      </c>
      <c r="B716" s="22" t="str">
        <f>IFERROR(VLOOKUP(A716,VLOOKUPS!$A:$B,2,FALSE), "")</f>
        <v>Teriyaki Stir Fry Kit 12.5oz-standard</v>
      </c>
      <c r="D716" s="13">
        <v>44819</v>
      </c>
      <c r="F716" t="s">
        <v>764</v>
      </c>
      <c r="G716" t="s">
        <v>318</v>
      </c>
      <c r="H716" t="s">
        <v>6</v>
      </c>
      <c r="I716" s="25" t="s">
        <v>319</v>
      </c>
      <c r="M716" t="s">
        <v>790</v>
      </c>
    </row>
    <row r="717" spans="1:13" x14ac:dyDescent="0.35">
      <c r="A717">
        <v>995103</v>
      </c>
      <c r="B717" s="22" t="str">
        <f>IFERROR(VLOOKUP(A717,VLOOKUPS!$A:$B,2,FALSE), "")</f>
        <v>Teriyaki Stir Fry Kit 12.5oz-standard</v>
      </c>
      <c r="D717" s="13">
        <v>44819</v>
      </c>
      <c r="F717" t="s">
        <v>764</v>
      </c>
      <c r="G717" t="s">
        <v>318</v>
      </c>
      <c r="H717" t="s">
        <v>4</v>
      </c>
      <c r="I717" s="25" t="s">
        <v>319</v>
      </c>
      <c r="M717" t="s">
        <v>790</v>
      </c>
    </row>
    <row r="718" spans="1:13" x14ac:dyDescent="0.35">
      <c r="A718">
        <v>995103</v>
      </c>
      <c r="B718" s="22" t="str">
        <f>IFERROR(VLOOKUP(A718,VLOOKUPS!$A:$B,2,FALSE), "")</f>
        <v>Teriyaki Stir Fry Kit 12.5oz-standard</v>
      </c>
      <c r="D718" s="13">
        <v>44819</v>
      </c>
      <c r="F718" t="s">
        <v>764</v>
      </c>
      <c r="G718" t="s">
        <v>318</v>
      </c>
      <c r="H718" t="s">
        <v>5</v>
      </c>
      <c r="I718" s="25" t="s">
        <v>319</v>
      </c>
      <c r="M718" t="s">
        <v>790</v>
      </c>
    </row>
    <row r="719" spans="1:13" x14ac:dyDescent="0.35">
      <c r="A719">
        <v>995104</v>
      </c>
      <c r="B719" s="22" t="str">
        <f>IFERROR(VLOOKUP(A719,VLOOKUPS!$A:$B,2,FALSE), "")</f>
        <v>Ginger Garlic Stir Fry Kit 14oz-standard</v>
      </c>
      <c r="D719" s="13">
        <v>44819</v>
      </c>
      <c r="F719" t="s">
        <v>764</v>
      </c>
      <c r="G719" t="s">
        <v>318</v>
      </c>
      <c r="H719" t="s">
        <v>6</v>
      </c>
      <c r="I719" s="25" t="s">
        <v>319</v>
      </c>
      <c r="M719" t="s">
        <v>790</v>
      </c>
    </row>
    <row r="720" spans="1:13" x14ac:dyDescent="0.35">
      <c r="A720">
        <v>995104</v>
      </c>
      <c r="B720" s="22" t="str">
        <f>IFERROR(VLOOKUP(A720,VLOOKUPS!$A:$B,2,FALSE), "")</f>
        <v>Ginger Garlic Stir Fry Kit 14oz-standard</v>
      </c>
      <c r="D720" s="13">
        <v>44819</v>
      </c>
      <c r="F720" t="s">
        <v>764</v>
      </c>
      <c r="G720" t="s">
        <v>318</v>
      </c>
      <c r="H720" t="s">
        <v>4</v>
      </c>
      <c r="I720" s="25" t="s">
        <v>319</v>
      </c>
      <c r="M720" t="s">
        <v>790</v>
      </c>
    </row>
    <row r="721" spans="1:13" x14ac:dyDescent="0.35">
      <c r="A721">
        <v>995104</v>
      </c>
      <c r="B721" s="22" t="str">
        <f>IFERROR(VLOOKUP(A721,VLOOKUPS!$A:$B,2,FALSE), "")</f>
        <v>Ginger Garlic Stir Fry Kit 14oz-standard</v>
      </c>
      <c r="D721" s="13">
        <v>44819</v>
      </c>
      <c r="F721" t="s">
        <v>764</v>
      </c>
      <c r="G721" t="s">
        <v>318</v>
      </c>
      <c r="H721" t="s">
        <v>5</v>
      </c>
      <c r="I721" s="25" t="s">
        <v>319</v>
      </c>
      <c r="M721" t="s">
        <v>790</v>
      </c>
    </row>
    <row r="722" spans="1:13" x14ac:dyDescent="0.35">
      <c r="A722">
        <v>995106</v>
      </c>
      <c r="B722" s="22" t="str">
        <f>IFERROR(VLOOKUP(A722,VLOOKUPS!$A:$B,2,FALSE), "")</f>
        <v>Garlic Peeled 6oz-standard</v>
      </c>
      <c r="D722" s="13">
        <v>44819</v>
      </c>
      <c r="F722" t="s">
        <v>764</v>
      </c>
      <c r="G722" t="s">
        <v>318</v>
      </c>
      <c r="H722" t="s">
        <v>6</v>
      </c>
      <c r="I722" s="25" t="s">
        <v>319</v>
      </c>
      <c r="M722" t="s">
        <v>790</v>
      </c>
    </row>
    <row r="723" spans="1:13" x14ac:dyDescent="0.35">
      <c r="A723">
        <v>995106</v>
      </c>
      <c r="B723" s="22" t="str">
        <f>IFERROR(VLOOKUP(A723,VLOOKUPS!$A:$B,2,FALSE), "")</f>
        <v>Garlic Peeled 6oz-standard</v>
      </c>
      <c r="D723" s="13">
        <v>44819</v>
      </c>
      <c r="F723" t="s">
        <v>764</v>
      </c>
      <c r="G723" t="s">
        <v>318</v>
      </c>
      <c r="H723" t="s">
        <v>4</v>
      </c>
      <c r="I723" s="25" t="s">
        <v>319</v>
      </c>
      <c r="M723" t="s">
        <v>790</v>
      </c>
    </row>
    <row r="724" spans="1:13" x14ac:dyDescent="0.35">
      <c r="A724">
        <v>995106</v>
      </c>
      <c r="B724" s="22" t="str">
        <f>IFERROR(VLOOKUP(A724,VLOOKUPS!$A:$B,2,FALSE), "")</f>
        <v>Garlic Peeled 6oz-standard</v>
      </c>
      <c r="D724" s="13">
        <v>44819</v>
      </c>
      <c r="F724" t="s">
        <v>764</v>
      </c>
      <c r="G724" t="s">
        <v>318</v>
      </c>
      <c r="H724" t="s">
        <v>5</v>
      </c>
      <c r="I724" s="25" t="s">
        <v>319</v>
      </c>
      <c r="M724" t="s">
        <v>790</v>
      </c>
    </row>
    <row r="725" spans="1:13" x14ac:dyDescent="0.35">
      <c r="A725">
        <v>995108</v>
      </c>
      <c r="B725" s="22" t="str">
        <f>IFERROR(VLOOKUP(A725,VLOOKUPS!$A:$B,2,FALSE), "")</f>
        <v/>
      </c>
      <c r="D725" s="13">
        <v>44819</v>
      </c>
      <c r="F725" t="s">
        <v>764</v>
      </c>
      <c r="G725" t="s">
        <v>318</v>
      </c>
      <c r="H725" t="s">
        <v>6</v>
      </c>
      <c r="I725" s="25" t="s">
        <v>319</v>
      </c>
      <c r="M725" t="s">
        <v>790</v>
      </c>
    </row>
    <row r="726" spans="1:13" x14ac:dyDescent="0.35">
      <c r="A726">
        <v>995108</v>
      </c>
      <c r="B726" s="22" t="str">
        <f>IFERROR(VLOOKUP(A726,VLOOKUPS!$A:$B,2,FALSE), "")</f>
        <v/>
      </c>
      <c r="D726" s="13">
        <v>44819</v>
      </c>
      <c r="F726" t="s">
        <v>764</v>
      </c>
      <c r="G726" t="s">
        <v>318</v>
      </c>
      <c r="H726" t="s">
        <v>4</v>
      </c>
      <c r="I726" s="25" t="s">
        <v>319</v>
      </c>
      <c r="M726" t="s">
        <v>790</v>
      </c>
    </row>
    <row r="727" spans="1:13" x14ac:dyDescent="0.35">
      <c r="A727">
        <v>995108</v>
      </c>
      <c r="B727" s="22" t="str">
        <f>IFERROR(VLOOKUP(A727,VLOOKUPS!$A:$B,2,FALSE), "")</f>
        <v/>
      </c>
      <c r="D727" s="13">
        <v>44819</v>
      </c>
      <c r="F727" t="s">
        <v>764</v>
      </c>
      <c r="G727" t="s">
        <v>318</v>
      </c>
      <c r="H727" t="s">
        <v>5</v>
      </c>
      <c r="I727" s="25" t="s">
        <v>319</v>
      </c>
      <c r="M727" t="s">
        <v>790</v>
      </c>
    </row>
    <row r="728" spans="1:13" x14ac:dyDescent="0.35">
      <c r="A728">
        <v>995111</v>
      </c>
      <c r="B728" s="22" t="str">
        <f>IFERROR(VLOOKUP(A728,VLOOKUPS!$A:$B,2,FALSE), "")</f>
        <v/>
      </c>
      <c r="D728" s="13">
        <v>44819</v>
      </c>
      <c r="F728" t="s">
        <v>764</v>
      </c>
      <c r="G728" t="s">
        <v>318</v>
      </c>
      <c r="H728" t="s">
        <v>6</v>
      </c>
      <c r="I728" s="25" t="s">
        <v>319</v>
      </c>
      <c r="M728" t="s">
        <v>790</v>
      </c>
    </row>
    <row r="729" spans="1:13" x14ac:dyDescent="0.35">
      <c r="A729">
        <v>995111</v>
      </c>
      <c r="B729" s="22" t="str">
        <f>IFERROR(VLOOKUP(A729,VLOOKUPS!$A:$B,2,FALSE), "")</f>
        <v/>
      </c>
      <c r="D729" s="13">
        <v>44819</v>
      </c>
      <c r="F729" t="s">
        <v>764</v>
      </c>
      <c r="G729" t="s">
        <v>318</v>
      </c>
      <c r="H729" t="s">
        <v>4</v>
      </c>
      <c r="I729" s="25" t="s">
        <v>319</v>
      </c>
      <c r="M729" t="s">
        <v>790</v>
      </c>
    </row>
    <row r="730" spans="1:13" x14ac:dyDescent="0.35">
      <c r="A730">
        <v>995111</v>
      </c>
      <c r="B730" s="22" t="str">
        <f>IFERROR(VLOOKUP(A730,VLOOKUPS!$A:$B,2,FALSE), "")</f>
        <v/>
      </c>
      <c r="D730" s="13">
        <v>44819</v>
      </c>
      <c r="F730" t="s">
        <v>764</v>
      </c>
      <c r="G730" t="s">
        <v>318</v>
      </c>
      <c r="H730" t="s">
        <v>5</v>
      </c>
      <c r="I730" s="25" t="s">
        <v>319</v>
      </c>
      <c r="M730" t="s">
        <v>790</v>
      </c>
    </row>
    <row r="731" spans="1:13" x14ac:dyDescent="0.35">
      <c r="A731">
        <v>995115</v>
      </c>
      <c r="B731" s="22" t="str">
        <f>IFERROR(VLOOKUP(A731,VLOOKUPS!$A:$B,2,FALSE), "")</f>
        <v>Pineapple Chunks 10oz-standard</v>
      </c>
      <c r="D731" s="13">
        <v>44819</v>
      </c>
      <c r="F731" t="s">
        <v>764</v>
      </c>
      <c r="G731" t="s">
        <v>318</v>
      </c>
      <c r="H731" t="s">
        <v>6</v>
      </c>
      <c r="I731" s="25" t="s">
        <v>319</v>
      </c>
      <c r="M731" t="s">
        <v>790</v>
      </c>
    </row>
    <row r="732" spans="1:13" x14ac:dyDescent="0.35">
      <c r="A732">
        <v>995115</v>
      </c>
      <c r="B732" s="22" t="str">
        <f>IFERROR(VLOOKUP(A732,VLOOKUPS!$A:$B,2,FALSE), "")</f>
        <v>Pineapple Chunks 10oz-standard</v>
      </c>
      <c r="D732" s="13">
        <v>44819</v>
      </c>
      <c r="F732" t="s">
        <v>764</v>
      </c>
      <c r="G732" t="s">
        <v>318</v>
      </c>
      <c r="H732" t="s">
        <v>4</v>
      </c>
      <c r="I732" s="25" t="s">
        <v>319</v>
      </c>
      <c r="M732" t="s">
        <v>790</v>
      </c>
    </row>
    <row r="733" spans="1:13" x14ac:dyDescent="0.35">
      <c r="A733">
        <v>995115</v>
      </c>
      <c r="B733" s="22" t="str">
        <f>IFERROR(VLOOKUP(A733,VLOOKUPS!$A:$B,2,FALSE), "")</f>
        <v>Pineapple Chunks 10oz-standard</v>
      </c>
      <c r="D733" s="13">
        <v>44819</v>
      </c>
      <c r="F733" t="s">
        <v>764</v>
      </c>
      <c r="G733" t="s">
        <v>318</v>
      </c>
      <c r="H733" t="s">
        <v>5</v>
      </c>
      <c r="I733" s="25" t="s">
        <v>319</v>
      </c>
      <c r="M733" t="s">
        <v>790</v>
      </c>
    </row>
    <row r="734" spans="1:13" x14ac:dyDescent="0.35">
      <c r="A734">
        <v>995116</v>
      </c>
      <c r="B734" s="22" t="str">
        <f>IFERROR(VLOOKUP(A734,VLOOKUPS!$A:$B,2,FALSE), "")</f>
        <v>Mango Chunks 10oz-standard</v>
      </c>
      <c r="D734" s="13">
        <v>44819</v>
      </c>
      <c r="F734" t="s">
        <v>764</v>
      </c>
      <c r="G734" t="s">
        <v>318</v>
      </c>
      <c r="H734" t="s">
        <v>6</v>
      </c>
      <c r="I734" s="25" t="s">
        <v>319</v>
      </c>
      <c r="M734" t="s">
        <v>790</v>
      </c>
    </row>
    <row r="735" spans="1:13" x14ac:dyDescent="0.35">
      <c r="A735">
        <v>995116</v>
      </c>
      <c r="B735" s="22" t="str">
        <f>IFERROR(VLOOKUP(A735,VLOOKUPS!$A:$B,2,FALSE), "")</f>
        <v>Mango Chunks 10oz-standard</v>
      </c>
      <c r="D735" s="13">
        <v>44819</v>
      </c>
      <c r="F735" t="s">
        <v>764</v>
      </c>
      <c r="G735" t="s">
        <v>318</v>
      </c>
      <c r="H735" t="s">
        <v>4</v>
      </c>
      <c r="I735" s="25" t="s">
        <v>319</v>
      </c>
      <c r="M735" t="s">
        <v>790</v>
      </c>
    </row>
    <row r="736" spans="1:13" x14ac:dyDescent="0.35">
      <c r="A736">
        <v>995116</v>
      </c>
      <c r="B736" s="22" t="str">
        <f>IFERROR(VLOOKUP(A736,VLOOKUPS!$A:$B,2,FALSE), "")</f>
        <v>Mango Chunks 10oz-standard</v>
      </c>
      <c r="D736" s="13">
        <v>44819</v>
      </c>
      <c r="F736" t="s">
        <v>764</v>
      </c>
      <c r="G736" t="s">
        <v>318</v>
      </c>
      <c r="H736" t="s">
        <v>5</v>
      </c>
      <c r="I736" s="25" t="s">
        <v>319</v>
      </c>
      <c r="M736" t="s">
        <v>790</v>
      </c>
    </row>
    <row r="737" spans="1:13" x14ac:dyDescent="0.35">
      <c r="A737">
        <v>995123</v>
      </c>
      <c r="B737" s="22" t="str">
        <f>IFERROR(VLOOKUP(A737,VLOOKUPS!$A:$B,2,FALSE), "")</f>
        <v/>
      </c>
      <c r="D737" s="13">
        <v>44819</v>
      </c>
      <c r="F737" t="s">
        <v>764</v>
      </c>
      <c r="G737" t="s">
        <v>318</v>
      </c>
      <c r="H737" t="s">
        <v>6</v>
      </c>
      <c r="I737" s="25" t="s">
        <v>319</v>
      </c>
      <c r="M737" t="s">
        <v>790</v>
      </c>
    </row>
    <row r="738" spans="1:13" x14ac:dyDescent="0.35">
      <c r="A738">
        <v>995123</v>
      </c>
      <c r="B738" s="22" t="str">
        <f>IFERROR(VLOOKUP(A738,VLOOKUPS!$A:$B,2,FALSE), "")</f>
        <v/>
      </c>
      <c r="D738" s="13">
        <v>44819</v>
      </c>
      <c r="F738" t="s">
        <v>764</v>
      </c>
      <c r="G738" t="s">
        <v>318</v>
      </c>
      <c r="H738" t="s">
        <v>4</v>
      </c>
      <c r="I738" s="25" t="s">
        <v>319</v>
      </c>
      <c r="M738" t="s">
        <v>790</v>
      </c>
    </row>
    <row r="739" spans="1:13" x14ac:dyDescent="0.35">
      <c r="A739">
        <v>995123</v>
      </c>
      <c r="B739" s="22" t="str">
        <f>IFERROR(VLOOKUP(A739,VLOOKUPS!$A:$B,2,FALSE), "")</f>
        <v/>
      </c>
      <c r="D739" s="13">
        <v>44819</v>
      </c>
      <c r="F739" t="s">
        <v>790</v>
      </c>
      <c r="G739" t="s">
        <v>318</v>
      </c>
      <c r="H739" t="s">
        <v>5</v>
      </c>
      <c r="I739" s="25" t="s">
        <v>319</v>
      </c>
      <c r="M739" t="s">
        <v>790</v>
      </c>
    </row>
    <row r="740" spans="1:13" x14ac:dyDescent="0.35">
      <c r="A740">
        <v>995131</v>
      </c>
      <c r="B740" s="22" t="str">
        <f>IFERROR(VLOOKUP(A740,VLOOKUPS!$A:$B,2,FALSE), "")</f>
        <v/>
      </c>
      <c r="D740" s="13">
        <v>44819</v>
      </c>
      <c r="F740" t="s">
        <v>764</v>
      </c>
      <c r="G740" t="s">
        <v>318</v>
      </c>
      <c r="H740" t="s">
        <v>6</v>
      </c>
      <c r="I740" s="25" t="s">
        <v>319</v>
      </c>
      <c r="M740" t="s">
        <v>790</v>
      </c>
    </row>
    <row r="741" spans="1:13" x14ac:dyDescent="0.35">
      <c r="A741">
        <v>995131</v>
      </c>
      <c r="B741" s="22" t="str">
        <f>IFERROR(VLOOKUP(A741,VLOOKUPS!$A:$B,2,FALSE), "")</f>
        <v/>
      </c>
      <c r="D741" s="13">
        <v>44819</v>
      </c>
      <c r="F741" t="s">
        <v>764</v>
      </c>
      <c r="G741" t="s">
        <v>318</v>
      </c>
      <c r="H741" t="s">
        <v>4</v>
      </c>
      <c r="I741" s="25" t="s">
        <v>319</v>
      </c>
      <c r="M741" t="s">
        <v>790</v>
      </c>
    </row>
    <row r="742" spans="1:13" x14ac:dyDescent="0.35">
      <c r="A742">
        <v>995131</v>
      </c>
      <c r="B742" s="22" t="str">
        <f>IFERROR(VLOOKUP(A742,VLOOKUPS!$A:$B,2,FALSE), "")</f>
        <v/>
      </c>
      <c r="D742" s="13">
        <v>44819</v>
      </c>
      <c r="F742" t="s">
        <v>764</v>
      </c>
      <c r="G742" t="s">
        <v>318</v>
      </c>
      <c r="H742" t="s">
        <v>5</v>
      </c>
      <c r="I742" s="25" t="s">
        <v>319</v>
      </c>
      <c r="M742" t="s">
        <v>790</v>
      </c>
    </row>
    <row r="743" spans="1:13" x14ac:dyDescent="0.35">
      <c r="A743">
        <v>995133</v>
      </c>
      <c r="B743" s="22" t="str">
        <f>IFERROR(VLOOKUP(A743,VLOOKUPS!$A:$B,2,FALSE), "")</f>
        <v/>
      </c>
      <c r="D743" s="13">
        <v>44819</v>
      </c>
      <c r="F743" t="s">
        <v>764</v>
      </c>
      <c r="G743" t="s">
        <v>318</v>
      </c>
      <c r="H743" t="s">
        <v>6</v>
      </c>
      <c r="I743" s="25" t="s">
        <v>319</v>
      </c>
      <c r="M743" t="s">
        <v>790</v>
      </c>
    </row>
    <row r="744" spans="1:13" x14ac:dyDescent="0.35">
      <c r="A744">
        <v>995133</v>
      </c>
      <c r="B744" s="22" t="str">
        <f>IFERROR(VLOOKUP(A744,VLOOKUPS!$A:$B,2,FALSE), "")</f>
        <v/>
      </c>
      <c r="D744" s="13">
        <v>44819</v>
      </c>
      <c r="F744" t="s">
        <v>764</v>
      </c>
      <c r="G744" t="s">
        <v>318</v>
      </c>
      <c r="H744" t="s">
        <v>4</v>
      </c>
      <c r="I744" s="25" t="s">
        <v>319</v>
      </c>
      <c r="M744" t="s">
        <v>790</v>
      </c>
    </row>
    <row r="745" spans="1:13" x14ac:dyDescent="0.35">
      <c r="A745">
        <v>995133</v>
      </c>
      <c r="B745" s="22" t="str">
        <f>IFERROR(VLOOKUP(A745,VLOOKUPS!$A:$B,2,FALSE), "")</f>
        <v/>
      </c>
      <c r="D745" s="13">
        <v>44819</v>
      </c>
      <c r="F745" t="s">
        <v>764</v>
      </c>
      <c r="G745" t="s">
        <v>318</v>
      </c>
      <c r="H745" t="s">
        <v>5</v>
      </c>
      <c r="I745" s="25" t="s">
        <v>319</v>
      </c>
      <c r="M745" t="s">
        <v>790</v>
      </c>
    </row>
    <row r="746" spans="1:13" x14ac:dyDescent="0.35">
      <c r="A746">
        <v>995137</v>
      </c>
      <c r="B746" s="22" t="str">
        <f>IFERROR(VLOOKUP(A746,VLOOKUPS!$A:$B,2,FALSE), "")</f>
        <v/>
      </c>
      <c r="D746" s="13">
        <v>44819</v>
      </c>
      <c r="F746" t="s">
        <v>764</v>
      </c>
      <c r="G746" t="s">
        <v>318</v>
      </c>
      <c r="H746" t="s">
        <v>6</v>
      </c>
      <c r="I746" s="25" t="s">
        <v>319</v>
      </c>
      <c r="M746" t="s">
        <v>790</v>
      </c>
    </row>
    <row r="747" spans="1:13" x14ac:dyDescent="0.35">
      <c r="A747">
        <v>995137</v>
      </c>
      <c r="B747" s="22" t="str">
        <f>IFERROR(VLOOKUP(A747,VLOOKUPS!$A:$B,2,FALSE), "")</f>
        <v/>
      </c>
      <c r="D747" s="13">
        <v>44819</v>
      </c>
      <c r="F747" t="s">
        <v>764</v>
      </c>
      <c r="G747" t="s">
        <v>318</v>
      </c>
      <c r="H747" t="s">
        <v>4</v>
      </c>
      <c r="I747" s="25" t="s">
        <v>319</v>
      </c>
      <c r="M747" t="s">
        <v>790</v>
      </c>
    </row>
    <row r="748" spans="1:13" x14ac:dyDescent="0.35">
      <c r="A748">
        <v>995137</v>
      </c>
      <c r="B748" s="22" t="str">
        <f>IFERROR(VLOOKUP(A748,VLOOKUPS!$A:$B,2,FALSE), "")</f>
        <v/>
      </c>
      <c r="D748" s="13">
        <v>44819</v>
      </c>
      <c r="F748" t="s">
        <v>764</v>
      </c>
      <c r="G748" t="s">
        <v>318</v>
      </c>
      <c r="H748" t="s">
        <v>5</v>
      </c>
      <c r="I748" s="25" t="s">
        <v>319</v>
      </c>
      <c r="M748" t="s">
        <v>790</v>
      </c>
    </row>
    <row r="749" spans="1:13" x14ac:dyDescent="0.35">
      <c r="A749">
        <v>995138</v>
      </c>
      <c r="B749" s="22" t="str">
        <f>IFERROR(VLOOKUP(A749,VLOOKUPS!$A:$B,2,FALSE), "")</f>
        <v/>
      </c>
      <c r="D749" s="13">
        <v>44819</v>
      </c>
      <c r="F749" t="s">
        <v>764</v>
      </c>
      <c r="G749" t="s">
        <v>318</v>
      </c>
      <c r="H749" t="s">
        <v>6</v>
      </c>
      <c r="I749" s="25" t="s">
        <v>319</v>
      </c>
      <c r="M749" t="s">
        <v>790</v>
      </c>
    </row>
    <row r="750" spans="1:13" x14ac:dyDescent="0.35">
      <c r="A750">
        <v>995138</v>
      </c>
      <c r="B750" s="22" t="str">
        <f>IFERROR(VLOOKUP(A750,VLOOKUPS!$A:$B,2,FALSE), "")</f>
        <v/>
      </c>
      <c r="D750" s="13">
        <v>44819</v>
      </c>
      <c r="F750" t="s">
        <v>764</v>
      </c>
      <c r="G750" t="s">
        <v>318</v>
      </c>
      <c r="H750" t="s">
        <v>4</v>
      </c>
      <c r="I750" s="25" t="s">
        <v>319</v>
      </c>
      <c r="M750" t="s">
        <v>790</v>
      </c>
    </row>
    <row r="751" spans="1:13" x14ac:dyDescent="0.35">
      <c r="A751">
        <v>995138</v>
      </c>
      <c r="B751" s="22" t="str">
        <f>IFERROR(VLOOKUP(A751,VLOOKUPS!$A:$B,2,FALSE), "")</f>
        <v/>
      </c>
      <c r="D751" s="13">
        <v>44819</v>
      </c>
      <c r="F751" t="s">
        <v>764</v>
      </c>
      <c r="G751" t="s">
        <v>318</v>
      </c>
      <c r="H751" t="s">
        <v>5</v>
      </c>
      <c r="I751" s="25" t="s">
        <v>319</v>
      </c>
      <c r="M751" t="s">
        <v>790</v>
      </c>
    </row>
    <row r="752" spans="1:13" x14ac:dyDescent="0.35">
      <c r="A752">
        <v>995140</v>
      </c>
      <c r="B752" s="22" t="str">
        <f>IFERROR(VLOOKUP(A752,VLOOKUPS!$A:$B,2,FALSE), "")</f>
        <v/>
      </c>
      <c r="D752" s="13">
        <v>44819</v>
      </c>
      <c r="F752" t="s">
        <v>764</v>
      </c>
      <c r="G752" t="s">
        <v>318</v>
      </c>
      <c r="H752" t="s">
        <v>6</v>
      </c>
      <c r="I752" s="25" t="s">
        <v>319</v>
      </c>
      <c r="M752" t="s">
        <v>790</v>
      </c>
    </row>
    <row r="753" spans="1:13" x14ac:dyDescent="0.35">
      <c r="A753">
        <v>995140</v>
      </c>
      <c r="B753" s="22" t="str">
        <f>IFERROR(VLOOKUP(A753,VLOOKUPS!$A:$B,2,FALSE), "")</f>
        <v/>
      </c>
      <c r="D753" s="13">
        <v>44819</v>
      </c>
      <c r="F753" t="s">
        <v>764</v>
      </c>
      <c r="G753" t="s">
        <v>318</v>
      </c>
      <c r="H753" t="s">
        <v>4</v>
      </c>
      <c r="I753" s="25" t="s">
        <v>319</v>
      </c>
      <c r="M753" t="s">
        <v>790</v>
      </c>
    </row>
    <row r="754" spans="1:13" x14ac:dyDescent="0.35">
      <c r="A754">
        <v>995140</v>
      </c>
      <c r="B754" s="22" t="str">
        <f>IFERROR(VLOOKUP(A754,VLOOKUPS!$A:$B,2,FALSE), "")</f>
        <v/>
      </c>
      <c r="D754" s="13">
        <v>44819</v>
      </c>
      <c r="F754" t="s">
        <v>764</v>
      </c>
      <c r="G754" t="s">
        <v>318</v>
      </c>
      <c r="H754" t="s">
        <v>5</v>
      </c>
      <c r="I754" s="25" t="s">
        <v>319</v>
      </c>
      <c r="M754" t="s">
        <v>790</v>
      </c>
    </row>
    <row r="755" spans="1:13" x14ac:dyDescent="0.35">
      <c r="A755">
        <v>995144</v>
      </c>
      <c r="B755" s="22" t="str">
        <f>IFERROR(VLOOKUP(A755,VLOOKUPS!$A:$B,2,FALSE), "")</f>
        <v/>
      </c>
      <c r="D755" s="13">
        <v>44819</v>
      </c>
      <c r="F755" t="s">
        <v>764</v>
      </c>
      <c r="G755" t="s">
        <v>318</v>
      </c>
      <c r="H755" t="s">
        <v>6</v>
      </c>
      <c r="I755" s="25" t="s">
        <v>319</v>
      </c>
      <c r="M755" t="s">
        <v>790</v>
      </c>
    </row>
    <row r="756" spans="1:13" x14ac:dyDescent="0.35">
      <c r="A756">
        <v>995144</v>
      </c>
      <c r="B756" s="22" t="str">
        <f>IFERROR(VLOOKUP(A756,VLOOKUPS!$A:$B,2,FALSE), "")</f>
        <v/>
      </c>
      <c r="D756" s="13">
        <v>44819</v>
      </c>
      <c r="F756" t="s">
        <v>764</v>
      </c>
      <c r="G756" t="s">
        <v>318</v>
      </c>
      <c r="H756" t="s">
        <v>4</v>
      </c>
      <c r="I756" s="25" t="s">
        <v>319</v>
      </c>
      <c r="M756" t="s">
        <v>790</v>
      </c>
    </row>
    <row r="757" spans="1:13" x14ac:dyDescent="0.35">
      <c r="A757">
        <v>995144</v>
      </c>
      <c r="B757" s="22" t="str">
        <f>IFERROR(VLOOKUP(A757,VLOOKUPS!$A:$B,2,FALSE), "")</f>
        <v/>
      </c>
      <c r="D757" s="13">
        <v>44819</v>
      </c>
      <c r="F757" t="s">
        <v>764</v>
      </c>
      <c r="G757" t="s">
        <v>318</v>
      </c>
      <c r="H757" t="s">
        <v>5</v>
      </c>
      <c r="I757" s="25" t="s">
        <v>319</v>
      </c>
      <c r="M757" t="s">
        <v>790</v>
      </c>
    </row>
    <row r="758" spans="1:13" x14ac:dyDescent="0.35">
      <c r="A758">
        <v>995147</v>
      </c>
      <c r="B758" s="22" t="str">
        <f>IFERROR(VLOOKUP(A758,VLOOKUPS!$A:$B,2,FALSE), "")</f>
        <v/>
      </c>
      <c r="D758" s="13">
        <v>44819</v>
      </c>
      <c r="F758" t="s">
        <v>764</v>
      </c>
      <c r="G758" t="s">
        <v>318</v>
      </c>
      <c r="H758" t="s">
        <v>6</v>
      </c>
      <c r="I758" s="25" t="s">
        <v>319</v>
      </c>
      <c r="M758" t="s">
        <v>790</v>
      </c>
    </row>
    <row r="759" spans="1:13" x14ac:dyDescent="0.35">
      <c r="A759">
        <v>995147</v>
      </c>
      <c r="B759" s="22" t="str">
        <f>IFERROR(VLOOKUP(A759,VLOOKUPS!$A:$B,2,FALSE), "")</f>
        <v/>
      </c>
      <c r="D759" s="13">
        <v>44819</v>
      </c>
      <c r="F759" t="s">
        <v>764</v>
      </c>
      <c r="G759" t="s">
        <v>318</v>
      </c>
      <c r="H759" t="s">
        <v>4</v>
      </c>
      <c r="I759" s="25" t="s">
        <v>319</v>
      </c>
      <c r="M759" t="s">
        <v>790</v>
      </c>
    </row>
    <row r="760" spans="1:13" x14ac:dyDescent="0.35">
      <c r="A760">
        <v>995147</v>
      </c>
      <c r="B760" s="22" t="str">
        <f>IFERROR(VLOOKUP(A760,VLOOKUPS!$A:$B,2,FALSE), "")</f>
        <v/>
      </c>
      <c r="D760" s="13">
        <v>44819</v>
      </c>
      <c r="F760" t="s">
        <v>764</v>
      </c>
      <c r="G760" t="s">
        <v>318</v>
      </c>
      <c r="H760" t="s">
        <v>5</v>
      </c>
      <c r="I760" s="25" t="s">
        <v>319</v>
      </c>
      <c r="M760" t="s">
        <v>790</v>
      </c>
    </row>
    <row r="761" spans="1:13" x14ac:dyDescent="0.35">
      <c r="A761">
        <v>995150</v>
      </c>
      <c r="B761" s="22" t="str">
        <f>IFERROR(VLOOKUP(A761,VLOOKUPS!$A:$B,2,FALSE), "")</f>
        <v/>
      </c>
      <c r="D761" s="13">
        <v>44819</v>
      </c>
      <c r="F761" t="s">
        <v>764</v>
      </c>
      <c r="G761" t="s">
        <v>318</v>
      </c>
      <c r="H761" t="s">
        <v>6</v>
      </c>
      <c r="I761" s="25" t="s">
        <v>319</v>
      </c>
      <c r="M761" t="s">
        <v>790</v>
      </c>
    </row>
    <row r="762" spans="1:13" x14ac:dyDescent="0.35">
      <c r="A762">
        <v>995150</v>
      </c>
      <c r="B762" s="22" t="str">
        <f>IFERROR(VLOOKUP(A762,VLOOKUPS!$A:$B,2,FALSE), "")</f>
        <v/>
      </c>
      <c r="D762" s="13">
        <v>44819</v>
      </c>
      <c r="F762" t="s">
        <v>764</v>
      </c>
      <c r="G762" t="s">
        <v>318</v>
      </c>
      <c r="H762" t="s">
        <v>4</v>
      </c>
      <c r="I762" s="25" t="s">
        <v>319</v>
      </c>
      <c r="M762" t="s">
        <v>790</v>
      </c>
    </row>
    <row r="763" spans="1:13" x14ac:dyDescent="0.35">
      <c r="A763">
        <v>995150</v>
      </c>
      <c r="B763" s="22" t="str">
        <f>IFERROR(VLOOKUP(A763,VLOOKUPS!$A:$B,2,FALSE), "")</f>
        <v/>
      </c>
      <c r="D763" s="13">
        <v>44819</v>
      </c>
      <c r="F763" t="s">
        <v>764</v>
      </c>
      <c r="G763" t="s">
        <v>318</v>
      </c>
      <c r="H763" t="s">
        <v>5</v>
      </c>
      <c r="I763" s="25" t="s">
        <v>319</v>
      </c>
      <c r="M763" t="s">
        <v>790</v>
      </c>
    </row>
    <row r="764" spans="1:13" x14ac:dyDescent="0.35">
      <c r="A764">
        <v>995152</v>
      </c>
      <c r="B764" s="22" t="str">
        <f>IFERROR(VLOOKUP(A764,VLOOKUPS!$A:$B,2,FALSE), "")</f>
        <v/>
      </c>
      <c r="D764" s="13">
        <v>44819</v>
      </c>
      <c r="F764" t="s">
        <v>764</v>
      </c>
      <c r="G764" t="s">
        <v>318</v>
      </c>
      <c r="H764" t="s">
        <v>6</v>
      </c>
      <c r="I764" s="25" t="s">
        <v>319</v>
      </c>
      <c r="M764" t="s">
        <v>790</v>
      </c>
    </row>
    <row r="765" spans="1:13" x14ac:dyDescent="0.35">
      <c r="A765">
        <v>995152</v>
      </c>
      <c r="B765" s="22" t="str">
        <f>IFERROR(VLOOKUP(A765,VLOOKUPS!$A:$B,2,FALSE), "")</f>
        <v/>
      </c>
      <c r="D765" s="13">
        <v>44819</v>
      </c>
      <c r="F765" t="s">
        <v>764</v>
      </c>
      <c r="G765" t="s">
        <v>318</v>
      </c>
      <c r="H765" t="s">
        <v>4</v>
      </c>
      <c r="I765" s="25" t="s">
        <v>319</v>
      </c>
      <c r="M765" t="s">
        <v>790</v>
      </c>
    </row>
    <row r="766" spans="1:13" x14ac:dyDescent="0.35">
      <c r="A766">
        <v>995152</v>
      </c>
      <c r="B766" s="22" t="str">
        <f>IFERROR(VLOOKUP(A766,VLOOKUPS!$A:$B,2,FALSE), "")</f>
        <v/>
      </c>
      <c r="D766" s="13">
        <v>44819</v>
      </c>
      <c r="F766" t="s">
        <v>764</v>
      </c>
      <c r="G766" t="s">
        <v>318</v>
      </c>
      <c r="H766" t="s">
        <v>5</v>
      </c>
      <c r="I766" s="25" t="s">
        <v>319</v>
      </c>
      <c r="M766" t="s">
        <v>790</v>
      </c>
    </row>
    <row r="767" spans="1:13" x14ac:dyDescent="0.35">
      <c r="A767">
        <v>995154</v>
      </c>
      <c r="B767" s="22" t="str">
        <f>IFERROR(VLOOKUP(A767,VLOOKUPS!$A:$B,2,FALSE), "")</f>
        <v/>
      </c>
      <c r="D767" s="13">
        <v>44819</v>
      </c>
      <c r="F767" t="s">
        <v>764</v>
      </c>
      <c r="G767" t="s">
        <v>318</v>
      </c>
      <c r="H767" t="s">
        <v>6</v>
      </c>
      <c r="I767" s="25" t="s">
        <v>319</v>
      </c>
      <c r="M767" t="s">
        <v>790</v>
      </c>
    </row>
    <row r="768" spans="1:13" x14ac:dyDescent="0.35">
      <c r="A768">
        <v>995154</v>
      </c>
      <c r="B768" s="22" t="str">
        <f>IFERROR(VLOOKUP(A768,VLOOKUPS!$A:$B,2,FALSE), "")</f>
        <v/>
      </c>
      <c r="D768" s="13">
        <v>44819</v>
      </c>
      <c r="F768" t="s">
        <v>764</v>
      </c>
      <c r="G768" t="s">
        <v>318</v>
      </c>
      <c r="H768" t="s">
        <v>4</v>
      </c>
      <c r="I768" s="25" t="s">
        <v>319</v>
      </c>
      <c r="M768" t="s">
        <v>790</v>
      </c>
    </row>
    <row r="769" spans="1:13" x14ac:dyDescent="0.35">
      <c r="A769">
        <v>995154</v>
      </c>
      <c r="B769" s="22" t="str">
        <f>IFERROR(VLOOKUP(A769,VLOOKUPS!$A:$B,2,FALSE), "")</f>
        <v/>
      </c>
      <c r="D769" s="13">
        <v>44819</v>
      </c>
      <c r="F769" t="s">
        <v>764</v>
      </c>
      <c r="G769" t="s">
        <v>318</v>
      </c>
      <c r="H769" t="s">
        <v>5</v>
      </c>
      <c r="I769" s="25" t="s">
        <v>319</v>
      </c>
      <c r="M769" t="s">
        <v>790</v>
      </c>
    </row>
    <row r="770" spans="1:13" x14ac:dyDescent="0.35">
      <c r="A770">
        <v>995158</v>
      </c>
      <c r="B770" s="22" t="str">
        <f>IFERROR(VLOOKUP(A770,VLOOKUPS!$A:$B,2,FALSE), "")</f>
        <v/>
      </c>
      <c r="D770" s="13">
        <v>44819</v>
      </c>
      <c r="F770" t="s">
        <v>764</v>
      </c>
      <c r="G770" t="s">
        <v>318</v>
      </c>
      <c r="H770" t="s">
        <v>6</v>
      </c>
      <c r="I770" s="25" t="s">
        <v>319</v>
      </c>
      <c r="M770" t="s">
        <v>790</v>
      </c>
    </row>
    <row r="771" spans="1:13" x14ac:dyDescent="0.35">
      <c r="A771">
        <v>995158</v>
      </c>
      <c r="B771" s="22" t="str">
        <f>IFERROR(VLOOKUP(A771,VLOOKUPS!$A:$B,2,FALSE), "")</f>
        <v/>
      </c>
      <c r="D771" s="13">
        <v>44819</v>
      </c>
      <c r="F771" t="s">
        <v>764</v>
      </c>
      <c r="G771" t="s">
        <v>318</v>
      </c>
      <c r="H771" t="s">
        <v>4</v>
      </c>
      <c r="I771" s="25" t="s">
        <v>319</v>
      </c>
      <c r="M771" t="s">
        <v>790</v>
      </c>
    </row>
    <row r="772" spans="1:13" x14ac:dyDescent="0.35">
      <c r="A772">
        <v>995158</v>
      </c>
      <c r="B772" s="22" t="str">
        <f>IFERROR(VLOOKUP(A772,VLOOKUPS!$A:$B,2,FALSE), "")</f>
        <v/>
      </c>
      <c r="D772" s="13">
        <v>44819</v>
      </c>
      <c r="F772" t="s">
        <v>764</v>
      </c>
      <c r="G772" t="s">
        <v>318</v>
      </c>
      <c r="H772" t="s">
        <v>5</v>
      </c>
      <c r="I772" s="25" t="s">
        <v>319</v>
      </c>
      <c r="M772" t="s">
        <v>790</v>
      </c>
    </row>
    <row r="773" spans="1:13" x14ac:dyDescent="0.35">
      <c r="A773">
        <v>995164</v>
      </c>
      <c r="B773" s="22" t="str">
        <f>IFERROR(VLOOKUP(A773,VLOOKUPS!$A:$B,2,FALSE), "")</f>
        <v/>
      </c>
      <c r="D773" s="13">
        <v>44819</v>
      </c>
      <c r="F773" t="s">
        <v>764</v>
      </c>
      <c r="G773" t="s">
        <v>318</v>
      </c>
      <c r="H773" t="s">
        <v>6</v>
      </c>
      <c r="I773" s="25" t="s">
        <v>319</v>
      </c>
      <c r="M773" t="s">
        <v>790</v>
      </c>
    </row>
    <row r="774" spans="1:13" x14ac:dyDescent="0.35">
      <c r="A774">
        <v>995164</v>
      </c>
      <c r="B774" s="22" t="str">
        <f>IFERROR(VLOOKUP(A774,VLOOKUPS!$A:$B,2,FALSE), "")</f>
        <v/>
      </c>
      <c r="D774" s="13">
        <v>44819</v>
      </c>
      <c r="F774" t="s">
        <v>764</v>
      </c>
      <c r="G774" t="s">
        <v>318</v>
      </c>
      <c r="H774" t="s">
        <v>4</v>
      </c>
      <c r="I774" s="25" t="s">
        <v>319</v>
      </c>
      <c r="M774" t="s">
        <v>790</v>
      </c>
    </row>
    <row r="775" spans="1:13" x14ac:dyDescent="0.35">
      <c r="A775">
        <v>995164</v>
      </c>
      <c r="B775" s="22" t="str">
        <f>IFERROR(VLOOKUP(A775,VLOOKUPS!$A:$B,2,FALSE), "")</f>
        <v/>
      </c>
      <c r="D775" s="13">
        <v>44819</v>
      </c>
      <c r="F775" t="s">
        <v>764</v>
      </c>
      <c r="G775" t="s">
        <v>318</v>
      </c>
      <c r="H775" t="s">
        <v>5</v>
      </c>
      <c r="I775" s="25" t="s">
        <v>319</v>
      </c>
      <c r="M775" t="s">
        <v>790</v>
      </c>
    </row>
    <row r="776" spans="1:13" x14ac:dyDescent="0.35">
      <c r="A776">
        <v>995165</v>
      </c>
      <c r="B776" s="22" t="str">
        <f>IFERROR(VLOOKUP(A776,VLOOKUPS!$A:$B,2,FALSE), "")</f>
        <v/>
      </c>
      <c r="D776" s="13">
        <v>44819</v>
      </c>
      <c r="F776" t="s">
        <v>764</v>
      </c>
      <c r="G776" t="s">
        <v>318</v>
      </c>
      <c r="H776" t="s">
        <v>6</v>
      </c>
      <c r="I776" s="25" t="s">
        <v>319</v>
      </c>
      <c r="M776" t="s">
        <v>790</v>
      </c>
    </row>
    <row r="777" spans="1:13" x14ac:dyDescent="0.35">
      <c r="A777">
        <v>995165</v>
      </c>
      <c r="B777" s="22" t="str">
        <f>IFERROR(VLOOKUP(A777,VLOOKUPS!$A:$B,2,FALSE), "")</f>
        <v/>
      </c>
      <c r="D777" s="13">
        <v>44819</v>
      </c>
      <c r="F777" t="s">
        <v>764</v>
      </c>
      <c r="G777" t="s">
        <v>318</v>
      </c>
      <c r="H777" t="s">
        <v>4</v>
      </c>
      <c r="I777" s="25" t="s">
        <v>319</v>
      </c>
      <c r="M777" t="s">
        <v>790</v>
      </c>
    </row>
    <row r="778" spans="1:13" x14ac:dyDescent="0.35">
      <c r="A778">
        <v>995165</v>
      </c>
      <c r="B778" s="22" t="str">
        <f>IFERROR(VLOOKUP(A778,VLOOKUPS!$A:$B,2,FALSE), "")</f>
        <v/>
      </c>
      <c r="D778" s="13">
        <v>44819</v>
      </c>
      <c r="F778" t="s">
        <v>764</v>
      </c>
      <c r="G778" t="s">
        <v>318</v>
      </c>
      <c r="H778" t="s">
        <v>5</v>
      </c>
      <c r="I778" s="25" t="s">
        <v>319</v>
      </c>
      <c r="M778" t="s">
        <v>790</v>
      </c>
    </row>
    <row r="779" spans="1:13" x14ac:dyDescent="0.35">
      <c r="A779">
        <v>995166</v>
      </c>
      <c r="B779" s="22" t="str">
        <f>IFERROR(VLOOKUP(A779,VLOOKUPS!$A:$B,2,FALSE), "")</f>
        <v/>
      </c>
      <c r="D779" s="13">
        <v>44819</v>
      </c>
      <c r="F779" t="s">
        <v>764</v>
      </c>
      <c r="G779" t="s">
        <v>318</v>
      </c>
      <c r="H779" t="s">
        <v>6</v>
      </c>
      <c r="I779" s="25" t="s">
        <v>319</v>
      </c>
      <c r="M779" t="s">
        <v>790</v>
      </c>
    </row>
    <row r="780" spans="1:13" x14ac:dyDescent="0.35">
      <c r="A780">
        <v>995166</v>
      </c>
      <c r="B780" s="22" t="str">
        <f>IFERROR(VLOOKUP(A780,VLOOKUPS!$A:$B,2,FALSE), "")</f>
        <v/>
      </c>
      <c r="D780" s="13">
        <v>44819</v>
      </c>
      <c r="F780" t="s">
        <v>764</v>
      </c>
      <c r="G780" t="s">
        <v>318</v>
      </c>
      <c r="H780" t="s">
        <v>4</v>
      </c>
      <c r="I780" s="25" t="s">
        <v>319</v>
      </c>
      <c r="M780" t="s">
        <v>790</v>
      </c>
    </row>
    <row r="781" spans="1:13" x14ac:dyDescent="0.35">
      <c r="A781">
        <v>995166</v>
      </c>
      <c r="B781" s="22" t="str">
        <f>IFERROR(VLOOKUP(A781,VLOOKUPS!$A:$B,2,FALSE), "")</f>
        <v/>
      </c>
      <c r="D781" s="13">
        <v>44819</v>
      </c>
      <c r="F781" t="s">
        <v>764</v>
      </c>
      <c r="G781" t="s">
        <v>318</v>
      </c>
      <c r="H781" t="s">
        <v>5</v>
      </c>
      <c r="I781" s="25" t="s">
        <v>319</v>
      </c>
      <c r="M781" t="s">
        <v>790</v>
      </c>
    </row>
    <row r="782" spans="1:13" x14ac:dyDescent="0.35">
      <c r="A782">
        <v>995176</v>
      </c>
      <c r="B782" s="22" t="str">
        <f>IFERROR(VLOOKUP(A782,VLOOKUPS!$A:$B,2,FALSE), "")</f>
        <v/>
      </c>
      <c r="D782" s="13">
        <v>44819</v>
      </c>
      <c r="F782" t="s">
        <v>764</v>
      </c>
      <c r="G782" t="s">
        <v>318</v>
      </c>
      <c r="H782" t="s">
        <v>6</v>
      </c>
      <c r="I782" s="25" t="s">
        <v>319</v>
      </c>
      <c r="M782" t="s">
        <v>790</v>
      </c>
    </row>
    <row r="783" spans="1:13" x14ac:dyDescent="0.35">
      <c r="A783">
        <v>995176</v>
      </c>
      <c r="B783" s="22" t="str">
        <f>IFERROR(VLOOKUP(A783,VLOOKUPS!$A:$B,2,FALSE), "")</f>
        <v/>
      </c>
      <c r="D783" s="13">
        <v>44819</v>
      </c>
      <c r="F783" t="s">
        <v>764</v>
      </c>
      <c r="G783" t="s">
        <v>318</v>
      </c>
      <c r="H783" t="s">
        <v>4</v>
      </c>
      <c r="I783" s="25" t="s">
        <v>319</v>
      </c>
      <c r="M783" t="s">
        <v>790</v>
      </c>
    </row>
    <row r="784" spans="1:13" x14ac:dyDescent="0.35">
      <c r="A784">
        <v>995176</v>
      </c>
      <c r="B784" s="22" t="str">
        <f>IFERROR(VLOOKUP(A784,VLOOKUPS!$A:$B,2,FALSE), "")</f>
        <v/>
      </c>
      <c r="D784" s="13">
        <v>44819</v>
      </c>
      <c r="F784" t="s">
        <v>764</v>
      </c>
      <c r="G784" t="s">
        <v>318</v>
      </c>
      <c r="H784" t="s">
        <v>5</v>
      </c>
      <c r="I784" s="25" t="s">
        <v>319</v>
      </c>
      <c r="M784" t="s">
        <v>790</v>
      </c>
    </row>
    <row r="785" spans="1:13" x14ac:dyDescent="0.35">
      <c r="A785">
        <v>995177</v>
      </c>
      <c r="B785" s="22" t="str">
        <f>IFERROR(VLOOKUP(A785,VLOOKUPS!$A:$B,2,FALSE), "")</f>
        <v/>
      </c>
      <c r="D785" s="13">
        <v>44819</v>
      </c>
      <c r="F785" t="s">
        <v>764</v>
      </c>
      <c r="G785" t="s">
        <v>318</v>
      </c>
      <c r="H785" t="s">
        <v>6</v>
      </c>
      <c r="I785" s="25" t="s">
        <v>319</v>
      </c>
      <c r="M785" t="s">
        <v>790</v>
      </c>
    </row>
    <row r="786" spans="1:13" x14ac:dyDescent="0.35">
      <c r="A786">
        <v>995177</v>
      </c>
      <c r="B786" s="22" t="str">
        <f>IFERROR(VLOOKUP(A786,VLOOKUPS!$A:$B,2,FALSE), "")</f>
        <v/>
      </c>
      <c r="D786" s="13">
        <v>44819</v>
      </c>
      <c r="F786" t="s">
        <v>764</v>
      </c>
      <c r="G786" t="s">
        <v>318</v>
      </c>
      <c r="H786" t="s">
        <v>4</v>
      </c>
      <c r="I786" s="25" t="s">
        <v>319</v>
      </c>
      <c r="M786" t="s">
        <v>790</v>
      </c>
    </row>
    <row r="787" spans="1:13" x14ac:dyDescent="0.35">
      <c r="A787">
        <v>995177</v>
      </c>
      <c r="B787" s="22" t="str">
        <f>IFERROR(VLOOKUP(A787,VLOOKUPS!$A:$B,2,FALSE), "")</f>
        <v/>
      </c>
      <c r="D787" s="13">
        <v>44819</v>
      </c>
      <c r="F787" t="s">
        <v>764</v>
      </c>
      <c r="G787" t="s">
        <v>318</v>
      </c>
      <c r="H787" t="s">
        <v>5</v>
      </c>
      <c r="I787" s="25" t="s">
        <v>319</v>
      </c>
      <c r="M787" t="s">
        <v>790</v>
      </c>
    </row>
    <row r="788" spans="1:13" x14ac:dyDescent="0.35">
      <c r="A788">
        <v>995178</v>
      </c>
      <c r="B788" s="22" t="str">
        <f>IFERROR(VLOOKUP(A788,VLOOKUPS!$A:$B,2,FALSE), "")</f>
        <v/>
      </c>
      <c r="D788" s="13">
        <v>44819</v>
      </c>
      <c r="F788" t="s">
        <v>764</v>
      </c>
      <c r="G788" t="s">
        <v>318</v>
      </c>
      <c r="H788" t="s">
        <v>6</v>
      </c>
      <c r="I788" s="25" t="s">
        <v>319</v>
      </c>
      <c r="M788" t="s">
        <v>790</v>
      </c>
    </row>
    <row r="789" spans="1:13" x14ac:dyDescent="0.35">
      <c r="A789">
        <v>995178</v>
      </c>
      <c r="B789" s="22" t="str">
        <f>IFERROR(VLOOKUP(A789,VLOOKUPS!$A:$B,2,FALSE), "")</f>
        <v/>
      </c>
      <c r="D789" s="13">
        <v>44819</v>
      </c>
      <c r="F789" t="s">
        <v>764</v>
      </c>
      <c r="G789" t="s">
        <v>318</v>
      </c>
      <c r="H789" t="s">
        <v>4</v>
      </c>
      <c r="I789" s="25" t="s">
        <v>319</v>
      </c>
      <c r="M789" t="s">
        <v>790</v>
      </c>
    </row>
    <row r="790" spans="1:13" x14ac:dyDescent="0.35">
      <c r="A790">
        <v>995178</v>
      </c>
      <c r="B790" s="22" t="str">
        <f>IFERROR(VLOOKUP(A790,VLOOKUPS!$A:$B,2,FALSE), "")</f>
        <v/>
      </c>
      <c r="D790" s="13">
        <v>44819</v>
      </c>
      <c r="F790" t="s">
        <v>764</v>
      </c>
      <c r="G790" t="s">
        <v>318</v>
      </c>
      <c r="H790" t="s">
        <v>5</v>
      </c>
      <c r="I790" s="25" t="s">
        <v>319</v>
      </c>
      <c r="M790" t="s">
        <v>790</v>
      </c>
    </row>
    <row r="791" spans="1:13" x14ac:dyDescent="0.35">
      <c r="A791">
        <v>995179</v>
      </c>
      <c r="B791" s="22" t="str">
        <f>IFERROR(VLOOKUP(A791,VLOOKUPS!$A:$B,2,FALSE), "")</f>
        <v/>
      </c>
      <c r="D791" s="13">
        <v>44819</v>
      </c>
      <c r="F791" t="s">
        <v>764</v>
      </c>
      <c r="G791" t="s">
        <v>318</v>
      </c>
      <c r="H791" t="s">
        <v>6</v>
      </c>
      <c r="I791" s="25" t="s">
        <v>319</v>
      </c>
      <c r="M791" t="s">
        <v>790</v>
      </c>
    </row>
    <row r="792" spans="1:13" x14ac:dyDescent="0.35">
      <c r="A792">
        <v>995179</v>
      </c>
      <c r="B792" s="22" t="str">
        <f>IFERROR(VLOOKUP(A792,VLOOKUPS!$A:$B,2,FALSE), "")</f>
        <v/>
      </c>
      <c r="D792" s="13">
        <v>44819</v>
      </c>
      <c r="F792" t="s">
        <v>764</v>
      </c>
      <c r="G792" t="s">
        <v>318</v>
      </c>
      <c r="H792" t="s">
        <v>4</v>
      </c>
      <c r="I792" s="25" t="s">
        <v>319</v>
      </c>
      <c r="M792" t="s">
        <v>790</v>
      </c>
    </row>
    <row r="793" spans="1:13" x14ac:dyDescent="0.35">
      <c r="A793">
        <v>995179</v>
      </c>
      <c r="B793" s="22" t="str">
        <f>IFERROR(VLOOKUP(A793,VLOOKUPS!$A:$B,2,FALSE), "")</f>
        <v/>
      </c>
      <c r="D793" s="13">
        <v>44819</v>
      </c>
      <c r="F793" t="s">
        <v>764</v>
      </c>
      <c r="G793" t="s">
        <v>318</v>
      </c>
      <c r="H793" t="s">
        <v>5</v>
      </c>
      <c r="I793" s="25" t="s">
        <v>319</v>
      </c>
      <c r="M793" t="s">
        <v>790</v>
      </c>
    </row>
    <row r="794" spans="1:13" x14ac:dyDescent="0.35">
      <c r="A794">
        <v>995180</v>
      </c>
      <c r="B794" s="22" t="str">
        <f>IFERROR(VLOOKUP(A794,VLOOKUPS!$A:$B,2,FALSE), "")</f>
        <v/>
      </c>
      <c r="D794" s="13">
        <v>44819</v>
      </c>
      <c r="F794" t="s">
        <v>790</v>
      </c>
      <c r="G794" t="s">
        <v>318</v>
      </c>
      <c r="H794" t="s">
        <v>6</v>
      </c>
      <c r="I794" s="25" t="s">
        <v>319</v>
      </c>
      <c r="M794" t="s">
        <v>790</v>
      </c>
    </row>
    <row r="795" spans="1:13" x14ac:dyDescent="0.35">
      <c r="A795">
        <v>995180</v>
      </c>
      <c r="B795" s="22" t="str">
        <f>IFERROR(VLOOKUP(A795,VLOOKUPS!$A:$B,2,FALSE), "")</f>
        <v/>
      </c>
      <c r="D795" s="13">
        <v>44819</v>
      </c>
      <c r="F795" t="s">
        <v>764</v>
      </c>
      <c r="G795" t="s">
        <v>318</v>
      </c>
      <c r="H795" t="s">
        <v>4</v>
      </c>
      <c r="I795" s="25" t="s">
        <v>319</v>
      </c>
      <c r="M795" t="s">
        <v>790</v>
      </c>
    </row>
    <row r="796" spans="1:13" x14ac:dyDescent="0.35">
      <c r="A796">
        <v>995180</v>
      </c>
      <c r="B796" s="22" t="str">
        <f>IFERROR(VLOOKUP(A796,VLOOKUPS!$A:$B,2,FALSE), "")</f>
        <v/>
      </c>
      <c r="D796" s="13">
        <v>44819</v>
      </c>
      <c r="F796" t="s">
        <v>764</v>
      </c>
      <c r="G796" t="s">
        <v>318</v>
      </c>
      <c r="H796" t="s">
        <v>5</v>
      </c>
      <c r="I796" s="25" t="s">
        <v>319</v>
      </c>
      <c r="M796" t="s">
        <v>790</v>
      </c>
    </row>
    <row r="797" spans="1:13" x14ac:dyDescent="0.35">
      <c r="A797">
        <v>995181</v>
      </c>
      <c r="B797" s="22" t="str">
        <f>IFERROR(VLOOKUP(A797,VLOOKUPS!$A:$B,2,FALSE), "")</f>
        <v/>
      </c>
      <c r="D797" s="13">
        <v>44819</v>
      </c>
      <c r="F797" t="s">
        <v>790</v>
      </c>
      <c r="G797" t="s">
        <v>318</v>
      </c>
      <c r="H797" t="s">
        <v>6</v>
      </c>
      <c r="I797" s="25" t="s">
        <v>319</v>
      </c>
      <c r="M797" t="s">
        <v>790</v>
      </c>
    </row>
    <row r="798" spans="1:13" x14ac:dyDescent="0.35">
      <c r="A798">
        <v>995181</v>
      </c>
      <c r="B798" s="22" t="str">
        <f>IFERROR(VLOOKUP(A798,VLOOKUPS!$A:$B,2,FALSE), "")</f>
        <v/>
      </c>
      <c r="D798" s="13">
        <v>44819</v>
      </c>
      <c r="F798" t="s">
        <v>764</v>
      </c>
      <c r="G798" t="s">
        <v>318</v>
      </c>
      <c r="H798" t="s">
        <v>4</v>
      </c>
      <c r="I798" s="25" t="s">
        <v>319</v>
      </c>
      <c r="M798" t="s">
        <v>790</v>
      </c>
    </row>
    <row r="799" spans="1:13" x14ac:dyDescent="0.35">
      <c r="A799">
        <v>995181</v>
      </c>
      <c r="B799" s="22" t="str">
        <f>IFERROR(VLOOKUP(A799,VLOOKUPS!$A:$B,2,FALSE), "")</f>
        <v/>
      </c>
      <c r="D799" s="13">
        <v>44819</v>
      </c>
      <c r="F799" t="s">
        <v>790</v>
      </c>
      <c r="G799" t="s">
        <v>318</v>
      </c>
      <c r="H799" t="s">
        <v>5</v>
      </c>
      <c r="I799" s="25" t="s">
        <v>319</v>
      </c>
      <c r="M799" t="s">
        <v>790</v>
      </c>
    </row>
    <row r="800" spans="1:13" x14ac:dyDescent="0.35">
      <c r="A800">
        <v>995184</v>
      </c>
      <c r="B800" s="22" t="str">
        <f>IFERROR(VLOOKUP(A800,VLOOKUPS!$A:$B,2,FALSE), "")</f>
        <v/>
      </c>
      <c r="D800" s="13">
        <v>44819</v>
      </c>
      <c r="F800" t="s">
        <v>790</v>
      </c>
      <c r="G800" t="s">
        <v>318</v>
      </c>
      <c r="H800" t="s">
        <v>6</v>
      </c>
      <c r="I800" s="25" t="s">
        <v>319</v>
      </c>
      <c r="M800" t="s">
        <v>790</v>
      </c>
    </row>
    <row r="801" spans="1:14" x14ac:dyDescent="0.35">
      <c r="A801">
        <v>995184</v>
      </c>
      <c r="B801" s="22" t="str">
        <f>IFERROR(VLOOKUP(A801,VLOOKUPS!$A:$B,2,FALSE), "")</f>
        <v/>
      </c>
      <c r="D801" s="13">
        <v>44819</v>
      </c>
      <c r="F801" t="s">
        <v>764</v>
      </c>
      <c r="G801" t="s">
        <v>318</v>
      </c>
      <c r="H801" t="s">
        <v>4</v>
      </c>
      <c r="I801" s="25" t="s">
        <v>319</v>
      </c>
      <c r="M801" t="s">
        <v>790</v>
      </c>
    </row>
    <row r="802" spans="1:14" x14ac:dyDescent="0.35">
      <c r="A802">
        <v>995184</v>
      </c>
      <c r="B802" s="22" t="str">
        <f>IFERROR(VLOOKUP(A802,VLOOKUPS!$A:$B,2,FALSE), "")</f>
        <v/>
      </c>
      <c r="D802" s="13">
        <v>44819</v>
      </c>
      <c r="F802" t="s">
        <v>790</v>
      </c>
      <c r="G802" t="s">
        <v>318</v>
      </c>
      <c r="H802" t="s">
        <v>5</v>
      </c>
      <c r="I802" s="25" t="s">
        <v>319</v>
      </c>
      <c r="M802" t="s">
        <v>790</v>
      </c>
    </row>
    <row r="803" spans="1:14" x14ac:dyDescent="0.35">
      <c r="A803">
        <v>995186</v>
      </c>
      <c r="B803" s="22" t="str">
        <f>IFERROR(VLOOKUP(A803,VLOOKUPS!$A:$B,2,FALSE), "")</f>
        <v/>
      </c>
      <c r="D803" s="13">
        <v>44819</v>
      </c>
      <c r="F803" t="s">
        <v>764</v>
      </c>
      <c r="G803" t="s">
        <v>318</v>
      </c>
      <c r="H803" t="s">
        <v>6</v>
      </c>
      <c r="I803" s="25" t="s">
        <v>319</v>
      </c>
      <c r="M803" t="s">
        <v>790</v>
      </c>
    </row>
    <row r="804" spans="1:14" x14ac:dyDescent="0.35">
      <c r="A804">
        <v>995186</v>
      </c>
      <c r="B804" s="22" t="str">
        <f>IFERROR(VLOOKUP(A804,VLOOKUPS!$A:$B,2,FALSE), "")</f>
        <v/>
      </c>
      <c r="D804" s="13">
        <v>44819</v>
      </c>
      <c r="F804" t="s">
        <v>764</v>
      </c>
      <c r="G804" t="s">
        <v>318</v>
      </c>
      <c r="H804" t="s">
        <v>4</v>
      </c>
      <c r="I804" s="25" t="s">
        <v>319</v>
      </c>
      <c r="M804" t="s">
        <v>790</v>
      </c>
    </row>
    <row r="805" spans="1:14" x14ac:dyDescent="0.35">
      <c r="A805">
        <v>995186</v>
      </c>
      <c r="B805" s="22" t="str">
        <f>IFERROR(VLOOKUP(A805,VLOOKUPS!$A:$B,2,FALSE), "")</f>
        <v/>
      </c>
      <c r="D805" s="13">
        <v>44819</v>
      </c>
      <c r="F805" t="s">
        <v>764</v>
      </c>
      <c r="G805" t="s">
        <v>318</v>
      </c>
      <c r="H805" t="s">
        <v>5</v>
      </c>
      <c r="I805" s="25" t="s">
        <v>319</v>
      </c>
      <c r="M805" t="s">
        <v>790</v>
      </c>
    </row>
    <row r="806" spans="1:14" x14ac:dyDescent="0.35">
      <c r="A806">
        <v>995188</v>
      </c>
      <c r="B806" s="22" t="str">
        <f>IFERROR(VLOOKUP(A806,VLOOKUPS!$A:$B,2,FALSE), "")</f>
        <v/>
      </c>
      <c r="D806" s="13">
        <v>44819</v>
      </c>
      <c r="F806" t="s">
        <v>790</v>
      </c>
      <c r="G806" t="s">
        <v>318</v>
      </c>
      <c r="H806" t="s">
        <v>6</v>
      </c>
      <c r="I806" s="25" t="s">
        <v>319</v>
      </c>
      <c r="M806" t="s">
        <v>790</v>
      </c>
    </row>
    <row r="807" spans="1:14" x14ac:dyDescent="0.35">
      <c r="A807">
        <v>995188</v>
      </c>
      <c r="B807" s="22" t="str">
        <f>IFERROR(VLOOKUP(A807,VLOOKUPS!$A:$B,2,FALSE), "")</f>
        <v/>
      </c>
      <c r="D807" s="13">
        <v>44819</v>
      </c>
      <c r="F807" t="s">
        <v>764</v>
      </c>
      <c r="G807" t="s">
        <v>318</v>
      </c>
      <c r="H807" t="s">
        <v>4</v>
      </c>
      <c r="I807" s="25" t="s">
        <v>319</v>
      </c>
      <c r="M807" t="s">
        <v>790</v>
      </c>
    </row>
    <row r="808" spans="1:14" x14ac:dyDescent="0.35">
      <c r="A808">
        <v>995188</v>
      </c>
      <c r="B808" s="22" t="str">
        <f>IFERROR(VLOOKUP(A808,VLOOKUPS!$A:$B,2,FALSE), "")</f>
        <v/>
      </c>
      <c r="D808" s="13">
        <v>44819</v>
      </c>
      <c r="F808" t="s">
        <v>790</v>
      </c>
      <c r="G808" t="s">
        <v>318</v>
      </c>
      <c r="H808" t="s">
        <v>5</v>
      </c>
      <c r="I808" s="25" t="s">
        <v>319</v>
      </c>
      <c r="M808" t="s">
        <v>790</v>
      </c>
    </row>
    <row r="809" spans="1:14" x14ac:dyDescent="0.35">
      <c r="A809">
        <v>995190</v>
      </c>
      <c r="B809" s="22" t="str">
        <f>IFERROR(VLOOKUP(A809,VLOOKUPS!$A:$B,2,FALSE), "")</f>
        <v>Organic Green Beans 12oz-standard</v>
      </c>
      <c r="D809" s="13">
        <v>44819</v>
      </c>
      <c r="F809" t="s">
        <v>764</v>
      </c>
      <c r="G809" t="s">
        <v>318</v>
      </c>
      <c r="H809" t="s">
        <v>6</v>
      </c>
      <c r="I809" s="25" t="s">
        <v>319</v>
      </c>
      <c r="N809" s="6" t="b">
        <f>ISNA(MATCH(A809, [1]US!$A:$A, 0))</f>
        <v>1</v>
      </c>
    </row>
    <row r="810" spans="1:14" x14ac:dyDescent="0.35">
      <c r="A810">
        <v>995190</v>
      </c>
      <c r="B810" s="22" t="str">
        <f>IFERROR(VLOOKUP(A810,VLOOKUPS!$A:$B,2,FALSE), "")</f>
        <v>Organic Green Beans 12oz-standard</v>
      </c>
      <c r="D810" s="13">
        <v>44819</v>
      </c>
      <c r="F810" t="s">
        <v>764</v>
      </c>
      <c r="G810" t="s">
        <v>318</v>
      </c>
      <c r="H810" t="s">
        <v>4</v>
      </c>
      <c r="I810" s="25" t="s">
        <v>319</v>
      </c>
      <c r="N810" s="6" t="b">
        <f>ISNA(MATCH(A810, [1]US!$A:$A, 0))</f>
        <v>1</v>
      </c>
    </row>
    <row r="811" spans="1:14" x14ac:dyDescent="0.35">
      <c r="A811">
        <v>995190</v>
      </c>
      <c r="B811" s="22" t="str">
        <f>IFERROR(VLOOKUP(A811,VLOOKUPS!$A:$B,2,FALSE), "")</f>
        <v>Organic Green Beans 12oz-standard</v>
      </c>
      <c r="D811" s="13">
        <v>44819</v>
      </c>
      <c r="F811" t="s">
        <v>764</v>
      </c>
      <c r="G811" t="s">
        <v>318</v>
      </c>
      <c r="H811" t="s">
        <v>5</v>
      </c>
      <c r="I811" s="25" t="s">
        <v>319</v>
      </c>
      <c r="N811" s="6" t="b">
        <f>ISNA(MATCH(A811, [1]US!$A:$A, 0))</f>
        <v>1</v>
      </c>
    </row>
    <row r="812" spans="1:14" x14ac:dyDescent="0.35">
      <c r="A812">
        <v>995192</v>
      </c>
      <c r="B812" s="22" t="str">
        <f>IFERROR(VLOOKUP(A812,VLOOKUPS!$A:$B,2,FALSE), "")</f>
        <v>Green Beans 32oz-standard</v>
      </c>
      <c r="D812" s="13">
        <v>44819</v>
      </c>
      <c r="F812" t="s">
        <v>764</v>
      </c>
      <c r="G812" t="s">
        <v>318</v>
      </c>
      <c r="H812" t="s">
        <v>6</v>
      </c>
      <c r="I812" s="25" t="s">
        <v>319</v>
      </c>
      <c r="M812" t="s">
        <v>790</v>
      </c>
    </row>
    <row r="813" spans="1:14" x14ac:dyDescent="0.35">
      <c r="A813">
        <v>995192</v>
      </c>
      <c r="B813" s="22" t="str">
        <f>IFERROR(VLOOKUP(A813,VLOOKUPS!$A:$B,2,FALSE), "")</f>
        <v>Green Beans 32oz-standard</v>
      </c>
      <c r="D813" s="13">
        <v>44819</v>
      </c>
      <c r="F813" t="s">
        <v>764</v>
      </c>
      <c r="G813" t="s">
        <v>318</v>
      </c>
      <c r="H813" t="s">
        <v>4</v>
      </c>
      <c r="I813" s="25" t="s">
        <v>319</v>
      </c>
      <c r="M813" t="s">
        <v>790</v>
      </c>
    </row>
    <row r="814" spans="1:14" x14ac:dyDescent="0.35">
      <c r="A814">
        <v>995192</v>
      </c>
      <c r="B814" s="22" t="str">
        <f>IFERROR(VLOOKUP(A814,VLOOKUPS!$A:$B,2,FALSE), "")</f>
        <v>Green Beans 32oz-standard</v>
      </c>
      <c r="D814" s="13">
        <v>44819</v>
      </c>
      <c r="F814" t="s">
        <v>764</v>
      </c>
      <c r="G814" t="s">
        <v>318</v>
      </c>
      <c r="H814" t="s">
        <v>5</v>
      </c>
      <c r="I814" s="25" t="s">
        <v>319</v>
      </c>
      <c r="M814" t="s">
        <v>790</v>
      </c>
    </row>
    <row r="815" spans="1:14" x14ac:dyDescent="0.35">
      <c r="A815">
        <v>995194</v>
      </c>
      <c r="B815" s="22" t="str">
        <f>IFERROR(VLOOKUP(A815,VLOOKUPS!$A:$B,2,FALSE), "")</f>
        <v/>
      </c>
      <c r="D815" s="13">
        <v>44819</v>
      </c>
      <c r="F815" t="s">
        <v>764</v>
      </c>
      <c r="G815" t="s">
        <v>318</v>
      </c>
      <c r="H815" t="s">
        <v>6</v>
      </c>
      <c r="I815" s="25" t="s">
        <v>319</v>
      </c>
      <c r="M815" t="s">
        <v>790</v>
      </c>
    </row>
    <row r="816" spans="1:14" x14ac:dyDescent="0.35">
      <c r="A816">
        <v>995194</v>
      </c>
      <c r="B816" s="22" t="str">
        <f>IFERROR(VLOOKUP(A816,VLOOKUPS!$A:$B,2,FALSE), "")</f>
        <v/>
      </c>
      <c r="D816" s="13">
        <v>44819</v>
      </c>
      <c r="F816" t="s">
        <v>764</v>
      </c>
      <c r="G816" t="s">
        <v>318</v>
      </c>
      <c r="H816" t="s">
        <v>4</v>
      </c>
      <c r="I816" s="25" t="s">
        <v>319</v>
      </c>
      <c r="M816" t="s">
        <v>790</v>
      </c>
    </row>
    <row r="817" spans="1:14" x14ac:dyDescent="0.35">
      <c r="A817">
        <v>995194</v>
      </c>
      <c r="B817" s="22" t="str">
        <f>IFERROR(VLOOKUP(A817,VLOOKUPS!$A:$B,2,FALSE), "")</f>
        <v/>
      </c>
      <c r="D817" s="13">
        <v>44819</v>
      </c>
      <c r="F817" t="s">
        <v>764</v>
      </c>
      <c r="G817" t="s">
        <v>318</v>
      </c>
      <c r="H817" t="s">
        <v>5</v>
      </c>
      <c r="I817" s="25" t="s">
        <v>319</v>
      </c>
      <c r="M817" t="s">
        <v>790</v>
      </c>
    </row>
    <row r="818" spans="1:14" x14ac:dyDescent="0.35">
      <c r="A818">
        <v>995195</v>
      </c>
      <c r="B818" s="22" t="str">
        <f>IFERROR(VLOOKUP(A818,VLOOKUPS!$A:$B,2,FALSE), "")</f>
        <v/>
      </c>
      <c r="D818" s="13">
        <v>44819</v>
      </c>
      <c r="F818" t="s">
        <v>764</v>
      </c>
      <c r="G818" t="s">
        <v>318</v>
      </c>
      <c r="H818" t="s">
        <v>6</v>
      </c>
      <c r="I818" s="25" t="s">
        <v>319</v>
      </c>
      <c r="M818" t="s">
        <v>790</v>
      </c>
    </row>
    <row r="819" spans="1:14" x14ac:dyDescent="0.35">
      <c r="A819">
        <v>995195</v>
      </c>
      <c r="B819" s="22" t="str">
        <f>IFERROR(VLOOKUP(A819,VLOOKUPS!$A:$B,2,FALSE), "")</f>
        <v/>
      </c>
      <c r="D819" s="13">
        <v>44819</v>
      </c>
      <c r="F819" t="s">
        <v>764</v>
      </c>
      <c r="G819" t="s">
        <v>318</v>
      </c>
      <c r="H819" t="s">
        <v>4</v>
      </c>
      <c r="I819" s="25" t="s">
        <v>319</v>
      </c>
      <c r="M819" t="s">
        <v>790</v>
      </c>
    </row>
    <row r="820" spans="1:14" x14ac:dyDescent="0.35">
      <c r="A820">
        <v>995195</v>
      </c>
      <c r="B820" s="22" t="str">
        <f>IFERROR(VLOOKUP(A820,VLOOKUPS!$A:$B,2,FALSE), "")</f>
        <v/>
      </c>
      <c r="D820" s="13">
        <v>44819</v>
      </c>
      <c r="F820" t="s">
        <v>764</v>
      </c>
      <c r="G820" t="s">
        <v>318</v>
      </c>
      <c r="H820" t="s">
        <v>5</v>
      </c>
      <c r="I820" s="25" t="s">
        <v>319</v>
      </c>
      <c r="M820" t="s">
        <v>790</v>
      </c>
    </row>
    <row r="821" spans="1:14" x14ac:dyDescent="0.35">
      <c r="A821">
        <v>995196</v>
      </c>
      <c r="B821" s="22" t="str">
        <f>IFERROR(VLOOKUP(A821,VLOOKUPS!$A:$B,2,FALSE), "")</f>
        <v/>
      </c>
      <c r="D821" s="13">
        <v>44819</v>
      </c>
      <c r="F821" t="s">
        <v>764</v>
      </c>
      <c r="G821" t="s">
        <v>318</v>
      </c>
      <c r="H821" t="s">
        <v>6</v>
      </c>
      <c r="I821" s="25" t="s">
        <v>319</v>
      </c>
      <c r="N821" s="6" t="b">
        <f>ISNA(MATCH(A821, [1]US!$A:$A, 0))</f>
        <v>1</v>
      </c>
    </row>
    <row r="822" spans="1:14" x14ac:dyDescent="0.35">
      <c r="A822">
        <v>995197</v>
      </c>
      <c r="B822" s="22" t="str">
        <f>IFERROR(VLOOKUP(A822,VLOOKUPS!$A:$B,2,FALSE), "")</f>
        <v/>
      </c>
      <c r="D822" s="13">
        <v>44819</v>
      </c>
      <c r="F822" t="s">
        <v>764</v>
      </c>
      <c r="G822" t="s">
        <v>318</v>
      </c>
      <c r="H822" t="s">
        <v>6</v>
      </c>
      <c r="I822" s="25" t="s">
        <v>319</v>
      </c>
      <c r="M822" t="s">
        <v>790</v>
      </c>
    </row>
    <row r="823" spans="1:14" x14ac:dyDescent="0.35">
      <c r="A823">
        <v>995197</v>
      </c>
      <c r="B823" s="22" t="str">
        <f>IFERROR(VLOOKUP(A823,VLOOKUPS!$A:$B,2,FALSE), "")</f>
        <v/>
      </c>
      <c r="D823" s="13">
        <v>44819</v>
      </c>
      <c r="F823" t="s">
        <v>764</v>
      </c>
      <c r="G823" t="s">
        <v>318</v>
      </c>
      <c r="H823" t="s">
        <v>4</v>
      </c>
      <c r="I823" s="25" t="s">
        <v>319</v>
      </c>
      <c r="M823" t="s">
        <v>790</v>
      </c>
    </row>
    <row r="824" spans="1:14" x14ac:dyDescent="0.35">
      <c r="A824">
        <v>995197</v>
      </c>
      <c r="B824" s="22" t="str">
        <f>IFERROR(VLOOKUP(A824,VLOOKUPS!$A:$B,2,FALSE), "")</f>
        <v/>
      </c>
      <c r="D824" s="13">
        <v>44819</v>
      </c>
      <c r="F824" t="s">
        <v>764</v>
      </c>
      <c r="G824" t="s">
        <v>318</v>
      </c>
      <c r="H824" t="s">
        <v>5</v>
      </c>
      <c r="I824" s="25" t="s">
        <v>319</v>
      </c>
      <c r="M824" t="s">
        <v>790</v>
      </c>
    </row>
    <row r="825" spans="1:14" x14ac:dyDescent="0.35">
      <c r="A825">
        <v>995198</v>
      </c>
      <c r="B825" s="22" t="str">
        <f>IFERROR(VLOOKUP(A825,VLOOKUPS!$A:$B,2,FALSE), "")</f>
        <v/>
      </c>
      <c r="D825" s="13">
        <v>44819</v>
      </c>
      <c r="F825" t="s">
        <v>764</v>
      </c>
      <c r="G825" t="s">
        <v>318</v>
      </c>
      <c r="H825" t="s">
        <v>6</v>
      </c>
      <c r="I825" s="25" t="s">
        <v>319</v>
      </c>
      <c r="M825" t="s">
        <v>790</v>
      </c>
    </row>
    <row r="826" spans="1:14" x14ac:dyDescent="0.35">
      <c r="A826">
        <v>995198</v>
      </c>
      <c r="B826" s="22" t="str">
        <f>IFERROR(VLOOKUP(A826,VLOOKUPS!$A:$B,2,FALSE), "")</f>
        <v/>
      </c>
      <c r="D826" s="13">
        <v>44819</v>
      </c>
      <c r="F826" t="s">
        <v>764</v>
      </c>
      <c r="G826" t="s">
        <v>318</v>
      </c>
      <c r="H826" t="s">
        <v>4</v>
      </c>
      <c r="I826" s="25" t="s">
        <v>319</v>
      </c>
      <c r="M826" t="s">
        <v>790</v>
      </c>
    </row>
    <row r="827" spans="1:14" x14ac:dyDescent="0.35">
      <c r="A827">
        <v>995198</v>
      </c>
      <c r="B827" s="22" t="str">
        <f>IFERROR(VLOOKUP(A827,VLOOKUPS!$A:$B,2,FALSE), "")</f>
        <v/>
      </c>
      <c r="D827" s="13">
        <v>44819</v>
      </c>
      <c r="F827" t="s">
        <v>764</v>
      </c>
      <c r="G827" t="s">
        <v>318</v>
      </c>
      <c r="H827" t="s">
        <v>5</v>
      </c>
      <c r="I827" s="25" t="s">
        <v>319</v>
      </c>
      <c r="M827" t="s">
        <v>790</v>
      </c>
    </row>
    <row r="828" spans="1:14" x14ac:dyDescent="0.35">
      <c r="A828">
        <v>995200</v>
      </c>
      <c r="B828" s="22" t="str">
        <f>IFERROR(VLOOKUP(A828,VLOOKUPS!$A:$B,2,FALSE), "")</f>
        <v>Lemon Parmesan Sheet Pan Meal 21.1oz-standard</v>
      </c>
      <c r="D828" s="13">
        <v>44819</v>
      </c>
      <c r="F828" t="s">
        <v>764</v>
      </c>
      <c r="G828" t="s">
        <v>318</v>
      </c>
      <c r="H828" t="s">
        <v>6</v>
      </c>
      <c r="I828" s="25" t="s">
        <v>319</v>
      </c>
      <c r="M828" t="s">
        <v>790</v>
      </c>
    </row>
    <row r="829" spans="1:14" x14ac:dyDescent="0.35">
      <c r="A829">
        <v>995200</v>
      </c>
      <c r="B829" s="22" t="str">
        <f>IFERROR(VLOOKUP(A829,VLOOKUPS!$A:$B,2,FALSE), "")</f>
        <v>Lemon Parmesan Sheet Pan Meal 21.1oz-standard</v>
      </c>
      <c r="D829" s="13">
        <v>44819</v>
      </c>
      <c r="F829" t="s">
        <v>764</v>
      </c>
      <c r="G829" t="s">
        <v>318</v>
      </c>
      <c r="H829" t="s">
        <v>4</v>
      </c>
      <c r="I829" s="25" t="s">
        <v>319</v>
      </c>
      <c r="M829" t="s">
        <v>790</v>
      </c>
    </row>
    <row r="830" spans="1:14" x14ac:dyDescent="0.35">
      <c r="A830">
        <v>995200</v>
      </c>
      <c r="B830" s="22" t="str">
        <f>IFERROR(VLOOKUP(A830,VLOOKUPS!$A:$B,2,FALSE), "")</f>
        <v>Lemon Parmesan Sheet Pan Meal 21.1oz-standard</v>
      </c>
      <c r="D830" s="13">
        <v>44819</v>
      </c>
      <c r="F830" t="s">
        <v>764</v>
      </c>
      <c r="G830" t="s">
        <v>318</v>
      </c>
      <c r="H830" t="s">
        <v>5</v>
      </c>
      <c r="I830" s="25" t="s">
        <v>319</v>
      </c>
      <c r="M830" t="s">
        <v>790</v>
      </c>
    </row>
    <row r="831" spans="1:14" x14ac:dyDescent="0.35">
      <c r="A831">
        <v>995201</v>
      </c>
      <c r="B831" s="22" t="str">
        <f>IFERROR(VLOOKUP(A831,VLOOKUPS!$A:$B,2,FALSE), "")</f>
        <v/>
      </c>
      <c r="D831" s="13">
        <v>44819</v>
      </c>
      <c r="F831" t="s">
        <v>764</v>
      </c>
      <c r="G831" t="s">
        <v>318</v>
      </c>
      <c r="H831" t="s">
        <v>6</v>
      </c>
      <c r="I831" s="25" t="s">
        <v>319</v>
      </c>
      <c r="M831" t="s">
        <v>790</v>
      </c>
    </row>
    <row r="832" spans="1:14" x14ac:dyDescent="0.35">
      <c r="A832">
        <v>995201</v>
      </c>
      <c r="B832" s="22" t="str">
        <f>IFERROR(VLOOKUP(A832,VLOOKUPS!$A:$B,2,FALSE), "")</f>
        <v/>
      </c>
      <c r="D832" s="13">
        <v>44819</v>
      </c>
      <c r="F832" t="s">
        <v>764</v>
      </c>
      <c r="G832" t="s">
        <v>318</v>
      </c>
      <c r="H832" t="s">
        <v>4</v>
      </c>
      <c r="I832" s="25" t="s">
        <v>319</v>
      </c>
      <c r="M832" t="s">
        <v>790</v>
      </c>
    </row>
    <row r="833" spans="1:13" x14ac:dyDescent="0.35">
      <c r="A833">
        <v>995201</v>
      </c>
      <c r="B833" s="22" t="str">
        <f>IFERROR(VLOOKUP(A833,VLOOKUPS!$A:$B,2,FALSE), "")</f>
        <v/>
      </c>
      <c r="D833" s="13">
        <v>44819</v>
      </c>
      <c r="F833" t="s">
        <v>764</v>
      </c>
      <c r="G833" t="s">
        <v>318</v>
      </c>
      <c r="H833" t="s">
        <v>5</v>
      </c>
      <c r="I833" s="25" t="s">
        <v>319</v>
      </c>
      <c r="M833" t="s">
        <v>790</v>
      </c>
    </row>
    <row r="834" spans="1:13" x14ac:dyDescent="0.35">
      <c r="A834">
        <v>995202</v>
      </c>
      <c r="B834" s="22" t="str">
        <f>IFERROR(VLOOKUP(A834,VLOOKUPS!$A:$B,2,FALSE), "")</f>
        <v/>
      </c>
      <c r="D834" s="13">
        <v>44819</v>
      </c>
      <c r="F834" t="s">
        <v>764</v>
      </c>
      <c r="G834" t="s">
        <v>318</v>
      </c>
      <c r="H834" t="s">
        <v>6</v>
      </c>
      <c r="I834" s="25" t="s">
        <v>319</v>
      </c>
      <c r="M834" t="s">
        <v>790</v>
      </c>
    </row>
    <row r="835" spans="1:13" x14ac:dyDescent="0.35">
      <c r="A835">
        <v>995202</v>
      </c>
      <c r="B835" s="22" t="str">
        <f>IFERROR(VLOOKUP(A835,VLOOKUPS!$A:$B,2,FALSE), "")</f>
        <v/>
      </c>
      <c r="D835" s="13">
        <v>44819</v>
      </c>
      <c r="F835" t="s">
        <v>764</v>
      </c>
      <c r="G835" t="s">
        <v>318</v>
      </c>
      <c r="H835" t="s">
        <v>4</v>
      </c>
      <c r="I835" s="25" t="s">
        <v>319</v>
      </c>
      <c r="M835" t="s">
        <v>790</v>
      </c>
    </row>
    <row r="836" spans="1:13" x14ac:dyDescent="0.35">
      <c r="A836">
        <v>995202</v>
      </c>
      <c r="B836" s="22" t="str">
        <f>IFERROR(VLOOKUP(A836,VLOOKUPS!$A:$B,2,FALSE), "")</f>
        <v/>
      </c>
      <c r="D836" s="13">
        <v>44819</v>
      </c>
      <c r="F836" t="s">
        <v>764</v>
      </c>
      <c r="G836" t="s">
        <v>318</v>
      </c>
      <c r="H836" t="s">
        <v>5</v>
      </c>
      <c r="I836" s="25" t="s">
        <v>319</v>
      </c>
      <c r="M836" t="s">
        <v>790</v>
      </c>
    </row>
    <row r="837" spans="1:13" x14ac:dyDescent="0.35">
      <c r="A837">
        <v>995203</v>
      </c>
      <c r="B837" s="22" t="str">
        <f>IFERROR(VLOOKUP(A837,VLOOKUPS!$A:$B,2,FALSE), "")</f>
        <v/>
      </c>
      <c r="D837" s="13">
        <v>44819</v>
      </c>
      <c r="F837" t="s">
        <v>764</v>
      </c>
      <c r="G837" t="s">
        <v>318</v>
      </c>
      <c r="H837" t="s">
        <v>6</v>
      </c>
      <c r="I837" s="25" t="s">
        <v>319</v>
      </c>
      <c r="M837" t="s">
        <v>790</v>
      </c>
    </row>
    <row r="838" spans="1:13" x14ac:dyDescent="0.35">
      <c r="A838">
        <v>995203</v>
      </c>
      <c r="B838" s="22" t="str">
        <f>IFERROR(VLOOKUP(A838,VLOOKUPS!$A:$B,2,FALSE), "")</f>
        <v/>
      </c>
      <c r="D838" s="13">
        <v>44819</v>
      </c>
      <c r="F838" t="s">
        <v>764</v>
      </c>
      <c r="G838" t="s">
        <v>318</v>
      </c>
      <c r="H838" t="s">
        <v>4</v>
      </c>
      <c r="I838" s="25" t="s">
        <v>319</v>
      </c>
      <c r="M838" t="s">
        <v>790</v>
      </c>
    </row>
    <row r="839" spans="1:13" x14ac:dyDescent="0.35">
      <c r="A839">
        <v>995203</v>
      </c>
      <c r="B839" s="22" t="str">
        <f>IFERROR(VLOOKUP(A839,VLOOKUPS!$A:$B,2,FALSE), "")</f>
        <v/>
      </c>
      <c r="D839" s="13">
        <v>44819</v>
      </c>
      <c r="F839" t="s">
        <v>764</v>
      </c>
      <c r="G839" t="s">
        <v>318</v>
      </c>
      <c r="H839" t="s">
        <v>5</v>
      </c>
      <c r="I839" s="25" t="s">
        <v>319</v>
      </c>
      <c r="M839" t="s">
        <v>790</v>
      </c>
    </row>
    <row r="840" spans="1:13" x14ac:dyDescent="0.35">
      <c r="A840">
        <v>995206</v>
      </c>
      <c r="B840" s="22" t="str">
        <f>IFERROR(VLOOKUP(A840,VLOOKUPS!$A:$B,2,FALSE), "")</f>
        <v/>
      </c>
      <c r="D840" s="13">
        <v>44819</v>
      </c>
      <c r="F840" t="s">
        <v>764</v>
      </c>
      <c r="G840" t="s">
        <v>318</v>
      </c>
      <c r="H840" t="s">
        <v>6</v>
      </c>
      <c r="I840" s="25" t="s">
        <v>319</v>
      </c>
      <c r="M840" t="s">
        <v>790</v>
      </c>
    </row>
    <row r="841" spans="1:13" x14ac:dyDescent="0.35">
      <c r="A841">
        <v>995206</v>
      </c>
      <c r="B841" s="22" t="str">
        <f>IFERROR(VLOOKUP(A841,VLOOKUPS!$A:$B,2,FALSE), "")</f>
        <v/>
      </c>
      <c r="D841" s="13">
        <v>44819</v>
      </c>
      <c r="F841" t="s">
        <v>764</v>
      </c>
      <c r="G841" t="s">
        <v>318</v>
      </c>
      <c r="H841" t="s">
        <v>4</v>
      </c>
      <c r="I841" s="25" t="s">
        <v>319</v>
      </c>
      <c r="M841" t="s">
        <v>790</v>
      </c>
    </row>
    <row r="842" spans="1:13" x14ac:dyDescent="0.35">
      <c r="A842">
        <v>995207</v>
      </c>
      <c r="B842" s="22" t="str">
        <f>IFERROR(VLOOKUP(A842,VLOOKUPS!$A:$B,2,FALSE), "")</f>
        <v/>
      </c>
      <c r="D842" s="13">
        <v>44819</v>
      </c>
      <c r="F842" t="s">
        <v>764</v>
      </c>
      <c r="G842" t="s">
        <v>318</v>
      </c>
      <c r="H842" t="s">
        <v>6</v>
      </c>
      <c r="I842" s="25" t="s">
        <v>319</v>
      </c>
      <c r="M842" t="s">
        <v>790</v>
      </c>
    </row>
    <row r="843" spans="1:13" x14ac:dyDescent="0.35">
      <c r="A843">
        <v>995207</v>
      </c>
      <c r="B843" s="22" t="str">
        <f>IFERROR(VLOOKUP(A843,VLOOKUPS!$A:$B,2,FALSE), "")</f>
        <v/>
      </c>
      <c r="D843" s="13">
        <v>44819</v>
      </c>
      <c r="F843" t="s">
        <v>764</v>
      </c>
      <c r="G843" t="s">
        <v>318</v>
      </c>
      <c r="H843" t="s">
        <v>4</v>
      </c>
      <c r="I843" s="25" t="s">
        <v>319</v>
      </c>
      <c r="M843" t="s">
        <v>790</v>
      </c>
    </row>
    <row r="844" spans="1:13" x14ac:dyDescent="0.35">
      <c r="A844">
        <v>995207</v>
      </c>
      <c r="B844" s="22" t="str">
        <f>IFERROR(VLOOKUP(A844,VLOOKUPS!$A:$B,2,FALSE), "")</f>
        <v/>
      </c>
      <c r="D844" s="13">
        <v>44819</v>
      </c>
      <c r="F844" t="s">
        <v>764</v>
      </c>
      <c r="G844" t="s">
        <v>318</v>
      </c>
      <c r="H844" t="s">
        <v>5</v>
      </c>
      <c r="I844" s="25" t="s">
        <v>319</v>
      </c>
      <c r="M844" t="s">
        <v>790</v>
      </c>
    </row>
    <row r="845" spans="1:13" x14ac:dyDescent="0.35">
      <c r="A845">
        <v>995208</v>
      </c>
      <c r="B845" s="22" t="str">
        <f>IFERROR(VLOOKUP(A845,VLOOKUPS!$A:$B,2,FALSE), "")</f>
        <v/>
      </c>
      <c r="D845" s="13">
        <v>44819</v>
      </c>
      <c r="F845" t="s">
        <v>764</v>
      </c>
      <c r="G845" t="s">
        <v>318</v>
      </c>
      <c r="H845" t="s">
        <v>6</v>
      </c>
      <c r="I845" s="25" t="s">
        <v>319</v>
      </c>
      <c r="M845" t="s">
        <v>790</v>
      </c>
    </row>
    <row r="846" spans="1:13" x14ac:dyDescent="0.35">
      <c r="A846">
        <v>995208</v>
      </c>
      <c r="B846" s="22" t="str">
        <f>IFERROR(VLOOKUP(A846,VLOOKUPS!$A:$B,2,FALSE), "")</f>
        <v/>
      </c>
      <c r="D846" s="13">
        <v>44819</v>
      </c>
      <c r="F846" t="s">
        <v>764</v>
      </c>
      <c r="G846" t="s">
        <v>318</v>
      </c>
      <c r="H846" t="s">
        <v>4</v>
      </c>
      <c r="I846" s="25" t="s">
        <v>319</v>
      </c>
      <c r="M846" t="s">
        <v>790</v>
      </c>
    </row>
    <row r="847" spans="1:13" x14ac:dyDescent="0.35">
      <c r="A847">
        <v>995208</v>
      </c>
      <c r="B847" s="22" t="str">
        <f>IFERROR(VLOOKUP(A847,VLOOKUPS!$A:$B,2,FALSE), "")</f>
        <v/>
      </c>
      <c r="D847" s="13">
        <v>44819</v>
      </c>
      <c r="F847" t="s">
        <v>764</v>
      </c>
      <c r="G847" t="s">
        <v>318</v>
      </c>
      <c r="H847" t="s">
        <v>5</v>
      </c>
      <c r="I847" s="25" t="s">
        <v>319</v>
      </c>
      <c r="M847" t="s">
        <v>790</v>
      </c>
    </row>
    <row r="848" spans="1:13" x14ac:dyDescent="0.35">
      <c r="A848">
        <v>995209</v>
      </c>
      <c r="B848" s="22" t="str">
        <f>IFERROR(VLOOKUP(A848,VLOOKUPS!$A:$B,2,FALSE), "")</f>
        <v/>
      </c>
      <c r="D848" s="13">
        <v>44819</v>
      </c>
      <c r="F848" t="s">
        <v>764</v>
      </c>
      <c r="G848" t="s">
        <v>318</v>
      </c>
      <c r="H848" t="s">
        <v>6</v>
      </c>
      <c r="I848" s="25" t="s">
        <v>319</v>
      </c>
      <c r="M848" t="s">
        <v>790</v>
      </c>
    </row>
    <row r="849" spans="1:13" x14ac:dyDescent="0.35">
      <c r="A849">
        <v>995209</v>
      </c>
      <c r="B849" s="22" t="str">
        <f>IFERROR(VLOOKUP(A849,VLOOKUPS!$A:$B,2,FALSE), "")</f>
        <v/>
      </c>
      <c r="D849" s="13">
        <v>44819</v>
      </c>
      <c r="F849" t="s">
        <v>764</v>
      </c>
      <c r="G849" t="s">
        <v>318</v>
      </c>
      <c r="H849" t="s">
        <v>4</v>
      </c>
      <c r="I849" s="25" t="s">
        <v>319</v>
      </c>
      <c r="M849" t="s">
        <v>790</v>
      </c>
    </row>
    <row r="850" spans="1:13" x14ac:dyDescent="0.35">
      <c r="A850">
        <v>995209</v>
      </c>
      <c r="B850" s="22" t="str">
        <f>IFERROR(VLOOKUP(A850,VLOOKUPS!$A:$B,2,FALSE), "")</f>
        <v/>
      </c>
      <c r="D850" s="13">
        <v>44819</v>
      </c>
      <c r="F850" t="s">
        <v>764</v>
      </c>
      <c r="G850" t="s">
        <v>318</v>
      </c>
      <c r="H850" t="s">
        <v>5</v>
      </c>
      <c r="I850" s="25" t="s">
        <v>319</v>
      </c>
      <c r="M850" t="s">
        <v>790</v>
      </c>
    </row>
    <row r="851" spans="1:13" x14ac:dyDescent="0.35">
      <c r="A851">
        <v>995210</v>
      </c>
      <c r="B851" s="22" t="str">
        <f>IFERROR(VLOOKUP(A851,VLOOKUPS!$A:$B,2,FALSE), "")</f>
        <v/>
      </c>
      <c r="D851" s="13">
        <v>44819</v>
      </c>
      <c r="F851" t="s">
        <v>764</v>
      </c>
      <c r="G851" t="s">
        <v>318</v>
      </c>
      <c r="H851" t="s">
        <v>6</v>
      </c>
      <c r="I851" s="25" t="s">
        <v>319</v>
      </c>
      <c r="M851" t="s">
        <v>790</v>
      </c>
    </row>
    <row r="852" spans="1:13" x14ac:dyDescent="0.35">
      <c r="A852">
        <v>995210</v>
      </c>
      <c r="B852" s="22" t="str">
        <f>IFERROR(VLOOKUP(A852,VLOOKUPS!$A:$B,2,FALSE), "")</f>
        <v/>
      </c>
      <c r="D852" s="13">
        <v>44819</v>
      </c>
      <c r="F852" t="s">
        <v>764</v>
      </c>
      <c r="G852" t="s">
        <v>318</v>
      </c>
      <c r="H852" t="s">
        <v>4</v>
      </c>
      <c r="I852" s="25" t="s">
        <v>319</v>
      </c>
      <c r="M852" t="s">
        <v>790</v>
      </c>
    </row>
    <row r="853" spans="1:13" x14ac:dyDescent="0.35">
      <c r="A853">
        <v>995210</v>
      </c>
      <c r="B853" s="22" t="str">
        <f>IFERROR(VLOOKUP(A853,VLOOKUPS!$A:$B,2,FALSE), "")</f>
        <v/>
      </c>
      <c r="D853" s="13">
        <v>44819</v>
      </c>
      <c r="F853" t="s">
        <v>764</v>
      </c>
      <c r="G853" t="s">
        <v>318</v>
      </c>
      <c r="H853" t="s">
        <v>5</v>
      </c>
      <c r="I853" s="25" t="s">
        <v>319</v>
      </c>
      <c r="M853" t="s">
        <v>790</v>
      </c>
    </row>
    <row r="854" spans="1:13" x14ac:dyDescent="0.35">
      <c r="A854">
        <v>995211</v>
      </c>
      <c r="B854" s="22" t="str">
        <f>IFERROR(VLOOKUP(A854,VLOOKUPS!$A:$B,2,FALSE), "")</f>
        <v/>
      </c>
      <c r="D854" s="13">
        <v>44819</v>
      </c>
      <c r="F854" t="s">
        <v>764</v>
      </c>
      <c r="G854" t="s">
        <v>318</v>
      </c>
      <c r="H854" t="s">
        <v>6</v>
      </c>
      <c r="I854" s="25" t="s">
        <v>319</v>
      </c>
      <c r="M854" t="s">
        <v>790</v>
      </c>
    </row>
    <row r="855" spans="1:13" x14ac:dyDescent="0.35">
      <c r="A855">
        <v>995211</v>
      </c>
      <c r="B855" s="22" t="str">
        <f>IFERROR(VLOOKUP(A855,VLOOKUPS!$A:$B,2,FALSE), "")</f>
        <v/>
      </c>
      <c r="D855" s="13">
        <v>44819</v>
      </c>
      <c r="F855" t="s">
        <v>764</v>
      </c>
      <c r="G855" t="s">
        <v>318</v>
      </c>
      <c r="H855" t="s">
        <v>4</v>
      </c>
      <c r="I855" s="25" t="s">
        <v>319</v>
      </c>
      <c r="M855" t="s">
        <v>790</v>
      </c>
    </row>
    <row r="856" spans="1:13" x14ac:dyDescent="0.35">
      <c r="A856">
        <v>995211</v>
      </c>
      <c r="B856" s="22" t="str">
        <f>IFERROR(VLOOKUP(A856,VLOOKUPS!$A:$B,2,FALSE), "")</f>
        <v/>
      </c>
      <c r="D856" s="13">
        <v>44819</v>
      </c>
      <c r="F856" t="s">
        <v>764</v>
      </c>
      <c r="G856" t="s">
        <v>318</v>
      </c>
      <c r="H856" t="s">
        <v>5</v>
      </c>
      <c r="I856" s="25" t="s">
        <v>319</v>
      </c>
      <c r="M856" t="s">
        <v>790</v>
      </c>
    </row>
    <row r="857" spans="1:13" x14ac:dyDescent="0.35">
      <c r="A857">
        <v>995212</v>
      </c>
      <c r="B857" s="22" t="str">
        <f>IFERROR(VLOOKUP(A857,VLOOKUPS!$A:$B,2,FALSE), "")</f>
        <v>Country Cobb Salad Bowl 7.25oz-standard</v>
      </c>
      <c r="D857" s="13">
        <v>44819</v>
      </c>
      <c r="F857" t="s">
        <v>764</v>
      </c>
      <c r="G857" t="s">
        <v>318</v>
      </c>
      <c r="H857" t="s">
        <v>6</v>
      </c>
      <c r="I857" s="25" t="s">
        <v>319</v>
      </c>
      <c r="M857" t="s">
        <v>790</v>
      </c>
    </row>
    <row r="858" spans="1:13" x14ac:dyDescent="0.35">
      <c r="A858">
        <v>995212</v>
      </c>
      <c r="B858" s="22" t="str">
        <f>IFERROR(VLOOKUP(A858,VLOOKUPS!$A:$B,2,FALSE), "")</f>
        <v>Country Cobb Salad Bowl 7.25oz-standard</v>
      </c>
      <c r="D858" s="13">
        <v>44819</v>
      </c>
      <c r="F858" t="s">
        <v>764</v>
      </c>
      <c r="G858" t="s">
        <v>318</v>
      </c>
      <c r="H858" t="s">
        <v>4</v>
      </c>
      <c r="I858" s="25" t="s">
        <v>319</v>
      </c>
      <c r="M858" t="s">
        <v>790</v>
      </c>
    </row>
    <row r="859" spans="1:13" x14ac:dyDescent="0.35">
      <c r="A859">
        <v>995212</v>
      </c>
      <c r="B859" s="22" t="str">
        <f>IFERROR(VLOOKUP(A859,VLOOKUPS!$A:$B,2,FALSE), "")</f>
        <v>Country Cobb Salad Bowl 7.25oz-standard</v>
      </c>
      <c r="D859" s="13">
        <v>44819</v>
      </c>
      <c r="F859" t="s">
        <v>764</v>
      </c>
      <c r="G859" t="s">
        <v>318</v>
      </c>
      <c r="H859" t="s">
        <v>5</v>
      </c>
      <c r="I859" s="25" t="s">
        <v>319</v>
      </c>
      <c r="M859" t="s">
        <v>790</v>
      </c>
    </row>
  </sheetData>
  <autoFilter ref="A1:N859" xr:uid="{A3392858-765C-44D0-B06C-3E075609DEEF}"/>
  <dataConsolidate/>
  <dataValidations count="5">
    <dataValidation type="list" errorStyle="warning" allowBlank="1" showInputMessage="1" showErrorMessage="1" sqref="F2:F1048576" xr:uid="{2C39BDD7-7451-4CCF-BE03-7F3602766176}">
      <formula1>"A, X, N"</formula1>
    </dataValidation>
    <dataValidation type="list" errorStyle="warning" allowBlank="1" showInputMessage="1" showErrorMessage="1" sqref="J2:J1048576" xr:uid="{9C71A514-3A18-44F5-985D-7DEA2853F800}">
      <formula1>"A, X"</formula1>
    </dataValidation>
    <dataValidation type="list" errorStyle="warning" allowBlank="1" showInputMessage="1" showErrorMessage="1" sqref="J2:J1048576" xr:uid="{14132FB6-2D9E-4F40-8A37-501D5945E79F}">
      <formula1>"L, Remove"</formula1>
    </dataValidation>
    <dataValidation type="list" errorStyle="warning" allowBlank="1" showInputMessage="1" showErrorMessage="1" sqref="K2:K1048576" xr:uid="{623CEE60-0D1A-4A55-9A0A-188FECA1455E}">
      <formula1>"E, Remove"</formula1>
    </dataValidation>
    <dataValidation type="list" errorStyle="warning" allowBlank="1" showInputMessage="1" showErrorMessage="1" sqref="L2:L1048576" xr:uid="{BB060780-7F6C-45CA-95BA-2BAEE2EF6AD1}">
      <formula1>"Y"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showErrorMessage="1" xr:uid="{CA92BFD7-723D-4BBA-8158-2E3134710BF9}">
          <x14:formula1>
            <xm:f>OFFSET(Dropdowns!$A$1, 1, 0, COUNTA(Dropdowns!$A:$A)-1,1)</xm:f>
          </x14:formula1>
          <xm:sqref>G2:G1048576</xm:sqref>
        </x14:dataValidation>
        <x14:dataValidation type="list" errorStyle="warning" allowBlank="1" showInputMessage="1" showErrorMessage="1" xr:uid="{1ACB4069-589E-49F4-AB7A-8C1F03CCECB9}">
          <x14:formula1>
            <xm:f>OFFSET(Dropdowns!$D$1, 1, 0, COUNTA(Dropdowns!$D:$D)-1,1)</xm:f>
          </x14:formula1>
          <xm:sqref>H2:H859</xm:sqref>
        </x14:dataValidation>
        <x14:dataValidation type="list" allowBlank="1" showInputMessage="1" showErrorMessage="1" xr:uid="{05B25B6D-8844-437F-BD5F-86EB049BF1F8}">
          <x14:formula1>
            <xm:f>OFFSET(Dropdowns!$I$1, 1, 0, COUNTA(Dropdowns!$I:$I)-1,1)</xm:f>
          </x14:formula1>
          <xm:sqref>I2:I859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5F40-C011-457F-B5BB-0BD104F43B21}">
  <sheetPr codeName="Sheet3"/>
  <dimension ref="A1:E754"/>
  <sheetViews>
    <sheetView topLeftCell="A723" workbookViewId="0">
      <selection activeCell="A754" sqref="A754"/>
    </sheetView>
  </sheetViews>
  <sheetFormatPr defaultRowHeight="14.5" x14ac:dyDescent="0.35"/>
  <cols>
    <col min="1" max="1" width="7" bestFit="1" customWidth="1"/>
    <col min="2" max="2" width="42.81640625" bestFit="1" customWidth="1"/>
  </cols>
  <sheetData>
    <row r="1" spans="1:2" x14ac:dyDescent="0.35">
      <c r="A1" s="19" t="s">
        <v>330</v>
      </c>
      <c r="B1" s="20" t="s">
        <v>331</v>
      </c>
    </row>
    <row r="2" spans="1:2" x14ac:dyDescent="0.35">
      <c r="A2">
        <v>238433</v>
      </c>
      <c r="B2" t="s">
        <v>332</v>
      </c>
    </row>
    <row r="3" spans="1:2" x14ac:dyDescent="0.35">
      <c r="A3">
        <v>240977</v>
      </c>
      <c r="B3" t="s">
        <v>333</v>
      </c>
    </row>
    <row r="4" spans="1:2" x14ac:dyDescent="0.35">
      <c r="A4">
        <v>240978</v>
      </c>
      <c r="B4" t="s">
        <v>334</v>
      </c>
    </row>
    <row r="5" spans="1:2" x14ac:dyDescent="0.35">
      <c r="A5">
        <v>980000</v>
      </c>
      <c r="B5" t="s">
        <v>335</v>
      </c>
    </row>
    <row r="6" spans="1:2" x14ac:dyDescent="0.35">
      <c r="A6">
        <v>980005</v>
      </c>
      <c r="B6" t="s">
        <v>336</v>
      </c>
    </row>
    <row r="7" spans="1:2" x14ac:dyDescent="0.35">
      <c r="A7">
        <v>980010</v>
      </c>
      <c r="B7" t="s">
        <v>337</v>
      </c>
    </row>
    <row r="8" spans="1:2" x14ac:dyDescent="0.35">
      <c r="A8">
        <v>980091</v>
      </c>
      <c r="B8" t="s">
        <v>338</v>
      </c>
    </row>
    <row r="9" spans="1:2" x14ac:dyDescent="0.35">
      <c r="A9">
        <v>980100</v>
      </c>
      <c r="B9" t="s">
        <v>339</v>
      </c>
    </row>
    <row r="10" spans="1:2" x14ac:dyDescent="0.35">
      <c r="A10">
        <v>980150</v>
      </c>
      <c r="B10" t="s">
        <v>340</v>
      </c>
    </row>
    <row r="11" spans="1:2" x14ac:dyDescent="0.35">
      <c r="A11">
        <v>980201</v>
      </c>
      <c r="B11" t="s">
        <v>341</v>
      </c>
    </row>
    <row r="12" spans="1:2" x14ac:dyDescent="0.35">
      <c r="A12">
        <v>980202</v>
      </c>
      <c r="B12" t="s">
        <v>285</v>
      </c>
    </row>
    <row r="13" spans="1:2" x14ac:dyDescent="0.35">
      <c r="A13">
        <v>980210</v>
      </c>
      <c r="B13" t="s">
        <v>342</v>
      </c>
    </row>
    <row r="14" spans="1:2" x14ac:dyDescent="0.35">
      <c r="A14">
        <v>980211</v>
      </c>
      <c r="B14" t="s">
        <v>273</v>
      </c>
    </row>
    <row r="15" spans="1:2" x14ac:dyDescent="0.35">
      <c r="A15">
        <v>980212</v>
      </c>
      <c r="B15" t="s">
        <v>343</v>
      </c>
    </row>
    <row r="16" spans="1:2" x14ac:dyDescent="0.35">
      <c r="A16">
        <v>980213</v>
      </c>
      <c r="B16" t="s">
        <v>344</v>
      </c>
    </row>
    <row r="17" spans="1:2" x14ac:dyDescent="0.35">
      <c r="A17">
        <v>980220</v>
      </c>
      <c r="B17" t="s">
        <v>345</v>
      </c>
    </row>
    <row r="18" spans="1:2" x14ac:dyDescent="0.35">
      <c r="A18">
        <v>980221</v>
      </c>
      <c r="B18" t="s">
        <v>346</v>
      </c>
    </row>
    <row r="19" spans="1:2" x14ac:dyDescent="0.35">
      <c r="A19">
        <v>980271</v>
      </c>
      <c r="B19" t="s">
        <v>347</v>
      </c>
    </row>
    <row r="20" spans="1:2" x14ac:dyDescent="0.35">
      <c r="A20">
        <v>980400</v>
      </c>
      <c r="B20" t="s">
        <v>348</v>
      </c>
    </row>
    <row r="21" spans="1:2" x14ac:dyDescent="0.35">
      <c r="A21">
        <v>980410</v>
      </c>
      <c r="B21" t="s">
        <v>349</v>
      </c>
    </row>
    <row r="22" spans="1:2" x14ac:dyDescent="0.35">
      <c r="A22">
        <v>980500</v>
      </c>
      <c r="B22" t="s">
        <v>8</v>
      </c>
    </row>
    <row r="23" spans="1:2" x14ac:dyDescent="0.35">
      <c r="A23">
        <v>980501</v>
      </c>
      <c r="B23" t="s">
        <v>350</v>
      </c>
    </row>
    <row r="24" spans="1:2" x14ac:dyDescent="0.35">
      <c r="A24">
        <v>980502</v>
      </c>
      <c r="B24" t="s">
        <v>351</v>
      </c>
    </row>
    <row r="25" spans="1:2" x14ac:dyDescent="0.35">
      <c r="A25">
        <v>980503</v>
      </c>
      <c r="B25" t="s">
        <v>352</v>
      </c>
    </row>
    <row r="26" spans="1:2" x14ac:dyDescent="0.35">
      <c r="A26">
        <v>980507</v>
      </c>
      <c r="B26" t="s">
        <v>353</v>
      </c>
    </row>
    <row r="27" spans="1:2" x14ac:dyDescent="0.35">
      <c r="A27">
        <v>980551</v>
      </c>
      <c r="B27" t="s">
        <v>354</v>
      </c>
    </row>
    <row r="28" spans="1:2" x14ac:dyDescent="0.35">
      <c r="A28">
        <v>980680</v>
      </c>
      <c r="B28" t="s">
        <v>355</v>
      </c>
    </row>
    <row r="29" spans="1:2" x14ac:dyDescent="0.35">
      <c r="A29">
        <v>980700</v>
      </c>
      <c r="B29" t="s">
        <v>356</v>
      </c>
    </row>
    <row r="30" spans="1:2" x14ac:dyDescent="0.35">
      <c r="A30">
        <v>980730</v>
      </c>
      <c r="B30" t="s">
        <v>9</v>
      </c>
    </row>
    <row r="31" spans="1:2" x14ac:dyDescent="0.35">
      <c r="A31">
        <v>980731</v>
      </c>
      <c r="B31" t="s">
        <v>357</v>
      </c>
    </row>
    <row r="32" spans="1:2" x14ac:dyDescent="0.35">
      <c r="A32">
        <v>980821</v>
      </c>
      <c r="B32" t="s">
        <v>358</v>
      </c>
    </row>
    <row r="33" spans="1:2" x14ac:dyDescent="0.35">
      <c r="A33">
        <v>980829</v>
      </c>
      <c r="B33" t="s">
        <v>359</v>
      </c>
    </row>
    <row r="34" spans="1:2" x14ac:dyDescent="0.35">
      <c r="A34">
        <v>980830</v>
      </c>
      <c r="B34" t="s">
        <v>360</v>
      </c>
    </row>
    <row r="35" spans="1:2" x14ac:dyDescent="0.35">
      <c r="A35">
        <v>980831</v>
      </c>
      <c r="B35" t="s">
        <v>10</v>
      </c>
    </row>
    <row r="36" spans="1:2" x14ac:dyDescent="0.35">
      <c r="A36">
        <v>980832</v>
      </c>
      <c r="B36" t="s">
        <v>361</v>
      </c>
    </row>
    <row r="37" spans="1:2" x14ac:dyDescent="0.35">
      <c r="A37">
        <v>980833</v>
      </c>
      <c r="B37" t="s">
        <v>362</v>
      </c>
    </row>
    <row r="38" spans="1:2" x14ac:dyDescent="0.35">
      <c r="A38">
        <v>980890</v>
      </c>
      <c r="B38" t="s">
        <v>363</v>
      </c>
    </row>
    <row r="39" spans="1:2" x14ac:dyDescent="0.35">
      <c r="A39">
        <v>980921</v>
      </c>
      <c r="B39" t="s">
        <v>364</v>
      </c>
    </row>
    <row r="40" spans="1:2" x14ac:dyDescent="0.35">
      <c r="A40">
        <v>980930</v>
      </c>
      <c r="B40" t="s">
        <v>365</v>
      </c>
    </row>
    <row r="41" spans="1:2" x14ac:dyDescent="0.35">
      <c r="A41">
        <v>980931</v>
      </c>
      <c r="B41" t="s">
        <v>366</v>
      </c>
    </row>
    <row r="42" spans="1:2" x14ac:dyDescent="0.35">
      <c r="A42">
        <v>980990</v>
      </c>
      <c r="B42" t="s">
        <v>367</v>
      </c>
    </row>
    <row r="43" spans="1:2" x14ac:dyDescent="0.35">
      <c r="A43">
        <v>981080</v>
      </c>
      <c r="B43" t="s">
        <v>368</v>
      </c>
    </row>
    <row r="44" spans="1:2" x14ac:dyDescent="0.35">
      <c r="A44">
        <v>981081</v>
      </c>
      <c r="B44" t="s">
        <v>369</v>
      </c>
    </row>
    <row r="45" spans="1:2" x14ac:dyDescent="0.35">
      <c r="A45">
        <v>981089</v>
      </c>
      <c r="B45" t="s">
        <v>274</v>
      </c>
    </row>
    <row r="46" spans="1:2" x14ac:dyDescent="0.35">
      <c r="A46">
        <v>981100</v>
      </c>
      <c r="B46" t="s">
        <v>370</v>
      </c>
    </row>
    <row r="47" spans="1:2" x14ac:dyDescent="0.35">
      <c r="A47">
        <v>981120</v>
      </c>
      <c r="B47" t="s">
        <v>371</v>
      </c>
    </row>
    <row r="48" spans="1:2" x14ac:dyDescent="0.35">
      <c r="A48">
        <v>981130</v>
      </c>
      <c r="B48" t="s">
        <v>372</v>
      </c>
    </row>
    <row r="49" spans="1:2" x14ac:dyDescent="0.35">
      <c r="A49">
        <v>981131</v>
      </c>
      <c r="B49" t="s">
        <v>373</v>
      </c>
    </row>
    <row r="50" spans="1:2" x14ac:dyDescent="0.35">
      <c r="A50">
        <v>981132</v>
      </c>
      <c r="B50" t="s">
        <v>374</v>
      </c>
    </row>
    <row r="51" spans="1:2" x14ac:dyDescent="0.35">
      <c r="A51">
        <v>981141</v>
      </c>
      <c r="B51" t="s">
        <v>375</v>
      </c>
    </row>
    <row r="52" spans="1:2" x14ac:dyDescent="0.35">
      <c r="A52">
        <v>981150</v>
      </c>
      <c r="B52" t="s">
        <v>376</v>
      </c>
    </row>
    <row r="53" spans="1:2" x14ac:dyDescent="0.35">
      <c r="A53">
        <v>981161</v>
      </c>
      <c r="B53" t="s">
        <v>377</v>
      </c>
    </row>
    <row r="54" spans="1:2" x14ac:dyDescent="0.35">
      <c r="A54">
        <v>981180</v>
      </c>
      <c r="B54" t="s">
        <v>378</v>
      </c>
    </row>
    <row r="55" spans="1:2" x14ac:dyDescent="0.35">
      <c r="A55">
        <v>981186</v>
      </c>
      <c r="B55" t="s">
        <v>379</v>
      </c>
    </row>
    <row r="56" spans="1:2" x14ac:dyDescent="0.35">
      <c r="A56">
        <v>981187</v>
      </c>
      <c r="B56" t="s">
        <v>280</v>
      </c>
    </row>
    <row r="57" spans="1:2" x14ac:dyDescent="0.35">
      <c r="A57">
        <v>981200</v>
      </c>
      <c r="B57" t="s">
        <v>380</v>
      </c>
    </row>
    <row r="58" spans="1:2" x14ac:dyDescent="0.35">
      <c r="A58">
        <v>981201</v>
      </c>
      <c r="B58" t="s">
        <v>381</v>
      </c>
    </row>
    <row r="59" spans="1:2" x14ac:dyDescent="0.35">
      <c r="A59">
        <v>981202</v>
      </c>
      <c r="B59" t="s">
        <v>382</v>
      </c>
    </row>
    <row r="60" spans="1:2" x14ac:dyDescent="0.35">
      <c r="A60">
        <v>981203</v>
      </c>
      <c r="B60" t="s">
        <v>383</v>
      </c>
    </row>
    <row r="61" spans="1:2" x14ac:dyDescent="0.35">
      <c r="A61">
        <v>981204</v>
      </c>
      <c r="B61" t="s">
        <v>384</v>
      </c>
    </row>
    <row r="62" spans="1:2" x14ac:dyDescent="0.35">
      <c r="A62">
        <v>981205</v>
      </c>
      <c r="B62" t="s">
        <v>385</v>
      </c>
    </row>
    <row r="63" spans="1:2" x14ac:dyDescent="0.35">
      <c r="A63">
        <v>981206</v>
      </c>
      <c r="B63" t="s">
        <v>386</v>
      </c>
    </row>
    <row r="64" spans="1:2" x14ac:dyDescent="0.35">
      <c r="A64">
        <v>981207</v>
      </c>
      <c r="B64" t="s">
        <v>11</v>
      </c>
    </row>
    <row r="65" spans="1:2" x14ac:dyDescent="0.35">
      <c r="A65">
        <v>981210</v>
      </c>
      <c r="B65" t="s">
        <v>387</v>
      </c>
    </row>
    <row r="66" spans="1:2" x14ac:dyDescent="0.35">
      <c r="A66">
        <v>981220</v>
      </c>
      <c r="B66" t="s">
        <v>12</v>
      </c>
    </row>
    <row r="67" spans="1:2" x14ac:dyDescent="0.35">
      <c r="A67">
        <v>981221</v>
      </c>
      <c r="B67" t="s">
        <v>388</v>
      </c>
    </row>
    <row r="68" spans="1:2" x14ac:dyDescent="0.35">
      <c r="A68">
        <v>981222</v>
      </c>
      <c r="B68" t="s">
        <v>389</v>
      </c>
    </row>
    <row r="69" spans="1:2" x14ac:dyDescent="0.35">
      <c r="A69">
        <v>981230</v>
      </c>
      <c r="B69" t="s">
        <v>390</v>
      </c>
    </row>
    <row r="70" spans="1:2" x14ac:dyDescent="0.35">
      <c r="A70">
        <v>981240</v>
      </c>
      <c r="B70" t="s">
        <v>13</v>
      </c>
    </row>
    <row r="71" spans="1:2" x14ac:dyDescent="0.35">
      <c r="A71">
        <v>981260</v>
      </c>
      <c r="B71" t="s">
        <v>14</v>
      </c>
    </row>
    <row r="72" spans="1:2" x14ac:dyDescent="0.35">
      <c r="A72">
        <v>981280</v>
      </c>
      <c r="B72" t="s">
        <v>15</v>
      </c>
    </row>
    <row r="73" spans="1:2" x14ac:dyDescent="0.35">
      <c r="A73">
        <v>981281</v>
      </c>
      <c r="B73" t="s">
        <v>391</v>
      </c>
    </row>
    <row r="74" spans="1:2" x14ac:dyDescent="0.35">
      <c r="A74">
        <v>981300</v>
      </c>
      <c r="B74" t="s">
        <v>16</v>
      </c>
    </row>
    <row r="75" spans="1:2" x14ac:dyDescent="0.35">
      <c r="A75">
        <v>981301</v>
      </c>
      <c r="B75" t="s">
        <v>392</v>
      </c>
    </row>
    <row r="76" spans="1:2" x14ac:dyDescent="0.35">
      <c r="A76">
        <v>981319</v>
      </c>
      <c r="B76" t="s">
        <v>393</v>
      </c>
    </row>
    <row r="77" spans="1:2" x14ac:dyDescent="0.35">
      <c r="A77">
        <v>981340</v>
      </c>
      <c r="B77" t="s">
        <v>281</v>
      </c>
    </row>
    <row r="78" spans="1:2" x14ac:dyDescent="0.35">
      <c r="A78">
        <v>981341</v>
      </c>
      <c r="B78" t="s">
        <v>394</v>
      </c>
    </row>
    <row r="79" spans="1:2" x14ac:dyDescent="0.35">
      <c r="A79">
        <v>981351</v>
      </c>
      <c r="B79" t="s">
        <v>395</v>
      </c>
    </row>
    <row r="80" spans="1:2" x14ac:dyDescent="0.35">
      <c r="A80">
        <v>981370</v>
      </c>
      <c r="B80" t="s">
        <v>17</v>
      </c>
    </row>
    <row r="81" spans="1:2" x14ac:dyDescent="0.35">
      <c r="A81">
        <v>981371</v>
      </c>
      <c r="B81" t="s">
        <v>396</v>
      </c>
    </row>
    <row r="82" spans="1:2" x14ac:dyDescent="0.35">
      <c r="A82">
        <v>981400</v>
      </c>
      <c r="B82" t="s">
        <v>18</v>
      </c>
    </row>
    <row r="83" spans="1:2" x14ac:dyDescent="0.35">
      <c r="A83">
        <v>981430</v>
      </c>
      <c r="B83" t="s">
        <v>397</v>
      </c>
    </row>
    <row r="84" spans="1:2" x14ac:dyDescent="0.35">
      <c r="A84">
        <v>981451</v>
      </c>
      <c r="B84" t="s">
        <v>398</v>
      </c>
    </row>
    <row r="85" spans="1:2" x14ac:dyDescent="0.35">
      <c r="A85">
        <v>981600</v>
      </c>
      <c r="B85" t="s">
        <v>399</v>
      </c>
    </row>
    <row r="86" spans="1:2" x14ac:dyDescent="0.35">
      <c r="A86">
        <v>981620</v>
      </c>
      <c r="B86" t="s">
        <v>400</v>
      </c>
    </row>
    <row r="87" spans="1:2" x14ac:dyDescent="0.35">
      <c r="A87">
        <v>981640</v>
      </c>
      <c r="B87" t="s">
        <v>19</v>
      </c>
    </row>
    <row r="88" spans="1:2" x14ac:dyDescent="0.35">
      <c r="A88">
        <v>981650</v>
      </c>
      <c r="B88" t="s">
        <v>401</v>
      </c>
    </row>
    <row r="89" spans="1:2" x14ac:dyDescent="0.35">
      <c r="A89">
        <v>981670</v>
      </c>
      <c r="B89" t="s">
        <v>288</v>
      </c>
    </row>
    <row r="90" spans="1:2" x14ac:dyDescent="0.35">
      <c r="A90">
        <v>981699</v>
      </c>
      <c r="B90" t="s">
        <v>206</v>
      </c>
    </row>
    <row r="91" spans="1:2" x14ac:dyDescent="0.35">
      <c r="A91">
        <v>981700</v>
      </c>
      <c r="B91" t="s">
        <v>402</v>
      </c>
    </row>
    <row r="92" spans="1:2" x14ac:dyDescent="0.35">
      <c r="A92">
        <v>981710</v>
      </c>
      <c r="B92" t="s">
        <v>403</v>
      </c>
    </row>
    <row r="93" spans="1:2" x14ac:dyDescent="0.35">
      <c r="A93">
        <v>981720</v>
      </c>
      <c r="B93" t="s">
        <v>404</v>
      </c>
    </row>
    <row r="94" spans="1:2" x14ac:dyDescent="0.35">
      <c r="A94">
        <v>981721</v>
      </c>
      <c r="B94" t="s">
        <v>405</v>
      </c>
    </row>
    <row r="95" spans="1:2" x14ac:dyDescent="0.35">
      <c r="A95">
        <v>981730</v>
      </c>
      <c r="B95" t="s">
        <v>406</v>
      </c>
    </row>
    <row r="96" spans="1:2" x14ac:dyDescent="0.35">
      <c r="A96">
        <v>981731</v>
      </c>
      <c r="B96" t="s">
        <v>407</v>
      </c>
    </row>
    <row r="97" spans="1:2" x14ac:dyDescent="0.35">
      <c r="A97">
        <v>981740</v>
      </c>
      <c r="B97" t="s">
        <v>408</v>
      </c>
    </row>
    <row r="98" spans="1:2" x14ac:dyDescent="0.35">
      <c r="A98">
        <v>981750</v>
      </c>
      <c r="B98" t="s">
        <v>409</v>
      </c>
    </row>
    <row r="99" spans="1:2" x14ac:dyDescent="0.35">
      <c r="A99">
        <v>981761</v>
      </c>
      <c r="B99" t="s">
        <v>410</v>
      </c>
    </row>
    <row r="100" spans="1:2" x14ac:dyDescent="0.35">
      <c r="A100">
        <v>981780</v>
      </c>
      <c r="B100" t="s">
        <v>411</v>
      </c>
    </row>
    <row r="101" spans="1:2" x14ac:dyDescent="0.35">
      <c r="A101">
        <v>981871</v>
      </c>
      <c r="B101" t="s">
        <v>412</v>
      </c>
    </row>
    <row r="102" spans="1:2" x14ac:dyDescent="0.35">
      <c r="A102">
        <v>981900</v>
      </c>
      <c r="B102" t="s">
        <v>413</v>
      </c>
    </row>
    <row r="103" spans="1:2" x14ac:dyDescent="0.35">
      <c r="A103">
        <v>981901</v>
      </c>
      <c r="B103" t="s">
        <v>414</v>
      </c>
    </row>
    <row r="104" spans="1:2" x14ac:dyDescent="0.35">
      <c r="A104">
        <v>981902</v>
      </c>
      <c r="B104" t="s">
        <v>282</v>
      </c>
    </row>
    <row r="105" spans="1:2" x14ac:dyDescent="0.35">
      <c r="A105">
        <v>981920</v>
      </c>
      <c r="B105" t="s">
        <v>415</v>
      </c>
    </row>
    <row r="106" spans="1:2" x14ac:dyDescent="0.35">
      <c r="A106">
        <v>981921</v>
      </c>
      <c r="B106" t="s">
        <v>416</v>
      </c>
    </row>
    <row r="107" spans="1:2" x14ac:dyDescent="0.35">
      <c r="A107">
        <v>981922</v>
      </c>
      <c r="B107" t="s">
        <v>417</v>
      </c>
    </row>
    <row r="108" spans="1:2" x14ac:dyDescent="0.35">
      <c r="A108">
        <v>981923</v>
      </c>
      <c r="B108" t="s">
        <v>309</v>
      </c>
    </row>
    <row r="109" spans="1:2" x14ac:dyDescent="0.35">
      <c r="A109">
        <v>982000</v>
      </c>
      <c r="B109" t="s">
        <v>418</v>
      </c>
    </row>
    <row r="110" spans="1:2" x14ac:dyDescent="0.35">
      <c r="A110">
        <v>982001</v>
      </c>
      <c r="B110" t="s">
        <v>419</v>
      </c>
    </row>
    <row r="111" spans="1:2" x14ac:dyDescent="0.35">
      <c r="A111">
        <v>982031</v>
      </c>
      <c r="B111" t="s">
        <v>420</v>
      </c>
    </row>
    <row r="112" spans="1:2" x14ac:dyDescent="0.35">
      <c r="A112">
        <v>982071</v>
      </c>
      <c r="B112" t="s">
        <v>421</v>
      </c>
    </row>
    <row r="113" spans="1:2" x14ac:dyDescent="0.35">
      <c r="A113">
        <v>982102</v>
      </c>
      <c r="B113" t="s">
        <v>422</v>
      </c>
    </row>
    <row r="114" spans="1:2" x14ac:dyDescent="0.35">
      <c r="A114">
        <v>982130</v>
      </c>
      <c r="B114" t="s">
        <v>423</v>
      </c>
    </row>
    <row r="115" spans="1:2" x14ac:dyDescent="0.35">
      <c r="A115">
        <v>982131</v>
      </c>
      <c r="B115" t="s">
        <v>424</v>
      </c>
    </row>
    <row r="116" spans="1:2" x14ac:dyDescent="0.35">
      <c r="A116">
        <v>982147</v>
      </c>
      <c r="B116" t="s">
        <v>425</v>
      </c>
    </row>
    <row r="117" spans="1:2" x14ac:dyDescent="0.35">
      <c r="A117">
        <v>982201</v>
      </c>
      <c r="B117" t="s">
        <v>426</v>
      </c>
    </row>
    <row r="118" spans="1:2" x14ac:dyDescent="0.35">
      <c r="A118">
        <v>982202</v>
      </c>
      <c r="B118" t="s">
        <v>427</v>
      </c>
    </row>
    <row r="119" spans="1:2" x14ac:dyDescent="0.35">
      <c r="A119">
        <v>982203</v>
      </c>
      <c r="B119" t="s">
        <v>428</v>
      </c>
    </row>
    <row r="120" spans="1:2" x14ac:dyDescent="0.35">
      <c r="A120">
        <v>982204</v>
      </c>
      <c r="B120" t="s">
        <v>429</v>
      </c>
    </row>
    <row r="121" spans="1:2" x14ac:dyDescent="0.35">
      <c r="A121">
        <v>982230</v>
      </c>
      <c r="B121" t="s">
        <v>430</v>
      </c>
    </row>
    <row r="122" spans="1:2" x14ac:dyDescent="0.35">
      <c r="A122">
        <v>982231</v>
      </c>
      <c r="B122" t="s">
        <v>431</v>
      </c>
    </row>
    <row r="123" spans="1:2" x14ac:dyDescent="0.35">
      <c r="A123">
        <v>982232</v>
      </c>
      <c r="B123" t="s">
        <v>432</v>
      </c>
    </row>
    <row r="124" spans="1:2" x14ac:dyDescent="0.35">
      <c r="A124">
        <v>982250</v>
      </c>
      <c r="B124" t="s">
        <v>433</v>
      </c>
    </row>
    <row r="125" spans="1:2" x14ac:dyDescent="0.35">
      <c r="A125">
        <v>982270</v>
      </c>
      <c r="B125" t="s">
        <v>434</v>
      </c>
    </row>
    <row r="126" spans="1:2" x14ac:dyDescent="0.35">
      <c r="A126">
        <v>982300</v>
      </c>
      <c r="B126" t="s">
        <v>435</v>
      </c>
    </row>
    <row r="127" spans="1:2" x14ac:dyDescent="0.35">
      <c r="A127">
        <v>982330</v>
      </c>
      <c r="B127" t="s">
        <v>436</v>
      </c>
    </row>
    <row r="128" spans="1:2" x14ac:dyDescent="0.35">
      <c r="A128">
        <v>982331</v>
      </c>
      <c r="B128" t="s">
        <v>437</v>
      </c>
    </row>
    <row r="129" spans="1:2" x14ac:dyDescent="0.35">
      <c r="A129">
        <v>982400</v>
      </c>
      <c r="B129" t="s">
        <v>438</v>
      </c>
    </row>
    <row r="130" spans="1:2" x14ac:dyDescent="0.35">
      <c r="A130">
        <v>982401</v>
      </c>
      <c r="B130" t="s">
        <v>439</v>
      </c>
    </row>
    <row r="131" spans="1:2" x14ac:dyDescent="0.35">
      <c r="A131">
        <v>982430</v>
      </c>
      <c r="B131" t="s">
        <v>269</v>
      </c>
    </row>
    <row r="132" spans="1:2" x14ac:dyDescent="0.35">
      <c r="A132">
        <v>982431</v>
      </c>
      <c r="B132" t="s">
        <v>440</v>
      </c>
    </row>
    <row r="133" spans="1:2" x14ac:dyDescent="0.35">
      <c r="A133">
        <v>982457</v>
      </c>
      <c r="B133" t="s">
        <v>441</v>
      </c>
    </row>
    <row r="134" spans="1:2" x14ac:dyDescent="0.35">
      <c r="A134">
        <v>982631</v>
      </c>
      <c r="B134" t="s">
        <v>442</v>
      </c>
    </row>
    <row r="135" spans="1:2" x14ac:dyDescent="0.35">
      <c r="A135">
        <v>982632</v>
      </c>
      <c r="B135" t="s">
        <v>443</v>
      </c>
    </row>
    <row r="136" spans="1:2" x14ac:dyDescent="0.35">
      <c r="A136">
        <v>982637</v>
      </c>
      <c r="B136" t="s">
        <v>444</v>
      </c>
    </row>
    <row r="137" spans="1:2" x14ac:dyDescent="0.35">
      <c r="A137">
        <v>982650</v>
      </c>
      <c r="B137" t="s">
        <v>445</v>
      </c>
    </row>
    <row r="138" spans="1:2" x14ac:dyDescent="0.35">
      <c r="A138">
        <v>982671</v>
      </c>
      <c r="B138" t="s">
        <v>446</v>
      </c>
    </row>
    <row r="139" spans="1:2" x14ac:dyDescent="0.35">
      <c r="A139">
        <v>982710</v>
      </c>
      <c r="B139" t="s">
        <v>447</v>
      </c>
    </row>
    <row r="140" spans="1:2" x14ac:dyDescent="0.35">
      <c r="A140">
        <v>982711</v>
      </c>
      <c r="B140" t="s">
        <v>448</v>
      </c>
    </row>
    <row r="141" spans="1:2" x14ac:dyDescent="0.35">
      <c r="A141">
        <v>982712</v>
      </c>
      <c r="B141" t="s">
        <v>449</v>
      </c>
    </row>
    <row r="142" spans="1:2" x14ac:dyDescent="0.35">
      <c r="A142">
        <v>982713</v>
      </c>
      <c r="B142" t="s">
        <v>450</v>
      </c>
    </row>
    <row r="143" spans="1:2" x14ac:dyDescent="0.35">
      <c r="A143">
        <v>982740</v>
      </c>
      <c r="B143" t="s">
        <v>451</v>
      </c>
    </row>
    <row r="144" spans="1:2" x14ac:dyDescent="0.35">
      <c r="A144">
        <v>982800</v>
      </c>
      <c r="B144" t="s">
        <v>452</v>
      </c>
    </row>
    <row r="145" spans="1:2" x14ac:dyDescent="0.35">
      <c r="A145">
        <v>982801</v>
      </c>
      <c r="B145" t="s">
        <v>453</v>
      </c>
    </row>
    <row r="146" spans="1:2" x14ac:dyDescent="0.35">
      <c r="A146">
        <v>982830</v>
      </c>
      <c r="B146" t="s">
        <v>454</v>
      </c>
    </row>
    <row r="147" spans="1:2" x14ac:dyDescent="0.35">
      <c r="A147">
        <v>982831</v>
      </c>
      <c r="B147" t="s">
        <v>455</v>
      </c>
    </row>
    <row r="148" spans="1:2" x14ac:dyDescent="0.35">
      <c r="A148">
        <v>982832</v>
      </c>
      <c r="B148" t="s">
        <v>296</v>
      </c>
    </row>
    <row r="149" spans="1:2" x14ac:dyDescent="0.35">
      <c r="A149">
        <v>982920</v>
      </c>
      <c r="B149" t="s">
        <v>456</v>
      </c>
    </row>
    <row r="150" spans="1:2" x14ac:dyDescent="0.35">
      <c r="A150">
        <v>982960</v>
      </c>
      <c r="B150" t="s">
        <v>457</v>
      </c>
    </row>
    <row r="151" spans="1:2" x14ac:dyDescent="0.35">
      <c r="A151">
        <v>982961</v>
      </c>
      <c r="B151" t="s">
        <v>275</v>
      </c>
    </row>
    <row r="152" spans="1:2" x14ac:dyDescent="0.35">
      <c r="A152">
        <v>982962</v>
      </c>
      <c r="B152" t="s">
        <v>276</v>
      </c>
    </row>
    <row r="153" spans="1:2" x14ac:dyDescent="0.35">
      <c r="A153">
        <v>982970</v>
      </c>
      <c r="B153" t="s">
        <v>458</v>
      </c>
    </row>
    <row r="154" spans="1:2" x14ac:dyDescent="0.35">
      <c r="A154">
        <v>983100</v>
      </c>
      <c r="B154" t="s">
        <v>459</v>
      </c>
    </row>
    <row r="155" spans="1:2" x14ac:dyDescent="0.35">
      <c r="A155">
        <v>983101</v>
      </c>
      <c r="B155" t="s">
        <v>460</v>
      </c>
    </row>
    <row r="156" spans="1:2" x14ac:dyDescent="0.35">
      <c r="A156">
        <v>983102</v>
      </c>
      <c r="B156" t="s">
        <v>461</v>
      </c>
    </row>
    <row r="157" spans="1:2" x14ac:dyDescent="0.35">
      <c r="A157">
        <v>983103</v>
      </c>
      <c r="B157" t="s">
        <v>462</v>
      </c>
    </row>
    <row r="158" spans="1:2" x14ac:dyDescent="0.35">
      <c r="A158">
        <v>983104</v>
      </c>
      <c r="B158" t="s">
        <v>463</v>
      </c>
    </row>
    <row r="159" spans="1:2" x14ac:dyDescent="0.35">
      <c r="A159">
        <v>983105</v>
      </c>
      <c r="B159" t="s">
        <v>464</v>
      </c>
    </row>
    <row r="160" spans="1:2" x14ac:dyDescent="0.35">
      <c r="A160">
        <v>983151</v>
      </c>
      <c r="B160" t="s">
        <v>465</v>
      </c>
    </row>
    <row r="161" spans="1:2" x14ac:dyDescent="0.35">
      <c r="A161">
        <v>983201</v>
      </c>
      <c r="B161" t="s">
        <v>466</v>
      </c>
    </row>
    <row r="162" spans="1:2" x14ac:dyDescent="0.35">
      <c r="A162">
        <v>983202</v>
      </c>
      <c r="B162" t="s">
        <v>467</v>
      </c>
    </row>
    <row r="163" spans="1:2" x14ac:dyDescent="0.35">
      <c r="A163">
        <v>983250</v>
      </c>
      <c r="B163" t="s">
        <v>468</v>
      </c>
    </row>
    <row r="164" spans="1:2" x14ac:dyDescent="0.35">
      <c r="A164">
        <v>983251</v>
      </c>
      <c r="B164" t="s">
        <v>469</v>
      </c>
    </row>
    <row r="165" spans="1:2" x14ac:dyDescent="0.35">
      <c r="A165">
        <v>983301</v>
      </c>
      <c r="B165" t="s">
        <v>470</v>
      </c>
    </row>
    <row r="166" spans="1:2" x14ac:dyDescent="0.35">
      <c r="A166">
        <v>983451</v>
      </c>
      <c r="B166" t="s">
        <v>471</v>
      </c>
    </row>
    <row r="167" spans="1:2" x14ac:dyDescent="0.35">
      <c r="A167">
        <v>983470</v>
      </c>
      <c r="B167" t="s">
        <v>20</v>
      </c>
    </row>
    <row r="168" spans="1:2" x14ac:dyDescent="0.35">
      <c r="A168">
        <v>983472</v>
      </c>
      <c r="B168" t="s">
        <v>472</v>
      </c>
    </row>
    <row r="169" spans="1:2" x14ac:dyDescent="0.35">
      <c r="A169">
        <v>983473</v>
      </c>
      <c r="B169" t="s">
        <v>266</v>
      </c>
    </row>
    <row r="170" spans="1:2" x14ac:dyDescent="0.35">
      <c r="A170">
        <v>983500</v>
      </c>
      <c r="B170" t="s">
        <v>473</v>
      </c>
    </row>
    <row r="171" spans="1:2" x14ac:dyDescent="0.35">
      <c r="A171">
        <v>983501</v>
      </c>
      <c r="B171" t="s">
        <v>474</v>
      </c>
    </row>
    <row r="172" spans="1:2" x14ac:dyDescent="0.35">
      <c r="A172">
        <v>983513</v>
      </c>
      <c r="B172" t="s">
        <v>475</v>
      </c>
    </row>
    <row r="173" spans="1:2" x14ac:dyDescent="0.35">
      <c r="A173">
        <v>983531</v>
      </c>
      <c r="B173" t="s">
        <v>476</v>
      </c>
    </row>
    <row r="174" spans="1:2" x14ac:dyDescent="0.35">
      <c r="A174">
        <v>983533</v>
      </c>
      <c r="B174" t="s">
        <v>477</v>
      </c>
    </row>
    <row r="175" spans="1:2" x14ac:dyDescent="0.35">
      <c r="A175">
        <v>983534</v>
      </c>
      <c r="B175" t="s">
        <v>478</v>
      </c>
    </row>
    <row r="176" spans="1:2" x14ac:dyDescent="0.35">
      <c r="A176">
        <v>983580</v>
      </c>
      <c r="B176" t="s">
        <v>479</v>
      </c>
    </row>
    <row r="177" spans="1:2" x14ac:dyDescent="0.35">
      <c r="A177">
        <v>983611</v>
      </c>
      <c r="B177" t="s">
        <v>480</v>
      </c>
    </row>
    <row r="178" spans="1:2" x14ac:dyDescent="0.35">
      <c r="A178">
        <v>983651</v>
      </c>
      <c r="B178" t="s">
        <v>481</v>
      </c>
    </row>
    <row r="179" spans="1:2" x14ac:dyDescent="0.35">
      <c r="A179">
        <v>983670</v>
      </c>
      <c r="B179" t="s">
        <v>482</v>
      </c>
    </row>
    <row r="180" spans="1:2" x14ac:dyDescent="0.35">
      <c r="A180">
        <v>983671</v>
      </c>
      <c r="B180" t="s">
        <v>483</v>
      </c>
    </row>
    <row r="181" spans="1:2" x14ac:dyDescent="0.35">
      <c r="A181">
        <v>983672</v>
      </c>
      <c r="B181" t="s">
        <v>484</v>
      </c>
    </row>
    <row r="182" spans="1:2" x14ac:dyDescent="0.35">
      <c r="A182">
        <v>983700</v>
      </c>
      <c r="B182" t="s">
        <v>485</v>
      </c>
    </row>
    <row r="183" spans="1:2" x14ac:dyDescent="0.35">
      <c r="A183">
        <v>983721</v>
      </c>
      <c r="B183" t="s">
        <v>486</v>
      </c>
    </row>
    <row r="184" spans="1:2" x14ac:dyDescent="0.35">
      <c r="A184">
        <v>983762</v>
      </c>
      <c r="B184" t="s">
        <v>487</v>
      </c>
    </row>
    <row r="185" spans="1:2" x14ac:dyDescent="0.35">
      <c r="A185">
        <v>983810</v>
      </c>
      <c r="B185" t="s">
        <v>488</v>
      </c>
    </row>
    <row r="186" spans="1:2" x14ac:dyDescent="0.35">
      <c r="A186">
        <v>983811</v>
      </c>
      <c r="B186" t="s">
        <v>489</v>
      </c>
    </row>
    <row r="187" spans="1:2" x14ac:dyDescent="0.35">
      <c r="A187">
        <v>983860</v>
      </c>
      <c r="B187" t="s">
        <v>490</v>
      </c>
    </row>
    <row r="188" spans="1:2" x14ac:dyDescent="0.35">
      <c r="A188">
        <v>983870</v>
      </c>
      <c r="B188" t="s">
        <v>491</v>
      </c>
    </row>
    <row r="189" spans="1:2" x14ac:dyDescent="0.35">
      <c r="A189">
        <v>983920</v>
      </c>
      <c r="B189" t="s">
        <v>492</v>
      </c>
    </row>
    <row r="190" spans="1:2" x14ac:dyDescent="0.35">
      <c r="A190">
        <v>983990</v>
      </c>
      <c r="B190" t="s">
        <v>493</v>
      </c>
    </row>
    <row r="191" spans="1:2" x14ac:dyDescent="0.35">
      <c r="A191">
        <v>984005</v>
      </c>
      <c r="B191" t="s">
        <v>265</v>
      </c>
    </row>
    <row r="192" spans="1:2" x14ac:dyDescent="0.35">
      <c r="A192">
        <v>984021</v>
      </c>
      <c r="B192" t="s">
        <v>494</v>
      </c>
    </row>
    <row r="193" spans="1:2" x14ac:dyDescent="0.35">
      <c r="A193">
        <v>984031</v>
      </c>
      <c r="B193" t="s">
        <v>495</v>
      </c>
    </row>
    <row r="194" spans="1:2" x14ac:dyDescent="0.35">
      <c r="A194">
        <v>984032</v>
      </c>
      <c r="B194" t="s">
        <v>21</v>
      </c>
    </row>
    <row r="195" spans="1:2" x14ac:dyDescent="0.35">
      <c r="A195">
        <v>984050</v>
      </c>
      <c r="B195" t="s">
        <v>22</v>
      </c>
    </row>
    <row r="196" spans="1:2" x14ac:dyDescent="0.35">
      <c r="A196">
        <v>984070</v>
      </c>
      <c r="B196" t="s">
        <v>496</v>
      </c>
    </row>
    <row r="197" spans="1:2" x14ac:dyDescent="0.35">
      <c r="A197">
        <v>984074</v>
      </c>
      <c r="B197" t="s">
        <v>497</v>
      </c>
    </row>
    <row r="198" spans="1:2" x14ac:dyDescent="0.35">
      <c r="A198">
        <v>984080</v>
      </c>
      <c r="B198" t="s">
        <v>267</v>
      </c>
    </row>
    <row r="199" spans="1:2" x14ac:dyDescent="0.35">
      <c r="A199">
        <v>984161</v>
      </c>
      <c r="B199" t="s">
        <v>498</v>
      </c>
    </row>
    <row r="200" spans="1:2" x14ac:dyDescent="0.35">
      <c r="A200">
        <v>984460</v>
      </c>
      <c r="B200" t="s">
        <v>23</v>
      </c>
    </row>
    <row r="201" spans="1:2" x14ac:dyDescent="0.35">
      <c r="A201">
        <v>984461</v>
      </c>
      <c r="B201" t="s">
        <v>277</v>
      </c>
    </row>
    <row r="202" spans="1:2" x14ac:dyDescent="0.35">
      <c r="A202">
        <v>984462</v>
      </c>
      <c r="B202" t="s">
        <v>499</v>
      </c>
    </row>
    <row r="203" spans="1:2" x14ac:dyDescent="0.35">
      <c r="A203">
        <v>984463</v>
      </c>
      <c r="B203" t="s">
        <v>500</v>
      </c>
    </row>
    <row r="204" spans="1:2" x14ac:dyDescent="0.35">
      <c r="A204">
        <v>984500</v>
      </c>
      <c r="B204" t="s">
        <v>501</v>
      </c>
    </row>
    <row r="205" spans="1:2" x14ac:dyDescent="0.35">
      <c r="A205">
        <v>984540</v>
      </c>
      <c r="B205" t="s">
        <v>502</v>
      </c>
    </row>
    <row r="206" spans="1:2" x14ac:dyDescent="0.35">
      <c r="A206">
        <v>984541</v>
      </c>
      <c r="B206" t="s">
        <v>503</v>
      </c>
    </row>
    <row r="207" spans="1:2" x14ac:dyDescent="0.35">
      <c r="A207">
        <v>984542</v>
      </c>
      <c r="B207" t="s">
        <v>504</v>
      </c>
    </row>
    <row r="208" spans="1:2" x14ac:dyDescent="0.35">
      <c r="A208">
        <v>984543</v>
      </c>
      <c r="B208" t="s">
        <v>505</v>
      </c>
    </row>
    <row r="209" spans="1:2" x14ac:dyDescent="0.35">
      <c r="A209">
        <v>984544</v>
      </c>
      <c r="B209" t="s">
        <v>506</v>
      </c>
    </row>
    <row r="210" spans="1:2" x14ac:dyDescent="0.35">
      <c r="A210">
        <v>984555</v>
      </c>
      <c r="B210" t="s">
        <v>507</v>
      </c>
    </row>
    <row r="211" spans="1:2" x14ac:dyDescent="0.35">
      <c r="A211">
        <v>984580</v>
      </c>
      <c r="B211" t="s">
        <v>508</v>
      </c>
    </row>
    <row r="212" spans="1:2" x14ac:dyDescent="0.35">
      <c r="A212">
        <v>984581</v>
      </c>
      <c r="B212" t="s">
        <v>509</v>
      </c>
    </row>
    <row r="213" spans="1:2" x14ac:dyDescent="0.35">
      <c r="A213">
        <v>984620</v>
      </c>
      <c r="B213" t="s">
        <v>24</v>
      </c>
    </row>
    <row r="214" spans="1:2" x14ac:dyDescent="0.35">
      <c r="A214">
        <v>984621</v>
      </c>
      <c r="B214" t="s">
        <v>286</v>
      </c>
    </row>
    <row r="215" spans="1:2" x14ac:dyDescent="0.35">
      <c r="A215">
        <v>984660</v>
      </c>
      <c r="B215" t="s">
        <v>287</v>
      </c>
    </row>
    <row r="216" spans="1:2" x14ac:dyDescent="0.35">
      <c r="A216">
        <v>984700</v>
      </c>
      <c r="B216" t="s">
        <v>25</v>
      </c>
    </row>
    <row r="217" spans="1:2" x14ac:dyDescent="0.35">
      <c r="A217">
        <v>984701</v>
      </c>
      <c r="B217" t="s">
        <v>510</v>
      </c>
    </row>
    <row r="218" spans="1:2" x14ac:dyDescent="0.35">
      <c r="A218">
        <v>984702</v>
      </c>
      <c r="B218" t="s">
        <v>511</v>
      </c>
    </row>
    <row r="219" spans="1:2" x14ac:dyDescent="0.35">
      <c r="A219">
        <v>984740</v>
      </c>
      <c r="B219" t="s">
        <v>512</v>
      </c>
    </row>
    <row r="220" spans="1:2" x14ac:dyDescent="0.35">
      <c r="A220">
        <v>984780</v>
      </c>
      <c r="B220" t="s">
        <v>513</v>
      </c>
    </row>
    <row r="221" spans="1:2" x14ac:dyDescent="0.35">
      <c r="A221">
        <v>984831</v>
      </c>
      <c r="B221" t="s">
        <v>26</v>
      </c>
    </row>
    <row r="222" spans="1:2" x14ac:dyDescent="0.35">
      <c r="A222">
        <v>984910</v>
      </c>
      <c r="B222" t="s">
        <v>514</v>
      </c>
    </row>
    <row r="223" spans="1:2" x14ac:dyDescent="0.35">
      <c r="A223">
        <v>984911</v>
      </c>
      <c r="B223" t="s">
        <v>515</v>
      </c>
    </row>
    <row r="224" spans="1:2" x14ac:dyDescent="0.35">
      <c r="A224">
        <v>984912</v>
      </c>
      <c r="B224" t="s">
        <v>516</v>
      </c>
    </row>
    <row r="225" spans="1:2" x14ac:dyDescent="0.35">
      <c r="A225">
        <v>984913</v>
      </c>
      <c r="B225" t="s">
        <v>517</v>
      </c>
    </row>
    <row r="226" spans="1:2" x14ac:dyDescent="0.35">
      <c r="A226">
        <v>984914</v>
      </c>
      <c r="B226" t="s">
        <v>518</v>
      </c>
    </row>
    <row r="227" spans="1:2" x14ac:dyDescent="0.35">
      <c r="A227">
        <v>984935</v>
      </c>
      <c r="B227" t="s">
        <v>519</v>
      </c>
    </row>
    <row r="228" spans="1:2" x14ac:dyDescent="0.35">
      <c r="A228">
        <v>985010</v>
      </c>
      <c r="B228" t="s">
        <v>520</v>
      </c>
    </row>
    <row r="229" spans="1:2" x14ac:dyDescent="0.35">
      <c r="A229">
        <v>985011</v>
      </c>
      <c r="B229" t="s">
        <v>521</v>
      </c>
    </row>
    <row r="230" spans="1:2" x14ac:dyDescent="0.35">
      <c r="A230">
        <v>985012</v>
      </c>
      <c r="B230" t="s">
        <v>522</v>
      </c>
    </row>
    <row r="231" spans="1:2" x14ac:dyDescent="0.35">
      <c r="A231">
        <v>985060</v>
      </c>
      <c r="B231" t="s">
        <v>523</v>
      </c>
    </row>
    <row r="232" spans="1:2" x14ac:dyDescent="0.35">
      <c r="A232">
        <v>985111</v>
      </c>
      <c r="B232" t="s">
        <v>524</v>
      </c>
    </row>
    <row r="233" spans="1:2" x14ac:dyDescent="0.35">
      <c r="A233">
        <v>985160</v>
      </c>
      <c r="B233" t="s">
        <v>27</v>
      </c>
    </row>
    <row r="234" spans="1:2" x14ac:dyDescent="0.35">
      <c r="A234">
        <v>985190</v>
      </c>
      <c r="B234" t="s">
        <v>525</v>
      </c>
    </row>
    <row r="235" spans="1:2" x14ac:dyDescent="0.35">
      <c r="A235">
        <v>985570</v>
      </c>
      <c r="B235" t="s">
        <v>526</v>
      </c>
    </row>
    <row r="236" spans="1:2" x14ac:dyDescent="0.35">
      <c r="A236">
        <v>985601</v>
      </c>
      <c r="B236" t="s">
        <v>527</v>
      </c>
    </row>
    <row r="237" spans="1:2" x14ac:dyDescent="0.35">
      <c r="A237">
        <v>985605</v>
      </c>
      <c r="B237" t="s">
        <v>528</v>
      </c>
    </row>
    <row r="238" spans="1:2" x14ac:dyDescent="0.35">
      <c r="A238">
        <v>985610</v>
      </c>
      <c r="B238" t="s">
        <v>529</v>
      </c>
    </row>
    <row r="239" spans="1:2" x14ac:dyDescent="0.35">
      <c r="A239">
        <v>985611</v>
      </c>
      <c r="B239" t="s">
        <v>530</v>
      </c>
    </row>
    <row r="240" spans="1:2" x14ac:dyDescent="0.35">
      <c r="A240">
        <v>985612</v>
      </c>
      <c r="B240" t="s">
        <v>28</v>
      </c>
    </row>
    <row r="241" spans="1:2" x14ac:dyDescent="0.35">
      <c r="A241">
        <v>985613</v>
      </c>
      <c r="B241" t="s">
        <v>207</v>
      </c>
    </row>
    <row r="242" spans="1:2" x14ac:dyDescent="0.35">
      <c r="A242">
        <v>985630</v>
      </c>
      <c r="B242" t="s">
        <v>531</v>
      </c>
    </row>
    <row r="243" spans="1:2" x14ac:dyDescent="0.35">
      <c r="A243">
        <v>985631</v>
      </c>
      <c r="B243" t="s">
        <v>532</v>
      </c>
    </row>
    <row r="244" spans="1:2" x14ac:dyDescent="0.35">
      <c r="A244">
        <v>985632</v>
      </c>
      <c r="B244" t="s">
        <v>533</v>
      </c>
    </row>
    <row r="245" spans="1:2" x14ac:dyDescent="0.35">
      <c r="A245">
        <v>985634</v>
      </c>
      <c r="B245" t="s">
        <v>534</v>
      </c>
    </row>
    <row r="246" spans="1:2" x14ac:dyDescent="0.35">
      <c r="A246">
        <v>985650</v>
      </c>
      <c r="B246" t="s">
        <v>535</v>
      </c>
    </row>
    <row r="247" spans="1:2" x14ac:dyDescent="0.35">
      <c r="A247">
        <v>985651</v>
      </c>
      <c r="B247" t="s">
        <v>536</v>
      </c>
    </row>
    <row r="248" spans="1:2" x14ac:dyDescent="0.35">
      <c r="A248">
        <v>985680</v>
      </c>
      <c r="B248" t="s">
        <v>278</v>
      </c>
    </row>
    <row r="249" spans="1:2" x14ac:dyDescent="0.35">
      <c r="A249">
        <v>985701</v>
      </c>
      <c r="B249" t="s">
        <v>537</v>
      </c>
    </row>
    <row r="250" spans="1:2" x14ac:dyDescent="0.35">
      <c r="A250">
        <v>985711</v>
      </c>
      <c r="B250" t="s">
        <v>538</v>
      </c>
    </row>
    <row r="251" spans="1:2" x14ac:dyDescent="0.35">
      <c r="A251">
        <v>985728</v>
      </c>
      <c r="B251" t="s">
        <v>539</v>
      </c>
    </row>
    <row r="252" spans="1:2" x14ac:dyDescent="0.35">
      <c r="A252">
        <v>985737</v>
      </c>
      <c r="B252" t="s">
        <v>540</v>
      </c>
    </row>
    <row r="253" spans="1:2" x14ac:dyDescent="0.35">
      <c r="A253">
        <v>985760</v>
      </c>
      <c r="B253" t="s">
        <v>29</v>
      </c>
    </row>
    <row r="254" spans="1:2" x14ac:dyDescent="0.35">
      <c r="A254">
        <v>985780</v>
      </c>
      <c r="B254" t="s">
        <v>30</v>
      </c>
    </row>
    <row r="255" spans="1:2" x14ac:dyDescent="0.35">
      <c r="A255">
        <v>985860</v>
      </c>
      <c r="B255" t="s">
        <v>31</v>
      </c>
    </row>
    <row r="256" spans="1:2" x14ac:dyDescent="0.35">
      <c r="A256">
        <v>985870</v>
      </c>
      <c r="B256" t="s">
        <v>541</v>
      </c>
    </row>
    <row r="257" spans="1:2" x14ac:dyDescent="0.35">
      <c r="A257">
        <v>985880</v>
      </c>
      <c r="B257" t="s">
        <v>542</v>
      </c>
    </row>
    <row r="258" spans="1:2" x14ac:dyDescent="0.35">
      <c r="A258">
        <v>985950</v>
      </c>
      <c r="B258" t="s">
        <v>32</v>
      </c>
    </row>
    <row r="259" spans="1:2" x14ac:dyDescent="0.35">
      <c r="A259">
        <v>985951</v>
      </c>
      <c r="B259" t="s">
        <v>543</v>
      </c>
    </row>
    <row r="260" spans="1:2" x14ac:dyDescent="0.35">
      <c r="A260">
        <v>985990</v>
      </c>
      <c r="B260" t="s">
        <v>544</v>
      </c>
    </row>
    <row r="261" spans="1:2" x14ac:dyDescent="0.35">
      <c r="A261">
        <v>986050</v>
      </c>
      <c r="B261" t="s">
        <v>545</v>
      </c>
    </row>
    <row r="262" spans="1:2" x14ac:dyDescent="0.35">
      <c r="A262">
        <v>986090</v>
      </c>
      <c r="B262" t="s">
        <v>546</v>
      </c>
    </row>
    <row r="263" spans="1:2" x14ac:dyDescent="0.35">
      <c r="A263">
        <v>986120</v>
      </c>
      <c r="B263" t="s">
        <v>547</v>
      </c>
    </row>
    <row r="264" spans="1:2" x14ac:dyDescent="0.35">
      <c r="A264">
        <v>986140</v>
      </c>
      <c r="B264" t="s">
        <v>548</v>
      </c>
    </row>
    <row r="265" spans="1:2" x14ac:dyDescent="0.35">
      <c r="A265">
        <v>986170</v>
      </c>
      <c r="B265" t="s">
        <v>549</v>
      </c>
    </row>
    <row r="266" spans="1:2" x14ac:dyDescent="0.35">
      <c r="A266">
        <v>986171</v>
      </c>
      <c r="B266" t="s">
        <v>550</v>
      </c>
    </row>
    <row r="267" spans="1:2" x14ac:dyDescent="0.35">
      <c r="A267">
        <v>986172</v>
      </c>
      <c r="B267" t="s">
        <v>551</v>
      </c>
    </row>
    <row r="268" spans="1:2" x14ac:dyDescent="0.35">
      <c r="A268">
        <v>986211</v>
      </c>
      <c r="B268" t="s">
        <v>552</v>
      </c>
    </row>
    <row r="269" spans="1:2" x14ac:dyDescent="0.35">
      <c r="A269">
        <v>986230</v>
      </c>
      <c r="B269" t="s">
        <v>553</v>
      </c>
    </row>
    <row r="270" spans="1:2" x14ac:dyDescent="0.35">
      <c r="A270">
        <v>986231</v>
      </c>
      <c r="B270" t="s">
        <v>554</v>
      </c>
    </row>
    <row r="271" spans="1:2" x14ac:dyDescent="0.35">
      <c r="A271">
        <v>986250</v>
      </c>
      <c r="B271" t="s">
        <v>33</v>
      </c>
    </row>
    <row r="272" spans="1:2" x14ac:dyDescent="0.35">
      <c r="A272">
        <v>986270</v>
      </c>
      <c r="B272" t="s">
        <v>34</v>
      </c>
    </row>
    <row r="273" spans="1:2" x14ac:dyDescent="0.35">
      <c r="A273">
        <v>986293</v>
      </c>
      <c r="B273" t="s">
        <v>555</v>
      </c>
    </row>
    <row r="274" spans="1:2" x14ac:dyDescent="0.35">
      <c r="A274">
        <v>986340</v>
      </c>
      <c r="B274" t="s">
        <v>556</v>
      </c>
    </row>
    <row r="275" spans="1:2" x14ac:dyDescent="0.35">
      <c r="A275">
        <v>986400</v>
      </c>
      <c r="B275" t="s">
        <v>557</v>
      </c>
    </row>
    <row r="276" spans="1:2" x14ac:dyDescent="0.35">
      <c r="A276">
        <v>986465</v>
      </c>
      <c r="B276" t="s">
        <v>558</v>
      </c>
    </row>
    <row r="277" spans="1:2" x14ac:dyDescent="0.35">
      <c r="A277">
        <v>986480</v>
      </c>
      <c r="B277" t="s">
        <v>559</v>
      </c>
    </row>
    <row r="278" spans="1:2" x14ac:dyDescent="0.35">
      <c r="A278">
        <v>986481</v>
      </c>
      <c r="B278" t="s">
        <v>560</v>
      </c>
    </row>
    <row r="279" spans="1:2" x14ac:dyDescent="0.35">
      <c r="A279">
        <v>986640</v>
      </c>
      <c r="B279" t="s">
        <v>561</v>
      </c>
    </row>
    <row r="280" spans="1:2" x14ac:dyDescent="0.35">
      <c r="A280">
        <v>986650</v>
      </c>
      <c r="B280" t="s">
        <v>35</v>
      </c>
    </row>
    <row r="281" spans="1:2" x14ac:dyDescent="0.35">
      <c r="A281">
        <v>986678</v>
      </c>
      <c r="B281" t="s">
        <v>562</v>
      </c>
    </row>
    <row r="282" spans="1:2" x14ac:dyDescent="0.35">
      <c r="A282">
        <v>986730</v>
      </c>
      <c r="B282" t="s">
        <v>36</v>
      </c>
    </row>
    <row r="283" spans="1:2" x14ac:dyDescent="0.35">
      <c r="A283">
        <v>986785</v>
      </c>
      <c r="B283" t="s">
        <v>37</v>
      </c>
    </row>
    <row r="284" spans="1:2" x14ac:dyDescent="0.35">
      <c r="A284">
        <v>986810</v>
      </c>
      <c r="B284" t="s">
        <v>208</v>
      </c>
    </row>
    <row r="285" spans="1:2" x14ac:dyDescent="0.35">
      <c r="A285">
        <v>986890</v>
      </c>
      <c r="B285" t="s">
        <v>38</v>
      </c>
    </row>
    <row r="286" spans="1:2" x14ac:dyDescent="0.35">
      <c r="A286">
        <v>986891</v>
      </c>
      <c r="B286" t="s">
        <v>563</v>
      </c>
    </row>
    <row r="287" spans="1:2" x14ac:dyDescent="0.35">
      <c r="A287">
        <v>986915</v>
      </c>
      <c r="B287" t="s">
        <v>564</v>
      </c>
    </row>
    <row r="288" spans="1:2" x14ac:dyDescent="0.35">
      <c r="A288">
        <v>986970</v>
      </c>
      <c r="B288" t="s">
        <v>565</v>
      </c>
    </row>
    <row r="289" spans="1:2" x14ac:dyDescent="0.35">
      <c r="A289">
        <v>986971</v>
      </c>
      <c r="B289" t="s">
        <v>566</v>
      </c>
    </row>
    <row r="290" spans="1:2" x14ac:dyDescent="0.35">
      <c r="A290">
        <v>986972</v>
      </c>
      <c r="B290" t="s">
        <v>567</v>
      </c>
    </row>
    <row r="291" spans="1:2" x14ac:dyDescent="0.35">
      <c r="A291">
        <v>986973</v>
      </c>
      <c r="B291" t="s">
        <v>39</v>
      </c>
    </row>
    <row r="292" spans="1:2" x14ac:dyDescent="0.35">
      <c r="A292">
        <v>986974</v>
      </c>
      <c r="B292" t="s">
        <v>568</v>
      </c>
    </row>
    <row r="293" spans="1:2" x14ac:dyDescent="0.35">
      <c r="A293">
        <v>986975</v>
      </c>
      <c r="B293" t="s">
        <v>40</v>
      </c>
    </row>
    <row r="294" spans="1:2" x14ac:dyDescent="0.35">
      <c r="A294">
        <v>986976</v>
      </c>
      <c r="B294" t="s">
        <v>569</v>
      </c>
    </row>
    <row r="295" spans="1:2" x14ac:dyDescent="0.35">
      <c r="A295">
        <v>987060</v>
      </c>
      <c r="B295" t="s">
        <v>41</v>
      </c>
    </row>
    <row r="296" spans="1:2" x14ac:dyDescent="0.35">
      <c r="A296">
        <v>987101</v>
      </c>
      <c r="B296" t="s">
        <v>570</v>
      </c>
    </row>
    <row r="297" spans="1:2" x14ac:dyDescent="0.35">
      <c r="A297">
        <v>987110</v>
      </c>
      <c r="B297" t="s">
        <v>42</v>
      </c>
    </row>
    <row r="298" spans="1:2" x14ac:dyDescent="0.35">
      <c r="A298">
        <v>987151</v>
      </c>
      <c r="B298" t="s">
        <v>571</v>
      </c>
    </row>
    <row r="299" spans="1:2" x14ac:dyDescent="0.35">
      <c r="A299">
        <v>987201</v>
      </c>
      <c r="B299" t="s">
        <v>572</v>
      </c>
    </row>
    <row r="300" spans="1:2" x14ac:dyDescent="0.35">
      <c r="A300">
        <v>987210</v>
      </c>
      <c r="B300" t="s">
        <v>573</v>
      </c>
    </row>
    <row r="301" spans="1:2" x14ac:dyDescent="0.35">
      <c r="A301">
        <v>987211</v>
      </c>
      <c r="B301" t="s">
        <v>43</v>
      </c>
    </row>
    <row r="302" spans="1:2" x14ac:dyDescent="0.35">
      <c r="A302">
        <v>987240</v>
      </c>
      <c r="B302" t="s">
        <v>574</v>
      </c>
    </row>
    <row r="303" spans="1:2" x14ac:dyDescent="0.35">
      <c r="A303">
        <v>987260</v>
      </c>
      <c r="B303" t="s">
        <v>44</v>
      </c>
    </row>
    <row r="304" spans="1:2" x14ac:dyDescent="0.35">
      <c r="A304">
        <v>987261</v>
      </c>
      <c r="B304" t="s">
        <v>279</v>
      </c>
    </row>
    <row r="305" spans="1:2" x14ac:dyDescent="0.35">
      <c r="A305">
        <v>987268</v>
      </c>
      <c r="B305" t="s">
        <v>575</v>
      </c>
    </row>
    <row r="306" spans="1:2" x14ac:dyDescent="0.35">
      <c r="A306">
        <v>987290</v>
      </c>
      <c r="B306" t="s">
        <v>45</v>
      </c>
    </row>
    <row r="307" spans="1:2" x14ac:dyDescent="0.35">
      <c r="A307">
        <v>987310</v>
      </c>
      <c r="B307" t="s">
        <v>46</v>
      </c>
    </row>
    <row r="308" spans="1:2" x14ac:dyDescent="0.35">
      <c r="A308">
        <v>987340</v>
      </c>
      <c r="B308" t="s">
        <v>576</v>
      </c>
    </row>
    <row r="309" spans="1:2" x14ac:dyDescent="0.35">
      <c r="A309">
        <v>987360</v>
      </c>
      <c r="B309" t="s">
        <v>47</v>
      </c>
    </row>
    <row r="310" spans="1:2" x14ac:dyDescent="0.35">
      <c r="A310">
        <v>987361</v>
      </c>
      <c r="B310" t="s">
        <v>271</v>
      </c>
    </row>
    <row r="311" spans="1:2" x14ac:dyDescent="0.35">
      <c r="A311">
        <v>987400</v>
      </c>
      <c r="B311" t="s">
        <v>577</v>
      </c>
    </row>
    <row r="312" spans="1:2" x14ac:dyDescent="0.35">
      <c r="A312">
        <v>987425</v>
      </c>
      <c r="B312" t="s">
        <v>578</v>
      </c>
    </row>
    <row r="313" spans="1:2" x14ac:dyDescent="0.35">
      <c r="A313">
        <v>987560</v>
      </c>
      <c r="B313" t="s">
        <v>48</v>
      </c>
    </row>
    <row r="314" spans="1:2" x14ac:dyDescent="0.35">
      <c r="A314">
        <v>987570</v>
      </c>
      <c r="B314" t="s">
        <v>579</v>
      </c>
    </row>
    <row r="315" spans="1:2" x14ac:dyDescent="0.35">
      <c r="A315">
        <v>987590</v>
      </c>
      <c r="B315" t="s">
        <v>49</v>
      </c>
    </row>
    <row r="316" spans="1:2" x14ac:dyDescent="0.35">
      <c r="A316">
        <v>987591</v>
      </c>
      <c r="B316" t="s">
        <v>580</v>
      </c>
    </row>
    <row r="317" spans="1:2" x14ac:dyDescent="0.35">
      <c r="A317">
        <v>987592</v>
      </c>
      <c r="B317" t="s">
        <v>581</v>
      </c>
    </row>
    <row r="318" spans="1:2" x14ac:dyDescent="0.35">
      <c r="A318">
        <v>987593</v>
      </c>
      <c r="B318" t="s">
        <v>582</v>
      </c>
    </row>
    <row r="319" spans="1:2" x14ac:dyDescent="0.35">
      <c r="A319">
        <v>987594</v>
      </c>
      <c r="B319" t="s">
        <v>583</v>
      </c>
    </row>
    <row r="320" spans="1:2" x14ac:dyDescent="0.35">
      <c r="A320">
        <v>987600</v>
      </c>
      <c r="B320" t="s">
        <v>584</v>
      </c>
    </row>
    <row r="321" spans="1:2" x14ac:dyDescent="0.35">
      <c r="A321">
        <v>987610</v>
      </c>
      <c r="B321" t="s">
        <v>50</v>
      </c>
    </row>
    <row r="322" spans="1:2" x14ac:dyDescent="0.35">
      <c r="A322">
        <v>987614</v>
      </c>
      <c r="B322" t="s">
        <v>585</v>
      </c>
    </row>
    <row r="323" spans="1:2" x14ac:dyDescent="0.35">
      <c r="A323">
        <v>987660</v>
      </c>
      <c r="B323" t="s">
        <v>51</v>
      </c>
    </row>
    <row r="324" spans="1:2" x14ac:dyDescent="0.35">
      <c r="A324">
        <v>987666</v>
      </c>
      <c r="B324" t="s">
        <v>586</v>
      </c>
    </row>
    <row r="325" spans="1:2" x14ac:dyDescent="0.35">
      <c r="A325">
        <v>987690</v>
      </c>
      <c r="B325" t="s">
        <v>52</v>
      </c>
    </row>
    <row r="326" spans="1:2" x14ac:dyDescent="0.35">
      <c r="A326">
        <v>987691</v>
      </c>
      <c r="B326" t="s">
        <v>53</v>
      </c>
    </row>
    <row r="327" spans="1:2" x14ac:dyDescent="0.35">
      <c r="A327">
        <v>987692</v>
      </c>
      <c r="B327" t="s">
        <v>587</v>
      </c>
    </row>
    <row r="328" spans="1:2" x14ac:dyDescent="0.35">
      <c r="A328">
        <v>987710</v>
      </c>
      <c r="B328" t="s">
        <v>588</v>
      </c>
    </row>
    <row r="329" spans="1:2" x14ac:dyDescent="0.35">
      <c r="A329">
        <v>987730</v>
      </c>
      <c r="B329" t="s">
        <v>589</v>
      </c>
    </row>
    <row r="330" spans="1:2" x14ac:dyDescent="0.35">
      <c r="A330">
        <v>987733</v>
      </c>
      <c r="B330" t="s">
        <v>590</v>
      </c>
    </row>
    <row r="331" spans="1:2" x14ac:dyDescent="0.35">
      <c r="A331">
        <v>987760</v>
      </c>
      <c r="B331" t="s">
        <v>591</v>
      </c>
    </row>
    <row r="332" spans="1:2" x14ac:dyDescent="0.35">
      <c r="A332">
        <v>987790</v>
      </c>
      <c r="B332" t="s">
        <v>592</v>
      </c>
    </row>
    <row r="333" spans="1:2" x14ac:dyDescent="0.35">
      <c r="A333">
        <v>987810</v>
      </c>
      <c r="B333" t="s">
        <v>593</v>
      </c>
    </row>
    <row r="334" spans="1:2" x14ac:dyDescent="0.35">
      <c r="A334">
        <v>987820</v>
      </c>
      <c r="B334" t="s">
        <v>594</v>
      </c>
    </row>
    <row r="335" spans="1:2" x14ac:dyDescent="0.35">
      <c r="A335">
        <v>987821</v>
      </c>
      <c r="B335" t="s">
        <v>595</v>
      </c>
    </row>
    <row r="336" spans="1:2" x14ac:dyDescent="0.35">
      <c r="A336">
        <v>987822</v>
      </c>
      <c r="B336" t="s">
        <v>596</v>
      </c>
    </row>
    <row r="337" spans="1:2" x14ac:dyDescent="0.35">
      <c r="A337">
        <v>987832</v>
      </c>
      <c r="B337" t="s">
        <v>597</v>
      </c>
    </row>
    <row r="338" spans="1:2" x14ac:dyDescent="0.35">
      <c r="A338">
        <v>987900</v>
      </c>
      <c r="B338" t="s">
        <v>598</v>
      </c>
    </row>
    <row r="339" spans="1:2" x14ac:dyDescent="0.35">
      <c r="A339">
        <v>987906</v>
      </c>
      <c r="B339" t="s">
        <v>599</v>
      </c>
    </row>
    <row r="340" spans="1:2" x14ac:dyDescent="0.35">
      <c r="A340">
        <v>988015</v>
      </c>
      <c r="B340" t="s">
        <v>600</v>
      </c>
    </row>
    <row r="341" spans="1:2" x14ac:dyDescent="0.35">
      <c r="A341">
        <v>988020</v>
      </c>
      <c r="B341" t="s">
        <v>54</v>
      </c>
    </row>
    <row r="342" spans="1:2" x14ac:dyDescent="0.35">
      <c r="A342">
        <v>988460</v>
      </c>
      <c r="B342" t="s">
        <v>601</v>
      </c>
    </row>
    <row r="343" spans="1:2" x14ac:dyDescent="0.35">
      <c r="A343">
        <v>988490</v>
      </c>
      <c r="B343" t="s">
        <v>602</v>
      </c>
    </row>
    <row r="344" spans="1:2" x14ac:dyDescent="0.35">
      <c r="A344">
        <v>988520</v>
      </c>
      <c r="B344" t="s">
        <v>603</v>
      </c>
    </row>
    <row r="345" spans="1:2" x14ac:dyDescent="0.35">
      <c r="A345">
        <v>988531</v>
      </c>
      <c r="B345" t="s">
        <v>604</v>
      </c>
    </row>
    <row r="346" spans="1:2" x14ac:dyDescent="0.35">
      <c r="A346">
        <v>988532</v>
      </c>
      <c r="B346" t="s">
        <v>605</v>
      </c>
    </row>
    <row r="347" spans="1:2" x14ac:dyDescent="0.35">
      <c r="A347">
        <v>988540</v>
      </c>
      <c r="B347" t="s">
        <v>606</v>
      </c>
    </row>
    <row r="348" spans="1:2" x14ac:dyDescent="0.35">
      <c r="A348">
        <v>988561</v>
      </c>
      <c r="B348" t="s">
        <v>607</v>
      </c>
    </row>
    <row r="349" spans="1:2" x14ac:dyDescent="0.35">
      <c r="A349">
        <v>988562</v>
      </c>
      <c r="B349" t="s">
        <v>608</v>
      </c>
    </row>
    <row r="350" spans="1:2" x14ac:dyDescent="0.35">
      <c r="A350">
        <v>988571</v>
      </c>
      <c r="B350" t="s">
        <v>609</v>
      </c>
    </row>
    <row r="351" spans="1:2" x14ac:dyDescent="0.35">
      <c r="A351">
        <v>988600</v>
      </c>
      <c r="B351" t="s">
        <v>610</v>
      </c>
    </row>
    <row r="352" spans="1:2" x14ac:dyDescent="0.35">
      <c r="A352">
        <v>988620</v>
      </c>
      <c r="B352" t="s">
        <v>55</v>
      </c>
    </row>
    <row r="353" spans="1:2" x14ac:dyDescent="0.35">
      <c r="A353">
        <v>988621</v>
      </c>
      <c r="B353" t="s">
        <v>611</v>
      </c>
    </row>
    <row r="354" spans="1:2" x14ac:dyDescent="0.35">
      <c r="A354">
        <v>988630</v>
      </c>
      <c r="B354" t="s">
        <v>612</v>
      </c>
    </row>
    <row r="355" spans="1:2" x14ac:dyDescent="0.35">
      <c r="A355">
        <v>988650</v>
      </c>
      <c r="B355" t="s">
        <v>613</v>
      </c>
    </row>
    <row r="356" spans="1:2" x14ac:dyDescent="0.35">
      <c r="A356">
        <v>988700</v>
      </c>
      <c r="B356" t="s">
        <v>614</v>
      </c>
    </row>
    <row r="357" spans="1:2" x14ac:dyDescent="0.35">
      <c r="A357">
        <v>988703</v>
      </c>
      <c r="B357" t="s">
        <v>615</v>
      </c>
    </row>
    <row r="358" spans="1:2" x14ac:dyDescent="0.35">
      <c r="A358">
        <v>988735</v>
      </c>
      <c r="B358" t="s">
        <v>270</v>
      </c>
    </row>
    <row r="359" spans="1:2" x14ac:dyDescent="0.35">
      <c r="A359">
        <v>988760</v>
      </c>
      <c r="B359" t="s">
        <v>56</v>
      </c>
    </row>
    <row r="360" spans="1:2" x14ac:dyDescent="0.35">
      <c r="A360">
        <v>988810</v>
      </c>
      <c r="B360" t="s">
        <v>57</v>
      </c>
    </row>
    <row r="361" spans="1:2" x14ac:dyDescent="0.35">
      <c r="A361">
        <v>988830</v>
      </c>
      <c r="B361" t="s">
        <v>616</v>
      </c>
    </row>
    <row r="362" spans="1:2" x14ac:dyDescent="0.35">
      <c r="A362">
        <v>988850</v>
      </c>
      <c r="B362" t="s">
        <v>58</v>
      </c>
    </row>
    <row r="363" spans="1:2" x14ac:dyDescent="0.35">
      <c r="A363">
        <v>988851</v>
      </c>
      <c r="B363" t="s">
        <v>289</v>
      </c>
    </row>
    <row r="364" spans="1:2" x14ac:dyDescent="0.35">
      <c r="A364">
        <v>988890</v>
      </c>
      <c r="B364" t="s">
        <v>59</v>
      </c>
    </row>
    <row r="365" spans="1:2" x14ac:dyDescent="0.35">
      <c r="A365">
        <v>988910</v>
      </c>
      <c r="B365" t="s">
        <v>617</v>
      </c>
    </row>
    <row r="366" spans="1:2" x14ac:dyDescent="0.35">
      <c r="A366">
        <v>988930</v>
      </c>
      <c r="B366" t="s">
        <v>60</v>
      </c>
    </row>
    <row r="367" spans="1:2" x14ac:dyDescent="0.35">
      <c r="A367">
        <v>988970</v>
      </c>
      <c r="B367" t="s">
        <v>618</v>
      </c>
    </row>
    <row r="368" spans="1:2" x14ac:dyDescent="0.35">
      <c r="A368">
        <v>988971</v>
      </c>
      <c r="B368" t="s">
        <v>619</v>
      </c>
    </row>
    <row r="369" spans="1:2" x14ac:dyDescent="0.35">
      <c r="A369">
        <v>989005</v>
      </c>
      <c r="B369" t="s">
        <v>620</v>
      </c>
    </row>
    <row r="370" spans="1:2" x14ac:dyDescent="0.35">
      <c r="A370">
        <v>989006</v>
      </c>
      <c r="B370" t="s">
        <v>621</v>
      </c>
    </row>
    <row r="371" spans="1:2" x14ac:dyDescent="0.35">
      <c r="A371">
        <v>989007</v>
      </c>
      <c r="B371" t="s">
        <v>622</v>
      </c>
    </row>
    <row r="372" spans="1:2" x14ac:dyDescent="0.35">
      <c r="A372">
        <v>989008</v>
      </c>
      <c r="B372" t="s">
        <v>623</v>
      </c>
    </row>
    <row r="373" spans="1:2" x14ac:dyDescent="0.35">
      <c r="A373">
        <v>989060</v>
      </c>
      <c r="B373" t="s">
        <v>624</v>
      </c>
    </row>
    <row r="374" spans="1:2" x14ac:dyDescent="0.35">
      <c r="A374">
        <v>989061</v>
      </c>
      <c r="B374" t="s">
        <v>625</v>
      </c>
    </row>
    <row r="375" spans="1:2" x14ac:dyDescent="0.35">
      <c r="A375">
        <v>989062</v>
      </c>
      <c r="B375" t="s">
        <v>626</v>
      </c>
    </row>
    <row r="376" spans="1:2" x14ac:dyDescent="0.35">
      <c r="A376">
        <v>989063</v>
      </c>
      <c r="B376" t="s">
        <v>627</v>
      </c>
    </row>
    <row r="377" spans="1:2" x14ac:dyDescent="0.35">
      <c r="A377">
        <v>989064</v>
      </c>
      <c r="B377" t="s">
        <v>628</v>
      </c>
    </row>
    <row r="378" spans="1:2" x14ac:dyDescent="0.35">
      <c r="A378">
        <v>989065</v>
      </c>
      <c r="B378" t="s">
        <v>629</v>
      </c>
    </row>
    <row r="379" spans="1:2" x14ac:dyDescent="0.35">
      <c r="A379">
        <v>989066</v>
      </c>
      <c r="B379" t="s">
        <v>630</v>
      </c>
    </row>
    <row r="380" spans="1:2" x14ac:dyDescent="0.35">
      <c r="A380">
        <v>989067</v>
      </c>
      <c r="B380" t="s">
        <v>631</v>
      </c>
    </row>
    <row r="381" spans="1:2" x14ac:dyDescent="0.35">
      <c r="A381">
        <v>989068</v>
      </c>
      <c r="B381" t="s">
        <v>632</v>
      </c>
    </row>
    <row r="382" spans="1:2" x14ac:dyDescent="0.35">
      <c r="A382">
        <v>989085</v>
      </c>
      <c r="B382" t="s">
        <v>209</v>
      </c>
    </row>
    <row r="383" spans="1:2" x14ac:dyDescent="0.35">
      <c r="A383">
        <v>989086</v>
      </c>
      <c r="B383" t="s">
        <v>283</v>
      </c>
    </row>
    <row r="384" spans="1:2" x14ac:dyDescent="0.35">
      <c r="A384">
        <v>989087</v>
      </c>
      <c r="B384" t="s">
        <v>310</v>
      </c>
    </row>
    <row r="385" spans="1:2" x14ac:dyDescent="0.35">
      <c r="A385">
        <v>989088</v>
      </c>
      <c r="B385" t="s">
        <v>307</v>
      </c>
    </row>
    <row r="386" spans="1:2" x14ac:dyDescent="0.35">
      <c r="A386">
        <v>989089</v>
      </c>
      <c r="B386" t="s">
        <v>308</v>
      </c>
    </row>
    <row r="387" spans="1:2" x14ac:dyDescent="0.35">
      <c r="A387">
        <v>989100</v>
      </c>
      <c r="B387" t="s">
        <v>633</v>
      </c>
    </row>
    <row r="388" spans="1:2" x14ac:dyDescent="0.35">
      <c r="A388">
        <v>989210</v>
      </c>
      <c r="B388" t="s">
        <v>61</v>
      </c>
    </row>
    <row r="389" spans="1:2" x14ac:dyDescent="0.35">
      <c r="A389">
        <v>989211</v>
      </c>
      <c r="B389" t="s">
        <v>62</v>
      </c>
    </row>
    <row r="390" spans="1:2" x14ac:dyDescent="0.35">
      <c r="A390">
        <v>989212</v>
      </c>
      <c r="B390" t="s">
        <v>63</v>
      </c>
    </row>
    <row r="391" spans="1:2" x14ac:dyDescent="0.35">
      <c r="A391">
        <v>989213</v>
      </c>
      <c r="B391" t="s">
        <v>634</v>
      </c>
    </row>
    <row r="392" spans="1:2" x14ac:dyDescent="0.35">
      <c r="A392">
        <v>989250</v>
      </c>
      <c r="B392" t="s">
        <v>635</v>
      </c>
    </row>
    <row r="393" spans="1:2" x14ac:dyDescent="0.35">
      <c r="A393">
        <v>989260</v>
      </c>
      <c r="B393" t="s">
        <v>64</v>
      </c>
    </row>
    <row r="394" spans="1:2" x14ac:dyDescent="0.35">
      <c r="A394">
        <v>989267</v>
      </c>
      <c r="B394" t="s">
        <v>636</v>
      </c>
    </row>
    <row r="395" spans="1:2" x14ac:dyDescent="0.35">
      <c r="A395">
        <v>989280</v>
      </c>
      <c r="B395" t="s">
        <v>637</v>
      </c>
    </row>
    <row r="396" spans="1:2" x14ac:dyDescent="0.35">
      <c r="A396">
        <v>989301</v>
      </c>
      <c r="B396" t="s">
        <v>272</v>
      </c>
    </row>
    <row r="397" spans="1:2" x14ac:dyDescent="0.35">
      <c r="A397">
        <v>989310</v>
      </c>
      <c r="B397" t="s">
        <v>638</v>
      </c>
    </row>
    <row r="398" spans="1:2" x14ac:dyDescent="0.35">
      <c r="A398">
        <v>989330</v>
      </c>
      <c r="B398" t="s">
        <v>284</v>
      </c>
    </row>
    <row r="399" spans="1:2" x14ac:dyDescent="0.35">
      <c r="A399">
        <v>989360</v>
      </c>
      <c r="B399" t="s">
        <v>65</v>
      </c>
    </row>
    <row r="400" spans="1:2" x14ac:dyDescent="0.35">
      <c r="A400">
        <v>989361</v>
      </c>
      <c r="B400" t="s">
        <v>639</v>
      </c>
    </row>
    <row r="401" spans="1:2" x14ac:dyDescent="0.35">
      <c r="A401">
        <v>989380</v>
      </c>
      <c r="B401" t="s">
        <v>640</v>
      </c>
    </row>
    <row r="402" spans="1:2" x14ac:dyDescent="0.35">
      <c r="A402">
        <v>989410</v>
      </c>
      <c r="B402" t="s">
        <v>641</v>
      </c>
    </row>
    <row r="403" spans="1:2" x14ac:dyDescent="0.35">
      <c r="A403">
        <v>989411</v>
      </c>
      <c r="B403" t="s">
        <v>642</v>
      </c>
    </row>
    <row r="404" spans="1:2" x14ac:dyDescent="0.35">
      <c r="A404">
        <v>989412</v>
      </c>
      <c r="B404" t="s">
        <v>643</v>
      </c>
    </row>
    <row r="405" spans="1:2" x14ac:dyDescent="0.35">
      <c r="A405">
        <v>989430</v>
      </c>
      <c r="B405" t="s">
        <v>644</v>
      </c>
    </row>
    <row r="406" spans="1:2" x14ac:dyDescent="0.35">
      <c r="A406">
        <v>989460</v>
      </c>
      <c r="B406" t="s">
        <v>645</v>
      </c>
    </row>
    <row r="407" spans="1:2" x14ac:dyDescent="0.35">
      <c r="A407">
        <v>989461</v>
      </c>
      <c r="B407" t="s">
        <v>66</v>
      </c>
    </row>
    <row r="408" spans="1:2" x14ac:dyDescent="0.35">
      <c r="A408">
        <v>989490</v>
      </c>
      <c r="B408" t="s">
        <v>646</v>
      </c>
    </row>
    <row r="409" spans="1:2" x14ac:dyDescent="0.35">
      <c r="A409">
        <v>989550</v>
      </c>
      <c r="B409" t="s">
        <v>647</v>
      </c>
    </row>
    <row r="410" spans="1:2" x14ac:dyDescent="0.35">
      <c r="A410">
        <v>989560</v>
      </c>
      <c r="B410" t="s">
        <v>67</v>
      </c>
    </row>
    <row r="411" spans="1:2" x14ac:dyDescent="0.35">
      <c r="A411">
        <v>989561</v>
      </c>
      <c r="B411" t="s">
        <v>648</v>
      </c>
    </row>
    <row r="412" spans="1:2" x14ac:dyDescent="0.35">
      <c r="A412">
        <v>989580</v>
      </c>
      <c r="B412" t="s">
        <v>649</v>
      </c>
    </row>
    <row r="413" spans="1:2" x14ac:dyDescent="0.35">
      <c r="A413">
        <v>989618</v>
      </c>
      <c r="B413" t="s">
        <v>650</v>
      </c>
    </row>
    <row r="414" spans="1:2" x14ac:dyDescent="0.35">
      <c r="A414">
        <v>989619</v>
      </c>
      <c r="B414" t="s">
        <v>68</v>
      </c>
    </row>
    <row r="415" spans="1:2" x14ac:dyDescent="0.35">
      <c r="A415">
        <v>989660</v>
      </c>
      <c r="B415" t="s">
        <v>69</v>
      </c>
    </row>
    <row r="416" spans="1:2" x14ac:dyDescent="0.35">
      <c r="A416">
        <v>989680</v>
      </c>
      <c r="B416" t="s">
        <v>651</v>
      </c>
    </row>
    <row r="417" spans="1:2" x14ac:dyDescent="0.35">
      <c r="A417">
        <v>989710</v>
      </c>
      <c r="B417" t="s">
        <v>70</v>
      </c>
    </row>
    <row r="418" spans="1:2" x14ac:dyDescent="0.35">
      <c r="A418">
        <v>989730</v>
      </c>
      <c r="B418" t="s">
        <v>652</v>
      </c>
    </row>
    <row r="419" spans="1:2" x14ac:dyDescent="0.35">
      <c r="A419">
        <v>989760</v>
      </c>
      <c r="B419" t="s">
        <v>653</v>
      </c>
    </row>
    <row r="420" spans="1:2" x14ac:dyDescent="0.35">
      <c r="A420">
        <v>989762</v>
      </c>
      <c r="B420" t="s">
        <v>654</v>
      </c>
    </row>
    <row r="421" spans="1:2" x14ac:dyDescent="0.35">
      <c r="A421">
        <v>989763</v>
      </c>
      <c r="B421" t="s">
        <v>655</v>
      </c>
    </row>
    <row r="422" spans="1:2" x14ac:dyDescent="0.35">
      <c r="A422">
        <v>989764</v>
      </c>
      <c r="B422" t="s">
        <v>656</v>
      </c>
    </row>
    <row r="423" spans="1:2" x14ac:dyDescent="0.35">
      <c r="A423">
        <v>989800</v>
      </c>
      <c r="B423" t="s">
        <v>657</v>
      </c>
    </row>
    <row r="424" spans="1:2" x14ac:dyDescent="0.35">
      <c r="A424">
        <v>989810</v>
      </c>
      <c r="B424" t="s">
        <v>71</v>
      </c>
    </row>
    <row r="425" spans="1:2" x14ac:dyDescent="0.35">
      <c r="A425">
        <v>989811</v>
      </c>
      <c r="B425" t="s">
        <v>658</v>
      </c>
    </row>
    <row r="426" spans="1:2" x14ac:dyDescent="0.35">
      <c r="A426">
        <v>989812</v>
      </c>
      <c r="B426" t="s">
        <v>659</v>
      </c>
    </row>
    <row r="427" spans="1:2" x14ac:dyDescent="0.35">
      <c r="A427">
        <v>989830</v>
      </c>
      <c r="B427" t="s">
        <v>660</v>
      </c>
    </row>
    <row r="428" spans="1:2" x14ac:dyDescent="0.35">
      <c r="A428">
        <v>989860</v>
      </c>
      <c r="B428" t="s">
        <v>661</v>
      </c>
    </row>
    <row r="429" spans="1:2" x14ac:dyDescent="0.35">
      <c r="A429">
        <v>990000</v>
      </c>
      <c r="B429" t="s">
        <v>72</v>
      </c>
    </row>
    <row r="430" spans="1:2" x14ac:dyDescent="0.35">
      <c r="A430">
        <v>990001</v>
      </c>
      <c r="B430" t="s">
        <v>73</v>
      </c>
    </row>
    <row r="431" spans="1:2" x14ac:dyDescent="0.35">
      <c r="A431">
        <v>990002</v>
      </c>
      <c r="B431" t="s">
        <v>74</v>
      </c>
    </row>
    <row r="432" spans="1:2" x14ac:dyDescent="0.35">
      <c r="A432">
        <v>990003</v>
      </c>
      <c r="B432" t="s">
        <v>75</v>
      </c>
    </row>
    <row r="433" spans="1:2" x14ac:dyDescent="0.35">
      <c r="A433">
        <v>990004</v>
      </c>
      <c r="B433" t="s">
        <v>212</v>
      </c>
    </row>
    <row r="434" spans="1:2" x14ac:dyDescent="0.35">
      <c r="A434">
        <v>990005</v>
      </c>
      <c r="B434" t="s">
        <v>213</v>
      </c>
    </row>
    <row r="435" spans="1:2" x14ac:dyDescent="0.35">
      <c r="A435">
        <v>990006</v>
      </c>
      <c r="B435" t="s">
        <v>214</v>
      </c>
    </row>
    <row r="436" spans="1:2" x14ac:dyDescent="0.35">
      <c r="A436">
        <v>990007</v>
      </c>
      <c r="B436" t="s">
        <v>76</v>
      </c>
    </row>
    <row r="437" spans="1:2" x14ac:dyDescent="0.35">
      <c r="A437">
        <v>990008</v>
      </c>
      <c r="B437" t="s">
        <v>77</v>
      </c>
    </row>
    <row r="438" spans="1:2" x14ac:dyDescent="0.35">
      <c r="A438">
        <v>990009</v>
      </c>
      <c r="B438" t="s">
        <v>78</v>
      </c>
    </row>
    <row r="439" spans="1:2" x14ac:dyDescent="0.35">
      <c r="A439">
        <v>990010</v>
      </c>
      <c r="B439" t="s">
        <v>79</v>
      </c>
    </row>
    <row r="440" spans="1:2" x14ac:dyDescent="0.35">
      <c r="A440">
        <v>990011</v>
      </c>
      <c r="B440" t="s">
        <v>215</v>
      </c>
    </row>
    <row r="441" spans="1:2" x14ac:dyDescent="0.35">
      <c r="A441">
        <v>990012</v>
      </c>
      <c r="B441" t="s">
        <v>216</v>
      </c>
    </row>
    <row r="442" spans="1:2" x14ac:dyDescent="0.35">
      <c r="A442">
        <v>990013</v>
      </c>
      <c r="B442" t="s">
        <v>217</v>
      </c>
    </row>
    <row r="443" spans="1:2" x14ac:dyDescent="0.35">
      <c r="A443">
        <v>990014</v>
      </c>
      <c r="B443" t="s">
        <v>218</v>
      </c>
    </row>
    <row r="444" spans="1:2" x14ac:dyDescent="0.35">
      <c r="A444">
        <v>990015</v>
      </c>
      <c r="B444" t="s">
        <v>219</v>
      </c>
    </row>
    <row r="445" spans="1:2" x14ac:dyDescent="0.35">
      <c r="A445">
        <v>990016</v>
      </c>
      <c r="B445" t="s">
        <v>80</v>
      </c>
    </row>
    <row r="446" spans="1:2" x14ac:dyDescent="0.35">
      <c r="A446">
        <v>990017</v>
      </c>
      <c r="B446" t="s">
        <v>81</v>
      </c>
    </row>
    <row r="447" spans="1:2" x14ac:dyDescent="0.35">
      <c r="A447">
        <v>990018</v>
      </c>
      <c r="B447" t="s">
        <v>82</v>
      </c>
    </row>
    <row r="448" spans="1:2" x14ac:dyDescent="0.35">
      <c r="A448">
        <v>990019</v>
      </c>
      <c r="B448" t="s">
        <v>83</v>
      </c>
    </row>
    <row r="449" spans="1:2" x14ac:dyDescent="0.35">
      <c r="A449">
        <v>990020</v>
      </c>
      <c r="B449" t="s">
        <v>84</v>
      </c>
    </row>
    <row r="450" spans="1:2" x14ac:dyDescent="0.35">
      <c r="A450">
        <v>990021</v>
      </c>
      <c r="B450" t="s">
        <v>220</v>
      </c>
    </row>
    <row r="451" spans="1:2" x14ac:dyDescent="0.35">
      <c r="A451">
        <v>990022</v>
      </c>
      <c r="B451" t="s">
        <v>85</v>
      </c>
    </row>
    <row r="452" spans="1:2" x14ac:dyDescent="0.35">
      <c r="A452">
        <v>990023</v>
      </c>
      <c r="B452" t="s">
        <v>86</v>
      </c>
    </row>
    <row r="453" spans="1:2" x14ac:dyDescent="0.35">
      <c r="A453">
        <v>990024</v>
      </c>
      <c r="B453" t="s">
        <v>87</v>
      </c>
    </row>
    <row r="454" spans="1:2" x14ac:dyDescent="0.35">
      <c r="A454">
        <v>990025</v>
      </c>
      <c r="B454" t="s">
        <v>88</v>
      </c>
    </row>
    <row r="455" spans="1:2" x14ac:dyDescent="0.35">
      <c r="A455">
        <v>990026</v>
      </c>
      <c r="B455" t="s">
        <v>89</v>
      </c>
    </row>
    <row r="456" spans="1:2" x14ac:dyDescent="0.35">
      <c r="A456">
        <v>990027</v>
      </c>
      <c r="B456" t="s">
        <v>90</v>
      </c>
    </row>
    <row r="457" spans="1:2" x14ac:dyDescent="0.35">
      <c r="A457">
        <v>990028</v>
      </c>
      <c r="B457" t="s">
        <v>91</v>
      </c>
    </row>
    <row r="458" spans="1:2" x14ac:dyDescent="0.35">
      <c r="A458">
        <v>990029</v>
      </c>
      <c r="B458" t="s">
        <v>92</v>
      </c>
    </row>
    <row r="459" spans="1:2" x14ac:dyDescent="0.35">
      <c r="A459">
        <v>990031</v>
      </c>
      <c r="B459" t="s">
        <v>93</v>
      </c>
    </row>
    <row r="460" spans="1:2" x14ac:dyDescent="0.35">
      <c r="A460">
        <v>990058</v>
      </c>
      <c r="B460" t="s">
        <v>662</v>
      </c>
    </row>
    <row r="461" spans="1:2" x14ac:dyDescent="0.35">
      <c r="A461">
        <v>990800</v>
      </c>
      <c r="B461" t="s">
        <v>94</v>
      </c>
    </row>
    <row r="462" spans="1:2" x14ac:dyDescent="0.35">
      <c r="A462">
        <v>990801</v>
      </c>
      <c r="B462" t="s">
        <v>221</v>
      </c>
    </row>
    <row r="463" spans="1:2" x14ac:dyDescent="0.35">
      <c r="A463">
        <v>990802</v>
      </c>
      <c r="B463" t="s">
        <v>95</v>
      </c>
    </row>
    <row r="464" spans="1:2" x14ac:dyDescent="0.35">
      <c r="A464">
        <v>990803</v>
      </c>
      <c r="B464" t="s">
        <v>222</v>
      </c>
    </row>
    <row r="465" spans="1:2" x14ac:dyDescent="0.35">
      <c r="A465">
        <v>990804</v>
      </c>
      <c r="B465" t="s">
        <v>210</v>
      </c>
    </row>
    <row r="466" spans="1:2" x14ac:dyDescent="0.35">
      <c r="A466">
        <v>990805</v>
      </c>
      <c r="B466" t="s">
        <v>96</v>
      </c>
    </row>
    <row r="467" spans="1:2" x14ac:dyDescent="0.35">
      <c r="A467">
        <v>990806</v>
      </c>
      <c r="B467" t="s">
        <v>223</v>
      </c>
    </row>
    <row r="468" spans="1:2" x14ac:dyDescent="0.35">
      <c r="A468">
        <v>990807</v>
      </c>
      <c r="B468" t="s">
        <v>97</v>
      </c>
    </row>
    <row r="469" spans="1:2" x14ac:dyDescent="0.35">
      <c r="A469">
        <v>990808</v>
      </c>
      <c r="B469" t="s">
        <v>98</v>
      </c>
    </row>
    <row r="470" spans="1:2" x14ac:dyDescent="0.35">
      <c r="A470">
        <v>990809</v>
      </c>
      <c r="B470" t="s">
        <v>224</v>
      </c>
    </row>
    <row r="471" spans="1:2" x14ac:dyDescent="0.35">
      <c r="A471">
        <v>990810</v>
      </c>
      <c r="B471" t="s">
        <v>99</v>
      </c>
    </row>
    <row r="472" spans="1:2" x14ac:dyDescent="0.35">
      <c r="A472">
        <v>990811</v>
      </c>
      <c r="B472" t="s">
        <v>225</v>
      </c>
    </row>
    <row r="473" spans="1:2" x14ac:dyDescent="0.35">
      <c r="A473">
        <v>990812</v>
      </c>
      <c r="B473" t="s">
        <v>100</v>
      </c>
    </row>
    <row r="474" spans="1:2" x14ac:dyDescent="0.35">
      <c r="A474">
        <v>990813</v>
      </c>
      <c r="B474" t="s">
        <v>101</v>
      </c>
    </row>
    <row r="475" spans="1:2" x14ac:dyDescent="0.35">
      <c r="A475">
        <v>990814</v>
      </c>
      <c r="B475" t="s">
        <v>102</v>
      </c>
    </row>
    <row r="476" spans="1:2" x14ac:dyDescent="0.35">
      <c r="A476">
        <v>990815</v>
      </c>
      <c r="B476" t="s">
        <v>226</v>
      </c>
    </row>
    <row r="477" spans="1:2" x14ac:dyDescent="0.35">
      <c r="A477">
        <v>990816</v>
      </c>
      <c r="B477" t="s">
        <v>103</v>
      </c>
    </row>
    <row r="478" spans="1:2" x14ac:dyDescent="0.35">
      <c r="A478">
        <v>990817</v>
      </c>
      <c r="B478" t="s">
        <v>104</v>
      </c>
    </row>
    <row r="479" spans="1:2" x14ac:dyDescent="0.35">
      <c r="A479">
        <v>990818</v>
      </c>
      <c r="B479" t="s">
        <v>105</v>
      </c>
    </row>
    <row r="480" spans="1:2" x14ac:dyDescent="0.35">
      <c r="A480">
        <v>990819</v>
      </c>
      <c r="B480" t="s">
        <v>227</v>
      </c>
    </row>
    <row r="481" spans="1:2" x14ac:dyDescent="0.35">
      <c r="A481">
        <v>990820</v>
      </c>
      <c r="B481" t="s">
        <v>106</v>
      </c>
    </row>
    <row r="482" spans="1:2" x14ac:dyDescent="0.35">
      <c r="A482">
        <v>990821</v>
      </c>
      <c r="B482" t="s">
        <v>107</v>
      </c>
    </row>
    <row r="483" spans="1:2" x14ac:dyDescent="0.35">
      <c r="A483">
        <v>990822</v>
      </c>
      <c r="B483" t="s">
        <v>108</v>
      </c>
    </row>
    <row r="484" spans="1:2" x14ac:dyDescent="0.35">
      <c r="A484">
        <v>990823</v>
      </c>
      <c r="B484" t="s">
        <v>228</v>
      </c>
    </row>
    <row r="485" spans="1:2" x14ac:dyDescent="0.35">
      <c r="A485">
        <v>990824</v>
      </c>
      <c r="B485" t="s">
        <v>109</v>
      </c>
    </row>
    <row r="486" spans="1:2" x14ac:dyDescent="0.35">
      <c r="A486">
        <v>990825</v>
      </c>
      <c r="B486" t="s">
        <v>110</v>
      </c>
    </row>
    <row r="487" spans="1:2" x14ac:dyDescent="0.35">
      <c r="A487">
        <v>990826</v>
      </c>
      <c r="B487" t="s">
        <v>111</v>
      </c>
    </row>
    <row r="488" spans="1:2" x14ac:dyDescent="0.35">
      <c r="A488">
        <v>990827</v>
      </c>
      <c r="B488" t="s">
        <v>112</v>
      </c>
    </row>
    <row r="489" spans="1:2" x14ac:dyDescent="0.35">
      <c r="A489">
        <v>990828</v>
      </c>
      <c r="B489" t="s">
        <v>113</v>
      </c>
    </row>
    <row r="490" spans="1:2" x14ac:dyDescent="0.35">
      <c r="A490">
        <v>990829</v>
      </c>
      <c r="B490" t="s">
        <v>114</v>
      </c>
    </row>
    <row r="491" spans="1:2" x14ac:dyDescent="0.35">
      <c r="A491">
        <v>990830</v>
      </c>
      <c r="B491" t="s">
        <v>115</v>
      </c>
    </row>
    <row r="492" spans="1:2" x14ac:dyDescent="0.35">
      <c r="A492">
        <v>990831</v>
      </c>
      <c r="B492" t="s">
        <v>116</v>
      </c>
    </row>
    <row r="493" spans="1:2" x14ac:dyDescent="0.35">
      <c r="A493">
        <v>990832</v>
      </c>
      <c r="B493" t="s">
        <v>117</v>
      </c>
    </row>
    <row r="494" spans="1:2" x14ac:dyDescent="0.35">
      <c r="A494">
        <v>990833</v>
      </c>
      <c r="B494" t="s">
        <v>118</v>
      </c>
    </row>
    <row r="495" spans="1:2" x14ac:dyDescent="0.35">
      <c r="A495">
        <v>990834</v>
      </c>
      <c r="B495" t="s">
        <v>119</v>
      </c>
    </row>
    <row r="496" spans="1:2" x14ac:dyDescent="0.35">
      <c r="A496">
        <v>990835</v>
      </c>
      <c r="B496" t="s">
        <v>211</v>
      </c>
    </row>
    <row r="497" spans="1:2" x14ac:dyDescent="0.35">
      <c r="A497">
        <v>991200</v>
      </c>
      <c r="B497" t="s">
        <v>229</v>
      </c>
    </row>
    <row r="498" spans="1:2" x14ac:dyDescent="0.35">
      <c r="A498">
        <v>991201</v>
      </c>
      <c r="B498" t="s">
        <v>230</v>
      </c>
    </row>
    <row r="499" spans="1:2" x14ac:dyDescent="0.35">
      <c r="A499">
        <v>991202</v>
      </c>
      <c r="B499" t="s">
        <v>231</v>
      </c>
    </row>
    <row r="500" spans="1:2" x14ac:dyDescent="0.35">
      <c r="A500">
        <v>991203</v>
      </c>
      <c r="B500" t="s">
        <v>232</v>
      </c>
    </row>
    <row r="501" spans="1:2" x14ac:dyDescent="0.35">
      <c r="A501">
        <v>991204</v>
      </c>
      <c r="B501" t="s">
        <v>233</v>
      </c>
    </row>
    <row r="502" spans="1:2" x14ac:dyDescent="0.35">
      <c r="A502">
        <v>991205</v>
      </c>
      <c r="B502" t="s">
        <v>234</v>
      </c>
    </row>
    <row r="503" spans="1:2" x14ac:dyDescent="0.35">
      <c r="A503">
        <v>991206</v>
      </c>
      <c r="B503" t="s">
        <v>235</v>
      </c>
    </row>
    <row r="504" spans="1:2" x14ac:dyDescent="0.35">
      <c r="A504">
        <v>991207</v>
      </c>
      <c r="B504" t="s">
        <v>236</v>
      </c>
    </row>
    <row r="505" spans="1:2" x14ac:dyDescent="0.35">
      <c r="A505">
        <v>991208</v>
      </c>
      <c r="B505" t="s">
        <v>663</v>
      </c>
    </row>
    <row r="506" spans="1:2" x14ac:dyDescent="0.35">
      <c r="A506">
        <v>991209</v>
      </c>
      <c r="B506" t="s">
        <v>120</v>
      </c>
    </row>
    <row r="507" spans="1:2" x14ac:dyDescent="0.35">
      <c r="A507">
        <v>991210</v>
      </c>
      <c r="B507" t="s">
        <v>664</v>
      </c>
    </row>
    <row r="508" spans="1:2" x14ac:dyDescent="0.35">
      <c r="A508">
        <v>991211</v>
      </c>
      <c r="B508" t="s">
        <v>237</v>
      </c>
    </row>
    <row r="509" spans="1:2" x14ac:dyDescent="0.35">
      <c r="A509">
        <v>991212</v>
      </c>
      <c r="B509" t="s">
        <v>665</v>
      </c>
    </row>
    <row r="510" spans="1:2" x14ac:dyDescent="0.35">
      <c r="A510">
        <v>991213</v>
      </c>
      <c r="B510" t="s">
        <v>238</v>
      </c>
    </row>
    <row r="511" spans="1:2" x14ac:dyDescent="0.35">
      <c r="A511">
        <v>991214</v>
      </c>
      <c r="B511" t="s">
        <v>239</v>
      </c>
    </row>
    <row r="512" spans="1:2" x14ac:dyDescent="0.35">
      <c r="A512">
        <v>991215</v>
      </c>
      <c r="B512" t="s">
        <v>240</v>
      </c>
    </row>
    <row r="513" spans="1:2" x14ac:dyDescent="0.35">
      <c r="A513">
        <v>991216</v>
      </c>
      <c r="B513" t="s">
        <v>241</v>
      </c>
    </row>
    <row r="514" spans="1:2" x14ac:dyDescent="0.35">
      <c r="A514">
        <v>991217</v>
      </c>
      <c r="B514" t="s">
        <v>242</v>
      </c>
    </row>
    <row r="515" spans="1:2" x14ac:dyDescent="0.35">
      <c r="A515">
        <v>991218</v>
      </c>
      <c r="B515" t="s">
        <v>243</v>
      </c>
    </row>
    <row r="516" spans="1:2" x14ac:dyDescent="0.35">
      <c r="A516">
        <v>991219</v>
      </c>
      <c r="B516" t="s">
        <v>244</v>
      </c>
    </row>
    <row r="517" spans="1:2" x14ac:dyDescent="0.35">
      <c r="A517">
        <v>991220</v>
      </c>
      <c r="B517" t="s">
        <v>245</v>
      </c>
    </row>
    <row r="518" spans="1:2" x14ac:dyDescent="0.35">
      <c r="A518">
        <v>991221</v>
      </c>
      <c r="B518" t="s">
        <v>246</v>
      </c>
    </row>
    <row r="519" spans="1:2" x14ac:dyDescent="0.35">
      <c r="A519">
        <v>991222</v>
      </c>
      <c r="B519" t="s">
        <v>121</v>
      </c>
    </row>
    <row r="520" spans="1:2" x14ac:dyDescent="0.35">
      <c r="A520">
        <v>991223</v>
      </c>
      <c r="B520" t="s">
        <v>247</v>
      </c>
    </row>
    <row r="521" spans="1:2" x14ac:dyDescent="0.35">
      <c r="A521">
        <v>991224</v>
      </c>
      <c r="B521" t="s">
        <v>248</v>
      </c>
    </row>
    <row r="522" spans="1:2" x14ac:dyDescent="0.35">
      <c r="A522">
        <v>991225</v>
      </c>
      <c r="B522" t="s">
        <v>666</v>
      </c>
    </row>
    <row r="523" spans="1:2" x14ac:dyDescent="0.35">
      <c r="A523">
        <v>991226</v>
      </c>
      <c r="B523" t="s">
        <v>249</v>
      </c>
    </row>
    <row r="524" spans="1:2" x14ac:dyDescent="0.35">
      <c r="A524">
        <v>991227</v>
      </c>
      <c r="B524" t="s">
        <v>250</v>
      </c>
    </row>
    <row r="525" spans="1:2" x14ac:dyDescent="0.35">
      <c r="A525">
        <v>991228</v>
      </c>
      <c r="B525" t="s">
        <v>251</v>
      </c>
    </row>
    <row r="526" spans="1:2" x14ac:dyDescent="0.35">
      <c r="A526">
        <v>991229</v>
      </c>
      <c r="B526" t="s">
        <v>252</v>
      </c>
    </row>
    <row r="527" spans="1:2" x14ac:dyDescent="0.35">
      <c r="A527">
        <v>991230</v>
      </c>
      <c r="B527" t="s">
        <v>253</v>
      </c>
    </row>
    <row r="528" spans="1:2" x14ac:dyDescent="0.35">
      <c r="A528">
        <v>992949</v>
      </c>
      <c r="B528" t="s">
        <v>122</v>
      </c>
    </row>
    <row r="529" spans="1:2" x14ac:dyDescent="0.35">
      <c r="A529">
        <v>992950</v>
      </c>
      <c r="B529" t="s">
        <v>123</v>
      </c>
    </row>
    <row r="530" spans="1:2" x14ac:dyDescent="0.35">
      <c r="A530">
        <v>992951</v>
      </c>
      <c r="B530" t="s">
        <v>124</v>
      </c>
    </row>
    <row r="531" spans="1:2" x14ac:dyDescent="0.35">
      <c r="A531">
        <v>992952</v>
      </c>
      <c r="B531" t="s">
        <v>254</v>
      </c>
    </row>
    <row r="532" spans="1:2" x14ac:dyDescent="0.35">
      <c r="A532">
        <v>992953</v>
      </c>
      <c r="B532" t="s">
        <v>255</v>
      </c>
    </row>
    <row r="533" spans="1:2" x14ac:dyDescent="0.35">
      <c r="A533">
        <v>992954</v>
      </c>
      <c r="B533" t="s">
        <v>256</v>
      </c>
    </row>
    <row r="534" spans="1:2" x14ac:dyDescent="0.35">
      <c r="A534">
        <v>992955</v>
      </c>
      <c r="B534" t="s">
        <v>257</v>
      </c>
    </row>
    <row r="535" spans="1:2" x14ac:dyDescent="0.35">
      <c r="A535">
        <v>992956</v>
      </c>
      <c r="B535" t="s">
        <v>125</v>
      </c>
    </row>
    <row r="536" spans="1:2" x14ac:dyDescent="0.35">
      <c r="A536">
        <v>992957</v>
      </c>
      <c r="B536" t="s">
        <v>126</v>
      </c>
    </row>
    <row r="537" spans="1:2" x14ac:dyDescent="0.35">
      <c r="A537">
        <v>992958</v>
      </c>
      <c r="B537" t="s">
        <v>127</v>
      </c>
    </row>
    <row r="538" spans="1:2" x14ac:dyDescent="0.35">
      <c r="A538">
        <v>992959</v>
      </c>
      <c r="B538" t="s">
        <v>258</v>
      </c>
    </row>
    <row r="539" spans="1:2" x14ac:dyDescent="0.35">
      <c r="A539">
        <v>992960</v>
      </c>
      <c r="B539" t="s">
        <v>128</v>
      </c>
    </row>
    <row r="540" spans="1:2" x14ac:dyDescent="0.35">
      <c r="A540">
        <v>992961</v>
      </c>
      <c r="B540" t="s">
        <v>129</v>
      </c>
    </row>
    <row r="541" spans="1:2" x14ac:dyDescent="0.35">
      <c r="A541">
        <v>992962</v>
      </c>
      <c r="B541" t="s">
        <v>130</v>
      </c>
    </row>
    <row r="542" spans="1:2" x14ac:dyDescent="0.35">
      <c r="A542">
        <v>992963</v>
      </c>
      <c r="B542" t="s">
        <v>259</v>
      </c>
    </row>
    <row r="543" spans="1:2" x14ac:dyDescent="0.35">
      <c r="A543">
        <v>992965</v>
      </c>
      <c r="B543" t="s">
        <v>131</v>
      </c>
    </row>
    <row r="544" spans="1:2" x14ac:dyDescent="0.35">
      <c r="A544">
        <v>992967</v>
      </c>
      <c r="B544" t="s">
        <v>132</v>
      </c>
    </row>
    <row r="545" spans="1:2" x14ac:dyDescent="0.35">
      <c r="A545">
        <v>992968</v>
      </c>
      <c r="B545" t="s">
        <v>260</v>
      </c>
    </row>
    <row r="546" spans="1:2" x14ac:dyDescent="0.35">
      <c r="A546">
        <v>992969</v>
      </c>
      <c r="B546" t="s">
        <v>133</v>
      </c>
    </row>
    <row r="547" spans="1:2" x14ac:dyDescent="0.35">
      <c r="A547">
        <v>992970</v>
      </c>
      <c r="B547" t="s">
        <v>134</v>
      </c>
    </row>
    <row r="548" spans="1:2" x14ac:dyDescent="0.35">
      <c r="A548">
        <v>992971</v>
      </c>
      <c r="B548" t="s">
        <v>135</v>
      </c>
    </row>
    <row r="549" spans="1:2" x14ac:dyDescent="0.35">
      <c r="A549">
        <v>992972</v>
      </c>
      <c r="B549" t="s">
        <v>136</v>
      </c>
    </row>
    <row r="550" spans="1:2" x14ac:dyDescent="0.35">
      <c r="A550">
        <v>992973</v>
      </c>
      <c r="B550" t="s">
        <v>137</v>
      </c>
    </row>
    <row r="551" spans="1:2" x14ac:dyDescent="0.35">
      <c r="A551">
        <v>992974</v>
      </c>
      <c r="B551" t="s">
        <v>138</v>
      </c>
    </row>
    <row r="552" spans="1:2" x14ac:dyDescent="0.35">
      <c r="A552">
        <v>992975</v>
      </c>
      <c r="B552" t="s">
        <v>139</v>
      </c>
    </row>
    <row r="553" spans="1:2" x14ac:dyDescent="0.35">
      <c r="A553">
        <v>992976</v>
      </c>
      <c r="B553" t="s">
        <v>261</v>
      </c>
    </row>
    <row r="554" spans="1:2" x14ac:dyDescent="0.35">
      <c r="A554">
        <v>992977</v>
      </c>
      <c r="B554" t="s">
        <v>140</v>
      </c>
    </row>
    <row r="555" spans="1:2" x14ac:dyDescent="0.35">
      <c r="A555">
        <v>992978</v>
      </c>
      <c r="B555" t="s">
        <v>141</v>
      </c>
    </row>
    <row r="556" spans="1:2" x14ac:dyDescent="0.35">
      <c r="A556">
        <v>992979</v>
      </c>
      <c r="B556" t="s">
        <v>142</v>
      </c>
    </row>
    <row r="557" spans="1:2" x14ac:dyDescent="0.35">
      <c r="A557">
        <v>992980</v>
      </c>
      <c r="B557" t="s">
        <v>143</v>
      </c>
    </row>
    <row r="558" spans="1:2" x14ac:dyDescent="0.35">
      <c r="A558">
        <v>992981</v>
      </c>
      <c r="B558" t="s">
        <v>144</v>
      </c>
    </row>
    <row r="559" spans="1:2" x14ac:dyDescent="0.35">
      <c r="A559">
        <v>992982</v>
      </c>
      <c r="B559" t="s">
        <v>145</v>
      </c>
    </row>
    <row r="560" spans="1:2" x14ac:dyDescent="0.35">
      <c r="A560">
        <v>992983</v>
      </c>
      <c r="B560" t="s">
        <v>262</v>
      </c>
    </row>
    <row r="561" spans="1:2" x14ac:dyDescent="0.35">
      <c r="A561">
        <v>992984</v>
      </c>
      <c r="B561" t="s">
        <v>146</v>
      </c>
    </row>
    <row r="562" spans="1:2" x14ac:dyDescent="0.35">
      <c r="A562">
        <v>992985</v>
      </c>
      <c r="B562" t="s">
        <v>147</v>
      </c>
    </row>
    <row r="563" spans="1:2" x14ac:dyDescent="0.35">
      <c r="A563">
        <v>992986</v>
      </c>
      <c r="B563" t="s">
        <v>148</v>
      </c>
    </row>
    <row r="564" spans="1:2" x14ac:dyDescent="0.35">
      <c r="A564">
        <v>992987</v>
      </c>
      <c r="B564" t="s">
        <v>149</v>
      </c>
    </row>
    <row r="565" spans="1:2" x14ac:dyDescent="0.35">
      <c r="A565">
        <v>992988</v>
      </c>
      <c r="B565" t="s">
        <v>263</v>
      </c>
    </row>
    <row r="566" spans="1:2" x14ac:dyDescent="0.35">
      <c r="A566">
        <v>992989</v>
      </c>
      <c r="B566" t="s">
        <v>150</v>
      </c>
    </row>
    <row r="567" spans="1:2" x14ac:dyDescent="0.35">
      <c r="A567">
        <v>992990</v>
      </c>
      <c r="B567" t="s">
        <v>151</v>
      </c>
    </row>
    <row r="568" spans="1:2" x14ac:dyDescent="0.35">
      <c r="A568">
        <v>992991</v>
      </c>
      <c r="B568" t="s">
        <v>152</v>
      </c>
    </row>
    <row r="569" spans="1:2" x14ac:dyDescent="0.35">
      <c r="A569">
        <v>992992</v>
      </c>
      <c r="B569" t="s">
        <v>153</v>
      </c>
    </row>
    <row r="570" spans="1:2" x14ac:dyDescent="0.35">
      <c r="A570">
        <v>992993</v>
      </c>
      <c r="B570" t="s">
        <v>154</v>
      </c>
    </row>
    <row r="571" spans="1:2" x14ac:dyDescent="0.35">
      <c r="A571">
        <v>992994</v>
      </c>
      <c r="B571" t="s">
        <v>155</v>
      </c>
    </row>
    <row r="572" spans="1:2" x14ac:dyDescent="0.35">
      <c r="A572">
        <v>992995</v>
      </c>
      <c r="B572" t="s">
        <v>156</v>
      </c>
    </row>
    <row r="573" spans="1:2" x14ac:dyDescent="0.35">
      <c r="A573">
        <v>992996</v>
      </c>
      <c r="B573" t="s">
        <v>157</v>
      </c>
    </row>
    <row r="574" spans="1:2" x14ac:dyDescent="0.35">
      <c r="A574">
        <v>992997</v>
      </c>
      <c r="B574" t="s">
        <v>158</v>
      </c>
    </row>
    <row r="575" spans="1:2" x14ac:dyDescent="0.35">
      <c r="A575">
        <v>992998</v>
      </c>
      <c r="B575" t="s">
        <v>159</v>
      </c>
    </row>
    <row r="576" spans="1:2" x14ac:dyDescent="0.35">
      <c r="A576">
        <v>992999</v>
      </c>
      <c r="B576" t="s">
        <v>160</v>
      </c>
    </row>
    <row r="577" spans="1:2" x14ac:dyDescent="0.35">
      <c r="A577">
        <v>993001</v>
      </c>
      <c r="B577" t="s">
        <v>161</v>
      </c>
    </row>
    <row r="578" spans="1:2" x14ac:dyDescent="0.35">
      <c r="A578">
        <v>993002</v>
      </c>
      <c r="B578" t="s">
        <v>162</v>
      </c>
    </row>
    <row r="579" spans="1:2" x14ac:dyDescent="0.35">
      <c r="A579">
        <v>993003</v>
      </c>
      <c r="B579" t="s">
        <v>163</v>
      </c>
    </row>
    <row r="580" spans="1:2" x14ac:dyDescent="0.35">
      <c r="A580">
        <v>993004</v>
      </c>
      <c r="B580" t="s">
        <v>164</v>
      </c>
    </row>
    <row r="581" spans="1:2" x14ac:dyDescent="0.35">
      <c r="A581">
        <v>993005</v>
      </c>
      <c r="B581" t="s">
        <v>165</v>
      </c>
    </row>
    <row r="582" spans="1:2" x14ac:dyDescent="0.35">
      <c r="A582">
        <v>993006</v>
      </c>
      <c r="B582" t="s">
        <v>166</v>
      </c>
    </row>
    <row r="583" spans="1:2" x14ac:dyDescent="0.35">
      <c r="A583">
        <v>993007</v>
      </c>
      <c r="B583" t="s">
        <v>167</v>
      </c>
    </row>
    <row r="584" spans="1:2" x14ac:dyDescent="0.35">
      <c r="A584">
        <v>993008</v>
      </c>
      <c r="B584" t="s">
        <v>168</v>
      </c>
    </row>
    <row r="585" spans="1:2" x14ac:dyDescent="0.35">
      <c r="A585">
        <v>993009</v>
      </c>
      <c r="B585" t="s">
        <v>169</v>
      </c>
    </row>
    <row r="586" spans="1:2" x14ac:dyDescent="0.35">
      <c r="A586">
        <v>993011</v>
      </c>
      <c r="B586" t="s">
        <v>170</v>
      </c>
    </row>
    <row r="587" spans="1:2" x14ac:dyDescent="0.35">
      <c r="A587">
        <v>993012</v>
      </c>
      <c r="B587" t="s">
        <v>171</v>
      </c>
    </row>
    <row r="588" spans="1:2" x14ac:dyDescent="0.35">
      <c r="A588">
        <v>993791</v>
      </c>
      <c r="B588" t="s">
        <v>172</v>
      </c>
    </row>
    <row r="589" spans="1:2" x14ac:dyDescent="0.35">
      <c r="A589">
        <v>993950</v>
      </c>
      <c r="B589" t="s">
        <v>667</v>
      </c>
    </row>
    <row r="590" spans="1:2" x14ac:dyDescent="0.35">
      <c r="A590">
        <v>993951</v>
      </c>
      <c r="B590" t="s">
        <v>173</v>
      </c>
    </row>
    <row r="591" spans="1:2" x14ac:dyDescent="0.35">
      <c r="A591">
        <v>993952</v>
      </c>
      <c r="B591" t="s">
        <v>174</v>
      </c>
    </row>
    <row r="592" spans="1:2" x14ac:dyDescent="0.35">
      <c r="A592">
        <v>993953</v>
      </c>
      <c r="B592" t="s">
        <v>175</v>
      </c>
    </row>
    <row r="593" spans="1:2" x14ac:dyDescent="0.35">
      <c r="A593">
        <v>993954</v>
      </c>
      <c r="B593" t="s">
        <v>176</v>
      </c>
    </row>
    <row r="594" spans="1:2" x14ac:dyDescent="0.35">
      <c r="A594">
        <v>993955</v>
      </c>
      <c r="B594" t="s">
        <v>177</v>
      </c>
    </row>
    <row r="595" spans="1:2" x14ac:dyDescent="0.35">
      <c r="A595">
        <v>993956</v>
      </c>
      <c r="B595" t="s">
        <v>178</v>
      </c>
    </row>
    <row r="596" spans="1:2" x14ac:dyDescent="0.35">
      <c r="A596">
        <v>993958</v>
      </c>
      <c r="B596" t="s">
        <v>179</v>
      </c>
    </row>
    <row r="597" spans="1:2" x14ac:dyDescent="0.35">
      <c r="A597">
        <v>993959</v>
      </c>
      <c r="B597" t="s">
        <v>668</v>
      </c>
    </row>
    <row r="598" spans="1:2" x14ac:dyDescent="0.35">
      <c r="A598">
        <v>993960</v>
      </c>
      <c r="B598" t="s">
        <v>669</v>
      </c>
    </row>
    <row r="599" spans="1:2" x14ac:dyDescent="0.35">
      <c r="A599">
        <v>993961</v>
      </c>
      <c r="B599" t="s">
        <v>670</v>
      </c>
    </row>
    <row r="600" spans="1:2" x14ac:dyDescent="0.35">
      <c r="A600">
        <v>993962</v>
      </c>
      <c r="B600" t="s">
        <v>671</v>
      </c>
    </row>
    <row r="601" spans="1:2" x14ac:dyDescent="0.35">
      <c r="A601">
        <v>993963</v>
      </c>
      <c r="B601" t="s">
        <v>672</v>
      </c>
    </row>
    <row r="602" spans="1:2" x14ac:dyDescent="0.35">
      <c r="A602">
        <v>993964</v>
      </c>
      <c r="B602" t="s">
        <v>673</v>
      </c>
    </row>
    <row r="603" spans="1:2" x14ac:dyDescent="0.35">
      <c r="A603">
        <v>993965</v>
      </c>
      <c r="B603" t="s">
        <v>674</v>
      </c>
    </row>
    <row r="604" spans="1:2" x14ac:dyDescent="0.35">
      <c r="A604">
        <v>993966</v>
      </c>
      <c r="B604" t="s">
        <v>675</v>
      </c>
    </row>
    <row r="605" spans="1:2" x14ac:dyDescent="0.35">
      <c r="A605">
        <v>993968</v>
      </c>
      <c r="B605" t="s">
        <v>180</v>
      </c>
    </row>
    <row r="606" spans="1:2" x14ac:dyDescent="0.35">
      <c r="A606">
        <v>993969</v>
      </c>
      <c r="B606" t="s">
        <v>181</v>
      </c>
    </row>
    <row r="607" spans="1:2" x14ac:dyDescent="0.35">
      <c r="A607">
        <v>993970</v>
      </c>
      <c r="B607" t="s">
        <v>182</v>
      </c>
    </row>
    <row r="608" spans="1:2" x14ac:dyDescent="0.35">
      <c r="A608">
        <v>993972</v>
      </c>
      <c r="B608" t="s">
        <v>183</v>
      </c>
    </row>
    <row r="609" spans="1:2" x14ac:dyDescent="0.35">
      <c r="A609">
        <v>993973</v>
      </c>
      <c r="B609" t="s">
        <v>184</v>
      </c>
    </row>
    <row r="610" spans="1:2" x14ac:dyDescent="0.35">
      <c r="A610">
        <v>993974</v>
      </c>
      <c r="B610" t="s">
        <v>185</v>
      </c>
    </row>
    <row r="611" spans="1:2" x14ac:dyDescent="0.35">
      <c r="A611">
        <v>993975</v>
      </c>
      <c r="B611" t="s">
        <v>186</v>
      </c>
    </row>
    <row r="612" spans="1:2" x14ac:dyDescent="0.35">
      <c r="A612">
        <v>993976</v>
      </c>
      <c r="B612" t="s">
        <v>187</v>
      </c>
    </row>
    <row r="613" spans="1:2" x14ac:dyDescent="0.35">
      <c r="A613">
        <v>994150</v>
      </c>
      <c r="B613" t="s">
        <v>188</v>
      </c>
    </row>
    <row r="614" spans="1:2" x14ac:dyDescent="0.35">
      <c r="A614">
        <v>994151</v>
      </c>
      <c r="B614" t="s">
        <v>189</v>
      </c>
    </row>
    <row r="615" spans="1:2" x14ac:dyDescent="0.35">
      <c r="A615">
        <v>994152</v>
      </c>
      <c r="B615" t="s">
        <v>190</v>
      </c>
    </row>
    <row r="616" spans="1:2" x14ac:dyDescent="0.35">
      <c r="A616">
        <v>994153</v>
      </c>
      <c r="B616" t="s">
        <v>191</v>
      </c>
    </row>
    <row r="617" spans="1:2" x14ac:dyDescent="0.35">
      <c r="A617">
        <v>994154</v>
      </c>
      <c r="B617" t="s">
        <v>192</v>
      </c>
    </row>
    <row r="618" spans="1:2" x14ac:dyDescent="0.35">
      <c r="A618">
        <v>994155</v>
      </c>
      <c r="B618" t="s">
        <v>193</v>
      </c>
    </row>
    <row r="619" spans="1:2" x14ac:dyDescent="0.35">
      <c r="A619">
        <v>994156</v>
      </c>
      <c r="B619" t="s">
        <v>194</v>
      </c>
    </row>
    <row r="620" spans="1:2" x14ac:dyDescent="0.35">
      <c r="A620">
        <v>994157</v>
      </c>
      <c r="B620" t="s">
        <v>195</v>
      </c>
    </row>
    <row r="621" spans="1:2" x14ac:dyDescent="0.35">
      <c r="A621">
        <v>994158</v>
      </c>
      <c r="B621" t="s">
        <v>196</v>
      </c>
    </row>
    <row r="622" spans="1:2" x14ac:dyDescent="0.35">
      <c r="A622">
        <v>994159</v>
      </c>
      <c r="B622" t="s">
        <v>197</v>
      </c>
    </row>
    <row r="623" spans="1:2" x14ac:dyDescent="0.35">
      <c r="A623">
        <v>994160</v>
      </c>
      <c r="B623" t="s">
        <v>198</v>
      </c>
    </row>
    <row r="624" spans="1:2" x14ac:dyDescent="0.35">
      <c r="A624">
        <v>994450</v>
      </c>
      <c r="B624" t="s">
        <v>264</v>
      </c>
    </row>
    <row r="625" spans="1:2" x14ac:dyDescent="0.35">
      <c r="A625">
        <v>994451</v>
      </c>
      <c r="B625" t="s">
        <v>199</v>
      </c>
    </row>
    <row r="626" spans="1:2" x14ac:dyDescent="0.35">
      <c r="A626">
        <v>994452</v>
      </c>
      <c r="B626" t="s">
        <v>200</v>
      </c>
    </row>
    <row r="627" spans="1:2" x14ac:dyDescent="0.35">
      <c r="A627">
        <v>994453</v>
      </c>
      <c r="B627" t="s">
        <v>201</v>
      </c>
    </row>
    <row r="628" spans="1:2" x14ac:dyDescent="0.35">
      <c r="A628">
        <v>995000</v>
      </c>
      <c r="B628" t="s">
        <v>676</v>
      </c>
    </row>
    <row r="629" spans="1:2" x14ac:dyDescent="0.35">
      <c r="A629">
        <v>995001</v>
      </c>
      <c r="B629" t="s">
        <v>677</v>
      </c>
    </row>
    <row r="630" spans="1:2" x14ac:dyDescent="0.35">
      <c r="A630">
        <v>995002</v>
      </c>
      <c r="B630" t="s">
        <v>678</v>
      </c>
    </row>
    <row r="631" spans="1:2" x14ac:dyDescent="0.35">
      <c r="A631">
        <v>995003</v>
      </c>
      <c r="B631" t="s">
        <v>679</v>
      </c>
    </row>
    <row r="632" spans="1:2" x14ac:dyDescent="0.35">
      <c r="A632">
        <v>995004</v>
      </c>
      <c r="B632" t="s">
        <v>680</v>
      </c>
    </row>
    <row r="633" spans="1:2" x14ac:dyDescent="0.35">
      <c r="A633">
        <v>995005</v>
      </c>
      <c r="B633" t="s">
        <v>681</v>
      </c>
    </row>
    <row r="634" spans="1:2" x14ac:dyDescent="0.35">
      <c r="A634">
        <v>995006</v>
      </c>
      <c r="B634" t="s">
        <v>682</v>
      </c>
    </row>
    <row r="635" spans="1:2" x14ac:dyDescent="0.35">
      <c r="A635">
        <v>995007</v>
      </c>
      <c r="B635" t="s">
        <v>683</v>
      </c>
    </row>
    <row r="636" spans="1:2" x14ac:dyDescent="0.35">
      <c r="A636">
        <v>995101</v>
      </c>
      <c r="B636" t="s">
        <v>684</v>
      </c>
    </row>
    <row r="637" spans="1:2" x14ac:dyDescent="0.35">
      <c r="A637">
        <v>995103</v>
      </c>
      <c r="B637" t="s">
        <v>685</v>
      </c>
    </row>
    <row r="638" spans="1:2" x14ac:dyDescent="0.35">
      <c r="A638">
        <v>995104</v>
      </c>
      <c r="B638" t="s">
        <v>686</v>
      </c>
    </row>
    <row r="639" spans="1:2" x14ac:dyDescent="0.35">
      <c r="A639">
        <v>995008</v>
      </c>
      <c r="B639" t="s">
        <v>687</v>
      </c>
    </row>
    <row r="640" spans="1:2" x14ac:dyDescent="0.35">
      <c r="A640">
        <v>995009</v>
      </c>
      <c r="B640" t="s">
        <v>688</v>
      </c>
    </row>
    <row r="641" spans="1:2" x14ac:dyDescent="0.35">
      <c r="A641">
        <v>995010</v>
      </c>
      <c r="B641" t="s">
        <v>689</v>
      </c>
    </row>
    <row r="642" spans="1:2" x14ac:dyDescent="0.35">
      <c r="A642">
        <v>995011</v>
      </c>
      <c r="B642" t="s">
        <v>690</v>
      </c>
    </row>
    <row r="643" spans="1:2" x14ac:dyDescent="0.35">
      <c r="A643">
        <v>995012</v>
      </c>
      <c r="B643" t="s">
        <v>691</v>
      </c>
    </row>
    <row r="644" spans="1:2" x14ac:dyDescent="0.35">
      <c r="A644">
        <v>995013</v>
      </c>
      <c r="B644" t="s">
        <v>692</v>
      </c>
    </row>
    <row r="645" spans="1:2" x14ac:dyDescent="0.35">
      <c r="A645">
        <v>995014</v>
      </c>
      <c r="B645" t="s">
        <v>693</v>
      </c>
    </row>
    <row r="646" spans="1:2" x14ac:dyDescent="0.35">
      <c r="A646">
        <v>995015</v>
      </c>
      <c r="B646" t="s">
        <v>694</v>
      </c>
    </row>
    <row r="647" spans="1:2" x14ac:dyDescent="0.35">
      <c r="A647">
        <v>995016</v>
      </c>
      <c r="B647" t="s">
        <v>695</v>
      </c>
    </row>
    <row r="648" spans="1:2" x14ac:dyDescent="0.35">
      <c r="A648">
        <v>995017</v>
      </c>
      <c r="B648" t="s">
        <v>290</v>
      </c>
    </row>
    <row r="649" spans="1:2" x14ac:dyDescent="0.35">
      <c r="A649">
        <v>995018</v>
      </c>
      <c r="B649" t="s">
        <v>696</v>
      </c>
    </row>
    <row r="650" spans="1:2" x14ac:dyDescent="0.35">
      <c r="A650">
        <v>995019</v>
      </c>
      <c r="B650" t="s">
        <v>291</v>
      </c>
    </row>
    <row r="651" spans="1:2" x14ac:dyDescent="0.35">
      <c r="A651">
        <v>995020</v>
      </c>
      <c r="B651" t="s">
        <v>297</v>
      </c>
    </row>
    <row r="652" spans="1:2" x14ac:dyDescent="0.35">
      <c r="A652">
        <v>995021</v>
      </c>
      <c r="B652" t="s">
        <v>298</v>
      </c>
    </row>
    <row r="653" spans="1:2" x14ac:dyDescent="0.35">
      <c r="A653">
        <v>995022</v>
      </c>
      <c r="B653" t="s">
        <v>299</v>
      </c>
    </row>
    <row r="654" spans="1:2" x14ac:dyDescent="0.35">
      <c r="A654">
        <v>995023</v>
      </c>
      <c r="B654" t="s">
        <v>697</v>
      </c>
    </row>
    <row r="655" spans="1:2" x14ac:dyDescent="0.35">
      <c r="A655">
        <v>995024</v>
      </c>
      <c r="B655" t="s">
        <v>300</v>
      </c>
    </row>
    <row r="656" spans="1:2" x14ac:dyDescent="0.35">
      <c r="A656">
        <v>995025</v>
      </c>
      <c r="B656" t="s">
        <v>301</v>
      </c>
    </row>
    <row r="657" spans="1:2" x14ac:dyDescent="0.35">
      <c r="A657">
        <v>995026</v>
      </c>
      <c r="B657" t="s">
        <v>698</v>
      </c>
    </row>
    <row r="658" spans="1:2" x14ac:dyDescent="0.35">
      <c r="A658">
        <v>995027</v>
      </c>
      <c r="B658" t="s">
        <v>699</v>
      </c>
    </row>
    <row r="659" spans="1:2" x14ac:dyDescent="0.35">
      <c r="A659">
        <v>995032</v>
      </c>
      <c r="B659" t="s">
        <v>292</v>
      </c>
    </row>
    <row r="660" spans="1:2" x14ac:dyDescent="0.35">
      <c r="A660">
        <v>995034</v>
      </c>
      <c r="B660" t="s">
        <v>700</v>
      </c>
    </row>
    <row r="661" spans="1:2" x14ac:dyDescent="0.35">
      <c r="A661">
        <v>995035</v>
      </c>
      <c r="B661" t="s">
        <v>701</v>
      </c>
    </row>
    <row r="662" spans="1:2" x14ac:dyDescent="0.35">
      <c r="A662">
        <v>995036</v>
      </c>
      <c r="B662" t="s">
        <v>702</v>
      </c>
    </row>
    <row r="663" spans="1:2" x14ac:dyDescent="0.35">
      <c r="A663">
        <v>995037</v>
      </c>
      <c r="B663" t="s">
        <v>703</v>
      </c>
    </row>
    <row r="664" spans="1:2" x14ac:dyDescent="0.35">
      <c r="A664">
        <v>995038</v>
      </c>
      <c r="B664" t="s">
        <v>704</v>
      </c>
    </row>
    <row r="665" spans="1:2" x14ac:dyDescent="0.35">
      <c r="A665">
        <v>995039</v>
      </c>
      <c r="B665" t="s">
        <v>705</v>
      </c>
    </row>
    <row r="666" spans="1:2" x14ac:dyDescent="0.35">
      <c r="A666">
        <v>995040</v>
      </c>
      <c r="B666" t="s">
        <v>706</v>
      </c>
    </row>
    <row r="667" spans="1:2" x14ac:dyDescent="0.35">
      <c r="A667">
        <v>995041</v>
      </c>
      <c r="B667" t="s">
        <v>707</v>
      </c>
    </row>
    <row r="668" spans="1:2" x14ac:dyDescent="0.35">
      <c r="A668">
        <v>995043</v>
      </c>
      <c r="B668" s="21" t="s">
        <v>708</v>
      </c>
    </row>
    <row r="669" spans="1:2" x14ac:dyDescent="0.35">
      <c r="A669">
        <v>995044</v>
      </c>
      <c r="B669" t="s">
        <v>293</v>
      </c>
    </row>
    <row r="670" spans="1:2" x14ac:dyDescent="0.35">
      <c r="A670">
        <v>995045</v>
      </c>
      <c r="B670" t="s">
        <v>709</v>
      </c>
    </row>
    <row r="671" spans="1:2" x14ac:dyDescent="0.35">
      <c r="A671">
        <v>995046</v>
      </c>
      <c r="B671" t="s">
        <v>710</v>
      </c>
    </row>
    <row r="672" spans="1:2" x14ac:dyDescent="0.35">
      <c r="A672">
        <v>995047</v>
      </c>
      <c r="B672" t="s">
        <v>302</v>
      </c>
    </row>
    <row r="673" spans="1:2" x14ac:dyDescent="0.35">
      <c r="A673">
        <v>995048</v>
      </c>
      <c r="B673" t="s">
        <v>295</v>
      </c>
    </row>
    <row r="674" spans="1:2" x14ac:dyDescent="0.35">
      <c r="A674">
        <v>995049</v>
      </c>
      <c r="B674" t="s">
        <v>294</v>
      </c>
    </row>
    <row r="675" spans="1:2" x14ac:dyDescent="0.35">
      <c r="A675">
        <v>995050</v>
      </c>
      <c r="B675" t="s">
        <v>303</v>
      </c>
    </row>
    <row r="676" spans="1:2" x14ac:dyDescent="0.35">
      <c r="A676">
        <v>995051</v>
      </c>
      <c r="B676" t="s">
        <v>304</v>
      </c>
    </row>
    <row r="677" spans="1:2" x14ac:dyDescent="0.35">
      <c r="A677">
        <v>995052</v>
      </c>
      <c r="B677" t="s">
        <v>305</v>
      </c>
    </row>
    <row r="678" spans="1:2" x14ac:dyDescent="0.35">
      <c r="A678">
        <v>995053</v>
      </c>
      <c r="B678" t="s">
        <v>306</v>
      </c>
    </row>
    <row r="679" spans="1:2" x14ac:dyDescent="0.35">
      <c r="A679">
        <v>995054</v>
      </c>
      <c r="B679" t="s">
        <v>711</v>
      </c>
    </row>
    <row r="680" spans="1:2" x14ac:dyDescent="0.35">
      <c r="A680">
        <v>995055</v>
      </c>
      <c r="B680" t="s">
        <v>712</v>
      </c>
    </row>
    <row r="681" spans="1:2" x14ac:dyDescent="0.35">
      <c r="A681">
        <v>995061</v>
      </c>
      <c r="B681" t="s">
        <v>713</v>
      </c>
    </row>
    <row r="682" spans="1:2" x14ac:dyDescent="0.35">
      <c r="A682">
        <v>995062</v>
      </c>
      <c r="B682" t="s">
        <v>714</v>
      </c>
    </row>
    <row r="683" spans="1:2" x14ac:dyDescent="0.35">
      <c r="A683">
        <v>995067</v>
      </c>
      <c r="B683" t="s">
        <v>715</v>
      </c>
    </row>
    <row r="684" spans="1:2" x14ac:dyDescent="0.35">
      <c r="A684">
        <v>995068</v>
      </c>
      <c r="B684" t="s">
        <v>716</v>
      </c>
    </row>
    <row r="685" spans="1:2" x14ac:dyDescent="0.35">
      <c r="A685">
        <v>995069</v>
      </c>
      <c r="B685" t="s">
        <v>717</v>
      </c>
    </row>
    <row r="686" spans="1:2" x14ac:dyDescent="0.35">
      <c r="A686">
        <v>995070</v>
      </c>
      <c r="B686" t="s">
        <v>718</v>
      </c>
    </row>
    <row r="687" spans="1:2" x14ac:dyDescent="0.35">
      <c r="A687">
        <v>995071</v>
      </c>
      <c r="B687" t="s">
        <v>719</v>
      </c>
    </row>
    <row r="688" spans="1:2" x14ac:dyDescent="0.35">
      <c r="A688">
        <v>995072</v>
      </c>
      <c r="B688" t="s">
        <v>720</v>
      </c>
    </row>
    <row r="689" spans="1:2" x14ac:dyDescent="0.35">
      <c r="A689">
        <v>995073</v>
      </c>
      <c r="B689" t="s">
        <v>721</v>
      </c>
    </row>
    <row r="690" spans="1:2" x14ac:dyDescent="0.35">
      <c r="A690">
        <v>995074</v>
      </c>
      <c r="B690" t="s">
        <v>722</v>
      </c>
    </row>
    <row r="691" spans="1:2" x14ac:dyDescent="0.35">
      <c r="A691">
        <v>995075</v>
      </c>
      <c r="B691" t="s">
        <v>723</v>
      </c>
    </row>
    <row r="692" spans="1:2" x14ac:dyDescent="0.35">
      <c r="A692">
        <v>995076</v>
      </c>
      <c r="B692" t="s">
        <v>724</v>
      </c>
    </row>
    <row r="693" spans="1:2" x14ac:dyDescent="0.35">
      <c r="A693">
        <v>995077</v>
      </c>
      <c r="B693" t="s">
        <v>725</v>
      </c>
    </row>
    <row r="694" spans="1:2" x14ac:dyDescent="0.35">
      <c r="A694">
        <v>995078</v>
      </c>
      <c r="B694" t="s">
        <v>726</v>
      </c>
    </row>
    <row r="695" spans="1:2" x14ac:dyDescent="0.35">
      <c r="A695">
        <v>995079</v>
      </c>
      <c r="B695" t="s">
        <v>727</v>
      </c>
    </row>
    <row r="696" spans="1:2" x14ac:dyDescent="0.35">
      <c r="A696">
        <v>995080</v>
      </c>
      <c r="B696" t="s">
        <v>728</v>
      </c>
    </row>
    <row r="697" spans="1:2" x14ac:dyDescent="0.35">
      <c r="A697">
        <v>995081</v>
      </c>
      <c r="B697" t="s">
        <v>729</v>
      </c>
    </row>
    <row r="698" spans="1:2" x14ac:dyDescent="0.35">
      <c r="A698">
        <v>995082</v>
      </c>
      <c r="B698" t="s">
        <v>730</v>
      </c>
    </row>
    <row r="699" spans="1:2" x14ac:dyDescent="0.35">
      <c r="A699">
        <v>995083</v>
      </c>
      <c r="B699" t="s">
        <v>731</v>
      </c>
    </row>
    <row r="700" spans="1:2" x14ac:dyDescent="0.35">
      <c r="A700">
        <v>995084</v>
      </c>
      <c r="B700" t="s">
        <v>732</v>
      </c>
    </row>
    <row r="701" spans="1:2" x14ac:dyDescent="0.35">
      <c r="A701">
        <v>995085</v>
      </c>
      <c r="B701" t="s">
        <v>733</v>
      </c>
    </row>
    <row r="702" spans="1:2" x14ac:dyDescent="0.35">
      <c r="A702">
        <v>995086</v>
      </c>
      <c r="B702" t="s">
        <v>734</v>
      </c>
    </row>
    <row r="703" spans="1:2" x14ac:dyDescent="0.35">
      <c r="A703">
        <v>995087</v>
      </c>
      <c r="B703" t="s">
        <v>735</v>
      </c>
    </row>
    <row r="704" spans="1:2" x14ac:dyDescent="0.35">
      <c r="A704">
        <v>995088</v>
      </c>
      <c r="B704" t="s">
        <v>736</v>
      </c>
    </row>
    <row r="705" spans="1:2" x14ac:dyDescent="0.35">
      <c r="A705">
        <v>995089</v>
      </c>
      <c r="B705" t="s">
        <v>737</v>
      </c>
    </row>
    <row r="706" spans="1:2" x14ac:dyDescent="0.35">
      <c r="A706">
        <v>995100</v>
      </c>
      <c r="B706" t="s">
        <v>738</v>
      </c>
    </row>
    <row r="707" spans="1:2" x14ac:dyDescent="0.35">
      <c r="A707">
        <v>995097</v>
      </c>
      <c r="B707" t="s">
        <v>739</v>
      </c>
    </row>
    <row r="708" spans="1:2" x14ac:dyDescent="0.35">
      <c r="A708">
        <v>995098</v>
      </c>
      <c r="B708" t="s">
        <v>740</v>
      </c>
    </row>
    <row r="709" spans="1:2" x14ac:dyDescent="0.35">
      <c r="A709">
        <v>995115</v>
      </c>
      <c r="B709" t="s">
        <v>741</v>
      </c>
    </row>
    <row r="710" spans="1:2" x14ac:dyDescent="0.35">
      <c r="A710">
        <v>995116</v>
      </c>
      <c r="B710" t="s">
        <v>742</v>
      </c>
    </row>
    <row r="711" spans="1:2" x14ac:dyDescent="0.35">
      <c r="A711">
        <v>995099</v>
      </c>
      <c r="B711" t="s">
        <v>743</v>
      </c>
    </row>
    <row r="712" spans="1:2" x14ac:dyDescent="0.35">
      <c r="A712">
        <v>995102</v>
      </c>
      <c r="B712" t="s">
        <v>744</v>
      </c>
    </row>
    <row r="713" spans="1:2" x14ac:dyDescent="0.35">
      <c r="A713">
        <v>995106</v>
      </c>
      <c r="B713" t="s">
        <v>745</v>
      </c>
    </row>
    <row r="714" spans="1:2" x14ac:dyDescent="0.35">
      <c r="A714">
        <v>995132</v>
      </c>
      <c r="B714" t="s">
        <v>746</v>
      </c>
    </row>
    <row r="715" spans="1:2" x14ac:dyDescent="0.35">
      <c r="A715">
        <v>995128</v>
      </c>
      <c r="B715" t="s">
        <v>747</v>
      </c>
    </row>
    <row r="716" spans="1:2" x14ac:dyDescent="0.35">
      <c r="A716">
        <v>989765</v>
      </c>
      <c r="B716" t="s">
        <v>748</v>
      </c>
    </row>
    <row r="717" spans="1:2" x14ac:dyDescent="0.35">
      <c r="A717">
        <v>980222</v>
      </c>
      <c r="B717" t="s">
        <v>749</v>
      </c>
    </row>
    <row r="718" spans="1:2" x14ac:dyDescent="0.35">
      <c r="A718">
        <v>989562</v>
      </c>
      <c r="B718" t="s">
        <v>750</v>
      </c>
    </row>
    <row r="719" spans="1:2" x14ac:dyDescent="0.35">
      <c r="A719">
        <v>987589</v>
      </c>
      <c r="B719" t="s">
        <v>751</v>
      </c>
    </row>
    <row r="720" spans="1:2" x14ac:dyDescent="0.35">
      <c r="A720">
        <v>983763</v>
      </c>
      <c r="B720" t="s">
        <v>752</v>
      </c>
    </row>
    <row r="721" spans="1:5" x14ac:dyDescent="0.35">
      <c r="A721">
        <v>987450</v>
      </c>
      <c r="B721" t="s">
        <v>753</v>
      </c>
    </row>
    <row r="722" spans="1:5" x14ac:dyDescent="0.35">
      <c r="A722">
        <v>995042</v>
      </c>
      <c r="B722" t="s">
        <v>754</v>
      </c>
    </row>
    <row r="723" spans="1:5" x14ac:dyDescent="0.35">
      <c r="A723">
        <v>995091</v>
      </c>
      <c r="B723" t="s">
        <v>755</v>
      </c>
    </row>
    <row r="724" spans="1:5" x14ac:dyDescent="0.35">
      <c r="A724">
        <v>995092</v>
      </c>
      <c r="B724" t="s">
        <v>756</v>
      </c>
    </row>
    <row r="725" spans="1:5" x14ac:dyDescent="0.35">
      <c r="A725">
        <v>995093</v>
      </c>
      <c r="B725" t="s">
        <v>757</v>
      </c>
    </row>
    <row r="726" spans="1:5" x14ac:dyDescent="0.35">
      <c r="A726">
        <v>995094</v>
      </c>
      <c r="B726" t="s">
        <v>758</v>
      </c>
    </row>
    <row r="727" spans="1:5" x14ac:dyDescent="0.35">
      <c r="A727">
        <v>995095</v>
      </c>
      <c r="B727" t="s">
        <v>759</v>
      </c>
    </row>
    <row r="728" spans="1:5" x14ac:dyDescent="0.35">
      <c r="A728">
        <v>983610</v>
      </c>
      <c r="B728" t="s">
        <v>760</v>
      </c>
    </row>
    <row r="729" spans="1:5" x14ac:dyDescent="0.35">
      <c r="A729">
        <v>981223</v>
      </c>
      <c r="B729" t="s">
        <v>761</v>
      </c>
    </row>
    <row r="730" spans="1:5" x14ac:dyDescent="0.35">
      <c r="A730">
        <v>989564</v>
      </c>
      <c r="B730" t="s">
        <v>762</v>
      </c>
    </row>
    <row r="731" spans="1:5" x14ac:dyDescent="0.35">
      <c r="A731">
        <v>995127</v>
      </c>
      <c r="B731" t="s">
        <v>763</v>
      </c>
    </row>
    <row r="732" spans="1:5" x14ac:dyDescent="0.35">
      <c r="A732">
        <v>981168</v>
      </c>
      <c r="B732" t="s">
        <v>766</v>
      </c>
    </row>
    <row r="733" spans="1:5" x14ac:dyDescent="0.35">
      <c r="A733">
        <v>989084</v>
      </c>
      <c r="B733" t="s">
        <v>767</v>
      </c>
      <c r="E733" t="s">
        <v>776</v>
      </c>
    </row>
    <row r="734" spans="1:5" x14ac:dyDescent="0.35">
      <c r="A734">
        <v>995185</v>
      </c>
      <c r="B734" t="s">
        <v>768</v>
      </c>
    </row>
    <row r="735" spans="1:5" x14ac:dyDescent="0.35">
      <c r="A735" s="26">
        <v>995192</v>
      </c>
      <c r="B735" s="26" t="s">
        <v>769</v>
      </c>
    </row>
    <row r="736" spans="1:5" x14ac:dyDescent="0.35">
      <c r="A736" s="26">
        <v>995190</v>
      </c>
      <c r="B736" s="26" t="s">
        <v>770</v>
      </c>
    </row>
    <row r="737" spans="1:2" x14ac:dyDescent="0.35">
      <c r="A737" s="26">
        <v>986405</v>
      </c>
      <c r="B737" s="26" t="s">
        <v>771</v>
      </c>
    </row>
    <row r="738" spans="1:2" x14ac:dyDescent="0.35">
      <c r="A738" s="26">
        <v>995134</v>
      </c>
      <c r="B738" s="27" t="s">
        <v>772</v>
      </c>
    </row>
    <row r="739" spans="1:2" x14ac:dyDescent="0.35">
      <c r="A739">
        <v>995168</v>
      </c>
      <c r="B739" t="s">
        <v>773</v>
      </c>
    </row>
    <row r="740" spans="1:2" x14ac:dyDescent="0.35">
      <c r="A740" s="26">
        <v>990072</v>
      </c>
      <c r="B740" s="26" t="s">
        <v>774</v>
      </c>
    </row>
    <row r="741" spans="1:2" x14ac:dyDescent="0.35">
      <c r="A741" s="26">
        <v>990073</v>
      </c>
      <c r="B741" s="26" t="s">
        <v>775</v>
      </c>
    </row>
    <row r="742" spans="1:2" x14ac:dyDescent="0.35">
      <c r="A742" s="26">
        <v>995135</v>
      </c>
      <c r="B742" s="26" t="s">
        <v>777</v>
      </c>
    </row>
    <row r="743" spans="1:2" x14ac:dyDescent="0.35">
      <c r="A743" s="26">
        <v>995191</v>
      </c>
      <c r="B743" s="26" t="s">
        <v>778</v>
      </c>
    </row>
    <row r="744" spans="1:2" x14ac:dyDescent="0.35">
      <c r="A744" s="26">
        <v>995145</v>
      </c>
      <c r="B744" s="27" t="s">
        <v>779</v>
      </c>
    </row>
    <row r="745" spans="1:2" x14ac:dyDescent="0.35">
      <c r="A745">
        <v>995136</v>
      </c>
      <c r="B745" t="s">
        <v>780</v>
      </c>
    </row>
    <row r="746" spans="1:2" x14ac:dyDescent="0.35">
      <c r="A746" s="26">
        <v>995199</v>
      </c>
      <c r="B746" s="26" t="s">
        <v>781</v>
      </c>
    </row>
    <row r="747" spans="1:2" x14ac:dyDescent="0.35">
      <c r="A747" s="26">
        <v>984071</v>
      </c>
      <c r="B747" s="26" t="s">
        <v>782</v>
      </c>
    </row>
    <row r="748" spans="1:2" x14ac:dyDescent="0.35">
      <c r="A748" s="26">
        <v>995200</v>
      </c>
      <c r="B748" s="26" t="s">
        <v>783</v>
      </c>
    </row>
    <row r="749" spans="1:2" x14ac:dyDescent="0.35">
      <c r="A749" s="26">
        <v>986977</v>
      </c>
      <c r="B749" s="26" t="s">
        <v>784</v>
      </c>
    </row>
    <row r="750" spans="1:2" x14ac:dyDescent="0.35">
      <c r="A750" s="26">
        <v>995212</v>
      </c>
      <c r="B750" s="26" t="s">
        <v>785</v>
      </c>
    </row>
    <row r="751" spans="1:2" x14ac:dyDescent="0.35">
      <c r="A751" s="26">
        <v>984009</v>
      </c>
      <c r="B751" s="26" t="s">
        <v>786</v>
      </c>
    </row>
    <row r="752" spans="1:2" x14ac:dyDescent="0.35">
      <c r="A752">
        <v>988640</v>
      </c>
      <c r="B752" t="s">
        <v>787</v>
      </c>
    </row>
    <row r="753" spans="1:2" x14ac:dyDescent="0.35">
      <c r="A753" s="26">
        <v>995189</v>
      </c>
      <c r="B753" s="26" t="s">
        <v>788</v>
      </c>
    </row>
    <row r="754" spans="1:2" x14ac:dyDescent="0.35">
      <c r="A754">
        <v>983108</v>
      </c>
      <c r="B754" s="26" t="s">
        <v>789</v>
      </c>
    </row>
  </sheetData>
  <conditionalFormatting sqref="A1:A1048576">
    <cfRule type="duplicateValues" dxfId="19" priority="19"/>
  </conditionalFormatting>
  <conditionalFormatting sqref="A735">
    <cfRule type="duplicateValues" dxfId="18" priority="18"/>
  </conditionalFormatting>
  <conditionalFormatting sqref="A736">
    <cfRule type="duplicateValues" dxfId="17" priority="17"/>
  </conditionalFormatting>
  <conditionalFormatting sqref="A737">
    <cfRule type="duplicateValues" dxfId="16" priority="16"/>
  </conditionalFormatting>
  <conditionalFormatting sqref="A738">
    <cfRule type="duplicateValues" dxfId="15" priority="15"/>
  </conditionalFormatting>
  <conditionalFormatting sqref="A740">
    <cfRule type="duplicateValues" dxfId="14" priority="14"/>
  </conditionalFormatting>
  <conditionalFormatting sqref="A741">
    <cfRule type="duplicateValues" dxfId="13" priority="13"/>
  </conditionalFormatting>
  <conditionalFormatting sqref="A742">
    <cfRule type="duplicateValues" dxfId="12" priority="12"/>
  </conditionalFormatting>
  <conditionalFormatting sqref="A743">
    <cfRule type="duplicateValues" dxfId="11" priority="11"/>
  </conditionalFormatting>
  <conditionalFormatting sqref="A744">
    <cfRule type="duplicateValues" dxfId="10" priority="10"/>
  </conditionalFormatting>
  <conditionalFormatting sqref="A745">
    <cfRule type="duplicateValues" dxfId="9" priority="9"/>
  </conditionalFormatting>
  <conditionalFormatting sqref="A746">
    <cfRule type="duplicateValues" dxfId="8" priority="8"/>
  </conditionalFormatting>
  <conditionalFormatting sqref="A747">
    <cfRule type="duplicateValues" dxfId="7" priority="7"/>
  </conditionalFormatting>
  <conditionalFormatting sqref="A748">
    <cfRule type="duplicateValues" dxfId="6" priority="6"/>
  </conditionalFormatting>
  <conditionalFormatting sqref="A749">
    <cfRule type="duplicateValues" dxfId="5" priority="5"/>
  </conditionalFormatting>
  <conditionalFormatting sqref="A750">
    <cfRule type="duplicateValues" dxfId="4" priority="4"/>
  </conditionalFormatting>
  <conditionalFormatting sqref="A751">
    <cfRule type="duplicateValues" dxfId="3" priority="3"/>
  </conditionalFormatting>
  <conditionalFormatting sqref="A752">
    <cfRule type="duplicateValues" dxfId="2" priority="2"/>
  </conditionalFormatting>
  <conditionalFormatting sqref="A75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76652-F699-470D-B482-58195F4823C3}">
  <sheetPr codeName="Sheet2"/>
  <dimension ref="A1:I8"/>
  <sheetViews>
    <sheetView workbookViewId="0">
      <selection activeCell="A2" sqref="A2"/>
    </sheetView>
  </sheetViews>
  <sheetFormatPr defaultRowHeight="14.5" x14ac:dyDescent="0.35"/>
  <cols>
    <col min="1" max="1" width="16.81640625" bestFit="1" customWidth="1"/>
    <col min="2" max="2" width="8.81640625" style="8"/>
    <col min="3" max="3" width="9" bestFit="1" customWidth="1"/>
    <col min="4" max="4" width="27.1796875" bestFit="1" customWidth="1"/>
    <col min="5" max="5" width="11" bestFit="1" customWidth="1"/>
    <col min="6" max="6" width="8.81640625" style="8"/>
    <col min="8" max="8" width="23.81640625" bestFit="1" customWidth="1"/>
    <col min="9" max="9" width="13" bestFit="1" customWidth="1"/>
  </cols>
  <sheetData>
    <row r="1" spans="1:9" x14ac:dyDescent="0.35">
      <c r="A1" t="s">
        <v>311</v>
      </c>
      <c r="C1" t="s">
        <v>312</v>
      </c>
      <c r="D1" t="s">
        <v>314</v>
      </c>
      <c r="E1" t="s">
        <v>315</v>
      </c>
      <c r="G1" t="s">
        <v>313</v>
      </c>
      <c r="H1" t="s">
        <v>316</v>
      </c>
      <c r="I1" t="s">
        <v>317</v>
      </c>
    </row>
    <row r="2" spans="1:9" x14ac:dyDescent="0.35">
      <c r="A2" s="17" t="s">
        <v>318</v>
      </c>
      <c r="D2" t="s">
        <v>319</v>
      </c>
      <c r="E2" t="s">
        <v>6</v>
      </c>
      <c r="H2" t="s">
        <v>319</v>
      </c>
      <c r="I2" t="s">
        <v>319</v>
      </c>
    </row>
    <row r="3" spans="1:9" x14ac:dyDescent="0.35">
      <c r="D3" t="s">
        <v>6</v>
      </c>
      <c r="E3" t="s">
        <v>4</v>
      </c>
    </row>
    <row r="4" spans="1:9" x14ac:dyDescent="0.35">
      <c r="D4" t="s">
        <v>4</v>
      </c>
      <c r="E4" t="s">
        <v>320</v>
      </c>
    </row>
    <row r="5" spans="1:9" x14ac:dyDescent="0.35">
      <c r="D5" t="s">
        <v>5</v>
      </c>
    </row>
    <row r="6" spans="1:9" x14ac:dyDescent="0.35">
      <c r="D6" t="s">
        <v>320</v>
      </c>
    </row>
    <row r="7" spans="1:9" x14ac:dyDescent="0.35">
      <c r="D7" t="s">
        <v>321</v>
      </c>
    </row>
    <row r="8" spans="1:9" x14ac:dyDescent="0.35">
      <c r="D8" t="s">
        <v>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047C-5F9F-42FE-A0A5-B72DD1E56CB9}">
  <sheetPr codeName="Sheet4"/>
  <dimension ref="A1:F5"/>
  <sheetViews>
    <sheetView workbookViewId="0">
      <selection activeCell="G31" sqref="G31"/>
    </sheetView>
  </sheetViews>
  <sheetFormatPr defaultRowHeight="14.5" x14ac:dyDescent="0.35"/>
  <cols>
    <col min="1" max="1" width="27.1796875" bestFit="1" customWidth="1"/>
    <col min="2" max="2" width="8.81640625" style="8"/>
    <col min="3" max="3" width="23.81640625" bestFit="1" customWidth="1"/>
    <col min="4" max="4" width="17.81640625" bestFit="1" customWidth="1"/>
    <col min="5" max="5" width="8.81640625" style="8"/>
    <col min="6" max="6" width="14.1796875" bestFit="1" customWidth="1"/>
  </cols>
  <sheetData>
    <row r="1" spans="1:6" x14ac:dyDescent="0.35">
      <c r="A1" t="s">
        <v>314</v>
      </c>
      <c r="C1" t="s">
        <v>316</v>
      </c>
      <c r="D1" t="s">
        <v>323</v>
      </c>
      <c r="F1" t="s">
        <v>311</v>
      </c>
    </row>
    <row r="2" spans="1:6" x14ac:dyDescent="0.35">
      <c r="A2" t="s">
        <v>315</v>
      </c>
      <c r="C2" t="s">
        <v>317</v>
      </c>
      <c r="D2" t="s">
        <v>323</v>
      </c>
      <c r="F2" t="s">
        <v>327</v>
      </c>
    </row>
    <row r="3" spans="1:6" x14ac:dyDescent="0.35">
      <c r="F3" t="s">
        <v>326</v>
      </c>
    </row>
    <row r="4" spans="1:6" x14ac:dyDescent="0.35">
      <c r="F4" t="s">
        <v>7</v>
      </c>
    </row>
    <row r="5" spans="1:6" x14ac:dyDescent="0.35">
      <c r="F5" t="s">
        <v>324</v>
      </c>
    </row>
  </sheetData>
  <dataValidations count="5">
    <dataValidation type="list" errorStyle="warning" allowBlank="1" showInputMessage="1" showErrorMessage="1" sqref="F4" xr:uid="{F7EB1487-B883-460D-AF87-90E871F27D31}">
      <formula1>"E, Remove"</formula1>
    </dataValidation>
    <dataValidation type="list" errorStyle="warning" allowBlank="1" showInputMessage="1" showErrorMessage="1" sqref="F3" xr:uid="{71899230-1F1F-47FC-BB24-FCD141939277}">
      <formula1>"L, Remove"</formula1>
    </dataValidation>
    <dataValidation type="list" errorStyle="warning" allowBlank="1" showInputMessage="1" showErrorMessage="1" sqref="F3" xr:uid="{53F1B85A-B745-404E-9857-688ED378D2F2}">
      <formula1>"A, X"</formula1>
    </dataValidation>
    <dataValidation type="list" errorStyle="warning" allowBlank="1" showInputMessage="1" showErrorMessage="1" sqref="F2" xr:uid="{4E5468F9-A388-4F2E-9DC3-651214E41B1A}">
      <formula1>"A, X, N"</formula1>
    </dataValidation>
    <dataValidation type="list" errorStyle="warning" allowBlank="1" showInputMessage="1" showErrorMessage="1" sqref="F5" xr:uid="{53CD2AC9-FEFD-4CCB-A8A8-820292EEF9F1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xr:uid="{93452D35-6110-49D2-A703-C84AFE24362B}">
          <x14:formula1>
            <xm:f>OFFSET(Dropdowns!$D$1, 1, 0, COUNTA(Dropdowns!$D:$D)-1,1)</xm:f>
          </x14:formula1>
          <xm:sqref>A1</xm:sqref>
        </x14:dataValidation>
        <x14:dataValidation type="list" allowBlank="1" showInputMessage="1" showErrorMessage="1" xr:uid="{B141D85A-D040-434D-814B-9F87B5CB876E}">
          <x14:formula1>
            <xm:f>OFFSET(Dropdowns!$E$1, 1, 0, COUNTA(Dropdowns!$E:$E)-1,1)</xm:f>
          </x14:formula1>
          <xm:sqref>A2</xm:sqref>
        </x14:dataValidation>
        <x14:dataValidation type="list" allowBlank="1" showInputMessage="1" showErrorMessage="1" xr:uid="{6F603E48-B59E-46C7-B8E5-F58C0FD26F2A}">
          <x14:formula1>
            <xm:f>OFFSET(Dropdowns!$H$1, 1, 0, COUNTA(Dropdowns!$H:$H)-1,1)</xm:f>
          </x14:formula1>
          <xm:sqref>C1</xm:sqref>
        </x14:dataValidation>
        <x14:dataValidation type="list" allowBlank="1" showInputMessage="1" showErrorMessage="1" xr:uid="{80E38671-3E43-435E-BC26-CB5265515753}">
          <x14:formula1>
            <xm:f>OFFSET(Dropdowns!$I$1, 1, 0, COUNTA(Dropdowns!$I:$I)-1,1)</xm:f>
          </x14:formula1>
          <xm:sqref>C2</xm:sqref>
        </x14:dataValidation>
        <x14:dataValidation type="list" errorStyle="warning" allowBlank="1" showInputMessage="1" showErrorMessage="1" xr:uid="{382A82A0-083E-4A1A-9087-39A832C45258}">
          <x14:formula1>
            <xm:f>OFFSET(Dropdowns!$A$1, 1, 0, COUNTA(Dropdowns!$A:$A)-1,1)</xm:f>
          </x14:formula1>
          <xm:sqref>F1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00C6B6-9194-42D7-A192-0932AB138E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Pull</vt:lpstr>
      <vt:lpstr>FM Changes</vt:lpstr>
      <vt:lpstr>VLOOKUPS</vt:lpstr>
      <vt:lpstr>Dropdowns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Tushar Thomas</cp:lastModifiedBy>
  <dcterms:created xsi:type="dcterms:W3CDTF">2020-03-06T16:46:38Z</dcterms:created>
  <dcterms:modified xsi:type="dcterms:W3CDTF">2022-09-17T19:30:49Z</dcterms:modified>
</cp:coreProperties>
</file>